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maval\Documents\Vale laburo\Castelli\Supervisoras\"/>
    </mc:Choice>
  </mc:AlternateContent>
  <bookViews>
    <workbookView xWindow="0" yWindow="0" windowWidth="23040" windowHeight="9192" activeTab="1"/>
  </bookViews>
  <sheets>
    <sheet name="Resumen zona" sheetId="8" r:id="rId1"/>
    <sheet name="Florida" sheetId="4" r:id="rId2"/>
    <sheet name="Guemes" sheetId="6" r:id="rId3"/>
    <sheet name="Recoleta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4" l="1"/>
  <c r="K18" i="4"/>
  <c r="K17" i="4"/>
  <c r="K16" i="4"/>
  <c r="K15" i="4"/>
  <c r="K14" i="4"/>
  <c r="K13" i="4"/>
  <c r="K12" i="4"/>
  <c r="K11" i="4"/>
  <c r="K10" i="4"/>
  <c r="K9" i="4"/>
  <c r="K8" i="4"/>
  <c r="J18" i="4"/>
  <c r="J17" i="4"/>
  <c r="L17" i="4" s="1"/>
  <c r="J16" i="4"/>
  <c r="J15" i="4"/>
  <c r="J14" i="4"/>
  <c r="J13" i="4"/>
  <c r="J12" i="4"/>
  <c r="J11" i="4"/>
  <c r="J10" i="4"/>
  <c r="J9" i="4"/>
  <c r="J8" i="4"/>
  <c r="O14" i="7"/>
  <c r="O14" i="6"/>
  <c r="N14" i="4"/>
  <c r="J18" i="6"/>
  <c r="L18" i="6" s="1"/>
  <c r="J18" i="7"/>
  <c r="L18" i="7" s="1"/>
  <c r="I18" i="7"/>
  <c r="I17" i="7"/>
  <c r="I16" i="7"/>
  <c r="I15" i="7"/>
  <c r="I14" i="7"/>
  <c r="I13" i="7"/>
  <c r="I12" i="7"/>
  <c r="I11" i="7"/>
  <c r="I10" i="7"/>
  <c r="I9" i="7"/>
  <c r="I8" i="7"/>
  <c r="I18" i="6"/>
  <c r="I17" i="6"/>
  <c r="I16" i="6"/>
  <c r="I15" i="6"/>
  <c r="I14" i="6"/>
  <c r="I13" i="6"/>
  <c r="I12" i="6"/>
  <c r="I11" i="6"/>
  <c r="I10" i="6"/>
  <c r="I9" i="6"/>
  <c r="I8" i="6"/>
  <c r="I18" i="4"/>
  <c r="I17" i="4"/>
  <c r="I16" i="4"/>
  <c r="I15" i="4"/>
  <c r="I14" i="4"/>
  <c r="I13" i="4"/>
  <c r="I12" i="4"/>
  <c r="I11" i="4"/>
  <c r="I10" i="4"/>
  <c r="I9" i="4"/>
  <c r="I8" i="4"/>
  <c r="G35" i="8"/>
  <c r="F35" i="8"/>
  <c r="E35" i="8"/>
  <c r="D35" i="8"/>
  <c r="C35" i="8"/>
  <c r="B35" i="8"/>
  <c r="G34" i="8"/>
  <c r="F34" i="8"/>
  <c r="E34" i="8"/>
  <c r="D34" i="8"/>
  <c r="C34" i="8"/>
  <c r="B34" i="8"/>
  <c r="G33" i="8"/>
  <c r="F33" i="8"/>
  <c r="E33" i="8"/>
  <c r="D33" i="8"/>
  <c r="C33" i="8"/>
  <c r="B33" i="8"/>
  <c r="G32" i="8"/>
  <c r="F32" i="8"/>
  <c r="E32" i="8"/>
  <c r="D32" i="8"/>
  <c r="C32" i="8"/>
  <c r="B32" i="8"/>
  <c r="G31" i="8"/>
  <c r="F31" i="8"/>
  <c r="E31" i="8"/>
  <c r="D31" i="8"/>
  <c r="C31" i="8"/>
  <c r="B31" i="8"/>
  <c r="G30" i="8"/>
  <c r="F30" i="8"/>
  <c r="E30" i="8"/>
  <c r="D30" i="8"/>
  <c r="C30" i="8"/>
  <c r="B30" i="8"/>
  <c r="G29" i="8"/>
  <c r="F29" i="8"/>
  <c r="E29" i="8"/>
  <c r="D29" i="8"/>
  <c r="C29" i="8"/>
  <c r="B29" i="8"/>
  <c r="G28" i="8"/>
  <c r="F28" i="8"/>
  <c r="E28" i="8"/>
  <c r="D28" i="8"/>
  <c r="C28" i="8"/>
  <c r="B28" i="8"/>
  <c r="G27" i="8"/>
  <c r="F27" i="8"/>
  <c r="E27" i="8"/>
  <c r="D27" i="8"/>
  <c r="C27" i="8"/>
  <c r="B27" i="8"/>
  <c r="G26" i="8"/>
  <c r="F26" i="8"/>
  <c r="E26" i="8"/>
  <c r="D26" i="8"/>
  <c r="C26" i="8"/>
  <c r="B26" i="8"/>
  <c r="L25" i="8"/>
  <c r="G25" i="8"/>
  <c r="F25" i="8"/>
  <c r="E25" i="8"/>
  <c r="D25" i="8"/>
  <c r="C25" i="8"/>
  <c r="B25" i="8"/>
  <c r="C18" i="7"/>
  <c r="B18" i="7"/>
  <c r="A18" i="7"/>
  <c r="C18" i="6"/>
  <c r="B18" i="6"/>
  <c r="D18" i="6" s="1"/>
  <c r="A18" i="6"/>
  <c r="A18" i="4"/>
  <c r="A17" i="4"/>
  <c r="A16" i="4"/>
  <c r="A15" i="4"/>
  <c r="B15" i="4" s="1"/>
  <c r="A14" i="4"/>
  <c r="A13" i="4"/>
  <c r="A12" i="4"/>
  <c r="A11" i="4"/>
  <c r="C11" i="4" s="1"/>
  <c r="A10" i="4"/>
  <c r="A9" i="4"/>
  <c r="A8" i="4"/>
  <c r="G16" i="8"/>
  <c r="F16" i="8"/>
  <c r="E16" i="8"/>
  <c r="D16" i="8"/>
  <c r="C16" i="8"/>
  <c r="B16" i="8"/>
  <c r="C17" i="4"/>
  <c r="B17" i="4"/>
  <c r="G9" i="7"/>
  <c r="G9" i="6"/>
  <c r="F9" i="4"/>
  <c r="G15" i="8"/>
  <c r="G14" i="8"/>
  <c r="G13" i="8"/>
  <c r="G12" i="8"/>
  <c r="G11" i="8"/>
  <c r="G10" i="8"/>
  <c r="G9" i="8"/>
  <c r="G8" i="8"/>
  <c r="G7" i="8"/>
  <c r="G6" i="8"/>
  <c r="F15" i="8"/>
  <c r="F14" i="8"/>
  <c r="F13" i="8"/>
  <c r="F12" i="8"/>
  <c r="F11" i="8"/>
  <c r="F10" i="8"/>
  <c r="F9" i="8"/>
  <c r="F8" i="8"/>
  <c r="F7" i="8"/>
  <c r="F6" i="8"/>
  <c r="E7" i="8"/>
  <c r="E8" i="8"/>
  <c r="E9" i="8"/>
  <c r="E10" i="8"/>
  <c r="E11" i="8"/>
  <c r="E12" i="8"/>
  <c r="E13" i="8"/>
  <c r="E14" i="8"/>
  <c r="E15" i="8"/>
  <c r="E6" i="8"/>
  <c r="D15" i="8"/>
  <c r="C15" i="8"/>
  <c r="B15" i="8"/>
  <c r="D14" i="8"/>
  <c r="C14" i="8"/>
  <c r="B14" i="8"/>
  <c r="D13" i="8"/>
  <c r="C13" i="8"/>
  <c r="B13" i="8"/>
  <c r="D12" i="8"/>
  <c r="C12" i="8"/>
  <c r="B12" i="8"/>
  <c r="D11" i="8"/>
  <c r="C11" i="8"/>
  <c r="B11" i="8"/>
  <c r="D10" i="8"/>
  <c r="C10" i="8"/>
  <c r="B10" i="8"/>
  <c r="D9" i="8"/>
  <c r="C9" i="8"/>
  <c r="B9" i="8"/>
  <c r="D8" i="8"/>
  <c r="C8" i="8"/>
  <c r="B8" i="8"/>
  <c r="D7" i="8"/>
  <c r="C7" i="8"/>
  <c r="B7" i="8"/>
  <c r="B6" i="8"/>
  <c r="C6" i="8"/>
  <c r="D6" i="8"/>
  <c r="G14" i="6"/>
  <c r="G14" i="7"/>
  <c r="F14" i="4"/>
  <c r="A17" i="7"/>
  <c r="A16" i="7"/>
  <c r="A15" i="7"/>
  <c r="A14" i="7"/>
  <c r="A13" i="7"/>
  <c r="A12" i="7"/>
  <c r="A11" i="7"/>
  <c r="A10" i="7"/>
  <c r="A9" i="7"/>
  <c r="A8" i="7"/>
  <c r="A9" i="6"/>
  <c r="A10" i="6"/>
  <c r="A11" i="6"/>
  <c r="C11" i="6" s="1"/>
  <c r="A12" i="6"/>
  <c r="B12" i="6" s="1"/>
  <c r="A13" i="6"/>
  <c r="A14" i="6"/>
  <c r="A15" i="6"/>
  <c r="C15" i="6" s="1"/>
  <c r="A16" i="6"/>
  <c r="C16" i="6" s="1"/>
  <c r="A17" i="6"/>
  <c r="B17" i="6" s="1"/>
  <c r="A8" i="6"/>
  <c r="B18" i="4"/>
  <c r="B16" i="4"/>
  <c r="B14" i="4"/>
  <c r="B13" i="4"/>
  <c r="B12" i="4"/>
  <c r="B10" i="4"/>
  <c r="B9" i="4"/>
  <c r="C8" i="4"/>
  <c r="C14" i="4"/>
  <c r="C10" i="4"/>
  <c r="C9" i="4"/>
  <c r="O352" i="7"/>
  <c r="J352" i="7"/>
  <c r="O351" i="7"/>
  <c r="J351" i="7"/>
  <c r="G351" i="7"/>
  <c r="B351" i="7"/>
  <c r="O341" i="7"/>
  <c r="J341" i="7"/>
  <c r="G341" i="7"/>
  <c r="B341" i="7"/>
  <c r="O340" i="7"/>
  <c r="J340" i="7"/>
  <c r="G340" i="7"/>
  <c r="B340" i="7"/>
  <c r="B339" i="7"/>
  <c r="G339" i="7"/>
  <c r="J339" i="7"/>
  <c r="O339" i="7"/>
  <c r="B342" i="7"/>
  <c r="G342" i="7"/>
  <c r="J342" i="7"/>
  <c r="O342" i="7"/>
  <c r="O330" i="7"/>
  <c r="J330" i="7"/>
  <c r="G330" i="7"/>
  <c r="B330" i="7"/>
  <c r="O329" i="7"/>
  <c r="J329" i="7"/>
  <c r="G329" i="7"/>
  <c r="B329" i="7"/>
  <c r="O319" i="7"/>
  <c r="J319" i="7"/>
  <c r="G319" i="7"/>
  <c r="B319" i="7"/>
  <c r="O318" i="7"/>
  <c r="J318" i="7"/>
  <c r="G318" i="7"/>
  <c r="B318" i="7"/>
  <c r="O308" i="7"/>
  <c r="J308" i="7"/>
  <c r="G308" i="7"/>
  <c r="B308" i="7"/>
  <c r="O307" i="7"/>
  <c r="J307" i="7"/>
  <c r="G307" i="7"/>
  <c r="B307" i="7"/>
  <c r="O297" i="7"/>
  <c r="J297" i="7"/>
  <c r="G297" i="7"/>
  <c r="B297" i="7"/>
  <c r="J296" i="7"/>
  <c r="G296" i="7"/>
  <c r="B296" i="7"/>
  <c r="J286" i="7"/>
  <c r="G286" i="7"/>
  <c r="B286" i="7"/>
  <c r="O285" i="7"/>
  <c r="J285" i="7"/>
  <c r="G285" i="7"/>
  <c r="B285" i="7"/>
  <c r="B287" i="7"/>
  <c r="G287" i="7"/>
  <c r="J287" i="7"/>
  <c r="B288" i="7"/>
  <c r="G288" i="7"/>
  <c r="J288" i="7"/>
  <c r="O275" i="7"/>
  <c r="J275" i="7"/>
  <c r="G275" i="7"/>
  <c r="B275" i="7"/>
  <c r="O274" i="7"/>
  <c r="J274" i="7"/>
  <c r="G274" i="7"/>
  <c r="B274" i="7"/>
  <c r="O264" i="7"/>
  <c r="J264" i="7"/>
  <c r="G264" i="7"/>
  <c r="B264" i="7"/>
  <c r="O263" i="7"/>
  <c r="J263" i="7"/>
  <c r="G263" i="7"/>
  <c r="B263" i="7"/>
  <c r="O253" i="7"/>
  <c r="J253" i="7"/>
  <c r="G253" i="7"/>
  <c r="B253" i="7"/>
  <c r="O252" i="7"/>
  <c r="J252" i="7"/>
  <c r="G252" i="7"/>
  <c r="B252" i="7"/>
  <c r="O242" i="7"/>
  <c r="J242" i="7"/>
  <c r="G242" i="7"/>
  <c r="B242" i="7"/>
  <c r="O241" i="7"/>
  <c r="J241" i="7"/>
  <c r="G241" i="7"/>
  <c r="B241" i="7"/>
  <c r="O231" i="7"/>
  <c r="J231" i="7"/>
  <c r="G231" i="7"/>
  <c r="B231" i="7"/>
  <c r="O230" i="7"/>
  <c r="J230" i="7"/>
  <c r="G230" i="7"/>
  <c r="B230" i="7"/>
  <c r="O220" i="7"/>
  <c r="J220" i="7"/>
  <c r="G220" i="7"/>
  <c r="B220" i="7"/>
  <c r="O219" i="7"/>
  <c r="J219" i="7"/>
  <c r="G219" i="7"/>
  <c r="B219" i="7"/>
  <c r="O209" i="7"/>
  <c r="J209" i="7"/>
  <c r="G209" i="7"/>
  <c r="B209" i="7"/>
  <c r="O208" i="7"/>
  <c r="J208" i="7"/>
  <c r="G208" i="7"/>
  <c r="B208" i="7"/>
  <c r="O198" i="7"/>
  <c r="J198" i="7"/>
  <c r="G198" i="7"/>
  <c r="B198" i="7"/>
  <c r="O197" i="7"/>
  <c r="J197" i="7"/>
  <c r="G197" i="7"/>
  <c r="B197" i="7"/>
  <c r="O187" i="7"/>
  <c r="J187" i="7"/>
  <c r="G187" i="7"/>
  <c r="B187" i="7"/>
  <c r="O186" i="7"/>
  <c r="J186" i="7"/>
  <c r="G186" i="7"/>
  <c r="B186" i="7"/>
  <c r="O176" i="7"/>
  <c r="J176" i="7"/>
  <c r="G176" i="7"/>
  <c r="B176" i="7"/>
  <c r="O175" i="7"/>
  <c r="J175" i="7"/>
  <c r="G175" i="7"/>
  <c r="B175" i="7"/>
  <c r="O165" i="7"/>
  <c r="J165" i="7"/>
  <c r="G165" i="7"/>
  <c r="B165" i="7"/>
  <c r="O164" i="7"/>
  <c r="J164" i="7"/>
  <c r="G164" i="7"/>
  <c r="B164" i="7"/>
  <c r="O154" i="7"/>
  <c r="J154" i="7"/>
  <c r="G154" i="7"/>
  <c r="B154" i="7"/>
  <c r="O153" i="7"/>
  <c r="J153" i="7"/>
  <c r="G153" i="7"/>
  <c r="B153" i="7"/>
  <c r="O143" i="7"/>
  <c r="J143" i="7"/>
  <c r="G143" i="7"/>
  <c r="B143" i="7"/>
  <c r="O142" i="7"/>
  <c r="J142" i="7"/>
  <c r="G142" i="7"/>
  <c r="B142" i="7"/>
  <c r="O132" i="7"/>
  <c r="J132" i="7"/>
  <c r="G132" i="7"/>
  <c r="B132" i="7"/>
  <c r="O131" i="7"/>
  <c r="J131" i="7"/>
  <c r="G131" i="7"/>
  <c r="B131" i="7"/>
  <c r="O121" i="7"/>
  <c r="J121" i="7"/>
  <c r="G121" i="7"/>
  <c r="B121" i="7"/>
  <c r="O120" i="7"/>
  <c r="J120" i="7"/>
  <c r="G120" i="7"/>
  <c r="B120" i="7"/>
  <c r="O110" i="7"/>
  <c r="J110" i="7"/>
  <c r="G110" i="7"/>
  <c r="B110" i="7"/>
  <c r="O109" i="7"/>
  <c r="J109" i="7"/>
  <c r="G109" i="7"/>
  <c r="B109" i="7"/>
  <c r="O99" i="7"/>
  <c r="J99" i="7"/>
  <c r="G99" i="7"/>
  <c r="B99" i="7"/>
  <c r="O98" i="7"/>
  <c r="J98" i="7"/>
  <c r="G98" i="7"/>
  <c r="B98" i="7"/>
  <c r="O88" i="7"/>
  <c r="J88" i="7"/>
  <c r="G88" i="7"/>
  <c r="B88" i="7"/>
  <c r="O87" i="7"/>
  <c r="J87" i="7"/>
  <c r="G87" i="7"/>
  <c r="B87" i="7"/>
  <c r="O77" i="7"/>
  <c r="J77" i="7"/>
  <c r="G77" i="7"/>
  <c r="B77" i="7"/>
  <c r="O76" i="7"/>
  <c r="J76" i="7"/>
  <c r="G76" i="7"/>
  <c r="B76" i="7"/>
  <c r="O66" i="7"/>
  <c r="J66" i="7"/>
  <c r="G66" i="7"/>
  <c r="B66" i="7"/>
  <c r="O65" i="7"/>
  <c r="J65" i="7"/>
  <c r="G65" i="7"/>
  <c r="B65" i="7"/>
  <c r="O55" i="7"/>
  <c r="J55" i="7"/>
  <c r="G55" i="7"/>
  <c r="B55" i="7"/>
  <c r="O54" i="7"/>
  <c r="J54" i="7"/>
  <c r="G54" i="7"/>
  <c r="B54" i="7"/>
  <c r="J44" i="7"/>
  <c r="B44" i="7"/>
  <c r="O44" i="7"/>
  <c r="G44" i="7"/>
  <c r="O43" i="7"/>
  <c r="J43" i="7"/>
  <c r="G43" i="7"/>
  <c r="B43" i="7"/>
  <c r="O33" i="7"/>
  <c r="J33" i="7"/>
  <c r="G33" i="7"/>
  <c r="B33" i="7"/>
  <c r="O32" i="7"/>
  <c r="J32" i="7"/>
  <c r="G32" i="7"/>
  <c r="B32" i="7"/>
  <c r="G30" i="7"/>
  <c r="O22" i="7"/>
  <c r="J22" i="7"/>
  <c r="O11" i="7"/>
  <c r="G22" i="7"/>
  <c r="B22" i="7"/>
  <c r="G11" i="7"/>
  <c r="L26" i="8" l="1"/>
  <c r="H31" i="8"/>
  <c r="H35" i="8"/>
  <c r="H27" i="8"/>
  <c r="H29" i="8"/>
  <c r="H30" i="8"/>
  <c r="H33" i="8"/>
  <c r="H34" i="8"/>
  <c r="D18" i="7"/>
  <c r="L5" i="8"/>
  <c r="H26" i="8"/>
  <c r="H28" i="8"/>
  <c r="H32" i="8"/>
  <c r="H25" i="8"/>
  <c r="L24" i="8"/>
  <c r="L6" i="8"/>
  <c r="L7" i="8"/>
  <c r="H16" i="8"/>
  <c r="D17" i="4"/>
  <c r="C18" i="4"/>
  <c r="D18" i="4" s="1"/>
  <c r="H7" i="8"/>
  <c r="H11" i="8"/>
  <c r="H15" i="8"/>
  <c r="H14" i="8"/>
  <c r="H10" i="8"/>
  <c r="H9" i="8"/>
  <c r="H13" i="8"/>
  <c r="H8" i="8"/>
  <c r="H12" i="8"/>
  <c r="H6" i="8"/>
  <c r="C13" i="4"/>
  <c r="D13" i="4" s="1"/>
  <c r="B8" i="4"/>
  <c r="D8" i="4" s="1"/>
  <c r="C8" i="7"/>
  <c r="C9" i="7"/>
  <c r="C13" i="7"/>
  <c r="C17" i="7"/>
  <c r="B8" i="6"/>
  <c r="C14" i="6"/>
  <c r="C10" i="6"/>
  <c r="C10" i="7"/>
  <c r="B14" i="7"/>
  <c r="C13" i="6"/>
  <c r="C9" i="6"/>
  <c r="C11" i="7"/>
  <c r="C15" i="7"/>
  <c r="C12" i="7"/>
  <c r="B16" i="7"/>
  <c r="B11" i="4"/>
  <c r="D11" i="4" s="1"/>
  <c r="B14" i="6"/>
  <c r="C8" i="6"/>
  <c r="C17" i="6"/>
  <c r="D17" i="6" s="1"/>
  <c r="B10" i="6"/>
  <c r="B9" i="7"/>
  <c r="C14" i="7"/>
  <c r="B16" i="6"/>
  <c r="D16" i="6" s="1"/>
  <c r="B11" i="7"/>
  <c r="C16" i="7"/>
  <c r="C15" i="4"/>
  <c r="D15" i="4" s="1"/>
  <c r="B9" i="6"/>
  <c r="B11" i="6"/>
  <c r="D11" i="6" s="1"/>
  <c r="B8" i="7"/>
  <c r="D8" i="7" s="1"/>
  <c r="B13" i="7"/>
  <c r="B15" i="7"/>
  <c r="C12" i="6"/>
  <c r="D12" i="6" s="1"/>
  <c r="C12" i="4"/>
  <c r="D12" i="4" s="1"/>
  <c r="C16" i="4"/>
  <c r="D16" i="4" s="1"/>
  <c r="B13" i="6"/>
  <c r="B15" i="6"/>
  <c r="D15" i="6" s="1"/>
  <c r="B10" i="7"/>
  <c r="B12" i="7"/>
  <c r="D12" i="7" s="1"/>
  <c r="B17" i="7"/>
  <c r="D17" i="7" s="1"/>
  <c r="D9" i="4"/>
  <c r="D10" i="4"/>
  <c r="D14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J240" i="6"/>
  <c r="O240" i="6"/>
  <c r="J241" i="6"/>
  <c r="O241" i="6"/>
  <c r="J242" i="6"/>
  <c r="O242" i="6"/>
  <c r="J243" i="6"/>
  <c r="O243" i="6"/>
  <c r="J244" i="6"/>
  <c r="O244" i="6"/>
  <c r="J245" i="6"/>
  <c r="O245" i="6"/>
  <c r="J246" i="6"/>
  <c r="O246" i="6"/>
  <c r="J231" i="6"/>
  <c r="O231" i="6"/>
  <c r="J232" i="6"/>
  <c r="O232" i="6"/>
  <c r="J233" i="6"/>
  <c r="O233" i="6"/>
  <c r="J234" i="6"/>
  <c r="O234" i="6"/>
  <c r="J235" i="6"/>
  <c r="O235" i="6"/>
  <c r="J236" i="6"/>
  <c r="O236" i="6"/>
  <c r="J237" i="6"/>
  <c r="O237" i="6"/>
  <c r="J222" i="6"/>
  <c r="O222" i="6"/>
  <c r="J223" i="6"/>
  <c r="O223" i="6"/>
  <c r="J224" i="6"/>
  <c r="O224" i="6"/>
  <c r="J225" i="6"/>
  <c r="O225" i="6"/>
  <c r="J226" i="6"/>
  <c r="O226" i="6"/>
  <c r="J227" i="6"/>
  <c r="O227" i="6"/>
  <c r="J228" i="6"/>
  <c r="O228" i="6"/>
  <c r="J213" i="6"/>
  <c r="O213" i="6"/>
  <c r="J214" i="6"/>
  <c r="O214" i="6"/>
  <c r="J215" i="6"/>
  <c r="O215" i="6"/>
  <c r="J216" i="6"/>
  <c r="O216" i="6"/>
  <c r="J217" i="6"/>
  <c r="O217" i="6"/>
  <c r="J218" i="6"/>
  <c r="O218" i="6"/>
  <c r="J219" i="6"/>
  <c r="O219" i="6"/>
  <c r="J204" i="6"/>
  <c r="O204" i="6"/>
  <c r="J205" i="6"/>
  <c r="O205" i="6"/>
  <c r="J206" i="6"/>
  <c r="O206" i="6"/>
  <c r="J207" i="6"/>
  <c r="O207" i="6"/>
  <c r="J208" i="6"/>
  <c r="O208" i="6"/>
  <c r="J209" i="6"/>
  <c r="O209" i="6"/>
  <c r="J210" i="6"/>
  <c r="O210" i="6"/>
  <c r="B195" i="6"/>
  <c r="G195" i="6"/>
  <c r="J195" i="6"/>
  <c r="O195" i="6"/>
  <c r="B196" i="6"/>
  <c r="G196" i="6"/>
  <c r="J196" i="6"/>
  <c r="O196" i="6"/>
  <c r="B197" i="6"/>
  <c r="G197" i="6"/>
  <c r="J197" i="6"/>
  <c r="O197" i="6"/>
  <c r="B198" i="6"/>
  <c r="G198" i="6"/>
  <c r="J198" i="6"/>
  <c r="O198" i="6"/>
  <c r="B199" i="6"/>
  <c r="G199" i="6"/>
  <c r="J199" i="6"/>
  <c r="O199" i="6"/>
  <c r="B200" i="6"/>
  <c r="G200" i="6"/>
  <c r="J200" i="6"/>
  <c r="O200" i="6"/>
  <c r="B201" i="6"/>
  <c r="G201" i="6"/>
  <c r="J201" i="6"/>
  <c r="O201" i="6"/>
  <c r="B186" i="6"/>
  <c r="G186" i="6"/>
  <c r="J186" i="6"/>
  <c r="B187" i="6"/>
  <c r="G187" i="6"/>
  <c r="J187" i="6"/>
  <c r="B188" i="6"/>
  <c r="G188" i="6"/>
  <c r="J188" i="6"/>
  <c r="B189" i="6"/>
  <c r="G189" i="6"/>
  <c r="J189" i="6"/>
  <c r="B190" i="6"/>
  <c r="G190" i="6"/>
  <c r="J190" i="6"/>
  <c r="B191" i="6"/>
  <c r="G191" i="6"/>
  <c r="J191" i="6"/>
  <c r="B192" i="6"/>
  <c r="G192" i="6"/>
  <c r="J192" i="6"/>
  <c r="B177" i="6"/>
  <c r="G177" i="6"/>
  <c r="J177" i="6"/>
  <c r="O177" i="6"/>
  <c r="B178" i="6"/>
  <c r="G178" i="6"/>
  <c r="J178" i="6"/>
  <c r="O178" i="6"/>
  <c r="B179" i="6"/>
  <c r="G179" i="6"/>
  <c r="J179" i="6"/>
  <c r="O179" i="6"/>
  <c r="B180" i="6"/>
  <c r="G180" i="6"/>
  <c r="J180" i="6"/>
  <c r="O180" i="6"/>
  <c r="B181" i="6"/>
  <c r="G181" i="6"/>
  <c r="J181" i="6"/>
  <c r="O181" i="6"/>
  <c r="B182" i="6"/>
  <c r="G182" i="6"/>
  <c r="J182" i="6"/>
  <c r="O182" i="6"/>
  <c r="B183" i="6"/>
  <c r="G183" i="6"/>
  <c r="J183" i="6"/>
  <c r="O183" i="6"/>
  <c r="B168" i="6"/>
  <c r="G168" i="6"/>
  <c r="J168" i="6"/>
  <c r="O168" i="6"/>
  <c r="B169" i="6"/>
  <c r="G169" i="6"/>
  <c r="J169" i="6"/>
  <c r="O169" i="6"/>
  <c r="B170" i="6"/>
  <c r="G170" i="6"/>
  <c r="J170" i="6"/>
  <c r="O170" i="6"/>
  <c r="B171" i="6"/>
  <c r="G171" i="6"/>
  <c r="J171" i="6"/>
  <c r="O171" i="6"/>
  <c r="B172" i="6"/>
  <c r="G172" i="6"/>
  <c r="J172" i="6"/>
  <c r="O172" i="6"/>
  <c r="B173" i="6"/>
  <c r="G173" i="6"/>
  <c r="J173" i="6"/>
  <c r="O173" i="6"/>
  <c r="B174" i="6"/>
  <c r="G174" i="6"/>
  <c r="J174" i="6"/>
  <c r="O174" i="6"/>
  <c r="B159" i="6"/>
  <c r="G159" i="6"/>
  <c r="J159" i="6"/>
  <c r="O159" i="6"/>
  <c r="B160" i="6"/>
  <c r="G160" i="6"/>
  <c r="J160" i="6"/>
  <c r="O160" i="6"/>
  <c r="B161" i="6"/>
  <c r="G161" i="6"/>
  <c r="J161" i="6"/>
  <c r="O161" i="6"/>
  <c r="B162" i="6"/>
  <c r="G162" i="6"/>
  <c r="J162" i="6"/>
  <c r="O162" i="6"/>
  <c r="B163" i="6"/>
  <c r="G163" i="6"/>
  <c r="J163" i="6"/>
  <c r="O163" i="6"/>
  <c r="B164" i="6"/>
  <c r="G164" i="6"/>
  <c r="J164" i="6"/>
  <c r="O164" i="6"/>
  <c r="B165" i="6"/>
  <c r="G165" i="6"/>
  <c r="J165" i="6"/>
  <c r="O165" i="6"/>
  <c r="B150" i="6"/>
  <c r="G150" i="6"/>
  <c r="J150" i="6"/>
  <c r="O150" i="6"/>
  <c r="B151" i="6"/>
  <c r="G151" i="6"/>
  <c r="J151" i="6"/>
  <c r="O151" i="6"/>
  <c r="B152" i="6"/>
  <c r="G152" i="6"/>
  <c r="J152" i="6"/>
  <c r="O152" i="6"/>
  <c r="B153" i="6"/>
  <c r="G153" i="6"/>
  <c r="J153" i="6"/>
  <c r="O153" i="6"/>
  <c r="B154" i="6"/>
  <c r="G154" i="6"/>
  <c r="J154" i="6"/>
  <c r="O154" i="6"/>
  <c r="B155" i="6"/>
  <c r="G155" i="6"/>
  <c r="J155" i="6"/>
  <c r="O155" i="6"/>
  <c r="B156" i="6"/>
  <c r="G156" i="6"/>
  <c r="J156" i="6"/>
  <c r="O156" i="6"/>
  <c r="B141" i="6"/>
  <c r="G141" i="6"/>
  <c r="J141" i="6"/>
  <c r="O141" i="6"/>
  <c r="B142" i="6"/>
  <c r="G142" i="6"/>
  <c r="J142" i="6"/>
  <c r="O142" i="6"/>
  <c r="B143" i="6"/>
  <c r="G143" i="6"/>
  <c r="J143" i="6"/>
  <c r="O143" i="6"/>
  <c r="B144" i="6"/>
  <c r="G144" i="6"/>
  <c r="J144" i="6"/>
  <c r="O144" i="6"/>
  <c r="B145" i="6"/>
  <c r="G145" i="6"/>
  <c r="J145" i="6"/>
  <c r="O145" i="6"/>
  <c r="B146" i="6"/>
  <c r="G146" i="6"/>
  <c r="J146" i="6"/>
  <c r="O146" i="6"/>
  <c r="B147" i="6"/>
  <c r="G147" i="6"/>
  <c r="J147" i="6"/>
  <c r="O147" i="6"/>
  <c r="B132" i="6"/>
  <c r="G132" i="6"/>
  <c r="J132" i="6"/>
  <c r="O132" i="6"/>
  <c r="B133" i="6"/>
  <c r="G133" i="6"/>
  <c r="J133" i="6"/>
  <c r="O133" i="6"/>
  <c r="B134" i="6"/>
  <c r="G134" i="6"/>
  <c r="J134" i="6"/>
  <c r="O134" i="6"/>
  <c r="B135" i="6"/>
  <c r="G135" i="6"/>
  <c r="J135" i="6"/>
  <c r="O135" i="6"/>
  <c r="B136" i="6"/>
  <c r="G136" i="6"/>
  <c r="J136" i="6"/>
  <c r="O136" i="6"/>
  <c r="B137" i="6"/>
  <c r="G137" i="6"/>
  <c r="J137" i="6"/>
  <c r="O137" i="6"/>
  <c r="B138" i="6"/>
  <c r="G138" i="6"/>
  <c r="J138" i="6"/>
  <c r="O138" i="6"/>
  <c r="B123" i="6"/>
  <c r="G123" i="6"/>
  <c r="J123" i="6"/>
  <c r="O123" i="6"/>
  <c r="B124" i="6"/>
  <c r="G124" i="6"/>
  <c r="J124" i="6"/>
  <c r="O124" i="6"/>
  <c r="B125" i="6"/>
  <c r="G125" i="6"/>
  <c r="J125" i="6"/>
  <c r="O125" i="6"/>
  <c r="B126" i="6"/>
  <c r="G126" i="6"/>
  <c r="J126" i="6"/>
  <c r="O126" i="6"/>
  <c r="B127" i="6"/>
  <c r="G127" i="6"/>
  <c r="J127" i="6"/>
  <c r="O127" i="6"/>
  <c r="B128" i="6"/>
  <c r="G128" i="6"/>
  <c r="J128" i="6"/>
  <c r="O128" i="6"/>
  <c r="B129" i="6"/>
  <c r="G129" i="6"/>
  <c r="J129" i="6"/>
  <c r="O129" i="6"/>
  <c r="B114" i="6"/>
  <c r="G114" i="6"/>
  <c r="J114" i="6"/>
  <c r="O114" i="6"/>
  <c r="B115" i="6"/>
  <c r="G115" i="6"/>
  <c r="J115" i="6"/>
  <c r="O115" i="6"/>
  <c r="B116" i="6"/>
  <c r="G116" i="6"/>
  <c r="J116" i="6"/>
  <c r="O116" i="6"/>
  <c r="B117" i="6"/>
  <c r="G117" i="6"/>
  <c r="J117" i="6"/>
  <c r="O117" i="6"/>
  <c r="B118" i="6"/>
  <c r="G118" i="6"/>
  <c r="J118" i="6"/>
  <c r="O118" i="6"/>
  <c r="B119" i="6"/>
  <c r="G119" i="6"/>
  <c r="J119" i="6"/>
  <c r="O119" i="6"/>
  <c r="B120" i="6"/>
  <c r="G120" i="6"/>
  <c r="J120" i="6"/>
  <c r="O120" i="6"/>
  <c r="B105" i="6"/>
  <c r="G105" i="6"/>
  <c r="J105" i="6"/>
  <c r="O105" i="6"/>
  <c r="B106" i="6"/>
  <c r="G106" i="6"/>
  <c r="J106" i="6"/>
  <c r="O106" i="6"/>
  <c r="B107" i="6"/>
  <c r="G107" i="6"/>
  <c r="J107" i="6"/>
  <c r="O107" i="6"/>
  <c r="B108" i="6"/>
  <c r="G108" i="6"/>
  <c r="J108" i="6"/>
  <c r="O108" i="6"/>
  <c r="B109" i="6"/>
  <c r="G109" i="6"/>
  <c r="J109" i="6"/>
  <c r="O109" i="6"/>
  <c r="B110" i="6"/>
  <c r="G110" i="6"/>
  <c r="J110" i="6"/>
  <c r="O110" i="6"/>
  <c r="B111" i="6"/>
  <c r="G111" i="6"/>
  <c r="J111" i="6"/>
  <c r="O111" i="6"/>
  <c r="B96" i="6"/>
  <c r="G96" i="6"/>
  <c r="J96" i="6"/>
  <c r="O96" i="6"/>
  <c r="B97" i="6"/>
  <c r="G97" i="6"/>
  <c r="J97" i="6"/>
  <c r="O97" i="6"/>
  <c r="B98" i="6"/>
  <c r="G98" i="6"/>
  <c r="J98" i="6"/>
  <c r="O98" i="6"/>
  <c r="B99" i="6"/>
  <c r="G99" i="6"/>
  <c r="J99" i="6"/>
  <c r="O99" i="6"/>
  <c r="B100" i="6"/>
  <c r="G100" i="6"/>
  <c r="J100" i="6"/>
  <c r="O100" i="6"/>
  <c r="B101" i="6"/>
  <c r="G101" i="6"/>
  <c r="J101" i="6"/>
  <c r="O101" i="6"/>
  <c r="B102" i="6"/>
  <c r="G102" i="6"/>
  <c r="J102" i="6"/>
  <c r="O102" i="6"/>
  <c r="B87" i="6"/>
  <c r="G87" i="6"/>
  <c r="J87" i="6"/>
  <c r="O87" i="6"/>
  <c r="B88" i="6"/>
  <c r="G88" i="6"/>
  <c r="J88" i="6"/>
  <c r="O88" i="6"/>
  <c r="B89" i="6"/>
  <c r="G89" i="6"/>
  <c r="J89" i="6"/>
  <c r="O89" i="6"/>
  <c r="B90" i="6"/>
  <c r="G90" i="6"/>
  <c r="J90" i="6"/>
  <c r="O90" i="6"/>
  <c r="B91" i="6"/>
  <c r="G91" i="6"/>
  <c r="J91" i="6"/>
  <c r="O91" i="6"/>
  <c r="B92" i="6"/>
  <c r="G92" i="6"/>
  <c r="J92" i="6"/>
  <c r="O92" i="6"/>
  <c r="B93" i="6"/>
  <c r="G93" i="6"/>
  <c r="J93" i="6"/>
  <c r="O93" i="6"/>
  <c r="B78" i="6"/>
  <c r="G78" i="6"/>
  <c r="J78" i="6"/>
  <c r="O78" i="6"/>
  <c r="B79" i="6"/>
  <c r="G79" i="6"/>
  <c r="J79" i="6"/>
  <c r="O79" i="6"/>
  <c r="B80" i="6"/>
  <c r="G80" i="6"/>
  <c r="J80" i="6"/>
  <c r="O80" i="6"/>
  <c r="B81" i="6"/>
  <c r="G81" i="6"/>
  <c r="J81" i="6"/>
  <c r="O81" i="6"/>
  <c r="B82" i="6"/>
  <c r="G82" i="6"/>
  <c r="J82" i="6"/>
  <c r="O82" i="6"/>
  <c r="B83" i="6"/>
  <c r="G83" i="6"/>
  <c r="J83" i="6"/>
  <c r="O83" i="6"/>
  <c r="B84" i="6"/>
  <c r="G84" i="6"/>
  <c r="J84" i="6"/>
  <c r="O84" i="6"/>
  <c r="B69" i="6"/>
  <c r="G69" i="6"/>
  <c r="J69" i="6"/>
  <c r="O69" i="6"/>
  <c r="B70" i="6"/>
  <c r="G70" i="6"/>
  <c r="J70" i="6"/>
  <c r="O70" i="6"/>
  <c r="B71" i="6"/>
  <c r="G71" i="6"/>
  <c r="J71" i="6"/>
  <c r="O71" i="6"/>
  <c r="B72" i="6"/>
  <c r="G72" i="6"/>
  <c r="J72" i="6"/>
  <c r="O72" i="6"/>
  <c r="B73" i="6"/>
  <c r="G73" i="6"/>
  <c r="J73" i="6"/>
  <c r="O73" i="6"/>
  <c r="B74" i="6"/>
  <c r="G74" i="6"/>
  <c r="J74" i="6"/>
  <c r="O74" i="6"/>
  <c r="B75" i="6"/>
  <c r="G75" i="6"/>
  <c r="J75" i="6"/>
  <c r="O75" i="6"/>
  <c r="B60" i="6"/>
  <c r="G60" i="6"/>
  <c r="J60" i="6"/>
  <c r="O60" i="6"/>
  <c r="B61" i="6"/>
  <c r="G61" i="6"/>
  <c r="J61" i="6"/>
  <c r="O61" i="6"/>
  <c r="B62" i="6"/>
  <c r="G62" i="6"/>
  <c r="J62" i="6"/>
  <c r="O62" i="6"/>
  <c r="B63" i="6"/>
  <c r="G63" i="6"/>
  <c r="J63" i="6"/>
  <c r="O63" i="6"/>
  <c r="B64" i="6"/>
  <c r="G64" i="6"/>
  <c r="J64" i="6"/>
  <c r="O64" i="6"/>
  <c r="B65" i="6"/>
  <c r="G65" i="6"/>
  <c r="J65" i="6"/>
  <c r="O65" i="6"/>
  <c r="B66" i="6"/>
  <c r="G66" i="6"/>
  <c r="J66" i="6"/>
  <c r="O66" i="6"/>
  <c r="B51" i="6"/>
  <c r="G51" i="6"/>
  <c r="J51" i="6"/>
  <c r="O51" i="6"/>
  <c r="B52" i="6"/>
  <c r="G52" i="6"/>
  <c r="J52" i="6"/>
  <c r="O52" i="6"/>
  <c r="B53" i="6"/>
  <c r="G53" i="6"/>
  <c r="J53" i="6"/>
  <c r="O53" i="6"/>
  <c r="B54" i="6"/>
  <c r="G54" i="6"/>
  <c r="J54" i="6"/>
  <c r="O54" i="6"/>
  <c r="B55" i="6"/>
  <c r="G55" i="6"/>
  <c r="J55" i="6"/>
  <c r="O55" i="6"/>
  <c r="B56" i="6"/>
  <c r="G56" i="6"/>
  <c r="J56" i="6"/>
  <c r="O56" i="6"/>
  <c r="B57" i="6"/>
  <c r="G57" i="6"/>
  <c r="J57" i="6"/>
  <c r="O57" i="6"/>
  <c r="B42" i="6"/>
  <c r="G42" i="6"/>
  <c r="J42" i="6"/>
  <c r="O42" i="6"/>
  <c r="B43" i="6"/>
  <c r="G43" i="6"/>
  <c r="J43" i="6"/>
  <c r="O43" i="6"/>
  <c r="B44" i="6"/>
  <c r="G44" i="6"/>
  <c r="J44" i="6"/>
  <c r="O44" i="6"/>
  <c r="B45" i="6"/>
  <c r="G45" i="6"/>
  <c r="J45" i="6"/>
  <c r="O45" i="6"/>
  <c r="B46" i="6"/>
  <c r="G46" i="6"/>
  <c r="J46" i="6"/>
  <c r="O46" i="6"/>
  <c r="B47" i="6"/>
  <c r="G47" i="6"/>
  <c r="J47" i="6"/>
  <c r="O47" i="6"/>
  <c r="B48" i="6"/>
  <c r="G48" i="6"/>
  <c r="J48" i="6"/>
  <c r="O48" i="6"/>
  <c r="B33" i="6"/>
  <c r="G33" i="6"/>
  <c r="J33" i="6"/>
  <c r="O33" i="6"/>
  <c r="B34" i="6"/>
  <c r="G34" i="6"/>
  <c r="J34" i="6"/>
  <c r="O34" i="6"/>
  <c r="B35" i="6"/>
  <c r="G35" i="6"/>
  <c r="J35" i="6"/>
  <c r="O35" i="6"/>
  <c r="B36" i="6"/>
  <c r="G36" i="6"/>
  <c r="J36" i="6"/>
  <c r="O36" i="6"/>
  <c r="B37" i="6"/>
  <c r="G37" i="6"/>
  <c r="J37" i="6"/>
  <c r="O37" i="6"/>
  <c r="B38" i="6"/>
  <c r="G38" i="6"/>
  <c r="J38" i="6"/>
  <c r="O38" i="6"/>
  <c r="B39" i="6"/>
  <c r="G39" i="6"/>
  <c r="J39" i="6"/>
  <c r="O39" i="6"/>
  <c r="O221" i="6"/>
  <c r="J221" i="6"/>
  <c r="O220" i="6"/>
  <c r="J220" i="6"/>
  <c r="O212" i="6"/>
  <c r="J212" i="6"/>
  <c r="O211" i="6"/>
  <c r="J211" i="6"/>
  <c r="O203" i="6"/>
  <c r="J203" i="6"/>
  <c r="O202" i="6"/>
  <c r="J202" i="6"/>
  <c r="O194" i="6"/>
  <c r="J194" i="6"/>
  <c r="O193" i="6"/>
  <c r="J193" i="6"/>
  <c r="J185" i="6"/>
  <c r="J184" i="6"/>
  <c r="O176" i="6"/>
  <c r="J176" i="6"/>
  <c r="O175" i="6"/>
  <c r="J175" i="6"/>
  <c r="O167" i="6"/>
  <c r="J167" i="6"/>
  <c r="O166" i="6"/>
  <c r="J166" i="6"/>
  <c r="O158" i="6"/>
  <c r="J158" i="6"/>
  <c r="O157" i="6"/>
  <c r="J157" i="6"/>
  <c r="O149" i="6"/>
  <c r="J149" i="6"/>
  <c r="O148" i="6"/>
  <c r="J148" i="6"/>
  <c r="O140" i="6"/>
  <c r="J140" i="6"/>
  <c r="O139" i="6"/>
  <c r="J139" i="6"/>
  <c r="O131" i="6"/>
  <c r="J131" i="6"/>
  <c r="O130" i="6"/>
  <c r="J130" i="6"/>
  <c r="O122" i="6"/>
  <c r="J122" i="6"/>
  <c r="O121" i="6"/>
  <c r="J121" i="6"/>
  <c r="O113" i="6"/>
  <c r="J113" i="6"/>
  <c r="O112" i="6"/>
  <c r="J112" i="6"/>
  <c r="O104" i="6"/>
  <c r="J104" i="6"/>
  <c r="O103" i="6"/>
  <c r="J103" i="6"/>
  <c r="O95" i="6"/>
  <c r="J95" i="6"/>
  <c r="O94" i="6"/>
  <c r="J94" i="6"/>
  <c r="O86" i="6"/>
  <c r="J86" i="6"/>
  <c r="O85" i="6"/>
  <c r="J85" i="6"/>
  <c r="O77" i="6"/>
  <c r="J77" i="6"/>
  <c r="O76" i="6"/>
  <c r="J76" i="6"/>
  <c r="O68" i="6"/>
  <c r="J68" i="6"/>
  <c r="O67" i="6"/>
  <c r="J67" i="6"/>
  <c r="B24" i="6"/>
  <c r="G24" i="6"/>
  <c r="J24" i="6"/>
  <c r="O24" i="6"/>
  <c r="B25" i="6"/>
  <c r="G25" i="6"/>
  <c r="J25" i="6"/>
  <c r="O25" i="6"/>
  <c r="B26" i="6"/>
  <c r="G26" i="6"/>
  <c r="J26" i="6"/>
  <c r="O26" i="6"/>
  <c r="B27" i="6"/>
  <c r="G27" i="6"/>
  <c r="J27" i="6"/>
  <c r="O27" i="6"/>
  <c r="B28" i="6"/>
  <c r="G28" i="6"/>
  <c r="J28" i="6"/>
  <c r="O28" i="6"/>
  <c r="B29" i="6"/>
  <c r="G29" i="6"/>
  <c r="J29" i="6"/>
  <c r="O29" i="6"/>
  <c r="B30" i="6"/>
  <c r="G30" i="6"/>
  <c r="J30" i="6"/>
  <c r="O30" i="6"/>
  <c r="O23" i="6"/>
  <c r="J23" i="6"/>
  <c r="G23" i="6"/>
  <c r="B23" i="6"/>
  <c r="O31" i="6"/>
  <c r="J31" i="6"/>
  <c r="G31" i="6"/>
  <c r="B31" i="6"/>
  <c r="G22" i="6"/>
  <c r="B22" i="6"/>
  <c r="B32" i="6"/>
  <c r="B40" i="6"/>
  <c r="B41" i="6"/>
  <c r="B49" i="6"/>
  <c r="B50" i="6"/>
  <c r="B58" i="6"/>
  <c r="B59" i="6"/>
  <c r="B67" i="6"/>
  <c r="B68" i="6"/>
  <c r="B76" i="6"/>
  <c r="B77" i="6"/>
  <c r="B85" i="6"/>
  <c r="B86" i="6"/>
  <c r="B94" i="6"/>
  <c r="B95" i="6"/>
  <c r="B103" i="6"/>
  <c r="B104" i="6"/>
  <c r="B112" i="6"/>
  <c r="B113" i="6"/>
  <c r="B121" i="6"/>
  <c r="B122" i="6"/>
  <c r="B130" i="6"/>
  <c r="B131" i="6"/>
  <c r="B139" i="6"/>
  <c r="B140" i="6"/>
  <c r="B148" i="6"/>
  <c r="B149" i="6"/>
  <c r="B157" i="6"/>
  <c r="B158" i="6"/>
  <c r="B166" i="6"/>
  <c r="B167" i="6"/>
  <c r="B175" i="6"/>
  <c r="B176" i="6"/>
  <c r="B184" i="6"/>
  <c r="B185" i="6"/>
  <c r="B193" i="6"/>
  <c r="B194" i="6"/>
  <c r="G32" i="6"/>
  <c r="G40" i="6"/>
  <c r="G41" i="6"/>
  <c r="G49" i="6"/>
  <c r="G50" i="6"/>
  <c r="G58" i="6"/>
  <c r="G59" i="6"/>
  <c r="G67" i="6"/>
  <c r="G68" i="6"/>
  <c r="G76" i="6"/>
  <c r="G77" i="6"/>
  <c r="G85" i="6"/>
  <c r="G86" i="6"/>
  <c r="G94" i="6"/>
  <c r="G95" i="6"/>
  <c r="G103" i="6"/>
  <c r="G104" i="6"/>
  <c r="G112" i="6"/>
  <c r="G113" i="6"/>
  <c r="G121" i="6"/>
  <c r="G122" i="6"/>
  <c r="G130" i="6"/>
  <c r="G131" i="6"/>
  <c r="G139" i="6"/>
  <c r="G140" i="6"/>
  <c r="G148" i="6"/>
  <c r="G149" i="6"/>
  <c r="G157" i="6"/>
  <c r="G158" i="6"/>
  <c r="G166" i="6"/>
  <c r="G167" i="6"/>
  <c r="G175" i="6"/>
  <c r="G176" i="6"/>
  <c r="G184" i="6"/>
  <c r="G185" i="6"/>
  <c r="G193" i="6"/>
  <c r="G194" i="6"/>
  <c r="O361" i="7"/>
  <c r="J361" i="7"/>
  <c r="O360" i="7"/>
  <c r="J360" i="7"/>
  <c r="O359" i="7"/>
  <c r="J359" i="7"/>
  <c r="O358" i="7"/>
  <c r="J358" i="7"/>
  <c r="O357" i="7"/>
  <c r="J357" i="7"/>
  <c r="O356" i="7"/>
  <c r="J356" i="7"/>
  <c r="O355" i="7"/>
  <c r="J355" i="7"/>
  <c r="O354" i="7"/>
  <c r="J354" i="7"/>
  <c r="O353" i="7"/>
  <c r="J353" i="7"/>
  <c r="O350" i="7"/>
  <c r="J350" i="7"/>
  <c r="G350" i="7"/>
  <c r="B350" i="7"/>
  <c r="O349" i="7"/>
  <c r="J349" i="7"/>
  <c r="G349" i="7"/>
  <c r="B349" i="7"/>
  <c r="O348" i="7"/>
  <c r="J348" i="7"/>
  <c r="G348" i="7"/>
  <c r="B348" i="7"/>
  <c r="O347" i="7"/>
  <c r="J347" i="7"/>
  <c r="G347" i="7"/>
  <c r="B347" i="7"/>
  <c r="O346" i="7"/>
  <c r="J346" i="7"/>
  <c r="G346" i="7"/>
  <c r="B346" i="7"/>
  <c r="O345" i="7"/>
  <c r="J345" i="7"/>
  <c r="G345" i="7"/>
  <c r="B345" i="7"/>
  <c r="O344" i="7"/>
  <c r="J344" i="7"/>
  <c r="G344" i="7"/>
  <c r="B344" i="7"/>
  <c r="O343" i="7"/>
  <c r="J343" i="7"/>
  <c r="G343" i="7"/>
  <c r="B343" i="7"/>
  <c r="O338" i="7"/>
  <c r="J338" i="7"/>
  <c r="G338" i="7"/>
  <c r="B338" i="7"/>
  <c r="O337" i="7"/>
  <c r="J337" i="7"/>
  <c r="G337" i="7"/>
  <c r="B337" i="7"/>
  <c r="O336" i="7"/>
  <c r="J336" i="7"/>
  <c r="G336" i="7"/>
  <c r="B336" i="7"/>
  <c r="O335" i="7"/>
  <c r="J335" i="7"/>
  <c r="G335" i="7"/>
  <c r="B335" i="7"/>
  <c r="O334" i="7"/>
  <c r="J334" i="7"/>
  <c r="G334" i="7"/>
  <c r="B334" i="7"/>
  <c r="O333" i="7"/>
  <c r="J333" i="7"/>
  <c r="G333" i="7"/>
  <c r="B333" i="7"/>
  <c r="O332" i="7"/>
  <c r="J332" i="7"/>
  <c r="G332" i="7"/>
  <c r="B332" i="7"/>
  <c r="O331" i="7"/>
  <c r="J331" i="7"/>
  <c r="G331" i="7"/>
  <c r="B331" i="7"/>
  <c r="O328" i="7"/>
  <c r="J328" i="7"/>
  <c r="G328" i="7"/>
  <c r="B328" i="7"/>
  <c r="O327" i="7"/>
  <c r="J327" i="7"/>
  <c r="G327" i="7"/>
  <c r="B327" i="7"/>
  <c r="O326" i="7"/>
  <c r="J326" i="7"/>
  <c r="G326" i="7"/>
  <c r="B326" i="7"/>
  <c r="O325" i="7"/>
  <c r="J325" i="7"/>
  <c r="G325" i="7"/>
  <c r="B325" i="7"/>
  <c r="O324" i="7"/>
  <c r="J324" i="7"/>
  <c r="G324" i="7"/>
  <c r="B324" i="7"/>
  <c r="O323" i="7"/>
  <c r="J323" i="7"/>
  <c r="G323" i="7"/>
  <c r="B323" i="7"/>
  <c r="O322" i="7"/>
  <c r="J322" i="7"/>
  <c r="G322" i="7"/>
  <c r="B322" i="7"/>
  <c r="O321" i="7"/>
  <c r="J321" i="7"/>
  <c r="G321" i="7"/>
  <c r="B321" i="7"/>
  <c r="O320" i="7"/>
  <c r="J320" i="7"/>
  <c r="G320" i="7"/>
  <c r="B320" i="7"/>
  <c r="O317" i="7"/>
  <c r="J317" i="7"/>
  <c r="G317" i="7"/>
  <c r="B317" i="7"/>
  <c r="O316" i="7"/>
  <c r="J316" i="7"/>
  <c r="G316" i="7"/>
  <c r="B316" i="7"/>
  <c r="O315" i="7"/>
  <c r="J315" i="7"/>
  <c r="G315" i="7"/>
  <c r="B315" i="7"/>
  <c r="O314" i="7"/>
  <c r="J314" i="7"/>
  <c r="G314" i="7"/>
  <c r="B314" i="7"/>
  <c r="O313" i="7"/>
  <c r="J313" i="7"/>
  <c r="G313" i="7"/>
  <c r="B313" i="7"/>
  <c r="O312" i="7"/>
  <c r="J312" i="7"/>
  <c r="G312" i="7"/>
  <c r="B312" i="7"/>
  <c r="O311" i="7"/>
  <c r="J311" i="7"/>
  <c r="G311" i="7"/>
  <c r="B311" i="7"/>
  <c r="O310" i="7"/>
  <c r="J310" i="7"/>
  <c r="G310" i="7"/>
  <c r="B310" i="7"/>
  <c r="O309" i="7"/>
  <c r="J309" i="7"/>
  <c r="G309" i="7"/>
  <c r="B309" i="7"/>
  <c r="O306" i="7"/>
  <c r="J306" i="7"/>
  <c r="G306" i="7"/>
  <c r="B306" i="7"/>
  <c r="O305" i="7"/>
  <c r="J305" i="7"/>
  <c r="G305" i="7"/>
  <c r="B305" i="7"/>
  <c r="O304" i="7"/>
  <c r="J304" i="7"/>
  <c r="G304" i="7"/>
  <c r="B304" i="7"/>
  <c r="O303" i="7"/>
  <c r="J303" i="7"/>
  <c r="G303" i="7"/>
  <c r="B303" i="7"/>
  <c r="O302" i="7"/>
  <c r="J302" i="7"/>
  <c r="G302" i="7"/>
  <c r="B302" i="7"/>
  <c r="O301" i="7"/>
  <c r="J301" i="7"/>
  <c r="G301" i="7"/>
  <c r="B301" i="7"/>
  <c r="O300" i="7"/>
  <c r="J300" i="7"/>
  <c r="G300" i="7"/>
  <c r="B300" i="7"/>
  <c r="O299" i="7"/>
  <c r="J299" i="7"/>
  <c r="G299" i="7"/>
  <c r="B299" i="7"/>
  <c r="O298" i="7"/>
  <c r="J298" i="7"/>
  <c r="G298" i="7"/>
  <c r="B298" i="7"/>
  <c r="J295" i="7"/>
  <c r="G295" i="7"/>
  <c r="B295" i="7"/>
  <c r="J294" i="7"/>
  <c r="G294" i="7"/>
  <c r="B294" i="7"/>
  <c r="J293" i="7"/>
  <c r="G293" i="7"/>
  <c r="B293" i="7"/>
  <c r="J292" i="7"/>
  <c r="G292" i="7"/>
  <c r="B292" i="7"/>
  <c r="J291" i="7"/>
  <c r="G291" i="7"/>
  <c r="B291" i="7"/>
  <c r="J290" i="7"/>
  <c r="G290" i="7"/>
  <c r="B290" i="7"/>
  <c r="J289" i="7"/>
  <c r="G289" i="7"/>
  <c r="B289" i="7"/>
  <c r="O284" i="7"/>
  <c r="J284" i="7"/>
  <c r="G284" i="7"/>
  <c r="B284" i="7"/>
  <c r="O283" i="7"/>
  <c r="J283" i="7"/>
  <c r="G283" i="7"/>
  <c r="B283" i="7"/>
  <c r="O282" i="7"/>
  <c r="J282" i="7"/>
  <c r="G282" i="7"/>
  <c r="B282" i="7"/>
  <c r="O281" i="7"/>
  <c r="J281" i="7"/>
  <c r="G281" i="7"/>
  <c r="B281" i="7"/>
  <c r="O280" i="7"/>
  <c r="J280" i="7"/>
  <c r="G280" i="7"/>
  <c r="B280" i="7"/>
  <c r="O279" i="7"/>
  <c r="J279" i="7"/>
  <c r="G279" i="7"/>
  <c r="B279" i="7"/>
  <c r="O278" i="7"/>
  <c r="J278" i="7"/>
  <c r="G278" i="7"/>
  <c r="B278" i="7"/>
  <c r="O277" i="7"/>
  <c r="J277" i="7"/>
  <c r="G277" i="7"/>
  <c r="B277" i="7"/>
  <c r="O276" i="7"/>
  <c r="J276" i="7"/>
  <c r="G276" i="7"/>
  <c r="B276" i="7"/>
  <c r="O273" i="7"/>
  <c r="J273" i="7"/>
  <c r="G273" i="7"/>
  <c r="B273" i="7"/>
  <c r="O272" i="7"/>
  <c r="J272" i="7"/>
  <c r="G272" i="7"/>
  <c r="B272" i="7"/>
  <c r="O271" i="7"/>
  <c r="J271" i="7"/>
  <c r="G271" i="7"/>
  <c r="B271" i="7"/>
  <c r="O270" i="7"/>
  <c r="J270" i="7"/>
  <c r="G270" i="7"/>
  <c r="B270" i="7"/>
  <c r="O269" i="7"/>
  <c r="J269" i="7"/>
  <c r="G269" i="7"/>
  <c r="B269" i="7"/>
  <c r="O268" i="7"/>
  <c r="J268" i="7"/>
  <c r="G268" i="7"/>
  <c r="B268" i="7"/>
  <c r="O267" i="7"/>
  <c r="J267" i="7"/>
  <c r="G267" i="7"/>
  <c r="B267" i="7"/>
  <c r="O266" i="7"/>
  <c r="J266" i="7"/>
  <c r="G266" i="7"/>
  <c r="B266" i="7"/>
  <c r="O265" i="7"/>
  <c r="J265" i="7"/>
  <c r="G265" i="7"/>
  <c r="B265" i="7"/>
  <c r="O262" i="7"/>
  <c r="J262" i="7"/>
  <c r="G262" i="7"/>
  <c r="B262" i="7"/>
  <c r="O261" i="7"/>
  <c r="J261" i="7"/>
  <c r="G261" i="7"/>
  <c r="B261" i="7"/>
  <c r="O260" i="7"/>
  <c r="J260" i="7"/>
  <c r="G260" i="7"/>
  <c r="B260" i="7"/>
  <c r="O259" i="7"/>
  <c r="J259" i="7"/>
  <c r="G259" i="7"/>
  <c r="B259" i="7"/>
  <c r="O258" i="7"/>
  <c r="J258" i="7"/>
  <c r="G258" i="7"/>
  <c r="B258" i="7"/>
  <c r="O257" i="7"/>
  <c r="J257" i="7"/>
  <c r="G257" i="7"/>
  <c r="B257" i="7"/>
  <c r="O256" i="7"/>
  <c r="J256" i="7"/>
  <c r="G256" i="7"/>
  <c r="B256" i="7"/>
  <c r="O255" i="7"/>
  <c r="J255" i="7"/>
  <c r="G255" i="7"/>
  <c r="B255" i="7"/>
  <c r="O254" i="7"/>
  <c r="J254" i="7"/>
  <c r="G254" i="7"/>
  <c r="B254" i="7"/>
  <c r="O251" i="7"/>
  <c r="J251" i="7"/>
  <c r="G251" i="7"/>
  <c r="B251" i="7"/>
  <c r="O250" i="7"/>
  <c r="J250" i="7"/>
  <c r="G250" i="7"/>
  <c r="B250" i="7"/>
  <c r="O249" i="7"/>
  <c r="J249" i="7"/>
  <c r="G249" i="7"/>
  <c r="B249" i="7"/>
  <c r="O248" i="7"/>
  <c r="J248" i="7"/>
  <c r="G248" i="7"/>
  <c r="B248" i="7"/>
  <c r="O247" i="7"/>
  <c r="J247" i="7"/>
  <c r="G247" i="7"/>
  <c r="B247" i="7"/>
  <c r="O246" i="7"/>
  <c r="J246" i="7"/>
  <c r="G246" i="7"/>
  <c r="B246" i="7"/>
  <c r="O245" i="7"/>
  <c r="J245" i="7"/>
  <c r="G245" i="7"/>
  <c r="B245" i="7"/>
  <c r="O244" i="7"/>
  <c r="J244" i="7"/>
  <c r="G244" i="7"/>
  <c r="B244" i="7"/>
  <c r="O243" i="7"/>
  <c r="J243" i="7"/>
  <c r="G243" i="7"/>
  <c r="B243" i="7"/>
  <c r="O240" i="7"/>
  <c r="J240" i="7"/>
  <c r="G240" i="7"/>
  <c r="B240" i="7"/>
  <c r="O239" i="7"/>
  <c r="J239" i="7"/>
  <c r="G239" i="7"/>
  <c r="B239" i="7"/>
  <c r="O238" i="7"/>
  <c r="J238" i="7"/>
  <c r="G238" i="7"/>
  <c r="B238" i="7"/>
  <c r="O237" i="7"/>
  <c r="J237" i="7"/>
  <c r="G237" i="7"/>
  <c r="B237" i="7"/>
  <c r="O236" i="7"/>
  <c r="J236" i="7"/>
  <c r="G236" i="7"/>
  <c r="B236" i="7"/>
  <c r="O235" i="7"/>
  <c r="J235" i="7"/>
  <c r="G235" i="7"/>
  <c r="B235" i="7"/>
  <c r="O234" i="7"/>
  <c r="J234" i="7"/>
  <c r="G234" i="7"/>
  <c r="B234" i="7"/>
  <c r="O233" i="7"/>
  <c r="J233" i="7"/>
  <c r="G233" i="7"/>
  <c r="B233" i="7"/>
  <c r="O232" i="7"/>
  <c r="J232" i="7"/>
  <c r="G232" i="7"/>
  <c r="B232" i="7"/>
  <c r="O229" i="7"/>
  <c r="J229" i="7"/>
  <c r="G229" i="7"/>
  <c r="B229" i="7"/>
  <c r="O228" i="7"/>
  <c r="J228" i="7"/>
  <c r="G228" i="7"/>
  <c r="B228" i="7"/>
  <c r="O227" i="7"/>
  <c r="J227" i="7"/>
  <c r="G227" i="7"/>
  <c r="B227" i="7"/>
  <c r="O226" i="7"/>
  <c r="J226" i="7"/>
  <c r="G226" i="7"/>
  <c r="B226" i="7"/>
  <c r="O225" i="7"/>
  <c r="J225" i="7"/>
  <c r="G225" i="7"/>
  <c r="B225" i="7"/>
  <c r="O224" i="7"/>
  <c r="J224" i="7"/>
  <c r="G224" i="7"/>
  <c r="B224" i="7"/>
  <c r="O223" i="7"/>
  <c r="J223" i="7"/>
  <c r="G223" i="7"/>
  <c r="B223" i="7"/>
  <c r="O222" i="7"/>
  <c r="J222" i="7"/>
  <c r="G222" i="7"/>
  <c r="B222" i="7"/>
  <c r="O221" i="7"/>
  <c r="J221" i="7"/>
  <c r="G221" i="7"/>
  <c r="B221" i="7"/>
  <c r="O218" i="7"/>
  <c r="J218" i="7"/>
  <c r="G218" i="7"/>
  <c r="B218" i="7"/>
  <c r="O217" i="7"/>
  <c r="J217" i="7"/>
  <c r="G217" i="7"/>
  <c r="B217" i="7"/>
  <c r="O216" i="7"/>
  <c r="J216" i="7"/>
  <c r="G216" i="7"/>
  <c r="B216" i="7"/>
  <c r="O215" i="7"/>
  <c r="J215" i="7"/>
  <c r="G215" i="7"/>
  <c r="B215" i="7"/>
  <c r="O214" i="7"/>
  <c r="J214" i="7"/>
  <c r="G214" i="7"/>
  <c r="B214" i="7"/>
  <c r="O213" i="7"/>
  <c r="J213" i="7"/>
  <c r="G213" i="7"/>
  <c r="B213" i="7"/>
  <c r="O212" i="7"/>
  <c r="J212" i="7"/>
  <c r="G212" i="7"/>
  <c r="B212" i="7"/>
  <c r="O211" i="7"/>
  <c r="J211" i="7"/>
  <c r="G211" i="7"/>
  <c r="B211" i="7"/>
  <c r="O210" i="7"/>
  <c r="J210" i="7"/>
  <c r="G210" i="7"/>
  <c r="B210" i="7"/>
  <c r="O207" i="7"/>
  <c r="J207" i="7"/>
  <c r="G207" i="7"/>
  <c r="B207" i="7"/>
  <c r="O206" i="7"/>
  <c r="J206" i="7"/>
  <c r="G206" i="7"/>
  <c r="B206" i="7"/>
  <c r="O205" i="7"/>
  <c r="J205" i="7"/>
  <c r="G205" i="7"/>
  <c r="B205" i="7"/>
  <c r="O204" i="7"/>
  <c r="J204" i="7"/>
  <c r="G204" i="7"/>
  <c r="B204" i="7"/>
  <c r="O203" i="7"/>
  <c r="J203" i="7"/>
  <c r="G203" i="7"/>
  <c r="B203" i="7"/>
  <c r="O202" i="7"/>
  <c r="J202" i="7"/>
  <c r="G202" i="7"/>
  <c r="B202" i="7"/>
  <c r="O201" i="7"/>
  <c r="J201" i="7"/>
  <c r="G201" i="7"/>
  <c r="B201" i="7"/>
  <c r="O200" i="7"/>
  <c r="J200" i="7"/>
  <c r="G200" i="7"/>
  <c r="B200" i="7"/>
  <c r="O199" i="7"/>
  <c r="J199" i="7"/>
  <c r="G199" i="7"/>
  <c r="B199" i="7"/>
  <c r="O196" i="7"/>
  <c r="J196" i="7"/>
  <c r="G196" i="7"/>
  <c r="B196" i="7"/>
  <c r="O195" i="7"/>
  <c r="J195" i="7"/>
  <c r="G195" i="7"/>
  <c r="B195" i="7"/>
  <c r="O194" i="7"/>
  <c r="J194" i="7"/>
  <c r="G194" i="7"/>
  <c r="B194" i="7"/>
  <c r="O193" i="7"/>
  <c r="J193" i="7"/>
  <c r="G193" i="7"/>
  <c r="B193" i="7"/>
  <c r="O192" i="7"/>
  <c r="J192" i="7"/>
  <c r="G192" i="7"/>
  <c r="B192" i="7"/>
  <c r="O191" i="7"/>
  <c r="J191" i="7"/>
  <c r="G191" i="7"/>
  <c r="B191" i="7"/>
  <c r="O190" i="7"/>
  <c r="J190" i="7"/>
  <c r="G190" i="7"/>
  <c r="B190" i="7"/>
  <c r="O189" i="7"/>
  <c r="J189" i="7"/>
  <c r="G189" i="7"/>
  <c r="B189" i="7"/>
  <c r="O188" i="7"/>
  <c r="J188" i="7"/>
  <c r="G188" i="7"/>
  <c r="B188" i="7"/>
  <c r="O185" i="7"/>
  <c r="J185" i="7"/>
  <c r="G185" i="7"/>
  <c r="B185" i="7"/>
  <c r="O184" i="7"/>
  <c r="J184" i="7"/>
  <c r="G184" i="7"/>
  <c r="B184" i="7"/>
  <c r="O183" i="7"/>
  <c r="J183" i="7"/>
  <c r="G183" i="7"/>
  <c r="B183" i="7"/>
  <c r="O182" i="7"/>
  <c r="J182" i="7"/>
  <c r="G182" i="7"/>
  <c r="B182" i="7"/>
  <c r="O181" i="7"/>
  <c r="J181" i="7"/>
  <c r="G181" i="7"/>
  <c r="B181" i="7"/>
  <c r="O180" i="7"/>
  <c r="J180" i="7"/>
  <c r="G180" i="7"/>
  <c r="B180" i="7"/>
  <c r="O179" i="7"/>
  <c r="J179" i="7"/>
  <c r="G179" i="7"/>
  <c r="B179" i="7"/>
  <c r="O178" i="7"/>
  <c r="J178" i="7"/>
  <c r="G178" i="7"/>
  <c r="B178" i="7"/>
  <c r="O177" i="7"/>
  <c r="J177" i="7"/>
  <c r="G177" i="7"/>
  <c r="B177" i="7"/>
  <c r="O174" i="7"/>
  <c r="J174" i="7"/>
  <c r="G174" i="7"/>
  <c r="B174" i="7"/>
  <c r="O173" i="7"/>
  <c r="J173" i="7"/>
  <c r="G173" i="7"/>
  <c r="B173" i="7"/>
  <c r="O172" i="7"/>
  <c r="J172" i="7"/>
  <c r="G172" i="7"/>
  <c r="B172" i="7"/>
  <c r="O171" i="7"/>
  <c r="J171" i="7"/>
  <c r="G171" i="7"/>
  <c r="B171" i="7"/>
  <c r="O170" i="7"/>
  <c r="J170" i="7"/>
  <c r="G170" i="7"/>
  <c r="B170" i="7"/>
  <c r="O169" i="7"/>
  <c r="J169" i="7"/>
  <c r="G169" i="7"/>
  <c r="B169" i="7"/>
  <c r="O168" i="7"/>
  <c r="J168" i="7"/>
  <c r="G168" i="7"/>
  <c r="B168" i="7"/>
  <c r="O167" i="7"/>
  <c r="J167" i="7"/>
  <c r="G167" i="7"/>
  <c r="B167" i="7"/>
  <c r="O166" i="7"/>
  <c r="J166" i="7"/>
  <c r="G166" i="7"/>
  <c r="B166" i="7"/>
  <c r="O163" i="7"/>
  <c r="J163" i="7"/>
  <c r="G163" i="7"/>
  <c r="B163" i="7"/>
  <c r="O162" i="7"/>
  <c r="J162" i="7"/>
  <c r="G162" i="7"/>
  <c r="B162" i="7"/>
  <c r="O161" i="7"/>
  <c r="J161" i="7"/>
  <c r="G161" i="7"/>
  <c r="B161" i="7"/>
  <c r="O160" i="7"/>
  <c r="J160" i="7"/>
  <c r="G160" i="7"/>
  <c r="B160" i="7"/>
  <c r="O159" i="7"/>
  <c r="J159" i="7"/>
  <c r="G159" i="7"/>
  <c r="B159" i="7"/>
  <c r="O158" i="7"/>
  <c r="J158" i="7"/>
  <c r="G158" i="7"/>
  <c r="B158" i="7"/>
  <c r="O157" i="7"/>
  <c r="J157" i="7"/>
  <c r="G157" i="7"/>
  <c r="B157" i="7"/>
  <c r="O156" i="7"/>
  <c r="J156" i="7"/>
  <c r="G156" i="7"/>
  <c r="B156" i="7"/>
  <c r="O155" i="7"/>
  <c r="J155" i="7"/>
  <c r="G155" i="7"/>
  <c r="B155" i="7"/>
  <c r="O152" i="7"/>
  <c r="J152" i="7"/>
  <c r="G152" i="7"/>
  <c r="B152" i="7"/>
  <c r="O151" i="7"/>
  <c r="J151" i="7"/>
  <c r="G151" i="7"/>
  <c r="B151" i="7"/>
  <c r="O150" i="7"/>
  <c r="J150" i="7"/>
  <c r="G150" i="7"/>
  <c r="B150" i="7"/>
  <c r="O149" i="7"/>
  <c r="J149" i="7"/>
  <c r="G149" i="7"/>
  <c r="B149" i="7"/>
  <c r="O148" i="7"/>
  <c r="J148" i="7"/>
  <c r="G148" i="7"/>
  <c r="B148" i="7"/>
  <c r="O147" i="7"/>
  <c r="J147" i="7"/>
  <c r="G147" i="7"/>
  <c r="B147" i="7"/>
  <c r="O146" i="7"/>
  <c r="J146" i="7"/>
  <c r="G146" i="7"/>
  <c r="B146" i="7"/>
  <c r="O145" i="7"/>
  <c r="J145" i="7"/>
  <c r="G145" i="7"/>
  <c r="B145" i="7"/>
  <c r="O144" i="7"/>
  <c r="J144" i="7"/>
  <c r="G144" i="7"/>
  <c r="B144" i="7"/>
  <c r="O141" i="7"/>
  <c r="J141" i="7"/>
  <c r="G141" i="7"/>
  <c r="B141" i="7"/>
  <c r="O140" i="7"/>
  <c r="J140" i="7"/>
  <c r="G140" i="7"/>
  <c r="B140" i="7"/>
  <c r="O139" i="7"/>
  <c r="J139" i="7"/>
  <c r="G139" i="7"/>
  <c r="B139" i="7"/>
  <c r="O138" i="7"/>
  <c r="J138" i="7"/>
  <c r="G138" i="7"/>
  <c r="B138" i="7"/>
  <c r="O137" i="7"/>
  <c r="J137" i="7"/>
  <c r="G137" i="7"/>
  <c r="B137" i="7"/>
  <c r="O136" i="7"/>
  <c r="J136" i="7"/>
  <c r="G136" i="7"/>
  <c r="B136" i="7"/>
  <c r="O135" i="7"/>
  <c r="J135" i="7"/>
  <c r="G135" i="7"/>
  <c r="B135" i="7"/>
  <c r="O134" i="7"/>
  <c r="J134" i="7"/>
  <c r="G134" i="7"/>
  <c r="B134" i="7"/>
  <c r="O133" i="7"/>
  <c r="J133" i="7"/>
  <c r="G133" i="7"/>
  <c r="B133" i="7"/>
  <c r="O130" i="7"/>
  <c r="J130" i="7"/>
  <c r="G130" i="7"/>
  <c r="B130" i="7"/>
  <c r="O129" i="7"/>
  <c r="J129" i="7"/>
  <c r="G129" i="7"/>
  <c r="B129" i="7"/>
  <c r="O128" i="7"/>
  <c r="J128" i="7"/>
  <c r="G128" i="7"/>
  <c r="B128" i="7"/>
  <c r="O127" i="7"/>
  <c r="J127" i="7"/>
  <c r="G127" i="7"/>
  <c r="B127" i="7"/>
  <c r="O126" i="7"/>
  <c r="J126" i="7"/>
  <c r="G126" i="7"/>
  <c r="B126" i="7"/>
  <c r="O125" i="7"/>
  <c r="J125" i="7"/>
  <c r="G125" i="7"/>
  <c r="B125" i="7"/>
  <c r="O124" i="7"/>
  <c r="J124" i="7"/>
  <c r="G124" i="7"/>
  <c r="B124" i="7"/>
  <c r="O123" i="7"/>
  <c r="J123" i="7"/>
  <c r="G123" i="7"/>
  <c r="B123" i="7"/>
  <c r="O122" i="7"/>
  <c r="J122" i="7"/>
  <c r="G122" i="7"/>
  <c r="B122" i="7"/>
  <c r="O119" i="7"/>
  <c r="J119" i="7"/>
  <c r="G119" i="7"/>
  <c r="B119" i="7"/>
  <c r="O118" i="7"/>
  <c r="J118" i="7"/>
  <c r="G118" i="7"/>
  <c r="B118" i="7"/>
  <c r="O117" i="7"/>
  <c r="J117" i="7"/>
  <c r="G117" i="7"/>
  <c r="B117" i="7"/>
  <c r="O116" i="7"/>
  <c r="J116" i="7"/>
  <c r="G116" i="7"/>
  <c r="B116" i="7"/>
  <c r="O115" i="7"/>
  <c r="J115" i="7"/>
  <c r="G115" i="7"/>
  <c r="B115" i="7"/>
  <c r="O114" i="7"/>
  <c r="J114" i="7"/>
  <c r="G114" i="7"/>
  <c r="B114" i="7"/>
  <c r="O113" i="7"/>
  <c r="J113" i="7"/>
  <c r="G113" i="7"/>
  <c r="B113" i="7"/>
  <c r="O112" i="7"/>
  <c r="J112" i="7"/>
  <c r="G112" i="7"/>
  <c r="B112" i="7"/>
  <c r="O111" i="7"/>
  <c r="J111" i="7"/>
  <c r="G111" i="7"/>
  <c r="B111" i="7"/>
  <c r="O108" i="7"/>
  <c r="J108" i="7"/>
  <c r="G108" i="7"/>
  <c r="B108" i="7"/>
  <c r="O107" i="7"/>
  <c r="J107" i="7"/>
  <c r="G107" i="7"/>
  <c r="B107" i="7"/>
  <c r="O106" i="7"/>
  <c r="J106" i="7"/>
  <c r="G106" i="7"/>
  <c r="B106" i="7"/>
  <c r="O105" i="7"/>
  <c r="J105" i="7"/>
  <c r="G105" i="7"/>
  <c r="B105" i="7"/>
  <c r="O104" i="7"/>
  <c r="J104" i="7"/>
  <c r="G104" i="7"/>
  <c r="B104" i="7"/>
  <c r="O103" i="7"/>
  <c r="J103" i="7"/>
  <c r="G103" i="7"/>
  <c r="B103" i="7"/>
  <c r="O102" i="7"/>
  <c r="J102" i="7"/>
  <c r="G102" i="7"/>
  <c r="B102" i="7"/>
  <c r="O101" i="7"/>
  <c r="J101" i="7"/>
  <c r="G101" i="7"/>
  <c r="B101" i="7"/>
  <c r="O100" i="7"/>
  <c r="J100" i="7"/>
  <c r="G100" i="7"/>
  <c r="B100" i="7"/>
  <c r="O97" i="7"/>
  <c r="J97" i="7"/>
  <c r="G97" i="7"/>
  <c r="B97" i="7"/>
  <c r="O96" i="7"/>
  <c r="J96" i="7"/>
  <c r="G96" i="7"/>
  <c r="B96" i="7"/>
  <c r="O95" i="7"/>
  <c r="J95" i="7"/>
  <c r="G95" i="7"/>
  <c r="B95" i="7"/>
  <c r="O94" i="7"/>
  <c r="J94" i="7"/>
  <c r="G94" i="7"/>
  <c r="B94" i="7"/>
  <c r="O93" i="7"/>
  <c r="J93" i="7"/>
  <c r="G93" i="7"/>
  <c r="B93" i="7"/>
  <c r="O92" i="7"/>
  <c r="J92" i="7"/>
  <c r="G92" i="7"/>
  <c r="B92" i="7"/>
  <c r="O91" i="7"/>
  <c r="J91" i="7"/>
  <c r="G91" i="7"/>
  <c r="B91" i="7"/>
  <c r="O90" i="7"/>
  <c r="J90" i="7"/>
  <c r="G90" i="7"/>
  <c r="B90" i="7"/>
  <c r="O89" i="7"/>
  <c r="J89" i="7"/>
  <c r="G89" i="7"/>
  <c r="B89" i="7"/>
  <c r="O86" i="7"/>
  <c r="J86" i="7"/>
  <c r="G86" i="7"/>
  <c r="B86" i="7"/>
  <c r="O85" i="7"/>
  <c r="J85" i="7"/>
  <c r="G85" i="7"/>
  <c r="B85" i="7"/>
  <c r="O84" i="7"/>
  <c r="J84" i="7"/>
  <c r="G84" i="7"/>
  <c r="B84" i="7"/>
  <c r="O83" i="7"/>
  <c r="J83" i="7"/>
  <c r="G83" i="7"/>
  <c r="B83" i="7"/>
  <c r="O82" i="7"/>
  <c r="J82" i="7"/>
  <c r="G82" i="7"/>
  <c r="B82" i="7"/>
  <c r="O81" i="7"/>
  <c r="J81" i="7"/>
  <c r="G81" i="7"/>
  <c r="B81" i="7"/>
  <c r="O80" i="7"/>
  <c r="J80" i="7"/>
  <c r="G80" i="7"/>
  <c r="B80" i="7"/>
  <c r="O79" i="7"/>
  <c r="J79" i="7"/>
  <c r="G79" i="7"/>
  <c r="B79" i="7"/>
  <c r="O78" i="7"/>
  <c r="J78" i="7"/>
  <c r="G78" i="7"/>
  <c r="B78" i="7"/>
  <c r="O75" i="7"/>
  <c r="J75" i="7"/>
  <c r="G75" i="7"/>
  <c r="B75" i="7"/>
  <c r="O74" i="7"/>
  <c r="J74" i="7"/>
  <c r="G74" i="7"/>
  <c r="B74" i="7"/>
  <c r="O73" i="7"/>
  <c r="J73" i="7"/>
  <c r="G73" i="7"/>
  <c r="B73" i="7"/>
  <c r="O72" i="7"/>
  <c r="J72" i="7"/>
  <c r="G72" i="7"/>
  <c r="B72" i="7"/>
  <c r="O71" i="7"/>
  <c r="J71" i="7"/>
  <c r="G71" i="7"/>
  <c r="B71" i="7"/>
  <c r="O70" i="7"/>
  <c r="J70" i="7"/>
  <c r="G70" i="7"/>
  <c r="B70" i="7"/>
  <c r="O69" i="7"/>
  <c r="J69" i="7"/>
  <c r="G69" i="7"/>
  <c r="B69" i="7"/>
  <c r="O68" i="7"/>
  <c r="J68" i="7"/>
  <c r="G68" i="7"/>
  <c r="B68" i="7"/>
  <c r="O67" i="7"/>
  <c r="J67" i="7"/>
  <c r="G67" i="7"/>
  <c r="B67" i="7"/>
  <c r="O64" i="7"/>
  <c r="J64" i="7"/>
  <c r="G64" i="7"/>
  <c r="B64" i="7"/>
  <c r="O63" i="7"/>
  <c r="J63" i="7"/>
  <c r="G63" i="7"/>
  <c r="B63" i="7"/>
  <c r="O62" i="7"/>
  <c r="J62" i="7"/>
  <c r="G62" i="7"/>
  <c r="B62" i="7"/>
  <c r="O61" i="7"/>
  <c r="J61" i="7"/>
  <c r="G61" i="7"/>
  <c r="B61" i="7"/>
  <c r="O60" i="7"/>
  <c r="J60" i="7"/>
  <c r="G60" i="7"/>
  <c r="B60" i="7"/>
  <c r="O59" i="7"/>
  <c r="J59" i="7"/>
  <c r="G59" i="7"/>
  <c r="B59" i="7"/>
  <c r="O58" i="7"/>
  <c r="J58" i="7"/>
  <c r="G58" i="7"/>
  <c r="B58" i="7"/>
  <c r="O57" i="7"/>
  <c r="J57" i="7"/>
  <c r="G57" i="7"/>
  <c r="B57" i="7"/>
  <c r="O56" i="7"/>
  <c r="J56" i="7"/>
  <c r="G56" i="7"/>
  <c r="B56" i="7"/>
  <c r="O53" i="7"/>
  <c r="J53" i="7"/>
  <c r="G53" i="7"/>
  <c r="B53" i="7"/>
  <c r="O52" i="7"/>
  <c r="J52" i="7"/>
  <c r="G52" i="7"/>
  <c r="B52" i="7"/>
  <c r="O51" i="7"/>
  <c r="J51" i="7"/>
  <c r="G51" i="7"/>
  <c r="B51" i="7"/>
  <c r="O50" i="7"/>
  <c r="J50" i="7"/>
  <c r="G50" i="7"/>
  <c r="B50" i="7"/>
  <c r="O49" i="7"/>
  <c r="J49" i="7"/>
  <c r="G49" i="7"/>
  <c r="B49" i="7"/>
  <c r="O48" i="7"/>
  <c r="J48" i="7"/>
  <c r="G48" i="7"/>
  <c r="B48" i="7"/>
  <c r="O47" i="7"/>
  <c r="J47" i="7"/>
  <c r="G47" i="7"/>
  <c r="B47" i="7"/>
  <c r="O46" i="7"/>
  <c r="J46" i="7"/>
  <c r="G46" i="7"/>
  <c r="B46" i="7"/>
  <c r="O45" i="7"/>
  <c r="J45" i="7"/>
  <c r="G45" i="7"/>
  <c r="B45" i="7"/>
  <c r="O42" i="7"/>
  <c r="J42" i="7"/>
  <c r="G42" i="7"/>
  <c r="B42" i="7"/>
  <c r="O41" i="7"/>
  <c r="J41" i="7"/>
  <c r="G41" i="7"/>
  <c r="B41" i="7"/>
  <c r="O40" i="7"/>
  <c r="J40" i="7"/>
  <c r="G40" i="7"/>
  <c r="B40" i="7"/>
  <c r="O39" i="7"/>
  <c r="J39" i="7"/>
  <c r="G39" i="7"/>
  <c r="B39" i="7"/>
  <c r="O38" i="7"/>
  <c r="J38" i="7"/>
  <c r="G38" i="7"/>
  <c r="B38" i="7"/>
  <c r="O37" i="7"/>
  <c r="J37" i="7"/>
  <c r="G37" i="7"/>
  <c r="B37" i="7"/>
  <c r="O36" i="7"/>
  <c r="J36" i="7"/>
  <c r="G36" i="7"/>
  <c r="B36" i="7"/>
  <c r="O35" i="7"/>
  <c r="J35" i="7"/>
  <c r="G35" i="7"/>
  <c r="B35" i="7"/>
  <c r="O34" i="7"/>
  <c r="J34" i="7"/>
  <c r="G34" i="7"/>
  <c r="B34" i="7"/>
  <c r="O31" i="7"/>
  <c r="J31" i="7"/>
  <c r="G31" i="7"/>
  <c r="B31" i="7"/>
  <c r="O30" i="7"/>
  <c r="J30" i="7"/>
  <c r="B30" i="7"/>
  <c r="O29" i="7"/>
  <c r="J29" i="7"/>
  <c r="G29" i="7"/>
  <c r="B29" i="7"/>
  <c r="O28" i="7"/>
  <c r="J28" i="7"/>
  <c r="G28" i="7"/>
  <c r="B28" i="7"/>
  <c r="O27" i="7"/>
  <c r="J27" i="7"/>
  <c r="G27" i="7"/>
  <c r="B27" i="7"/>
  <c r="O26" i="7"/>
  <c r="J26" i="7"/>
  <c r="G26" i="7"/>
  <c r="B26" i="7"/>
  <c r="O25" i="7"/>
  <c r="J25" i="7"/>
  <c r="G25" i="7"/>
  <c r="B25" i="7"/>
  <c r="O24" i="7"/>
  <c r="J24" i="7"/>
  <c r="G24" i="7"/>
  <c r="B24" i="7"/>
  <c r="O23" i="7"/>
  <c r="J23" i="7"/>
  <c r="G23" i="7"/>
  <c r="B23" i="7"/>
  <c r="J17" i="7"/>
  <c r="L17" i="7" s="1"/>
  <c r="J16" i="7"/>
  <c r="L16" i="7" s="1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O239" i="6"/>
  <c r="J239" i="6"/>
  <c r="O238" i="6"/>
  <c r="J238" i="6"/>
  <c r="O230" i="6"/>
  <c r="J230" i="6"/>
  <c r="O229" i="6"/>
  <c r="J229" i="6"/>
  <c r="O59" i="6"/>
  <c r="J59" i="6"/>
  <c r="O58" i="6"/>
  <c r="J58" i="6"/>
  <c r="O50" i="6"/>
  <c r="J50" i="6"/>
  <c r="O49" i="6"/>
  <c r="J49" i="6"/>
  <c r="O41" i="6"/>
  <c r="J41" i="6"/>
  <c r="O40" i="6"/>
  <c r="J40" i="6"/>
  <c r="O32" i="6"/>
  <c r="J32" i="6"/>
  <c r="O22" i="6"/>
  <c r="J22" i="6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O11" i="6"/>
  <c r="J11" i="6"/>
  <c r="L11" i="6" s="1"/>
  <c r="G11" i="6"/>
  <c r="J10" i="6"/>
  <c r="L10" i="6" s="1"/>
  <c r="J9" i="6"/>
  <c r="L9" i="6" s="1"/>
  <c r="J8" i="6"/>
  <c r="L8" i="6" s="1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F11" i="4" l="1"/>
  <c r="D14" i="7"/>
  <c r="D8" i="6"/>
  <c r="D15" i="7"/>
  <c r="D13" i="7"/>
  <c r="D9" i="7"/>
  <c r="D14" i="6"/>
  <c r="D13" i="6"/>
  <c r="D11" i="7"/>
  <c r="D10" i="6"/>
  <c r="D9" i="6"/>
  <c r="D10" i="7"/>
  <c r="D16" i="7"/>
  <c r="L18" i="4"/>
  <c r="L16" i="4"/>
  <c r="L15" i="4"/>
  <c r="L14" i="4"/>
  <c r="L13" i="4"/>
  <c r="L12" i="4"/>
  <c r="L11" i="4"/>
  <c r="L10" i="4"/>
  <c r="L9" i="4"/>
  <c r="L8" i="4"/>
  <c r="N11" i="4" l="1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J300" i="4"/>
  <c r="J299" i="4"/>
  <c r="J298" i="4"/>
  <c r="J297" i="4"/>
  <c r="J296" i="4"/>
  <c r="J295" i="4"/>
  <c r="J294" i="4"/>
  <c r="J293" i="4"/>
  <c r="J291" i="4"/>
  <c r="J290" i="4"/>
  <c r="J289" i="4"/>
  <c r="J288" i="4"/>
  <c r="J287" i="4"/>
  <c r="J286" i="4"/>
  <c r="J285" i="4"/>
  <c r="J284" i="4"/>
  <c r="J282" i="4"/>
  <c r="J281" i="4"/>
  <c r="J280" i="4"/>
  <c r="J279" i="4"/>
  <c r="J278" i="4"/>
  <c r="J277" i="4"/>
  <c r="J276" i="4"/>
  <c r="J275" i="4"/>
  <c r="J273" i="4"/>
  <c r="J272" i="4"/>
  <c r="J271" i="4"/>
  <c r="J270" i="4"/>
  <c r="J269" i="4"/>
  <c r="J268" i="4"/>
  <c r="J267" i="4"/>
  <c r="J266" i="4"/>
  <c r="J264" i="4"/>
  <c r="J263" i="4"/>
  <c r="J262" i="4"/>
  <c r="J261" i="4"/>
  <c r="J260" i="4"/>
  <c r="J259" i="4"/>
  <c r="J258" i="4"/>
  <c r="J257" i="4"/>
  <c r="J255" i="4"/>
  <c r="J254" i="4"/>
  <c r="J253" i="4"/>
  <c r="J252" i="4"/>
  <c r="J251" i="4"/>
  <c r="J250" i="4"/>
  <c r="J249" i="4"/>
  <c r="J248" i="4"/>
  <c r="J246" i="4"/>
  <c r="J245" i="4"/>
  <c r="J244" i="4"/>
  <c r="J243" i="4"/>
  <c r="J242" i="4"/>
  <c r="J241" i="4"/>
  <c r="J240" i="4"/>
  <c r="J239" i="4"/>
  <c r="J237" i="4"/>
  <c r="J236" i="4"/>
  <c r="J235" i="4"/>
  <c r="J234" i="4"/>
  <c r="J233" i="4"/>
  <c r="J232" i="4"/>
  <c r="J231" i="4"/>
  <c r="J230" i="4"/>
  <c r="J228" i="4"/>
  <c r="J227" i="4"/>
  <c r="J226" i="4"/>
  <c r="J225" i="4"/>
  <c r="J224" i="4"/>
  <c r="J223" i="4"/>
  <c r="J222" i="4"/>
  <c r="J220" i="4"/>
  <c r="J219" i="4"/>
  <c r="J218" i="4"/>
  <c r="J217" i="4"/>
  <c r="J216" i="4"/>
  <c r="J215" i="4"/>
  <c r="J214" i="4"/>
  <c r="J213" i="4"/>
  <c r="J212" i="4"/>
  <c r="J210" i="4"/>
  <c r="J209" i="4"/>
  <c r="J208" i="4"/>
  <c r="J207" i="4"/>
  <c r="J206" i="4"/>
  <c r="J205" i="4"/>
  <c r="J204" i="4"/>
  <c r="J203" i="4"/>
  <c r="J201" i="4"/>
  <c r="J200" i="4"/>
  <c r="J199" i="4"/>
  <c r="J198" i="4"/>
  <c r="J197" i="4"/>
  <c r="J196" i="4"/>
  <c r="J195" i="4"/>
  <c r="J194" i="4"/>
  <c r="J192" i="4"/>
  <c r="J191" i="4"/>
  <c r="J190" i="4"/>
  <c r="J189" i="4"/>
  <c r="J188" i="4"/>
  <c r="J187" i="4"/>
  <c r="J186" i="4"/>
  <c r="J185" i="4"/>
  <c r="J183" i="4"/>
  <c r="J182" i="4"/>
  <c r="J181" i="4"/>
  <c r="J180" i="4"/>
  <c r="J179" i="4"/>
  <c r="J178" i="4"/>
  <c r="J177" i="4"/>
  <c r="J176" i="4"/>
  <c r="J174" i="4"/>
  <c r="J173" i="4"/>
  <c r="J172" i="4"/>
  <c r="J171" i="4"/>
  <c r="J170" i="4"/>
  <c r="J169" i="4"/>
  <c r="J168" i="4"/>
  <c r="J167" i="4"/>
  <c r="J165" i="4"/>
  <c r="J164" i="4"/>
  <c r="J163" i="4"/>
  <c r="J162" i="4"/>
  <c r="J161" i="4"/>
  <c r="J160" i="4"/>
  <c r="J159" i="4"/>
  <c r="J158" i="4"/>
  <c r="J156" i="4"/>
  <c r="J155" i="4"/>
  <c r="J154" i="4"/>
  <c r="J153" i="4"/>
  <c r="J152" i="4"/>
  <c r="J151" i="4"/>
  <c r="J150" i="4"/>
  <c r="J149" i="4"/>
  <c r="J147" i="4"/>
  <c r="J146" i="4"/>
  <c r="J145" i="4"/>
  <c r="J144" i="4"/>
  <c r="J143" i="4"/>
  <c r="J142" i="4"/>
  <c r="J141" i="4"/>
  <c r="J140" i="4"/>
  <c r="J138" i="4"/>
  <c r="J137" i="4"/>
  <c r="J136" i="4"/>
  <c r="J135" i="4"/>
  <c r="J134" i="4"/>
  <c r="J133" i="4"/>
  <c r="J132" i="4"/>
  <c r="J131" i="4"/>
  <c r="J129" i="4"/>
  <c r="J128" i="4"/>
  <c r="J127" i="4"/>
  <c r="J126" i="4"/>
  <c r="J125" i="4"/>
  <c r="J124" i="4"/>
  <c r="J123" i="4"/>
  <c r="J122" i="4"/>
  <c r="J120" i="4"/>
  <c r="J119" i="4"/>
  <c r="J118" i="4"/>
  <c r="J117" i="4"/>
  <c r="J116" i="4"/>
  <c r="J115" i="4"/>
  <c r="J114" i="4"/>
  <c r="J113" i="4"/>
  <c r="J111" i="4"/>
  <c r="J110" i="4"/>
  <c r="J109" i="4"/>
  <c r="J108" i="4"/>
  <c r="J107" i="4"/>
  <c r="J106" i="4"/>
  <c r="J105" i="4"/>
  <c r="J104" i="4"/>
  <c r="J102" i="4"/>
  <c r="J101" i="4"/>
  <c r="J100" i="4"/>
  <c r="J99" i="4"/>
  <c r="J98" i="4"/>
  <c r="J97" i="4"/>
  <c r="J96" i="4"/>
  <c r="J95" i="4"/>
  <c r="J93" i="4"/>
  <c r="J92" i="4"/>
  <c r="J91" i="4"/>
  <c r="J90" i="4"/>
  <c r="J89" i="4"/>
  <c r="J88" i="4"/>
  <c r="J87" i="4"/>
  <c r="J86" i="4"/>
  <c r="J84" i="4"/>
  <c r="J83" i="4"/>
  <c r="J82" i="4"/>
  <c r="J81" i="4"/>
  <c r="J80" i="4"/>
  <c r="J79" i="4"/>
  <c r="J78" i="4"/>
  <c r="J77" i="4"/>
  <c r="J75" i="4"/>
  <c r="J74" i="4"/>
  <c r="J73" i="4"/>
  <c r="J72" i="4"/>
  <c r="J71" i="4"/>
  <c r="J70" i="4"/>
  <c r="J69" i="4"/>
  <c r="J68" i="4"/>
  <c r="J66" i="4"/>
  <c r="J65" i="4"/>
  <c r="J64" i="4"/>
  <c r="J63" i="4"/>
  <c r="J62" i="4"/>
  <c r="J61" i="4"/>
  <c r="J60" i="4"/>
  <c r="J59" i="4"/>
  <c r="J57" i="4"/>
  <c r="J56" i="4"/>
  <c r="J55" i="4"/>
  <c r="J54" i="4"/>
  <c r="J53" i="4"/>
  <c r="J52" i="4"/>
  <c r="J51" i="4"/>
  <c r="J50" i="4"/>
  <c r="J48" i="4"/>
  <c r="J47" i="4"/>
  <c r="J46" i="4"/>
  <c r="J45" i="4"/>
  <c r="J44" i="4"/>
  <c r="J43" i="4"/>
  <c r="J42" i="4"/>
  <c r="J41" i="4"/>
  <c r="J39" i="4"/>
  <c r="J38" i="4"/>
  <c r="J37" i="4"/>
  <c r="J36" i="4"/>
  <c r="J35" i="4"/>
  <c r="J34" i="4"/>
  <c r="J33" i="4"/>
  <c r="J32" i="4"/>
  <c r="J30" i="4"/>
  <c r="J29" i="4"/>
  <c r="J28" i="4"/>
  <c r="J27" i="4"/>
  <c r="J26" i="4"/>
  <c r="J25" i="4"/>
  <c r="J24" i="4"/>
  <c r="J23" i="4"/>
  <c r="J22" i="4"/>
  <c r="J40" i="4" l="1"/>
  <c r="J31" i="4"/>
  <c r="J49" i="4" l="1"/>
  <c r="J58" i="4" l="1"/>
  <c r="J67" i="4" l="1"/>
  <c r="J76" i="4" l="1"/>
  <c r="J85" i="4" l="1"/>
  <c r="J94" i="4" l="1"/>
  <c r="J103" i="4" l="1"/>
  <c r="J112" i="4" l="1"/>
  <c r="J121" i="4" l="1"/>
  <c r="J130" i="4" l="1"/>
  <c r="J139" i="4" l="1"/>
  <c r="J148" i="4" l="1"/>
  <c r="J157" i="4" l="1"/>
  <c r="J166" i="4" l="1"/>
  <c r="J175" i="4" l="1"/>
  <c r="J184" i="4" l="1"/>
  <c r="J193" i="4" l="1"/>
  <c r="J202" i="4" l="1"/>
  <c r="J211" i="4" l="1"/>
  <c r="J221" i="4" l="1"/>
  <c r="J229" i="4" l="1"/>
  <c r="J238" i="4" l="1"/>
  <c r="J247" i="4" l="1"/>
  <c r="J256" i="4" l="1"/>
  <c r="J265" i="4" l="1"/>
  <c r="J274" i="4" l="1"/>
  <c r="J292" i="4" l="1"/>
  <c r="J283" i="4"/>
</calcChain>
</file>

<file path=xl/sharedStrings.xml><?xml version="1.0" encoding="utf-8"?>
<sst xmlns="http://schemas.openxmlformats.org/spreadsheetml/2006/main" count="2344" uniqueCount="57">
  <si>
    <t>Tienda</t>
  </si>
  <si>
    <t>Florida</t>
  </si>
  <si>
    <t>Recoleta</t>
  </si>
  <si>
    <t>Sofía</t>
  </si>
  <si>
    <t>Maitena</t>
  </si>
  <si>
    <t>Candela</t>
  </si>
  <si>
    <t>Bárbara</t>
  </si>
  <si>
    <t>Micaela</t>
  </si>
  <si>
    <t>Mailen</t>
  </si>
  <si>
    <t>Rocío</t>
  </si>
  <si>
    <t>DICIEMBRE 2025</t>
  </si>
  <si>
    <t>Vendedora 1</t>
  </si>
  <si>
    <t>Vendedora 2</t>
  </si>
  <si>
    <t>Día</t>
  </si>
  <si>
    <t>Vendedora 3</t>
  </si>
  <si>
    <t>Estado de la hora</t>
  </si>
  <si>
    <t>Horas máximas</t>
  </si>
  <si>
    <t>Máximas</t>
  </si>
  <si>
    <t>Ocupadas</t>
  </si>
  <si>
    <t>Resumen de horas por vendedora</t>
  </si>
  <si>
    <t>Día de semana</t>
  </si>
  <si>
    <t>Hora</t>
  </si>
  <si>
    <t>Juana</t>
  </si>
  <si>
    <t>Vendedoras</t>
  </si>
  <si>
    <t>HORAS</t>
  </si>
  <si>
    <t>Personal Mínimo Requerido por turno:</t>
  </si>
  <si>
    <t>Horas trabajadas</t>
  </si>
  <si>
    <t>Horas feriados no trabajados</t>
  </si>
  <si>
    <t>FERIADO</t>
  </si>
  <si>
    <t>DICIEMBRE</t>
  </si>
  <si>
    <t>FLORIDA</t>
  </si>
  <si>
    <t>Horas totales</t>
  </si>
  <si>
    <t>NOVIEMBRE</t>
  </si>
  <si>
    <t>GUEMES</t>
  </si>
  <si>
    <t>RECOLETA</t>
  </si>
  <si>
    <t>FERIADOS</t>
  </si>
  <si>
    <t>Horas normales trabajadas</t>
  </si>
  <si>
    <t>Horas feriados trabajados</t>
  </si>
  <si>
    <t>Horas totales trabajadas</t>
  </si>
  <si>
    <t>HORAS EN FLORIDA</t>
  </si>
  <si>
    <t>HORAS EN GÜEMES</t>
  </si>
  <si>
    <t>HORAS EN RECOLETA</t>
  </si>
  <si>
    <t>NOVIEMBRE 2025</t>
  </si>
  <si>
    <t>Hora normales</t>
  </si>
  <si>
    <t>Güemes</t>
  </si>
  <si>
    <t>Feriados trabajados</t>
  </si>
  <si>
    <t>Feriados no trabajados</t>
  </si>
  <si>
    <t>[Nueva]</t>
  </si>
  <si>
    <t>HORAS POR VENDEDORA Y TIENDA</t>
  </si>
  <si>
    <t>HORAS TOTALES POR TIENDA (normales y feriados trabajados)</t>
  </si>
  <si>
    <t>Total horas</t>
  </si>
  <si>
    <t>Máximo</t>
  </si>
  <si>
    <t>Giselle</t>
  </si>
  <si>
    <t>Luciana</t>
  </si>
  <si>
    <t>Mailén</t>
  </si>
  <si>
    <t>Candela I.</t>
  </si>
  <si>
    <t>Candela 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</si>
</sst>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20" fontId="0" fillId="0" borderId="0" xfId="0" applyNumberFormat="1" applyAlignment="1">
      <alignment horizontal="center"/>
    </xf>
    <xf numFmtId="0" fontId="1" fillId="4" borderId="2" xfId="0" applyFont="1" applyFill="1" applyBorder="1"/>
    <xf numFmtId="0" fontId="1" fillId="4" borderId="0" xfId="0" applyFont="1" applyFill="1" applyBorder="1" applyAlignment="1">
      <alignment horizontal="center"/>
    </xf>
    <xf numFmtId="0" fontId="1" fillId="4" borderId="0" xfId="0" applyFont="1" applyFill="1" applyBorder="1"/>
    <xf numFmtId="0" fontId="1" fillId="4" borderId="3" xfId="0" applyFont="1" applyFill="1" applyBorder="1"/>
    <xf numFmtId="0" fontId="0" fillId="0" borderId="0" xfId="0" applyBorder="1" applyAlignment="1">
      <alignment horizontal="center"/>
    </xf>
    <xf numFmtId="0" fontId="0" fillId="0" borderId="4" xfId="0" applyBorder="1"/>
    <xf numFmtId="0" fontId="0" fillId="0" borderId="6" xfId="0" applyBorder="1" applyAlignment="1">
      <alignment horizontal="center"/>
    </xf>
    <xf numFmtId="14" fontId="0" fillId="5" borderId="0" xfId="0" applyNumberFormat="1" applyFill="1"/>
    <xf numFmtId="0" fontId="0" fillId="5" borderId="0" xfId="0" applyFill="1" applyAlignment="1">
      <alignment horizontal="center"/>
    </xf>
    <xf numFmtId="20" fontId="0" fillId="5" borderId="0" xfId="0" applyNumberFormat="1" applyFill="1" applyAlignment="1">
      <alignment horizontal="center"/>
    </xf>
    <xf numFmtId="0" fontId="0" fillId="5" borderId="0" xfId="0" applyFill="1"/>
    <xf numFmtId="14" fontId="0" fillId="6" borderId="0" xfId="0" applyNumberFormat="1" applyFill="1"/>
    <xf numFmtId="0" fontId="0" fillId="6" borderId="0" xfId="0" applyFill="1" applyAlignment="1">
      <alignment horizontal="center"/>
    </xf>
    <xf numFmtId="20" fontId="0" fillId="6" borderId="0" xfId="0" applyNumberFormat="1" applyFill="1" applyAlignment="1">
      <alignment horizontal="center"/>
    </xf>
    <xf numFmtId="0" fontId="0" fillId="6" borderId="0" xfId="0" applyFill="1"/>
    <xf numFmtId="49" fontId="0" fillId="6" borderId="0" xfId="0" applyNumberFormat="1" applyFill="1" applyAlignment="1">
      <alignment horizontal="center"/>
    </xf>
    <xf numFmtId="0" fontId="0" fillId="0" borderId="0" xfId="0" applyBorder="1"/>
    <xf numFmtId="0" fontId="4" fillId="0" borderId="0" xfId="0" applyFont="1"/>
    <xf numFmtId="0" fontId="2" fillId="2" borderId="1" xfId="0" applyFont="1" applyFill="1" applyBorder="1" applyAlignment="1">
      <alignment horizontal="center"/>
    </xf>
    <xf numFmtId="14" fontId="0" fillId="0" borderId="0" xfId="0" applyNumberFormat="1" applyFill="1"/>
    <xf numFmtId="0" fontId="0" fillId="0" borderId="0" xfId="0" applyFill="1" applyAlignment="1">
      <alignment horizontal="center"/>
    </xf>
    <xf numFmtId="20" fontId="0" fillId="0" borderId="0" xfId="0" applyNumberFormat="1" applyFill="1" applyAlignment="1">
      <alignment horizontal="center"/>
    </xf>
    <xf numFmtId="0" fontId="0" fillId="0" borderId="0" xfId="0" applyFill="1"/>
    <xf numFmtId="0" fontId="0" fillId="2" borderId="1" xfId="0" applyFill="1" applyBorder="1" applyAlignment="1">
      <alignment wrapText="1"/>
    </xf>
    <xf numFmtId="14" fontId="0" fillId="2" borderId="0" xfId="0" applyNumberFormat="1" applyFill="1"/>
    <xf numFmtId="0" fontId="0" fillId="2" borderId="0" xfId="0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0" fillId="2" borderId="0" xfId="0" applyFill="1"/>
    <xf numFmtId="0" fontId="0" fillId="0" borderId="0" xfId="0" applyNumberFormat="1"/>
    <xf numFmtId="0" fontId="0" fillId="2" borderId="0" xfId="0" applyNumberFormat="1" applyFill="1"/>
    <xf numFmtId="0" fontId="0" fillId="0" borderId="0" xfId="0" applyNumberFormat="1" applyAlignment="1">
      <alignment horizontal="center"/>
    </xf>
    <xf numFmtId="0" fontId="0" fillId="2" borderId="0" xfId="0" applyNumberForma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20" fontId="0" fillId="0" borderId="7" xfId="0" applyNumberFormat="1" applyFont="1" applyBorder="1" applyAlignment="1">
      <alignment horizontal="center"/>
    </xf>
    <xf numFmtId="0" fontId="0" fillId="0" borderId="7" xfId="0" applyFont="1" applyBorder="1"/>
    <xf numFmtId="20" fontId="0" fillId="0" borderId="8" xfId="0" applyNumberFormat="1" applyFont="1" applyBorder="1" applyAlignment="1">
      <alignment horizontal="center"/>
    </xf>
    <xf numFmtId="0" fontId="0" fillId="0" borderId="8" xfId="0" applyFont="1" applyBorder="1"/>
    <xf numFmtId="0" fontId="0" fillId="6" borderId="7" xfId="0" applyFont="1" applyFill="1" applyBorder="1" applyAlignment="1">
      <alignment horizontal="center"/>
    </xf>
    <xf numFmtId="20" fontId="0" fillId="6" borderId="7" xfId="0" applyNumberFormat="1" applyFont="1" applyFill="1" applyBorder="1" applyAlignment="1">
      <alignment horizontal="center"/>
    </xf>
    <xf numFmtId="0" fontId="0" fillId="6" borderId="7" xfId="0" applyFont="1" applyFill="1" applyBorder="1"/>
    <xf numFmtId="20" fontId="0" fillId="2" borderId="7" xfId="0" applyNumberFormat="1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5" borderId="7" xfId="0" applyFont="1" applyFill="1" applyBorder="1" applyAlignment="1">
      <alignment horizontal="center"/>
    </xf>
    <xf numFmtId="20" fontId="0" fillId="5" borderId="7" xfId="0" applyNumberFormat="1" applyFont="1" applyFill="1" applyBorder="1" applyAlignment="1">
      <alignment horizontal="center"/>
    </xf>
    <xf numFmtId="0" fontId="0" fillId="5" borderId="7" xfId="0" applyFont="1" applyFill="1" applyBorder="1"/>
    <xf numFmtId="0" fontId="0" fillId="2" borderId="7" xfId="0" applyFont="1" applyFill="1" applyBorder="1" applyAlignment="1">
      <alignment horizontal="center"/>
    </xf>
    <xf numFmtId="0" fontId="0" fillId="2" borderId="7" xfId="0" applyFont="1" applyFill="1" applyBorder="1"/>
    <xf numFmtId="14" fontId="0" fillId="0" borderId="7" xfId="0" applyNumberFormat="1" applyFont="1" applyBorder="1"/>
    <xf numFmtId="14" fontId="0" fillId="2" borderId="7" xfId="0" applyNumberFormat="1" applyFont="1" applyFill="1" applyBorder="1"/>
    <xf numFmtId="14" fontId="0" fillId="0" borderId="8" xfId="0" applyNumberFormat="1" applyFont="1" applyBorder="1"/>
    <xf numFmtId="14" fontId="0" fillId="5" borderId="7" xfId="0" applyNumberFormat="1" applyFont="1" applyFill="1" applyBorder="1"/>
    <xf numFmtId="14" fontId="0" fillId="6" borderId="7" xfId="0" applyNumberFormat="1" applyFont="1" applyFill="1" applyBorder="1"/>
    <xf numFmtId="49" fontId="0" fillId="6" borderId="7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0" borderId="0" xfId="0" applyFill="1" applyBorder="1"/>
    <xf numFmtId="0" fontId="0" fillId="0" borderId="9" xfId="0" applyFill="1" applyBorder="1" applyAlignment="1">
      <alignment wrapText="1"/>
    </xf>
    <xf numFmtId="0" fontId="0" fillId="0" borderId="9" xfId="0" applyFill="1" applyBorder="1"/>
    <xf numFmtId="49" fontId="6" fillId="0" borderId="0" xfId="0" applyNumberFormat="1" applyFont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Fill="1" applyBorder="1" applyAlignment="1">
      <alignment horizontal="left"/>
    </xf>
    <xf numFmtId="0" fontId="5" fillId="8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/>
    </xf>
    <xf numFmtId="0" fontId="1" fillId="9" borderId="0" xfId="0" applyFont="1" applyFill="1" applyBorder="1"/>
    <xf numFmtId="0" fontId="5" fillId="8" borderId="4" xfId="0" applyFont="1" applyFill="1" applyBorder="1"/>
    <xf numFmtId="0" fontId="5" fillId="8" borderId="5" xfId="0" applyFont="1" applyFill="1" applyBorder="1" applyAlignment="1">
      <alignment horizontal="center"/>
    </xf>
    <xf numFmtId="0" fontId="5" fillId="8" borderId="5" xfId="0" applyFont="1" applyFill="1" applyBorder="1"/>
    <xf numFmtId="0" fontId="2" fillId="0" borderId="1" xfId="0" applyFont="1" applyBorder="1"/>
  </cellXfs>
  <cellStyles count="1">
    <cellStyle name="Normal" xfId="0" builtinId="0"/>
  </cellStyles>
  <dxfs count="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5" formatCode="hh:mm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rgb="FF5B9BD5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5" formatCode="hh:mm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rgb="FF5B9BD5"/>
        </top>
        <bottom style="thin">
          <color theme="4"/>
        </bottom>
      </border>
    </dxf>
    <dxf>
      <numFmt numFmtId="0" formatCode="General"/>
    </dxf>
    <dxf>
      <numFmt numFmtId="25" formatCode="hh:mm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/yyyy"/>
    </dxf>
    <dxf>
      <border outline="0">
        <top style="thin">
          <color rgb="FF5B9BD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/yyyy"/>
    </dxf>
    <dxf>
      <border outline="0">
        <top style="thin">
          <color rgb="FF5B9BD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/yyyy"/>
    </dxf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/yyyy"/>
    </dxf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4" name="TablaFloridaDic" displayName="TablaFloridaDic" ref="I21:O300" totalsRowShown="0" headerRowDxfId="74" tableBorderDxfId="73">
  <autoFilter ref="I21:O300"/>
  <tableColumns count="7">
    <tableColumn id="1" name="Día" dataDxfId="72"/>
    <tableColumn id="2" name="Día de semana" dataDxfId="71">
      <calculatedColumnFormula>TEXT(I22,"ddd")</calculatedColumnFormula>
    </tableColumn>
    <tableColumn id="3" name="Hora" dataDxfId="70"/>
    <tableColumn id="4" name="Vendedora 1"/>
    <tableColumn id="5" name="Vendedora 2"/>
    <tableColumn id="6" name="Vendedora 3"/>
    <tableColumn id="7" name="Estado de la hora">
      <calculatedColumnFormula>IF(COUNTIF(L22:N22,"?*")&gt;=$L$4, "✅ CUBIERTO",
 IF(COUNTIF(L22:N22,"?*")&gt;0, "⚠ FALTANTE",
 "❌ SIN COMPLETAR"))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5" name="TablaFloridaNov" displayName="TablaFloridaNov" ref="A21:G291" totalsRowShown="0" headerRowDxfId="69" tableBorderDxfId="68">
  <autoFilter ref="A21:G291"/>
  <tableColumns count="7">
    <tableColumn id="1" name="Día" dataDxfId="67"/>
    <tableColumn id="2" name="Día de semana" dataDxfId="66">
      <calculatedColumnFormula>TEXT(A22,"ddd")</calculatedColumnFormula>
    </tableColumn>
    <tableColumn id="3" name="Hora" dataDxfId="65"/>
    <tableColumn id="4" name="Vendedora 1"/>
    <tableColumn id="5" name="Vendedora 2"/>
    <tableColumn id="6" name="Vendedora 3"/>
    <tableColumn id="7" name="Estado de la hora" dataDxfId="64">
      <calculatedColumnFormula>IF(COUNTIF(D22:F22,"?*")=$D$4,"✅ CUBIERTO",
IF(COUNTIF(D22:F22,"?*")&gt;$D$4,"⚠ EXCESO",IF(COUNTIF(D22:F22,"?*")&gt;0,"⚠ FALTANTE",
"❌ SIN COMPLETAR")))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6" name="TablaGuemesDic" displayName="TablaGuemesDic" ref="I21:O246" totalsRowShown="0" headerRowDxfId="63" tableBorderDxfId="62">
  <autoFilter ref="I21:O246"/>
  <tableColumns count="7">
    <tableColumn id="1" name="Día" dataDxfId="61"/>
    <tableColumn id="2" name="Día de semana" dataDxfId="60">
      <calculatedColumnFormula>TEXT(I22,"ddd")</calculatedColumnFormula>
    </tableColumn>
    <tableColumn id="3" name="Hora" dataDxfId="59"/>
    <tableColumn id="4" name="Vendedora 1"/>
    <tableColumn id="5" name="Vendedora 2"/>
    <tableColumn id="6" name="Vendedora 3"/>
    <tableColumn id="7" name="Estado de la hora">
      <calculatedColumnFormula>IF(COUNTIF(L22:N22,"?*")&gt;=$L$4, "✅ CUBIERTO",
 IF(COUNTIF(L22:N22,"?*")&gt;0, "⚠ FALTANTE",
 "❌ SIN COMPLETAR"))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TablaGuemesNov" displayName="TablaGuemesNov" ref="A21:G201" totalsRowShown="0" headerRowDxfId="58" tableBorderDxfId="57">
  <autoFilter ref="A21:G201"/>
  <tableColumns count="7">
    <tableColumn id="1" name="Día" dataDxfId="56"/>
    <tableColumn id="2" name="Día de semana" dataDxfId="55">
      <calculatedColumnFormula>TEXT(A22,"ddd")</calculatedColumnFormula>
    </tableColumn>
    <tableColumn id="3" name="Hora" dataDxfId="54"/>
    <tableColumn id="4" name="Vendedora 1"/>
    <tableColumn id="5" name="Vendedora 2"/>
    <tableColumn id="6" name="Vendedora 3"/>
    <tableColumn id="7" name="Estado de la hora" dataDxfId="53">
      <calculatedColumnFormula>IF(COUNTIF(D22:F22,"?*")&gt;=$D$4, "✅ CUBIERTO",
 IF(COUNTIF(D22:F22,"?*")&gt;0, "⚠ FALTANTE",
 "❌ SIN COMPLETAR"))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1" name="TablaRecoletaNov" displayName="TablaRecoletaNov" ref="A21:G351" totalsRowShown="0" headerRowDxfId="43" dataDxfId="44" tableBorderDxfId="52">
  <autoFilter ref="A21:G351"/>
  <tableColumns count="7">
    <tableColumn id="1" name="Día" dataDxfId="51"/>
    <tableColumn id="2" name="Día de semana" dataDxfId="50">
      <calculatedColumnFormula>TEXT(A22,"ddd")</calculatedColumnFormula>
    </tableColumn>
    <tableColumn id="3" name="Hora" dataDxfId="49"/>
    <tableColumn id="4" name="Vendedora 1" dataDxfId="48"/>
    <tableColumn id="5" name="Vendedora 2" dataDxfId="47"/>
    <tableColumn id="6" name="Vendedora 3" dataDxfId="46"/>
    <tableColumn id="7" name="Estado de la hora" dataDxfId="45">
      <calculatedColumnFormula>IF(COUNTIF(D22:F22,"?*")&gt;=$D$4, "✅ CUBIERTO",
 IF(COUNTIF(D22:F22,"?*")&gt;0, "⚠ FALTANTE",
 "❌ SIN COMPLETAR"))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8" name="TablaRecoletaDic" displayName="TablaRecoletaDic" ref="I21:O361" totalsRowShown="0" headerRowDxfId="33" dataDxfId="34" tableBorderDxfId="42">
  <autoFilter ref="I21:O361"/>
  <tableColumns count="7">
    <tableColumn id="1" name="Día" dataDxfId="41"/>
    <tableColumn id="2" name="Día de semana" dataDxfId="40">
      <calculatedColumnFormula>TEXT(I22,"ddd")</calculatedColumnFormula>
    </tableColumn>
    <tableColumn id="3" name="Hora" dataDxfId="39"/>
    <tableColumn id="4" name="Vendedora 1" dataDxfId="38"/>
    <tableColumn id="5" name="Vendedora 2" dataDxfId="37"/>
    <tableColumn id="6" name="Vendedora 3" dataDxfId="36"/>
    <tableColumn id="7" name="Estado de la hora" dataDxfId="35">
      <calculatedColumnFormula>IF(COUNTIF(L22:N22,"?*")&gt;=$L$4, "✅ CUBIERTO",
 IF(COUNTIF(L22:N22,"?*")&gt;0, "⚠ FALTANTE",
 "❌ SIN COMPLETAR"))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A4" zoomScale="110" zoomScaleNormal="110" workbookViewId="0">
      <selection activeCell="D20" sqref="D20"/>
    </sheetView>
  </sheetViews>
  <sheetFormatPr baseColWidth="10" defaultRowHeight="14.4" x14ac:dyDescent="0.3"/>
  <cols>
    <col min="8" max="8" width="13.5546875" customWidth="1"/>
  </cols>
  <sheetData>
    <row r="1" spans="1:13" ht="15.6" x14ac:dyDescent="0.3">
      <c r="A1" s="72" t="s">
        <v>42</v>
      </c>
    </row>
    <row r="3" spans="1:13" x14ac:dyDescent="0.3">
      <c r="A3" s="4" t="s">
        <v>48</v>
      </c>
      <c r="K3" s="4" t="s">
        <v>49</v>
      </c>
    </row>
    <row r="4" spans="1:13" x14ac:dyDescent="0.3">
      <c r="A4" s="74" t="s">
        <v>23</v>
      </c>
      <c r="B4" s="75" t="s">
        <v>43</v>
      </c>
      <c r="C4" s="75"/>
      <c r="D4" s="75"/>
      <c r="E4" s="75" t="s">
        <v>45</v>
      </c>
      <c r="F4" s="75"/>
      <c r="G4" s="75"/>
      <c r="H4" s="76" t="s">
        <v>38</v>
      </c>
      <c r="I4" s="80" t="s">
        <v>46</v>
      </c>
      <c r="K4" s="86" t="s">
        <v>0</v>
      </c>
      <c r="L4" s="66" t="s">
        <v>50</v>
      </c>
      <c r="M4" s="81" t="s">
        <v>51</v>
      </c>
    </row>
    <row r="5" spans="1:13" x14ac:dyDescent="0.3">
      <c r="A5" s="74"/>
      <c r="B5" s="73" t="s">
        <v>1</v>
      </c>
      <c r="C5" s="73" t="s">
        <v>44</v>
      </c>
      <c r="D5" s="73" t="s">
        <v>2</v>
      </c>
      <c r="E5" s="73" t="s">
        <v>1</v>
      </c>
      <c r="F5" s="73" t="s">
        <v>44</v>
      </c>
      <c r="G5" s="73" t="s">
        <v>2</v>
      </c>
      <c r="H5" s="76"/>
      <c r="I5" s="80"/>
      <c r="K5" s="79" t="s">
        <v>1</v>
      </c>
      <c r="L5" s="3">
        <f>SUM(B6:B16)+SUM(E6:E16)</f>
        <v>535</v>
      </c>
      <c r="M5" s="77">
        <v>600</v>
      </c>
    </row>
    <row r="6" spans="1:13" x14ac:dyDescent="0.3">
      <c r="A6" s="14" t="s">
        <v>3</v>
      </c>
      <c r="B6" s="3">
        <f>SUMPRODUCT((TablaFloridaNov[Vendedora 1]=A6)+(TablaFloridaNov[Vendedora 2]=A6)+(TablaFloridaNov[Vendedora 3]=A6),--(TablaFloridaNov[Día]&lt;&gt;$K$11))</f>
        <v>0</v>
      </c>
      <c r="C6" s="3">
        <f>SUMPRODUCT((TablaGuemesNov[Vendedora 1]=A6)+(TablaGuemesNov[Vendedora 2]=A6)+(TablaGuemesNov[Vendedora 3]=A6),--(TablaGuemesNov[Día]&lt;&gt;$K$11))</f>
        <v>143</v>
      </c>
      <c r="D6" s="3">
        <f>SUMPRODUCT((TablaRecoletaNov[Vendedora 1]=A6)+(TablaRecoletaNov[Vendedora 2]=A6)+(TablaRecoletaNov[Vendedora 3]=A6),--(TablaRecoletaNov[Día]&lt;&gt;$K$11))</f>
        <v>0</v>
      </c>
      <c r="E6" s="3">
        <f>SUMPRODUCT((TablaFloridaNov[Vendedora 1]=A6)+(TablaFloridaNov[Vendedora 2]=A6)+(TablaFloridaNov[Vendedora 3]=A6),--(TablaFloridaNov[Día]=$K$11))</f>
        <v>0</v>
      </c>
      <c r="F6" s="3">
        <f>SUMPRODUCT((TablaGuemesNov[Vendedora 1]=A6)+(TablaGuemesNov[Vendedora 2]=A6)+(TablaGuemesNov[Vendedora 3]=A6),--(TablaGuemesNov[Día]=$K$11))</f>
        <v>9</v>
      </c>
      <c r="G6" s="3">
        <f>SUMPRODUCT((TablaRecoletaNov[Vendedora 1]=A6)+(TablaRecoletaNov[Vendedora 2]=A6)+(TablaRecoletaNov[Vendedora 3]=A6),--(TablaRecoletaNov[Día]=$K$11))</f>
        <v>0</v>
      </c>
      <c r="H6" s="6">
        <f>SUM(B6:G6)</f>
        <v>152</v>
      </c>
      <c r="I6" s="78"/>
      <c r="K6" s="79" t="s">
        <v>44</v>
      </c>
      <c r="L6" s="3">
        <f>SUM(C6:C16)+SUM(F6:F16)</f>
        <v>152</v>
      </c>
      <c r="M6" s="77">
        <v>300</v>
      </c>
    </row>
    <row r="7" spans="1:13" x14ac:dyDescent="0.3">
      <c r="A7" s="14" t="s">
        <v>52</v>
      </c>
      <c r="B7" s="3">
        <f>SUMPRODUCT((TablaFloridaNov[Vendedora 1]=A7)+(TablaFloridaNov[Vendedora 2]=A7)+(TablaFloridaNov[Vendedora 3]=A7),--(TablaFloridaNov[Día]&lt;&gt;$K$11))</f>
        <v>0</v>
      </c>
      <c r="C7" s="3">
        <f>SUMPRODUCT((TablaGuemesNov[Vendedora 1]=A7)+(TablaGuemesNov[Vendedora 2]=A7)+(TablaGuemesNov[Vendedora 3]=A7),--(TablaGuemesNov[Día]&lt;&gt;$K$11))</f>
        <v>0</v>
      </c>
      <c r="D7" s="3">
        <f>SUMPRODUCT((TablaRecoletaNov[Vendedora 1]=A7)+(TablaRecoletaNov[Vendedora 2]=A7)+(TablaRecoletaNov[Vendedora 3]=A7),--(TablaRecoletaNov[Día]&lt;&gt;$K$11))</f>
        <v>0</v>
      </c>
      <c r="E7" s="3">
        <f>SUMPRODUCT((TablaFloridaNov[Vendedora 1]=A7)+(TablaFloridaNov[Vendedora 2]=A7)+(TablaFloridaNov[Vendedora 3]=A7),--(TablaFloridaNov[Día]=$K$11))</f>
        <v>0</v>
      </c>
      <c r="F7" s="3">
        <f>SUMPRODUCT((TablaGuemesNov[Vendedora 1]=A7)+(TablaGuemesNov[Vendedora 2]=A7)+(TablaGuemesNov[Vendedora 3]=A7),--(TablaGuemesNov[Día]=$K$11))</f>
        <v>0</v>
      </c>
      <c r="G7" s="3">
        <f>SUMPRODUCT((TablaRecoletaNov[Vendedora 1]=A7)+(TablaRecoletaNov[Vendedora 2]=A7)+(TablaRecoletaNov[Vendedora 3]=A7),--(TablaRecoletaNov[Día]=$K$11))</f>
        <v>0</v>
      </c>
      <c r="H7" s="6">
        <f t="shared" ref="H7:H15" si="0">SUM(B7:G7)</f>
        <v>0</v>
      </c>
      <c r="I7" s="78"/>
      <c r="K7" s="79" t="s">
        <v>2</v>
      </c>
      <c r="L7" s="3">
        <f>SUM(D6:D16)+SUM(G6:G16)</f>
        <v>157</v>
      </c>
      <c r="M7" s="77">
        <v>450</v>
      </c>
    </row>
    <row r="8" spans="1:13" x14ac:dyDescent="0.3">
      <c r="A8" s="14" t="s">
        <v>4</v>
      </c>
      <c r="B8" s="3">
        <f>SUMPRODUCT((TablaFloridaNov[Vendedora 1]=A8)+(TablaFloridaNov[Vendedora 2]=A8)+(TablaFloridaNov[Vendedora 3]=A8),--(TablaFloridaNov[Día]&lt;&gt;$K$11))</f>
        <v>493</v>
      </c>
      <c r="C8" s="3">
        <f>SUMPRODUCT((TablaGuemesNov[Vendedora 1]=A8)+(TablaGuemesNov[Vendedora 2]=A8)+(TablaGuemesNov[Vendedora 3]=A8),--(TablaGuemesNov[Día]&lt;&gt;$K$11))</f>
        <v>0</v>
      </c>
      <c r="D8" s="3">
        <f>SUMPRODUCT((TablaRecoletaNov[Vendedora 1]=A8)+(TablaRecoletaNov[Vendedora 2]=A8)+(TablaRecoletaNov[Vendedora 3]=A8),--(TablaRecoletaNov[Día]&lt;&gt;$K$11))</f>
        <v>11</v>
      </c>
      <c r="E8" s="3">
        <f>SUMPRODUCT((TablaFloridaNov[Vendedora 1]=A8)+(TablaFloridaNov[Vendedora 2]=A8)+(TablaFloridaNov[Vendedora 3]=A8),--(TablaFloridaNov[Día]=$K$11))</f>
        <v>8</v>
      </c>
      <c r="F8" s="3">
        <f>SUMPRODUCT((TablaGuemesNov[Vendedora 1]=A8)+(TablaGuemesNov[Vendedora 2]=A8)+(TablaGuemesNov[Vendedora 3]=A8),--(TablaGuemesNov[Día]=$K$11))</f>
        <v>0</v>
      </c>
      <c r="G8" s="3">
        <f>SUMPRODUCT((TablaRecoletaNov[Vendedora 1]=A8)+(TablaRecoletaNov[Vendedora 2]=A8)+(TablaRecoletaNov[Vendedora 3]=A8),--(TablaRecoletaNov[Día]=$K$11))</f>
        <v>0</v>
      </c>
      <c r="H8" s="6">
        <f t="shared" si="0"/>
        <v>512</v>
      </c>
      <c r="I8" s="78"/>
    </row>
    <row r="9" spans="1:13" x14ac:dyDescent="0.3">
      <c r="A9" s="14" t="s">
        <v>55</v>
      </c>
      <c r="B9" s="3">
        <f>SUMPRODUCT((TablaFloridaNov[Vendedora 1]=A9)+(TablaFloridaNov[Vendedora 2]=A9)+(TablaFloridaNov[Vendedora 3]=A9),--(TablaFloridaNov[Día]&lt;&gt;$K$11))</f>
        <v>12</v>
      </c>
      <c r="C9" s="3">
        <f>SUMPRODUCT((TablaGuemesNov[Vendedora 1]=A9)+(TablaGuemesNov[Vendedora 2]=A9)+(TablaGuemesNov[Vendedora 3]=A9),--(TablaGuemesNov[Día]&lt;&gt;$K$11))</f>
        <v>0</v>
      </c>
      <c r="D9" s="3">
        <f>SUMPRODUCT((TablaRecoletaNov[Vendedora 1]=A9)+(TablaRecoletaNov[Vendedora 2]=A9)+(TablaRecoletaNov[Vendedora 3]=A9),--(TablaRecoletaNov[Día]&lt;&gt;$K$11))</f>
        <v>0</v>
      </c>
      <c r="E9" s="3">
        <f>SUMPRODUCT((TablaFloridaNov[Vendedora 1]=A9)+(TablaFloridaNov[Vendedora 2]=A9)+(TablaFloridaNov[Vendedora 3]=A9),--(TablaFloridaNov[Día]=$K$11))</f>
        <v>0</v>
      </c>
      <c r="F9" s="3">
        <f>SUMPRODUCT((TablaGuemesNov[Vendedora 1]=A9)+(TablaGuemesNov[Vendedora 2]=A9)+(TablaGuemesNov[Vendedora 3]=A9),--(TablaGuemesNov[Día]=$K$11))</f>
        <v>0</v>
      </c>
      <c r="G9" s="3">
        <f>SUMPRODUCT((TablaRecoletaNov[Vendedora 1]=A9)+(TablaRecoletaNov[Vendedora 2]=A9)+(TablaRecoletaNov[Vendedora 3]=A9),--(TablaRecoletaNov[Día]=$K$11))</f>
        <v>0</v>
      </c>
      <c r="H9" s="6">
        <f t="shared" si="0"/>
        <v>12</v>
      </c>
      <c r="I9" s="78"/>
    </row>
    <row r="10" spans="1:13" x14ac:dyDescent="0.3">
      <c r="A10" s="14" t="s">
        <v>53</v>
      </c>
      <c r="B10" s="3">
        <f>SUMPRODUCT((TablaFloridaNov[Vendedora 1]=A10)+(TablaFloridaNov[Vendedora 2]=A10)+(TablaFloridaNov[Vendedora 3]=A10),--(TablaFloridaNov[Día]&lt;&gt;$K$11))</f>
        <v>0</v>
      </c>
      <c r="C10" s="3">
        <f>SUMPRODUCT((TablaGuemesNov[Vendedora 1]=A10)+(TablaGuemesNov[Vendedora 2]=A10)+(TablaGuemesNov[Vendedora 3]=A10),--(TablaGuemesNov[Día]&lt;&gt;$K$11))</f>
        <v>0</v>
      </c>
      <c r="D10" s="3">
        <f>SUMPRODUCT((TablaRecoletaNov[Vendedora 1]=A10)+(TablaRecoletaNov[Vendedora 2]=A10)+(TablaRecoletaNov[Vendedora 3]=A10),--(TablaRecoletaNov[Día]&lt;&gt;$K$11))</f>
        <v>0</v>
      </c>
      <c r="E10" s="3">
        <f>SUMPRODUCT((TablaFloridaNov[Vendedora 1]=A10)+(TablaFloridaNov[Vendedora 2]=A10)+(TablaFloridaNov[Vendedora 3]=A10),--(TablaFloridaNov[Día]=$K$11))</f>
        <v>0</v>
      </c>
      <c r="F10" s="3">
        <f>SUMPRODUCT((TablaGuemesNov[Vendedora 1]=A10)+(TablaGuemesNov[Vendedora 2]=A10)+(TablaGuemesNov[Vendedora 3]=A10),--(TablaGuemesNov[Día]=$K$11))</f>
        <v>0</v>
      </c>
      <c r="G10" s="3">
        <f>SUMPRODUCT((TablaRecoletaNov[Vendedora 1]=A10)+(TablaRecoletaNov[Vendedora 2]=A10)+(TablaRecoletaNov[Vendedora 3]=A10),--(TablaRecoletaNov[Día]=$K$11))</f>
        <v>0</v>
      </c>
      <c r="H10" s="6">
        <f t="shared" si="0"/>
        <v>0</v>
      </c>
      <c r="I10" s="78"/>
      <c r="K10" s="81" t="s">
        <v>35</v>
      </c>
    </row>
    <row r="11" spans="1:13" x14ac:dyDescent="0.3">
      <c r="A11" s="14" t="s">
        <v>6</v>
      </c>
      <c r="B11" s="3">
        <f>SUMPRODUCT((TablaFloridaNov[Vendedora 1]=A11)+(TablaFloridaNov[Vendedora 2]=A11)+(TablaFloridaNov[Vendedora 3]=A11),--(TablaFloridaNov[Día]&lt;&gt;$K$11))</f>
        <v>0</v>
      </c>
      <c r="C11" s="3">
        <f>SUMPRODUCT((TablaGuemesNov[Vendedora 1]=A11)+(TablaGuemesNov[Vendedora 2]=A11)+(TablaGuemesNov[Vendedora 3]=A11),--(TablaGuemesNov[Día]&lt;&gt;$K$11))</f>
        <v>0</v>
      </c>
      <c r="D11" s="3">
        <f>SUMPRODUCT((TablaRecoletaNov[Vendedora 1]=A11)+(TablaRecoletaNov[Vendedora 2]=A11)+(TablaRecoletaNov[Vendedora 3]=A11),--(TablaRecoletaNov[Día]&lt;&gt;$K$11))</f>
        <v>0</v>
      </c>
      <c r="E11" s="3">
        <f>SUMPRODUCT((TablaFloridaNov[Vendedora 1]=A11)+(TablaFloridaNov[Vendedora 2]=A11)+(TablaFloridaNov[Vendedora 3]=A11),--(TablaFloridaNov[Día]=$K$11))</f>
        <v>0</v>
      </c>
      <c r="F11" s="3">
        <f>SUMPRODUCT((TablaGuemesNov[Vendedora 1]=A11)+(TablaGuemesNov[Vendedora 2]=A11)+(TablaGuemesNov[Vendedora 3]=A11),--(TablaGuemesNov[Día]=$K$11))</f>
        <v>0</v>
      </c>
      <c r="G11" s="3">
        <f>SUMPRODUCT((TablaRecoletaNov[Vendedora 1]=A11)+(TablaRecoletaNov[Vendedora 2]=A11)+(TablaRecoletaNov[Vendedora 3]=A11),--(TablaRecoletaNov[Día]=$K$11))</f>
        <v>0</v>
      </c>
      <c r="H11" s="6">
        <f t="shared" si="0"/>
        <v>0</v>
      </c>
      <c r="I11" s="78"/>
      <c r="K11" s="67">
        <v>45985</v>
      </c>
    </row>
    <row r="12" spans="1:13" x14ac:dyDescent="0.3">
      <c r="A12" s="14" t="s">
        <v>9</v>
      </c>
      <c r="B12" s="3">
        <f>SUMPRODUCT((TablaFloridaNov[Vendedora 1]=A12)+(TablaFloridaNov[Vendedora 2]=A12)+(TablaFloridaNov[Vendedora 3]=A12),--(TablaFloridaNov[Día]&lt;&gt;$K$11))</f>
        <v>5</v>
      </c>
      <c r="C12" s="3">
        <f>SUMPRODUCT((TablaGuemesNov[Vendedora 1]=A12)+(TablaGuemesNov[Vendedora 2]=A12)+(TablaGuemesNov[Vendedora 3]=A12),--(TablaGuemesNov[Día]&lt;&gt;$K$11))</f>
        <v>0</v>
      </c>
      <c r="D12" s="3">
        <f>SUMPRODUCT((TablaRecoletaNov[Vendedora 1]=A12)+(TablaRecoletaNov[Vendedora 2]=A12)+(TablaRecoletaNov[Vendedora 3]=A12),--(TablaRecoletaNov[Día]&lt;&gt;$K$11))</f>
        <v>63</v>
      </c>
      <c r="E12" s="3">
        <f>SUMPRODUCT((TablaFloridaNov[Vendedora 1]=A12)+(TablaFloridaNov[Vendedora 2]=A12)+(TablaFloridaNov[Vendedora 3]=A12),--(TablaFloridaNov[Día]=$K$11))</f>
        <v>0</v>
      </c>
      <c r="F12" s="3">
        <f>SUMPRODUCT((TablaGuemesNov[Vendedora 1]=A12)+(TablaGuemesNov[Vendedora 2]=A12)+(TablaGuemesNov[Vendedora 3]=A12),--(TablaGuemesNov[Día]=$K$11))</f>
        <v>0</v>
      </c>
      <c r="G12" s="3">
        <f>SUMPRODUCT((TablaRecoletaNov[Vendedora 1]=A12)+(TablaRecoletaNov[Vendedora 2]=A12)+(TablaRecoletaNov[Vendedora 3]=A12),--(TablaRecoletaNov[Día]=$K$11))</f>
        <v>11</v>
      </c>
      <c r="H12" s="6">
        <f t="shared" si="0"/>
        <v>79</v>
      </c>
      <c r="I12" s="78"/>
    </row>
    <row r="13" spans="1:13" x14ac:dyDescent="0.3">
      <c r="A13" s="14" t="s">
        <v>54</v>
      </c>
      <c r="B13" s="3">
        <f>SUMPRODUCT((TablaFloridaNov[Vendedora 1]=A13)+(TablaFloridaNov[Vendedora 2]=A13)+(TablaFloridaNov[Vendedora 3]=A13),--(TablaFloridaNov[Día]&lt;&gt;$K$11))</f>
        <v>12</v>
      </c>
      <c r="C13" s="3">
        <f>SUMPRODUCT((TablaGuemesNov[Vendedora 1]=A13)+(TablaGuemesNov[Vendedora 2]=A13)+(TablaGuemesNov[Vendedora 3]=A13),--(TablaGuemesNov[Día]&lt;&gt;$K$11))</f>
        <v>0</v>
      </c>
      <c r="D13" s="3">
        <f>SUMPRODUCT((TablaRecoletaNov[Vendedora 1]=A13)+(TablaRecoletaNov[Vendedora 2]=A13)+(TablaRecoletaNov[Vendedora 3]=A13),--(TablaRecoletaNov[Día]&lt;&gt;$K$11))</f>
        <v>0</v>
      </c>
      <c r="E13" s="3">
        <f>SUMPRODUCT((TablaFloridaNov[Vendedora 1]=A13)+(TablaFloridaNov[Vendedora 2]=A13)+(TablaFloridaNov[Vendedora 3]=A13),--(TablaFloridaNov[Día]=$K$11))</f>
        <v>0</v>
      </c>
      <c r="F13" s="3">
        <f>SUMPRODUCT((TablaGuemesNov[Vendedora 1]=A13)+(TablaGuemesNov[Vendedora 2]=A13)+(TablaGuemesNov[Vendedora 3]=A13),--(TablaGuemesNov[Día]=$K$11))</f>
        <v>0</v>
      </c>
      <c r="G13" s="3">
        <f>SUMPRODUCT((TablaRecoletaNov[Vendedora 1]=A13)+(TablaRecoletaNov[Vendedora 2]=A13)+(TablaRecoletaNov[Vendedora 3]=A13),--(TablaRecoletaNov[Día]=$K$11))</f>
        <v>0</v>
      </c>
      <c r="H13" s="6">
        <f t="shared" si="0"/>
        <v>12</v>
      </c>
      <c r="I13" s="78"/>
    </row>
    <row r="14" spans="1:13" x14ac:dyDescent="0.3">
      <c r="A14" s="14" t="s">
        <v>56</v>
      </c>
      <c r="B14" s="3">
        <f>SUMPRODUCT((TablaFloridaNov[Vendedora 1]=A14)+(TablaFloridaNov[Vendedora 2]=A14)+(TablaFloridaNov[Vendedora 3]=A14),--(TablaFloridaNov[Día]&lt;&gt;$K$11))</f>
        <v>0</v>
      </c>
      <c r="C14" s="3">
        <f>SUMPRODUCT((TablaGuemesNov[Vendedora 1]=A14)+(TablaGuemesNov[Vendedora 2]=A14)+(TablaGuemesNov[Vendedora 3]=A14),--(TablaGuemesNov[Día]&lt;&gt;$K$11))</f>
        <v>0</v>
      </c>
      <c r="D14" s="3">
        <f>SUMPRODUCT((TablaRecoletaNov[Vendedora 1]=A14)+(TablaRecoletaNov[Vendedora 2]=A14)+(TablaRecoletaNov[Vendedora 3]=A14),--(TablaRecoletaNov[Día]&lt;&gt;$K$11))</f>
        <v>0</v>
      </c>
      <c r="E14" s="3">
        <f>SUMPRODUCT((TablaFloridaNov[Vendedora 1]=A14)+(TablaFloridaNov[Vendedora 2]=A14)+(TablaFloridaNov[Vendedora 3]=A14),--(TablaFloridaNov[Día]=$K$11))</f>
        <v>0</v>
      </c>
      <c r="F14" s="3">
        <f>SUMPRODUCT((TablaGuemesNov[Vendedora 1]=A14)+(TablaGuemesNov[Vendedora 2]=A14)+(TablaGuemesNov[Vendedora 3]=A14),--(TablaGuemesNov[Día]=$K$11))</f>
        <v>0</v>
      </c>
      <c r="G14" s="3">
        <f>SUMPRODUCT((TablaRecoletaNov[Vendedora 1]=A14)+(TablaRecoletaNov[Vendedora 2]=A14)+(TablaRecoletaNov[Vendedora 3]=A14),--(TablaRecoletaNov[Día]=$K$11))</f>
        <v>0</v>
      </c>
      <c r="H14" s="6">
        <f t="shared" si="0"/>
        <v>0</v>
      </c>
      <c r="I14" s="78"/>
    </row>
    <row r="15" spans="1:13" x14ac:dyDescent="0.3">
      <c r="A15" s="14" t="s">
        <v>7</v>
      </c>
      <c r="B15" s="3">
        <f>SUMPRODUCT((TablaFloridaNov[Vendedora 1]=A15)+(TablaFloridaNov[Vendedora 2]=A15)+(TablaFloridaNov[Vendedora 3]=A15),--(TablaFloridaNov[Día]&lt;&gt;$K$11))</f>
        <v>0</v>
      </c>
      <c r="C15" s="3">
        <f>SUMPRODUCT((TablaGuemesNov[Vendedora 1]=A15)+(TablaGuemesNov[Vendedora 2]=A15)+(TablaGuemesNov[Vendedora 3]=A15),--(TablaGuemesNov[Día]&lt;&gt;$K$11))</f>
        <v>0</v>
      </c>
      <c r="D15" s="3">
        <f>SUMPRODUCT((TablaRecoletaNov[Vendedora 1]=A15)+(TablaRecoletaNov[Vendedora 2]=A15)+(TablaRecoletaNov[Vendedora 3]=A15),--(TablaRecoletaNov[Día]&lt;&gt;$K$11))</f>
        <v>72</v>
      </c>
      <c r="E15" s="3">
        <f>SUMPRODUCT((TablaFloridaNov[Vendedora 1]=A15)+(TablaFloridaNov[Vendedora 2]=A15)+(TablaFloridaNov[Vendedora 3]=A15),--(TablaFloridaNov[Día]=$K$11))</f>
        <v>5</v>
      </c>
      <c r="F15" s="3">
        <f>SUMPRODUCT((TablaGuemesNov[Vendedora 1]=A15)+(TablaGuemesNov[Vendedora 2]=A15)+(TablaGuemesNov[Vendedora 3]=A15),--(TablaGuemesNov[Día]=$K$11))</f>
        <v>0</v>
      </c>
      <c r="G15" s="3">
        <f>SUMPRODUCT((TablaRecoletaNov[Vendedora 1]=A15)+(TablaRecoletaNov[Vendedora 2]=A15)+(TablaRecoletaNov[Vendedora 3]=A15),--(TablaRecoletaNov[Día]=$K$11))</f>
        <v>0</v>
      </c>
      <c r="H15" s="6">
        <f t="shared" si="0"/>
        <v>77</v>
      </c>
      <c r="I15" s="78"/>
    </row>
    <row r="16" spans="1:13" x14ac:dyDescent="0.3">
      <c r="A16" s="3" t="s">
        <v>47</v>
      </c>
      <c r="B16" s="3">
        <f>SUMPRODUCT((TablaFloridaNov[Vendedora 1]=A16)+(TablaFloridaNov[Vendedora 2]=A16)+(TablaFloridaNov[Vendedora 3]=A16),--(TablaFloridaNov[Día]&lt;&gt;$K$11))</f>
        <v>0</v>
      </c>
      <c r="C16" s="3">
        <f>SUMPRODUCT((TablaGuemesNov[Vendedora 1]=A16)+(TablaGuemesNov[Vendedora 2]=A16)+(TablaGuemesNov[Vendedora 3]=A16),--(TablaGuemesNov[Día]&lt;&gt;$K$11))</f>
        <v>0</v>
      </c>
      <c r="D16" s="3">
        <f>SUMPRODUCT((TablaRecoletaNov[Vendedora 1]=A16)+(TablaRecoletaNov[Vendedora 2]=A16)+(TablaRecoletaNov[Vendedora 3]=A16),--(TablaRecoletaNov[Día]&lt;&gt;$K$11))</f>
        <v>0</v>
      </c>
      <c r="E16" s="3">
        <f>SUMPRODUCT((TablaFloridaNov[Vendedora 1]=A16)+(TablaFloridaNov[Vendedora 2]=A16)+(TablaFloridaNov[Vendedora 3]=A16),--(TablaFloridaNov[Día]=$K$11))</f>
        <v>0</v>
      </c>
      <c r="F16" s="3">
        <f>SUMPRODUCT((TablaGuemesNov[Vendedora 1]=A16)+(TablaGuemesNov[Vendedora 2]=A16)+(TablaGuemesNov[Vendedora 3]=A16),--(TablaGuemesNov[Día]=$K$11))</f>
        <v>0</v>
      </c>
      <c r="G16" s="3">
        <f>SUMPRODUCT((TablaRecoletaNov[Vendedora 1]=A16)+(TablaRecoletaNov[Vendedora 2]=A16)+(TablaRecoletaNov[Vendedora 3]=A16),--(TablaRecoletaNov[Día]=$K$11))</f>
        <v>0</v>
      </c>
      <c r="H16" s="6">
        <f t="shared" ref="H16" si="1">SUM(B16:G16)</f>
        <v>0</v>
      </c>
      <c r="I16" s="78"/>
    </row>
    <row r="20" spans="1:13" ht="15.6" x14ac:dyDescent="0.3">
      <c r="A20" s="72" t="s">
        <v>10</v>
      </c>
    </row>
    <row r="22" spans="1:13" x14ac:dyDescent="0.3">
      <c r="A22" s="4" t="s">
        <v>48</v>
      </c>
      <c r="K22" s="4" t="s">
        <v>49</v>
      </c>
    </row>
    <row r="23" spans="1:13" x14ac:dyDescent="0.3">
      <c r="A23" s="74" t="s">
        <v>23</v>
      </c>
      <c r="B23" s="75" t="s">
        <v>43</v>
      </c>
      <c r="C23" s="75"/>
      <c r="D23" s="75"/>
      <c r="E23" s="75" t="s">
        <v>45</v>
      </c>
      <c r="F23" s="75"/>
      <c r="G23" s="75"/>
      <c r="H23" s="76" t="s">
        <v>38</v>
      </c>
      <c r="I23" s="80" t="s">
        <v>46</v>
      </c>
      <c r="K23" s="86" t="s">
        <v>0</v>
      </c>
      <c r="L23" s="66" t="s">
        <v>50</v>
      </c>
      <c r="M23" s="81" t="s">
        <v>51</v>
      </c>
    </row>
    <row r="24" spans="1:13" x14ac:dyDescent="0.3">
      <c r="A24" s="74"/>
      <c r="B24" s="73" t="s">
        <v>1</v>
      </c>
      <c r="C24" s="73" t="s">
        <v>44</v>
      </c>
      <c r="D24" s="73" t="s">
        <v>2</v>
      </c>
      <c r="E24" s="73" t="s">
        <v>1</v>
      </c>
      <c r="F24" s="73" t="s">
        <v>44</v>
      </c>
      <c r="G24" s="73" t="s">
        <v>2</v>
      </c>
      <c r="H24" s="76"/>
      <c r="I24" s="80"/>
      <c r="K24" s="79" t="s">
        <v>1</v>
      </c>
      <c r="L24" s="3">
        <f>SUM(B25:B35)+SUM(E25:E35)</f>
        <v>535</v>
      </c>
      <c r="M24" s="77">
        <v>600</v>
      </c>
    </row>
    <row r="25" spans="1:13" x14ac:dyDescent="0.3">
      <c r="A25" s="14" t="s">
        <v>3</v>
      </c>
      <c r="B25" s="3">
        <f>SUMPRODUCT((TablaFloridaNov[Vendedora 1]=A25)+(TablaFloridaNov[Vendedora 2]=A25)+(TablaFloridaNov[Vendedora 3]=A25),--(TablaFloridaNov[Día]&lt;&gt;$K$11))</f>
        <v>0</v>
      </c>
      <c r="C25" s="3">
        <f>SUMPRODUCT((TablaGuemesNov[Vendedora 1]=A25)+(TablaGuemesNov[Vendedora 2]=A25)+(TablaGuemesNov[Vendedora 3]=A25),--(TablaGuemesNov[Día]&lt;&gt;$K$11))</f>
        <v>143</v>
      </c>
      <c r="D25" s="3">
        <f>SUMPRODUCT((TablaRecoletaNov[Vendedora 1]=A25)+(TablaRecoletaNov[Vendedora 2]=A25)+(TablaRecoletaNov[Vendedora 3]=A25),--(TablaRecoletaNov[Día]&lt;&gt;$K$11))</f>
        <v>0</v>
      </c>
      <c r="E25" s="3">
        <f>SUMPRODUCT((TablaFloridaNov[Vendedora 1]=A25)+(TablaFloridaNov[Vendedora 2]=A25)+(TablaFloridaNov[Vendedora 3]=A25),--(TablaFloridaNov[Día]=$K$11))</f>
        <v>0</v>
      </c>
      <c r="F25" s="3">
        <f>SUMPRODUCT((TablaGuemesNov[Vendedora 1]=A25)+(TablaGuemesNov[Vendedora 2]=A25)+(TablaGuemesNov[Vendedora 3]=A25),--(TablaGuemesNov[Día]=$K$11))</f>
        <v>9</v>
      </c>
      <c r="G25" s="3">
        <f>SUMPRODUCT((TablaRecoletaNov[Vendedora 1]=A25)+(TablaRecoletaNov[Vendedora 2]=A25)+(TablaRecoletaNov[Vendedora 3]=A25),--(TablaRecoletaNov[Día]=$K$11))</f>
        <v>0</v>
      </c>
      <c r="H25" s="6">
        <f>SUM(B25:G25)</f>
        <v>152</v>
      </c>
      <c r="I25" s="78"/>
      <c r="K25" s="79" t="s">
        <v>44</v>
      </c>
      <c r="L25" s="3">
        <f>SUM(C25:C35)+SUM(F25:F35)</f>
        <v>152</v>
      </c>
      <c r="M25" s="77">
        <v>300</v>
      </c>
    </row>
    <row r="26" spans="1:13" x14ac:dyDescent="0.3">
      <c r="A26" s="14" t="s">
        <v>52</v>
      </c>
      <c r="B26" s="3">
        <f>SUMPRODUCT((TablaFloridaNov[Vendedora 1]=A26)+(TablaFloridaNov[Vendedora 2]=A26)+(TablaFloridaNov[Vendedora 3]=A26),--(TablaFloridaNov[Día]&lt;&gt;$K$11))</f>
        <v>0</v>
      </c>
      <c r="C26" s="3">
        <f>SUMPRODUCT((TablaGuemesNov[Vendedora 1]=A26)+(TablaGuemesNov[Vendedora 2]=A26)+(TablaGuemesNov[Vendedora 3]=A26),--(TablaGuemesNov[Día]&lt;&gt;$K$11))</f>
        <v>0</v>
      </c>
      <c r="D26" s="3">
        <f>SUMPRODUCT((TablaRecoletaNov[Vendedora 1]=A26)+(TablaRecoletaNov[Vendedora 2]=A26)+(TablaRecoletaNov[Vendedora 3]=A26),--(TablaRecoletaNov[Día]&lt;&gt;$K$11))</f>
        <v>0</v>
      </c>
      <c r="E26" s="3">
        <f>SUMPRODUCT((TablaFloridaNov[Vendedora 1]=A26)+(TablaFloridaNov[Vendedora 2]=A26)+(TablaFloridaNov[Vendedora 3]=A26),--(TablaFloridaNov[Día]=$K$11))</f>
        <v>0</v>
      </c>
      <c r="F26" s="3">
        <f>SUMPRODUCT((TablaGuemesNov[Vendedora 1]=A26)+(TablaGuemesNov[Vendedora 2]=A26)+(TablaGuemesNov[Vendedora 3]=A26),--(TablaGuemesNov[Día]=$K$11))</f>
        <v>0</v>
      </c>
      <c r="G26" s="3">
        <f>SUMPRODUCT((TablaRecoletaNov[Vendedora 1]=A26)+(TablaRecoletaNov[Vendedora 2]=A26)+(TablaRecoletaNov[Vendedora 3]=A26),--(TablaRecoletaNov[Día]=$K$11))</f>
        <v>0</v>
      </c>
      <c r="H26" s="6">
        <f t="shared" ref="H26:H35" si="2">SUM(B26:G26)</f>
        <v>0</v>
      </c>
      <c r="I26" s="78"/>
      <c r="K26" s="79" t="s">
        <v>2</v>
      </c>
      <c r="L26" s="3">
        <f>SUM(D25:D35)+SUM(G25:G35)</f>
        <v>157</v>
      </c>
      <c r="M26" s="77">
        <v>450</v>
      </c>
    </row>
    <row r="27" spans="1:13" x14ac:dyDescent="0.3">
      <c r="A27" s="14" t="s">
        <v>4</v>
      </c>
      <c r="B27" s="3">
        <f>SUMPRODUCT((TablaFloridaNov[Vendedora 1]=A27)+(TablaFloridaNov[Vendedora 2]=A27)+(TablaFloridaNov[Vendedora 3]=A27),--(TablaFloridaNov[Día]&lt;&gt;$K$11))</f>
        <v>493</v>
      </c>
      <c r="C27" s="3">
        <f>SUMPRODUCT((TablaGuemesNov[Vendedora 1]=A27)+(TablaGuemesNov[Vendedora 2]=A27)+(TablaGuemesNov[Vendedora 3]=A27),--(TablaGuemesNov[Día]&lt;&gt;$K$11))</f>
        <v>0</v>
      </c>
      <c r="D27" s="3">
        <f>SUMPRODUCT((TablaRecoletaNov[Vendedora 1]=A27)+(TablaRecoletaNov[Vendedora 2]=A27)+(TablaRecoletaNov[Vendedora 3]=A27),--(TablaRecoletaNov[Día]&lt;&gt;$K$11))</f>
        <v>11</v>
      </c>
      <c r="E27" s="3">
        <f>SUMPRODUCT((TablaFloridaNov[Vendedora 1]=A27)+(TablaFloridaNov[Vendedora 2]=A27)+(TablaFloridaNov[Vendedora 3]=A27),--(TablaFloridaNov[Día]=$K$11))</f>
        <v>8</v>
      </c>
      <c r="F27" s="3">
        <f>SUMPRODUCT((TablaGuemesNov[Vendedora 1]=A27)+(TablaGuemesNov[Vendedora 2]=A27)+(TablaGuemesNov[Vendedora 3]=A27),--(TablaGuemesNov[Día]=$K$11))</f>
        <v>0</v>
      </c>
      <c r="G27" s="3">
        <f>SUMPRODUCT((TablaRecoletaNov[Vendedora 1]=A27)+(TablaRecoletaNov[Vendedora 2]=A27)+(TablaRecoletaNov[Vendedora 3]=A27),--(TablaRecoletaNov[Día]=$K$11))</f>
        <v>0</v>
      </c>
      <c r="H27" s="6">
        <f t="shared" si="2"/>
        <v>512</v>
      </c>
      <c r="I27" s="78"/>
    </row>
    <row r="28" spans="1:13" x14ac:dyDescent="0.3">
      <c r="A28" s="14" t="s">
        <v>55</v>
      </c>
      <c r="B28" s="3">
        <f>SUMPRODUCT((TablaFloridaNov[Vendedora 1]=A28)+(TablaFloridaNov[Vendedora 2]=A28)+(TablaFloridaNov[Vendedora 3]=A28),--(TablaFloridaNov[Día]&lt;&gt;$K$11))</f>
        <v>12</v>
      </c>
      <c r="C28" s="3">
        <f>SUMPRODUCT((TablaGuemesNov[Vendedora 1]=A28)+(TablaGuemesNov[Vendedora 2]=A28)+(TablaGuemesNov[Vendedora 3]=A28),--(TablaGuemesNov[Día]&lt;&gt;$K$11))</f>
        <v>0</v>
      </c>
      <c r="D28" s="3">
        <f>SUMPRODUCT((TablaRecoletaNov[Vendedora 1]=A28)+(TablaRecoletaNov[Vendedora 2]=A28)+(TablaRecoletaNov[Vendedora 3]=A28),--(TablaRecoletaNov[Día]&lt;&gt;$K$11))</f>
        <v>0</v>
      </c>
      <c r="E28" s="3">
        <f>SUMPRODUCT((TablaFloridaNov[Vendedora 1]=A28)+(TablaFloridaNov[Vendedora 2]=A28)+(TablaFloridaNov[Vendedora 3]=A28),--(TablaFloridaNov[Día]=$K$11))</f>
        <v>0</v>
      </c>
      <c r="F28" s="3">
        <f>SUMPRODUCT((TablaGuemesNov[Vendedora 1]=A28)+(TablaGuemesNov[Vendedora 2]=A28)+(TablaGuemesNov[Vendedora 3]=A28),--(TablaGuemesNov[Día]=$K$11))</f>
        <v>0</v>
      </c>
      <c r="G28" s="3">
        <f>SUMPRODUCT((TablaRecoletaNov[Vendedora 1]=A28)+(TablaRecoletaNov[Vendedora 2]=A28)+(TablaRecoletaNov[Vendedora 3]=A28),--(TablaRecoletaNov[Día]=$K$11))</f>
        <v>0</v>
      </c>
      <c r="H28" s="6">
        <f t="shared" si="2"/>
        <v>12</v>
      </c>
      <c r="I28" s="78"/>
    </row>
    <row r="29" spans="1:13" x14ac:dyDescent="0.3">
      <c r="A29" s="14" t="s">
        <v>53</v>
      </c>
      <c r="B29" s="3">
        <f>SUMPRODUCT((TablaFloridaNov[Vendedora 1]=A29)+(TablaFloridaNov[Vendedora 2]=A29)+(TablaFloridaNov[Vendedora 3]=A29),--(TablaFloridaNov[Día]&lt;&gt;$K$11))</f>
        <v>0</v>
      </c>
      <c r="C29" s="3">
        <f>SUMPRODUCT((TablaGuemesNov[Vendedora 1]=A29)+(TablaGuemesNov[Vendedora 2]=A29)+(TablaGuemesNov[Vendedora 3]=A29),--(TablaGuemesNov[Día]&lt;&gt;$K$11))</f>
        <v>0</v>
      </c>
      <c r="D29" s="3">
        <f>SUMPRODUCT((TablaRecoletaNov[Vendedora 1]=A29)+(TablaRecoletaNov[Vendedora 2]=A29)+(TablaRecoletaNov[Vendedora 3]=A29),--(TablaRecoletaNov[Día]&lt;&gt;$K$11))</f>
        <v>0</v>
      </c>
      <c r="E29" s="3">
        <f>SUMPRODUCT((TablaFloridaNov[Vendedora 1]=A29)+(TablaFloridaNov[Vendedora 2]=A29)+(TablaFloridaNov[Vendedora 3]=A29),--(TablaFloridaNov[Día]=$K$11))</f>
        <v>0</v>
      </c>
      <c r="F29" s="3">
        <f>SUMPRODUCT((TablaGuemesNov[Vendedora 1]=A29)+(TablaGuemesNov[Vendedora 2]=A29)+(TablaGuemesNov[Vendedora 3]=A29),--(TablaGuemesNov[Día]=$K$11))</f>
        <v>0</v>
      </c>
      <c r="G29" s="3">
        <f>SUMPRODUCT((TablaRecoletaNov[Vendedora 1]=A29)+(TablaRecoletaNov[Vendedora 2]=A29)+(TablaRecoletaNov[Vendedora 3]=A29),--(TablaRecoletaNov[Día]=$K$11))</f>
        <v>0</v>
      </c>
      <c r="H29" s="6">
        <f t="shared" si="2"/>
        <v>0</v>
      </c>
      <c r="I29" s="78"/>
      <c r="K29" s="81" t="s">
        <v>35</v>
      </c>
    </row>
    <row r="30" spans="1:13" x14ac:dyDescent="0.3">
      <c r="A30" s="14" t="s">
        <v>6</v>
      </c>
      <c r="B30" s="3">
        <f>SUMPRODUCT((TablaFloridaNov[Vendedora 1]=A30)+(TablaFloridaNov[Vendedora 2]=A30)+(TablaFloridaNov[Vendedora 3]=A30),--(TablaFloridaNov[Día]&lt;&gt;$K$11))</f>
        <v>0</v>
      </c>
      <c r="C30" s="3">
        <f>SUMPRODUCT((TablaGuemesNov[Vendedora 1]=A30)+(TablaGuemesNov[Vendedora 2]=A30)+(TablaGuemesNov[Vendedora 3]=A30),--(TablaGuemesNov[Día]&lt;&gt;$K$11))</f>
        <v>0</v>
      </c>
      <c r="D30" s="3">
        <f>SUMPRODUCT((TablaRecoletaNov[Vendedora 1]=A30)+(TablaRecoletaNov[Vendedora 2]=A30)+(TablaRecoletaNov[Vendedora 3]=A30),--(TablaRecoletaNov[Día]&lt;&gt;$K$11))</f>
        <v>0</v>
      </c>
      <c r="E30" s="3">
        <f>SUMPRODUCT((TablaFloridaNov[Vendedora 1]=A30)+(TablaFloridaNov[Vendedora 2]=A30)+(TablaFloridaNov[Vendedora 3]=A30),--(TablaFloridaNov[Día]=$K$11))</f>
        <v>0</v>
      </c>
      <c r="F30" s="3">
        <f>SUMPRODUCT((TablaGuemesNov[Vendedora 1]=A30)+(TablaGuemesNov[Vendedora 2]=A30)+(TablaGuemesNov[Vendedora 3]=A30),--(TablaGuemesNov[Día]=$K$11))</f>
        <v>0</v>
      </c>
      <c r="G30" s="3">
        <f>SUMPRODUCT((TablaRecoletaNov[Vendedora 1]=A30)+(TablaRecoletaNov[Vendedora 2]=A30)+(TablaRecoletaNov[Vendedora 3]=A30),--(TablaRecoletaNov[Día]=$K$11))</f>
        <v>0</v>
      </c>
      <c r="H30" s="6">
        <f t="shared" si="2"/>
        <v>0</v>
      </c>
      <c r="I30" s="78"/>
      <c r="K30" s="67">
        <v>45999</v>
      </c>
    </row>
    <row r="31" spans="1:13" x14ac:dyDescent="0.3">
      <c r="A31" s="14" t="s">
        <v>9</v>
      </c>
      <c r="B31" s="3">
        <f>SUMPRODUCT((TablaFloridaNov[Vendedora 1]=A31)+(TablaFloridaNov[Vendedora 2]=A31)+(TablaFloridaNov[Vendedora 3]=A31),--(TablaFloridaNov[Día]&lt;&gt;$K$11))</f>
        <v>5</v>
      </c>
      <c r="C31" s="3">
        <f>SUMPRODUCT((TablaGuemesNov[Vendedora 1]=A31)+(TablaGuemesNov[Vendedora 2]=A31)+(TablaGuemesNov[Vendedora 3]=A31),--(TablaGuemesNov[Día]&lt;&gt;$K$11))</f>
        <v>0</v>
      </c>
      <c r="D31" s="3">
        <f>SUMPRODUCT((TablaRecoletaNov[Vendedora 1]=A31)+(TablaRecoletaNov[Vendedora 2]=A31)+(TablaRecoletaNov[Vendedora 3]=A31),--(TablaRecoletaNov[Día]&lt;&gt;$K$11))</f>
        <v>63</v>
      </c>
      <c r="E31" s="3">
        <f>SUMPRODUCT((TablaFloridaNov[Vendedora 1]=A31)+(TablaFloridaNov[Vendedora 2]=A31)+(TablaFloridaNov[Vendedora 3]=A31),--(TablaFloridaNov[Día]=$K$11))</f>
        <v>0</v>
      </c>
      <c r="F31" s="3">
        <f>SUMPRODUCT((TablaGuemesNov[Vendedora 1]=A31)+(TablaGuemesNov[Vendedora 2]=A31)+(TablaGuemesNov[Vendedora 3]=A31),--(TablaGuemesNov[Día]=$K$11))</f>
        <v>0</v>
      </c>
      <c r="G31" s="3">
        <f>SUMPRODUCT((TablaRecoletaNov[Vendedora 1]=A31)+(TablaRecoletaNov[Vendedora 2]=A31)+(TablaRecoletaNov[Vendedora 3]=A31),--(TablaRecoletaNov[Día]=$K$11))</f>
        <v>11</v>
      </c>
      <c r="H31" s="6">
        <f t="shared" si="2"/>
        <v>79</v>
      </c>
      <c r="I31" s="78"/>
    </row>
    <row r="32" spans="1:13" x14ac:dyDescent="0.3">
      <c r="A32" s="14" t="s">
        <v>54</v>
      </c>
      <c r="B32" s="3">
        <f>SUMPRODUCT((TablaFloridaNov[Vendedora 1]=A32)+(TablaFloridaNov[Vendedora 2]=A32)+(TablaFloridaNov[Vendedora 3]=A32),--(TablaFloridaNov[Día]&lt;&gt;$K$11))</f>
        <v>12</v>
      </c>
      <c r="C32" s="3">
        <f>SUMPRODUCT((TablaGuemesNov[Vendedora 1]=A32)+(TablaGuemesNov[Vendedora 2]=A32)+(TablaGuemesNov[Vendedora 3]=A32),--(TablaGuemesNov[Día]&lt;&gt;$K$11))</f>
        <v>0</v>
      </c>
      <c r="D32" s="3">
        <f>SUMPRODUCT((TablaRecoletaNov[Vendedora 1]=A32)+(TablaRecoletaNov[Vendedora 2]=A32)+(TablaRecoletaNov[Vendedora 3]=A32),--(TablaRecoletaNov[Día]&lt;&gt;$K$11))</f>
        <v>0</v>
      </c>
      <c r="E32" s="3">
        <f>SUMPRODUCT((TablaFloridaNov[Vendedora 1]=A32)+(TablaFloridaNov[Vendedora 2]=A32)+(TablaFloridaNov[Vendedora 3]=A32),--(TablaFloridaNov[Día]=$K$11))</f>
        <v>0</v>
      </c>
      <c r="F32" s="3">
        <f>SUMPRODUCT((TablaGuemesNov[Vendedora 1]=A32)+(TablaGuemesNov[Vendedora 2]=A32)+(TablaGuemesNov[Vendedora 3]=A32),--(TablaGuemesNov[Día]=$K$11))</f>
        <v>0</v>
      </c>
      <c r="G32" s="3">
        <f>SUMPRODUCT((TablaRecoletaNov[Vendedora 1]=A32)+(TablaRecoletaNov[Vendedora 2]=A32)+(TablaRecoletaNov[Vendedora 3]=A32),--(TablaRecoletaNov[Día]=$K$11))</f>
        <v>0</v>
      </c>
      <c r="H32" s="6">
        <f t="shared" si="2"/>
        <v>12</v>
      </c>
      <c r="I32" s="78"/>
    </row>
    <row r="33" spans="1:9" x14ac:dyDescent="0.3">
      <c r="A33" s="14" t="s">
        <v>56</v>
      </c>
      <c r="B33" s="3">
        <f>SUMPRODUCT((TablaFloridaNov[Vendedora 1]=A33)+(TablaFloridaNov[Vendedora 2]=A33)+(TablaFloridaNov[Vendedora 3]=A33),--(TablaFloridaNov[Día]&lt;&gt;$K$11))</f>
        <v>0</v>
      </c>
      <c r="C33" s="3">
        <f>SUMPRODUCT((TablaGuemesNov[Vendedora 1]=A33)+(TablaGuemesNov[Vendedora 2]=A33)+(TablaGuemesNov[Vendedora 3]=A33),--(TablaGuemesNov[Día]&lt;&gt;$K$11))</f>
        <v>0</v>
      </c>
      <c r="D33" s="3">
        <f>SUMPRODUCT((TablaRecoletaNov[Vendedora 1]=A33)+(TablaRecoletaNov[Vendedora 2]=A33)+(TablaRecoletaNov[Vendedora 3]=A33),--(TablaRecoletaNov[Día]&lt;&gt;$K$11))</f>
        <v>0</v>
      </c>
      <c r="E33" s="3">
        <f>SUMPRODUCT((TablaFloridaNov[Vendedora 1]=A33)+(TablaFloridaNov[Vendedora 2]=A33)+(TablaFloridaNov[Vendedora 3]=A33),--(TablaFloridaNov[Día]=$K$11))</f>
        <v>0</v>
      </c>
      <c r="F33" s="3">
        <f>SUMPRODUCT((TablaGuemesNov[Vendedora 1]=A33)+(TablaGuemesNov[Vendedora 2]=A33)+(TablaGuemesNov[Vendedora 3]=A33),--(TablaGuemesNov[Día]=$K$11))</f>
        <v>0</v>
      </c>
      <c r="G33" s="3">
        <f>SUMPRODUCT((TablaRecoletaNov[Vendedora 1]=A33)+(TablaRecoletaNov[Vendedora 2]=A33)+(TablaRecoletaNov[Vendedora 3]=A33),--(TablaRecoletaNov[Día]=$K$11))</f>
        <v>0</v>
      </c>
      <c r="H33" s="6">
        <f t="shared" si="2"/>
        <v>0</v>
      </c>
      <c r="I33" s="78"/>
    </row>
    <row r="34" spans="1:9" x14ac:dyDescent="0.3">
      <c r="A34" s="14" t="s">
        <v>7</v>
      </c>
      <c r="B34" s="3">
        <f>SUMPRODUCT((TablaFloridaNov[Vendedora 1]=A34)+(TablaFloridaNov[Vendedora 2]=A34)+(TablaFloridaNov[Vendedora 3]=A34),--(TablaFloridaNov[Día]&lt;&gt;$K$11))</f>
        <v>0</v>
      </c>
      <c r="C34" s="3">
        <f>SUMPRODUCT((TablaGuemesNov[Vendedora 1]=A34)+(TablaGuemesNov[Vendedora 2]=A34)+(TablaGuemesNov[Vendedora 3]=A34),--(TablaGuemesNov[Día]&lt;&gt;$K$11))</f>
        <v>0</v>
      </c>
      <c r="D34" s="3">
        <f>SUMPRODUCT((TablaRecoletaNov[Vendedora 1]=A34)+(TablaRecoletaNov[Vendedora 2]=A34)+(TablaRecoletaNov[Vendedora 3]=A34),--(TablaRecoletaNov[Día]&lt;&gt;$K$11))</f>
        <v>72</v>
      </c>
      <c r="E34" s="3">
        <f>SUMPRODUCT((TablaFloridaNov[Vendedora 1]=A34)+(TablaFloridaNov[Vendedora 2]=A34)+(TablaFloridaNov[Vendedora 3]=A34),--(TablaFloridaNov[Día]=$K$11))</f>
        <v>5</v>
      </c>
      <c r="F34" s="3">
        <f>SUMPRODUCT((TablaGuemesNov[Vendedora 1]=A34)+(TablaGuemesNov[Vendedora 2]=A34)+(TablaGuemesNov[Vendedora 3]=A34),--(TablaGuemesNov[Día]=$K$11))</f>
        <v>0</v>
      </c>
      <c r="G34" s="3">
        <f>SUMPRODUCT((TablaRecoletaNov[Vendedora 1]=A34)+(TablaRecoletaNov[Vendedora 2]=A34)+(TablaRecoletaNov[Vendedora 3]=A34),--(TablaRecoletaNov[Día]=$K$11))</f>
        <v>0</v>
      </c>
      <c r="H34" s="6">
        <f t="shared" si="2"/>
        <v>77</v>
      </c>
      <c r="I34" s="78"/>
    </row>
    <row r="35" spans="1:9" x14ac:dyDescent="0.3">
      <c r="A35" s="3" t="s">
        <v>47</v>
      </c>
      <c r="B35" s="3">
        <f>SUMPRODUCT((TablaFloridaNov[Vendedora 1]=A35)+(TablaFloridaNov[Vendedora 2]=A35)+(TablaFloridaNov[Vendedora 3]=A35),--(TablaFloridaNov[Día]&lt;&gt;$K$11))</f>
        <v>0</v>
      </c>
      <c r="C35" s="3">
        <f>SUMPRODUCT((TablaGuemesNov[Vendedora 1]=A35)+(TablaGuemesNov[Vendedora 2]=A35)+(TablaGuemesNov[Vendedora 3]=A35),--(TablaGuemesNov[Día]&lt;&gt;$K$11))</f>
        <v>0</v>
      </c>
      <c r="D35" s="3">
        <f>SUMPRODUCT((TablaRecoletaNov[Vendedora 1]=A35)+(TablaRecoletaNov[Vendedora 2]=A35)+(TablaRecoletaNov[Vendedora 3]=A35),--(TablaRecoletaNov[Día]&lt;&gt;$K$11))</f>
        <v>0</v>
      </c>
      <c r="E35" s="3">
        <f>SUMPRODUCT((TablaFloridaNov[Vendedora 1]=A35)+(TablaFloridaNov[Vendedora 2]=A35)+(TablaFloridaNov[Vendedora 3]=A35),--(TablaFloridaNov[Día]=$K$11))</f>
        <v>0</v>
      </c>
      <c r="F35" s="3">
        <f>SUMPRODUCT((TablaGuemesNov[Vendedora 1]=A35)+(TablaGuemesNov[Vendedora 2]=A35)+(TablaGuemesNov[Vendedora 3]=A35),--(TablaGuemesNov[Día]=$K$11))</f>
        <v>0</v>
      </c>
      <c r="G35" s="3">
        <f>SUMPRODUCT((TablaRecoletaNov[Vendedora 1]=A35)+(TablaRecoletaNov[Vendedora 2]=A35)+(TablaRecoletaNov[Vendedora 3]=A35),--(TablaRecoletaNov[Día]=$K$11))</f>
        <v>0</v>
      </c>
      <c r="H35" s="6">
        <f t="shared" si="2"/>
        <v>0</v>
      </c>
      <c r="I35" s="78"/>
    </row>
  </sheetData>
  <mergeCells count="10">
    <mergeCell ref="B4:D4"/>
    <mergeCell ref="E4:G4"/>
    <mergeCell ref="I4:I5"/>
    <mergeCell ref="H4:H5"/>
    <mergeCell ref="A4:A5"/>
    <mergeCell ref="A23:A24"/>
    <mergeCell ref="B23:D23"/>
    <mergeCell ref="E23:G23"/>
    <mergeCell ref="H23:H24"/>
    <mergeCell ref="I23:I24"/>
  </mergeCells>
  <conditionalFormatting sqref="H6:H15">
    <cfRule type="cellIs" dxfId="32" priority="4" operator="greaterThan">
      <formula>132</formula>
    </cfRule>
  </conditionalFormatting>
  <conditionalFormatting sqref="H16">
    <cfRule type="cellIs" dxfId="31" priority="3" operator="greaterThan">
      <formula>132</formula>
    </cfRule>
  </conditionalFormatting>
  <conditionalFormatting sqref="H25:H34">
    <cfRule type="cellIs" dxfId="30" priority="2" operator="greaterThan">
      <formula>132</formula>
    </cfRule>
  </conditionalFormatting>
  <conditionalFormatting sqref="H35">
    <cfRule type="cellIs" dxfId="29" priority="1" operator="greaterThan">
      <formula>132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O300"/>
  <sheetViews>
    <sheetView tabSelected="1" workbookViewId="0">
      <selection activeCell="N11" sqref="N11"/>
    </sheetView>
  </sheetViews>
  <sheetFormatPr baseColWidth="10" defaultRowHeight="14.4" x14ac:dyDescent="0.3"/>
  <cols>
    <col min="1" max="1" width="13.77734375" customWidth="1"/>
    <col min="2" max="2" width="10.5546875" style="2" customWidth="1"/>
    <col min="3" max="3" width="11" style="2" customWidth="1"/>
    <col min="4" max="6" width="13.5546875" customWidth="1"/>
    <col min="7" max="7" width="17.6640625" bestFit="1" customWidth="1"/>
    <col min="9" max="9" width="13.77734375" customWidth="1"/>
    <col min="10" max="10" width="10.5546875" style="2" customWidth="1"/>
    <col min="11" max="11" width="11" style="2" customWidth="1"/>
    <col min="12" max="14" width="13.5546875" customWidth="1"/>
    <col min="15" max="15" width="17.6640625" bestFit="1" customWidth="1"/>
  </cols>
  <sheetData>
    <row r="1" spans="1:15" ht="21" x14ac:dyDescent="0.4">
      <c r="A1" s="26" t="s">
        <v>30</v>
      </c>
      <c r="I1" s="26" t="s">
        <v>30</v>
      </c>
    </row>
    <row r="2" spans="1:15" ht="18" x14ac:dyDescent="0.35">
      <c r="A2" s="42" t="s">
        <v>32</v>
      </c>
      <c r="B2" s="43"/>
      <c r="C2" s="43"/>
      <c r="D2" s="43"/>
      <c r="E2" s="43"/>
      <c r="F2" s="43"/>
      <c r="G2" s="44"/>
      <c r="I2" s="42" t="s">
        <v>29</v>
      </c>
      <c r="J2" s="43"/>
      <c r="K2" s="43"/>
      <c r="L2" s="43"/>
      <c r="M2" s="43"/>
      <c r="N2" s="43"/>
      <c r="O2" s="44"/>
    </row>
    <row r="3" spans="1:15" ht="18" x14ac:dyDescent="0.35">
      <c r="A3" s="5"/>
      <c r="D3" s="25"/>
      <c r="E3" s="13"/>
      <c r="F3" s="25"/>
      <c r="G3" s="13"/>
      <c r="I3" s="5"/>
      <c r="L3" s="25"/>
      <c r="M3" s="13"/>
      <c r="N3" s="25"/>
      <c r="O3" s="13"/>
    </row>
    <row r="4" spans="1:15" x14ac:dyDescent="0.3">
      <c r="A4" s="83" t="s">
        <v>25</v>
      </c>
      <c r="B4" s="84"/>
      <c r="C4" s="85"/>
      <c r="D4" s="15">
        <v>2</v>
      </c>
      <c r="G4" s="2"/>
      <c r="I4" s="83" t="s">
        <v>25</v>
      </c>
      <c r="J4" s="84"/>
      <c r="K4" s="85"/>
      <c r="L4" s="15">
        <v>2</v>
      </c>
      <c r="O4" s="2"/>
    </row>
    <row r="5" spans="1:15" x14ac:dyDescent="0.3">
      <c r="D5" s="31"/>
    </row>
    <row r="6" spans="1:15" x14ac:dyDescent="0.3">
      <c r="A6" s="4" t="s">
        <v>19</v>
      </c>
      <c r="B6"/>
      <c r="C6"/>
      <c r="I6" s="4" t="s">
        <v>19</v>
      </c>
      <c r="J6"/>
      <c r="K6"/>
    </row>
    <row r="7" spans="1:15" ht="44.55" customHeight="1" x14ac:dyDescent="0.3">
      <c r="A7" s="32" t="s">
        <v>23</v>
      </c>
      <c r="B7" s="32" t="s">
        <v>36</v>
      </c>
      <c r="C7" s="32" t="s">
        <v>37</v>
      </c>
      <c r="D7" s="32" t="s">
        <v>38</v>
      </c>
      <c r="F7" s="68" t="s">
        <v>39</v>
      </c>
      <c r="I7" s="32" t="s">
        <v>23</v>
      </c>
      <c r="J7" s="32" t="s">
        <v>36</v>
      </c>
      <c r="K7" s="32" t="s">
        <v>37</v>
      </c>
      <c r="L7" s="32" t="s">
        <v>38</v>
      </c>
      <c r="M7" s="70"/>
      <c r="N7" s="68" t="s">
        <v>39</v>
      </c>
    </row>
    <row r="8" spans="1:15" x14ac:dyDescent="0.3">
      <c r="A8" s="3" t="str">
        <f>'Resumen zona'!A6</f>
        <v>Sofía</v>
      </c>
      <c r="B8" s="3">
        <f>SUMPRODUCT((TablaFloridaNov[Vendedora 1]=A8)+(TablaFloridaNov[Vendedora 2]=A8)+(TablaFloridaNov[Vendedora 3]=A8),--(TablaFloridaNov[Día]&lt;&gt;$F$14))
+ SUMPRODUCT((TablaGuemesNov[Vendedora 1]=A8)+(TablaGuemesNov[Vendedora 2]=A8)+(TablaGuemesNov[Vendedora 3]=A8),--(TablaGuemesNov[Día]&lt;&gt;$F$14))
+ SUMPRODUCT((TablaRecoletaNov[Vendedora 1]=A8)+(TablaRecoletaNov[Vendedora 2]=A8)+(TablaRecoletaNov[Vendedora 3]=A8),--(TablaRecoletaNov[Día]&lt;&gt;$F$14))</f>
        <v>143</v>
      </c>
      <c r="C8" s="3">
        <f>SUMPRODUCT((TablaFloridaNov[Vendedora 1]=A8)+(TablaFloridaNov[Vendedora 2]=A8)+(TablaFloridaNov[Vendedora 3]=A8),--(TablaFloridaNov[Día]=$F$14))
+ SUMPRODUCT((TablaGuemesNov[Vendedora 1]=A8)+(TablaGuemesNov[Vendedora 2]=A8)+(TablaGuemesNov[Vendedora 3]=A8),--(TablaGuemesNov[Día]=$F$14))
+ SUMPRODUCT((TablaRecoletaNov[Vendedora 1]=A8)+(TablaRecoletaNov[Vendedora 2]=A8)+(TablaRecoletaNov[Vendedora 3]=A8),--(TablaRecoletaNov[Día]=$F$14))</f>
        <v>9</v>
      </c>
      <c r="D8" s="3">
        <f>SUM(B8:C8)</f>
        <v>152</v>
      </c>
      <c r="F8" s="7" t="s">
        <v>17</v>
      </c>
      <c r="I8" s="3" t="str">
        <f>'Resumen zona'!A25</f>
        <v>Sofía</v>
      </c>
      <c r="J8" s="3">
        <f>SUMPRODUCT((TablaFloridaDic[Vendedora 1]=I8)+(TablaFloridaDic[Vendedora 2]=I8)+(TablaFloridaDic[Vendedora 3]=I8),--(TablaFloridaDic[Día]&lt;&gt;$N$14))
+ SUMPRODUCT((TablaGuemesDic[Vendedora 1]=I8)+(TablaGuemesDic[Vendedora 2]=I8)+(TablaGuemesDic[Vendedora 3]=I8),--(TablaGuemesDic[Día]&lt;&gt;$N$14))
+ SUMPRODUCT((TablaRecoletaDic[Vendedora 1]=I8)+(TablaRecoletaDic[Vendedora 2]=I8)+(TablaRecoletaDic[Vendedora 3]=I8),--(TablaRecoletaDic[Día]&lt;&gt;$N$14))</f>
        <v>29</v>
      </c>
      <c r="K8" s="3">
        <f>SUMPRODUCT((TablaFloridaDic[Vendedora 1]=I8)+(TablaFloridaDic[Vendedora 2]=I8)+(TablaFloridaDic[Vendedora 3]=I8),--(TablaFloridaDic[Día]=$N$14))
+ SUMPRODUCT((TablaGuemesDic[Vendedora 1]=I8)+(TablaGuemesDic[Vendedora 2]=I8)+(TablaGuemesDic[Vendedora 3]=I8),--(TablaGuemesDic[Día]=$N$14))
+ SUMPRODUCT((TablaRecoletaDic[Vendedora 1]=I8)+(TablaRecoletaDic[Vendedora 2]=I8)+(TablaRecoletaDic[Vendedora 3]=I8),--(TablaRecoletaDic[Día]=$N$14))</f>
        <v>0</v>
      </c>
      <c r="L8" s="3">
        <f>J8+K8</f>
        <v>29</v>
      </c>
      <c r="M8" s="71"/>
      <c r="N8" s="7" t="s">
        <v>17</v>
      </c>
    </row>
    <row r="9" spans="1:15" x14ac:dyDescent="0.3">
      <c r="A9" s="3" t="str">
        <f>'Resumen zona'!A7</f>
        <v>Giselle</v>
      </c>
      <c r="B9" s="3">
        <f>SUMPRODUCT((TablaFloridaNov[Vendedora 1]=A9)+(TablaFloridaNov[Vendedora 2]=A9)+(TablaFloridaNov[Vendedora 3]=A9),--(TablaFloridaNov[Día]&lt;&gt;$F$14))
+ SUMPRODUCT((TablaGuemesNov[Vendedora 1]=A9)+(TablaGuemesNov[Vendedora 2]=A9)+(TablaGuemesNov[Vendedora 3]=A9),--(TablaGuemesNov[Día]&lt;&gt;$F$14))
+ SUMPRODUCT((TablaRecoletaNov[Vendedora 1]=A9)+(TablaRecoletaNov[Vendedora 2]=A9)+(TablaRecoletaNov[Vendedora 3]=A9),--(TablaRecoletaNov[Día]&lt;&gt;$F$14))</f>
        <v>0</v>
      </c>
      <c r="C9" s="3">
        <f>SUMPRODUCT((TablaFloridaNov[Vendedora 1]=A9)+(TablaFloridaNov[Vendedora 2]=A9)+(TablaFloridaNov[Vendedora 3]=A9),--(TablaFloridaNov[Día]=$F$14))
+ SUMPRODUCT((TablaGuemesNov[Vendedora 1]=A9)+(TablaGuemesNov[Vendedora 2]=A9)+(TablaGuemesNov[Vendedora 3]=A9),--(TablaGuemesNov[Día]=$F$14))
+ SUMPRODUCT((TablaRecoletaNov[Vendedora 1]=A9)+(TablaRecoletaNov[Vendedora 2]=A9)+(TablaRecoletaNov[Vendedora 3]=A9),--(TablaRecoletaNov[Día]=$F$14))</f>
        <v>0</v>
      </c>
      <c r="D9" s="3">
        <f t="shared" ref="D9:D18" si="0">SUM(B9:C9)</f>
        <v>0</v>
      </c>
      <c r="F9" s="6">
        <f>'Resumen zona'!M5</f>
        <v>600</v>
      </c>
      <c r="I9" s="3" t="str">
        <f>'Resumen zona'!A26</f>
        <v>Giselle</v>
      </c>
      <c r="J9" s="3">
        <f>SUMPRODUCT((TablaFloridaDic[Vendedora 1]=I9)+(TablaFloridaDic[Vendedora 2]=I9)+(TablaFloridaDic[Vendedora 3]=I9),--(TablaFloridaDic[Día]&lt;&gt;$N$14))
+ SUMPRODUCT((TablaGuemesDic[Vendedora 1]=I9)+(TablaGuemesDic[Vendedora 2]=I9)+(TablaGuemesDic[Vendedora 3]=I9),--(TablaGuemesDic[Día]&lt;&gt;$N$14))
+ SUMPRODUCT((TablaRecoletaDic[Vendedora 1]=I9)+(TablaRecoletaDic[Vendedora 2]=I9)+(TablaRecoletaDic[Vendedora 3]=I9),--(TablaRecoletaDic[Día]&lt;&gt;$N$14))</f>
        <v>0</v>
      </c>
      <c r="K9" s="3">
        <f>SUMPRODUCT((TablaFloridaDic[Vendedora 1]=I9)+(TablaFloridaDic[Vendedora 2]=I9)+(TablaFloridaDic[Vendedora 3]=I9),--(TablaFloridaDic[Día]=$N$14))
+ SUMPRODUCT((TablaGuemesDic[Vendedora 1]=I9)+(TablaGuemesDic[Vendedora 2]=I9)+(TablaGuemesDic[Vendedora 3]=I9),--(TablaGuemesDic[Día]=$N$14))
+ SUMPRODUCT((TablaRecoletaDic[Vendedora 1]=I9)+(TablaRecoletaDic[Vendedora 2]=I9)+(TablaRecoletaDic[Vendedora 3]=I9),--(TablaRecoletaDic[Día]=$N$14))</f>
        <v>0</v>
      </c>
      <c r="L9" s="3">
        <f t="shared" ref="L9:L18" si="1">J9+K9</f>
        <v>0</v>
      </c>
      <c r="M9" s="71"/>
      <c r="N9" s="6">
        <f>'Resumen zona'!M24</f>
        <v>600</v>
      </c>
    </row>
    <row r="10" spans="1:15" x14ac:dyDescent="0.3">
      <c r="A10" s="3" t="str">
        <f>'Resumen zona'!A8</f>
        <v>Maitena</v>
      </c>
      <c r="B10" s="3">
        <f>SUMPRODUCT((TablaFloridaNov[Vendedora 1]=A10)+(TablaFloridaNov[Vendedora 2]=A10)+(TablaFloridaNov[Vendedora 3]=A10),--(TablaFloridaNov[Día]&lt;&gt;$F$14))
+ SUMPRODUCT((TablaGuemesNov[Vendedora 1]=A10)+(TablaGuemesNov[Vendedora 2]=A10)+(TablaGuemesNov[Vendedora 3]=A10),--(TablaGuemesNov[Día]&lt;&gt;$F$14))
+ SUMPRODUCT((TablaRecoletaNov[Vendedora 1]=A10)+(TablaRecoletaNov[Vendedora 2]=A10)+(TablaRecoletaNov[Vendedora 3]=A10),--(TablaRecoletaNov[Día]&lt;&gt;$F$14))</f>
        <v>504</v>
      </c>
      <c r="C10" s="3">
        <f>SUMPRODUCT((TablaFloridaNov[Vendedora 1]=A10)+(TablaFloridaNov[Vendedora 2]=A10)+(TablaFloridaNov[Vendedora 3]=A10),--(TablaFloridaNov[Día]=$F$14))
+ SUMPRODUCT((TablaGuemesNov[Vendedora 1]=A10)+(TablaGuemesNov[Vendedora 2]=A10)+(TablaGuemesNov[Vendedora 3]=A10),--(TablaGuemesNov[Día]=$F$14))
+ SUMPRODUCT((TablaRecoletaNov[Vendedora 1]=A10)+(TablaRecoletaNov[Vendedora 2]=A10)+(TablaRecoletaNov[Vendedora 3]=A10),--(TablaRecoletaNov[Día]=$F$14))</f>
        <v>8</v>
      </c>
      <c r="D10" s="3">
        <f t="shared" si="0"/>
        <v>512</v>
      </c>
      <c r="F10" s="7" t="s">
        <v>18</v>
      </c>
      <c r="I10" s="3" t="str">
        <f>'Resumen zona'!A27</f>
        <v>Maitena</v>
      </c>
      <c r="J10" s="3">
        <f>SUMPRODUCT((TablaFloridaDic[Vendedora 1]=I10)+(TablaFloridaDic[Vendedora 2]=I10)+(TablaFloridaDic[Vendedora 3]=I10),--(TablaFloridaDic[Día]&lt;&gt;$N$14))
+ SUMPRODUCT((TablaGuemesDic[Vendedora 1]=I10)+(TablaGuemesDic[Vendedora 2]=I10)+(TablaGuemesDic[Vendedora 3]=I10),--(TablaGuemesDic[Día]&lt;&gt;$N$14))
+ SUMPRODUCT((TablaRecoletaDic[Vendedora 1]=I10)+(TablaRecoletaDic[Vendedora 2]=I10)+(TablaRecoletaDic[Vendedora 3]=I10),--(TablaRecoletaDic[Día]&lt;&gt;$N$14))</f>
        <v>981</v>
      </c>
      <c r="K10" s="3">
        <f>SUMPRODUCT((TablaFloridaDic[Vendedora 1]=I10)+(TablaFloridaDic[Vendedora 2]=I10)+(TablaFloridaDic[Vendedora 3]=I10),--(TablaFloridaDic[Día]=$N$14))
+ SUMPRODUCT((TablaGuemesDic[Vendedora 1]=I10)+(TablaGuemesDic[Vendedora 2]=I10)+(TablaGuemesDic[Vendedora 3]=I10),--(TablaGuemesDic[Día]=$N$14))
+ SUMPRODUCT((TablaRecoletaDic[Vendedora 1]=I10)+(TablaRecoletaDic[Vendedora 2]=I10)+(TablaRecoletaDic[Vendedora 3]=I10),--(TablaRecoletaDic[Día]=$N$14))</f>
        <v>34</v>
      </c>
      <c r="L10" s="3">
        <f t="shared" si="1"/>
        <v>1015</v>
      </c>
      <c r="M10" s="71"/>
      <c r="N10" s="7" t="s">
        <v>18</v>
      </c>
    </row>
    <row r="11" spans="1:15" x14ac:dyDescent="0.3">
      <c r="A11" s="3" t="str">
        <f>'Resumen zona'!A9</f>
        <v>Candela I.</v>
      </c>
      <c r="B11" s="3">
        <f>SUMPRODUCT((TablaFloridaNov[Vendedora 1]=A11)+(TablaFloridaNov[Vendedora 2]=A11)+(TablaFloridaNov[Vendedora 3]=A11),--(TablaFloridaNov[Día]&lt;&gt;$F$14))
+ SUMPRODUCT((TablaGuemesNov[Vendedora 1]=A11)+(TablaGuemesNov[Vendedora 2]=A11)+(TablaGuemesNov[Vendedora 3]=A11),--(TablaGuemesNov[Día]&lt;&gt;$F$14))
+ SUMPRODUCT((TablaRecoletaNov[Vendedora 1]=A11)+(TablaRecoletaNov[Vendedora 2]=A11)+(TablaRecoletaNov[Vendedora 3]=A11),--(TablaRecoletaNov[Día]&lt;&gt;$F$14))</f>
        <v>12</v>
      </c>
      <c r="C11" s="3">
        <f>SUMPRODUCT((TablaFloridaNov[Vendedora 1]=A11)+(TablaFloridaNov[Vendedora 2]=A11)+(TablaFloridaNov[Vendedora 3]=A11),--(TablaFloridaNov[Día]=$F$14))
+ SUMPRODUCT((TablaGuemesNov[Vendedora 1]=A11)+(TablaGuemesNov[Vendedora 2]=A11)+(TablaGuemesNov[Vendedora 3]=A11),--(TablaGuemesNov[Día]=$F$14))
+ SUMPRODUCT((TablaRecoletaNov[Vendedora 1]=A11)+(TablaRecoletaNov[Vendedora 2]=A11)+(TablaRecoletaNov[Vendedora 3]=A11),--(TablaRecoletaNov[Día]=$F$14))</f>
        <v>0</v>
      </c>
      <c r="D11" s="3">
        <f t="shared" si="0"/>
        <v>12</v>
      </c>
      <c r="F11" s="6">
        <f>SUM(D8:D18)</f>
        <v>844</v>
      </c>
      <c r="I11" s="3" t="str">
        <f>'Resumen zona'!A28</f>
        <v>Candela I.</v>
      </c>
      <c r="J11" s="3">
        <f>SUMPRODUCT((TablaFloridaDic[Vendedora 1]=I11)+(TablaFloridaDic[Vendedora 2]=I11)+(TablaFloridaDic[Vendedora 3]=I11),--(TablaFloridaDic[Día]&lt;&gt;$N$14))
+ SUMPRODUCT((TablaGuemesDic[Vendedora 1]=I11)+(TablaGuemesDic[Vendedora 2]=I11)+(TablaGuemesDic[Vendedora 3]=I11),--(TablaGuemesDic[Día]&lt;&gt;$N$14))
+ SUMPRODUCT((TablaRecoletaDic[Vendedora 1]=I11)+(TablaRecoletaDic[Vendedora 2]=I11)+(TablaRecoletaDic[Vendedora 3]=I11),--(TablaRecoletaDic[Día]&lt;&gt;$N$14))</f>
        <v>0</v>
      </c>
      <c r="K11" s="3">
        <f>SUMPRODUCT((TablaFloridaDic[Vendedora 1]=I11)+(TablaFloridaDic[Vendedora 2]=I11)+(TablaFloridaDic[Vendedora 3]=I11),--(TablaFloridaDic[Día]=$N$14))
+ SUMPRODUCT((TablaGuemesDic[Vendedora 1]=I11)+(TablaGuemesDic[Vendedora 2]=I11)+(TablaGuemesDic[Vendedora 3]=I11),--(TablaGuemesDic[Día]=$N$14))
+ SUMPRODUCT((TablaRecoletaDic[Vendedora 1]=I11)+(TablaRecoletaDic[Vendedora 2]=I11)+(TablaRecoletaDic[Vendedora 3]=I11),--(TablaRecoletaDic[Día]=$N$14))</f>
        <v>0</v>
      </c>
      <c r="L11" s="3">
        <f t="shared" si="1"/>
        <v>0</v>
      </c>
      <c r="M11" s="71"/>
      <c r="N11" s="6">
        <f>SUM(L8:L18)</f>
        <v>1079</v>
      </c>
    </row>
    <row r="12" spans="1:15" x14ac:dyDescent="0.3">
      <c r="A12" s="3" t="str">
        <f>'Resumen zona'!A10</f>
        <v>Luciana</v>
      </c>
      <c r="B12" s="3">
        <f>SUMPRODUCT((TablaFloridaNov[Vendedora 1]=A12)+(TablaFloridaNov[Vendedora 2]=A12)+(TablaFloridaNov[Vendedora 3]=A12),--(TablaFloridaNov[Día]&lt;&gt;$F$14))
+ SUMPRODUCT((TablaGuemesNov[Vendedora 1]=A12)+(TablaGuemesNov[Vendedora 2]=A12)+(TablaGuemesNov[Vendedora 3]=A12),--(TablaGuemesNov[Día]&lt;&gt;$F$14))
+ SUMPRODUCT((TablaRecoletaNov[Vendedora 1]=A12)+(TablaRecoletaNov[Vendedora 2]=A12)+(TablaRecoletaNov[Vendedora 3]=A12),--(TablaRecoletaNov[Día]&lt;&gt;$F$14))</f>
        <v>0</v>
      </c>
      <c r="C12" s="3">
        <f>SUMPRODUCT((TablaFloridaNov[Vendedora 1]=A12)+(TablaFloridaNov[Vendedora 2]=A12)+(TablaFloridaNov[Vendedora 3]=A12),--(TablaFloridaNov[Día]=$F$14))
+ SUMPRODUCT((TablaGuemesNov[Vendedora 1]=A12)+(TablaGuemesNov[Vendedora 2]=A12)+(TablaGuemesNov[Vendedora 3]=A12),--(TablaGuemesNov[Día]=$F$14))
+ SUMPRODUCT((TablaRecoletaNov[Vendedora 1]=A12)+(TablaRecoletaNov[Vendedora 2]=A12)+(TablaRecoletaNov[Vendedora 3]=A12),--(TablaRecoletaNov[Día]=$F$14))</f>
        <v>0</v>
      </c>
      <c r="D12" s="3">
        <f t="shared" si="0"/>
        <v>0</v>
      </c>
      <c r="I12" s="3" t="str">
        <f>'Resumen zona'!A29</f>
        <v>Luciana</v>
      </c>
      <c r="J12" s="3">
        <f>SUMPRODUCT((TablaFloridaDic[Vendedora 1]=I12)+(TablaFloridaDic[Vendedora 2]=I12)+(TablaFloridaDic[Vendedora 3]=I12),--(TablaFloridaDic[Día]&lt;&gt;$N$14))
+ SUMPRODUCT((TablaGuemesDic[Vendedora 1]=I12)+(TablaGuemesDic[Vendedora 2]=I12)+(TablaGuemesDic[Vendedora 3]=I12),--(TablaGuemesDic[Día]&lt;&gt;$N$14))
+ SUMPRODUCT((TablaRecoletaDic[Vendedora 1]=I12)+(TablaRecoletaDic[Vendedora 2]=I12)+(TablaRecoletaDic[Vendedora 3]=I12),--(TablaRecoletaDic[Día]&lt;&gt;$N$14))</f>
        <v>0</v>
      </c>
      <c r="K12" s="3">
        <f>SUMPRODUCT((TablaFloridaDic[Vendedora 1]=I12)+(TablaFloridaDic[Vendedora 2]=I12)+(TablaFloridaDic[Vendedora 3]=I12),--(TablaFloridaDic[Día]=$N$14))
+ SUMPRODUCT((TablaGuemesDic[Vendedora 1]=I12)+(TablaGuemesDic[Vendedora 2]=I12)+(TablaGuemesDic[Vendedora 3]=I12),--(TablaGuemesDic[Día]=$N$14))
+ SUMPRODUCT((TablaRecoletaDic[Vendedora 1]=I12)+(TablaRecoletaDic[Vendedora 2]=I12)+(TablaRecoletaDic[Vendedora 3]=I12),--(TablaRecoletaDic[Día]=$N$14))</f>
        <v>0</v>
      </c>
      <c r="L12" s="3">
        <f t="shared" si="1"/>
        <v>0</v>
      </c>
      <c r="M12" s="71"/>
    </row>
    <row r="13" spans="1:15" x14ac:dyDescent="0.3">
      <c r="A13" s="3" t="str">
        <f>'Resumen zona'!A11</f>
        <v>Bárbara</v>
      </c>
      <c r="B13" s="3">
        <f>SUMPRODUCT((TablaFloridaNov[Vendedora 1]=A13)+(TablaFloridaNov[Vendedora 2]=A13)+(TablaFloridaNov[Vendedora 3]=A13),--(TablaFloridaNov[Día]&lt;&gt;$F$14))
+ SUMPRODUCT((TablaGuemesNov[Vendedora 1]=A13)+(TablaGuemesNov[Vendedora 2]=A13)+(TablaGuemesNov[Vendedora 3]=A13),--(TablaGuemesNov[Día]&lt;&gt;$F$14))
+ SUMPRODUCT((TablaRecoletaNov[Vendedora 1]=A13)+(TablaRecoletaNov[Vendedora 2]=A13)+(TablaRecoletaNov[Vendedora 3]=A13),--(TablaRecoletaNov[Día]&lt;&gt;$F$14))</f>
        <v>0</v>
      </c>
      <c r="C13" s="3">
        <f>SUMPRODUCT((TablaFloridaNov[Vendedora 1]=A13)+(TablaFloridaNov[Vendedora 2]=A13)+(TablaFloridaNov[Vendedora 3]=A13),--(TablaFloridaNov[Día]=$F$14))
+ SUMPRODUCT((TablaGuemesNov[Vendedora 1]=A13)+(TablaGuemesNov[Vendedora 2]=A13)+(TablaGuemesNov[Vendedora 3]=A13),--(TablaGuemesNov[Día]=$F$14))
+ SUMPRODUCT((TablaRecoletaNov[Vendedora 1]=A13)+(TablaRecoletaNov[Vendedora 2]=A13)+(TablaRecoletaNov[Vendedora 3]=A13),--(TablaRecoletaNov[Día]=$F$14))</f>
        <v>0</v>
      </c>
      <c r="D13" s="3">
        <f t="shared" si="0"/>
        <v>0</v>
      </c>
      <c r="F13" s="66" t="s">
        <v>35</v>
      </c>
      <c r="I13" s="3" t="str">
        <f>'Resumen zona'!A30</f>
        <v>Bárbara</v>
      </c>
      <c r="J13" s="3">
        <f>SUMPRODUCT((TablaFloridaDic[Vendedora 1]=I13)+(TablaFloridaDic[Vendedora 2]=I13)+(TablaFloridaDic[Vendedora 3]=I13),--(TablaFloridaDic[Día]&lt;&gt;$N$14))
+ SUMPRODUCT((TablaGuemesDic[Vendedora 1]=I13)+(TablaGuemesDic[Vendedora 2]=I13)+(TablaGuemesDic[Vendedora 3]=I13),--(TablaGuemesDic[Día]&lt;&gt;$N$14))
+ SUMPRODUCT((TablaRecoletaDic[Vendedora 1]=I13)+(TablaRecoletaDic[Vendedora 2]=I13)+(TablaRecoletaDic[Vendedora 3]=I13),--(TablaRecoletaDic[Día]&lt;&gt;$N$14))</f>
        <v>0</v>
      </c>
      <c r="K13" s="3">
        <f>SUMPRODUCT((TablaFloridaDic[Vendedora 1]=I13)+(TablaFloridaDic[Vendedora 2]=I13)+(TablaFloridaDic[Vendedora 3]=I13),--(TablaFloridaDic[Día]=$N$14))
+ SUMPRODUCT((TablaGuemesDic[Vendedora 1]=I13)+(TablaGuemesDic[Vendedora 2]=I13)+(TablaGuemesDic[Vendedora 3]=I13),--(TablaGuemesDic[Día]=$N$14))
+ SUMPRODUCT((TablaRecoletaDic[Vendedora 1]=I13)+(TablaRecoletaDic[Vendedora 2]=I13)+(TablaRecoletaDic[Vendedora 3]=I13),--(TablaRecoletaDic[Día]=$N$14))</f>
        <v>0</v>
      </c>
      <c r="L13" s="3">
        <f t="shared" si="1"/>
        <v>0</v>
      </c>
      <c r="M13" s="71"/>
      <c r="N13" s="66" t="s">
        <v>35</v>
      </c>
    </row>
    <row r="14" spans="1:15" x14ac:dyDescent="0.3">
      <c r="A14" s="3" t="str">
        <f>'Resumen zona'!A12</f>
        <v>Rocío</v>
      </c>
      <c r="B14" s="3">
        <f>SUMPRODUCT((TablaFloridaNov[Vendedora 1]=A14)+(TablaFloridaNov[Vendedora 2]=A14)+(TablaFloridaNov[Vendedora 3]=A14),--(TablaFloridaNov[Día]&lt;&gt;$F$14))
+ SUMPRODUCT((TablaGuemesNov[Vendedora 1]=A14)+(TablaGuemesNov[Vendedora 2]=A14)+(TablaGuemesNov[Vendedora 3]=A14),--(TablaGuemesNov[Día]&lt;&gt;$F$14))
+ SUMPRODUCT((TablaRecoletaNov[Vendedora 1]=A14)+(TablaRecoletaNov[Vendedora 2]=A14)+(TablaRecoletaNov[Vendedora 3]=A14),--(TablaRecoletaNov[Día]&lt;&gt;$F$14))</f>
        <v>68</v>
      </c>
      <c r="C14" s="3">
        <f>SUMPRODUCT((TablaFloridaNov[Vendedora 1]=A14)+(TablaFloridaNov[Vendedora 2]=A14)+(TablaFloridaNov[Vendedora 3]=A14),--(TablaFloridaNov[Día]=$F$14))
+ SUMPRODUCT((TablaGuemesNov[Vendedora 1]=A14)+(TablaGuemesNov[Vendedora 2]=A14)+(TablaGuemesNov[Vendedora 3]=A14),--(TablaGuemesNov[Día]=$F$14))
+ SUMPRODUCT((TablaRecoletaNov[Vendedora 1]=A14)+(TablaRecoletaNov[Vendedora 2]=A14)+(TablaRecoletaNov[Vendedora 3]=A14),--(TablaRecoletaNov[Día]=$F$14))</f>
        <v>11</v>
      </c>
      <c r="D14" s="3">
        <f t="shared" si="0"/>
        <v>79</v>
      </c>
      <c r="F14" s="67">
        <f>'Resumen zona'!K11</f>
        <v>45985</v>
      </c>
      <c r="I14" s="3" t="str">
        <f>'Resumen zona'!A31</f>
        <v>Rocío</v>
      </c>
      <c r="J14" s="3">
        <f>SUMPRODUCT((TablaFloridaDic[Vendedora 1]=I14)+(TablaFloridaDic[Vendedora 2]=I14)+(TablaFloridaDic[Vendedora 3]=I14),--(TablaFloridaDic[Día]&lt;&gt;$N$14))
+ SUMPRODUCT((TablaGuemesDic[Vendedora 1]=I14)+(TablaGuemesDic[Vendedora 2]=I14)+(TablaGuemesDic[Vendedora 3]=I14),--(TablaGuemesDic[Día]&lt;&gt;$N$14))
+ SUMPRODUCT((TablaRecoletaDic[Vendedora 1]=I14)+(TablaRecoletaDic[Vendedora 2]=I14)+(TablaRecoletaDic[Vendedora 3]=I14),--(TablaRecoletaDic[Día]&lt;&gt;$N$14))</f>
        <v>19</v>
      </c>
      <c r="K14" s="3">
        <f>SUMPRODUCT((TablaFloridaDic[Vendedora 1]=I14)+(TablaFloridaDic[Vendedora 2]=I14)+(TablaFloridaDic[Vendedora 3]=I14),--(TablaFloridaDic[Día]=$N$14))
+ SUMPRODUCT((TablaGuemesDic[Vendedora 1]=I14)+(TablaGuemesDic[Vendedora 2]=I14)+(TablaGuemesDic[Vendedora 3]=I14),--(TablaGuemesDic[Día]=$N$14))
+ SUMPRODUCT((TablaRecoletaDic[Vendedora 1]=I14)+(TablaRecoletaDic[Vendedora 2]=I14)+(TablaRecoletaDic[Vendedora 3]=I14),--(TablaRecoletaDic[Día]=$N$14))</f>
        <v>4</v>
      </c>
      <c r="L14" s="3">
        <f t="shared" si="1"/>
        <v>23</v>
      </c>
      <c r="M14" s="71"/>
      <c r="N14" s="67">
        <f>'Resumen zona'!K30</f>
        <v>45999</v>
      </c>
    </row>
    <row r="15" spans="1:15" x14ac:dyDescent="0.3">
      <c r="A15" s="3" t="str">
        <f>'Resumen zona'!A13</f>
        <v>Mailén</v>
      </c>
      <c r="B15" s="3">
        <f>SUMPRODUCT((TablaFloridaNov[Vendedora 1]=A15)+(TablaFloridaNov[Vendedora 2]=A15)+(TablaFloridaNov[Vendedora 3]=A15),--(TablaFloridaNov[Día]&lt;&gt;$F$14))
+ SUMPRODUCT((TablaGuemesNov[Vendedora 1]=A15)+(TablaGuemesNov[Vendedora 2]=A15)+(TablaGuemesNov[Vendedora 3]=A15),--(TablaGuemesNov[Día]&lt;&gt;$F$14))
+ SUMPRODUCT((TablaRecoletaNov[Vendedora 1]=A15)+(TablaRecoletaNov[Vendedora 2]=A15)+(TablaRecoletaNov[Vendedora 3]=A15),--(TablaRecoletaNov[Día]&lt;&gt;$F$14))</f>
        <v>12</v>
      </c>
      <c r="C15" s="3">
        <f>SUMPRODUCT((TablaFloridaNov[Vendedora 1]=A15)+(TablaFloridaNov[Vendedora 2]=A15)+(TablaFloridaNov[Vendedora 3]=A15),--(TablaFloridaNov[Día]=$F$14))
+ SUMPRODUCT((TablaGuemesNov[Vendedora 1]=A15)+(TablaGuemesNov[Vendedora 2]=A15)+(TablaGuemesNov[Vendedora 3]=A15),--(TablaGuemesNov[Día]=$F$14))
+ SUMPRODUCT((TablaRecoletaNov[Vendedora 1]=A15)+(TablaRecoletaNov[Vendedora 2]=A15)+(TablaRecoletaNov[Vendedora 3]=A15),--(TablaRecoletaNov[Día]=$F$14))</f>
        <v>0</v>
      </c>
      <c r="D15" s="3">
        <f t="shared" si="0"/>
        <v>12</v>
      </c>
      <c r="G15" s="1"/>
      <c r="I15" s="3" t="str">
        <f>'Resumen zona'!A32</f>
        <v>Mailén</v>
      </c>
      <c r="J15" s="3">
        <f>SUMPRODUCT((TablaFloridaDic[Vendedora 1]=I15)+(TablaFloridaDic[Vendedora 2]=I15)+(TablaFloridaDic[Vendedora 3]=I15),--(TablaFloridaDic[Día]&lt;&gt;$N$14))
+ SUMPRODUCT((TablaGuemesDic[Vendedora 1]=I15)+(TablaGuemesDic[Vendedora 2]=I15)+(TablaGuemesDic[Vendedora 3]=I15),--(TablaGuemesDic[Día]&lt;&gt;$N$14))
+ SUMPRODUCT((TablaRecoletaDic[Vendedora 1]=I15)+(TablaRecoletaDic[Vendedora 2]=I15)+(TablaRecoletaDic[Vendedora 3]=I15),--(TablaRecoletaDic[Día]&lt;&gt;$N$14))</f>
        <v>3</v>
      </c>
      <c r="K15" s="3">
        <f>SUMPRODUCT((TablaFloridaDic[Vendedora 1]=I15)+(TablaFloridaDic[Vendedora 2]=I15)+(TablaFloridaDic[Vendedora 3]=I15),--(TablaFloridaDic[Día]=$N$14))
+ SUMPRODUCT((TablaGuemesDic[Vendedora 1]=I15)+(TablaGuemesDic[Vendedora 2]=I15)+(TablaGuemesDic[Vendedora 3]=I15),--(TablaGuemesDic[Día]=$N$14))
+ SUMPRODUCT((TablaRecoletaDic[Vendedora 1]=I15)+(TablaRecoletaDic[Vendedora 2]=I15)+(TablaRecoletaDic[Vendedora 3]=I15),--(TablaRecoletaDic[Día]=$N$14))</f>
        <v>0</v>
      </c>
      <c r="L15" s="3">
        <f t="shared" si="1"/>
        <v>3</v>
      </c>
      <c r="M15" s="71"/>
    </row>
    <row r="16" spans="1:15" x14ac:dyDescent="0.3">
      <c r="A16" s="3" t="str">
        <f>'Resumen zona'!A14</f>
        <v>Candela G.</v>
      </c>
      <c r="B16" s="3">
        <f>SUMPRODUCT((TablaFloridaNov[Vendedora 1]=A16)+(TablaFloridaNov[Vendedora 2]=A16)+(TablaFloridaNov[Vendedora 3]=A16),--(TablaFloridaNov[Día]&lt;&gt;$F$14))
+ SUMPRODUCT((TablaGuemesNov[Vendedora 1]=A16)+(TablaGuemesNov[Vendedora 2]=A16)+(TablaGuemesNov[Vendedora 3]=A16),--(TablaGuemesNov[Día]&lt;&gt;$F$14))
+ SUMPRODUCT((TablaRecoletaNov[Vendedora 1]=A16)+(TablaRecoletaNov[Vendedora 2]=A16)+(TablaRecoletaNov[Vendedora 3]=A16),--(TablaRecoletaNov[Día]&lt;&gt;$F$14))</f>
        <v>0</v>
      </c>
      <c r="C16" s="3">
        <f>SUMPRODUCT((TablaFloridaNov[Vendedora 1]=A16)+(TablaFloridaNov[Vendedora 2]=A16)+(TablaFloridaNov[Vendedora 3]=A16),--(TablaFloridaNov[Día]=$F$14))
+ SUMPRODUCT((TablaGuemesNov[Vendedora 1]=A16)+(TablaGuemesNov[Vendedora 2]=A16)+(TablaGuemesNov[Vendedora 3]=A16),--(TablaGuemesNov[Día]=$F$14))
+ SUMPRODUCT((TablaRecoletaNov[Vendedora 1]=A16)+(TablaRecoletaNov[Vendedora 2]=A16)+(TablaRecoletaNov[Vendedora 3]=A16),--(TablaRecoletaNov[Día]=$F$14))</f>
        <v>0</v>
      </c>
      <c r="D16" s="3">
        <f t="shared" si="0"/>
        <v>0</v>
      </c>
      <c r="G16" s="1"/>
      <c r="I16" s="3" t="str">
        <f>'Resumen zona'!A33</f>
        <v>Candela G.</v>
      </c>
      <c r="J16" s="3">
        <f>SUMPRODUCT((TablaFloridaDic[Vendedora 1]=I16)+(TablaFloridaDic[Vendedora 2]=I16)+(TablaFloridaDic[Vendedora 3]=I16),--(TablaFloridaDic[Día]&lt;&gt;$N$14))
+ SUMPRODUCT((TablaGuemesDic[Vendedora 1]=I16)+(TablaGuemesDic[Vendedora 2]=I16)+(TablaGuemesDic[Vendedora 3]=I16),--(TablaGuemesDic[Día]&lt;&gt;$N$14))
+ SUMPRODUCT((TablaRecoletaDic[Vendedora 1]=I16)+(TablaRecoletaDic[Vendedora 2]=I16)+(TablaRecoletaDic[Vendedora 3]=I16),--(TablaRecoletaDic[Día]&lt;&gt;$N$14))</f>
        <v>4</v>
      </c>
      <c r="K16" s="3">
        <f>SUMPRODUCT((TablaFloridaDic[Vendedora 1]=I16)+(TablaFloridaDic[Vendedora 2]=I16)+(TablaFloridaDic[Vendedora 3]=I16),--(TablaFloridaDic[Día]=$N$14))
+ SUMPRODUCT((TablaGuemesDic[Vendedora 1]=I16)+(TablaGuemesDic[Vendedora 2]=I16)+(TablaGuemesDic[Vendedora 3]=I16),--(TablaGuemesDic[Día]=$N$14))
+ SUMPRODUCT((TablaRecoletaDic[Vendedora 1]=I16)+(TablaRecoletaDic[Vendedora 2]=I16)+(TablaRecoletaDic[Vendedora 3]=I16),--(TablaRecoletaDic[Día]=$N$14))</f>
        <v>0</v>
      </c>
      <c r="L16" s="3">
        <f t="shared" si="1"/>
        <v>4</v>
      </c>
      <c r="M16" s="71"/>
    </row>
    <row r="17" spans="1:15" x14ac:dyDescent="0.3">
      <c r="A17" s="3" t="str">
        <f>'Resumen zona'!A15</f>
        <v>Micaela</v>
      </c>
      <c r="B17" s="3">
        <f>SUMPRODUCT((TablaFloridaNov[Vendedora 1]=A17)+(TablaFloridaNov[Vendedora 2]=A17)+(TablaFloridaNov[Vendedora 3]=A17),--(TablaFloridaNov[Día]&lt;&gt;$F$14))
+ SUMPRODUCT((TablaGuemesNov[Vendedora 1]=A17)+(TablaGuemesNov[Vendedora 2]=A17)+(TablaGuemesNov[Vendedora 3]=A17),--(TablaGuemesNov[Día]&lt;&gt;$F$14))
+ SUMPRODUCT((TablaRecoletaNov[Vendedora 1]=A17)+(TablaRecoletaNov[Vendedora 2]=A17)+(TablaRecoletaNov[Vendedora 3]=A17),--(TablaRecoletaNov[Día]&lt;&gt;$F$14))</f>
        <v>72</v>
      </c>
      <c r="C17" s="3">
        <f>SUMPRODUCT((TablaFloridaNov[Vendedora 1]=A17)+(TablaFloridaNov[Vendedora 2]=A17)+(TablaFloridaNov[Vendedora 3]=A17),--(TablaFloridaNov[Día]=$F$14))
+ SUMPRODUCT((TablaGuemesNov[Vendedora 1]=A17)+(TablaGuemesNov[Vendedora 2]=A17)+(TablaGuemesNov[Vendedora 3]=A17),--(TablaGuemesNov[Día]=$F$14))
+ SUMPRODUCT((TablaRecoletaNov[Vendedora 1]=A17)+(TablaRecoletaNov[Vendedora 2]=A17)+(TablaRecoletaNov[Vendedora 3]=A17),--(TablaRecoletaNov[Día]=$F$14))</f>
        <v>5</v>
      </c>
      <c r="D17" s="3">
        <f t="shared" ref="D17" si="2">SUM(B17:C17)</f>
        <v>77</v>
      </c>
      <c r="G17" s="1"/>
      <c r="I17" s="3" t="str">
        <f>'Resumen zona'!A34</f>
        <v>Micaela</v>
      </c>
      <c r="J17" s="3">
        <f>SUMPRODUCT((TablaFloridaDic[Vendedora 1]=I17)+(TablaFloridaDic[Vendedora 2]=I17)+(TablaFloridaDic[Vendedora 3]=I17),--(TablaFloridaDic[Día]&lt;&gt;$N$14))
+ SUMPRODUCT((TablaGuemesDic[Vendedora 1]=I17)+(TablaGuemesDic[Vendedora 2]=I17)+(TablaGuemesDic[Vendedora 3]=I17),--(TablaGuemesDic[Día]&lt;&gt;$N$14))
+ SUMPRODUCT((TablaRecoletaDic[Vendedora 1]=I17)+(TablaRecoletaDic[Vendedora 2]=I17)+(TablaRecoletaDic[Vendedora 3]=I17),--(TablaRecoletaDic[Día]&lt;&gt;$N$14))</f>
        <v>5</v>
      </c>
      <c r="K17" s="3">
        <f>SUMPRODUCT((TablaFloridaDic[Vendedora 1]=I17)+(TablaFloridaDic[Vendedora 2]=I17)+(TablaFloridaDic[Vendedora 3]=I17),--(TablaFloridaDic[Día]=$N$14))
+ SUMPRODUCT((TablaGuemesDic[Vendedora 1]=I17)+(TablaGuemesDic[Vendedora 2]=I17)+(TablaGuemesDic[Vendedora 3]=I17),--(TablaGuemesDic[Día]=$N$14))
+ SUMPRODUCT((TablaRecoletaDic[Vendedora 1]=I17)+(TablaRecoletaDic[Vendedora 2]=I17)+(TablaRecoletaDic[Vendedora 3]=I17),--(TablaRecoletaDic[Día]=$N$14))</f>
        <v>0</v>
      </c>
      <c r="L17" s="3">
        <f t="shared" ref="L17" si="3">J17+K17</f>
        <v>5</v>
      </c>
      <c r="M17" s="71"/>
    </row>
    <row r="18" spans="1:15" x14ac:dyDescent="0.3">
      <c r="A18" s="3" t="str">
        <f>'Resumen zona'!A16</f>
        <v>[Nueva]</v>
      </c>
      <c r="B18" s="3">
        <f>SUMPRODUCT((TablaFloridaNov[Vendedora 1]=A18)+(TablaFloridaNov[Vendedora 2]=A18)+(TablaFloridaNov[Vendedora 3]=A18),--(TablaFloridaNov[Día]&lt;&gt;$F$14))
+ SUMPRODUCT((TablaGuemesNov[Vendedora 1]=A18)+(TablaGuemesNov[Vendedora 2]=A18)+(TablaGuemesNov[Vendedora 3]=A18),--(TablaGuemesNov[Día]&lt;&gt;$F$14))
+ SUMPRODUCT((TablaRecoletaNov[Vendedora 1]=A18)+(TablaRecoletaNov[Vendedora 2]=A18)+(TablaRecoletaNov[Vendedora 3]=A18),--(TablaRecoletaNov[Día]&lt;&gt;$F$14))</f>
        <v>0</v>
      </c>
      <c r="C18" s="3">
        <f>SUMPRODUCT((TablaFloridaNov[Vendedora 1]=A18)+(TablaFloridaNov[Vendedora 2]=A18)+(TablaFloridaNov[Vendedora 3]=A18),--(TablaFloridaNov[Día]=$F$14))
+ SUMPRODUCT((TablaGuemesNov[Vendedora 1]=A18)+(TablaGuemesNov[Vendedora 2]=A18)+(TablaGuemesNov[Vendedora 3]=A18),--(TablaGuemesNov[Día]=$F$14))
+ SUMPRODUCT((TablaRecoletaNov[Vendedora 1]=A18)+(TablaRecoletaNov[Vendedora 2]=A18)+(TablaRecoletaNov[Vendedora 3]=A18),--(TablaRecoletaNov[Día]=$F$14))</f>
        <v>0</v>
      </c>
      <c r="D18" s="3">
        <f t="shared" si="0"/>
        <v>0</v>
      </c>
      <c r="I18" s="3" t="str">
        <f>'Resumen zona'!A35</f>
        <v>[Nueva]</v>
      </c>
      <c r="J18" s="3">
        <f>SUMPRODUCT((TablaFloridaDic[Vendedora 1]=I18)+(TablaFloridaDic[Vendedora 2]=I18)+(TablaFloridaDic[Vendedora 3]=I18),--(TablaFloridaDic[Día]&lt;&gt;$N$14))
+ SUMPRODUCT((TablaGuemesDic[Vendedora 1]=I18)+(TablaGuemesDic[Vendedora 2]=I18)+(TablaGuemesDic[Vendedora 3]=I18),--(TablaGuemesDic[Día]&lt;&gt;$N$14))
+ SUMPRODUCT((TablaRecoletaDic[Vendedora 1]=I18)+(TablaRecoletaDic[Vendedora 2]=I18)+(TablaRecoletaDic[Vendedora 3]=I18),--(TablaRecoletaDic[Día]&lt;&gt;$N$14))</f>
        <v>0</v>
      </c>
      <c r="K18" s="3">
        <f>SUMPRODUCT((TablaFloridaDic[Vendedora 1]=I18)+(TablaFloridaDic[Vendedora 2]=I18)+(TablaFloridaDic[Vendedora 3]=I18),--(TablaFloridaDic[Día]=$N$14))
+ SUMPRODUCT((TablaGuemesDic[Vendedora 1]=I18)+(TablaGuemesDic[Vendedora 2]=I18)+(TablaGuemesDic[Vendedora 3]=I18),--(TablaGuemesDic[Día]=$N$14))
+ SUMPRODUCT((TablaRecoletaDic[Vendedora 1]=I18)+(TablaRecoletaDic[Vendedora 2]=I18)+(TablaRecoletaDic[Vendedora 3]=I18),--(TablaRecoletaDic[Día]=$N$14))</f>
        <v>0</v>
      </c>
      <c r="L18" s="3">
        <f t="shared" si="1"/>
        <v>0</v>
      </c>
      <c r="M18" s="71"/>
    </row>
    <row r="21" spans="1:15" x14ac:dyDescent="0.3">
      <c r="A21" s="9" t="s">
        <v>13</v>
      </c>
      <c r="B21" s="10" t="s">
        <v>20</v>
      </c>
      <c r="C21" s="10" t="s">
        <v>21</v>
      </c>
      <c r="D21" s="82" t="s">
        <v>11</v>
      </c>
      <c r="E21" s="82" t="s">
        <v>12</v>
      </c>
      <c r="F21" s="82" t="s">
        <v>14</v>
      </c>
      <c r="G21" s="12" t="s">
        <v>15</v>
      </c>
      <c r="I21" s="9" t="s">
        <v>13</v>
      </c>
      <c r="J21" s="10" t="s">
        <v>20</v>
      </c>
      <c r="K21" s="10" t="s">
        <v>21</v>
      </c>
      <c r="L21" s="82" t="s">
        <v>11</v>
      </c>
      <c r="M21" s="82" t="s">
        <v>12</v>
      </c>
      <c r="N21" s="82" t="s">
        <v>14</v>
      </c>
      <c r="O21" s="12" t="s">
        <v>15</v>
      </c>
    </row>
    <row r="22" spans="1:15" x14ac:dyDescent="0.3">
      <c r="A22" s="1">
        <v>45962</v>
      </c>
      <c r="B22" s="2" t="str">
        <f>TEXT(A22,"ddd")</f>
        <v>sáb</v>
      </c>
      <c r="C22" s="8">
        <v>0.45833333333333331</v>
      </c>
      <c r="D22" t="s">
        <v>4</v>
      </c>
      <c r="E22" t="s">
        <v>54</v>
      </c>
      <c r="G22" t="str">
        <f t="shared" ref="G22:G85" si="4">IF(COUNTIF(D22:F22,"?*")=$D$4,"✅ CUBIERTO",
IF(COUNTIF(D22:F22,"?*")&gt;$D$4,"⚠ EXCESO",IF(COUNTIF(D22:F22,"?*")&gt;0,"⚠ FALTANTE",
"❌ SIN COMPLETAR")))</f>
        <v>✅ CUBIERTO</v>
      </c>
      <c r="I22" s="1">
        <v>45992</v>
      </c>
      <c r="J22" s="2" t="str">
        <f>TEXT(I22,"ddd")</f>
        <v>lun</v>
      </c>
      <c r="K22" s="8">
        <v>0.45833333333333331</v>
      </c>
      <c r="L22" t="s">
        <v>4</v>
      </c>
      <c r="M22" t="s">
        <v>56</v>
      </c>
      <c r="O22" t="str">
        <f t="shared" ref="O22:O85" si="5">IF(COUNTIF(L22:N22,"?*")&gt;=$L$4, "✅ CUBIERTO",
 IF(COUNTIF(L22:N22,"?*")&gt;0, "⚠ FALTANTE",
 "❌ SIN COMPLETAR"))</f>
        <v>✅ CUBIERTO</v>
      </c>
    </row>
    <row r="23" spans="1:15" x14ac:dyDescent="0.3">
      <c r="A23" s="1">
        <v>45962</v>
      </c>
      <c r="B23" s="2" t="str">
        <f t="shared" ref="B23:B30" si="6">TEXT(A23,"ddd")</f>
        <v>sáb</v>
      </c>
      <c r="C23" s="8">
        <v>0.5</v>
      </c>
      <c r="D23" t="s">
        <v>4</v>
      </c>
      <c r="E23" t="s">
        <v>54</v>
      </c>
      <c r="G23" t="str">
        <f t="shared" si="4"/>
        <v>✅ CUBIERTO</v>
      </c>
      <c r="I23" s="1">
        <v>45992</v>
      </c>
      <c r="J23" s="2" t="str">
        <f t="shared" ref="J23:J30" si="7">TEXT(I23,"ddd")</f>
        <v>lun</v>
      </c>
      <c r="K23" s="8">
        <v>0.5</v>
      </c>
      <c r="L23" t="s">
        <v>4</v>
      </c>
      <c r="M23" t="s">
        <v>56</v>
      </c>
      <c r="O23" t="str">
        <f t="shared" si="5"/>
        <v>✅ CUBIERTO</v>
      </c>
    </row>
    <row r="24" spans="1:15" x14ac:dyDescent="0.3">
      <c r="A24" s="1">
        <v>45962</v>
      </c>
      <c r="B24" s="2" t="str">
        <f t="shared" si="6"/>
        <v>sáb</v>
      </c>
      <c r="C24" s="8">
        <v>0.54166666666666696</v>
      </c>
      <c r="D24" t="s">
        <v>4</v>
      </c>
      <c r="E24" t="s">
        <v>54</v>
      </c>
      <c r="G24" t="str">
        <f t="shared" si="4"/>
        <v>✅ CUBIERTO</v>
      </c>
      <c r="I24" s="1">
        <v>45992</v>
      </c>
      <c r="J24" s="2" t="str">
        <f t="shared" si="7"/>
        <v>lun</v>
      </c>
      <c r="K24" s="8">
        <v>0.54166666666666696</v>
      </c>
      <c r="L24" t="s">
        <v>4</v>
      </c>
      <c r="M24" t="s">
        <v>56</v>
      </c>
      <c r="O24" t="str">
        <f t="shared" si="5"/>
        <v>✅ CUBIERTO</v>
      </c>
    </row>
    <row r="25" spans="1:15" x14ac:dyDescent="0.3">
      <c r="A25" s="1">
        <v>45962</v>
      </c>
      <c r="B25" s="2" t="str">
        <f t="shared" si="6"/>
        <v>sáb</v>
      </c>
      <c r="C25" s="8">
        <v>0.58333333333333304</v>
      </c>
      <c r="D25" t="s">
        <v>4</v>
      </c>
      <c r="E25" t="s">
        <v>54</v>
      </c>
      <c r="G25" t="str">
        <f t="shared" si="4"/>
        <v>✅ CUBIERTO</v>
      </c>
      <c r="I25" s="1">
        <v>45992</v>
      </c>
      <c r="J25" s="2" t="str">
        <f t="shared" si="7"/>
        <v>lun</v>
      </c>
      <c r="K25" s="8">
        <v>0.58333333333333304</v>
      </c>
      <c r="L25" t="s">
        <v>4</v>
      </c>
      <c r="M25" t="s">
        <v>56</v>
      </c>
      <c r="O25" t="str">
        <f t="shared" si="5"/>
        <v>✅ CUBIERTO</v>
      </c>
    </row>
    <row r="26" spans="1:15" x14ac:dyDescent="0.3">
      <c r="A26" s="1">
        <v>45962</v>
      </c>
      <c r="B26" s="2" t="str">
        <f t="shared" si="6"/>
        <v>sáb</v>
      </c>
      <c r="C26" s="8">
        <v>0.625</v>
      </c>
      <c r="D26" t="s">
        <v>4</v>
      </c>
      <c r="E26" t="s">
        <v>54</v>
      </c>
      <c r="G26" t="str">
        <f t="shared" si="4"/>
        <v>✅ CUBIERTO</v>
      </c>
      <c r="I26" s="1">
        <v>45992</v>
      </c>
      <c r="J26" s="2" t="str">
        <f t="shared" si="7"/>
        <v>lun</v>
      </c>
      <c r="K26" s="8">
        <v>0.625</v>
      </c>
      <c r="L26" t="s">
        <v>7</v>
      </c>
      <c r="M26" t="s">
        <v>9</v>
      </c>
      <c r="O26" t="str">
        <f t="shared" si="5"/>
        <v>✅ CUBIERTO</v>
      </c>
    </row>
    <row r="27" spans="1:15" x14ac:dyDescent="0.3">
      <c r="A27" s="1">
        <v>45962</v>
      </c>
      <c r="B27" s="2" t="str">
        <f t="shared" si="6"/>
        <v>sáb</v>
      </c>
      <c r="C27" s="8">
        <v>0.66666666666666696</v>
      </c>
      <c r="D27" t="s">
        <v>4</v>
      </c>
      <c r="E27" t="s">
        <v>54</v>
      </c>
      <c r="G27" t="str">
        <f t="shared" si="4"/>
        <v>✅ CUBIERTO</v>
      </c>
      <c r="I27" s="1">
        <v>45992</v>
      </c>
      <c r="J27" s="2" t="str">
        <f t="shared" si="7"/>
        <v>lun</v>
      </c>
      <c r="K27" s="8">
        <v>0.66666666666666696</v>
      </c>
      <c r="L27" t="s">
        <v>7</v>
      </c>
      <c r="M27" t="s">
        <v>9</v>
      </c>
      <c r="O27" t="str">
        <f t="shared" si="5"/>
        <v>✅ CUBIERTO</v>
      </c>
    </row>
    <row r="28" spans="1:15" x14ac:dyDescent="0.3">
      <c r="A28" s="1">
        <v>45962</v>
      </c>
      <c r="B28" s="2" t="str">
        <f t="shared" si="6"/>
        <v>sáb</v>
      </c>
      <c r="C28" s="8">
        <v>0.70833333333333304</v>
      </c>
      <c r="D28" t="s">
        <v>4</v>
      </c>
      <c r="E28" t="s">
        <v>54</v>
      </c>
      <c r="G28" t="str">
        <f t="shared" si="4"/>
        <v>✅ CUBIERTO</v>
      </c>
      <c r="I28" s="1">
        <v>45992</v>
      </c>
      <c r="J28" s="2" t="str">
        <f t="shared" si="7"/>
        <v>lun</v>
      </c>
      <c r="K28" s="8">
        <v>0.70833333333333304</v>
      </c>
      <c r="L28" t="s">
        <v>7</v>
      </c>
      <c r="M28" t="s">
        <v>9</v>
      </c>
      <c r="O28" t="str">
        <f t="shared" si="5"/>
        <v>✅ CUBIERTO</v>
      </c>
    </row>
    <row r="29" spans="1:15" x14ac:dyDescent="0.3">
      <c r="A29" s="1">
        <v>45962</v>
      </c>
      <c r="B29" s="2" t="str">
        <f t="shared" si="6"/>
        <v>sáb</v>
      </c>
      <c r="C29" s="8">
        <v>0.75</v>
      </c>
      <c r="D29" t="s">
        <v>4</v>
      </c>
      <c r="E29" t="s">
        <v>54</v>
      </c>
      <c r="G29" t="str">
        <f t="shared" si="4"/>
        <v>✅ CUBIERTO</v>
      </c>
      <c r="I29" s="1">
        <v>45992</v>
      </c>
      <c r="J29" s="2" t="str">
        <f t="shared" si="7"/>
        <v>lun</v>
      </c>
      <c r="K29" s="8">
        <v>0.75</v>
      </c>
      <c r="L29" t="s">
        <v>7</v>
      </c>
      <c r="M29" t="s">
        <v>9</v>
      </c>
      <c r="O29" t="str">
        <f t="shared" si="5"/>
        <v>✅ CUBIERTO</v>
      </c>
    </row>
    <row r="30" spans="1:15" x14ac:dyDescent="0.3">
      <c r="A30" s="1">
        <v>45962</v>
      </c>
      <c r="B30" s="2" t="str">
        <f t="shared" si="6"/>
        <v>sáb</v>
      </c>
      <c r="C30" s="8">
        <v>0.79166666666666696</v>
      </c>
      <c r="D30" t="s">
        <v>4</v>
      </c>
      <c r="E30" t="s">
        <v>54</v>
      </c>
      <c r="G30" t="str">
        <f t="shared" si="4"/>
        <v>✅ CUBIERTO</v>
      </c>
      <c r="I30" s="1">
        <v>45992</v>
      </c>
      <c r="J30" s="2" t="str">
        <f t="shared" si="7"/>
        <v>lun</v>
      </c>
      <c r="K30" s="8">
        <v>0.79166666666666696</v>
      </c>
      <c r="L30" t="s">
        <v>7</v>
      </c>
      <c r="M30" t="s">
        <v>9</v>
      </c>
      <c r="O30" t="str">
        <f t="shared" si="5"/>
        <v>✅ CUBIERTO</v>
      </c>
    </row>
    <row r="31" spans="1:15" x14ac:dyDescent="0.3">
      <c r="A31" s="1">
        <v>45963</v>
      </c>
      <c r="B31" s="2" t="str">
        <f>TEXT(A31,"ddd")</f>
        <v>dom</v>
      </c>
      <c r="C31" s="8">
        <v>0.45833333333333331</v>
      </c>
      <c r="D31" t="s">
        <v>4</v>
      </c>
      <c r="E31" t="s">
        <v>54</v>
      </c>
      <c r="G31" t="str">
        <f t="shared" si="4"/>
        <v>✅ CUBIERTO</v>
      </c>
      <c r="I31" s="1">
        <v>45993</v>
      </c>
      <c r="J31" s="2" t="str">
        <f>TEXT(I31,"ddd")</f>
        <v>mar</v>
      </c>
      <c r="K31" s="8">
        <v>0.45833333333333331</v>
      </c>
      <c r="L31" t="s">
        <v>4</v>
      </c>
      <c r="M31" t="s">
        <v>4</v>
      </c>
      <c r="O31" t="str">
        <f t="shared" si="5"/>
        <v>✅ CUBIERTO</v>
      </c>
    </row>
    <row r="32" spans="1:15" x14ac:dyDescent="0.3">
      <c r="A32" s="1">
        <v>45963</v>
      </c>
      <c r="B32" s="2" t="str">
        <f t="shared" ref="B32:B39" si="8">TEXT(A32,"ddd")</f>
        <v>dom</v>
      </c>
      <c r="C32" s="8">
        <v>0.5</v>
      </c>
      <c r="D32" t="s">
        <v>4</v>
      </c>
      <c r="E32" t="s">
        <v>54</v>
      </c>
      <c r="G32" t="str">
        <f t="shared" si="4"/>
        <v>✅ CUBIERTO</v>
      </c>
      <c r="I32" s="1">
        <v>45993</v>
      </c>
      <c r="J32" s="2" t="str">
        <f t="shared" ref="J32:J39" si="9">TEXT(I32,"ddd")</f>
        <v>mar</v>
      </c>
      <c r="K32" s="8">
        <v>0.5</v>
      </c>
      <c r="L32" t="s">
        <v>4</v>
      </c>
      <c r="M32" t="s">
        <v>4</v>
      </c>
      <c r="O32" t="str">
        <f t="shared" si="5"/>
        <v>✅ CUBIERTO</v>
      </c>
    </row>
    <row r="33" spans="1:15" x14ac:dyDescent="0.3">
      <c r="A33" s="1">
        <v>45963</v>
      </c>
      <c r="B33" s="2" t="str">
        <f t="shared" si="8"/>
        <v>dom</v>
      </c>
      <c r="C33" s="8">
        <v>0.54166666666666696</v>
      </c>
      <c r="D33" t="s">
        <v>4</v>
      </c>
      <c r="E33" t="s">
        <v>54</v>
      </c>
      <c r="G33" t="str">
        <f t="shared" si="4"/>
        <v>✅ CUBIERTO</v>
      </c>
      <c r="I33" s="1">
        <v>45993</v>
      </c>
      <c r="J33" s="2" t="str">
        <f t="shared" si="9"/>
        <v>mar</v>
      </c>
      <c r="K33" s="8">
        <v>0.54166666666666696</v>
      </c>
      <c r="L33" t="s">
        <v>4</v>
      </c>
      <c r="M33" t="s">
        <v>4</v>
      </c>
      <c r="O33" t="str">
        <f t="shared" si="5"/>
        <v>✅ CUBIERTO</v>
      </c>
    </row>
    <row r="34" spans="1:15" x14ac:dyDescent="0.3">
      <c r="A34" s="1">
        <v>45963</v>
      </c>
      <c r="B34" s="2" t="str">
        <f t="shared" si="8"/>
        <v>dom</v>
      </c>
      <c r="C34" s="8">
        <v>0.58333333333333304</v>
      </c>
      <c r="D34" t="s">
        <v>55</v>
      </c>
      <c r="E34" t="s">
        <v>4</v>
      </c>
      <c r="G34" t="str">
        <f t="shared" si="4"/>
        <v>✅ CUBIERTO</v>
      </c>
      <c r="I34" s="1">
        <v>45993</v>
      </c>
      <c r="J34" s="2" t="str">
        <f t="shared" si="9"/>
        <v>mar</v>
      </c>
      <c r="K34" s="8">
        <v>0.58333333333333304</v>
      </c>
      <c r="L34" t="s">
        <v>4</v>
      </c>
      <c r="M34" t="s">
        <v>4</v>
      </c>
      <c r="O34" t="str">
        <f t="shared" si="5"/>
        <v>✅ CUBIERTO</v>
      </c>
    </row>
    <row r="35" spans="1:15" x14ac:dyDescent="0.3">
      <c r="A35" s="1">
        <v>45963</v>
      </c>
      <c r="B35" s="2" t="str">
        <f t="shared" si="8"/>
        <v>dom</v>
      </c>
      <c r="C35" s="8">
        <v>0.625</v>
      </c>
      <c r="D35" t="s">
        <v>55</v>
      </c>
      <c r="E35" t="s">
        <v>4</v>
      </c>
      <c r="G35" t="str">
        <f t="shared" si="4"/>
        <v>✅ CUBIERTO</v>
      </c>
      <c r="I35" s="1">
        <v>45993</v>
      </c>
      <c r="J35" s="2" t="str">
        <f t="shared" si="9"/>
        <v>mar</v>
      </c>
      <c r="K35" s="8">
        <v>0.625</v>
      </c>
      <c r="L35" t="s">
        <v>4</v>
      </c>
      <c r="M35" t="s">
        <v>4</v>
      </c>
      <c r="O35" t="str">
        <f t="shared" si="5"/>
        <v>✅ CUBIERTO</v>
      </c>
    </row>
    <row r="36" spans="1:15" x14ac:dyDescent="0.3">
      <c r="A36" s="1">
        <v>45963</v>
      </c>
      <c r="B36" s="2" t="str">
        <f t="shared" si="8"/>
        <v>dom</v>
      </c>
      <c r="C36" s="8">
        <v>0.66666666666666696</v>
      </c>
      <c r="D36" t="s">
        <v>55</v>
      </c>
      <c r="E36" t="s">
        <v>4</v>
      </c>
      <c r="G36" t="str">
        <f t="shared" si="4"/>
        <v>✅ CUBIERTO</v>
      </c>
      <c r="I36" s="1">
        <v>45993</v>
      </c>
      <c r="J36" s="2" t="str">
        <f t="shared" si="9"/>
        <v>mar</v>
      </c>
      <c r="K36" s="8">
        <v>0.66666666666666696</v>
      </c>
      <c r="L36" t="s">
        <v>4</v>
      </c>
      <c r="M36" t="s">
        <v>4</v>
      </c>
      <c r="O36" t="str">
        <f t="shared" si="5"/>
        <v>✅ CUBIERTO</v>
      </c>
    </row>
    <row r="37" spans="1:15" x14ac:dyDescent="0.3">
      <c r="A37" s="1">
        <v>45963</v>
      </c>
      <c r="B37" s="2" t="str">
        <f t="shared" si="8"/>
        <v>dom</v>
      </c>
      <c r="C37" s="8">
        <v>0.70833333333333304</v>
      </c>
      <c r="D37" t="s">
        <v>55</v>
      </c>
      <c r="E37" t="s">
        <v>4</v>
      </c>
      <c r="G37" t="str">
        <f t="shared" si="4"/>
        <v>✅ CUBIERTO</v>
      </c>
      <c r="I37" s="1">
        <v>45993</v>
      </c>
      <c r="J37" s="2" t="str">
        <f t="shared" si="9"/>
        <v>mar</v>
      </c>
      <c r="K37" s="8">
        <v>0.70833333333333304</v>
      </c>
      <c r="L37" t="s">
        <v>4</v>
      </c>
      <c r="M37" t="s">
        <v>4</v>
      </c>
      <c r="O37" t="str">
        <f t="shared" si="5"/>
        <v>✅ CUBIERTO</v>
      </c>
    </row>
    <row r="38" spans="1:15" x14ac:dyDescent="0.3">
      <c r="A38" s="1">
        <v>45963</v>
      </c>
      <c r="B38" s="2" t="str">
        <f t="shared" si="8"/>
        <v>dom</v>
      </c>
      <c r="C38" s="8">
        <v>0.75</v>
      </c>
      <c r="D38" t="s">
        <v>55</v>
      </c>
      <c r="E38" t="s">
        <v>4</v>
      </c>
      <c r="G38" t="str">
        <f t="shared" si="4"/>
        <v>✅ CUBIERTO</v>
      </c>
      <c r="I38" s="1">
        <v>45993</v>
      </c>
      <c r="J38" s="2" t="str">
        <f t="shared" si="9"/>
        <v>mar</v>
      </c>
      <c r="K38" s="8">
        <v>0.75</v>
      </c>
      <c r="L38" t="s">
        <v>4</v>
      </c>
      <c r="M38" t="s">
        <v>4</v>
      </c>
      <c r="O38" t="str">
        <f t="shared" si="5"/>
        <v>✅ CUBIERTO</v>
      </c>
    </row>
    <row r="39" spans="1:15" x14ac:dyDescent="0.3">
      <c r="A39" s="1">
        <v>45963</v>
      </c>
      <c r="B39" s="2" t="str">
        <f t="shared" si="8"/>
        <v>dom</v>
      </c>
      <c r="C39" s="8">
        <v>0.79166666666666696</v>
      </c>
      <c r="D39" t="s">
        <v>55</v>
      </c>
      <c r="E39" t="s">
        <v>4</v>
      </c>
      <c r="G39" t="str">
        <f t="shared" si="4"/>
        <v>✅ CUBIERTO</v>
      </c>
      <c r="I39" s="1">
        <v>45993</v>
      </c>
      <c r="J39" s="2" t="str">
        <f t="shared" si="9"/>
        <v>mar</v>
      </c>
      <c r="K39" s="8">
        <v>0.79166666666666696</v>
      </c>
      <c r="L39" t="s">
        <v>4</v>
      </c>
      <c r="M39" t="s">
        <v>4</v>
      </c>
      <c r="O39" t="str">
        <f t="shared" si="5"/>
        <v>✅ CUBIERTO</v>
      </c>
    </row>
    <row r="40" spans="1:15" x14ac:dyDescent="0.3">
      <c r="A40" s="1">
        <v>45964</v>
      </c>
      <c r="B40" s="2" t="str">
        <f>TEXT(A40,"ddd")</f>
        <v>lun</v>
      </c>
      <c r="C40" s="8">
        <v>0.45833333333333331</v>
      </c>
      <c r="D40" t="s">
        <v>55</v>
      </c>
      <c r="E40" t="s">
        <v>4</v>
      </c>
      <c r="G40" t="str">
        <f t="shared" si="4"/>
        <v>✅ CUBIERTO</v>
      </c>
      <c r="I40" s="1">
        <v>45994</v>
      </c>
      <c r="J40" s="2" t="str">
        <f>TEXT(I40,"ddd")</f>
        <v>mié</v>
      </c>
      <c r="K40" s="8">
        <v>0.45833333333333331</v>
      </c>
      <c r="L40" t="s">
        <v>3</v>
      </c>
      <c r="M40" t="s">
        <v>4</v>
      </c>
      <c r="O40" t="str">
        <f t="shared" si="5"/>
        <v>✅ CUBIERTO</v>
      </c>
    </row>
    <row r="41" spans="1:15" x14ac:dyDescent="0.3">
      <c r="A41" s="1">
        <v>45964</v>
      </c>
      <c r="B41" s="2" t="str">
        <f t="shared" ref="B41:B48" si="10">TEXT(A41,"ddd")</f>
        <v>lun</v>
      </c>
      <c r="C41" s="8">
        <v>0.5</v>
      </c>
      <c r="D41" t="s">
        <v>55</v>
      </c>
      <c r="E41" t="s">
        <v>4</v>
      </c>
      <c r="G41" t="str">
        <f t="shared" si="4"/>
        <v>✅ CUBIERTO</v>
      </c>
      <c r="I41" s="1">
        <v>45994</v>
      </c>
      <c r="J41" s="2" t="str">
        <f t="shared" ref="J41:J48" si="11">TEXT(I41,"ddd")</f>
        <v>mié</v>
      </c>
      <c r="K41" s="8">
        <v>0.5</v>
      </c>
      <c r="L41" t="s">
        <v>3</v>
      </c>
      <c r="M41" t="s">
        <v>4</v>
      </c>
      <c r="O41" t="str">
        <f t="shared" si="5"/>
        <v>✅ CUBIERTO</v>
      </c>
    </row>
    <row r="42" spans="1:15" x14ac:dyDescent="0.3">
      <c r="A42" s="1">
        <v>45964</v>
      </c>
      <c r="B42" s="2" t="str">
        <f t="shared" si="10"/>
        <v>lun</v>
      </c>
      <c r="C42" s="8">
        <v>0.54166666666666696</v>
      </c>
      <c r="D42" t="s">
        <v>55</v>
      </c>
      <c r="E42" t="s">
        <v>4</v>
      </c>
      <c r="G42" t="str">
        <f t="shared" si="4"/>
        <v>✅ CUBIERTO</v>
      </c>
      <c r="I42" s="1">
        <v>45994</v>
      </c>
      <c r="J42" s="2" t="str">
        <f t="shared" si="11"/>
        <v>mié</v>
      </c>
      <c r="K42" s="8">
        <v>0.54166666666666696</v>
      </c>
      <c r="L42" t="s">
        <v>3</v>
      </c>
      <c r="M42" t="s">
        <v>4</v>
      </c>
      <c r="O42" t="str">
        <f t="shared" si="5"/>
        <v>✅ CUBIERTO</v>
      </c>
    </row>
    <row r="43" spans="1:15" x14ac:dyDescent="0.3">
      <c r="A43" s="1">
        <v>45964</v>
      </c>
      <c r="B43" s="2" t="str">
        <f t="shared" si="10"/>
        <v>lun</v>
      </c>
      <c r="C43" s="8">
        <v>0.58333333333333304</v>
      </c>
      <c r="D43" t="s">
        <v>55</v>
      </c>
      <c r="E43" t="s">
        <v>4</v>
      </c>
      <c r="G43" t="str">
        <f t="shared" si="4"/>
        <v>✅ CUBIERTO</v>
      </c>
      <c r="I43" s="1">
        <v>45994</v>
      </c>
      <c r="J43" s="2" t="str">
        <f t="shared" si="11"/>
        <v>mié</v>
      </c>
      <c r="K43" s="8">
        <v>0.58333333333333304</v>
      </c>
      <c r="L43" t="s">
        <v>3</v>
      </c>
      <c r="M43" t="s">
        <v>4</v>
      </c>
      <c r="O43" t="str">
        <f t="shared" si="5"/>
        <v>✅ CUBIERTO</v>
      </c>
    </row>
    <row r="44" spans="1:15" x14ac:dyDescent="0.3">
      <c r="A44" s="1">
        <v>45964</v>
      </c>
      <c r="B44" s="2" t="str">
        <f t="shared" si="10"/>
        <v>lun</v>
      </c>
      <c r="C44" s="8">
        <v>0.625</v>
      </c>
      <c r="D44" t="s">
        <v>55</v>
      </c>
      <c r="E44" t="s">
        <v>4</v>
      </c>
      <c r="G44" t="str">
        <f t="shared" si="4"/>
        <v>✅ CUBIERTO</v>
      </c>
      <c r="I44" s="1">
        <v>45994</v>
      </c>
      <c r="J44" s="2" t="str">
        <f t="shared" si="11"/>
        <v>mié</v>
      </c>
      <c r="K44" s="8">
        <v>0.625</v>
      </c>
      <c r="L44" t="s">
        <v>3</v>
      </c>
      <c r="M44" t="s">
        <v>4</v>
      </c>
      <c r="O44" t="str">
        <f t="shared" si="5"/>
        <v>✅ CUBIERTO</v>
      </c>
    </row>
    <row r="45" spans="1:15" x14ac:dyDescent="0.3">
      <c r="A45" s="1">
        <v>45964</v>
      </c>
      <c r="B45" s="2" t="str">
        <f t="shared" si="10"/>
        <v>lun</v>
      </c>
      <c r="C45" s="8">
        <v>0.66666666666666696</v>
      </c>
      <c r="D45" t="s">
        <v>55</v>
      </c>
      <c r="E45" t="s">
        <v>4</v>
      </c>
      <c r="G45" t="str">
        <f t="shared" si="4"/>
        <v>✅ CUBIERTO</v>
      </c>
      <c r="I45" s="1">
        <v>45994</v>
      </c>
      <c r="J45" s="2" t="str">
        <f t="shared" si="11"/>
        <v>mié</v>
      </c>
      <c r="K45" s="8">
        <v>0.66666666666666696</v>
      </c>
      <c r="L45" t="s">
        <v>3</v>
      </c>
      <c r="M45" t="s">
        <v>4</v>
      </c>
      <c r="O45" t="str">
        <f t="shared" si="5"/>
        <v>✅ CUBIERTO</v>
      </c>
    </row>
    <row r="46" spans="1:15" x14ac:dyDescent="0.3">
      <c r="A46" s="1">
        <v>45964</v>
      </c>
      <c r="B46" s="2" t="str">
        <f t="shared" si="10"/>
        <v>lun</v>
      </c>
      <c r="C46" s="8">
        <v>0.70833333333333304</v>
      </c>
      <c r="D46" t="s">
        <v>4</v>
      </c>
      <c r="E46" t="s">
        <v>4</v>
      </c>
      <c r="G46" t="str">
        <f t="shared" si="4"/>
        <v>✅ CUBIERTO</v>
      </c>
      <c r="I46" s="1">
        <v>45994</v>
      </c>
      <c r="J46" s="2" t="str">
        <f t="shared" si="11"/>
        <v>mié</v>
      </c>
      <c r="K46" s="8">
        <v>0.70833333333333304</v>
      </c>
      <c r="L46" t="s">
        <v>3</v>
      </c>
      <c r="M46" t="s">
        <v>4</v>
      </c>
      <c r="O46" t="str">
        <f t="shared" si="5"/>
        <v>✅ CUBIERTO</v>
      </c>
    </row>
    <row r="47" spans="1:15" x14ac:dyDescent="0.3">
      <c r="A47" s="1">
        <v>45964</v>
      </c>
      <c r="B47" s="2" t="str">
        <f t="shared" si="10"/>
        <v>lun</v>
      </c>
      <c r="C47" s="8">
        <v>0.75</v>
      </c>
      <c r="D47" t="s">
        <v>4</v>
      </c>
      <c r="E47" t="s">
        <v>4</v>
      </c>
      <c r="G47" t="str">
        <f t="shared" si="4"/>
        <v>✅ CUBIERTO</v>
      </c>
      <c r="I47" s="1">
        <v>45994</v>
      </c>
      <c r="J47" s="2" t="str">
        <f t="shared" si="11"/>
        <v>mié</v>
      </c>
      <c r="K47" s="8">
        <v>0.75</v>
      </c>
      <c r="L47" t="s">
        <v>3</v>
      </c>
      <c r="M47" t="s">
        <v>4</v>
      </c>
      <c r="O47" t="str">
        <f t="shared" si="5"/>
        <v>✅ CUBIERTO</v>
      </c>
    </row>
    <row r="48" spans="1:15" x14ac:dyDescent="0.3">
      <c r="A48" s="1">
        <v>45964</v>
      </c>
      <c r="B48" s="2" t="str">
        <f t="shared" si="10"/>
        <v>lun</v>
      </c>
      <c r="C48" s="8">
        <v>0.79166666666666696</v>
      </c>
      <c r="D48" t="s">
        <v>4</v>
      </c>
      <c r="E48" t="s">
        <v>4</v>
      </c>
      <c r="G48" t="str">
        <f t="shared" si="4"/>
        <v>✅ CUBIERTO</v>
      </c>
      <c r="I48" s="1">
        <v>45994</v>
      </c>
      <c r="J48" s="2" t="str">
        <f t="shared" si="11"/>
        <v>mié</v>
      </c>
      <c r="K48" s="8">
        <v>0.79166666666666696</v>
      </c>
      <c r="L48" t="s">
        <v>3</v>
      </c>
      <c r="M48" t="s">
        <v>4</v>
      </c>
      <c r="O48" t="str">
        <f t="shared" si="5"/>
        <v>✅ CUBIERTO</v>
      </c>
    </row>
    <row r="49" spans="1:15" x14ac:dyDescent="0.3">
      <c r="A49" s="1">
        <v>45965</v>
      </c>
      <c r="B49" s="2" t="str">
        <f>TEXT(A49,"ddd")</f>
        <v>mar</v>
      </c>
      <c r="C49" s="8">
        <v>0.45833333333333331</v>
      </c>
      <c r="D49" t="s">
        <v>4</v>
      </c>
      <c r="E49" t="s">
        <v>4</v>
      </c>
      <c r="G49" t="str">
        <f t="shared" si="4"/>
        <v>✅ CUBIERTO</v>
      </c>
      <c r="I49" s="1">
        <v>45995</v>
      </c>
      <c r="J49" s="2" t="str">
        <f>TEXT(I49,"ddd")</f>
        <v>jue</v>
      </c>
      <c r="K49" s="8">
        <v>0.45833333333333331</v>
      </c>
      <c r="L49" t="s">
        <v>4</v>
      </c>
      <c r="M49" t="s">
        <v>4</v>
      </c>
      <c r="O49" t="str">
        <f t="shared" si="5"/>
        <v>✅ CUBIERTO</v>
      </c>
    </row>
    <row r="50" spans="1:15" x14ac:dyDescent="0.3">
      <c r="A50" s="1">
        <v>45965</v>
      </c>
      <c r="B50" s="2" t="str">
        <f t="shared" ref="B50:B57" si="12">TEXT(A50,"ddd")</f>
        <v>mar</v>
      </c>
      <c r="C50" s="8">
        <v>0.5</v>
      </c>
      <c r="D50" t="s">
        <v>4</v>
      </c>
      <c r="E50" t="s">
        <v>4</v>
      </c>
      <c r="G50" t="str">
        <f t="shared" si="4"/>
        <v>✅ CUBIERTO</v>
      </c>
      <c r="I50" s="1">
        <v>45995</v>
      </c>
      <c r="J50" s="2" t="str">
        <f t="shared" ref="J50:J57" si="13">TEXT(I50,"ddd")</f>
        <v>jue</v>
      </c>
      <c r="K50" s="8">
        <v>0.5</v>
      </c>
      <c r="L50" t="s">
        <v>4</v>
      </c>
      <c r="M50" t="s">
        <v>4</v>
      </c>
      <c r="O50" t="str">
        <f t="shared" si="5"/>
        <v>✅ CUBIERTO</v>
      </c>
    </row>
    <row r="51" spans="1:15" x14ac:dyDescent="0.3">
      <c r="A51" s="1">
        <v>45965</v>
      </c>
      <c r="B51" s="2" t="str">
        <f t="shared" si="12"/>
        <v>mar</v>
      </c>
      <c r="C51" s="8">
        <v>0.54166666666666696</v>
      </c>
      <c r="D51" t="s">
        <v>4</v>
      </c>
      <c r="E51" t="s">
        <v>4</v>
      </c>
      <c r="G51" t="str">
        <f t="shared" si="4"/>
        <v>✅ CUBIERTO</v>
      </c>
      <c r="I51" s="1">
        <v>45995</v>
      </c>
      <c r="J51" s="2" t="str">
        <f t="shared" si="13"/>
        <v>jue</v>
      </c>
      <c r="K51" s="8">
        <v>0.54166666666666696</v>
      </c>
      <c r="L51" t="s">
        <v>4</v>
      </c>
      <c r="M51" t="s">
        <v>4</v>
      </c>
      <c r="O51" t="str">
        <f t="shared" si="5"/>
        <v>✅ CUBIERTO</v>
      </c>
    </row>
    <row r="52" spans="1:15" x14ac:dyDescent="0.3">
      <c r="A52" s="1">
        <v>45965</v>
      </c>
      <c r="B52" s="2" t="str">
        <f t="shared" si="12"/>
        <v>mar</v>
      </c>
      <c r="C52" s="8">
        <v>0.58333333333333304</v>
      </c>
      <c r="D52" t="s">
        <v>4</v>
      </c>
      <c r="E52" t="s">
        <v>4</v>
      </c>
      <c r="G52" t="str">
        <f t="shared" si="4"/>
        <v>✅ CUBIERTO</v>
      </c>
      <c r="I52" s="1">
        <v>45995</v>
      </c>
      <c r="J52" s="2" t="str">
        <f t="shared" si="13"/>
        <v>jue</v>
      </c>
      <c r="K52" s="8">
        <v>0.58333333333333304</v>
      </c>
      <c r="L52" t="s">
        <v>4</v>
      </c>
      <c r="M52" t="s">
        <v>4</v>
      </c>
      <c r="O52" t="str">
        <f t="shared" si="5"/>
        <v>✅ CUBIERTO</v>
      </c>
    </row>
    <row r="53" spans="1:15" x14ac:dyDescent="0.3">
      <c r="A53" s="1">
        <v>45965</v>
      </c>
      <c r="B53" s="2" t="str">
        <f t="shared" si="12"/>
        <v>mar</v>
      </c>
      <c r="C53" s="8">
        <v>0.625</v>
      </c>
      <c r="D53" t="s">
        <v>4</v>
      </c>
      <c r="E53" t="s">
        <v>4</v>
      </c>
      <c r="G53" t="str">
        <f t="shared" si="4"/>
        <v>✅ CUBIERTO</v>
      </c>
      <c r="I53" s="1">
        <v>45995</v>
      </c>
      <c r="J53" s="2" t="str">
        <f t="shared" si="13"/>
        <v>jue</v>
      </c>
      <c r="K53" s="8">
        <v>0.625</v>
      </c>
      <c r="L53" t="s">
        <v>4</v>
      </c>
      <c r="M53" t="s">
        <v>4</v>
      </c>
      <c r="O53" t="str">
        <f t="shared" si="5"/>
        <v>✅ CUBIERTO</v>
      </c>
    </row>
    <row r="54" spans="1:15" x14ac:dyDescent="0.3">
      <c r="A54" s="1">
        <v>45965</v>
      </c>
      <c r="B54" s="2" t="str">
        <f t="shared" si="12"/>
        <v>mar</v>
      </c>
      <c r="C54" s="8">
        <v>0.66666666666666696</v>
      </c>
      <c r="D54" t="s">
        <v>4</v>
      </c>
      <c r="E54" t="s">
        <v>4</v>
      </c>
      <c r="G54" t="str">
        <f t="shared" si="4"/>
        <v>✅ CUBIERTO</v>
      </c>
      <c r="I54" s="1">
        <v>45995</v>
      </c>
      <c r="J54" s="2" t="str">
        <f t="shared" si="13"/>
        <v>jue</v>
      </c>
      <c r="K54" s="8">
        <v>0.66666666666666696</v>
      </c>
      <c r="L54" t="s">
        <v>4</v>
      </c>
      <c r="M54" t="s">
        <v>4</v>
      </c>
      <c r="O54" t="str">
        <f t="shared" si="5"/>
        <v>✅ CUBIERTO</v>
      </c>
    </row>
    <row r="55" spans="1:15" x14ac:dyDescent="0.3">
      <c r="A55" s="1">
        <v>45965</v>
      </c>
      <c r="B55" s="2" t="str">
        <f t="shared" si="12"/>
        <v>mar</v>
      </c>
      <c r="C55" s="8">
        <v>0.70833333333333304</v>
      </c>
      <c r="D55" t="s">
        <v>4</v>
      </c>
      <c r="E55" t="s">
        <v>4</v>
      </c>
      <c r="G55" t="str">
        <f t="shared" si="4"/>
        <v>✅ CUBIERTO</v>
      </c>
      <c r="I55" s="1">
        <v>45995</v>
      </c>
      <c r="J55" s="2" t="str">
        <f t="shared" si="13"/>
        <v>jue</v>
      </c>
      <c r="K55" s="8">
        <v>0.70833333333333304</v>
      </c>
      <c r="L55" t="s">
        <v>4</v>
      </c>
      <c r="M55" t="s">
        <v>4</v>
      </c>
      <c r="O55" t="str">
        <f t="shared" si="5"/>
        <v>✅ CUBIERTO</v>
      </c>
    </row>
    <row r="56" spans="1:15" x14ac:dyDescent="0.3">
      <c r="A56" s="1">
        <v>45965</v>
      </c>
      <c r="B56" s="2" t="str">
        <f t="shared" si="12"/>
        <v>mar</v>
      </c>
      <c r="C56" s="8">
        <v>0.75</v>
      </c>
      <c r="D56" t="s">
        <v>4</v>
      </c>
      <c r="E56" t="s">
        <v>4</v>
      </c>
      <c r="G56" t="str">
        <f t="shared" si="4"/>
        <v>✅ CUBIERTO</v>
      </c>
      <c r="I56" s="1">
        <v>45995</v>
      </c>
      <c r="J56" s="2" t="str">
        <f t="shared" si="13"/>
        <v>jue</v>
      </c>
      <c r="K56" s="8">
        <v>0.75</v>
      </c>
      <c r="L56" t="s">
        <v>4</v>
      </c>
      <c r="M56" t="s">
        <v>4</v>
      </c>
      <c r="O56" t="str">
        <f t="shared" si="5"/>
        <v>✅ CUBIERTO</v>
      </c>
    </row>
    <row r="57" spans="1:15" x14ac:dyDescent="0.3">
      <c r="A57" s="1">
        <v>45965</v>
      </c>
      <c r="B57" s="2" t="str">
        <f t="shared" si="12"/>
        <v>mar</v>
      </c>
      <c r="C57" s="8">
        <v>0.79166666666666696</v>
      </c>
      <c r="D57" t="s">
        <v>4</v>
      </c>
      <c r="E57" t="s">
        <v>4</v>
      </c>
      <c r="G57" t="str">
        <f t="shared" si="4"/>
        <v>✅ CUBIERTO</v>
      </c>
      <c r="I57" s="1">
        <v>45995</v>
      </c>
      <c r="J57" s="2" t="str">
        <f t="shared" si="13"/>
        <v>jue</v>
      </c>
      <c r="K57" s="8">
        <v>0.79166666666666696</v>
      </c>
      <c r="L57" t="s">
        <v>4</v>
      </c>
      <c r="M57" t="s">
        <v>4</v>
      </c>
      <c r="O57" t="str">
        <f t="shared" si="5"/>
        <v>✅ CUBIERTO</v>
      </c>
    </row>
    <row r="58" spans="1:15" x14ac:dyDescent="0.3">
      <c r="A58" s="1">
        <v>45966</v>
      </c>
      <c r="B58" s="2" t="str">
        <f>TEXT(A58,"ddd")</f>
        <v>mié</v>
      </c>
      <c r="C58" s="8">
        <v>0.45833333333333331</v>
      </c>
      <c r="D58" t="s">
        <v>4</v>
      </c>
      <c r="E58" t="s">
        <v>4</v>
      </c>
      <c r="G58" t="str">
        <f t="shared" si="4"/>
        <v>✅ CUBIERTO</v>
      </c>
      <c r="I58" s="1">
        <v>45996</v>
      </c>
      <c r="J58" s="2" t="str">
        <f>TEXT(I58,"ddd")</f>
        <v>vie</v>
      </c>
      <c r="K58" s="8">
        <v>0.45833333333333331</v>
      </c>
      <c r="L58" t="s">
        <v>9</v>
      </c>
      <c r="M58" t="s">
        <v>4</v>
      </c>
      <c r="O58" t="str">
        <f t="shared" si="5"/>
        <v>✅ CUBIERTO</v>
      </c>
    </row>
    <row r="59" spans="1:15" x14ac:dyDescent="0.3">
      <c r="A59" s="1">
        <v>45966</v>
      </c>
      <c r="B59" s="2" t="str">
        <f t="shared" ref="B59:B66" si="14">TEXT(A59,"ddd")</f>
        <v>mié</v>
      </c>
      <c r="C59" s="8">
        <v>0.5</v>
      </c>
      <c r="D59" t="s">
        <v>4</v>
      </c>
      <c r="E59" t="s">
        <v>4</v>
      </c>
      <c r="G59" t="str">
        <f t="shared" si="4"/>
        <v>✅ CUBIERTO</v>
      </c>
      <c r="I59" s="1">
        <v>45996</v>
      </c>
      <c r="J59" s="2" t="str">
        <f t="shared" ref="J59:J66" si="15">TEXT(I59,"ddd")</f>
        <v>vie</v>
      </c>
      <c r="K59" s="8">
        <v>0.5</v>
      </c>
      <c r="L59" t="s">
        <v>9</v>
      </c>
      <c r="M59" t="s">
        <v>4</v>
      </c>
      <c r="O59" t="str">
        <f t="shared" si="5"/>
        <v>✅ CUBIERTO</v>
      </c>
    </row>
    <row r="60" spans="1:15" x14ac:dyDescent="0.3">
      <c r="A60" s="1">
        <v>45966</v>
      </c>
      <c r="B60" s="2" t="str">
        <f t="shared" si="14"/>
        <v>mié</v>
      </c>
      <c r="C60" s="8">
        <v>0.54166666666666696</v>
      </c>
      <c r="D60" t="s">
        <v>4</v>
      </c>
      <c r="E60" t="s">
        <v>4</v>
      </c>
      <c r="G60" t="str">
        <f t="shared" si="4"/>
        <v>✅ CUBIERTO</v>
      </c>
      <c r="I60" s="1">
        <v>45996</v>
      </c>
      <c r="J60" s="2" t="str">
        <f t="shared" si="15"/>
        <v>vie</v>
      </c>
      <c r="K60" s="8">
        <v>0.54166666666666696</v>
      </c>
      <c r="L60" t="s">
        <v>9</v>
      </c>
      <c r="M60" t="s">
        <v>4</v>
      </c>
      <c r="O60" t="str">
        <f t="shared" si="5"/>
        <v>✅ CUBIERTO</v>
      </c>
    </row>
    <row r="61" spans="1:15" x14ac:dyDescent="0.3">
      <c r="A61" s="1">
        <v>45966</v>
      </c>
      <c r="B61" s="2" t="str">
        <f t="shared" si="14"/>
        <v>mié</v>
      </c>
      <c r="C61" s="8">
        <v>0.58333333333333304</v>
      </c>
      <c r="D61" t="s">
        <v>4</v>
      </c>
      <c r="E61" t="s">
        <v>4</v>
      </c>
      <c r="G61" t="str">
        <f t="shared" si="4"/>
        <v>✅ CUBIERTO</v>
      </c>
      <c r="I61" s="1">
        <v>45996</v>
      </c>
      <c r="J61" s="2" t="str">
        <f t="shared" si="15"/>
        <v>vie</v>
      </c>
      <c r="K61" s="8">
        <v>0.58333333333333304</v>
      </c>
      <c r="L61" t="s">
        <v>9</v>
      </c>
      <c r="M61" t="s">
        <v>4</v>
      </c>
      <c r="O61" t="str">
        <f t="shared" si="5"/>
        <v>✅ CUBIERTO</v>
      </c>
    </row>
    <row r="62" spans="1:15" x14ac:dyDescent="0.3">
      <c r="A62" s="1">
        <v>45966</v>
      </c>
      <c r="B62" s="2" t="str">
        <f t="shared" si="14"/>
        <v>mié</v>
      </c>
      <c r="C62" s="8">
        <v>0.625</v>
      </c>
      <c r="D62" t="s">
        <v>4</v>
      </c>
      <c r="E62" t="s">
        <v>4</v>
      </c>
      <c r="G62" t="str">
        <f t="shared" si="4"/>
        <v>✅ CUBIERTO</v>
      </c>
      <c r="I62" s="1">
        <v>45996</v>
      </c>
      <c r="J62" s="2" t="str">
        <f t="shared" si="15"/>
        <v>vie</v>
      </c>
      <c r="K62" s="8">
        <v>0.625</v>
      </c>
      <c r="L62" t="s">
        <v>9</v>
      </c>
      <c r="M62" t="s">
        <v>4</v>
      </c>
      <c r="O62" t="str">
        <f t="shared" si="5"/>
        <v>✅ CUBIERTO</v>
      </c>
    </row>
    <row r="63" spans="1:15" x14ac:dyDescent="0.3">
      <c r="A63" s="1">
        <v>45966</v>
      </c>
      <c r="B63" s="2" t="str">
        <f t="shared" si="14"/>
        <v>mié</v>
      </c>
      <c r="C63" s="8">
        <v>0.66666666666666696</v>
      </c>
      <c r="D63" t="s">
        <v>4</v>
      </c>
      <c r="E63" t="s">
        <v>4</v>
      </c>
      <c r="G63" t="str">
        <f t="shared" si="4"/>
        <v>✅ CUBIERTO</v>
      </c>
      <c r="I63" s="1">
        <v>45996</v>
      </c>
      <c r="J63" s="2" t="str">
        <f t="shared" si="15"/>
        <v>vie</v>
      </c>
      <c r="K63" s="8">
        <v>0.66666666666666696</v>
      </c>
      <c r="L63" t="s">
        <v>4</v>
      </c>
      <c r="M63" t="s">
        <v>4</v>
      </c>
      <c r="O63" t="str">
        <f t="shared" si="5"/>
        <v>✅ CUBIERTO</v>
      </c>
    </row>
    <row r="64" spans="1:15" x14ac:dyDescent="0.3">
      <c r="A64" s="1">
        <v>45966</v>
      </c>
      <c r="B64" s="2" t="str">
        <f t="shared" si="14"/>
        <v>mié</v>
      </c>
      <c r="C64" s="8">
        <v>0.70833333333333304</v>
      </c>
      <c r="D64" t="s">
        <v>4</v>
      </c>
      <c r="E64" t="s">
        <v>4</v>
      </c>
      <c r="G64" t="str">
        <f t="shared" si="4"/>
        <v>✅ CUBIERTO</v>
      </c>
      <c r="I64" s="1">
        <v>45996</v>
      </c>
      <c r="J64" s="2" t="str">
        <f t="shared" si="15"/>
        <v>vie</v>
      </c>
      <c r="K64" s="8">
        <v>0.70833333333333304</v>
      </c>
      <c r="L64" t="s">
        <v>4</v>
      </c>
      <c r="M64" t="s">
        <v>4</v>
      </c>
      <c r="O64" t="str">
        <f t="shared" si="5"/>
        <v>✅ CUBIERTO</v>
      </c>
    </row>
    <row r="65" spans="1:15" x14ac:dyDescent="0.3">
      <c r="A65" s="1">
        <v>45966</v>
      </c>
      <c r="B65" s="2" t="str">
        <f t="shared" si="14"/>
        <v>mié</v>
      </c>
      <c r="C65" s="8">
        <v>0.75</v>
      </c>
      <c r="D65" t="s">
        <v>4</v>
      </c>
      <c r="E65" t="s">
        <v>4</v>
      </c>
      <c r="G65" t="str">
        <f t="shared" si="4"/>
        <v>✅ CUBIERTO</v>
      </c>
      <c r="I65" s="1">
        <v>45996</v>
      </c>
      <c r="J65" s="2" t="str">
        <f t="shared" si="15"/>
        <v>vie</v>
      </c>
      <c r="K65" s="8">
        <v>0.75</v>
      </c>
      <c r="L65" t="s">
        <v>4</v>
      </c>
      <c r="M65" t="s">
        <v>4</v>
      </c>
      <c r="O65" t="str">
        <f t="shared" si="5"/>
        <v>✅ CUBIERTO</v>
      </c>
    </row>
    <row r="66" spans="1:15" x14ac:dyDescent="0.3">
      <c r="A66" s="1">
        <v>45966</v>
      </c>
      <c r="B66" s="2" t="str">
        <f t="shared" si="14"/>
        <v>mié</v>
      </c>
      <c r="C66" s="8">
        <v>0.79166666666666696</v>
      </c>
      <c r="D66" t="s">
        <v>4</v>
      </c>
      <c r="E66" t="s">
        <v>4</v>
      </c>
      <c r="G66" t="str">
        <f t="shared" si="4"/>
        <v>✅ CUBIERTO</v>
      </c>
      <c r="I66" s="1">
        <v>45996</v>
      </c>
      <c r="J66" s="2" t="str">
        <f t="shared" si="15"/>
        <v>vie</v>
      </c>
      <c r="K66" s="8">
        <v>0.79166666666666696</v>
      </c>
      <c r="L66" t="s">
        <v>4</v>
      </c>
      <c r="M66" t="s">
        <v>4</v>
      </c>
      <c r="O66" t="str">
        <f t="shared" si="5"/>
        <v>✅ CUBIERTO</v>
      </c>
    </row>
    <row r="67" spans="1:15" x14ac:dyDescent="0.3">
      <c r="A67" s="1">
        <v>45967</v>
      </c>
      <c r="B67" s="2" t="str">
        <f>TEXT(A67,"ddd")</f>
        <v>jue</v>
      </c>
      <c r="C67" s="8">
        <v>0.45833333333333331</v>
      </c>
      <c r="D67" t="s">
        <v>4</v>
      </c>
      <c r="E67" t="s">
        <v>4</v>
      </c>
      <c r="G67" t="str">
        <f t="shared" si="4"/>
        <v>✅ CUBIERTO</v>
      </c>
      <c r="I67" s="1">
        <v>45997</v>
      </c>
      <c r="J67" s="2" t="str">
        <f>TEXT(I67,"ddd")</f>
        <v>sáb</v>
      </c>
      <c r="K67" s="8">
        <v>0.45833333333333331</v>
      </c>
      <c r="L67" t="s">
        <v>4</v>
      </c>
      <c r="M67" t="s">
        <v>4</v>
      </c>
      <c r="O67" t="str">
        <f t="shared" si="5"/>
        <v>✅ CUBIERTO</v>
      </c>
    </row>
    <row r="68" spans="1:15" x14ac:dyDescent="0.3">
      <c r="A68" s="1">
        <v>45967</v>
      </c>
      <c r="B68" s="2" t="str">
        <f t="shared" ref="B68:B75" si="16">TEXT(A68,"ddd")</f>
        <v>jue</v>
      </c>
      <c r="C68" s="8">
        <v>0.5</v>
      </c>
      <c r="D68" t="s">
        <v>4</v>
      </c>
      <c r="E68" t="s">
        <v>4</v>
      </c>
      <c r="G68" t="str">
        <f t="shared" si="4"/>
        <v>✅ CUBIERTO</v>
      </c>
      <c r="I68" s="1">
        <v>45997</v>
      </c>
      <c r="J68" s="2" t="str">
        <f t="shared" ref="J68:J75" si="17">TEXT(I68,"ddd")</f>
        <v>sáb</v>
      </c>
      <c r="K68" s="8">
        <v>0.5</v>
      </c>
      <c r="L68" t="s">
        <v>4</v>
      </c>
      <c r="M68" t="s">
        <v>4</v>
      </c>
      <c r="O68" t="str">
        <f t="shared" si="5"/>
        <v>✅ CUBIERTO</v>
      </c>
    </row>
    <row r="69" spans="1:15" x14ac:dyDescent="0.3">
      <c r="A69" s="1">
        <v>45967</v>
      </c>
      <c r="B69" s="2" t="str">
        <f t="shared" si="16"/>
        <v>jue</v>
      </c>
      <c r="C69" s="8">
        <v>0.54166666666666696</v>
      </c>
      <c r="D69" t="s">
        <v>4</v>
      </c>
      <c r="E69" t="s">
        <v>4</v>
      </c>
      <c r="G69" t="str">
        <f t="shared" si="4"/>
        <v>✅ CUBIERTO</v>
      </c>
      <c r="I69" s="1">
        <v>45997</v>
      </c>
      <c r="J69" s="2" t="str">
        <f t="shared" si="17"/>
        <v>sáb</v>
      </c>
      <c r="K69" s="8">
        <v>0.54166666666666696</v>
      </c>
      <c r="L69" t="s">
        <v>4</v>
      </c>
      <c r="M69" t="s">
        <v>4</v>
      </c>
      <c r="O69" t="str">
        <f t="shared" si="5"/>
        <v>✅ CUBIERTO</v>
      </c>
    </row>
    <row r="70" spans="1:15" x14ac:dyDescent="0.3">
      <c r="A70" s="1">
        <v>45967</v>
      </c>
      <c r="B70" s="2" t="str">
        <f t="shared" si="16"/>
        <v>jue</v>
      </c>
      <c r="C70" s="8">
        <v>0.58333333333333304</v>
      </c>
      <c r="D70" t="s">
        <v>4</v>
      </c>
      <c r="E70" t="s">
        <v>4</v>
      </c>
      <c r="G70" t="str">
        <f t="shared" si="4"/>
        <v>✅ CUBIERTO</v>
      </c>
      <c r="I70" s="1">
        <v>45997</v>
      </c>
      <c r="J70" s="2" t="str">
        <f t="shared" si="17"/>
        <v>sáb</v>
      </c>
      <c r="K70" s="8">
        <v>0.58333333333333304</v>
      </c>
      <c r="L70" t="s">
        <v>4</v>
      </c>
      <c r="M70" t="s">
        <v>4</v>
      </c>
      <c r="O70" t="str">
        <f t="shared" si="5"/>
        <v>✅ CUBIERTO</v>
      </c>
    </row>
    <row r="71" spans="1:15" x14ac:dyDescent="0.3">
      <c r="A71" s="1">
        <v>45967</v>
      </c>
      <c r="B71" s="2" t="str">
        <f t="shared" si="16"/>
        <v>jue</v>
      </c>
      <c r="C71" s="8">
        <v>0.625</v>
      </c>
      <c r="D71" t="s">
        <v>4</v>
      </c>
      <c r="E71" t="s">
        <v>4</v>
      </c>
      <c r="G71" t="str">
        <f t="shared" si="4"/>
        <v>✅ CUBIERTO</v>
      </c>
      <c r="I71" s="1">
        <v>45997</v>
      </c>
      <c r="J71" s="2" t="str">
        <f t="shared" si="17"/>
        <v>sáb</v>
      </c>
      <c r="K71" s="8">
        <v>0.625</v>
      </c>
      <c r="L71" t="s">
        <v>4</v>
      </c>
      <c r="M71" t="s">
        <v>4</v>
      </c>
      <c r="O71" t="str">
        <f t="shared" si="5"/>
        <v>✅ CUBIERTO</v>
      </c>
    </row>
    <row r="72" spans="1:15" x14ac:dyDescent="0.3">
      <c r="A72" s="1">
        <v>45967</v>
      </c>
      <c r="B72" s="2" t="str">
        <f t="shared" si="16"/>
        <v>jue</v>
      </c>
      <c r="C72" s="8">
        <v>0.66666666666666696</v>
      </c>
      <c r="D72" t="s">
        <v>4</v>
      </c>
      <c r="E72" t="s">
        <v>4</v>
      </c>
      <c r="G72" t="str">
        <f t="shared" si="4"/>
        <v>✅ CUBIERTO</v>
      </c>
      <c r="I72" s="1">
        <v>45997</v>
      </c>
      <c r="J72" s="2" t="str">
        <f t="shared" si="17"/>
        <v>sáb</v>
      </c>
      <c r="K72" s="8">
        <v>0.66666666666666696</v>
      </c>
      <c r="L72" t="s">
        <v>4</v>
      </c>
      <c r="M72" t="s">
        <v>4</v>
      </c>
      <c r="O72" t="str">
        <f t="shared" si="5"/>
        <v>✅ CUBIERTO</v>
      </c>
    </row>
    <row r="73" spans="1:15" x14ac:dyDescent="0.3">
      <c r="A73" s="1">
        <v>45967</v>
      </c>
      <c r="B73" s="2" t="str">
        <f t="shared" si="16"/>
        <v>jue</v>
      </c>
      <c r="C73" s="8">
        <v>0.70833333333333304</v>
      </c>
      <c r="D73" t="s">
        <v>4</v>
      </c>
      <c r="E73" t="s">
        <v>4</v>
      </c>
      <c r="G73" t="str">
        <f t="shared" si="4"/>
        <v>✅ CUBIERTO</v>
      </c>
      <c r="I73" s="1">
        <v>45997</v>
      </c>
      <c r="J73" s="2" t="str">
        <f t="shared" si="17"/>
        <v>sáb</v>
      </c>
      <c r="K73" s="8">
        <v>0.70833333333333304</v>
      </c>
      <c r="L73" t="s">
        <v>4</v>
      </c>
      <c r="M73" t="s">
        <v>4</v>
      </c>
      <c r="O73" t="str">
        <f t="shared" si="5"/>
        <v>✅ CUBIERTO</v>
      </c>
    </row>
    <row r="74" spans="1:15" x14ac:dyDescent="0.3">
      <c r="A74" s="1">
        <v>45967</v>
      </c>
      <c r="B74" s="2" t="str">
        <f t="shared" si="16"/>
        <v>jue</v>
      </c>
      <c r="C74" s="8">
        <v>0.75</v>
      </c>
      <c r="D74" t="s">
        <v>4</v>
      </c>
      <c r="E74" t="s">
        <v>4</v>
      </c>
      <c r="G74" t="str">
        <f t="shared" si="4"/>
        <v>✅ CUBIERTO</v>
      </c>
      <c r="I74" s="1">
        <v>45997</v>
      </c>
      <c r="J74" s="2" t="str">
        <f t="shared" si="17"/>
        <v>sáb</v>
      </c>
      <c r="K74" s="8">
        <v>0.75</v>
      </c>
      <c r="L74" t="s">
        <v>4</v>
      </c>
      <c r="M74" t="s">
        <v>4</v>
      </c>
      <c r="O74" t="str">
        <f t="shared" si="5"/>
        <v>✅ CUBIERTO</v>
      </c>
    </row>
    <row r="75" spans="1:15" x14ac:dyDescent="0.3">
      <c r="A75" s="1">
        <v>45967</v>
      </c>
      <c r="B75" s="2" t="str">
        <f t="shared" si="16"/>
        <v>jue</v>
      </c>
      <c r="C75" s="8">
        <v>0.79166666666666696</v>
      </c>
      <c r="D75" t="s">
        <v>4</v>
      </c>
      <c r="E75" t="s">
        <v>4</v>
      </c>
      <c r="G75" t="str">
        <f t="shared" si="4"/>
        <v>✅ CUBIERTO</v>
      </c>
      <c r="I75" s="1">
        <v>45997</v>
      </c>
      <c r="J75" s="2" t="str">
        <f t="shared" si="17"/>
        <v>sáb</v>
      </c>
      <c r="K75" s="8">
        <v>0.79166666666666696</v>
      </c>
      <c r="L75" t="s">
        <v>4</v>
      </c>
      <c r="M75" t="s">
        <v>4</v>
      </c>
      <c r="O75" t="str">
        <f t="shared" si="5"/>
        <v>✅ CUBIERTO</v>
      </c>
    </row>
    <row r="76" spans="1:15" x14ac:dyDescent="0.3">
      <c r="A76" s="1">
        <v>45968</v>
      </c>
      <c r="B76" s="2" t="str">
        <f>TEXT(A76,"ddd")</f>
        <v>vie</v>
      </c>
      <c r="C76" s="8">
        <v>0.45833333333333331</v>
      </c>
      <c r="D76" t="s">
        <v>4</v>
      </c>
      <c r="E76" t="s">
        <v>4</v>
      </c>
      <c r="G76" t="str">
        <f t="shared" si="4"/>
        <v>✅ CUBIERTO</v>
      </c>
      <c r="I76" s="1">
        <v>45998</v>
      </c>
      <c r="J76" s="2" t="str">
        <f>TEXT(I76,"ddd")</f>
        <v>dom</v>
      </c>
      <c r="K76" s="8">
        <v>0.45833333333333331</v>
      </c>
      <c r="L76" t="s">
        <v>4</v>
      </c>
      <c r="M76" t="s">
        <v>4</v>
      </c>
      <c r="O76" t="str">
        <f t="shared" si="5"/>
        <v>✅ CUBIERTO</v>
      </c>
    </row>
    <row r="77" spans="1:15" x14ac:dyDescent="0.3">
      <c r="A77" s="1">
        <v>45968</v>
      </c>
      <c r="B77" s="2" t="str">
        <f t="shared" ref="B77:B84" si="18">TEXT(A77,"ddd")</f>
        <v>vie</v>
      </c>
      <c r="C77" s="8">
        <v>0.5</v>
      </c>
      <c r="D77" t="s">
        <v>4</v>
      </c>
      <c r="E77" t="s">
        <v>4</v>
      </c>
      <c r="G77" t="str">
        <f t="shared" si="4"/>
        <v>✅ CUBIERTO</v>
      </c>
      <c r="I77" s="1">
        <v>45998</v>
      </c>
      <c r="J77" s="2" t="str">
        <f t="shared" ref="J77:J84" si="19">TEXT(I77,"ddd")</f>
        <v>dom</v>
      </c>
      <c r="K77" s="8">
        <v>0.5</v>
      </c>
      <c r="L77" t="s">
        <v>4</v>
      </c>
      <c r="M77" t="s">
        <v>4</v>
      </c>
      <c r="O77" t="str">
        <f t="shared" si="5"/>
        <v>✅ CUBIERTO</v>
      </c>
    </row>
    <row r="78" spans="1:15" x14ac:dyDescent="0.3">
      <c r="A78" s="1">
        <v>45968</v>
      </c>
      <c r="B78" s="2" t="str">
        <f t="shared" si="18"/>
        <v>vie</v>
      </c>
      <c r="C78" s="8">
        <v>0.54166666666666696</v>
      </c>
      <c r="D78" t="s">
        <v>4</v>
      </c>
      <c r="E78" t="s">
        <v>4</v>
      </c>
      <c r="G78" t="str">
        <f t="shared" si="4"/>
        <v>✅ CUBIERTO</v>
      </c>
      <c r="I78" s="1">
        <v>45998</v>
      </c>
      <c r="J78" s="2" t="str">
        <f t="shared" si="19"/>
        <v>dom</v>
      </c>
      <c r="K78" s="8">
        <v>0.54166666666666696</v>
      </c>
      <c r="L78" t="s">
        <v>4</v>
      </c>
      <c r="M78" t="s">
        <v>4</v>
      </c>
      <c r="O78" t="str">
        <f t="shared" si="5"/>
        <v>✅ CUBIERTO</v>
      </c>
    </row>
    <row r="79" spans="1:15" x14ac:dyDescent="0.3">
      <c r="A79" s="1">
        <v>45968</v>
      </c>
      <c r="B79" s="2" t="str">
        <f t="shared" si="18"/>
        <v>vie</v>
      </c>
      <c r="C79" s="8">
        <v>0.58333333333333304</v>
      </c>
      <c r="D79" t="s">
        <v>4</v>
      </c>
      <c r="E79" t="s">
        <v>4</v>
      </c>
      <c r="G79" t="str">
        <f t="shared" si="4"/>
        <v>✅ CUBIERTO</v>
      </c>
      <c r="I79" s="1">
        <v>45998</v>
      </c>
      <c r="J79" s="2" t="str">
        <f t="shared" si="19"/>
        <v>dom</v>
      </c>
      <c r="K79" s="8">
        <v>0.58333333333333304</v>
      </c>
      <c r="L79" t="s">
        <v>4</v>
      </c>
      <c r="M79" t="s">
        <v>4</v>
      </c>
      <c r="O79" t="str">
        <f t="shared" si="5"/>
        <v>✅ CUBIERTO</v>
      </c>
    </row>
    <row r="80" spans="1:15" x14ac:dyDescent="0.3">
      <c r="A80" s="1">
        <v>45968</v>
      </c>
      <c r="B80" s="2" t="str">
        <f t="shared" si="18"/>
        <v>vie</v>
      </c>
      <c r="C80" s="8">
        <v>0.625</v>
      </c>
      <c r="D80" t="s">
        <v>4</v>
      </c>
      <c r="E80" t="s">
        <v>4</v>
      </c>
      <c r="G80" t="str">
        <f t="shared" si="4"/>
        <v>✅ CUBIERTO</v>
      </c>
      <c r="I80" s="1">
        <v>45998</v>
      </c>
      <c r="J80" s="2" t="str">
        <f t="shared" si="19"/>
        <v>dom</v>
      </c>
      <c r="K80" s="8">
        <v>0.625</v>
      </c>
      <c r="L80" t="s">
        <v>4</v>
      </c>
      <c r="M80" t="s">
        <v>4</v>
      </c>
      <c r="O80" t="str">
        <f t="shared" si="5"/>
        <v>✅ CUBIERTO</v>
      </c>
    </row>
    <row r="81" spans="1:15" x14ac:dyDescent="0.3">
      <c r="A81" s="1">
        <v>45968</v>
      </c>
      <c r="B81" s="2" t="str">
        <f t="shared" si="18"/>
        <v>vie</v>
      </c>
      <c r="C81" s="8">
        <v>0.66666666666666696</v>
      </c>
      <c r="D81" t="s">
        <v>4</v>
      </c>
      <c r="E81" t="s">
        <v>4</v>
      </c>
      <c r="G81" t="str">
        <f t="shared" si="4"/>
        <v>✅ CUBIERTO</v>
      </c>
      <c r="I81" s="1">
        <v>45998</v>
      </c>
      <c r="J81" s="2" t="str">
        <f t="shared" si="19"/>
        <v>dom</v>
      </c>
      <c r="K81" s="8">
        <v>0.66666666666666696</v>
      </c>
      <c r="L81" t="s">
        <v>4</v>
      </c>
      <c r="M81" t="s">
        <v>4</v>
      </c>
      <c r="O81" t="str">
        <f t="shared" si="5"/>
        <v>✅ CUBIERTO</v>
      </c>
    </row>
    <row r="82" spans="1:15" x14ac:dyDescent="0.3">
      <c r="A82" s="1">
        <v>45968</v>
      </c>
      <c r="B82" s="2" t="str">
        <f t="shared" si="18"/>
        <v>vie</v>
      </c>
      <c r="C82" s="8">
        <v>0.70833333333333304</v>
      </c>
      <c r="D82" t="s">
        <v>4</v>
      </c>
      <c r="E82" t="s">
        <v>4</v>
      </c>
      <c r="G82" t="str">
        <f t="shared" si="4"/>
        <v>✅ CUBIERTO</v>
      </c>
      <c r="I82" s="1">
        <v>45998</v>
      </c>
      <c r="J82" s="2" t="str">
        <f t="shared" si="19"/>
        <v>dom</v>
      </c>
      <c r="K82" s="8">
        <v>0.70833333333333304</v>
      </c>
      <c r="L82" t="s">
        <v>4</v>
      </c>
      <c r="M82" t="s">
        <v>4</v>
      </c>
      <c r="O82" t="str">
        <f t="shared" si="5"/>
        <v>✅ CUBIERTO</v>
      </c>
    </row>
    <row r="83" spans="1:15" x14ac:dyDescent="0.3">
      <c r="A83" s="1">
        <v>45968</v>
      </c>
      <c r="B83" s="2" t="str">
        <f t="shared" si="18"/>
        <v>vie</v>
      </c>
      <c r="C83" s="8">
        <v>0.75</v>
      </c>
      <c r="D83" t="s">
        <v>4</v>
      </c>
      <c r="E83" t="s">
        <v>4</v>
      </c>
      <c r="G83" t="str">
        <f t="shared" si="4"/>
        <v>✅ CUBIERTO</v>
      </c>
      <c r="I83" s="1">
        <v>45998</v>
      </c>
      <c r="J83" s="2" t="str">
        <f t="shared" si="19"/>
        <v>dom</v>
      </c>
      <c r="K83" s="8">
        <v>0.75</v>
      </c>
      <c r="L83" t="s">
        <v>4</v>
      </c>
      <c r="M83" t="s">
        <v>4</v>
      </c>
      <c r="O83" t="str">
        <f t="shared" si="5"/>
        <v>✅ CUBIERTO</v>
      </c>
    </row>
    <row r="84" spans="1:15" x14ac:dyDescent="0.3">
      <c r="A84" s="1">
        <v>45968</v>
      </c>
      <c r="B84" s="2" t="str">
        <f t="shared" si="18"/>
        <v>vie</v>
      </c>
      <c r="C84" s="8">
        <v>0.79166666666666696</v>
      </c>
      <c r="D84" t="s">
        <v>4</v>
      </c>
      <c r="E84" t="s">
        <v>4</v>
      </c>
      <c r="G84" t="str">
        <f t="shared" si="4"/>
        <v>✅ CUBIERTO</v>
      </c>
      <c r="I84" s="1">
        <v>45998</v>
      </c>
      <c r="J84" s="2" t="str">
        <f t="shared" si="19"/>
        <v>dom</v>
      </c>
      <c r="K84" s="8">
        <v>0.79166666666666696</v>
      </c>
      <c r="L84" t="s">
        <v>4</v>
      </c>
      <c r="M84" t="s">
        <v>4</v>
      </c>
      <c r="O84" t="str">
        <f t="shared" si="5"/>
        <v>✅ CUBIERTO</v>
      </c>
    </row>
    <row r="85" spans="1:15" x14ac:dyDescent="0.3">
      <c r="A85" s="28">
        <v>45969</v>
      </c>
      <c r="B85" s="29" t="str">
        <f>TEXT(A85,"ddd")</f>
        <v>sáb</v>
      </c>
      <c r="C85" s="30">
        <v>0.45833333333333331</v>
      </c>
      <c r="D85" t="s">
        <v>4</v>
      </c>
      <c r="E85" t="s">
        <v>4</v>
      </c>
      <c r="G85" s="31" t="str">
        <f t="shared" si="4"/>
        <v>✅ CUBIERTO</v>
      </c>
      <c r="I85" s="16">
        <v>45999</v>
      </c>
      <c r="J85" s="17" t="str">
        <f>TEXT(I85,"ddd")</f>
        <v>lun</v>
      </c>
      <c r="K85" s="18">
        <v>0.45833333333333331</v>
      </c>
      <c r="L85" s="19" t="s">
        <v>4</v>
      </c>
      <c r="M85" s="19" t="s">
        <v>9</v>
      </c>
      <c r="N85" s="19"/>
      <c r="O85" s="19" t="str">
        <f t="shared" si="5"/>
        <v>✅ CUBIERTO</v>
      </c>
    </row>
    <row r="86" spans="1:15" x14ac:dyDescent="0.3">
      <c r="A86" s="28">
        <v>45969</v>
      </c>
      <c r="B86" s="29" t="str">
        <f t="shared" ref="B86:B93" si="20">TEXT(A86,"ddd")</f>
        <v>sáb</v>
      </c>
      <c r="C86" s="30">
        <v>0.5</v>
      </c>
      <c r="D86" t="s">
        <v>4</v>
      </c>
      <c r="E86" t="s">
        <v>4</v>
      </c>
      <c r="G86" s="31" t="str">
        <f t="shared" ref="G86:G149" si="21">IF(COUNTIF(D86:F86,"?*")=$D$4,"✅ CUBIERTO",
IF(COUNTIF(D86:F86,"?*")&gt;$D$4,"⚠ EXCESO",IF(COUNTIF(D86:F86,"?*")&gt;0,"⚠ FALTANTE",
"❌ SIN COMPLETAR")))</f>
        <v>✅ CUBIERTO</v>
      </c>
      <c r="I86" s="16">
        <v>45999</v>
      </c>
      <c r="J86" s="17" t="str">
        <f t="shared" ref="J86:J93" si="22">TEXT(I86,"ddd")</f>
        <v>lun</v>
      </c>
      <c r="K86" s="18">
        <v>0.5</v>
      </c>
      <c r="L86" s="19" t="s">
        <v>4</v>
      </c>
      <c r="M86" s="19" t="s">
        <v>9</v>
      </c>
      <c r="N86" s="19"/>
      <c r="O86" s="19" t="str">
        <f t="shared" ref="O86:O149" si="23">IF(COUNTIF(L86:N86,"?*")&gt;=$L$4, "✅ CUBIERTO",
 IF(COUNTIF(L86:N86,"?*")&gt;0, "⚠ FALTANTE",
 "❌ SIN COMPLETAR"))</f>
        <v>✅ CUBIERTO</v>
      </c>
    </row>
    <row r="87" spans="1:15" x14ac:dyDescent="0.3">
      <c r="A87" s="28">
        <v>45969</v>
      </c>
      <c r="B87" s="29" t="str">
        <f t="shared" si="20"/>
        <v>sáb</v>
      </c>
      <c r="C87" s="30">
        <v>0.54166666666666696</v>
      </c>
      <c r="D87" t="s">
        <v>4</v>
      </c>
      <c r="E87" t="s">
        <v>4</v>
      </c>
      <c r="G87" s="31" t="str">
        <f t="shared" si="21"/>
        <v>✅ CUBIERTO</v>
      </c>
      <c r="I87" s="16">
        <v>45999</v>
      </c>
      <c r="J87" s="17" t="str">
        <f t="shared" si="22"/>
        <v>lun</v>
      </c>
      <c r="K87" s="18">
        <v>0.54166666666666696</v>
      </c>
      <c r="L87" s="19" t="s">
        <v>4</v>
      </c>
      <c r="M87" s="19" t="s">
        <v>9</v>
      </c>
      <c r="N87" s="19"/>
      <c r="O87" s="19" t="str">
        <f t="shared" si="23"/>
        <v>✅ CUBIERTO</v>
      </c>
    </row>
    <row r="88" spans="1:15" x14ac:dyDescent="0.3">
      <c r="A88" s="28">
        <v>45969</v>
      </c>
      <c r="B88" s="29" t="str">
        <f t="shared" si="20"/>
        <v>sáb</v>
      </c>
      <c r="C88" s="30">
        <v>0.58333333333333304</v>
      </c>
      <c r="D88" t="s">
        <v>4</v>
      </c>
      <c r="E88" t="s">
        <v>4</v>
      </c>
      <c r="G88" s="31" t="str">
        <f t="shared" si="21"/>
        <v>✅ CUBIERTO</v>
      </c>
      <c r="I88" s="16">
        <v>45999</v>
      </c>
      <c r="J88" s="17" t="str">
        <f t="shared" si="22"/>
        <v>lun</v>
      </c>
      <c r="K88" s="18">
        <v>0.58333333333333304</v>
      </c>
      <c r="L88" s="19" t="s">
        <v>4</v>
      </c>
      <c r="M88" s="19" t="s">
        <v>9</v>
      </c>
      <c r="N88" s="19"/>
      <c r="O88" s="19" t="str">
        <f t="shared" si="23"/>
        <v>✅ CUBIERTO</v>
      </c>
    </row>
    <row r="89" spans="1:15" x14ac:dyDescent="0.3">
      <c r="A89" s="28">
        <v>45969</v>
      </c>
      <c r="B89" s="29" t="str">
        <f t="shared" si="20"/>
        <v>sáb</v>
      </c>
      <c r="C89" s="30">
        <v>0.625</v>
      </c>
      <c r="D89" t="s">
        <v>4</v>
      </c>
      <c r="E89" t="s">
        <v>4</v>
      </c>
      <c r="G89" s="31" t="str">
        <f t="shared" si="21"/>
        <v>✅ CUBIERTO</v>
      </c>
      <c r="I89" s="16">
        <v>45999</v>
      </c>
      <c r="J89" s="17" t="str">
        <f t="shared" si="22"/>
        <v>lun</v>
      </c>
      <c r="K89" s="18">
        <v>0.625</v>
      </c>
      <c r="L89" s="19" t="s">
        <v>4</v>
      </c>
      <c r="M89" s="19" t="s">
        <v>4</v>
      </c>
      <c r="N89" s="19"/>
      <c r="O89" s="19" t="str">
        <f t="shared" si="23"/>
        <v>✅ CUBIERTO</v>
      </c>
    </row>
    <row r="90" spans="1:15" x14ac:dyDescent="0.3">
      <c r="A90" s="28">
        <v>45969</v>
      </c>
      <c r="B90" s="29" t="str">
        <f t="shared" si="20"/>
        <v>sáb</v>
      </c>
      <c r="C90" s="30">
        <v>0.66666666666666696</v>
      </c>
      <c r="D90" t="s">
        <v>4</v>
      </c>
      <c r="E90" t="s">
        <v>4</v>
      </c>
      <c r="G90" s="31" t="str">
        <f t="shared" si="21"/>
        <v>✅ CUBIERTO</v>
      </c>
      <c r="I90" s="16">
        <v>45999</v>
      </c>
      <c r="J90" s="17" t="str">
        <f t="shared" si="22"/>
        <v>lun</v>
      </c>
      <c r="K90" s="18">
        <v>0.66666666666666696</v>
      </c>
      <c r="L90" s="19" t="s">
        <v>4</v>
      </c>
      <c r="M90" s="19" t="s">
        <v>4</v>
      </c>
      <c r="N90" s="19"/>
      <c r="O90" s="19" t="str">
        <f t="shared" si="23"/>
        <v>✅ CUBIERTO</v>
      </c>
    </row>
    <row r="91" spans="1:15" x14ac:dyDescent="0.3">
      <c r="A91" s="28">
        <v>45969</v>
      </c>
      <c r="B91" s="29" t="str">
        <f t="shared" si="20"/>
        <v>sáb</v>
      </c>
      <c r="C91" s="30">
        <v>0.70833333333333304</v>
      </c>
      <c r="D91" t="s">
        <v>4</v>
      </c>
      <c r="E91" t="s">
        <v>4</v>
      </c>
      <c r="G91" s="31" t="str">
        <f t="shared" si="21"/>
        <v>✅ CUBIERTO</v>
      </c>
      <c r="I91" s="16">
        <v>45999</v>
      </c>
      <c r="J91" s="17" t="str">
        <f t="shared" si="22"/>
        <v>lun</v>
      </c>
      <c r="K91" s="18">
        <v>0.70833333333333304</v>
      </c>
      <c r="L91" s="19" t="s">
        <v>4</v>
      </c>
      <c r="M91" s="19" t="s">
        <v>4</v>
      </c>
      <c r="N91" s="19"/>
      <c r="O91" s="19" t="str">
        <f t="shared" si="23"/>
        <v>✅ CUBIERTO</v>
      </c>
    </row>
    <row r="92" spans="1:15" x14ac:dyDescent="0.3">
      <c r="A92" s="28">
        <v>45969</v>
      </c>
      <c r="B92" s="29" t="str">
        <f t="shared" si="20"/>
        <v>sáb</v>
      </c>
      <c r="C92" s="30">
        <v>0.75</v>
      </c>
      <c r="D92" t="s">
        <v>4</v>
      </c>
      <c r="E92" t="s">
        <v>4</v>
      </c>
      <c r="G92" s="31" t="str">
        <f t="shared" si="21"/>
        <v>✅ CUBIERTO</v>
      </c>
      <c r="I92" s="16">
        <v>45999</v>
      </c>
      <c r="J92" s="17" t="str">
        <f t="shared" si="22"/>
        <v>lun</v>
      </c>
      <c r="K92" s="18">
        <v>0.75</v>
      </c>
      <c r="L92" s="19" t="s">
        <v>4</v>
      </c>
      <c r="M92" s="19" t="s">
        <v>4</v>
      </c>
      <c r="N92" s="19"/>
      <c r="O92" s="19" t="str">
        <f t="shared" si="23"/>
        <v>✅ CUBIERTO</v>
      </c>
    </row>
    <row r="93" spans="1:15" x14ac:dyDescent="0.3">
      <c r="A93" s="28">
        <v>45969</v>
      </c>
      <c r="B93" s="29" t="str">
        <f t="shared" si="20"/>
        <v>sáb</v>
      </c>
      <c r="C93" s="30">
        <v>0.79166666666666696</v>
      </c>
      <c r="D93" t="s">
        <v>4</v>
      </c>
      <c r="E93" t="s">
        <v>4</v>
      </c>
      <c r="G93" s="31" t="str">
        <f t="shared" si="21"/>
        <v>✅ CUBIERTO</v>
      </c>
      <c r="I93" s="16">
        <v>45999</v>
      </c>
      <c r="J93" s="17" t="str">
        <f t="shared" si="22"/>
        <v>lun</v>
      </c>
      <c r="K93" s="18">
        <v>0.79166666666666696</v>
      </c>
      <c r="L93" s="19" t="s">
        <v>4</v>
      </c>
      <c r="M93" s="19" t="s">
        <v>4</v>
      </c>
      <c r="N93" s="19"/>
      <c r="O93" s="19" t="str">
        <f t="shared" si="23"/>
        <v>✅ CUBIERTO</v>
      </c>
    </row>
    <row r="94" spans="1:15" x14ac:dyDescent="0.3">
      <c r="A94" s="1">
        <v>45970</v>
      </c>
      <c r="B94" s="2" t="str">
        <f>TEXT(A94,"ddd")</f>
        <v>dom</v>
      </c>
      <c r="C94" s="8">
        <v>0.45833333333333331</v>
      </c>
      <c r="D94" t="s">
        <v>4</v>
      </c>
      <c r="E94" t="s">
        <v>4</v>
      </c>
      <c r="G94" t="str">
        <f t="shared" si="21"/>
        <v>✅ CUBIERTO</v>
      </c>
      <c r="I94" s="1">
        <v>46000</v>
      </c>
      <c r="J94" s="2" t="str">
        <f>TEXT(I94,"ddd")</f>
        <v>mar</v>
      </c>
      <c r="K94" s="8">
        <v>0.45833333333333331</v>
      </c>
      <c r="L94" t="s">
        <v>4</v>
      </c>
      <c r="M94" t="s">
        <v>4</v>
      </c>
      <c r="O94" t="str">
        <f t="shared" si="23"/>
        <v>✅ CUBIERTO</v>
      </c>
    </row>
    <row r="95" spans="1:15" x14ac:dyDescent="0.3">
      <c r="A95" s="1">
        <v>45970</v>
      </c>
      <c r="B95" s="2" t="str">
        <f t="shared" ref="B95:B102" si="24">TEXT(A95,"ddd")</f>
        <v>dom</v>
      </c>
      <c r="C95" s="8">
        <v>0.5</v>
      </c>
      <c r="D95" t="s">
        <v>4</v>
      </c>
      <c r="E95" t="s">
        <v>4</v>
      </c>
      <c r="G95" t="str">
        <f t="shared" si="21"/>
        <v>✅ CUBIERTO</v>
      </c>
      <c r="I95" s="1">
        <v>46000</v>
      </c>
      <c r="J95" s="2" t="str">
        <f t="shared" ref="J95:J102" si="25">TEXT(I95,"ddd")</f>
        <v>mar</v>
      </c>
      <c r="K95" s="8">
        <v>0.5</v>
      </c>
      <c r="L95" t="s">
        <v>4</v>
      </c>
      <c r="M95" t="s">
        <v>4</v>
      </c>
      <c r="O95" t="str">
        <f t="shared" si="23"/>
        <v>✅ CUBIERTO</v>
      </c>
    </row>
    <row r="96" spans="1:15" x14ac:dyDescent="0.3">
      <c r="A96" s="1">
        <v>45970</v>
      </c>
      <c r="B96" s="2" t="str">
        <f t="shared" si="24"/>
        <v>dom</v>
      </c>
      <c r="C96" s="8">
        <v>0.54166666666666696</v>
      </c>
      <c r="D96" t="s">
        <v>4</v>
      </c>
      <c r="E96" t="s">
        <v>4</v>
      </c>
      <c r="G96" t="str">
        <f t="shared" si="21"/>
        <v>✅ CUBIERTO</v>
      </c>
      <c r="I96" s="1">
        <v>46000</v>
      </c>
      <c r="J96" s="2" t="str">
        <f t="shared" si="25"/>
        <v>mar</v>
      </c>
      <c r="K96" s="8">
        <v>0.54166666666666696</v>
      </c>
      <c r="L96" t="s">
        <v>4</v>
      </c>
      <c r="M96" t="s">
        <v>4</v>
      </c>
      <c r="O96" t="str">
        <f t="shared" si="23"/>
        <v>✅ CUBIERTO</v>
      </c>
    </row>
    <row r="97" spans="1:15" x14ac:dyDescent="0.3">
      <c r="A97" s="1">
        <v>45970</v>
      </c>
      <c r="B97" s="2" t="str">
        <f t="shared" si="24"/>
        <v>dom</v>
      </c>
      <c r="C97" s="8">
        <v>0.58333333333333304</v>
      </c>
      <c r="D97" t="s">
        <v>4</v>
      </c>
      <c r="E97" t="s">
        <v>4</v>
      </c>
      <c r="G97" t="str">
        <f t="shared" si="21"/>
        <v>✅ CUBIERTO</v>
      </c>
      <c r="I97" s="1">
        <v>46000</v>
      </c>
      <c r="J97" s="2" t="str">
        <f t="shared" si="25"/>
        <v>mar</v>
      </c>
      <c r="K97" s="8">
        <v>0.58333333333333304</v>
      </c>
      <c r="L97" t="s">
        <v>4</v>
      </c>
      <c r="M97" t="s">
        <v>4</v>
      </c>
      <c r="O97" t="str">
        <f t="shared" si="23"/>
        <v>✅ CUBIERTO</v>
      </c>
    </row>
    <row r="98" spans="1:15" x14ac:dyDescent="0.3">
      <c r="A98" s="1">
        <v>45970</v>
      </c>
      <c r="B98" s="2" t="str">
        <f t="shared" si="24"/>
        <v>dom</v>
      </c>
      <c r="C98" s="8">
        <v>0.625</v>
      </c>
      <c r="D98" t="s">
        <v>4</v>
      </c>
      <c r="E98" t="s">
        <v>4</v>
      </c>
      <c r="G98" t="str">
        <f t="shared" si="21"/>
        <v>✅ CUBIERTO</v>
      </c>
      <c r="I98" s="1">
        <v>46000</v>
      </c>
      <c r="J98" s="2" t="str">
        <f t="shared" si="25"/>
        <v>mar</v>
      </c>
      <c r="K98" s="8">
        <v>0.625</v>
      </c>
      <c r="L98" t="s">
        <v>4</v>
      </c>
      <c r="M98" t="s">
        <v>4</v>
      </c>
      <c r="O98" t="str">
        <f t="shared" si="23"/>
        <v>✅ CUBIERTO</v>
      </c>
    </row>
    <row r="99" spans="1:15" x14ac:dyDescent="0.3">
      <c r="A99" s="1">
        <v>45970</v>
      </c>
      <c r="B99" s="2" t="str">
        <f t="shared" si="24"/>
        <v>dom</v>
      </c>
      <c r="C99" s="8">
        <v>0.66666666666666696</v>
      </c>
      <c r="D99" t="s">
        <v>4</v>
      </c>
      <c r="E99" t="s">
        <v>4</v>
      </c>
      <c r="G99" t="str">
        <f t="shared" si="21"/>
        <v>✅ CUBIERTO</v>
      </c>
      <c r="I99" s="1">
        <v>46000</v>
      </c>
      <c r="J99" s="2" t="str">
        <f t="shared" si="25"/>
        <v>mar</v>
      </c>
      <c r="K99" s="8">
        <v>0.66666666666666696</v>
      </c>
      <c r="L99" t="s">
        <v>4</v>
      </c>
      <c r="M99" t="s">
        <v>4</v>
      </c>
      <c r="O99" t="str">
        <f t="shared" si="23"/>
        <v>✅ CUBIERTO</v>
      </c>
    </row>
    <row r="100" spans="1:15" x14ac:dyDescent="0.3">
      <c r="A100" s="1">
        <v>45970</v>
      </c>
      <c r="B100" s="2" t="str">
        <f t="shared" si="24"/>
        <v>dom</v>
      </c>
      <c r="C100" s="8">
        <v>0.70833333333333304</v>
      </c>
      <c r="D100" t="s">
        <v>4</v>
      </c>
      <c r="E100" t="s">
        <v>4</v>
      </c>
      <c r="G100" t="str">
        <f t="shared" si="21"/>
        <v>✅ CUBIERTO</v>
      </c>
      <c r="I100" s="1">
        <v>46000</v>
      </c>
      <c r="J100" s="2" t="str">
        <f t="shared" si="25"/>
        <v>mar</v>
      </c>
      <c r="K100" s="8">
        <v>0.70833333333333304</v>
      </c>
      <c r="L100" t="s">
        <v>4</v>
      </c>
      <c r="M100" t="s">
        <v>4</v>
      </c>
      <c r="O100" t="str">
        <f t="shared" si="23"/>
        <v>✅ CUBIERTO</v>
      </c>
    </row>
    <row r="101" spans="1:15" x14ac:dyDescent="0.3">
      <c r="A101" s="1">
        <v>45970</v>
      </c>
      <c r="B101" s="2" t="str">
        <f t="shared" si="24"/>
        <v>dom</v>
      </c>
      <c r="C101" s="8">
        <v>0.75</v>
      </c>
      <c r="D101" t="s">
        <v>4</v>
      </c>
      <c r="E101" t="s">
        <v>4</v>
      </c>
      <c r="G101" t="str">
        <f t="shared" si="21"/>
        <v>✅ CUBIERTO</v>
      </c>
      <c r="I101" s="1">
        <v>46000</v>
      </c>
      <c r="J101" s="2" t="str">
        <f t="shared" si="25"/>
        <v>mar</v>
      </c>
      <c r="K101" s="8">
        <v>0.75</v>
      </c>
      <c r="L101" t="s">
        <v>4</v>
      </c>
      <c r="M101" t="s">
        <v>4</v>
      </c>
      <c r="O101" t="str">
        <f t="shared" si="23"/>
        <v>✅ CUBIERTO</v>
      </c>
    </row>
    <row r="102" spans="1:15" x14ac:dyDescent="0.3">
      <c r="A102" s="1">
        <v>45970</v>
      </c>
      <c r="B102" s="2" t="str">
        <f t="shared" si="24"/>
        <v>dom</v>
      </c>
      <c r="C102" s="8">
        <v>0.79166666666666696</v>
      </c>
      <c r="D102" t="s">
        <v>4</v>
      </c>
      <c r="E102" t="s">
        <v>4</v>
      </c>
      <c r="G102" t="str">
        <f t="shared" si="21"/>
        <v>✅ CUBIERTO</v>
      </c>
      <c r="I102" s="1">
        <v>46000</v>
      </c>
      <c r="J102" s="2" t="str">
        <f t="shared" si="25"/>
        <v>mar</v>
      </c>
      <c r="K102" s="8">
        <v>0.79166666666666696</v>
      </c>
      <c r="L102" t="s">
        <v>4</v>
      </c>
      <c r="M102" t="s">
        <v>4</v>
      </c>
      <c r="O102" t="str">
        <f t="shared" si="23"/>
        <v>✅ CUBIERTO</v>
      </c>
    </row>
    <row r="103" spans="1:15" x14ac:dyDescent="0.3">
      <c r="A103" s="1">
        <v>45971</v>
      </c>
      <c r="B103" s="2" t="str">
        <f>TEXT(A103,"ddd")</f>
        <v>lun</v>
      </c>
      <c r="C103" s="8">
        <v>0.45833333333333331</v>
      </c>
      <c r="D103" t="s">
        <v>4</v>
      </c>
      <c r="E103" t="s">
        <v>4</v>
      </c>
      <c r="G103" t="str">
        <f t="shared" si="21"/>
        <v>✅ CUBIERTO</v>
      </c>
      <c r="I103" s="1">
        <v>46001</v>
      </c>
      <c r="J103" s="2" t="str">
        <f>TEXT(I103,"ddd")</f>
        <v>mié</v>
      </c>
      <c r="K103" s="8">
        <v>0.45833333333333331</v>
      </c>
      <c r="L103" t="s">
        <v>9</v>
      </c>
      <c r="M103" t="s">
        <v>4</v>
      </c>
      <c r="O103" t="str">
        <f t="shared" si="23"/>
        <v>✅ CUBIERTO</v>
      </c>
    </row>
    <row r="104" spans="1:15" x14ac:dyDescent="0.3">
      <c r="A104" s="1">
        <v>45971</v>
      </c>
      <c r="B104" s="2" t="str">
        <f t="shared" ref="B104:B111" si="26">TEXT(A104,"ddd")</f>
        <v>lun</v>
      </c>
      <c r="C104" s="8">
        <v>0.5</v>
      </c>
      <c r="D104" t="s">
        <v>4</v>
      </c>
      <c r="E104" t="s">
        <v>4</v>
      </c>
      <c r="G104" t="str">
        <f t="shared" si="21"/>
        <v>✅ CUBIERTO</v>
      </c>
      <c r="I104" s="1">
        <v>46001</v>
      </c>
      <c r="J104" s="2" t="str">
        <f t="shared" ref="J104:J111" si="27">TEXT(I104,"ddd")</f>
        <v>mié</v>
      </c>
      <c r="K104" s="8">
        <v>0.5</v>
      </c>
      <c r="L104" t="s">
        <v>9</v>
      </c>
      <c r="M104" t="s">
        <v>4</v>
      </c>
      <c r="O104" t="str">
        <f t="shared" si="23"/>
        <v>✅ CUBIERTO</v>
      </c>
    </row>
    <row r="105" spans="1:15" x14ac:dyDescent="0.3">
      <c r="A105" s="1">
        <v>45971</v>
      </c>
      <c r="B105" s="2" t="str">
        <f t="shared" si="26"/>
        <v>lun</v>
      </c>
      <c r="C105" s="8">
        <v>0.54166666666666696</v>
      </c>
      <c r="D105" t="s">
        <v>4</v>
      </c>
      <c r="E105" t="s">
        <v>4</v>
      </c>
      <c r="G105" t="str">
        <f t="shared" si="21"/>
        <v>✅ CUBIERTO</v>
      </c>
      <c r="I105" s="1">
        <v>46001</v>
      </c>
      <c r="J105" s="2" t="str">
        <f t="shared" si="27"/>
        <v>mié</v>
      </c>
      <c r="K105" s="8">
        <v>0.54166666666666696</v>
      </c>
      <c r="L105" t="s">
        <v>9</v>
      </c>
      <c r="M105" t="s">
        <v>4</v>
      </c>
      <c r="O105" t="str">
        <f t="shared" si="23"/>
        <v>✅ CUBIERTO</v>
      </c>
    </row>
    <row r="106" spans="1:15" x14ac:dyDescent="0.3">
      <c r="A106" s="1">
        <v>45971</v>
      </c>
      <c r="B106" s="2" t="str">
        <f t="shared" si="26"/>
        <v>lun</v>
      </c>
      <c r="C106" s="8">
        <v>0.58333333333333304</v>
      </c>
      <c r="D106" t="s">
        <v>4</v>
      </c>
      <c r="E106" t="s">
        <v>4</v>
      </c>
      <c r="G106" t="str">
        <f t="shared" si="21"/>
        <v>✅ CUBIERTO</v>
      </c>
      <c r="I106" s="1">
        <v>46001</v>
      </c>
      <c r="J106" s="2" t="str">
        <f t="shared" si="27"/>
        <v>mié</v>
      </c>
      <c r="K106" s="8">
        <v>0.58333333333333304</v>
      </c>
      <c r="L106" t="s">
        <v>9</v>
      </c>
      <c r="M106" t="s">
        <v>4</v>
      </c>
      <c r="O106" t="str">
        <f t="shared" si="23"/>
        <v>✅ CUBIERTO</v>
      </c>
    </row>
    <row r="107" spans="1:15" x14ac:dyDescent="0.3">
      <c r="A107" s="1">
        <v>45971</v>
      </c>
      <c r="B107" s="2" t="str">
        <f t="shared" si="26"/>
        <v>lun</v>
      </c>
      <c r="C107" s="8">
        <v>0.625</v>
      </c>
      <c r="D107" t="s">
        <v>4</v>
      </c>
      <c r="E107" t="s">
        <v>4</v>
      </c>
      <c r="G107" t="str">
        <f t="shared" si="21"/>
        <v>✅ CUBIERTO</v>
      </c>
      <c r="I107" s="1">
        <v>46001</v>
      </c>
      <c r="J107" s="2" t="str">
        <f t="shared" si="27"/>
        <v>mié</v>
      </c>
      <c r="K107" s="8">
        <v>0.625</v>
      </c>
      <c r="L107" t="s">
        <v>4</v>
      </c>
      <c r="M107" t="s">
        <v>4</v>
      </c>
      <c r="O107" t="str">
        <f t="shared" si="23"/>
        <v>✅ CUBIERTO</v>
      </c>
    </row>
    <row r="108" spans="1:15" x14ac:dyDescent="0.3">
      <c r="A108" s="1">
        <v>45971</v>
      </c>
      <c r="B108" s="2" t="str">
        <f t="shared" si="26"/>
        <v>lun</v>
      </c>
      <c r="C108" s="8">
        <v>0.66666666666666696</v>
      </c>
      <c r="D108" t="s">
        <v>4</v>
      </c>
      <c r="E108" t="s">
        <v>4</v>
      </c>
      <c r="G108" t="str">
        <f t="shared" si="21"/>
        <v>✅ CUBIERTO</v>
      </c>
      <c r="I108" s="1">
        <v>46001</v>
      </c>
      <c r="J108" s="2" t="str">
        <f t="shared" si="27"/>
        <v>mié</v>
      </c>
      <c r="K108" s="8">
        <v>0.66666666666666696</v>
      </c>
      <c r="L108" t="s">
        <v>4</v>
      </c>
      <c r="M108" t="s">
        <v>4</v>
      </c>
      <c r="O108" t="str">
        <f t="shared" si="23"/>
        <v>✅ CUBIERTO</v>
      </c>
    </row>
    <row r="109" spans="1:15" x14ac:dyDescent="0.3">
      <c r="A109" s="1">
        <v>45971</v>
      </c>
      <c r="B109" s="2" t="str">
        <f t="shared" si="26"/>
        <v>lun</v>
      </c>
      <c r="C109" s="8">
        <v>0.70833333333333304</v>
      </c>
      <c r="D109" t="s">
        <v>4</v>
      </c>
      <c r="E109" t="s">
        <v>4</v>
      </c>
      <c r="G109" t="str">
        <f t="shared" si="21"/>
        <v>✅ CUBIERTO</v>
      </c>
      <c r="I109" s="1">
        <v>46001</v>
      </c>
      <c r="J109" s="2" t="str">
        <f t="shared" si="27"/>
        <v>mié</v>
      </c>
      <c r="K109" s="8">
        <v>0.70833333333333304</v>
      </c>
      <c r="L109" t="s">
        <v>4</v>
      </c>
      <c r="M109" t="s">
        <v>4</v>
      </c>
      <c r="O109" t="str">
        <f t="shared" si="23"/>
        <v>✅ CUBIERTO</v>
      </c>
    </row>
    <row r="110" spans="1:15" x14ac:dyDescent="0.3">
      <c r="A110" s="1">
        <v>45971</v>
      </c>
      <c r="B110" s="2" t="str">
        <f t="shared" si="26"/>
        <v>lun</v>
      </c>
      <c r="C110" s="8">
        <v>0.75</v>
      </c>
      <c r="D110" t="s">
        <v>4</v>
      </c>
      <c r="E110" t="s">
        <v>4</v>
      </c>
      <c r="G110" t="str">
        <f t="shared" si="21"/>
        <v>✅ CUBIERTO</v>
      </c>
      <c r="I110" s="1">
        <v>46001</v>
      </c>
      <c r="J110" s="2" t="str">
        <f t="shared" si="27"/>
        <v>mié</v>
      </c>
      <c r="K110" s="8">
        <v>0.75</v>
      </c>
      <c r="L110" t="s">
        <v>4</v>
      </c>
      <c r="M110" t="s">
        <v>4</v>
      </c>
      <c r="O110" t="str">
        <f t="shared" si="23"/>
        <v>✅ CUBIERTO</v>
      </c>
    </row>
    <row r="111" spans="1:15" x14ac:dyDescent="0.3">
      <c r="A111" s="1">
        <v>45971</v>
      </c>
      <c r="B111" s="2" t="str">
        <f t="shared" si="26"/>
        <v>lun</v>
      </c>
      <c r="C111" s="8">
        <v>0.79166666666666696</v>
      </c>
      <c r="D111" t="s">
        <v>4</v>
      </c>
      <c r="E111" t="s">
        <v>4</v>
      </c>
      <c r="G111" t="str">
        <f t="shared" si="21"/>
        <v>✅ CUBIERTO</v>
      </c>
      <c r="I111" s="1">
        <v>46001</v>
      </c>
      <c r="J111" s="2" t="str">
        <f t="shared" si="27"/>
        <v>mié</v>
      </c>
      <c r="K111" s="8">
        <v>0.79166666666666696</v>
      </c>
      <c r="L111" t="s">
        <v>4</v>
      </c>
      <c r="M111" t="s">
        <v>4</v>
      </c>
      <c r="O111" t="str">
        <f t="shared" si="23"/>
        <v>✅ CUBIERTO</v>
      </c>
    </row>
    <row r="112" spans="1:15" x14ac:dyDescent="0.3">
      <c r="A112" s="1">
        <v>45972</v>
      </c>
      <c r="B112" s="2" t="str">
        <f>TEXT(A112,"ddd")</f>
        <v>mar</v>
      </c>
      <c r="C112" s="8">
        <v>0.45833333333333331</v>
      </c>
      <c r="D112" t="s">
        <v>4</v>
      </c>
      <c r="E112" t="s">
        <v>4</v>
      </c>
      <c r="G112" t="str">
        <f t="shared" si="21"/>
        <v>✅ CUBIERTO</v>
      </c>
      <c r="I112" s="1">
        <v>46002</v>
      </c>
      <c r="J112" s="2" t="str">
        <f>TEXT(I112,"ddd")</f>
        <v>jue</v>
      </c>
      <c r="K112" s="8">
        <v>0.45833333333333331</v>
      </c>
      <c r="L112" t="s">
        <v>4</v>
      </c>
      <c r="M112" t="s">
        <v>4</v>
      </c>
      <c r="O112" t="str">
        <f t="shared" si="23"/>
        <v>✅ CUBIERTO</v>
      </c>
    </row>
    <row r="113" spans="1:15" x14ac:dyDescent="0.3">
      <c r="A113" s="1">
        <v>45972</v>
      </c>
      <c r="B113" s="2" t="str">
        <f t="shared" ref="B113:B120" si="28">TEXT(A113,"ddd")</f>
        <v>mar</v>
      </c>
      <c r="C113" s="8">
        <v>0.5</v>
      </c>
      <c r="D113" t="s">
        <v>4</v>
      </c>
      <c r="E113" t="s">
        <v>4</v>
      </c>
      <c r="G113" t="str">
        <f t="shared" si="21"/>
        <v>✅ CUBIERTO</v>
      </c>
      <c r="I113" s="1">
        <v>46002</v>
      </c>
      <c r="J113" s="2" t="str">
        <f t="shared" ref="J113:J120" si="29">TEXT(I113,"ddd")</f>
        <v>jue</v>
      </c>
      <c r="K113" s="8">
        <v>0.5</v>
      </c>
      <c r="L113" t="s">
        <v>4</v>
      </c>
      <c r="M113" t="s">
        <v>4</v>
      </c>
      <c r="O113" t="str">
        <f t="shared" si="23"/>
        <v>✅ CUBIERTO</v>
      </c>
    </row>
    <row r="114" spans="1:15" x14ac:dyDescent="0.3">
      <c r="A114" s="1">
        <v>45972</v>
      </c>
      <c r="B114" s="2" t="str">
        <f t="shared" si="28"/>
        <v>mar</v>
      </c>
      <c r="C114" s="8">
        <v>0.54166666666666696</v>
      </c>
      <c r="D114" t="s">
        <v>4</v>
      </c>
      <c r="E114" t="s">
        <v>4</v>
      </c>
      <c r="G114" t="str">
        <f t="shared" si="21"/>
        <v>✅ CUBIERTO</v>
      </c>
      <c r="I114" s="1">
        <v>46002</v>
      </c>
      <c r="J114" s="2" t="str">
        <f t="shared" si="29"/>
        <v>jue</v>
      </c>
      <c r="K114" s="8">
        <v>0.54166666666666696</v>
      </c>
      <c r="L114" t="s">
        <v>4</v>
      </c>
      <c r="M114" t="s">
        <v>4</v>
      </c>
      <c r="O114" t="str">
        <f t="shared" si="23"/>
        <v>✅ CUBIERTO</v>
      </c>
    </row>
    <row r="115" spans="1:15" x14ac:dyDescent="0.3">
      <c r="A115" s="1">
        <v>45972</v>
      </c>
      <c r="B115" s="2" t="str">
        <f t="shared" si="28"/>
        <v>mar</v>
      </c>
      <c r="C115" s="8">
        <v>0.58333333333333304</v>
      </c>
      <c r="D115" t="s">
        <v>4</v>
      </c>
      <c r="E115" t="s">
        <v>4</v>
      </c>
      <c r="G115" t="str">
        <f t="shared" si="21"/>
        <v>✅ CUBIERTO</v>
      </c>
      <c r="I115" s="1">
        <v>46002</v>
      </c>
      <c r="J115" s="2" t="str">
        <f t="shared" si="29"/>
        <v>jue</v>
      </c>
      <c r="K115" s="8">
        <v>0.58333333333333304</v>
      </c>
      <c r="L115" t="s">
        <v>4</v>
      </c>
      <c r="M115" t="s">
        <v>4</v>
      </c>
      <c r="O115" t="str">
        <f t="shared" si="23"/>
        <v>✅ CUBIERTO</v>
      </c>
    </row>
    <row r="116" spans="1:15" x14ac:dyDescent="0.3">
      <c r="A116" s="1">
        <v>45972</v>
      </c>
      <c r="B116" s="2" t="str">
        <f t="shared" si="28"/>
        <v>mar</v>
      </c>
      <c r="C116" s="8">
        <v>0.625</v>
      </c>
      <c r="D116" t="s">
        <v>4</v>
      </c>
      <c r="E116" t="s">
        <v>4</v>
      </c>
      <c r="G116" t="str">
        <f t="shared" si="21"/>
        <v>✅ CUBIERTO</v>
      </c>
      <c r="I116" s="1">
        <v>46002</v>
      </c>
      <c r="J116" s="2" t="str">
        <f t="shared" si="29"/>
        <v>jue</v>
      </c>
      <c r="K116" s="8">
        <v>0.625</v>
      </c>
      <c r="L116" t="s">
        <v>4</v>
      </c>
      <c r="M116" t="s">
        <v>4</v>
      </c>
      <c r="O116" t="str">
        <f t="shared" si="23"/>
        <v>✅ CUBIERTO</v>
      </c>
    </row>
    <row r="117" spans="1:15" x14ac:dyDescent="0.3">
      <c r="A117" s="1">
        <v>45972</v>
      </c>
      <c r="B117" s="2" t="str">
        <f t="shared" si="28"/>
        <v>mar</v>
      </c>
      <c r="C117" s="8">
        <v>0.66666666666666696</v>
      </c>
      <c r="D117" t="s">
        <v>4</v>
      </c>
      <c r="E117" t="s">
        <v>4</v>
      </c>
      <c r="G117" t="str">
        <f t="shared" si="21"/>
        <v>✅ CUBIERTO</v>
      </c>
      <c r="I117" s="1">
        <v>46002</v>
      </c>
      <c r="J117" s="2" t="str">
        <f t="shared" si="29"/>
        <v>jue</v>
      </c>
      <c r="K117" s="8">
        <v>0.66666666666666696</v>
      </c>
      <c r="L117" t="s">
        <v>4</v>
      </c>
      <c r="M117" t="s">
        <v>4</v>
      </c>
      <c r="O117" t="str">
        <f t="shared" si="23"/>
        <v>✅ CUBIERTO</v>
      </c>
    </row>
    <row r="118" spans="1:15" x14ac:dyDescent="0.3">
      <c r="A118" s="1">
        <v>45972</v>
      </c>
      <c r="B118" s="2" t="str">
        <f t="shared" si="28"/>
        <v>mar</v>
      </c>
      <c r="C118" s="8">
        <v>0.70833333333333304</v>
      </c>
      <c r="D118" t="s">
        <v>4</v>
      </c>
      <c r="E118" t="s">
        <v>4</v>
      </c>
      <c r="G118" t="str">
        <f t="shared" si="21"/>
        <v>✅ CUBIERTO</v>
      </c>
      <c r="I118" s="1">
        <v>46002</v>
      </c>
      <c r="J118" s="2" t="str">
        <f t="shared" si="29"/>
        <v>jue</v>
      </c>
      <c r="K118" s="8">
        <v>0.70833333333333304</v>
      </c>
      <c r="L118" t="s">
        <v>4</v>
      </c>
      <c r="M118" t="s">
        <v>4</v>
      </c>
      <c r="O118" t="str">
        <f t="shared" si="23"/>
        <v>✅ CUBIERTO</v>
      </c>
    </row>
    <row r="119" spans="1:15" x14ac:dyDescent="0.3">
      <c r="A119" s="1">
        <v>45972</v>
      </c>
      <c r="B119" s="2" t="str">
        <f t="shared" si="28"/>
        <v>mar</v>
      </c>
      <c r="C119" s="8">
        <v>0.75</v>
      </c>
      <c r="D119" t="s">
        <v>4</v>
      </c>
      <c r="E119" t="s">
        <v>4</v>
      </c>
      <c r="G119" t="str">
        <f t="shared" si="21"/>
        <v>✅ CUBIERTO</v>
      </c>
      <c r="I119" s="1">
        <v>46002</v>
      </c>
      <c r="J119" s="2" t="str">
        <f t="shared" si="29"/>
        <v>jue</v>
      </c>
      <c r="K119" s="8">
        <v>0.75</v>
      </c>
      <c r="L119" t="s">
        <v>4</v>
      </c>
      <c r="M119" t="s">
        <v>4</v>
      </c>
      <c r="O119" t="str">
        <f t="shared" si="23"/>
        <v>✅ CUBIERTO</v>
      </c>
    </row>
    <row r="120" spans="1:15" x14ac:dyDescent="0.3">
      <c r="A120" s="1">
        <v>45972</v>
      </c>
      <c r="B120" s="2" t="str">
        <f t="shared" si="28"/>
        <v>mar</v>
      </c>
      <c r="C120" s="8">
        <v>0.79166666666666696</v>
      </c>
      <c r="D120" t="s">
        <v>4</v>
      </c>
      <c r="E120" t="s">
        <v>4</v>
      </c>
      <c r="G120" t="str">
        <f t="shared" si="21"/>
        <v>✅ CUBIERTO</v>
      </c>
      <c r="I120" s="1">
        <v>46002</v>
      </c>
      <c r="J120" s="2" t="str">
        <f t="shared" si="29"/>
        <v>jue</v>
      </c>
      <c r="K120" s="8">
        <v>0.79166666666666696</v>
      </c>
      <c r="L120" t="s">
        <v>4</v>
      </c>
      <c r="M120" t="s">
        <v>4</v>
      </c>
      <c r="O120" t="str">
        <f t="shared" si="23"/>
        <v>✅ CUBIERTO</v>
      </c>
    </row>
    <row r="121" spans="1:15" x14ac:dyDescent="0.3">
      <c r="A121" s="1">
        <v>45973</v>
      </c>
      <c r="B121" s="2" t="str">
        <f>TEXT(A121,"ddd")</f>
        <v>mié</v>
      </c>
      <c r="C121" s="8">
        <v>0.45833333333333331</v>
      </c>
      <c r="D121" t="s">
        <v>4</v>
      </c>
      <c r="E121" t="s">
        <v>9</v>
      </c>
      <c r="G121" t="str">
        <f t="shared" si="21"/>
        <v>✅ CUBIERTO</v>
      </c>
      <c r="I121" s="1">
        <v>46003</v>
      </c>
      <c r="J121" s="2" t="str">
        <f>TEXT(I121,"ddd")</f>
        <v>vie</v>
      </c>
      <c r="K121" s="8">
        <v>0.45833333333333331</v>
      </c>
      <c r="L121" t="s">
        <v>4</v>
      </c>
      <c r="M121" t="s">
        <v>4</v>
      </c>
      <c r="O121" t="str">
        <f t="shared" si="23"/>
        <v>✅ CUBIERTO</v>
      </c>
    </row>
    <row r="122" spans="1:15" x14ac:dyDescent="0.3">
      <c r="A122" s="1">
        <v>45973</v>
      </c>
      <c r="B122" s="2" t="str">
        <f t="shared" ref="B122:B129" si="30">TEXT(A122,"ddd")</f>
        <v>mié</v>
      </c>
      <c r="C122" s="8">
        <v>0.5</v>
      </c>
      <c r="D122" t="s">
        <v>4</v>
      </c>
      <c r="E122" t="s">
        <v>9</v>
      </c>
      <c r="G122" t="str">
        <f t="shared" si="21"/>
        <v>✅ CUBIERTO</v>
      </c>
      <c r="I122" s="1">
        <v>46003</v>
      </c>
      <c r="J122" s="2" t="str">
        <f t="shared" ref="J122:J129" si="31">TEXT(I122,"ddd")</f>
        <v>vie</v>
      </c>
      <c r="K122" s="8">
        <v>0.5</v>
      </c>
      <c r="L122" t="s">
        <v>4</v>
      </c>
      <c r="M122" t="s">
        <v>4</v>
      </c>
      <c r="O122" t="str">
        <f t="shared" si="23"/>
        <v>✅ CUBIERTO</v>
      </c>
    </row>
    <row r="123" spans="1:15" x14ac:dyDescent="0.3">
      <c r="A123" s="1">
        <v>45973</v>
      </c>
      <c r="B123" s="2" t="str">
        <f t="shared" si="30"/>
        <v>mié</v>
      </c>
      <c r="C123" s="8">
        <v>0.54166666666666696</v>
      </c>
      <c r="D123" t="s">
        <v>4</v>
      </c>
      <c r="E123" t="s">
        <v>9</v>
      </c>
      <c r="G123" t="str">
        <f t="shared" si="21"/>
        <v>✅ CUBIERTO</v>
      </c>
      <c r="I123" s="1">
        <v>46003</v>
      </c>
      <c r="J123" s="2" t="str">
        <f t="shared" si="31"/>
        <v>vie</v>
      </c>
      <c r="K123" s="8">
        <v>0.54166666666666696</v>
      </c>
      <c r="L123" t="s">
        <v>4</v>
      </c>
      <c r="M123" t="s">
        <v>4</v>
      </c>
      <c r="O123" t="str">
        <f t="shared" si="23"/>
        <v>✅ CUBIERTO</v>
      </c>
    </row>
    <row r="124" spans="1:15" x14ac:dyDescent="0.3">
      <c r="A124" s="1">
        <v>45973</v>
      </c>
      <c r="B124" s="2" t="str">
        <f t="shared" si="30"/>
        <v>mié</v>
      </c>
      <c r="C124" s="8">
        <v>0.58333333333333304</v>
      </c>
      <c r="D124" t="s">
        <v>4</v>
      </c>
      <c r="E124" t="s">
        <v>9</v>
      </c>
      <c r="G124" t="str">
        <f t="shared" si="21"/>
        <v>✅ CUBIERTO</v>
      </c>
      <c r="I124" s="1">
        <v>46003</v>
      </c>
      <c r="J124" s="2" t="str">
        <f t="shared" si="31"/>
        <v>vie</v>
      </c>
      <c r="K124" s="8">
        <v>0.58333333333333304</v>
      </c>
      <c r="L124" t="s">
        <v>4</v>
      </c>
      <c r="M124" t="s">
        <v>4</v>
      </c>
      <c r="O124" t="str">
        <f t="shared" si="23"/>
        <v>✅ CUBIERTO</v>
      </c>
    </row>
    <row r="125" spans="1:15" x14ac:dyDescent="0.3">
      <c r="A125" s="1">
        <v>45973</v>
      </c>
      <c r="B125" s="2" t="str">
        <f t="shared" si="30"/>
        <v>mié</v>
      </c>
      <c r="C125" s="8">
        <v>0.625</v>
      </c>
      <c r="D125" t="s">
        <v>4</v>
      </c>
      <c r="E125" t="s">
        <v>9</v>
      </c>
      <c r="G125" t="str">
        <f t="shared" si="21"/>
        <v>✅ CUBIERTO</v>
      </c>
      <c r="I125" s="1">
        <v>46003</v>
      </c>
      <c r="J125" s="2" t="str">
        <f t="shared" si="31"/>
        <v>vie</v>
      </c>
      <c r="K125" s="8">
        <v>0.625</v>
      </c>
      <c r="L125" t="s">
        <v>4</v>
      </c>
      <c r="M125" t="s">
        <v>4</v>
      </c>
      <c r="O125" t="str">
        <f t="shared" si="23"/>
        <v>✅ CUBIERTO</v>
      </c>
    </row>
    <row r="126" spans="1:15" x14ac:dyDescent="0.3">
      <c r="A126" s="1">
        <v>45973</v>
      </c>
      <c r="B126" s="2" t="str">
        <f t="shared" si="30"/>
        <v>mié</v>
      </c>
      <c r="C126" s="8">
        <v>0.66666666666666696</v>
      </c>
      <c r="D126" t="s">
        <v>4</v>
      </c>
      <c r="E126" t="s">
        <v>4</v>
      </c>
      <c r="G126" t="str">
        <f t="shared" si="21"/>
        <v>✅ CUBIERTO</v>
      </c>
      <c r="I126" s="1">
        <v>46003</v>
      </c>
      <c r="J126" s="2" t="str">
        <f t="shared" si="31"/>
        <v>vie</v>
      </c>
      <c r="K126" s="8">
        <v>0.66666666666666696</v>
      </c>
      <c r="L126" t="s">
        <v>4</v>
      </c>
      <c r="M126" t="s">
        <v>4</v>
      </c>
      <c r="O126" t="str">
        <f t="shared" si="23"/>
        <v>✅ CUBIERTO</v>
      </c>
    </row>
    <row r="127" spans="1:15" x14ac:dyDescent="0.3">
      <c r="A127" s="1">
        <v>45973</v>
      </c>
      <c r="B127" s="2" t="str">
        <f t="shared" si="30"/>
        <v>mié</v>
      </c>
      <c r="C127" s="8">
        <v>0.70833333333333304</v>
      </c>
      <c r="D127" t="s">
        <v>4</v>
      </c>
      <c r="E127" t="s">
        <v>4</v>
      </c>
      <c r="G127" t="str">
        <f t="shared" si="21"/>
        <v>✅ CUBIERTO</v>
      </c>
      <c r="I127" s="1">
        <v>46003</v>
      </c>
      <c r="J127" s="2" t="str">
        <f t="shared" si="31"/>
        <v>vie</v>
      </c>
      <c r="K127" s="8">
        <v>0.70833333333333304</v>
      </c>
      <c r="L127" t="s">
        <v>4</v>
      </c>
      <c r="M127" t="s">
        <v>4</v>
      </c>
      <c r="O127" t="str">
        <f t="shared" si="23"/>
        <v>✅ CUBIERTO</v>
      </c>
    </row>
    <row r="128" spans="1:15" x14ac:dyDescent="0.3">
      <c r="A128" s="1">
        <v>45973</v>
      </c>
      <c r="B128" s="2" t="str">
        <f t="shared" si="30"/>
        <v>mié</v>
      </c>
      <c r="C128" s="8">
        <v>0.75</v>
      </c>
      <c r="D128" t="s">
        <v>4</v>
      </c>
      <c r="E128" t="s">
        <v>4</v>
      </c>
      <c r="G128" t="str">
        <f t="shared" si="21"/>
        <v>✅ CUBIERTO</v>
      </c>
      <c r="I128" s="1">
        <v>46003</v>
      </c>
      <c r="J128" s="2" t="str">
        <f t="shared" si="31"/>
        <v>vie</v>
      </c>
      <c r="K128" s="8">
        <v>0.75</v>
      </c>
      <c r="L128" t="s">
        <v>4</v>
      </c>
      <c r="M128" t="s">
        <v>4</v>
      </c>
      <c r="O128" t="str">
        <f t="shared" si="23"/>
        <v>✅ CUBIERTO</v>
      </c>
    </row>
    <row r="129" spans="1:15" x14ac:dyDescent="0.3">
      <c r="A129" s="1">
        <v>45973</v>
      </c>
      <c r="B129" s="2" t="str">
        <f t="shared" si="30"/>
        <v>mié</v>
      </c>
      <c r="C129" s="8">
        <v>0.79166666666666696</v>
      </c>
      <c r="D129" t="s">
        <v>4</v>
      </c>
      <c r="E129" t="s">
        <v>4</v>
      </c>
      <c r="G129" t="str">
        <f t="shared" si="21"/>
        <v>✅ CUBIERTO</v>
      </c>
      <c r="I129" s="1">
        <v>46003</v>
      </c>
      <c r="J129" s="2" t="str">
        <f t="shared" si="31"/>
        <v>vie</v>
      </c>
      <c r="K129" s="8">
        <v>0.79166666666666696</v>
      </c>
      <c r="L129" t="s">
        <v>4</v>
      </c>
      <c r="M129" t="s">
        <v>4</v>
      </c>
      <c r="O129" t="str">
        <f t="shared" si="23"/>
        <v>✅ CUBIERTO</v>
      </c>
    </row>
    <row r="130" spans="1:15" x14ac:dyDescent="0.3">
      <c r="A130" s="1">
        <v>45974</v>
      </c>
      <c r="B130" s="2" t="str">
        <f>TEXT(A130,"ddd")</f>
        <v>jue</v>
      </c>
      <c r="C130" s="8">
        <v>0.45833333333333331</v>
      </c>
      <c r="D130" t="s">
        <v>4</v>
      </c>
      <c r="E130" t="s">
        <v>4</v>
      </c>
      <c r="G130" t="str">
        <f t="shared" si="21"/>
        <v>✅ CUBIERTO</v>
      </c>
      <c r="I130" s="1">
        <v>46004</v>
      </c>
      <c r="J130" s="2" t="str">
        <f>TEXT(I130,"ddd")</f>
        <v>sáb</v>
      </c>
      <c r="K130" s="8">
        <v>0.45833333333333331</v>
      </c>
      <c r="L130" t="s">
        <v>4</v>
      </c>
      <c r="M130" t="s">
        <v>4</v>
      </c>
      <c r="O130" t="str">
        <f t="shared" si="23"/>
        <v>✅ CUBIERTO</v>
      </c>
    </row>
    <row r="131" spans="1:15" x14ac:dyDescent="0.3">
      <c r="A131" s="1">
        <v>45974</v>
      </c>
      <c r="B131" s="2" t="str">
        <f t="shared" ref="B131:B138" si="32">TEXT(A131,"ddd")</f>
        <v>jue</v>
      </c>
      <c r="C131" s="8">
        <v>0.5</v>
      </c>
      <c r="D131" t="s">
        <v>4</v>
      </c>
      <c r="E131" t="s">
        <v>4</v>
      </c>
      <c r="G131" t="str">
        <f t="shared" si="21"/>
        <v>✅ CUBIERTO</v>
      </c>
      <c r="I131" s="1">
        <v>46004</v>
      </c>
      <c r="J131" s="2" t="str">
        <f t="shared" ref="J131:J138" si="33">TEXT(I131,"ddd")</f>
        <v>sáb</v>
      </c>
      <c r="K131" s="8">
        <v>0.5</v>
      </c>
      <c r="L131" t="s">
        <v>4</v>
      </c>
      <c r="M131" t="s">
        <v>4</v>
      </c>
      <c r="O131" t="str">
        <f t="shared" si="23"/>
        <v>✅ CUBIERTO</v>
      </c>
    </row>
    <row r="132" spans="1:15" x14ac:dyDescent="0.3">
      <c r="A132" s="1">
        <v>45974</v>
      </c>
      <c r="B132" s="2" t="str">
        <f t="shared" si="32"/>
        <v>jue</v>
      </c>
      <c r="C132" s="8">
        <v>0.54166666666666696</v>
      </c>
      <c r="D132" t="s">
        <v>4</v>
      </c>
      <c r="E132" t="s">
        <v>4</v>
      </c>
      <c r="G132" t="str">
        <f t="shared" si="21"/>
        <v>✅ CUBIERTO</v>
      </c>
      <c r="I132" s="1">
        <v>46004</v>
      </c>
      <c r="J132" s="2" t="str">
        <f t="shared" si="33"/>
        <v>sáb</v>
      </c>
      <c r="K132" s="8">
        <v>0.54166666666666696</v>
      </c>
      <c r="L132" t="s">
        <v>4</v>
      </c>
      <c r="M132" t="s">
        <v>4</v>
      </c>
      <c r="O132" t="str">
        <f t="shared" si="23"/>
        <v>✅ CUBIERTO</v>
      </c>
    </row>
    <row r="133" spans="1:15" x14ac:dyDescent="0.3">
      <c r="A133" s="1">
        <v>45974</v>
      </c>
      <c r="B133" s="2" t="str">
        <f t="shared" si="32"/>
        <v>jue</v>
      </c>
      <c r="C133" s="8">
        <v>0.58333333333333304</v>
      </c>
      <c r="D133" t="s">
        <v>4</v>
      </c>
      <c r="E133" t="s">
        <v>4</v>
      </c>
      <c r="G133" t="str">
        <f t="shared" si="21"/>
        <v>✅ CUBIERTO</v>
      </c>
      <c r="I133" s="1">
        <v>46004</v>
      </c>
      <c r="J133" s="2" t="str">
        <f t="shared" si="33"/>
        <v>sáb</v>
      </c>
      <c r="K133" s="8">
        <v>0.58333333333333304</v>
      </c>
      <c r="L133" t="s">
        <v>4</v>
      </c>
      <c r="M133" t="s">
        <v>4</v>
      </c>
      <c r="O133" t="str">
        <f t="shared" si="23"/>
        <v>✅ CUBIERTO</v>
      </c>
    </row>
    <row r="134" spans="1:15" x14ac:dyDescent="0.3">
      <c r="A134" s="1">
        <v>45974</v>
      </c>
      <c r="B134" s="2" t="str">
        <f t="shared" si="32"/>
        <v>jue</v>
      </c>
      <c r="C134" s="8">
        <v>0.625</v>
      </c>
      <c r="D134" t="s">
        <v>4</v>
      </c>
      <c r="E134" t="s">
        <v>4</v>
      </c>
      <c r="G134" t="str">
        <f t="shared" si="21"/>
        <v>✅ CUBIERTO</v>
      </c>
      <c r="I134" s="1">
        <v>46004</v>
      </c>
      <c r="J134" s="2" t="str">
        <f t="shared" si="33"/>
        <v>sáb</v>
      </c>
      <c r="K134" s="8">
        <v>0.625</v>
      </c>
      <c r="L134" t="s">
        <v>4</v>
      </c>
      <c r="M134" t="s">
        <v>4</v>
      </c>
      <c r="O134" t="str">
        <f t="shared" si="23"/>
        <v>✅ CUBIERTO</v>
      </c>
    </row>
    <row r="135" spans="1:15" x14ac:dyDescent="0.3">
      <c r="A135" s="1">
        <v>45974</v>
      </c>
      <c r="B135" s="2" t="str">
        <f t="shared" si="32"/>
        <v>jue</v>
      </c>
      <c r="C135" s="8">
        <v>0.66666666666666696</v>
      </c>
      <c r="D135" t="s">
        <v>4</v>
      </c>
      <c r="E135" t="s">
        <v>4</v>
      </c>
      <c r="G135" t="str">
        <f t="shared" si="21"/>
        <v>✅ CUBIERTO</v>
      </c>
      <c r="I135" s="1">
        <v>46004</v>
      </c>
      <c r="J135" s="2" t="str">
        <f t="shared" si="33"/>
        <v>sáb</v>
      </c>
      <c r="K135" s="8">
        <v>0.66666666666666696</v>
      </c>
      <c r="L135" t="s">
        <v>4</v>
      </c>
      <c r="M135" t="s">
        <v>4</v>
      </c>
      <c r="O135" t="str">
        <f t="shared" si="23"/>
        <v>✅ CUBIERTO</v>
      </c>
    </row>
    <row r="136" spans="1:15" x14ac:dyDescent="0.3">
      <c r="A136" s="1">
        <v>45974</v>
      </c>
      <c r="B136" s="2" t="str">
        <f t="shared" si="32"/>
        <v>jue</v>
      </c>
      <c r="C136" s="8">
        <v>0.70833333333333304</v>
      </c>
      <c r="D136" t="s">
        <v>4</v>
      </c>
      <c r="E136" t="s">
        <v>4</v>
      </c>
      <c r="G136" t="str">
        <f t="shared" si="21"/>
        <v>✅ CUBIERTO</v>
      </c>
      <c r="I136" s="1">
        <v>46004</v>
      </c>
      <c r="J136" s="2" t="str">
        <f t="shared" si="33"/>
        <v>sáb</v>
      </c>
      <c r="K136" s="8">
        <v>0.70833333333333304</v>
      </c>
      <c r="L136" t="s">
        <v>4</v>
      </c>
      <c r="M136" t="s">
        <v>4</v>
      </c>
      <c r="O136" t="str">
        <f t="shared" si="23"/>
        <v>✅ CUBIERTO</v>
      </c>
    </row>
    <row r="137" spans="1:15" x14ac:dyDescent="0.3">
      <c r="A137" s="1">
        <v>45974</v>
      </c>
      <c r="B137" s="2" t="str">
        <f t="shared" si="32"/>
        <v>jue</v>
      </c>
      <c r="C137" s="8">
        <v>0.75</v>
      </c>
      <c r="D137" t="s">
        <v>4</v>
      </c>
      <c r="E137" t="s">
        <v>4</v>
      </c>
      <c r="G137" t="str">
        <f t="shared" si="21"/>
        <v>✅ CUBIERTO</v>
      </c>
      <c r="I137" s="1">
        <v>46004</v>
      </c>
      <c r="J137" s="2" t="str">
        <f t="shared" si="33"/>
        <v>sáb</v>
      </c>
      <c r="K137" s="8">
        <v>0.75</v>
      </c>
      <c r="L137" t="s">
        <v>4</v>
      </c>
      <c r="M137" t="s">
        <v>4</v>
      </c>
      <c r="O137" t="str">
        <f t="shared" si="23"/>
        <v>✅ CUBIERTO</v>
      </c>
    </row>
    <row r="138" spans="1:15" x14ac:dyDescent="0.3">
      <c r="A138" s="1">
        <v>45974</v>
      </c>
      <c r="B138" s="2" t="str">
        <f t="shared" si="32"/>
        <v>jue</v>
      </c>
      <c r="C138" s="8">
        <v>0.79166666666666696</v>
      </c>
      <c r="D138" t="s">
        <v>4</v>
      </c>
      <c r="E138" t="s">
        <v>4</v>
      </c>
      <c r="G138" t="str">
        <f t="shared" si="21"/>
        <v>✅ CUBIERTO</v>
      </c>
      <c r="I138" s="1">
        <v>46004</v>
      </c>
      <c r="J138" s="2" t="str">
        <f t="shared" si="33"/>
        <v>sáb</v>
      </c>
      <c r="K138" s="8">
        <v>0.79166666666666696</v>
      </c>
      <c r="L138" t="s">
        <v>4</v>
      </c>
      <c r="M138" t="s">
        <v>4</v>
      </c>
      <c r="O138" t="str">
        <f t="shared" si="23"/>
        <v>✅ CUBIERTO</v>
      </c>
    </row>
    <row r="139" spans="1:15" x14ac:dyDescent="0.3">
      <c r="A139" s="1">
        <v>45975</v>
      </c>
      <c r="B139" s="2" t="str">
        <f>TEXT(A139,"ddd")</f>
        <v>vie</v>
      </c>
      <c r="C139" s="8">
        <v>0.45833333333333331</v>
      </c>
      <c r="D139" t="s">
        <v>4</v>
      </c>
      <c r="E139" t="s">
        <v>4</v>
      </c>
      <c r="G139" t="str">
        <f t="shared" si="21"/>
        <v>✅ CUBIERTO</v>
      </c>
      <c r="I139" s="1">
        <v>46005</v>
      </c>
      <c r="J139" s="2" t="str">
        <f>TEXT(I139,"ddd")</f>
        <v>dom</v>
      </c>
      <c r="K139" s="8">
        <v>0.45833333333333331</v>
      </c>
      <c r="L139" t="s">
        <v>4</v>
      </c>
      <c r="M139" t="s">
        <v>4</v>
      </c>
      <c r="O139" t="str">
        <f t="shared" si="23"/>
        <v>✅ CUBIERTO</v>
      </c>
    </row>
    <row r="140" spans="1:15" x14ac:dyDescent="0.3">
      <c r="A140" s="1">
        <v>45975</v>
      </c>
      <c r="B140" s="2" t="str">
        <f t="shared" ref="B140:B147" si="34">TEXT(A140,"ddd")</f>
        <v>vie</v>
      </c>
      <c r="C140" s="8">
        <v>0.5</v>
      </c>
      <c r="D140" t="s">
        <v>4</v>
      </c>
      <c r="E140" t="s">
        <v>4</v>
      </c>
      <c r="G140" t="str">
        <f t="shared" si="21"/>
        <v>✅ CUBIERTO</v>
      </c>
      <c r="I140" s="1">
        <v>46005</v>
      </c>
      <c r="J140" s="2" t="str">
        <f t="shared" ref="J140:J147" si="35">TEXT(I140,"ddd")</f>
        <v>dom</v>
      </c>
      <c r="K140" s="8">
        <v>0.5</v>
      </c>
      <c r="L140" t="s">
        <v>4</v>
      </c>
      <c r="M140" t="s">
        <v>4</v>
      </c>
      <c r="O140" t="str">
        <f t="shared" si="23"/>
        <v>✅ CUBIERTO</v>
      </c>
    </row>
    <row r="141" spans="1:15" x14ac:dyDescent="0.3">
      <c r="A141" s="1">
        <v>45975</v>
      </c>
      <c r="B141" s="2" t="str">
        <f t="shared" si="34"/>
        <v>vie</v>
      </c>
      <c r="C141" s="8">
        <v>0.54166666666666696</v>
      </c>
      <c r="D141" t="s">
        <v>4</v>
      </c>
      <c r="E141" t="s">
        <v>4</v>
      </c>
      <c r="G141" t="str">
        <f t="shared" si="21"/>
        <v>✅ CUBIERTO</v>
      </c>
      <c r="I141" s="1">
        <v>46005</v>
      </c>
      <c r="J141" s="2" t="str">
        <f t="shared" si="35"/>
        <v>dom</v>
      </c>
      <c r="K141" s="8">
        <v>0.54166666666666696</v>
      </c>
      <c r="L141" t="s">
        <v>4</v>
      </c>
      <c r="M141" t="s">
        <v>4</v>
      </c>
      <c r="O141" t="str">
        <f t="shared" si="23"/>
        <v>✅ CUBIERTO</v>
      </c>
    </row>
    <row r="142" spans="1:15" x14ac:dyDescent="0.3">
      <c r="A142" s="1">
        <v>45975</v>
      </c>
      <c r="B142" s="2" t="str">
        <f t="shared" si="34"/>
        <v>vie</v>
      </c>
      <c r="C142" s="8">
        <v>0.58333333333333304</v>
      </c>
      <c r="D142" t="s">
        <v>4</v>
      </c>
      <c r="E142" t="s">
        <v>4</v>
      </c>
      <c r="G142" t="str">
        <f t="shared" si="21"/>
        <v>✅ CUBIERTO</v>
      </c>
      <c r="I142" s="1">
        <v>46005</v>
      </c>
      <c r="J142" s="2" t="str">
        <f t="shared" si="35"/>
        <v>dom</v>
      </c>
      <c r="K142" s="8">
        <v>0.58333333333333304</v>
      </c>
      <c r="L142" t="s">
        <v>4</v>
      </c>
      <c r="M142" t="s">
        <v>4</v>
      </c>
      <c r="O142" t="str">
        <f t="shared" si="23"/>
        <v>✅ CUBIERTO</v>
      </c>
    </row>
    <row r="143" spans="1:15" x14ac:dyDescent="0.3">
      <c r="A143" s="1">
        <v>45975</v>
      </c>
      <c r="B143" s="2" t="str">
        <f t="shared" si="34"/>
        <v>vie</v>
      </c>
      <c r="C143" s="8">
        <v>0.625</v>
      </c>
      <c r="D143" t="s">
        <v>4</v>
      </c>
      <c r="E143" t="s">
        <v>4</v>
      </c>
      <c r="G143" t="str">
        <f t="shared" si="21"/>
        <v>✅ CUBIERTO</v>
      </c>
      <c r="I143" s="1">
        <v>46005</v>
      </c>
      <c r="J143" s="2" t="str">
        <f t="shared" si="35"/>
        <v>dom</v>
      </c>
      <c r="K143" s="8">
        <v>0.625</v>
      </c>
      <c r="L143" t="s">
        <v>4</v>
      </c>
      <c r="M143" t="s">
        <v>4</v>
      </c>
      <c r="O143" t="str">
        <f t="shared" si="23"/>
        <v>✅ CUBIERTO</v>
      </c>
    </row>
    <row r="144" spans="1:15" x14ac:dyDescent="0.3">
      <c r="A144" s="1">
        <v>45975</v>
      </c>
      <c r="B144" s="2" t="str">
        <f t="shared" si="34"/>
        <v>vie</v>
      </c>
      <c r="C144" s="8">
        <v>0.66666666666666696</v>
      </c>
      <c r="D144" t="s">
        <v>4</v>
      </c>
      <c r="E144" t="s">
        <v>4</v>
      </c>
      <c r="G144" t="str">
        <f t="shared" si="21"/>
        <v>✅ CUBIERTO</v>
      </c>
      <c r="I144" s="1">
        <v>46005</v>
      </c>
      <c r="J144" s="2" t="str">
        <f t="shared" si="35"/>
        <v>dom</v>
      </c>
      <c r="K144" s="8">
        <v>0.66666666666666696</v>
      </c>
      <c r="L144" t="s">
        <v>4</v>
      </c>
      <c r="M144" t="s">
        <v>4</v>
      </c>
      <c r="O144" t="str">
        <f t="shared" si="23"/>
        <v>✅ CUBIERTO</v>
      </c>
    </row>
    <row r="145" spans="1:15" x14ac:dyDescent="0.3">
      <c r="A145" s="1">
        <v>45975</v>
      </c>
      <c r="B145" s="2" t="str">
        <f t="shared" si="34"/>
        <v>vie</v>
      </c>
      <c r="C145" s="8">
        <v>0.70833333333333304</v>
      </c>
      <c r="D145" t="s">
        <v>4</v>
      </c>
      <c r="E145" t="s">
        <v>4</v>
      </c>
      <c r="G145" t="str">
        <f t="shared" si="21"/>
        <v>✅ CUBIERTO</v>
      </c>
      <c r="I145" s="1">
        <v>46005</v>
      </c>
      <c r="J145" s="2" t="str">
        <f t="shared" si="35"/>
        <v>dom</v>
      </c>
      <c r="K145" s="8">
        <v>0.70833333333333304</v>
      </c>
      <c r="L145" t="s">
        <v>4</v>
      </c>
      <c r="M145" t="s">
        <v>4</v>
      </c>
      <c r="O145" t="str">
        <f t="shared" si="23"/>
        <v>✅ CUBIERTO</v>
      </c>
    </row>
    <row r="146" spans="1:15" x14ac:dyDescent="0.3">
      <c r="A146" s="1">
        <v>45975</v>
      </c>
      <c r="B146" s="2" t="str">
        <f t="shared" si="34"/>
        <v>vie</v>
      </c>
      <c r="C146" s="8">
        <v>0.75</v>
      </c>
      <c r="D146" t="s">
        <v>4</v>
      </c>
      <c r="E146" t="s">
        <v>4</v>
      </c>
      <c r="G146" t="str">
        <f t="shared" si="21"/>
        <v>✅ CUBIERTO</v>
      </c>
      <c r="I146" s="1">
        <v>46005</v>
      </c>
      <c r="J146" s="2" t="str">
        <f t="shared" si="35"/>
        <v>dom</v>
      </c>
      <c r="K146" s="8">
        <v>0.75</v>
      </c>
      <c r="L146" t="s">
        <v>4</v>
      </c>
      <c r="M146" t="s">
        <v>4</v>
      </c>
      <c r="O146" t="str">
        <f t="shared" si="23"/>
        <v>✅ CUBIERTO</v>
      </c>
    </row>
    <row r="147" spans="1:15" x14ac:dyDescent="0.3">
      <c r="A147" s="1">
        <v>45975</v>
      </c>
      <c r="B147" s="2" t="str">
        <f t="shared" si="34"/>
        <v>vie</v>
      </c>
      <c r="C147" s="8">
        <v>0.79166666666666696</v>
      </c>
      <c r="D147" t="s">
        <v>4</v>
      </c>
      <c r="E147" t="s">
        <v>4</v>
      </c>
      <c r="G147" t="str">
        <f t="shared" si="21"/>
        <v>✅ CUBIERTO</v>
      </c>
      <c r="I147" s="1">
        <v>46005</v>
      </c>
      <c r="J147" s="2" t="str">
        <f t="shared" si="35"/>
        <v>dom</v>
      </c>
      <c r="K147" s="8">
        <v>0.79166666666666696</v>
      </c>
      <c r="L147" t="s">
        <v>4</v>
      </c>
      <c r="M147" t="s">
        <v>4</v>
      </c>
      <c r="O147" t="str">
        <f t="shared" si="23"/>
        <v>✅ CUBIERTO</v>
      </c>
    </row>
    <row r="148" spans="1:15" x14ac:dyDescent="0.3">
      <c r="A148" s="1">
        <v>45976</v>
      </c>
      <c r="B148" s="2" t="str">
        <f>TEXT(A148,"ddd")</f>
        <v>sáb</v>
      </c>
      <c r="C148" s="8">
        <v>0.45833333333333331</v>
      </c>
      <c r="D148" t="s">
        <v>4</v>
      </c>
      <c r="E148" t="s">
        <v>4</v>
      </c>
      <c r="G148" t="str">
        <f t="shared" si="21"/>
        <v>✅ CUBIERTO</v>
      </c>
      <c r="I148" s="1">
        <v>46006</v>
      </c>
      <c r="J148" s="2" t="str">
        <f>TEXT(I148,"ddd")</f>
        <v>lun</v>
      </c>
      <c r="K148" s="8">
        <v>0.45833333333333331</v>
      </c>
      <c r="L148" t="s">
        <v>4</v>
      </c>
      <c r="M148" t="s">
        <v>4</v>
      </c>
      <c r="O148" t="str">
        <f t="shared" si="23"/>
        <v>✅ CUBIERTO</v>
      </c>
    </row>
    <row r="149" spans="1:15" x14ac:dyDescent="0.3">
      <c r="A149" s="1">
        <v>45976</v>
      </c>
      <c r="B149" s="2" t="str">
        <f t="shared" ref="B149:B156" si="36">TEXT(A149,"ddd")</f>
        <v>sáb</v>
      </c>
      <c r="C149" s="8">
        <v>0.5</v>
      </c>
      <c r="D149" t="s">
        <v>4</v>
      </c>
      <c r="E149" t="s">
        <v>4</v>
      </c>
      <c r="G149" t="str">
        <f t="shared" si="21"/>
        <v>✅ CUBIERTO</v>
      </c>
      <c r="I149" s="1">
        <v>46006</v>
      </c>
      <c r="J149" s="2" t="str">
        <f t="shared" ref="J149:J156" si="37">TEXT(I149,"ddd")</f>
        <v>lun</v>
      </c>
      <c r="K149" s="8">
        <v>0.5</v>
      </c>
      <c r="L149" t="s">
        <v>4</v>
      </c>
      <c r="M149" t="s">
        <v>4</v>
      </c>
      <c r="O149" t="str">
        <f t="shared" si="23"/>
        <v>✅ CUBIERTO</v>
      </c>
    </row>
    <row r="150" spans="1:15" x14ac:dyDescent="0.3">
      <c r="A150" s="1">
        <v>45976</v>
      </c>
      <c r="B150" s="2" t="str">
        <f t="shared" si="36"/>
        <v>sáb</v>
      </c>
      <c r="C150" s="8">
        <v>0.54166666666666696</v>
      </c>
      <c r="D150" t="s">
        <v>4</v>
      </c>
      <c r="E150" t="s">
        <v>4</v>
      </c>
      <c r="G150" t="str">
        <f t="shared" ref="G150:G213" si="38">IF(COUNTIF(D150:F150,"?*")=$D$4,"✅ CUBIERTO",
IF(COUNTIF(D150:F150,"?*")&gt;$D$4,"⚠ EXCESO",IF(COUNTIF(D150:F150,"?*")&gt;0,"⚠ FALTANTE",
"❌ SIN COMPLETAR")))</f>
        <v>✅ CUBIERTO</v>
      </c>
      <c r="I150" s="1">
        <v>46006</v>
      </c>
      <c r="J150" s="2" t="str">
        <f t="shared" si="37"/>
        <v>lun</v>
      </c>
      <c r="K150" s="8">
        <v>0.54166666666666696</v>
      </c>
      <c r="L150" t="s">
        <v>4</v>
      </c>
      <c r="M150" t="s">
        <v>4</v>
      </c>
      <c r="O150" t="str">
        <f t="shared" ref="O150:O213" si="39">IF(COUNTIF(L150:N150,"?*")&gt;=$L$4, "✅ CUBIERTO",
 IF(COUNTIF(L150:N150,"?*")&gt;0, "⚠ FALTANTE",
 "❌ SIN COMPLETAR"))</f>
        <v>✅ CUBIERTO</v>
      </c>
    </row>
    <row r="151" spans="1:15" x14ac:dyDescent="0.3">
      <c r="A151" s="1">
        <v>45976</v>
      </c>
      <c r="B151" s="2" t="str">
        <f t="shared" si="36"/>
        <v>sáb</v>
      </c>
      <c r="C151" s="8">
        <v>0.58333333333333304</v>
      </c>
      <c r="D151" t="s">
        <v>4</v>
      </c>
      <c r="E151" t="s">
        <v>4</v>
      </c>
      <c r="G151" t="str">
        <f t="shared" si="38"/>
        <v>✅ CUBIERTO</v>
      </c>
      <c r="I151" s="1">
        <v>46006</v>
      </c>
      <c r="J151" s="2" t="str">
        <f t="shared" si="37"/>
        <v>lun</v>
      </c>
      <c r="K151" s="8">
        <v>0.58333333333333304</v>
      </c>
      <c r="L151" t="s">
        <v>4</v>
      </c>
      <c r="M151" t="s">
        <v>4</v>
      </c>
      <c r="O151" t="str">
        <f t="shared" si="39"/>
        <v>✅ CUBIERTO</v>
      </c>
    </row>
    <row r="152" spans="1:15" x14ac:dyDescent="0.3">
      <c r="A152" s="1">
        <v>45976</v>
      </c>
      <c r="B152" s="2" t="str">
        <f t="shared" si="36"/>
        <v>sáb</v>
      </c>
      <c r="C152" s="8">
        <v>0.625</v>
      </c>
      <c r="D152" t="s">
        <v>4</v>
      </c>
      <c r="E152" t="s">
        <v>4</v>
      </c>
      <c r="G152" t="str">
        <f t="shared" si="38"/>
        <v>✅ CUBIERTO</v>
      </c>
      <c r="I152" s="1">
        <v>46006</v>
      </c>
      <c r="J152" s="2" t="str">
        <f t="shared" si="37"/>
        <v>lun</v>
      </c>
      <c r="K152" s="8">
        <v>0.625</v>
      </c>
      <c r="L152" t="s">
        <v>4</v>
      </c>
      <c r="M152" t="s">
        <v>4</v>
      </c>
      <c r="O152" t="str">
        <f t="shared" si="39"/>
        <v>✅ CUBIERTO</v>
      </c>
    </row>
    <row r="153" spans="1:15" x14ac:dyDescent="0.3">
      <c r="A153" s="1">
        <v>45976</v>
      </c>
      <c r="B153" s="2" t="str">
        <f t="shared" si="36"/>
        <v>sáb</v>
      </c>
      <c r="C153" s="8">
        <v>0.66666666666666696</v>
      </c>
      <c r="D153" t="s">
        <v>4</v>
      </c>
      <c r="E153" t="s">
        <v>4</v>
      </c>
      <c r="G153" t="str">
        <f t="shared" si="38"/>
        <v>✅ CUBIERTO</v>
      </c>
      <c r="I153" s="1">
        <v>46006</v>
      </c>
      <c r="J153" s="2" t="str">
        <f t="shared" si="37"/>
        <v>lun</v>
      </c>
      <c r="K153" s="8">
        <v>0.66666666666666696</v>
      </c>
      <c r="L153" t="s">
        <v>4</v>
      </c>
      <c r="M153" t="s">
        <v>4</v>
      </c>
      <c r="O153" t="str">
        <f t="shared" si="39"/>
        <v>✅ CUBIERTO</v>
      </c>
    </row>
    <row r="154" spans="1:15" x14ac:dyDescent="0.3">
      <c r="A154" s="1">
        <v>45976</v>
      </c>
      <c r="B154" s="2" t="str">
        <f t="shared" si="36"/>
        <v>sáb</v>
      </c>
      <c r="C154" s="8">
        <v>0.70833333333333304</v>
      </c>
      <c r="D154" t="s">
        <v>4</v>
      </c>
      <c r="E154" t="s">
        <v>4</v>
      </c>
      <c r="G154" t="str">
        <f t="shared" si="38"/>
        <v>✅ CUBIERTO</v>
      </c>
      <c r="I154" s="1">
        <v>46006</v>
      </c>
      <c r="J154" s="2" t="str">
        <f t="shared" si="37"/>
        <v>lun</v>
      </c>
      <c r="K154" s="8">
        <v>0.70833333333333304</v>
      </c>
      <c r="L154" t="s">
        <v>4</v>
      </c>
      <c r="M154" t="s">
        <v>4</v>
      </c>
      <c r="O154" t="str">
        <f t="shared" si="39"/>
        <v>✅ CUBIERTO</v>
      </c>
    </row>
    <row r="155" spans="1:15" x14ac:dyDescent="0.3">
      <c r="A155" s="1">
        <v>45976</v>
      </c>
      <c r="B155" s="2" t="str">
        <f t="shared" si="36"/>
        <v>sáb</v>
      </c>
      <c r="C155" s="8">
        <v>0.75</v>
      </c>
      <c r="D155" t="s">
        <v>4</v>
      </c>
      <c r="E155" t="s">
        <v>4</v>
      </c>
      <c r="G155" t="str">
        <f t="shared" si="38"/>
        <v>✅ CUBIERTO</v>
      </c>
      <c r="I155" s="1">
        <v>46006</v>
      </c>
      <c r="J155" s="2" t="str">
        <f t="shared" si="37"/>
        <v>lun</v>
      </c>
      <c r="K155" s="8">
        <v>0.75</v>
      </c>
      <c r="L155" t="s">
        <v>4</v>
      </c>
      <c r="M155" t="s">
        <v>4</v>
      </c>
      <c r="O155" t="str">
        <f t="shared" si="39"/>
        <v>✅ CUBIERTO</v>
      </c>
    </row>
    <row r="156" spans="1:15" x14ac:dyDescent="0.3">
      <c r="A156" s="1">
        <v>45976</v>
      </c>
      <c r="B156" s="2" t="str">
        <f t="shared" si="36"/>
        <v>sáb</v>
      </c>
      <c r="C156" s="8">
        <v>0.79166666666666696</v>
      </c>
      <c r="D156" t="s">
        <v>4</v>
      </c>
      <c r="E156" t="s">
        <v>4</v>
      </c>
      <c r="G156" t="str">
        <f t="shared" si="38"/>
        <v>✅ CUBIERTO</v>
      </c>
      <c r="I156" s="1">
        <v>46006</v>
      </c>
      <c r="J156" s="2" t="str">
        <f t="shared" si="37"/>
        <v>lun</v>
      </c>
      <c r="K156" s="8">
        <v>0.79166666666666696</v>
      </c>
      <c r="L156" t="s">
        <v>4</v>
      </c>
      <c r="M156" t="s">
        <v>4</v>
      </c>
      <c r="O156" t="str">
        <f t="shared" si="39"/>
        <v>✅ CUBIERTO</v>
      </c>
    </row>
    <row r="157" spans="1:15" x14ac:dyDescent="0.3">
      <c r="A157" s="1">
        <v>45977</v>
      </c>
      <c r="B157" s="2" t="str">
        <f>TEXT(A157,"ddd")</f>
        <v>dom</v>
      </c>
      <c r="C157" s="8">
        <v>0.45833333333333331</v>
      </c>
      <c r="D157" t="s">
        <v>4</v>
      </c>
      <c r="E157" t="s">
        <v>4</v>
      </c>
      <c r="G157" t="str">
        <f t="shared" si="38"/>
        <v>✅ CUBIERTO</v>
      </c>
      <c r="I157" s="1">
        <v>46007</v>
      </c>
      <c r="J157" s="2" t="str">
        <f>TEXT(I157,"ddd")</f>
        <v>mar</v>
      </c>
      <c r="K157" s="8">
        <v>0.45833333333333331</v>
      </c>
      <c r="L157" t="s">
        <v>9</v>
      </c>
      <c r="M157" t="s">
        <v>4</v>
      </c>
      <c r="O157" t="str">
        <f t="shared" si="39"/>
        <v>✅ CUBIERTO</v>
      </c>
    </row>
    <row r="158" spans="1:15" x14ac:dyDescent="0.3">
      <c r="A158" s="1">
        <v>45977</v>
      </c>
      <c r="B158" s="2" t="str">
        <f t="shared" ref="B158:B165" si="40">TEXT(A158,"ddd")</f>
        <v>dom</v>
      </c>
      <c r="C158" s="8">
        <v>0.5</v>
      </c>
      <c r="D158" t="s">
        <v>4</v>
      </c>
      <c r="E158" t="s">
        <v>4</v>
      </c>
      <c r="G158" t="str">
        <f t="shared" si="38"/>
        <v>✅ CUBIERTO</v>
      </c>
      <c r="I158" s="1">
        <v>46007</v>
      </c>
      <c r="J158" s="2" t="str">
        <f t="shared" ref="J158:J165" si="41">TEXT(I158,"ddd")</f>
        <v>mar</v>
      </c>
      <c r="K158" s="8">
        <v>0.5</v>
      </c>
      <c r="L158" t="s">
        <v>9</v>
      </c>
      <c r="M158" t="s">
        <v>4</v>
      </c>
      <c r="O158" t="str">
        <f t="shared" si="39"/>
        <v>✅ CUBIERTO</v>
      </c>
    </row>
    <row r="159" spans="1:15" x14ac:dyDescent="0.3">
      <c r="A159" s="1">
        <v>45977</v>
      </c>
      <c r="B159" s="2" t="str">
        <f t="shared" si="40"/>
        <v>dom</v>
      </c>
      <c r="C159" s="8">
        <v>0.54166666666666696</v>
      </c>
      <c r="D159" t="s">
        <v>4</v>
      </c>
      <c r="E159" t="s">
        <v>4</v>
      </c>
      <c r="G159" t="str">
        <f t="shared" si="38"/>
        <v>✅ CUBIERTO</v>
      </c>
      <c r="I159" s="1">
        <v>46007</v>
      </c>
      <c r="J159" s="2" t="str">
        <f t="shared" si="41"/>
        <v>mar</v>
      </c>
      <c r="K159" s="8">
        <v>0.54166666666666696</v>
      </c>
      <c r="L159" t="s">
        <v>9</v>
      </c>
      <c r="M159" t="s">
        <v>4</v>
      </c>
      <c r="O159" t="str">
        <f t="shared" si="39"/>
        <v>✅ CUBIERTO</v>
      </c>
    </row>
    <row r="160" spans="1:15" x14ac:dyDescent="0.3">
      <c r="A160" s="1">
        <v>45977</v>
      </c>
      <c r="B160" s="2" t="str">
        <f t="shared" si="40"/>
        <v>dom</v>
      </c>
      <c r="C160" s="8">
        <v>0.58333333333333304</v>
      </c>
      <c r="D160" t="s">
        <v>4</v>
      </c>
      <c r="E160" t="s">
        <v>4</v>
      </c>
      <c r="G160" t="str">
        <f t="shared" si="38"/>
        <v>✅ CUBIERTO</v>
      </c>
      <c r="I160" s="1">
        <v>46007</v>
      </c>
      <c r="J160" s="2" t="str">
        <f t="shared" si="41"/>
        <v>mar</v>
      </c>
      <c r="K160" s="8">
        <v>0.58333333333333304</v>
      </c>
      <c r="L160" t="s">
        <v>9</v>
      </c>
      <c r="M160" t="s">
        <v>4</v>
      </c>
      <c r="O160" t="str">
        <f t="shared" si="39"/>
        <v>✅ CUBIERTO</v>
      </c>
    </row>
    <row r="161" spans="1:15" x14ac:dyDescent="0.3">
      <c r="A161" s="1">
        <v>45977</v>
      </c>
      <c r="B161" s="2" t="str">
        <f t="shared" si="40"/>
        <v>dom</v>
      </c>
      <c r="C161" s="8">
        <v>0.625</v>
      </c>
      <c r="D161" t="s">
        <v>4</v>
      </c>
      <c r="E161" t="s">
        <v>4</v>
      </c>
      <c r="G161" t="str">
        <f t="shared" si="38"/>
        <v>✅ CUBIERTO</v>
      </c>
      <c r="I161" s="1">
        <v>46007</v>
      </c>
      <c r="J161" s="2" t="str">
        <f t="shared" si="41"/>
        <v>mar</v>
      </c>
      <c r="K161" s="8">
        <v>0.625</v>
      </c>
      <c r="L161" t="s">
        <v>9</v>
      </c>
      <c r="M161" t="s">
        <v>4</v>
      </c>
      <c r="O161" t="str">
        <f t="shared" si="39"/>
        <v>✅ CUBIERTO</v>
      </c>
    </row>
    <row r="162" spans="1:15" x14ac:dyDescent="0.3">
      <c r="A162" s="1">
        <v>45977</v>
      </c>
      <c r="B162" s="2" t="str">
        <f t="shared" si="40"/>
        <v>dom</v>
      </c>
      <c r="C162" s="8">
        <v>0.66666666666666696</v>
      </c>
      <c r="D162" t="s">
        <v>4</v>
      </c>
      <c r="E162" t="s">
        <v>4</v>
      </c>
      <c r="G162" t="str">
        <f t="shared" si="38"/>
        <v>✅ CUBIERTO</v>
      </c>
      <c r="I162" s="1">
        <v>46007</v>
      </c>
      <c r="J162" s="2" t="str">
        <f t="shared" si="41"/>
        <v>mar</v>
      </c>
      <c r="K162" s="8">
        <v>0.66666666666666696</v>
      </c>
      <c r="L162" t="s">
        <v>4</v>
      </c>
      <c r="M162" t="s">
        <v>4</v>
      </c>
      <c r="O162" t="str">
        <f t="shared" si="39"/>
        <v>✅ CUBIERTO</v>
      </c>
    </row>
    <row r="163" spans="1:15" x14ac:dyDescent="0.3">
      <c r="A163" s="1">
        <v>45977</v>
      </c>
      <c r="B163" s="2" t="str">
        <f t="shared" si="40"/>
        <v>dom</v>
      </c>
      <c r="C163" s="8">
        <v>0.70833333333333304</v>
      </c>
      <c r="D163" t="s">
        <v>4</v>
      </c>
      <c r="E163" t="s">
        <v>4</v>
      </c>
      <c r="G163" t="str">
        <f t="shared" si="38"/>
        <v>✅ CUBIERTO</v>
      </c>
      <c r="I163" s="1">
        <v>46007</v>
      </c>
      <c r="J163" s="2" t="str">
        <f t="shared" si="41"/>
        <v>mar</v>
      </c>
      <c r="K163" s="8">
        <v>0.70833333333333304</v>
      </c>
      <c r="L163" t="s">
        <v>4</v>
      </c>
      <c r="M163" t="s">
        <v>4</v>
      </c>
      <c r="O163" t="str">
        <f t="shared" si="39"/>
        <v>✅ CUBIERTO</v>
      </c>
    </row>
    <row r="164" spans="1:15" x14ac:dyDescent="0.3">
      <c r="A164" s="1">
        <v>45977</v>
      </c>
      <c r="B164" s="2" t="str">
        <f t="shared" si="40"/>
        <v>dom</v>
      </c>
      <c r="C164" s="8">
        <v>0.75</v>
      </c>
      <c r="D164" t="s">
        <v>4</v>
      </c>
      <c r="E164" t="s">
        <v>4</v>
      </c>
      <c r="G164" t="str">
        <f t="shared" si="38"/>
        <v>✅ CUBIERTO</v>
      </c>
      <c r="I164" s="1">
        <v>46007</v>
      </c>
      <c r="J164" s="2" t="str">
        <f t="shared" si="41"/>
        <v>mar</v>
      </c>
      <c r="K164" s="8">
        <v>0.75</v>
      </c>
      <c r="L164" t="s">
        <v>4</v>
      </c>
      <c r="M164" t="s">
        <v>4</v>
      </c>
      <c r="O164" t="str">
        <f t="shared" si="39"/>
        <v>✅ CUBIERTO</v>
      </c>
    </row>
    <row r="165" spans="1:15" x14ac:dyDescent="0.3">
      <c r="A165" s="1">
        <v>45977</v>
      </c>
      <c r="B165" s="2" t="str">
        <f t="shared" si="40"/>
        <v>dom</v>
      </c>
      <c r="C165" s="8">
        <v>0.79166666666666696</v>
      </c>
      <c r="D165" t="s">
        <v>4</v>
      </c>
      <c r="E165" t="s">
        <v>4</v>
      </c>
      <c r="G165" t="str">
        <f t="shared" si="38"/>
        <v>✅ CUBIERTO</v>
      </c>
      <c r="I165" s="1">
        <v>46007</v>
      </c>
      <c r="J165" s="2" t="str">
        <f t="shared" si="41"/>
        <v>mar</v>
      </c>
      <c r="K165" s="8">
        <v>0.79166666666666696</v>
      </c>
      <c r="L165" t="s">
        <v>4</v>
      </c>
      <c r="M165" t="s">
        <v>4</v>
      </c>
      <c r="O165" t="str">
        <f t="shared" si="39"/>
        <v>✅ CUBIERTO</v>
      </c>
    </row>
    <row r="166" spans="1:15" x14ac:dyDescent="0.3">
      <c r="A166" s="1">
        <v>45978</v>
      </c>
      <c r="B166" s="2" t="str">
        <f>TEXT(A166,"ddd")</f>
        <v>lun</v>
      </c>
      <c r="C166" s="8">
        <v>0.45833333333333331</v>
      </c>
      <c r="D166" t="s">
        <v>4</v>
      </c>
      <c r="E166" t="s">
        <v>4</v>
      </c>
      <c r="G166" t="str">
        <f t="shared" si="38"/>
        <v>✅ CUBIERTO</v>
      </c>
      <c r="I166" s="1">
        <v>46008</v>
      </c>
      <c r="J166" s="2" t="str">
        <f>TEXT(I166,"ddd")</f>
        <v>mié</v>
      </c>
      <c r="K166" s="8">
        <v>0.45833333333333331</v>
      </c>
      <c r="L166" t="s">
        <v>4</v>
      </c>
      <c r="M166" t="s">
        <v>4</v>
      </c>
      <c r="O166" t="str">
        <f t="shared" si="39"/>
        <v>✅ CUBIERTO</v>
      </c>
    </row>
    <row r="167" spans="1:15" x14ac:dyDescent="0.3">
      <c r="A167" s="1">
        <v>45978</v>
      </c>
      <c r="B167" s="2" t="str">
        <f t="shared" ref="B167:B174" si="42">TEXT(A167,"ddd")</f>
        <v>lun</v>
      </c>
      <c r="C167" s="8">
        <v>0.5</v>
      </c>
      <c r="D167" t="s">
        <v>4</v>
      </c>
      <c r="E167" t="s">
        <v>4</v>
      </c>
      <c r="G167" t="str">
        <f t="shared" si="38"/>
        <v>✅ CUBIERTO</v>
      </c>
      <c r="I167" s="1">
        <v>46008</v>
      </c>
      <c r="J167" s="2" t="str">
        <f t="shared" ref="J167:J174" si="43">TEXT(I167,"ddd")</f>
        <v>mié</v>
      </c>
      <c r="K167" s="8">
        <v>0.5</v>
      </c>
      <c r="L167" t="s">
        <v>4</v>
      </c>
      <c r="M167" t="s">
        <v>4</v>
      </c>
      <c r="O167" t="str">
        <f t="shared" si="39"/>
        <v>✅ CUBIERTO</v>
      </c>
    </row>
    <row r="168" spans="1:15" x14ac:dyDescent="0.3">
      <c r="A168" s="1">
        <v>45978</v>
      </c>
      <c r="B168" s="2" t="str">
        <f t="shared" si="42"/>
        <v>lun</v>
      </c>
      <c r="C168" s="8">
        <v>0.54166666666666696</v>
      </c>
      <c r="D168" t="s">
        <v>4</v>
      </c>
      <c r="E168" t="s">
        <v>4</v>
      </c>
      <c r="G168" t="str">
        <f t="shared" si="38"/>
        <v>✅ CUBIERTO</v>
      </c>
      <c r="I168" s="1">
        <v>46008</v>
      </c>
      <c r="J168" s="2" t="str">
        <f t="shared" si="43"/>
        <v>mié</v>
      </c>
      <c r="K168" s="8">
        <v>0.54166666666666696</v>
      </c>
      <c r="L168" t="s">
        <v>4</v>
      </c>
      <c r="M168" t="s">
        <v>4</v>
      </c>
      <c r="O168" t="str">
        <f t="shared" si="39"/>
        <v>✅ CUBIERTO</v>
      </c>
    </row>
    <row r="169" spans="1:15" x14ac:dyDescent="0.3">
      <c r="A169" s="1">
        <v>45978</v>
      </c>
      <c r="B169" s="2" t="str">
        <f t="shared" si="42"/>
        <v>lun</v>
      </c>
      <c r="C169" s="8">
        <v>0.58333333333333304</v>
      </c>
      <c r="D169" t="s">
        <v>4</v>
      </c>
      <c r="E169" t="s">
        <v>4</v>
      </c>
      <c r="G169" t="str">
        <f t="shared" si="38"/>
        <v>✅ CUBIERTO</v>
      </c>
      <c r="I169" s="1">
        <v>46008</v>
      </c>
      <c r="J169" s="2" t="str">
        <f t="shared" si="43"/>
        <v>mié</v>
      </c>
      <c r="K169" s="8">
        <v>0.58333333333333304</v>
      </c>
      <c r="L169" t="s">
        <v>4</v>
      </c>
      <c r="M169" t="s">
        <v>4</v>
      </c>
      <c r="O169" t="str">
        <f t="shared" si="39"/>
        <v>✅ CUBIERTO</v>
      </c>
    </row>
    <row r="170" spans="1:15" x14ac:dyDescent="0.3">
      <c r="A170" s="1">
        <v>45978</v>
      </c>
      <c r="B170" s="2" t="str">
        <f t="shared" si="42"/>
        <v>lun</v>
      </c>
      <c r="C170" s="8">
        <v>0.625</v>
      </c>
      <c r="D170" t="s">
        <v>4</v>
      </c>
      <c r="E170" t="s">
        <v>4</v>
      </c>
      <c r="G170" t="str">
        <f t="shared" si="38"/>
        <v>✅ CUBIERTO</v>
      </c>
      <c r="I170" s="1">
        <v>46008</v>
      </c>
      <c r="J170" s="2" t="str">
        <f t="shared" si="43"/>
        <v>mié</v>
      </c>
      <c r="K170" s="8">
        <v>0.625</v>
      </c>
      <c r="L170" t="s">
        <v>4</v>
      </c>
      <c r="M170" t="s">
        <v>4</v>
      </c>
      <c r="O170" t="str">
        <f t="shared" si="39"/>
        <v>✅ CUBIERTO</v>
      </c>
    </row>
    <row r="171" spans="1:15" x14ac:dyDescent="0.3">
      <c r="A171" s="1">
        <v>45978</v>
      </c>
      <c r="B171" s="2" t="str">
        <f t="shared" si="42"/>
        <v>lun</v>
      </c>
      <c r="C171" s="8">
        <v>0.66666666666666696</v>
      </c>
      <c r="D171" t="s">
        <v>4</v>
      </c>
      <c r="E171" t="s">
        <v>4</v>
      </c>
      <c r="G171" t="str">
        <f t="shared" si="38"/>
        <v>✅ CUBIERTO</v>
      </c>
      <c r="I171" s="1">
        <v>46008</v>
      </c>
      <c r="J171" s="2" t="str">
        <f t="shared" si="43"/>
        <v>mié</v>
      </c>
      <c r="K171" s="8">
        <v>0.66666666666666696</v>
      </c>
      <c r="L171" t="s">
        <v>4</v>
      </c>
      <c r="M171" t="s">
        <v>4</v>
      </c>
      <c r="O171" t="str">
        <f t="shared" si="39"/>
        <v>✅ CUBIERTO</v>
      </c>
    </row>
    <row r="172" spans="1:15" x14ac:dyDescent="0.3">
      <c r="A172" s="1">
        <v>45978</v>
      </c>
      <c r="B172" s="2" t="str">
        <f t="shared" si="42"/>
        <v>lun</v>
      </c>
      <c r="C172" s="8">
        <v>0.70833333333333304</v>
      </c>
      <c r="D172" t="s">
        <v>4</v>
      </c>
      <c r="E172" t="s">
        <v>4</v>
      </c>
      <c r="G172" t="str">
        <f t="shared" si="38"/>
        <v>✅ CUBIERTO</v>
      </c>
      <c r="I172" s="1">
        <v>46008</v>
      </c>
      <c r="J172" s="2" t="str">
        <f t="shared" si="43"/>
        <v>mié</v>
      </c>
      <c r="K172" s="8">
        <v>0.70833333333333304</v>
      </c>
      <c r="L172" t="s">
        <v>4</v>
      </c>
      <c r="M172" t="s">
        <v>4</v>
      </c>
      <c r="O172" t="str">
        <f t="shared" si="39"/>
        <v>✅ CUBIERTO</v>
      </c>
    </row>
    <row r="173" spans="1:15" x14ac:dyDescent="0.3">
      <c r="A173" s="1">
        <v>45978</v>
      </c>
      <c r="B173" s="2" t="str">
        <f t="shared" si="42"/>
        <v>lun</v>
      </c>
      <c r="C173" s="8">
        <v>0.75</v>
      </c>
      <c r="D173" t="s">
        <v>4</v>
      </c>
      <c r="E173" t="s">
        <v>4</v>
      </c>
      <c r="G173" t="str">
        <f t="shared" si="38"/>
        <v>✅ CUBIERTO</v>
      </c>
      <c r="I173" s="1">
        <v>46008</v>
      </c>
      <c r="J173" s="2" t="str">
        <f t="shared" si="43"/>
        <v>mié</v>
      </c>
      <c r="K173" s="8">
        <v>0.75</v>
      </c>
      <c r="L173" t="s">
        <v>4</v>
      </c>
      <c r="M173" t="s">
        <v>4</v>
      </c>
      <c r="O173" t="str">
        <f t="shared" si="39"/>
        <v>✅ CUBIERTO</v>
      </c>
    </row>
    <row r="174" spans="1:15" x14ac:dyDescent="0.3">
      <c r="A174" s="1">
        <v>45978</v>
      </c>
      <c r="B174" s="2" t="str">
        <f t="shared" si="42"/>
        <v>lun</v>
      </c>
      <c r="C174" s="8">
        <v>0.79166666666666696</v>
      </c>
      <c r="D174" t="s">
        <v>4</v>
      </c>
      <c r="E174" t="s">
        <v>4</v>
      </c>
      <c r="G174" t="str">
        <f t="shared" si="38"/>
        <v>✅ CUBIERTO</v>
      </c>
      <c r="I174" s="1">
        <v>46008</v>
      </c>
      <c r="J174" s="2" t="str">
        <f t="shared" si="43"/>
        <v>mié</v>
      </c>
      <c r="K174" s="8">
        <v>0.79166666666666696</v>
      </c>
      <c r="L174" t="s">
        <v>4</v>
      </c>
      <c r="M174" t="s">
        <v>4</v>
      </c>
      <c r="O174" t="str">
        <f t="shared" si="39"/>
        <v>✅ CUBIERTO</v>
      </c>
    </row>
    <row r="175" spans="1:15" x14ac:dyDescent="0.3">
      <c r="A175" s="1">
        <v>45979</v>
      </c>
      <c r="B175" s="2" t="str">
        <f>TEXT(A175,"ddd")</f>
        <v>mar</v>
      </c>
      <c r="C175" s="8">
        <v>0.45833333333333331</v>
      </c>
      <c r="D175" t="s">
        <v>4</v>
      </c>
      <c r="E175" t="s">
        <v>4</v>
      </c>
      <c r="G175" t="str">
        <f t="shared" si="38"/>
        <v>✅ CUBIERTO</v>
      </c>
      <c r="I175" s="1">
        <v>46009</v>
      </c>
      <c r="J175" s="2" t="str">
        <f>TEXT(I175,"ddd")</f>
        <v>jue</v>
      </c>
      <c r="K175" s="8">
        <v>0.45833333333333331</v>
      </c>
      <c r="L175" t="s">
        <v>4</v>
      </c>
      <c r="M175" t="s">
        <v>4</v>
      </c>
      <c r="O175" t="str">
        <f t="shared" si="39"/>
        <v>✅ CUBIERTO</v>
      </c>
    </row>
    <row r="176" spans="1:15" x14ac:dyDescent="0.3">
      <c r="A176" s="1">
        <v>45979</v>
      </c>
      <c r="B176" s="2" t="str">
        <f t="shared" ref="B176:B183" si="44">TEXT(A176,"ddd")</f>
        <v>mar</v>
      </c>
      <c r="C176" s="8">
        <v>0.5</v>
      </c>
      <c r="D176" t="s">
        <v>4</v>
      </c>
      <c r="E176" t="s">
        <v>4</v>
      </c>
      <c r="G176" t="str">
        <f t="shared" si="38"/>
        <v>✅ CUBIERTO</v>
      </c>
      <c r="I176" s="1">
        <v>46009</v>
      </c>
      <c r="J176" s="2" t="str">
        <f t="shared" ref="J176:J183" si="45">TEXT(I176,"ddd")</f>
        <v>jue</v>
      </c>
      <c r="K176" s="8">
        <v>0.5</v>
      </c>
      <c r="L176" t="s">
        <v>4</v>
      </c>
      <c r="M176" t="s">
        <v>4</v>
      </c>
      <c r="O176" t="str">
        <f t="shared" si="39"/>
        <v>✅ CUBIERTO</v>
      </c>
    </row>
    <row r="177" spans="1:15" x14ac:dyDescent="0.3">
      <c r="A177" s="1">
        <v>45979</v>
      </c>
      <c r="B177" s="2" t="str">
        <f t="shared" si="44"/>
        <v>mar</v>
      </c>
      <c r="C177" s="8">
        <v>0.54166666666666696</v>
      </c>
      <c r="D177" t="s">
        <v>4</v>
      </c>
      <c r="E177" t="s">
        <v>4</v>
      </c>
      <c r="G177" t="str">
        <f t="shared" si="38"/>
        <v>✅ CUBIERTO</v>
      </c>
      <c r="I177" s="1">
        <v>46009</v>
      </c>
      <c r="J177" s="2" t="str">
        <f t="shared" si="45"/>
        <v>jue</v>
      </c>
      <c r="K177" s="8">
        <v>0.54166666666666696</v>
      </c>
      <c r="L177" t="s">
        <v>4</v>
      </c>
      <c r="M177" t="s">
        <v>4</v>
      </c>
      <c r="O177" t="str">
        <f t="shared" si="39"/>
        <v>✅ CUBIERTO</v>
      </c>
    </row>
    <row r="178" spans="1:15" x14ac:dyDescent="0.3">
      <c r="A178" s="1">
        <v>45979</v>
      </c>
      <c r="B178" s="2" t="str">
        <f t="shared" si="44"/>
        <v>mar</v>
      </c>
      <c r="C178" s="8">
        <v>0.58333333333333304</v>
      </c>
      <c r="D178" t="s">
        <v>4</v>
      </c>
      <c r="E178" t="s">
        <v>4</v>
      </c>
      <c r="G178" t="str">
        <f t="shared" si="38"/>
        <v>✅ CUBIERTO</v>
      </c>
      <c r="I178" s="1">
        <v>46009</v>
      </c>
      <c r="J178" s="2" t="str">
        <f t="shared" si="45"/>
        <v>jue</v>
      </c>
      <c r="K178" s="8">
        <v>0.58333333333333304</v>
      </c>
      <c r="L178" t="s">
        <v>4</v>
      </c>
      <c r="M178" t="s">
        <v>4</v>
      </c>
      <c r="O178" t="str">
        <f t="shared" si="39"/>
        <v>✅ CUBIERTO</v>
      </c>
    </row>
    <row r="179" spans="1:15" x14ac:dyDescent="0.3">
      <c r="A179" s="1">
        <v>45979</v>
      </c>
      <c r="B179" s="2" t="str">
        <f t="shared" si="44"/>
        <v>mar</v>
      </c>
      <c r="C179" s="8">
        <v>0.625</v>
      </c>
      <c r="D179" t="s">
        <v>4</v>
      </c>
      <c r="E179" t="s">
        <v>4</v>
      </c>
      <c r="G179" t="str">
        <f t="shared" si="38"/>
        <v>✅ CUBIERTO</v>
      </c>
      <c r="I179" s="1">
        <v>46009</v>
      </c>
      <c r="J179" s="2" t="str">
        <f t="shared" si="45"/>
        <v>jue</v>
      </c>
      <c r="K179" s="8">
        <v>0.625</v>
      </c>
      <c r="L179" t="s">
        <v>4</v>
      </c>
      <c r="M179" t="s">
        <v>4</v>
      </c>
      <c r="O179" t="str">
        <f t="shared" si="39"/>
        <v>✅ CUBIERTO</v>
      </c>
    </row>
    <row r="180" spans="1:15" x14ac:dyDescent="0.3">
      <c r="A180" s="1">
        <v>45979</v>
      </c>
      <c r="B180" s="2" t="str">
        <f t="shared" si="44"/>
        <v>mar</v>
      </c>
      <c r="C180" s="8">
        <v>0.66666666666666696</v>
      </c>
      <c r="D180" t="s">
        <v>4</v>
      </c>
      <c r="E180" t="s">
        <v>4</v>
      </c>
      <c r="G180" t="str">
        <f t="shared" si="38"/>
        <v>✅ CUBIERTO</v>
      </c>
      <c r="I180" s="1">
        <v>46009</v>
      </c>
      <c r="J180" s="2" t="str">
        <f t="shared" si="45"/>
        <v>jue</v>
      </c>
      <c r="K180" s="8">
        <v>0.66666666666666696</v>
      </c>
      <c r="L180" t="s">
        <v>4</v>
      </c>
      <c r="M180" t="s">
        <v>4</v>
      </c>
      <c r="O180" t="str">
        <f t="shared" si="39"/>
        <v>✅ CUBIERTO</v>
      </c>
    </row>
    <row r="181" spans="1:15" x14ac:dyDescent="0.3">
      <c r="A181" s="1">
        <v>45979</v>
      </c>
      <c r="B181" s="2" t="str">
        <f t="shared" si="44"/>
        <v>mar</v>
      </c>
      <c r="C181" s="8">
        <v>0.70833333333333304</v>
      </c>
      <c r="D181" t="s">
        <v>4</v>
      </c>
      <c r="E181" t="s">
        <v>4</v>
      </c>
      <c r="G181" t="str">
        <f t="shared" si="38"/>
        <v>✅ CUBIERTO</v>
      </c>
      <c r="I181" s="1">
        <v>46009</v>
      </c>
      <c r="J181" s="2" t="str">
        <f t="shared" si="45"/>
        <v>jue</v>
      </c>
      <c r="K181" s="8">
        <v>0.70833333333333304</v>
      </c>
      <c r="L181" t="s">
        <v>4</v>
      </c>
      <c r="M181" t="s">
        <v>4</v>
      </c>
      <c r="O181" t="str">
        <f t="shared" si="39"/>
        <v>✅ CUBIERTO</v>
      </c>
    </row>
    <row r="182" spans="1:15" x14ac:dyDescent="0.3">
      <c r="A182" s="1">
        <v>45979</v>
      </c>
      <c r="B182" s="2" t="str">
        <f t="shared" si="44"/>
        <v>mar</v>
      </c>
      <c r="C182" s="8">
        <v>0.75</v>
      </c>
      <c r="D182" t="s">
        <v>4</v>
      </c>
      <c r="E182" t="s">
        <v>4</v>
      </c>
      <c r="G182" t="str">
        <f t="shared" si="38"/>
        <v>✅ CUBIERTO</v>
      </c>
      <c r="I182" s="1">
        <v>46009</v>
      </c>
      <c r="J182" s="2" t="str">
        <f t="shared" si="45"/>
        <v>jue</v>
      </c>
      <c r="K182" s="8">
        <v>0.75</v>
      </c>
      <c r="L182" t="s">
        <v>4</v>
      </c>
      <c r="M182" t="s">
        <v>4</v>
      </c>
      <c r="O182" t="str">
        <f t="shared" si="39"/>
        <v>✅ CUBIERTO</v>
      </c>
    </row>
    <row r="183" spans="1:15" x14ac:dyDescent="0.3">
      <c r="A183" s="1">
        <v>45979</v>
      </c>
      <c r="B183" s="2" t="str">
        <f t="shared" si="44"/>
        <v>mar</v>
      </c>
      <c r="C183" s="8">
        <v>0.79166666666666696</v>
      </c>
      <c r="D183" t="s">
        <v>4</v>
      </c>
      <c r="E183" t="s">
        <v>4</v>
      </c>
      <c r="G183" t="str">
        <f t="shared" si="38"/>
        <v>✅ CUBIERTO</v>
      </c>
      <c r="I183" s="1">
        <v>46009</v>
      </c>
      <c r="J183" s="2" t="str">
        <f t="shared" si="45"/>
        <v>jue</v>
      </c>
      <c r="K183" s="8">
        <v>0.79166666666666696</v>
      </c>
      <c r="L183" t="s">
        <v>4</v>
      </c>
      <c r="M183" t="s">
        <v>4</v>
      </c>
      <c r="O183" t="str">
        <f t="shared" si="39"/>
        <v>✅ CUBIERTO</v>
      </c>
    </row>
    <row r="184" spans="1:15" x14ac:dyDescent="0.3">
      <c r="A184" s="1">
        <v>45980</v>
      </c>
      <c r="B184" s="2" t="str">
        <f>TEXT(A184,"ddd")</f>
        <v>mié</v>
      </c>
      <c r="C184" s="8">
        <v>0.45833333333333331</v>
      </c>
      <c r="D184" t="s">
        <v>4</v>
      </c>
      <c r="E184" t="s">
        <v>4</v>
      </c>
      <c r="G184" t="str">
        <f t="shared" si="38"/>
        <v>✅ CUBIERTO</v>
      </c>
      <c r="I184" s="1">
        <v>46010</v>
      </c>
      <c r="J184" s="2" t="str">
        <f>TEXT(I184,"ddd")</f>
        <v>vie</v>
      </c>
      <c r="K184" s="8">
        <v>0.45833333333333331</v>
      </c>
      <c r="L184" t="s">
        <v>4</v>
      </c>
      <c r="M184" t="s">
        <v>4</v>
      </c>
      <c r="O184" t="str">
        <f t="shared" si="39"/>
        <v>✅ CUBIERTO</v>
      </c>
    </row>
    <row r="185" spans="1:15" x14ac:dyDescent="0.3">
      <c r="A185" s="1">
        <v>45980</v>
      </c>
      <c r="B185" s="2" t="str">
        <f t="shared" ref="B185:B192" si="46">TEXT(A185,"ddd")</f>
        <v>mié</v>
      </c>
      <c r="C185" s="8">
        <v>0.5</v>
      </c>
      <c r="D185" t="s">
        <v>4</v>
      </c>
      <c r="E185" t="s">
        <v>4</v>
      </c>
      <c r="G185" t="str">
        <f t="shared" si="38"/>
        <v>✅ CUBIERTO</v>
      </c>
      <c r="I185" s="1">
        <v>46010</v>
      </c>
      <c r="J185" s="2" t="str">
        <f t="shared" ref="J185:J192" si="47">TEXT(I185,"ddd")</f>
        <v>vie</v>
      </c>
      <c r="K185" s="8">
        <v>0.5</v>
      </c>
      <c r="L185" t="s">
        <v>4</v>
      </c>
      <c r="M185" t="s">
        <v>4</v>
      </c>
      <c r="O185" t="str">
        <f t="shared" si="39"/>
        <v>✅ CUBIERTO</v>
      </c>
    </row>
    <row r="186" spans="1:15" x14ac:dyDescent="0.3">
      <c r="A186" s="1">
        <v>45980</v>
      </c>
      <c r="B186" s="2" t="str">
        <f t="shared" si="46"/>
        <v>mié</v>
      </c>
      <c r="C186" s="8">
        <v>0.54166666666666696</v>
      </c>
      <c r="D186" t="s">
        <v>4</v>
      </c>
      <c r="E186" t="s">
        <v>4</v>
      </c>
      <c r="G186" t="str">
        <f t="shared" si="38"/>
        <v>✅ CUBIERTO</v>
      </c>
      <c r="I186" s="1">
        <v>46010</v>
      </c>
      <c r="J186" s="2" t="str">
        <f t="shared" si="47"/>
        <v>vie</v>
      </c>
      <c r="K186" s="8">
        <v>0.54166666666666696</v>
      </c>
      <c r="L186" t="s">
        <v>4</v>
      </c>
      <c r="M186" t="s">
        <v>4</v>
      </c>
      <c r="O186" t="str">
        <f t="shared" si="39"/>
        <v>✅ CUBIERTO</v>
      </c>
    </row>
    <row r="187" spans="1:15" x14ac:dyDescent="0.3">
      <c r="A187" s="1">
        <v>45980</v>
      </c>
      <c r="B187" s="2" t="str">
        <f t="shared" si="46"/>
        <v>mié</v>
      </c>
      <c r="C187" s="8">
        <v>0.58333333333333304</v>
      </c>
      <c r="D187" t="s">
        <v>4</v>
      </c>
      <c r="E187" t="s">
        <v>4</v>
      </c>
      <c r="G187" t="str">
        <f t="shared" si="38"/>
        <v>✅ CUBIERTO</v>
      </c>
      <c r="I187" s="1">
        <v>46010</v>
      </c>
      <c r="J187" s="2" t="str">
        <f t="shared" si="47"/>
        <v>vie</v>
      </c>
      <c r="K187" s="8">
        <v>0.58333333333333304</v>
      </c>
      <c r="L187" t="s">
        <v>4</v>
      </c>
      <c r="M187" t="s">
        <v>4</v>
      </c>
      <c r="O187" t="str">
        <f t="shared" si="39"/>
        <v>✅ CUBIERTO</v>
      </c>
    </row>
    <row r="188" spans="1:15" x14ac:dyDescent="0.3">
      <c r="A188" s="1">
        <v>45980</v>
      </c>
      <c r="B188" s="2" t="str">
        <f t="shared" si="46"/>
        <v>mié</v>
      </c>
      <c r="C188" s="8">
        <v>0.625</v>
      </c>
      <c r="D188" t="s">
        <v>4</v>
      </c>
      <c r="E188" t="s">
        <v>4</v>
      </c>
      <c r="G188" t="str">
        <f t="shared" si="38"/>
        <v>✅ CUBIERTO</v>
      </c>
      <c r="I188" s="1">
        <v>46010</v>
      </c>
      <c r="J188" s="2" t="str">
        <f t="shared" si="47"/>
        <v>vie</v>
      </c>
      <c r="K188" s="8">
        <v>0.625</v>
      </c>
      <c r="L188" t="s">
        <v>4</v>
      </c>
      <c r="M188" t="s">
        <v>4</v>
      </c>
      <c r="O188" t="str">
        <f t="shared" si="39"/>
        <v>✅ CUBIERTO</v>
      </c>
    </row>
    <row r="189" spans="1:15" x14ac:dyDescent="0.3">
      <c r="A189" s="1">
        <v>45980</v>
      </c>
      <c r="B189" s="2" t="str">
        <f t="shared" si="46"/>
        <v>mié</v>
      </c>
      <c r="C189" s="8">
        <v>0.66666666666666696</v>
      </c>
      <c r="D189" t="s">
        <v>4</v>
      </c>
      <c r="E189" t="s">
        <v>4</v>
      </c>
      <c r="G189" t="str">
        <f t="shared" si="38"/>
        <v>✅ CUBIERTO</v>
      </c>
      <c r="I189" s="1">
        <v>46010</v>
      </c>
      <c r="J189" s="2" t="str">
        <f t="shared" si="47"/>
        <v>vie</v>
      </c>
      <c r="K189" s="8">
        <v>0.66666666666666696</v>
      </c>
      <c r="L189" t="s">
        <v>4</v>
      </c>
      <c r="M189" t="s">
        <v>4</v>
      </c>
      <c r="O189" t="str">
        <f t="shared" si="39"/>
        <v>✅ CUBIERTO</v>
      </c>
    </row>
    <row r="190" spans="1:15" x14ac:dyDescent="0.3">
      <c r="A190" s="1">
        <v>45980</v>
      </c>
      <c r="B190" s="2" t="str">
        <f t="shared" si="46"/>
        <v>mié</v>
      </c>
      <c r="C190" s="8">
        <v>0.70833333333333304</v>
      </c>
      <c r="D190" t="s">
        <v>4</v>
      </c>
      <c r="E190" t="s">
        <v>4</v>
      </c>
      <c r="G190" t="str">
        <f t="shared" si="38"/>
        <v>✅ CUBIERTO</v>
      </c>
      <c r="I190" s="1">
        <v>46010</v>
      </c>
      <c r="J190" s="2" t="str">
        <f t="shared" si="47"/>
        <v>vie</v>
      </c>
      <c r="K190" s="8">
        <v>0.70833333333333304</v>
      </c>
      <c r="L190" t="s">
        <v>4</v>
      </c>
      <c r="M190" t="s">
        <v>4</v>
      </c>
      <c r="O190" t="str">
        <f t="shared" si="39"/>
        <v>✅ CUBIERTO</v>
      </c>
    </row>
    <row r="191" spans="1:15" x14ac:dyDescent="0.3">
      <c r="A191" s="1">
        <v>45980</v>
      </c>
      <c r="B191" s="2" t="str">
        <f t="shared" si="46"/>
        <v>mié</v>
      </c>
      <c r="C191" s="8">
        <v>0.75</v>
      </c>
      <c r="D191" t="s">
        <v>4</v>
      </c>
      <c r="E191" t="s">
        <v>4</v>
      </c>
      <c r="G191" t="str">
        <f t="shared" si="38"/>
        <v>✅ CUBIERTO</v>
      </c>
      <c r="I191" s="1">
        <v>46010</v>
      </c>
      <c r="J191" s="2" t="str">
        <f t="shared" si="47"/>
        <v>vie</v>
      </c>
      <c r="K191" s="8">
        <v>0.75</v>
      </c>
      <c r="L191" t="s">
        <v>4</v>
      </c>
      <c r="M191" t="s">
        <v>4</v>
      </c>
      <c r="O191" t="str">
        <f t="shared" si="39"/>
        <v>✅ CUBIERTO</v>
      </c>
    </row>
    <row r="192" spans="1:15" x14ac:dyDescent="0.3">
      <c r="A192" s="1">
        <v>45980</v>
      </c>
      <c r="B192" s="2" t="str">
        <f t="shared" si="46"/>
        <v>mié</v>
      </c>
      <c r="C192" s="8">
        <v>0.79166666666666696</v>
      </c>
      <c r="D192" t="s">
        <v>4</v>
      </c>
      <c r="E192" t="s">
        <v>4</v>
      </c>
      <c r="G192" t="str">
        <f t="shared" si="38"/>
        <v>✅ CUBIERTO</v>
      </c>
      <c r="I192" s="1">
        <v>46010</v>
      </c>
      <c r="J192" s="2" t="str">
        <f t="shared" si="47"/>
        <v>vie</v>
      </c>
      <c r="K192" s="8">
        <v>0.79166666666666696</v>
      </c>
      <c r="L192" t="s">
        <v>4</v>
      </c>
      <c r="M192" t="s">
        <v>4</v>
      </c>
      <c r="O192" t="str">
        <f t="shared" si="39"/>
        <v>✅ CUBIERTO</v>
      </c>
    </row>
    <row r="193" spans="1:15" x14ac:dyDescent="0.3">
      <c r="A193" s="1">
        <v>45981</v>
      </c>
      <c r="B193" s="2" t="str">
        <f>TEXT(A193,"ddd")</f>
        <v>jue</v>
      </c>
      <c r="C193" s="8">
        <v>0.45833333333333331</v>
      </c>
      <c r="D193" t="s">
        <v>4</v>
      </c>
      <c r="E193" t="s">
        <v>4</v>
      </c>
      <c r="G193" t="str">
        <f t="shared" si="38"/>
        <v>✅ CUBIERTO</v>
      </c>
      <c r="I193" s="1">
        <v>46011</v>
      </c>
      <c r="J193" s="2" t="str">
        <f>TEXT(I193,"ddd")</f>
        <v>sáb</v>
      </c>
      <c r="K193" s="8">
        <v>0.45833333333333331</v>
      </c>
      <c r="L193" t="s">
        <v>4</v>
      </c>
      <c r="M193" t="s">
        <v>4</v>
      </c>
      <c r="O193" t="str">
        <f t="shared" si="39"/>
        <v>✅ CUBIERTO</v>
      </c>
    </row>
    <row r="194" spans="1:15" x14ac:dyDescent="0.3">
      <c r="A194" s="1">
        <v>45981</v>
      </c>
      <c r="B194" s="2" t="str">
        <f t="shared" ref="B194:B201" si="48">TEXT(A194,"ddd")</f>
        <v>jue</v>
      </c>
      <c r="C194" s="8">
        <v>0.5</v>
      </c>
      <c r="D194" t="s">
        <v>4</v>
      </c>
      <c r="E194" t="s">
        <v>4</v>
      </c>
      <c r="G194" t="str">
        <f t="shared" si="38"/>
        <v>✅ CUBIERTO</v>
      </c>
      <c r="I194" s="1">
        <v>46011</v>
      </c>
      <c r="J194" s="2" t="str">
        <f t="shared" ref="J194:J201" si="49">TEXT(I194,"ddd")</f>
        <v>sáb</v>
      </c>
      <c r="K194" s="8">
        <v>0.5</v>
      </c>
      <c r="L194" t="s">
        <v>4</v>
      </c>
      <c r="M194" t="s">
        <v>4</v>
      </c>
      <c r="O194" t="str">
        <f t="shared" si="39"/>
        <v>✅ CUBIERTO</v>
      </c>
    </row>
    <row r="195" spans="1:15" x14ac:dyDescent="0.3">
      <c r="A195" s="1">
        <v>45981</v>
      </c>
      <c r="B195" s="2" t="str">
        <f t="shared" si="48"/>
        <v>jue</v>
      </c>
      <c r="C195" s="8">
        <v>0.54166666666666696</v>
      </c>
      <c r="D195" t="s">
        <v>4</v>
      </c>
      <c r="E195" t="s">
        <v>4</v>
      </c>
      <c r="G195" t="str">
        <f t="shared" si="38"/>
        <v>✅ CUBIERTO</v>
      </c>
      <c r="I195" s="1">
        <v>46011</v>
      </c>
      <c r="J195" s="2" t="str">
        <f t="shared" si="49"/>
        <v>sáb</v>
      </c>
      <c r="K195" s="8">
        <v>0.54166666666666696</v>
      </c>
      <c r="L195" t="s">
        <v>4</v>
      </c>
      <c r="M195" t="s">
        <v>4</v>
      </c>
      <c r="O195" t="str">
        <f t="shared" si="39"/>
        <v>✅ CUBIERTO</v>
      </c>
    </row>
    <row r="196" spans="1:15" x14ac:dyDescent="0.3">
      <c r="A196" s="1">
        <v>45981</v>
      </c>
      <c r="B196" s="2" t="str">
        <f t="shared" si="48"/>
        <v>jue</v>
      </c>
      <c r="C196" s="8">
        <v>0.58333333333333304</v>
      </c>
      <c r="D196" t="s">
        <v>4</v>
      </c>
      <c r="E196" t="s">
        <v>4</v>
      </c>
      <c r="G196" t="str">
        <f t="shared" si="38"/>
        <v>✅ CUBIERTO</v>
      </c>
      <c r="I196" s="1">
        <v>46011</v>
      </c>
      <c r="J196" s="2" t="str">
        <f t="shared" si="49"/>
        <v>sáb</v>
      </c>
      <c r="K196" s="8">
        <v>0.58333333333333304</v>
      </c>
      <c r="L196" t="s">
        <v>4</v>
      </c>
      <c r="M196" t="s">
        <v>4</v>
      </c>
      <c r="O196" t="str">
        <f t="shared" si="39"/>
        <v>✅ CUBIERTO</v>
      </c>
    </row>
    <row r="197" spans="1:15" x14ac:dyDescent="0.3">
      <c r="A197" s="1">
        <v>45981</v>
      </c>
      <c r="B197" s="2" t="str">
        <f t="shared" si="48"/>
        <v>jue</v>
      </c>
      <c r="C197" s="8">
        <v>0.625</v>
      </c>
      <c r="D197" t="s">
        <v>4</v>
      </c>
      <c r="E197" t="s">
        <v>4</v>
      </c>
      <c r="G197" t="str">
        <f t="shared" si="38"/>
        <v>✅ CUBIERTO</v>
      </c>
      <c r="I197" s="1">
        <v>46011</v>
      </c>
      <c r="J197" s="2" t="str">
        <f t="shared" si="49"/>
        <v>sáb</v>
      </c>
      <c r="K197" s="8">
        <v>0.625</v>
      </c>
      <c r="L197" t="s">
        <v>4</v>
      </c>
      <c r="M197" t="s">
        <v>4</v>
      </c>
      <c r="O197" t="str">
        <f t="shared" si="39"/>
        <v>✅ CUBIERTO</v>
      </c>
    </row>
    <row r="198" spans="1:15" x14ac:dyDescent="0.3">
      <c r="A198" s="1">
        <v>45981</v>
      </c>
      <c r="B198" s="2" t="str">
        <f t="shared" si="48"/>
        <v>jue</v>
      </c>
      <c r="C198" s="8">
        <v>0.66666666666666696</v>
      </c>
      <c r="D198" t="s">
        <v>4</v>
      </c>
      <c r="E198" t="s">
        <v>4</v>
      </c>
      <c r="G198" t="str">
        <f t="shared" si="38"/>
        <v>✅ CUBIERTO</v>
      </c>
      <c r="I198" s="1">
        <v>46011</v>
      </c>
      <c r="J198" s="2" t="str">
        <f t="shared" si="49"/>
        <v>sáb</v>
      </c>
      <c r="K198" s="8">
        <v>0.66666666666666696</v>
      </c>
      <c r="L198" t="s">
        <v>4</v>
      </c>
      <c r="M198" t="s">
        <v>4</v>
      </c>
      <c r="O198" t="str">
        <f t="shared" si="39"/>
        <v>✅ CUBIERTO</v>
      </c>
    </row>
    <row r="199" spans="1:15" x14ac:dyDescent="0.3">
      <c r="A199" s="1">
        <v>45981</v>
      </c>
      <c r="B199" s="2" t="str">
        <f t="shared" si="48"/>
        <v>jue</v>
      </c>
      <c r="C199" s="8">
        <v>0.70833333333333304</v>
      </c>
      <c r="D199" t="s">
        <v>4</v>
      </c>
      <c r="E199" t="s">
        <v>4</v>
      </c>
      <c r="G199" t="str">
        <f t="shared" si="38"/>
        <v>✅ CUBIERTO</v>
      </c>
      <c r="I199" s="1">
        <v>46011</v>
      </c>
      <c r="J199" s="2" t="str">
        <f t="shared" si="49"/>
        <v>sáb</v>
      </c>
      <c r="K199" s="8">
        <v>0.70833333333333304</v>
      </c>
      <c r="L199" t="s">
        <v>4</v>
      </c>
      <c r="M199" t="s">
        <v>4</v>
      </c>
      <c r="O199" t="str">
        <f t="shared" si="39"/>
        <v>✅ CUBIERTO</v>
      </c>
    </row>
    <row r="200" spans="1:15" x14ac:dyDescent="0.3">
      <c r="A200" s="1">
        <v>45981</v>
      </c>
      <c r="B200" s="2" t="str">
        <f t="shared" si="48"/>
        <v>jue</v>
      </c>
      <c r="C200" s="8">
        <v>0.75</v>
      </c>
      <c r="D200" t="s">
        <v>4</v>
      </c>
      <c r="E200" t="s">
        <v>4</v>
      </c>
      <c r="G200" t="str">
        <f t="shared" si="38"/>
        <v>✅ CUBIERTO</v>
      </c>
      <c r="I200" s="1">
        <v>46011</v>
      </c>
      <c r="J200" s="2" t="str">
        <f t="shared" si="49"/>
        <v>sáb</v>
      </c>
      <c r="K200" s="8">
        <v>0.75</v>
      </c>
      <c r="L200" t="s">
        <v>4</v>
      </c>
      <c r="M200" t="s">
        <v>4</v>
      </c>
      <c r="O200" t="str">
        <f t="shared" si="39"/>
        <v>✅ CUBIERTO</v>
      </c>
    </row>
    <row r="201" spans="1:15" x14ac:dyDescent="0.3">
      <c r="A201" s="1">
        <v>45981</v>
      </c>
      <c r="B201" s="2" t="str">
        <f t="shared" si="48"/>
        <v>jue</v>
      </c>
      <c r="C201" s="8">
        <v>0.79166666666666696</v>
      </c>
      <c r="D201" t="s">
        <v>4</v>
      </c>
      <c r="E201" t="s">
        <v>4</v>
      </c>
      <c r="G201" t="str">
        <f t="shared" si="38"/>
        <v>✅ CUBIERTO</v>
      </c>
      <c r="I201" s="1">
        <v>46011</v>
      </c>
      <c r="J201" s="2" t="str">
        <f t="shared" si="49"/>
        <v>sáb</v>
      </c>
      <c r="K201" s="8">
        <v>0.79166666666666696</v>
      </c>
      <c r="L201" t="s">
        <v>4</v>
      </c>
      <c r="M201" t="s">
        <v>4</v>
      </c>
      <c r="O201" t="str">
        <f t="shared" si="39"/>
        <v>✅ CUBIERTO</v>
      </c>
    </row>
    <row r="202" spans="1:15" x14ac:dyDescent="0.3">
      <c r="A202" s="1">
        <v>45982</v>
      </c>
      <c r="B202" s="2" t="str">
        <f>TEXT(A202,"ddd")</f>
        <v>vie</v>
      </c>
      <c r="C202" s="8">
        <v>0.45833333333333331</v>
      </c>
      <c r="D202" t="s">
        <v>4</v>
      </c>
      <c r="E202" t="s">
        <v>4</v>
      </c>
      <c r="G202" t="str">
        <f t="shared" si="38"/>
        <v>✅ CUBIERTO</v>
      </c>
      <c r="I202" s="1">
        <v>46012</v>
      </c>
      <c r="J202" s="2" t="str">
        <f>TEXT(I202,"ddd")</f>
        <v>dom</v>
      </c>
      <c r="K202" s="8">
        <v>0.45833333333333331</v>
      </c>
      <c r="L202" t="s">
        <v>4</v>
      </c>
      <c r="M202" t="s">
        <v>4</v>
      </c>
      <c r="O202" t="str">
        <f t="shared" si="39"/>
        <v>✅ CUBIERTO</v>
      </c>
    </row>
    <row r="203" spans="1:15" x14ac:dyDescent="0.3">
      <c r="A203" s="1">
        <v>45982</v>
      </c>
      <c r="B203" s="2" t="str">
        <f t="shared" ref="B203:B210" si="50">TEXT(A203,"ddd")</f>
        <v>vie</v>
      </c>
      <c r="C203" s="8">
        <v>0.5</v>
      </c>
      <c r="D203" t="s">
        <v>4</v>
      </c>
      <c r="E203" t="s">
        <v>4</v>
      </c>
      <c r="G203" t="str">
        <f t="shared" si="38"/>
        <v>✅ CUBIERTO</v>
      </c>
      <c r="I203" s="1">
        <v>46012</v>
      </c>
      <c r="J203" s="2" t="str">
        <f t="shared" ref="J203:J210" si="51">TEXT(I203,"ddd")</f>
        <v>dom</v>
      </c>
      <c r="K203" s="8">
        <v>0.5</v>
      </c>
      <c r="L203" t="s">
        <v>4</v>
      </c>
      <c r="M203" t="s">
        <v>4</v>
      </c>
      <c r="O203" t="str">
        <f t="shared" si="39"/>
        <v>✅ CUBIERTO</v>
      </c>
    </row>
    <row r="204" spans="1:15" x14ac:dyDescent="0.3">
      <c r="A204" s="1">
        <v>45982</v>
      </c>
      <c r="B204" s="2" t="str">
        <f t="shared" si="50"/>
        <v>vie</v>
      </c>
      <c r="C204" s="8">
        <v>0.54166666666666696</v>
      </c>
      <c r="D204" t="s">
        <v>4</v>
      </c>
      <c r="E204" t="s">
        <v>4</v>
      </c>
      <c r="G204" t="str">
        <f t="shared" si="38"/>
        <v>✅ CUBIERTO</v>
      </c>
      <c r="I204" s="1">
        <v>46012</v>
      </c>
      <c r="J204" s="2" t="str">
        <f t="shared" si="51"/>
        <v>dom</v>
      </c>
      <c r="K204" s="8">
        <v>0.54166666666666696</v>
      </c>
      <c r="L204" t="s">
        <v>4</v>
      </c>
      <c r="M204" t="s">
        <v>4</v>
      </c>
      <c r="O204" t="str">
        <f t="shared" si="39"/>
        <v>✅ CUBIERTO</v>
      </c>
    </row>
    <row r="205" spans="1:15" x14ac:dyDescent="0.3">
      <c r="A205" s="1">
        <v>45982</v>
      </c>
      <c r="B205" s="2" t="str">
        <f t="shared" si="50"/>
        <v>vie</v>
      </c>
      <c r="C205" s="8">
        <v>0.58333333333333304</v>
      </c>
      <c r="D205" t="s">
        <v>4</v>
      </c>
      <c r="E205" t="s">
        <v>4</v>
      </c>
      <c r="G205" t="str">
        <f t="shared" si="38"/>
        <v>✅ CUBIERTO</v>
      </c>
      <c r="I205" s="1">
        <v>46012</v>
      </c>
      <c r="J205" s="2" t="str">
        <f t="shared" si="51"/>
        <v>dom</v>
      </c>
      <c r="K205" s="8">
        <v>0.58333333333333304</v>
      </c>
      <c r="L205" t="s">
        <v>4</v>
      </c>
      <c r="M205" t="s">
        <v>4</v>
      </c>
      <c r="O205" t="str">
        <f t="shared" si="39"/>
        <v>✅ CUBIERTO</v>
      </c>
    </row>
    <row r="206" spans="1:15" x14ac:dyDescent="0.3">
      <c r="A206" s="1">
        <v>45982</v>
      </c>
      <c r="B206" s="2" t="str">
        <f t="shared" si="50"/>
        <v>vie</v>
      </c>
      <c r="C206" s="8">
        <v>0.625</v>
      </c>
      <c r="D206" t="s">
        <v>4</v>
      </c>
      <c r="E206" t="s">
        <v>4</v>
      </c>
      <c r="G206" t="str">
        <f t="shared" si="38"/>
        <v>✅ CUBIERTO</v>
      </c>
      <c r="I206" s="1">
        <v>46012</v>
      </c>
      <c r="J206" s="2" t="str">
        <f t="shared" si="51"/>
        <v>dom</v>
      </c>
      <c r="K206" s="8">
        <v>0.625</v>
      </c>
      <c r="L206" t="s">
        <v>4</v>
      </c>
      <c r="M206" t="s">
        <v>4</v>
      </c>
      <c r="O206" t="str">
        <f t="shared" si="39"/>
        <v>✅ CUBIERTO</v>
      </c>
    </row>
    <row r="207" spans="1:15" x14ac:dyDescent="0.3">
      <c r="A207" s="1">
        <v>45982</v>
      </c>
      <c r="B207" s="2" t="str">
        <f t="shared" si="50"/>
        <v>vie</v>
      </c>
      <c r="C207" s="8">
        <v>0.66666666666666696</v>
      </c>
      <c r="D207" t="s">
        <v>4</v>
      </c>
      <c r="E207" t="s">
        <v>4</v>
      </c>
      <c r="G207" t="str">
        <f t="shared" si="38"/>
        <v>✅ CUBIERTO</v>
      </c>
      <c r="I207" s="1">
        <v>46012</v>
      </c>
      <c r="J207" s="2" t="str">
        <f t="shared" si="51"/>
        <v>dom</v>
      </c>
      <c r="K207" s="8">
        <v>0.66666666666666696</v>
      </c>
      <c r="L207" t="s">
        <v>4</v>
      </c>
      <c r="M207" t="s">
        <v>4</v>
      </c>
      <c r="O207" t="str">
        <f t="shared" si="39"/>
        <v>✅ CUBIERTO</v>
      </c>
    </row>
    <row r="208" spans="1:15" x14ac:dyDescent="0.3">
      <c r="A208" s="1">
        <v>45982</v>
      </c>
      <c r="B208" s="2" t="str">
        <f t="shared" si="50"/>
        <v>vie</v>
      </c>
      <c r="C208" s="8">
        <v>0.70833333333333304</v>
      </c>
      <c r="D208" t="s">
        <v>4</v>
      </c>
      <c r="E208" t="s">
        <v>4</v>
      </c>
      <c r="G208" t="str">
        <f t="shared" si="38"/>
        <v>✅ CUBIERTO</v>
      </c>
      <c r="I208" s="1">
        <v>46012</v>
      </c>
      <c r="J208" s="2" t="str">
        <f t="shared" si="51"/>
        <v>dom</v>
      </c>
      <c r="K208" s="8">
        <v>0.70833333333333304</v>
      </c>
      <c r="L208" t="s">
        <v>4</v>
      </c>
      <c r="M208" t="s">
        <v>4</v>
      </c>
      <c r="O208" t="str">
        <f t="shared" si="39"/>
        <v>✅ CUBIERTO</v>
      </c>
    </row>
    <row r="209" spans="1:15" x14ac:dyDescent="0.3">
      <c r="A209" s="1">
        <v>45982</v>
      </c>
      <c r="B209" s="2" t="str">
        <f t="shared" si="50"/>
        <v>vie</v>
      </c>
      <c r="C209" s="8">
        <v>0.75</v>
      </c>
      <c r="D209" t="s">
        <v>4</v>
      </c>
      <c r="E209" t="s">
        <v>4</v>
      </c>
      <c r="G209" t="str">
        <f t="shared" si="38"/>
        <v>✅ CUBIERTO</v>
      </c>
      <c r="I209" s="1">
        <v>46012</v>
      </c>
      <c r="J209" s="2" t="str">
        <f t="shared" si="51"/>
        <v>dom</v>
      </c>
      <c r="K209" s="8">
        <v>0.75</v>
      </c>
      <c r="L209" t="s">
        <v>4</v>
      </c>
      <c r="M209" t="s">
        <v>4</v>
      </c>
      <c r="O209" t="str">
        <f t="shared" si="39"/>
        <v>✅ CUBIERTO</v>
      </c>
    </row>
    <row r="210" spans="1:15" x14ac:dyDescent="0.3">
      <c r="A210" s="1">
        <v>45982</v>
      </c>
      <c r="B210" s="2" t="str">
        <f t="shared" si="50"/>
        <v>vie</v>
      </c>
      <c r="C210" s="8">
        <v>0.79166666666666696</v>
      </c>
      <c r="D210" t="s">
        <v>4</v>
      </c>
      <c r="E210" t="s">
        <v>4</v>
      </c>
      <c r="G210" t="str">
        <f t="shared" si="38"/>
        <v>✅ CUBIERTO</v>
      </c>
      <c r="I210" s="1">
        <v>46012</v>
      </c>
      <c r="J210" s="2" t="str">
        <f t="shared" si="51"/>
        <v>dom</v>
      </c>
      <c r="K210" s="8">
        <v>0.79166666666666696</v>
      </c>
      <c r="L210" t="s">
        <v>4</v>
      </c>
      <c r="M210" t="s">
        <v>4</v>
      </c>
      <c r="O210" t="str">
        <f t="shared" si="39"/>
        <v>✅ CUBIERTO</v>
      </c>
    </row>
    <row r="211" spans="1:15" x14ac:dyDescent="0.3">
      <c r="A211" s="1">
        <v>45983</v>
      </c>
      <c r="B211" s="2" t="str">
        <f>TEXT(A211,"ddd")</f>
        <v>sáb</v>
      </c>
      <c r="C211" s="8">
        <v>0.45833333333333331</v>
      </c>
      <c r="D211" t="s">
        <v>4</v>
      </c>
      <c r="E211" t="s">
        <v>4</v>
      </c>
      <c r="G211" t="str">
        <f t="shared" si="38"/>
        <v>✅ CUBIERTO</v>
      </c>
      <c r="I211" s="1">
        <v>46013</v>
      </c>
      <c r="J211" s="2" t="str">
        <f>TEXT(I211,"ddd")</f>
        <v>lun</v>
      </c>
      <c r="K211" s="8">
        <v>0.45833333333333331</v>
      </c>
      <c r="L211" t="s">
        <v>4</v>
      </c>
      <c r="M211" t="s">
        <v>4</v>
      </c>
      <c r="O211" t="str">
        <f t="shared" si="39"/>
        <v>✅ CUBIERTO</v>
      </c>
    </row>
    <row r="212" spans="1:15" x14ac:dyDescent="0.3">
      <c r="A212" s="1">
        <v>45983</v>
      </c>
      <c r="B212" s="2" t="str">
        <f t="shared" ref="B212:B220" si="52">TEXT(A212,"ddd")</f>
        <v>sáb</v>
      </c>
      <c r="C212" s="8">
        <v>0.5</v>
      </c>
      <c r="D212" t="s">
        <v>4</v>
      </c>
      <c r="E212" t="s">
        <v>4</v>
      </c>
      <c r="G212" t="str">
        <f t="shared" si="38"/>
        <v>✅ CUBIERTO</v>
      </c>
      <c r="I212" s="1">
        <v>46013</v>
      </c>
      <c r="J212" s="2" t="str">
        <f t="shared" ref="J212:J220" si="53">TEXT(I212,"ddd")</f>
        <v>lun</v>
      </c>
      <c r="K212" s="8">
        <v>0.5</v>
      </c>
      <c r="L212" t="s">
        <v>4</v>
      </c>
      <c r="M212" t="s">
        <v>4</v>
      </c>
      <c r="O212" t="str">
        <f t="shared" si="39"/>
        <v>✅ CUBIERTO</v>
      </c>
    </row>
    <row r="213" spans="1:15" x14ac:dyDescent="0.3">
      <c r="A213" s="1">
        <v>45983</v>
      </c>
      <c r="B213" s="2" t="str">
        <f t="shared" si="52"/>
        <v>sáb</v>
      </c>
      <c r="C213" s="8">
        <v>0.54166666666666696</v>
      </c>
      <c r="D213" t="s">
        <v>4</v>
      </c>
      <c r="E213" t="s">
        <v>4</v>
      </c>
      <c r="G213" t="str">
        <f t="shared" si="38"/>
        <v>✅ CUBIERTO</v>
      </c>
      <c r="I213" s="1">
        <v>46013</v>
      </c>
      <c r="J213" s="2" t="str">
        <f t="shared" si="53"/>
        <v>lun</v>
      </c>
      <c r="K213" s="8">
        <v>0.54166666666666696</v>
      </c>
      <c r="L213" t="s">
        <v>4</v>
      </c>
      <c r="M213" t="s">
        <v>4</v>
      </c>
      <c r="O213" t="str">
        <f t="shared" si="39"/>
        <v>✅ CUBIERTO</v>
      </c>
    </row>
    <row r="214" spans="1:15" x14ac:dyDescent="0.3">
      <c r="A214" s="1">
        <v>45983</v>
      </c>
      <c r="B214" s="2" t="str">
        <f t="shared" si="52"/>
        <v>sáb</v>
      </c>
      <c r="C214" s="8">
        <v>0.58333333333333304</v>
      </c>
      <c r="D214" t="s">
        <v>4</v>
      </c>
      <c r="E214" t="s">
        <v>4</v>
      </c>
      <c r="G214" t="str">
        <f t="shared" ref="G214:G277" si="54">IF(COUNTIF(D214:F214,"?*")=$D$4,"✅ CUBIERTO",
IF(COUNTIF(D214:F214,"?*")&gt;$D$4,"⚠ EXCESO",IF(COUNTIF(D214:F214,"?*")&gt;0,"⚠ FALTANTE",
"❌ SIN COMPLETAR")))</f>
        <v>✅ CUBIERTO</v>
      </c>
      <c r="I214" s="1">
        <v>46013</v>
      </c>
      <c r="J214" s="2" t="str">
        <f t="shared" si="53"/>
        <v>lun</v>
      </c>
      <c r="K214" s="8">
        <v>0.58333333333333304</v>
      </c>
      <c r="L214" t="s">
        <v>4</v>
      </c>
      <c r="M214" t="s">
        <v>4</v>
      </c>
      <c r="O214" t="str">
        <f t="shared" ref="O214:O277" si="55">IF(COUNTIF(L214:N214,"?*")&gt;=$L$4, "✅ CUBIERTO",
 IF(COUNTIF(L214:N214,"?*")&gt;0, "⚠ FALTANTE",
 "❌ SIN COMPLETAR"))</f>
        <v>✅ CUBIERTO</v>
      </c>
    </row>
    <row r="215" spans="1:15" x14ac:dyDescent="0.3">
      <c r="A215" s="1">
        <v>45983</v>
      </c>
      <c r="B215" s="2" t="str">
        <f t="shared" si="52"/>
        <v>sáb</v>
      </c>
      <c r="C215" s="8">
        <v>0.625</v>
      </c>
      <c r="D215" t="s">
        <v>4</v>
      </c>
      <c r="E215" t="s">
        <v>4</v>
      </c>
      <c r="G215" t="str">
        <f t="shared" si="54"/>
        <v>✅ CUBIERTO</v>
      </c>
      <c r="I215" s="1">
        <v>46013</v>
      </c>
      <c r="J215" s="2" t="str">
        <f t="shared" si="53"/>
        <v>lun</v>
      </c>
      <c r="K215" s="8">
        <v>0.625</v>
      </c>
      <c r="L215" t="s">
        <v>4</v>
      </c>
      <c r="M215" t="s">
        <v>4</v>
      </c>
      <c r="O215" t="str">
        <f t="shared" si="55"/>
        <v>✅ CUBIERTO</v>
      </c>
    </row>
    <row r="216" spans="1:15" x14ac:dyDescent="0.3">
      <c r="A216" s="1">
        <v>45983</v>
      </c>
      <c r="B216" s="2" t="str">
        <f t="shared" si="52"/>
        <v>sáb</v>
      </c>
      <c r="C216" s="8">
        <v>0.66666666666666696</v>
      </c>
      <c r="D216" t="s">
        <v>4</v>
      </c>
      <c r="E216" t="s">
        <v>4</v>
      </c>
      <c r="G216" t="str">
        <f t="shared" si="54"/>
        <v>✅ CUBIERTO</v>
      </c>
      <c r="I216" s="1">
        <v>46013</v>
      </c>
      <c r="J216" s="2" t="str">
        <f t="shared" si="53"/>
        <v>lun</v>
      </c>
      <c r="K216" s="8">
        <v>0.66666666666666696</v>
      </c>
      <c r="L216" t="s">
        <v>4</v>
      </c>
      <c r="M216" t="s">
        <v>4</v>
      </c>
      <c r="O216" t="str">
        <f t="shared" si="55"/>
        <v>✅ CUBIERTO</v>
      </c>
    </row>
    <row r="217" spans="1:15" x14ac:dyDescent="0.3">
      <c r="A217" s="1">
        <v>45983</v>
      </c>
      <c r="B217" s="2" t="str">
        <f t="shared" si="52"/>
        <v>sáb</v>
      </c>
      <c r="C217" s="8">
        <v>0.70833333333333304</v>
      </c>
      <c r="D217" t="s">
        <v>4</v>
      </c>
      <c r="E217" t="s">
        <v>4</v>
      </c>
      <c r="G217" t="str">
        <f t="shared" si="54"/>
        <v>✅ CUBIERTO</v>
      </c>
      <c r="I217" s="1">
        <v>46013</v>
      </c>
      <c r="J217" s="2" t="str">
        <f t="shared" si="53"/>
        <v>lun</v>
      </c>
      <c r="K217" s="8">
        <v>0.70833333333333304</v>
      </c>
      <c r="L217" t="s">
        <v>4</v>
      </c>
      <c r="M217" t="s">
        <v>4</v>
      </c>
      <c r="O217" t="str">
        <f t="shared" si="55"/>
        <v>✅ CUBIERTO</v>
      </c>
    </row>
    <row r="218" spans="1:15" x14ac:dyDescent="0.3">
      <c r="A218" s="1">
        <v>45983</v>
      </c>
      <c r="B218" s="2" t="str">
        <f t="shared" si="52"/>
        <v>sáb</v>
      </c>
      <c r="C218" s="8">
        <v>0.75</v>
      </c>
      <c r="D218" t="s">
        <v>4</v>
      </c>
      <c r="E218" t="s">
        <v>4</v>
      </c>
      <c r="G218" t="str">
        <f t="shared" si="54"/>
        <v>✅ CUBIERTO</v>
      </c>
      <c r="I218" s="1">
        <v>46013</v>
      </c>
      <c r="J218" s="2" t="str">
        <f t="shared" si="53"/>
        <v>lun</v>
      </c>
      <c r="K218" s="8">
        <v>0.75</v>
      </c>
      <c r="L218" t="s">
        <v>4</v>
      </c>
      <c r="M218" t="s">
        <v>4</v>
      </c>
      <c r="O218" t="str">
        <f t="shared" si="55"/>
        <v>✅ CUBIERTO</v>
      </c>
    </row>
    <row r="219" spans="1:15" x14ac:dyDescent="0.3">
      <c r="A219" s="1">
        <v>45983</v>
      </c>
      <c r="B219" s="2" t="str">
        <f t="shared" si="52"/>
        <v>sáb</v>
      </c>
      <c r="C219" s="8">
        <v>0.79166666666666696</v>
      </c>
      <c r="D219" t="s">
        <v>4</v>
      </c>
      <c r="E219" t="s">
        <v>4</v>
      </c>
      <c r="G219" t="str">
        <f t="shared" si="54"/>
        <v>✅ CUBIERTO</v>
      </c>
      <c r="I219" s="1">
        <v>46013</v>
      </c>
      <c r="J219" s="2" t="str">
        <f t="shared" si="53"/>
        <v>lun</v>
      </c>
      <c r="K219" s="8">
        <v>0.79166666666666696</v>
      </c>
      <c r="L219" t="s">
        <v>4</v>
      </c>
      <c r="M219" t="s">
        <v>4</v>
      </c>
      <c r="O219" t="str">
        <f t="shared" si="55"/>
        <v>✅ CUBIERTO</v>
      </c>
    </row>
    <row r="220" spans="1:15" x14ac:dyDescent="0.3">
      <c r="A220" s="1">
        <v>45984</v>
      </c>
      <c r="B220" s="2" t="str">
        <f t="shared" si="52"/>
        <v>dom</v>
      </c>
      <c r="C220" s="8">
        <v>0.45833333333333331</v>
      </c>
      <c r="D220" t="s">
        <v>4</v>
      </c>
      <c r="E220" t="s">
        <v>4</v>
      </c>
      <c r="G220" t="str">
        <f t="shared" si="54"/>
        <v>✅ CUBIERTO</v>
      </c>
      <c r="I220" s="1">
        <v>46014</v>
      </c>
      <c r="J220" s="2" t="str">
        <f t="shared" si="53"/>
        <v>mar</v>
      </c>
      <c r="K220" s="8">
        <v>0.45833333333333331</v>
      </c>
      <c r="L220" t="s">
        <v>4</v>
      </c>
      <c r="M220" t="s">
        <v>4</v>
      </c>
      <c r="O220" t="str">
        <f t="shared" si="55"/>
        <v>✅ CUBIERTO</v>
      </c>
    </row>
    <row r="221" spans="1:15" x14ac:dyDescent="0.3">
      <c r="A221" s="1">
        <v>45984</v>
      </c>
      <c r="B221" s="2" t="str">
        <f>TEXT(A221,"ddd")</f>
        <v>dom</v>
      </c>
      <c r="C221" s="8">
        <v>0.5</v>
      </c>
      <c r="D221" t="s">
        <v>4</v>
      </c>
      <c r="E221" t="s">
        <v>4</v>
      </c>
      <c r="G221" t="str">
        <f t="shared" si="54"/>
        <v>✅ CUBIERTO</v>
      </c>
      <c r="I221" s="1">
        <v>46014</v>
      </c>
      <c r="J221" s="2" t="str">
        <f>TEXT(I221,"ddd")</f>
        <v>mar</v>
      </c>
      <c r="K221" s="8">
        <v>0.5</v>
      </c>
      <c r="L221" t="s">
        <v>4</v>
      </c>
      <c r="M221" t="s">
        <v>4</v>
      </c>
      <c r="O221" t="str">
        <f t="shared" si="55"/>
        <v>✅ CUBIERTO</v>
      </c>
    </row>
    <row r="222" spans="1:15" x14ac:dyDescent="0.3">
      <c r="A222" s="1">
        <v>45984</v>
      </c>
      <c r="B222" s="2" t="str">
        <f t="shared" ref="B222:B228" si="56">TEXT(A222,"ddd")</f>
        <v>dom</v>
      </c>
      <c r="C222" s="8">
        <v>0.54166666666666696</v>
      </c>
      <c r="D222" t="s">
        <v>4</v>
      </c>
      <c r="E222" t="s">
        <v>4</v>
      </c>
      <c r="G222" t="str">
        <f t="shared" si="54"/>
        <v>✅ CUBIERTO</v>
      </c>
      <c r="I222" s="1">
        <v>46014</v>
      </c>
      <c r="J222" s="2" t="str">
        <f t="shared" ref="J222:J228" si="57">TEXT(I222,"ddd")</f>
        <v>mar</v>
      </c>
      <c r="K222" s="8">
        <v>0.54166666666666696</v>
      </c>
      <c r="L222" t="s">
        <v>4</v>
      </c>
      <c r="M222" t="s">
        <v>4</v>
      </c>
      <c r="O222" t="str">
        <f t="shared" si="55"/>
        <v>✅ CUBIERTO</v>
      </c>
    </row>
    <row r="223" spans="1:15" x14ac:dyDescent="0.3">
      <c r="A223" s="1">
        <v>45984</v>
      </c>
      <c r="B223" s="2" t="str">
        <f t="shared" si="56"/>
        <v>dom</v>
      </c>
      <c r="C223" s="8">
        <v>0.58333333333333304</v>
      </c>
      <c r="D223" t="s">
        <v>4</v>
      </c>
      <c r="E223" t="s">
        <v>4</v>
      </c>
      <c r="G223" t="str">
        <f t="shared" si="54"/>
        <v>✅ CUBIERTO</v>
      </c>
      <c r="I223" s="1">
        <v>46014</v>
      </c>
      <c r="J223" s="2" t="str">
        <f t="shared" si="57"/>
        <v>mar</v>
      </c>
      <c r="K223" s="8">
        <v>0.58333333333333304</v>
      </c>
      <c r="L223" t="s">
        <v>4</v>
      </c>
      <c r="M223" t="s">
        <v>4</v>
      </c>
      <c r="O223" t="str">
        <f t="shared" si="55"/>
        <v>✅ CUBIERTO</v>
      </c>
    </row>
    <row r="224" spans="1:15" x14ac:dyDescent="0.3">
      <c r="A224" s="1">
        <v>45984</v>
      </c>
      <c r="B224" s="2" t="str">
        <f t="shared" si="56"/>
        <v>dom</v>
      </c>
      <c r="C224" s="8">
        <v>0.625</v>
      </c>
      <c r="D224" t="s">
        <v>4</v>
      </c>
      <c r="E224" t="s">
        <v>4</v>
      </c>
      <c r="G224" t="str">
        <f t="shared" si="54"/>
        <v>✅ CUBIERTO</v>
      </c>
      <c r="I224" s="1">
        <v>46014</v>
      </c>
      <c r="J224" s="2" t="str">
        <f t="shared" si="57"/>
        <v>mar</v>
      </c>
      <c r="K224" s="8">
        <v>0.625</v>
      </c>
      <c r="L224" t="s">
        <v>4</v>
      </c>
      <c r="M224" t="s">
        <v>4</v>
      </c>
      <c r="O224" t="str">
        <f t="shared" si="55"/>
        <v>✅ CUBIERTO</v>
      </c>
    </row>
    <row r="225" spans="1:15" x14ac:dyDescent="0.3">
      <c r="A225" s="1">
        <v>45984</v>
      </c>
      <c r="B225" s="2" t="str">
        <f t="shared" si="56"/>
        <v>dom</v>
      </c>
      <c r="C225" s="8">
        <v>0.66666666666666696</v>
      </c>
      <c r="D225" t="s">
        <v>4</v>
      </c>
      <c r="E225" t="s">
        <v>4</v>
      </c>
      <c r="G225" t="str">
        <f t="shared" si="54"/>
        <v>✅ CUBIERTO</v>
      </c>
      <c r="I225" s="1">
        <v>46014</v>
      </c>
      <c r="J225" s="2" t="str">
        <f t="shared" si="57"/>
        <v>mar</v>
      </c>
      <c r="K225" s="8">
        <v>0.66666666666666696</v>
      </c>
      <c r="L225" t="s">
        <v>4</v>
      </c>
      <c r="M225" t="s">
        <v>4</v>
      </c>
      <c r="O225" t="str">
        <f t="shared" si="55"/>
        <v>✅ CUBIERTO</v>
      </c>
    </row>
    <row r="226" spans="1:15" x14ac:dyDescent="0.3">
      <c r="A226" s="1">
        <v>45984</v>
      </c>
      <c r="B226" s="2" t="str">
        <f t="shared" si="56"/>
        <v>dom</v>
      </c>
      <c r="C226" s="8">
        <v>0.70833333333333304</v>
      </c>
      <c r="D226" t="s">
        <v>4</v>
      </c>
      <c r="E226" t="s">
        <v>4</v>
      </c>
      <c r="G226" t="str">
        <f t="shared" si="54"/>
        <v>✅ CUBIERTO</v>
      </c>
      <c r="I226" s="1">
        <v>46014</v>
      </c>
      <c r="J226" s="2" t="str">
        <f t="shared" si="57"/>
        <v>mar</v>
      </c>
      <c r="K226" s="8">
        <v>0.70833333333333304</v>
      </c>
      <c r="L226" t="s">
        <v>4</v>
      </c>
      <c r="M226" t="s">
        <v>4</v>
      </c>
      <c r="O226" t="str">
        <f t="shared" si="55"/>
        <v>✅ CUBIERTO</v>
      </c>
    </row>
    <row r="227" spans="1:15" x14ac:dyDescent="0.3">
      <c r="A227" s="1">
        <v>45984</v>
      </c>
      <c r="B227" s="2" t="str">
        <f t="shared" si="56"/>
        <v>dom</v>
      </c>
      <c r="C227" s="8">
        <v>0.75</v>
      </c>
      <c r="D227" t="s">
        <v>4</v>
      </c>
      <c r="E227" t="s">
        <v>4</v>
      </c>
      <c r="G227" t="str">
        <f t="shared" si="54"/>
        <v>✅ CUBIERTO</v>
      </c>
      <c r="I227" s="1">
        <v>46014</v>
      </c>
      <c r="J227" s="2" t="str">
        <f t="shared" si="57"/>
        <v>mar</v>
      </c>
      <c r="K227" s="8">
        <v>0.75</v>
      </c>
      <c r="L227" t="s">
        <v>4</v>
      </c>
      <c r="M227" t="s">
        <v>4</v>
      </c>
      <c r="O227" t="str">
        <f t="shared" si="55"/>
        <v>✅ CUBIERTO</v>
      </c>
    </row>
    <row r="228" spans="1:15" x14ac:dyDescent="0.3">
      <c r="A228" s="1">
        <v>45984</v>
      </c>
      <c r="B228" s="2" t="str">
        <f t="shared" si="56"/>
        <v>dom</v>
      </c>
      <c r="C228" s="8">
        <v>0.79166666666666696</v>
      </c>
      <c r="D228" t="s">
        <v>4</v>
      </c>
      <c r="E228" t="s">
        <v>4</v>
      </c>
      <c r="G228" t="str">
        <f t="shared" si="54"/>
        <v>✅ CUBIERTO</v>
      </c>
      <c r="I228" s="1">
        <v>46014</v>
      </c>
      <c r="J228" s="2" t="str">
        <f t="shared" si="57"/>
        <v>mar</v>
      </c>
      <c r="K228" s="8">
        <v>0.79166666666666696</v>
      </c>
      <c r="L228" t="s">
        <v>4</v>
      </c>
      <c r="M228" t="s">
        <v>4</v>
      </c>
      <c r="O228" t="str">
        <f t="shared" si="55"/>
        <v>✅ CUBIERTO</v>
      </c>
    </row>
    <row r="229" spans="1:15" x14ac:dyDescent="0.3">
      <c r="A229" s="33">
        <v>45985</v>
      </c>
      <c r="B229" s="34" t="str">
        <f>TEXT(A229,"ddd")</f>
        <v>lun</v>
      </c>
      <c r="C229" s="35">
        <v>0.45833333333333331</v>
      </c>
      <c r="D229" t="s">
        <v>4</v>
      </c>
      <c r="E229" t="s">
        <v>4</v>
      </c>
      <c r="G229" s="36" t="str">
        <f t="shared" si="54"/>
        <v>✅ CUBIERTO</v>
      </c>
      <c r="I229" s="1">
        <v>46015</v>
      </c>
      <c r="J229" s="2" t="str">
        <f>TEXT(I229,"ddd")</f>
        <v>mié</v>
      </c>
      <c r="K229" s="8">
        <v>0.45833333333333331</v>
      </c>
      <c r="L229" t="s">
        <v>4</v>
      </c>
      <c r="M229" t="s">
        <v>4</v>
      </c>
      <c r="O229" t="str">
        <f t="shared" si="55"/>
        <v>✅ CUBIERTO</v>
      </c>
    </row>
    <row r="230" spans="1:15" x14ac:dyDescent="0.3">
      <c r="A230" s="33">
        <v>45985</v>
      </c>
      <c r="B230" s="34" t="str">
        <f t="shared" ref="B230:B237" si="58">TEXT(A230,"ddd")</f>
        <v>lun</v>
      </c>
      <c r="C230" s="35">
        <v>0.5</v>
      </c>
      <c r="D230" t="s">
        <v>4</v>
      </c>
      <c r="E230" t="s">
        <v>4</v>
      </c>
      <c r="G230" s="36" t="str">
        <f t="shared" si="54"/>
        <v>✅ CUBIERTO</v>
      </c>
      <c r="I230" s="1">
        <v>46015</v>
      </c>
      <c r="J230" s="2" t="str">
        <f t="shared" ref="J230:J237" si="59">TEXT(I230,"ddd")</f>
        <v>mié</v>
      </c>
      <c r="K230" s="8">
        <v>0.5</v>
      </c>
      <c r="L230" t="s">
        <v>4</v>
      </c>
      <c r="M230" t="s">
        <v>4</v>
      </c>
      <c r="O230" t="str">
        <f t="shared" si="55"/>
        <v>✅ CUBIERTO</v>
      </c>
    </row>
    <row r="231" spans="1:15" x14ac:dyDescent="0.3">
      <c r="A231" s="33">
        <v>45985</v>
      </c>
      <c r="B231" s="34" t="str">
        <f t="shared" si="58"/>
        <v>lun</v>
      </c>
      <c r="C231" s="35">
        <v>0.54166666666666696</v>
      </c>
      <c r="D231" t="s">
        <v>4</v>
      </c>
      <c r="E231" t="s">
        <v>4</v>
      </c>
      <c r="G231" s="36" t="str">
        <f t="shared" si="54"/>
        <v>✅ CUBIERTO</v>
      </c>
      <c r="I231" s="1">
        <v>46015</v>
      </c>
      <c r="J231" s="2" t="str">
        <f t="shared" si="59"/>
        <v>mié</v>
      </c>
      <c r="K231" s="8">
        <v>0.54166666666666696</v>
      </c>
      <c r="L231" t="s">
        <v>4</v>
      </c>
      <c r="M231" t="s">
        <v>4</v>
      </c>
      <c r="O231" t="str">
        <f t="shared" si="55"/>
        <v>✅ CUBIERTO</v>
      </c>
    </row>
    <row r="232" spans="1:15" x14ac:dyDescent="0.3">
      <c r="A232" s="33">
        <v>45985</v>
      </c>
      <c r="B232" s="34" t="str">
        <f t="shared" si="58"/>
        <v>lun</v>
      </c>
      <c r="C232" s="35">
        <v>0.58333333333333304</v>
      </c>
      <c r="D232" t="s">
        <v>4</v>
      </c>
      <c r="E232" t="s">
        <v>4</v>
      </c>
      <c r="G232" s="36" t="str">
        <f t="shared" si="54"/>
        <v>✅ CUBIERTO</v>
      </c>
      <c r="I232" s="1">
        <v>46015</v>
      </c>
      <c r="J232" s="2" t="str">
        <f t="shared" si="59"/>
        <v>mié</v>
      </c>
      <c r="K232" s="8">
        <v>0.58333333333333304</v>
      </c>
      <c r="L232" t="s">
        <v>4</v>
      </c>
      <c r="M232" t="s">
        <v>4</v>
      </c>
      <c r="O232" t="str">
        <f t="shared" si="55"/>
        <v>✅ CUBIERTO</v>
      </c>
    </row>
    <row r="233" spans="1:15" x14ac:dyDescent="0.3">
      <c r="A233" s="33">
        <v>45985</v>
      </c>
      <c r="B233" s="34" t="str">
        <f t="shared" si="58"/>
        <v>lun</v>
      </c>
      <c r="C233" s="35">
        <v>0.625</v>
      </c>
      <c r="D233" t="s">
        <v>5</v>
      </c>
      <c r="E233" t="s">
        <v>7</v>
      </c>
      <c r="G233" s="36" t="str">
        <f t="shared" si="54"/>
        <v>✅ CUBIERTO</v>
      </c>
      <c r="I233" s="1">
        <v>46015</v>
      </c>
      <c r="J233" s="2" t="str">
        <f t="shared" si="59"/>
        <v>mié</v>
      </c>
      <c r="K233" s="8">
        <v>0.625</v>
      </c>
      <c r="L233" t="s">
        <v>4</v>
      </c>
      <c r="M233" t="s">
        <v>4</v>
      </c>
      <c r="O233" t="str">
        <f t="shared" si="55"/>
        <v>✅ CUBIERTO</v>
      </c>
    </row>
    <row r="234" spans="1:15" x14ac:dyDescent="0.3">
      <c r="A234" s="33">
        <v>45985</v>
      </c>
      <c r="B234" s="34" t="str">
        <f t="shared" si="58"/>
        <v>lun</v>
      </c>
      <c r="C234" s="35">
        <v>0.66666666666666696</v>
      </c>
      <c r="D234" t="s">
        <v>5</v>
      </c>
      <c r="E234" t="s">
        <v>7</v>
      </c>
      <c r="G234" s="36" t="str">
        <f t="shared" si="54"/>
        <v>✅ CUBIERTO</v>
      </c>
      <c r="I234" s="1">
        <v>46015</v>
      </c>
      <c r="J234" s="2" t="str">
        <f t="shared" si="59"/>
        <v>mié</v>
      </c>
      <c r="K234" s="8">
        <v>0.66666666666666696</v>
      </c>
      <c r="L234" t="s">
        <v>4</v>
      </c>
      <c r="M234" t="s">
        <v>4</v>
      </c>
      <c r="O234" t="str">
        <f t="shared" si="55"/>
        <v>✅ CUBIERTO</v>
      </c>
    </row>
    <row r="235" spans="1:15" x14ac:dyDescent="0.3">
      <c r="A235" s="33">
        <v>45985</v>
      </c>
      <c r="B235" s="34" t="str">
        <f t="shared" si="58"/>
        <v>lun</v>
      </c>
      <c r="C235" s="35">
        <v>0.70833333333333304</v>
      </c>
      <c r="D235" t="s">
        <v>5</v>
      </c>
      <c r="E235" t="s">
        <v>7</v>
      </c>
      <c r="G235" s="36" t="str">
        <f t="shared" si="54"/>
        <v>✅ CUBIERTO</v>
      </c>
      <c r="I235" s="1">
        <v>46015</v>
      </c>
      <c r="J235" s="2" t="str">
        <f t="shared" si="59"/>
        <v>mié</v>
      </c>
      <c r="K235" s="8">
        <v>0.70833333333333304</v>
      </c>
      <c r="L235" t="s">
        <v>4</v>
      </c>
      <c r="M235" t="s">
        <v>4</v>
      </c>
      <c r="O235" t="str">
        <f t="shared" si="55"/>
        <v>✅ CUBIERTO</v>
      </c>
    </row>
    <row r="236" spans="1:15" x14ac:dyDescent="0.3">
      <c r="A236" s="33">
        <v>45985</v>
      </c>
      <c r="B236" s="34" t="str">
        <f t="shared" si="58"/>
        <v>lun</v>
      </c>
      <c r="C236" s="35">
        <v>0.75</v>
      </c>
      <c r="D236" t="s">
        <v>5</v>
      </c>
      <c r="E236" t="s">
        <v>7</v>
      </c>
      <c r="G236" s="36" t="str">
        <f t="shared" si="54"/>
        <v>✅ CUBIERTO</v>
      </c>
      <c r="I236" s="1">
        <v>46015</v>
      </c>
      <c r="J236" s="2" t="str">
        <f t="shared" si="59"/>
        <v>mié</v>
      </c>
      <c r="K236" s="8">
        <v>0.75</v>
      </c>
      <c r="L236" t="s">
        <v>4</v>
      </c>
      <c r="M236" t="s">
        <v>4</v>
      </c>
      <c r="O236" t="str">
        <f t="shared" si="55"/>
        <v>✅ CUBIERTO</v>
      </c>
    </row>
    <row r="237" spans="1:15" x14ac:dyDescent="0.3">
      <c r="A237" s="33">
        <v>45985</v>
      </c>
      <c r="B237" s="34" t="str">
        <f t="shared" si="58"/>
        <v>lun</v>
      </c>
      <c r="C237" s="35">
        <v>0.79166666666666696</v>
      </c>
      <c r="D237" t="s">
        <v>5</v>
      </c>
      <c r="E237" t="s">
        <v>7</v>
      </c>
      <c r="G237" s="36" t="str">
        <f t="shared" si="54"/>
        <v>✅ CUBIERTO</v>
      </c>
      <c r="I237" s="1">
        <v>46015</v>
      </c>
      <c r="J237" s="2" t="str">
        <f t="shared" si="59"/>
        <v>mié</v>
      </c>
      <c r="K237" s="8">
        <v>0.79166666666666696</v>
      </c>
      <c r="L237" t="s">
        <v>4</v>
      </c>
      <c r="M237" t="s">
        <v>4</v>
      </c>
      <c r="O237" t="str">
        <f t="shared" si="55"/>
        <v>✅ CUBIERTO</v>
      </c>
    </row>
    <row r="238" spans="1:15" x14ac:dyDescent="0.3">
      <c r="A238" s="28">
        <v>45986</v>
      </c>
      <c r="B238" s="29" t="str">
        <f>TEXT(A238,"ddd")</f>
        <v>mar</v>
      </c>
      <c r="C238" s="30">
        <v>0.45833333333333331</v>
      </c>
      <c r="D238" t="s">
        <v>4</v>
      </c>
      <c r="E238" t="s">
        <v>4</v>
      </c>
      <c r="G238" t="str">
        <f t="shared" si="54"/>
        <v>✅ CUBIERTO</v>
      </c>
      <c r="I238" s="20">
        <v>46016</v>
      </c>
      <c r="J238" s="21" t="str">
        <f>TEXT(I238,"ddd")</f>
        <v>jue</v>
      </c>
      <c r="K238" s="22">
        <v>0.45833333333333331</v>
      </c>
      <c r="L238" s="23"/>
      <c r="M238" s="23"/>
      <c r="N238" s="23"/>
      <c r="O238" s="24" t="s">
        <v>28</v>
      </c>
    </row>
    <row r="239" spans="1:15" x14ac:dyDescent="0.3">
      <c r="A239" s="28">
        <v>45986</v>
      </c>
      <c r="B239" s="29" t="str">
        <f t="shared" ref="B239:B246" si="60">TEXT(A239,"ddd")</f>
        <v>mar</v>
      </c>
      <c r="C239" s="30">
        <v>0.5</v>
      </c>
      <c r="D239" t="s">
        <v>4</v>
      </c>
      <c r="E239" t="s">
        <v>4</v>
      </c>
      <c r="G239" t="str">
        <f t="shared" si="54"/>
        <v>✅ CUBIERTO</v>
      </c>
      <c r="I239" s="20">
        <v>46016</v>
      </c>
      <c r="J239" s="21" t="str">
        <f t="shared" ref="J239:J246" si="61">TEXT(I239,"ddd")</f>
        <v>jue</v>
      </c>
      <c r="K239" s="22">
        <v>0.5</v>
      </c>
      <c r="L239" s="23"/>
      <c r="M239" s="23"/>
      <c r="N239" s="23"/>
      <c r="O239" s="24" t="s">
        <v>28</v>
      </c>
    </row>
    <row r="240" spans="1:15" x14ac:dyDescent="0.3">
      <c r="A240" s="28">
        <v>45986</v>
      </c>
      <c r="B240" s="29" t="str">
        <f t="shared" si="60"/>
        <v>mar</v>
      </c>
      <c r="C240" s="30">
        <v>0.54166666666666696</v>
      </c>
      <c r="D240" t="s">
        <v>4</v>
      </c>
      <c r="E240" t="s">
        <v>4</v>
      </c>
      <c r="G240" t="str">
        <f t="shared" si="54"/>
        <v>✅ CUBIERTO</v>
      </c>
      <c r="I240" s="20">
        <v>46016</v>
      </c>
      <c r="J240" s="21" t="str">
        <f t="shared" si="61"/>
        <v>jue</v>
      </c>
      <c r="K240" s="22">
        <v>0.54166666666666696</v>
      </c>
      <c r="L240" s="23"/>
      <c r="M240" s="23"/>
      <c r="N240" s="23"/>
      <c r="O240" s="24" t="s">
        <v>28</v>
      </c>
    </row>
    <row r="241" spans="1:15" x14ac:dyDescent="0.3">
      <c r="A241" s="28">
        <v>45986</v>
      </c>
      <c r="B241" s="29" t="str">
        <f t="shared" si="60"/>
        <v>mar</v>
      </c>
      <c r="C241" s="30">
        <v>0.58333333333333304</v>
      </c>
      <c r="D241" t="s">
        <v>4</v>
      </c>
      <c r="E241" t="s">
        <v>4</v>
      </c>
      <c r="G241" t="str">
        <f t="shared" si="54"/>
        <v>✅ CUBIERTO</v>
      </c>
      <c r="I241" s="20">
        <v>46016</v>
      </c>
      <c r="J241" s="21" t="str">
        <f t="shared" si="61"/>
        <v>jue</v>
      </c>
      <c r="K241" s="22">
        <v>0.58333333333333304</v>
      </c>
      <c r="L241" s="23"/>
      <c r="M241" s="23"/>
      <c r="N241" s="23"/>
      <c r="O241" s="24" t="s">
        <v>28</v>
      </c>
    </row>
    <row r="242" spans="1:15" x14ac:dyDescent="0.3">
      <c r="A242" s="28">
        <v>45986</v>
      </c>
      <c r="B242" s="29" t="str">
        <f t="shared" si="60"/>
        <v>mar</v>
      </c>
      <c r="C242" s="30">
        <v>0.625</v>
      </c>
      <c r="D242" t="s">
        <v>4</v>
      </c>
      <c r="E242" t="s">
        <v>4</v>
      </c>
      <c r="G242" t="str">
        <f t="shared" si="54"/>
        <v>✅ CUBIERTO</v>
      </c>
      <c r="I242" s="20">
        <v>46016</v>
      </c>
      <c r="J242" s="21" t="str">
        <f t="shared" si="61"/>
        <v>jue</v>
      </c>
      <c r="K242" s="22">
        <v>0.625</v>
      </c>
      <c r="L242" s="23"/>
      <c r="M242" s="23"/>
      <c r="N242" s="23"/>
      <c r="O242" s="24" t="s">
        <v>28</v>
      </c>
    </row>
    <row r="243" spans="1:15" x14ac:dyDescent="0.3">
      <c r="A243" s="28">
        <v>45986</v>
      </c>
      <c r="B243" s="29" t="str">
        <f t="shared" si="60"/>
        <v>mar</v>
      </c>
      <c r="C243" s="30">
        <v>0.66666666666666696</v>
      </c>
      <c r="D243" t="s">
        <v>4</v>
      </c>
      <c r="E243" t="s">
        <v>4</v>
      </c>
      <c r="G243" t="str">
        <f t="shared" si="54"/>
        <v>✅ CUBIERTO</v>
      </c>
      <c r="I243" s="20">
        <v>46016</v>
      </c>
      <c r="J243" s="21" t="str">
        <f t="shared" si="61"/>
        <v>jue</v>
      </c>
      <c r="K243" s="22">
        <v>0.66666666666666696</v>
      </c>
      <c r="L243" s="23"/>
      <c r="M243" s="23"/>
      <c r="N243" s="23"/>
      <c r="O243" s="24" t="s">
        <v>28</v>
      </c>
    </row>
    <row r="244" spans="1:15" x14ac:dyDescent="0.3">
      <c r="A244" s="28">
        <v>45986</v>
      </c>
      <c r="B244" s="29" t="str">
        <f t="shared" si="60"/>
        <v>mar</v>
      </c>
      <c r="C244" s="30">
        <v>0.70833333333333304</v>
      </c>
      <c r="D244" t="s">
        <v>4</v>
      </c>
      <c r="E244" t="s">
        <v>4</v>
      </c>
      <c r="G244" t="str">
        <f t="shared" si="54"/>
        <v>✅ CUBIERTO</v>
      </c>
      <c r="I244" s="20">
        <v>46016</v>
      </c>
      <c r="J244" s="21" t="str">
        <f t="shared" si="61"/>
        <v>jue</v>
      </c>
      <c r="K244" s="22">
        <v>0.70833333333333304</v>
      </c>
      <c r="L244" s="23"/>
      <c r="M244" s="23"/>
      <c r="N244" s="23"/>
      <c r="O244" s="24" t="s">
        <v>28</v>
      </c>
    </row>
    <row r="245" spans="1:15" x14ac:dyDescent="0.3">
      <c r="A245" s="28">
        <v>45986</v>
      </c>
      <c r="B245" s="29" t="str">
        <f t="shared" si="60"/>
        <v>mar</v>
      </c>
      <c r="C245" s="30">
        <v>0.75</v>
      </c>
      <c r="D245" t="s">
        <v>4</v>
      </c>
      <c r="E245" t="s">
        <v>4</v>
      </c>
      <c r="G245" t="str">
        <f t="shared" si="54"/>
        <v>✅ CUBIERTO</v>
      </c>
      <c r="I245" s="20">
        <v>46016</v>
      </c>
      <c r="J245" s="21" t="str">
        <f t="shared" si="61"/>
        <v>jue</v>
      </c>
      <c r="K245" s="22">
        <v>0.75</v>
      </c>
      <c r="L245" s="23"/>
      <c r="M245" s="23"/>
      <c r="N245" s="23"/>
      <c r="O245" s="24" t="s">
        <v>28</v>
      </c>
    </row>
    <row r="246" spans="1:15" x14ac:dyDescent="0.3">
      <c r="A246" s="28">
        <v>45986</v>
      </c>
      <c r="B246" s="29" t="str">
        <f t="shared" si="60"/>
        <v>mar</v>
      </c>
      <c r="C246" s="30">
        <v>0.79166666666666696</v>
      </c>
      <c r="D246" t="s">
        <v>4</v>
      </c>
      <c r="E246" t="s">
        <v>4</v>
      </c>
      <c r="G246" t="str">
        <f t="shared" si="54"/>
        <v>✅ CUBIERTO</v>
      </c>
      <c r="I246" s="20">
        <v>46016</v>
      </c>
      <c r="J246" s="21" t="str">
        <f t="shared" si="61"/>
        <v>jue</v>
      </c>
      <c r="K246" s="22">
        <v>0.79166666666666696</v>
      </c>
      <c r="L246" s="23"/>
      <c r="M246" s="23"/>
      <c r="N246" s="23"/>
      <c r="O246" s="24" t="s">
        <v>28</v>
      </c>
    </row>
    <row r="247" spans="1:15" x14ac:dyDescent="0.3">
      <c r="A247" s="1">
        <v>45987</v>
      </c>
      <c r="B247" s="2" t="str">
        <f>TEXT(A247,"ddd")</f>
        <v>mié</v>
      </c>
      <c r="C247" s="8">
        <v>0.45833333333333331</v>
      </c>
      <c r="D247" t="s">
        <v>4</v>
      </c>
      <c r="E247" t="s">
        <v>4</v>
      </c>
      <c r="G247" t="str">
        <f t="shared" si="54"/>
        <v>✅ CUBIERTO</v>
      </c>
      <c r="I247" s="1">
        <v>46017</v>
      </c>
      <c r="J247" s="2" t="str">
        <f>TEXT(I247,"ddd")</f>
        <v>vie</v>
      </c>
      <c r="K247" s="8">
        <v>0.45833333333333331</v>
      </c>
      <c r="L247" t="s">
        <v>4</v>
      </c>
      <c r="M247" t="s">
        <v>4</v>
      </c>
      <c r="O247" t="str">
        <f t="shared" ref="O247:O278" si="62">IF(COUNTIF(L247:N247,"?*")&gt;=$L$4, "✅ CUBIERTO",
 IF(COUNTIF(L247:N247,"?*")&gt;0, "⚠ FALTANTE",
 "❌ SIN COMPLETAR"))</f>
        <v>✅ CUBIERTO</v>
      </c>
    </row>
    <row r="248" spans="1:15" x14ac:dyDescent="0.3">
      <c r="A248" s="1">
        <v>45987</v>
      </c>
      <c r="B248" s="2" t="str">
        <f t="shared" ref="B248:B255" si="63">TEXT(A248,"ddd")</f>
        <v>mié</v>
      </c>
      <c r="C248" s="8">
        <v>0.5</v>
      </c>
      <c r="D248" t="s">
        <v>4</v>
      </c>
      <c r="E248" t="s">
        <v>4</v>
      </c>
      <c r="G248" t="str">
        <f t="shared" si="54"/>
        <v>✅ CUBIERTO</v>
      </c>
      <c r="I248" s="1">
        <v>46017</v>
      </c>
      <c r="J248" s="2" t="str">
        <f t="shared" ref="J248:J255" si="64">TEXT(I248,"ddd")</f>
        <v>vie</v>
      </c>
      <c r="K248" s="8">
        <v>0.5</v>
      </c>
      <c r="L248" t="s">
        <v>4</v>
      </c>
      <c r="M248" t="s">
        <v>4</v>
      </c>
      <c r="O248" t="str">
        <f t="shared" si="62"/>
        <v>✅ CUBIERTO</v>
      </c>
    </row>
    <row r="249" spans="1:15" x14ac:dyDescent="0.3">
      <c r="A249" s="1">
        <v>45987</v>
      </c>
      <c r="B249" s="2" t="str">
        <f t="shared" si="63"/>
        <v>mié</v>
      </c>
      <c r="C249" s="8">
        <v>0.54166666666666696</v>
      </c>
      <c r="D249" t="s">
        <v>4</v>
      </c>
      <c r="E249" t="s">
        <v>4</v>
      </c>
      <c r="G249" t="str">
        <f t="shared" si="54"/>
        <v>✅ CUBIERTO</v>
      </c>
      <c r="I249" s="1">
        <v>46017</v>
      </c>
      <c r="J249" s="2" t="str">
        <f t="shared" si="64"/>
        <v>vie</v>
      </c>
      <c r="K249" s="8">
        <v>0.54166666666666696</v>
      </c>
      <c r="L249" t="s">
        <v>4</v>
      </c>
      <c r="M249" t="s">
        <v>4</v>
      </c>
      <c r="O249" t="str">
        <f t="shared" si="62"/>
        <v>✅ CUBIERTO</v>
      </c>
    </row>
    <row r="250" spans="1:15" x14ac:dyDescent="0.3">
      <c r="A250" s="1">
        <v>45987</v>
      </c>
      <c r="B250" s="2" t="str">
        <f t="shared" si="63"/>
        <v>mié</v>
      </c>
      <c r="C250" s="8">
        <v>0.58333333333333304</v>
      </c>
      <c r="D250" t="s">
        <v>4</v>
      </c>
      <c r="E250" t="s">
        <v>4</v>
      </c>
      <c r="G250" t="str">
        <f t="shared" si="54"/>
        <v>✅ CUBIERTO</v>
      </c>
      <c r="I250" s="1">
        <v>46017</v>
      </c>
      <c r="J250" s="2" t="str">
        <f t="shared" si="64"/>
        <v>vie</v>
      </c>
      <c r="K250" s="8">
        <v>0.58333333333333304</v>
      </c>
      <c r="L250" t="s">
        <v>4</v>
      </c>
      <c r="M250" t="s">
        <v>4</v>
      </c>
      <c r="O250" t="str">
        <f t="shared" si="62"/>
        <v>✅ CUBIERTO</v>
      </c>
    </row>
    <row r="251" spans="1:15" x14ac:dyDescent="0.3">
      <c r="A251" s="1">
        <v>45987</v>
      </c>
      <c r="B251" s="2" t="str">
        <f t="shared" si="63"/>
        <v>mié</v>
      </c>
      <c r="C251" s="8">
        <v>0.625</v>
      </c>
      <c r="D251" t="s">
        <v>4</v>
      </c>
      <c r="E251" t="s">
        <v>4</v>
      </c>
      <c r="G251" t="str">
        <f t="shared" si="54"/>
        <v>✅ CUBIERTO</v>
      </c>
      <c r="I251" s="1">
        <v>46017</v>
      </c>
      <c r="J251" s="2" t="str">
        <f t="shared" si="64"/>
        <v>vie</v>
      </c>
      <c r="K251" s="8">
        <v>0.625</v>
      </c>
      <c r="L251" t="s">
        <v>4</v>
      </c>
      <c r="M251" t="s">
        <v>4</v>
      </c>
      <c r="O251" t="str">
        <f t="shared" si="62"/>
        <v>✅ CUBIERTO</v>
      </c>
    </row>
    <row r="252" spans="1:15" x14ac:dyDescent="0.3">
      <c r="A252" s="1">
        <v>45987</v>
      </c>
      <c r="B252" s="2" t="str">
        <f t="shared" si="63"/>
        <v>mié</v>
      </c>
      <c r="C252" s="8">
        <v>0.66666666666666696</v>
      </c>
      <c r="D252" t="s">
        <v>4</v>
      </c>
      <c r="E252" t="s">
        <v>4</v>
      </c>
      <c r="G252" t="str">
        <f t="shared" si="54"/>
        <v>✅ CUBIERTO</v>
      </c>
      <c r="I252" s="1">
        <v>46017</v>
      </c>
      <c r="J252" s="2" t="str">
        <f t="shared" si="64"/>
        <v>vie</v>
      </c>
      <c r="K252" s="8">
        <v>0.66666666666666696</v>
      </c>
      <c r="L252" t="s">
        <v>4</v>
      </c>
      <c r="M252" t="s">
        <v>4</v>
      </c>
      <c r="O252" t="str">
        <f t="shared" si="62"/>
        <v>✅ CUBIERTO</v>
      </c>
    </row>
    <row r="253" spans="1:15" x14ac:dyDescent="0.3">
      <c r="A253" s="1">
        <v>45987</v>
      </c>
      <c r="B253" s="2" t="str">
        <f t="shared" si="63"/>
        <v>mié</v>
      </c>
      <c r="C253" s="8">
        <v>0.70833333333333304</v>
      </c>
      <c r="D253" t="s">
        <v>4</v>
      </c>
      <c r="E253" t="s">
        <v>4</v>
      </c>
      <c r="G253" t="str">
        <f t="shared" si="54"/>
        <v>✅ CUBIERTO</v>
      </c>
      <c r="I253" s="1">
        <v>46017</v>
      </c>
      <c r="J253" s="2" t="str">
        <f t="shared" si="64"/>
        <v>vie</v>
      </c>
      <c r="K253" s="8">
        <v>0.70833333333333304</v>
      </c>
      <c r="L253" t="s">
        <v>4</v>
      </c>
      <c r="M253" t="s">
        <v>4</v>
      </c>
      <c r="O253" t="str">
        <f t="shared" si="62"/>
        <v>✅ CUBIERTO</v>
      </c>
    </row>
    <row r="254" spans="1:15" x14ac:dyDescent="0.3">
      <c r="A254" s="1">
        <v>45987</v>
      </c>
      <c r="B254" s="2" t="str">
        <f t="shared" si="63"/>
        <v>mié</v>
      </c>
      <c r="C254" s="8">
        <v>0.75</v>
      </c>
      <c r="D254" t="s">
        <v>4</v>
      </c>
      <c r="E254" t="s">
        <v>4</v>
      </c>
      <c r="G254" t="str">
        <f t="shared" si="54"/>
        <v>✅ CUBIERTO</v>
      </c>
      <c r="I254" s="1">
        <v>46017</v>
      </c>
      <c r="J254" s="2" t="str">
        <f t="shared" si="64"/>
        <v>vie</v>
      </c>
      <c r="K254" s="8">
        <v>0.75</v>
      </c>
      <c r="L254" t="s">
        <v>4</v>
      </c>
      <c r="M254" t="s">
        <v>4</v>
      </c>
      <c r="O254" t="str">
        <f t="shared" si="62"/>
        <v>✅ CUBIERTO</v>
      </c>
    </row>
    <row r="255" spans="1:15" x14ac:dyDescent="0.3">
      <c r="A255" s="1">
        <v>45987</v>
      </c>
      <c r="B255" s="2" t="str">
        <f t="shared" si="63"/>
        <v>mié</v>
      </c>
      <c r="C255" s="8">
        <v>0.79166666666666696</v>
      </c>
      <c r="D255" t="s">
        <v>4</v>
      </c>
      <c r="E255" t="s">
        <v>4</v>
      </c>
      <c r="G255" t="str">
        <f t="shared" si="54"/>
        <v>✅ CUBIERTO</v>
      </c>
      <c r="I255" s="1">
        <v>46017</v>
      </c>
      <c r="J255" s="2" t="str">
        <f t="shared" si="64"/>
        <v>vie</v>
      </c>
      <c r="K255" s="8">
        <v>0.79166666666666696</v>
      </c>
      <c r="L255" t="s">
        <v>4</v>
      </c>
      <c r="M255" t="s">
        <v>4</v>
      </c>
      <c r="O255" t="str">
        <f t="shared" si="62"/>
        <v>✅ CUBIERTO</v>
      </c>
    </row>
    <row r="256" spans="1:15" x14ac:dyDescent="0.3">
      <c r="A256" s="1">
        <v>45988</v>
      </c>
      <c r="B256" s="2" t="str">
        <f>TEXT(A256,"ddd")</f>
        <v>jue</v>
      </c>
      <c r="C256" s="8">
        <v>0.45833333333333331</v>
      </c>
      <c r="D256" t="s">
        <v>4</v>
      </c>
      <c r="E256" t="s">
        <v>4</v>
      </c>
      <c r="G256" t="str">
        <f t="shared" si="54"/>
        <v>✅ CUBIERTO</v>
      </c>
      <c r="I256" s="1">
        <v>46018</v>
      </c>
      <c r="J256" s="2" t="str">
        <f>TEXT(I256,"ddd")</f>
        <v>sáb</v>
      </c>
      <c r="K256" s="8">
        <v>0.45833333333333331</v>
      </c>
      <c r="L256" t="s">
        <v>4</v>
      </c>
      <c r="M256" t="s">
        <v>4</v>
      </c>
      <c r="O256" t="str">
        <f t="shared" si="62"/>
        <v>✅ CUBIERTO</v>
      </c>
    </row>
    <row r="257" spans="1:15" x14ac:dyDescent="0.3">
      <c r="A257" s="1">
        <v>45988</v>
      </c>
      <c r="B257" s="2" t="str">
        <f t="shared" ref="B257:B264" si="65">TEXT(A257,"ddd")</f>
        <v>jue</v>
      </c>
      <c r="C257" s="8">
        <v>0.5</v>
      </c>
      <c r="D257" t="s">
        <v>4</v>
      </c>
      <c r="E257" t="s">
        <v>4</v>
      </c>
      <c r="G257" t="str">
        <f t="shared" si="54"/>
        <v>✅ CUBIERTO</v>
      </c>
      <c r="I257" s="1">
        <v>46018</v>
      </c>
      <c r="J257" s="2" t="str">
        <f t="shared" ref="J257:J264" si="66">TEXT(I257,"ddd")</f>
        <v>sáb</v>
      </c>
      <c r="K257" s="8">
        <v>0.5</v>
      </c>
      <c r="L257" t="s">
        <v>4</v>
      </c>
      <c r="M257" t="s">
        <v>4</v>
      </c>
      <c r="O257" t="str">
        <f t="shared" si="62"/>
        <v>✅ CUBIERTO</v>
      </c>
    </row>
    <row r="258" spans="1:15" x14ac:dyDescent="0.3">
      <c r="A258" s="1">
        <v>45988</v>
      </c>
      <c r="B258" s="2" t="str">
        <f t="shared" si="65"/>
        <v>jue</v>
      </c>
      <c r="C258" s="8">
        <v>0.54166666666666696</v>
      </c>
      <c r="D258" t="s">
        <v>4</v>
      </c>
      <c r="E258" t="s">
        <v>4</v>
      </c>
      <c r="G258" t="str">
        <f t="shared" si="54"/>
        <v>✅ CUBIERTO</v>
      </c>
      <c r="I258" s="1">
        <v>46018</v>
      </c>
      <c r="J258" s="2" t="str">
        <f t="shared" si="66"/>
        <v>sáb</v>
      </c>
      <c r="K258" s="8">
        <v>0.54166666666666696</v>
      </c>
      <c r="L258" t="s">
        <v>4</v>
      </c>
      <c r="M258" t="s">
        <v>4</v>
      </c>
      <c r="O258" t="str">
        <f t="shared" si="62"/>
        <v>✅ CUBIERTO</v>
      </c>
    </row>
    <row r="259" spans="1:15" x14ac:dyDescent="0.3">
      <c r="A259" s="1">
        <v>45988</v>
      </c>
      <c r="B259" s="2" t="str">
        <f t="shared" si="65"/>
        <v>jue</v>
      </c>
      <c r="C259" s="8">
        <v>0.58333333333333304</v>
      </c>
      <c r="D259" t="s">
        <v>4</v>
      </c>
      <c r="E259" t="s">
        <v>4</v>
      </c>
      <c r="G259" t="str">
        <f t="shared" si="54"/>
        <v>✅ CUBIERTO</v>
      </c>
      <c r="I259" s="1">
        <v>46018</v>
      </c>
      <c r="J259" s="2" t="str">
        <f t="shared" si="66"/>
        <v>sáb</v>
      </c>
      <c r="K259" s="8">
        <v>0.58333333333333304</v>
      </c>
      <c r="L259" t="s">
        <v>4</v>
      </c>
      <c r="M259" t="s">
        <v>4</v>
      </c>
      <c r="O259" t="str">
        <f t="shared" si="62"/>
        <v>✅ CUBIERTO</v>
      </c>
    </row>
    <row r="260" spans="1:15" x14ac:dyDescent="0.3">
      <c r="A260" s="1">
        <v>45988</v>
      </c>
      <c r="B260" s="2" t="str">
        <f t="shared" si="65"/>
        <v>jue</v>
      </c>
      <c r="C260" s="8">
        <v>0.625</v>
      </c>
      <c r="D260" t="s">
        <v>4</v>
      </c>
      <c r="E260" t="s">
        <v>4</v>
      </c>
      <c r="G260" t="str">
        <f t="shared" si="54"/>
        <v>✅ CUBIERTO</v>
      </c>
      <c r="I260" s="1">
        <v>46018</v>
      </c>
      <c r="J260" s="2" t="str">
        <f t="shared" si="66"/>
        <v>sáb</v>
      </c>
      <c r="K260" s="8">
        <v>0.625</v>
      </c>
      <c r="L260" t="s">
        <v>4</v>
      </c>
      <c r="M260" t="s">
        <v>4</v>
      </c>
      <c r="O260" t="str">
        <f t="shared" si="62"/>
        <v>✅ CUBIERTO</v>
      </c>
    </row>
    <row r="261" spans="1:15" x14ac:dyDescent="0.3">
      <c r="A261" s="1">
        <v>45988</v>
      </c>
      <c r="B261" s="2" t="str">
        <f t="shared" si="65"/>
        <v>jue</v>
      </c>
      <c r="C261" s="8">
        <v>0.66666666666666696</v>
      </c>
      <c r="D261" t="s">
        <v>4</v>
      </c>
      <c r="E261" t="s">
        <v>4</v>
      </c>
      <c r="G261" t="str">
        <f t="shared" si="54"/>
        <v>✅ CUBIERTO</v>
      </c>
      <c r="I261" s="1">
        <v>46018</v>
      </c>
      <c r="J261" s="2" t="str">
        <f t="shared" si="66"/>
        <v>sáb</v>
      </c>
      <c r="K261" s="8">
        <v>0.66666666666666696</v>
      </c>
      <c r="L261" t="s">
        <v>4</v>
      </c>
      <c r="M261" t="s">
        <v>4</v>
      </c>
      <c r="O261" t="str">
        <f t="shared" si="62"/>
        <v>✅ CUBIERTO</v>
      </c>
    </row>
    <row r="262" spans="1:15" x14ac:dyDescent="0.3">
      <c r="A262" s="1">
        <v>45988</v>
      </c>
      <c r="B262" s="2" t="str">
        <f t="shared" si="65"/>
        <v>jue</v>
      </c>
      <c r="C262" s="8">
        <v>0.70833333333333304</v>
      </c>
      <c r="D262" t="s">
        <v>4</v>
      </c>
      <c r="E262" t="s">
        <v>4</v>
      </c>
      <c r="G262" t="str">
        <f t="shared" si="54"/>
        <v>✅ CUBIERTO</v>
      </c>
      <c r="I262" s="1">
        <v>46018</v>
      </c>
      <c r="J262" s="2" t="str">
        <f t="shared" si="66"/>
        <v>sáb</v>
      </c>
      <c r="K262" s="8">
        <v>0.70833333333333304</v>
      </c>
      <c r="L262" t="s">
        <v>4</v>
      </c>
      <c r="M262" t="s">
        <v>4</v>
      </c>
      <c r="O262" t="str">
        <f t="shared" si="62"/>
        <v>✅ CUBIERTO</v>
      </c>
    </row>
    <row r="263" spans="1:15" x14ac:dyDescent="0.3">
      <c r="A263" s="1">
        <v>45988</v>
      </c>
      <c r="B263" s="2" t="str">
        <f t="shared" si="65"/>
        <v>jue</v>
      </c>
      <c r="C263" s="8">
        <v>0.75</v>
      </c>
      <c r="D263" t="s">
        <v>4</v>
      </c>
      <c r="E263" t="s">
        <v>4</v>
      </c>
      <c r="G263" t="str">
        <f t="shared" si="54"/>
        <v>✅ CUBIERTO</v>
      </c>
      <c r="I263" s="1">
        <v>46018</v>
      </c>
      <c r="J263" s="2" t="str">
        <f t="shared" si="66"/>
        <v>sáb</v>
      </c>
      <c r="K263" s="8">
        <v>0.75</v>
      </c>
      <c r="L263" t="s">
        <v>4</v>
      </c>
      <c r="M263" t="s">
        <v>4</v>
      </c>
      <c r="O263" t="str">
        <f t="shared" si="62"/>
        <v>✅ CUBIERTO</v>
      </c>
    </row>
    <row r="264" spans="1:15" x14ac:dyDescent="0.3">
      <c r="A264" s="1">
        <v>45988</v>
      </c>
      <c r="B264" s="2" t="str">
        <f t="shared" si="65"/>
        <v>jue</v>
      </c>
      <c r="C264" s="8">
        <v>0.79166666666666696</v>
      </c>
      <c r="D264" t="s">
        <v>4</v>
      </c>
      <c r="E264" t="s">
        <v>4</v>
      </c>
      <c r="G264" t="str">
        <f t="shared" si="54"/>
        <v>✅ CUBIERTO</v>
      </c>
      <c r="I264" s="1">
        <v>46018</v>
      </c>
      <c r="J264" s="2" t="str">
        <f t="shared" si="66"/>
        <v>sáb</v>
      </c>
      <c r="K264" s="8">
        <v>0.79166666666666696</v>
      </c>
      <c r="L264" t="s">
        <v>4</v>
      </c>
      <c r="M264" t="s">
        <v>4</v>
      </c>
      <c r="O264" t="str">
        <f t="shared" si="62"/>
        <v>✅ CUBIERTO</v>
      </c>
    </row>
    <row r="265" spans="1:15" x14ac:dyDescent="0.3">
      <c r="A265" s="1">
        <v>45989</v>
      </c>
      <c r="B265" s="2" t="str">
        <f>TEXT(A265,"ddd")</f>
        <v>vie</v>
      </c>
      <c r="C265" s="8">
        <v>0.45833333333333331</v>
      </c>
      <c r="D265" t="s">
        <v>4</v>
      </c>
      <c r="E265" t="s">
        <v>4</v>
      </c>
      <c r="G265" t="str">
        <f t="shared" si="54"/>
        <v>✅ CUBIERTO</v>
      </c>
      <c r="I265" s="1">
        <v>46019</v>
      </c>
      <c r="J265" s="2" t="str">
        <f>TEXT(I265,"ddd")</f>
        <v>dom</v>
      </c>
      <c r="K265" s="8">
        <v>0.45833333333333331</v>
      </c>
      <c r="L265" t="s">
        <v>4</v>
      </c>
      <c r="M265" t="s">
        <v>4</v>
      </c>
      <c r="O265" t="str">
        <f t="shared" si="62"/>
        <v>✅ CUBIERTO</v>
      </c>
    </row>
    <row r="266" spans="1:15" x14ac:dyDescent="0.3">
      <c r="A266" s="1">
        <v>45989</v>
      </c>
      <c r="B266" s="2" t="str">
        <f t="shared" ref="B266:B273" si="67">TEXT(A266,"ddd")</f>
        <v>vie</v>
      </c>
      <c r="C266" s="8">
        <v>0.5</v>
      </c>
      <c r="D266" t="s">
        <v>4</v>
      </c>
      <c r="E266" t="s">
        <v>4</v>
      </c>
      <c r="G266" t="str">
        <f t="shared" si="54"/>
        <v>✅ CUBIERTO</v>
      </c>
      <c r="I266" s="1">
        <v>46019</v>
      </c>
      <c r="J266" s="2" t="str">
        <f t="shared" ref="J266:J273" si="68">TEXT(I266,"ddd")</f>
        <v>dom</v>
      </c>
      <c r="K266" s="8">
        <v>0.5</v>
      </c>
      <c r="L266" t="s">
        <v>4</v>
      </c>
      <c r="M266" t="s">
        <v>4</v>
      </c>
      <c r="O266" t="str">
        <f t="shared" si="62"/>
        <v>✅ CUBIERTO</v>
      </c>
    </row>
    <row r="267" spans="1:15" x14ac:dyDescent="0.3">
      <c r="A267" s="1">
        <v>45989</v>
      </c>
      <c r="B267" s="2" t="str">
        <f t="shared" si="67"/>
        <v>vie</v>
      </c>
      <c r="C267" s="8">
        <v>0.54166666666666696</v>
      </c>
      <c r="D267" t="s">
        <v>4</v>
      </c>
      <c r="E267" t="s">
        <v>4</v>
      </c>
      <c r="G267" t="str">
        <f t="shared" si="54"/>
        <v>✅ CUBIERTO</v>
      </c>
      <c r="I267" s="1">
        <v>46019</v>
      </c>
      <c r="J267" s="2" t="str">
        <f t="shared" si="68"/>
        <v>dom</v>
      </c>
      <c r="K267" s="8">
        <v>0.54166666666666696</v>
      </c>
      <c r="L267" t="s">
        <v>4</v>
      </c>
      <c r="M267" t="s">
        <v>4</v>
      </c>
      <c r="O267" t="str">
        <f t="shared" si="62"/>
        <v>✅ CUBIERTO</v>
      </c>
    </row>
    <row r="268" spans="1:15" x14ac:dyDescent="0.3">
      <c r="A268" s="1">
        <v>45989</v>
      </c>
      <c r="B268" s="2" t="str">
        <f t="shared" si="67"/>
        <v>vie</v>
      </c>
      <c r="C268" s="8">
        <v>0.58333333333333304</v>
      </c>
      <c r="D268" t="s">
        <v>4</v>
      </c>
      <c r="E268" t="s">
        <v>4</v>
      </c>
      <c r="G268" t="str">
        <f t="shared" si="54"/>
        <v>✅ CUBIERTO</v>
      </c>
      <c r="I268" s="1">
        <v>46019</v>
      </c>
      <c r="J268" s="2" t="str">
        <f t="shared" si="68"/>
        <v>dom</v>
      </c>
      <c r="K268" s="8">
        <v>0.58333333333333304</v>
      </c>
      <c r="L268" t="s">
        <v>4</v>
      </c>
      <c r="M268" t="s">
        <v>4</v>
      </c>
      <c r="O268" t="str">
        <f t="shared" si="62"/>
        <v>✅ CUBIERTO</v>
      </c>
    </row>
    <row r="269" spans="1:15" x14ac:dyDescent="0.3">
      <c r="A269" s="1">
        <v>45989</v>
      </c>
      <c r="B269" s="2" t="str">
        <f t="shared" si="67"/>
        <v>vie</v>
      </c>
      <c r="C269" s="8">
        <v>0.625</v>
      </c>
      <c r="D269" t="s">
        <v>4</v>
      </c>
      <c r="E269" t="s">
        <v>4</v>
      </c>
      <c r="G269" t="str">
        <f t="shared" si="54"/>
        <v>✅ CUBIERTO</v>
      </c>
      <c r="I269" s="1">
        <v>46019</v>
      </c>
      <c r="J269" s="2" t="str">
        <f t="shared" si="68"/>
        <v>dom</v>
      </c>
      <c r="K269" s="8">
        <v>0.625</v>
      </c>
      <c r="L269" t="s">
        <v>4</v>
      </c>
      <c r="M269" t="s">
        <v>4</v>
      </c>
      <c r="O269" t="str">
        <f t="shared" si="62"/>
        <v>✅ CUBIERTO</v>
      </c>
    </row>
    <row r="270" spans="1:15" x14ac:dyDescent="0.3">
      <c r="A270" s="1">
        <v>45989</v>
      </c>
      <c r="B270" s="2" t="str">
        <f t="shared" si="67"/>
        <v>vie</v>
      </c>
      <c r="C270" s="8">
        <v>0.66666666666666696</v>
      </c>
      <c r="D270" t="s">
        <v>4</v>
      </c>
      <c r="E270" t="s">
        <v>4</v>
      </c>
      <c r="G270" t="str">
        <f t="shared" si="54"/>
        <v>✅ CUBIERTO</v>
      </c>
      <c r="I270" s="1">
        <v>46019</v>
      </c>
      <c r="J270" s="2" t="str">
        <f t="shared" si="68"/>
        <v>dom</v>
      </c>
      <c r="K270" s="8">
        <v>0.66666666666666696</v>
      </c>
      <c r="L270" t="s">
        <v>4</v>
      </c>
      <c r="M270" t="s">
        <v>4</v>
      </c>
      <c r="O270" t="str">
        <f t="shared" si="62"/>
        <v>✅ CUBIERTO</v>
      </c>
    </row>
    <row r="271" spans="1:15" x14ac:dyDescent="0.3">
      <c r="A271" s="1">
        <v>45989</v>
      </c>
      <c r="B271" s="2" t="str">
        <f t="shared" si="67"/>
        <v>vie</v>
      </c>
      <c r="C271" s="8">
        <v>0.70833333333333304</v>
      </c>
      <c r="D271" t="s">
        <v>4</v>
      </c>
      <c r="E271" t="s">
        <v>4</v>
      </c>
      <c r="G271" t="str">
        <f t="shared" si="54"/>
        <v>✅ CUBIERTO</v>
      </c>
      <c r="I271" s="1">
        <v>46019</v>
      </c>
      <c r="J271" s="2" t="str">
        <f t="shared" si="68"/>
        <v>dom</v>
      </c>
      <c r="K271" s="8">
        <v>0.70833333333333304</v>
      </c>
      <c r="L271" t="s">
        <v>4</v>
      </c>
      <c r="M271" t="s">
        <v>4</v>
      </c>
      <c r="O271" t="str">
        <f t="shared" si="62"/>
        <v>✅ CUBIERTO</v>
      </c>
    </row>
    <row r="272" spans="1:15" x14ac:dyDescent="0.3">
      <c r="A272" s="1">
        <v>45989</v>
      </c>
      <c r="B272" s="2" t="str">
        <f t="shared" si="67"/>
        <v>vie</v>
      </c>
      <c r="C272" s="8">
        <v>0.75</v>
      </c>
      <c r="D272" t="s">
        <v>4</v>
      </c>
      <c r="E272" t="s">
        <v>4</v>
      </c>
      <c r="G272" t="str">
        <f t="shared" si="54"/>
        <v>✅ CUBIERTO</v>
      </c>
      <c r="I272" s="1">
        <v>46019</v>
      </c>
      <c r="J272" s="2" t="str">
        <f t="shared" si="68"/>
        <v>dom</v>
      </c>
      <c r="K272" s="8">
        <v>0.75</v>
      </c>
      <c r="L272" t="s">
        <v>4</v>
      </c>
      <c r="M272" t="s">
        <v>4</v>
      </c>
      <c r="O272" t="str">
        <f t="shared" si="62"/>
        <v>✅ CUBIERTO</v>
      </c>
    </row>
    <row r="273" spans="1:15" x14ac:dyDescent="0.3">
      <c r="A273" s="1">
        <v>45989</v>
      </c>
      <c r="B273" s="2" t="str">
        <f t="shared" si="67"/>
        <v>vie</v>
      </c>
      <c r="C273" s="8">
        <v>0.79166666666666696</v>
      </c>
      <c r="D273" t="s">
        <v>4</v>
      </c>
      <c r="E273" t="s">
        <v>4</v>
      </c>
      <c r="G273" t="str">
        <f t="shared" si="54"/>
        <v>✅ CUBIERTO</v>
      </c>
      <c r="I273" s="1">
        <v>46019</v>
      </c>
      <c r="J273" s="2" t="str">
        <f t="shared" si="68"/>
        <v>dom</v>
      </c>
      <c r="K273" s="8">
        <v>0.79166666666666696</v>
      </c>
      <c r="L273" t="s">
        <v>4</v>
      </c>
      <c r="M273" t="s">
        <v>4</v>
      </c>
      <c r="O273" t="str">
        <f t="shared" si="62"/>
        <v>✅ CUBIERTO</v>
      </c>
    </row>
    <row r="274" spans="1:15" x14ac:dyDescent="0.3">
      <c r="A274" s="1">
        <v>45990</v>
      </c>
      <c r="B274" s="2" t="str">
        <f>TEXT(A274,"ddd")</f>
        <v>sáb</v>
      </c>
      <c r="C274" s="8">
        <v>0.45833333333333331</v>
      </c>
      <c r="D274" t="s">
        <v>4</v>
      </c>
      <c r="E274" t="s">
        <v>4</v>
      </c>
      <c r="G274" t="str">
        <f t="shared" si="54"/>
        <v>✅ CUBIERTO</v>
      </c>
      <c r="I274" s="1">
        <v>46020</v>
      </c>
      <c r="J274" s="2" t="str">
        <f>TEXT(I274,"ddd")</f>
        <v>lun</v>
      </c>
      <c r="K274" s="8">
        <v>0.45833333333333331</v>
      </c>
      <c r="L274" t="s">
        <v>4</v>
      </c>
      <c r="M274" t="s">
        <v>4</v>
      </c>
      <c r="O274" t="str">
        <f t="shared" si="62"/>
        <v>✅ CUBIERTO</v>
      </c>
    </row>
    <row r="275" spans="1:15" x14ac:dyDescent="0.3">
      <c r="A275" s="1">
        <v>45990</v>
      </c>
      <c r="B275" s="2" t="str">
        <f t="shared" ref="B275:B282" si="69">TEXT(A275,"ddd")</f>
        <v>sáb</v>
      </c>
      <c r="C275" s="8">
        <v>0.5</v>
      </c>
      <c r="D275" t="s">
        <v>4</v>
      </c>
      <c r="E275" t="s">
        <v>4</v>
      </c>
      <c r="G275" t="str">
        <f t="shared" si="54"/>
        <v>✅ CUBIERTO</v>
      </c>
      <c r="I275" s="1">
        <v>46020</v>
      </c>
      <c r="J275" s="2" t="str">
        <f t="shared" ref="J275:J282" si="70">TEXT(I275,"ddd")</f>
        <v>lun</v>
      </c>
      <c r="K275" s="8">
        <v>0.5</v>
      </c>
      <c r="L275" t="s">
        <v>4</v>
      </c>
      <c r="M275" t="s">
        <v>4</v>
      </c>
      <c r="O275" t="str">
        <f t="shared" si="62"/>
        <v>✅ CUBIERTO</v>
      </c>
    </row>
    <row r="276" spans="1:15" x14ac:dyDescent="0.3">
      <c r="A276" s="1">
        <v>45990</v>
      </c>
      <c r="B276" s="2" t="str">
        <f t="shared" si="69"/>
        <v>sáb</v>
      </c>
      <c r="C276" s="8">
        <v>0.54166666666666696</v>
      </c>
      <c r="D276" t="s">
        <v>4</v>
      </c>
      <c r="E276" t="s">
        <v>4</v>
      </c>
      <c r="G276" t="str">
        <f t="shared" si="54"/>
        <v>✅ CUBIERTO</v>
      </c>
      <c r="I276" s="1">
        <v>46020</v>
      </c>
      <c r="J276" s="2" t="str">
        <f t="shared" si="70"/>
        <v>lun</v>
      </c>
      <c r="K276" s="8">
        <v>0.54166666666666696</v>
      </c>
      <c r="L276" t="s">
        <v>4</v>
      </c>
      <c r="M276" t="s">
        <v>4</v>
      </c>
      <c r="O276" t="str">
        <f t="shared" si="62"/>
        <v>✅ CUBIERTO</v>
      </c>
    </row>
    <row r="277" spans="1:15" x14ac:dyDescent="0.3">
      <c r="A277" s="1">
        <v>45990</v>
      </c>
      <c r="B277" s="2" t="str">
        <f t="shared" si="69"/>
        <v>sáb</v>
      </c>
      <c r="C277" s="8">
        <v>0.58333333333333304</v>
      </c>
      <c r="D277" t="s">
        <v>4</v>
      </c>
      <c r="E277" t="s">
        <v>4</v>
      </c>
      <c r="G277" t="str">
        <f t="shared" si="54"/>
        <v>✅ CUBIERTO</v>
      </c>
      <c r="I277" s="1">
        <v>46020</v>
      </c>
      <c r="J277" s="2" t="str">
        <f t="shared" si="70"/>
        <v>lun</v>
      </c>
      <c r="K277" s="8">
        <v>0.58333333333333304</v>
      </c>
      <c r="L277" t="s">
        <v>4</v>
      </c>
      <c r="M277" t="s">
        <v>4</v>
      </c>
      <c r="O277" t="str">
        <f t="shared" si="62"/>
        <v>✅ CUBIERTO</v>
      </c>
    </row>
    <row r="278" spans="1:15" x14ac:dyDescent="0.3">
      <c r="A278" s="1">
        <v>45990</v>
      </c>
      <c r="B278" s="2" t="str">
        <f t="shared" si="69"/>
        <v>sáb</v>
      </c>
      <c r="C278" s="8">
        <v>0.625</v>
      </c>
      <c r="D278" t="s">
        <v>4</v>
      </c>
      <c r="E278" t="s">
        <v>4</v>
      </c>
      <c r="G278" t="str">
        <f t="shared" ref="G278:G291" si="71">IF(COUNTIF(D278:F278,"?*")=$D$4,"✅ CUBIERTO",
IF(COUNTIF(D278:F278,"?*")&gt;$D$4,"⚠ EXCESO",IF(COUNTIF(D278:F278,"?*")&gt;0,"⚠ FALTANTE",
"❌ SIN COMPLETAR")))</f>
        <v>✅ CUBIERTO</v>
      </c>
      <c r="I278" s="1">
        <v>46020</v>
      </c>
      <c r="J278" s="2" t="str">
        <f t="shared" si="70"/>
        <v>lun</v>
      </c>
      <c r="K278" s="8">
        <v>0.625</v>
      </c>
      <c r="L278" t="s">
        <v>4</v>
      </c>
      <c r="M278" t="s">
        <v>4</v>
      </c>
      <c r="O278" t="str">
        <f t="shared" si="62"/>
        <v>✅ CUBIERTO</v>
      </c>
    </row>
    <row r="279" spans="1:15" x14ac:dyDescent="0.3">
      <c r="A279" s="1">
        <v>45990</v>
      </c>
      <c r="B279" s="2" t="str">
        <f t="shared" si="69"/>
        <v>sáb</v>
      </c>
      <c r="C279" s="8">
        <v>0.66666666666666696</v>
      </c>
      <c r="D279" t="s">
        <v>4</v>
      </c>
      <c r="E279" t="s">
        <v>4</v>
      </c>
      <c r="G279" t="str">
        <f t="shared" si="71"/>
        <v>✅ CUBIERTO</v>
      </c>
      <c r="I279" s="1">
        <v>46020</v>
      </c>
      <c r="J279" s="2" t="str">
        <f t="shared" si="70"/>
        <v>lun</v>
      </c>
      <c r="K279" s="8">
        <v>0.66666666666666696</v>
      </c>
      <c r="L279" t="s">
        <v>4</v>
      </c>
      <c r="M279" t="s">
        <v>4</v>
      </c>
      <c r="O279" t="str">
        <f t="shared" ref="O279:O310" si="72">IF(COUNTIF(L279:N279,"?*")&gt;=$L$4, "✅ CUBIERTO",
 IF(COUNTIF(L279:N279,"?*")&gt;0, "⚠ FALTANTE",
 "❌ SIN COMPLETAR"))</f>
        <v>✅ CUBIERTO</v>
      </c>
    </row>
    <row r="280" spans="1:15" x14ac:dyDescent="0.3">
      <c r="A280" s="1">
        <v>45990</v>
      </c>
      <c r="B280" s="2" t="str">
        <f t="shared" si="69"/>
        <v>sáb</v>
      </c>
      <c r="C280" s="8">
        <v>0.70833333333333304</v>
      </c>
      <c r="D280" t="s">
        <v>4</v>
      </c>
      <c r="E280" t="s">
        <v>4</v>
      </c>
      <c r="G280" t="str">
        <f t="shared" si="71"/>
        <v>✅ CUBIERTO</v>
      </c>
      <c r="I280" s="1">
        <v>46020</v>
      </c>
      <c r="J280" s="2" t="str">
        <f t="shared" si="70"/>
        <v>lun</v>
      </c>
      <c r="K280" s="8">
        <v>0.70833333333333304</v>
      </c>
      <c r="L280" t="s">
        <v>4</v>
      </c>
      <c r="M280" t="s">
        <v>4</v>
      </c>
      <c r="O280" t="str">
        <f t="shared" si="72"/>
        <v>✅ CUBIERTO</v>
      </c>
    </row>
    <row r="281" spans="1:15" x14ac:dyDescent="0.3">
      <c r="A281" s="1">
        <v>45990</v>
      </c>
      <c r="B281" s="2" t="str">
        <f t="shared" si="69"/>
        <v>sáb</v>
      </c>
      <c r="C281" s="8">
        <v>0.75</v>
      </c>
      <c r="D281" t="s">
        <v>4</v>
      </c>
      <c r="E281" t="s">
        <v>4</v>
      </c>
      <c r="G281" t="str">
        <f t="shared" si="71"/>
        <v>✅ CUBIERTO</v>
      </c>
      <c r="I281" s="1">
        <v>46020</v>
      </c>
      <c r="J281" s="2" t="str">
        <f t="shared" si="70"/>
        <v>lun</v>
      </c>
      <c r="K281" s="8">
        <v>0.75</v>
      </c>
      <c r="L281" t="s">
        <v>4</v>
      </c>
      <c r="M281" t="s">
        <v>4</v>
      </c>
      <c r="O281" t="str">
        <f t="shared" si="72"/>
        <v>✅ CUBIERTO</v>
      </c>
    </row>
    <row r="282" spans="1:15" x14ac:dyDescent="0.3">
      <c r="A282" s="1">
        <v>45990</v>
      </c>
      <c r="B282" s="2" t="str">
        <f t="shared" si="69"/>
        <v>sáb</v>
      </c>
      <c r="C282" s="8">
        <v>0.79166666666666696</v>
      </c>
      <c r="D282" t="s">
        <v>4</v>
      </c>
      <c r="E282" t="s">
        <v>4</v>
      </c>
      <c r="G282" t="str">
        <f t="shared" si="71"/>
        <v>✅ CUBIERTO</v>
      </c>
      <c r="I282" s="1">
        <v>46020</v>
      </c>
      <c r="J282" s="2" t="str">
        <f t="shared" si="70"/>
        <v>lun</v>
      </c>
      <c r="K282" s="8">
        <v>0.79166666666666696</v>
      </c>
      <c r="L282" t="s">
        <v>4</v>
      </c>
      <c r="M282" t="s">
        <v>4</v>
      </c>
      <c r="O282" t="str">
        <f t="shared" si="72"/>
        <v>✅ CUBIERTO</v>
      </c>
    </row>
    <row r="283" spans="1:15" x14ac:dyDescent="0.3">
      <c r="A283" s="1">
        <v>45991</v>
      </c>
      <c r="B283" s="2" t="str">
        <f>TEXT(A283,"ddd")</f>
        <v>dom</v>
      </c>
      <c r="C283" s="8">
        <v>0.45833333333333331</v>
      </c>
      <c r="D283" t="s">
        <v>4</v>
      </c>
      <c r="E283" t="s">
        <v>4</v>
      </c>
      <c r="G283" t="str">
        <f t="shared" si="71"/>
        <v>✅ CUBIERTO</v>
      </c>
      <c r="I283" s="1">
        <v>46021</v>
      </c>
      <c r="J283" s="2" t="str">
        <f>TEXT(I283,"ddd")</f>
        <v>mar</v>
      </c>
      <c r="K283" s="8">
        <v>0.45833333333333331</v>
      </c>
      <c r="L283" t="s">
        <v>4</v>
      </c>
      <c r="M283" t="s">
        <v>4</v>
      </c>
      <c r="O283" t="str">
        <f t="shared" si="72"/>
        <v>✅ CUBIERTO</v>
      </c>
    </row>
    <row r="284" spans="1:15" x14ac:dyDescent="0.3">
      <c r="A284" s="1">
        <v>45991</v>
      </c>
      <c r="B284" s="2" t="str">
        <f t="shared" ref="B284:B291" si="73">TEXT(A284,"ddd")</f>
        <v>dom</v>
      </c>
      <c r="C284" s="8">
        <v>0.5</v>
      </c>
      <c r="D284" t="s">
        <v>4</v>
      </c>
      <c r="E284" t="s">
        <v>4</v>
      </c>
      <c r="G284" t="str">
        <f t="shared" si="71"/>
        <v>✅ CUBIERTO</v>
      </c>
      <c r="I284" s="1">
        <v>46021</v>
      </c>
      <c r="J284" s="2" t="str">
        <f t="shared" ref="J284:J291" si="74">TEXT(I284,"ddd")</f>
        <v>mar</v>
      </c>
      <c r="K284" s="8">
        <v>0.5</v>
      </c>
      <c r="L284" t="s">
        <v>4</v>
      </c>
      <c r="M284" t="s">
        <v>4</v>
      </c>
      <c r="O284" t="str">
        <f t="shared" si="72"/>
        <v>✅ CUBIERTO</v>
      </c>
    </row>
    <row r="285" spans="1:15" x14ac:dyDescent="0.3">
      <c r="A285" s="1">
        <v>45991</v>
      </c>
      <c r="B285" s="2" t="str">
        <f t="shared" si="73"/>
        <v>dom</v>
      </c>
      <c r="C285" s="8">
        <v>0.54166666666666696</v>
      </c>
      <c r="D285" t="s">
        <v>4</v>
      </c>
      <c r="E285" t="s">
        <v>4</v>
      </c>
      <c r="G285" t="str">
        <f t="shared" si="71"/>
        <v>✅ CUBIERTO</v>
      </c>
      <c r="I285" s="1">
        <v>46021</v>
      </c>
      <c r="J285" s="2" t="str">
        <f t="shared" si="74"/>
        <v>mar</v>
      </c>
      <c r="K285" s="8">
        <v>0.54166666666666696</v>
      </c>
      <c r="L285" t="s">
        <v>4</v>
      </c>
      <c r="M285" t="s">
        <v>4</v>
      </c>
      <c r="O285" t="str">
        <f t="shared" si="72"/>
        <v>✅ CUBIERTO</v>
      </c>
    </row>
    <row r="286" spans="1:15" x14ac:dyDescent="0.3">
      <c r="A286" s="1">
        <v>45991</v>
      </c>
      <c r="B286" s="2" t="str">
        <f t="shared" si="73"/>
        <v>dom</v>
      </c>
      <c r="C286" s="8">
        <v>0.58333333333333304</v>
      </c>
      <c r="D286" t="s">
        <v>4</v>
      </c>
      <c r="E286" t="s">
        <v>4</v>
      </c>
      <c r="G286" t="str">
        <f t="shared" si="71"/>
        <v>✅ CUBIERTO</v>
      </c>
      <c r="I286" s="1">
        <v>46021</v>
      </c>
      <c r="J286" s="2" t="str">
        <f t="shared" si="74"/>
        <v>mar</v>
      </c>
      <c r="K286" s="8">
        <v>0.58333333333333304</v>
      </c>
      <c r="L286" t="s">
        <v>4</v>
      </c>
      <c r="M286" t="s">
        <v>4</v>
      </c>
      <c r="O286" t="str">
        <f t="shared" si="72"/>
        <v>✅ CUBIERTO</v>
      </c>
    </row>
    <row r="287" spans="1:15" x14ac:dyDescent="0.3">
      <c r="A287" s="1">
        <v>45991</v>
      </c>
      <c r="B287" s="2" t="str">
        <f t="shared" si="73"/>
        <v>dom</v>
      </c>
      <c r="C287" s="8">
        <v>0.625</v>
      </c>
      <c r="D287" t="s">
        <v>4</v>
      </c>
      <c r="E287" t="s">
        <v>4</v>
      </c>
      <c r="G287" t="str">
        <f t="shared" si="71"/>
        <v>✅ CUBIERTO</v>
      </c>
      <c r="I287" s="1">
        <v>46021</v>
      </c>
      <c r="J287" s="2" t="str">
        <f t="shared" si="74"/>
        <v>mar</v>
      </c>
      <c r="K287" s="8">
        <v>0.625</v>
      </c>
      <c r="L287" t="s">
        <v>4</v>
      </c>
      <c r="M287" t="s">
        <v>4</v>
      </c>
      <c r="O287" t="str">
        <f t="shared" si="72"/>
        <v>✅ CUBIERTO</v>
      </c>
    </row>
    <row r="288" spans="1:15" x14ac:dyDescent="0.3">
      <c r="A288" s="1">
        <v>45991</v>
      </c>
      <c r="B288" s="2" t="str">
        <f t="shared" si="73"/>
        <v>dom</v>
      </c>
      <c r="C288" s="8">
        <v>0.66666666666666696</v>
      </c>
      <c r="D288" t="s">
        <v>4</v>
      </c>
      <c r="E288" t="s">
        <v>4</v>
      </c>
      <c r="G288" t="str">
        <f t="shared" si="71"/>
        <v>✅ CUBIERTO</v>
      </c>
      <c r="I288" s="1">
        <v>46021</v>
      </c>
      <c r="J288" s="2" t="str">
        <f t="shared" si="74"/>
        <v>mar</v>
      </c>
      <c r="K288" s="8">
        <v>0.66666666666666696</v>
      </c>
      <c r="L288" t="s">
        <v>4</v>
      </c>
      <c r="M288" t="s">
        <v>4</v>
      </c>
      <c r="O288" t="str">
        <f t="shared" si="72"/>
        <v>✅ CUBIERTO</v>
      </c>
    </row>
    <row r="289" spans="1:15" x14ac:dyDescent="0.3">
      <c r="A289" s="1">
        <v>45991</v>
      </c>
      <c r="B289" s="2" t="str">
        <f t="shared" si="73"/>
        <v>dom</v>
      </c>
      <c r="C289" s="8">
        <v>0.70833333333333304</v>
      </c>
      <c r="D289" t="s">
        <v>4</v>
      </c>
      <c r="E289" t="s">
        <v>4</v>
      </c>
      <c r="G289" t="str">
        <f t="shared" si="71"/>
        <v>✅ CUBIERTO</v>
      </c>
      <c r="I289" s="1">
        <v>46021</v>
      </c>
      <c r="J289" s="2" t="str">
        <f t="shared" si="74"/>
        <v>mar</v>
      </c>
      <c r="K289" s="8">
        <v>0.70833333333333304</v>
      </c>
      <c r="L289" t="s">
        <v>4</v>
      </c>
      <c r="M289" t="s">
        <v>4</v>
      </c>
      <c r="O289" t="str">
        <f t="shared" si="72"/>
        <v>✅ CUBIERTO</v>
      </c>
    </row>
    <row r="290" spans="1:15" x14ac:dyDescent="0.3">
      <c r="A290" s="1">
        <v>45991</v>
      </c>
      <c r="B290" s="2" t="str">
        <f t="shared" si="73"/>
        <v>dom</v>
      </c>
      <c r="C290" s="8">
        <v>0.75</v>
      </c>
      <c r="D290" t="s">
        <v>4</v>
      </c>
      <c r="E290" t="s">
        <v>4</v>
      </c>
      <c r="G290" t="str">
        <f t="shared" si="71"/>
        <v>✅ CUBIERTO</v>
      </c>
      <c r="I290" s="1">
        <v>46021</v>
      </c>
      <c r="J290" s="2" t="str">
        <f t="shared" si="74"/>
        <v>mar</v>
      </c>
      <c r="K290" s="8">
        <v>0.75</v>
      </c>
      <c r="L290" t="s">
        <v>4</v>
      </c>
      <c r="M290" t="s">
        <v>4</v>
      </c>
      <c r="O290" t="str">
        <f t="shared" si="72"/>
        <v>✅ CUBIERTO</v>
      </c>
    </row>
    <row r="291" spans="1:15" x14ac:dyDescent="0.3">
      <c r="A291" s="1">
        <v>45991</v>
      </c>
      <c r="B291" s="2" t="str">
        <f t="shared" si="73"/>
        <v>dom</v>
      </c>
      <c r="C291" s="8">
        <v>0.79166666666666696</v>
      </c>
      <c r="D291" t="s">
        <v>4</v>
      </c>
      <c r="E291" t="s">
        <v>4</v>
      </c>
      <c r="G291" t="str">
        <f t="shared" si="71"/>
        <v>✅ CUBIERTO</v>
      </c>
      <c r="I291" s="1">
        <v>46021</v>
      </c>
      <c r="J291" s="2" t="str">
        <f t="shared" si="74"/>
        <v>mar</v>
      </c>
      <c r="K291" s="8">
        <v>0.79166666666666696</v>
      </c>
      <c r="L291" t="s">
        <v>4</v>
      </c>
      <c r="M291" t="s">
        <v>4</v>
      </c>
      <c r="O291" t="str">
        <f t="shared" si="72"/>
        <v>✅ CUBIERTO</v>
      </c>
    </row>
    <row r="292" spans="1:15" x14ac:dyDescent="0.3">
      <c r="A292" s="1"/>
      <c r="C292" s="8"/>
      <c r="I292" s="1">
        <v>46022</v>
      </c>
      <c r="J292" s="2" t="str">
        <f>TEXT(I292,"ddd")</f>
        <v>mié</v>
      </c>
      <c r="K292" s="8">
        <v>0.45833333333333331</v>
      </c>
      <c r="L292" t="s">
        <v>4</v>
      </c>
      <c r="M292" t="s">
        <v>4</v>
      </c>
      <c r="O292" t="str">
        <f t="shared" si="72"/>
        <v>✅ CUBIERTO</v>
      </c>
    </row>
    <row r="293" spans="1:15" x14ac:dyDescent="0.3">
      <c r="A293" s="1"/>
      <c r="C293" s="8"/>
      <c r="I293" s="1">
        <v>46022</v>
      </c>
      <c r="J293" s="2" t="str">
        <f t="shared" ref="J293:J300" si="75">TEXT(I293,"ddd")</f>
        <v>mié</v>
      </c>
      <c r="K293" s="8">
        <v>0.5</v>
      </c>
      <c r="L293" t="s">
        <v>4</v>
      </c>
      <c r="M293" t="s">
        <v>4</v>
      </c>
      <c r="O293" t="str">
        <f t="shared" si="72"/>
        <v>✅ CUBIERTO</v>
      </c>
    </row>
    <row r="294" spans="1:15" x14ac:dyDescent="0.3">
      <c r="A294" s="1"/>
      <c r="C294" s="8"/>
      <c r="I294" s="1">
        <v>46022</v>
      </c>
      <c r="J294" s="2" t="str">
        <f t="shared" si="75"/>
        <v>mié</v>
      </c>
      <c r="K294" s="8">
        <v>0.54166666666666696</v>
      </c>
      <c r="L294" t="s">
        <v>4</v>
      </c>
      <c r="M294" t="s">
        <v>4</v>
      </c>
      <c r="O294" t="str">
        <f t="shared" si="72"/>
        <v>✅ CUBIERTO</v>
      </c>
    </row>
    <row r="295" spans="1:15" x14ac:dyDescent="0.3">
      <c r="A295" s="1"/>
      <c r="C295" s="8"/>
      <c r="I295" s="1">
        <v>46022</v>
      </c>
      <c r="J295" s="2" t="str">
        <f t="shared" si="75"/>
        <v>mié</v>
      </c>
      <c r="K295" s="8">
        <v>0.58333333333333304</v>
      </c>
      <c r="L295" t="s">
        <v>4</v>
      </c>
      <c r="M295" t="s">
        <v>4</v>
      </c>
      <c r="O295" t="str">
        <f t="shared" si="72"/>
        <v>✅ CUBIERTO</v>
      </c>
    </row>
    <row r="296" spans="1:15" x14ac:dyDescent="0.3">
      <c r="A296" s="1"/>
      <c r="C296" s="8"/>
      <c r="I296" s="1">
        <v>46022</v>
      </c>
      <c r="J296" s="2" t="str">
        <f t="shared" si="75"/>
        <v>mié</v>
      </c>
      <c r="K296" s="8">
        <v>0.625</v>
      </c>
      <c r="L296" t="s">
        <v>4</v>
      </c>
      <c r="M296" t="s">
        <v>4</v>
      </c>
      <c r="O296" t="str">
        <f t="shared" si="72"/>
        <v>✅ CUBIERTO</v>
      </c>
    </row>
    <row r="297" spans="1:15" x14ac:dyDescent="0.3">
      <c r="A297" s="1"/>
      <c r="C297" s="8"/>
      <c r="I297" s="1">
        <v>46022</v>
      </c>
      <c r="J297" s="2" t="str">
        <f t="shared" si="75"/>
        <v>mié</v>
      </c>
      <c r="K297" s="8">
        <v>0.66666666666666696</v>
      </c>
      <c r="L297" t="s">
        <v>4</v>
      </c>
      <c r="M297" t="s">
        <v>4</v>
      </c>
      <c r="O297" t="str">
        <f t="shared" si="72"/>
        <v>✅ CUBIERTO</v>
      </c>
    </row>
    <row r="298" spans="1:15" x14ac:dyDescent="0.3">
      <c r="A298" s="1"/>
      <c r="C298" s="8"/>
      <c r="I298" s="1">
        <v>46022</v>
      </c>
      <c r="J298" s="2" t="str">
        <f t="shared" si="75"/>
        <v>mié</v>
      </c>
      <c r="K298" s="8">
        <v>0.70833333333333304</v>
      </c>
      <c r="L298" t="s">
        <v>4</v>
      </c>
      <c r="M298" t="s">
        <v>4</v>
      </c>
      <c r="O298" t="str">
        <f t="shared" si="72"/>
        <v>✅ CUBIERTO</v>
      </c>
    </row>
    <row r="299" spans="1:15" x14ac:dyDescent="0.3">
      <c r="A299" s="1"/>
      <c r="C299" s="8"/>
      <c r="I299" s="1">
        <v>46022</v>
      </c>
      <c r="J299" s="2" t="str">
        <f t="shared" si="75"/>
        <v>mié</v>
      </c>
      <c r="K299" s="8">
        <v>0.75</v>
      </c>
      <c r="L299" t="s">
        <v>4</v>
      </c>
      <c r="M299" t="s">
        <v>4</v>
      </c>
      <c r="O299" t="str">
        <f t="shared" si="72"/>
        <v>✅ CUBIERTO</v>
      </c>
    </row>
    <row r="300" spans="1:15" x14ac:dyDescent="0.3">
      <c r="A300" s="1"/>
      <c r="C300" s="8"/>
      <c r="I300" s="1">
        <v>46022</v>
      </c>
      <c r="J300" s="2" t="str">
        <f t="shared" si="75"/>
        <v>mié</v>
      </c>
      <c r="K300" s="8">
        <v>0.79166666666666696</v>
      </c>
      <c r="L300" t="s">
        <v>4</v>
      </c>
      <c r="M300" t="s">
        <v>4</v>
      </c>
      <c r="O300" t="str">
        <f t="shared" si="72"/>
        <v>✅ CUBIERTO</v>
      </c>
    </row>
  </sheetData>
  <mergeCells count="2">
    <mergeCell ref="I2:O2"/>
    <mergeCell ref="A2:G2"/>
  </mergeCells>
  <conditionalFormatting sqref="D8:D16 D18">
    <cfRule type="cellIs" dxfId="10" priority="6" operator="greaterThan">
      <formula>132</formula>
    </cfRule>
  </conditionalFormatting>
  <conditionalFormatting sqref="D17">
    <cfRule type="cellIs" dxfId="9" priority="5" operator="greaterThan">
      <formula>132</formula>
    </cfRule>
  </conditionalFormatting>
  <conditionalFormatting sqref="L8:L16 L18">
    <cfRule type="cellIs" dxfId="8" priority="4" operator="greaterThan">
      <formula>132</formula>
    </cfRule>
  </conditionalFormatting>
  <conditionalFormatting sqref="L17">
    <cfRule type="cellIs" dxfId="7" priority="3" operator="greaterThan">
      <formula>132</formula>
    </cfRule>
  </conditionalFormatting>
  <conditionalFormatting sqref="F11">
    <cfRule type="cellIs" dxfId="6" priority="2" operator="greaterThan">
      <formula>$F$9</formula>
    </cfRule>
  </conditionalFormatting>
  <conditionalFormatting sqref="N11">
    <cfRule type="cellIs" dxfId="0" priority="1" operator="greaterThan">
      <formula>$N$9</formula>
    </cfRule>
  </conditionalFormatting>
  <dataValidations count="2">
    <dataValidation type="list" allowBlank="1" showInputMessage="1" showErrorMessage="1" sqref="E121:E125 L22:N300">
      <formula1>$I$8:$I$18</formula1>
    </dataValidation>
    <dataValidation type="list" allowBlank="1" showInputMessage="1" showErrorMessage="1" sqref="D22:D33 D46:D291">
      <formula1>$A$6:$A$15</formula1>
    </dataValidation>
  </dataValidations>
  <pageMargins left="0.7" right="0.7" top="0.75" bottom="0.75" header="0.3" footer="0.3"/>
  <pageSetup orientation="portrait" r:id="rId1"/>
  <ignoredErrors>
    <ignoredError sqref="O238:O246" calculatedColumn="1"/>
  </ignoredErrors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'Resumen zona'!$A$6:$A$16</xm:f>
          </x14:formula1>
          <xm:sqref>D34:D45 F22:F291 E22:E120 E126:E291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O300"/>
  <sheetViews>
    <sheetView topLeftCell="A19" workbookViewId="0">
      <selection activeCell="L30" sqref="L30"/>
    </sheetView>
  </sheetViews>
  <sheetFormatPr baseColWidth="10" defaultRowHeight="14.4" x14ac:dyDescent="0.3"/>
  <cols>
    <col min="1" max="1" width="13.77734375" customWidth="1"/>
    <col min="2" max="2" width="10.5546875" style="2" customWidth="1"/>
    <col min="3" max="3" width="11" style="2" customWidth="1"/>
    <col min="4" max="6" width="13.5546875" customWidth="1"/>
    <col min="7" max="7" width="17.6640625" bestFit="1" customWidth="1"/>
    <col min="9" max="9" width="13.77734375" customWidth="1"/>
    <col min="10" max="10" width="10.5546875" style="2" customWidth="1"/>
    <col min="11" max="11" width="11" style="2" customWidth="1"/>
    <col min="12" max="14" width="13.5546875" customWidth="1"/>
    <col min="15" max="15" width="17.6640625" bestFit="1" customWidth="1"/>
  </cols>
  <sheetData>
    <row r="1" spans="1:15" ht="21" x14ac:dyDescent="0.4">
      <c r="A1" s="26" t="s">
        <v>33</v>
      </c>
      <c r="I1" s="26" t="s">
        <v>33</v>
      </c>
    </row>
    <row r="2" spans="1:15" ht="18" x14ac:dyDescent="0.35">
      <c r="A2" s="42" t="s">
        <v>32</v>
      </c>
      <c r="B2" s="43"/>
      <c r="C2" s="43"/>
      <c r="D2" s="43"/>
      <c r="E2" s="43"/>
      <c r="F2" s="43"/>
      <c r="G2" s="44"/>
      <c r="I2" s="42" t="s">
        <v>29</v>
      </c>
      <c r="J2" s="43"/>
      <c r="K2" s="43"/>
      <c r="L2" s="43"/>
      <c r="M2" s="43"/>
      <c r="N2" s="43"/>
      <c r="O2" s="44"/>
    </row>
    <row r="3" spans="1:15" ht="18" x14ac:dyDescent="0.35">
      <c r="A3" s="5"/>
      <c r="D3" s="25"/>
      <c r="E3" s="13"/>
      <c r="F3" s="25"/>
      <c r="G3" s="13"/>
      <c r="I3" s="5"/>
      <c r="L3" s="25"/>
      <c r="M3" s="13"/>
      <c r="N3" s="25"/>
      <c r="O3" s="13"/>
    </row>
    <row r="4" spans="1:15" x14ac:dyDescent="0.3">
      <c r="A4" s="83" t="s">
        <v>25</v>
      </c>
      <c r="B4" s="84"/>
      <c r="C4" s="85"/>
      <c r="D4" s="15">
        <v>1</v>
      </c>
      <c r="G4" s="2"/>
      <c r="I4" s="83" t="s">
        <v>25</v>
      </c>
      <c r="J4" s="84"/>
      <c r="K4" s="85"/>
      <c r="L4" s="15">
        <v>1</v>
      </c>
      <c r="O4" s="2"/>
    </row>
    <row r="6" spans="1:15" x14ac:dyDescent="0.3">
      <c r="A6" s="4" t="s">
        <v>19</v>
      </c>
      <c r="B6"/>
      <c r="C6"/>
      <c r="I6" s="4" t="s">
        <v>19</v>
      </c>
      <c r="J6"/>
      <c r="K6"/>
    </row>
    <row r="7" spans="1:15" ht="44.55" customHeight="1" x14ac:dyDescent="0.3">
      <c r="A7" s="32" t="s">
        <v>23</v>
      </c>
      <c r="B7" s="32" t="s">
        <v>36</v>
      </c>
      <c r="C7" s="32" t="s">
        <v>37</v>
      </c>
      <c r="D7" s="32" t="s">
        <v>38</v>
      </c>
      <c r="E7" s="70"/>
      <c r="G7" s="27" t="s">
        <v>40</v>
      </c>
      <c r="I7" s="32" t="s">
        <v>23</v>
      </c>
      <c r="J7" s="32" t="s">
        <v>26</v>
      </c>
      <c r="K7" s="32" t="s">
        <v>27</v>
      </c>
      <c r="L7" s="32" t="s">
        <v>31</v>
      </c>
      <c r="M7" s="32" t="s">
        <v>16</v>
      </c>
      <c r="O7" s="27" t="s">
        <v>24</v>
      </c>
    </row>
    <row r="8" spans="1:15" x14ac:dyDescent="0.3">
      <c r="A8" s="3" t="str">
        <f>'Resumen zona'!A6</f>
        <v>Sofía</v>
      </c>
      <c r="B8" s="3">
        <f>SUMPRODUCT((TablaFloridaNov[Vendedora 1]=A8)+(TablaFloridaNov[Vendedora 2]=A8)+(TablaFloridaNov[Vendedora 3]=A8),--(TablaFloridaNov[Día]&lt;&gt;$G$14))
+ SUMPRODUCT((TablaGuemesNov[Vendedora 1]=A8)+(TablaGuemesNov[Vendedora 2]=A8)+(TablaGuemesNov[Vendedora 3]=A8),--(TablaGuemesNov[Día]&lt;&gt;$G$14))
+ SUMPRODUCT((TablaRecoletaNov[Vendedora 1]=A8)+(TablaRecoletaNov[Vendedora 2]=A8)+(TablaRecoletaNov[Vendedora 3]=A8),--(TablaRecoletaNov[Día]&lt;&gt;$G$14))</f>
        <v>143</v>
      </c>
      <c r="C8" s="3">
        <f>SUMPRODUCT((TablaFloridaNov[Vendedora 1]=A8)+(TablaFloridaNov[Vendedora 2]=A8)+(TablaFloridaNov[Vendedora 3]=A8),--(TablaFloridaNov[Día]=$G$14))
+ SUMPRODUCT((TablaGuemesNov[Vendedora 1]=A8)+(TablaGuemesNov[Vendedora 2]=A8)+(TablaGuemesNov[Vendedora 3]=A8),--(TablaGuemesNov[Día]=$G$14))
+ SUMPRODUCT((TablaRecoletaNov[Vendedora 1]=A8)+(TablaRecoletaNov[Vendedora 2]=A8)+(TablaRecoletaNov[Vendedora 3]=A8),--(TablaRecoletaNov[Día]=$G$14))</f>
        <v>9</v>
      </c>
      <c r="D8" s="3">
        <f>SUM(B8:C8)</f>
        <v>152</v>
      </c>
      <c r="E8" s="71"/>
      <c r="G8" s="7" t="s">
        <v>17</v>
      </c>
      <c r="I8" s="3" t="str">
        <f>'Resumen zona'!A25</f>
        <v>Sofía</v>
      </c>
      <c r="J8" s="3">
        <f>COUNTIF(TablaGuemesDic[[Vendedora 1]:[Vendedora 3]],I8)</f>
        <v>9</v>
      </c>
      <c r="K8" s="3"/>
      <c r="L8" s="3">
        <f>J8+K8</f>
        <v>9</v>
      </c>
      <c r="M8" s="3">
        <v>132</v>
      </c>
      <c r="O8" s="7" t="s">
        <v>17</v>
      </c>
    </row>
    <row r="9" spans="1:15" x14ac:dyDescent="0.3">
      <c r="A9" s="3" t="str">
        <f>'Resumen zona'!A7</f>
        <v>Giselle</v>
      </c>
      <c r="B9" s="3">
        <f>SUMPRODUCT((TablaFloridaNov[Vendedora 1]=A9)+(TablaFloridaNov[Vendedora 2]=A9)+(TablaFloridaNov[Vendedora 3]=A9),--(TablaFloridaNov[Día]&lt;&gt;$G$14))
+ SUMPRODUCT((TablaGuemesNov[Vendedora 1]=A9)+(TablaGuemesNov[Vendedora 2]=A9)+(TablaGuemesNov[Vendedora 3]=A9),--(TablaGuemesNov[Día]&lt;&gt;$G$14))
+ SUMPRODUCT((TablaRecoletaNov[Vendedora 1]=A9)+(TablaRecoletaNov[Vendedora 2]=A9)+(TablaRecoletaNov[Vendedora 3]=A9),--(TablaRecoletaNov[Día]&lt;&gt;$G$14))</f>
        <v>0</v>
      </c>
      <c r="C9" s="3">
        <f>SUMPRODUCT((TablaFloridaNov[Vendedora 1]=A9)+(TablaFloridaNov[Vendedora 2]=A9)+(TablaFloridaNov[Vendedora 3]=A9),--(TablaFloridaNov[Día]=$G$14))
+ SUMPRODUCT((TablaGuemesNov[Vendedora 1]=A9)+(TablaGuemesNov[Vendedora 2]=A9)+(TablaGuemesNov[Vendedora 3]=A9),--(TablaGuemesNov[Día]=$G$14))
+ SUMPRODUCT((TablaRecoletaNov[Vendedora 1]=A9)+(TablaRecoletaNov[Vendedora 2]=A9)+(TablaRecoletaNov[Vendedora 3]=A9),--(TablaRecoletaNov[Día]=$G$14))</f>
        <v>0</v>
      </c>
      <c r="D9" s="3">
        <f t="shared" ref="D9:D17" si="0">SUM(B9:C9)</f>
        <v>0</v>
      </c>
      <c r="E9" s="71"/>
      <c r="G9" s="6">
        <f>'Resumen zona'!M6</f>
        <v>300</v>
      </c>
      <c r="I9" s="3" t="str">
        <f>'Resumen zona'!A26</f>
        <v>Giselle</v>
      </c>
      <c r="J9" s="3">
        <f>COUNTIF(TablaGuemesDic[[Vendedora 1]:[Vendedora 3]],I9)</f>
        <v>0</v>
      </c>
      <c r="K9" s="3"/>
      <c r="L9" s="3">
        <f t="shared" ref="L9:L17" si="1">J9+K9</f>
        <v>0</v>
      </c>
      <c r="M9" s="3">
        <v>132</v>
      </c>
      <c r="O9" s="6">
        <v>600</v>
      </c>
    </row>
    <row r="10" spans="1:15" x14ac:dyDescent="0.3">
      <c r="A10" s="3" t="str">
        <f>'Resumen zona'!A8</f>
        <v>Maitena</v>
      </c>
      <c r="B10" s="3">
        <f>SUMPRODUCT((TablaFloridaNov[Vendedora 1]=A10)+(TablaFloridaNov[Vendedora 2]=A10)+(TablaFloridaNov[Vendedora 3]=A10),--(TablaFloridaNov[Día]&lt;&gt;$G$14))
+ SUMPRODUCT((TablaGuemesNov[Vendedora 1]=A10)+(TablaGuemesNov[Vendedora 2]=A10)+(TablaGuemesNov[Vendedora 3]=A10),--(TablaGuemesNov[Día]&lt;&gt;$G$14))
+ SUMPRODUCT((TablaRecoletaNov[Vendedora 1]=A10)+(TablaRecoletaNov[Vendedora 2]=A10)+(TablaRecoletaNov[Vendedora 3]=A10),--(TablaRecoletaNov[Día]&lt;&gt;$G$14))</f>
        <v>504</v>
      </c>
      <c r="C10" s="3">
        <f>SUMPRODUCT((TablaFloridaNov[Vendedora 1]=A10)+(TablaFloridaNov[Vendedora 2]=A10)+(TablaFloridaNov[Vendedora 3]=A10),--(TablaFloridaNov[Día]=$G$14))
+ SUMPRODUCT((TablaGuemesNov[Vendedora 1]=A10)+(TablaGuemesNov[Vendedora 2]=A10)+(TablaGuemesNov[Vendedora 3]=A10),--(TablaGuemesNov[Día]=$G$14))
+ SUMPRODUCT((TablaRecoletaNov[Vendedora 1]=A10)+(TablaRecoletaNov[Vendedora 2]=A10)+(TablaRecoletaNov[Vendedora 3]=A10),--(TablaRecoletaNov[Día]=$G$14))</f>
        <v>8</v>
      </c>
      <c r="D10" s="3">
        <f t="shared" si="0"/>
        <v>512</v>
      </c>
      <c r="E10" s="71"/>
      <c r="G10" s="7" t="s">
        <v>18</v>
      </c>
      <c r="I10" s="3" t="str">
        <f>'Resumen zona'!A27</f>
        <v>Maitena</v>
      </c>
      <c r="J10" s="3">
        <f>COUNTIF(TablaGuemesDic[[Vendedora 1]:[Vendedora 3]],I10)</f>
        <v>204</v>
      </c>
      <c r="K10" s="3">
        <v>4</v>
      </c>
      <c r="L10" s="3">
        <f t="shared" si="1"/>
        <v>208</v>
      </c>
      <c r="M10" s="3">
        <v>132</v>
      </c>
      <c r="O10" s="7" t="s">
        <v>18</v>
      </c>
    </row>
    <row r="11" spans="1:15" x14ac:dyDescent="0.3">
      <c r="A11" s="3" t="str">
        <f>'Resumen zona'!A9</f>
        <v>Candela I.</v>
      </c>
      <c r="B11" s="3">
        <f>SUMPRODUCT((TablaFloridaNov[Vendedora 1]=A11)+(TablaFloridaNov[Vendedora 2]=A11)+(TablaFloridaNov[Vendedora 3]=A11),--(TablaFloridaNov[Día]&lt;&gt;$G$14))
+ SUMPRODUCT((TablaGuemesNov[Vendedora 1]=A11)+(TablaGuemesNov[Vendedora 2]=A11)+(TablaGuemesNov[Vendedora 3]=A11),--(TablaGuemesNov[Día]&lt;&gt;$G$14))
+ SUMPRODUCT((TablaRecoletaNov[Vendedora 1]=A11)+(TablaRecoletaNov[Vendedora 2]=A11)+(TablaRecoletaNov[Vendedora 3]=A11),--(TablaRecoletaNov[Día]&lt;&gt;$G$14))</f>
        <v>12</v>
      </c>
      <c r="C11" s="3">
        <f>SUMPRODUCT((TablaFloridaNov[Vendedora 1]=A11)+(TablaFloridaNov[Vendedora 2]=A11)+(TablaFloridaNov[Vendedora 3]=A11),--(TablaFloridaNov[Día]=$G$14))
+ SUMPRODUCT((TablaGuemesNov[Vendedora 1]=A11)+(TablaGuemesNov[Vendedora 2]=A11)+(TablaGuemesNov[Vendedora 3]=A11),--(TablaGuemesNov[Día]=$G$14))
+ SUMPRODUCT((TablaRecoletaNov[Vendedora 1]=A11)+(TablaRecoletaNov[Vendedora 2]=A11)+(TablaRecoletaNov[Vendedora 3]=A11),--(TablaRecoletaNov[Día]=$G$14))</f>
        <v>0</v>
      </c>
      <c r="D11" s="3">
        <f t="shared" si="0"/>
        <v>12</v>
      </c>
      <c r="E11" s="71"/>
      <c r="G11" s="6">
        <f>COUNTA(D22:F273)</f>
        <v>180</v>
      </c>
      <c r="I11" s="3" t="str">
        <f>'Resumen zona'!A28</f>
        <v>Candela I.</v>
      </c>
      <c r="J11" s="3">
        <f>COUNTIF(TablaGuemesDic[[Vendedora 1]:[Vendedora 3]],I11)</f>
        <v>0</v>
      </c>
      <c r="K11" s="3">
        <v>4</v>
      </c>
      <c r="L11" s="3">
        <f t="shared" si="1"/>
        <v>4</v>
      </c>
      <c r="M11" s="3">
        <v>132</v>
      </c>
      <c r="O11" s="6">
        <f>COUNTA(L22:N246)</f>
        <v>216</v>
      </c>
    </row>
    <row r="12" spans="1:15" x14ac:dyDescent="0.3">
      <c r="A12" s="3" t="str">
        <f>'Resumen zona'!A10</f>
        <v>Luciana</v>
      </c>
      <c r="B12" s="3">
        <f>SUMPRODUCT((TablaFloridaNov[Vendedora 1]=A12)+(TablaFloridaNov[Vendedora 2]=A12)+(TablaFloridaNov[Vendedora 3]=A12),--(TablaFloridaNov[Día]&lt;&gt;$G$14))
+ SUMPRODUCT((TablaGuemesNov[Vendedora 1]=A12)+(TablaGuemesNov[Vendedora 2]=A12)+(TablaGuemesNov[Vendedora 3]=A12),--(TablaGuemesNov[Día]&lt;&gt;$G$14))
+ SUMPRODUCT((TablaRecoletaNov[Vendedora 1]=A12)+(TablaRecoletaNov[Vendedora 2]=A12)+(TablaRecoletaNov[Vendedora 3]=A12),--(TablaRecoletaNov[Día]&lt;&gt;$G$14))</f>
        <v>0</v>
      </c>
      <c r="C12" s="3">
        <f>SUMPRODUCT((TablaFloridaNov[Vendedora 1]=A12)+(TablaFloridaNov[Vendedora 2]=A12)+(TablaFloridaNov[Vendedora 3]=A12),--(TablaFloridaNov[Día]=$G$14))
+ SUMPRODUCT((TablaGuemesNov[Vendedora 1]=A12)+(TablaGuemesNov[Vendedora 2]=A12)+(TablaGuemesNov[Vendedora 3]=A12),--(TablaGuemesNov[Día]=$G$14))
+ SUMPRODUCT((TablaRecoletaNov[Vendedora 1]=A12)+(TablaRecoletaNov[Vendedora 2]=A12)+(TablaRecoletaNov[Vendedora 3]=A12),--(TablaRecoletaNov[Día]=$G$14))</f>
        <v>0</v>
      </c>
      <c r="D12" s="3">
        <f t="shared" si="0"/>
        <v>0</v>
      </c>
      <c r="E12" s="71"/>
      <c r="I12" s="3" t="str">
        <f>'Resumen zona'!A29</f>
        <v>Luciana</v>
      </c>
      <c r="J12" s="3">
        <f>COUNTIF(TablaGuemesDic[[Vendedora 1]:[Vendedora 3]],I12)</f>
        <v>0</v>
      </c>
      <c r="K12" s="3"/>
      <c r="L12" s="3">
        <f t="shared" si="1"/>
        <v>0</v>
      </c>
      <c r="M12" s="3">
        <v>132</v>
      </c>
    </row>
    <row r="13" spans="1:15" x14ac:dyDescent="0.3">
      <c r="A13" s="3" t="str">
        <f>'Resumen zona'!A11</f>
        <v>Bárbara</v>
      </c>
      <c r="B13" s="3">
        <f>SUMPRODUCT((TablaFloridaNov[Vendedora 1]=A13)+(TablaFloridaNov[Vendedora 2]=A13)+(TablaFloridaNov[Vendedora 3]=A13),--(TablaFloridaNov[Día]&lt;&gt;$G$14))
+ SUMPRODUCT((TablaGuemesNov[Vendedora 1]=A13)+(TablaGuemesNov[Vendedora 2]=A13)+(TablaGuemesNov[Vendedora 3]=A13),--(TablaGuemesNov[Día]&lt;&gt;$G$14))
+ SUMPRODUCT((TablaRecoletaNov[Vendedora 1]=A13)+(TablaRecoletaNov[Vendedora 2]=A13)+(TablaRecoletaNov[Vendedora 3]=A13),--(TablaRecoletaNov[Día]&lt;&gt;$G$14))</f>
        <v>0</v>
      </c>
      <c r="C13" s="3">
        <f>SUMPRODUCT((TablaFloridaNov[Vendedora 1]=A13)+(TablaFloridaNov[Vendedora 2]=A13)+(TablaFloridaNov[Vendedora 3]=A13),--(TablaFloridaNov[Día]=$G$14))
+ SUMPRODUCT((TablaGuemesNov[Vendedora 1]=A13)+(TablaGuemesNov[Vendedora 2]=A13)+(TablaGuemesNov[Vendedora 3]=A13),--(TablaGuemesNov[Día]=$G$14))
+ SUMPRODUCT((TablaRecoletaNov[Vendedora 1]=A13)+(TablaRecoletaNov[Vendedora 2]=A13)+(TablaRecoletaNov[Vendedora 3]=A13),--(TablaRecoletaNov[Día]=$G$14))</f>
        <v>0</v>
      </c>
      <c r="D13" s="3">
        <f t="shared" si="0"/>
        <v>0</v>
      </c>
      <c r="E13" s="71"/>
      <c r="G13" s="66" t="s">
        <v>35</v>
      </c>
      <c r="I13" s="3" t="str">
        <f>'Resumen zona'!A30</f>
        <v>Bárbara</v>
      </c>
      <c r="J13" s="3">
        <f>COUNTIF(TablaGuemesDic[[Vendedora 1]:[Vendedora 3]],I13)</f>
        <v>0</v>
      </c>
      <c r="K13" s="3">
        <v>4</v>
      </c>
      <c r="L13" s="3">
        <f t="shared" si="1"/>
        <v>4</v>
      </c>
      <c r="M13" s="3">
        <v>132</v>
      </c>
      <c r="O13" s="66" t="s">
        <v>35</v>
      </c>
    </row>
    <row r="14" spans="1:15" x14ac:dyDescent="0.3">
      <c r="A14" s="3" t="str">
        <f>'Resumen zona'!A12</f>
        <v>Rocío</v>
      </c>
      <c r="B14" s="3">
        <f>SUMPRODUCT((TablaFloridaNov[Vendedora 1]=A14)+(TablaFloridaNov[Vendedora 2]=A14)+(TablaFloridaNov[Vendedora 3]=A14),--(TablaFloridaNov[Día]&lt;&gt;$G$14))
+ SUMPRODUCT((TablaGuemesNov[Vendedora 1]=A14)+(TablaGuemesNov[Vendedora 2]=A14)+(TablaGuemesNov[Vendedora 3]=A14),--(TablaGuemesNov[Día]&lt;&gt;$G$14))
+ SUMPRODUCT((TablaRecoletaNov[Vendedora 1]=A14)+(TablaRecoletaNov[Vendedora 2]=A14)+(TablaRecoletaNov[Vendedora 3]=A14),--(TablaRecoletaNov[Día]&lt;&gt;$G$14))</f>
        <v>68</v>
      </c>
      <c r="C14" s="3">
        <f>SUMPRODUCT((TablaFloridaNov[Vendedora 1]=A14)+(TablaFloridaNov[Vendedora 2]=A14)+(TablaFloridaNov[Vendedora 3]=A14),--(TablaFloridaNov[Día]=$G$14))
+ SUMPRODUCT((TablaGuemesNov[Vendedora 1]=A14)+(TablaGuemesNov[Vendedora 2]=A14)+(TablaGuemesNov[Vendedora 3]=A14),--(TablaGuemesNov[Día]=$G$14))
+ SUMPRODUCT((TablaRecoletaNov[Vendedora 1]=A14)+(TablaRecoletaNov[Vendedora 2]=A14)+(TablaRecoletaNov[Vendedora 3]=A14),--(TablaRecoletaNov[Día]=$G$14))</f>
        <v>11</v>
      </c>
      <c r="D14" s="3">
        <f t="shared" si="0"/>
        <v>79</v>
      </c>
      <c r="E14" s="71"/>
      <c r="G14" s="67">
        <f>'Resumen zona'!K11</f>
        <v>45985</v>
      </c>
      <c r="I14" s="3" t="str">
        <f>'Resumen zona'!A31</f>
        <v>Rocío</v>
      </c>
      <c r="J14" s="3">
        <f>COUNTIF(TablaGuemesDic[[Vendedora 1]:[Vendedora 3]],I14)</f>
        <v>0</v>
      </c>
      <c r="K14" s="3"/>
      <c r="L14" s="3">
        <f t="shared" si="1"/>
        <v>0</v>
      </c>
      <c r="M14" s="3">
        <v>132</v>
      </c>
      <c r="O14" s="67">
        <f>'Resumen zona'!K30</f>
        <v>45999</v>
      </c>
    </row>
    <row r="15" spans="1:15" x14ac:dyDescent="0.3">
      <c r="A15" s="3" t="str">
        <f>'Resumen zona'!A13</f>
        <v>Mailén</v>
      </c>
      <c r="B15" s="3">
        <f>SUMPRODUCT((TablaFloridaNov[Vendedora 1]=A15)+(TablaFloridaNov[Vendedora 2]=A15)+(TablaFloridaNov[Vendedora 3]=A15),--(TablaFloridaNov[Día]&lt;&gt;$G$14))
+ SUMPRODUCT((TablaGuemesNov[Vendedora 1]=A15)+(TablaGuemesNov[Vendedora 2]=A15)+(TablaGuemesNov[Vendedora 3]=A15),--(TablaGuemesNov[Día]&lt;&gt;$G$14))
+ SUMPRODUCT((TablaRecoletaNov[Vendedora 1]=A15)+(TablaRecoletaNov[Vendedora 2]=A15)+(TablaRecoletaNov[Vendedora 3]=A15),--(TablaRecoletaNov[Día]&lt;&gt;$G$14))</f>
        <v>12</v>
      </c>
      <c r="C15" s="3">
        <f>SUMPRODUCT((TablaFloridaNov[Vendedora 1]=A15)+(TablaFloridaNov[Vendedora 2]=A15)+(TablaFloridaNov[Vendedora 3]=A15),--(TablaFloridaNov[Día]=$G$14))
+ SUMPRODUCT((TablaGuemesNov[Vendedora 1]=A15)+(TablaGuemesNov[Vendedora 2]=A15)+(TablaGuemesNov[Vendedora 3]=A15),--(TablaGuemesNov[Día]=$G$14))
+ SUMPRODUCT((TablaRecoletaNov[Vendedora 1]=A15)+(TablaRecoletaNov[Vendedora 2]=A15)+(TablaRecoletaNov[Vendedora 3]=A15),--(TablaRecoletaNov[Día]=$G$14))</f>
        <v>0</v>
      </c>
      <c r="D15" s="3">
        <f t="shared" si="0"/>
        <v>12</v>
      </c>
      <c r="E15" s="71"/>
      <c r="I15" s="3" t="str">
        <f>'Resumen zona'!A32</f>
        <v>Mailén</v>
      </c>
      <c r="J15" s="3">
        <f>COUNTIF(TablaGuemesDic[[Vendedora 1]:[Vendedora 3]],I15)</f>
        <v>3</v>
      </c>
      <c r="K15" s="3">
        <v>4</v>
      </c>
      <c r="L15" s="3">
        <f t="shared" si="1"/>
        <v>7</v>
      </c>
      <c r="M15" s="3">
        <v>132</v>
      </c>
    </row>
    <row r="16" spans="1:15" x14ac:dyDescent="0.3">
      <c r="A16" s="3" t="str">
        <f>'Resumen zona'!A14</f>
        <v>Candela G.</v>
      </c>
      <c r="B16" s="3">
        <f>SUMPRODUCT((TablaFloridaNov[Vendedora 1]=A16)+(TablaFloridaNov[Vendedora 2]=A16)+(TablaFloridaNov[Vendedora 3]=A16),--(TablaFloridaNov[Día]&lt;&gt;$G$14))
+ SUMPRODUCT((TablaGuemesNov[Vendedora 1]=A16)+(TablaGuemesNov[Vendedora 2]=A16)+(TablaGuemesNov[Vendedora 3]=A16),--(TablaGuemesNov[Día]&lt;&gt;$G$14))
+ SUMPRODUCT((TablaRecoletaNov[Vendedora 1]=A16)+(TablaRecoletaNov[Vendedora 2]=A16)+(TablaRecoletaNov[Vendedora 3]=A16),--(TablaRecoletaNov[Día]&lt;&gt;$G$14))</f>
        <v>0</v>
      </c>
      <c r="C16" s="3">
        <f>SUMPRODUCT((TablaFloridaNov[Vendedora 1]=A16)+(TablaFloridaNov[Vendedora 2]=A16)+(TablaFloridaNov[Vendedora 3]=A16),--(TablaFloridaNov[Día]=$G$14))
+ SUMPRODUCT((TablaGuemesNov[Vendedora 1]=A16)+(TablaGuemesNov[Vendedora 2]=A16)+(TablaGuemesNov[Vendedora 3]=A16),--(TablaGuemesNov[Día]=$G$14))
+ SUMPRODUCT((TablaRecoletaNov[Vendedora 1]=A16)+(TablaRecoletaNov[Vendedora 2]=A16)+(TablaRecoletaNov[Vendedora 3]=A16),--(TablaRecoletaNov[Día]=$G$14))</f>
        <v>0</v>
      </c>
      <c r="D16" s="3">
        <f t="shared" si="0"/>
        <v>0</v>
      </c>
      <c r="E16" s="71"/>
      <c r="I16" s="3" t="str">
        <f>'Resumen zona'!A33</f>
        <v>Candela G.</v>
      </c>
      <c r="J16" s="3">
        <f>COUNTIF(TablaGuemesDic[[Vendedora 1]:[Vendedora 3]],I16)</f>
        <v>0</v>
      </c>
      <c r="K16" s="3"/>
      <c r="L16" s="3">
        <f t="shared" si="1"/>
        <v>0</v>
      </c>
      <c r="M16" s="3">
        <v>132</v>
      </c>
    </row>
    <row r="17" spans="1:15" x14ac:dyDescent="0.3">
      <c r="A17" s="3" t="str">
        <f>'Resumen zona'!A15</f>
        <v>Micaela</v>
      </c>
      <c r="B17" s="3">
        <f>SUMPRODUCT((TablaFloridaNov[Vendedora 1]=A17)+(TablaFloridaNov[Vendedora 2]=A17)+(TablaFloridaNov[Vendedora 3]=A17),--(TablaFloridaNov[Día]&lt;&gt;$G$14))
+ SUMPRODUCT((TablaGuemesNov[Vendedora 1]=A17)+(TablaGuemesNov[Vendedora 2]=A17)+(TablaGuemesNov[Vendedora 3]=A17),--(TablaGuemesNov[Día]&lt;&gt;$G$14))
+ SUMPRODUCT((TablaRecoletaNov[Vendedora 1]=A17)+(TablaRecoletaNov[Vendedora 2]=A17)+(TablaRecoletaNov[Vendedora 3]=A17),--(TablaRecoletaNov[Día]&lt;&gt;$G$14))</f>
        <v>72</v>
      </c>
      <c r="C17" s="3">
        <f>SUMPRODUCT((TablaFloridaNov[Vendedora 1]=A17)+(TablaFloridaNov[Vendedora 2]=A17)+(TablaFloridaNov[Vendedora 3]=A17),--(TablaFloridaNov[Día]=$G$14))
+ SUMPRODUCT((TablaGuemesNov[Vendedora 1]=A17)+(TablaGuemesNov[Vendedora 2]=A17)+(TablaGuemesNov[Vendedora 3]=A17),--(TablaGuemesNov[Día]=$G$14))
+ SUMPRODUCT((TablaRecoletaNov[Vendedora 1]=A17)+(TablaRecoletaNov[Vendedora 2]=A17)+(TablaRecoletaNov[Vendedora 3]=A17),--(TablaRecoletaNov[Día]=$G$14))</f>
        <v>5</v>
      </c>
      <c r="D17" s="3">
        <f t="shared" si="0"/>
        <v>77</v>
      </c>
      <c r="E17" s="71"/>
      <c r="I17" s="3" t="str">
        <f>'Resumen zona'!A34</f>
        <v>Micaela</v>
      </c>
      <c r="J17" s="3">
        <f>COUNTIF(TablaGuemesDic[[Vendedora 1]:[Vendedora 3]],I17)</f>
        <v>0</v>
      </c>
      <c r="K17" s="3"/>
      <c r="L17" s="3">
        <f t="shared" si="1"/>
        <v>0</v>
      </c>
      <c r="M17" s="3">
        <v>132</v>
      </c>
    </row>
    <row r="18" spans="1:15" x14ac:dyDescent="0.3">
      <c r="A18" s="3" t="str">
        <f>'Resumen zona'!A16</f>
        <v>[Nueva]</v>
      </c>
      <c r="B18" s="3">
        <f>SUMPRODUCT((TablaFloridaNov[Vendedora 1]=A18)+(TablaFloridaNov[Vendedora 2]=A18)+(TablaFloridaNov[Vendedora 3]=A18),--(TablaFloridaNov[Día]&lt;&gt;$G$14))
+ SUMPRODUCT((TablaGuemesNov[Vendedora 1]=A18)+(TablaGuemesNov[Vendedora 2]=A18)+(TablaGuemesNov[Vendedora 3]=A18),--(TablaGuemesNov[Día]&lt;&gt;$G$14))
+ SUMPRODUCT((TablaRecoletaNov[Vendedora 1]=A18)+(TablaRecoletaNov[Vendedora 2]=A18)+(TablaRecoletaNov[Vendedora 3]=A18),--(TablaRecoletaNov[Día]&lt;&gt;$G$14))</f>
        <v>0</v>
      </c>
      <c r="C18" s="3">
        <f>SUMPRODUCT((TablaFloridaNov[Vendedora 1]=A18)+(TablaFloridaNov[Vendedora 2]=A18)+(TablaFloridaNov[Vendedora 3]=A18),--(TablaFloridaNov[Día]=$G$14))
+ SUMPRODUCT((TablaGuemesNov[Vendedora 1]=A18)+(TablaGuemesNov[Vendedora 2]=A18)+(TablaGuemesNov[Vendedora 3]=A18),--(TablaGuemesNov[Día]=$G$14))
+ SUMPRODUCT((TablaRecoletaNov[Vendedora 1]=A18)+(TablaRecoletaNov[Vendedora 2]=A18)+(TablaRecoletaNov[Vendedora 3]=A18),--(TablaRecoletaNov[Día]=$G$14))</f>
        <v>0</v>
      </c>
      <c r="D18" s="3">
        <f t="shared" ref="D18" si="2">SUM(B18:C18)</f>
        <v>0</v>
      </c>
      <c r="E18" s="69"/>
      <c r="I18" s="3" t="str">
        <f>'Resumen zona'!A35</f>
        <v>[Nueva]</v>
      </c>
      <c r="J18" s="3">
        <f>COUNTIF(TablaGuemesDic[[Vendedora 1]:[Vendedora 3]],I18)</f>
        <v>0</v>
      </c>
      <c r="K18" s="3"/>
      <c r="L18" s="3">
        <f t="shared" ref="L18" si="3">J18+K18</f>
        <v>0</v>
      </c>
      <c r="M18" s="3">
        <v>132</v>
      </c>
    </row>
    <row r="21" spans="1:15" x14ac:dyDescent="0.3">
      <c r="A21" s="9" t="s">
        <v>13</v>
      </c>
      <c r="B21" s="10" t="s">
        <v>20</v>
      </c>
      <c r="C21" s="10" t="s">
        <v>21</v>
      </c>
      <c r="D21" s="82" t="s">
        <v>11</v>
      </c>
      <c r="E21" s="82" t="s">
        <v>12</v>
      </c>
      <c r="F21" s="82" t="s">
        <v>14</v>
      </c>
      <c r="G21" s="12" t="s">
        <v>15</v>
      </c>
      <c r="I21" s="9" t="s">
        <v>13</v>
      </c>
      <c r="J21" s="10" t="s">
        <v>20</v>
      </c>
      <c r="K21" s="10" t="s">
        <v>21</v>
      </c>
      <c r="L21" s="82" t="s">
        <v>11</v>
      </c>
      <c r="M21" s="82" t="s">
        <v>12</v>
      </c>
      <c r="N21" s="82" t="s">
        <v>14</v>
      </c>
      <c r="O21" s="12" t="s">
        <v>15</v>
      </c>
    </row>
    <row r="22" spans="1:15" x14ac:dyDescent="0.3">
      <c r="A22" s="1">
        <v>45964</v>
      </c>
      <c r="B22" s="2" t="str">
        <f t="shared" ref="B22:B66" si="4">TEXT(A22,"ddd")</f>
        <v>lun</v>
      </c>
      <c r="C22" s="8">
        <v>0.375</v>
      </c>
      <c r="D22" t="s">
        <v>3</v>
      </c>
      <c r="G22" t="str">
        <f t="shared" ref="G22:G59" si="5">IF(COUNTIF(D22:F22,"?*")&gt;=$D$4, "✅ CUBIERTO",
 IF(COUNTIF(D22:F22,"?*")&gt;0, "⚠ FALTANTE",
 "❌ SIN COMPLETAR"))</f>
        <v>✅ CUBIERTO</v>
      </c>
      <c r="I22" s="1">
        <v>45992</v>
      </c>
      <c r="J22" s="2" t="str">
        <f>TEXT(I22,"ddd")</f>
        <v>lun</v>
      </c>
      <c r="K22" s="8">
        <v>0.375</v>
      </c>
      <c r="L22" t="s">
        <v>4</v>
      </c>
      <c r="O22" t="str">
        <f t="shared" ref="O22:O53" si="6">IF(COUNTIF(L22:N22,"?*")&gt;=$L$4, "✅ CUBIERTO",
 IF(COUNTIF(L22:N22,"?*")&gt;0, "⚠ FALTANTE",
 "❌ SIN COMPLETAR"))</f>
        <v>✅ CUBIERTO</v>
      </c>
    </row>
    <row r="23" spans="1:15" x14ac:dyDescent="0.3">
      <c r="A23" s="1">
        <v>45964</v>
      </c>
      <c r="B23" s="2" t="str">
        <f t="shared" si="4"/>
        <v>lun</v>
      </c>
      <c r="C23" s="8">
        <v>0.41666666666666669</v>
      </c>
      <c r="D23" t="s">
        <v>3</v>
      </c>
      <c r="G23" t="str">
        <f t="shared" si="5"/>
        <v>✅ CUBIERTO</v>
      </c>
      <c r="I23" s="1">
        <v>45992</v>
      </c>
      <c r="J23" s="2" t="str">
        <f t="shared" ref="J23" si="7">TEXT(I23,"ddd")</f>
        <v>lun</v>
      </c>
      <c r="K23" s="8">
        <v>0.41666666666666669</v>
      </c>
      <c r="L23" t="s">
        <v>4</v>
      </c>
      <c r="O23" t="str">
        <f t="shared" si="6"/>
        <v>✅ CUBIERTO</v>
      </c>
    </row>
    <row r="24" spans="1:15" x14ac:dyDescent="0.3">
      <c r="A24" s="1">
        <v>45964</v>
      </c>
      <c r="B24" s="2" t="str">
        <f t="shared" si="4"/>
        <v>lun</v>
      </c>
      <c r="C24" s="8">
        <v>0.45833333333333331</v>
      </c>
      <c r="D24" t="s">
        <v>3</v>
      </c>
      <c r="G24" t="str">
        <f t="shared" ref="G24:G30" si="8">IF(COUNTIF(D24:F24,"?*")&gt;=$D$4, "✅ CUBIERTO",
 IF(COUNTIF(D24:F24,"?*")&gt;0, "⚠ FALTANTE",
 "❌ SIN COMPLETAR"))</f>
        <v>✅ CUBIERTO</v>
      </c>
      <c r="I24" s="1">
        <v>45992</v>
      </c>
      <c r="J24" s="2" t="str">
        <f>TEXT(I24,"ddd")</f>
        <v>lun</v>
      </c>
      <c r="K24" s="8">
        <v>0.45833333333333331</v>
      </c>
      <c r="L24" t="s">
        <v>4</v>
      </c>
      <c r="O24" t="str">
        <f t="shared" si="6"/>
        <v>✅ CUBIERTO</v>
      </c>
    </row>
    <row r="25" spans="1:15" x14ac:dyDescent="0.3">
      <c r="A25" s="1">
        <v>45964</v>
      </c>
      <c r="B25" s="2" t="str">
        <f t="shared" si="4"/>
        <v>lun</v>
      </c>
      <c r="C25" s="8">
        <v>0.5</v>
      </c>
      <c r="D25" t="s">
        <v>3</v>
      </c>
      <c r="G25" t="str">
        <f t="shared" si="8"/>
        <v>✅ CUBIERTO</v>
      </c>
      <c r="I25" s="1">
        <v>45992</v>
      </c>
      <c r="J25" s="2" t="str">
        <f t="shared" ref="J25:J30" si="9">TEXT(I25,"ddd")</f>
        <v>lun</v>
      </c>
      <c r="K25" s="8">
        <v>0.5</v>
      </c>
      <c r="L25" t="s">
        <v>4</v>
      </c>
      <c r="O25" t="str">
        <f t="shared" si="6"/>
        <v>✅ CUBIERTO</v>
      </c>
    </row>
    <row r="26" spans="1:15" x14ac:dyDescent="0.3">
      <c r="A26" s="1">
        <v>45964</v>
      </c>
      <c r="B26" s="2" t="str">
        <f t="shared" si="4"/>
        <v>lun</v>
      </c>
      <c r="C26" s="8">
        <v>0.54166666666666696</v>
      </c>
      <c r="D26" t="s">
        <v>3</v>
      </c>
      <c r="G26" t="str">
        <f t="shared" si="8"/>
        <v>✅ CUBIERTO</v>
      </c>
      <c r="I26" s="1">
        <v>45992</v>
      </c>
      <c r="J26" s="2" t="str">
        <f t="shared" si="9"/>
        <v>lun</v>
      </c>
      <c r="K26" s="8">
        <v>0.54166666666666696</v>
      </c>
      <c r="L26" t="s">
        <v>4</v>
      </c>
      <c r="O26" t="str">
        <f t="shared" si="6"/>
        <v>✅ CUBIERTO</v>
      </c>
    </row>
    <row r="27" spans="1:15" x14ac:dyDescent="0.3">
      <c r="A27" s="1">
        <v>45964</v>
      </c>
      <c r="B27" s="2" t="str">
        <f t="shared" si="4"/>
        <v>lun</v>
      </c>
      <c r="C27" s="8">
        <v>0.58333333333333304</v>
      </c>
      <c r="D27" t="s">
        <v>3</v>
      </c>
      <c r="G27" t="str">
        <f t="shared" si="8"/>
        <v>✅ CUBIERTO</v>
      </c>
      <c r="I27" s="1">
        <v>45992</v>
      </c>
      <c r="J27" s="2" t="str">
        <f t="shared" si="9"/>
        <v>lun</v>
      </c>
      <c r="K27" s="8">
        <v>0.58333333333333304</v>
      </c>
      <c r="L27" t="s">
        <v>4</v>
      </c>
      <c r="O27" t="str">
        <f t="shared" si="6"/>
        <v>✅ CUBIERTO</v>
      </c>
    </row>
    <row r="28" spans="1:15" x14ac:dyDescent="0.3">
      <c r="A28" s="1">
        <v>45964</v>
      </c>
      <c r="B28" s="2" t="str">
        <f t="shared" si="4"/>
        <v>lun</v>
      </c>
      <c r="C28" s="8">
        <v>0.625</v>
      </c>
      <c r="D28" t="s">
        <v>3</v>
      </c>
      <c r="G28" t="str">
        <f t="shared" si="8"/>
        <v>✅ CUBIERTO</v>
      </c>
      <c r="I28" s="1">
        <v>45992</v>
      </c>
      <c r="J28" s="2" t="str">
        <f t="shared" si="9"/>
        <v>lun</v>
      </c>
      <c r="K28" s="8">
        <v>0.625</v>
      </c>
      <c r="L28" t="s">
        <v>54</v>
      </c>
      <c r="O28" t="str">
        <f t="shared" si="6"/>
        <v>✅ CUBIERTO</v>
      </c>
    </row>
    <row r="29" spans="1:15" x14ac:dyDescent="0.3">
      <c r="A29" s="1">
        <v>45964</v>
      </c>
      <c r="B29" s="2" t="str">
        <f t="shared" si="4"/>
        <v>lun</v>
      </c>
      <c r="C29" s="8">
        <v>0.66666666666666696</v>
      </c>
      <c r="D29" t="s">
        <v>3</v>
      </c>
      <c r="G29" t="str">
        <f t="shared" si="8"/>
        <v>✅ CUBIERTO</v>
      </c>
      <c r="I29" s="1">
        <v>45992</v>
      </c>
      <c r="J29" s="2" t="str">
        <f t="shared" si="9"/>
        <v>lun</v>
      </c>
      <c r="K29" s="8">
        <v>0.66666666666666696</v>
      </c>
      <c r="L29" t="s">
        <v>54</v>
      </c>
      <c r="O29" t="str">
        <f t="shared" si="6"/>
        <v>✅ CUBIERTO</v>
      </c>
    </row>
    <row r="30" spans="1:15" x14ac:dyDescent="0.3">
      <c r="A30" s="1">
        <v>45964</v>
      </c>
      <c r="B30" s="2" t="str">
        <f t="shared" si="4"/>
        <v>lun</v>
      </c>
      <c r="C30" s="8">
        <v>0.70833333333333304</v>
      </c>
      <c r="D30" t="s">
        <v>3</v>
      </c>
      <c r="G30" t="str">
        <f t="shared" si="8"/>
        <v>✅ CUBIERTO</v>
      </c>
      <c r="I30" s="1">
        <v>45992</v>
      </c>
      <c r="J30" s="2" t="str">
        <f t="shared" si="9"/>
        <v>lun</v>
      </c>
      <c r="K30" s="8">
        <v>0.70833333333333304</v>
      </c>
      <c r="L30" t="s">
        <v>54</v>
      </c>
      <c r="O30" t="str">
        <f t="shared" si="6"/>
        <v>✅ CUBIERTO</v>
      </c>
    </row>
    <row r="31" spans="1:15" x14ac:dyDescent="0.3">
      <c r="A31" s="1">
        <v>45965</v>
      </c>
      <c r="B31" s="2" t="str">
        <f t="shared" si="4"/>
        <v>mar</v>
      </c>
      <c r="C31" s="8">
        <v>0.375</v>
      </c>
      <c r="D31" t="s">
        <v>5</v>
      </c>
      <c r="G31" t="str">
        <f t="shared" si="5"/>
        <v>✅ CUBIERTO</v>
      </c>
      <c r="I31" s="1">
        <v>45993</v>
      </c>
      <c r="J31" s="2" t="str">
        <f>TEXT(I31,"ddd")</f>
        <v>mar</v>
      </c>
      <c r="K31" s="8">
        <v>0.375</v>
      </c>
      <c r="L31" t="s">
        <v>4</v>
      </c>
      <c r="O31" t="str">
        <f t="shared" si="6"/>
        <v>✅ CUBIERTO</v>
      </c>
    </row>
    <row r="32" spans="1:15" x14ac:dyDescent="0.3">
      <c r="A32" s="1">
        <v>45965</v>
      </c>
      <c r="B32" s="2" t="str">
        <f t="shared" si="4"/>
        <v>mar</v>
      </c>
      <c r="C32" s="8">
        <v>0.41666666666666669</v>
      </c>
      <c r="D32" t="s">
        <v>5</v>
      </c>
      <c r="G32" t="str">
        <f t="shared" si="5"/>
        <v>✅ CUBIERTO</v>
      </c>
      <c r="I32" s="1">
        <v>45993</v>
      </c>
      <c r="J32" s="2" t="str">
        <f t="shared" ref="J32" si="10">TEXT(I32,"ddd")</f>
        <v>mar</v>
      </c>
      <c r="K32" s="8">
        <v>0.41666666666666669</v>
      </c>
      <c r="L32" t="s">
        <v>4</v>
      </c>
      <c r="O32" t="str">
        <f t="shared" si="6"/>
        <v>✅ CUBIERTO</v>
      </c>
    </row>
    <row r="33" spans="1:15" x14ac:dyDescent="0.3">
      <c r="A33" s="1">
        <v>45965</v>
      </c>
      <c r="B33" s="2" t="str">
        <f t="shared" si="4"/>
        <v>mar</v>
      </c>
      <c r="C33" s="8">
        <v>0.45833333333333331</v>
      </c>
      <c r="D33" t="s">
        <v>5</v>
      </c>
      <c r="G33" t="str">
        <f t="shared" ref="G33:G39" si="11">IF(COUNTIF(D33:F33,"?*")&gt;=$D$4, "✅ CUBIERTO",
 IF(COUNTIF(D33:F33,"?*")&gt;0, "⚠ FALTANTE",
 "❌ SIN COMPLETAR"))</f>
        <v>✅ CUBIERTO</v>
      </c>
      <c r="I33" s="1">
        <v>45993</v>
      </c>
      <c r="J33" s="2" t="str">
        <f>TEXT(I33,"ddd")</f>
        <v>mar</v>
      </c>
      <c r="K33" s="8">
        <v>0.45833333333333331</v>
      </c>
      <c r="L33" t="s">
        <v>4</v>
      </c>
      <c r="O33" t="str">
        <f t="shared" si="6"/>
        <v>✅ CUBIERTO</v>
      </c>
    </row>
    <row r="34" spans="1:15" x14ac:dyDescent="0.3">
      <c r="A34" s="1">
        <v>45965</v>
      </c>
      <c r="B34" s="2" t="str">
        <f t="shared" si="4"/>
        <v>mar</v>
      </c>
      <c r="C34" s="8">
        <v>0.5</v>
      </c>
      <c r="D34" t="s">
        <v>5</v>
      </c>
      <c r="G34" t="str">
        <f t="shared" si="11"/>
        <v>✅ CUBIERTO</v>
      </c>
      <c r="I34" s="1">
        <v>45993</v>
      </c>
      <c r="J34" s="2" t="str">
        <f t="shared" ref="J34:J39" si="12">TEXT(I34,"ddd")</f>
        <v>mar</v>
      </c>
      <c r="K34" s="8">
        <v>0.5</v>
      </c>
      <c r="L34" t="s">
        <v>4</v>
      </c>
      <c r="O34" t="str">
        <f t="shared" si="6"/>
        <v>✅ CUBIERTO</v>
      </c>
    </row>
    <row r="35" spans="1:15" x14ac:dyDescent="0.3">
      <c r="A35" s="1">
        <v>45965</v>
      </c>
      <c r="B35" s="2" t="str">
        <f t="shared" si="4"/>
        <v>mar</v>
      </c>
      <c r="C35" s="8">
        <v>0.54166666666666696</v>
      </c>
      <c r="D35" t="s">
        <v>5</v>
      </c>
      <c r="G35" t="str">
        <f t="shared" si="11"/>
        <v>✅ CUBIERTO</v>
      </c>
      <c r="I35" s="1">
        <v>45993</v>
      </c>
      <c r="J35" s="2" t="str">
        <f t="shared" si="12"/>
        <v>mar</v>
      </c>
      <c r="K35" s="8">
        <v>0.54166666666666696</v>
      </c>
      <c r="L35" t="s">
        <v>4</v>
      </c>
      <c r="O35" t="str">
        <f t="shared" si="6"/>
        <v>✅ CUBIERTO</v>
      </c>
    </row>
    <row r="36" spans="1:15" x14ac:dyDescent="0.3">
      <c r="A36" s="1">
        <v>45965</v>
      </c>
      <c r="B36" s="2" t="str">
        <f t="shared" si="4"/>
        <v>mar</v>
      </c>
      <c r="C36" s="8">
        <v>0.58333333333333304</v>
      </c>
      <c r="D36" t="s">
        <v>5</v>
      </c>
      <c r="G36" t="str">
        <f t="shared" si="11"/>
        <v>✅ CUBIERTO</v>
      </c>
      <c r="I36" s="1">
        <v>45993</v>
      </c>
      <c r="J36" s="2" t="str">
        <f t="shared" si="12"/>
        <v>mar</v>
      </c>
      <c r="K36" s="8">
        <v>0.58333333333333304</v>
      </c>
      <c r="L36" t="s">
        <v>4</v>
      </c>
      <c r="O36" t="str">
        <f t="shared" si="6"/>
        <v>✅ CUBIERTO</v>
      </c>
    </row>
    <row r="37" spans="1:15" x14ac:dyDescent="0.3">
      <c r="A37" s="1">
        <v>45965</v>
      </c>
      <c r="B37" s="2" t="str">
        <f t="shared" si="4"/>
        <v>mar</v>
      </c>
      <c r="C37" s="8">
        <v>0.625</v>
      </c>
      <c r="D37" t="s">
        <v>5</v>
      </c>
      <c r="G37" t="str">
        <f t="shared" si="11"/>
        <v>✅ CUBIERTO</v>
      </c>
      <c r="I37" s="1">
        <v>45993</v>
      </c>
      <c r="J37" s="2" t="str">
        <f t="shared" si="12"/>
        <v>mar</v>
      </c>
      <c r="K37" s="8">
        <v>0.625</v>
      </c>
      <c r="L37" t="s">
        <v>4</v>
      </c>
      <c r="O37" t="str">
        <f t="shared" si="6"/>
        <v>✅ CUBIERTO</v>
      </c>
    </row>
    <row r="38" spans="1:15" x14ac:dyDescent="0.3">
      <c r="A38" s="1">
        <v>45965</v>
      </c>
      <c r="B38" s="2" t="str">
        <f t="shared" si="4"/>
        <v>mar</v>
      </c>
      <c r="C38" s="8">
        <v>0.66666666666666696</v>
      </c>
      <c r="D38" t="s">
        <v>5</v>
      </c>
      <c r="G38" t="str">
        <f t="shared" si="11"/>
        <v>✅ CUBIERTO</v>
      </c>
      <c r="I38" s="1">
        <v>45993</v>
      </c>
      <c r="J38" s="2" t="str">
        <f t="shared" si="12"/>
        <v>mar</v>
      </c>
      <c r="K38" s="8">
        <v>0.66666666666666696</v>
      </c>
      <c r="L38" t="s">
        <v>4</v>
      </c>
      <c r="O38" t="str">
        <f t="shared" si="6"/>
        <v>✅ CUBIERTO</v>
      </c>
    </row>
    <row r="39" spans="1:15" x14ac:dyDescent="0.3">
      <c r="A39" s="1">
        <v>45965</v>
      </c>
      <c r="B39" s="2" t="str">
        <f t="shared" si="4"/>
        <v>mar</v>
      </c>
      <c r="C39" s="8">
        <v>0.70833333333333304</v>
      </c>
      <c r="D39" t="s">
        <v>5</v>
      </c>
      <c r="G39" t="str">
        <f t="shared" si="11"/>
        <v>✅ CUBIERTO</v>
      </c>
      <c r="I39" s="1">
        <v>45993</v>
      </c>
      <c r="J39" s="2" t="str">
        <f t="shared" si="12"/>
        <v>mar</v>
      </c>
      <c r="K39" s="8">
        <v>0.70833333333333304</v>
      </c>
      <c r="L39" t="s">
        <v>4</v>
      </c>
      <c r="O39" t="str">
        <f t="shared" si="6"/>
        <v>✅ CUBIERTO</v>
      </c>
    </row>
    <row r="40" spans="1:15" x14ac:dyDescent="0.3">
      <c r="A40" s="1">
        <v>45966</v>
      </c>
      <c r="B40" s="2" t="str">
        <f t="shared" si="4"/>
        <v>mié</v>
      </c>
      <c r="C40" s="8">
        <v>0.375</v>
      </c>
      <c r="D40" t="s">
        <v>5</v>
      </c>
      <c r="G40" s="37" t="str">
        <f t="shared" si="5"/>
        <v>✅ CUBIERTO</v>
      </c>
      <c r="I40" s="1">
        <v>45994</v>
      </c>
      <c r="J40" s="2" t="str">
        <f>TEXT(I40,"ddd")</f>
        <v>mié</v>
      </c>
      <c r="K40" s="8">
        <v>0.375</v>
      </c>
      <c r="L40" t="s">
        <v>3</v>
      </c>
      <c r="O40" t="str">
        <f t="shared" si="6"/>
        <v>✅ CUBIERTO</v>
      </c>
    </row>
    <row r="41" spans="1:15" x14ac:dyDescent="0.3">
      <c r="A41" s="1">
        <v>45966</v>
      </c>
      <c r="B41" s="2" t="str">
        <f t="shared" si="4"/>
        <v>mié</v>
      </c>
      <c r="C41" s="8">
        <v>0.41666666666666669</v>
      </c>
      <c r="D41" t="s">
        <v>5</v>
      </c>
      <c r="G41" s="37" t="str">
        <f t="shared" si="5"/>
        <v>✅ CUBIERTO</v>
      </c>
      <c r="I41" s="1">
        <v>45994</v>
      </c>
      <c r="J41" s="2" t="str">
        <f t="shared" ref="J41" si="13">TEXT(I41,"ddd")</f>
        <v>mié</v>
      </c>
      <c r="K41" s="8">
        <v>0.41666666666666669</v>
      </c>
      <c r="L41" t="s">
        <v>3</v>
      </c>
      <c r="O41" t="str">
        <f t="shared" si="6"/>
        <v>✅ CUBIERTO</v>
      </c>
    </row>
    <row r="42" spans="1:15" x14ac:dyDescent="0.3">
      <c r="A42" s="1">
        <v>45966</v>
      </c>
      <c r="B42" s="2" t="str">
        <f t="shared" si="4"/>
        <v>mié</v>
      </c>
      <c r="C42" s="8">
        <v>0.45833333333333331</v>
      </c>
      <c r="D42" t="s">
        <v>5</v>
      </c>
      <c r="G42" s="37" t="str">
        <f t="shared" ref="G42:G48" si="14">IF(COUNTIF(D42:F42,"?*")&gt;=$D$4, "✅ CUBIERTO",
 IF(COUNTIF(D42:F42,"?*")&gt;0, "⚠ FALTANTE",
 "❌ SIN COMPLETAR"))</f>
        <v>✅ CUBIERTO</v>
      </c>
      <c r="I42" s="1">
        <v>45994</v>
      </c>
      <c r="J42" s="2" t="str">
        <f>TEXT(I42,"ddd")</f>
        <v>mié</v>
      </c>
      <c r="K42" s="8">
        <v>0.45833333333333331</v>
      </c>
      <c r="L42" t="s">
        <v>3</v>
      </c>
      <c r="O42" t="str">
        <f t="shared" si="6"/>
        <v>✅ CUBIERTO</v>
      </c>
    </row>
    <row r="43" spans="1:15" x14ac:dyDescent="0.3">
      <c r="A43" s="1">
        <v>45966</v>
      </c>
      <c r="B43" s="2" t="str">
        <f t="shared" si="4"/>
        <v>mié</v>
      </c>
      <c r="C43" s="8">
        <v>0.5</v>
      </c>
      <c r="D43" t="s">
        <v>5</v>
      </c>
      <c r="G43" s="37" t="str">
        <f t="shared" si="14"/>
        <v>✅ CUBIERTO</v>
      </c>
      <c r="I43" s="1">
        <v>45994</v>
      </c>
      <c r="J43" s="2" t="str">
        <f t="shared" ref="J43:J48" si="15">TEXT(I43,"ddd")</f>
        <v>mié</v>
      </c>
      <c r="K43" s="8">
        <v>0.5</v>
      </c>
      <c r="L43" t="s">
        <v>3</v>
      </c>
      <c r="O43" t="str">
        <f t="shared" si="6"/>
        <v>✅ CUBIERTO</v>
      </c>
    </row>
    <row r="44" spans="1:15" x14ac:dyDescent="0.3">
      <c r="A44" s="1">
        <v>45966</v>
      </c>
      <c r="B44" s="2" t="str">
        <f t="shared" si="4"/>
        <v>mié</v>
      </c>
      <c r="C44" s="8">
        <v>0.54166666666666696</v>
      </c>
      <c r="D44" t="s">
        <v>5</v>
      </c>
      <c r="G44" s="37" t="str">
        <f t="shared" si="14"/>
        <v>✅ CUBIERTO</v>
      </c>
      <c r="I44" s="1">
        <v>45994</v>
      </c>
      <c r="J44" s="2" t="str">
        <f t="shared" si="15"/>
        <v>mié</v>
      </c>
      <c r="K44" s="8">
        <v>0.54166666666666696</v>
      </c>
      <c r="L44" t="s">
        <v>3</v>
      </c>
      <c r="O44" t="str">
        <f t="shared" si="6"/>
        <v>✅ CUBIERTO</v>
      </c>
    </row>
    <row r="45" spans="1:15" x14ac:dyDescent="0.3">
      <c r="A45" s="1">
        <v>45966</v>
      </c>
      <c r="B45" s="2" t="str">
        <f t="shared" si="4"/>
        <v>mié</v>
      </c>
      <c r="C45" s="8">
        <v>0.58333333333333304</v>
      </c>
      <c r="D45" t="s">
        <v>5</v>
      </c>
      <c r="G45" s="37" t="str">
        <f t="shared" si="14"/>
        <v>✅ CUBIERTO</v>
      </c>
      <c r="I45" s="1">
        <v>45994</v>
      </c>
      <c r="J45" s="2" t="str">
        <f t="shared" si="15"/>
        <v>mié</v>
      </c>
      <c r="K45" s="8">
        <v>0.58333333333333304</v>
      </c>
      <c r="L45" t="s">
        <v>3</v>
      </c>
      <c r="O45" t="str">
        <f t="shared" si="6"/>
        <v>✅ CUBIERTO</v>
      </c>
    </row>
    <row r="46" spans="1:15" x14ac:dyDescent="0.3">
      <c r="A46" s="1">
        <v>45966</v>
      </c>
      <c r="B46" s="2" t="str">
        <f t="shared" si="4"/>
        <v>mié</v>
      </c>
      <c r="C46" s="8">
        <v>0.625</v>
      </c>
      <c r="D46" t="s">
        <v>5</v>
      </c>
      <c r="G46" s="37" t="str">
        <f t="shared" si="14"/>
        <v>✅ CUBIERTO</v>
      </c>
      <c r="I46" s="1">
        <v>45994</v>
      </c>
      <c r="J46" s="2" t="str">
        <f t="shared" si="15"/>
        <v>mié</v>
      </c>
      <c r="K46" s="8">
        <v>0.625</v>
      </c>
      <c r="L46" t="s">
        <v>3</v>
      </c>
      <c r="O46" t="str">
        <f t="shared" si="6"/>
        <v>✅ CUBIERTO</v>
      </c>
    </row>
    <row r="47" spans="1:15" x14ac:dyDescent="0.3">
      <c r="A47" s="1">
        <v>45966</v>
      </c>
      <c r="B47" s="2" t="str">
        <f t="shared" si="4"/>
        <v>mié</v>
      </c>
      <c r="C47" s="8">
        <v>0.66666666666666696</v>
      </c>
      <c r="D47" t="s">
        <v>5</v>
      </c>
      <c r="G47" s="37" t="str">
        <f t="shared" si="14"/>
        <v>✅ CUBIERTO</v>
      </c>
      <c r="I47" s="1">
        <v>45994</v>
      </c>
      <c r="J47" s="2" t="str">
        <f t="shared" si="15"/>
        <v>mié</v>
      </c>
      <c r="K47" s="8">
        <v>0.66666666666666696</v>
      </c>
      <c r="L47" t="s">
        <v>3</v>
      </c>
      <c r="O47" t="str">
        <f t="shared" si="6"/>
        <v>✅ CUBIERTO</v>
      </c>
    </row>
    <row r="48" spans="1:15" x14ac:dyDescent="0.3">
      <c r="A48" s="1">
        <v>45966</v>
      </c>
      <c r="B48" s="2" t="str">
        <f t="shared" si="4"/>
        <v>mié</v>
      </c>
      <c r="C48" s="8">
        <v>0.70833333333333304</v>
      </c>
      <c r="D48" t="s">
        <v>5</v>
      </c>
      <c r="G48" s="37" t="str">
        <f t="shared" si="14"/>
        <v>✅ CUBIERTO</v>
      </c>
      <c r="I48" s="1">
        <v>45994</v>
      </c>
      <c r="J48" s="2" t="str">
        <f t="shared" si="15"/>
        <v>mié</v>
      </c>
      <c r="K48" s="8">
        <v>0.70833333333333304</v>
      </c>
      <c r="L48" t="s">
        <v>3</v>
      </c>
      <c r="O48" t="str">
        <f t="shared" si="6"/>
        <v>✅ CUBIERTO</v>
      </c>
    </row>
    <row r="49" spans="1:15" x14ac:dyDescent="0.3">
      <c r="A49" s="1">
        <v>45967</v>
      </c>
      <c r="B49" s="2" t="str">
        <f t="shared" si="4"/>
        <v>jue</v>
      </c>
      <c r="C49" s="8">
        <v>0.375</v>
      </c>
      <c r="D49" t="s">
        <v>5</v>
      </c>
      <c r="G49" s="37" t="str">
        <f t="shared" si="5"/>
        <v>✅ CUBIERTO</v>
      </c>
      <c r="I49" s="1">
        <v>45995</v>
      </c>
      <c r="J49" s="2" t="str">
        <f>TEXT(I49,"ddd")</f>
        <v>jue</v>
      </c>
      <c r="K49" s="8">
        <v>0.375</v>
      </c>
      <c r="L49" t="s">
        <v>4</v>
      </c>
      <c r="O49" t="str">
        <f t="shared" si="6"/>
        <v>✅ CUBIERTO</v>
      </c>
    </row>
    <row r="50" spans="1:15" x14ac:dyDescent="0.3">
      <c r="A50" s="1">
        <v>45967</v>
      </c>
      <c r="B50" s="2" t="str">
        <f t="shared" si="4"/>
        <v>jue</v>
      </c>
      <c r="C50" s="8">
        <v>0.41666666666666669</v>
      </c>
      <c r="D50" t="s">
        <v>5</v>
      </c>
      <c r="G50" s="37" t="str">
        <f t="shared" si="5"/>
        <v>✅ CUBIERTO</v>
      </c>
      <c r="I50" s="1">
        <v>45995</v>
      </c>
      <c r="J50" s="2" t="str">
        <f t="shared" ref="J50" si="16">TEXT(I50,"ddd")</f>
        <v>jue</v>
      </c>
      <c r="K50" s="8">
        <v>0.41666666666666669</v>
      </c>
      <c r="L50" t="s">
        <v>4</v>
      </c>
      <c r="O50" t="str">
        <f t="shared" si="6"/>
        <v>✅ CUBIERTO</v>
      </c>
    </row>
    <row r="51" spans="1:15" x14ac:dyDescent="0.3">
      <c r="A51" s="1">
        <v>45967</v>
      </c>
      <c r="B51" s="2" t="str">
        <f t="shared" si="4"/>
        <v>jue</v>
      </c>
      <c r="C51" s="8">
        <v>0.45833333333333331</v>
      </c>
      <c r="D51" t="s">
        <v>5</v>
      </c>
      <c r="G51" s="37" t="str">
        <f t="shared" ref="G51:G57" si="17">IF(COUNTIF(D51:F51,"?*")&gt;=$D$4, "✅ CUBIERTO",
 IF(COUNTIF(D51:F51,"?*")&gt;0, "⚠ FALTANTE",
 "❌ SIN COMPLETAR"))</f>
        <v>✅ CUBIERTO</v>
      </c>
      <c r="I51" s="1">
        <v>45995</v>
      </c>
      <c r="J51" s="2" t="str">
        <f>TEXT(I51,"ddd")</f>
        <v>jue</v>
      </c>
      <c r="K51" s="8">
        <v>0.45833333333333331</v>
      </c>
      <c r="L51" t="s">
        <v>4</v>
      </c>
      <c r="O51" t="str">
        <f t="shared" si="6"/>
        <v>✅ CUBIERTO</v>
      </c>
    </row>
    <row r="52" spans="1:15" x14ac:dyDescent="0.3">
      <c r="A52" s="1">
        <v>45967</v>
      </c>
      <c r="B52" s="2" t="str">
        <f t="shared" si="4"/>
        <v>jue</v>
      </c>
      <c r="C52" s="8">
        <v>0.5</v>
      </c>
      <c r="D52" t="s">
        <v>5</v>
      </c>
      <c r="G52" s="37" t="str">
        <f t="shared" si="17"/>
        <v>✅ CUBIERTO</v>
      </c>
      <c r="I52" s="1">
        <v>45995</v>
      </c>
      <c r="J52" s="2" t="str">
        <f t="shared" ref="J52:J57" si="18">TEXT(I52,"ddd")</f>
        <v>jue</v>
      </c>
      <c r="K52" s="8">
        <v>0.5</v>
      </c>
      <c r="L52" t="s">
        <v>4</v>
      </c>
      <c r="O52" t="str">
        <f t="shared" si="6"/>
        <v>✅ CUBIERTO</v>
      </c>
    </row>
    <row r="53" spans="1:15" x14ac:dyDescent="0.3">
      <c r="A53" s="1">
        <v>45967</v>
      </c>
      <c r="B53" s="2" t="str">
        <f t="shared" si="4"/>
        <v>jue</v>
      </c>
      <c r="C53" s="8">
        <v>0.54166666666666696</v>
      </c>
      <c r="D53" t="s">
        <v>5</v>
      </c>
      <c r="G53" s="37" t="str">
        <f t="shared" si="17"/>
        <v>✅ CUBIERTO</v>
      </c>
      <c r="I53" s="1">
        <v>45995</v>
      </c>
      <c r="J53" s="2" t="str">
        <f t="shared" si="18"/>
        <v>jue</v>
      </c>
      <c r="K53" s="8">
        <v>0.54166666666666696</v>
      </c>
      <c r="L53" t="s">
        <v>4</v>
      </c>
      <c r="O53" t="str">
        <f t="shared" si="6"/>
        <v>✅ CUBIERTO</v>
      </c>
    </row>
    <row r="54" spans="1:15" x14ac:dyDescent="0.3">
      <c r="A54" s="1">
        <v>45967</v>
      </c>
      <c r="B54" s="2" t="str">
        <f t="shared" si="4"/>
        <v>jue</v>
      </c>
      <c r="C54" s="8">
        <v>0.58333333333333304</v>
      </c>
      <c r="D54" t="s">
        <v>5</v>
      </c>
      <c r="G54" s="37" t="str">
        <f t="shared" si="17"/>
        <v>✅ CUBIERTO</v>
      </c>
      <c r="I54" s="1">
        <v>45995</v>
      </c>
      <c r="J54" s="2" t="str">
        <f t="shared" si="18"/>
        <v>jue</v>
      </c>
      <c r="K54" s="8">
        <v>0.58333333333333304</v>
      </c>
      <c r="L54" t="s">
        <v>4</v>
      </c>
      <c r="O54" t="str">
        <f t="shared" ref="O54:O85" si="19">IF(COUNTIF(L54:N54,"?*")&gt;=$L$4, "✅ CUBIERTO",
 IF(COUNTIF(L54:N54,"?*")&gt;0, "⚠ FALTANTE",
 "❌ SIN COMPLETAR"))</f>
        <v>✅ CUBIERTO</v>
      </c>
    </row>
    <row r="55" spans="1:15" x14ac:dyDescent="0.3">
      <c r="A55" s="1">
        <v>45967</v>
      </c>
      <c r="B55" s="2" t="str">
        <f t="shared" si="4"/>
        <v>jue</v>
      </c>
      <c r="C55" s="8">
        <v>0.625</v>
      </c>
      <c r="D55" t="s">
        <v>5</v>
      </c>
      <c r="G55" s="37" t="str">
        <f t="shared" si="17"/>
        <v>✅ CUBIERTO</v>
      </c>
      <c r="I55" s="1">
        <v>45995</v>
      </c>
      <c r="J55" s="2" t="str">
        <f t="shared" si="18"/>
        <v>jue</v>
      </c>
      <c r="K55" s="8">
        <v>0.625</v>
      </c>
      <c r="L55" t="s">
        <v>4</v>
      </c>
      <c r="O55" t="str">
        <f t="shared" si="19"/>
        <v>✅ CUBIERTO</v>
      </c>
    </row>
    <row r="56" spans="1:15" x14ac:dyDescent="0.3">
      <c r="A56" s="1">
        <v>45967</v>
      </c>
      <c r="B56" s="2" t="str">
        <f t="shared" si="4"/>
        <v>jue</v>
      </c>
      <c r="C56" s="8">
        <v>0.66666666666666696</v>
      </c>
      <c r="D56" t="s">
        <v>5</v>
      </c>
      <c r="G56" s="37" t="str">
        <f t="shared" si="17"/>
        <v>✅ CUBIERTO</v>
      </c>
      <c r="I56" s="1">
        <v>45995</v>
      </c>
      <c r="J56" s="2" t="str">
        <f t="shared" si="18"/>
        <v>jue</v>
      </c>
      <c r="K56" s="8">
        <v>0.66666666666666696</v>
      </c>
      <c r="L56" t="s">
        <v>4</v>
      </c>
      <c r="O56" t="str">
        <f t="shared" si="19"/>
        <v>✅ CUBIERTO</v>
      </c>
    </row>
    <row r="57" spans="1:15" x14ac:dyDescent="0.3">
      <c r="A57" s="1">
        <v>45967</v>
      </c>
      <c r="B57" s="2" t="str">
        <f t="shared" si="4"/>
        <v>jue</v>
      </c>
      <c r="C57" s="8">
        <v>0.70833333333333304</v>
      </c>
      <c r="D57" t="s">
        <v>5</v>
      </c>
      <c r="G57" s="37" t="str">
        <f t="shared" si="17"/>
        <v>✅ CUBIERTO</v>
      </c>
      <c r="I57" s="1">
        <v>45995</v>
      </c>
      <c r="J57" s="2" t="str">
        <f t="shared" si="18"/>
        <v>jue</v>
      </c>
      <c r="K57" s="8">
        <v>0.70833333333333304</v>
      </c>
      <c r="L57" t="s">
        <v>4</v>
      </c>
      <c r="O57" t="str">
        <f t="shared" si="19"/>
        <v>✅ CUBIERTO</v>
      </c>
    </row>
    <row r="58" spans="1:15" x14ac:dyDescent="0.3">
      <c r="A58" s="1">
        <v>45968</v>
      </c>
      <c r="B58" s="2" t="str">
        <f t="shared" si="4"/>
        <v>vie</v>
      </c>
      <c r="C58" s="8">
        <v>0.375</v>
      </c>
      <c r="D58" t="s">
        <v>5</v>
      </c>
      <c r="G58" s="37" t="str">
        <f t="shared" si="5"/>
        <v>✅ CUBIERTO</v>
      </c>
      <c r="I58" s="1">
        <v>45996</v>
      </c>
      <c r="J58" s="2" t="str">
        <f>TEXT(I58,"ddd")</f>
        <v>vie</v>
      </c>
      <c r="K58" s="8">
        <v>0.375</v>
      </c>
      <c r="L58" t="s">
        <v>4</v>
      </c>
      <c r="O58" t="str">
        <f t="shared" si="19"/>
        <v>✅ CUBIERTO</v>
      </c>
    </row>
    <row r="59" spans="1:15" x14ac:dyDescent="0.3">
      <c r="A59" s="1">
        <v>45968</v>
      </c>
      <c r="B59" s="2" t="str">
        <f t="shared" si="4"/>
        <v>vie</v>
      </c>
      <c r="C59" s="8">
        <v>0.41666666666666669</v>
      </c>
      <c r="D59" t="s">
        <v>3</v>
      </c>
      <c r="G59" s="37" t="str">
        <f t="shared" si="5"/>
        <v>✅ CUBIERTO</v>
      </c>
      <c r="I59" s="1">
        <v>45996</v>
      </c>
      <c r="J59" s="2" t="str">
        <f t="shared" ref="J59" si="20">TEXT(I59,"ddd")</f>
        <v>vie</v>
      </c>
      <c r="K59" s="8">
        <v>0.41666666666666669</v>
      </c>
      <c r="L59" t="s">
        <v>4</v>
      </c>
      <c r="O59" t="str">
        <f t="shared" si="19"/>
        <v>✅ CUBIERTO</v>
      </c>
    </row>
    <row r="60" spans="1:15" x14ac:dyDescent="0.3">
      <c r="A60" s="1">
        <v>45968</v>
      </c>
      <c r="B60" s="2" t="str">
        <f t="shared" si="4"/>
        <v>vie</v>
      </c>
      <c r="C60" s="8">
        <v>0.45833333333333331</v>
      </c>
      <c r="D60" t="s">
        <v>3</v>
      </c>
      <c r="G60" s="37" t="str">
        <f t="shared" ref="G60:G66" si="21">IF(COUNTIF(D60:F60,"?*")&gt;=$D$4, "✅ CUBIERTO",
 IF(COUNTIF(D60:F60,"?*")&gt;0, "⚠ FALTANTE",
 "❌ SIN COMPLETAR"))</f>
        <v>✅ CUBIERTO</v>
      </c>
      <c r="I60" s="1">
        <v>45996</v>
      </c>
      <c r="J60" s="2" t="str">
        <f>TEXT(I60,"ddd")</f>
        <v>vie</v>
      </c>
      <c r="K60" s="8">
        <v>0.45833333333333331</v>
      </c>
      <c r="L60" t="s">
        <v>4</v>
      </c>
      <c r="O60" t="str">
        <f t="shared" si="19"/>
        <v>✅ CUBIERTO</v>
      </c>
    </row>
    <row r="61" spans="1:15" x14ac:dyDescent="0.3">
      <c r="A61" s="1">
        <v>45968</v>
      </c>
      <c r="B61" s="2" t="str">
        <f t="shared" si="4"/>
        <v>vie</v>
      </c>
      <c r="C61" s="8">
        <v>0.5</v>
      </c>
      <c r="D61" t="s">
        <v>3</v>
      </c>
      <c r="G61" s="37" t="str">
        <f t="shared" si="21"/>
        <v>✅ CUBIERTO</v>
      </c>
      <c r="I61" s="1">
        <v>45996</v>
      </c>
      <c r="J61" s="2" t="str">
        <f t="shared" ref="J61:J66" si="22">TEXT(I61,"ddd")</f>
        <v>vie</v>
      </c>
      <c r="K61" s="8">
        <v>0.5</v>
      </c>
      <c r="L61" t="s">
        <v>4</v>
      </c>
      <c r="O61" t="str">
        <f t="shared" si="19"/>
        <v>✅ CUBIERTO</v>
      </c>
    </row>
    <row r="62" spans="1:15" x14ac:dyDescent="0.3">
      <c r="A62" s="1">
        <v>45968</v>
      </c>
      <c r="B62" s="2" t="str">
        <f t="shared" si="4"/>
        <v>vie</v>
      </c>
      <c r="C62" s="8">
        <v>0.54166666666666696</v>
      </c>
      <c r="D62" t="s">
        <v>3</v>
      </c>
      <c r="G62" s="37" t="str">
        <f t="shared" si="21"/>
        <v>✅ CUBIERTO</v>
      </c>
      <c r="I62" s="1">
        <v>45996</v>
      </c>
      <c r="J62" s="2" t="str">
        <f t="shared" si="22"/>
        <v>vie</v>
      </c>
      <c r="K62" s="8">
        <v>0.54166666666666696</v>
      </c>
      <c r="L62" t="s">
        <v>4</v>
      </c>
      <c r="O62" t="str">
        <f t="shared" si="19"/>
        <v>✅ CUBIERTO</v>
      </c>
    </row>
    <row r="63" spans="1:15" x14ac:dyDescent="0.3">
      <c r="A63" s="1">
        <v>45968</v>
      </c>
      <c r="B63" s="2" t="str">
        <f t="shared" si="4"/>
        <v>vie</v>
      </c>
      <c r="C63" s="8">
        <v>0.58333333333333304</v>
      </c>
      <c r="D63" t="s">
        <v>3</v>
      </c>
      <c r="G63" s="37" t="str">
        <f t="shared" si="21"/>
        <v>✅ CUBIERTO</v>
      </c>
      <c r="I63" s="1">
        <v>45996</v>
      </c>
      <c r="J63" s="2" t="str">
        <f t="shared" si="22"/>
        <v>vie</v>
      </c>
      <c r="K63" s="8">
        <v>0.58333333333333304</v>
      </c>
      <c r="L63" t="s">
        <v>4</v>
      </c>
      <c r="O63" t="str">
        <f t="shared" si="19"/>
        <v>✅ CUBIERTO</v>
      </c>
    </row>
    <row r="64" spans="1:15" x14ac:dyDescent="0.3">
      <c r="A64" s="1">
        <v>45968</v>
      </c>
      <c r="B64" s="2" t="str">
        <f t="shared" si="4"/>
        <v>vie</v>
      </c>
      <c r="C64" s="8">
        <v>0.625</v>
      </c>
      <c r="D64" t="s">
        <v>3</v>
      </c>
      <c r="G64" s="37" t="str">
        <f t="shared" si="21"/>
        <v>✅ CUBIERTO</v>
      </c>
      <c r="I64" s="1">
        <v>45996</v>
      </c>
      <c r="J64" s="2" t="str">
        <f t="shared" si="22"/>
        <v>vie</v>
      </c>
      <c r="K64" s="8">
        <v>0.625</v>
      </c>
      <c r="L64" t="s">
        <v>4</v>
      </c>
      <c r="O64" t="str">
        <f t="shared" si="19"/>
        <v>✅ CUBIERTO</v>
      </c>
    </row>
    <row r="65" spans="1:15" x14ac:dyDescent="0.3">
      <c r="A65" s="1">
        <v>45968</v>
      </c>
      <c r="B65" s="2" t="str">
        <f t="shared" si="4"/>
        <v>vie</v>
      </c>
      <c r="C65" s="8">
        <v>0.66666666666666696</v>
      </c>
      <c r="D65" t="s">
        <v>3</v>
      </c>
      <c r="G65" s="37" t="str">
        <f t="shared" si="21"/>
        <v>✅ CUBIERTO</v>
      </c>
      <c r="I65" s="1">
        <v>45996</v>
      </c>
      <c r="J65" s="2" t="str">
        <f t="shared" si="22"/>
        <v>vie</v>
      </c>
      <c r="K65" s="8">
        <v>0.66666666666666696</v>
      </c>
      <c r="L65" t="s">
        <v>4</v>
      </c>
      <c r="O65" t="str">
        <f t="shared" si="19"/>
        <v>✅ CUBIERTO</v>
      </c>
    </row>
    <row r="66" spans="1:15" x14ac:dyDescent="0.3">
      <c r="A66" s="1">
        <v>45968</v>
      </c>
      <c r="B66" s="2" t="str">
        <f t="shared" si="4"/>
        <v>vie</v>
      </c>
      <c r="C66" s="8">
        <v>0.70833333333333304</v>
      </c>
      <c r="D66" t="s">
        <v>3</v>
      </c>
      <c r="G66" s="37" t="str">
        <f t="shared" si="21"/>
        <v>✅ CUBIERTO</v>
      </c>
      <c r="I66" s="1">
        <v>45996</v>
      </c>
      <c r="J66" s="2" t="str">
        <f t="shared" si="22"/>
        <v>vie</v>
      </c>
      <c r="K66" s="8">
        <v>0.70833333333333304</v>
      </c>
      <c r="L66" t="s">
        <v>4</v>
      </c>
      <c r="O66" t="str">
        <f t="shared" si="19"/>
        <v>✅ CUBIERTO</v>
      </c>
    </row>
    <row r="67" spans="1:15" x14ac:dyDescent="0.3">
      <c r="A67" s="1">
        <v>45971</v>
      </c>
      <c r="B67" s="2" t="str">
        <f>TEXT(A67,"ddd")</f>
        <v>lun</v>
      </c>
      <c r="C67" s="8">
        <v>0.375</v>
      </c>
      <c r="D67" t="s">
        <v>3</v>
      </c>
      <c r="G67" s="37" t="str">
        <f>IF(COUNTIF(D67:F67,"?*")&gt;=$D$4, "✅ CUBIERTO",
 IF(COUNTIF(D67:F67,"?*")&gt;0, "⚠ FALTANTE",
 "❌ SIN COMPLETAR"))</f>
        <v>✅ CUBIERTO</v>
      </c>
      <c r="I67" s="16">
        <v>45999</v>
      </c>
      <c r="J67" s="17" t="str">
        <f>TEXT(I67,"ddd")</f>
        <v>lun</v>
      </c>
      <c r="K67" s="35">
        <v>0.375</v>
      </c>
      <c r="L67" s="19" t="s">
        <v>4</v>
      </c>
      <c r="M67" s="19"/>
      <c r="N67" s="19"/>
      <c r="O67" s="19" t="str">
        <f t="shared" si="19"/>
        <v>✅ CUBIERTO</v>
      </c>
    </row>
    <row r="68" spans="1:15" x14ac:dyDescent="0.3">
      <c r="A68" s="1">
        <v>45971</v>
      </c>
      <c r="B68" s="2" t="str">
        <f t="shared" ref="B68:B111" si="23">TEXT(A68,"ddd")</f>
        <v>lun</v>
      </c>
      <c r="C68" s="8">
        <v>0.41666666666666669</v>
      </c>
      <c r="D68" t="s">
        <v>3</v>
      </c>
      <c r="G68" s="37" t="str">
        <f t="shared" ref="G68:G104" si="24">IF(COUNTIF(D68:F68,"?*")&gt;=$D$4, "✅ CUBIERTO",
 IF(COUNTIF(D68:F68,"?*")&gt;0, "⚠ FALTANTE",
 "❌ SIN COMPLETAR"))</f>
        <v>✅ CUBIERTO</v>
      </c>
      <c r="I68" s="16">
        <v>45999</v>
      </c>
      <c r="J68" s="17" t="str">
        <f t="shared" ref="J68" si="25">TEXT(I68,"ddd")</f>
        <v>lun</v>
      </c>
      <c r="K68" s="35">
        <v>0.41666666666666669</v>
      </c>
      <c r="L68" s="19" t="s">
        <v>4</v>
      </c>
      <c r="M68" s="19"/>
      <c r="N68" s="19"/>
      <c r="O68" s="19" t="str">
        <f t="shared" si="19"/>
        <v>✅ CUBIERTO</v>
      </c>
    </row>
    <row r="69" spans="1:15" x14ac:dyDescent="0.3">
      <c r="A69" s="1">
        <v>45971</v>
      </c>
      <c r="B69" s="2" t="str">
        <f>TEXT(A69,"ddd")</f>
        <v>lun</v>
      </c>
      <c r="C69" s="8">
        <v>0.45833333333333331</v>
      </c>
      <c r="D69" t="s">
        <v>3</v>
      </c>
      <c r="G69" s="37" t="str">
        <f>IF(COUNTIF(D69:F69,"?*")&gt;=$D$4, "✅ CUBIERTO",
 IF(COUNTIF(D69:F69,"?*")&gt;0, "⚠ FALTANTE",
 "❌ SIN COMPLETAR"))</f>
        <v>✅ CUBIERTO</v>
      </c>
      <c r="I69" s="16">
        <v>45999</v>
      </c>
      <c r="J69" s="17" t="str">
        <f>TEXT(I69,"ddd")</f>
        <v>lun</v>
      </c>
      <c r="K69" s="18">
        <v>0.45833333333333331</v>
      </c>
      <c r="L69" s="19" t="s">
        <v>4</v>
      </c>
      <c r="M69" s="19"/>
      <c r="N69" s="19"/>
      <c r="O69" s="19" t="str">
        <f t="shared" si="19"/>
        <v>✅ CUBIERTO</v>
      </c>
    </row>
    <row r="70" spans="1:15" x14ac:dyDescent="0.3">
      <c r="A70" s="1">
        <v>45971</v>
      </c>
      <c r="B70" s="2" t="str">
        <f t="shared" si="23"/>
        <v>lun</v>
      </c>
      <c r="C70" s="8">
        <v>0.5</v>
      </c>
      <c r="D70" t="s">
        <v>3</v>
      </c>
      <c r="G70" s="37" t="str">
        <f t="shared" ref="G70:G75" si="26">IF(COUNTIF(D70:F70,"?*")&gt;=$D$4, "✅ CUBIERTO",
 IF(COUNTIF(D70:F70,"?*")&gt;0, "⚠ FALTANTE",
 "❌ SIN COMPLETAR"))</f>
        <v>✅ CUBIERTO</v>
      </c>
      <c r="I70" s="16">
        <v>45999</v>
      </c>
      <c r="J70" s="17" t="str">
        <f t="shared" ref="J70:J75" si="27">TEXT(I70,"ddd")</f>
        <v>lun</v>
      </c>
      <c r="K70" s="18">
        <v>0.5</v>
      </c>
      <c r="L70" s="19" t="s">
        <v>4</v>
      </c>
      <c r="M70" s="19"/>
      <c r="N70" s="19"/>
      <c r="O70" s="19" t="str">
        <f t="shared" si="19"/>
        <v>✅ CUBIERTO</v>
      </c>
    </row>
    <row r="71" spans="1:15" x14ac:dyDescent="0.3">
      <c r="A71" s="1">
        <v>45971</v>
      </c>
      <c r="B71" s="2" t="str">
        <f t="shared" si="23"/>
        <v>lun</v>
      </c>
      <c r="C71" s="8">
        <v>0.54166666666666696</v>
      </c>
      <c r="D71" t="s">
        <v>3</v>
      </c>
      <c r="G71" s="37" t="str">
        <f t="shared" si="26"/>
        <v>✅ CUBIERTO</v>
      </c>
      <c r="I71" s="16">
        <v>45999</v>
      </c>
      <c r="J71" s="17" t="str">
        <f t="shared" si="27"/>
        <v>lun</v>
      </c>
      <c r="K71" s="18">
        <v>0.54166666666666696</v>
      </c>
      <c r="L71" s="19" t="s">
        <v>4</v>
      </c>
      <c r="M71" s="19"/>
      <c r="N71" s="19"/>
      <c r="O71" s="19" t="str">
        <f t="shared" si="19"/>
        <v>✅ CUBIERTO</v>
      </c>
    </row>
    <row r="72" spans="1:15" x14ac:dyDescent="0.3">
      <c r="A72" s="1">
        <v>45971</v>
      </c>
      <c r="B72" s="2" t="str">
        <f t="shared" si="23"/>
        <v>lun</v>
      </c>
      <c r="C72" s="8">
        <v>0.58333333333333304</v>
      </c>
      <c r="D72" t="s">
        <v>3</v>
      </c>
      <c r="G72" s="37" t="str">
        <f t="shared" si="26"/>
        <v>✅ CUBIERTO</v>
      </c>
      <c r="I72" s="16">
        <v>45999</v>
      </c>
      <c r="J72" s="17" t="str">
        <f t="shared" si="27"/>
        <v>lun</v>
      </c>
      <c r="K72" s="18">
        <v>0.58333333333333304</v>
      </c>
      <c r="L72" s="19" t="s">
        <v>4</v>
      </c>
      <c r="M72" s="19"/>
      <c r="N72" s="19"/>
      <c r="O72" s="19" t="str">
        <f t="shared" si="19"/>
        <v>✅ CUBIERTO</v>
      </c>
    </row>
    <row r="73" spans="1:15" x14ac:dyDescent="0.3">
      <c r="A73" s="1">
        <v>45971</v>
      </c>
      <c r="B73" s="2" t="str">
        <f t="shared" si="23"/>
        <v>lun</v>
      </c>
      <c r="C73" s="8">
        <v>0.625</v>
      </c>
      <c r="D73" t="s">
        <v>3</v>
      </c>
      <c r="G73" s="37" t="str">
        <f t="shared" si="26"/>
        <v>✅ CUBIERTO</v>
      </c>
      <c r="I73" s="16">
        <v>45999</v>
      </c>
      <c r="J73" s="17" t="str">
        <f t="shared" si="27"/>
        <v>lun</v>
      </c>
      <c r="K73" s="18">
        <v>0.625</v>
      </c>
      <c r="L73" s="19" t="s">
        <v>4</v>
      </c>
      <c r="M73" s="19"/>
      <c r="N73" s="19"/>
      <c r="O73" s="19" t="str">
        <f t="shared" si="19"/>
        <v>✅ CUBIERTO</v>
      </c>
    </row>
    <row r="74" spans="1:15" x14ac:dyDescent="0.3">
      <c r="A74" s="1">
        <v>45971</v>
      </c>
      <c r="B74" s="2" t="str">
        <f t="shared" si="23"/>
        <v>lun</v>
      </c>
      <c r="C74" s="8">
        <v>0.66666666666666696</v>
      </c>
      <c r="D74" t="s">
        <v>3</v>
      </c>
      <c r="G74" s="37" t="str">
        <f t="shared" si="26"/>
        <v>✅ CUBIERTO</v>
      </c>
      <c r="I74" s="16">
        <v>45999</v>
      </c>
      <c r="J74" s="17" t="str">
        <f t="shared" si="27"/>
        <v>lun</v>
      </c>
      <c r="K74" s="18">
        <v>0.66666666666666696</v>
      </c>
      <c r="L74" s="19" t="s">
        <v>4</v>
      </c>
      <c r="M74" s="19"/>
      <c r="N74" s="19"/>
      <c r="O74" s="19" t="str">
        <f t="shared" si="19"/>
        <v>✅ CUBIERTO</v>
      </c>
    </row>
    <row r="75" spans="1:15" x14ac:dyDescent="0.3">
      <c r="A75" s="1">
        <v>45971</v>
      </c>
      <c r="B75" s="2" t="str">
        <f t="shared" si="23"/>
        <v>lun</v>
      </c>
      <c r="C75" s="8">
        <v>0.70833333333333304</v>
      </c>
      <c r="D75" t="s">
        <v>3</v>
      </c>
      <c r="G75" s="37" t="str">
        <f t="shared" si="26"/>
        <v>✅ CUBIERTO</v>
      </c>
      <c r="I75" s="16">
        <v>45999</v>
      </c>
      <c r="J75" s="17" t="str">
        <f t="shared" si="27"/>
        <v>lun</v>
      </c>
      <c r="K75" s="18">
        <v>0.70833333333333304</v>
      </c>
      <c r="L75" s="19" t="s">
        <v>4</v>
      </c>
      <c r="M75" s="19"/>
      <c r="N75" s="19"/>
      <c r="O75" s="19" t="str">
        <f t="shared" si="19"/>
        <v>✅ CUBIERTO</v>
      </c>
    </row>
    <row r="76" spans="1:15" x14ac:dyDescent="0.3">
      <c r="A76" s="1">
        <v>45972</v>
      </c>
      <c r="B76" s="2" t="str">
        <f t="shared" si="23"/>
        <v>mar</v>
      </c>
      <c r="C76" s="8">
        <v>0.375</v>
      </c>
      <c r="D76" t="s">
        <v>3</v>
      </c>
      <c r="G76" s="37" t="str">
        <f t="shared" si="24"/>
        <v>✅ CUBIERTO</v>
      </c>
      <c r="I76" s="1">
        <v>46000</v>
      </c>
      <c r="J76" s="2" t="str">
        <f>TEXT(I76,"ddd")</f>
        <v>mar</v>
      </c>
      <c r="K76" s="8">
        <v>0.375</v>
      </c>
      <c r="L76" t="s">
        <v>4</v>
      </c>
      <c r="O76" t="str">
        <f t="shared" si="19"/>
        <v>✅ CUBIERTO</v>
      </c>
    </row>
    <row r="77" spans="1:15" x14ac:dyDescent="0.3">
      <c r="A77" s="1">
        <v>45972</v>
      </c>
      <c r="B77" s="2" t="str">
        <f t="shared" si="23"/>
        <v>mar</v>
      </c>
      <c r="C77" s="8">
        <v>0.41666666666666669</v>
      </c>
      <c r="D77" t="s">
        <v>3</v>
      </c>
      <c r="G77" s="37" t="str">
        <f t="shared" si="24"/>
        <v>✅ CUBIERTO</v>
      </c>
      <c r="I77" s="1">
        <v>46000</v>
      </c>
      <c r="J77" s="2" t="str">
        <f t="shared" ref="J77" si="28">TEXT(I77,"ddd")</f>
        <v>mar</v>
      </c>
      <c r="K77" s="8">
        <v>0.41666666666666669</v>
      </c>
      <c r="L77" t="s">
        <v>4</v>
      </c>
      <c r="O77" t="str">
        <f t="shared" si="19"/>
        <v>✅ CUBIERTO</v>
      </c>
    </row>
    <row r="78" spans="1:15" x14ac:dyDescent="0.3">
      <c r="A78" s="1">
        <v>45972</v>
      </c>
      <c r="B78" s="2" t="str">
        <f t="shared" si="23"/>
        <v>mar</v>
      </c>
      <c r="C78" s="8">
        <v>0.45833333333333331</v>
      </c>
      <c r="D78" t="s">
        <v>3</v>
      </c>
      <c r="G78" s="37" t="str">
        <f t="shared" ref="G78:G84" si="29">IF(COUNTIF(D78:F78,"?*")&gt;=$D$4, "✅ CUBIERTO",
 IF(COUNTIF(D78:F78,"?*")&gt;0, "⚠ FALTANTE",
 "❌ SIN COMPLETAR"))</f>
        <v>✅ CUBIERTO</v>
      </c>
      <c r="I78" s="1">
        <v>46000</v>
      </c>
      <c r="J78" s="2" t="str">
        <f>TEXT(I78,"ddd")</f>
        <v>mar</v>
      </c>
      <c r="K78" s="8">
        <v>0.45833333333333331</v>
      </c>
      <c r="L78" t="s">
        <v>4</v>
      </c>
      <c r="O78" t="str">
        <f t="shared" si="19"/>
        <v>✅ CUBIERTO</v>
      </c>
    </row>
    <row r="79" spans="1:15" x14ac:dyDescent="0.3">
      <c r="A79" s="1">
        <v>45972</v>
      </c>
      <c r="B79" s="2" t="str">
        <f t="shared" si="23"/>
        <v>mar</v>
      </c>
      <c r="C79" s="8">
        <v>0.5</v>
      </c>
      <c r="D79" t="s">
        <v>3</v>
      </c>
      <c r="G79" s="37" t="str">
        <f t="shared" si="29"/>
        <v>✅ CUBIERTO</v>
      </c>
      <c r="I79" s="1">
        <v>46000</v>
      </c>
      <c r="J79" s="2" t="str">
        <f t="shared" ref="J79:J84" si="30">TEXT(I79,"ddd")</f>
        <v>mar</v>
      </c>
      <c r="K79" s="8">
        <v>0.5</v>
      </c>
      <c r="L79" t="s">
        <v>4</v>
      </c>
      <c r="O79" t="str">
        <f t="shared" si="19"/>
        <v>✅ CUBIERTO</v>
      </c>
    </row>
    <row r="80" spans="1:15" x14ac:dyDescent="0.3">
      <c r="A80" s="1">
        <v>45972</v>
      </c>
      <c r="B80" s="2" t="str">
        <f t="shared" si="23"/>
        <v>mar</v>
      </c>
      <c r="C80" s="8">
        <v>0.54166666666666696</v>
      </c>
      <c r="D80" t="s">
        <v>3</v>
      </c>
      <c r="G80" s="37" t="str">
        <f t="shared" si="29"/>
        <v>✅ CUBIERTO</v>
      </c>
      <c r="I80" s="1">
        <v>46000</v>
      </c>
      <c r="J80" s="2" t="str">
        <f t="shared" si="30"/>
        <v>mar</v>
      </c>
      <c r="K80" s="8">
        <v>0.54166666666666696</v>
      </c>
      <c r="L80" t="s">
        <v>4</v>
      </c>
      <c r="O80" t="str">
        <f t="shared" si="19"/>
        <v>✅ CUBIERTO</v>
      </c>
    </row>
    <row r="81" spans="1:15" x14ac:dyDescent="0.3">
      <c r="A81" s="1">
        <v>45972</v>
      </c>
      <c r="B81" s="2" t="str">
        <f t="shared" si="23"/>
        <v>mar</v>
      </c>
      <c r="C81" s="8">
        <v>0.58333333333333304</v>
      </c>
      <c r="D81" t="s">
        <v>3</v>
      </c>
      <c r="G81" s="37" t="str">
        <f t="shared" si="29"/>
        <v>✅ CUBIERTO</v>
      </c>
      <c r="I81" s="1">
        <v>46000</v>
      </c>
      <c r="J81" s="2" t="str">
        <f t="shared" si="30"/>
        <v>mar</v>
      </c>
      <c r="K81" s="8">
        <v>0.58333333333333304</v>
      </c>
      <c r="L81" t="s">
        <v>4</v>
      </c>
      <c r="O81" t="str">
        <f t="shared" si="19"/>
        <v>✅ CUBIERTO</v>
      </c>
    </row>
    <row r="82" spans="1:15" x14ac:dyDescent="0.3">
      <c r="A82" s="1">
        <v>45972</v>
      </c>
      <c r="B82" s="2" t="str">
        <f t="shared" si="23"/>
        <v>mar</v>
      </c>
      <c r="C82" s="8">
        <v>0.625</v>
      </c>
      <c r="D82" t="s">
        <v>3</v>
      </c>
      <c r="G82" s="37" t="str">
        <f t="shared" si="29"/>
        <v>✅ CUBIERTO</v>
      </c>
      <c r="I82" s="1">
        <v>46000</v>
      </c>
      <c r="J82" s="2" t="str">
        <f t="shared" si="30"/>
        <v>mar</v>
      </c>
      <c r="K82" s="8">
        <v>0.625</v>
      </c>
      <c r="L82" t="s">
        <v>4</v>
      </c>
      <c r="O82" t="str">
        <f t="shared" si="19"/>
        <v>✅ CUBIERTO</v>
      </c>
    </row>
    <row r="83" spans="1:15" x14ac:dyDescent="0.3">
      <c r="A83" s="1">
        <v>45972</v>
      </c>
      <c r="B83" s="2" t="str">
        <f t="shared" si="23"/>
        <v>mar</v>
      </c>
      <c r="C83" s="8">
        <v>0.66666666666666696</v>
      </c>
      <c r="D83" t="s">
        <v>3</v>
      </c>
      <c r="G83" s="37" t="str">
        <f t="shared" si="29"/>
        <v>✅ CUBIERTO</v>
      </c>
      <c r="I83" s="1">
        <v>46000</v>
      </c>
      <c r="J83" s="2" t="str">
        <f t="shared" si="30"/>
        <v>mar</v>
      </c>
      <c r="K83" s="8">
        <v>0.66666666666666696</v>
      </c>
      <c r="L83" t="s">
        <v>4</v>
      </c>
      <c r="O83" t="str">
        <f t="shared" si="19"/>
        <v>✅ CUBIERTO</v>
      </c>
    </row>
    <row r="84" spans="1:15" x14ac:dyDescent="0.3">
      <c r="A84" s="1">
        <v>45972</v>
      </c>
      <c r="B84" s="2" t="str">
        <f t="shared" si="23"/>
        <v>mar</v>
      </c>
      <c r="C84" s="8">
        <v>0.70833333333333304</v>
      </c>
      <c r="D84" t="s">
        <v>3</v>
      </c>
      <c r="G84" s="37" t="str">
        <f t="shared" si="29"/>
        <v>✅ CUBIERTO</v>
      </c>
      <c r="I84" s="1">
        <v>46000</v>
      </c>
      <c r="J84" s="2" t="str">
        <f t="shared" si="30"/>
        <v>mar</v>
      </c>
      <c r="K84" s="8">
        <v>0.70833333333333304</v>
      </c>
      <c r="L84" t="s">
        <v>4</v>
      </c>
      <c r="O84" t="str">
        <f t="shared" si="19"/>
        <v>✅ CUBIERTO</v>
      </c>
    </row>
    <row r="85" spans="1:15" x14ac:dyDescent="0.3">
      <c r="A85" s="1">
        <v>45973</v>
      </c>
      <c r="B85" s="39" t="str">
        <f t="shared" si="23"/>
        <v>mié</v>
      </c>
      <c r="C85" s="8">
        <v>0.375</v>
      </c>
      <c r="D85" t="s">
        <v>3</v>
      </c>
      <c r="G85" s="37" t="str">
        <f t="shared" si="24"/>
        <v>✅ CUBIERTO</v>
      </c>
      <c r="I85" s="1">
        <v>46001</v>
      </c>
      <c r="J85" s="2" t="str">
        <f>TEXT(I85,"ddd")</f>
        <v>mié</v>
      </c>
      <c r="K85" s="8">
        <v>0.375</v>
      </c>
      <c r="L85" t="s">
        <v>4</v>
      </c>
      <c r="O85" t="str">
        <f t="shared" si="19"/>
        <v>✅ CUBIERTO</v>
      </c>
    </row>
    <row r="86" spans="1:15" x14ac:dyDescent="0.3">
      <c r="A86" s="1">
        <v>45973</v>
      </c>
      <c r="B86" s="39" t="str">
        <f t="shared" si="23"/>
        <v>mié</v>
      </c>
      <c r="C86" s="8">
        <v>0.41666666666666669</v>
      </c>
      <c r="D86" t="s">
        <v>3</v>
      </c>
      <c r="G86" s="37" t="str">
        <f t="shared" si="24"/>
        <v>✅ CUBIERTO</v>
      </c>
      <c r="I86" s="1">
        <v>46001</v>
      </c>
      <c r="J86" s="2" t="str">
        <f t="shared" ref="J86" si="31">TEXT(I86,"ddd")</f>
        <v>mié</v>
      </c>
      <c r="K86" s="8">
        <v>0.41666666666666669</v>
      </c>
      <c r="L86" t="s">
        <v>4</v>
      </c>
      <c r="O86" t="str">
        <f t="shared" ref="O86:O117" si="32">IF(COUNTIF(L86:N86,"?*")&gt;=$L$4, "✅ CUBIERTO",
 IF(COUNTIF(L86:N86,"?*")&gt;0, "⚠ FALTANTE",
 "❌ SIN COMPLETAR"))</f>
        <v>✅ CUBIERTO</v>
      </c>
    </row>
    <row r="87" spans="1:15" x14ac:dyDescent="0.3">
      <c r="A87" s="1">
        <v>45973</v>
      </c>
      <c r="B87" s="39" t="str">
        <f t="shared" si="23"/>
        <v>mié</v>
      </c>
      <c r="C87" s="8">
        <v>0.45833333333333331</v>
      </c>
      <c r="D87" t="s">
        <v>3</v>
      </c>
      <c r="G87" s="37" t="str">
        <f t="shared" ref="G87:G93" si="33">IF(COUNTIF(D87:F87,"?*")&gt;=$D$4, "✅ CUBIERTO",
 IF(COUNTIF(D87:F87,"?*")&gt;0, "⚠ FALTANTE",
 "❌ SIN COMPLETAR"))</f>
        <v>✅ CUBIERTO</v>
      </c>
      <c r="I87" s="1">
        <v>46001</v>
      </c>
      <c r="J87" s="2" t="str">
        <f>TEXT(I87,"ddd")</f>
        <v>mié</v>
      </c>
      <c r="K87" s="8">
        <v>0.45833333333333331</v>
      </c>
      <c r="L87" t="s">
        <v>4</v>
      </c>
      <c r="O87" t="str">
        <f t="shared" si="32"/>
        <v>✅ CUBIERTO</v>
      </c>
    </row>
    <row r="88" spans="1:15" x14ac:dyDescent="0.3">
      <c r="A88" s="1">
        <v>45973</v>
      </c>
      <c r="B88" s="39" t="str">
        <f t="shared" si="23"/>
        <v>mié</v>
      </c>
      <c r="C88" s="8">
        <v>0.5</v>
      </c>
      <c r="D88" t="s">
        <v>3</v>
      </c>
      <c r="G88" s="37" t="str">
        <f t="shared" si="33"/>
        <v>✅ CUBIERTO</v>
      </c>
      <c r="I88" s="1">
        <v>46001</v>
      </c>
      <c r="J88" s="2" t="str">
        <f t="shared" ref="J88:J93" si="34">TEXT(I88,"ddd")</f>
        <v>mié</v>
      </c>
      <c r="K88" s="8">
        <v>0.5</v>
      </c>
      <c r="L88" t="s">
        <v>4</v>
      </c>
      <c r="O88" t="str">
        <f t="shared" si="32"/>
        <v>✅ CUBIERTO</v>
      </c>
    </row>
    <row r="89" spans="1:15" x14ac:dyDescent="0.3">
      <c r="A89" s="1">
        <v>45973</v>
      </c>
      <c r="B89" s="39" t="str">
        <f t="shared" si="23"/>
        <v>mié</v>
      </c>
      <c r="C89" s="8">
        <v>0.54166666666666696</v>
      </c>
      <c r="D89" t="s">
        <v>3</v>
      </c>
      <c r="G89" s="37" t="str">
        <f t="shared" si="33"/>
        <v>✅ CUBIERTO</v>
      </c>
      <c r="I89" s="1">
        <v>46001</v>
      </c>
      <c r="J89" s="2" t="str">
        <f t="shared" si="34"/>
        <v>mié</v>
      </c>
      <c r="K89" s="8">
        <v>0.54166666666666696</v>
      </c>
      <c r="L89" t="s">
        <v>4</v>
      </c>
      <c r="O89" t="str">
        <f t="shared" si="32"/>
        <v>✅ CUBIERTO</v>
      </c>
    </row>
    <row r="90" spans="1:15" x14ac:dyDescent="0.3">
      <c r="A90" s="1">
        <v>45973</v>
      </c>
      <c r="B90" s="39" t="str">
        <f t="shared" si="23"/>
        <v>mié</v>
      </c>
      <c r="C90" s="8">
        <v>0.58333333333333304</v>
      </c>
      <c r="D90" t="s">
        <v>3</v>
      </c>
      <c r="G90" s="37" t="str">
        <f t="shared" si="33"/>
        <v>✅ CUBIERTO</v>
      </c>
      <c r="I90" s="1">
        <v>46001</v>
      </c>
      <c r="J90" s="2" t="str">
        <f t="shared" si="34"/>
        <v>mié</v>
      </c>
      <c r="K90" s="8">
        <v>0.58333333333333304</v>
      </c>
      <c r="L90" t="s">
        <v>4</v>
      </c>
      <c r="O90" t="str">
        <f t="shared" si="32"/>
        <v>✅ CUBIERTO</v>
      </c>
    </row>
    <row r="91" spans="1:15" x14ac:dyDescent="0.3">
      <c r="A91" s="1">
        <v>45973</v>
      </c>
      <c r="B91" s="39" t="str">
        <f t="shared" si="23"/>
        <v>mié</v>
      </c>
      <c r="C91" s="8">
        <v>0.625</v>
      </c>
      <c r="D91" t="s">
        <v>3</v>
      </c>
      <c r="G91" s="37" t="str">
        <f t="shared" si="33"/>
        <v>✅ CUBIERTO</v>
      </c>
      <c r="I91" s="1">
        <v>46001</v>
      </c>
      <c r="J91" s="2" t="str">
        <f t="shared" si="34"/>
        <v>mié</v>
      </c>
      <c r="K91" s="8">
        <v>0.625</v>
      </c>
      <c r="L91" t="s">
        <v>4</v>
      </c>
      <c r="O91" t="str">
        <f t="shared" si="32"/>
        <v>✅ CUBIERTO</v>
      </c>
    </row>
    <row r="92" spans="1:15" x14ac:dyDescent="0.3">
      <c r="A92" s="1">
        <v>45973</v>
      </c>
      <c r="B92" s="39" t="str">
        <f t="shared" si="23"/>
        <v>mié</v>
      </c>
      <c r="C92" s="8">
        <v>0.66666666666666696</v>
      </c>
      <c r="D92" t="s">
        <v>3</v>
      </c>
      <c r="G92" s="37" t="str">
        <f t="shared" si="33"/>
        <v>✅ CUBIERTO</v>
      </c>
      <c r="I92" s="1">
        <v>46001</v>
      </c>
      <c r="J92" s="2" t="str">
        <f t="shared" si="34"/>
        <v>mié</v>
      </c>
      <c r="K92" s="8">
        <v>0.66666666666666696</v>
      </c>
      <c r="L92" t="s">
        <v>4</v>
      </c>
      <c r="O92" t="str">
        <f t="shared" si="32"/>
        <v>✅ CUBIERTO</v>
      </c>
    </row>
    <row r="93" spans="1:15" x14ac:dyDescent="0.3">
      <c r="A93" s="1">
        <v>45973</v>
      </c>
      <c r="B93" s="39" t="str">
        <f t="shared" si="23"/>
        <v>mié</v>
      </c>
      <c r="C93" s="8">
        <v>0.70833333333333304</v>
      </c>
      <c r="D93" t="s">
        <v>3</v>
      </c>
      <c r="G93" s="37" t="str">
        <f t="shared" si="33"/>
        <v>✅ CUBIERTO</v>
      </c>
      <c r="I93" s="1">
        <v>46001</v>
      </c>
      <c r="J93" s="2" t="str">
        <f t="shared" si="34"/>
        <v>mié</v>
      </c>
      <c r="K93" s="8">
        <v>0.70833333333333304</v>
      </c>
      <c r="L93" t="s">
        <v>4</v>
      </c>
      <c r="O93" t="str">
        <f t="shared" si="32"/>
        <v>✅ CUBIERTO</v>
      </c>
    </row>
    <row r="94" spans="1:15" x14ac:dyDescent="0.3">
      <c r="A94" s="1">
        <v>45974</v>
      </c>
      <c r="B94" s="39" t="str">
        <f t="shared" si="23"/>
        <v>jue</v>
      </c>
      <c r="C94" s="8">
        <v>0.375</v>
      </c>
      <c r="D94" t="s">
        <v>3</v>
      </c>
      <c r="G94" s="37" t="str">
        <f t="shared" si="24"/>
        <v>✅ CUBIERTO</v>
      </c>
      <c r="I94" s="1">
        <v>46002</v>
      </c>
      <c r="J94" s="2" t="str">
        <f>TEXT(I94,"ddd")</f>
        <v>jue</v>
      </c>
      <c r="K94" s="8">
        <v>0.375</v>
      </c>
      <c r="L94" t="s">
        <v>4</v>
      </c>
      <c r="O94" t="str">
        <f t="shared" si="32"/>
        <v>✅ CUBIERTO</v>
      </c>
    </row>
    <row r="95" spans="1:15" x14ac:dyDescent="0.3">
      <c r="A95" s="1">
        <v>45974</v>
      </c>
      <c r="B95" s="39" t="str">
        <f t="shared" si="23"/>
        <v>jue</v>
      </c>
      <c r="C95" s="8">
        <v>0.41666666666666669</v>
      </c>
      <c r="D95" t="s">
        <v>3</v>
      </c>
      <c r="G95" s="37" t="str">
        <f t="shared" si="24"/>
        <v>✅ CUBIERTO</v>
      </c>
      <c r="I95" s="1">
        <v>46002</v>
      </c>
      <c r="J95" s="2" t="str">
        <f t="shared" ref="J95" si="35">TEXT(I95,"ddd")</f>
        <v>jue</v>
      </c>
      <c r="K95" s="8">
        <v>0.41666666666666669</v>
      </c>
      <c r="L95" t="s">
        <v>4</v>
      </c>
      <c r="O95" t="str">
        <f t="shared" si="32"/>
        <v>✅ CUBIERTO</v>
      </c>
    </row>
    <row r="96" spans="1:15" x14ac:dyDescent="0.3">
      <c r="A96" s="1">
        <v>45974</v>
      </c>
      <c r="B96" s="39" t="str">
        <f t="shared" si="23"/>
        <v>jue</v>
      </c>
      <c r="C96" s="8">
        <v>0.45833333333333331</v>
      </c>
      <c r="D96" t="s">
        <v>3</v>
      </c>
      <c r="G96" s="37" t="str">
        <f t="shared" ref="G96:G102" si="36">IF(COUNTIF(D96:F96,"?*")&gt;=$D$4, "✅ CUBIERTO",
 IF(COUNTIF(D96:F96,"?*")&gt;0, "⚠ FALTANTE",
 "❌ SIN COMPLETAR"))</f>
        <v>✅ CUBIERTO</v>
      </c>
      <c r="I96" s="1">
        <v>46002</v>
      </c>
      <c r="J96" s="2" t="str">
        <f>TEXT(I96,"ddd")</f>
        <v>jue</v>
      </c>
      <c r="K96" s="8">
        <v>0.45833333333333331</v>
      </c>
      <c r="L96" t="s">
        <v>4</v>
      </c>
      <c r="O96" t="str">
        <f t="shared" si="32"/>
        <v>✅ CUBIERTO</v>
      </c>
    </row>
    <row r="97" spans="1:15" x14ac:dyDescent="0.3">
      <c r="A97" s="1">
        <v>45974</v>
      </c>
      <c r="B97" s="39" t="str">
        <f t="shared" si="23"/>
        <v>jue</v>
      </c>
      <c r="C97" s="8">
        <v>0.5</v>
      </c>
      <c r="D97" t="s">
        <v>3</v>
      </c>
      <c r="G97" s="37" t="str">
        <f t="shared" si="36"/>
        <v>✅ CUBIERTO</v>
      </c>
      <c r="I97" s="1">
        <v>46002</v>
      </c>
      <c r="J97" s="2" t="str">
        <f t="shared" ref="J97:J102" si="37">TEXT(I97,"ddd")</f>
        <v>jue</v>
      </c>
      <c r="K97" s="8">
        <v>0.5</v>
      </c>
      <c r="L97" t="s">
        <v>4</v>
      </c>
      <c r="O97" t="str">
        <f t="shared" si="32"/>
        <v>✅ CUBIERTO</v>
      </c>
    </row>
    <row r="98" spans="1:15" x14ac:dyDescent="0.3">
      <c r="A98" s="1">
        <v>45974</v>
      </c>
      <c r="B98" s="39" t="str">
        <f t="shared" si="23"/>
        <v>jue</v>
      </c>
      <c r="C98" s="8">
        <v>0.54166666666666696</v>
      </c>
      <c r="D98" t="s">
        <v>3</v>
      </c>
      <c r="G98" s="37" t="str">
        <f t="shared" si="36"/>
        <v>✅ CUBIERTO</v>
      </c>
      <c r="I98" s="1">
        <v>46002</v>
      </c>
      <c r="J98" s="2" t="str">
        <f t="shared" si="37"/>
        <v>jue</v>
      </c>
      <c r="K98" s="8">
        <v>0.54166666666666696</v>
      </c>
      <c r="L98" t="s">
        <v>4</v>
      </c>
      <c r="O98" t="str">
        <f t="shared" si="32"/>
        <v>✅ CUBIERTO</v>
      </c>
    </row>
    <row r="99" spans="1:15" x14ac:dyDescent="0.3">
      <c r="A99" s="1">
        <v>45974</v>
      </c>
      <c r="B99" s="39" t="str">
        <f t="shared" si="23"/>
        <v>jue</v>
      </c>
      <c r="C99" s="8">
        <v>0.58333333333333304</v>
      </c>
      <c r="D99" t="s">
        <v>3</v>
      </c>
      <c r="G99" s="37" t="str">
        <f t="shared" si="36"/>
        <v>✅ CUBIERTO</v>
      </c>
      <c r="I99" s="1">
        <v>46002</v>
      </c>
      <c r="J99" s="2" t="str">
        <f t="shared" si="37"/>
        <v>jue</v>
      </c>
      <c r="K99" s="8">
        <v>0.58333333333333304</v>
      </c>
      <c r="L99" t="s">
        <v>4</v>
      </c>
      <c r="O99" t="str">
        <f t="shared" si="32"/>
        <v>✅ CUBIERTO</v>
      </c>
    </row>
    <row r="100" spans="1:15" x14ac:dyDescent="0.3">
      <c r="A100" s="1">
        <v>45974</v>
      </c>
      <c r="B100" s="39" t="str">
        <f t="shared" si="23"/>
        <v>jue</v>
      </c>
      <c r="C100" s="8">
        <v>0.625</v>
      </c>
      <c r="D100" t="s">
        <v>3</v>
      </c>
      <c r="G100" s="37" t="str">
        <f t="shared" si="36"/>
        <v>✅ CUBIERTO</v>
      </c>
      <c r="I100" s="1">
        <v>46002</v>
      </c>
      <c r="J100" s="2" t="str">
        <f t="shared" si="37"/>
        <v>jue</v>
      </c>
      <c r="K100" s="8">
        <v>0.625</v>
      </c>
      <c r="L100" t="s">
        <v>4</v>
      </c>
      <c r="O100" t="str">
        <f t="shared" si="32"/>
        <v>✅ CUBIERTO</v>
      </c>
    </row>
    <row r="101" spans="1:15" x14ac:dyDescent="0.3">
      <c r="A101" s="1">
        <v>45974</v>
      </c>
      <c r="B101" s="39" t="str">
        <f t="shared" si="23"/>
        <v>jue</v>
      </c>
      <c r="C101" s="8">
        <v>0.66666666666666696</v>
      </c>
      <c r="D101" t="s">
        <v>3</v>
      </c>
      <c r="G101" s="37" t="str">
        <f t="shared" si="36"/>
        <v>✅ CUBIERTO</v>
      </c>
      <c r="I101" s="1">
        <v>46002</v>
      </c>
      <c r="J101" s="2" t="str">
        <f t="shared" si="37"/>
        <v>jue</v>
      </c>
      <c r="K101" s="8">
        <v>0.66666666666666696</v>
      </c>
      <c r="L101" t="s">
        <v>4</v>
      </c>
      <c r="O101" t="str">
        <f t="shared" si="32"/>
        <v>✅ CUBIERTO</v>
      </c>
    </row>
    <row r="102" spans="1:15" x14ac:dyDescent="0.3">
      <c r="A102" s="1">
        <v>45974</v>
      </c>
      <c r="B102" s="39" t="str">
        <f t="shared" si="23"/>
        <v>jue</v>
      </c>
      <c r="C102" s="8">
        <v>0.70833333333333304</v>
      </c>
      <c r="D102" t="s">
        <v>3</v>
      </c>
      <c r="G102" s="37" t="str">
        <f t="shared" si="36"/>
        <v>✅ CUBIERTO</v>
      </c>
      <c r="I102" s="1">
        <v>46002</v>
      </c>
      <c r="J102" s="2" t="str">
        <f t="shared" si="37"/>
        <v>jue</v>
      </c>
      <c r="K102" s="8">
        <v>0.70833333333333304</v>
      </c>
      <c r="L102" t="s">
        <v>4</v>
      </c>
      <c r="O102" t="str">
        <f t="shared" si="32"/>
        <v>✅ CUBIERTO</v>
      </c>
    </row>
    <row r="103" spans="1:15" x14ac:dyDescent="0.3">
      <c r="A103" s="1">
        <v>45975</v>
      </c>
      <c r="B103" s="39" t="str">
        <f t="shared" si="23"/>
        <v>vie</v>
      </c>
      <c r="C103" s="8">
        <v>0.375</v>
      </c>
      <c r="D103" t="s">
        <v>3</v>
      </c>
      <c r="G103" s="37" t="str">
        <f t="shared" si="24"/>
        <v>✅ CUBIERTO</v>
      </c>
      <c r="I103" s="1">
        <v>46003</v>
      </c>
      <c r="J103" s="2" t="str">
        <f>TEXT(I103,"ddd")</f>
        <v>vie</v>
      </c>
      <c r="K103" s="8">
        <v>0.375</v>
      </c>
      <c r="L103" t="s">
        <v>4</v>
      </c>
      <c r="O103" t="str">
        <f t="shared" si="32"/>
        <v>✅ CUBIERTO</v>
      </c>
    </row>
    <row r="104" spans="1:15" x14ac:dyDescent="0.3">
      <c r="A104" s="1">
        <v>45975</v>
      </c>
      <c r="B104" s="39" t="str">
        <f t="shared" si="23"/>
        <v>vie</v>
      </c>
      <c r="C104" s="8">
        <v>0.41666666666666669</v>
      </c>
      <c r="D104" t="s">
        <v>3</v>
      </c>
      <c r="G104" s="37" t="str">
        <f t="shared" si="24"/>
        <v>✅ CUBIERTO</v>
      </c>
      <c r="I104" s="1">
        <v>46003</v>
      </c>
      <c r="J104" s="2" t="str">
        <f t="shared" ref="J104" si="38">TEXT(I104,"ddd")</f>
        <v>vie</v>
      </c>
      <c r="K104" s="8">
        <v>0.41666666666666669</v>
      </c>
      <c r="L104" t="s">
        <v>4</v>
      </c>
      <c r="O104" t="str">
        <f t="shared" si="32"/>
        <v>✅ CUBIERTO</v>
      </c>
    </row>
    <row r="105" spans="1:15" x14ac:dyDescent="0.3">
      <c r="A105" s="1">
        <v>45975</v>
      </c>
      <c r="B105" s="39" t="str">
        <f t="shared" si="23"/>
        <v>vie</v>
      </c>
      <c r="C105" s="8">
        <v>0.45833333333333331</v>
      </c>
      <c r="D105" t="s">
        <v>3</v>
      </c>
      <c r="G105" s="37" t="str">
        <f t="shared" ref="G105:G111" si="39">IF(COUNTIF(D105:F105,"?*")&gt;=$D$4, "✅ CUBIERTO",
 IF(COUNTIF(D105:F105,"?*")&gt;0, "⚠ FALTANTE",
 "❌ SIN COMPLETAR"))</f>
        <v>✅ CUBIERTO</v>
      </c>
      <c r="I105" s="1">
        <v>46003</v>
      </c>
      <c r="J105" s="2" t="str">
        <f>TEXT(I105,"ddd")</f>
        <v>vie</v>
      </c>
      <c r="K105" s="8">
        <v>0.45833333333333331</v>
      </c>
      <c r="L105" t="s">
        <v>4</v>
      </c>
      <c r="O105" t="str">
        <f t="shared" si="32"/>
        <v>✅ CUBIERTO</v>
      </c>
    </row>
    <row r="106" spans="1:15" x14ac:dyDescent="0.3">
      <c r="A106" s="1">
        <v>45975</v>
      </c>
      <c r="B106" s="39" t="str">
        <f t="shared" si="23"/>
        <v>vie</v>
      </c>
      <c r="C106" s="8">
        <v>0.5</v>
      </c>
      <c r="D106" t="s">
        <v>3</v>
      </c>
      <c r="G106" s="37" t="str">
        <f t="shared" si="39"/>
        <v>✅ CUBIERTO</v>
      </c>
      <c r="I106" s="1">
        <v>46003</v>
      </c>
      <c r="J106" s="2" t="str">
        <f t="shared" ref="J106:J111" si="40">TEXT(I106,"ddd")</f>
        <v>vie</v>
      </c>
      <c r="K106" s="8">
        <v>0.5</v>
      </c>
      <c r="L106" t="s">
        <v>4</v>
      </c>
      <c r="O106" t="str">
        <f t="shared" si="32"/>
        <v>✅ CUBIERTO</v>
      </c>
    </row>
    <row r="107" spans="1:15" x14ac:dyDescent="0.3">
      <c r="A107" s="1">
        <v>45975</v>
      </c>
      <c r="B107" s="39" t="str">
        <f t="shared" si="23"/>
        <v>vie</v>
      </c>
      <c r="C107" s="8">
        <v>0.54166666666666696</v>
      </c>
      <c r="D107" t="s">
        <v>3</v>
      </c>
      <c r="G107" s="37" t="str">
        <f t="shared" si="39"/>
        <v>✅ CUBIERTO</v>
      </c>
      <c r="I107" s="1">
        <v>46003</v>
      </c>
      <c r="J107" s="2" t="str">
        <f t="shared" si="40"/>
        <v>vie</v>
      </c>
      <c r="K107" s="8">
        <v>0.54166666666666696</v>
      </c>
      <c r="L107" t="s">
        <v>4</v>
      </c>
      <c r="O107" t="str">
        <f t="shared" si="32"/>
        <v>✅ CUBIERTO</v>
      </c>
    </row>
    <row r="108" spans="1:15" x14ac:dyDescent="0.3">
      <c r="A108" s="1">
        <v>45975</v>
      </c>
      <c r="B108" s="39" t="str">
        <f t="shared" si="23"/>
        <v>vie</v>
      </c>
      <c r="C108" s="8">
        <v>0.58333333333333304</v>
      </c>
      <c r="D108" t="s">
        <v>3</v>
      </c>
      <c r="G108" s="37" t="str">
        <f t="shared" si="39"/>
        <v>✅ CUBIERTO</v>
      </c>
      <c r="I108" s="1">
        <v>46003</v>
      </c>
      <c r="J108" s="2" t="str">
        <f t="shared" si="40"/>
        <v>vie</v>
      </c>
      <c r="K108" s="8">
        <v>0.58333333333333304</v>
      </c>
      <c r="L108" t="s">
        <v>4</v>
      </c>
      <c r="O108" t="str">
        <f t="shared" si="32"/>
        <v>✅ CUBIERTO</v>
      </c>
    </row>
    <row r="109" spans="1:15" x14ac:dyDescent="0.3">
      <c r="A109" s="1">
        <v>45975</v>
      </c>
      <c r="B109" s="39" t="str">
        <f t="shared" si="23"/>
        <v>vie</v>
      </c>
      <c r="C109" s="8">
        <v>0.625</v>
      </c>
      <c r="D109" t="s">
        <v>3</v>
      </c>
      <c r="G109" s="37" t="str">
        <f t="shared" si="39"/>
        <v>✅ CUBIERTO</v>
      </c>
      <c r="I109" s="1">
        <v>46003</v>
      </c>
      <c r="J109" s="2" t="str">
        <f t="shared" si="40"/>
        <v>vie</v>
      </c>
      <c r="K109" s="8">
        <v>0.625</v>
      </c>
      <c r="L109" t="s">
        <v>4</v>
      </c>
      <c r="O109" t="str">
        <f t="shared" si="32"/>
        <v>✅ CUBIERTO</v>
      </c>
    </row>
    <row r="110" spans="1:15" x14ac:dyDescent="0.3">
      <c r="A110" s="1">
        <v>45975</v>
      </c>
      <c r="B110" s="39" t="str">
        <f t="shared" si="23"/>
        <v>vie</v>
      </c>
      <c r="C110" s="8">
        <v>0.66666666666666696</v>
      </c>
      <c r="D110" t="s">
        <v>3</v>
      </c>
      <c r="G110" s="37" t="str">
        <f t="shared" si="39"/>
        <v>✅ CUBIERTO</v>
      </c>
      <c r="I110" s="1">
        <v>46003</v>
      </c>
      <c r="J110" s="2" t="str">
        <f t="shared" si="40"/>
        <v>vie</v>
      </c>
      <c r="K110" s="8">
        <v>0.66666666666666696</v>
      </c>
      <c r="L110" t="s">
        <v>4</v>
      </c>
      <c r="O110" t="str">
        <f t="shared" si="32"/>
        <v>✅ CUBIERTO</v>
      </c>
    </row>
    <row r="111" spans="1:15" x14ac:dyDescent="0.3">
      <c r="A111" s="1">
        <v>45975</v>
      </c>
      <c r="B111" s="39" t="str">
        <f t="shared" si="23"/>
        <v>vie</v>
      </c>
      <c r="C111" s="8">
        <v>0.70833333333333304</v>
      </c>
      <c r="D111" t="s">
        <v>3</v>
      </c>
      <c r="G111" s="37" t="str">
        <f t="shared" si="39"/>
        <v>✅ CUBIERTO</v>
      </c>
      <c r="I111" s="1">
        <v>46003</v>
      </c>
      <c r="J111" s="2" t="str">
        <f t="shared" si="40"/>
        <v>vie</v>
      </c>
      <c r="K111" s="8">
        <v>0.70833333333333304</v>
      </c>
      <c r="L111" t="s">
        <v>4</v>
      </c>
      <c r="O111" t="str">
        <f t="shared" si="32"/>
        <v>✅ CUBIERTO</v>
      </c>
    </row>
    <row r="112" spans="1:15" x14ac:dyDescent="0.3">
      <c r="A112" s="1">
        <v>45978</v>
      </c>
      <c r="B112" s="39" t="str">
        <f>TEXT(A112,"ddd")</f>
        <v>lun</v>
      </c>
      <c r="C112" s="8">
        <v>0.375</v>
      </c>
      <c r="D112" t="s">
        <v>3</v>
      </c>
      <c r="G112" s="37" t="str">
        <f>IF(COUNTIF(D112:F112,"?*")&gt;=$D$4, "✅ CUBIERTO",
 IF(COUNTIF(D112:F112,"?*")&gt;0, "⚠ FALTANTE",
 "❌ SIN COMPLETAR"))</f>
        <v>✅ CUBIERTO</v>
      </c>
      <c r="I112" s="1">
        <v>46006</v>
      </c>
      <c r="J112" s="2" t="str">
        <f>TEXT(I112,"ddd")</f>
        <v>lun</v>
      </c>
      <c r="K112" s="8">
        <v>0.375</v>
      </c>
      <c r="L112" t="s">
        <v>4</v>
      </c>
      <c r="O112" t="str">
        <f t="shared" si="32"/>
        <v>✅ CUBIERTO</v>
      </c>
    </row>
    <row r="113" spans="1:15" x14ac:dyDescent="0.3">
      <c r="A113" s="1">
        <v>45978</v>
      </c>
      <c r="B113" s="39" t="str">
        <f>TEXT(A113,"ddd")</f>
        <v>lun</v>
      </c>
      <c r="C113" s="8">
        <v>0.41666666666666669</v>
      </c>
      <c r="D113" t="s">
        <v>3</v>
      </c>
      <c r="G113" s="37" t="str">
        <f>IF(COUNTIF(D113:F113,"?*")&gt;=$D$4, "✅ CUBIERTO",
 IF(COUNTIF(D113:F113,"?*")&gt;0, "⚠ FALTANTE",
 "❌ SIN COMPLETAR"))</f>
        <v>✅ CUBIERTO</v>
      </c>
      <c r="I113" s="1">
        <v>46006</v>
      </c>
      <c r="J113" s="2" t="str">
        <f t="shared" ref="J113" si="41">TEXT(I113,"ddd")</f>
        <v>lun</v>
      </c>
      <c r="K113" s="8">
        <v>0.41666666666666669</v>
      </c>
      <c r="L113" t="s">
        <v>4</v>
      </c>
      <c r="O113" t="str">
        <f t="shared" si="32"/>
        <v>✅ CUBIERTO</v>
      </c>
    </row>
    <row r="114" spans="1:15" x14ac:dyDescent="0.3">
      <c r="A114" s="1">
        <v>45978</v>
      </c>
      <c r="B114" s="39" t="str">
        <f>TEXT(A114,"ddd")</f>
        <v>lun</v>
      </c>
      <c r="C114" s="8">
        <v>0.45833333333333331</v>
      </c>
      <c r="D114" t="s">
        <v>3</v>
      </c>
      <c r="G114" s="37" t="str">
        <f>IF(COUNTIF(D114:F114,"?*")&gt;=$D$4, "✅ CUBIERTO",
 IF(COUNTIF(D114:F114,"?*")&gt;0, "⚠ FALTANTE",
 "❌ SIN COMPLETAR"))</f>
        <v>✅ CUBIERTO</v>
      </c>
      <c r="I114" s="1">
        <v>46006</v>
      </c>
      <c r="J114" s="2" t="str">
        <f>TEXT(I114,"ddd")</f>
        <v>lun</v>
      </c>
      <c r="K114" s="8">
        <v>0.45833333333333331</v>
      </c>
      <c r="L114" t="s">
        <v>4</v>
      </c>
      <c r="O114" t="str">
        <f t="shared" si="32"/>
        <v>✅ CUBIERTO</v>
      </c>
    </row>
    <row r="115" spans="1:15" x14ac:dyDescent="0.3">
      <c r="A115" s="1">
        <v>45978</v>
      </c>
      <c r="B115" s="39" t="str">
        <f>TEXT(A115,"ddd")</f>
        <v>lun</v>
      </c>
      <c r="C115" s="8">
        <v>0.5</v>
      </c>
      <c r="D115" t="s">
        <v>3</v>
      </c>
      <c r="G115" s="37" t="str">
        <f>IF(COUNTIF(D115:F115,"?*")&gt;=$D$4, "✅ CUBIERTO",
 IF(COUNTIF(D115:F115,"?*")&gt;0, "⚠ FALTANTE",
 "❌ SIN COMPLETAR"))</f>
        <v>✅ CUBIERTO</v>
      </c>
      <c r="I115" s="1">
        <v>46006</v>
      </c>
      <c r="J115" s="2" t="str">
        <f t="shared" ref="J115:J120" si="42">TEXT(I115,"ddd")</f>
        <v>lun</v>
      </c>
      <c r="K115" s="8">
        <v>0.5</v>
      </c>
      <c r="L115" t="s">
        <v>4</v>
      </c>
      <c r="O115" t="str">
        <f t="shared" si="32"/>
        <v>✅ CUBIERTO</v>
      </c>
    </row>
    <row r="116" spans="1:15" x14ac:dyDescent="0.3">
      <c r="A116" s="1">
        <v>45978</v>
      </c>
      <c r="B116" s="39" t="str">
        <f t="shared" ref="B116:B156" si="43">TEXT(A116,"ddd")</f>
        <v>lun</v>
      </c>
      <c r="C116" s="8">
        <v>0.54166666666666696</v>
      </c>
      <c r="D116" t="s">
        <v>3</v>
      </c>
      <c r="G116" s="37" t="str">
        <f t="shared" ref="G116:G120" si="44">IF(COUNTIF(D116:F116,"?*")&gt;=$D$4, "✅ CUBIERTO",
 IF(COUNTIF(D116:F116,"?*")&gt;0, "⚠ FALTANTE",
 "❌ SIN COMPLETAR"))</f>
        <v>✅ CUBIERTO</v>
      </c>
      <c r="I116" s="1">
        <v>46006</v>
      </c>
      <c r="J116" s="2" t="str">
        <f t="shared" si="42"/>
        <v>lun</v>
      </c>
      <c r="K116" s="8">
        <v>0.54166666666666696</v>
      </c>
      <c r="L116" t="s">
        <v>4</v>
      </c>
      <c r="O116" t="str">
        <f t="shared" si="32"/>
        <v>✅ CUBIERTO</v>
      </c>
    </row>
    <row r="117" spans="1:15" x14ac:dyDescent="0.3">
      <c r="A117" s="1">
        <v>45978</v>
      </c>
      <c r="B117" s="39" t="str">
        <f t="shared" si="43"/>
        <v>lun</v>
      </c>
      <c r="C117" s="8">
        <v>0.58333333333333304</v>
      </c>
      <c r="D117" t="s">
        <v>3</v>
      </c>
      <c r="G117" s="37" t="str">
        <f t="shared" si="44"/>
        <v>✅ CUBIERTO</v>
      </c>
      <c r="I117" s="1">
        <v>46006</v>
      </c>
      <c r="J117" s="2" t="str">
        <f t="shared" si="42"/>
        <v>lun</v>
      </c>
      <c r="K117" s="8">
        <v>0.58333333333333304</v>
      </c>
      <c r="L117" t="s">
        <v>4</v>
      </c>
      <c r="O117" t="str">
        <f t="shared" si="32"/>
        <v>✅ CUBIERTO</v>
      </c>
    </row>
    <row r="118" spans="1:15" x14ac:dyDescent="0.3">
      <c r="A118" s="1">
        <v>45978</v>
      </c>
      <c r="B118" s="39" t="str">
        <f t="shared" si="43"/>
        <v>lun</v>
      </c>
      <c r="C118" s="8">
        <v>0.625</v>
      </c>
      <c r="D118" t="s">
        <v>3</v>
      </c>
      <c r="G118" s="37" t="str">
        <f t="shared" si="44"/>
        <v>✅ CUBIERTO</v>
      </c>
      <c r="I118" s="1">
        <v>46006</v>
      </c>
      <c r="J118" s="2" t="str">
        <f t="shared" si="42"/>
        <v>lun</v>
      </c>
      <c r="K118" s="8">
        <v>0.625</v>
      </c>
      <c r="L118" t="s">
        <v>4</v>
      </c>
      <c r="O118" t="str">
        <f t="shared" ref="O118:O149" si="45">IF(COUNTIF(L118:N118,"?*")&gt;=$L$4, "✅ CUBIERTO",
 IF(COUNTIF(L118:N118,"?*")&gt;0, "⚠ FALTANTE",
 "❌ SIN COMPLETAR"))</f>
        <v>✅ CUBIERTO</v>
      </c>
    </row>
    <row r="119" spans="1:15" x14ac:dyDescent="0.3">
      <c r="A119" s="1">
        <v>45978</v>
      </c>
      <c r="B119" s="39" t="str">
        <f t="shared" si="43"/>
        <v>lun</v>
      </c>
      <c r="C119" s="8">
        <v>0.66666666666666696</v>
      </c>
      <c r="D119" t="s">
        <v>3</v>
      </c>
      <c r="G119" s="37" t="str">
        <f t="shared" si="44"/>
        <v>✅ CUBIERTO</v>
      </c>
      <c r="I119" s="1">
        <v>46006</v>
      </c>
      <c r="J119" s="2" t="str">
        <f t="shared" si="42"/>
        <v>lun</v>
      </c>
      <c r="K119" s="8">
        <v>0.66666666666666696</v>
      </c>
      <c r="L119" t="s">
        <v>4</v>
      </c>
      <c r="O119" t="str">
        <f t="shared" si="45"/>
        <v>✅ CUBIERTO</v>
      </c>
    </row>
    <row r="120" spans="1:15" x14ac:dyDescent="0.3">
      <c r="A120" s="1">
        <v>45978</v>
      </c>
      <c r="B120" s="39" t="str">
        <f t="shared" si="43"/>
        <v>lun</v>
      </c>
      <c r="C120" s="8">
        <v>0.70833333333333304</v>
      </c>
      <c r="D120" t="s">
        <v>3</v>
      </c>
      <c r="G120" s="37" t="str">
        <f t="shared" si="44"/>
        <v>✅ CUBIERTO</v>
      </c>
      <c r="I120" s="1">
        <v>46006</v>
      </c>
      <c r="J120" s="2" t="str">
        <f t="shared" si="42"/>
        <v>lun</v>
      </c>
      <c r="K120" s="8">
        <v>0.70833333333333304</v>
      </c>
      <c r="L120" t="s">
        <v>4</v>
      </c>
      <c r="O120" t="str">
        <f t="shared" si="45"/>
        <v>✅ CUBIERTO</v>
      </c>
    </row>
    <row r="121" spans="1:15" x14ac:dyDescent="0.3">
      <c r="A121" s="1">
        <v>45979</v>
      </c>
      <c r="B121" s="39" t="str">
        <f t="shared" si="43"/>
        <v>mar</v>
      </c>
      <c r="C121" s="8">
        <v>0.375</v>
      </c>
      <c r="D121" t="s">
        <v>3</v>
      </c>
      <c r="G121" s="37" t="str">
        <f t="shared" ref="G121:G149" si="46">IF(COUNTIF(D121:F121,"?*")&gt;=$D$4, "✅ CUBIERTO",
 IF(COUNTIF(D121:F121,"?*")&gt;0, "⚠ FALTANTE",
 "❌ SIN COMPLETAR"))</f>
        <v>✅ CUBIERTO</v>
      </c>
      <c r="I121" s="1">
        <v>46007</v>
      </c>
      <c r="J121" s="2" t="str">
        <f>TEXT(I121,"ddd")</f>
        <v>mar</v>
      </c>
      <c r="K121" s="8">
        <v>0.375</v>
      </c>
      <c r="L121" t="s">
        <v>4</v>
      </c>
      <c r="O121" t="str">
        <f t="shared" si="45"/>
        <v>✅ CUBIERTO</v>
      </c>
    </row>
    <row r="122" spans="1:15" x14ac:dyDescent="0.3">
      <c r="A122" s="1">
        <v>45979</v>
      </c>
      <c r="B122" s="39" t="str">
        <f t="shared" si="43"/>
        <v>mar</v>
      </c>
      <c r="C122" s="8">
        <v>0.41666666666666669</v>
      </c>
      <c r="D122" t="s">
        <v>3</v>
      </c>
      <c r="G122" s="37" t="str">
        <f t="shared" si="46"/>
        <v>✅ CUBIERTO</v>
      </c>
      <c r="I122" s="1">
        <v>46007</v>
      </c>
      <c r="J122" s="2" t="str">
        <f t="shared" ref="J122" si="47">TEXT(I122,"ddd")</f>
        <v>mar</v>
      </c>
      <c r="K122" s="8">
        <v>0.41666666666666669</v>
      </c>
      <c r="L122" t="s">
        <v>4</v>
      </c>
      <c r="O122" t="str">
        <f t="shared" si="45"/>
        <v>✅ CUBIERTO</v>
      </c>
    </row>
    <row r="123" spans="1:15" x14ac:dyDescent="0.3">
      <c r="A123" s="1">
        <v>45979</v>
      </c>
      <c r="B123" s="39" t="str">
        <f t="shared" si="43"/>
        <v>mar</v>
      </c>
      <c r="C123" s="8">
        <v>0.45833333333333331</v>
      </c>
      <c r="D123" t="s">
        <v>3</v>
      </c>
      <c r="G123" s="37" t="str">
        <f t="shared" ref="G123:G129" si="48">IF(COUNTIF(D123:F123,"?*")&gt;=$D$4, "✅ CUBIERTO",
 IF(COUNTIF(D123:F123,"?*")&gt;0, "⚠ FALTANTE",
 "❌ SIN COMPLETAR"))</f>
        <v>✅ CUBIERTO</v>
      </c>
      <c r="I123" s="1">
        <v>46007</v>
      </c>
      <c r="J123" s="2" t="str">
        <f>TEXT(I123,"ddd")</f>
        <v>mar</v>
      </c>
      <c r="K123" s="8">
        <v>0.45833333333333331</v>
      </c>
      <c r="L123" t="s">
        <v>4</v>
      </c>
      <c r="O123" t="str">
        <f t="shared" si="45"/>
        <v>✅ CUBIERTO</v>
      </c>
    </row>
    <row r="124" spans="1:15" x14ac:dyDescent="0.3">
      <c r="A124" s="1">
        <v>45979</v>
      </c>
      <c r="B124" s="39" t="str">
        <f t="shared" si="43"/>
        <v>mar</v>
      </c>
      <c r="C124" s="8">
        <v>0.5</v>
      </c>
      <c r="D124" t="s">
        <v>3</v>
      </c>
      <c r="G124" s="37" t="str">
        <f t="shared" si="48"/>
        <v>✅ CUBIERTO</v>
      </c>
      <c r="I124" s="1">
        <v>46007</v>
      </c>
      <c r="J124" s="2" t="str">
        <f t="shared" ref="J124:J129" si="49">TEXT(I124,"ddd")</f>
        <v>mar</v>
      </c>
      <c r="K124" s="8">
        <v>0.5</v>
      </c>
      <c r="L124" t="s">
        <v>4</v>
      </c>
      <c r="O124" t="str">
        <f t="shared" si="45"/>
        <v>✅ CUBIERTO</v>
      </c>
    </row>
    <row r="125" spans="1:15" x14ac:dyDescent="0.3">
      <c r="A125" s="1">
        <v>45979</v>
      </c>
      <c r="B125" s="39" t="str">
        <f t="shared" si="43"/>
        <v>mar</v>
      </c>
      <c r="C125" s="8">
        <v>0.54166666666666696</v>
      </c>
      <c r="D125" t="s">
        <v>3</v>
      </c>
      <c r="G125" s="37" t="str">
        <f t="shared" si="48"/>
        <v>✅ CUBIERTO</v>
      </c>
      <c r="I125" s="1">
        <v>46007</v>
      </c>
      <c r="J125" s="2" t="str">
        <f t="shared" si="49"/>
        <v>mar</v>
      </c>
      <c r="K125" s="8">
        <v>0.54166666666666696</v>
      </c>
      <c r="L125" t="s">
        <v>4</v>
      </c>
      <c r="O125" t="str">
        <f t="shared" si="45"/>
        <v>✅ CUBIERTO</v>
      </c>
    </row>
    <row r="126" spans="1:15" x14ac:dyDescent="0.3">
      <c r="A126" s="1">
        <v>45979</v>
      </c>
      <c r="B126" s="39" t="str">
        <f t="shared" si="43"/>
        <v>mar</v>
      </c>
      <c r="C126" s="8">
        <v>0.58333333333333304</v>
      </c>
      <c r="D126" t="s">
        <v>3</v>
      </c>
      <c r="G126" s="37" t="str">
        <f t="shared" si="48"/>
        <v>✅ CUBIERTO</v>
      </c>
      <c r="I126" s="1">
        <v>46007</v>
      </c>
      <c r="J126" s="2" t="str">
        <f t="shared" si="49"/>
        <v>mar</v>
      </c>
      <c r="K126" s="8">
        <v>0.58333333333333304</v>
      </c>
      <c r="L126" t="s">
        <v>4</v>
      </c>
      <c r="O126" t="str">
        <f t="shared" si="45"/>
        <v>✅ CUBIERTO</v>
      </c>
    </row>
    <row r="127" spans="1:15" x14ac:dyDescent="0.3">
      <c r="A127" s="1">
        <v>45979</v>
      </c>
      <c r="B127" s="39" t="str">
        <f t="shared" si="43"/>
        <v>mar</v>
      </c>
      <c r="C127" s="8">
        <v>0.625</v>
      </c>
      <c r="D127" t="s">
        <v>3</v>
      </c>
      <c r="G127" s="37" t="str">
        <f t="shared" si="48"/>
        <v>✅ CUBIERTO</v>
      </c>
      <c r="I127" s="1">
        <v>46007</v>
      </c>
      <c r="J127" s="2" t="str">
        <f t="shared" si="49"/>
        <v>mar</v>
      </c>
      <c r="K127" s="8">
        <v>0.625</v>
      </c>
      <c r="L127" t="s">
        <v>4</v>
      </c>
      <c r="O127" t="str">
        <f t="shared" si="45"/>
        <v>✅ CUBIERTO</v>
      </c>
    </row>
    <row r="128" spans="1:15" x14ac:dyDescent="0.3">
      <c r="A128" s="1">
        <v>45979</v>
      </c>
      <c r="B128" s="39" t="str">
        <f t="shared" si="43"/>
        <v>mar</v>
      </c>
      <c r="C128" s="8">
        <v>0.66666666666666696</v>
      </c>
      <c r="D128" t="s">
        <v>3</v>
      </c>
      <c r="G128" s="37" t="str">
        <f t="shared" si="48"/>
        <v>✅ CUBIERTO</v>
      </c>
      <c r="I128" s="1">
        <v>46007</v>
      </c>
      <c r="J128" s="2" t="str">
        <f t="shared" si="49"/>
        <v>mar</v>
      </c>
      <c r="K128" s="8">
        <v>0.66666666666666696</v>
      </c>
      <c r="L128" t="s">
        <v>4</v>
      </c>
      <c r="O128" t="str">
        <f t="shared" si="45"/>
        <v>✅ CUBIERTO</v>
      </c>
    </row>
    <row r="129" spans="1:15" x14ac:dyDescent="0.3">
      <c r="A129" s="1">
        <v>45979</v>
      </c>
      <c r="B129" s="39" t="str">
        <f t="shared" si="43"/>
        <v>mar</v>
      </c>
      <c r="C129" s="8">
        <v>0.70833333333333304</v>
      </c>
      <c r="D129" t="s">
        <v>3</v>
      </c>
      <c r="G129" s="37" t="str">
        <f t="shared" si="48"/>
        <v>✅ CUBIERTO</v>
      </c>
      <c r="I129" s="1">
        <v>46007</v>
      </c>
      <c r="J129" s="2" t="str">
        <f t="shared" si="49"/>
        <v>mar</v>
      </c>
      <c r="K129" s="8">
        <v>0.70833333333333304</v>
      </c>
      <c r="L129" t="s">
        <v>4</v>
      </c>
      <c r="O129" t="str">
        <f t="shared" si="45"/>
        <v>✅ CUBIERTO</v>
      </c>
    </row>
    <row r="130" spans="1:15" x14ac:dyDescent="0.3">
      <c r="A130" s="1">
        <v>45980</v>
      </c>
      <c r="B130" s="39" t="str">
        <f t="shared" si="43"/>
        <v>mié</v>
      </c>
      <c r="C130" s="8">
        <v>0.375</v>
      </c>
      <c r="D130" t="s">
        <v>3</v>
      </c>
      <c r="G130" s="37" t="str">
        <f t="shared" si="46"/>
        <v>✅ CUBIERTO</v>
      </c>
      <c r="I130" s="1">
        <v>46008</v>
      </c>
      <c r="J130" s="2" t="str">
        <f>TEXT(I130,"ddd")</f>
        <v>mié</v>
      </c>
      <c r="K130" s="8">
        <v>0.375</v>
      </c>
      <c r="L130" t="s">
        <v>4</v>
      </c>
      <c r="O130" t="str">
        <f t="shared" si="45"/>
        <v>✅ CUBIERTO</v>
      </c>
    </row>
    <row r="131" spans="1:15" x14ac:dyDescent="0.3">
      <c r="A131" s="1">
        <v>45980</v>
      </c>
      <c r="B131" s="39" t="str">
        <f t="shared" si="43"/>
        <v>mié</v>
      </c>
      <c r="C131" s="8">
        <v>0.41666666666666669</v>
      </c>
      <c r="D131" t="s">
        <v>3</v>
      </c>
      <c r="G131" s="37" t="str">
        <f t="shared" si="46"/>
        <v>✅ CUBIERTO</v>
      </c>
      <c r="I131" s="1">
        <v>46008</v>
      </c>
      <c r="J131" s="2" t="str">
        <f t="shared" ref="J131" si="50">TEXT(I131,"ddd")</f>
        <v>mié</v>
      </c>
      <c r="K131" s="8">
        <v>0.41666666666666669</v>
      </c>
      <c r="L131" t="s">
        <v>4</v>
      </c>
      <c r="O131" t="str">
        <f t="shared" si="45"/>
        <v>✅ CUBIERTO</v>
      </c>
    </row>
    <row r="132" spans="1:15" x14ac:dyDescent="0.3">
      <c r="A132" s="1">
        <v>45980</v>
      </c>
      <c r="B132" s="39" t="str">
        <f t="shared" si="43"/>
        <v>mié</v>
      </c>
      <c r="C132" s="8">
        <v>0.45833333333333331</v>
      </c>
      <c r="D132" t="s">
        <v>3</v>
      </c>
      <c r="G132" s="37" t="str">
        <f t="shared" ref="G132:G138" si="51">IF(COUNTIF(D132:F132,"?*")&gt;=$D$4, "✅ CUBIERTO",
 IF(COUNTIF(D132:F132,"?*")&gt;0, "⚠ FALTANTE",
 "❌ SIN COMPLETAR"))</f>
        <v>✅ CUBIERTO</v>
      </c>
      <c r="I132" s="1">
        <v>46008</v>
      </c>
      <c r="J132" s="2" t="str">
        <f>TEXT(I132,"ddd")</f>
        <v>mié</v>
      </c>
      <c r="K132" s="8">
        <v>0.45833333333333331</v>
      </c>
      <c r="L132" t="s">
        <v>4</v>
      </c>
      <c r="O132" t="str">
        <f t="shared" si="45"/>
        <v>✅ CUBIERTO</v>
      </c>
    </row>
    <row r="133" spans="1:15" x14ac:dyDescent="0.3">
      <c r="A133" s="1">
        <v>45980</v>
      </c>
      <c r="B133" s="39" t="str">
        <f t="shared" si="43"/>
        <v>mié</v>
      </c>
      <c r="C133" s="8">
        <v>0.5</v>
      </c>
      <c r="D133" t="s">
        <v>3</v>
      </c>
      <c r="G133" s="37" t="str">
        <f t="shared" si="51"/>
        <v>✅ CUBIERTO</v>
      </c>
      <c r="I133" s="1">
        <v>46008</v>
      </c>
      <c r="J133" s="2" t="str">
        <f t="shared" ref="J133:J138" si="52">TEXT(I133,"ddd")</f>
        <v>mié</v>
      </c>
      <c r="K133" s="8">
        <v>0.5</v>
      </c>
      <c r="L133" t="s">
        <v>4</v>
      </c>
      <c r="O133" t="str">
        <f t="shared" si="45"/>
        <v>✅ CUBIERTO</v>
      </c>
    </row>
    <row r="134" spans="1:15" x14ac:dyDescent="0.3">
      <c r="A134" s="1">
        <v>45980</v>
      </c>
      <c r="B134" s="39" t="str">
        <f t="shared" si="43"/>
        <v>mié</v>
      </c>
      <c r="C134" s="8">
        <v>0.54166666666666696</v>
      </c>
      <c r="D134" t="s">
        <v>3</v>
      </c>
      <c r="G134" s="37" t="str">
        <f t="shared" si="51"/>
        <v>✅ CUBIERTO</v>
      </c>
      <c r="I134" s="1">
        <v>46008</v>
      </c>
      <c r="J134" s="2" t="str">
        <f t="shared" si="52"/>
        <v>mié</v>
      </c>
      <c r="K134" s="8">
        <v>0.54166666666666696</v>
      </c>
      <c r="L134" t="s">
        <v>4</v>
      </c>
      <c r="O134" t="str">
        <f t="shared" si="45"/>
        <v>✅ CUBIERTO</v>
      </c>
    </row>
    <row r="135" spans="1:15" x14ac:dyDescent="0.3">
      <c r="A135" s="1">
        <v>45980</v>
      </c>
      <c r="B135" s="39" t="str">
        <f t="shared" si="43"/>
        <v>mié</v>
      </c>
      <c r="C135" s="8">
        <v>0.58333333333333304</v>
      </c>
      <c r="D135" t="s">
        <v>3</v>
      </c>
      <c r="G135" s="37" t="str">
        <f t="shared" si="51"/>
        <v>✅ CUBIERTO</v>
      </c>
      <c r="I135" s="1">
        <v>46008</v>
      </c>
      <c r="J135" s="2" t="str">
        <f t="shared" si="52"/>
        <v>mié</v>
      </c>
      <c r="K135" s="8">
        <v>0.58333333333333304</v>
      </c>
      <c r="L135" t="s">
        <v>4</v>
      </c>
      <c r="O135" t="str">
        <f t="shared" si="45"/>
        <v>✅ CUBIERTO</v>
      </c>
    </row>
    <row r="136" spans="1:15" x14ac:dyDescent="0.3">
      <c r="A136" s="1">
        <v>45980</v>
      </c>
      <c r="B136" s="39" t="str">
        <f t="shared" si="43"/>
        <v>mié</v>
      </c>
      <c r="C136" s="8">
        <v>0.625</v>
      </c>
      <c r="D136" t="s">
        <v>3</v>
      </c>
      <c r="G136" s="37" t="str">
        <f t="shared" si="51"/>
        <v>✅ CUBIERTO</v>
      </c>
      <c r="I136" s="1">
        <v>46008</v>
      </c>
      <c r="J136" s="2" t="str">
        <f t="shared" si="52"/>
        <v>mié</v>
      </c>
      <c r="K136" s="8">
        <v>0.625</v>
      </c>
      <c r="L136" t="s">
        <v>4</v>
      </c>
      <c r="O136" t="str">
        <f t="shared" si="45"/>
        <v>✅ CUBIERTO</v>
      </c>
    </row>
    <row r="137" spans="1:15" x14ac:dyDescent="0.3">
      <c r="A137" s="1">
        <v>45980</v>
      </c>
      <c r="B137" s="39" t="str">
        <f t="shared" si="43"/>
        <v>mié</v>
      </c>
      <c r="C137" s="8">
        <v>0.66666666666666696</v>
      </c>
      <c r="D137" t="s">
        <v>3</v>
      </c>
      <c r="G137" s="37" t="str">
        <f t="shared" si="51"/>
        <v>✅ CUBIERTO</v>
      </c>
      <c r="I137" s="1">
        <v>46008</v>
      </c>
      <c r="J137" s="2" t="str">
        <f t="shared" si="52"/>
        <v>mié</v>
      </c>
      <c r="K137" s="8">
        <v>0.66666666666666696</v>
      </c>
      <c r="L137" t="s">
        <v>4</v>
      </c>
      <c r="O137" t="str">
        <f t="shared" si="45"/>
        <v>✅ CUBIERTO</v>
      </c>
    </row>
    <row r="138" spans="1:15" x14ac:dyDescent="0.3">
      <c r="A138" s="1">
        <v>45980</v>
      </c>
      <c r="B138" s="39" t="str">
        <f t="shared" si="43"/>
        <v>mié</v>
      </c>
      <c r="C138" s="8">
        <v>0.70833333333333304</v>
      </c>
      <c r="D138" t="s">
        <v>3</v>
      </c>
      <c r="G138" s="37" t="str">
        <f t="shared" si="51"/>
        <v>✅ CUBIERTO</v>
      </c>
      <c r="I138" s="1">
        <v>46008</v>
      </c>
      <c r="J138" s="2" t="str">
        <f t="shared" si="52"/>
        <v>mié</v>
      </c>
      <c r="K138" s="8">
        <v>0.70833333333333304</v>
      </c>
      <c r="L138" t="s">
        <v>4</v>
      </c>
      <c r="O138" t="str">
        <f t="shared" si="45"/>
        <v>✅ CUBIERTO</v>
      </c>
    </row>
    <row r="139" spans="1:15" x14ac:dyDescent="0.3">
      <c r="A139" s="1">
        <v>45981</v>
      </c>
      <c r="B139" s="39" t="str">
        <f t="shared" si="43"/>
        <v>jue</v>
      </c>
      <c r="C139" s="8">
        <v>0.375</v>
      </c>
      <c r="D139" t="s">
        <v>3</v>
      </c>
      <c r="G139" s="37" t="str">
        <f t="shared" si="46"/>
        <v>✅ CUBIERTO</v>
      </c>
      <c r="I139" s="1">
        <v>46009</v>
      </c>
      <c r="J139" s="2" t="str">
        <f>TEXT(I139,"ddd")</f>
        <v>jue</v>
      </c>
      <c r="K139" s="8">
        <v>0.375</v>
      </c>
      <c r="L139" t="s">
        <v>4</v>
      </c>
      <c r="O139" t="str">
        <f t="shared" si="45"/>
        <v>✅ CUBIERTO</v>
      </c>
    </row>
    <row r="140" spans="1:15" x14ac:dyDescent="0.3">
      <c r="A140" s="1">
        <v>45981</v>
      </c>
      <c r="B140" s="39" t="str">
        <f t="shared" si="43"/>
        <v>jue</v>
      </c>
      <c r="C140" s="8">
        <v>0.41666666666666669</v>
      </c>
      <c r="D140" t="s">
        <v>3</v>
      </c>
      <c r="G140" s="37" t="str">
        <f t="shared" si="46"/>
        <v>✅ CUBIERTO</v>
      </c>
      <c r="I140" s="1">
        <v>46009</v>
      </c>
      <c r="J140" s="2" t="str">
        <f t="shared" ref="J140" si="53">TEXT(I140,"ddd")</f>
        <v>jue</v>
      </c>
      <c r="K140" s="8">
        <v>0.41666666666666669</v>
      </c>
      <c r="L140" t="s">
        <v>4</v>
      </c>
      <c r="O140" t="str">
        <f t="shared" si="45"/>
        <v>✅ CUBIERTO</v>
      </c>
    </row>
    <row r="141" spans="1:15" x14ac:dyDescent="0.3">
      <c r="A141" s="1">
        <v>45981</v>
      </c>
      <c r="B141" s="39" t="str">
        <f t="shared" si="43"/>
        <v>jue</v>
      </c>
      <c r="C141" s="8">
        <v>0.45833333333333331</v>
      </c>
      <c r="D141" t="s">
        <v>3</v>
      </c>
      <c r="G141" s="37" t="str">
        <f t="shared" ref="G141:G147" si="54">IF(COUNTIF(D141:F141,"?*")&gt;=$D$4, "✅ CUBIERTO",
 IF(COUNTIF(D141:F141,"?*")&gt;0, "⚠ FALTANTE",
 "❌ SIN COMPLETAR"))</f>
        <v>✅ CUBIERTO</v>
      </c>
      <c r="I141" s="1">
        <v>46009</v>
      </c>
      <c r="J141" s="2" t="str">
        <f>TEXT(I141,"ddd")</f>
        <v>jue</v>
      </c>
      <c r="K141" s="8">
        <v>0.45833333333333331</v>
      </c>
      <c r="L141" t="s">
        <v>4</v>
      </c>
      <c r="O141" t="str">
        <f t="shared" si="45"/>
        <v>✅ CUBIERTO</v>
      </c>
    </row>
    <row r="142" spans="1:15" x14ac:dyDescent="0.3">
      <c r="A142" s="1">
        <v>45981</v>
      </c>
      <c r="B142" s="39" t="str">
        <f t="shared" si="43"/>
        <v>jue</v>
      </c>
      <c r="C142" s="8">
        <v>0.5</v>
      </c>
      <c r="D142" t="s">
        <v>3</v>
      </c>
      <c r="G142" s="37" t="str">
        <f t="shared" si="54"/>
        <v>✅ CUBIERTO</v>
      </c>
      <c r="I142" s="1">
        <v>46009</v>
      </c>
      <c r="J142" s="2" t="str">
        <f t="shared" ref="J142:J147" si="55">TEXT(I142,"ddd")</f>
        <v>jue</v>
      </c>
      <c r="K142" s="8">
        <v>0.5</v>
      </c>
      <c r="L142" t="s">
        <v>4</v>
      </c>
      <c r="O142" t="str">
        <f t="shared" si="45"/>
        <v>✅ CUBIERTO</v>
      </c>
    </row>
    <row r="143" spans="1:15" x14ac:dyDescent="0.3">
      <c r="A143" s="1">
        <v>45981</v>
      </c>
      <c r="B143" s="39" t="str">
        <f t="shared" si="43"/>
        <v>jue</v>
      </c>
      <c r="C143" s="8">
        <v>0.54166666666666696</v>
      </c>
      <c r="D143" t="s">
        <v>3</v>
      </c>
      <c r="G143" s="37" t="str">
        <f t="shared" si="54"/>
        <v>✅ CUBIERTO</v>
      </c>
      <c r="I143" s="1">
        <v>46009</v>
      </c>
      <c r="J143" s="2" t="str">
        <f t="shared" si="55"/>
        <v>jue</v>
      </c>
      <c r="K143" s="8">
        <v>0.54166666666666696</v>
      </c>
      <c r="L143" t="s">
        <v>4</v>
      </c>
      <c r="O143" t="str">
        <f t="shared" si="45"/>
        <v>✅ CUBIERTO</v>
      </c>
    </row>
    <row r="144" spans="1:15" x14ac:dyDescent="0.3">
      <c r="A144" s="1">
        <v>45981</v>
      </c>
      <c r="B144" s="39" t="str">
        <f t="shared" si="43"/>
        <v>jue</v>
      </c>
      <c r="C144" s="8">
        <v>0.58333333333333304</v>
      </c>
      <c r="D144" t="s">
        <v>3</v>
      </c>
      <c r="G144" s="37" t="str">
        <f t="shared" si="54"/>
        <v>✅ CUBIERTO</v>
      </c>
      <c r="I144" s="1">
        <v>46009</v>
      </c>
      <c r="J144" s="2" t="str">
        <f t="shared" si="55"/>
        <v>jue</v>
      </c>
      <c r="K144" s="8">
        <v>0.58333333333333304</v>
      </c>
      <c r="L144" t="s">
        <v>4</v>
      </c>
      <c r="O144" t="str">
        <f t="shared" si="45"/>
        <v>✅ CUBIERTO</v>
      </c>
    </row>
    <row r="145" spans="1:15" x14ac:dyDescent="0.3">
      <c r="A145" s="1">
        <v>45981</v>
      </c>
      <c r="B145" s="39" t="str">
        <f t="shared" si="43"/>
        <v>jue</v>
      </c>
      <c r="C145" s="8">
        <v>0.625</v>
      </c>
      <c r="D145" t="s">
        <v>3</v>
      </c>
      <c r="G145" s="37" t="str">
        <f t="shared" si="54"/>
        <v>✅ CUBIERTO</v>
      </c>
      <c r="I145" s="1">
        <v>46009</v>
      </c>
      <c r="J145" s="2" t="str">
        <f t="shared" si="55"/>
        <v>jue</v>
      </c>
      <c r="K145" s="8">
        <v>0.625</v>
      </c>
      <c r="L145" t="s">
        <v>4</v>
      </c>
      <c r="O145" t="str">
        <f t="shared" si="45"/>
        <v>✅ CUBIERTO</v>
      </c>
    </row>
    <row r="146" spans="1:15" x14ac:dyDescent="0.3">
      <c r="A146" s="1">
        <v>45981</v>
      </c>
      <c r="B146" s="39" t="str">
        <f t="shared" si="43"/>
        <v>jue</v>
      </c>
      <c r="C146" s="8">
        <v>0.66666666666666696</v>
      </c>
      <c r="D146" t="s">
        <v>3</v>
      </c>
      <c r="G146" s="37" t="str">
        <f t="shared" si="54"/>
        <v>✅ CUBIERTO</v>
      </c>
      <c r="I146" s="1">
        <v>46009</v>
      </c>
      <c r="J146" s="2" t="str">
        <f t="shared" si="55"/>
        <v>jue</v>
      </c>
      <c r="K146" s="8">
        <v>0.66666666666666696</v>
      </c>
      <c r="L146" t="s">
        <v>4</v>
      </c>
      <c r="O146" t="str">
        <f t="shared" si="45"/>
        <v>✅ CUBIERTO</v>
      </c>
    </row>
    <row r="147" spans="1:15" x14ac:dyDescent="0.3">
      <c r="A147" s="1">
        <v>45981</v>
      </c>
      <c r="B147" s="39" t="str">
        <f t="shared" si="43"/>
        <v>jue</v>
      </c>
      <c r="C147" s="8">
        <v>0.70833333333333304</v>
      </c>
      <c r="D147" t="s">
        <v>3</v>
      </c>
      <c r="G147" s="37" t="str">
        <f t="shared" si="54"/>
        <v>✅ CUBIERTO</v>
      </c>
      <c r="I147" s="1">
        <v>46009</v>
      </c>
      <c r="J147" s="2" t="str">
        <f t="shared" si="55"/>
        <v>jue</v>
      </c>
      <c r="K147" s="8">
        <v>0.70833333333333304</v>
      </c>
      <c r="L147" t="s">
        <v>4</v>
      </c>
      <c r="O147" t="str">
        <f t="shared" si="45"/>
        <v>✅ CUBIERTO</v>
      </c>
    </row>
    <row r="148" spans="1:15" x14ac:dyDescent="0.3">
      <c r="A148" s="1">
        <v>45982</v>
      </c>
      <c r="B148" s="39" t="str">
        <f t="shared" si="43"/>
        <v>vie</v>
      </c>
      <c r="C148" s="8">
        <v>0.375</v>
      </c>
      <c r="D148" t="s">
        <v>3</v>
      </c>
      <c r="G148" s="37" t="str">
        <f t="shared" si="46"/>
        <v>✅ CUBIERTO</v>
      </c>
      <c r="I148" s="1">
        <v>46010</v>
      </c>
      <c r="J148" s="2" t="str">
        <f>TEXT(I148,"ddd")</f>
        <v>vie</v>
      </c>
      <c r="K148" s="8">
        <v>0.375</v>
      </c>
      <c r="L148" t="s">
        <v>4</v>
      </c>
      <c r="O148" t="str">
        <f t="shared" si="45"/>
        <v>✅ CUBIERTO</v>
      </c>
    </row>
    <row r="149" spans="1:15" x14ac:dyDescent="0.3">
      <c r="A149" s="1">
        <v>45982</v>
      </c>
      <c r="B149" s="39" t="str">
        <f t="shared" si="43"/>
        <v>vie</v>
      </c>
      <c r="C149" s="8">
        <v>0.41666666666666669</v>
      </c>
      <c r="D149" t="s">
        <v>3</v>
      </c>
      <c r="G149" s="37" t="str">
        <f t="shared" si="46"/>
        <v>✅ CUBIERTO</v>
      </c>
      <c r="I149" s="1">
        <v>46010</v>
      </c>
      <c r="J149" s="2" t="str">
        <f t="shared" ref="J149" si="56">TEXT(I149,"ddd")</f>
        <v>vie</v>
      </c>
      <c r="K149" s="8">
        <v>0.41666666666666669</v>
      </c>
      <c r="L149" t="s">
        <v>4</v>
      </c>
      <c r="O149" t="str">
        <f t="shared" si="45"/>
        <v>✅ CUBIERTO</v>
      </c>
    </row>
    <row r="150" spans="1:15" x14ac:dyDescent="0.3">
      <c r="A150" s="1">
        <v>45982</v>
      </c>
      <c r="B150" s="39" t="str">
        <f t="shared" si="43"/>
        <v>vie</v>
      </c>
      <c r="C150" s="8">
        <v>0.45833333333333331</v>
      </c>
      <c r="D150" t="s">
        <v>3</v>
      </c>
      <c r="G150" s="37" t="str">
        <f t="shared" ref="G150:G156" si="57">IF(COUNTIF(D150:F150,"?*")&gt;=$D$4, "✅ CUBIERTO",
 IF(COUNTIF(D150:F150,"?*")&gt;0, "⚠ FALTANTE",
 "❌ SIN COMPLETAR"))</f>
        <v>✅ CUBIERTO</v>
      </c>
      <c r="I150" s="1">
        <v>46010</v>
      </c>
      <c r="J150" s="2" t="str">
        <f>TEXT(I150,"ddd")</f>
        <v>vie</v>
      </c>
      <c r="K150" s="8">
        <v>0.45833333333333331</v>
      </c>
      <c r="L150" t="s">
        <v>4</v>
      </c>
      <c r="O150" t="str">
        <f t="shared" ref="O150:O181" si="58">IF(COUNTIF(L150:N150,"?*")&gt;=$L$4, "✅ CUBIERTO",
 IF(COUNTIF(L150:N150,"?*")&gt;0, "⚠ FALTANTE",
 "❌ SIN COMPLETAR"))</f>
        <v>✅ CUBIERTO</v>
      </c>
    </row>
    <row r="151" spans="1:15" x14ac:dyDescent="0.3">
      <c r="A151" s="1">
        <v>45982</v>
      </c>
      <c r="B151" s="39" t="str">
        <f t="shared" si="43"/>
        <v>vie</v>
      </c>
      <c r="C151" s="8">
        <v>0.5</v>
      </c>
      <c r="D151" t="s">
        <v>3</v>
      </c>
      <c r="G151" s="37" t="str">
        <f t="shared" si="57"/>
        <v>✅ CUBIERTO</v>
      </c>
      <c r="I151" s="1">
        <v>46010</v>
      </c>
      <c r="J151" s="2" t="str">
        <f t="shared" ref="J151:J156" si="59">TEXT(I151,"ddd")</f>
        <v>vie</v>
      </c>
      <c r="K151" s="8">
        <v>0.5</v>
      </c>
      <c r="L151" t="s">
        <v>4</v>
      </c>
      <c r="O151" t="str">
        <f t="shared" si="58"/>
        <v>✅ CUBIERTO</v>
      </c>
    </row>
    <row r="152" spans="1:15" x14ac:dyDescent="0.3">
      <c r="A152" s="1">
        <v>45982</v>
      </c>
      <c r="B152" s="39" t="str">
        <f t="shared" si="43"/>
        <v>vie</v>
      </c>
      <c r="C152" s="8">
        <v>0.54166666666666696</v>
      </c>
      <c r="D152" t="s">
        <v>3</v>
      </c>
      <c r="G152" s="37" t="str">
        <f t="shared" si="57"/>
        <v>✅ CUBIERTO</v>
      </c>
      <c r="I152" s="1">
        <v>46010</v>
      </c>
      <c r="J152" s="2" t="str">
        <f t="shared" si="59"/>
        <v>vie</v>
      </c>
      <c r="K152" s="8">
        <v>0.54166666666666696</v>
      </c>
      <c r="L152" t="s">
        <v>4</v>
      </c>
      <c r="O152" t="str">
        <f t="shared" si="58"/>
        <v>✅ CUBIERTO</v>
      </c>
    </row>
    <row r="153" spans="1:15" x14ac:dyDescent="0.3">
      <c r="A153" s="1">
        <v>45982</v>
      </c>
      <c r="B153" s="39" t="str">
        <f t="shared" si="43"/>
        <v>vie</v>
      </c>
      <c r="C153" s="8">
        <v>0.58333333333333304</v>
      </c>
      <c r="D153" t="s">
        <v>3</v>
      </c>
      <c r="G153" s="37" t="str">
        <f t="shared" si="57"/>
        <v>✅ CUBIERTO</v>
      </c>
      <c r="I153" s="1">
        <v>46010</v>
      </c>
      <c r="J153" s="2" t="str">
        <f t="shared" si="59"/>
        <v>vie</v>
      </c>
      <c r="K153" s="8">
        <v>0.58333333333333304</v>
      </c>
      <c r="L153" t="s">
        <v>4</v>
      </c>
      <c r="O153" t="str">
        <f t="shared" si="58"/>
        <v>✅ CUBIERTO</v>
      </c>
    </row>
    <row r="154" spans="1:15" x14ac:dyDescent="0.3">
      <c r="A154" s="1">
        <v>45982</v>
      </c>
      <c r="B154" s="39" t="str">
        <f t="shared" si="43"/>
        <v>vie</v>
      </c>
      <c r="C154" s="8">
        <v>0.625</v>
      </c>
      <c r="D154" t="s">
        <v>3</v>
      </c>
      <c r="G154" s="37" t="str">
        <f t="shared" si="57"/>
        <v>✅ CUBIERTO</v>
      </c>
      <c r="I154" s="1">
        <v>46010</v>
      </c>
      <c r="J154" s="2" t="str">
        <f t="shared" si="59"/>
        <v>vie</v>
      </c>
      <c r="K154" s="8">
        <v>0.625</v>
      </c>
      <c r="L154" t="s">
        <v>4</v>
      </c>
      <c r="O154" t="str">
        <f t="shared" si="58"/>
        <v>✅ CUBIERTO</v>
      </c>
    </row>
    <row r="155" spans="1:15" x14ac:dyDescent="0.3">
      <c r="A155" s="1">
        <v>45982</v>
      </c>
      <c r="B155" s="39" t="str">
        <f t="shared" si="43"/>
        <v>vie</v>
      </c>
      <c r="C155" s="8">
        <v>0.66666666666666696</v>
      </c>
      <c r="D155" t="s">
        <v>3</v>
      </c>
      <c r="G155" s="37" t="str">
        <f t="shared" si="57"/>
        <v>✅ CUBIERTO</v>
      </c>
      <c r="I155" s="1">
        <v>46010</v>
      </c>
      <c r="J155" s="2" t="str">
        <f t="shared" si="59"/>
        <v>vie</v>
      </c>
      <c r="K155" s="8">
        <v>0.66666666666666696</v>
      </c>
      <c r="L155" t="s">
        <v>4</v>
      </c>
      <c r="O155" t="str">
        <f t="shared" si="58"/>
        <v>✅ CUBIERTO</v>
      </c>
    </row>
    <row r="156" spans="1:15" x14ac:dyDescent="0.3">
      <c r="A156" s="1">
        <v>45982</v>
      </c>
      <c r="B156" s="39" t="str">
        <f t="shared" si="43"/>
        <v>vie</v>
      </c>
      <c r="C156" s="8">
        <v>0.70833333333333304</v>
      </c>
      <c r="D156" t="s">
        <v>3</v>
      </c>
      <c r="G156" s="37" t="str">
        <f t="shared" si="57"/>
        <v>✅ CUBIERTO</v>
      </c>
      <c r="I156" s="1">
        <v>46010</v>
      </c>
      <c r="J156" s="2" t="str">
        <f t="shared" si="59"/>
        <v>vie</v>
      </c>
      <c r="K156" s="8">
        <v>0.70833333333333304</v>
      </c>
      <c r="L156" t="s">
        <v>4</v>
      </c>
      <c r="O156" t="str">
        <f t="shared" si="58"/>
        <v>✅ CUBIERTO</v>
      </c>
    </row>
    <row r="157" spans="1:15" x14ac:dyDescent="0.3">
      <c r="A157" s="33">
        <v>45985</v>
      </c>
      <c r="B157" s="40" t="str">
        <f t="shared" ref="B157:B201" si="60">TEXT(A157,"ddd")</f>
        <v>lun</v>
      </c>
      <c r="C157" s="35">
        <v>0.375</v>
      </c>
      <c r="D157" t="s">
        <v>3</v>
      </c>
      <c r="G157" s="38" t="str">
        <f t="shared" ref="G157:G201" si="61">IF(COUNTIF(D157:F157,"?*")&gt;=$D$4, "✅ CUBIERTO",
 IF(COUNTIF(D157:F157,"?*")&gt;0, "⚠ FALTANTE",
 "❌ SIN COMPLETAR"))</f>
        <v>✅ CUBIERTO</v>
      </c>
      <c r="I157" s="1">
        <v>46013</v>
      </c>
      <c r="J157" s="2" t="str">
        <f>TEXT(I157,"ddd")</f>
        <v>lun</v>
      </c>
      <c r="K157" s="8">
        <v>0.375</v>
      </c>
      <c r="L157" t="s">
        <v>4</v>
      </c>
      <c r="O157" t="str">
        <f t="shared" si="58"/>
        <v>✅ CUBIERTO</v>
      </c>
    </row>
    <row r="158" spans="1:15" x14ac:dyDescent="0.3">
      <c r="A158" s="33">
        <v>45985</v>
      </c>
      <c r="B158" s="40" t="str">
        <f t="shared" si="60"/>
        <v>lun</v>
      </c>
      <c r="C158" s="35">
        <v>0.41666666666666669</v>
      </c>
      <c r="D158" t="s">
        <v>3</v>
      </c>
      <c r="G158" s="38" t="str">
        <f t="shared" si="61"/>
        <v>✅ CUBIERTO</v>
      </c>
      <c r="I158" s="1">
        <v>46013</v>
      </c>
      <c r="J158" s="2" t="str">
        <f t="shared" ref="J158:J166" si="62">TEXT(I158,"ddd")</f>
        <v>lun</v>
      </c>
      <c r="K158" s="8">
        <v>0.41666666666666669</v>
      </c>
      <c r="L158" t="s">
        <v>4</v>
      </c>
      <c r="O158" t="str">
        <f t="shared" si="58"/>
        <v>✅ CUBIERTO</v>
      </c>
    </row>
    <row r="159" spans="1:15" x14ac:dyDescent="0.3">
      <c r="A159" s="33">
        <v>45985</v>
      </c>
      <c r="B159" s="40" t="str">
        <f t="shared" si="60"/>
        <v>lun</v>
      </c>
      <c r="C159" s="35">
        <v>0.45833333333333331</v>
      </c>
      <c r="D159" t="s">
        <v>3</v>
      </c>
      <c r="G159" s="38" t="str">
        <f t="shared" si="61"/>
        <v>✅ CUBIERTO</v>
      </c>
      <c r="I159" s="1">
        <v>46013</v>
      </c>
      <c r="J159" s="2" t="str">
        <f>TEXT(I159,"ddd")</f>
        <v>lun</v>
      </c>
      <c r="K159" s="8">
        <v>0.45833333333333331</v>
      </c>
      <c r="L159" t="s">
        <v>4</v>
      </c>
      <c r="O159" t="str">
        <f t="shared" si="58"/>
        <v>✅ CUBIERTO</v>
      </c>
    </row>
    <row r="160" spans="1:15" x14ac:dyDescent="0.3">
      <c r="A160" s="33">
        <v>45985</v>
      </c>
      <c r="B160" s="40" t="str">
        <f t="shared" si="60"/>
        <v>lun</v>
      </c>
      <c r="C160" s="35">
        <v>0.5</v>
      </c>
      <c r="D160" t="s">
        <v>3</v>
      </c>
      <c r="G160" s="38" t="str">
        <f t="shared" si="61"/>
        <v>✅ CUBIERTO</v>
      </c>
      <c r="I160" s="1">
        <v>46013</v>
      </c>
      <c r="J160" s="2" t="str">
        <f t="shared" ref="J160:J165" si="63">TEXT(I160,"ddd")</f>
        <v>lun</v>
      </c>
      <c r="K160" s="8">
        <v>0.5</v>
      </c>
      <c r="L160" t="s">
        <v>4</v>
      </c>
      <c r="O160" t="str">
        <f t="shared" si="58"/>
        <v>✅ CUBIERTO</v>
      </c>
    </row>
    <row r="161" spans="1:15" x14ac:dyDescent="0.3">
      <c r="A161" s="33">
        <v>45985</v>
      </c>
      <c r="B161" s="40" t="str">
        <f t="shared" si="60"/>
        <v>lun</v>
      </c>
      <c r="C161" s="35">
        <v>0.54166666666666696</v>
      </c>
      <c r="D161" t="s">
        <v>3</v>
      </c>
      <c r="G161" s="38" t="str">
        <f t="shared" si="61"/>
        <v>✅ CUBIERTO</v>
      </c>
      <c r="I161" s="1">
        <v>46013</v>
      </c>
      <c r="J161" s="2" t="str">
        <f t="shared" si="63"/>
        <v>lun</v>
      </c>
      <c r="K161" s="8">
        <v>0.54166666666666696</v>
      </c>
      <c r="L161" t="s">
        <v>4</v>
      </c>
      <c r="O161" t="str">
        <f t="shared" si="58"/>
        <v>✅ CUBIERTO</v>
      </c>
    </row>
    <row r="162" spans="1:15" x14ac:dyDescent="0.3">
      <c r="A162" s="33">
        <v>45985</v>
      </c>
      <c r="B162" s="40" t="str">
        <f t="shared" si="60"/>
        <v>lun</v>
      </c>
      <c r="C162" s="35">
        <v>0.58333333333333304</v>
      </c>
      <c r="D162" t="s">
        <v>3</v>
      </c>
      <c r="G162" s="38" t="str">
        <f t="shared" si="61"/>
        <v>✅ CUBIERTO</v>
      </c>
      <c r="I162" s="1">
        <v>46013</v>
      </c>
      <c r="J162" s="2" t="str">
        <f t="shared" si="63"/>
        <v>lun</v>
      </c>
      <c r="K162" s="8">
        <v>0.58333333333333304</v>
      </c>
      <c r="L162" t="s">
        <v>4</v>
      </c>
      <c r="O162" t="str">
        <f t="shared" si="58"/>
        <v>✅ CUBIERTO</v>
      </c>
    </row>
    <row r="163" spans="1:15" x14ac:dyDescent="0.3">
      <c r="A163" s="33">
        <v>45985</v>
      </c>
      <c r="B163" s="40" t="str">
        <f t="shared" si="60"/>
        <v>lun</v>
      </c>
      <c r="C163" s="35">
        <v>0.625</v>
      </c>
      <c r="D163" t="s">
        <v>3</v>
      </c>
      <c r="G163" s="38" t="str">
        <f t="shared" si="61"/>
        <v>✅ CUBIERTO</v>
      </c>
      <c r="I163" s="1">
        <v>46013</v>
      </c>
      <c r="J163" s="2" t="str">
        <f t="shared" si="63"/>
        <v>lun</v>
      </c>
      <c r="K163" s="8">
        <v>0.625</v>
      </c>
      <c r="L163" t="s">
        <v>4</v>
      </c>
      <c r="O163" t="str">
        <f t="shared" si="58"/>
        <v>✅ CUBIERTO</v>
      </c>
    </row>
    <row r="164" spans="1:15" x14ac:dyDescent="0.3">
      <c r="A164" s="33">
        <v>45985</v>
      </c>
      <c r="B164" s="40" t="str">
        <f t="shared" si="60"/>
        <v>lun</v>
      </c>
      <c r="C164" s="35">
        <v>0.66666666666666696</v>
      </c>
      <c r="D164" t="s">
        <v>3</v>
      </c>
      <c r="G164" s="38" t="str">
        <f t="shared" si="61"/>
        <v>✅ CUBIERTO</v>
      </c>
      <c r="I164" s="1">
        <v>46013</v>
      </c>
      <c r="J164" s="2" t="str">
        <f t="shared" si="63"/>
        <v>lun</v>
      </c>
      <c r="K164" s="8">
        <v>0.66666666666666696</v>
      </c>
      <c r="L164" t="s">
        <v>4</v>
      </c>
      <c r="O164" t="str">
        <f t="shared" si="58"/>
        <v>✅ CUBIERTO</v>
      </c>
    </row>
    <row r="165" spans="1:15" x14ac:dyDescent="0.3">
      <c r="A165" s="33">
        <v>45985</v>
      </c>
      <c r="B165" s="40" t="str">
        <f t="shared" si="60"/>
        <v>lun</v>
      </c>
      <c r="C165" s="35">
        <v>0.70833333333333304</v>
      </c>
      <c r="D165" t="s">
        <v>3</v>
      </c>
      <c r="G165" s="38" t="str">
        <f t="shared" si="61"/>
        <v>✅ CUBIERTO</v>
      </c>
      <c r="I165" s="1">
        <v>46013</v>
      </c>
      <c r="J165" s="2" t="str">
        <f t="shared" si="63"/>
        <v>lun</v>
      </c>
      <c r="K165" s="8">
        <v>0.70833333333333304</v>
      </c>
      <c r="L165" t="s">
        <v>4</v>
      </c>
      <c r="O165" t="str">
        <f t="shared" si="58"/>
        <v>✅ CUBIERTO</v>
      </c>
    </row>
    <row r="166" spans="1:15" x14ac:dyDescent="0.3">
      <c r="A166" s="28">
        <v>45986</v>
      </c>
      <c r="B166" s="41" t="str">
        <f t="shared" si="60"/>
        <v>mar</v>
      </c>
      <c r="C166" s="8">
        <v>0.375</v>
      </c>
      <c r="D166" t="s">
        <v>3</v>
      </c>
      <c r="G166" s="37" t="str">
        <f t="shared" si="61"/>
        <v>✅ CUBIERTO</v>
      </c>
      <c r="I166" s="1">
        <v>46014</v>
      </c>
      <c r="J166" s="2" t="str">
        <f t="shared" si="62"/>
        <v>mar</v>
      </c>
      <c r="K166" s="8">
        <v>0.375</v>
      </c>
      <c r="L166" t="s">
        <v>4</v>
      </c>
      <c r="O166" t="str">
        <f t="shared" si="58"/>
        <v>✅ CUBIERTO</v>
      </c>
    </row>
    <row r="167" spans="1:15" x14ac:dyDescent="0.3">
      <c r="A167" s="28">
        <v>45986</v>
      </c>
      <c r="B167" s="41" t="str">
        <f t="shared" si="60"/>
        <v>mar</v>
      </c>
      <c r="C167" s="8">
        <v>0.41666666666666669</v>
      </c>
      <c r="D167" t="s">
        <v>3</v>
      </c>
      <c r="G167" s="37" t="str">
        <f t="shared" si="61"/>
        <v>✅ CUBIERTO</v>
      </c>
      <c r="I167" s="1">
        <v>46014</v>
      </c>
      <c r="J167" s="2" t="str">
        <f>TEXT(I167,"ddd")</f>
        <v>mar</v>
      </c>
      <c r="K167" s="8">
        <v>0.41666666666666669</v>
      </c>
      <c r="L167" t="s">
        <v>4</v>
      </c>
      <c r="O167" t="str">
        <f t="shared" si="58"/>
        <v>✅ CUBIERTO</v>
      </c>
    </row>
    <row r="168" spans="1:15" x14ac:dyDescent="0.3">
      <c r="A168" s="28">
        <v>45986</v>
      </c>
      <c r="B168" s="41" t="str">
        <f t="shared" si="60"/>
        <v>mar</v>
      </c>
      <c r="C168" s="30">
        <v>0.45833333333333331</v>
      </c>
      <c r="D168" t="s">
        <v>3</v>
      </c>
      <c r="G168" s="37" t="str">
        <f t="shared" si="61"/>
        <v>✅ CUBIERTO</v>
      </c>
      <c r="I168" s="1">
        <v>46014</v>
      </c>
      <c r="J168" s="2" t="str">
        <f t="shared" ref="J168" si="64">TEXT(I168,"ddd")</f>
        <v>mar</v>
      </c>
      <c r="K168" s="8">
        <v>0.45833333333333331</v>
      </c>
      <c r="L168" t="s">
        <v>4</v>
      </c>
      <c r="O168" t="str">
        <f t="shared" si="58"/>
        <v>✅ CUBIERTO</v>
      </c>
    </row>
    <row r="169" spans="1:15" x14ac:dyDescent="0.3">
      <c r="A169" s="28">
        <v>45986</v>
      </c>
      <c r="B169" s="41" t="str">
        <f t="shared" si="60"/>
        <v>mar</v>
      </c>
      <c r="C169" s="30">
        <v>0.5</v>
      </c>
      <c r="D169" t="s">
        <v>3</v>
      </c>
      <c r="G169" s="37" t="str">
        <f t="shared" si="61"/>
        <v>✅ CUBIERTO</v>
      </c>
      <c r="I169" s="1">
        <v>46014</v>
      </c>
      <c r="J169" s="2" t="str">
        <f>TEXT(I169,"ddd")</f>
        <v>mar</v>
      </c>
      <c r="K169" s="8">
        <v>0.5</v>
      </c>
      <c r="L169" t="s">
        <v>4</v>
      </c>
      <c r="O169" t="str">
        <f t="shared" si="58"/>
        <v>✅ CUBIERTO</v>
      </c>
    </row>
    <row r="170" spans="1:15" x14ac:dyDescent="0.3">
      <c r="A170" s="28">
        <v>45986</v>
      </c>
      <c r="B170" s="41" t="str">
        <f t="shared" si="60"/>
        <v>mar</v>
      </c>
      <c r="C170" s="30">
        <v>0.54166666666666696</v>
      </c>
      <c r="D170" t="s">
        <v>3</v>
      </c>
      <c r="G170" s="37" t="str">
        <f t="shared" si="61"/>
        <v>✅ CUBIERTO</v>
      </c>
      <c r="I170" s="1">
        <v>46014</v>
      </c>
      <c r="J170" s="2" t="str">
        <f t="shared" ref="J170:J174" si="65">TEXT(I170,"ddd")</f>
        <v>mar</v>
      </c>
      <c r="K170" s="8">
        <v>0.54166666666666696</v>
      </c>
      <c r="L170" t="s">
        <v>4</v>
      </c>
      <c r="O170" t="str">
        <f t="shared" si="58"/>
        <v>✅ CUBIERTO</v>
      </c>
    </row>
    <row r="171" spans="1:15" x14ac:dyDescent="0.3">
      <c r="A171" s="28">
        <v>45986</v>
      </c>
      <c r="B171" s="41" t="str">
        <f t="shared" si="60"/>
        <v>mar</v>
      </c>
      <c r="C171" s="30">
        <v>0.58333333333333304</v>
      </c>
      <c r="D171" t="s">
        <v>3</v>
      </c>
      <c r="G171" s="37" t="str">
        <f t="shared" si="61"/>
        <v>✅ CUBIERTO</v>
      </c>
      <c r="I171" s="1">
        <v>46014</v>
      </c>
      <c r="J171" s="2" t="str">
        <f t="shared" si="65"/>
        <v>mar</v>
      </c>
      <c r="K171" s="8">
        <v>0.58333333333333304</v>
      </c>
      <c r="L171" t="s">
        <v>4</v>
      </c>
      <c r="O171" t="str">
        <f t="shared" si="58"/>
        <v>✅ CUBIERTO</v>
      </c>
    </row>
    <row r="172" spans="1:15" x14ac:dyDescent="0.3">
      <c r="A172" s="28">
        <v>45986</v>
      </c>
      <c r="B172" s="41" t="str">
        <f t="shared" si="60"/>
        <v>mar</v>
      </c>
      <c r="C172" s="30">
        <v>0.625</v>
      </c>
      <c r="D172" t="s">
        <v>3</v>
      </c>
      <c r="G172" s="37" t="str">
        <f t="shared" si="61"/>
        <v>✅ CUBIERTO</v>
      </c>
      <c r="I172" s="1">
        <v>46014</v>
      </c>
      <c r="J172" s="2" t="str">
        <f t="shared" si="65"/>
        <v>mar</v>
      </c>
      <c r="K172" s="8">
        <v>0.625</v>
      </c>
      <c r="L172" t="s">
        <v>4</v>
      </c>
      <c r="O172" t="str">
        <f t="shared" si="58"/>
        <v>✅ CUBIERTO</v>
      </c>
    </row>
    <row r="173" spans="1:15" x14ac:dyDescent="0.3">
      <c r="A173" s="28">
        <v>45986</v>
      </c>
      <c r="B173" s="41" t="str">
        <f t="shared" si="60"/>
        <v>mar</v>
      </c>
      <c r="C173" s="30">
        <v>0.66666666666666696</v>
      </c>
      <c r="D173" t="s">
        <v>3</v>
      </c>
      <c r="G173" s="37" t="str">
        <f t="shared" si="61"/>
        <v>✅ CUBIERTO</v>
      </c>
      <c r="I173" s="1">
        <v>46014</v>
      </c>
      <c r="J173" s="2" t="str">
        <f t="shared" si="65"/>
        <v>mar</v>
      </c>
      <c r="K173" s="8">
        <v>0.66666666666666696</v>
      </c>
      <c r="L173" t="s">
        <v>4</v>
      </c>
      <c r="O173" t="str">
        <f t="shared" si="58"/>
        <v>✅ CUBIERTO</v>
      </c>
    </row>
    <row r="174" spans="1:15" x14ac:dyDescent="0.3">
      <c r="A174" s="28">
        <v>45986</v>
      </c>
      <c r="B174" s="41" t="str">
        <f t="shared" si="60"/>
        <v>mar</v>
      </c>
      <c r="C174" s="30">
        <v>0.70833333333333304</v>
      </c>
      <c r="D174" t="s">
        <v>3</v>
      </c>
      <c r="G174" s="37" t="str">
        <f t="shared" si="61"/>
        <v>✅ CUBIERTO</v>
      </c>
      <c r="I174" s="1">
        <v>46014</v>
      </c>
      <c r="J174" s="2" t="str">
        <f t="shared" si="65"/>
        <v>mar</v>
      </c>
      <c r="K174" s="8">
        <v>0.70833333333333304</v>
      </c>
      <c r="L174" t="s">
        <v>4</v>
      </c>
      <c r="O174" t="str">
        <f t="shared" si="58"/>
        <v>✅ CUBIERTO</v>
      </c>
    </row>
    <row r="175" spans="1:15" x14ac:dyDescent="0.3">
      <c r="A175" s="1">
        <v>45987</v>
      </c>
      <c r="B175" s="39" t="str">
        <f t="shared" si="60"/>
        <v>mié</v>
      </c>
      <c r="C175" s="8">
        <v>0.375</v>
      </c>
      <c r="D175" t="s">
        <v>3</v>
      </c>
      <c r="G175" s="37" t="str">
        <f t="shared" si="61"/>
        <v>✅ CUBIERTO</v>
      </c>
      <c r="I175" s="1">
        <v>46015</v>
      </c>
      <c r="J175" s="2" t="str">
        <f>TEXT(I175,"ddd")</f>
        <v>mié</v>
      </c>
      <c r="K175" s="8">
        <v>0.375</v>
      </c>
      <c r="L175" t="s">
        <v>4</v>
      </c>
      <c r="O175" t="str">
        <f t="shared" si="58"/>
        <v>✅ CUBIERTO</v>
      </c>
    </row>
    <row r="176" spans="1:15" x14ac:dyDescent="0.3">
      <c r="A176" s="1">
        <v>45987</v>
      </c>
      <c r="B176" s="39" t="str">
        <f t="shared" si="60"/>
        <v>mié</v>
      </c>
      <c r="C176" s="8">
        <v>0.41666666666666669</v>
      </c>
      <c r="D176" t="s">
        <v>3</v>
      </c>
      <c r="G176" s="37" t="str">
        <f t="shared" si="61"/>
        <v>✅ CUBIERTO</v>
      </c>
      <c r="I176" s="1">
        <v>46015</v>
      </c>
      <c r="J176" s="2" t="str">
        <f t="shared" ref="J176" si="66">TEXT(I176,"ddd")</f>
        <v>mié</v>
      </c>
      <c r="K176" s="8">
        <v>0.41666666666666669</v>
      </c>
      <c r="L176" t="s">
        <v>4</v>
      </c>
      <c r="O176" t="str">
        <f t="shared" si="58"/>
        <v>✅ CUBIERTO</v>
      </c>
    </row>
    <row r="177" spans="1:15" x14ac:dyDescent="0.3">
      <c r="A177" s="1">
        <v>45987</v>
      </c>
      <c r="B177" s="39" t="str">
        <f t="shared" si="60"/>
        <v>mié</v>
      </c>
      <c r="C177" s="8">
        <v>0.45833333333333331</v>
      </c>
      <c r="D177" t="s">
        <v>3</v>
      </c>
      <c r="G177" s="37" t="str">
        <f t="shared" si="61"/>
        <v>✅ CUBIERTO</v>
      </c>
      <c r="I177" s="1">
        <v>46015</v>
      </c>
      <c r="J177" s="2" t="str">
        <f>TEXT(I177,"ddd")</f>
        <v>mié</v>
      </c>
      <c r="K177" s="8">
        <v>0.45833333333333331</v>
      </c>
      <c r="L177" t="s">
        <v>4</v>
      </c>
      <c r="O177" t="str">
        <f t="shared" si="58"/>
        <v>✅ CUBIERTO</v>
      </c>
    </row>
    <row r="178" spans="1:15" x14ac:dyDescent="0.3">
      <c r="A178" s="1">
        <v>45987</v>
      </c>
      <c r="B178" s="39" t="str">
        <f t="shared" si="60"/>
        <v>mié</v>
      </c>
      <c r="C178" s="8">
        <v>0.5</v>
      </c>
      <c r="D178" t="s">
        <v>3</v>
      </c>
      <c r="G178" s="37" t="str">
        <f t="shared" si="61"/>
        <v>✅ CUBIERTO</v>
      </c>
      <c r="I178" s="1">
        <v>46015</v>
      </c>
      <c r="J178" s="2" t="str">
        <f t="shared" ref="J178:J183" si="67">TEXT(I178,"ddd")</f>
        <v>mié</v>
      </c>
      <c r="K178" s="8">
        <v>0.5</v>
      </c>
      <c r="L178" t="s">
        <v>4</v>
      </c>
      <c r="O178" t="str">
        <f t="shared" si="58"/>
        <v>✅ CUBIERTO</v>
      </c>
    </row>
    <row r="179" spans="1:15" x14ac:dyDescent="0.3">
      <c r="A179" s="1">
        <v>45987</v>
      </c>
      <c r="B179" s="39" t="str">
        <f t="shared" si="60"/>
        <v>mié</v>
      </c>
      <c r="C179" s="8">
        <v>0.54166666666666696</v>
      </c>
      <c r="D179" t="s">
        <v>3</v>
      </c>
      <c r="G179" s="37" t="str">
        <f t="shared" si="61"/>
        <v>✅ CUBIERTO</v>
      </c>
      <c r="I179" s="1">
        <v>46015</v>
      </c>
      <c r="J179" s="2" t="str">
        <f t="shared" si="67"/>
        <v>mié</v>
      </c>
      <c r="K179" s="8">
        <v>0.54166666666666696</v>
      </c>
      <c r="L179" t="s">
        <v>4</v>
      </c>
      <c r="O179" t="str">
        <f t="shared" si="58"/>
        <v>✅ CUBIERTO</v>
      </c>
    </row>
    <row r="180" spans="1:15" x14ac:dyDescent="0.3">
      <c r="A180" s="1">
        <v>45987</v>
      </c>
      <c r="B180" s="39" t="str">
        <f t="shared" si="60"/>
        <v>mié</v>
      </c>
      <c r="C180" s="8">
        <v>0.58333333333333304</v>
      </c>
      <c r="D180" t="s">
        <v>3</v>
      </c>
      <c r="G180" s="37" t="str">
        <f t="shared" si="61"/>
        <v>✅ CUBIERTO</v>
      </c>
      <c r="I180" s="1">
        <v>46015</v>
      </c>
      <c r="J180" s="2" t="str">
        <f t="shared" si="67"/>
        <v>mié</v>
      </c>
      <c r="K180" s="8">
        <v>0.58333333333333304</v>
      </c>
      <c r="L180" t="s">
        <v>4</v>
      </c>
      <c r="O180" t="str">
        <f t="shared" si="58"/>
        <v>✅ CUBIERTO</v>
      </c>
    </row>
    <row r="181" spans="1:15" x14ac:dyDescent="0.3">
      <c r="A181" s="1">
        <v>45987</v>
      </c>
      <c r="B181" s="39" t="str">
        <f t="shared" si="60"/>
        <v>mié</v>
      </c>
      <c r="C181" s="8">
        <v>0.625</v>
      </c>
      <c r="D181" t="s">
        <v>3</v>
      </c>
      <c r="G181" s="37" t="str">
        <f t="shared" si="61"/>
        <v>✅ CUBIERTO</v>
      </c>
      <c r="I181" s="1">
        <v>46015</v>
      </c>
      <c r="J181" s="2" t="str">
        <f t="shared" si="67"/>
        <v>mié</v>
      </c>
      <c r="K181" s="8">
        <v>0.625</v>
      </c>
      <c r="L181" t="s">
        <v>4</v>
      </c>
      <c r="O181" t="str">
        <f t="shared" si="58"/>
        <v>✅ CUBIERTO</v>
      </c>
    </row>
    <row r="182" spans="1:15" x14ac:dyDescent="0.3">
      <c r="A182" s="1">
        <v>45987</v>
      </c>
      <c r="B182" s="39" t="str">
        <f t="shared" si="60"/>
        <v>mié</v>
      </c>
      <c r="C182" s="8">
        <v>0.66666666666666696</v>
      </c>
      <c r="D182" t="s">
        <v>3</v>
      </c>
      <c r="G182" s="37" t="str">
        <f t="shared" si="61"/>
        <v>✅ CUBIERTO</v>
      </c>
      <c r="I182" s="1">
        <v>46015</v>
      </c>
      <c r="J182" s="2" t="str">
        <f t="shared" si="67"/>
        <v>mié</v>
      </c>
      <c r="K182" s="8">
        <v>0.66666666666666696</v>
      </c>
      <c r="L182" t="s">
        <v>4</v>
      </c>
      <c r="O182" t="str">
        <f t="shared" ref="O182:O213" si="68">IF(COUNTIF(L182:N182,"?*")&gt;=$L$4, "✅ CUBIERTO",
 IF(COUNTIF(L182:N182,"?*")&gt;0, "⚠ FALTANTE",
 "❌ SIN COMPLETAR"))</f>
        <v>✅ CUBIERTO</v>
      </c>
    </row>
    <row r="183" spans="1:15" x14ac:dyDescent="0.3">
      <c r="A183" s="1">
        <v>45987</v>
      </c>
      <c r="B183" s="39" t="str">
        <f t="shared" si="60"/>
        <v>mié</v>
      </c>
      <c r="C183" s="8">
        <v>0.70833333333333304</v>
      </c>
      <c r="D183" t="s">
        <v>3</v>
      </c>
      <c r="G183" s="37" t="str">
        <f t="shared" si="61"/>
        <v>✅ CUBIERTO</v>
      </c>
      <c r="I183" s="1">
        <v>46015</v>
      </c>
      <c r="J183" s="2" t="str">
        <f t="shared" si="67"/>
        <v>mié</v>
      </c>
      <c r="K183" s="8">
        <v>0.70833333333333304</v>
      </c>
      <c r="L183" t="s">
        <v>4</v>
      </c>
      <c r="O183" t="str">
        <f t="shared" si="68"/>
        <v>✅ CUBIERTO</v>
      </c>
    </row>
    <row r="184" spans="1:15" x14ac:dyDescent="0.3">
      <c r="A184" s="1">
        <v>45988</v>
      </c>
      <c r="B184" s="39" t="str">
        <f t="shared" si="60"/>
        <v>jue</v>
      </c>
      <c r="C184" s="8">
        <v>0.375</v>
      </c>
      <c r="D184" t="s">
        <v>3</v>
      </c>
      <c r="G184" s="37" t="str">
        <f t="shared" si="61"/>
        <v>✅ CUBIERTO</v>
      </c>
      <c r="I184" s="20">
        <v>46016</v>
      </c>
      <c r="J184" s="21" t="str">
        <f>TEXT(I184,"ddd")</f>
        <v>jue</v>
      </c>
      <c r="K184" s="22">
        <v>0.375</v>
      </c>
      <c r="L184" s="23"/>
      <c r="M184" s="23"/>
      <c r="N184" s="23"/>
      <c r="O184" s="24" t="s">
        <v>28</v>
      </c>
    </row>
    <row r="185" spans="1:15" x14ac:dyDescent="0.3">
      <c r="A185" s="1">
        <v>45988</v>
      </c>
      <c r="B185" s="39" t="str">
        <f t="shared" si="60"/>
        <v>jue</v>
      </c>
      <c r="C185" s="8">
        <v>0.41666666666666669</v>
      </c>
      <c r="D185" t="s">
        <v>3</v>
      </c>
      <c r="G185" s="37" t="str">
        <f t="shared" si="61"/>
        <v>✅ CUBIERTO</v>
      </c>
      <c r="I185" s="20">
        <v>46016</v>
      </c>
      <c r="J185" s="21" t="str">
        <f t="shared" ref="J185" si="69">TEXT(I185,"ddd")</f>
        <v>jue</v>
      </c>
      <c r="K185" s="22">
        <v>0.41666666666666669</v>
      </c>
      <c r="L185" s="23"/>
      <c r="M185" s="23"/>
      <c r="N185" s="23"/>
      <c r="O185" s="24" t="s">
        <v>28</v>
      </c>
    </row>
    <row r="186" spans="1:15" x14ac:dyDescent="0.3">
      <c r="A186" s="1">
        <v>45988</v>
      </c>
      <c r="B186" s="39" t="str">
        <f t="shared" si="60"/>
        <v>jue</v>
      </c>
      <c r="C186" s="8">
        <v>0.45833333333333331</v>
      </c>
      <c r="D186" t="s">
        <v>3</v>
      </c>
      <c r="G186" s="37" t="str">
        <f t="shared" si="61"/>
        <v>✅ CUBIERTO</v>
      </c>
      <c r="I186" s="20">
        <v>46016</v>
      </c>
      <c r="J186" s="21" t="str">
        <f>TEXT(I186,"ddd")</f>
        <v>jue</v>
      </c>
      <c r="K186" s="22">
        <v>0.45833333333333331</v>
      </c>
      <c r="L186" s="23"/>
      <c r="M186" s="23"/>
      <c r="N186" s="23"/>
      <c r="O186" s="24" t="s">
        <v>28</v>
      </c>
    </row>
    <row r="187" spans="1:15" x14ac:dyDescent="0.3">
      <c r="A187" s="1">
        <v>45988</v>
      </c>
      <c r="B187" s="39" t="str">
        <f t="shared" si="60"/>
        <v>jue</v>
      </c>
      <c r="C187" s="8">
        <v>0.5</v>
      </c>
      <c r="D187" t="s">
        <v>3</v>
      </c>
      <c r="G187" s="37" t="str">
        <f t="shared" si="61"/>
        <v>✅ CUBIERTO</v>
      </c>
      <c r="I187" s="20">
        <v>46016</v>
      </c>
      <c r="J187" s="21" t="str">
        <f t="shared" ref="J187:J192" si="70">TEXT(I187,"ddd")</f>
        <v>jue</v>
      </c>
      <c r="K187" s="22">
        <v>0.5</v>
      </c>
      <c r="L187" s="23"/>
      <c r="M187" s="23"/>
      <c r="N187" s="23"/>
      <c r="O187" s="24" t="s">
        <v>28</v>
      </c>
    </row>
    <row r="188" spans="1:15" x14ac:dyDescent="0.3">
      <c r="A188" s="1">
        <v>45988</v>
      </c>
      <c r="B188" s="39" t="str">
        <f t="shared" si="60"/>
        <v>jue</v>
      </c>
      <c r="C188" s="8">
        <v>0.54166666666666696</v>
      </c>
      <c r="D188" t="s">
        <v>3</v>
      </c>
      <c r="G188" s="37" t="str">
        <f t="shared" si="61"/>
        <v>✅ CUBIERTO</v>
      </c>
      <c r="I188" s="20">
        <v>46016</v>
      </c>
      <c r="J188" s="21" t="str">
        <f t="shared" si="70"/>
        <v>jue</v>
      </c>
      <c r="K188" s="22">
        <v>0.54166666666666696</v>
      </c>
      <c r="L188" s="23"/>
      <c r="M188" s="23"/>
      <c r="N188" s="23"/>
      <c r="O188" s="24" t="s">
        <v>28</v>
      </c>
    </row>
    <row r="189" spans="1:15" x14ac:dyDescent="0.3">
      <c r="A189" s="1">
        <v>45988</v>
      </c>
      <c r="B189" s="39" t="str">
        <f t="shared" si="60"/>
        <v>jue</v>
      </c>
      <c r="C189" s="8">
        <v>0.58333333333333304</v>
      </c>
      <c r="D189" t="s">
        <v>3</v>
      </c>
      <c r="G189" s="37" t="str">
        <f t="shared" si="61"/>
        <v>✅ CUBIERTO</v>
      </c>
      <c r="I189" s="20">
        <v>46016</v>
      </c>
      <c r="J189" s="21" t="str">
        <f t="shared" si="70"/>
        <v>jue</v>
      </c>
      <c r="K189" s="22">
        <v>0.58333333333333304</v>
      </c>
      <c r="L189" s="23"/>
      <c r="M189" s="23"/>
      <c r="N189" s="23"/>
      <c r="O189" s="24" t="s">
        <v>28</v>
      </c>
    </row>
    <row r="190" spans="1:15" x14ac:dyDescent="0.3">
      <c r="A190" s="1">
        <v>45988</v>
      </c>
      <c r="B190" s="39" t="str">
        <f t="shared" si="60"/>
        <v>jue</v>
      </c>
      <c r="C190" s="8">
        <v>0.625</v>
      </c>
      <c r="D190" t="s">
        <v>3</v>
      </c>
      <c r="G190" s="37" t="str">
        <f t="shared" si="61"/>
        <v>✅ CUBIERTO</v>
      </c>
      <c r="I190" s="20">
        <v>46016</v>
      </c>
      <c r="J190" s="21" t="str">
        <f t="shared" si="70"/>
        <v>jue</v>
      </c>
      <c r="K190" s="22">
        <v>0.625</v>
      </c>
      <c r="L190" s="23"/>
      <c r="M190" s="23"/>
      <c r="N190" s="23"/>
      <c r="O190" s="24" t="s">
        <v>28</v>
      </c>
    </row>
    <row r="191" spans="1:15" x14ac:dyDescent="0.3">
      <c r="A191" s="1">
        <v>45988</v>
      </c>
      <c r="B191" s="39" t="str">
        <f t="shared" si="60"/>
        <v>jue</v>
      </c>
      <c r="C191" s="8">
        <v>0.66666666666666696</v>
      </c>
      <c r="D191" t="s">
        <v>3</v>
      </c>
      <c r="G191" s="37" t="str">
        <f t="shared" si="61"/>
        <v>✅ CUBIERTO</v>
      </c>
      <c r="I191" s="20">
        <v>46016</v>
      </c>
      <c r="J191" s="21" t="str">
        <f t="shared" si="70"/>
        <v>jue</v>
      </c>
      <c r="K191" s="22">
        <v>0.66666666666666696</v>
      </c>
      <c r="L191" s="23"/>
      <c r="M191" s="23"/>
      <c r="N191" s="23"/>
      <c r="O191" s="24" t="s">
        <v>28</v>
      </c>
    </row>
    <row r="192" spans="1:15" x14ac:dyDescent="0.3">
      <c r="A192" s="1">
        <v>45988</v>
      </c>
      <c r="B192" s="39" t="str">
        <f t="shared" si="60"/>
        <v>jue</v>
      </c>
      <c r="C192" s="8">
        <v>0.70833333333333304</v>
      </c>
      <c r="D192" t="s">
        <v>3</v>
      </c>
      <c r="G192" s="37" t="str">
        <f t="shared" si="61"/>
        <v>✅ CUBIERTO</v>
      </c>
      <c r="I192" s="20">
        <v>46016</v>
      </c>
      <c r="J192" s="21" t="str">
        <f t="shared" si="70"/>
        <v>jue</v>
      </c>
      <c r="K192" s="22">
        <v>0.70833333333333304</v>
      </c>
      <c r="L192" s="23"/>
      <c r="M192" s="23"/>
      <c r="N192" s="23"/>
      <c r="O192" s="24" t="s">
        <v>28</v>
      </c>
    </row>
    <row r="193" spans="1:15" x14ac:dyDescent="0.3">
      <c r="A193" s="1">
        <v>45989</v>
      </c>
      <c r="B193" s="39" t="str">
        <f t="shared" si="60"/>
        <v>vie</v>
      </c>
      <c r="C193" s="8">
        <v>0.375</v>
      </c>
      <c r="D193" t="s">
        <v>3</v>
      </c>
      <c r="G193" s="37" t="str">
        <f t="shared" si="61"/>
        <v>✅ CUBIERTO</v>
      </c>
      <c r="I193" s="1">
        <v>46017</v>
      </c>
      <c r="J193" s="2" t="str">
        <f>TEXT(I193,"ddd")</f>
        <v>vie</v>
      </c>
      <c r="K193" s="8">
        <v>0.375</v>
      </c>
      <c r="L193" t="s">
        <v>4</v>
      </c>
      <c r="O193" t="str">
        <f t="shared" ref="O193:O224" si="71">IF(COUNTIF(L193:N193,"?*")&gt;=$L$4, "✅ CUBIERTO",
 IF(COUNTIF(L193:N193,"?*")&gt;0, "⚠ FALTANTE",
 "❌ SIN COMPLETAR"))</f>
        <v>✅ CUBIERTO</v>
      </c>
    </row>
    <row r="194" spans="1:15" x14ac:dyDescent="0.3">
      <c r="A194" s="1">
        <v>45989</v>
      </c>
      <c r="B194" s="39" t="str">
        <f t="shared" si="60"/>
        <v>vie</v>
      </c>
      <c r="C194" s="8">
        <v>0.41666666666666669</v>
      </c>
      <c r="D194" t="s">
        <v>3</v>
      </c>
      <c r="G194" s="37" t="str">
        <f t="shared" si="61"/>
        <v>✅ CUBIERTO</v>
      </c>
      <c r="I194" s="1">
        <v>46017</v>
      </c>
      <c r="J194" s="2" t="str">
        <f t="shared" ref="J194" si="72">TEXT(I194,"ddd")</f>
        <v>vie</v>
      </c>
      <c r="K194" s="8">
        <v>0.41666666666666669</v>
      </c>
      <c r="L194" t="s">
        <v>4</v>
      </c>
      <c r="O194" t="str">
        <f t="shared" si="71"/>
        <v>✅ CUBIERTO</v>
      </c>
    </row>
    <row r="195" spans="1:15" x14ac:dyDescent="0.3">
      <c r="A195" s="1">
        <v>45989</v>
      </c>
      <c r="B195" s="39" t="str">
        <f t="shared" si="60"/>
        <v>vie</v>
      </c>
      <c r="C195" s="8">
        <v>0.45833333333333331</v>
      </c>
      <c r="D195" t="s">
        <v>3</v>
      </c>
      <c r="G195" s="37" t="str">
        <f t="shared" si="61"/>
        <v>✅ CUBIERTO</v>
      </c>
      <c r="I195" s="1">
        <v>46017</v>
      </c>
      <c r="J195" s="2" t="str">
        <f>TEXT(I195,"ddd")</f>
        <v>vie</v>
      </c>
      <c r="K195" s="8">
        <v>0.45833333333333331</v>
      </c>
      <c r="L195" t="s">
        <v>4</v>
      </c>
      <c r="O195" t="str">
        <f t="shared" si="71"/>
        <v>✅ CUBIERTO</v>
      </c>
    </row>
    <row r="196" spans="1:15" x14ac:dyDescent="0.3">
      <c r="A196" s="1">
        <v>45989</v>
      </c>
      <c r="B196" s="39" t="str">
        <f t="shared" si="60"/>
        <v>vie</v>
      </c>
      <c r="C196" s="8">
        <v>0.5</v>
      </c>
      <c r="D196" t="s">
        <v>3</v>
      </c>
      <c r="G196" s="37" t="str">
        <f t="shared" si="61"/>
        <v>✅ CUBIERTO</v>
      </c>
      <c r="I196" s="1">
        <v>46017</v>
      </c>
      <c r="J196" s="2" t="str">
        <f t="shared" ref="J196:J201" si="73">TEXT(I196,"ddd")</f>
        <v>vie</v>
      </c>
      <c r="K196" s="8">
        <v>0.5</v>
      </c>
      <c r="L196" t="s">
        <v>4</v>
      </c>
      <c r="O196" t="str">
        <f t="shared" si="71"/>
        <v>✅ CUBIERTO</v>
      </c>
    </row>
    <row r="197" spans="1:15" x14ac:dyDescent="0.3">
      <c r="A197" s="1">
        <v>45989</v>
      </c>
      <c r="B197" s="39" t="str">
        <f t="shared" si="60"/>
        <v>vie</v>
      </c>
      <c r="C197" s="8">
        <v>0.54166666666666696</v>
      </c>
      <c r="D197" t="s">
        <v>3</v>
      </c>
      <c r="G197" s="37" t="str">
        <f t="shared" si="61"/>
        <v>✅ CUBIERTO</v>
      </c>
      <c r="I197" s="1">
        <v>46017</v>
      </c>
      <c r="J197" s="2" t="str">
        <f t="shared" si="73"/>
        <v>vie</v>
      </c>
      <c r="K197" s="8">
        <v>0.54166666666666696</v>
      </c>
      <c r="L197" t="s">
        <v>4</v>
      </c>
      <c r="O197" t="str">
        <f t="shared" si="71"/>
        <v>✅ CUBIERTO</v>
      </c>
    </row>
    <row r="198" spans="1:15" x14ac:dyDescent="0.3">
      <c r="A198" s="1">
        <v>45989</v>
      </c>
      <c r="B198" s="39" t="str">
        <f t="shared" si="60"/>
        <v>vie</v>
      </c>
      <c r="C198" s="8">
        <v>0.58333333333333304</v>
      </c>
      <c r="D198" t="s">
        <v>3</v>
      </c>
      <c r="G198" s="37" t="str">
        <f t="shared" si="61"/>
        <v>✅ CUBIERTO</v>
      </c>
      <c r="I198" s="1">
        <v>46017</v>
      </c>
      <c r="J198" s="2" t="str">
        <f t="shared" si="73"/>
        <v>vie</v>
      </c>
      <c r="K198" s="8">
        <v>0.58333333333333304</v>
      </c>
      <c r="L198" t="s">
        <v>4</v>
      </c>
      <c r="O198" t="str">
        <f t="shared" si="71"/>
        <v>✅ CUBIERTO</v>
      </c>
    </row>
    <row r="199" spans="1:15" x14ac:dyDescent="0.3">
      <c r="A199" s="1">
        <v>45989</v>
      </c>
      <c r="B199" s="39" t="str">
        <f t="shared" si="60"/>
        <v>vie</v>
      </c>
      <c r="C199" s="8">
        <v>0.625</v>
      </c>
      <c r="D199" t="s">
        <v>3</v>
      </c>
      <c r="G199" s="37" t="str">
        <f t="shared" si="61"/>
        <v>✅ CUBIERTO</v>
      </c>
      <c r="I199" s="1">
        <v>46017</v>
      </c>
      <c r="J199" s="2" t="str">
        <f t="shared" si="73"/>
        <v>vie</v>
      </c>
      <c r="K199" s="8">
        <v>0.625</v>
      </c>
      <c r="L199" t="s">
        <v>4</v>
      </c>
      <c r="O199" t="str">
        <f t="shared" si="71"/>
        <v>✅ CUBIERTO</v>
      </c>
    </row>
    <row r="200" spans="1:15" x14ac:dyDescent="0.3">
      <c r="A200" s="1">
        <v>45989</v>
      </c>
      <c r="B200" s="39" t="str">
        <f t="shared" si="60"/>
        <v>vie</v>
      </c>
      <c r="C200" s="8">
        <v>0.66666666666666696</v>
      </c>
      <c r="D200" t="s">
        <v>3</v>
      </c>
      <c r="G200" s="37" t="str">
        <f t="shared" si="61"/>
        <v>✅ CUBIERTO</v>
      </c>
      <c r="I200" s="1">
        <v>46017</v>
      </c>
      <c r="J200" s="2" t="str">
        <f t="shared" si="73"/>
        <v>vie</v>
      </c>
      <c r="K200" s="8">
        <v>0.66666666666666696</v>
      </c>
      <c r="L200" t="s">
        <v>4</v>
      </c>
      <c r="O200" t="str">
        <f t="shared" si="71"/>
        <v>✅ CUBIERTO</v>
      </c>
    </row>
    <row r="201" spans="1:15" x14ac:dyDescent="0.3">
      <c r="A201" s="1">
        <v>45989</v>
      </c>
      <c r="B201" s="39" t="str">
        <f t="shared" si="60"/>
        <v>vie</v>
      </c>
      <c r="C201" s="8">
        <v>0.70833333333333304</v>
      </c>
      <c r="D201" t="s">
        <v>3</v>
      </c>
      <c r="G201" s="37" t="str">
        <f t="shared" si="61"/>
        <v>✅ CUBIERTO</v>
      </c>
      <c r="I201" s="1">
        <v>46017</v>
      </c>
      <c r="J201" s="2" t="str">
        <f t="shared" si="73"/>
        <v>vie</v>
      </c>
      <c r="K201" s="8">
        <v>0.70833333333333304</v>
      </c>
      <c r="L201" t="s">
        <v>4</v>
      </c>
      <c r="O201" t="str">
        <f t="shared" si="71"/>
        <v>✅ CUBIERTO</v>
      </c>
    </row>
    <row r="202" spans="1:15" x14ac:dyDescent="0.3">
      <c r="A202" s="1"/>
      <c r="B202" s="39"/>
      <c r="C202" s="8"/>
      <c r="G202" s="37"/>
      <c r="I202" s="1">
        <v>46020</v>
      </c>
      <c r="J202" s="2" t="str">
        <f>TEXT(I202,"ddd")</f>
        <v>lun</v>
      </c>
      <c r="K202" s="8">
        <v>0.375</v>
      </c>
      <c r="L202" t="s">
        <v>4</v>
      </c>
      <c r="O202" t="str">
        <f t="shared" si="71"/>
        <v>✅ CUBIERTO</v>
      </c>
    </row>
    <row r="203" spans="1:15" x14ac:dyDescent="0.3">
      <c r="A203" s="1"/>
      <c r="B203" s="39"/>
      <c r="C203" s="8"/>
      <c r="G203" s="37"/>
      <c r="I203" s="1">
        <v>46020</v>
      </c>
      <c r="J203" s="2" t="str">
        <f t="shared" ref="J203" si="74">TEXT(I203,"ddd")</f>
        <v>lun</v>
      </c>
      <c r="K203" s="8">
        <v>0.41666666666666669</v>
      </c>
      <c r="L203" t="s">
        <v>4</v>
      </c>
      <c r="O203" t="str">
        <f t="shared" si="71"/>
        <v>✅ CUBIERTO</v>
      </c>
    </row>
    <row r="204" spans="1:15" x14ac:dyDescent="0.3">
      <c r="A204" s="1"/>
      <c r="B204" s="39"/>
      <c r="C204" s="8"/>
      <c r="G204" s="37"/>
      <c r="I204" s="1">
        <v>46020</v>
      </c>
      <c r="J204" s="2" t="str">
        <f>TEXT(I204,"ddd")</f>
        <v>lun</v>
      </c>
      <c r="K204" s="8">
        <v>0.45833333333333331</v>
      </c>
      <c r="L204" t="s">
        <v>4</v>
      </c>
      <c r="O204" t="str">
        <f t="shared" si="71"/>
        <v>✅ CUBIERTO</v>
      </c>
    </row>
    <row r="205" spans="1:15" x14ac:dyDescent="0.3">
      <c r="A205" s="1"/>
      <c r="B205" s="39"/>
      <c r="C205" s="8"/>
      <c r="G205" s="37"/>
      <c r="I205" s="1">
        <v>46020</v>
      </c>
      <c r="J205" s="2" t="str">
        <f t="shared" ref="J205:J210" si="75">TEXT(I205,"ddd")</f>
        <v>lun</v>
      </c>
      <c r="K205" s="8">
        <v>0.5</v>
      </c>
      <c r="L205" t="s">
        <v>4</v>
      </c>
      <c r="O205" t="str">
        <f t="shared" si="71"/>
        <v>✅ CUBIERTO</v>
      </c>
    </row>
    <row r="206" spans="1:15" x14ac:dyDescent="0.3">
      <c r="A206" s="1"/>
      <c r="B206" s="39"/>
      <c r="C206" s="8"/>
      <c r="G206" s="37"/>
      <c r="I206" s="1">
        <v>46020</v>
      </c>
      <c r="J206" s="2" t="str">
        <f t="shared" si="75"/>
        <v>lun</v>
      </c>
      <c r="K206" s="8">
        <v>0.54166666666666696</v>
      </c>
      <c r="L206" t="s">
        <v>4</v>
      </c>
      <c r="O206" t="str">
        <f t="shared" si="71"/>
        <v>✅ CUBIERTO</v>
      </c>
    </row>
    <row r="207" spans="1:15" x14ac:dyDescent="0.3">
      <c r="A207" s="1"/>
      <c r="B207" s="39"/>
      <c r="C207" s="8"/>
      <c r="G207" s="37"/>
      <c r="I207" s="1">
        <v>46020</v>
      </c>
      <c r="J207" s="2" t="str">
        <f t="shared" si="75"/>
        <v>lun</v>
      </c>
      <c r="K207" s="8">
        <v>0.58333333333333304</v>
      </c>
      <c r="L207" t="s">
        <v>4</v>
      </c>
      <c r="O207" t="str">
        <f t="shared" si="71"/>
        <v>✅ CUBIERTO</v>
      </c>
    </row>
    <row r="208" spans="1:15" x14ac:dyDescent="0.3">
      <c r="A208" s="1"/>
      <c r="B208" s="39"/>
      <c r="C208" s="8"/>
      <c r="G208" s="37"/>
      <c r="I208" s="1">
        <v>46020</v>
      </c>
      <c r="J208" s="2" t="str">
        <f t="shared" si="75"/>
        <v>lun</v>
      </c>
      <c r="K208" s="8">
        <v>0.625</v>
      </c>
      <c r="L208" t="s">
        <v>4</v>
      </c>
      <c r="O208" t="str">
        <f t="shared" si="71"/>
        <v>✅ CUBIERTO</v>
      </c>
    </row>
    <row r="209" spans="1:15" x14ac:dyDescent="0.3">
      <c r="A209" s="1"/>
      <c r="B209" s="39"/>
      <c r="C209" s="8"/>
      <c r="G209" s="37"/>
      <c r="I209" s="1">
        <v>46020</v>
      </c>
      <c r="J209" s="2" t="str">
        <f t="shared" si="75"/>
        <v>lun</v>
      </c>
      <c r="K209" s="8">
        <v>0.66666666666666696</v>
      </c>
      <c r="L209" t="s">
        <v>4</v>
      </c>
      <c r="O209" t="str">
        <f t="shared" si="71"/>
        <v>✅ CUBIERTO</v>
      </c>
    </row>
    <row r="210" spans="1:15" x14ac:dyDescent="0.3">
      <c r="A210" s="1"/>
      <c r="B210" s="39"/>
      <c r="C210" s="8"/>
      <c r="G210" s="37"/>
      <c r="I210" s="1">
        <v>46020</v>
      </c>
      <c r="J210" s="2" t="str">
        <f t="shared" si="75"/>
        <v>lun</v>
      </c>
      <c r="K210" s="8">
        <v>0.70833333333333304</v>
      </c>
      <c r="L210" t="s">
        <v>4</v>
      </c>
      <c r="O210" t="str">
        <f t="shared" si="71"/>
        <v>✅ CUBIERTO</v>
      </c>
    </row>
    <row r="211" spans="1:15" x14ac:dyDescent="0.3">
      <c r="A211" s="1"/>
      <c r="B211" s="39"/>
      <c r="C211" s="8"/>
      <c r="G211" s="37"/>
      <c r="I211" s="1">
        <v>46021</v>
      </c>
      <c r="J211" s="2" t="str">
        <f>TEXT(I211,"ddd")</f>
        <v>mar</v>
      </c>
      <c r="K211" s="8">
        <v>0.375</v>
      </c>
      <c r="L211" t="s">
        <v>4</v>
      </c>
      <c r="O211" t="str">
        <f t="shared" si="71"/>
        <v>✅ CUBIERTO</v>
      </c>
    </row>
    <row r="212" spans="1:15" x14ac:dyDescent="0.3">
      <c r="A212" s="1"/>
      <c r="B212" s="39"/>
      <c r="C212" s="8"/>
      <c r="G212" s="37"/>
      <c r="I212" s="1">
        <v>46021</v>
      </c>
      <c r="J212" s="2" t="str">
        <f t="shared" ref="J212" si="76">TEXT(I212,"ddd")</f>
        <v>mar</v>
      </c>
      <c r="K212" s="8">
        <v>0.41666666666666669</v>
      </c>
      <c r="L212" t="s">
        <v>4</v>
      </c>
      <c r="O212" t="str">
        <f t="shared" si="71"/>
        <v>✅ CUBIERTO</v>
      </c>
    </row>
    <row r="213" spans="1:15" x14ac:dyDescent="0.3">
      <c r="A213" s="1"/>
      <c r="B213" s="39"/>
      <c r="C213" s="8"/>
      <c r="G213" s="37"/>
      <c r="I213" s="1">
        <v>46021</v>
      </c>
      <c r="J213" s="2" t="str">
        <f>TEXT(I213,"ddd")</f>
        <v>mar</v>
      </c>
      <c r="K213" s="8">
        <v>0.45833333333333331</v>
      </c>
      <c r="L213" t="s">
        <v>4</v>
      </c>
      <c r="O213" t="str">
        <f t="shared" si="71"/>
        <v>✅ CUBIERTO</v>
      </c>
    </row>
    <row r="214" spans="1:15" x14ac:dyDescent="0.3">
      <c r="A214" s="1"/>
      <c r="B214" s="39"/>
      <c r="C214" s="8"/>
      <c r="G214" s="37"/>
      <c r="I214" s="1">
        <v>46021</v>
      </c>
      <c r="J214" s="2" t="str">
        <f t="shared" ref="J214:J219" si="77">TEXT(I214,"ddd")</f>
        <v>mar</v>
      </c>
      <c r="K214" s="8">
        <v>0.5</v>
      </c>
      <c r="L214" t="s">
        <v>4</v>
      </c>
      <c r="O214" t="str">
        <f t="shared" si="71"/>
        <v>✅ CUBIERTO</v>
      </c>
    </row>
    <row r="215" spans="1:15" x14ac:dyDescent="0.3">
      <c r="A215" s="1"/>
      <c r="B215" s="39"/>
      <c r="C215" s="8"/>
      <c r="G215" s="37"/>
      <c r="I215" s="1">
        <v>46021</v>
      </c>
      <c r="J215" s="2" t="str">
        <f t="shared" si="77"/>
        <v>mar</v>
      </c>
      <c r="K215" s="8">
        <v>0.54166666666666696</v>
      </c>
      <c r="L215" t="s">
        <v>4</v>
      </c>
      <c r="O215" t="str">
        <f t="shared" si="71"/>
        <v>✅ CUBIERTO</v>
      </c>
    </row>
    <row r="216" spans="1:15" x14ac:dyDescent="0.3">
      <c r="A216" s="1"/>
      <c r="B216" s="39"/>
      <c r="C216" s="8"/>
      <c r="G216" s="37"/>
      <c r="I216" s="1">
        <v>46021</v>
      </c>
      <c r="J216" s="2" t="str">
        <f t="shared" si="77"/>
        <v>mar</v>
      </c>
      <c r="K216" s="8">
        <v>0.58333333333333304</v>
      </c>
      <c r="L216" t="s">
        <v>4</v>
      </c>
      <c r="O216" t="str">
        <f t="shared" si="71"/>
        <v>✅ CUBIERTO</v>
      </c>
    </row>
    <row r="217" spans="1:15" x14ac:dyDescent="0.3">
      <c r="A217" s="1"/>
      <c r="B217" s="39"/>
      <c r="C217" s="8"/>
      <c r="G217" s="37"/>
      <c r="I217" s="1">
        <v>46021</v>
      </c>
      <c r="J217" s="2" t="str">
        <f t="shared" si="77"/>
        <v>mar</v>
      </c>
      <c r="K217" s="8">
        <v>0.625</v>
      </c>
      <c r="L217" t="s">
        <v>4</v>
      </c>
      <c r="O217" t="str">
        <f t="shared" si="71"/>
        <v>✅ CUBIERTO</v>
      </c>
    </row>
    <row r="218" spans="1:15" x14ac:dyDescent="0.3">
      <c r="A218" s="1"/>
      <c r="B218" s="39"/>
      <c r="C218" s="8"/>
      <c r="G218" s="37"/>
      <c r="I218" s="1">
        <v>46021</v>
      </c>
      <c r="J218" s="2" t="str">
        <f t="shared" si="77"/>
        <v>mar</v>
      </c>
      <c r="K218" s="8">
        <v>0.66666666666666696</v>
      </c>
      <c r="L218" t="s">
        <v>4</v>
      </c>
      <c r="O218" t="str">
        <f t="shared" si="71"/>
        <v>✅ CUBIERTO</v>
      </c>
    </row>
    <row r="219" spans="1:15" x14ac:dyDescent="0.3">
      <c r="A219" s="1"/>
      <c r="B219" s="39"/>
      <c r="C219" s="8"/>
      <c r="G219" s="37"/>
      <c r="I219" s="1">
        <v>46021</v>
      </c>
      <c r="J219" s="2" t="str">
        <f t="shared" si="77"/>
        <v>mar</v>
      </c>
      <c r="K219" s="8">
        <v>0.70833333333333304</v>
      </c>
      <c r="L219" t="s">
        <v>4</v>
      </c>
      <c r="O219" t="str">
        <f t="shared" si="71"/>
        <v>✅ CUBIERTO</v>
      </c>
    </row>
    <row r="220" spans="1:15" x14ac:dyDescent="0.3">
      <c r="A220" s="1"/>
      <c r="B220" s="39"/>
      <c r="C220" s="8"/>
      <c r="G220" s="37"/>
      <c r="I220" s="1">
        <v>46022</v>
      </c>
      <c r="J220" s="2" t="str">
        <f>TEXT(I220,"ddd")</f>
        <v>mié</v>
      </c>
      <c r="K220" s="8">
        <v>0.375</v>
      </c>
      <c r="L220" t="s">
        <v>4</v>
      </c>
      <c r="O220" t="str">
        <f t="shared" si="71"/>
        <v>✅ CUBIERTO</v>
      </c>
    </row>
    <row r="221" spans="1:15" x14ac:dyDescent="0.3">
      <c r="A221" s="1"/>
      <c r="B221" s="39"/>
      <c r="C221" s="8"/>
      <c r="G221" s="37"/>
      <c r="I221" s="1">
        <v>46022</v>
      </c>
      <c r="J221" s="2" t="str">
        <f t="shared" ref="J221" si="78">TEXT(I221,"ddd")</f>
        <v>mié</v>
      </c>
      <c r="K221" s="8">
        <v>0.41666666666666669</v>
      </c>
      <c r="L221" t="s">
        <v>4</v>
      </c>
      <c r="O221" t="str">
        <f t="shared" si="71"/>
        <v>✅ CUBIERTO</v>
      </c>
    </row>
    <row r="222" spans="1:15" x14ac:dyDescent="0.3">
      <c r="A222" s="1"/>
      <c r="B222" s="39"/>
      <c r="C222" s="8"/>
      <c r="G222" s="37"/>
      <c r="I222" s="1">
        <v>46022</v>
      </c>
      <c r="J222" s="2" t="str">
        <f>TEXT(I222,"ddd")</f>
        <v>mié</v>
      </c>
      <c r="K222" s="8">
        <v>0.45833333333333331</v>
      </c>
      <c r="L222" t="s">
        <v>4</v>
      </c>
      <c r="O222" t="str">
        <f t="shared" si="71"/>
        <v>✅ CUBIERTO</v>
      </c>
    </row>
    <row r="223" spans="1:15" x14ac:dyDescent="0.3">
      <c r="A223" s="1"/>
      <c r="B223" s="39"/>
      <c r="C223" s="8"/>
      <c r="G223" s="37"/>
      <c r="I223" s="1">
        <v>46022</v>
      </c>
      <c r="J223" s="2" t="str">
        <f t="shared" ref="J223:J228" si="79">TEXT(I223,"ddd")</f>
        <v>mié</v>
      </c>
      <c r="K223" s="8">
        <v>0.5</v>
      </c>
      <c r="L223" t="s">
        <v>4</v>
      </c>
      <c r="O223" t="str">
        <f t="shared" si="71"/>
        <v>✅ CUBIERTO</v>
      </c>
    </row>
    <row r="224" spans="1:15" x14ac:dyDescent="0.3">
      <c r="A224" s="1"/>
      <c r="B224" s="39"/>
      <c r="C224" s="8"/>
      <c r="G224" s="37"/>
      <c r="I224" s="1">
        <v>46022</v>
      </c>
      <c r="J224" s="2" t="str">
        <f t="shared" si="79"/>
        <v>mié</v>
      </c>
      <c r="K224" s="8">
        <v>0.54166666666666696</v>
      </c>
      <c r="L224" t="s">
        <v>4</v>
      </c>
      <c r="O224" t="str">
        <f t="shared" si="71"/>
        <v>✅ CUBIERTO</v>
      </c>
    </row>
    <row r="225" spans="1:15" x14ac:dyDescent="0.3">
      <c r="A225" s="1"/>
      <c r="B225" s="39"/>
      <c r="C225" s="8"/>
      <c r="G225" s="37"/>
      <c r="I225" s="1">
        <v>46022</v>
      </c>
      <c r="J225" s="2" t="str">
        <f t="shared" si="79"/>
        <v>mié</v>
      </c>
      <c r="K225" s="8">
        <v>0.58333333333333304</v>
      </c>
      <c r="L225" t="s">
        <v>4</v>
      </c>
      <c r="O225" t="str">
        <f t="shared" ref="O225:O256" si="80">IF(COUNTIF(L225:N225,"?*")&gt;=$L$4, "✅ CUBIERTO",
 IF(COUNTIF(L225:N225,"?*")&gt;0, "⚠ FALTANTE",
 "❌ SIN COMPLETAR"))</f>
        <v>✅ CUBIERTO</v>
      </c>
    </row>
    <row r="226" spans="1:15" x14ac:dyDescent="0.3">
      <c r="A226" s="1"/>
      <c r="B226" s="39"/>
      <c r="C226" s="8"/>
      <c r="G226" s="37"/>
      <c r="I226" s="1">
        <v>46022</v>
      </c>
      <c r="J226" s="2" t="str">
        <f t="shared" si="79"/>
        <v>mié</v>
      </c>
      <c r="K226" s="8">
        <v>0.625</v>
      </c>
      <c r="L226" t="s">
        <v>4</v>
      </c>
      <c r="O226" t="str">
        <f t="shared" si="80"/>
        <v>✅ CUBIERTO</v>
      </c>
    </row>
    <row r="227" spans="1:15" x14ac:dyDescent="0.3">
      <c r="A227" s="1"/>
      <c r="B227" s="39"/>
      <c r="C227" s="8"/>
      <c r="G227" s="37"/>
      <c r="I227" s="1">
        <v>46022</v>
      </c>
      <c r="J227" s="2" t="str">
        <f t="shared" si="79"/>
        <v>mié</v>
      </c>
      <c r="K227" s="8">
        <v>0.66666666666666696</v>
      </c>
      <c r="L227" t="s">
        <v>4</v>
      </c>
      <c r="O227" t="str">
        <f t="shared" si="80"/>
        <v>✅ CUBIERTO</v>
      </c>
    </row>
    <row r="228" spans="1:15" x14ac:dyDescent="0.3">
      <c r="A228" s="1"/>
      <c r="B228" s="39"/>
      <c r="C228" s="8"/>
      <c r="G228" s="37"/>
      <c r="I228" s="1">
        <v>46022</v>
      </c>
      <c r="J228" s="2" t="str">
        <f t="shared" si="79"/>
        <v>mié</v>
      </c>
      <c r="K228" s="8">
        <v>0.70833333333333304</v>
      </c>
      <c r="L228" t="s">
        <v>4</v>
      </c>
      <c r="O228" t="str">
        <f t="shared" si="80"/>
        <v>✅ CUBIERTO</v>
      </c>
    </row>
    <row r="229" spans="1:15" x14ac:dyDescent="0.3">
      <c r="A229" s="1"/>
      <c r="B229" s="39"/>
      <c r="C229" s="8"/>
      <c r="G229" s="37"/>
      <c r="I229" s="1">
        <v>46021</v>
      </c>
      <c r="J229" s="2" t="str">
        <f>TEXT(I229,"ddd")</f>
        <v>mar</v>
      </c>
      <c r="K229" s="8">
        <v>0.375</v>
      </c>
      <c r="L229" t="s">
        <v>4</v>
      </c>
      <c r="O229" t="str">
        <f t="shared" si="80"/>
        <v>✅ CUBIERTO</v>
      </c>
    </row>
    <row r="230" spans="1:15" x14ac:dyDescent="0.3">
      <c r="A230" s="1"/>
      <c r="B230" s="39"/>
      <c r="C230" s="8"/>
      <c r="G230" s="37"/>
      <c r="I230" s="1">
        <v>46021</v>
      </c>
      <c r="J230" s="2" t="str">
        <f t="shared" ref="J230" si="81">TEXT(I230,"ddd")</f>
        <v>mar</v>
      </c>
      <c r="K230" s="8">
        <v>0.41666666666666669</v>
      </c>
      <c r="L230" t="s">
        <v>4</v>
      </c>
      <c r="O230" t="str">
        <f t="shared" si="80"/>
        <v>✅ CUBIERTO</v>
      </c>
    </row>
    <row r="231" spans="1:15" x14ac:dyDescent="0.3">
      <c r="A231" s="1"/>
      <c r="B231" s="39"/>
      <c r="C231" s="8"/>
      <c r="G231" s="37"/>
      <c r="I231" s="1">
        <v>46021</v>
      </c>
      <c r="J231" s="2" t="str">
        <f>TEXT(I231,"ddd")</f>
        <v>mar</v>
      </c>
      <c r="K231" s="8">
        <v>0.45833333333333331</v>
      </c>
      <c r="L231" t="s">
        <v>4</v>
      </c>
      <c r="O231" t="str">
        <f t="shared" si="80"/>
        <v>✅ CUBIERTO</v>
      </c>
    </row>
    <row r="232" spans="1:15" x14ac:dyDescent="0.3">
      <c r="A232" s="1"/>
      <c r="B232" s="39"/>
      <c r="C232" s="8"/>
      <c r="G232" s="37"/>
      <c r="I232" s="1">
        <v>46021</v>
      </c>
      <c r="J232" s="2" t="str">
        <f t="shared" ref="J232:J237" si="82">TEXT(I232,"ddd")</f>
        <v>mar</v>
      </c>
      <c r="K232" s="8">
        <v>0.5</v>
      </c>
      <c r="L232" t="s">
        <v>4</v>
      </c>
      <c r="O232" t="str">
        <f t="shared" si="80"/>
        <v>✅ CUBIERTO</v>
      </c>
    </row>
    <row r="233" spans="1:15" x14ac:dyDescent="0.3">
      <c r="A233" s="1"/>
      <c r="B233" s="39"/>
      <c r="C233" s="8"/>
      <c r="G233" s="37"/>
      <c r="I233" s="1">
        <v>46021</v>
      </c>
      <c r="J233" s="2" t="str">
        <f t="shared" si="82"/>
        <v>mar</v>
      </c>
      <c r="K233" s="8">
        <v>0.54166666666666696</v>
      </c>
      <c r="L233" t="s">
        <v>4</v>
      </c>
      <c r="O233" t="str">
        <f t="shared" si="80"/>
        <v>✅ CUBIERTO</v>
      </c>
    </row>
    <row r="234" spans="1:15" x14ac:dyDescent="0.3">
      <c r="A234" s="1"/>
      <c r="B234" s="39"/>
      <c r="C234" s="8"/>
      <c r="G234" s="37"/>
      <c r="I234" s="1">
        <v>46021</v>
      </c>
      <c r="J234" s="2" t="str">
        <f t="shared" si="82"/>
        <v>mar</v>
      </c>
      <c r="K234" s="8">
        <v>0.58333333333333304</v>
      </c>
      <c r="L234" t="s">
        <v>4</v>
      </c>
      <c r="O234" t="str">
        <f t="shared" si="80"/>
        <v>✅ CUBIERTO</v>
      </c>
    </row>
    <row r="235" spans="1:15" x14ac:dyDescent="0.3">
      <c r="A235" s="1"/>
      <c r="B235" s="39"/>
      <c r="C235" s="8"/>
      <c r="G235" s="37"/>
      <c r="I235" s="1">
        <v>46021</v>
      </c>
      <c r="J235" s="2" t="str">
        <f t="shared" si="82"/>
        <v>mar</v>
      </c>
      <c r="K235" s="8">
        <v>0.625</v>
      </c>
      <c r="L235" t="s">
        <v>4</v>
      </c>
      <c r="O235" t="str">
        <f t="shared" si="80"/>
        <v>✅ CUBIERTO</v>
      </c>
    </row>
    <row r="236" spans="1:15" x14ac:dyDescent="0.3">
      <c r="A236" s="1"/>
      <c r="B236" s="39"/>
      <c r="C236" s="8"/>
      <c r="G236" s="37"/>
      <c r="I236" s="1">
        <v>46021</v>
      </c>
      <c r="J236" s="2" t="str">
        <f t="shared" si="82"/>
        <v>mar</v>
      </c>
      <c r="K236" s="8">
        <v>0.66666666666666696</v>
      </c>
      <c r="L236" t="s">
        <v>4</v>
      </c>
      <c r="O236" t="str">
        <f t="shared" si="80"/>
        <v>✅ CUBIERTO</v>
      </c>
    </row>
    <row r="237" spans="1:15" x14ac:dyDescent="0.3">
      <c r="A237" s="1"/>
      <c r="B237" s="39"/>
      <c r="C237" s="8"/>
      <c r="G237" s="37"/>
      <c r="I237" s="1">
        <v>46021</v>
      </c>
      <c r="J237" s="2" t="str">
        <f t="shared" si="82"/>
        <v>mar</v>
      </c>
      <c r="K237" s="8">
        <v>0.70833333333333304</v>
      </c>
      <c r="L237" t="s">
        <v>4</v>
      </c>
      <c r="O237" t="str">
        <f t="shared" si="80"/>
        <v>✅ CUBIERTO</v>
      </c>
    </row>
    <row r="238" spans="1:15" x14ac:dyDescent="0.3">
      <c r="A238" s="1"/>
      <c r="B238" s="39"/>
      <c r="C238" s="8"/>
      <c r="G238" s="37"/>
      <c r="I238" s="1">
        <v>46022</v>
      </c>
      <c r="J238" s="2" t="str">
        <f>TEXT(I238,"ddd")</f>
        <v>mié</v>
      </c>
      <c r="K238" s="8">
        <v>0.375</v>
      </c>
      <c r="L238" t="s">
        <v>4</v>
      </c>
      <c r="O238" t="str">
        <f t="shared" si="80"/>
        <v>✅ CUBIERTO</v>
      </c>
    </row>
    <row r="239" spans="1:15" x14ac:dyDescent="0.3">
      <c r="A239" s="1"/>
      <c r="B239" s="39"/>
      <c r="C239" s="8"/>
      <c r="G239" s="37"/>
      <c r="I239" s="1">
        <v>46022</v>
      </c>
      <c r="J239" s="2" t="str">
        <f t="shared" ref="J239" si="83">TEXT(I239,"ddd")</f>
        <v>mié</v>
      </c>
      <c r="K239" s="8">
        <v>0.41666666666666669</v>
      </c>
      <c r="L239" t="s">
        <v>4</v>
      </c>
      <c r="O239" t="str">
        <f t="shared" si="80"/>
        <v>✅ CUBIERTO</v>
      </c>
    </row>
    <row r="240" spans="1:15" x14ac:dyDescent="0.3">
      <c r="A240" s="1"/>
      <c r="B240" s="39"/>
      <c r="C240" s="8"/>
      <c r="G240" s="37"/>
      <c r="I240" s="1">
        <v>46022</v>
      </c>
      <c r="J240" s="2" t="str">
        <f>TEXT(I240,"ddd")</f>
        <v>mié</v>
      </c>
      <c r="K240" s="8">
        <v>0.45833333333333331</v>
      </c>
      <c r="L240" t="s">
        <v>4</v>
      </c>
      <c r="O240" t="str">
        <f t="shared" si="80"/>
        <v>✅ CUBIERTO</v>
      </c>
    </row>
    <row r="241" spans="1:15" x14ac:dyDescent="0.3">
      <c r="A241" s="1"/>
      <c r="B241" s="39"/>
      <c r="C241" s="8"/>
      <c r="G241" s="37"/>
      <c r="I241" s="1">
        <v>46022</v>
      </c>
      <c r="J241" s="2" t="str">
        <f t="shared" ref="J241:J246" si="84">TEXT(I241,"ddd")</f>
        <v>mié</v>
      </c>
      <c r="K241" s="8">
        <v>0.5</v>
      </c>
      <c r="L241" t="s">
        <v>4</v>
      </c>
      <c r="O241" t="str">
        <f t="shared" si="80"/>
        <v>✅ CUBIERTO</v>
      </c>
    </row>
    <row r="242" spans="1:15" x14ac:dyDescent="0.3">
      <c r="A242" s="1"/>
      <c r="B242" s="39"/>
      <c r="C242" s="8"/>
      <c r="G242" s="37"/>
      <c r="I242" s="1">
        <v>46022</v>
      </c>
      <c r="J242" s="2" t="str">
        <f t="shared" si="84"/>
        <v>mié</v>
      </c>
      <c r="K242" s="8">
        <v>0.54166666666666696</v>
      </c>
      <c r="L242" t="s">
        <v>4</v>
      </c>
      <c r="O242" t="str">
        <f t="shared" si="80"/>
        <v>✅ CUBIERTO</v>
      </c>
    </row>
    <row r="243" spans="1:15" x14ac:dyDescent="0.3">
      <c r="A243" s="1"/>
      <c r="B243" s="39"/>
      <c r="C243" s="8"/>
      <c r="G243" s="37"/>
      <c r="I243" s="1">
        <v>46022</v>
      </c>
      <c r="J243" s="2" t="str">
        <f t="shared" si="84"/>
        <v>mié</v>
      </c>
      <c r="K243" s="8">
        <v>0.58333333333333304</v>
      </c>
      <c r="L243" t="s">
        <v>4</v>
      </c>
      <c r="O243" t="str">
        <f t="shared" si="80"/>
        <v>✅ CUBIERTO</v>
      </c>
    </row>
    <row r="244" spans="1:15" x14ac:dyDescent="0.3">
      <c r="A244" s="1"/>
      <c r="B244" s="39"/>
      <c r="C244" s="8"/>
      <c r="G244" s="37"/>
      <c r="I244" s="1">
        <v>46022</v>
      </c>
      <c r="J244" s="2" t="str">
        <f t="shared" si="84"/>
        <v>mié</v>
      </c>
      <c r="K244" s="8">
        <v>0.625</v>
      </c>
      <c r="L244" t="s">
        <v>4</v>
      </c>
      <c r="O244" t="str">
        <f t="shared" si="80"/>
        <v>✅ CUBIERTO</v>
      </c>
    </row>
    <row r="245" spans="1:15" x14ac:dyDescent="0.3">
      <c r="A245" s="1"/>
      <c r="B245" s="39"/>
      <c r="C245" s="8"/>
      <c r="G245" s="37"/>
      <c r="I245" s="1">
        <v>46022</v>
      </c>
      <c r="J245" s="2" t="str">
        <f t="shared" si="84"/>
        <v>mié</v>
      </c>
      <c r="K245" s="8">
        <v>0.66666666666666696</v>
      </c>
      <c r="L245" t="s">
        <v>4</v>
      </c>
      <c r="O245" t="str">
        <f t="shared" si="80"/>
        <v>✅ CUBIERTO</v>
      </c>
    </row>
    <row r="246" spans="1:15" x14ac:dyDescent="0.3">
      <c r="A246" s="1"/>
      <c r="B246" s="39"/>
      <c r="C246" s="8"/>
      <c r="G246" s="37"/>
      <c r="I246" s="1">
        <v>46022</v>
      </c>
      <c r="J246" s="2" t="str">
        <f t="shared" si="84"/>
        <v>mié</v>
      </c>
      <c r="K246" s="8">
        <v>0.70833333333333304</v>
      </c>
      <c r="L246" t="s">
        <v>4</v>
      </c>
      <c r="O246" t="str">
        <f t="shared" si="80"/>
        <v>✅ CUBIERTO</v>
      </c>
    </row>
    <row r="247" spans="1:15" x14ac:dyDescent="0.3">
      <c r="A247" s="1"/>
      <c r="B247" s="39"/>
      <c r="C247" s="8"/>
      <c r="G247" s="37"/>
      <c r="I247" s="1"/>
      <c r="K247" s="8"/>
    </row>
    <row r="248" spans="1:15" x14ac:dyDescent="0.3">
      <c r="A248" s="1"/>
      <c r="B248" s="39"/>
      <c r="C248" s="8"/>
      <c r="G248" s="37"/>
      <c r="I248" s="1"/>
      <c r="K248" s="8"/>
    </row>
    <row r="249" spans="1:15" x14ac:dyDescent="0.3">
      <c r="A249" s="1"/>
      <c r="B249" s="39"/>
      <c r="C249" s="8"/>
      <c r="G249" s="37"/>
      <c r="I249" s="1"/>
      <c r="K249" s="8"/>
    </row>
    <row r="250" spans="1:15" x14ac:dyDescent="0.3">
      <c r="A250" s="1"/>
      <c r="B250" s="39"/>
      <c r="C250" s="8"/>
      <c r="G250" s="37"/>
      <c r="I250" s="1"/>
      <c r="K250" s="8"/>
    </row>
    <row r="251" spans="1:15" x14ac:dyDescent="0.3">
      <c r="A251" s="1"/>
      <c r="B251" s="39"/>
      <c r="C251" s="8"/>
      <c r="G251" s="37"/>
      <c r="I251" s="1"/>
      <c r="K251" s="8"/>
    </row>
    <row r="252" spans="1:15" x14ac:dyDescent="0.3">
      <c r="A252" s="1"/>
      <c r="B252" s="39"/>
      <c r="C252" s="8"/>
      <c r="G252" s="37"/>
      <c r="I252" s="1"/>
      <c r="K252" s="8"/>
    </row>
    <row r="253" spans="1:15" x14ac:dyDescent="0.3">
      <c r="A253" s="1"/>
      <c r="B253" s="39"/>
      <c r="C253" s="8"/>
      <c r="G253" s="37"/>
      <c r="I253" s="1"/>
      <c r="K253" s="8"/>
    </row>
    <row r="254" spans="1:15" x14ac:dyDescent="0.3">
      <c r="A254" s="1"/>
      <c r="B254" s="39"/>
      <c r="C254" s="8"/>
      <c r="G254" s="37"/>
      <c r="I254" s="1"/>
      <c r="K254" s="8"/>
    </row>
    <row r="255" spans="1:15" x14ac:dyDescent="0.3">
      <c r="A255" s="1"/>
      <c r="B255" s="39"/>
      <c r="C255" s="8"/>
      <c r="G255" s="37"/>
      <c r="I255" s="1"/>
      <c r="K255" s="8"/>
    </row>
    <row r="256" spans="1:15" x14ac:dyDescent="0.3">
      <c r="A256" s="1"/>
      <c r="C256" s="8"/>
      <c r="G256" s="37"/>
      <c r="I256" s="1"/>
      <c r="K256" s="8"/>
    </row>
    <row r="257" spans="1:11" x14ac:dyDescent="0.3">
      <c r="A257" s="1"/>
      <c r="C257" s="8"/>
      <c r="G257" s="37"/>
      <c r="I257" s="1"/>
      <c r="K257" s="8"/>
    </row>
    <row r="258" spans="1:11" x14ac:dyDescent="0.3">
      <c r="A258" s="1"/>
      <c r="C258" s="8"/>
      <c r="G258" s="37"/>
      <c r="I258" s="1"/>
      <c r="K258" s="8"/>
    </row>
    <row r="259" spans="1:11" x14ac:dyDescent="0.3">
      <c r="A259" s="1"/>
      <c r="C259" s="8"/>
      <c r="G259" s="37"/>
      <c r="I259" s="1"/>
      <c r="K259" s="8"/>
    </row>
    <row r="260" spans="1:11" x14ac:dyDescent="0.3">
      <c r="A260" s="1"/>
      <c r="C260" s="8"/>
      <c r="G260" s="37"/>
      <c r="I260" s="1"/>
      <c r="K260" s="8"/>
    </row>
    <row r="261" spans="1:11" x14ac:dyDescent="0.3">
      <c r="A261" s="1"/>
      <c r="C261" s="8"/>
      <c r="G261" s="37"/>
      <c r="I261" s="1"/>
      <c r="K261" s="8"/>
    </row>
    <row r="262" spans="1:11" x14ac:dyDescent="0.3">
      <c r="A262" s="1"/>
      <c r="C262" s="8"/>
      <c r="G262" s="37"/>
      <c r="I262" s="1"/>
      <c r="K262" s="8"/>
    </row>
    <row r="263" spans="1:11" x14ac:dyDescent="0.3">
      <c r="A263" s="1"/>
      <c r="C263" s="8"/>
      <c r="G263" s="37"/>
      <c r="I263" s="1"/>
      <c r="K263" s="8"/>
    </row>
    <row r="264" spans="1:11" x14ac:dyDescent="0.3">
      <c r="A264" s="1"/>
      <c r="C264" s="8"/>
      <c r="G264" s="37"/>
      <c r="I264" s="1"/>
      <c r="K264" s="8"/>
    </row>
    <row r="265" spans="1:11" x14ac:dyDescent="0.3">
      <c r="A265" s="1"/>
      <c r="C265" s="8"/>
      <c r="G265" s="37"/>
      <c r="I265" s="1"/>
      <c r="K265" s="8"/>
    </row>
    <row r="266" spans="1:11" x14ac:dyDescent="0.3">
      <c r="A266" s="1"/>
      <c r="C266" s="8"/>
      <c r="G266" s="37"/>
      <c r="I266" s="1"/>
      <c r="K266" s="8"/>
    </row>
    <row r="267" spans="1:11" x14ac:dyDescent="0.3">
      <c r="A267" s="1"/>
      <c r="C267" s="8"/>
      <c r="G267" s="37"/>
      <c r="I267" s="1"/>
      <c r="K267" s="8"/>
    </row>
    <row r="268" spans="1:11" x14ac:dyDescent="0.3">
      <c r="A268" s="1"/>
      <c r="C268" s="8"/>
      <c r="G268" s="37"/>
      <c r="I268" s="1"/>
      <c r="K268" s="8"/>
    </row>
    <row r="269" spans="1:11" x14ac:dyDescent="0.3">
      <c r="A269" s="1"/>
      <c r="C269" s="8"/>
      <c r="G269" s="37"/>
      <c r="I269" s="1"/>
      <c r="K269" s="8"/>
    </row>
    <row r="270" spans="1:11" x14ac:dyDescent="0.3">
      <c r="A270" s="1"/>
      <c r="C270" s="8"/>
      <c r="G270" s="37"/>
      <c r="I270" s="1"/>
      <c r="K270" s="8"/>
    </row>
    <row r="271" spans="1:11" x14ac:dyDescent="0.3">
      <c r="A271" s="1"/>
      <c r="C271" s="8"/>
      <c r="G271" s="37"/>
      <c r="I271" s="1"/>
      <c r="K271" s="8"/>
    </row>
    <row r="272" spans="1:11" x14ac:dyDescent="0.3">
      <c r="A272" s="1"/>
      <c r="C272" s="8"/>
      <c r="G272" s="37"/>
      <c r="I272" s="1"/>
      <c r="K272" s="8"/>
    </row>
    <row r="273" spans="1:11" x14ac:dyDescent="0.3">
      <c r="A273" s="1"/>
      <c r="C273" s="8"/>
      <c r="G273" s="37"/>
      <c r="I273" s="1"/>
      <c r="K273" s="8"/>
    </row>
    <row r="274" spans="1:11" x14ac:dyDescent="0.3">
      <c r="A274" s="1"/>
      <c r="C274" s="8"/>
      <c r="G274" s="37"/>
      <c r="I274" s="1"/>
      <c r="K274" s="8"/>
    </row>
    <row r="275" spans="1:11" x14ac:dyDescent="0.3">
      <c r="A275" s="1"/>
      <c r="C275" s="8"/>
      <c r="G275" s="37"/>
      <c r="I275" s="1"/>
      <c r="K275" s="8"/>
    </row>
    <row r="276" spans="1:11" x14ac:dyDescent="0.3">
      <c r="A276" s="1"/>
      <c r="C276" s="8"/>
      <c r="G276" s="37"/>
      <c r="I276" s="1"/>
      <c r="K276" s="8"/>
    </row>
    <row r="277" spans="1:11" x14ac:dyDescent="0.3">
      <c r="A277" s="1"/>
      <c r="C277" s="8"/>
      <c r="G277" s="37"/>
      <c r="I277" s="1"/>
      <c r="K277" s="8"/>
    </row>
    <row r="278" spans="1:11" x14ac:dyDescent="0.3">
      <c r="A278" s="1"/>
      <c r="C278" s="8"/>
      <c r="G278" s="37"/>
      <c r="I278" s="1"/>
      <c r="K278" s="8"/>
    </row>
    <row r="279" spans="1:11" x14ac:dyDescent="0.3">
      <c r="A279" s="1"/>
      <c r="C279" s="8"/>
      <c r="G279" s="37"/>
      <c r="I279" s="1"/>
      <c r="K279" s="8"/>
    </row>
    <row r="280" spans="1:11" x14ac:dyDescent="0.3">
      <c r="A280" s="1"/>
      <c r="C280" s="8"/>
      <c r="G280" s="37"/>
      <c r="I280" s="1"/>
      <c r="K280" s="8"/>
    </row>
    <row r="281" spans="1:11" x14ac:dyDescent="0.3">
      <c r="A281" s="1"/>
      <c r="C281" s="8"/>
      <c r="G281" s="37"/>
      <c r="I281" s="1"/>
      <c r="K281" s="8"/>
    </row>
    <row r="282" spans="1:11" x14ac:dyDescent="0.3">
      <c r="A282" s="1"/>
      <c r="C282" s="8"/>
      <c r="G282" s="37"/>
      <c r="I282" s="1"/>
      <c r="K282" s="8"/>
    </row>
    <row r="283" spans="1:11" x14ac:dyDescent="0.3">
      <c r="A283" s="1"/>
      <c r="C283" s="8"/>
      <c r="G283" s="37"/>
      <c r="I283" s="1"/>
      <c r="K283" s="8"/>
    </row>
    <row r="284" spans="1:11" x14ac:dyDescent="0.3">
      <c r="A284" s="1"/>
      <c r="C284" s="8"/>
      <c r="G284" s="37"/>
      <c r="I284" s="1"/>
      <c r="K284" s="8"/>
    </row>
    <row r="285" spans="1:11" x14ac:dyDescent="0.3">
      <c r="A285" s="1"/>
      <c r="C285" s="8"/>
      <c r="G285" s="37"/>
      <c r="I285" s="1"/>
      <c r="K285" s="8"/>
    </row>
    <row r="286" spans="1:11" x14ac:dyDescent="0.3">
      <c r="A286" s="1"/>
      <c r="C286" s="8"/>
      <c r="G286" s="37"/>
      <c r="I286" s="1"/>
      <c r="K286" s="8"/>
    </row>
    <row r="287" spans="1:11" x14ac:dyDescent="0.3">
      <c r="A287" s="1"/>
      <c r="C287" s="8"/>
      <c r="G287" s="37"/>
      <c r="I287" s="1"/>
      <c r="K287" s="8"/>
    </row>
    <row r="288" spans="1:11" x14ac:dyDescent="0.3">
      <c r="A288" s="1"/>
      <c r="C288" s="8"/>
      <c r="G288" s="37"/>
      <c r="I288" s="1"/>
      <c r="K288" s="8"/>
    </row>
    <row r="289" spans="1:11" x14ac:dyDescent="0.3">
      <c r="A289" s="1"/>
      <c r="C289" s="8"/>
      <c r="G289" s="37"/>
      <c r="I289" s="1"/>
      <c r="K289" s="8"/>
    </row>
    <row r="290" spans="1:11" x14ac:dyDescent="0.3">
      <c r="A290" s="1"/>
      <c r="C290" s="8"/>
      <c r="G290" s="37"/>
      <c r="I290" s="1"/>
      <c r="K290" s="8"/>
    </row>
    <row r="291" spans="1:11" x14ac:dyDescent="0.3">
      <c r="A291" s="1"/>
      <c r="C291" s="8"/>
      <c r="G291" s="37"/>
      <c r="I291" s="1"/>
      <c r="K291" s="8"/>
    </row>
    <row r="292" spans="1:11" x14ac:dyDescent="0.3">
      <c r="A292" s="1"/>
      <c r="C292" s="8"/>
      <c r="I292" s="1"/>
      <c r="K292" s="8"/>
    </row>
    <row r="293" spans="1:11" x14ac:dyDescent="0.3">
      <c r="A293" s="1"/>
      <c r="C293" s="8"/>
      <c r="I293" s="1"/>
      <c r="K293" s="8"/>
    </row>
    <row r="294" spans="1:11" x14ac:dyDescent="0.3">
      <c r="A294" s="1"/>
      <c r="C294" s="8"/>
      <c r="I294" s="1"/>
      <c r="K294" s="8"/>
    </row>
    <row r="295" spans="1:11" x14ac:dyDescent="0.3">
      <c r="A295" s="1"/>
      <c r="C295" s="8"/>
      <c r="I295" s="1"/>
      <c r="K295" s="8"/>
    </row>
    <row r="296" spans="1:11" x14ac:dyDescent="0.3">
      <c r="A296" s="1"/>
      <c r="C296" s="8"/>
      <c r="I296" s="1"/>
      <c r="K296" s="8"/>
    </row>
    <row r="297" spans="1:11" x14ac:dyDescent="0.3">
      <c r="A297" s="1"/>
      <c r="C297" s="8"/>
      <c r="I297" s="1"/>
      <c r="K297" s="8"/>
    </row>
    <row r="298" spans="1:11" x14ac:dyDescent="0.3">
      <c r="A298" s="1"/>
      <c r="C298" s="8"/>
      <c r="I298" s="1"/>
      <c r="K298" s="8"/>
    </row>
    <row r="299" spans="1:11" x14ac:dyDescent="0.3">
      <c r="A299" s="1"/>
      <c r="C299" s="8"/>
      <c r="I299" s="1"/>
      <c r="K299" s="8"/>
    </row>
    <row r="300" spans="1:11" x14ac:dyDescent="0.3">
      <c r="A300" s="1"/>
      <c r="C300" s="8"/>
      <c r="I300" s="1"/>
      <c r="K300" s="8"/>
    </row>
  </sheetData>
  <mergeCells count="2">
    <mergeCell ref="A2:G2"/>
    <mergeCell ref="I2:O2"/>
  </mergeCells>
  <conditionalFormatting sqref="O11">
    <cfRule type="cellIs" dxfId="28" priority="9" operator="greaterThan">
      <formula>$O$9</formula>
    </cfRule>
  </conditionalFormatting>
  <conditionalFormatting sqref="G11">
    <cfRule type="cellIs" dxfId="27" priority="8" operator="greaterThan">
      <formula>$O$9</formula>
    </cfRule>
  </conditionalFormatting>
  <conditionalFormatting sqref="L8">
    <cfRule type="cellIs" dxfId="26" priority="5" operator="greaterThan">
      <formula>$E$8</formula>
    </cfRule>
  </conditionalFormatting>
  <conditionalFormatting sqref="L9:L17">
    <cfRule type="cellIs" dxfId="25" priority="4" operator="greaterThan">
      <formula>$E$8</formula>
    </cfRule>
  </conditionalFormatting>
  <conditionalFormatting sqref="D8:D17">
    <cfRule type="cellIs" dxfId="24" priority="3" operator="greaterThan">
      <formula>132</formula>
    </cfRule>
  </conditionalFormatting>
  <conditionalFormatting sqref="D18">
    <cfRule type="cellIs" dxfId="23" priority="2" operator="greaterThan">
      <formula>132</formula>
    </cfRule>
  </conditionalFormatting>
  <conditionalFormatting sqref="L18">
    <cfRule type="cellIs" dxfId="22" priority="1" operator="greaterThan">
      <formula>$E$8</formula>
    </cfRule>
  </conditionalFormatting>
  <dataValidations count="1">
    <dataValidation type="list" allowBlank="1" showInputMessage="1" showErrorMessage="1" sqref="D256:F273 L22:N246">
      <formula1>$I$8:$I$17</formula1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'Resumen zona'!$A$6:$A$15</xm:f>
          </x14:formula1>
          <xm:sqref>D22:F201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O361"/>
  <sheetViews>
    <sheetView topLeftCell="H1" zoomScale="110" zoomScaleNormal="110" workbookViewId="0">
      <selection activeCell="O14" sqref="O14"/>
    </sheetView>
  </sheetViews>
  <sheetFormatPr baseColWidth="10" defaultRowHeight="14.4" x14ac:dyDescent="0.3"/>
  <cols>
    <col min="1" max="1" width="13.77734375" customWidth="1"/>
    <col min="2" max="2" width="15.109375" style="2" customWidth="1"/>
    <col min="3" max="3" width="11" style="2" customWidth="1"/>
    <col min="4" max="6" width="13.5546875" customWidth="1"/>
    <col min="7" max="7" width="17.6640625" bestFit="1" customWidth="1"/>
    <col min="9" max="9" width="13.77734375" customWidth="1"/>
    <col min="10" max="10" width="15.109375" style="2" customWidth="1"/>
    <col min="11" max="11" width="11" style="2" customWidth="1"/>
    <col min="12" max="14" width="13.5546875" customWidth="1"/>
    <col min="15" max="15" width="17.6640625" bestFit="1" customWidth="1"/>
  </cols>
  <sheetData>
    <row r="1" spans="1:15" ht="21" x14ac:dyDescent="0.4">
      <c r="A1" s="26" t="s">
        <v>34</v>
      </c>
      <c r="I1" s="26" t="s">
        <v>34</v>
      </c>
    </row>
    <row r="2" spans="1:15" ht="18" x14ac:dyDescent="0.35">
      <c r="A2" s="42" t="s">
        <v>32</v>
      </c>
      <c r="B2" s="43"/>
      <c r="C2" s="43"/>
      <c r="D2" s="43"/>
      <c r="E2" s="43"/>
      <c r="F2" s="43"/>
      <c r="G2" s="44"/>
      <c r="I2" s="42" t="s">
        <v>29</v>
      </c>
      <c r="J2" s="43"/>
      <c r="K2" s="43"/>
      <c r="L2" s="43"/>
      <c r="M2" s="43"/>
      <c r="N2" s="43"/>
      <c r="O2" s="44"/>
    </row>
    <row r="3" spans="1:15" ht="18" x14ac:dyDescent="0.35">
      <c r="A3" s="5"/>
      <c r="D3" s="25"/>
      <c r="E3" s="13"/>
      <c r="F3" s="25"/>
      <c r="G3" s="13"/>
      <c r="I3" s="5"/>
      <c r="L3" s="25"/>
      <c r="M3" s="13"/>
      <c r="N3" s="25"/>
      <c r="O3" s="13"/>
    </row>
    <row r="4" spans="1:15" x14ac:dyDescent="0.3">
      <c r="A4" s="83" t="s">
        <v>25</v>
      </c>
      <c r="B4" s="84"/>
      <c r="C4" s="85"/>
      <c r="D4" s="15">
        <v>1</v>
      </c>
      <c r="G4" s="2"/>
      <c r="I4" s="83" t="s">
        <v>25</v>
      </c>
      <c r="J4" s="84"/>
      <c r="K4" s="85"/>
      <c r="L4" s="15">
        <v>1</v>
      </c>
      <c r="O4" s="2"/>
    </row>
    <row r="6" spans="1:15" x14ac:dyDescent="0.3">
      <c r="A6" s="4" t="s">
        <v>19</v>
      </c>
      <c r="B6"/>
      <c r="C6"/>
      <c r="I6" s="4" t="s">
        <v>19</v>
      </c>
      <c r="J6"/>
      <c r="K6"/>
    </row>
    <row r="7" spans="1:15" ht="44.55" customHeight="1" x14ac:dyDescent="0.3">
      <c r="A7" s="32" t="s">
        <v>23</v>
      </c>
      <c r="B7" s="32" t="s">
        <v>36</v>
      </c>
      <c r="C7" s="32" t="s">
        <v>37</v>
      </c>
      <c r="D7" s="32" t="s">
        <v>38</v>
      </c>
      <c r="E7" s="70"/>
      <c r="G7" s="68" t="s">
        <v>41</v>
      </c>
      <c r="I7" s="32" t="s">
        <v>23</v>
      </c>
      <c r="J7" s="32" t="s">
        <v>26</v>
      </c>
      <c r="K7" s="32" t="s">
        <v>27</v>
      </c>
      <c r="L7" s="32" t="s">
        <v>31</v>
      </c>
      <c r="M7" s="32" t="s">
        <v>16</v>
      </c>
      <c r="O7" s="27" t="s">
        <v>24</v>
      </c>
    </row>
    <row r="8" spans="1:15" x14ac:dyDescent="0.3">
      <c r="A8" s="3" t="str">
        <f>'Resumen zona'!A6</f>
        <v>Sofía</v>
      </c>
      <c r="B8" s="3">
        <f>SUMPRODUCT((TablaFloridaNov[Vendedora 1]=A8)+(TablaFloridaNov[Vendedora 2]=A8)+(TablaFloridaNov[Vendedora 3]=A8),--(TablaFloridaNov[Día]&lt;&gt;$G$14))
+ SUMPRODUCT((TablaGuemesNov[Vendedora 1]=A8)+(TablaGuemesNov[Vendedora 2]=A8)+(TablaGuemesNov[Vendedora 3]=A8),--(TablaGuemesNov[Día]&lt;&gt;$G$14))
+ SUMPRODUCT((TablaRecoletaNov[Vendedora 1]=A8)+(TablaRecoletaNov[Vendedora 2]=A8)+(TablaRecoletaNov[Vendedora 3]=A8),--(TablaRecoletaNov[Día]&lt;&gt;$G$14))</f>
        <v>143</v>
      </c>
      <c r="C8" s="3">
        <f>SUMPRODUCT((TablaFloridaNov[Vendedora 1]=A8)+(TablaFloridaNov[Vendedora 2]=A8)+(TablaFloridaNov[Vendedora 3]=A8),--(TablaFloridaNov[Día]=$G$14))
+ SUMPRODUCT((TablaGuemesNov[Vendedora 1]=A8)+(TablaGuemesNov[Vendedora 2]=A8)+(TablaGuemesNov[Vendedora 3]=A8),--(TablaGuemesNov[Día]=$G$14))
+ SUMPRODUCT((TablaRecoletaNov[Vendedora 1]=A8)+(TablaRecoletaNov[Vendedora 2]=A8)+(TablaRecoletaNov[Vendedora 3]=A8),--(TablaRecoletaNov[Día]=$G$14))</f>
        <v>9</v>
      </c>
      <c r="D8" s="14">
        <f>SUM(B8:C8)</f>
        <v>152</v>
      </c>
      <c r="E8" s="71"/>
      <c r="G8" s="7" t="s">
        <v>17</v>
      </c>
      <c r="I8" s="3" t="str">
        <f>'Resumen zona'!A25</f>
        <v>Sofía</v>
      </c>
      <c r="J8" s="3">
        <f>COUNTIF(Recoleta!$L$22:$N$361,I8)</f>
        <v>11</v>
      </c>
      <c r="K8" s="3"/>
      <c r="L8" s="3">
        <f>J8+K8</f>
        <v>11</v>
      </c>
      <c r="M8" s="3">
        <v>132</v>
      </c>
      <c r="O8" s="7" t="s">
        <v>17</v>
      </c>
    </row>
    <row r="9" spans="1:15" x14ac:dyDescent="0.3">
      <c r="A9" s="3" t="str">
        <f>'Resumen zona'!A7</f>
        <v>Giselle</v>
      </c>
      <c r="B9" s="3">
        <f>SUMPRODUCT((TablaFloridaNov[Vendedora 1]=A9)+(TablaFloridaNov[Vendedora 2]=A9)+(TablaFloridaNov[Vendedora 3]=A9),--(TablaFloridaNov[Día]&lt;&gt;$G$14))
+ SUMPRODUCT((TablaGuemesNov[Vendedora 1]=A9)+(TablaGuemesNov[Vendedora 2]=A9)+(TablaGuemesNov[Vendedora 3]=A9),--(TablaGuemesNov[Día]&lt;&gt;$G$14))
+ SUMPRODUCT((TablaRecoletaNov[Vendedora 1]=A9)+(TablaRecoletaNov[Vendedora 2]=A9)+(TablaRecoletaNov[Vendedora 3]=A9),--(TablaRecoletaNov[Día]&lt;&gt;$G$14))</f>
        <v>0</v>
      </c>
      <c r="C9" s="3">
        <f>SUMPRODUCT((TablaFloridaNov[Vendedora 1]=A9)+(TablaFloridaNov[Vendedora 2]=A9)+(TablaFloridaNov[Vendedora 3]=A9),--(TablaFloridaNov[Día]=$G$14))
+ SUMPRODUCT((TablaGuemesNov[Vendedora 1]=A9)+(TablaGuemesNov[Vendedora 2]=A9)+(TablaGuemesNov[Vendedora 3]=A9),--(TablaGuemesNov[Día]=$G$14))
+ SUMPRODUCT((TablaRecoletaNov[Vendedora 1]=A9)+(TablaRecoletaNov[Vendedora 2]=A9)+(TablaRecoletaNov[Vendedora 3]=A9),--(TablaRecoletaNov[Día]=$G$14))</f>
        <v>0</v>
      </c>
      <c r="D9" s="14">
        <f t="shared" ref="D9:D17" si="0">SUM(B9:C9)</f>
        <v>0</v>
      </c>
      <c r="E9" s="71"/>
      <c r="G9" s="6">
        <f>'Resumen zona'!M7</f>
        <v>450</v>
      </c>
      <c r="I9" s="3" t="str">
        <f>'Resumen zona'!A26</f>
        <v>Giselle</v>
      </c>
      <c r="J9" s="3">
        <f>COUNTIF(Recoleta!$L$22:$N$361,I9)</f>
        <v>0</v>
      </c>
      <c r="K9" s="3"/>
      <c r="L9" s="3">
        <f t="shared" ref="L9:L17" si="1">J9+K9</f>
        <v>0</v>
      </c>
      <c r="M9" s="3">
        <v>132</v>
      </c>
      <c r="O9" s="6">
        <v>600</v>
      </c>
    </row>
    <row r="10" spans="1:15" x14ac:dyDescent="0.3">
      <c r="A10" s="3" t="str">
        <f>'Resumen zona'!A8</f>
        <v>Maitena</v>
      </c>
      <c r="B10" s="3">
        <f>SUMPRODUCT((TablaFloridaNov[Vendedora 1]=A10)+(TablaFloridaNov[Vendedora 2]=A10)+(TablaFloridaNov[Vendedora 3]=A10),--(TablaFloridaNov[Día]&lt;&gt;$G$14))
+ SUMPRODUCT((TablaGuemesNov[Vendedora 1]=A10)+(TablaGuemesNov[Vendedora 2]=A10)+(TablaGuemesNov[Vendedora 3]=A10),--(TablaGuemesNov[Día]&lt;&gt;$G$14))
+ SUMPRODUCT((TablaRecoletaNov[Vendedora 1]=A10)+(TablaRecoletaNov[Vendedora 2]=A10)+(TablaRecoletaNov[Vendedora 3]=A10),--(TablaRecoletaNov[Día]&lt;&gt;$G$14))</f>
        <v>504</v>
      </c>
      <c r="C10" s="3">
        <f>SUMPRODUCT((TablaFloridaNov[Vendedora 1]=A10)+(TablaFloridaNov[Vendedora 2]=A10)+(TablaFloridaNov[Vendedora 3]=A10),--(TablaFloridaNov[Día]=$G$14))
+ SUMPRODUCT((TablaGuemesNov[Vendedora 1]=A10)+(TablaGuemesNov[Vendedora 2]=A10)+(TablaGuemesNov[Vendedora 3]=A10),--(TablaGuemesNov[Día]=$G$14))
+ SUMPRODUCT((TablaRecoletaNov[Vendedora 1]=A10)+(TablaRecoletaNov[Vendedora 2]=A10)+(TablaRecoletaNov[Vendedora 3]=A10),--(TablaRecoletaNov[Día]=$G$14))</f>
        <v>8</v>
      </c>
      <c r="D10" s="14">
        <f t="shared" si="0"/>
        <v>512</v>
      </c>
      <c r="E10" s="71"/>
      <c r="G10" s="7" t="s">
        <v>18</v>
      </c>
      <c r="I10" s="3" t="str">
        <f>'Resumen zona'!A27</f>
        <v>Maitena</v>
      </c>
      <c r="J10" s="3">
        <f>COUNTIF(Recoleta!$L$22:$N$361,I10)</f>
        <v>312</v>
      </c>
      <c r="K10" s="3">
        <v>4</v>
      </c>
      <c r="L10" s="3">
        <f t="shared" si="1"/>
        <v>316</v>
      </c>
      <c r="M10" s="3">
        <v>132</v>
      </c>
      <c r="O10" s="7" t="s">
        <v>18</v>
      </c>
    </row>
    <row r="11" spans="1:15" x14ac:dyDescent="0.3">
      <c r="A11" s="3" t="str">
        <f>'Resumen zona'!A9</f>
        <v>Candela I.</v>
      </c>
      <c r="B11" s="3">
        <f>SUMPRODUCT((TablaFloridaNov[Vendedora 1]=A11)+(TablaFloridaNov[Vendedora 2]=A11)+(TablaFloridaNov[Vendedora 3]=A11),--(TablaFloridaNov[Día]&lt;&gt;$G$14))
+ SUMPRODUCT((TablaGuemesNov[Vendedora 1]=A11)+(TablaGuemesNov[Vendedora 2]=A11)+(TablaGuemesNov[Vendedora 3]=A11),--(TablaGuemesNov[Día]&lt;&gt;$G$14))
+ SUMPRODUCT((TablaRecoletaNov[Vendedora 1]=A11)+(TablaRecoletaNov[Vendedora 2]=A11)+(TablaRecoletaNov[Vendedora 3]=A11),--(TablaRecoletaNov[Día]&lt;&gt;$G$14))</f>
        <v>12</v>
      </c>
      <c r="C11" s="3">
        <f>SUMPRODUCT((TablaFloridaNov[Vendedora 1]=A11)+(TablaFloridaNov[Vendedora 2]=A11)+(TablaFloridaNov[Vendedora 3]=A11),--(TablaFloridaNov[Día]=$G$14))
+ SUMPRODUCT((TablaGuemesNov[Vendedora 1]=A11)+(TablaGuemesNov[Vendedora 2]=A11)+(TablaGuemesNov[Vendedora 3]=A11),--(TablaGuemesNov[Día]=$G$14))
+ SUMPRODUCT((TablaRecoletaNov[Vendedora 1]=A11)+(TablaRecoletaNov[Vendedora 2]=A11)+(TablaRecoletaNov[Vendedora 3]=A11),--(TablaRecoletaNov[Día]=$G$14))</f>
        <v>0</v>
      </c>
      <c r="D11" s="14">
        <f t="shared" si="0"/>
        <v>12</v>
      </c>
      <c r="E11" s="71"/>
      <c r="G11" s="6">
        <f>COUNTA(D22:F350)</f>
        <v>329</v>
      </c>
      <c r="I11" s="3" t="str">
        <f>'Resumen zona'!A28</f>
        <v>Candela I.</v>
      </c>
      <c r="J11" s="3">
        <f>COUNTIF(Recoleta!$L$22:$N$361,I11)</f>
        <v>0</v>
      </c>
      <c r="K11" s="3">
        <v>4</v>
      </c>
      <c r="L11" s="3">
        <f t="shared" si="1"/>
        <v>4</v>
      </c>
      <c r="M11" s="3">
        <v>132</v>
      </c>
      <c r="O11" s="6">
        <f>COUNTA(L22:N361)</f>
        <v>329</v>
      </c>
    </row>
    <row r="12" spans="1:15" x14ac:dyDescent="0.3">
      <c r="A12" s="3" t="str">
        <f>'Resumen zona'!A10</f>
        <v>Luciana</v>
      </c>
      <c r="B12" s="3">
        <f>SUMPRODUCT((TablaFloridaNov[Vendedora 1]=A12)+(TablaFloridaNov[Vendedora 2]=A12)+(TablaFloridaNov[Vendedora 3]=A12),--(TablaFloridaNov[Día]&lt;&gt;$G$14))
+ SUMPRODUCT((TablaGuemesNov[Vendedora 1]=A12)+(TablaGuemesNov[Vendedora 2]=A12)+(TablaGuemesNov[Vendedora 3]=A12),--(TablaGuemesNov[Día]&lt;&gt;$G$14))
+ SUMPRODUCT((TablaRecoletaNov[Vendedora 1]=A12)+(TablaRecoletaNov[Vendedora 2]=A12)+(TablaRecoletaNov[Vendedora 3]=A12),--(TablaRecoletaNov[Día]&lt;&gt;$G$14))</f>
        <v>0</v>
      </c>
      <c r="C12" s="3">
        <f>SUMPRODUCT((TablaFloridaNov[Vendedora 1]=A12)+(TablaFloridaNov[Vendedora 2]=A12)+(TablaFloridaNov[Vendedora 3]=A12),--(TablaFloridaNov[Día]=$G$14))
+ SUMPRODUCT((TablaGuemesNov[Vendedora 1]=A12)+(TablaGuemesNov[Vendedora 2]=A12)+(TablaGuemesNov[Vendedora 3]=A12),--(TablaGuemesNov[Día]=$G$14))
+ SUMPRODUCT((TablaRecoletaNov[Vendedora 1]=A12)+(TablaRecoletaNov[Vendedora 2]=A12)+(TablaRecoletaNov[Vendedora 3]=A12),--(TablaRecoletaNov[Día]=$G$14))</f>
        <v>0</v>
      </c>
      <c r="D12" s="14">
        <f t="shared" si="0"/>
        <v>0</v>
      </c>
      <c r="E12" s="71"/>
      <c r="I12" s="3" t="str">
        <f>'Resumen zona'!A29</f>
        <v>Luciana</v>
      </c>
      <c r="J12" s="3">
        <f>COUNTIF(Recoleta!$L$22:$N$361,I12)</f>
        <v>0</v>
      </c>
      <c r="K12" s="3"/>
      <c r="L12" s="3">
        <f t="shared" si="1"/>
        <v>0</v>
      </c>
      <c r="M12" s="3">
        <v>132</v>
      </c>
    </row>
    <row r="13" spans="1:15" x14ac:dyDescent="0.3">
      <c r="A13" s="3" t="str">
        <f>'Resumen zona'!A11</f>
        <v>Bárbara</v>
      </c>
      <c r="B13" s="3">
        <f>SUMPRODUCT((TablaFloridaNov[Vendedora 1]=A13)+(TablaFloridaNov[Vendedora 2]=A13)+(TablaFloridaNov[Vendedora 3]=A13),--(TablaFloridaNov[Día]&lt;&gt;$G$14))
+ SUMPRODUCT((TablaGuemesNov[Vendedora 1]=A13)+(TablaGuemesNov[Vendedora 2]=A13)+(TablaGuemesNov[Vendedora 3]=A13),--(TablaGuemesNov[Día]&lt;&gt;$G$14))
+ SUMPRODUCT((TablaRecoletaNov[Vendedora 1]=A13)+(TablaRecoletaNov[Vendedora 2]=A13)+(TablaRecoletaNov[Vendedora 3]=A13),--(TablaRecoletaNov[Día]&lt;&gt;$G$14))</f>
        <v>0</v>
      </c>
      <c r="C13" s="3">
        <f>SUMPRODUCT((TablaFloridaNov[Vendedora 1]=A13)+(TablaFloridaNov[Vendedora 2]=A13)+(TablaFloridaNov[Vendedora 3]=A13),--(TablaFloridaNov[Día]=$G$14))
+ SUMPRODUCT((TablaGuemesNov[Vendedora 1]=A13)+(TablaGuemesNov[Vendedora 2]=A13)+(TablaGuemesNov[Vendedora 3]=A13),--(TablaGuemesNov[Día]=$G$14))
+ SUMPRODUCT((TablaRecoletaNov[Vendedora 1]=A13)+(TablaRecoletaNov[Vendedora 2]=A13)+(TablaRecoletaNov[Vendedora 3]=A13),--(TablaRecoletaNov[Día]=$G$14))</f>
        <v>0</v>
      </c>
      <c r="D13" s="14">
        <f t="shared" si="0"/>
        <v>0</v>
      </c>
      <c r="E13" s="71"/>
      <c r="G13" s="66" t="s">
        <v>35</v>
      </c>
      <c r="I13" s="3" t="str">
        <f>'Resumen zona'!A30</f>
        <v>Bárbara</v>
      </c>
      <c r="J13" s="3">
        <f>COUNTIF(Recoleta!$L$22:$N$361,I13)</f>
        <v>0</v>
      </c>
      <c r="K13" s="3">
        <v>4</v>
      </c>
      <c r="L13" s="3">
        <f t="shared" si="1"/>
        <v>4</v>
      </c>
      <c r="M13" s="3">
        <v>132</v>
      </c>
      <c r="O13" s="66" t="s">
        <v>35</v>
      </c>
    </row>
    <row r="14" spans="1:15" x14ac:dyDescent="0.3">
      <c r="A14" s="3" t="str">
        <f>'Resumen zona'!A12</f>
        <v>Rocío</v>
      </c>
      <c r="B14" s="3">
        <f>SUMPRODUCT((TablaFloridaNov[Vendedora 1]=A14)+(TablaFloridaNov[Vendedora 2]=A14)+(TablaFloridaNov[Vendedora 3]=A14),--(TablaFloridaNov[Día]&lt;&gt;$G$14))
+ SUMPRODUCT((TablaGuemesNov[Vendedora 1]=A14)+(TablaGuemesNov[Vendedora 2]=A14)+(TablaGuemesNov[Vendedora 3]=A14),--(TablaGuemesNov[Día]&lt;&gt;$G$14))
+ SUMPRODUCT((TablaRecoletaNov[Vendedora 1]=A14)+(TablaRecoletaNov[Vendedora 2]=A14)+(TablaRecoletaNov[Vendedora 3]=A14),--(TablaRecoletaNov[Día]&lt;&gt;$G$14))</f>
        <v>68</v>
      </c>
      <c r="C14" s="3">
        <f>SUMPRODUCT((TablaFloridaNov[Vendedora 1]=A14)+(TablaFloridaNov[Vendedora 2]=A14)+(TablaFloridaNov[Vendedora 3]=A14),--(TablaFloridaNov[Día]=$G$14))
+ SUMPRODUCT((TablaGuemesNov[Vendedora 1]=A14)+(TablaGuemesNov[Vendedora 2]=A14)+(TablaGuemesNov[Vendedora 3]=A14),--(TablaGuemesNov[Día]=$G$14))
+ SUMPRODUCT((TablaRecoletaNov[Vendedora 1]=A14)+(TablaRecoletaNov[Vendedora 2]=A14)+(TablaRecoletaNov[Vendedora 3]=A14),--(TablaRecoletaNov[Día]=$G$14))</f>
        <v>11</v>
      </c>
      <c r="D14" s="14">
        <f t="shared" si="0"/>
        <v>79</v>
      </c>
      <c r="E14" s="71"/>
      <c r="G14" s="67">
        <f>'Resumen zona'!K11</f>
        <v>45985</v>
      </c>
      <c r="I14" s="3" t="str">
        <f>'Resumen zona'!A31</f>
        <v>Rocío</v>
      </c>
      <c r="J14" s="3">
        <f>COUNTIF(Recoleta!$L$22:$N$361,I14)</f>
        <v>0</v>
      </c>
      <c r="K14" s="3"/>
      <c r="L14" s="3">
        <f t="shared" si="1"/>
        <v>0</v>
      </c>
      <c r="M14" s="3">
        <v>132</v>
      </c>
      <c r="O14" s="67">
        <f>'Resumen zona'!K30</f>
        <v>45999</v>
      </c>
    </row>
    <row r="15" spans="1:15" x14ac:dyDescent="0.3">
      <c r="A15" s="3" t="str">
        <f>'Resumen zona'!A13</f>
        <v>Mailén</v>
      </c>
      <c r="B15" s="3">
        <f>SUMPRODUCT((TablaFloridaNov[Vendedora 1]=A15)+(TablaFloridaNov[Vendedora 2]=A15)+(TablaFloridaNov[Vendedora 3]=A15),--(TablaFloridaNov[Día]&lt;&gt;$G$14))
+ SUMPRODUCT((TablaGuemesNov[Vendedora 1]=A15)+(TablaGuemesNov[Vendedora 2]=A15)+(TablaGuemesNov[Vendedora 3]=A15),--(TablaGuemesNov[Día]&lt;&gt;$G$14))
+ SUMPRODUCT((TablaRecoletaNov[Vendedora 1]=A15)+(TablaRecoletaNov[Vendedora 2]=A15)+(TablaRecoletaNov[Vendedora 3]=A15),--(TablaRecoletaNov[Día]&lt;&gt;$G$14))</f>
        <v>12</v>
      </c>
      <c r="C15" s="3">
        <f>SUMPRODUCT((TablaFloridaNov[Vendedora 1]=A15)+(TablaFloridaNov[Vendedora 2]=A15)+(TablaFloridaNov[Vendedora 3]=A15),--(TablaFloridaNov[Día]=$G$14))
+ SUMPRODUCT((TablaGuemesNov[Vendedora 1]=A15)+(TablaGuemesNov[Vendedora 2]=A15)+(TablaGuemesNov[Vendedora 3]=A15),--(TablaGuemesNov[Día]=$G$14))
+ SUMPRODUCT((TablaRecoletaNov[Vendedora 1]=A15)+(TablaRecoletaNov[Vendedora 2]=A15)+(TablaRecoletaNov[Vendedora 3]=A15),--(TablaRecoletaNov[Día]=$G$14))</f>
        <v>0</v>
      </c>
      <c r="D15" s="14">
        <f t="shared" si="0"/>
        <v>12</v>
      </c>
      <c r="E15" s="71"/>
      <c r="I15" s="3" t="str">
        <f>'Resumen zona'!A32</f>
        <v>Mailén</v>
      </c>
      <c r="J15" s="3">
        <f>COUNTIF(Recoleta!$L$22:$N$361,I15)</f>
        <v>0</v>
      </c>
      <c r="K15" s="3">
        <v>4</v>
      </c>
      <c r="L15" s="3">
        <f t="shared" si="1"/>
        <v>4</v>
      </c>
      <c r="M15" s="3">
        <v>132</v>
      </c>
    </row>
    <row r="16" spans="1:15" x14ac:dyDescent="0.3">
      <c r="A16" s="3" t="str">
        <f>'Resumen zona'!A14</f>
        <v>Candela G.</v>
      </c>
      <c r="B16" s="3">
        <f>SUMPRODUCT((TablaFloridaNov[Vendedora 1]=A16)+(TablaFloridaNov[Vendedora 2]=A16)+(TablaFloridaNov[Vendedora 3]=A16),--(TablaFloridaNov[Día]&lt;&gt;$G$14))
+ SUMPRODUCT((TablaGuemesNov[Vendedora 1]=A16)+(TablaGuemesNov[Vendedora 2]=A16)+(TablaGuemesNov[Vendedora 3]=A16),--(TablaGuemesNov[Día]&lt;&gt;$G$14))
+ SUMPRODUCT((TablaRecoletaNov[Vendedora 1]=A16)+(TablaRecoletaNov[Vendedora 2]=A16)+(TablaRecoletaNov[Vendedora 3]=A16),--(TablaRecoletaNov[Día]&lt;&gt;$G$14))</f>
        <v>0</v>
      </c>
      <c r="C16" s="3">
        <f>SUMPRODUCT((TablaFloridaNov[Vendedora 1]=A16)+(TablaFloridaNov[Vendedora 2]=A16)+(TablaFloridaNov[Vendedora 3]=A16),--(TablaFloridaNov[Día]=$G$14))
+ SUMPRODUCT((TablaGuemesNov[Vendedora 1]=A16)+(TablaGuemesNov[Vendedora 2]=A16)+(TablaGuemesNov[Vendedora 3]=A16),--(TablaGuemesNov[Día]=$G$14))
+ SUMPRODUCT((TablaRecoletaNov[Vendedora 1]=A16)+(TablaRecoletaNov[Vendedora 2]=A16)+(TablaRecoletaNov[Vendedora 3]=A16),--(TablaRecoletaNov[Día]=$G$14))</f>
        <v>0</v>
      </c>
      <c r="D16" s="14">
        <f t="shared" si="0"/>
        <v>0</v>
      </c>
      <c r="E16" s="71"/>
      <c r="I16" s="3" t="str">
        <f>'Resumen zona'!A33</f>
        <v>Candela G.</v>
      </c>
      <c r="J16" s="3">
        <f>COUNTIF(Recoleta!$L$22:$N$361,I16)</f>
        <v>0</v>
      </c>
      <c r="K16" s="3"/>
      <c r="L16" s="3">
        <f t="shared" si="1"/>
        <v>0</v>
      </c>
      <c r="M16" s="3">
        <v>132</v>
      </c>
    </row>
    <row r="17" spans="1:15" x14ac:dyDescent="0.3">
      <c r="A17" s="3" t="str">
        <f>'Resumen zona'!A15</f>
        <v>Micaela</v>
      </c>
      <c r="B17" s="3">
        <f>SUMPRODUCT((TablaFloridaNov[Vendedora 1]=A17)+(TablaFloridaNov[Vendedora 2]=A17)+(TablaFloridaNov[Vendedora 3]=A17),--(TablaFloridaNov[Día]&lt;&gt;$G$14))
+ SUMPRODUCT((TablaGuemesNov[Vendedora 1]=A17)+(TablaGuemesNov[Vendedora 2]=A17)+(TablaGuemesNov[Vendedora 3]=A17),--(TablaGuemesNov[Día]&lt;&gt;$G$14))
+ SUMPRODUCT((TablaRecoletaNov[Vendedora 1]=A17)+(TablaRecoletaNov[Vendedora 2]=A17)+(TablaRecoletaNov[Vendedora 3]=A17),--(TablaRecoletaNov[Día]&lt;&gt;$G$14))</f>
        <v>72</v>
      </c>
      <c r="C17" s="3">
        <f>SUMPRODUCT((TablaFloridaNov[Vendedora 1]=A17)+(TablaFloridaNov[Vendedora 2]=A17)+(TablaFloridaNov[Vendedora 3]=A17),--(TablaFloridaNov[Día]=$G$14))
+ SUMPRODUCT((TablaGuemesNov[Vendedora 1]=A17)+(TablaGuemesNov[Vendedora 2]=A17)+(TablaGuemesNov[Vendedora 3]=A17),--(TablaGuemesNov[Día]=$G$14))
+ SUMPRODUCT((TablaRecoletaNov[Vendedora 1]=A17)+(TablaRecoletaNov[Vendedora 2]=A17)+(TablaRecoletaNov[Vendedora 3]=A17),--(TablaRecoletaNov[Día]=$G$14))</f>
        <v>5</v>
      </c>
      <c r="D17" s="14">
        <f t="shared" si="0"/>
        <v>77</v>
      </c>
      <c r="E17" s="71"/>
      <c r="I17" s="3" t="str">
        <f>'Resumen zona'!A34</f>
        <v>Micaela</v>
      </c>
      <c r="J17" s="3">
        <f>COUNTIF(Recoleta!$L$22:$N$361,I17)</f>
        <v>0</v>
      </c>
      <c r="K17" s="3"/>
      <c r="L17" s="3">
        <f t="shared" si="1"/>
        <v>0</v>
      </c>
      <c r="M17" s="3">
        <v>132</v>
      </c>
    </row>
    <row r="18" spans="1:15" x14ac:dyDescent="0.3">
      <c r="A18" s="3" t="str">
        <f>'Resumen zona'!A16</f>
        <v>[Nueva]</v>
      </c>
      <c r="B18" s="3">
        <f>SUMPRODUCT((TablaFloridaNov[Vendedora 1]=A18)+(TablaFloridaNov[Vendedora 2]=A18)+(TablaFloridaNov[Vendedora 3]=A18),--(TablaFloridaNov[Día]&lt;&gt;$G$14))
+ SUMPRODUCT((TablaGuemesNov[Vendedora 1]=A18)+(TablaGuemesNov[Vendedora 2]=A18)+(TablaGuemesNov[Vendedora 3]=A18),--(TablaGuemesNov[Día]&lt;&gt;$G$14))
+ SUMPRODUCT((TablaRecoletaNov[Vendedora 1]=A18)+(TablaRecoletaNov[Vendedora 2]=A18)+(TablaRecoletaNov[Vendedora 3]=A18),--(TablaRecoletaNov[Día]&lt;&gt;$G$14))</f>
        <v>0</v>
      </c>
      <c r="C18" s="3">
        <f>SUMPRODUCT((TablaFloridaNov[Vendedora 1]=A18)+(TablaFloridaNov[Vendedora 2]=A18)+(TablaFloridaNov[Vendedora 3]=A18),--(TablaFloridaNov[Día]=$G$14))
+ SUMPRODUCT((TablaGuemesNov[Vendedora 1]=A18)+(TablaGuemesNov[Vendedora 2]=A18)+(TablaGuemesNov[Vendedora 3]=A18),--(TablaGuemesNov[Día]=$G$14))
+ SUMPRODUCT((TablaRecoletaNov[Vendedora 1]=A18)+(TablaRecoletaNov[Vendedora 2]=A18)+(TablaRecoletaNov[Vendedora 3]=A18),--(TablaRecoletaNov[Día]=$G$14))</f>
        <v>0</v>
      </c>
      <c r="D18" s="14">
        <f t="shared" ref="D18" si="2">SUM(B18:C18)</f>
        <v>0</v>
      </c>
      <c r="E18" s="69"/>
      <c r="I18" s="3" t="str">
        <f>'Resumen zona'!A35</f>
        <v>[Nueva]</v>
      </c>
      <c r="J18" s="3">
        <f>COUNTIF(Recoleta!$L$22:$N$361,I18)</f>
        <v>0</v>
      </c>
      <c r="K18" s="3"/>
      <c r="L18" s="3">
        <f t="shared" ref="L18" si="3">J18+K18</f>
        <v>0</v>
      </c>
      <c r="M18" s="3">
        <v>132</v>
      </c>
    </row>
    <row r="21" spans="1:15" x14ac:dyDescent="0.3">
      <c r="A21" s="11" t="s">
        <v>13</v>
      </c>
      <c r="B21" s="10" t="s">
        <v>20</v>
      </c>
      <c r="C21" s="10" t="s">
        <v>21</v>
      </c>
      <c r="D21" s="82" t="s">
        <v>11</v>
      </c>
      <c r="E21" s="82" t="s">
        <v>12</v>
      </c>
      <c r="F21" s="82" t="s">
        <v>14</v>
      </c>
      <c r="G21" s="11" t="s">
        <v>15</v>
      </c>
      <c r="I21" s="11" t="s">
        <v>13</v>
      </c>
      <c r="J21" s="10" t="s">
        <v>20</v>
      </c>
      <c r="K21" s="10" t="s">
        <v>21</v>
      </c>
      <c r="L21" s="82" t="s">
        <v>11</v>
      </c>
      <c r="M21" s="82" t="s">
        <v>12</v>
      </c>
      <c r="N21" s="82" t="s">
        <v>14</v>
      </c>
      <c r="O21" s="11" t="s">
        <v>15</v>
      </c>
    </row>
    <row r="22" spans="1:15" x14ac:dyDescent="0.3">
      <c r="A22" s="60">
        <v>45962</v>
      </c>
      <c r="B22" s="45" t="str">
        <f>TEXT(A22,"ddd")</f>
        <v>sáb</v>
      </c>
      <c r="C22" s="46">
        <v>0.41666666666666669</v>
      </c>
      <c r="D22" s="47" t="s">
        <v>4</v>
      </c>
      <c r="E22" s="47"/>
      <c r="F22" s="47"/>
      <c r="G22" s="47" t="str">
        <f t="shared" ref="G22" si="4">IF(COUNTIF(D22:F22,"?*")&gt;=$D$4, "✅ CUBIERTO",
 IF(COUNTIF(D22:F22,"?*")&gt;0, "⚠ FALTANTE",
 "❌ SIN COMPLETAR"))</f>
        <v>✅ CUBIERTO</v>
      </c>
      <c r="I22" s="60">
        <v>45992</v>
      </c>
      <c r="J22" s="45" t="str">
        <f>TEXT(I22,"ddd")</f>
        <v>lun</v>
      </c>
      <c r="K22" s="46">
        <v>0.41666666666666669</v>
      </c>
      <c r="L22" s="47" t="s">
        <v>4</v>
      </c>
      <c r="M22" s="47"/>
      <c r="N22" s="47"/>
      <c r="O22" s="47" t="str">
        <f t="shared" ref="O22" si="5">IF(COUNTIF(L22:N22,"?*")&gt;=$L$4, "✅ CUBIERTO",
 IF(COUNTIF(L22:N22,"?*")&gt;0, "⚠ FALTANTE",
 "❌ SIN COMPLETAR"))</f>
        <v>✅ CUBIERTO</v>
      </c>
    </row>
    <row r="23" spans="1:15" x14ac:dyDescent="0.3">
      <c r="A23" s="60">
        <v>45962</v>
      </c>
      <c r="B23" s="45" t="str">
        <f>TEXT(A23,"ddd")</f>
        <v>sáb</v>
      </c>
      <c r="C23" s="46">
        <v>0.45833333333333331</v>
      </c>
      <c r="D23" s="47" t="s">
        <v>4</v>
      </c>
      <c r="E23" s="47"/>
      <c r="F23" s="47"/>
      <c r="G23" s="47" t="str">
        <f t="shared" ref="G23:G100" si="6">IF(COUNTIF(D23:F23,"?*")&gt;=$D$4, "✅ CUBIERTO",
 IF(COUNTIF(D23:F23,"?*")&gt;0, "⚠ FALTANTE",
 "❌ SIN COMPLETAR"))</f>
        <v>✅ CUBIERTO</v>
      </c>
      <c r="I23" s="60">
        <v>45992</v>
      </c>
      <c r="J23" s="45" t="str">
        <f>TEXT(I23,"ddd")</f>
        <v>lun</v>
      </c>
      <c r="K23" s="46">
        <v>0.45833333333333331</v>
      </c>
      <c r="L23" s="47" t="s">
        <v>4</v>
      </c>
      <c r="M23" s="47"/>
      <c r="N23" s="47"/>
      <c r="O23" s="47" t="str">
        <f t="shared" ref="O23:O100" si="7">IF(COUNTIF(L23:N23,"?*")&gt;=$L$4, "✅ CUBIERTO",
 IF(COUNTIF(L23:N23,"?*")&gt;0, "⚠ FALTANTE",
 "❌ SIN COMPLETAR"))</f>
        <v>✅ CUBIERTO</v>
      </c>
    </row>
    <row r="24" spans="1:15" x14ac:dyDescent="0.3">
      <c r="A24" s="60">
        <v>45962</v>
      </c>
      <c r="B24" s="45" t="str">
        <f t="shared" ref="B24:B31" si="8">TEXT(A24,"ddd")</f>
        <v>sáb</v>
      </c>
      <c r="C24" s="46">
        <v>0.5</v>
      </c>
      <c r="D24" s="47" t="s">
        <v>4</v>
      </c>
      <c r="E24" s="47"/>
      <c r="F24" s="47"/>
      <c r="G24" s="47" t="str">
        <f t="shared" si="6"/>
        <v>✅ CUBIERTO</v>
      </c>
      <c r="I24" s="60">
        <v>45992</v>
      </c>
      <c r="J24" s="45" t="str">
        <f t="shared" ref="J24:J31" si="9">TEXT(I24,"ddd")</f>
        <v>lun</v>
      </c>
      <c r="K24" s="46">
        <v>0.5</v>
      </c>
      <c r="L24" s="47" t="s">
        <v>4</v>
      </c>
      <c r="M24" s="47"/>
      <c r="N24" s="47"/>
      <c r="O24" s="47" t="str">
        <f t="shared" si="7"/>
        <v>✅ CUBIERTO</v>
      </c>
    </row>
    <row r="25" spans="1:15" x14ac:dyDescent="0.3">
      <c r="A25" s="60">
        <v>45962</v>
      </c>
      <c r="B25" s="45" t="str">
        <f t="shared" si="8"/>
        <v>sáb</v>
      </c>
      <c r="C25" s="46">
        <v>0.54166666666666696</v>
      </c>
      <c r="D25" s="47" t="s">
        <v>4</v>
      </c>
      <c r="E25" s="47"/>
      <c r="F25" s="47"/>
      <c r="G25" s="47" t="str">
        <f t="shared" si="6"/>
        <v>✅ CUBIERTO</v>
      </c>
      <c r="I25" s="60">
        <v>45992</v>
      </c>
      <c r="J25" s="45" t="str">
        <f t="shared" si="9"/>
        <v>lun</v>
      </c>
      <c r="K25" s="46">
        <v>0.54166666666666696</v>
      </c>
      <c r="L25" s="47" t="s">
        <v>4</v>
      </c>
      <c r="M25" s="47"/>
      <c r="N25" s="47"/>
      <c r="O25" s="47" t="str">
        <f t="shared" si="7"/>
        <v>✅ CUBIERTO</v>
      </c>
    </row>
    <row r="26" spans="1:15" x14ac:dyDescent="0.3">
      <c r="A26" s="60">
        <v>45962</v>
      </c>
      <c r="B26" s="45" t="str">
        <f t="shared" si="8"/>
        <v>sáb</v>
      </c>
      <c r="C26" s="46">
        <v>0.58333333333333304</v>
      </c>
      <c r="D26" s="47" t="s">
        <v>4</v>
      </c>
      <c r="E26" s="47"/>
      <c r="F26" s="47"/>
      <c r="G26" s="47" t="str">
        <f t="shared" si="6"/>
        <v>✅ CUBIERTO</v>
      </c>
      <c r="I26" s="60">
        <v>45992</v>
      </c>
      <c r="J26" s="45" t="str">
        <f t="shared" si="9"/>
        <v>lun</v>
      </c>
      <c r="K26" s="46">
        <v>0.58333333333333304</v>
      </c>
      <c r="L26" s="47" t="s">
        <v>4</v>
      </c>
      <c r="M26" s="47"/>
      <c r="N26" s="47"/>
      <c r="O26" s="47" t="str">
        <f t="shared" si="7"/>
        <v>✅ CUBIERTO</v>
      </c>
    </row>
    <row r="27" spans="1:15" x14ac:dyDescent="0.3">
      <c r="A27" s="60">
        <v>45962</v>
      </c>
      <c r="B27" s="45" t="str">
        <f t="shared" si="8"/>
        <v>sáb</v>
      </c>
      <c r="C27" s="46">
        <v>0.625</v>
      </c>
      <c r="D27" s="47" t="s">
        <v>4</v>
      </c>
      <c r="E27" s="47"/>
      <c r="F27" s="47"/>
      <c r="G27" s="47" t="str">
        <f t="shared" si="6"/>
        <v>✅ CUBIERTO</v>
      </c>
      <c r="I27" s="60">
        <v>45992</v>
      </c>
      <c r="J27" s="45" t="str">
        <f t="shared" si="9"/>
        <v>lun</v>
      </c>
      <c r="K27" s="46">
        <v>0.625</v>
      </c>
      <c r="L27" s="47" t="s">
        <v>8</v>
      </c>
      <c r="M27" s="47"/>
      <c r="N27" s="47"/>
      <c r="O27" s="47" t="str">
        <f t="shared" si="7"/>
        <v>✅ CUBIERTO</v>
      </c>
    </row>
    <row r="28" spans="1:15" x14ac:dyDescent="0.3">
      <c r="A28" s="60">
        <v>45962</v>
      </c>
      <c r="B28" s="45" t="str">
        <f t="shared" si="8"/>
        <v>sáb</v>
      </c>
      <c r="C28" s="46">
        <v>0.66666666666666696</v>
      </c>
      <c r="D28" s="47" t="s">
        <v>4</v>
      </c>
      <c r="E28" s="47"/>
      <c r="F28" s="47"/>
      <c r="G28" s="47" t="str">
        <f t="shared" si="6"/>
        <v>✅ CUBIERTO</v>
      </c>
      <c r="I28" s="60">
        <v>45992</v>
      </c>
      <c r="J28" s="45" t="str">
        <f t="shared" si="9"/>
        <v>lun</v>
      </c>
      <c r="K28" s="46">
        <v>0.66666666666666696</v>
      </c>
      <c r="L28" s="47" t="s">
        <v>8</v>
      </c>
      <c r="M28" s="47"/>
      <c r="N28" s="47"/>
      <c r="O28" s="47" t="str">
        <f t="shared" si="7"/>
        <v>✅ CUBIERTO</v>
      </c>
    </row>
    <row r="29" spans="1:15" x14ac:dyDescent="0.3">
      <c r="A29" s="60">
        <v>45962</v>
      </c>
      <c r="B29" s="45" t="str">
        <f t="shared" si="8"/>
        <v>sáb</v>
      </c>
      <c r="C29" s="46">
        <v>0.70833333333333304</v>
      </c>
      <c r="D29" s="47" t="s">
        <v>4</v>
      </c>
      <c r="E29" s="47"/>
      <c r="F29" s="47"/>
      <c r="G29" s="47" t="str">
        <f t="shared" si="6"/>
        <v>✅ CUBIERTO</v>
      </c>
      <c r="I29" s="60">
        <v>45992</v>
      </c>
      <c r="J29" s="45" t="str">
        <f t="shared" si="9"/>
        <v>lun</v>
      </c>
      <c r="K29" s="46">
        <v>0.70833333333333304</v>
      </c>
      <c r="L29" s="47" t="s">
        <v>8</v>
      </c>
      <c r="M29" s="47"/>
      <c r="N29" s="47"/>
      <c r="O29" s="47" t="str">
        <f t="shared" si="7"/>
        <v>✅ CUBIERTO</v>
      </c>
    </row>
    <row r="30" spans="1:15" x14ac:dyDescent="0.3">
      <c r="A30" s="60">
        <v>45962</v>
      </c>
      <c r="B30" s="45" t="str">
        <f t="shared" si="8"/>
        <v>sáb</v>
      </c>
      <c r="C30" s="46">
        <v>0.75</v>
      </c>
      <c r="D30" s="47" t="s">
        <v>4</v>
      </c>
      <c r="E30" s="47"/>
      <c r="F30" s="47"/>
      <c r="G30" s="47" t="str">
        <f t="shared" si="6"/>
        <v>✅ CUBIERTO</v>
      </c>
      <c r="I30" s="60">
        <v>45992</v>
      </c>
      <c r="J30" s="45" t="str">
        <f t="shared" si="9"/>
        <v>lun</v>
      </c>
      <c r="K30" s="46">
        <v>0.75</v>
      </c>
      <c r="L30" s="47" t="s">
        <v>8</v>
      </c>
      <c r="M30" s="47"/>
      <c r="N30" s="47"/>
      <c r="O30" s="47" t="str">
        <f t="shared" si="7"/>
        <v>✅ CUBIERTO</v>
      </c>
    </row>
    <row r="31" spans="1:15" x14ac:dyDescent="0.3">
      <c r="A31" s="60">
        <v>45962</v>
      </c>
      <c r="B31" s="45" t="str">
        <f t="shared" si="8"/>
        <v>sáb</v>
      </c>
      <c r="C31" s="46">
        <v>0.79166666666666696</v>
      </c>
      <c r="D31" s="47" t="s">
        <v>4</v>
      </c>
      <c r="E31" s="47"/>
      <c r="F31" s="47"/>
      <c r="G31" s="47" t="str">
        <f t="shared" si="6"/>
        <v>✅ CUBIERTO</v>
      </c>
      <c r="I31" s="60">
        <v>45992</v>
      </c>
      <c r="J31" s="45" t="str">
        <f t="shared" si="9"/>
        <v>lun</v>
      </c>
      <c r="K31" s="46">
        <v>0.79166666666666696</v>
      </c>
      <c r="L31" s="47" t="s">
        <v>8</v>
      </c>
      <c r="M31" s="47"/>
      <c r="N31" s="47"/>
      <c r="O31" s="47" t="str">
        <f t="shared" si="7"/>
        <v>✅ CUBIERTO</v>
      </c>
    </row>
    <row r="32" spans="1:15" x14ac:dyDescent="0.3">
      <c r="A32" s="60">
        <v>45962</v>
      </c>
      <c r="B32" s="45" t="str">
        <f t="shared" ref="B32" si="10">TEXT(A32,"ddd")</f>
        <v>sáb</v>
      </c>
      <c r="C32" s="46">
        <v>0.83333333333333337</v>
      </c>
      <c r="D32" s="47" t="s">
        <v>4</v>
      </c>
      <c r="E32" s="47"/>
      <c r="F32" s="47"/>
      <c r="G32" s="47" t="str">
        <f t="shared" ref="G32:G33" si="11">IF(COUNTIF(D32:F32,"?*")&gt;=$D$4, "✅ CUBIERTO",
 IF(COUNTIF(D32:F32,"?*")&gt;0, "⚠ FALTANTE",
 "❌ SIN COMPLETAR"))</f>
        <v>✅ CUBIERTO</v>
      </c>
      <c r="I32" s="60">
        <v>45992</v>
      </c>
      <c r="J32" s="45" t="str">
        <f t="shared" ref="J32" si="12">TEXT(I32,"ddd")</f>
        <v>lun</v>
      </c>
      <c r="K32" s="46">
        <v>0.83333333333333337</v>
      </c>
      <c r="L32" s="47" t="s">
        <v>8</v>
      </c>
      <c r="M32" s="47"/>
      <c r="N32" s="47"/>
      <c r="O32" s="47" t="str">
        <f t="shared" ref="O32:O33" si="13">IF(COUNTIF(L32:N32,"?*")&gt;=$L$4, "✅ CUBIERTO",
 IF(COUNTIF(L32:N32,"?*")&gt;0, "⚠ FALTANTE",
 "❌ SIN COMPLETAR"))</f>
        <v>✅ CUBIERTO</v>
      </c>
    </row>
    <row r="33" spans="1:15" x14ac:dyDescent="0.3">
      <c r="A33" s="60">
        <v>45963</v>
      </c>
      <c r="B33" s="45" t="str">
        <f>TEXT(A33,"ddd")</f>
        <v>dom</v>
      </c>
      <c r="C33" s="46">
        <v>0.41666666666666669</v>
      </c>
      <c r="D33" s="47" t="s">
        <v>8</v>
      </c>
      <c r="E33" s="47"/>
      <c r="F33" s="47"/>
      <c r="G33" s="47" t="str">
        <f t="shared" si="11"/>
        <v>✅ CUBIERTO</v>
      </c>
      <c r="I33" s="60">
        <v>45993</v>
      </c>
      <c r="J33" s="45" t="str">
        <f>TEXT(I33,"ddd")</f>
        <v>mar</v>
      </c>
      <c r="K33" s="46">
        <v>0.41666666666666669</v>
      </c>
      <c r="L33" s="47" t="s">
        <v>4</v>
      </c>
      <c r="M33" s="47"/>
      <c r="N33" s="47"/>
      <c r="O33" s="47" t="str">
        <f t="shared" si="13"/>
        <v>✅ CUBIERTO</v>
      </c>
    </row>
    <row r="34" spans="1:15" x14ac:dyDescent="0.3">
      <c r="A34" s="60">
        <v>45963</v>
      </c>
      <c r="B34" s="45" t="str">
        <f>TEXT(A34,"ddd")</f>
        <v>dom</v>
      </c>
      <c r="C34" s="46">
        <v>0.45833333333333331</v>
      </c>
      <c r="D34" s="47" t="s">
        <v>8</v>
      </c>
      <c r="E34" s="47"/>
      <c r="F34" s="47"/>
      <c r="G34" s="47" t="str">
        <f t="shared" si="6"/>
        <v>✅ CUBIERTO</v>
      </c>
      <c r="I34" s="60">
        <v>45993</v>
      </c>
      <c r="J34" s="45" t="str">
        <f>TEXT(I34,"ddd")</f>
        <v>mar</v>
      </c>
      <c r="K34" s="46">
        <v>0.45833333333333331</v>
      </c>
      <c r="L34" s="47" t="s">
        <v>4</v>
      </c>
      <c r="M34" s="47"/>
      <c r="N34" s="47"/>
      <c r="O34" s="47" t="str">
        <f t="shared" si="7"/>
        <v>✅ CUBIERTO</v>
      </c>
    </row>
    <row r="35" spans="1:15" x14ac:dyDescent="0.3">
      <c r="A35" s="60">
        <v>45963</v>
      </c>
      <c r="B35" s="45" t="str">
        <f t="shared" ref="B35:B42" si="14">TEXT(A35,"ddd")</f>
        <v>dom</v>
      </c>
      <c r="C35" s="46">
        <v>0.5</v>
      </c>
      <c r="D35" s="47" t="s">
        <v>8</v>
      </c>
      <c r="E35" s="47"/>
      <c r="F35" s="47"/>
      <c r="G35" s="47" t="str">
        <f t="shared" si="6"/>
        <v>✅ CUBIERTO</v>
      </c>
      <c r="I35" s="60">
        <v>45993</v>
      </c>
      <c r="J35" s="45" t="str">
        <f t="shared" ref="J35:J42" si="15">TEXT(I35,"ddd")</f>
        <v>mar</v>
      </c>
      <c r="K35" s="46">
        <v>0.5</v>
      </c>
      <c r="L35" s="47" t="s">
        <v>4</v>
      </c>
      <c r="M35" s="47"/>
      <c r="N35" s="47"/>
      <c r="O35" s="47" t="str">
        <f t="shared" si="7"/>
        <v>✅ CUBIERTO</v>
      </c>
    </row>
    <row r="36" spans="1:15" x14ac:dyDescent="0.3">
      <c r="A36" s="60">
        <v>45963</v>
      </c>
      <c r="B36" s="45" t="str">
        <f t="shared" si="14"/>
        <v>dom</v>
      </c>
      <c r="C36" s="46">
        <v>0.54166666666666696</v>
      </c>
      <c r="D36" s="47" t="s">
        <v>8</v>
      </c>
      <c r="E36" s="47"/>
      <c r="F36" s="47"/>
      <c r="G36" s="47" t="str">
        <f t="shared" si="6"/>
        <v>✅ CUBIERTO</v>
      </c>
      <c r="I36" s="60">
        <v>45993</v>
      </c>
      <c r="J36" s="45" t="str">
        <f t="shared" si="15"/>
        <v>mar</v>
      </c>
      <c r="K36" s="46">
        <v>0.54166666666666696</v>
      </c>
      <c r="L36" s="47" t="s">
        <v>4</v>
      </c>
      <c r="M36" s="47"/>
      <c r="N36" s="47"/>
      <c r="O36" s="47" t="str">
        <f t="shared" si="7"/>
        <v>✅ CUBIERTO</v>
      </c>
    </row>
    <row r="37" spans="1:15" x14ac:dyDescent="0.3">
      <c r="A37" s="60">
        <v>45963</v>
      </c>
      <c r="B37" s="45" t="str">
        <f t="shared" si="14"/>
        <v>dom</v>
      </c>
      <c r="C37" s="46">
        <v>0.58333333333333304</v>
      </c>
      <c r="D37" s="47" t="s">
        <v>8</v>
      </c>
      <c r="E37" s="47"/>
      <c r="F37" s="47"/>
      <c r="G37" s="47" t="str">
        <f t="shared" si="6"/>
        <v>✅ CUBIERTO</v>
      </c>
      <c r="I37" s="60">
        <v>45993</v>
      </c>
      <c r="J37" s="45" t="str">
        <f t="shared" si="15"/>
        <v>mar</v>
      </c>
      <c r="K37" s="46">
        <v>0.58333333333333304</v>
      </c>
      <c r="L37" s="47" t="s">
        <v>4</v>
      </c>
      <c r="M37" s="47"/>
      <c r="N37" s="47"/>
      <c r="O37" s="47" t="str">
        <f t="shared" si="7"/>
        <v>✅ CUBIERTO</v>
      </c>
    </row>
    <row r="38" spans="1:15" x14ac:dyDescent="0.3">
      <c r="A38" s="60">
        <v>45963</v>
      </c>
      <c r="B38" s="45" t="str">
        <f t="shared" si="14"/>
        <v>dom</v>
      </c>
      <c r="C38" s="46">
        <v>0.625</v>
      </c>
      <c r="D38" s="47" t="s">
        <v>8</v>
      </c>
      <c r="E38" s="47"/>
      <c r="F38" s="47"/>
      <c r="G38" s="47" t="str">
        <f t="shared" si="6"/>
        <v>✅ CUBIERTO</v>
      </c>
      <c r="I38" s="60">
        <v>45993</v>
      </c>
      <c r="J38" s="45" t="str">
        <f t="shared" si="15"/>
        <v>mar</v>
      </c>
      <c r="K38" s="46">
        <v>0.625</v>
      </c>
      <c r="L38" s="47" t="s">
        <v>4</v>
      </c>
      <c r="M38" s="47"/>
      <c r="N38" s="47"/>
      <c r="O38" s="47" t="str">
        <f t="shared" si="7"/>
        <v>✅ CUBIERTO</v>
      </c>
    </row>
    <row r="39" spans="1:15" x14ac:dyDescent="0.3">
      <c r="A39" s="60">
        <v>45963</v>
      </c>
      <c r="B39" s="45" t="str">
        <f t="shared" si="14"/>
        <v>dom</v>
      </c>
      <c r="C39" s="46">
        <v>0.66666666666666696</v>
      </c>
      <c r="D39" s="47" t="s">
        <v>8</v>
      </c>
      <c r="E39" s="47"/>
      <c r="F39" s="47"/>
      <c r="G39" s="47" t="str">
        <f t="shared" si="6"/>
        <v>✅ CUBIERTO</v>
      </c>
      <c r="I39" s="60">
        <v>45993</v>
      </c>
      <c r="J39" s="45" t="str">
        <f t="shared" si="15"/>
        <v>mar</v>
      </c>
      <c r="K39" s="46">
        <v>0.66666666666666696</v>
      </c>
      <c r="L39" s="47" t="s">
        <v>4</v>
      </c>
      <c r="M39" s="47"/>
      <c r="N39" s="47"/>
      <c r="O39" s="47" t="str">
        <f t="shared" si="7"/>
        <v>✅ CUBIERTO</v>
      </c>
    </row>
    <row r="40" spans="1:15" x14ac:dyDescent="0.3">
      <c r="A40" s="60">
        <v>45963</v>
      </c>
      <c r="B40" s="45" t="str">
        <f t="shared" si="14"/>
        <v>dom</v>
      </c>
      <c r="C40" s="46">
        <v>0.70833333333333304</v>
      </c>
      <c r="D40" s="47" t="s">
        <v>8</v>
      </c>
      <c r="E40" s="47"/>
      <c r="F40" s="47"/>
      <c r="G40" s="47" t="str">
        <f t="shared" si="6"/>
        <v>✅ CUBIERTO</v>
      </c>
      <c r="I40" s="60">
        <v>45993</v>
      </c>
      <c r="J40" s="45" t="str">
        <f t="shared" si="15"/>
        <v>mar</v>
      </c>
      <c r="K40" s="46">
        <v>0.70833333333333304</v>
      </c>
      <c r="L40" s="47" t="s">
        <v>4</v>
      </c>
      <c r="M40" s="47"/>
      <c r="N40" s="47"/>
      <c r="O40" s="47" t="str">
        <f t="shared" si="7"/>
        <v>✅ CUBIERTO</v>
      </c>
    </row>
    <row r="41" spans="1:15" x14ac:dyDescent="0.3">
      <c r="A41" s="60">
        <v>45963</v>
      </c>
      <c r="B41" s="45" t="str">
        <f t="shared" si="14"/>
        <v>dom</v>
      </c>
      <c r="C41" s="46">
        <v>0.75</v>
      </c>
      <c r="D41" s="47" t="s">
        <v>8</v>
      </c>
      <c r="E41" s="47"/>
      <c r="F41" s="47"/>
      <c r="G41" s="47" t="str">
        <f t="shared" si="6"/>
        <v>✅ CUBIERTO</v>
      </c>
      <c r="I41" s="60">
        <v>45993</v>
      </c>
      <c r="J41" s="45" t="str">
        <f t="shared" si="15"/>
        <v>mar</v>
      </c>
      <c r="K41" s="46">
        <v>0.75</v>
      </c>
      <c r="L41" s="47" t="s">
        <v>4</v>
      </c>
      <c r="M41" s="47"/>
      <c r="N41" s="47"/>
      <c r="O41" s="47" t="str">
        <f t="shared" si="7"/>
        <v>✅ CUBIERTO</v>
      </c>
    </row>
    <row r="42" spans="1:15" x14ac:dyDescent="0.3">
      <c r="A42" s="60">
        <v>45963</v>
      </c>
      <c r="B42" s="45" t="str">
        <f t="shared" si="14"/>
        <v>dom</v>
      </c>
      <c r="C42" s="46">
        <v>0.79166666666666696</v>
      </c>
      <c r="D42" s="47" t="s">
        <v>8</v>
      </c>
      <c r="E42" s="47"/>
      <c r="F42" s="47"/>
      <c r="G42" s="47" t="str">
        <f t="shared" si="6"/>
        <v>✅ CUBIERTO</v>
      </c>
      <c r="I42" s="60">
        <v>45993</v>
      </c>
      <c r="J42" s="45" t="str">
        <f t="shared" si="15"/>
        <v>mar</v>
      </c>
      <c r="K42" s="46">
        <v>0.79166666666666696</v>
      </c>
      <c r="L42" s="47" t="s">
        <v>4</v>
      </c>
      <c r="M42" s="47"/>
      <c r="N42" s="47"/>
      <c r="O42" s="47" t="str">
        <f t="shared" si="7"/>
        <v>✅ CUBIERTO</v>
      </c>
    </row>
    <row r="43" spans="1:15" x14ac:dyDescent="0.3">
      <c r="A43" s="60">
        <v>45963</v>
      </c>
      <c r="B43" s="45" t="str">
        <f t="shared" ref="B43" si="16">TEXT(A43,"ddd")</f>
        <v>dom</v>
      </c>
      <c r="C43" s="46">
        <v>0.83333333333333337</v>
      </c>
      <c r="D43" s="47" t="s">
        <v>8</v>
      </c>
      <c r="E43" s="47"/>
      <c r="F43" s="47"/>
      <c r="G43" s="47" t="str">
        <f t="shared" ref="G43:G44" si="17">IF(COUNTIF(D43:F43,"?*")&gt;=$D$4, "✅ CUBIERTO",
 IF(COUNTIF(D43:F43,"?*")&gt;0, "⚠ FALTANTE",
 "❌ SIN COMPLETAR"))</f>
        <v>✅ CUBIERTO</v>
      </c>
      <c r="I43" s="60">
        <v>45993</v>
      </c>
      <c r="J43" s="45" t="str">
        <f t="shared" ref="J43" si="18">TEXT(I43,"ddd")</f>
        <v>mar</v>
      </c>
      <c r="K43" s="46">
        <v>0.83333333333333337</v>
      </c>
      <c r="L43" s="47" t="s">
        <v>4</v>
      </c>
      <c r="M43" s="47"/>
      <c r="N43" s="47"/>
      <c r="O43" s="47" t="str">
        <f t="shared" ref="O43:O44" si="19">IF(COUNTIF(L43:N43,"?*")&gt;=$L$4, "✅ CUBIERTO",
 IF(COUNTIF(L43:N43,"?*")&gt;0, "⚠ FALTANTE",
 "❌ SIN COMPLETAR"))</f>
        <v>✅ CUBIERTO</v>
      </c>
    </row>
    <row r="44" spans="1:15" x14ac:dyDescent="0.3">
      <c r="A44" s="60">
        <v>45964</v>
      </c>
      <c r="B44" s="45" t="str">
        <f>TEXT(A44,"ddd")</f>
        <v>lun</v>
      </c>
      <c r="C44" s="46">
        <v>0.41666666666666669</v>
      </c>
      <c r="D44" s="47" t="s">
        <v>8</v>
      </c>
      <c r="E44" s="47"/>
      <c r="F44" s="47"/>
      <c r="G44" s="47" t="str">
        <f t="shared" si="17"/>
        <v>✅ CUBIERTO</v>
      </c>
      <c r="I44" s="60">
        <v>45994</v>
      </c>
      <c r="J44" s="45" t="str">
        <f>TEXT(I44,"ddd")</f>
        <v>mié</v>
      </c>
      <c r="K44" s="46">
        <v>0.41666666666666669</v>
      </c>
      <c r="L44" s="47" t="s">
        <v>3</v>
      </c>
      <c r="M44" s="47"/>
      <c r="N44" s="47"/>
      <c r="O44" s="47" t="str">
        <f t="shared" si="19"/>
        <v>✅ CUBIERTO</v>
      </c>
    </row>
    <row r="45" spans="1:15" x14ac:dyDescent="0.3">
      <c r="A45" s="60">
        <v>45964</v>
      </c>
      <c r="B45" s="45" t="str">
        <f>TEXT(A45,"ddd")</f>
        <v>lun</v>
      </c>
      <c r="C45" s="46">
        <v>0.45833333333333331</v>
      </c>
      <c r="D45" s="47" t="s">
        <v>8</v>
      </c>
      <c r="E45" s="47"/>
      <c r="F45" s="47"/>
      <c r="G45" s="47" t="str">
        <f t="shared" si="6"/>
        <v>✅ CUBIERTO</v>
      </c>
      <c r="I45" s="60">
        <v>45994</v>
      </c>
      <c r="J45" s="45" t="str">
        <f>TEXT(I45,"ddd")</f>
        <v>mié</v>
      </c>
      <c r="K45" s="46">
        <v>0.45833333333333331</v>
      </c>
      <c r="L45" s="47" t="s">
        <v>3</v>
      </c>
      <c r="M45" s="47"/>
      <c r="N45" s="47"/>
      <c r="O45" s="47" t="str">
        <f t="shared" si="7"/>
        <v>✅ CUBIERTO</v>
      </c>
    </row>
    <row r="46" spans="1:15" x14ac:dyDescent="0.3">
      <c r="A46" s="60">
        <v>45964</v>
      </c>
      <c r="B46" s="45" t="str">
        <f t="shared" ref="B46:B53" si="20">TEXT(A46,"ddd")</f>
        <v>lun</v>
      </c>
      <c r="C46" s="46">
        <v>0.5</v>
      </c>
      <c r="D46" s="47" t="s">
        <v>8</v>
      </c>
      <c r="E46" s="47"/>
      <c r="F46" s="47"/>
      <c r="G46" s="47" t="str">
        <f t="shared" si="6"/>
        <v>✅ CUBIERTO</v>
      </c>
      <c r="I46" s="60">
        <v>45994</v>
      </c>
      <c r="J46" s="45" t="str">
        <f t="shared" ref="J46:J53" si="21">TEXT(I46,"ddd")</f>
        <v>mié</v>
      </c>
      <c r="K46" s="46">
        <v>0.5</v>
      </c>
      <c r="L46" s="47" t="s">
        <v>3</v>
      </c>
      <c r="M46" s="47"/>
      <c r="N46" s="47"/>
      <c r="O46" s="47" t="str">
        <f t="shared" si="7"/>
        <v>✅ CUBIERTO</v>
      </c>
    </row>
    <row r="47" spans="1:15" x14ac:dyDescent="0.3">
      <c r="A47" s="60">
        <v>45964</v>
      </c>
      <c r="B47" s="45" t="str">
        <f t="shared" si="20"/>
        <v>lun</v>
      </c>
      <c r="C47" s="46">
        <v>0.54166666666666696</v>
      </c>
      <c r="D47" s="47" t="s">
        <v>8</v>
      </c>
      <c r="E47" s="47"/>
      <c r="F47" s="47"/>
      <c r="G47" s="47" t="str">
        <f t="shared" si="6"/>
        <v>✅ CUBIERTO</v>
      </c>
      <c r="I47" s="60">
        <v>45994</v>
      </c>
      <c r="J47" s="45" t="str">
        <f t="shared" si="21"/>
        <v>mié</v>
      </c>
      <c r="K47" s="46">
        <v>0.54166666666666696</v>
      </c>
      <c r="L47" s="47" t="s">
        <v>3</v>
      </c>
      <c r="M47" s="47"/>
      <c r="N47" s="47"/>
      <c r="O47" s="47" t="str">
        <f t="shared" si="7"/>
        <v>✅ CUBIERTO</v>
      </c>
    </row>
    <row r="48" spans="1:15" x14ac:dyDescent="0.3">
      <c r="A48" s="60">
        <v>45964</v>
      </c>
      <c r="B48" s="45" t="str">
        <f t="shared" si="20"/>
        <v>lun</v>
      </c>
      <c r="C48" s="46">
        <v>0.58333333333333304</v>
      </c>
      <c r="D48" s="47" t="s">
        <v>8</v>
      </c>
      <c r="E48" s="47"/>
      <c r="F48" s="47"/>
      <c r="G48" s="47" t="str">
        <f t="shared" si="6"/>
        <v>✅ CUBIERTO</v>
      </c>
      <c r="I48" s="60">
        <v>45994</v>
      </c>
      <c r="J48" s="45" t="str">
        <f t="shared" si="21"/>
        <v>mié</v>
      </c>
      <c r="K48" s="46">
        <v>0.58333333333333304</v>
      </c>
      <c r="L48" s="47" t="s">
        <v>3</v>
      </c>
      <c r="M48" s="47"/>
      <c r="N48" s="47"/>
      <c r="O48" s="47" t="str">
        <f t="shared" si="7"/>
        <v>✅ CUBIERTO</v>
      </c>
    </row>
    <row r="49" spans="1:15" x14ac:dyDescent="0.3">
      <c r="A49" s="60">
        <v>45964</v>
      </c>
      <c r="B49" s="45" t="str">
        <f t="shared" si="20"/>
        <v>lun</v>
      </c>
      <c r="C49" s="46">
        <v>0.625</v>
      </c>
      <c r="D49" s="47" t="s">
        <v>8</v>
      </c>
      <c r="E49" s="47"/>
      <c r="F49" s="47"/>
      <c r="G49" s="47" t="str">
        <f t="shared" si="6"/>
        <v>✅ CUBIERTO</v>
      </c>
      <c r="I49" s="60">
        <v>45994</v>
      </c>
      <c r="J49" s="45" t="str">
        <f t="shared" si="21"/>
        <v>mié</v>
      </c>
      <c r="K49" s="46">
        <v>0.625</v>
      </c>
      <c r="L49" s="47" t="s">
        <v>3</v>
      </c>
      <c r="M49" s="47"/>
      <c r="N49" s="47"/>
      <c r="O49" s="47" t="str">
        <f t="shared" si="7"/>
        <v>✅ CUBIERTO</v>
      </c>
    </row>
    <row r="50" spans="1:15" x14ac:dyDescent="0.3">
      <c r="A50" s="60">
        <v>45964</v>
      </c>
      <c r="B50" s="45" t="str">
        <f t="shared" si="20"/>
        <v>lun</v>
      </c>
      <c r="C50" s="46">
        <v>0.66666666666666696</v>
      </c>
      <c r="D50" s="47" t="s">
        <v>8</v>
      </c>
      <c r="E50" s="47"/>
      <c r="F50" s="47"/>
      <c r="G50" s="47" t="str">
        <f t="shared" si="6"/>
        <v>✅ CUBIERTO</v>
      </c>
      <c r="I50" s="60">
        <v>45994</v>
      </c>
      <c r="J50" s="45" t="str">
        <f t="shared" si="21"/>
        <v>mié</v>
      </c>
      <c r="K50" s="46">
        <v>0.66666666666666696</v>
      </c>
      <c r="L50" s="47" t="s">
        <v>3</v>
      </c>
      <c r="M50" s="47"/>
      <c r="N50" s="47"/>
      <c r="O50" s="47" t="str">
        <f t="shared" si="7"/>
        <v>✅ CUBIERTO</v>
      </c>
    </row>
    <row r="51" spans="1:15" x14ac:dyDescent="0.3">
      <c r="A51" s="60">
        <v>45964</v>
      </c>
      <c r="B51" s="45" t="str">
        <f t="shared" si="20"/>
        <v>lun</v>
      </c>
      <c r="C51" s="46">
        <v>0.70833333333333304</v>
      </c>
      <c r="D51" s="47" t="s">
        <v>8</v>
      </c>
      <c r="E51" s="47"/>
      <c r="F51" s="47"/>
      <c r="G51" s="47" t="str">
        <f t="shared" si="6"/>
        <v>✅ CUBIERTO</v>
      </c>
      <c r="I51" s="60">
        <v>45994</v>
      </c>
      <c r="J51" s="45" t="str">
        <f t="shared" si="21"/>
        <v>mié</v>
      </c>
      <c r="K51" s="46">
        <v>0.70833333333333304</v>
      </c>
      <c r="L51" s="47" t="s">
        <v>3</v>
      </c>
      <c r="M51" s="47"/>
      <c r="N51" s="47"/>
      <c r="O51" s="47" t="str">
        <f t="shared" si="7"/>
        <v>✅ CUBIERTO</v>
      </c>
    </row>
    <row r="52" spans="1:15" x14ac:dyDescent="0.3">
      <c r="A52" s="60">
        <v>45964</v>
      </c>
      <c r="B52" s="45" t="str">
        <f t="shared" si="20"/>
        <v>lun</v>
      </c>
      <c r="C52" s="46">
        <v>0.75</v>
      </c>
      <c r="D52" s="47" t="s">
        <v>8</v>
      </c>
      <c r="E52" s="47"/>
      <c r="F52" s="47"/>
      <c r="G52" s="47" t="str">
        <f t="shared" si="6"/>
        <v>✅ CUBIERTO</v>
      </c>
      <c r="I52" s="60">
        <v>45994</v>
      </c>
      <c r="J52" s="45" t="str">
        <f t="shared" si="21"/>
        <v>mié</v>
      </c>
      <c r="K52" s="46">
        <v>0.75</v>
      </c>
      <c r="L52" s="47" t="s">
        <v>3</v>
      </c>
      <c r="M52" s="47"/>
      <c r="N52" s="47"/>
      <c r="O52" s="47" t="str">
        <f t="shared" si="7"/>
        <v>✅ CUBIERTO</v>
      </c>
    </row>
    <row r="53" spans="1:15" x14ac:dyDescent="0.3">
      <c r="A53" s="60">
        <v>45964</v>
      </c>
      <c r="B53" s="45" t="str">
        <f t="shared" si="20"/>
        <v>lun</v>
      </c>
      <c r="C53" s="46">
        <v>0.79166666666666696</v>
      </c>
      <c r="D53" s="47" t="s">
        <v>8</v>
      </c>
      <c r="E53" s="47"/>
      <c r="F53" s="47"/>
      <c r="G53" s="47" t="str">
        <f t="shared" si="6"/>
        <v>✅ CUBIERTO</v>
      </c>
      <c r="I53" s="60">
        <v>45994</v>
      </c>
      <c r="J53" s="45" t="str">
        <f t="shared" si="21"/>
        <v>mié</v>
      </c>
      <c r="K53" s="46">
        <v>0.79166666666666696</v>
      </c>
      <c r="L53" s="47" t="s">
        <v>3</v>
      </c>
      <c r="M53" s="47"/>
      <c r="N53" s="47"/>
      <c r="O53" s="47" t="str">
        <f t="shared" si="7"/>
        <v>✅ CUBIERTO</v>
      </c>
    </row>
    <row r="54" spans="1:15" x14ac:dyDescent="0.3">
      <c r="A54" s="60">
        <v>45964</v>
      </c>
      <c r="B54" s="45" t="str">
        <f t="shared" ref="B54" si="22">TEXT(A54,"ddd")</f>
        <v>lun</v>
      </c>
      <c r="C54" s="46">
        <v>0.83333333333333337</v>
      </c>
      <c r="D54" s="47" t="s">
        <v>8</v>
      </c>
      <c r="E54" s="47"/>
      <c r="F54" s="47"/>
      <c r="G54" s="47" t="str">
        <f t="shared" ref="G54:G55" si="23">IF(COUNTIF(D54:F54,"?*")&gt;=$D$4, "✅ CUBIERTO",
 IF(COUNTIF(D54:F54,"?*")&gt;0, "⚠ FALTANTE",
 "❌ SIN COMPLETAR"))</f>
        <v>✅ CUBIERTO</v>
      </c>
      <c r="I54" s="60">
        <v>45994</v>
      </c>
      <c r="J54" s="45" t="str">
        <f t="shared" ref="J54" si="24">TEXT(I54,"ddd")</f>
        <v>mié</v>
      </c>
      <c r="K54" s="46">
        <v>0.83333333333333337</v>
      </c>
      <c r="L54" s="47" t="s">
        <v>3</v>
      </c>
      <c r="M54" s="47"/>
      <c r="N54" s="47"/>
      <c r="O54" s="47" t="str">
        <f t="shared" ref="O54:O55" si="25">IF(COUNTIF(L54:N54,"?*")&gt;=$L$4, "✅ CUBIERTO",
 IF(COUNTIF(L54:N54,"?*")&gt;0, "⚠ FALTANTE",
 "❌ SIN COMPLETAR"))</f>
        <v>✅ CUBIERTO</v>
      </c>
    </row>
    <row r="55" spans="1:15" x14ac:dyDescent="0.3">
      <c r="A55" s="60">
        <v>45965</v>
      </c>
      <c r="B55" s="45" t="str">
        <f>TEXT(A55,"ddd")</f>
        <v>mar</v>
      </c>
      <c r="C55" s="46">
        <v>0.41666666666666669</v>
      </c>
      <c r="D55" s="47" t="s">
        <v>8</v>
      </c>
      <c r="E55" s="47"/>
      <c r="F55" s="47"/>
      <c r="G55" s="47" t="str">
        <f t="shared" si="23"/>
        <v>✅ CUBIERTO</v>
      </c>
      <c r="I55" s="60">
        <v>45995</v>
      </c>
      <c r="J55" s="45" t="str">
        <f>TEXT(I55,"ddd")</f>
        <v>jue</v>
      </c>
      <c r="K55" s="46">
        <v>0.41666666666666669</v>
      </c>
      <c r="L55" s="47" t="s">
        <v>4</v>
      </c>
      <c r="M55" s="47"/>
      <c r="N55" s="47"/>
      <c r="O55" s="47" t="str">
        <f t="shared" si="25"/>
        <v>✅ CUBIERTO</v>
      </c>
    </row>
    <row r="56" spans="1:15" x14ac:dyDescent="0.3">
      <c r="A56" s="60">
        <v>45965</v>
      </c>
      <c r="B56" s="45" t="str">
        <f>TEXT(A56,"ddd")</f>
        <v>mar</v>
      </c>
      <c r="C56" s="46">
        <v>0.45833333333333331</v>
      </c>
      <c r="D56" s="47" t="s">
        <v>8</v>
      </c>
      <c r="E56" s="47"/>
      <c r="F56" s="47"/>
      <c r="G56" s="47" t="str">
        <f t="shared" si="6"/>
        <v>✅ CUBIERTO</v>
      </c>
      <c r="I56" s="60">
        <v>45995</v>
      </c>
      <c r="J56" s="45" t="str">
        <f>TEXT(I56,"ddd")</f>
        <v>jue</v>
      </c>
      <c r="K56" s="46">
        <v>0.45833333333333331</v>
      </c>
      <c r="L56" s="47" t="s">
        <v>4</v>
      </c>
      <c r="M56" s="47"/>
      <c r="N56" s="47"/>
      <c r="O56" s="47" t="str">
        <f t="shared" si="7"/>
        <v>✅ CUBIERTO</v>
      </c>
    </row>
    <row r="57" spans="1:15" x14ac:dyDescent="0.3">
      <c r="A57" s="60">
        <v>45965</v>
      </c>
      <c r="B57" s="45" t="str">
        <f t="shared" ref="B57:B64" si="26">TEXT(A57,"ddd")</f>
        <v>mar</v>
      </c>
      <c r="C57" s="46">
        <v>0.5</v>
      </c>
      <c r="D57" s="47" t="s">
        <v>8</v>
      </c>
      <c r="E57" s="47"/>
      <c r="F57" s="47"/>
      <c r="G57" s="47" t="str">
        <f t="shared" si="6"/>
        <v>✅ CUBIERTO</v>
      </c>
      <c r="I57" s="60">
        <v>45995</v>
      </c>
      <c r="J57" s="45" t="str">
        <f t="shared" ref="J57:J64" si="27">TEXT(I57,"ddd")</f>
        <v>jue</v>
      </c>
      <c r="K57" s="46">
        <v>0.5</v>
      </c>
      <c r="L57" s="47" t="s">
        <v>4</v>
      </c>
      <c r="M57" s="47"/>
      <c r="N57" s="47"/>
      <c r="O57" s="47" t="str">
        <f t="shared" si="7"/>
        <v>✅ CUBIERTO</v>
      </c>
    </row>
    <row r="58" spans="1:15" x14ac:dyDescent="0.3">
      <c r="A58" s="60">
        <v>45965</v>
      </c>
      <c r="B58" s="45" t="str">
        <f t="shared" si="26"/>
        <v>mar</v>
      </c>
      <c r="C58" s="46">
        <v>0.54166666666666696</v>
      </c>
      <c r="D58" s="47" t="s">
        <v>8</v>
      </c>
      <c r="E58" s="47"/>
      <c r="F58" s="47"/>
      <c r="G58" s="47" t="str">
        <f t="shared" si="6"/>
        <v>✅ CUBIERTO</v>
      </c>
      <c r="I58" s="60">
        <v>45995</v>
      </c>
      <c r="J58" s="45" t="str">
        <f t="shared" si="27"/>
        <v>jue</v>
      </c>
      <c r="K58" s="46">
        <v>0.54166666666666696</v>
      </c>
      <c r="L58" s="47" t="s">
        <v>4</v>
      </c>
      <c r="M58" s="47"/>
      <c r="N58" s="47"/>
      <c r="O58" s="47" t="str">
        <f t="shared" si="7"/>
        <v>✅ CUBIERTO</v>
      </c>
    </row>
    <row r="59" spans="1:15" x14ac:dyDescent="0.3">
      <c r="A59" s="60">
        <v>45965</v>
      </c>
      <c r="B59" s="45" t="str">
        <f t="shared" si="26"/>
        <v>mar</v>
      </c>
      <c r="C59" s="46">
        <v>0.58333333333333304</v>
      </c>
      <c r="D59" s="47" t="s">
        <v>8</v>
      </c>
      <c r="E59" s="47"/>
      <c r="F59" s="47"/>
      <c r="G59" s="47" t="str">
        <f t="shared" si="6"/>
        <v>✅ CUBIERTO</v>
      </c>
      <c r="I59" s="60">
        <v>45995</v>
      </c>
      <c r="J59" s="45" t="str">
        <f t="shared" si="27"/>
        <v>jue</v>
      </c>
      <c r="K59" s="46">
        <v>0.58333333333333304</v>
      </c>
      <c r="L59" s="47" t="s">
        <v>4</v>
      </c>
      <c r="M59" s="47"/>
      <c r="N59" s="47"/>
      <c r="O59" s="47" t="str">
        <f t="shared" si="7"/>
        <v>✅ CUBIERTO</v>
      </c>
    </row>
    <row r="60" spans="1:15" x14ac:dyDescent="0.3">
      <c r="A60" s="60">
        <v>45965</v>
      </c>
      <c r="B60" s="45" t="str">
        <f t="shared" si="26"/>
        <v>mar</v>
      </c>
      <c r="C60" s="46">
        <v>0.625</v>
      </c>
      <c r="D60" s="47" t="s">
        <v>8</v>
      </c>
      <c r="E60" s="47"/>
      <c r="F60" s="47"/>
      <c r="G60" s="47" t="str">
        <f t="shared" si="6"/>
        <v>✅ CUBIERTO</v>
      </c>
      <c r="I60" s="60">
        <v>45995</v>
      </c>
      <c r="J60" s="45" t="str">
        <f t="shared" si="27"/>
        <v>jue</v>
      </c>
      <c r="K60" s="46">
        <v>0.625</v>
      </c>
      <c r="L60" s="47" t="s">
        <v>4</v>
      </c>
      <c r="M60" s="47"/>
      <c r="N60" s="47"/>
      <c r="O60" s="47" t="str">
        <f t="shared" si="7"/>
        <v>✅ CUBIERTO</v>
      </c>
    </row>
    <row r="61" spans="1:15" x14ac:dyDescent="0.3">
      <c r="A61" s="60">
        <v>45965</v>
      </c>
      <c r="B61" s="45" t="str">
        <f t="shared" si="26"/>
        <v>mar</v>
      </c>
      <c r="C61" s="46">
        <v>0.66666666666666696</v>
      </c>
      <c r="D61" s="47" t="s">
        <v>8</v>
      </c>
      <c r="E61" s="47"/>
      <c r="F61" s="47"/>
      <c r="G61" s="47" t="str">
        <f t="shared" si="6"/>
        <v>✅ CUBIERTO</v>
      </c>
      <c r="I61" s="60">
        <v>45995</v>
      </c>
      <c r="J61" s="45" t="str">
        <f t="shared" si="27"/>
        <v>jue</v>
      </c>
      <c r="K61" s="46">
        <v>0.66666666666666696</v>
      </c>
      <c r="L61" s="47" t="s">
        <v>4</v>
      </c>
      <c r="M61" s="47"/>
      <c r="N61" s="47"/>
      <c r="O61" s="47" t="str">
        <f t="shared" si="7"/>
        <v>✅ CUBIERTO</v>
      </c>
    </row>
    <row r="62" spans="1:15" x14ac:dyDescent="0.3">
      <c r="A62" s="60">
        <v>45965</v>
      </c>
      <c r="B62" s="45" t="str">
        <f t="shared" si="26"/>
        <v>mar</v>
      </c>
      <c r="C62" s="46">
        <v>0.70833333333333304</v>
      </c>
      <c r="D62" s="47" t="s">
        <v>8</v>
      </c>
      <c r="E62" s="47"/>
      <c r="F62" s="47"/>
      <c r="G62" s="47" t="str">
        <f t="shared" si="6"/>
        <v>✅ CUBIERTO</v>
      </c>
      <c r="I62" s="60">
        <v>45995</v>
      </c>
      <c r="J62" s="45" t="str">
        <f t="shared" si="27"/>
        <v>jue</v>
      </c>
      <c r="K62" s="46">
        <v>0.70833333333333304</v>
      </c>
      <c r="L62" s="47" t="s">
        <v>4</v>
      </c>
      <c r="M62" s="47"/>
      <c r="N62" s="47"/>
      <c r="O62" s="47" t="str">
        <f t="shared" si="7"/>
        <v>✅ CUBIERTO</v>
      </c>
    </row>
    <row r="63" spans="1:15" x14ac:dyDescent="0.3">
      <c r="A63" s="60">
        <v>45965</v>
      </c>
      <c r="B63" s="45" t="str">
        <f t="shared" si="26"/>
        <v>mar</v>
      </c>
      <c r="C63" s="46">
        <v>0.75</v>
      </c>
      <c r="D63" s="47" t="s">
        <v>8</v>
      </c>
      <c r="E63" s="47"/>
      <c r="F63" s="47"/>
      <c r="G63" s="47" t="str">
        <f t="shared" si="6"/>
        <v>✅ CUBIERTO</v>
      </c>
      <c r="I63" s="60">
        <v>45995</v>
      </c>
      <c r="J63" s="45" t="str">
        <f t="shared" si="27"/>
        <v>jue</v>
      </c>
      <c r="K63" s="46">
        <v>0.75</v>
      </c>
      <c r="L63" s="47" t="s">
        <v>4</v>
      </c>
      <c r="M63" s="47"/>
      <c r="N63" s="47"/>
      <c r="O63" s="47" t="str">
        <f t="shared" si="7"/>
        <v>✅ CUBIERTO</v>
      </c>
    </row>
    <row r="64" spans="1:15" x14ac:dyDescent="0.3">
      <c r="A64" s="60">
        <v>45965</v>
      </c>
      <c r="B64" s="45" t="str">
        <f t="shared" si="26"/>
        <v>mar</v>
      </c>
      <c r="C64" s="46">
        <v>0.79166666666666696</v>
      </c>
      <c r="D64" s="47" t="s">
        <v>8</v>
      </c>
      <c r="E64" s="47"/>
      <c r="F64" s="47"/>
      <c r="G64" s="47" t="str">
        <f t="shared" si="6"/>
        <v>✅ CUBIERTO</v>
      </c>
      <c r="I64" s="60">
        <v>45995</v>
      </c>
      <c r="J64" s="45" t="str">
        <f t="shared" si="27"/>
        <v>jue</v>
      </c>
      <c r="K64" s="46">
        <v>0.79166666666666696</v>
      </c>
      <c r="L64" s="47" t="s">
        <v>4</v>
      </c>
      <c r="M64" s="47"/>
      <c r="N64" s="47"/>
      <c r="O64" s="47" t="str">
        <f t="shared" si="7"/>
        <v>✅ CUBIERTO</v>
      </c>
    </row>
    <row r="65" spans="1:15" x14ac:dyDescent="0.3">
      <c r="A65" s="60">
        <v>45965</v>
      </c>
      <c r="B65" s="45" t="str">
        <f t="shared" ref="B65" si="28">TEXT(A65,"ddd")</f>
        <v>mar</v>
      </c>
      <c r="C65" s="46">
        <v>0.83333333333333337</v>
      </c>
      <c r="D65" s="47" t="s">
        <v>8</v>
      </c>
      <c r="E65" s="47"/>
      <c r="F65" s="47"/>
      <c r="G65" s="47" t="str">
        <f t="shared" ref="G65:G66" si="29">IF(COUNTIF(D65:F65,"?*")&gt;=$D$4, "✅ CUBIERTO",
 IF(COUNTIF(D65:F65,"?*")&gt;0, "⚠ FALTANTE",
 "❌ SIN COMPLETAR"))</f>
        <v>✅ CUBIERTO</v>
      </c>
      <c r="I65" s="60">
        <v>45995</v>
      </c>
      <c r="J65" s="45" t="str">
        <f t="shared" ref="J65" si="30">TEXT(I65,"ddd")</f>
        <v>jue</v>
      </c>
      <c r="K65" s="46">
        <v>0.83333333333333337</v>
      </c>
      <c r="L65" s="47" t="s">
        <v>4</v>
      </c>
      <c r="M65" s="47"/>
      <c r="N65" s="47"/>
      <c r="O65" s="47" t="str">
        <f t="shared" ref="O65:O66" si="31">IF(COUNTIF(L65:N65,"?*")&gt;=$L$4, "✅ CUBIERTO",
 IF(COUNTIF(L65:N65,"?*")&gt;0, "⚠ FALTANTE",
 "❌ SIN COMPLETAR"))</f>
        <v>✅ CUBIERTO</v>
      </c>
    </row>
    <row r="66" spans="1:15" ht="13.8" customHeight="1" x14ac:dyDescent="0.3">
      <c r="A66" s="60">
        <v>45966</v>
      </c>
      <c r="B66" s="45" t="str">
        <f>TEXT(A66,"ddd")</f>
        <v>mié</v>
      </c>
      <c r="C66" s="46">
        <v>0.41666666666666669</v>
      </c>
      <c r="D66" s="47" t="s">
        <v>8</v>
      </c>
      <c r="E66" s="47"/>
      <c r="F66" s="47"/>
      <c r="G66" s="47" t="str">
        <f t="shared" si="29"/>
        <v>✅ CUBIERTO</v>
      </c>
      <c r="I66" s="60">
        <v>45996</v>
      </c>
      <c r="J66" s="45" t="str">
        <f>TEXT(I66,"ddd")</f>
        <v>vie</v>
      </c>
      <c r="K66" s="46">
        <v>0.41666666666666669</v>
      </c>
      <c r="L66" s="47" t="s">
        <v>4</v>
      </c>
      <c r="M66" s="47"/>
      <c r="N66" s="47"/>
      <c r="O66" s="47" t="str">
        <f t="shared" si="31"/>
        <v>✅ CUBIERTO</v>
      </c>
    </row>
    <row r="67" spans="1:15" ht="13.8" customHeight="1" x14ac:dyDescent="0.3">
      <c r="A67" s="60">
        <v>45966</v>
      </c>
      <c r="B67" s="45" t="str">
        <f>TEXT(A67,"ddd")</f>
        <v>mié</v>
      </c>
      <c r="C67" s="46">
        <v>0.45833333333333331</v>
      </c>
      <c r="D67" s="47" t="s">
        <v>8</v>
      </c>
      <c r="E67" s="47"/>
      <c r="F67" s="47"/>
      <c r="G67" s="47" t="str">
        <f t="shared" si="6"/>
        <v>✅ CUBIERTO</v>
      </c>
      <c r="I67" s="60">
        <v>45996</v>
      </c>
      <c r="J67" s="45" t="str">
        <f>TEXT(I67,"ddd")</f>
        <v>vie</v>
      </c>
      <c r="K67" s="46">
        <v>0.45833333333333331</v>
      </c>
      <c r="L67" s="47" t="s">
        <v>4</v>
      </c>
      <c r="M67" s="47"/>
      <c r="N67" s="47"/>
      <c r="O67" s="47" t="str">
        <f t="shared" si="7"/>
        <v>✅ CUBIERTO</v>
      </c>
    </row>
    <row r="68" spans="1:15" x14ac:dyDescent="0.3">
      <c r="A68" s="60">
        <v>45966</v>
      </c>
      <c r="B68" s="45" t="str">
        <f t="shared" ref="B68:B75" si="32">TEXT(A68,"ddd")</f>
        <v>mié</v>
      </c>
      <c r="C68" s="46">
        <v>0.5</v>
      </c>
      <c r="D68" s="47" t="s">
        <v>8</v>
      </c>
      <c r="E68" s="47"/>
      <c r="F68" s="47"/>
      <c r="G68" s="47" t="str">
        <f t="shared" si="6"/>
        <v>✅ CUBIERTO</v>
      </c>
      <c r="I68" s="60">
        <v>45996</v>
      </c>
      <c r="J68" s="45" t="str">
        <f t="shared" ref="J68:J75" si="33">TEXT(I68,"ddd")</f>
        <v>vie</v>
      </c>
      <c r="K68" s="46">
        <v>0.5</v>
      </c>
      <c r="L68" s="47" t="s">
        <v>4</v>
      </c>
      <c r="M68" s="47"/>
      <c r="N68" s="47"/>
      <c r="O68" s="47" t="str">
        <f t="shared" si="7"/>
        <v>✅ CUBIERTO</v>
      </c>
    </row>
    <row r="69" spans="1:15" x14ac:dyDescent="0.3">
      <c r="A69" s="60">
        <v>45966</v>
      </c>
      <c r="B69" s="45" t="str">
        <f t="shared" si="32"/>
        <v>mié</v>
      </c>
      <c r="C69" s="46">
        <v>0.54166666666666696</v>
      </c>
      <c r="D69" s="47" t="s">
        <v>8</v>
      </c>
      <c r="E69" s="47"/>
      <c r="F69" s="47"/>
      <c r="G69" s="47" t="str">
        <f t="shared" si="6"/>
        <v>✅ CUBIERTO</v>
      </c>
      <c r="I69" s="60">
        <v>45996</v>
      </c>
      <c r="J69" s="45" t="str">
        <f t="shared" si="33"/>
        <v>vie</v>
      </c>
      <c r="K69" s="46">
        <v>0.54166666666666696</v>
      </c>
      <c r="L69" s="47" t="s">
        <v>4</v>
      </c>
      <c r="M69" s="47"/>
      <c r="N69" s="47"/>
      <c r="O69" s="47" t="str">
        <f t="shared" si="7"/>
        <v>✅ CUBIERTO</v>
      </c>
    </row>
    <row r="70" spans="1:15" x14ac:dyDescent="0.3">
      <c r="A70" s="60">
        <v>45966</v>
      </c>
      <c r="B70" s="45" t="str">
        <f t="shared" si="32"/>
        <v>mié</v>
      </c>
      <c r="C70" s="46">
        <v>0.58333333333333304</v>
      </c>
      <c r="D70" s="47" t="s">
        <v>8</v>
      </c>
      <c r="E70" s="47"/>
      <c r="F70" s="47"/>
      <c r="G70" s="47" t="str">
        <f t="shared" si="6"/>
        <v>✅ CUBIERTO</v>
      </c>
      <c r="I70" s="60">
        <v>45996</v>
      </c>
      <c r="J70" s="45" t="str">
        <f t="shared" si="33"/>
        <v>vie</v>
      </c>
      <c r="K70" s="46">
        <v>0.58333333333333304</v>
      </c>
      <c r="L70" s="47" t="s">
        <v>4</v>
      </c>
      <c r="M70" s="47"/>
      <c r="N70" s="47"/>
      <c r="O70" s="47" t="str">
        <f t="shared" si="7"/>
        <v>✅ CUBIERTO</v>
      </c>
    </row>
    <row r="71" spans="1:15" x14ac:dyDescent="0.3">
      <c r="A71" s="60">
        <v>45966</v>
      </c>
      <c r="B71" s="45" t="str">
        <f t="shared" si="32"/>
        <v>mié</v>
      </c>
      <c r="C71" s="46">
        <v>0.625</v>
      </c>
      <c r="D71" s="47" t="s">
        <v>8</v>
      </c>
      <c r="E71" s="47"/>
      <c r="F71" s="47"/>
      <c r="G71" s="47" t="str">
        <f t="shared" si="6"/>
        <v>✅ CUBIERTO</v>
      </c>
      <c r="I71" s="60">
        <v>45996</v>
      </c>
      <c r="J71" s="45" t="str">
        <f t="shared" si="33"/>
        <v>vie</v>
      </c>
      <c r="K71" s="46">
        <v>0.625</v>
      </c>
      <c r="L71" s="47" t="s">
        <v>4</v>
      </c>
      <c r="M71" s="47"/>
      <c r="N71" s="47"/>
      <c r="O71" s="47" t="str">
        <f t="shared" si="7"/>
        <v>✅ CUBIERTO</v>
      </c>
    </row>
    <row r="72" spans="1:15" x14ac:dyDescent="0.3">
      <c r="A72" s="60">
        <v>45966</v>
      </c>
      <c r="B72" s="45" t="str">
        <f t="shared" si="32"/>
        <v>mié</v>
      </c>
      <c r="C72" s="46">
        <v>0.66666666666666696</v>
      </c>
      <c r="D72" s="47" t="s">
        <v>8</v>
      </c>
      <c r="E72" s="47"/>
      <c r="F72" s="47"/>
      <c r="G72" s="47" t="str">
        <f t="shared" si="6"/>
        <v>✅ CUBIERTO</v>
      </c>
      <c r="I72" s="60">
        <v>45996</v>
      </c>
      <c r="J72" s="45" t="str">
        <f t="shared" si="33"/>
        <v>vie</v>
      </c>
      <c r="K72" s="46">
        <v>0.66666666666666696</v>
      </c>
      <c r="L72" s="47" t="s">
        <v>4</v>
      </c>
      <c r="M72" s="47"/>
      <c r="N72" s="47"/>
      <c r="O72" s="47" t="str">
        <f t="shared" si="7"/>
        <v>✅ CUBIERTO</v>
      </c>
    </row>
    <row r="73" spans="1:15" x14ac:dyDescent="0.3">
      <c r="A73" s="60">
        <v>45966</v>
      </c>
      <c r="B73" s="45" t="str">
        <f t="shared" si="32"/>
        <v>mié</v>
      </c>
      <c r="C73" s="46">
        <v>0.70833333333333304</v>
      </c>
      <c r="D73" s="47" t="s">
        <v>8</v>
      </c>
      <c r="E73" s="47"/>
      <c r="F73" s="47"/>
      <c r="G73" s="47" t="str">
        <f t="shared" si="6"/>
        <v>✅ CUBIERTO</v>
      </c>
      <c r="I73" s="60">
        <v>45996</v>
      </c>
      <c r="J73" s="45" t="str">
        <f t="shared" si="33"/>
        <v>vie</v>
      </c>
      <c r="K73" s="46">
        <v>0.70833333333333304</v>
      </c>
      <c r="L73" s="47" t="s">
        <v>4</v>
      </c>
      <c r="M73" s="47"/>
      <c r="N73" s="47"/>
      <c r="O73" s="47" t="str">
        <f t="shared" si="7"/>
        <v>✅ CUBIERTO</v>
      </c>
    </row>
    <row r="74" spans="1:15" x14ac:dyDescent="0.3">
      <c r="A74" s="60">
        <v>45966</v>
      </c>
      <c r="B74" s="45" t="str">
        <f t="shared" si="32"/>
        <v>mié</v>
      </c>
      <c r="C74" s="46">
        <v>0.75</v>
      </c>
      <c r="D74" s="47" t="s">
        <v>8</v>
      </c>
      <c r="E74" s="47"/>
      <c r="F74" s="47"/>
      <c r="G74" s="47" t="str">
        <f t="shared" si="6"/>
        <v>✅ CUBIERTO</v>
      </c>
      <c r="I74" s="60">
        <v>45996</v>
      </c>
      <c r="J74" s="45" t="str">
        <f t="shared" si="33"/>
        <v>vie</v>
      </c>
      <c r="K74" s="46">
        <v>0.75</v>
      </c>
      <c r="L74" s="47" t="s">
        <v>4</v>
      </c>
      <c r="M74" s="47"/>
      <c r="N74" s="47"/>
      <c r="O74" s="47" t="str">
        <f t="shared" si="7"/>
        <v>✅ CUBIERTO</v>
      </c>
    </row>
    <row r="75" spans="1:15" x14ac:dyDescent="0.3">
      <c r="A75" s="60">
        <v>45966</v>
      </c>
      <c r="B75" s="45" t="str">
        <f t="shared" si="32"/>
        <v>mié</v>
      </c>
      <c r="C75" s="46">
        <v>0.79166666666666696</v>
      </c>
      <c r="D75" s="47" t="s">
        <v>8</v>
      </c>
      <c r="E75" s="47"/>
      <c r="F75" s="47"/>
      <c r="G75" s="47" t="str">
        <f t="shared" si="6"/>
        <v>✅ CUBIERTO</v>
      </c>
      <c r="I75" s="60">
        <v>45996</v>
      </c>
      <c r="J75" s="45" t="str">
        <f t="shared" si="33"/>
        <v>vie</v>
      </c>
      <c r="K75" s="46">
        <v>0.79166666666666696</v>
      </c>
      <c r="L75" s="47" t="s">
        <v>4</v>
      </c>
      <c r="M75" s="47"/>
      <c r="N75" s="47"/>
      <c r="O75" s="47" t="str">
        <f t="shared" si="7"/>
        <v>✅ CUBIERTO</v>
      </c>
    </row>
    <row r="76" spans="1:15" x14ac:dyDescent="0.3">
      <c r="A76" s="60">
        <v>45966</v>
      </c>
      <c r="B76" s="45" t="str">
        <f t="shared" ref="B76" si="34">TEXT(A76,"ddd")</f>
        <v>mié</v>
      </c>
      <c r="C76" s="46">
        <v>0.83333333333333337</v>
      </c>
      <c r="D76" s="47" t="s">
        <v>8</v>
      </c>
      <c r="E76" s="47"/>
      <c r="F76" s="47"/>
      <c r="G76" s="47" t="str">
        <f t="shared" ref="G76:G77" si="35">IF(COUNTIF(D76:F76,"?*")&gt;=$D$4, "✅ CUBIERTO",
 IF(COUNTIF(D76:F76,"?*")&gt;0, "⚠ FALTANTE",
 "❌ SIN COMPLETAR"))</f>
        <v>✅ CUBIERTO</v>
      </c>
      <c r="I76" s="60">
        <v>45996</v>
      </c>
      <c r="J76" s="45" t="str">
        <f t="shared" ref="J76" si="36">TEXT(I76,"ddd")</f>
        <v>vie</v>
      </c>
      <c r="K76" s="46">
        <v>0.83333333333333337</v>
      </c>
      <c r="L76" s="47" t="s">
        <v>4</v>
      </c>
      <c r="M76" s="47"/>
      <c r="N76" s="47"/>
      <c r="O76" s="47" t="str">
        <f t="shared" ref="O76:O77" si="37">IF(COUNTIF(L76:N76,"?*")&gt;=$L$4, "✅ CUBIERTO",
 IF(COUNTIF(L76:N76,"?*")&gt;0, "⚠ FALTANTE",
 "❌ SIN COMPLETAR"))</f>
        <v>✅ CUBIERTO</v>
      </c>
    </row>
    <row r="77" spans="1:15" x14ac:dyDescent="0.3">
      <c r="A77" s="60">
        <v>45967</v>
      </c>
      <c r="B77" s="45" t="str">
        <f>TEXT(A77,"ddd")</f>
        <v>jue</v>
      </c>
      <c r="C77" s="46">
        <v>0.41666666666666669</v>
      </c>
      <c r="D77" s="47" t="s">
        <v>8</v>
      </c>
      <c r="E77" s="47"/>
      <c r="F77" s="47"/>
      <c r="G77" s="47" t="str">
        <f t="shared" si="35"/>
        <v>✅ CUBIERTO</v>
      </c>
      <c r="I77" s="60">
        <v>45997</v>
      </c>
      <c r="J77" s="45" t="str">
        <f>TEXT(I77,"ddd")</f>
        <v>sáb</v>
      </c>
      <c r="K77" s="46">
        <v>0.41666666666666669</v>
      </c>
      <c r="L77" s="47" t="s">
        <v>4</v>
      </c>
      <c r="M77" s="47"/>
      <c r="N77" s="47"/>
      <c r="O77" s="47" t="str">
        <f t="shared" si="37"/>
        <v>✅ CUBIERTO</v>
      </c>
    </row>
    <row r="78" spans="1:15" x14ac:dyDescent="0.3">
      <c r="A78" s="60">
        <v>45967</v>
      </c>
      <c r="B78" s="45" t="str">
        <f>TEXT(A78,"ddd")</f>
        <v>jue</v>
      </c>
      <c r="C78" s="46">
        <v>0.45833333333333331</v>
      </c>
      <c r="D78" s="47" t="s">
        <v>8</v>
      </c>
      <c r="E78" s="47"/>
      <c r="F78" s="47"/>
      <c r="G78" s="47" t="str">
        <f t="shared" si="6"/>
        <v>✅ CUBIERTO</v>
      </c>
      <c r="I78" s="60">
        <v>45997</v>
      </c>
      <c r="J78" s="45" t="str">
        <f>TEXT(I78,"ddd")</f>
        <v>sáb</v>
      </c>
      <c r="K78" s="46">
        <v>0.45833333333333331</v>
      </c>
      <c r="L78" s="47" t="s">
        <v>4</v>
      </c>
      <c r="M78" s="47"/>
      <c r="N78" s="47"/>
      <c r="O78" s="47" t="str">
        <f t="shared" si="7"/>
        <v>✅ CUBIERTO</v>
      </c>
    </row>
    <row r="79" spans="1:15" x14ac:dyDescent="0.3">
      <c r="A79" s="60">
        <v>45967</v>
      </c>
      <c r="B79" s="45" t="str">
        <f t="shared" ref="B79:B86" si="38">TEXT(A79,"ddd")</f>
        <v>jue</v>
      </c>
      <c r="C79" s="46">
        <v>0.5</v>
      </c>
      <c r="D79" s="47" t="s">
        <v>8</v>
      </c>
      <c r="E79" s="47"/>
      <c r="F79" s="47"/>
      <c r="G79" s="47" t="str">
        <f t="shared" si="6"/>
        <v>✅ CUBIERTO</v>
      </c>
      <c r="I79" s="60">
        <v>45997</v>
      </c>
      <c r="J79" s="45" t="str">
        <f t="shared" ref="J79:J86" si="39">TEXT(I79,"ddd")</f>
        <v>sáb</v>
      </c>
      <c r="K79" s="46">
        <v>0.5</v>
      </c>
      <c r="L79" s="47" t="s">
        <v>4</v>
      </c>
      <c r="M79" s="47"/>
      <c r="N79" s="47"/>
      <c r="O79" s="47" t="str">
        <f t="shared" si="7"/>
        <v>✅ CUBIERTO</v>
      </c>
    </row>
    <row r="80" spans="1:15" x14ac:dyDescent="0.3">
      <c r="A80" s="60">
        <v>45967</v>
      </c>
      <c r="B80" s="45" t="str">
        <f t="shared" si="38"/>
        <v>jue</v>
      </c>
      <c r="C80" s="46">
        <v>0.54166666666666696</v>
      </c>
      <c r="D80" s="47" t="s">
        <v>8</v>
      </c>
      <c r="E80" s="47"/>
      <c r="F80" s="47"/>
      <c r="G80" s="47" t="str">
        <f t="shared" si="6"/>
        <v>✅ CUBIERTO</v>
      </c>
      <c r="I80" s="60">
        <v>45997</v>
      </c>
      <c r="J80" s="45" t="str">
        <f t="shared" si="39"/>
        <v>sáb</v>
      </c>
      <c r="K80" s="46">
        <v>0.54166666666666696</v>
      </c>
      <c r="L80" s="47" t="s">
        <v>4</v>
      </c>
      <c r="M80" s="47"/>
      <c r="N80" s="47"/>
      <c r="O80" s="47" t="str">
        <f t="shared" si="7"/>
        <v>✅ CUBIERTO</v>
      </c>
    </row>
    <row r="81" spans="1:15" x14ac:dyDescent="0.3">
      <c r="A81" s="60">
        <v>45967</v>
      </c>
      <c r="B81" s="45" t="str">
        <f t="shared" si="38"/>
        <v>jue</v>
      </c>
      <c r="C81" s="46">
        <v>0.58333333333333304</v>
      </c>
      <c r="D81" s="47" t="s">
        <v>8</v>
      </c>
      <c r="E81" s="47"/>
      <c r="F81" s="47"/>
      <c r="G81" s="47" t="str">
        <f t="shared" si="6"/>
        <v>✅ CUBIERTO</v>
      </c>
      <c r="I81" s="60">
        <v>45997</v>
      </c>
      <c r="J81" s="45" t="str">
        <f t="shared" si="39"/>
        <v>sáb</v>
      </c>
      <c r="K81" s="46">
        <v>0.58333333333333304</v>
      </c>
      <c r="L81" s="47" t="s">
        <v>4</v>
      </c>
      <c r="M81" s="47"/>
      <c r="N81" s="47"/>
      <c r="O81" s="47" t="str">
        <f t="shared" si="7"/>
        <v>✅ CUBIERTO</v>
      </c>
    </row>
    <row r="82" spans="1:15" x14ac:dyDescent="0.3">
      <c r="A82" s="60">
        <v>45967</v>
      </c>
      <c r="B82" s="45" t="str">
        <f t="shared" si="38"/>
        <v>jue</v>
      </c>
      <c r="C82" s="46">
        <v>0.625</v>
      </c>
      <c r="D82" s="47" t="s">
        <v>8</v>
      </c>
      <c r="E82" s="47"/>
      <c r="F82" s="47"/>
      <c r="G82" s="47" t="str">
        <f t="shared" si="6"/>
        <v>✅ CUBIERTO</v>
      </c>
      <c r="I82" s="60">
        <v>45997</v>
      </c>
      <c r="J82" s="45" t="str">
        <f t="shared" si="39"/>
        <v>sáb</v>
      </c>
      <c r="K82" s="46">
        <v>0.625</v>
      </c>
      <c r="L82" s="47" t="s">
        <v>4</v>
      </c>
      <c r="M82" s="47"/>
      <c r="N82" s="47"/>
      <c r="O82" s="47" t="str">
        <f t="shared" si="7"/>
        <v>✅ CUBIERTO</v>
      </c>
    </row>
    <row r="83" spans="1:15" x14ac:dyDescent="0.3">
      <c r="A83" s="60">
        <v>45967</v>
      </c>
      <c r="B83" s="45" t="str">
        <f t="shared" si="38"/>
        <v>jue</v>
      </c>
      <c r="C83" s="46">
        <v>0.66666666666666696</v>
      </c>
      <c r="D83" s="47" t="s">
        <v>8</v>
      </c>
      <c r="E83" s="47"/>
      <c r="F83" s="47"/>
      <c r="G83" s="47" t="str">
        <f t="shared" si="6"/>
        <v>✅ CUBIERTO</v>
      </c>
      <c r="I83" s="60">
        <v>45997</v>
      </c>
      <c r="J83" s="45" t="str">
        <f t="shared" si="39"/>
        <v>sáb</v>
      </c>
      <c r="K83" s="46">
        <v>0.66666666666666696</v>
      </c>
      <c r="L83" s="47" t="s">
        <v>4</v>
      </c>
      <c r="M83" s="47"/>
      <c r="N83" s="47"/>
      <c r="O83" s="47" t="str">
        <f t="shared" si="7"/>
        <v>✅ CUBIERTO</v>
      </c>
    </row>
    <row r="84" spans="1:15" x14ac:dyDescent="0.3">
      <c r="A84" s="60">
        <v>45967</v>
      </c>
      <c r="B84" s="45" t="str">
        <f t="shared" si="38"/>
        <v>jue</v>
      </c>
      <c r="C84" s="46">
        <v>0.70833333333333304</v>
      </c>
      <c r="D84" s="47" t="s">
        <v>8</v>
      </c>
      <c r="E84" s="47"/>
      <c r="F84" s="47"/>
      <c r="G84" s="47" t="str">
        <f t="shared" si="6"/>
        <v>✅ CUBIERTO</v>
      </c>
      <c r="I84" s="60">
        <v>45997</v>
      </c>
      <c r="J84" s="45" t="str">
        <f t="shared" si="39"/>
        <v>sáb</v>
      </c>
      <c r="K84" s="46">
        <v>0.70833333333333304</v>
      </c>
      <c r="L84" s="47" t="s">
        <v>4</v>
      </c>
      <c r="M84" s="47"/>
      <c r="N84" s="47"/>
      <c r="O84" s="47" t="str">
        <f t="shared" si="7"/>
        <v>✅ CUBIERTO</v>
      </c>
    </row>
    <row r="85" spans="1:15" x14ac:dyDescent="0.3">
      <c r="A85" s="60">
        <v>45967</v>
      </c>
      <c r="B85" s="45" t="str">
        <f t="shared" si="38"/>
        <v>jue</v>
      </c>
      <c r="C85" s="46">
        <v>0.75</v>
      </c>
      <c r="D85" s="47" t="s">
        <v>8</v>
      </c>
      <c r="E85" s="47"/>
      <c r="F85" s="47"/>
      <c r="G85" s="47" t="str">
        <f t="shared" si="6"/>
        <v>✅ CUBIERTO</v>
      </c>
      <c r="I85" s="60">
        <v>45997</v>
      </c>
      <c r="J85" s="45" t="str">
        <f t="shared" si="39"/>
        <v>sáb</v>
      </c>
      <c r="K85" s="46">
        <v>0.75</v>
      </c>
      <c r="L85" s="47" t="s">
        <v>4</v>
      </c>
      <c r="M85" s="47"/>
      <c r="N85" s="47"/>
      <c r="O85" s="47" t="str">
        <f t="shared" si="7"/>
        <v>✅ CUBIERTO</v>
      </c>
    </row>
    <row r="86" spans="1:15" x14ac:dyDescent="0.3">
      <c r="A86" s="60">
        <v>45967</v>
      </c>
      <c r="B86" s="45" t="str">
        <f t="shared" si="38"/>
        <v>jue</v>
      </c>
      <c r="C86" s="46">
        <v>0.79166666666666696</v>
      </c>
      <c r="D86" s="47" t="s">
        <v>8</v>
      </c>
      <c r="E86" s="47"/>
      <c r="F86" s="47"/>
      <c r="G86" s="47" t="str">
        <f t="shared" si="6"/>
        <v>✅ CUBIERTO</v>
      </c>
      <c r="I86" s="60">
        <v>45997</v>
      </c>
      <c r="J86" s="45" t="str">
        <f t="shared" si="39"/>
        <v>sáb</v>
      </c>
      <c r="K86" s="46">
        <v>0.79166666666666696</v>
      </c>
      <c r="L86" s="47" t="s">
        <v>4</v>
      </c>
      <c r="M86" s="47"/>
      <c r="N86" s="47"/>
      <c r="O86" s="47" t="str">
        <f t="shared" si="7"/>
        <v>✅ CUBIERTO</v>
      </c>
    </row>
    <row r="87" spans="1:15" x14ac:dyDescent="0.3">
      <c r="A87" s="60">
        <v>45967</v>
      </c>
      <c r="B87" s="45" t="str">
        <f t="shared" ref="B87" si="40">TEXT(A87,"ddd")</f>
        <v>jue</v>
      </c>
      <c r="C87" s="46">
        <v>0.83333333333333337</v>
      </c>
      <c r="D87" s="47" t="s">
        <v>8</v>
      </c>
      <c r="E87" s="47"/>
      <c r="F87" s="47"/>
      <c r="G87" s="47" t="str">
        <f t="shared" ref="G87:G88" si="41">IF(COUNTIF(D87:F87,"?*")&gt;=$D$4, "✅ CUBIERTO",
 IF(COUNTIF(D87:F87,"?*")&gt;0, "⚠ FALTANTE",
 "❌ SIN COMPLETAR"))</f>
        <v>✅ CUBIERTO</v>
      </c>
      <c r="I87" s="60">
        <v>45997</v>
      </c>
      <c r="J87" s="45" t="str">
        <f t="shared" ref="J87" si="42">TEXT(I87,"ddd")</f>
        <v>sáb</v>
      </c>
      <c r="K87" s="46">
        <v>0.83333333333333337</v>
      </c>
      <c r="L87" s="47" t="s">
        <v>4</v>
      </c>
      <c r="M87" s="47"/>
      <c r="N87" s="47"/>
      <c r="O87" s="47" t="str">
        <f t="shared" ref="O87:O88" si="43">IF(COUNTIF(L87:N87,"?*")&gt;=$L$4, "✅ CUBIERTO",
 IF(COUNTIF(L87:N87,"?*")&gt;0, "⚠ FALTANTE",
 "❌ SIN COMPLETAR"))</f>
        <v>✅ CUBIERTO</v>
      </c>
    </row>
    <row r="88" spans="1:15" x14ac:dyDescent="0.3">
      <c r="A88" s="60">
        <v>45968</v>
      </c>
      <c r="B88" s="45" t="str">
        <f>TEXT(A88,"ddd")</f>
        <v>vie</v>
      </c>
      <c r="C88" s="46">
        <v>0.41666666666666669</v>
      </c>
      <c r="D88" s="47" t="s">
        <v>22</v>
      </c>
      <c r="E88" s="47"/>
      <c r="F88" s="47"/>
      <c r="G88" s="47" t="str">
        <f t="shared" si="41"/>
        <v>✅ CUBIERTO</v>
      </c>
      <c r="I88" s="60">
        <v>45998</v>
      </c>
      <c r="J88" s="45" t="str">
        <f>TEXT(I88,"ddd")</f>
        <v>dom</v>
      </c>
      <c r="K88" s="46">
        <v>0.41666666666666669</v>
      </c>
      <c r="L88" s="47" t="s">
        <v>4</v>
      </c>
      <c r="M88" s="47"/>
      <c r="N88" s="47"/>
      <c r="O88" s="47" t="str">
        <f t="shared" si="43"/>
        <v>✅ CUBIERTO</v>
      </c>
    </row>
    <row r="89" spans="1:15" x14ac:dyDescent="0.3">
      <c r="A89" s="60">
        <v>45968</v>
      </c>
      <c r="B89" s="45" t="str">
        <f>TEXT(A89,"ddd")</f>
        <v>vie</v>
      </c>
      <c r="C89" s="46">
        <v>0.45833333333333331</v>
      </c>
      <c r="D89" s="47" t="s">
        <v>22</v>
      </c>
      <c r="E89" s="47"/>
      <c r="F89" s="47"/>
      <c r="G89" s="47" t="str">
        <f t="shared" si="6"/>
        <v>✅ CUBIERTO</v>
      </c>
      <c r="I89" s="60">
        <v>45998</v>
      </c>
      <c r="J89" s="45" t="str">
        <f>TEXT(I89,"ddd")</f>
        <v>dom</v>
      </c>
      <c r="K89" s="46">
        <v>0.45833333333333331</v>
      </c>
      <c r="L89" s="47" t="s">
        <v>4</v>
      </c>
      <c r="M89" s="47"/>
      <c r="N89" s="47"/>
      <c r="O89" s="47" t="str">
        <f t="shared" si="7"/>
        <v>✅ CUBIERTO</v>
      </c>
    </row>
    <row r="90" spans="1:15" x14ac:dyDescent="0.3">
      <c r="A90" s="60">
        <v>45968</v>
      </c>
      <c r="B90" s="45" t="str">
        <f t="shared" ref="B90:B97" si="44">TEXT(A90,"ddd")</f>
        <v>vie</v>
      </c>
      <c r="C90" s="46">
        <v>0.5</v>
      </c>
      <c r="D90" s="47" t="s">
        <v>22</v>
      </c>
      <c r="E90" s="47"/>
      <c r="F90" s="47"/>
      <c r="G90" s="47" t="str">
        <f t="shared" si="6"/>
        <v>✅ CUBIERTO</v>
      </c>
      <c r="I90" s="60">
        <v>45998</v>
      </c>
      <c r="J90" s="45" t="str">
        <f t="shared" ref="J90:J97" si="45">TEXT(I90,"ddd")</f>
        <v>dom</v>
      </c>
      <c r="K90" s="46">
        <v>0.5</v>
      </c>
      <c r="L90" s="47" t="s">
        <v>4</v>
      </c>
      <c r="M90" s="47"/>
      <c r="N90" s="47"/>
      <c r="O90" s="47" t="str">
        <f t="shared" si="7"/>
        <v>✅ CUBIERTO</v>
      </c>
    </row>
    <row r="91" spans="1:15" x14ac:dyDescent="0.3">
      <c r="A91" s="60">
        <v>45968</v>
      </c>
      <c r="B91" s="45" t="str">
        <f t="shared" si="44"/>
        <v>vie</v>
      </c>
      <c r="C91" s="46">
        <v>0.54166666666666696</v>
      </c>
      <c r="D91" s="47" t="s">
        <v>22</v>
      </c>
      <c r="E91" s="47"/>
      <c r="F91" s="47"/>
      <c r="G91" s="47" t="str">
        <f t="shared" si="6"/>
        <v>✅ CUBIERTO</v>
      </c>
      <c r="I91" s="60">
        <v>45998</v>
      </c>
      <c r="J91" s="45" t="str">
        <f t="shared" si="45"/>
        <v>dom</v>
      </c>
      <c r="K91" s="46">
        <v>0.54166666666666696</v>
      </c>
      <c r="L91" s="47" t="s">
        <v>4</v>
      </c>
      <c r="M91" s="47"/>
      <c r="N91" s="47"/>
      <c r="O91" s="47" t="str">
        <f t="shared" si="7"/>
        <v>✅ CUBIERTO</v>
      </c>
    </row>
    <row r="92" spans="1:15" x14ac:dyDescent="0.3">
      <c r="A92" s="60">
        <v>45968</v>
      </c>
      <c r="B92" s="45" t="str">
        <f t="shared" si="44"/>
        <v>vie</v>
      </c>
      <c r="C92" s="46">
        <v>0.58333333333333304</v>
      </c>
      <c r="D92" s="47" t="s">
        <v>22</v>
      </c>
      <c r="E92" s="47"/>
      <c r="F92" s="47"/>
      <c r="G92" s="47" t="str">
        <f t="shared" si="6"/>
        <v>✅ CUBIERTO</v>
      </c>
      <c r="I92" s="60">
        <v>45998</v>
      </c>
      <c r="J92" s="45" t="str">
        <f t="shared" si="45"/>
        <v>dom</v>
      </c>
      <c r="K92" s="46">
        <v>0.58333333333333304</v>
      </c>
      <c r="L92" s="47" t="s">
        <v>4</v>
      </c>
      <c r="M92" s="47"/>
      <c r="N92" s="47"/>
      <c r="O92" s="47" t="str">
        <f t="shared" si="7"/>
        <v>✅ CUBIERTO</v>
      </c>
    </row>
    <row r="93" spans="1:15" x14ac:dyDescent="0.3">
      <c r="A93" s="60">
        <v>45968</v>
      </c>
      <c r="B93" s="45" t="str">
        <f t="shared" si="44"/>
        <v>vie</v>
      </c>
      <c r="C93" s="46">
        <v>0.625</v>
      </c>
      <c r="D93" s="47" t="s">
        <v>22</v>
      </c>
      <c r="E93" s="47"/>
      <c r="F93" s="47"/>
      <c r="G93" s="47" t="str">
        <f t="shared" si="6"/>
        <v>✅ CUBIERTO</v>
      </c>
      <c r="I93" s="60">
        <v>45998</v>
      </c>
      <c r="J93" s="45" t="str">
        <f t="shared" si="45"/>
        <v>dom</v>
      </c>
      <c r="K93" s="46">
        <v>0.625</v>
      </c>
      <c r="L93" s="47" t="s">
        <v>4</v>
      </c>
      <c r="M93" s="47"/>
      <c r="N93" s="47"/>
      <c r="O93" s="47" t="str">
        <f t="shared" si="7"/>
        <v>✅ CUBIERTO</v>
      </c>
    </row>
    <row r="94" spans="1:15" x14ac:dyDescent="0.3">
      <c r="A94" s="60">
        <v>45968</v>
      </c>
      <c r="B94" s="45" t="str">
        <f t="shared" si="44"/>
        <v>vie</v>
      </c>
      <c r="C94" s="46">
        <v>0.66666666666666696</v>
      </c>
      <c r="D94" s="47" t="s">
        <v>22</v>
      </c>
      <c r="E94" s="47"/>
      <c r="F94" s="47"/>
      <c r="G94" s="47" t="str">
        <f t="shared" si="6"/>
        <v>✅ CUBIERTO</v>
      </c>
      <c r="I94" s="60">
        <v>45998</v>
      </c>
      <c r="J94" s="45" t="str">
        <f t="shared" si="45"/>
        <v>dom</v>
      </c>
      <c r="K94" s="46">
        <v>0.66666666666666696</v>
      </c>
      <c r="L94" s="47" t="s">
        <v>4</v>
      </c>
      <c r="M94" s="47"/>
      <c r="N94" s="47"/>
      <c r="O94" s="47" t="str">
        <f t="shared" si="7"/>
        <v>✅ CUBIERTO</v>
      </c>
    </row>
    <row r="95" spans="1:15" x14ac:dyDescent="0.3">
      <c r="A95" s="60">
        <v>45968</v>
      </c>
      <c r="B95" s="45" t="str">
        <f t="shared" si="44"/>
        <v>vie</v>
      </c>
      <c r="C95" s="46">
        <v>0.70833333333333304</v>
      </c>
      <c r="D95" s="47" t="s">
        <v>22</v>
      </c>
      <c r="E95" s="47"/>
      <c r="F95" s="47"/>
      <c r="G95" s="47" t="str">
        <f t="shared" si="6"/>
        <v>✅ CUBIERTO</v>
      </c>
      <c r="I95" s="60">
        <v>45998</v>
      </c>
      <c r="J95" s="45" t="str">
        <f t="shared" si="45"/>
        <v>dom</v>
      </c>
      <c r="K95" s="46">
        <v>0.70833333333333304</v>
      </c>
      <c r="L95" s="47" t="s">
        <v>4</v>
      </c>
      <c r="M95" s="47"/>
      <c r="N95" s="47"/>
      <c r="O95" s="47" t="str">
        <f t="shared" si="7"/>
        <v>✅ CUBIERTO</v>
      </c>
    </row>
    <row r="96" spans="1:15" x14ac:dyDescent="0.3">
      <c r="A96" s="60">
        <v>45968</v>
      </c>
      <c r="B96" s="45" t="str">
        <f t="shared" si="44"/>
        <v>vie</v>
      </c>
      <c r="C96" s="46">
        <v>0.75</v>
      </c>
      <c r="D96" s="47" t="s">
        <v>22</v>
      </c>
      <c r="E96" s="47"/>
      <c r="F96" s="47"/>
      <c r="G96" s="47" t="str">
        <f t="shared" si="6"/>
        <v>✅ CUBIERTO</v>
      </c>
      <c r="I96" s="60">
        <v>45998</v>
      </c>
      <c r="J96" s="45" t="str">
        <f t="shared" si="45"/>
        <v>dom</v>
      </c>
      <c r="K96" s="46">
        <v>0.75</v>
      </c>
      <c r="L96" s="47" t="s">
        <v>4</v>
      </c>
      <c r="M96" s="47"/>
      <c r="N96" s="47"/>
      <c r="O96" s="47" t="str">
        <f t="shared" si="7"/>
        <v>✅ CUBIERTO</v>
      </c>
    </row>
    <row r="97" spans="1:15" x14ac:dyDescent="0.3">
      <c r="A97" s="60">
        <v>45968</v>
      </c>
      <c r="B97" s="45" t="str">
        <f t="shared" si="44"/>
        <v>vie</v>
      </c>
      <c r="C97" s="46">
        <v>0.79166666666666696</v>
      </c>
      <c r="D97" s="47" t="s">
        <v>22</v>
      </c>
      <c r="E97" s="47"/>
      <c r="F97" s="47"/>
      <c r="G97" s="47" t="str">
        <f t="shared" si="6"/>
        <v>✅ CUBIERTO</v>
      </c>
      <c r="I97" s="60">
        <v>45998</v>
      </c>
      <c r="J97" s="45" t="str">
        <f t="shared" si="45"/>
        <v>dom</v>
      </c>
      <c r="K97" s="46">
        <v>0.79166666666666696</v>
      </c>
      <c r="L97" s="47" t="s">
        <v>4</v>
      </c>
      <c r="M97" s="47"/>
      <c r="N97" s="47"/>
      <c r="O97" s="47" t="str">
        <f t="shared" si="7"/>
        <v>✅ CUBIERTO</v>
      </c>
    </row>
    <row r="98" spans="1:15" x14ac:dyDescent="0.3">
      <c r="A98" s="60">
        <v>45968</v>
      </c>
      <c r="B98" s="45" t="str">
        <f t="shared" ref="B98" si="46">TEXT(A98,"ddd")</f>
        <v>vie</v>
      </c>
      <c r="C98" s="46">
        <v>0.83333333333333337</v>
      </c>
      <c r="D98" s="47" t="s">
        <v>22</v>
      </c>
      <c r="E98" s="47"/>
      <c r="F98" s="47"/>
      <c r="G98" s="47" t="str">
        <f t="shared" ref="G98:G99" si="47">IF(COUNTIF(D98:F98,"?*")&gt;=$D$4, "✅ CUBIERTO",
 IF(COUNTIF(D98:F98,"?*")&gt;0, "⚠ FALTANTE",
 "❌ SIN COMPLETAR"))</f>
        <v>✅ CUBIERTO</v>
      </c>
      <c r="I98" s="60">
        <v>45998</v>
      </c>
      <c r="J98" s="45" t="str">
        <f t="shared" ref="J98" si="48">TEXT(I98,"ddd")</f>
        <v>dom</v>
      </c>
      <c r="K98" s="46">
        <v>0.83333333333333337</v>
      </c>
      <c r="L98" s="47" t="s">
        <v>4</v>
      </c>
      <c r="M98" s="47"/>
      <c r="N98" s="47"/>
      <c r="O98" s="47" t="str">
        <f t="shared" ref="O98:O99" si="49">IF(COUNTIF(L98:N98,"?*")&gt;=$L$4, "✅ CUBIERTO",
 IF(COUNTIF(L98:N98,"?*")&gt;0, "⚠ FALTANTE",
 "❌ SIN COMPLETAR"))</f>
        <v>✅ CUBIERTO</v>
      </c>
    </row>
    <row r="99" spans="1:15" x14ac:dyDescent="0.3">
      <c r="A99" s="60">
        <v>45969</v>
      </c>
      <c r="B99" s="45" t="str">
        <f>TEXT(A99,"ddd")</f>
        <v>sáb</v>
      </c>
      <c r="C99" s="46">
        <v>0.41666666666666669</v>
      </c>
      <c r="D99" s="47" t="s">
        <v>22</v>
      </c>
      <c r="E99" s="47"/>
      <c r="F99" s="47"/>
      <c r="G99" s="47" t="str">
        <f t="shared" si="47"/>
        <v>✅ CUBIERTO</v>
      </c>
      <c r="I99" s="63">
        <v>45999</v>
      </c>
      <c r="J99" s="55" t="str">
        <f>TEXT(I99,"ddd")</f>
        <v>lun</v>
      </c>
      <c r="K99" s="56">
        <v>0.41666666666666669</v>
      </c>
      <c r="L99" s="57" t="s">
        <v>4</v>
      </c>
      <c r="M99" s="57"/>
      <c r="N99" s="57"/>
      <c r="O99" s="57" t="str">
        <f t="shared" si="49"/>
        <v>✅ CUBIERTO</v>
      </c>
    </row>
    <row r="100" spans="1:15" x14ac:dyDescent="0.3">
      <c r="A100" s="60">
        <v>45969</v>
      </c>
      <c r="B100" s="45" t="str">
        <f>TEXT(A100,"ddd")</f>
        <v>sáb</v>
      </c>
      <c r="C100" s="46">
        <v>0.45833333333333331</v>
      </c>
      <c r="D100" s="47" t="s">
        <v>22</v>
      </c>
      <c r="E100" s="47"/>
      <c r="F100" s="47"/>
      <c r="G100" s="47" t="str">
        <f t="shared" si="6"/>
        <v>✅ CUBIERTO</v>
      </c>
      <c r="I100" s="63">
        <v>45999</v>
      </c>
      <c r="J100" s="55" t="str">
        <f>TEXT(I100,"ddd")</f>
        <v>lun</v>
      </c>
      <c r="K100" s="56">
        <v>0.45833333333333331</v>
      </c>
      <c r="L100" s="57" t="s">
        <v>4</v>
      </c>
      <c r="M100" s="57"/>
      <c r="N100" s="57"/>
      <c r="O100" s="57" t="str">
        <f t="shared" si="7"/>
        <v>✅ CUBIERTO</v>
      </c>
    </row>
    <row r="101" spans="1:15" x14ac:dyDescent="0.3">
      <c r="A101" s="60">
        <v>45969</v>
      </c>
      <c r="B101" s="45" t="str">
        <f t="shared" ref="B101:B108" si="50">TEXT(A101,"ddd")</f>
        <v>sáb</v>
      </c>
      <c r="C101" s="46">
        <v>0.5</v>
      </c>
      <c r="D101" s="47" t="s">
        <v>22</v>
      </c>
      <c r="E101" s="47"/>
      <c r="F101" s="47"/>
      <c r="G101" s="47" t="str">
        <f t="shared" ref="G101:G178" si="51">IF(COUNTIF(D101:F101,"?*")&gt;=$D$4, "✅ CUBIERTO",
 IF(COUNTIF(D101:F101,"?*")&gt;0, "⚠ FALTANTE",
 "❌ SIN COMPLETAR"))</f>
        <v>✅ CUBIERTO</v>
      </c>
      <c r="I101" s="63">
        <v>45999</v>
      </c>
      <c r="J101" s="55" t="str">
        <f t="shared" ref="J101:J108" si="52">TEXT(I101,"ddd")</f>
        <v>lun</v>
      </c>
      <c r="K101" s="56">
        <v>0.5</v>
      </c>
      <c r="L101" s="57" t="s">
        <v>4</v>
      </c>
      <c r="M101" s="57"/>
      <c r="N101" s="57"/>
      <c r="O101" s="57" t="str">
        <f t="shared" ref="O101:O178" si="53">IF(COUNTIF(L101:N101,"?*")&gt;=$L$4, "✅ CUBIERTO",
 IF(COUNTIF(L101:N101,"?*")&gt;0, "⚠ FALTANTE",
 "❌ SIN COMPLETAR"))</f>
        <v>✅ CUBIERTO</v>
      </c>
    </row>
    <row r="102" spans="1:15" x14ac:dyDescent="0.3">
      <c r="A102" s="60">
        <v>45969</v>
      </c>
      <c r="B102" s="45" t="str">
        <f t="shared" si="50"/>
        <v>sáb</v>
      </c>
      <c r="C102" s="46">
        <v>0.54166666666666696</v>
      </c>
      <c r="D102" s="47" t="s">
        <v>22</v>
      </c>
      <c r="E102" s="47"/>
      <c r="F102" s="47"/>
      <c r="G102" s="47" t="str">
        <f t="shared" si="51"/>
        <v>✅ CUBIERTO</v>
      </c>
      <c r="I102" s="63">
        <v>45999</v>
      </c>
      <c r="J102" s="55" t="str">
        <f t="shared" si="52"/>
        <v>lun</v>
      </c>
      <c r="K102" s="56">
        <v>0.54166666666666696</v>
      </c>
      <c r="L102" s="57" t="s">
        <v>4</v>
      </c>
      <c r="M102" s="57"/>
      <c r="N102" s="57"/>
      <c r="O102" s="57" t="str">
        <f t="shared" si="53"/>
        <v>✅ CUBIERTO</v>
      </c>
    </row>
    <row r="103" spans="1:15" x14ac:dyDescent="0.3">
      <c r="A103" s="60">
        <v>45969</v>
      </c>
      <c r="B103" s="45" t="str">
        <f t="shared" si="50"/>
        <v>sáb</v>
      </c>
      <c r="C103" s="46">
        <v>0.58333333333333304</v>
      </c>
      <c r="D103" s="47" t="s">
        <v>22</v>
      </c>
      <c r="E103" s="47"/>
      <c r="F103" s="47"/>
      <c r="G103" s="47" t="str">
        <f t="shared" si="51"/>
        <v>✅ CUBIERTO</v>
      </c>
      <c r="I103" s="63">
        <v>45999</v>
      </c>
      <c r="J103" s="55" t="str">
        <f t="shared" si="52"/>
        <v>lun</v>
      </c>
      <c r="K103" s="56">
        <v>0.58333333333333304</v>
      </c>
      <c r="L103" s="57" t="s">
        <v>4</v>
      </c>
      <c r="M103" s="57"/>
      <c r="N103" s="57"/>
      <c r="O103" s="57" t="str">
        <f t="shared" si="53"/>
        <v>✅ CUBIERTO</v>
      </c>
    </row>
    <row r="104" spans="1:15" x14ac:dyDescent="0.3">
      <c r="A104" s="60">
        <v>45969</v>
      </c>
      <c r="B104" s="45" t="str">
        <f t="shared" si="50"/>
        <v>sáb</v>
      </c>
      <c r="C104" s="46">
        <v>0.625</v>
      </c>
      <c r="D104" s="47" t="s">
        <v>22</v>
      </c>
      <c r="E104" s="47"/>
      <c r="F104" s="47"/>
      <c r="G104" s="47" t="str">
        <f t="shared" si="51"/>
        <v>✅ CUBIERTO</v>
      </c>
      <c r="I104" s="63">
        <v>45999</v>
      </c>
      <c r="J104" s="55" t="str">
        <f t="shared" si="52"/>
        <v>lun</v>
      </c>
      <c r="K104" s="56">
        <v>0.625</v>
      </c>
      <c r="L104" s="57" t="s">
        <v>4</v>
      </c>
      <c r="M104" s="57"/>
      <c r="N104" s="57"/>
      <c r="O104" s="57" t="str">
        <f t="shared" si="53"/>
        <v>✅ CUBIERTO</v>
      </c>
    </row>
    <row r="105" spans="1:15" x14ac:dyDescent="0.3">
      <c r="A105" s="60">
        <v>45969</v>
      </c>
      <c r="B105" s="45" t="str">
        <f t="shared" si="50"/>
        <v>sáb</v>
      </c>
      <c r="C105" s="46">
        <v>0.66666666666666696</v>
      </c>
      <c r="D105" s="47" t="s">
        <v>22</v>
      </c>
      <c r="E105" s="47"/>
      <c r="F105" s="47"/>
      <c r="G105" s="47" t="str">
        <f t="shared" si="51"/>
        <v>✅ CUBIERTO</v>
      </c>
      <c r="I105" s="63">
        <v>45999</v>
      </c>
      <c r="J105" s="55" t="str">
        <f t="shared" si="52"/>
        <v>lun</v>
      </c>
      <c r="K105" s="56">
        <v>0.66666666666666696</v>
      </c>
      <c r="L105" s="57" t="s">
        <v>4</v>
      </c>
      <c r="M105" s="57"/>
      <c r="N105" s="57"/>
      <c r="O105" s="57" t="str">
        <f t="shared" si="53"/>
        <v>✅ CUBIERTO</v>
      </c>
    </row>
    <row r="106" spans="1:15" x14ac:dyDescent="0.3">
      <c r="A106" s="60">
        <v>45969</v>
      </c>
      <c r="B106" s="45" t="str">
        <f t="shared" si="50"/>
        <v>sáb</v>
      </c>
      <c r="C106" s="46">
        <v>0.70833333333333304</v>
      </c>
      <c r="D106" s="47" t="s">
        <v>22</v>
      </c>
      <c r="E106" s="47"/>
      <c r="F106" s="47"/>
      <c r="G106" s="47" t="str">
        <f t="shared" si="51"/>
        <v>✅ CUBIERTO</v>
      </c>
      <c r="I106" s="63">
        <v>45999</v>
      </c>
      <c r="J106" s="55" t="str">
        <f t="shared" si="52"/>
        <v>lun</v>
      </c>
      <c r="K106" s="56">
        <v>0.70833333333333304</v>
      </c>
      <c r="L106" s="57" t="s">
        <v>4</v>
      </c>
      <c r="M106" s="57"/>
      <c r="N106" s="57"/>
      <c r="O106" s="57" t="str">
        <f t="shared" si="53"/>
        <v>✅ CUBIERTO</v>
      </c>
    </row>
    <row r="107" spans="1:15" x14ac:dyDescent="0.3">
      <c r="A107" s="60">
        <v>45969</v>
      </c>
      <c r="B107" s="45" t="str">
        <f t="shared" si="50"/>
        <v>sáb</v>
      </c>
      <c r="C107" s="46">
        <v>0.75</v>
      </c>
      <c r="D107" s="47" t="s">
        <v>22</v>
      </c>
      <c r="E107" s="47"/>
      <c r="F107" s="47"/>
      <c r="G107" s="47" t="str">
        <f t="shared" si="51"/>
        <v>✅ CUBIERTO</v>
      </c>
      <c r="I107" s="63">
        <v>45999</v>
      </c>
      <c r="J107" s="55" t="str">
        <f t="shared" si="52"/>
        <v>lun</v>
      </c>
      <c r="K107" s="56">
        <v>0.75</v>
      </c>
      <c r="L107" s="57" t="s">
        <v>4</v>
      </c>
      <c r="M107" s="57"/>
      <c r="N107" s="57"/>
      <c r="O107" s="57" t="str">
        <f t="shared" si="53"/>
        <v>✅ CUBIERTO</v>
      </c>
    </row>
    <row r="108" spans="1:15" x14ac:dyDescent="0.3">
      <c r="A108" s="60">
        <v>45969</v>
      </c>
      <c r="B108" s="45" t="str">
        <f t="shared" si="50"/>
        <v>sáb</v>
      </c>
      <c r="C108" s="46">
        <v>0.79166666666666696</v>
      </c>
      <c r="D108" s="47" t="s">
        <v>22</v>
      </c>
      <c r="E108" s="47"/>
      <c r="F108" s="47"/>
      <c r="G108" s="47" t="str">
        <f t="shared" si="51"/>
        <v>✅ CUBIERTO</v>
      </c>
      <c r="I108" s="63">
        <v>45999</v>
      </c>
      <c r="J108" s="55" t="str">
        <f t="shared" si="52"/>
        <v>lun</v>
      </c>
      <c r="K108" s="56">
        <v>0.79166666666666696</v>
      </c>
      <c r="L108" s="57" t="s">
        <v>4</v>
      </c>
      <c r="M108" s="57"/>
      <c r="N108" s="57"/>
      <c r="O108" s="57" t="str">
        <f t="shared" si="53"/>
        <v>✅ CUBIERTO</v>
      </c>
    </row>
    <row r="109" spans="1:15" x14ac:dyDescent="0.3">
      <c r="A109" s="60">
        <v>45969</v>
      </c>
      <c r="B109" s="45" t="str">
        <f t="shared" ref="B109" si="54">TEXT(A109,"ddd")</f>
        <v>sáb</v>
      </c>
      <c r="C109" s="46">
        <v>0.83333333333333337</v>
      </c>
      <c r="D109" s="47" t="s">
        <v>22</v>
      </c>
      <c r="E109" s="47"/>
      <c r="F109" s="47"/>
      <c r="G109" s="47" t="str">
        <f t="shared" ref="G109:G110" si="55">IF(COUNTIF(D109:F109,"?*")&gt;=$D$4, "✅ CUBIERTO",
 IF(COUNTIF(D109:F109,"?*")&gt;0, "⚠ FALTANTE",
 "❌ SIN COMPLETAR"))</f>
        <v>✅ CUBIERTO</v>
      </c>
      <c r="I109" s="63">
        <v>45999</v>
      </c>
      <c r="J109" s="55" t="str">
        <f t="shared" ref="J109" si="56">TEXT(I109,"ddd")</f>
        <v>lun</v>
      </c>
      <c r="K109" s="56">
        <v>0.83333333333333337</v>
      </c>
      <c r="L109" s="57" t="s">
        <v>4</v>
      </c>
      <c r="M109" s="57"/>
      <c r="N109" s="57"/>
      <c r="O109" s="57" t="str">
        <f t="shared" ref="O109:O110" si="57">IF(COUNTIF(L109:N109,"?*")&gt;=$L$4, "✅ CUBIERTO",
 IF(COUNTIF(L109:N109,"?*")&gt;0, "⚠ FALTANTE",
 "❌ SIN COMPLETAR"))</f>
        <v>✅ CUBIERTO</v>
      </c>
    </row>
    <row r="110" spans="1:15" x14ac:dyDescent="0.3">
      <c r="A110" s="60">
        <v>45970</v>
      </c>
      <c r="B110" s="45" t="str">
        <f>TEXT(A110,"ddd")</f>
        <v>dom</v>
      </c>
      <c r="C110" s="46">
        <v>0.41666666666666669</v>
      </c>
      <c r="D110" s="47" t="s">
        <v>22</v>
      </c>
      <c r="E110" s="47"/>
      <c r="F110" s="47"/>
      <c r="G110" s="47" t="str">
        <f t="shared" si="55"/>
        <v>✅ CUBIERTO</v>
      </c>
      <c r="I110" s="60">
        <v>46000</v>
      </c>
      <c r="J110" s="45" t="str">
        <f>TEXT(I110,"ddd")</f>
        <v>mar</v>
      </c>
      <c r="K110" s="46">
        <v>0.41666666666666669</v>
      </c>
      <c r="L110" s="47" t="s">
        <v>4</v>
      </c>
      <c r="M110" s="47"/>
      <c r="N110" s="47"/>
      <c r="O110" s="47" t="str">
        <f t="shared" si="57"/>
        <v>✅ CUBIERTO</v>
      </c>
    </row>
    <row r="111" spans="1:15" x14ac:dyDescent="0.3">
      <c r="A111" s="60">
        <v>45970</v>
      </c>
      <c r="B111" s="45" t="str">
        <f>TEXT(A111,"ddd")</f>
        <v>dom</v>
      </c>
      <c r="C111" s="46">
        <v>0.45833333333333331</v>
      </c>
      <c r="D111" s="47" t="s">
        <v>22</v>
      </c>
      <c r="E111" s="47"/>
      <c r="F111" s="47"/>
      <c r="G111" s="47" t="str">
        <f t="shared" si="51"/>
        <v>✅ CUBIERTO</v>
      </c>
      <c r="I111" s="60">
        <v>46000</v>
      </c>
      <c r="J111" s="45" t="str">
        <f>TEXT(I111,"ddd")</f>
        <v>mar</v>
      </c>
      <c r="K111" s="46">
        <v>0.45833333333333331</v>
      </c>
      <c r="L111" s="47" t="s">
        <v>4</v>
      </c>
      <c r="M111" s="47"/>
      <c r="N111" s="47"/>
      <c r="O111" s="47" t="str">
        <f t="shared" si="53"/>
        <v>✅ CUBIERTO</v>
      </c>
    </row>
    <row r="112" spans="1:15" x14ac:dyDescent="0.3">
      <c r="A112" s="60">
        <v>45970</v>
      </c>
      <c r="B112" s="45" t="str">
        <f t="shared" ref="B112:B119" si="58">TEXT(A112,"ddd")</f>
        <v>dom</v>
      </c>
      <c r="C112" s="46">
        <v>0.5</v>
      </c>
      <c r="D112" s="47" t="s">
        <v>22</v>
      </c>
      <c r="E112" s="47"/>
      <c r="F112" s="47"/>
      <c r="G112" s="47" t="str">
        <f t="shared" si="51"/>
        <v>✅ CUBIERTO</v>
      </c>
      <c r="I112" s="60">
        <v>46000</v>
      </c>
      <c r="J112" s="45" t="str">
        <f t="shared" ref="J112:J119" si="59">TEXT(I112,"ddd")</f>
        <v>mar</v>
      </c>
      <c r="K112" s="46">
        <v>0.5</v>
      </c>
      <c r="L112" s="47" t="s">
        <v>4</v>
      </c>
      <c r="M112" s="47"/>
      <c r="N112" s="47"/>
      <c r="O112" s="47" t="str">
        <f t="shared" si="53"/>
        <v>✅ CUBIERTO</v>
      </c>
    </row>
    <row r="113" spans="1:15" x14ac:dyDescent="0.3">
      <c r="A113" s="60">
        <v>45970</v>
      </c>
      <c r="B113" s="45" t="str">
        <f t="shared" si="58"/>
        <v>dom</v>
      </c>
      <c r="C113" s="46">
        <v>0.54166666666666696</v>
      </c>
      <c r="D113" s="47" t="s">
        <v>22</v>
      </c>
      <c r="E113" s="47"/>
      <c r="F113" s="47"/>
      <c r="G113" s="47" t="str">
        <f t="shared" si="51"/>
        <v>✅ CUBIERTO</v>
      </c>
      <c r="I113" s="60">
        <v>46000</v>
      </c>
      <c r="J113" s="45" t="str">
        <f t="shared" si="59"/>
        <v>mar</v>
      </c>
      <c r="K113" s="46">
        <v>0.54166666666666696</v>
      </c>
      <c r="L113" s="47" t="s">
        <v>4</v>
      </c>
      <c r="M113" s="47"/>
      <c r="N113" s="47"/>
      <c r="O113" s="47" t="str">
        <f t="shared" si="53"/>
        <v>✅ CUBIERTO</v>
      </c>
    </row>
    <row r="114" spans="1:15" x14ac:dyDescent="0.3">
      <c r="A114" s="60">
        <v>45970</v>
      </c>
      <c r="B114" s="45" t="str">
        <f t="shared" si="58"/>
        <v>dom</v>
      </c>
      <c r="C114" s="46">
        <v>0.58333333333333304</v>
      </c>
      <c r="D114" s="47" t="s">
        <v>22</v>
      </c>
      <c r="E114" s="47"/>
      <c r="F114" s="47"/>
      <c r="G114" s="47" t="str">
        <f t="shared" si="51"/>
        <v>✅ CUBIERTO</v>
      </c>
      <c r="I114" s="60">
        <v>46000</v>
      </c>
      <c r="J114" s="45" t="str">
        <f t="shared" si="59"/>
        <v>mar</v>
      </c>
      <c r="K114" s="46">
        <v>0.58333333333333304</v>
      </c>
      <c r="L114" s="47" t="s">
        <v>4</v>
      </c>
      <c r="M114" s="47"/>
      <c r="N114" s="47"/>
      <c r="O114" s="47" t="str">
        <f t="shared" si="53"/>
        <v>✅ CUBIERTO</v>
      </c>
    </row>
    <row r="115" spans="1:15" x14ac:dyDescent="0.3">
      <c r="A115" s="60">
        <v>45970</v>
      </c>
      <c r="B115" s="45" t="str">
        <f t="shared" si="58"/>
        <v>dom</v>
      </c>
      <c r="C115" s="46">
        <v>0.625</v>
      </c>
      <c r="D115" s="47" t="s">
        <v>22</v>
      </c>
      <c r="E115" s="47"/>
      <c r="F115" s="47"/>
      <c r="G115" s="47" t="str">
        <f t="shared" si="51"/>
        <v>✅ CUBIERTO</v>
      </c>
      <c r="I115" s="60">
        <v>46000</v>
      </c>
      <c r="J115" s="45" t="str">
        <f t="shared" si="59"/>
        <v>mar</v>
      </c>
      <c r="K115" s="46">
        <v>0.625</v>
      </c>
      <c r="L115" s="47" t="s">
        <v>4</v>
      </c>
      <c r="M115" s="47"/>
      <c r="N115" s="47"/>
      <c r="O115" s="47" t="str">
        <f t="shared" si="53"/>
        <v>✅ CUBIERTO</v>
      </c>
    </row>
    <row r="116" spans="1:15" x14ac:dyDescent="0.3">
      <c r="A116" s="60">
        <v>45970</v>
      </c>
      <c r="B116" s="45" t="str">
        <f t="shared" si="58"/>
        <v>dom</v>
      </c>
      <c r="C116" s="46">
        <v>0.66666666666666696</v>
      </c>
      <c r="D116" s="47" t="s">
        <v>22</v>
      </c>
      <c r="E116" s="47"/>
      <c r="F116" s="47"/>
      <c r="G116" s="47" t="str">
        <f t="shared" si="51"/>
        <v>✅ CUBIERTO</v>
      </c>
      <c r="I116" s="60">
        <v>46000</v>
      </c>
      <c r="J116" s="45" t="str">
        <f t="shared" si="59"/>
        <v>mar</v>
      </c>
      <c r="K116" s="46">
        <v>0.66666666666666696</v>
      </c>
      <c r="L116" s="47" t="s">
        <v>4</v>
      </c>
      <c r="M116" s="47"/>
      <c r="N116" s="47"/>
      <c r="O116" s="47" t="str">
        <f t="shared" si="53"/>
        <v>✅ CUBIERTO</v>
      </c>
    </row>
    <row r="117" spans="1:15" x14ac:dyDescent="0.3">
      <c r="A117" s="60">
        <v>45970</v>
      </c>
      <c r="B117" s="45" t="str">
        <f t="shared" si="58"/>
        <v>dom</v>
      </c>
      <c r="C117" s="46">
        <v>0.70833333333333304</v>
      </c>
      <c r="D117" s="47" t="s">
        <v>22</v>
      </c>
      <c r="E117" s="47"/>
      <c r="F117" s="47"/>
      <c r="G117" s="47" t="str">
        <f t="shared" si="51"/>
        <v>✅ CUBIERTO</v>
      </c>
      <c r="I117" s="60">
        <v>46000</v>
      </c>
      <c r="J117" s="45" t="str">
        <f t="shared" si="59"/>
        <v>mar</v>
      </c>
      <c r="K117" s="46">
        <v>0.70833333333333304</v>
      </c>
      <c r="L117" s="47" t="s">
        <v>4</v>
      </c>
      <c r="M117" s="47"/>
      <c r="N117" s="47"/>
      <c r="O117" s="47" t="str">
        <f t="shared" si="53"/>
        <v>✅ CUBIERTO</v>
      </c>
    </row>
    <row r="118" spans="1:15" x14ac:dyDescent="0.3">
      <c r="A118" s="60">
        <v>45970</v>
      </c>
      <c r="B118" s="45" t="str">
        <f t="shared" si="58"/>
        <v>dom</v>
      </c>
      <c r="C118" s="46">
        <v>0.75</v>
      </c>
      <c r="D118" s="47" t="s">
        <v>22</v>
      </c>
      <c r="E118" s="47"/>
      <c r="F118" s="47"/>
      <c r="G118" s="47" t="str">
        <f t="shared" si="51"/>
        <v>✅ CUBIERTO</v>
      </c>
      <c r="I118" s="60">
        <v>46000</v>
      </c>
      <c r="J118" s="45" t="str">
        <f t="shared" si="59"/>
        <v>mar</v>
      </c>
      <c r="K118" s="46">
        <v>0.75</v>
      </c>
      <c r="L118" s="47" t="s">
        <v>4</v>
      </c>
      <c r="M118" s="47"/>
      <c r="N118" s="47"/>
      <c r="O118" s="47" t="str">
        <f t="shared" si="53"/>
        <v>✅ CUBIERTO</v>
      </c>
    </row>
    <row r="119" spans="1:15" x14ac:dyDescent="0.3">
      <c r="A119" s="60">
        <v>45970</v>
      </c>
      <c r="B119" s="45" t="str">
        <f t="shared" si="58"/>
        <v>dom</v>
      </c>
      <c r="C119" s="46">
        <v>0.79166666666666696</v>
      </c>
      <c r="D119" s="47" t="s">
        <v>22</v>
      </c>
      <c r="E119" s="47"/>
      <c r="F119" s="47"/>
      <c r="G119" s="47" t="str">
        <f t="shared" si="51"/>
        <v>✅ CUBIERTO</v>
      </c>
      <c r="I119" s="60">
        <v>46000</v>
      </c>
      <c r="J119" s="45" t="str">
        <f t="shared" si="59"/>
        <v>mar</v>
      </c>
      <c r="K119" s="46">
        <v>0.79166666666666696</v>
      </c>
      <c r="L119" s="47" t="s">
        <v>4</v>
      </c>
      <c r="M119" s="47"/>
      <c r="N119" s="47"/>
      <c r="O119" s="47" t="str">
        <f t="shared" si="53"/>
        <v>✅ CUBIERTO</v>
      </c>
    </row>
    <row r="120" spans="1:15" x14ac:dyDescent="0.3">
      <c r="A120" s="60">
        <v>45970</v>
      </c>
      <c r="B120" s="45" t="str">
        <f t="shared" ref="B120" si="60">TEXT(A120,"ddd")</f>
        <v>dom</v>
      </c>
      <c r="C120" s="46">
        <v>0.83333333333333337</v>
      </c>
      <c r="D120" s="47" t="s">
        <v>22</v>
      </c>
      <c r="E120" s="47"/>
      <c r="F120" s="47"/>
      <c r="G120" s="47" t="str">
        <f t="shared" ref="G120:G121" si="61">IF(COUNTIF(D120:F120,"?*")&gt;=$D$4, "✅ CUBIERTO",
 IF(COUNTIF(D120:F120,"?*")&gt;0, "⚠ FALTANTE",
 "❌ SIN COMPLETAR"))</f>
        <v>✅ CUBIERTO</v>
      </c>
      <c r="I120" s="60">
        <v>46000</v>
      </c>
      <c r="J120" s="45" t="str">
        <f t="shared" ref="J120" si="62">TEXT(I120,"ddd")</f>
        <v>mar</v>
      </c>
      <c r="K120" s="46">
        <v>0.83333333333333337</v>
      </c>
      <c r="L120" s="47" t="s">
        <v>4</v>
      </c>
      <c r="M120" s="47"/>
      <c r="N120" s="47"/>
      <c r="O120" s="47" t="str">
        <f t="shared" ref="O120:O121" si="63">IF(COUNTIF(L120:N120,"?*")&gt;=$L$4, "✅ CUBIERTO",
 IF(COUNTIF(L120:N120,"?*")&gt;0, "⚠ FALTANTE",
 "❌ SIN COMPLETAR"))</f>
        <v>✅ CUBIERTO</v>
      </c>
    </row>
    <row r="121" spans="1:15" x14ac:dyDescent="0.3">
      <c r="A121" s="60">
        <v>45971</v>
      </c>
      <c r="B121" s="45" t="str">
        <f>TEXT(A121,"ddd")</f>
        <v>lun</v>
      </c>
      <c r="C121" s="46">
        <v>0.41666666666666669</v>
      </c>
      <c r="D121" s="47" t="s">
        <v>22</v>
      </c>
      <c r="E121" s="47"/>
      <c r="F121" s="47"/>
      <c r="G121" s="47" t="str">
        <f t="shared" si="61"/>
        <v>✅ CUBIERTO</v>
      </c>
      <c r="I121" s="60">
        <v>46001</v>
      </c>
      <c r="J121" s="45" t="str">
        <f>TEXT(I121,"ddd")</f>
        <v>mié</v>
      </c>
      <c r="K121" s="46">
        <v>0.41666666666666669</v>
      </c>
      <c r="L121" s="47" t="s">
        <v>4</v>
      </c>
      <c r="M121" s="47"/>
      <c r="N121" s="47"/>
      <c r="O121" s="47" t="str">
        <f t="shared" si="63"/>
        <v>✅ CUBIERTO</v>
      </c>
    </row>
    <row r="122" spans="1:15" x14ac:dyDescent="0.3">
      <c r="A122" s="60">
        <v>45971</v>
      </c>
      <c r="B122" s="45" t="str">
        <f>TEXT(A122,"ddd")</f>
        <v>lun</v>
      </c>
      <c r="C122" s="46">
        <v>0.45833333333333331</v>
      </c>
      <c r="D122" s="47" t="s">
        <v>22</v>
      </c>
      <c r="E122" s="47"/>
      <c r="F122" s="47"/>
      <c r="G122" s="47" t="str">
        <f t="shared" si="51"/>
        <v>✅ CUBIERTO</v>
      </c>
      <c r="I122" s="60">
        <v>46001</v>
      </c>
      <c r="J122" s="45" t="str">
        <f>TEXT(I122,"ddd")</f>
        <v>mié</v>
      </c>
      <c r="K122" s="46">
        <v>0.45833333333333331</v>
      </c>
      <c r="L122" s="47" t="s">
        <v>4</v>
      </c>
      <c r="M122" s="47"/>
      <c r="N122" s="47"/>
      <c r="O122" s="47" t="str">
        <f t="shared" si="53"/>
        <v>✅ CUBIERTO</v>
      </c>
    </row>
    <row r="123" spans="1:15" x14ac:dyDescent="0.3">
      <c r="A123" s="60">
        <v>45971</v>
      </c>
      <c r="B123" s="45" t="str">
        <f t="shared" ref="B123:B130" si="64">TEXT(A123,"ddd")</f>
        <v>lun</v>
      </c>
      <c r="C123" s="46">
        <v>0.5</v>
      </c>
      <c r="D123" s="47" t="s">
        <v>22</v>
      </c>
      <c r="E123" s="47"/>
      <c r="F123" s="47"/>
      <c r="G123" s="47" t="str">
        <f t="shared" si="51"/>
        <v>✅ CUBIERTO</v>
      </c>
      <c r="I123" s="60">
        <v>46001</v>
      </c>
      <c r="J123" s="45" t="str">
        <f t="shared" ref="J123:J130" si="65">TEXT(I123,"ddd")</f>
        <v>mié</v>
      </c>
      <c r="K123" s="46">
        <v>0.5</v>
      </c>
      <c r="L123" s="47" t="s">
        <v>4</v>
      </c>
      <c r="M123" s="47"/>
      <c r="N123" s="47"/>
      <c r="O123" s="47" t="str">
        <f t="shared" si="53"/>
        <v>✅ CUBIERTO</v>
      </c>
    </row>
    <row r="124" spans="1:15" x14ac:dyDescent="0.3">
      <c r="A124" s="60">
        <v>45971</v>
      </c>
      <c r="B124" s="45" t="str">
        <f t="shared" si="64"/>
        <v>lun</v>
      </c>
      <c r="C124" s="46">
        <v>0.54166666666666696</v>
      </c>
      <c r="D124" s="47" t="s">
        <v>22</v>
      </c>
      <c r="E124" s="47"/>
      <c r="F124" s="47"/>
      <c r="G124" s="47" t="str">
        <f t="shared" si="51"/>
        <v>✅ CUBIERTO</v>
      </c>
      <c r="I124" s="60">
        <v>46001</v>
      </c>
      <c r="J124" s="45" t="str">
        <f t="shared" si="65"/>
        <v>mié</v>
      </c>
      <c r="K124" s="46">
        <v>0.54166666666666696</v>
      </c>
      <c r="L124" s="47" t="s">
        <v>4</v>
      </c>
      <c r="M124" s="47"/>
      <c r="N124" s="47"/>
      <c r="O124" s="47" t="str">
        <f t="shared" si="53"/>
        <v>✅ CUBIERTO</v>
      </c>
    </row>
    <row r="125" spans="1:15" x14ac:dyDescent="0.3">
      <c r="A125" s="60">
        <v>45971</v>
      </c>
      <c r="B125" s="45" t="str">
        <f t="shared" si="64"/>
        <v>lun</v>
      </c>
      <c r="C125" s="46">
        <v>0.58333333333333304</v>
      </c>
      <c r="D125" s="47" t="s">
        <v>22</v>
      </c>
      <c r="E125" s="47"/>
      <c r="F125" s="47"/>
      <c r="G125" s="47" t="str">
        <f t="shared" si="51"/>
        <v>✅ CUBIERTO</v>
      </c>
      <c r="I125" s="60">
        <v>46001</v>
      </c>
      <c r="J125" s="45" t="str">
        <f t="shared" si="65"/>
        <v>mié</v>
      </c>
      <c r="K125" s="46">
        <v>0.58333333333333304</v>
      </c>
      <c r="L125" s="47" t="s">
        <v>4</v>
      </c>
      <c r="M125" s="47"/>
      <c r="N125" s="47"/>
      <c r="O125" s="47" t="str">
        <f t="shared" si="53"/>
        <v>✅ CUBIERTO</v>
      </c>
    </row>
    <row r="126" spans="1:15" x14ac:dyDescent="0.3">
      <c r="A126" s="60">
        <v>45971</v>
      </c>
      <c r="B126" s="45" t="str">
        <f t="shared" si="64"/>
        <v>lun</v>
      </c>
      <c r="C126" s="46">
        <v>0.625</v>
      </c>
      <c r="D126" s="47" t="s">
        <v>22</v>
      </c>
      <c r="E126" s="47"/>
      <c r="F126" s="47"/>
      <c r="G126" s="47" t="str">
        <f t="shared" si="51"/>
        <v>✅ CUBIERTO</v>
      </c>
      <c r="I126" s="60">
        <v>46001</v>
      </c>
      <c r="J126" s="45" t="str">
        <f t="shared" si="65"/>
        <v>mié</v>
      </c>
      <c r="K126" s="46">
        <v>0.625</v>
      </c>
      <c r="L126" s="47" t="s">
        <v>4</v>
      </c>
      <c r="M126" s="47"/>
      <c r="N126" s="47"/>
      <c r="O126" s="47" t="str">
        <f t="shared" si="53"/>
        <v>✅ CUBIERTO</v>
      </c>
    </row>
    <row r="127" spans="1:15" x14ac:dyDescent="0.3">
      <c r="A127" s="60">
        <v>45971</v>
      </c>
      <c r="B127" s="45" t="str">
        <f t="shared" si="64"/>
        <v>lun</v>
      </c>
      <c r="C127" s="46">
        <v>0.66666666666666696</v>
      </c>
      <c r="D127" s="47" t="s">
        <v>22</v>
      </c>
      <c r="E127" s="47"/>
      <c r="F127" s="47"/>
      <c r="G127" s="47" t="str">
        <f t="shared" si="51"/>
        <v>✅ CUBIERTO</v>
      </c>
      <c r="I127" s="60">
        <v>46001</v>
      </c>
      <c r="J127" s="45" t="str">
        <f t="shared" si="65"/>
        <v>mié</v>
      </c>
      <c r="K127" s="46">
        <v>0.66666666666666696</v>
      </c>
      <c r="L127" s="47" t="s">
        <v>4</v>
      </c>
      <c r="M127" s="47"/>
      <c r="N127" s="47"/>
      <c r="O127" s="47" t="str">
        <f t="shared" si="53"/>
        <v>✅ CUBIERTO</v>
      </c>
    </row>
    <row r="128" spans="1:15" x14ac:dyDescent="0.3">
      <c r="A128" s="60">
        <v>45971</v>
      </c>
      <c r="B128" s="45" t="str">
        <f t="shared" si="64"/>
        <v>lun</v>
      </c>
      <c r="C128" s="46">
        <v>0.70833333333333304</v>
      </c>
      <c r="D128" s="47" t="s">
        <v>22</v>
      </c>
      <c r="E128" s="47"/>
      <c r="F128" s="47"/>
      <c r="G128" s="47" t="str">
        <f t="shared" si="51"/>
        <v>✅ CUBIERTO</v>
      </c>
      <c r="I128" s="60">
        <v>46001</v>
      </c>
      <c r="J128" s="45" t="str">
        <f t="shared" si="65"/>
        <v>mié</v>
      </c>
      <c r="K128" s="46">
        <v>0.70833333333333304</v>
      </c>
      <c r="L128" s="47" t="s">
        <v>4</v>
      </c>
      <c r="M128" s="47"/>
      <c r="N128" s="47"/>
      <c r="O128" s="47" t="str">
        <f t="shared" si="53"/>
        <v>✅ CUBIERTO</v>
      </c>
    </row>
    <row r="129" spans="1:15" x14ac:dyDescent="0.3">
      <c r="A129" s="60">
        <v>45971</v>
      </c>
      <c r="B129" s="45" t="str">
        <f t="shared" si="64"/>
        <v>lun</v>
      </c>
      <c r="C129" s="46">
        <v>0.75</v>
      </c>
      <c r="D129" s="47" t="s">
        <v>22</v>
      </c>
      <c r="E129" s="47"/>
      <c r="F129" s="47"/>
      <c r="G129" s="47" t="str">
        <f t="shared" si="51"/>
        <v>✅ CUBIERTO</v>
      </c>
      <c r="I129" s="60">
        <v>46001</v>
      </c>
      <c r="J129" s="45" t="str">
        <f t="shared" si="65"/>
        <v>mié</v>
      </c>
      <c r="K129" s="46">
        <v>0.75</v>
      </c>
      <c r="L129" s="47" t="s">
        <v>4</v>
      </c>
      <c r="M129" s="47"/>
      <c r="N129" s="47"/>
      <c r="O129" s="47" t="str">
        <f t="shared" si="53"/>
        <v>✅ CUBIERTO</v>
      </c>
    </row>
    <row r="130" spans="1:15" x14ac:dyDescent="0.3">
      <c r="A130" s="60">
        <v>45971</v>
      </c>
      <c r="B130" s="45" t="str">
        <f t="shared" si="64"/>
        <v>lun</v>
      </c>
      <c r="C130" s="46">
        <v>0.79166666666666696</v>
      </c>
      <c r="D130" s="47" t="s">
        <v>22</v>
      </c>
      <c r="E130" s="47"/>
      <c r="F130" s="47"/>
      <c r="G130" s="47" t="str">
        <f t="shared" si="51"/>
        <v>✅ CUBIERTO</v>
      </c>
      <c r="I130" s="60">
        <v>46001</v>
      </c>
      <c r="J130" s="45" t="str">
        <f t="shared" si="65"/>
        <v>mié</v>
      </c>
      <c r="K130" s="46">
        <v>0.79166666666666696</v>
      </c>
      <c r="L130" s="47" t="s">
        <v>4</v>
      </c>
      <c r="M130" s="47"/>
      <c r="N130" s="47"/>
      <c r="O130" s="47" t="str">
        <f t="shared" si="53"/>
        <v>✅ CUBIERTO</v>
      </c>
    </row>
    <row r="131" spans="1:15" x14ac:dyDescent="0.3">
      <c r="A131" s="60">
        <v>45971</v>
      </c>
      <c r="B131" s="45" t="str">
        <f t="shared" ref="B131" si="66">TEXT(A131,"ddd")</f>
        <v>lun</v>
      </c>
      <c r="C131" s="46">
        <v>0.83333333333333337</v>
      </c>
      <c r="D131" s="47" t="s">
        <v>22</v>
      </c>
      <c r="E131" s="47"/>
      <c r="F131" s="47"/>
      <c r="G131" s="47" t="str">
        <f t="shared" ref="G131:G132" si="67">IF(COUNTIF(D131:F131,"?*")&gt;=$D$4, "✅ CUBIERTO",
 IF(COUNTIF(D131:F131,"?*")&gt;0, "⚠ FALTANTE",
 "❌ SIN COMPLETAR"))</f>
        <v>✅ CUBIERTO</v>
      </c>
      <c r="I131" s="60">
        <v>46001</v>
      </c>
      <c r="J131" s="45" t="str">
        <f t="shared" ref="J131" si="68">TEXT(I131,"ddd")</f>
        <v>mié</v>
      </c>
      <c r="K131" s="46">
        <v>0.83333333333333337</v>
      </c>
      <c r="L131" s="47" t="s">
        <v>4</v>
      </c>
      <c r="M131" s="47"/>
      <c r="N131" s="47"/>
      <c r="O131" s="47" t="str">
        <f t="shared" ref="O131:O132" si="69">IF(COUNTIF(L131:N131,"?*")&gt;=$L$4, "✅ CUBIERTO",
 IF(COUNTIF(L131:N131,"?*")&gt;0, "⚠ FALTANTE",
 "❌ SIN COMPLETAR"))</f>
        <v>✅ CUBIERTO</v>
      </c>
    </row>
    <row r="132" spans="1:15" x14ac:dyDescent="0.3">
      <c r="A132" s="60">
        <v>45972</v>
      </c>
      <c r="B132" s="45" t="str">
        <f>TEXT(A132,"ddd")</f>
        <v>mar</v>
      </c>
      <c r="C132" s="46">
        <v>0.41666666666666669</v>
      </c>
      <c r="D132" s="47" t="s">
        <v>22</v>
      </c>
      <c r="E132" s="47"/>
      <c r="F132" s="47"/>
      <c r="G132" s="47" t="str">
        <f t="shared" si="67"/>
        <v>✅ CUBIERTO</v>
      </c>
      <c r="I132" s="60">
        <v>46002</v>
      </c>
      <c r="J132" s="45" t="str">
        <f>TEXT(I132,"ddd")</f>
        <v>jue</v>
      </c>
      <c r="K132" s="46">
        <v>0.41666666666666669</v>
      </c>
      <c r="L132" s="47" t="s">
        <v>4</v>
      </c>
      <c r="M132" s="47"/>
      <c r="N132" s="47"/>
      <c r="O132" s="47" t="str">
        <f t="shared" si="69"/>
        <v>✅ CUBIERTO</v>
      </c>
    </row>
    <row r="133" spans="1:15" x14ac:dyDescent="0.3">
      <c r="A133" s="60">
        <v>45972</v>
      </c>
      <c r="B133" s="45" t="str">
        <f>TEXT(A133,"ddd")</f>
        <v>mar</v>
      </c>
      <c r="C133" s="46">
        <v>0.45833333333333331</v>
      </c>
      <c r="D133" s="47" t="s">
        <v>22</v>
      </c>
      <c r="E133" s="47"/>
      <c r="F133" s="47"/>
      <c r="G133" s="47" t="str">
        <f t="shared" si="51"/>
        <v>✅ CUBIERTO</v>
      </c>
      <c r="I133" s="60">
        <v>46002</v>
      </c>
      <c r="J133" s="45" t="str">
        <f>TEXT(I133,"ddd")</f>
        <v>jue</v>
      </c>
      <c r="K133" s="46">
        <v>0.45833333333333331</v>
      </c>
      <c r="L133" s="47" t="s">
        <v>4</v>
      </c>
      <c r="M133" s="47"/>
      <c r="N133" s="47"/>
      <c r="O133" s="47" t="str">
        <f t="shared" si="53"/>
        <v>✅ CUBIERTO</v>
      </c>
    </row>
    <row r="134" spans="1:15" x14ac:dyDescent="0.3">
      <c r="A134" s="60">
        <v>45972</v>
      </c>
      <c r="B134" s="45" t="str">
        <f t="shared" ref="B134:B141" si="70">TEXT(A134,"ddd")</f>
        <v>mar</v>
      </c>
      <c r="C134" s="46">
        <v>0.5</v>
      </c>
      <c r="D134" s="47" t="s">
        <v>22</v>
      </c>
      <c r="E134" s="47"/>
      <c r="F134" s="47"/>
      <c r="G134" s="47" t="str">
        <f t="shared" si="51"/>
        <v>✅ CUBIERTO</v>
      </c>
      <c r="I134" s="60">
        <v>46002</v>
      </c>
      <c r="J134" s="45" t="str">
        <f t="shared" ref="J134:J141" si="71">TEXT(I134,"ddd")</f>
        <v>jue</v>
      </c>
      <c r="K134" s="46">
        <v>0.5</v>
      </c>
      <c r="L134" s="47" t="s">
        <v>4</v>
      </c>
      <c r="M134" s="47"/>
      <c r="N134" s="47"/>
      <c r="O134" s="47" t="str">
        <f t="shared" si="53"/>
        <v>✅ CUBIERTO</v>
      </c>
    </row>
    <row r="135" spans="1:15" x14ac:dyDescent="0.3">
      <c r="A135" s="60">
        <v>45972</v>
      </c>
      <c r="B135" s="45" t="str">
        <f t="shared" si="70"/>
        <v>mar</v>
      </c>
      <c r="C135" s="46">
        <v>0.54166666666666696</v>
      </c>
      <c r="D135" s="47" t="s">
        <v>22</v>
      </c>
      <c r="E135" s="47"/>
      <c r="F135" s="47"/>
      <c r="G135" s="47" t="str">
        <f t="shared" si="51"/>
        <v>✅ CUBIERTO</v>
      </c>
      <c r="I135" s="60">
        <v>46002</v>
      </c>
      <c r="J135" s="45" t="str">
        <f t="shared" si="71"/>
        <v>jue</v>
      </c>
      <c r="K135" s="46">
        <v>0.54166666666666696</v>
      </c>
      <c r="L135" s="47" t="s">
        <v>4</v>
      </c>
      <c r="M135" s="47"/>
      <c r="N135" s="47"/>
      <c r="O135" s="47" t="str">
        <f t="shared" si="53"/>
        <v>✅ CUBIERTO</v>
      </c>
    </row>
    <row r="136" spans="1:15" x14ac:dyDescent="0.3">
      <c r="A136" s="60">
        <v>45972</v>
      </c>
      <c r="B136" s="45" t="str">
        <f t="shared" si="70"/>
        <v>mar</v>
      </c>
      <c r="C136" s="46">
        <v>0.58333333333333304</v>
      </c>
      <c r="D136" s="47" t="s">
        <v>22</v>
      </c>
      <c r="E136" s="47"/>
      <c r="F136" s="47"/>
      <c r="G136" s="47" t="str">
        <f t="shared" si="51"/>
        <v>✅ CUBIERTO</v>
      </c>
      <c r="I136" s="60">
        <v>46002</v>
      </c>
      <c r="J136" s="45" t="str">
        <f t="shared" si="71"/>
        <v>jue</v>
      </c>
      <c r="K136" s="46">
        <v>0.58333333333333304</v>
      </c>
      <c r="L136" s="47" t="s">
        <v>4</v>
      </c>
      <c r="M136" s="47"/>
      <c r="N136" s="47"/>
      <c r="O136" s="47" t="str">
        <f t="shared" si="53"/>
        <v>✅ CUBIERTO</v>
      </c>
    </row>
    <row r="137" spans="1:15" x14ac:dyDescent="0.3">
      <c r="A137" s="60">
        <v>45972</v>
      </c>
      <c r="B137" s="45" t="str">
        <f t="shared" si="70"/>
        <v>mar</v>
      </c>
      <c r="C137" s="46">
        <v>0.625</v>
      </c>
      <c r="D137" s="47" t="s">
        <v>22</v>
      </c>
      <c r="E137" s="47"/>
      <c r="F137" s="47"/>
      <c r="G137" s="47" t="str">
        <f t="shared" si="51"/>
        <v>✅ CUBIERTO</v>
      </c>
      <c r="I137" s="60">
        <v>46002</v>
      </c>
      <c r="J137" s="45" t="str">
        <f t="shared" si="71"/>
        <v>jue</v>
      </c>
      <c r="K137" s="46">
        <v>0.625</v>
      </c>
      <c r="L137" s="47" t="s">
        <v>4</v>
      </c>
      <c r="M137" s="47"/>
      <c r="N137" s="47"/>
      <c r="O137" s="47" t="str">
        <f t="shared" si="53"/>
        <v>✅ CUBIERTO</v>
      </c>
    </row>
    <row r="138" spans="1:15" x14ac:dyDescent="0.3">
      <c r="A138" s="60">
        <v>45972</v>
      </c>
      <c r="B138" s="45" t="str">
        <f t="shared" si="70"/>
        <v>mar</v>
      </c>
      <c r="C138" s="46">
        <v>0.66666666666666696</v>
      </c>
      <c r="D138" s="47" t="s">
        <v>22</v>
      </c>
      <c r="E138" s="47"/>
      <c r="F138" s="47"/>
      <c r="G138" s="47" t="str">
        <f t="shared" si="51"/>
        <v>✅ CUBIERTO</v>
      </c>
      <c r="I138" s="60">
        <v>46002</v>
      </c>
      <c r="J138" s="45" t="str">
        <f t="shared" si="71"/>
        <v>jue</v>
      </c>
      <c r="K138" s="46">
        <v>0.66666666666666696</v>
      </c>
      <c r="L138" s="47" t="s">
        <v>4</v>
      </c>
      <c r="M138" s="47"/>
      <c r="N138" s="47"/>
      <c r="O138" s="47" t="str">
        <f t="shared" si="53"/>
        <v>✅ CUBIERTO</v>
      </c>
    </row>
    <row r="139" spans="1:15" x14ac:dyDescent="0.3">
      <c r="A139" s="60">
        <v>45972</v>
      </c>
      <c r="B139" s="45" t="str">
        <f t="shared" si="70"/>
        <v>mar</v>
      </c>
      <c r="C139" s="46">
        <v>0.70833333333333304</v>
      </c>
      <c r="D139" s="47" t="s">
        <v>22</v>
      </c>
      <c r="E139" s="47"/>
      <c r="F139" s="47"/>
      <c r="G139" s="47" t="str">
        <f t="shared" si="51"/>
        <v>✅ CUBIERTO</v>
      </c>
      <c r="I139" s="60">
        <v>46002</v>
      </c>
      <c r="J139" s="45" t="str">
        <f t="shared" si="71"/>
        <v>jue</v>
      </c>
      <c r="K139" s="46">
        <v>0.70833333333333304</v>
      </c>
      <c r="L139" s="47" t="s">
        <v>4</v>
      </c>
      <c r="M139" s="47"/>
      <c r="N139" s="47"/>
      <c r="O139" s="47" t="str">
        <f t="shared" si="53"/>
        <v>✅ CUBIERTO</v>
      </c>
    </row>
    <row r="140" spans="1:15" x14ac:dyDescent="0.3">
      <c r="A140" s="60">
        <v>45972</v>
      </c>
      <c r="B140" s="45" t="str">
        <f t="shared" si="70"/>
        <v>mar</v>
      </c>
      <c r="C140" s="46">
        <v>0.75</v>
      </c>
      <c r="D140" s="47" t="s">
        <v>22</v>
      </c>
      <c r="E140" s="47"/>
      <c r="F140" s="47"/>
      <c r="G140" s="47" t="str">
        <f t="shared" si="51"/>
        <v>✅ CUBIERTO</v>
      </c>
      <c r="I140" s="60">
        <v>46002</v>
      </c>
      <c r="J140" s="45" t="str">
        <f t="shared" si="71"/>
        <v>jue</v>
      </c>
      <c r="K140" s="46">
        <v>0.75</v>
      </c>
      <c r="L140" s="47" t="s">
        <v>4</v>
      </c>
      <c r="M140" s="47"/>
      <c r="N140" s="47"/>
      <c r="O140" s="47" t="str">
        <f t="shared" si="53"/>
        <v>✅ CUBIERTO</v>
      </c>
    </row>
    <row r="141" spans="1:15" x14ac:dyDescent="0.3">
      <c r="A141" s="60">
        <v>45972</v>
      </c>
      <c r="B141" s="45" t="str">
        <f t="shared" si="70"/>
        <v>mar</v>
      </c>
      <c r="C141" s="46">
        <v>0.79166666666666696</v>
      </c>
      <c r="D141" s="47" t="s">
        <v>22</v>
      </c>
      <c r="E141" s="47"/>
      <c r="F141" s="47"/>
      <c r="G141" s="47" t="str">
        <f t="shared" si="51"/>
        <v>✅ CUBIERTO</v>
      </c>
      <c r="I141" s="60">
        <v>46002</v>
      </c>
      <c r="J141" s="45" t="str">
        <f t="shared" si="71"/>
        <v>jue</v>
      </c>
      <c r="K141" s="46">
        <v>0.79166666666666696</v>
      </c>
      <c r="L141" s="47" t="s">
        <v>4</v>
      </c>
      <c r="M141" s="47"/>
      <c r="N141" s="47"/>
      <c r="O141" s="47" t="str">
        <f t="shared" si="53"/>
        <v>✅ CUBIERTO</v>
      </c>
    </row>
    <row r="142" spans="1:15" x14ac:dyDescent="0.3">
      <c r="A142" s="60">
        <v>45972</v>
      </c>
      <c r="B142" s="45" t="str">
        <f t="shared" ref="B142" si="72">TEXT(A142,"ddd")</f>
        <v>mar</v>
      </c>
      <c r="C142" s="46">
        <v>0.83333333333333337</v>
      </c>
      <c r="D142" s="47" t="s">
        <v>22</v>
      </c>
      <c r="E142" s="47"/>
      <c r="F142" s="47"/>
      <c r="G142" s="47" t="str">
        <f t="shared" ref="G142:G143" si="73">IF(COUNTIF(D142:F142,"?*")&gt;=$D$4, "✅ CUBIERTO",
 IF(COUNTIF(D142:F142,"?*")&gt;0, "⚠ FALTANTE",
 "❌ SIN COMPLETAR"))</f>
        <v>✅ CUBIERTO</v>
      </c>
      <c r="I142" s="60">
        <v>46002</v>
      </c>
      <c r="J142" s="45" t="str">
        <f t="shared" ref="J142" si="74">TEXT(I142,"ddd")</f>
        <v>jue</v>
      </c>
      <c r="K142" s="46">
        <v>0.83333333333333337</v>
      </c>
      <c r="L142" s="47" t="s">
        <v>4</v>
      </c>
      <c r="M142" s="47"/>
      <c r="N142" s="47"/>
      <c r="O142" s="47" t="str">
        <f t="shared" ref="O142:O143" si="75">IF(COUNTIF(L142:N142,"?*")&gt;=$L$4, "✅ CUBIERTO",
 IF(COUNTIF(L142:N142,"?*")&gt;0, "⚠ FALTANTE",
 "❌ SIN COMPLETAR"))</f>
        <v>✅ CUBIERTO</v>
      </c>
    </row>
    <row r="143" spans="1:15" x14ac:dyDescent="0.3">
      <c r="A143" s="60">
        <v>45973</v>
      </c>
      <c r="B143" s="45" t="str">
        <f>TEXT(A143,"ddd")</f>
        <v>mié</v>
      </c>
      <c r="C143" s="46">
        <v>0.41666666666666669</v>
      </c>
      <c r="D143" s="47" t="s">
        <v>22</v>
      </c>
      <c r="E143" s="47"/>
      <c r="F143" s="47"/>
      <c r="G143" s="47" t="str">
        <f t="shared" si="73"/>
        <v>✅ CUBIERTO</v>
      </c>
      <c r="I143" s="60">
        <v>46003</v>
      </c>
      <c r="J143" s="45" t="str">
        <f>TEXT(I143,"ddd")</f>
        <v>vie</v>
      </c>
      <c r="K143" s="46">
        <v>0.41666666666666669</v>
      </c>
      <c r="L143" s="47" t="s">
        <v>4</v>
      </c>
      <c r="M143" s="47"/>
      <c r="N143" s="47"/>
      <c r="O143" s="47" t="str">
        <f t="shared" si="75"/>
        <v>✅ CUBIERTO</v>
      </c>
    </row>
    <row r="144" spans="1:15" x14ac:dyDescent="0.3">
      <c r="A144" s="60">
        <v>45973</v>
      </c>
      <c r="B144" s="45" t="str">
        <f>TEXT(A144,"ddd")</f>
        <v>mié</v>
      </c>
      <c r="C144" s="46">
        <v>0.45833333333333331</v>
      </c>
      <c r="D144" s="47" t="s">
        <v>22</v>
      </c>
      <c r="E144" s="47"/>
      <c r="F144" s="47"/>
      <c r="G144" s="47" t="str">
        <f t="shared" si="51"/>
        <v>✅ CUBIERTO</v>
      </c>
      <c r="I144" s="60">
        <v>46003</v>
      </c>
      <c r="J144" s="45" t="str">
        <f>TEXT(I144,"ddd")</f>
        <v>vie</v>
      </c>
      <c r="K144" s="46">
        <v>0.45833333333333331</v>
      </c>
      <c r="L144" s="47" t="s">
        <v>4</v>
      </c>
      <c r="M144" s="47"/>
      <c r="N144" s="47"/>
      <c r="O144" s="47" t="str">
        <f t="shared" si="53"/>
        <v>✅ CUBIERTO</v>
      </c>
    </row>
    <row r="145" spans="1:15" x14ac:dyDescent="0.3">
      <c r="A145" s="60">
        <v>45973</v>
      </c>
      <c r="B145" s="45" t="str">
        <f t="shared" ref="B145:B152" si="76">TEXT(A145,"ddd")</f>
        <v>mié</v>
      </c>
      <c r="C145" s="46">
        <v>0.5</v>
      </c>
      <c r="D145" s="47" t="s">
        <v>22</v>
      </c>
      <c r="E145" s="47"/>
      <c r="F145" s="47"/>
      <c r="G145" s="47" t="str">
        <f t="shared" si="51"/>
        <v>✅ CUBIERTO</v>
      </c>
      <c r="I145" s="60">
        <v>46003</v>
      </c>
      <c r="J145" s="45" t="str">
        <f t="shared" ref="J145:J152" si="77">TEXT(I145,"ddd")</f>
        <v>vie</v>
      </c>
      <c r="K145" s="46">
        <v>0.5</v>
      </c>
      <c r="L145" s="47" t="s">
        <v>4</v>
      </c>
      <c r="M145" s="47"/>
      <c r="N145" s="47"/>
      <c r="O145" s="47" t="str">
        <f t="shared" si="53"/>
        <v>✅ CUBIERTO</v>
      </c>
    </row>
    <row r="146" spans="1:15" x14ac:dyDescent="0.3">
      <c r="A146" s="60">
        <v>45973</v>
      </c>
      <c r="B146" s="45" t="str">
        <f t="shared" si="76"/>
        <v>mié</v>
      </c>
      <c r="C146" s="46">
        <v>0.54166666666666696</v>
      </c>
      <c r="D146" s="47" t="s">
        <v>22</v>
      </c>
      <c r="E146" s="47"/>
      <c r="F146" s="47"/>
      <c r="G146" s="47" t="str">
        <f t="shared" si="51"/>
        <v>✅ CUBIERTO</v>
      </c>
      <c r="I146" s="60">
        <v>46003</v>
      </c>
      <c r="J146" s="45" t="str">
        <f t="shared" si="77"/>
        <v>vie</v>
      </c>
      <c r="K146" s="46">
        <v>0.54166666666666696</v>
      </c>
      <c r="L146" s="47" t="s">
        <v>4</v>
      </c>
      <c r="M146" s="47"/>
      <c r="N146" s="47"/>
      <c r="O146" s="47" t="str">
        <f t="shared" si="53"/>
        <v>✅ CUBIERTO</v>
      </c>
    </row>
    <row r="147" spans="1:15" x14ac:dyDescent="0.3">
      <c r="A147" s="60">
        <v>45973</v>
      </c>
      <c r="B147" s="45" t="str">
        <f t="shared" si="76"/>
        <v>mié</v>
      </c>
      <c r="C147" s="46">
        <v>0.58333333333333304</v>
      </c>
      <c r="D147" s="47" t="s">
        <v>22</v>
      </c>
      <c r="E147" s="47"/>
      <c r="F147" s="47"/>
      <c r="G147" s="47" t="str">
        <f t="shared" si="51"/>
        <v>✅ CUBIERTO</v>
      </c>
      <c r="I147" s="60">
        <v>46003</v>
      </c>
      <c r="J147" s="45" t="str">
        <f t="shared" si="77"/>
        <v>vie</v>
      </c>
      <c r="K147" s="46">
        <v>0.58333333333333304</v>
      </c>
      <c r="L147" s="47" t="s">
        <v>4</v>
      </c>
      <c r="M147" s="47"/>
      <c r="N147" s="47"/>
      <c r="O147" s="47" t="str">
        <f t="shared" si="53"/>
        <v>✅ CUBIERTO</v>
      </c>
    </row>
    <row r="148" spans="1:15" x14ac:dyDescent="0.3">
      <c r="A148" s="60">
        <v>45973</v>
      </c>
      <c r="B148" s="45" t="str">
        <f t="shared" si="76"/>
        <v>mié</v>
      </c>
      <c r="C148" s="46">
        <v>0.625</v>
      </c>
      <c r="D148" s="47" t="s">
        <v>22</v>
      </c>
      <c r="E148" s="47"/>
      <c r="F148" s="47"/>
      <c r="G148" s="47" t="str">
        <f t="shared" si="51"/>
        <v>✅ CUBIERTO</v>
      </c>
      <c r="I148" s="60">
        <v>46003</v>
      </c>
      <c r="J148" s="45" t="str">
        <f t="shared" si="77"/>
        <v>vie</v>
      </c>
      <c r="K148" s="46">
        <v>0.625</v>
      </c>
      <c r="L148" s="47" t="s">
        <v>4</v>
      </c>
      <c r="M148" s="47"/>
      <c r="N148" s="47"/>
      <c r="O148" s="47" t="str">
        <f t="shared" si="53"/>
        <v>✅ CUBIERTO</v>
      </c>
    </row>
    <row r="149" spans="1:15" x14ac:dyDescent="0.3">
      <c r="A149" s="60">
        <v>45973</v>
      </c>
      <c r="B149" s="45" t="str">
        <f t="shared" si="76"/>
        <v>mié</v>
      </c>
      <c r="C149" s="46">
        <v>0.66666666666666696</v>
      </c>
      <c r="D149" s="47" t="s">
        <v>22</v>
      </c>
      <c r="E149" s="47"/>
      <c r="F149" s="47"/>
      <c r="G149" s="47" t="str">
        <f t="shared" si="51"/>
        <v>✅ CUBIERTO</v>
      </c>
      <c r="I149" s="60">
        <v>46003</v>
      </c>
      <c r="J149" s="45" t="str">
        <f t="shared" si="77"/>
        <v>vie</v>
      </c>
      <c r="K149" s="46">
        <v>0.66666666666666696</v>
      </c>
      <c r="L149" s="47" t="s">
        <v>4</v>
      </c>
      <c r="M149" s="47"/>
      <c r="N149" s="47"/>
      <c r="O149" s="47" t="str">
        <f t="shared" si="53"/>
        <v>✅ CUBIERTO</v>
      </c>
    </row>
    <row r="150" spans="1:15" x14ac:dyDescent="0.3">
      <c r="A150" s="60">
        <v>45973</v>
      </c>
      <c r="B150" s="45" t="str">
        <f t="shared" si="76"/>
        <v>mié</v>
      </c>
      <c r="C150" s="46">
        <v>0.70833333333333304</v>
      </c>
      <c r="D150" s="47" t="s">
        <v>22</v>
      </c>
      <c r="E150" s="47"/>
      <c r="F150" s="47"/>
      <c r="G150" s="47" t="str">
        <f t="shared" si="51"/>
        <v>✅ CUBIERTO</v>
      </c>
      <c r="I150" s="60">
        <v>46003</v>
      </c>
      <c r="J150" s="45" t="str">
        <f t="shared" si="77"/>
        <v>vie</v>
      </c>
      <c r="K150" s="46">
        <v>0.70833333333333304</v>
      </c>
      <c r="L150" s="47" t="s">
        <v>4</v>
      </c>
      <c r="M150" s="47"/>
      <c r="N150" s="47"/>
      <c r="O150" s="47" t="str">
        <f t="shared" si="53"/>
        <v>✅ CUBIERTO</v>
      </c>
    </row>
    <row r="151" spans="1:15" x14ac:dyDescent="0.3">
      <c r="A151" s="60">
        <v>45973</v>
      </c>
      <c r="B151" s="45" t="str">
        <f t="shared" si="76"/>
        <v>mié</v>
      </c>
      <c r="C151" s="46">
        <v>0.75</v>
      </c>
      <c r="D151" s="47" t="s">
        <v>22</v>
      </c>
      <c r="E151" s="47"/>
      <c r="F151" s="47"/>
      <c r="G151" s="47" t="str">
        <f t="shared" si="51"/>
        <v>✅ CUBIERTO</v>
      </c>
      <c r="I151" s="60">
        <v>46003</v>
      </c>
      <c r="J151" s="45" t="str">
        <f t="shared" si="77"/>
        <v>vie</v>
      </c>
      <c r="K151" s="46">
        <v>0.75</v>
      </c>
      <c r="L151" s="47" t="s">
        <v>4</v>
      </c>
      <c r="M151" s="47"/>
      <c r="N151" s="47"/>
      <c r="O151" s="47" t="str">
        <f t="shared" si="53"/>
        <v>✅ CUBIERTO</v>
      </c>
    </row>
    <row r="152" spans="1:15" x14ac:dyDescent="0.3">
      <c r="A152" s="60">
        <v>45973</v>
      </c>
      <c r="B152" s="45" t="str">
        <f t="shared" si="76"/>
        <v>mié</v>
      </c>
      <c r="C152" s="46">
        <v>0.79166666666666696</v>
      </c>
      <c r="D152" s="47" t="s">
        <v>22</v>
      </c>
      <c r="E152" s="47"/>
      <c r="F152" s="47"/>
      <c r="G152" s="47" t="str">
        <f t="shared" si="51"/>
        <v>✅ CUBIERTO</v>
      </c>
      <c r="I152" s="60">
        <v>46003</v>
      </c>
      <c r="J152" s="45" t="str">
        <f t="shared" si="77"/>
        <v>vie</v>
      </c>
      <c r="K152" s="46">
        <v>0.79166666666666696</v>
      </c>
      <c r="L152" s="47" t="s">
        <v>4</v>
      </c>
      <c r="M152" s="47"/>
      <c r="N152" s="47"/>
      <c r="O152" s="47" t="str">
        <f t="shared" si="53"/>
        <v>✅ CUBIERTO</v>
      </c>
    </row>
    <row r="153" spans="1:15" x14ac:dyDescent="0.3">
      <c r="A153" s="60">
        <v>45973</v>
      </c>
      <c r="B153" s="45" t="str">
        <f t="shared" ref="B153" si="78">TEXT(A153,"ddd")</f>
        <v>mié</v>
      </c>
      <c r="C153" s="46">
        <v>0.83333333333333337</v>
      </c>
      <c r="D153" s="47" t="s">
        <v>22</v>
      </c>
      <c r="E153" s="47"/>
      <c r="F153" s="47"/>
      <c r="G153" s="47" t="str">
        <f t="shared" ref="G153:G154" si="79">IF(COUNTIF(D153:F153,"?*")&gt;=$D$4, "✅ CUBIERTO",
 IF(COUNTIF(D153:F153,"?*")&gt;0, "⚠ FALTANTE",
 "❌ SIN COMPLETAR"))</f>
        <v>✅ CUBIERTO</v>
      </c>
      <c r="I153" s="60">
        <v>46003</v>
      </c>
      <c r="J153" s="45" t="str">
        <f t="shared" ref="J153" si="80">TEXT(I153,"ddd")</f>
        <v>vie</v>
      </c>
      <c r="K153" s="46">
        <v>0.83333333333333337</v>
      </c>
      <c r="L153" s="47" t="s">
        <v>4</v>
      </c>
      <c r="M153" s="47"/>
      <c r="N153" s="47"/>
      <c r="O153" s="47" t="str">
        <f>IF(COUNTIF(L153:N153,"?*")&gt;=$L$4, "✅ CUBIERTO",
 IF(COUNTIF(L153:N153,"?*")&gt;0, "⚠ FALTANTE",
 "❌ SIN COMPLETAR"))</f>
        <v>✅ CUBIERTO</v>
      </c>
    </row>
    <row r="154" spans="1:15" x14ac:dyDescent="0.3">
      <c r="A154" s="60">
        <v>45974</v>
      </c>
      <c r="B154" s="45" t="str">
        <f>TEXT(A154,"ddd")</f>
        <v>jue</v>
      </c>
      <c r="C154" s="46">
        <v>0.41666666666666669</v>
      </c>
      <c r="D154" s="47" t="s">
        <v>7</v>
      </c>
      <c r="E154" s="47"/>
      <c r="F154" s="47"/>
      <c r="G154" s="47" t="str">
        <f t="shared" si="79"/>
        <v>✅ CUBIERTO</v>
      </c>
      <c r="I154" s="60">
        <v>46004</v>
      </c>
      <c r="J154" s="45" t="str">
        <f>TEXT(I154,"ddd")</f>
        <v>sáb</v>
      </c>
      <c r="K154" s="46">
        <v>0.41666666666666669</v>
      </c>
      <c r="L154" s="47" t="s">
        <v>4</v>
      </c>
      <c r="M154" s="47"/>
      <c r="N154" s="47"/>
      <c r="O154" s="47" t="str">
        <f>IF(COUNTIF(L154:N154,"?*")&gt;=$L$4, "✅ CUBIERTO",
 IF(COUNTIF(L154:N154,"?*")&gt;0, "⚠ FALTANTE",
 "❌ SIN COMPLETAR"))</f>
        <v>✅ CUBIERTO</v>
      </c>
    </row>
    <row r="155" spans="1:15" x14ac:dyDescent="0.3">
      <c r="A155" s="60">
        <v>45974</v>
      </c>
      <c r="B155" s="45" t="str">
        <f>TEXT(A155,"ddd")</f>
        <v>jue</v>
      </c>
      <c r="C155" s="46">
        <v>0.45833333333333331</v>
      </c>
      <c r="D155" s="47" t="s">
        <v>7</v>
      </c>
      <c r="E155" s="47"/>
      <c r="F155" s="47"/>
      <c r="G155" s="47" t="str">
        <f t="shared" si="51"/>
        <v>✅ CUBIERTO</v>
      </c>
      <c r="I155" s="60">
        <v>46004</v>
      </c>
      <c r="J155" s="45" t="str">
        <f>TEXT(I155,"ddd")</f>
        <v>sáb</v>
      </c>
      <c r="K155" s="46">
        <v>0.45833333333333331</v>
      </c>
      <c r="L155" s="47" t="s">
        <v>4</v>
      </c>
      <c r="M155" s="47"/>
      <c r="N155" s="47"/>
      <c r="O155" s="47" t="str">
        <f t="shared" si="53"/>
        <v>✅ CUBIERTO</v>
      </c>
    </row>
    <row r="156" spans="1:15" x14ac:dyDescent="0.3">
      <c r="A156" s="60">
        <v>45974</v>
      </c>
      <c r="B156" s="45" t="str">
        <f t="shared" ref="B156:B163" si="81">TEXT(A156,"ddd")</f>
        <v>jue</v>
      </c>
      <c r="C156" s="46">
        <v>0.5</v>
      </c>
      <c r="D156" s="47" t="s">
        <v>7</v>
      </c>
      <c r="E156" s="47"/>
      <c r="F156" s="47"/>
      <c r="G156" s="47" t="str">
        <f t="shared" si="51"/>
        <v>✅ CUBIERTO</v>
      </c>
      <c r="I156" s="60">
        <v>46004</v>
      </c>
      <c r="J156" s="45" t="str">
        <f t="shared" ref="J156:J163" si="82">TEXT(I156,"ddd")</f>
        <v>sáb</v>
      </c>
      <c r="K156" s="46">
        <v>0.5</v>
      </c>
      <c r="L156" s="47" t="s">
        <v>4</v>
      </c>
      <c r="M156" s="47"/>
      <c r="N156" s="47"/>
      <c r="O156" s="47" t="str">
        <f t="shared" si="53"/>
        <v>✅ CUBIERTO</v>
      </c>
    </row>
    <row r="157" spans="1:15" x14ac:dyDescent="0.3">
      <c r="A157" s="60">
        <v>45974</v>
      </c>
      <c r="B157" s="45" t="str">
        <f t="shared" si="81"/>
        <v>jue</v>
      </c>
      <c r="C157" s="46">
        <v>0.54166666666666696</v>
      </c>
      <c r="D157" s="47" t="s">
        <v>7</v>
      </c>
      <c r="E157" s="47"/>
      <c r="F157" s="47"/>
      <c r="G157" s="47" t="str">
        <f t="shared" si="51"/>
        <v>✅ CUBIERTO</v>
      </c>
      <c r="I157" s="60">
        <v>46004</v>
      </c>
      <c r="J157" s="45" t="str">
        <f t="shared" si="82"/>
        <v>sáb</v>
      </c>
      <c r="K157" s="46">
        <v>0.54166666666666696</v>
      </c>
      <c r="L157" s="47" t="s">
        <v>4</v>
      </c>
      <c r="M157" s="47"/>
      <c r="N157" s="47"/>
      <c r="O157" s="47" t="str">
        <f t="shared" si="53"/>
        <v>✅ CUBIERTO</v>
      </c>
    </row>
    <row r="158" spans="1:15" x14ac:dyDescent="0.3">
      <c r="A158" s="60">
        <v>45974</v>
      </c>
      <c r="B158" s="45" t="str">
        <f t="shared" si="81"/>
        <v>jue</v>
      </c>
      <c r="C158" s="46">
        <v>0.58333333333333304</v>
      </c>
      <c r="D158" s="47" t="s">
        <v>7</v>
      </c>
      <c r="E158" s="47"/>
      <c r="F158" s="47"/>
      <c r="G158" s="47" t="str">
        <f t="shared" si="51"/>
        <v>✅ CUBIERTO</v>
      </c>
      <c r="I158" s="60">
        <v>46004</v>
      </c>
      <c r="J158" s="45" t="str">
        <f t="shared" si="82"/>
        <v>sáb</v>
      </c>
      <c r="K158" s="46">
        <v>0.58333333333333304</v>
      </c>
      <c r="L158" s="47" t="s">
        <v>4</v>
      </c>
      <c r="M158" s="47"/>
      <c r="N158" s="47"/>
      <c r="O158" s="47" t="str">
        <f t="shared" si="53"/>
        <v>✅ CUBIERTO</v>
      </c>
    </row>
    <row r="159" spans="1:15" x14ac:dyDescent="0.3">
      <c r="A159" s="60">
        <v>45974</v>
      </c>
      <c r="B159" s="45" t="str">
        <f t="shared" si="81"/>
        <v>jue</v>
      </c>
      <c r="C159" s="46">
        <v>0.625</v>
      </c>
      <c r="D159" s="47" t="s">
        <v>7</v>
      </c>
      <c r="E159" s="47"/>
      <c r="F159" s="47"/>
      <c r="G159" s="47" t="str">
        <f t="shared" si="51"/>
        <v>✅ CUBIERTO</v>
      </c>
      <c r="I159" s="60">
        <v>46004</v>
      </c>
      <c r="J159" s="45" t="str">
        <f t="shared" si="82"/>
        <v>sáb</v>
      </c>
      <c r="K159" s="46">
        <v>0.625</v>
      </c>
      <c r="L159" s="47" t="s">
        <v>4</v>
      </c>
      <c r="M159" s="47"/>
      <c r="N159" s="47"/>
      <c r="O159" s="47" t="str">
        <f t="shared" si="53"/>
        <v>✅ CUBIERTO</v>
      </c>
    </row>
    <row r="160" spans="1:15" x14ac:dyDescent="0.3">
      <c r="A160" s="60">
        <v>45974</v>
      </c>
      <c r="B160" s="45" t="str">
        <f t="shared" si="81"/>
        <v>jue</v>
      </c>
      <c r="C160" s="46">
        <v>0.66666666666666696</v>
      </c>
      <c r="D160" s="47" t="s">
        <v>7</v>
      </c>
      <c r="E160" s="47"/>
      <c r="F160" s="47"/>
      <c r="G160" s="47" t="str">
        <f t="shared" si="51"/>
        <v>✅ CUBIERTO</v>
      </c>
      <c r="I160" s="60">
        <v>46004</v>
      </c>
      <c r="J160" s="45" t="str">
        <f t="shared" si="82"/>
        <v>sáb</v>
      </c>
      <c r="K160" s="46">
        <v>0.66666666666666696</v>
      </c>
      <c r="L160" s="47" t="s">
        <v>4</v>
      </c>
      <c r="M160" s="47"/>
      <c r="N160" s="47"/>
      <c r="O160" s="47" t="str">
        <f t="shared" si="53"/>
        <v>✅ CUBIERTO</v>
      </c>
    </row>
    <row r="161" spans="1:15" x14ac:dyDescent="0.3">
      <c r="A161" s="60">
        <v>45974</v>
      </c>
      <c r="B161" s="45" t="str">
        <f t="shared" si="81"/>
        <v>jue</v>
      </c>
      <c r="C161" s="46">
        <v>0.70833333333333304</v>
      </c>
      <c r="D161" s="47" t="s">
        <v>7</v>
      </c>
      <c r="E161" s="47"/>
      <c r="F161" s="47"/>
      <c r="G161" s="47" t="str">
        <f t="shared" si="51"/>
        <v>✅ CUBIERTO</v>
      </c>
      <c r="I161" s="60">
        <v>46004</v>
      </c>
      <c r="J161" s="45" t="str">
        <f t="shared" si="82"/>
        <v>sáb</v>
      </c>
      <c r="K161" s="46">
        <v>0.70833333333333304</v>
      </c>
      <c r="L161" s="47" t="s">
        <v>4</v>
      </c>
      <c r="M161" s="47"/>
      <c r="N161" s="47"/>
      <c r="O161" s="47" t="str">
        <f t="shared" si="53"/>
        <v>✅ CUBIERTO</v>
      </c>
    </row>
    <row r="162" spans="1:15" x14ac:dyDescent="0.3">
      <c r="A162" s="60">
        <v>45974</v>
      </c>
      <c r="B162" s="45" t="str">
        <f t="shared" si="81"/>
        <v>jue</v>
      </c>
      <c r="C162" s="46">
        <v>0.75</v>
      </c>
      <c r="D162" s="47" t="s">
        <v>7</v>
      </c>
      <c r="E162" s="47"/>
      <c r="F162" s="47"/>
      <c r="G162" s="47" t="str">
        <f t="shared" si="51"/>
        <v>✅ CUBIERTO</v>
      </c>
      <c r="I162" s="60">
        <v>46004</v>
      </c>
      <c r="J162" s="45" t="str">
        <f t="shared" si="82"/>
        <v>sáb</v>
      </c>
      <c r="K162" s="46">
        <v>0.75</v>
      </c>
      <c r="L162" s="47" t="s">
        <v>4</v>
      </c>
      <c r="M162" s="47"/>
      <c r="N162" s="47"/>
      <c r="O162" s="47" t="str">
        <f t="shared" si="53"/>
        <v>✅ CUBIERTO</v>
      </c>
    </row>
    <row r="163" spans="1:15" x14ac:dyDescent="0.3">
      <c r="A163" s="60">
        <v>45974</v>
      </c>
      <c r="B163" s="45" t="str">
        <f t="shared" si="81"/>
        <v>jue</v>
      </c>
      <c r="C163" s="46">
        <v>0.79166666666666696</v>
      </c>
      <c r="D163" s="47" t="s">
        <v>7</v>
      </c>
      <c r="E163" s="47"/>
      <c r="F163" s="47"/>
      <c r="G163" s="47" t="str">
        <f t="shared" si="51"/>
        <v>✅ CUBIERTO</v>
      </c>
      <c r="I163" s="60">
        <v>46004</v>
      </c>
      <c r="J163" s="45" t="str">
        <f t="shared" si="82"/>
        <v>sáb</v>
      </c>
      <c r="K163" s="46">
        <v>0.79166666666666696</v>
      </c>
      <c r="L163" s="47" t="s">
        <v>4</v>
      </c>
      <c r="M163" s="47"/>
      <c r="N163" s="47"/>
      <c r="O163" s="47" t="str">
        <f t="shared" si="53"/>
        <v>✅ CUBIERTO</v>
      </c>
    </row>
    <row r="164" spans="1:15" x14ac:dyDescent="0.3">
      <c r="A164" s="60">
        <v>45974</v>
      </c>
      <c r="B164" s="45" t="str">
        <f t="shared" ref="B164" si="83">TEXT(A164,"ddd")</f>
        <v>jue</v>
      </c>
      <c r="C164" s="46">
        <v>0.83333333333333337</v>
      </c>
      <c r="D164" s="47" t="s">
        <v>7</v>
      </c>
      <c r="E164" s="47"/>
      <c r="F164" s="47"/>
      <c r="G164" s="47" t="str">
        <f t="shared" ref="G164:G165" si="84">IF(COUNTIF(D164:F164,"?*")&gt;=$D$4, "✅ CUBIERTO",
 IF(COUNTIF(D164:F164,"?*")&gt;0, "⚠ FALTANTE",
 "❌ SIN COMPLETAR"))</f>
        <v>✅ CUBIERTO</v>
      </c>
      <c r="I164" s="60">
        <v>46004</v>
      </c>
      <c r="J164" s="45" t="str">
        <f t="shared" ref="J164" si="85">TEXT(I164,"ddd")</f>
        <v>sáb</v>
      </c>
      <c r="K164" s="46">
        <v>0.83333333333333337</v>
      </c>
      <c r="L164" s="47" t="s">
        <v>4</v>
      </c>
      <c r="M164" s="47"/>
      <c r="N164" s="47"/>
      <c r="O164" s="47" t="str">
        <f>IF(COUNTIF(L164:N164,"?*")&gt;=$L$4, "✅ CUBIERTO",
 IF(COUNTIF(L164:N164,"?*")&gt;0, "⚠ FALTANTE",
 "❌ SIN COMPLETAR"))</f>
        <v>✅ CUBIERTO</v>
      </c>
    </row>
    <row r="165" spans="1:15" x14ac:dyDescent="0.3">
      <c r="A165" s="60">
        <v>45975</v>
      </c>
      <c r="B165" s="45" t="str">
        <f>TEXT(A165,"ddd")</f>
        <v>vie</v>
      </c>
      <c r="C165" s="46">
        <v>0.41666666666666669</v>
      </c>
      <c r="D165" s="47" t="s">
        <v>7</v>
      </c>
      <c r="E165" s="47"/>
      <c r="F165" s="47"/>
      <c r="G165" s="47" t="str">
        <f t="shared" si="84"/>
        <v>✅ CUBIERTO</v>
      </c>
      <c r="I165" s="60">
        <v>46005</v>
      </c>
      <c r="J165" s="45" t="str">
        <f>TEXT(I165,"ddd")</f>
        <v>dom</v>
      </c>
      <c r="K165" s="46">
        <v>0.41666666666666669</v>
      </c>
      <c r="L165" s="47" t="s">
        <v>4</v>
      </c>
      <c r="M165" s="47"/>
      <c r="N165" s="47"/>
      <c r="O165" s="47" t="str">
        <f>IF(COUNTIF(L165:N165,"?*")&gt;=$L$4, "✅ CUBIERTO",
 IF(COUNTIF(L165:N165,"?*")&gt;0, "⚠ FALTANTE",
 "❌ SIN COMPLETAR"))</f>
        <v>✅ CUBIERTO</v>
      </c>
    </row>
    <row r="166" spans="1:15" x14ac:dyDescent="0.3">
      <c r="A166" s="60">
        <v>45975</v>
      </c>
      <c r="B166" s="45" t="str">
        <f>TEXT(A166,"ddd")</f>
        <v>vie</v>
      </c>
      <c r="C166" s="46">
        <v>0.45833333333333331</v>
      </c>
      <c r="D166" s="47" t="s">
        <v>7</v>
      </c>
      <c r="E166" s="47"/>
      <c r="F166" s="47"/>
      <c r="G166" s="47" t="str">
        <f t="shared" si="51"/>
        <v>✅ CUBIERTO</v>
      </c>
      <c r="I166" s="60">
        <v>46005</v>
      </c>
      <c r="J166" s="45" t="str">
        <f>TEXT(I166,"ddd")</f>
        <v>dom</v>
      </c>
      <c r="K166" s="46">
        <v>0.45833333333333331</v>
      </c>
      <c r="L166" s="47" t="s">
        <v>4</v>
      </c>
      <c r="M166" s="47"/>
      <c r="N166" s="47"/>
      <c r="O166" s="47" t="str">
        <f t="shared" si="53"/>
        <v>✅ CUBIERTO</v>
      </c>
    </row>
    <row r="167" spans="1:15" x14ac:dyDescent="0.3">
      <c r="A167" s="60">
        <v>45975</v>
      </c>
      <c r="B167" s="45" t="str">
        <f t="shared" ref="B167:B174" si="86">TEXT(A167,"ddd")</f>
        <v>vie</v>
      </c>
      <c r="C167" s="46">
        <v>0.5</v>
      </c>
      <c r="D167" s="47" t="s">
        <v>7</v>
      </c>
      <c r="E167" s="47"/>
      <c r="F167" s="47"/>
      <c r="G167" s="47" t="str">
        <f t="shared" si="51"/>
        <v>✅ CUBIERTO</v>
      </c>
      <c r="I167" s="60">
        <v>46005</v>
      </c>
      <c r="J167" s="45" t="str">
        <f t="shared" ref="J167:J174" si="87">TEXT(I167,"ddd")</f>
        <v>dom</v>
      </c>
      <c r="K167" s="46">
        <v>0.5</v>
      </c>
      <c r="L167" s="47" t="s">
        <v>4</v>
      </c>
      <c r="M167" s="47"/>
      <c r="N167" s="47"/>
      <c r="O167" s="47" t="str">
        <f t="shared" si="53"/>
        <v>✅ CUBIERTO</v>
      </c>
    </row>
    <row r="168" spans="1:15" x14ac:dyDescent="0.3">
      <c r="A168" s="60">
        <v>45975</v>
      </c>
      <c r="B168" s="45" t="str">
        <f t="shared" si="86"/>
        <v>vie</v>
      </c>
      <c r="C168" s="46">
        <v>0.54166666666666696</v>
      </c>
      <c r="D168" s="47" t="s">
        <v>7</v>
      </c>
      <c r="E168" s="47"/>
      <c r="F168" s="47"/>
      <c r="G168" s="47" t="str">
        <f t="shared" si="51"/>
        <v>✅ CUBIERTO</v>
      </c>
      <c r="I168" s="60">
        <v>46005</v>
      </c>
      <c r="J168" s="45" t="str">
        <f t="shared" si="87"/>
        <v>dom</v>
      </c>
      <c r="K168" s="46">
        <v>0.54166666666666696</v>
      </c>
      <c r="L168" s="47" t="s">
        <v>4</v>
      </c>
      <c r="M168" s="47"/>
      <c r="N168" s="47"/>
      <c r="O168" s="47" t="str">
        <f t="shared" si="53"/>
        <v>✅ CUBIERTO</v>
      </c>
    </row>
    <row r="169" spans="1:15" x14ac:dyDescent="0.3">
      <c r="A169" s="60">
        <v>45975</v>
      </c>
      <c r="B169" s="45" t="str">
        <f t="shared" si="86"/>
        <v>vie</v>
      </c>
      <c r="C169" s="46">
        <v>0.58333333333333304</v>
      </c>
      <c r="D169" s="47" t="s">
        <v>7</v>
      </c>
      <c r="E169" s="47"/>
      <c r="F169" s="47"/>
      <c r="G169" s="47" t="str">
        <f t="shared" si="51"/>
        <v>✅ CUBIERTO</v>
      </c>
      <c r="I169" s="60">
        <v>46005</v>
      </c>
      <c r="J169" s="45" t="str">
        <f t="shared" si="87"/>
        <v>dom</v>
      </c>
      <c r="K169" s="46">
        <v>0.58333333333333304</v>
      </c>
      <c r="L169" s="47" t="s">
        <v>4</v>
      </c>
      <c r="M169" s="47"/>
      <c r="N169" s="47"/>
      <c r="O169" s="47" t="str">
        <f t="shared" si="53"/>
        <v>✅ CUBIERTO</v>
      </c>
    </row>
    <row r="170" spans="1:15" x14ac:dyDescent="0.3">
      <c r="A170" s="60">
        <v>45975</v>
      </c>
      <c r="B170" s="45" t="str">
        <f t="shared" si="86"/>
        <v>vie</v>
      </c>
      <c r="C170" s="46">
        <v>0.625</v>
      </c>
      <c r="D170" s="47" t="s">
        <v>7</v>
      </c>
      <c r="E170" s="47"/>
      <c r="F170" s="47"/>
      <c r="G170" s="47" t="str">
        <f t="shared" si="51"/>
        <v>✅ CUBIERTO</v>
      </c>
      <c r="I170" s="60">
        <v>46005</v>
      </c>
      <c r="J170" s="45" t="str">
        <f t="shared" si="87"/>
        <v>dom</v>
      </c>
      <c r="K170" s="46">
        <v>0.625</v>
      </c>
      <c r="L170" s="47" t="s">
        <v>4</v>
      </c>
      <c r="M170" s="47"/>
      <c r="N170" s="47"/>
      <c r="O170" s="47" t="str">
        <f t="shared" si="53"/>
        <v>✅ CUBIERTO</v>
      </c>
    </row>
    <row r="171" spans="1:15" x14ac:dyDescent="0.3">
      <c r="A171" s="60">
        <v>45975</v>
      </c>
      <c r="B171" s="45" t="str">
        <f t="shared" si="86"/>
        <v>vie</v>
      </c>
      <c r="C171" s="46">
        <v>0.66666666666666696</v>
      </c>
      <c r="D171" s="47" t="s">
        <v>7</v>
      </c>
      <c r="E171" s="47"/>
      <c r="F171" s="47"/>
      <c r="G171" s="47" t="str">
        <f t="shared" si="51"/>
        <v>✅ CUBIERTO</v>
      </c>
      <c r="I171" s="60">
        <v>46005</v>
      </c>
      <c r="J171" s="45" t="str">
        <f t="shared" si="87"/>
        <v>dom</v>
      </c>
      <c r="K171" s="46">
        <v>0.66666666666666696</v>
      </c>
      <c r="L171" s="47" t="s">
        <v>4</v>
      </c>
      <c r="M171" s="47"/>
      <c r="N171" s="47"/>
      <c r="O171" s="47" t="str">
        <f t="shared" si="53"/>
        <v>✅ CUBIERTO</v>
      </c>
    </row>
    <row r="172" spans="1:15" x14ac:dyDescent="0.3">
      <c r="A172" s="60">
        <v>45975</v>
      </c>
      <c r="B172" s="45" t="str">
        <f t="shared" si="86"/>
        <v>vie</v>
      </c>
      <c r="C172" s="46">
        <v>0.70833333333333304</v>
      </c>
      <c r="D172" s="47" t="s">
        <v>7</v>
      </c>
      <c r="E172" s="47"/>
      <c r="F172" s="47"/>
      <c r="G172" s="47" t="str">
        <f t="shared" si="51"/>
        <v>✅ CUBIERTO</v>
      </c>
      <c r="I172" s="60">
        <v>46005</v>
      </c>
      <c r="J172" s="45" t="str">
        <f t="shared" si="87"/>
        <v>dom</v>
      </c>
      <c r="K172" s="46">
        <v>0.70833333333333304</v>
      </c>
      <c r="L172" s="47" t="s">
        <v>4</v>
      </c>
      <c r="M172" s="47"/>
      <c r="N172" s="47"/>
      <c r="O172" s="47" t="str">
        <f t="shared" si="53"/>
        <v>✅ CUBIERTO</v>
      </c>
    </row>
    <row r="173" spans="1:15" x14ac:dyDescent="0.3">
      <c r="A173" s="60">
        <v>45975</v>
      </c>
      <c r="B173" s="45" t="str">
        <f t="shared" si="86"/>
        <v>vie</v>
      </c>
      <c r="C173" s="46">
        <v>0.75</v>
      </c>
      <c r="D173" s="47" t="s">
        <v>7</v>
      </c>
      <c r="E173" s="47"/>
      <c r="F173" s="47"/>
      <c r="G173" s="47" t="str">
        <f t="shared" si="51"/>
        <v>✅ CUBIERTO</v>
      </c>
      <c r="I173" s="60">
        <v>46005</v>
      </c>
      <c r="J173" s="45" t="str">
        <f t="shared" si="87"/>
        <v>dom</v>
      </c>
      <c r="K173" s="46">
        <v>0.75</v>
      </c>
      <c r="L173" s="47" t="s">
        <v>4</v>
      </c>
      <c r="M173" s="47"/>
      <c r="N173" s="47"/>
      <c r="O173" s="47" t="str">
        <f t="shared" si="53"/>
        <v>✅ CUBIERTO</v>
      </c>
    </row>
    <row r="174" spans="1:15" x14ac:dyDescent="0.3">
      <c r="A174" s="60">
        <v>45975</v>
      </c>
      <c r="B174" s="45" t="str">
        <f t="shared" si="86"/>
        <v>vie</v>
      </c>
      <c r="C174" s="46">
        <v>0.79166666666666696</v>
      </c>
      <c r="D174" s="47" t="s">
        <v>7</v>
      </c>
      <c r="E174" s="47"/>
      <c r="F174" s="47"/>
      <c r="G174" s="47" t="str">
        <f t="shared" si="51"/>
        <v>✅ CUBIERTO</v>
      </c>
      <c r="I174" s="60">
        <v>46005</v>
      </c>
      <c r="J174" s="45" t="str">
        <f t="shared" si="87"/>
        <v>dom</v>
      </c>
      <c r="K174" s="46">
        <v>0.79166666666666696</v>
      </c>
      <c r="L174" s="47" t="s">
        <v>4</v>
      </c>
      <c r="M174" s="47"/>
      <c r="N174" s="47"/>
      <c r="O174" s="47" t="str">
        <f t="shared" si="53"/>
        <v>✅ CUBIERTO</v>
      </c>
    </row>
    <row r="175" spans="1:15" x14ac:dyDescent="0.3">
      <c r="A175" s="60">
        <v>45975</v>
      </c>
      <c r="B175" s="45" t="str">
        <f t="shared" ref="B175:B176" si="88">TEXT(A175,"ddd")</f>
        <v>vie</v>
      </c>
      <c r="C175" s="46">
        <v>0.83333333333333337</v>
      </c>
      <c r="D175" s="47" t="s">
        <v>7</v>
      </c>
      <c r="E175" s="47"/>
      <c r="F175" s="47"/>
      <c r="G175" s="47" t="str">
        <f t="shared" ref="G175:G176" si="89">IF(COUNTIF(D175:F175,"?*")&gt;=$D$4, "✅ CUBIERTO",
 IF(COUNTIF(D175:F175,"?*")&gt;0, "⚠ FALTANTE",
 "❌ SIN COMPLETAR"))</f>
        <v>✅ CUBIERTO</v>
      </c>
      <c r="I175" s="60">
        <v>46005</v>
      </c>
      <c r="J175" s="45" t="str">
        <f t="shared" ref="J175:J176" si="90">TEXT(I175,"ddd")</f>
        <v>dom</v>
      </c>
      <c r="K175" s="46">
        <v>0.83333333333333337</v>
      </c>
      <c r="L175" s="47" t="s">
        <v>4</v>
      </c>
      <c r="M175" s="47"/>
      <c r="N175" s="47"/>
      <c r="O175" s="47" t="str">
        <f t="shared" ref="O175:O176" si="91">IF(COUNTIF(L175:N175,"?*")&gt;=$L$4, "✅ CUBIERTO",
 IF(COUNTIF(L175:N175,"?*")&gt;0, "⚠ FALTANTE",
 "❌ SIN COMPLETAR"))</f>
        <v>✅ CUBIERTO</v>
      </c>
    </row>
    <row r="176" spans="1:15" x14ac:dyDescent="0.3">
      <c r="A176" s="60">
        <v>45975</v>
      </c>
      <c r="B176" s="45" t="str">
        <f t="shared" si="88"/>
        <v>vie</v>
      </c>
      <c r="C176" s="46">
        <v>0.41666666666666669</v>
      </c>
      <c r="D176" s="47" t="s">
        <v>7</v>
      </c>
      <c r="E176" s="47"/>
      <c r="F176" s="47"/>
      <c r="G176" s="47" t="str">
        <f t="shared" si="89"/>
        <v>✅ CUBIERTO</v>
      </c>
      <c r="I176" s="60">
        <v>46005</v>
      </c>
      <c r="J176" s="45" t="str">
        <f t="shared" si="90"/>
        <v>dom</v>
      </c>
      <c r="K176" s="46">
        <v>0.41666666666666669</v>
      </c>
      <c r="L176" s="47" t="s">
        <v>4</v>
      </c>
      <c r="M176" s="47"/>
      <c r="N176" s="47"/>
      <c r="O176" s="47" t="str">
        <f t="shared" si="91"/>
        <v>✅ CUBIERTO</v>
      </c>
    </row>
    <row r="177" spans="1:15" x14ac:dyDescent="0.3">
      <c r="A177" s="60">
        <v>45976</v>
      </c>
      <c r="B177" s="45" t="str">
        <f>TEXT(A177,"ddd")</f>
        <v>sáb</v>
      </c>
      <c r="C177" s="46">
        <v>0.45833333333333331</v>
      </c>
      <c r="D177" s="47" t="s">
        <v>7</v>
      </c>
      <c r="E177" s="47"/>
      <c r="F177" s="47"/>
      <c r="G177" s="47" t="str">
        <f t="shared" si="51"/>
        <v>✅ CUBIERTO</v>
      </c>
      <c r="I177" s="60">
        <v>46006</v>
      </c>
      <c r="J177" s="45" t="str">
        <f>TEXT(I177,"ddd")</f>
        <v>lun</v>
      </c>
      <c r="K177" s="46">
        <v>0.45833333333333331</v>
      </c>
      <c r="L177" s="47" t="s">
        <v>4</v>
      </c>
      <c r="M177" s="47"/>
      <c r="N177" s="47"/>
      <c r="O177" s="47" t="str">
        <f t="shared" si="53"/>
        <v>✅ CUBIERTO</v>
      </c>
    </row>
    <row r="178" spans="1:15" x14ac:dyDescent="0.3">
      <c r="A178" s="60">
        <v>45976</v>
      </c>
      <c r="B178" s="45" t="str">
        <f t="shared" ref="B178:B185" si="92">TEXT(A178,"ddd")</f>
        <v>sáb</v>
      </c>
      <c r="C178" s="46">
        <v>0.5</v>
      </c>
      <c r="D178" s="47" t="s">
        <v>7</v>
      </c>
      <c r="E178" s="47"/>
      <c r="F178" s="47"/>
      <c r="G178" s="47" t="str">
        <f t="shared" si="51"/>
        <v>✅ CUBIERTO</v>
      </c>
      <c r="I178" s="60">
        <v>46006</v>
      </c>
      <c r="J178" s="45" t="str">
        <f t="shared" ref="J178:J185" si="93">TEXT(I178,"ddd")</f>
        <v>lun</v>
      </c>
      <c r="K178" s="46">
        <v>0.5</v>
      </c>
      <c r="L178" s="47" t="s">
        <v>4</v>
      </c>
      <c r="M178" s="47"/>
      <c r="N178" s="47"/>
      <c r="O178" s="47" t="str">
        <f t="shared" si="53"/>
        <v>✅ CUBIERTO</v>
      </c>
    </row>
    <row r="179" spans="1:15" x14ac:dyDescent="0.3">
      <c r="A179" s="60">
        <v>45976</v>
      </c>
      <c r="B179" s="45" t="str">
        <f t="shared" si="92"/>
        <v>sáb</v>
      </c>
      <c r="C179" s="46">
        <v>0.54166666666666696</v>
      </c>
      <c r="D179" s="47" t="s">
        <v>7</v>
      </c>
      <c r="E179" s="47"/>
      <c r="F179" s="47"/>
      <c r="G179" s="47" t="str">
        <f t="shared" ref="G179:G256" si="94">IF(COUNTIF(D179:F179,"?*")&gt;=$D$4, "✅ CUBIERTO",
 IF(COUNTIF(D179:F179,"?*")&gt;0, "⚠ FALTANTE",
 "❌ SIN COMPLETAR"))</f>
        <v>✅ CUBIERTO</v>
      </c>
      <c r="I179" s="60">
        <v>46006</v>
      </c>
      <c r="J179" s="45" t="str">
        <f t="shared" si="93"/>
        <v>lun</v>
      </c>
      <c r="K179" s="46">
        <v>0.54166666666666696</v>
      </c>
      <c r="L179" s="47" t="s">
        <v>4</v>
      </c>
      <c r="M179" s="47"/>
      <c r="N179" s="47"/>
      <c r="O179" s="47" t="str">
        <f t="shared" ref="O179:O256" si="95">IF(COUNTIF(L179:N179,"?*")&gt;=$L$4, "✅ CUBIERTO",
 IF(COUNTIF(L179:N179,"?*")&gt;0, "⚠ FALTANTE",
 "❌ SIN COMPLETAR"))</f>
        <v>✅ CUBIERTO</v>
      </c>
    </row>
    <row r="180" spans="1:15" x14ac:dyDescent="0.3">
      <c r="A180" s="60">
        <v>45976</v>
      </c>
      <c r="B180" s="45" t="str">
        <f t="shared" si="92"/>
        <v>sáb</v>
      </c>
      <c r="C180" s="46">
        <v>0.58333333333333304</v>
      </c>
      <c r="D180" s="47" t="s">
        <v>7</v>
      </c>
      <c r="E180" s="47"/>
      <c r="F180" s="47"/>
      <c r="G180" s="47" t="str">
        <f t="shared" si="94"/>
        <v>✅ CUBIERTO</v>
      </c>
      <c r="I180" s="60">
        <v>46006</v>
      </c>
      <c r="J180" s="45" t="str">
        <f t="shared" si="93"/>
        <v>lun</v>
      </c>
      <c r="K180" s="46">
        <v>0.58333333333333304</v>
      </c>
      <c r="L180" s="47" t="s">
        <v>4</v>
      </c>
      <c r="M180" s="47"/>
      <c r="N180" s="47"/>
      <c r="O180" s="47" t="str">
        <f t="shared" si="95"/>
        <v>✅ CUBIERTO</v>
      </c>
    </row>
    <row r="181" spans="1:15" x14ac:dyDescent="0.3">
      <c r="A181" s="60">
        <v>45976</v>
      </c>
      <c r="B181" s="45" t="str">
        <f t="shared" si="92"/>
        <v>sáb</v>
      </c>
      <c r="C181" s="46">
        <v>0.625</v>
      </c>
      <c r="D181" s="47" t="s">
        <v>7</v>
      </c>
      <c r="E181" s="47"/>
      <c r="F181" s="47"/>
      <c r="G181" s="47" t="str">
        <f t="shared" si="94"/>
        <v>✅ CUBIERTO</v>
      </c>
      <c r="I181" s="60">
        <v>46006</v>
      </c>
      <c r="J181" s="45" t="str">
        <f t="shared" si="93"/>
        <v>lun</v>
      </c>
      <c r="K181" s="46">
        <v>0.625</v>
      </c>
      <c r="L181" s="47" t="s">
        <v>4</v>
      </c>
      <c r="M181" s="47"/>
      <c r="N181" s="47"/>
      <c r="O181" s="47" t="str">
        <f t="shared" si="95"/>
        <v>✅ CUBIERTO</v>
      </c>
    </row>
    <row r="182" spans="1:15" x14ac:dyDescent="0.3">
      <c r="A182" s="60">
        <v>45976</v>
      </c>
      <c r="B182" s="45" t="str">
        <f t="shared" si="92"/>
        <v>sáb</v>
      </c>
      <c r="C182" s="46">
        <v>0.66666666666666696</v>
      </c>
      <c r="D182" s="47" t="s">
        <v>7</v>
      </c>
      <c r="E182" s="47"/>
      <c r="F182" s="47"/>
      <c r="G182" s="47" t="str">
        <f t="shared" si="94"/>
        <v>✅ CUBIERTO</v>
      </c>
      <c r="I182" s="60">
        <v>46006</v>
      </c>
      <c r="J182" s="45" t="str">
        <f t="shared" si="93"/>
        <v>lun</v>
      </c>
      <c r="K182" s="46">
        <v>0.66666666666666696</v>
      </c>
      <c r="L182" s="47" t="s">
        <v>4</v>
      </c>
      <c r="M182" s="47"/>
      <c r="N182" s="47"/>
      <c r="O182" s="47" t="str">
        <f t="shared" si="95"/>
        <v>✅ CUBIERTO</v>
      </c>
    </row>
    <row r="183" spans="1:15" x14ac:dyDescent="0.3">
      <c r="A183" s="60">
        <v>45976</v>
      </c>
      <c r="B183" s="45" t="str">
        <f t="shared" si="92"/>
        <v>sáb</v>
      </c>
      <c r="C183" s="46">
        <v>0.70833333333333304</v>
      </c>
      <c r="D183" s="47" t="s">
        <v>7</v>
      </c>
      <c r="E183" s="47"/>
      <c r="F183" s="47"/>
      <c r="G183" s="47" t="str">
        <f t="shared" si="94"/>
        <v>✅ CUBIERTO</v>
      </c>
      <c r="I183" s="60">
        <v>46006</v>
      </c>
      <c r="J183" s="45" t="str">
        <f t="shared" si="93"/>
        <v>lun</v>
      </c>
      <c r="K183" s="46">
        <v>0.70833333333333304</v>
      </c>
      <c r="L183" s="47" t="s">
        <v>4</v>
      </c>
      <c r="M183" s="47"/>
      <c r="N183" s="47"/>
      <c r="O183" s="47" t="str">
        <f t="shared" si="95"/>
        <v>✅ CUBIERTO</v>
      </c>
    </row>
    <row r="184" spans="1:15" x14ac:dyDescent="0.3">
      <c r="A184" s="60">
        <v>45976</v>
      </c>
      <c r="B184" s="45" t="str">
        <f t="shared" si="92"/>
        <v>sáb</v>
      </c>
      <c r="C184" s="46">
        <v>0.75</v>
      </c>
      <c r="D184" s="47" t="s">
        <v>7</v>
      </c>
      <c r="E184" s="47"/>
      <c r="F184" s="47"/>
      <c r="G184" s="47" t="str">
        <f t="shared" si="94"/>
        <v>✅ CUBIERTO</v>
      </c>
      <c r="I184" s="60">
        <v>46006</v>
      </c>
      <c r="J184" s="45" t="str">
        <f t="shared" si="93"/>
        <v>lun</v>
      </c>
      <c r="K184" s="46">
        <v>0.75</v>
      </c>
      <c r="L184" s="47" t="s">
        <v>4</v>
      </c>
      <c r="M184" s="47"/>
      <c r="N184" s="47"/>
      <c r="O184" s="47" t="str">
        <f t="shared" si="95"/>
        <v>✅ CUBIERTO</v>
      </c>
    </row>
    <row r="185" spans="1:15" x14ac:dyDescent="0.3">
      <c r="A185" s="60">
        <v>45976</v>
      </c>
      <c r="B185" s="45" t="str">
        <f t="shared" si="92"/>
        <v>sáb</v>
      </c>
      <c r="C185" s="46">
        <v>0.79166666666666696</v>
      </c>
      <c r="D185" s="47" t="s">
        <v>7</v>
      </c>
      <c r="E185" s="47"/>
      <c r="F185" s="47"/>
      <c r="G185" s="47" t="str">
        <f t="shared" si="94"/>
        <v>✅ CUBIERTO</v>
      </c>
      <c r="I185" s="60">
        <v>46006</v>
      </c>
      <c r="J185" s="45" t="str">
        <f t="shared" si="93"/>
        <v>lun</v>
      </c>
      <c r="K185" s="46">
        <v>0.79166666666666696</v>
      </c>
      <c r="L185" s="47" t="s">
        <v>4</v>
      </c>
      <c r="M185" s="47"/>
      <c r="N185" s="47"/>
      <c r="O185" s="47" t="str">
        <f t="shared" si="95"/>
        <v>✅ CUBIERTO</v>
      </c>
    </row>
    <row r="186" spans="1:15" x14ac:dyDescent="0.3">
      <c r="A186" s="60">
        <v>45976</v>
      </c>
      <c r="B186" s="45" t="str">
        <f t="shared" ref="B186" si="96">TEXT(A186,"ddd")</f>
        <v>sáb</v>
      </c>
      <c r="C186" s="46">
        <v>0.83333333333333337</v>
      </c>
      <c r="D186" s="47" t="s">
        <v>7</v>
      </c>
      <c r="E186" s="47"/>
      <c r="F186" s="47"/>
      <c r="G186" s="47" t="str">
        <f t="shared" ref="G186:G187" si="97">IF(COUNTIF(D186:F186,"?*")&gt;=$D$4, "✅ CUBIERTO",
 IF(COUNTIF(D186:F186,"?*")&gt;0, "⚠ FALTANTE",
 "❌ SIN COMPLETAR"))</f>
        <v>✅ CUBIERTO</v>
      </c>
      <c r="I186" s="60">
        <v>46006</v>
      </c>
      <c r="J186" s="45" t="str">
        <f t="shared" ref="J186" si="98">TEXT(I186,"ddd")</f>
        <v>lun</v>
      </c>
      <c r="K186" s="46">
        <v>0.83333333333333337</v>
      </c>
      <c r="L186" s="47" t="s">
        <v>4</v>
      </c>
      <c r="M186" s="47"/>
      <c r="N186" s="47"/>
      <c r="O186" s="47" t="str">
        <f>IF(COUNTIF(L186:N186,"?*")&gt;=$L$4, "✅ CUBIERTO",
 IF(COUNTIF(L186:N186,"?*")&gt;0, "⚠ FALTANTE",
 "❌ SIN COMPLETAR"))</f>
        <v>✅ CUBIERTO</v>
      </c>
    </row>
    <row r="187" spans="1:15" x14ac:dyDescent="0.3">
      <c r="A187" s="60">
        <v>45977</v>
      </c>
      <c r="B187" s="45" t="str">
        <f>TEXT(A187,"ddd")</f>
        <v>dom</v>
      </c>
      <c r="C187" s="46">
        <v>0.41666666666666669</v>
      </c>
      <c r="D187" s="47" t="s">
        <v>7</v>
      </c>
      <c r="E187" s="47"/>
      <c r="F187" s="47"/>
      <c r="G187" s="47" t="str">
        <f t="shared" si="97"/>
        <v>✅ CUBIERTO</v>
      </c>
      <c r="I187" s="60">
        <v>46007</v>
      </c>
      <c r="J187" s="45" t="str">
        <f>TEXT(I187,"ddd")</f>
        <v>mar</v>
      </c>
      <c r="K187" s="46">
        <v>0.41666666666666669</v>
      </c>
      <c r="L187" s="47" t="s">
        <v>4</v>
      </c>
      <c r="M187" s="47"/>
      <c r="N187" s="47"/>
      <c r="O187" s="47" t="str">
        <f>IF(COUNTIF(L187:N187,"?*")&gt;=$L$4, "✅ CUBIERTO",
 IF(COUNTIF(L187:N187,"?*")&gt;0, "⚠ FALTANTE",
 "❌ SIN COMPLETAR"))</f>
        <v>✅ CUBIERTO</v>
      </c>
    </row>
    <row r="188" spans="1:15" x14ac:dyDescent="0.3">
      <c r="A188" s="60">
        <v>45977</v>
      </c>
      <c r="B188" s="45" t="str">
        <f>TEXT(A188,"ddd")</f>
        <v>dom</v>
      </c>
      <c r="C188" s="46">
        <v>0.45833333333333331</v>
      </c>
      <c r="D188" s="47" t="s">
        <v>7</v>
      </c>
      <c r="E188" s="47"/>
      <c r="F188" s="47"/>
      <c r="G188" s="47" t="str">
        <f t="shared" si="94"/>
        <v>✅ CUBIERTO</v>
      </c>
      <c r="I188" s="60">
        <v>46007</v>
      </c>
      <c r="J188" s="45" t="str">
        <f>TEXT(I188,"ddd")</f>
        <v>mar</v>
      </c>
      <c r="K188" s="46">
        <v>0.45833333333333331</v>
      </c>
      <c r="L188" s="47" t="s">
        <v>4</v>
      </c>
      <c r="M188" s="47"/>
      <c r="N188" s="47"/>
      <c r="O188" s="47" t="str">
        <f t="shared" si="95"/>
        <v>✅ CUBIERTO</v>
      </c>
    </row>
    <row r="189" spans="1:15" x14ac:dyDescent="0.3">
      <c r="A189" s="60">
        <v>45977</v>
      </c>
      <c r="B189" s="45" t="str">
        <f t="shared" ref="B189:B196" si="99">TEXT(A189,"ddd")</f>
        <v>dom</v>
      </c>
      <c r="C189" s="46">
        <v>0.5</v>
      </c>
      <c r="D189" s="47" t="s">
        <v>7</v>
      </c>
      <c r="E189" s="47"/>
      <c r="F189" s="47"/>
      <c r="G189" s="47" t="str">
        <f t="shared" si="94"/>
        <v>✅ CUBIERTO</v>
      </c>
      <c r="I189" s="60">
        <v>46007</v>
      </c>
      <c r="J189" s="45" t="str">
        <f t="shared" ref="J189:J196" si="100">TEXT(I189,"ddd")</f>
        <v>mar</v>
      </c>
      <c r="K189" s="46">
        <v>0.5</v>
      </c>
      <c r="L189" s="47" t="s">
        <v>4</v>
      </c>
      <c r="M189" s="47"/>
      <c r="N189" s="47"/>
      <c r="O189" s="47" t="str">
        <f t="shared" si="95"/>
        <v>✅ CUBIERTO</v>
      </c>
    </row>
    <row r="190" spans="1:15" x14ac:dyDescent="0.3">
      <c r="A190" s="60">
        <v>45977</v>
      </c>
      <c r="B190" s="45" t="str">
        <f t="shared" si="99"/>
        <v>dom</v>
      </c>
      <c r="C190" s="46">
        <v>0.54166666666666696</v>
      </c>
      <c r="D190" s="47" t="s">
        <v>7</v>
      </c>
      <c r="E190" s="47"/>
      <c r="F190" s="47"/>
      <c r="G190" s="47" t="str">
        <f t="shared" si="94"/>
        <v>✅ CUBIERTO</v>
      </c>
      <c r="I190" s="60">
        <v>46007</v>
      </c>
      <c r="J190" s="45" t="str">
        <f t="shared" si="100"/>
        <v>mar</v>
      </c>
      <c r="K190" s="46">
        <v>0.54166666666666696</v>
      </c>
      <c r="L190" s="47" t="s">
        <v>4</v>
      </c>
      <c r="M190" s="47"/>
      <c r="N190" s="47"/>
      <c r="O190" s="47" t="str">
        <f t="shared" si="95"/>
        <v>✅ CUBIERTO</v>
      </c>
    </row>
    <row r="191" spans="1:15" x14ac:dyDescent="0.3">
      <c r="A191" s="60">
        <v>45977</v>
      </c>
      <c r="B191" s="45" t="str">
        <f t="shared" si="99"/>
        <v>dom</v>
      </c>
      <c r="C191" s="46">
        <v>0.58333333333333304</v>
      </c>
      <c r="D191" s="47" t="s">
        <v>7</v>
      </c>
      <c r="E191" s="47"/>
      <c r="F191" s="47"/>
      <c r="G191" s="47" t="str">
        <f t="shared" si="94"/>
        <v>✅ CUBIERTO</v>
      </c>
      <c r="I191" s="60">
        <v>46007</v>
      </c>
      <c r="J191" s="45" t="str">
        <f t="shared" si="100"/>
        <v>mar</v>
      </c>
      <c r="K191" s="46">
        <v>0.58333333333333304</v>
      </c>
      <c r="L191" s="47" t="s">
        <v>4</v>
      </c>
      <c r="M191" s="47"/>
      <c r="N191" s="47"/>
      <c r="O191" s="47" t="str">
        <f t="shared" si="95"/>
        <v>✅ CUBIERTO</v>
      </c>
    </row>
    <row r="192" spans="1:15" x14ac:dyDescent="0.3">
      <c r="A192" s="60">
        <v>45977</v>
      </c>
      <c r="B192" s="45" t="str">
        <f t="shared" si="99"/>
        <v>dom</v>
      </c>
      <c r="C192" s="46">
        <v>0.625</v>
      </c>
      <c r="D192" s="47" t="s">
        <v>7</v>
      </c>
      <c r="E192" s="47"/>
      <c r="F192" s="47"/>
      <c r="G192" s="47" t="str">
        <f t="shared" si="94"/>
        <v>✅ CUBIERTO</v>
      </c>
      <c r="I192" s="60">
        <v>46007</v>
      </c>
      <c r="J192" s="45" t="str">
        <f t="shared" si="100"/>
        <v>mar</v>
      </c>
      <c r="K192" s="46">
        <v>0.625</v>
      </c>
      <c r="L192" s="47" t="s">
        <v>4</v>
      </c>
      <c r="M192" s="47"/>
      <c r="N192" s="47"/>
      <c r="O192" s="47" t="str">
        <f t="shared" si="95"/>
        <v>✅ CUBIERTO</v>
      </c>
    </row>
    <row r="193" spans="1:15" x14ac:dyDescent="0.3">
      <c r="A193" s="60">
        <v>45977</v>
      </c>
      <c r="B193" s="45" t="str">
        <f t="shared" si="99"/>
        <v>dom</v>
      </c>
      <c r="C193" s="46">
        <v>0.66666666666666696</v>
      </c>
      <c r="D193" s="47" t="s">
        <v>7</v>
      </c>
      <c r="E193" s="47"/>
      <c r="F193" s="47"/>
      <c r="G193" s="47" t="str">
        <f t="shared" si="94"/>
        <v>✅ CUBIERTO</v>
      </c>
      <c r="I193" s="60">
        <v>46007</v>
      </c>
      <c r="J193" s="45" t="str">
        <f t="shared" si="100"/>
        <v>mar</v>
      </c>
      <c r="K193" s="46">
        <v>0.66666666666666696</v>
      </c>
      <c r="L193" s="47" t="s">
        <v>4</v>
      </c>
      <c r="M193" s="47"/>
      <c r="N193" s="47"/>
      <c r="O193" s="47" t="str">
        <f t="shared" si="95"/>
        <v>✅ CUBIERTO</v>
      </c>
    </row>
    <row r="194" spans="1:15" x14ac:dyDescent="0.3">
      <c r="A194" s="60">
        <v>45977</v>
      </c>
      <c r="B194" s="45" t="str">
        <f t="shared" si="99"/>
        <v>dom</v>
      </c>
      <c r="C194" s="46">
        <v>0.70833333333333304</v>
      </c>
      <c r="D194" s="47" t="s">
        <v>7</v>
      </c>
      <c r="E194" s="47"/>
      <c r="F194" s="47"/>
      <c r="G194" s="47" t="str">
        <f t="shared" si="94"/>
        <v>✅ CUBIERTO</v>
      </c>
      <c r="I194" s="60">
        <v>46007</v>
      </c>
      <c r="J194" s="45" t="str">
        <f t="shared" si="100"/>
        <v>mar</v>
      </c>
      <c r="K194" s="46">
        <v>0.70833333333333304</v>
      </c>
      <c r="L194" s="47" t="s">
        <v>4</v>
      </c>
      <c r="M194" s="47"/>
      <c r="N194" s="47"/>
      <c r="O194" s="47" t="str">
        <f t="shared" si="95"/>
        <v>✅ CUBIERTO</v>
      </c>
    </row>
    <row r="195" spans="1:15" x14ac:dyDescent="0.3">
      <c r="A195" s="60">
        <v>45977</v>
      </c>
      <c r="B195" s="45" t="str">
        <f t="shared" si="99"/>
        <v>dom</v>
      </c>
      <c r="C195" s="46">
        <v>0.75</v>
      </c>
      <c r="D195" s="47" t="s">
        <v>7</v>
      </c>
      <c r="E195" s="47"/>
      <c r="F195" s="47"/>
      <c r="G195" s="47" t="str">
        <f t="shared" si="94"/>
        <v>✅ CUBIERTO</v>
      </c>
      <c r="I195" s="60">
        <v>46007</v>
      </c>
      <c r="J195" s="45" t="str">
        <f t="shared" si="100"/>
        <v>mar</v>
      </c>
      <c r="K195" s="46">
        <v>0.75</v>
      </c>
      <c r="L195" s="47" t="s">
        <v>4</v>
      </c>
      <c r="M195" s="47"/>
      <c r="N195" s="47"/>
      <c r="O195" s="47" t="str">
        <f t="shared" si="95"/>
        <v>✅ CUBIERTO</v>
      </c>
    </row>
    <row r="196" spans="1:15" x14ac:dyDescent="0.3">
      <c r="A196" s="60">
        <v>45977</v>
      </c>
      <c r="B196" s="45" t="str">
        <f t="shared" si="99"/>
        <v>dom</v>
      </c>
      <c r="C196" s="46">
        <v>0.79166666666666696</v>
      </c>
      <c r="D196" s="47" t="s">
        <v>7</v>
      </c>
      <c r="E196" s="47"/>
      <c r="F196" s="47"/>
      <c r="G196" s="47" t="str">
        <f t="shared" si="94"/>
        <v>✅ CUBIERTO</v>
      </c>
      <c r="I196" s="60">
        <v>46007</v>
      </c>
      <c r="J196" s="45" t="str">
        <f t="shared" si="100"/>
        <v>mar</v>
      </c>
      <c r="K196" s="46">
        <v>0.79166666666666696</v>
      </c>
      <c r="L196" s="47" t="s">
        <v>4</v>
      </c>
      <c r="M196" s="47"/>
      <c r="N196" s="47"/>
      <c r="O196" s="47" t="str">
        <f t="shared" si="95"/>
        <v>✅ CUBIERTO</v>
      </c>
    </row>
    <row r="197" spans="1:15" x14ac:dyDescent="0.3">
      <c r="A197" s="60">
        <v>45977</v>
      </c>
      <c r="B197" s="45" t="str">
        <f t="shared" ref="B197" si="101">TEXT(A197,"ddd")</f>
        <v>dom</v>
      </c>
      <c r="C197" s="46">
        <v>0.83333333333333337</v>
      </c>
      <c r="D197" s="47" t="s">
        <v>7</v>
      </c>
      <c r="E197" s="47"/>
      <c r="F197" s="47"/>
      <c r="G197" s="47" t="str">
        <f t="shared" ref="G197:G198" si="102">IF(COUNTIF(D197:F197,"?*")&gt;=$D$4, "✅ CUBIERTO",
 IF(COUNTIF(D197:F197,"?*")&gt;0, "⚠ FALTANTE",
 "❌ SIN COMPLETAR"))</f>
        <v>✅ CUBIERTO</v>
      </c>
      <c r="I197" s="60">
        <v>46007</v>
      </c>
      <c r="J197" s="45" t="str">
        <f t="shared" ref="J197" si="103">TEXT(I197,"ddd")</f>
        <v>mar</v>
      </c>
      <c r="K197" s="46">
        <v>0.83333333333333337</v>
      </c>
      <c r="L197" s="47" t="s">
        <v>4</v>
      </c>
      <c r="M197" s="47"/>
      <c r="N197" s="47"/>
      <c r="O197" s="47" t="str">
        <f>IF(COUNTIF(L197:N197,"?*")&gt;=$L$4, "✅ CUBIERTO",
 IF(COUNTIF(L197:N197,"?*")&gt;0, "⚠ FALTANTE",
 "❌ SIN COMPLETAR"))</f>
        <v>✅ CUBIERTO</v>
      </c>
    </row>
    <row r="198" spans="1:15" x14ac:dyDescent="0.3">
      <c r="A198" s="60">
        <v>45978</v>
      </c>
      <c r="B198" s="45" t="str">
        <f>TEXT(A198,"ddd")</f>
        <v>lun</v>
      </c>
      <c r="C198" s="46">
        <v>0.41666666666666669</v>
      </c>
      <c r="D198" s="47" t="s">
        <v>7</v>
      </c>
      <c r="E198" s="47"/>
      <c r="F198" s="47"/>
      <c r="G198" s="47" t="str">
        <f t="shared" si="102"/>
        <v>✅ CUBIERTO</v>
      </c>
      <c r="I198" s="60">
        <v>46008</v>
      </c>
      <c r="J198" s="45" t="str">
        <f>TEXT(I198,"ddd")</f>
        <v>mié</v>
      </c>
      <c r="K198" s="46">
        <v>0.41666666666666669</v>
      </c>
      <c r="L198" s="47" t="s">
        <v>4</v>
      </c>
      <c r="M198" s="47"/>
      <c r="N198" s="47"/>
      <c r="O198" s="47" t="str">
        <f>IF(COUNTIF(L198:N198,"?*")&gt;=$L$4, "✅ CUBIERTO",
 IF(COUNTIF(L198:N198,"?*")&gt;0, "⚠ FALTANTE",
 "❌ SIN COMPLETAR"))</f>
        <v>✅ CUBIERTO</v>
      </c>
    </row>
    <row r="199" spans="1:15" x14ac:dyDescent="0.3">
      <c r="A199" s="60">
        <v>45978</v>
      </c>
      <c r="B199" s="45" t="str">
        <f>TEXT(A199,"ddd")</f>
        <v>lun</v>
      </c>
      <c r="C199" s="46">
        <v>0.45833333333333331</v>
      </c>
      <c r="D199" s="47" t="s">
        <v>7</v>
      </c>
      <c r="E199" s="47"/>
      <c r="F199" s="47"/>
      <c r="G199" s="47" t="str">
        <f t="shared" si="94"/>
        <v>✅ CUBIERTO</v>
      </c>
      <c r="I199" s="60">
        <v>46008</v>
      </c>
      <c r="J199" s="45" t="str">
        <f>TEXT(I199,"ddd")</f>
        <v>mié</v>
      </c>
      <c r="K199" s="46">
        <v>0.45833333333333331</v>
      </c>
      <c r="L199" s="47" t="s">
        <v>4</v>
      </c>
      <c r="M199" s="47"/>
      <c r="N199" s="47"/>
      <c r="O199" s="47" t="str">
        <f t="shared" si="95"/>
        <v>✅ CUBIERTO</v>
      </c>
    </row>
    <row r="200" spans="1:15" x14ac:dyDescent="0.3">
      <c r="A200" s="60">
        <v>45978</v>
      </c>
      <c r="B200" s="45" t="str">
        <f t="shared" ref="B200:B207" si="104">TEXT(A200,"ddd")</f>
        <v>lun</v>
      </c>
      <c r="C200" s="46">
        <v>0.5</v>
      </c>
      <c r="D200" s="47" t="s">
        <v>7</v>
      </c>
      <c r="E200" s="47"/>
      <c r="F200" s="47"/>
      <c r="G200" s="47" t="str">
        <f t="shared" si="94"/>
        <v>✅ CUBIERTO</v>
      </c>
      <c r="I200" s="60">
        <v>46008</v>
      </c>
      <c r="J200" s="45" t="str">
        <f t="shared" ref="J200:J207" si="105">TEXT(I200,"ddd")</f>
        <v>mié</v>
      </c>
      <c r="K200" s="46">
        <v>0.5</v>
      </c>
      <c r="L200" s="47" t="s">
        <v>4</v>
      </c>
      <c r="M200" s="47"/>
      <c r="N200" s="47"/>
      <c r="O200" s="47" t="str">
        <f t="shared" si="95"/>
        <v>✅ CUBIERTO</v>
      </c>
    </row>
    <row r="201" spans="1:15" x14ac:dyDescent="0.3">
      <c r="A201" s="60">
        <v>45978</v>
      </c>
      <c r="B201" s="45" t="str">
        <f t="shared" si="104"/>
        <v>lun</v>
      </c>
      <c r="C201" s="46">
        <v>0.54166666666666696</v>
      </c>
      <c r="D201" s="47" t="s">
        <v>7</v>
      </c>
      <c r="E201" s="47"/>
      <c r="F201" s="47"/>
      <c r="G201" s="47" t="str">
        <f t="shared" si="94"/>
        <v>✅ CUBIERTO</v>
      </c>
      <c r="I201" s="60">
        <v>46008</v>
      </c>
      <c r="J201" s="45" t="str">
        <f t="shared" si="105"/>
        <v>mié</v>
      </c>
      <c r="K201" s="46">
        <v>0.54166666666666696</v>
      </c>
      <c r="L201" s="47" t="s">
        <v>4</v>
      </c>
      <c r="M201" s="47"/>
      <c r="N201" s="47"/>
      <c r="O201" s="47" t="str">
        <f t="shared" si="95"/>
        <v>✅ CUBIERTO</v>
      </c>
    </row>
    <row r="202" spans="1:15" x14ac:dyDescent="0.3">
      <c r="A202" s="60">
        <v>45978</v>
      </c>
      <c r="B202" s="45" t="str">
        <f t="shared" si="104"/>
        <v>lun</v>
      </c>
      <c r="C202" s="46">
        <v>0.58333333333333304</v>
      </c>
      <c r="D202" s="47" t="s">
        <v>7</v>
      </c>
      <c r="E202" s="47"/>
      <c r="F202" s="47"/>
      <c r="G202" s="47" t="str">
        <f t="shared" si="94"/>
        <v>✅ CUBIERTO</v>
      </c>
      <c r="I202" s="60">
        <v>46008</v>
      </c>
      <c r="J202" s="45" t="str">
        <f t="shared" si="105"/>
        <v>mié</v>
      </c>
      <c r="K202" s="46">
        <v>0.58333333333333304</v>
      </c>
      <c r="L202" s="47" t="s">
        <v>4</v>
      </c>
      <c r="M202" s="47"/>
      <c r="N202" s="47"/>
      <c r="O202" s="47" t="str">
        <f t="shared" si="95"/>
        <v>✅ CUBIERTO</v>
      </c>
    </row>
    <row r="203" spans="1:15" x14ac:dyDescent="0.3">
      <c r="A203" s="60">
        <v>45978</v>
      </c>
      <c r="B203" s="45" t="str">
        <f t="shared" si="104"/>
        <v>lun</v>
      </c>
      <c r="C203" s="46">
        <v>0.625</v>
      </c>
      <c r="D203" s="47" t="s">
        <v>7</v>
      </c>
      <c r="E203" s="47"/>
      <c r="F203" s="47"/>
      <c r="G203" s="47" t="str">
        <f t="shared" si="94"/>
        <v>✅ CUBIERTO</v>
      </c>
      <c r="I203" s="60">
        <v>46008</v>
      </c>
      <c r="J203" s="45" t="str">
        <f t="shared" si="105"/>
        <v>mié</v>
      </c>
      <c r="K203" s="46">
        <v>0.625</v>
      </c>
      <c r="L203" s="47" t="s">
        <v>4</v>
      </c>
      <c r="M203" s="47"/>
      <c r="N203" s="47"/>
      <c r="O203" s="47" t="str">
        <f t="shared" si="95"/>
        <v>✅ CUBIERTO</v>
      </c>
    </row>
    <row r="204" spans="1:15" x14ac:dyDescent="0.3">
      <c r="A204" s="60">
        <v>45978</v>
      </c>
      <c r="B204" s="45" t="str">
        <f t="shared" si="104"/>
        <v>lun</v>
      </c>
      <c r="C204" s="46">
        <v>0.66666666666666696</v>
      </c>
      <c r="D204" s="47" t="s">
        <v>7</v>
      </c>
      <c r="E204" s="47"/>
      <c r="F204" s="47"/>
      <c r="G204" s="47" t="str">
        <f t="shared" si="94"/>
        <v>✅ CUBIERTO</v>
      </c>
      <c r="I204" s="60">
        <v>46008</v>
      </c>
      <c r="J204" s="45" t="str">
        <f t="shared" si="105"/>
        <v>mié</v>
      </c>
      <c r="K204" s="46">
        <v>0.66666666666666696</v>
      </c>
      <c r="L204" s="47" t="s">
        <v>4</v>
      </c>
      <c r="M204" s="47"/>
      <c r="N204" s="47"/>
      <c r="O204" s="47" t="str">
        <f t="shared" si="95"/>
        <v>✅ CUBIERTO</v>
      </c>
    </row>
    <row r="205" spans="1:15" x14ac:dyDescent="0.3">
      <c r="A205" s="60">
        <v>45978</v>
      </c>
      <c r="B205" s="45" t="str">
        <f t="shared" si="104"/>
        <v>lun</v>
      </c>
      <c r="C205" s="46">
        <v>0.70833333333333304</v>
      </c>
      <c r="D205" s="47" t="s">
        <v>7</v>
      </c>
      <c r="E205" s="47"/>
      <c r="F205" s="47"/>
      <c r="G205" s="47" t="str">
        <f t="shared" si="94"/>
        <v>✅ CUBIERTO</v>
      </c>
      <c r="I205" s="60">
        <v>46008</v>
      </c>
      <c r="J205" s="45" t="str">
        <f t="shared" si="105"/>
        <v>mié</v>
      </c>
      <c r="K205" s="46">
        <v>0.70833333333333304</v>
      </c>
      <c r="L205" s="47" t="s">
        <v>4</v>
      </c>
      <c r="M205" s="47"/>
      <c r="N205" s="47"/>
      <c r="O205" s="47" t="str">
        <f t="shared" si="95"/>
        <v>✅ CUBIERTO</v>
      </c>
    </row>
    <row r="206" spans="1:15" x14ac:dyDescent="0.3">
      <c r="A206" s="60">
        <v>45978</v>
      </c>
      <c r="B206" s="45" t="str">
        <f t="shared" si="104"/>
        <v>lun</v>
      </c>
      <c r="C206" s="46">
        <v>0.75</v>
      </c>
      <c r="D206" s="47" t="s">
        <v>7</v>
      </c>
      <c r="E206" s="47"/>
      <c r="F206" s="47"/>
      <c r="G206" s="47" t="str">
        <f t="shared" si="94"/>
        <v>✅ CUBIERTO</v>
      </c>
      <c r="I206" s="60">
        <v>46008</v>
      </c>
      <c r="J206" s="45" t="str">
        <f t="shared" si="105"/>
        <v>mié</v>
      </c>
      <c r="K206" s="46">
        <v>0.75</v>
      </c>
      <c r="L206" s="47" t="s">
        <v>4</v>
      </c>
      <c r="M206" s="47"/>
      <c r="N206" s="47"/>
      <c r="O206" s="47" t="str">
        <f t="shared" si="95"/>
        <v>✅ CUBIERTO</v>
      </c>
    </row>
    <row r="207" spans="1:15" x14ac:dyDescent="0.3">
      <c r="A207" s="60">
        <v>45978</v>
      </c>
      <c r="B207" s="45" t="str">
        <f t="shared" si="104"/>
        <v>lun</v>
      </c>
      <c r="C207" s="46">
        <v>0.79166666666666696</v>
      </c>
      <c r="D207" s="47" t="s">
        <v>7</v>
      </c>
      <c r="E207" s="47"/>
      <c r="F207" s="47"/>
      <c r="G207" s="47" t="str">
        <f t="shared" si="94"/>
        <v>✅ CUBIERTO</v>
      </c>
      <c r="I207" s="60">
        <v>46008</v>
      </c>
      <c r="J207" s="45" t="str">
        <f t="shared" si="105"/>
        <v>mié</v>
      </c>
      <c r="K207" s="46">
        <v>0.79166666666666696</v>
      </c>
      <c r="L207" s="47" t="s">
        <v>4</v>
      </c>
      <c r="M207" s="47"/>
      <c r="N207" s="47"/>
      <c r="O207" s="47" t="str">
        <f t="shared" si="95"/>
        <v>✅ CUBIERTO</v>
      </c>
    </row>
    <row r="208" spans="1:15" x14ac:dyDescent="0.3">
      <c r="A208" s="60">
        <v>45978</v>
      </c>
      <c r="B208" s="45" t="str">
        <f t="shared" ref="B208" si="106">TEXT(A208,"ddd")</f>
        <v>lun</v>
      </c>
      <c r="C208" s="46">
        <v>0.83333333333333337</v>
      </c>
      <c r="D208" s="47" t="s">
        <v>7</v>
      </c>
      <c r="E208" s="47"/>
      <c r="F208" s="47"/>
      <c r="G208" s="47" t="str">
        <f t="shared" ref="G208:G209" si="107">IF(COUNTIF(D208:F208,"?*")&gt;=$D$4, "✅ CUBIERTO",
 IF(COUNTIF(D208:F208,"?*")&gt;0, "⚠ FALTANTE",
 "❌ SIN COMPLETAR"))</f>
        <v>✅ CUBIERTO</v>
      </c>
      <c r="I208" s="60">
        <v>46008</v>
      </c>
      <c r="J208" s="45" t="str">
        <f t="shared" ref="J208" si="108">TEXT(I208,"ddd")</f>
        <v>mié</v>
      </c>
      <c r="K208" s="46">
        <v>0.83333333333333337</v>
      </c>
      <c r="L208" s="47" t="s">
        <v>4</v>
      </c>
      <c r="M208" s="47"/>
      <c r="N208" s="47"/>
      <c r="O208" s="47" t="str">
        <f>IF(COUNTIF(L208:N208,"?*")&gt;=$L$4, "✅ CUBIERTO",
 IF(COUNTIF(L208:N208,"?*")&gt;0, "⚠ FALTANTE",
 "❌ SIN COMPLETAR"))</f>
        <v>✅ CUBIERTO</v>
      </c>
    </row>
    <row r="209" spans="1:15" x14ac:dyDescent="0.3">
      <c r="A209" s="60">
        <v>45979</v>
      </c>
      <c r="B209" s="45" t="str">
        <f>TEXT(A209,"ddd")</f>
        <v>mar</v>
      </c>
      <c r="C209" s="46">
        <v>0.41666666666666669</v>
      </c>
      <c r="D209" s="47" t="s">
        <v>7</v>
      </c>
      <c r="E209" s="47"/>
      <c r="F209" s="47"/>
      <c r="G209" s="47" t="str">
        <f t="shared" si="107"/>
        <v>✅ CUBIERTO</v>
      </c>
      <c r="I209" s="60">
        <v>46009</v>
      </c>
      <c r="J209" s="45" t="str">
        <f>TEXT(I209,"ddd")</f>
        <v>jue</v>
      </c>
      <c r="K209" s="46">
        <v>0.41666666666666669</v>
      </c>
      <c r="L209" s="47" t="s">
        <v>4</v>
      </c>
      <c r="M209" s="47"/>
      <c r="N209" s="47"/>
      <c r="O209" s="47" t="str">
        <f>IF(COUNTIF(L209:N209,"?*")&gt;=$L$4, "✅ CUBIERTO",
 IF(COUNTIF(L209:N209,"?*")&gt;0, "⚠ FALTANTE",
 "❌ SIN COMPLETAR"))</f>
        <v>✅ CUBIERTO</v>
      </c>
    </row>
    <row r="210" spans="1:15" x14ac:dyDescent="0.3">
      <c r="A210" s="60">
        <v>45979</v>
      </c>
      <c r="B210" s="45" t="str">
        <f>TEXT(A210,"ddd")</f>
        <v>mar</v>
      </c>
      <c r="C210" s="46">
        <v>0.45833333333333331</v>
      </c>
      <c r="D210" s="47" t="s">
        <v>7</v>
      </c>
      <c r="E210" s="47"/>
      <c r="F210" s="47"/>
      <c r="G210" s="47" t="str">
        <f t="shared" si="94"/>
        <v>✅ CUBIERTO</v>
      </c>
      <c r="I210" s="60">
        <v>46009</v>
      </c>
      <c r="J210" s="45" t="str">
        <f>TEXT(I210,"ddd")</f>
        <v>jue</v>
      </c>
      <c r="K210" s="46">
        <v>0.45833333333333331</v>
      </c>
      <c r="L210" s="47" t="s">
        <v>4</v>
      </c>
      <c r="M210" s="47"/>
      <c r="N210" s="47"/>
      <c r="O210" s="47" t="str">
        <f t="shared" si="95"/>
        <v>✅ CUBIERTO</v>
      </c>
    </row>
    <row r="211" spans="1:15" x14ac:dyDescent="0.3">
      <c r="A211" s="60">
        <v>45979</v>
      </c>
      <c r="B211" s="45" t="str">
        <f t="shared" ref="B211:B218" si="109">TEXT(A211,"ddd")</f>
        <v>mar</v>
      </c>
      <c r="C211" s="46">
        <v>0.5</v>
      </c>
      <c r="D211" s="47" t="s">
        <v>7</v>
      </c>
      <c r="E211" s="47"/>
      <c r="F211" s="47"/>
      <c r="G211" s="47" t="str">
        <f t="shared" si="94"/>
        <v>✅ CUBIERTO</v>
      </c>
      <c r="I211" s="60">
        <v>46009</v>
      </c>
      <c r="J211" s="45" t="str">
        <f t="shared" ref="J211:J218" si="110">TEXT(I211,"ddd")</f>
        <v>jue</v>
      </c>
      <c r="K211" s="46">
        <v>0.5</v>
      </c>
      <c r="L211" s="47" t="s">
        <v>4</v>
      </c>
      <c r="M211" s="47"/>
      <c r="N211" s="47"/>
      <c r="O211" s="47" t="str">
        <f t="shared" si="95"/>
        <v>✅ CUBIERTO</v>
      </c>
    </row>
    <row r="212" spans="1:15" x14ac:dyDescent="0.3">
      <c r="A212" s="60">
        <v>45979</v>
      </c>
      <c r="B212" s="45" t="str">
        <f t="shared" si="109"/>
        <v>mar</v>
      </c>
      <c r="C212" s="46">
        <v>0.54166666666666696</v>
      </c>
      <c r="D212" s="47" t="s">
        <v>7</v>
      </c>
      <c r="E212" s="47"/>
      <c r="F212" s="47"/>
      <c r="G212" s="47" t="str">
        <f t="shared" si="94"/>
        <v>✅ CUBIERTO</v>
      </c>
      <c r="I212" s="60">
        <v>46009</v>
      </c>
      <c r="J212" s="45" t="str">
        <f t="shared" si="110"/>
        <v>jue</v>
      </c>
      <c r="K212" s="46">
        <v>0.54166666666666696</v>
      </c>
      <c r="L212" s="47" t="s">
        <v>4</v>
      </c>
      <c r="M212" s="47"/>
      <c r="N212" s="47"/>
      <c r="O212" s="47" t="str">
        <f t="shared" si="95"/>
        <v>✅ CUBIERTO</v>
      </c>
    </row>
    <row r="213" spans="1:15" x14ac:dyDescent="0.3">
      <c r="A213" s="60">
        <v>45979</v>
      </c>
      <c r="B213" s="45" t="str">
        <f t="shared" si="109"/>
        <v>mar</v>
      </c>
      <c r="C213" s="46">
        <v>0.58333333333333304</v>
      </c>
      <c r="D213" s="47" t="s">
        <v>7</v>
      </c>
      <c r="E213" s="47"/>
      <c r="F213" s="47"/>
      <c r="G213" s="47" t="str">
        <f t="shared" si="94"/>
        <v>✅ CUBIERTO</v>
      </c>
      <c r="I213" s="60">
        <v>46009</v>
      </c>
      <c r="J213" s="45" t="str">
        <f t="shared" si="110"/>
        <v>jue</v>
      </c>
      <c r="K213" s="46">
        <v>0.58333333333333304</v>
      </c>
      <c r="L213" s="47" t="s">
        <v>4</v>
      </c>
      <c r="M213" s="47"/>
      <c r="N213" s="47"/>
      <c r="O213" s="47" t="str">
        <f t="shared" si="95"/>
        <v>✅ CUBIERTO</v>
      </c>
    </row>
    <row r="214" spans="1:15" x14ac:dyDescent="0.3">
      <c r="A214" s="60">
        <v>45979</v>
      </c>
      <c r="B214" s="45" t="str">
        <f t="shared" si="109"/>
        <v>mar</v>
      </c>
      <c r="C214" s="46">
        <v>0.625</v>
      </c>
      <c r="D214" s="47" t="s">
        <v>7</v>
      </c>
      <c r="E214" s="47"/>
      <c r="F214" s="47"/>
      <c r="G214" s="47" t="str">
        <f t="shared" si="94"/>
        <v>✅ CUBIERTO</v>
      </c>
      <c r="I214" s="60">
        <v>46009</v>
      </c>
      <c r="J214" s="45" t="str">
        <f t="shared" si="110"/>
        <v>jue</v>
      </c>
      <c r="K214" s="46">
        <v>0.625</v>
      </c>
      <c r="L214" s="47" t="s">
        <v>4</v>
      </c>
      <c r="M214" s="47"/>
      <c r="N214" s="47"/>
      <c r="O214" s="47" t="str">
        <f t="shared" si="95"/>
        <v>✅ CUBIERTO</v>
      </c>
    </row>
    <row r="215" spans="1:15" x14ac:dyDescent="0.3">
      <c r="A215" s="60">
        <v>45979</v>
      </c>
      <c r="B215" s="45" t="str">
        <f t="shared" si="109"/>
        <v>mar</v>
      </c>
      <c r="C215" s="46">
        <v>0.66666666666666696</v>
      </c>
      <c r="D215" s="47" t="s">
        <v>7</v>
      </c>
      <c r="E215" s="47"/>
      <c r="F215" s="47"/>
      <c r="G215" s="47" t="str">
        <f t="shared" si="94"/>
        <v>✅ CUBIERTO</v>
      </c>
      <c r="I215" s="60">
        <v>46009</v>
      </c>
      <c r="J215" s="45" t="str">
        <f t="shared" si="110"/>
        <v>jue</v>
      </c>
      <c r="K215" s="46">
        <v>0.66666666666666696</v>
      </c>
      <c r="L215" s="47" t="s">
        <v>4</v>
      </c>
      <c r="M215" s="47"/>
      <c r="N215" s="47"/>
      <c r="O215" s="47" t="str">
        <f t="shared" si="95"/>
        <v>✅ CUBIERTO</v>
      </c>
    </row>
    <row r="216" spans="1:15" x14ac:dyDescent="0.3">
      <c r="A216" s="60">
        <v>45979</v>
      </c>
      <c r="B216" s="45" t="str">
        <f t="shared" si="109"/>
        <v>mar</v>
      </c>
      <c r="C216" s="46">
        <v>0.70833333333333304</v>
      </c>
      <c r="D216" s="47" t="s">
        <v>7</v>
      </c>
      <c r="E216" s="47"/>
      <c r="F216" s="47"/>
      <c r="G216" s="47" t="str">
        <f t="shared" si="94"/>
        <v>✅ CUBIERTO</v>
      </c>
      <c r="I216" s="60">
        <v>46009</v>
      </c>
      <c r="J216" s="45" t="str">
        <f t="shared" si="110"/>
        <v>jue</v>
      </c>
      <c r="K216" s="46">
        <v>0.70833333333333304</v>
      </c>
      <c r="L216" s="47" t="s">
        <v>4</v>
      </c>
      <c r="M216" s="47"/>
      <c r="N216" s="47"/>
      <c r="O216" s="47" t="str">
        <f t="shared" si="95"/>
        <v>✅ CUBIERTO</v>
      </c>
    </row>
    <row r="217" spans="1:15" x14ac:dyDescent="0.3">
      <c r="A217" s="60">
        <v>45979</v>
      </c>
      <c r="B217" s="45" t="str">
        <f t="shared" si="109"/>
        <v>mar</v>
      </c>
      <c r="C217" s="46">
        <v>0.75</v>
      </c>
      <c r="D217" s="47" t="s">
        <v>7</v>
      </c>
      <c r="E217" s="47"/>
      <c r="F217" s="47"/>
      <c r="G217" s="47" t="str">
        <f t="shared" si="94"/>
        <v>✅ CUBIERTO</v>
      </c>
      <c r="I217" s="60">
        <v>46009</v>
      </c>
      <c r="J217" s="45" t="str">
        <f t="shared" si="110"/>
        <v>jue</v>
      </c>
      <c r="K217" s="46">
        <v>0.75</v>
      </c>
      <c r="L217" s="47" t="s">
        <v>4</v>
      </c>
      <c r="M217" s="47"/>
      <c r="N217" s="47"/>
      <c r="O217" s="47" t="str">
        <f t="shared" si="95"/>
        <v>✅ CUBIERTO</v>
      </c>
    </row>
    <row r="218" spans="1:15" x14ac:dyDescent="0.3">
      <c r="A218" s="60">
        <v>45979</v>
      </c>
      <c r="B218" s="45" t="str">
        <f t="shared" si="109"/>
        <v>mar</v>
      </c>
      <c r="C218" s="46">
        <v>0.79166666666666696</v>
      </c>
      <c r="D218" s="47" t="s">
        <v>7</v>
      </c>
      <c r="E218" s="47"/>
      <c r="F218" s="47"/>
      <c r="G218" s="47" t="str">
        <f t="shared" si="94"/>
        <v>✅ CUBIERTO</v>
      </c>
      <c r="I218" s="60">
        <v>46009</v>
      </c>
      <c r="J218" s="45" t="str">
        <f t="shared" si="110"/>
        <v>jue</v>
      </c>
      <c r="K218" s="46">
        <v>0.79166666666666696</v>
      </c>
      <c r="L218" s="47" t="s">
        <v>4</v>
      </c>
      <c r="M218" s="47"/>
      <c r="N218" s="47"/>
      <c r="O218" s="47" t="str">
        <f t="shared" si="95"/>
        <v>✅ CUBIERTO</v>
      </c>
    </row>
    <row r="219" spans="1:15" x14ac:dyDescent="0.3">
      <c r="A219" s="60">
        <v>45979</v>
      </c>
      <c r="B219" s="45" t="str">
        <f t="shared" ref="B219" si="111">TEXT(A219,"ddd")</f>
        <v>mar</v>
      </c>
      <c r="C219" s="46">
        <v>0.83333333333333337</v>
      </c>
      <c r="D219" s="47" t="s">
        <v>7</v>
      </c>
      <c r="E219" s="47"/>
      <c r="F219" s="47"/>
      <c r="G219" s="47" t="str">
        <f t="shared" ref="G219:G220" si="112">IF(COUNTIF(D219:F219,"?*")&gt;=$D$4, "✅ CUBIERTO",
 IF(COUNTIF(D219:F219,"?*")&gt;0, "⚠ FALTANTE",
 "❌ SIN COMPLETAR"))</f>
        <v>✅ CUBIERTO</v>
      </c>
      <c r="I219" s="60">
        <v>46009</v>
      </c>
      <c r="J219" s="45" t="str">
        <f t="shared" ref="J219" si="113">TEXT(I219,"ddd")</f>
        <v>jue</v>
      </c>
      <c r="K219" s="46">
        <v>0.83333333333333337</v>
      </c>
      <c r="L219" s="47" t="s">
        <v>4</v>
      </c>
      <c r="M219" s="47"/>
      <c r="N219" s="47"/>
      <c r="O219" s="47" t="str">
        <f>IF(COUNTIF(L219:N219,"?*")&gt;=$L$4, "✅ CUBIERTO",
 IF(COUNTIF(L219:N219,"?*")&gt;0, "⚠ FALTANTE",
 "❌ SIN COMPLETAR"))</f>
        <v>✅ CUBIERTO</v>
      </c>
    </row>
    <row r="220" spans="1:15" x14ac:dyDescent="0.3">
      <c r="A220" s="60">
        <v>45980</v>
      </c>
      <c r="B220" s="45" t="str">
        <f>TEXT(A220,"ddd")</f>
        <v>mié</v>
      </c>
      <c r="C220" s="46">
        <v>0.41666666666666669</v>
      </c>
      <c r="D220" s="47" t="s">
        <v>7</v>
      </c>
      <c r="E220" s="47"/>
      <c r="F220" s="47"/>
      <c r="G220" s="47" t="str">
        <f t="shared" si="112"/>
        <v>✅ CUBIERTO</v>
      </c>
      <c r="I220" s="60">
        <v>46010</v>
      </c>
      <c r="J220" s="45" t="str">
        <f>TEXT(I220,"ddd")</f>
        <v>vie</v>
      </c>
      <c r="K220" s="46">
        <v>0.41666666666666669</v>
      </c>
      <c r="L220" s="47" t="s">
        <v>4</v>
      </c>
      <c r="M220" s="47"/>
      <c r="N220" s="47"/>
      <c r="O220" s="47" t="str">
        <f>IF(COUNTIF(L220:N220,"?*")&gt;=$L$4, "✅ CUBIERTO",
 IF(COUNTIF(L220:N220,"?*")&gt;0, "⚠ FALTANTE",
 "❌ SIN COMPLETAR"))</f>
        <v>✅ CUBIERTO</v>
      </c>
    </row>
    <row r="221" spans="1:15" x14ac:dyDescent="0.3">
      <c r="A221" s="60">
        <v>45980</v>
      </c>
      <c r="B221" s="45" t="str">
        <f>TEXT(A221,"ddd")</f>
        <v>mié</v>
      </c>
      <c r="C221" s="46">
        <v>0.45833333333333331</v>
      </c>
      <c r="D221" s="47" t="s">
        <v>7</v>
      </c>
      <c r="E221" s="47"/>
      <c r="F221" s="47"/>
      <c r="G221" s="47" t="str">
        <f t="shared" si="94"/>
        <v>✅ CUBIERTO</v>
      </c>
      <c r="I221" s="60">
        <v>46010</v>
      </c>
      <c r="J221" s="45" t="str">
        <f>TEXT(I221,"ddd")</f>
        <v>vie</v>
      </c>
      <c r="K221" s="46">
        <v>0.45833333333333331</v>
      </c>
      <c r="L221" s="47" t="s">
        <v>4</v>
      </c>
      <c r="M221" s="47"/>
      <c r="N221" s="47"/>
      <c r="O221" s="47" t="str">
        <f t="shared" si="95"/>
        <v>✅ CUBIERTO</v>
      </c>
    </row>
    <row r="222" spans="1:15" x14ac:dyDescent="0.3">
      <c r="A222" s="60">
        <v>45980</v>
      </c>
      <c r="B222" s="45" t="str">
        <f t="shared" ref="B222:B229" si="114">TEXT(A222,"ddd")</f>
        <v>mié</v>
      </c>
      <c r="C222" s="46">
        <v>0.5</v>
      </c>
      <c r="D222" s="47" t="s">
        <v>7</v>
      </c>
      <c r="E222" s="47"/>
      <c r="F222" s="47"/>
      <c r="G222" s="47" t="str">
        <f t="shared" si="94"/>
        <v>✅ CUBIERTO</v>
      </c>
      <c r="I222" s="60">
        <v>46010</v>
      </c>
      <c r="J222" s="45" t="str">
        <f t="shared" ref="J222:J229" si="115">TEXT(I222,"ddd")</f>
        <v>vie</v>
      </c>
      <c r="K222" s="46">
        <v>0.5</v>
      </c>
      <c r="L222" s="47" t="s">
        <v>4</v>
      </c>
      <c r="M222" s="47"/>
      <c r="N222" s="47"/>
      <c r="O222" s="47" t="str">
        <f t="shared" si="95"/>
        <v>✅ CUBIERTO</v>
      </c>
    </row>
    <row r="223" spans="1:15" x14ac:dyDescent="0.3">
      <c r="A223" s="60">
        <v>45980</v>
      </c>
      <c r="B223" s="45" t="str">
        <f t="shared" si="114"/>
        <v>mié</v>
      </c>
      <c r="C223" s="46">
        <v>0.54166666666666696</v>
      </c>
      <c r="D223" s="47" t="s">
        <v>7</v>
      </c>
      <c r="E223" s="47"/>
      <c r="F223" s="47"/>
      <c r="G223" s="47" t="str">
        <f t="shared" si="94"/>
        <v>✅ CUBIERTO</v>
      </c>
      <c r="I223" s="60">
        <v>46010</v>
      </c>
      <c r="J223" s="45" t="str">
        <f t="shared" si="115"/>
        <v>vie</v>
      </c>
      <c r="K223" s="46">
        <v>0.54166666666666696</v>
      </c>
      <c r="L223" s="47" t="s">
        <v>4</v>
      </c>
      <c r="M223" s="47"/>
      <c r="N223" s="47"/>
      <c r="O223" s="47" t="str">
        <f t="shared" si="95"/>
        <v>✅ CUBIERTO</v>
      </c>
    </row>
    <row r="224" spans="1:15" x14ac:dyDescent="0.3">
      <c r="A224" s="60">
        <v>45980</v>
      </c>
      <c r="B224" s="45" t="str">
        <f t="shared" si="114"/>
        <v>mié</v>
      </c>
      <c r="C224" s="46">
        <v>0.58333333333333304</v>
      </c>
      <c r="D224" s="47" t="s">
        <v>7</v>
      </c>
      <c r="E224" s="47"/>
      <c r="F224" s="47"/>
      <c r="G224" s="47" t="str">
        <f t="shared" si="94"/>
        <v>✅ CUBIERTO</v>
      </c>
      <c r="I224" s="60">
        <v>46010</v>
      </c>
      <c r="J224" s="45" t="str">
        <f t="shared" si="115"/>
        <v>vie</v>
      </c>
      <c r="K224" s="46">
        <v>0.58333333333333304</v>
      </c>
      <c r="L224" s="47" t="s">
        <v>4</v>
      </c>
      <c r="M224" s="47"/>
      <c r="N224" s="47"/>
      <c r="O224" s="47" t="str">
        <f t="shared" si="95"/>
        <v>✅ CUBIERTO</v>
      </c>
    </row>
    <row r="225" spans="1:15" x14ac:dyDescent="0.3">
      <c r="A225" s="60">
        <v>45980</v>
      </c>
      <c r="B225" s="45" t="str">
        <f t="shared" si="114"/>
        <v>mié</v>
      </c>
      <c r="C225" s="46">
        <v>0.625</v>
      </c>
      <c r="D225" s="47" t="s">
        <v>7</v>
      </c>
      <c r="E225" s="47"/>
      <c r="F225" s="47"/>
      <c r="G225" s="47" t="str">
        <f t="shared" si="94"/>
        <v>✅ CUBIERTO</v>
      </c>
      <c r="I225" s="60">
        <v>46010</v>
      </c>
      <c r="J225" s="45" t="str">
        <f t="shared" si="115"/>
        <v>vie</v>
      </c>
      <c r="K225" s="46">
        <v>0.625</v>
      </c>
      <c r="L225" s="47" t="s">
        <v>4</v>
      </c>
      <c r="M225" s="47"/>
      <c r="N225" s="47"/>
      <c r="O225" s="47" t="str">
        <f t="shared" si="95"/>
        <v>✅ CUBIERTO</v>
      </c>
    </row>
    <row r="226" spans="1:15" x14ac:dyDescent="0.3">
      <c r="A226" s="60">
        <v>45980</v>
      </c>
      <c r="B226" s="45" t="str">
        <f t="shared" si="114"/>
        <v>mié</v>
      </c>
      <c r="C226" s="46">
        <v>0.66666666666666696</v>
      </c>
      <c r="D226" s="47" t="s">
        <v>9</v>
      </c>
      <c r="E226" s="47"/>
      <c r="F226" s="47"/>
      <c r="G226" s="47" t="str">
        <f t="shared" si="94"/>
        <v>✅ CUBIERTO</v>
      </c>
      <c r="I226" s="60">
        <v>46010</v>
      </c>
      <c r="J226" s="45" t="str">
        <f t="shared" si="115"/>
        <v>vie</v>
      </c>
      <c r="K226" s="46">
        <v>0.66666666666666696</v>
      </c>
      <c r="L226" s="47" t="s">
        <v>4</v>
      </c>
      <c r="M226" s="47"/>
      <c r="N226" s="47"/>
      <c r="O226" s="47" t="str">
        <f t="shared" si="95"/>
        <v>✅ CUBIERTO</v>
      </c>
    </row>
    <row r="227" spans="1:15" x14ac:dyDescent="0.3">
      <c r="A227" s="60">
        <v>45980</v>
      </c>
      <c r="B227" s="45" t="str">
        <f t="shared" si="114"/>
        <v>mié</v>
      </c>
      <c r="C227" s="46">
        <v>0.70833333333333304</v>
      </c>
      <c r="D227" s="47" t="s">
        <v>9</v>
      </c>
      <c r="E227" s="47"/>
      <c r="F227" s="47"/>
      <c r="G227" s="47" t="str">
        <f t="shared" si="94"/>
        <v>✅ CUBIERTO</v>
      </c>
      <c r="I227" s="60">
        <v>46010</v>
      </c>
      <c r="J227" s="45" t="str">
        <f t="shared" si="115"/>
        <v>vie</v>
      </c>
      <c r="K227" s="46">
        <v>0.70833333333333304</v>
      </c>
      <c r="L227" s="47" t="s">
        <v>4</v>
      </c>
      <c r="M227" s="47"/>
      <c r="N227" s="47"/>
      <c r="O227" s="47" t="str">
        <f t="shared" si="95"/>
        <v>✅ CUBIERTO</v>
      </c>
    </row>
    <row r="228" spans="1:15" x14ac:dyDescent="0.3">
      <c r="A228" s="60">
        <v>45980</v>
      </c>
      <c r="B228" s="45" t="str">
        <f t="shared" si="114"/>
        <v>mié</v>
      </c>
      <c r="C228" s="46">
        <v>0.75</v>
      </c>
      <c r="D228" s="47" t="s">
        <v>9</v>
      </c>
      <c r="E228" s="47"/>
      <c r="F228" s="47"/>
      <c r="G228" s="47" t="str">
        <f t="shared" si="94"/>
        <v>✅ CUBIERTO</v>
      </c>
      <c r="I228" s="60">
        <v>46010</v>
      </c>
      <c r="J228" s="45" t="str">
        <f t="shared" si="115"/>
        <v>vie</v>
      </c>
      <c r="K228" s="46">
        <v>0.75</v>
      </c>
      <c r="L228" s="47" t="s">
        <v>4</v>
      </c>
      <c r="M228" s="47"/>
      <c r="N228" s="47"/>
      <c r="O228" s="47" t="str">
        <f t="shared" si="95"/>
        <v>✅ CUBIERTO</v>
      </c>
    </row>
    <row r="229" spans="1:15" x14ac:dyDescent="0.3">
      <c r="A229" s="60">
        <v>45980</v>
      </c>
      <c r="B229" s="45" t="str">
        <f t="shared" si="114"/>
        <v>mié</v>
      </c>
      <c r="C229" s="46">
        <v>0.79166666666666696</v>
      </c>
      <c r="D229" s="47" t="s">
        <v>9</v>
      </c>
      <c r="E229" s="47"/>
      <c r="F229" s="47"/>
      <c r="G229" s="47" t="str">
        <f t="shared" si="94"/>
        <v>✅ CUBIERTO</v>
      </c>
      <c r="I229" s="60">
        <v>46010</v>
      </c>
      <c r="J229" s="45" t="str">
        <f t="shared" si="115"/>
        <v>vie</v>
      </c>
      <c r="K229" s="46">
        <v>0.79166666666666696</v>
      </c>
      <c r="L229" s="47" t="s">
        <v>4</v>
      </c>
      <c r="M229" s="47"/>
      <c r="N229" s="47"/>
      <c r="O229" s="47" t="str">
        <f t="shared" si="95"/>
        <v>✅ CUBIERTO</v>
      </c>
    </row>
    <row r="230" spans="1:15" x14ac:dyDescent="0.3">
      <c r="A230" s="60">
        <v>45980</v>
      </c>
      <c r="B230" s="45" t="str">
        <f t="shared" ref="B230" si="116">TEXT(A230,"ddd")</f>
        <v>mié</v>
      </c>
      <c r="C230" s="46">
        <v>0.83333333333333337</v>
      </c>
      <c r="D230" s="47" t="s">
        <v>9</v>
      </c>
      <c r="E230" s="47"/>
      <c r="F230" s="47"/>
      <c r="G230" s="47" t="str">
        <f t="shared" ref="G230:G231" si="117">IF(COUNTIF(D230:F230,"?*")&gt;=$D$4, "✅ CUBIERTO",
 IF(COUNTIF(D230:F230,"?*")&gt;0, "⚠ FALTANTE",
 "❌ SIN COMPLETAR"))</f>
        <v>✅ CUBIERTO</v>
      </c>
      <c r="I230" s="60">
        <v>46010</v>
      </c>
      <c r="J230" s="45" t="str">
        <f t="shared" ref="J230" si="118">TEXT(I230,"ddd")</f>
        <v>vie</v>
      </c>
      <c r="K230" s="46">
        <v>0.83333333333333337</v>
      </c>
      <c r="L230" s="47" t="s">
        <v>4</v>
      </c>
      <c r="M230" s="47"/>
      <c r="N230" s="47"/>
      <c r="O230" s="47" t="str">
        <f>IF(COUNTIF(L230:N230,"?*")&gt;=$L$4, "✅ CUBIERTO",
 IF(COUNTIF(L230:N230,"?*")&gt;0, "⚠ FALTANTE",
 "❌ SIN COMPLETAR"))</f>
        <v>✅ CUBIERTO</v>
      </c>
    </row>
    <row r="231" spans="1:15" x14ac:dyDescent="0.3">
      <c r="A231" s="60">
        <v>45981</v>
      </c>
      <c r="B231" s="45" t="str">
        <f>TEXT(A231,"ddd")</f>
        <v>jue</v>
      </c>
      <c r="C231" s="46">
        <v>0.41666666666666669</v>
      </c>
      <c r="D231" s="47" t="s">
        <v>9</v>
      </c>
      <c r="E231" s="47"/>
      <c r="F231" s="47"/>
      <c r="G231" s="47" t="str">
        <f t="shared" si="117"/>
        <v>✅ CUBIERTO</v>
      </c>
      <c r="I231" s="60">
        <v>46011</v>
      </c>
      <c r="J231" s="45" t="str">
        <f>TEXT(I231,"ddd")</f>
        <v>sáb</v>
      </c>
      <c r="K231" s="46">
        <v>0.41666666666666669</v>
      </c>
      <c r="L231" s="47" t="s">
        <v>4</v>
      </c>
      <c r="M231" s="47"/>
      <c r="N231" s="47"/>
      <c r="O231" s="47" t="str">
        <f>IF(COUNTIF(L231:N231,"?*")&gt;=$L$4, "✅ CUBIERTO",
 IF(COUNTIF(L231:N231,"?*")&gt;0, "⚠ FALTANTE",
 "❌ SIN COMPLETAR"))</f>
        <v>✅ CUBIERTO</v>
      </c>
    </row>
    <row r="232" spans="1:15" x14ac:dyDescent="0.3">
      <c r="A232" s="60">
        <v>45981</v>
      </c>
      <c r="B232" s="45" t="str">
        <f>TEXT(A232,"ddd")</f>
        <v>jue</v>
      </c>
      <c r="C232" s="46">
        <v>0.45833333333333331</v>
      </c>
      <c r="D232" s="47" t="s">
        <v>9</v>
      </c>
      <c r="E232" s="47"/>
      <c r="F232" s="47"/>
      <c r="G232" s="47" t="str">
        <f t="shared" si="94"/>
        <v>✅ CUBIERTO</v>
      </c>
      <c r="I232" s="60">
        <v>46011</v>
      </c>
      <c r="J232" s="45" t="str">
        <f>TEXT(I232,"ddd")</f>
        <v>sáb</v>
      </c>
      <c r="K232" s="46">
        <v>0.45833333333333331</v>
      </c>
      <c r="L232" s="47" t="s">
        <v>4</v>
      </c>
      <c r="M232" s="47"/>
      <c r="N232" s="47"/>
      <c r="O232" s="47" t="str">
        <f t="shared" si="95"/>
        <v>✅ CUBIERTO</v>
      </c>
    </row>
    <row r="233" spans="1:15" x14ac:dyDescent="0.3">
      <c r="A233" s="60">
        <v>45981</v>
      </c>
      <c r="B233" s="45" t="str">
        <f t="shared" ref="B233:B240" si="119">TEXT(A233,"ddd")</f>
        <v>jue</v>
      </c>
      <c r="C233" s="46">
        <v>0.5</v>
      </c>
      <c r="D233" s="47" t="s">
        <v>9</v>
      </c>
      <c r="E233" s="47"/>
      <c r="F233" s="47"/>
      <c r="G233" s="47" t="str">
        <f t="shared" si="94"/>
        <v>✅ CUBIERTO</v>
      </c>
      <c r="I233" s="60">
        <v>46011</v>
      </c>
      <c r="J233" s="45" t="str">
        <f t="shared" ref="J233:J240" si="120">TEXT(I233,"ddd")</f>
        <v>sáb</v>
      </c>
      <c r="K233" s="46">
        <v>0.5</v>
      </c>
      <c r="L233" s="47" t="s">
        <v>4</v>
      </c>
      <c r="M233" s="47"/>
      <c r="N233" s="47"/>
      <c r="O233" s="47" t="str">
        <f t="shared" si="95"/>
        <v>✅ CUBIERTO</v>
      </c>
    </row>
    <row r="234" spans="1:15" x14ac:dyDescent="0.3">
      <c r="A234" s="60">
        <v>45981</v>
      </c>
      <c r="B234" s="45" t="str">
        <f t="shared" si="119"/>
        <v>jue</v>
      </c>
      <c r="C234" s="46">
        <v>0.54166666666666696</v>
      </c>
      <c r="D234" s="47" t="s">
        <v>9</v>
      </c>
      <c r="E234" s="47"/>
      <c r="F234" s="47"/>
      <c r="G234" s="47" t="str">
        <f t="shared" si="94"/>
        <v>✅ CUBIERTO</v>
      </c>
      <c r="I234" s="60">
        <v>46011</v>
      </c>
      <c r="J234" s="45" t="str">
        <f t="shared" si="120"/>
        <v>sáb</v>
      </c>
      <c r="K234" s="46">
        <v>0.54166666666666696</v>
      </c>
      <c r="L234" s="47" t="s">
        <v>4</v>
      </c>
      <c r="M234" s="47"/>
      <c r="N234" s="47"/>
      <c r="O234" s="47" t="str">
        <f t="shared" si="95"/>
        <v>✅ CUBIERTO</v>
      </c>
    </row>
    <row r="235" spans="1:15" x14ac:dyDescent="0.3">
      <c r="A235" s="60">
        <v>45981</v>
      </c>
      <c r="B235" s="45" t="str">
        <f t="shared" si="119"/>
        <v>jue</v>
      </c>
      <c r="C235" s="46">
        <v>0.58333333333333304</v>
      </c>
      <c r="D235" s="47" t="s">
        <v>9</v>
      </c>
      <c r="E235" s="47"/>
      <c r="F235" s="47"/>
      <c r="G235" s="47" t="str">
        <f t="shared" si="94"/>
        <v>✅ CUBIERTO</v>
      </c>
      <c r="I235" s="60">
        <v>46011</v>
      </c>
      <c r="J235" s="45" t="str">
        <f t="shared" si="120"/>
        <v>sáb</v>
      </c>
      <c r="K235" s="46">
        <v>0.58333333333333304</v>
      </c>
      <c r="L235" s="47" t="s">
        <v>4</v>
      </c>
      <c r="M235" s="47"/>
      <c r="N235" s="47"/>
      <c r="O235" s="47" t="str">
        <f t="shared" si="95"/>
        <v>✅ CUBIERTO</v>
      </c>
    </row>
    <row r="236" spans="1:15" x14ac:dyDescent="0.3">
      <c r="A236" s="60">
        <v>45981</v>
      </c>
      <c r="B236" s="45" t="str">
        <f t="shared" si="119"/>
        <v>jue</v>
      </c>
      <c r="C236" s="46">
        <v>0.625</v>
      </c>
      <c r="D236" s="47" t="s">
        <v>9</v>
      </c>
      <c r="E236" s="47"/>
      <c r="F236" s="47"/>
      <c r="G236" s="47" t="str">
        <f t="shared" si="94"/>
        <v>✅ CUBIERTO</v>
      </c>
      <c r="I236" s="60">
        <v>46011</v>
      </c>
      <c r="J236" s="45" t="str">
        <f t="shared" si="120"/>
        <v>sáb</v>
      </c>
      <c r="K236" s="46">
        <v>0.625</v>
      </c>
      <c r="L236" s="47" t="s">
        <v>4</v>
      </c>
      <c r="M236" s="47"/>
      <c r="N236" s="47"/>
      <c r="O236" s="47" t="str">
        <f t="shared" si="95"/>
        <v>✅ CUBIERTO</v>
      </c>
    </row>
    <row r="237" spans="1:15" x14ac:dyDescent="0.3">
      <c r="A237" s="60">
        <v>45981</v>
      </c>
      <c r="B237" s="45" t="str">
        <f t="shared" si="119"/>
        <v>jue</v>
      </c>
      <c r="C237" s="46">
        <v>0.66666666666666696</v>
      </c>
      <c r="D237" s="47" t="s">
        <v>9</v>
      </c>
      <c r="E237" s="47"/>
      <c r="F237" s="47"/>
      <c r="G237" s="47" t="str">
        <f t="shared" si="94"/>
        <v>✅ CUBIERTO</v>
      </c>
      <c r="I237" s="60">
        <v>46011</v>
      </c>
      <c r="J237" s="45" t="str">
        <f t="shared" si="120"/>
        <v>sáb</v>
      </c>
      <c r="K237" s="46">
        <v>0.66666666666666696</v>
      </c>
      <c r="L237" s="47" t="s">
        <v>4</v>
      </c>
      <c r="M237" s="47"/>
      <c r="N237" s="47"/>
      <c r="O237" s="47" t="str">
        <f t="shared" si="95"/>
        <v>✅ CUBIERTO</v>
      </c>
    </row>
    <row r="238" spans="1:15" x14ac:dyDescent="0.3">
      <c r="A238" s="60">
        <v>45981</v>
      </c>
      <c r="B238" s="45" t="str">
        <f t="shared" si="119"/>
        <v>jue</v>
      </c>
      <c r="C238" s="46">
        <v>0.70833333333333304</v>
      </c>
      <c r="D238" s="47" t="s">
        <v>9</v>
      </c>
      <c r="E238" s="47"/>
      <c r="F238" s="47"/>
      <c r="G238" s="47" t="str">
        <f t="shared" si="94"/>
        <v>✅ CUBIERTO</v>
      </c>
      <c r="I238" s="60">
        <v>46011</v>
      </c>
      <c r="J238" s="45" t="str">
        <f t="shared" si="120"/>
        <v>sáb</v>
      </c>
      <c r="K238" s="46">
        <v>0.70833333333333304</v>
      </c>
      <c r="L238" s="47" t="s">
        <v>4</v>
      </c>
      <c r="M238" s="47"/>
      <c r="N238" s="47"/>
      <c r="O238" s="47" t="str">
        <f t="shared" si="95"/>
        <v>✅ CUBIERTO</v>
      </c>
    </row>
    <row r="239" spans="1:15" x14ac:dyDescent="0.3">
      <c r="A239" s="60">
        <v>45981</v>
      </c>
      <c r="B239" s="45" t="str">
        <f t="shared" si="119"/>
        <v>jue</v>
      </c>
      <c r="C239" s="46">
        <v>0.75</v>
      </c>
      <c r="D239" s="47" t="s">
        <v>9</v>
      </c>
      <c r="E239" s="47"/>
      <c r="F239" s="47"/>
      <c r="G239" s="47" t="str">
        <f t="shared" si="94"/>
        <v>✅ CUBIERTO</v>
      </c>
      <c r="I239" s="60">
        <v>46011</v>
      </c>
      <c r="J239" s="45" t="str">
        <f t="shared" si="120"/>
        <v>sáb</v>
      </c>
      <c r="K239" s="46">
        <v>0.75</v>
      </c>
      <c r="L239" s="47" t="s">
        <v>4</v>
      </c>
      <c r="M239" s="47"/>
      <c r="N239" s="47"/>
      <c r="O239" s="47" t="str">
        <f t="shared" si="95"/>
        <v>✅ CUBIERTO</v>
      </c>
    </row>
    <row r="240" spans="1:15" x14ac:dyDescent="0.3">
      <c r="A240" s="60">
        <v>45981</v>
      </c>
      <c r="B240" s="45" t="str">
        <f t="shared" si="119"/>
        <v>jue</v>
      </c>
      <c r="C240" s="46">
        <v>0.79166666666666696</v>
      </c>
      <c r="D240" s="47" t="s">
        <v>9</v>
      </c>
      <c r="E240" s="47"/>
      <c r="F240" s="47"/>
      <c r="G240" s="47" t="str">
        <f t="shared" si="94"/>
        <v>✅ CUBIERTO</v>
      </c>
      <c r="I240" s="60">
        <v>46011</v>
      </c>
      <c r="J240" s="45" t="str">
        <f t="shared" si="120"/>
        <v>sáb</v>
      </c>
      <c r="K240" s="46">
        <v>0.79166666666666696</v>
      </c>
      <c r="L240" s="47" t="s">
        <v>4</v>
      </c>
      <c r="M240" s="47"/>
      <c r="N240" s="47"/>
      <c r="O240" s="47" t="str">
        <f t="shared" si="95"/>
        <v>✅ CUBIERTO</v>
      </c>
    </row>
    <row r="241" spans="1:15" x14ac:dyDescent="0.3">
      <c r="A241" s="60">
        <v>45981</v>
      </c>
      <c r="B241" s="45" t="str">
        <f t="shared" ref="B241" si="121">TEXT(A241,"ddd")</f>
        <v>jue</v>
      </c>
      <c r="C241" s="46">
        <v>0.83333333333333337</v>
      </c>
      <c r="D241" s="47" t="s">
        <v>9</v>
      </c>
      <c r="E241" s="47"/>
      <c r="F241" s="47"/>
      <c r="G241" s="47" t="str">
        <f t="shared" ref="G241:G242" si="122">IF(COUNTIF(D241:F241,"?*")&gt;=$D$4, "✅ CUBIERTO",
 IF(COUNTIF(D241:F241,"?*")&gt;0, "⚠ FALTANTE",
 "❌ SIN COMPLETAR"))</f>
        <v>✅ CUBIERTO</v>
      </c>
      <c r="I241" s="60">
        <v>46011</v>
      </c>
      <c r="J241" s="45" t="str">
        <f t="shared" ref="J241" si="123">TEXT(I241,"ddd")</f>
        <v>sáb</v>
      </c>
      <c r="K241" s="46">
        <v>0.83333333333333337</v>
      </c>
      <c r="L241" s="47" t="s">
        <v>4</v>
      </c>
      <c r="M241" s="47"/>
      <c r="N241" s="47"/>
      <c r="O241" s="47" t="str">
        <f>IF(COUNTIF(L241:N241,"?*")&gt;=$L$4, "✅ CUBIERTO",
 IF(COUNTIF(L241:N241,"?*")&gt;0, "⚠ FALTANTE",
 "❌ SIN COMPLETAR"))</f>
        <v>✅ CUBIERTO</v>
      </c>
    </row>
    <row r="242" spans="1:15" x14ac:dyDescent="0.3">
      <c r="A242" s="60">
        <v>45982</v>
      </c>
      <c r="B242" s="45" t="str">
        <f>TEXT(A242,"ddd")</f>
        <v>vie</v>
      </c>
      <c r="C242" s="46">
        <v>0.41666666666666669</v>
      </c>
      <c r="D242" s="47" t="s">
        <v>9</v>
      </c>
      <c r="E242" s="47"/>
      <c r="F242" s="47"/>
      <c r="G242" s="47" t="str">
        <f t="shared" si="122"/>
        <v>✅ CUBIERTO</v>
      </c>
      <c r="I242" s="60">
        <v>46012</v>
      </c>
      <c r="J242" s="45" t="str">
        <f>TEXT(I242,"ddd")</f>
        <v>dom</v>
      </c>
      <c r="K242" s="46">
        <v>0.41666666666666669</v>
      </c>
      <c r="L242" s="47" t="s">
        <v>4</v>
      </c>
      <c r="M242" s="47"/>
      <c r="N242" s="47"/>
      <c r="O242" s="47" t="str">
        <f>IF(COUNTIF(L242:N242,"?*")&gt;=$L$4, "✅ CUBIERTO",
 IF(COUNTIF(L242:N242,"?*")&gt;0, "⚠ FALTANTE",
 "❌ SIN COMPLETAR"))</f>
        <v>✅ CUBIERTO</v>
      </c>
    </row>
    <row r="243" spans="1:15" x14ac:dyDescent="0.3">
      <c r="A243" s="60">
        <v>45982</v>
      </c>
      <c r="B243" s="45" t="str">
        <f>TEXT(A243,"ddd")</f>
        <v>vie</v>
      </c>
      <c r="C243" s="46">
        <v>0.45833333333333331</v>
      </c>
      <c r="D243" s="47" t="s">
        <v>9</v>
      </c>
      <c r="E243" s="47"/>
      <c r="F243" s="47"/>
      <c r="G243" s="47" t="str">
        <f t="shared" si="94"/>
        <v>✅ CUBIERTO</v>
      </c>
      <c r="I243" s="60">
        <v>46012</v>
      </c>
      <c r="J243" s="45" t="str">
        <f>TEXT(I243,"ddd")</f>
        <v>dom</v>
      </c>
      <c r="K243" s="46">
        <v>0.45833333333333331</v>
      </c>
      <c r="L243" s="47" t="s">
        <v>4</v>
      </c>
      <c r="M243" s="47"/>
      <c r="N243" s="47"/>
      <c r="O243" s="47" t="str">
        <f t="shared" si="95"/>
        <v>✅ CUBIERTO</v>
      </c>
    </row>
    <row r="244" spans="1:15" x14ac:dyDescent="0.3">
      <c r="A244" s="60">
        <v>45982</v>
      </c>
      <c r="B244" s="45" t="str">
        <f t="shared" ref="B244:B251" si="124">TEXT(A244,"ddd")</f>
        <v>vie</v>
      </c>
      <c r="C244" s="46">
        <v>0.5</v>
      </c>
      <c r="D244" s="47" t="s">
        <v>9</v>
      </c>
      <c r="E244" s="47"/>
      <c r="F244" s="47"/>
      <c r="G244" s="47" t="str">
        <f t="shared" si="94"/>
        <v>✅ CUBIERTO</v>
      </c>
      <c r="I244" s="60">
        <v>46012</v>
      </c>
      <c r="J244" s="45" t="str">
        <f t="shared" ref="J244:J251" si="125">TEXT(I244,"ddd")</f>
        <v>dom</v>
      </c>
      <c r="K244" s="46">
        <v>0.5</v>
      </c>
      <c r="L244" s="47" t="s">
        <v>4</v>
      </c>
      <c r="M244" s="47"/>
      <c r="N244" s="47"/>
      <c r="O244" s="47" t="str">
        <f t="shared" si="95"/>
        <v>✅ CUBIERTO</v>
      </c>
    </row>
    <row r="245" spans="1:15" x14ac:dyDescent="0.3">
      <c r="A245" s="60">
        <v>45982</v>
      </c>
      <c r="B245" s="45" t="str">
        <f t="shared" si="124"/>
        <v>vie</v>
      </c>
      <c r="C245" s="46">
        <v>0.54166666666666696</v>
      </c>
      <c r="D245" s="47" t="s">
        <v>9</v>
      </c>
      <c r="E245" s="47"/>
      <c r="F245" s="47"/>
      <c r="G245" s="47" t="str">
        <f t="shared" si="94"/>
        <v>✅ CUBIERTO</v>
      </c>
      <c r="I245" s="60">
        <v>46012</v>
      </c>
      <c r="J245" s="45" t="str">
        <f t="shared" si="125"/>
        <v>dom</v>
      </c>
      <c r="K245" s="46">
        <v>0.54166666666666696</v>
      </c>
      <c r="L245" s="47" t="s">
        <v>4</v>
      </c>
      <c r="M245" s="47"/>
      <c r="N245" s="47"/>
      <c r="O245" s="47" t="str">
        <f t="shared" si="95"/>
        <v>✅ CUBIERTO</v>
      </c>
    </row>
    <row r="246" spans="1:15" x14ac:dyDescent="0.3">
      <c r="A246" s="60">
        <v>45982</v>
      </c>
      <c r="B246" s="45" t="str">
        <f t="shared" si="124"/>
        <v>vie</v>
      </c>
      <c r="C246" s="46">
        <v>0.58333333333333304</v>
      </c>
      <c r="D246" s="47" t="s">
        <v>9</v>
      </c>
      <c r="E246" s="47"/>
      <c r="F246" s="47"/>
      <c r="G246" s="47" t="str">
        <f t="shared" si="94"/>
        <v>✅ CUBIERTO</v>
      </c>
      <c r="I246" s="60">
        <v>46012</v>
      </c>
      <c r="J246" s="45" t="str">
        <f t="shared" si="125"/>
        <v>dom</v>
      </c>
      <c r="K246" s="46">
        <v>0.58333333333333304</v>
      </c>
      <c r="L246" s="47" t="s">
        <v>4</v>
      </c>
      <c r="M246" s="47"/>
      <c r="N246" s="47"/>
      <c r="O246" s="47" t="str">
        <f t="shared" si="95"/>
        <v>✅ CUBIERTO</v>
      </c>
    </row>
    <row r="247" spans="1:15" x14ac:dyDescent="0.3">
      <c r="A247" s="60">
        <v>45982</v>
      </c>
      <c r="B247" s="45" t="str">
        <f t="shared" si="124"/>
        <v>vie</v>
      </c>
      <c r="C247" s="46">
        <v>0.625</v>
      </c>
      <c r="D247" s="47" t="s">
        <v>9</v>
      </c>
      <c r="E247" s="47"/>
      <c r="F247" s="47"/>
      <c r="G247" s="47" t="str">
        <f t="shared" si="94"/>
        <v>✅ CUBIERTO</v>
      </c>
      <c r="I247" s="60">
        <v>46012</v>
      </c>
      <c r="J247" s="45" t="str">
        <f t="shared" si="125"/>
        <v>dom</v>
      </c>
      <c r="K247" s="46">
        <v>0.625</v>
      </c>
      <c r="L247" s="47" t="s">
        <v>4</v>
      </c>
      <c r="M247" s="47"/>
      <c r="N247" s="47"/>
      <c r="O247" s="47" t="str">
        <f t="shared" si="95"/>
        <v>✅ CUBIERTO</v>
      </c>
    </row>
    <row r="248" spans="1:15" x14ac:dyDescent="0.3">
      <c r="A248" s="60">
        <v>45982</v>
      </c>
      <c r="B248" s="45" t="str">
        <f t="shared" si="124"/>
        <v>vie</v>
      </c>
      <c r="C248" s="46">
        <v>0.66666666666666696</v>
      </c>
      <c r="D248" s="47" t="s">
        <v>9</v>
      </c>
      <c r="E248" s="47"/>
      <c r="F248" s="47"/>
      <c r="G248" s="47" t="str">
        <f t="shared" si="94"/>
        <v>✅ CUBIERTO</v>
      </c>
      <c r="I248" s="60">
        <v>46012</v>
      </c>
      <c r="J248" s="45" t="str">
        <f t="shared" si="125"/>
        <v>dom</v>
      </c>
      <c r="K248" s="46">
        <v>0.66666666666666696</v>
      </c>
      <c r="L248" s="47" t="s">
        <v>4</v>
      </c>
      <c r="M248" s="47"/>
      <c r="N248" s="47"/>
      <c r="O248" s="47" t="str">
        <f t="shared" si="95"/>
        <v>✅ CUBIERTO</v>
      </c>
    </row>
    <row r="249" spans="1:15" x14ac:dyDescent="0.3">
      <c r="A249" s="60">
        <v>45982</v>
      </c>
      <c r="B249" s="45" t="str">
        <f t="shared" si="124"/>
        <v>vie</v>
      </c>
      <c r="C249" s="46">
        <v>0.70833333333333304</v>
      </c>
      <c r="D249" s="47" t="s">
        <v>9</v>
      </c>
      <c r="E249" s="47"/>
      <c r="F249" s="47"/>
      <c r="G249" s="47" t="str">
        <f t="shared" si="94"/>
        <v>✅ CUBIERTO</v>
      </c>
      <c r="I249" s="60">
        <v>46012</v>
      </c>
      <c r="J249" s="45" t="str">
        <f t="shared" si="125"/>
        <v>dom</v>
      </c>
      <c r="K249" s="46">
        <v>0.70833333333333304</v>
      </c>
      <c r="L249" s="47" t="s">
        <v>4</v>
      </c>
      <c r="M249" s="47"/>
      <c r="N249" s="47"/>
      <c r="O249" s="47" t="str">
        <f t="shared" si="95"/>
        <v>✅ CUBIERTO</v>
      </c>
    </row>
    <row r="250" spans="1:15" x14ac:dyDescent="0.3">
      <c r="A250" s="60">
        <v>45982</v>
      </c>
      <c r="B250" s="45" t="str">
        <f t="shared" si="124"/>
        <v>vie</v>
      </c>
      <c r="C250" s="46">
        <v>0.75</v>
      </c>
      <c r="D250" s="47" t="s">
        <v>9</v>
      </c>
      <c r="E250" s="47"/>
      <c r="F250" s="47"/>
      <c r="G250" s="47" t="str">
        <f t="shared" si="94"/>
        <v>✅ CUBIERTO</v>
      </c>
      <c r="I250" s="60">
        <v>46012</v>
      </c>
      <c r="J250" s="45" t="str">
        <f t="shared" si="125"/>
        <v>dom</v>
      </c>
      <c r="K250" s="46">
        <v>0.75</v>
      </c>
      <c r="L250" s="47" t="s">
        <v>4</v>
      </c>
      <c r="M250" s="47"/>
      <c r="N250" s="47"/>
      <c r="O250" s="47" t="str">
        <f t="shared" si="95"/>
        <v>✅ CUBIERTO</v>
      </c>
    </row>
    <row r="251" spans="1:15" x14ac:dyDescent="0.3">
      <c r="A251" s="60">
        <v>45982</v>
      </c>
      <c r="B251" s="45" t="str">
        <f t="shared" si="124"/>
        <v>vie</v>
      </c>
      <c r="C251" s="46">
        <v>0.79166666666666696</v>
      </c>
      <c r="D251" s="47" t="s">
        <v>9</v>
      </c>
      <c r="E251" s="47"/>
      <c r="F251" s="47"/>
      <c r="G251" s="47" t="str">
        <f t="shared" si="94"/>
        <v>✅ CUBIERTO</v>
      </c>
      <c r="I251" s="60">
        <v>46012</v>
      </c>
      <c r="J251" s="45" t="str">
        <f t="shared" si="125"/>
        <v>dom</v>
      </c>
      <c r="K251" s="46">
        <v>0.79166666666666696</v>
      </c>
      <c r="L251" s="47" t="s">
        <v>4</v>
      </c>
      <c r="M251" s="47"/>
      <c r="N251" s="47"/>
      <c r="O251" s="47" t="str">
        <f t="shared" si="95"/>
        <v>✅ CUBIERTO</v>
      </c>
    </row>
    <row r="252" spans="1:15" x14ac:dyDescent="0.3">
      <c r="A252" s="60">
        <v>45982</v>
      </c>
      <c r="B252" s="45" t="str">
        <f t="shared" ref="B252" si="126">TEXT(A252,"ddd")</f>
        <v>vie</v>
      </c>
      <c r="C252" s="46">
        <v>0.83333333333333337</v>
      </c>
      <c r="D252" s="47" t="s">
        <v>9</v>
      </c>
      <c r="E252" s="47"/>
      <c r="F252" s="47"/>
      <c r="G252" s="47" t="str">
        <f t="shared" ref="G252:G253" si="127">IF(COUNTIF(D252:F252,"?*")&gt;=$D$4, "✅ CUBIERTO",
 IF(COUNTIF(D252:F252,"?*")&gt;0, "⚠ FALTANTE",
 "❌ SIN COMPLETAR"))</f>
        <v>✅ CUBIERTO</v>
      </c>
      <c r="I252" s="60">
        <v>46012</v>
      </c>
      <c r="J252" s="45" t="str">
        <f t="shared" ref="J252" si="128">TEXT(I252,"ddd")</f>
        <v>dom</v>
      </c>
      <c r="K252" s="46">
        <v>0.83333333333333337</v>
      </c>
      <c r="L252" s="47" t="s">
        <v>4</v>
      </c>
      <c r="M252" s="47"/>
      <c r="N252" s="47"/>
      <c r="O252" s="47" t="str">
        <f>IF(COUNTIF(L252:N252,"?*")&gt;=$L$4, "✅ CUBIERTO",
 IF(COUNTIF(L252:N252,"?*")&gt;0, "⚠ FALTANTE",
 "❌ SIN COMPLETAR"))</f>
        <v>✅ CUBIERTO</v>
      </c>
    </row>
    <row r="253" spans="1:15" x14ac:dyDescent="0.3">
      <c r="A253" s="60">
        <v>45983</v>
      </c>
      <c r="B253" s="45" t="str">
        <f>TEXT(A253,"ddd")</f>
        <v>sáb</v>
      </c>
      <c r="C253" s="46">
        <v>0.41666666666666669</v>
      </c>
      <c r="D253" s="47" t="s">
        <v>9</v>
      </c>
      <c r="E253" s="47"/>
      <c r="F253" s="47"/>
      <c r="G253" s="47" t="str">
        <f t="shared" si="127"/>
        <v>✅ CUBIERTO</v>
      </c>
      <c r="I253" s="60">
        <v>46013</v>
      </c>
      <c r="J253" s="45" t="str">
        <f>TEXT(I253,"ddd")</f>
        <v>lun</v>
      </c>
      <c r="K253" s="46">
        <v>0.41666666666666669</v>
      </c>
      <c r="L253" s="47" t="s">
        <v>4</v>
      </c>
      <c r="M253" s="47"/>
      <c r="N253" s="47"/>
      <c r="O253" s="47" t="str">
        <f>IF(COUNTIF(L253:N253,"?*")&gt;=$L$4, "✅ CUBIERTO",
 IF(COUNTIF(L253:N253,"?*")&gt;0, "⚠ FALTANTE",
 "❌ SIN COMPLETAR"))</f>
        <v>✅ CUBIERTO</v>
      </c>
    </row>
    <row r="254" spans="1:15" x14ac:dyDescent="0.3">
      <c r="A254" s="60">
        <v>45983</v>
      </c>
      <c r="B254" s="45" t="str">
        <f>TEXT(A254,"ddd")</f>
        <v>sáb</v>
      </c>
      <c r="C254" s="46">
        <v>0.45833333333333331</v>
      </c>
      <c r="D254" s="47" t="s">
        <v>9</v>
      </c>
      <c r="E254" s="47"/>
      <c r="F254" s="47"/>
      <c r="G254" s="47" t="str">
        <f t="shared" si="94"/>
        <v>✅ CUBIERTO</v>
      </c>
      <c r="I254" s="60">
        <v>46013</v>
      </c>
      <c r="J254" s="45" t="str">
        <f>TEXT(I254,"ddd")</f>
        <v>lun</v>
      </c>
      <c r="K254" s="46">
        <v>0.45833333333333331</v>
      </c>
      <c r="L254" s="47" t="s">
        <v>4</v>
      </c>
      <c r="M254" s="47"/>
      <c r="N254" s="47"/>
      <c r="O254" s="47" t="str">
        <f t="shared" si="95"/>
        <v>✅ CUBIERTO</v>
      </c>
    </row>
    <row r="255" spans="1:15" x14ac:dyDescent="0.3">
      <c r="A255" s="60">
        <v>45983</v>
      </c>
      <c r="B255" s="45" t="str">
        <f t="shared" ref="B255:B265" si="129">TEXT(A255,"ddd")</f>
        <v>sáb</v>
      </c>
      <c r="C255" s="46">
        <v>0.5</v>
      </c>
      <c r="D255" s="47" t="s">
        <v>9</v>
      </c>
      <c r="E255" s="47"/>
      <c r="F255" s="47"/>
      <c r="G255" s="47" t="str">
        <f t="shared" si="94"/>
        <v>✅ CUBIERTO</v>
      </c>
      <c r="I255" s="60">
        <v>46013</v>
      </c>
      <c r="J255" s="45" t="str">
        <f t="shared" ref="J255:J265" si="130">TEXT(I255,"ddd")</f>
        <v>lun</v>
      </c>
      <c r="K255" s="46">
        <v>0.5</v>
      </c>
      <c r="L255" s="47" t="s">
        <v>4</v>
      </c>
      <c r="M255" s="47"/>
      <c r="N255" s="47"/>
      <c r="O255" s="47" t="str">
        <f t="shared" si="95"/>
        <v>✅ CUBIERTO</v>
      </c>
    </row>
    <row r="256" spans="1:15" x14ac:dyDescent="0.3">
      <c r="A256" s="60">
        <v>45983</v>
      </c>
      <c r="B256" s="45" t="str">
        <f t="shared" si="129"/>
        <v>sáb</v>
      </c>
      <c r="C256" s="46">
        <v>0.54166666666666696</v>
      </c>
      <c r="D256" s="47" t="s">
        <v>9</v>
      </c>
      <c r="E256" s="47"/>
      <c r="F256" s="47"/>
      <c r="G256" s="47" t="str">
        <f t="shared" si="94"/>
        <v>✅ CUBIERTO</v>
      </c>
      <c r="I256" s="60">
        <v>46013</v>
      </c>
      <c r="J256" s="45" t="str">
        <f t="shared" si="130"/>
        <v>lun</v>
      </c>
      <c r="K256" s="46">
        <v>0.54166666666666696</v>
      </c>
      <c r="L256" s="47" t="s">
        <v>4</v>
      </c>
      <c r="M256" s="47"/>
      <c r="N256" s="47"/>
      <c r="O256" s="47" t="str">
        <f t="shared" si="95"/>
        <v>✅ CUBIERTO</v>
      </c>
    </row>
    <row r="257" spans="1:15" x14ac:dyDescent="0.3">
      <c r="A257" s="60">
        <v>45983</v>
      </c>
      <c r="B257" s="45" t="str">
        <f t="shared" si="129"/>
        <v>sáb</v>
      </c>
      <c r="C257" s="46">
        <v>0.58333333333333304</v>
      </c>
      <c r="D257" s="47" t="s">
        <v>9</v>
      </c>
      <c r="E257" s="47"/>
      <c r="F257" s="47"/>
      <c r="G257" s="47" t="str">
        <f t="shared" ref="G257:G334" si="131">IF(COUNTIF(D257:F257,"?*")&gt;=$D$4, "✅ CUBIERTO",
 IF(COUNTIF(D257:F257,"?*")&gt;0, "⚠ FALTANTE",
 "❌ SIN COMPLETAR"))</f>
        <v>✅ CUBIERTO</v>
      </c>
      <c r="I257" s="60">
        <v>46013</v>
      </c>
      <c r="J257" s="45" t="str">
        <f t="shared" si="130"/>
        <v>lun</v>
      </c>
      <c r="K257" s="46">
        <v>0.58333333333333304</v>
      </c>
      <c r="L257" s="47" t="s">
        <v>4</v>
      </c>
      <c r="M257" s="47"/>
      <c r="N257" s="47"/>
      <c r="O257" s="47" t="str">
        <f t="shared" ref="O257:O334" si="132">IF(COUNTIF(L257:N257,"?*")&gt;=$L$4, "✅ CUBIERTO",
 IF(COUNTIF(L257:N257,"?*")&gt;0, "⚠ FALTANTE",
 "❌ SIN COMPLETAR"))</f>
        <v>✅ CUBIERTO</v>
      </c>
    </row>
    <row r="258" spans="1:15" x14ac:dyDescent="0.3">
      <c r="A258" s="60">
        <v>45983</v>
      </c>
      <c r="B258" s="45" t="str">
        <f t="shared" si="129"/>
        <v>sáb</v>
      </c>
      <c r="C258" s="46">
        <v>0.625</v>
      </c>
      <c r="D258" s="47" t="s">
        <v>9</v>
      </c>
      <c r="E258" s="47"/>
      <c r="F258" s="47"/>
      <c r="G258" s="47" t="str">
        <f t="shared" si="131"/>
        <v>✅ CUBIERTO</v>
      </c>
      <c r="I258" s="60">
        <v>46013</v>
      </c>
      <c r="J258" s="45" t="str">
        <f t="shared" si="130"/>
        <v>lun</v>
      </c>
      <c r="K258" s="46">
        <v>0.625</v>
      </c>
      <c r="L258" s="47" t="s">
        <v>4</v>
      </c>
      <c r="M258" s="47"/>
      <c r="N258" s="47"/>
      <c r="O258" s="47" t="str">
        <f t="shared" si="132"/>
        <v>✅ CUBIERTO</v>
      </c>
    </row>
    <row r="259" spans="1:15" x14ac:dyDescent="0.3">
      <c r="A259" s="60">
        <v>45983</v>
      </c>
      <c r="B259" s="45" t="str">
        <f t="shared" si="129"/>
        <v>sáb</v>
      </c>
      <c r="C259" s="46">
        <v>0.66666666666666696</v>
      </c>
      <c r="D259" s="47" t="s">
        <v>9</v>
      </c>
      <c r="E259" s="47"/>
      <c r="F259" s="47"/>
      <c r="G259" s="47" t="str">
        <f t="shared" si="131"/>
        <v>✅ CUBIERTO</v>
      </c>
      <c r="I259" s="60">
        <v>46013</v>
      </c>
      <c r="J259" s="45" t="str">
        <f t="shared" si="130"/>
        <v>lun</v>
      </c>
      <c r="K259" s="46">
        <v>0.66666666666666696</v>
      </c>
      <c r="L259" s="47" t="s">
        <v>4</v>
      </c>
      <c r="M259" s="47"/>
      <c r="N259" s="47"/>
      <c r="O259" s="47" t="str">
        <f t="shared" si="132"/>
        <v>✅ CUBIERTO</v>
      </c>
    </row>
    <row r="260" spans="1:15" x14ac:dyDescent="0.3">
      <c r="A260" s="60">
        <v>45983</v>
      </c>
      <c r="B260" s="45" t="str">
        <f t="shared" si="129"/>
        <v>sáb</v>
      </c>
      <c r="C260" s="46">
        <v>0.70833333333333304</v>
      </c>
      <c r="D260" s="47" t="s">
        <v>9</v>
      </c>
      <c r="E260" s="47"/>
      <c r="F260" s="47"/>
      <c r="G260" s="47" t="str">
        <f t="shared" si="131"/>
        <v>✅ CUBIERTO</v>
      </c>
      <c r="I260" s="60">
        <v>46013</v>
      </c>
      <c r="J260" s="45" t="str">
        <f t="shared" si="130"/>
        <v>lun</v>
      </c>
      <c r="K260" s="46">
        <v>0.70833333333333304</v>
      </c>
      <c r="L260" s="47" t="s">
        <v>4</v>
      </c>
      <c r="M260" s="47"/>
      <c r="N260" s="47"/>
      <c r="O260" s="47" t="str">
        <f t="shared" si="132"/>
        <v>✅ CUBIERTO</v>
      </c>
    </row>
    <row r="261" spans="1:15" x14ac:dyDescent="0.3">
      <c r="A261" s="60">
        <v>45983</v>
      </c>
      <c r="B261" s="45" t="str">
        <f t="shared" si="129"/>
        <v>sáb</v>
      </c>
      <c r="C261" s="46">
        <v>0.75</v>
      </c>
      <c r="D261" s="47" t="s">
        <v>9</v>
      </c>
      <c r="E261" s="47"/>
      <c r="F261" s="47"/>
      <c r="G261" s="47" t="str">
        <f t="shared" si="131"/>
        <v>✅ CUBIERTO</v>
      </c>
      <c r="I261" s="60">
        <v>46013</v>
      </c>
      <c r="J261" s="45" t="str">
        <f t="shared" si="130"/>
        <v>lun</v>
      </c>
      <c r="K261" s="46">
        <v>0.75</v>
      </c>
      <c r="L261" s="47" t="s">
        <v>4</v>
      </c>
      <c r="M261" s="47"/>
      <c r="N261" s="47"/>
      <c r="O261" s="47" t="str">
        <f t="shared" si="132"/>
        <v>✅ CUBIERTO</v>
      </c>
    </row>
    <row r="262" spans="1:15" x14ac:dyDescent="0.3">
      <c r="A262" s="60">
        <v>45983</v>
      </c>
      <c r="B262" s="45" t="str">
        <f t="shared" si="129"/>
        <v>sáb</v>
      </c>
      <c r="C262" s="46">
        <v>0.79166666666666696</v>
      </c>
      <c r="D262" s="47" t="s">
        <v>9</v>
      </c>
      <c r="E262" s="47"/>
      <c r="F262" s="47"/>
      <c r="G262" s="47" t="str">
        <f t="shared" si="131"/>
        <v>✅ CUBIERTO</v>
      </c>
      <c r="I262" s="60">
        <v>46013</v>
      </c>
      <c r="J262" s="45" t="str">
        <f t="shared" si="130"/>
        <v>lun</v>
      </c>
      <c r="K262" s="46">
        <v>0.79166666666666696</v>
      </c>
      <c r="L262" s="47" t="s">
        <v>4</v>
      </c>
      <c r="M262" s="47"/>
      <c r="N262" s="47"/>
      <c r="O262" s="47" t="str">
        <f t="shared" si="132"/>
        <v>✅ CUBIERTO</v>
      </c>
    </row>
    <row r="263" spans="1:15" x14ac:dyDescent="0.3">
      <c r="A263" s="60">
        <v>45983</v>
      </c>
      <c r="B263" s="45" t="str">
        <f t="shared" ref="B263:B264" si="133">TEXT(A263,"ddd")</f>
        <v>sáb</v>
      </c>
      <c r="C263" s="46">
        <v>0.83333333333333337</v>
      </c>
      <c r="D263" s="47" t="s">
        <v>9</v>
      </c>
      <c r="E263" s="47"/>
      <c r="F263" s="47"/>
      <c r="G263" s="47" t="str">
        <f t="shared" ref="G263:G264" si="134">IF(COUNTIF(D263:F263,"?*")&gt;=$D$4, "✅ CUBIERTO",
 IF(COUNTIF(D263:F263,"?*")&gt;0, "⚠ FALTANTE",
 "❌ SIN COMPLETAR"))</f>
        <v>✅ CUBIERTO</v>
      </c>
      <c r="I263" s="60">
        <v>46013</v>
      </c>
      <c r="J263" s="45" t="str">
        <f t="shared" ref="J263:J264" si="135">TEXT(I263,"ddd")</f>
        <v>lun</v>
      </c>
      <c r="K263" s="46">
        <v>0.83333333333333337</v>
      </c>
      <c r="L263" s="47" t="s">
        <v>4</v>
      </c>
      <c r="M263" s="47"/>
      <c r="N263" s="47"/>
      <c r="O263" s="47" t="str">
        <f>IF(COUNTIF(L263:N263,"?*")&gt;=$L$4, "✅ CUBIERTO",
 IF(COUNTIF(L263:N263,"?*")&gt;0, "⚠ FALTANTE",
 "❌ SIN COMPLETAR"))</f>
        <v>✅ CUBIERTO</v>
      </c>
    </row>
    <row r="264" spans="1:15" x14ac:dyDescent="0.3">
      <c r="A264" s="60">
        <v>45984</v>
      </c>
      <c r="B264" s="45" t="str">
        <f t="shared" si="133"/>
        <v>dom</v>
      </c>
      <c r="C264" s="46">
        <v>0.41666666666666669</v>
      </c>
      <c r="D264" s="47" t="s">
        <v>9</v>
      </c>
      <c r="E264" s="47"/>
      <c r="F264" s="47"/>
      <c r="G264" s="47" t="str">
        <f t="shared" si="134"/>
        <v>✅ CUBIERTO</v>
      </c>
      <c r="I264" s="60">
        <v>46014</v>
      </c>
      <c r="J264" s="45" t="str">
        <f t="shared" si="135"/>
        <v>mar</v>
      </c>
      <c r="K264" s="46">
        <v>0.41666666666666669</v>
      </c>
      <c r="L264" s="47" t="s">
        <v>4</v>
      </c>
      <c r="M264" s="47"/>
      <c r="N264" s="47"/>
      <c r="O264" s="47" t="str">
        <f>IF(COUNTIF(L264:N264,"?*")&gt;=$L$4, "✅ CUBIERTO",
 IF(COUNTIF(L264:N264,"?*")&gt;0, "⚠ FALTANTE",
 "❌ SIN COMPLETAR"))</f>
        <v>✅ CUBIERTO</v>
      </c>
    </row>
    <row r="265" spans="1:15" x14ac:dyDescent="0.3">
      <c r="A265" s="60">
        <v>45984</v>
      </c>
      <c r="B265" s="45" t="str">
        <f t="shared" si="129"/>
        <v>dom</v>
      </c>
      <c r="C265" s="46">
        <v>0.45833333333333331</v>
      </c>
      <c r="D265" s="47" t="s">
        <v>9</v>
      </c>
      <c r="E265" s="47"/>
      <c r="F265" s="47"/>
      <c r="G265" s="47" t="str">
        <f t="shared" si="131"/>
        <v>✅ CUBIERTO</v>
      </c>
      <c r="I265" s="60">
        <v>46014</v>
      </c>
      <c r="J265" s="45" t="str">
        <f t="shared" si="130"/>
        <v>mar</v>
      </c>
      <c r="K265" s="46">
        <v>0.45833333333333331</v>
      </c>
      <c r="L265" s="47" t="s">
        <v>4</v>
      </c>
      <c r="M265" s="47"/>
      <c r="N265" s="47"/>
      <c r="O265" s="47" t="str">
        <f t="shared" si="132"/>
        <v>✅ CUBIERTO</v>
      </c>
    </row>
    <row r="266" spans="1:15" x14ac:dyDescent="0.3">
      <c r="A266" s="60">
        <v>45984</v>
      </c>
      <c r="B266" s="45" t="str">
        <f>TEXT(A266,"ddd")</f>
        <v>dom</v>
      </c>
      <c r="C266" s="46">
        <v>0.5</v>
      </c>
      <c r="D266" s="47" t="s">
        <v>9</v>
      </c>
      <c r="E266" s="47"/>
      <c r="F266" s="47"/>
      <c r="G266" s="47" t="str">
        <f t="shared" si="131"/>
        <v>✅ CUBIERTO</v>
      </c>
      <c r="I266" s="60">
        <v>46014</v>
      </c>
      <c r="J266" s="45" t="str">
        <f>TEXT(I266,"ddd")</f>
        <v>mar</v>
      </c>
      <c r="K266" s="46">
        <v>0.5</v>
      </c>
      <c r="L266" s="47" t="s">
        <v>4</v>
      </c>
      <c r="M266" s="47"/>
      <c r="N266" s="47"/>
      <c r="O266" s="47" t="str">
        <f t="shared" si="132"/>
        <v>✅ CUBIERTO</v>
      </c>
    </row>
    <row r="267" spans="1:15" x14ac:dyDescent="0.3">
      <c r="A267" s="60">
        <v>45984</v>
      </c>
      <c r="B267" s="45" t="str">
        <f t="shared" ref="B267:B273" si="136">TEXT(A267,"ddd")</f>
        <v>dom</v>
      </c>
      <c r="C267" s="46">
        <v>0.54166666666666696</v>
      </c>
      <c r="D267" s="47" t="s">
        <v>9</v>
      </c>
      <c r="E267" s="47"/>
      <c r="F267" s="47"/>
      <c r="G267" s="47" t="str">
        <f t="shared" si="131"/>
        <v>✅ CUBIERTO</v>
      </c>
      <c r="I267" s="60">
        <v>46014</v>
      </c>
      <c r="J267" s="45" t="str">
        <f t="shared" ref="J267:J273" si="137">TEXT(I267,"ddd")</f>
        <v>mar</v>
      </c>
      <c r="K267" s="46">
        <v>0.54166666666666696</v>
      </c>
      <c r="L267" s="47" t="s">
        <v>4</v>
      </c>
      <c r="M267" s="47"/>
      <c r="N267" s="47"/>
      <c r="O267" s="47" t="str">
        <f t="shared" si="132"/>
        <v>✅ CUBIERTO</v>
      </c>
    </row>
    <row r="268" spans="1:15" x14ac:dyDescent="0.3">
      <c r="A268" s="60">
        <v>45984</v>
      </c>
      <c r="B268" s="45" t="str">
        <f t="shared" si="136"/>
        <v>dom</v>
      </c>
      <c r="C268" s="46">
        <v>0.58333333333333304</v>
      </c>
      <c r="D268" s="47" t="s">
        <v>9</v>
      </c>
      <c r="E268" s="47"/>
      <c r="F268" s="47"/>
      <c r="G268" s="47" t="str">
        <f t="shared" si="131"/>
        <v>✅ CUBIERTO</v>
      </c>
      <c r="I268" s="60">
        <v>46014</v>
      </c>
      <c r="J268" s="45" t="str">
        <f t="shared" si="137"/>
        <v>mar</v>
      </c>
      <c r="K268" s="46">
        <v>0.58333333333333304</v>
      </c>
      <c r="L268" s="47" t="s">
        <v>4</v>
      </c>
      <c r="M268" s="47"/>
      <c r="N268" s="47"/>
      <c r="O268" s="47" t="str">
        <f t="shared" si="132"/>
        <v>✅ CUBIERTO</v>
      </c>
    </row>
    <row r="269" spans="1:15" x14ac:dyDescent="0.3">
      <c r="A269" s="60">
        <v>45984</v>
      </c>
      <c r="B269" s="45" t="str">
        <f t="shared" si="136"/>
        <v>dom</v>
      </c>
      <c r="C269" s="46">
        <v>0.625</v>
      </c>
      <c r="D269" s="47" t="s">
        <v>9</v>
      </c>
      <c r="E269" s="47"/>
      <c r="F269" s="47"/>
      <c r="G269" s="47" t="str">
        <f t="shared" si="131"/>
        <v>✅ CUBIERTO</v>
      </c>
      <c r="I269" s="60">
        <v>46014</v>
      </c>
      <c r="J269" s="45" t="str">
        <f t="shared" si="137"/>
        <v>mar</v>
      </c>
      <c r="K269" s="46">
        <v>0.625</v>
      </c>
      <c r="L269" s="47" t="s">
        <v>4</v>
      </c>
      <c r="M269" s="47"/>
      <c r="N269" s="47"/>
      <c r="O269" s="47" t="str">
        <f t="shared" si="132"/>
        <v>✅ CUBIERTO</v>
      </c>
    </row>
    <row r="270" spans="1:15" x14ac:dyDescent="0.3">
      <c r="A270" s="60">
        <v>45984</v>
      </c>
      <c r="B270" s="45" t="str">
        <f t="shared" si="136"/>
        <v>dom</v>
      </c>
      <c r="C270" s="46">
        <v>0.66666666666666696</v>
      </c>
      <c r="D270" s="47" t="s">
        <v>9</v>
      </c>
      <c r="E270" s="47"/>
      <c r="F270" s="47"/>
      <c r="G270" s="47" t="str">
        <f t="shared" si="131"/>
        <v>✅ CUBIERTO</v>
      </c>
      <c r="I270" s="60">
        <v>46014</v>
      </c>
      <c r="J270" s="45" t="str">
        <f t="shared" si="137"/>
        <v>mar</v>
      </c>
      <c r="K270" s="46">
        <v>0.66666666666666696</v>
      </c>
      <c r="L270" s="47" t="s">
        <v>4</v>
      </c>
      <c r="M270" s="47"/>
      <c r="N270" s="47"/>
      <c r="O270" s="47" t="str">
        <f t="shared" si="132"/>
        <v>✅ CUBIERTO</v>
      </c>
    </row>
    <row r="271" spans="1:15" x14ac:dyDescent="0.3">
      <c r="A271" s="60">
        <v>45984</v>
      </c>
      <c r="B271" s="45" t="str">
        <f t="shared" si="136"/>
        <v>dom</v>
      </c>
      <c r="C271" s="46">
        <v>0.70833333333333304</v>
      </c>
      <c r="D271" s="47" t="s">
        <v>9</v>
      </c>
      <c r="E271" s="47"/>
      <c r="F271" s="47"/>
      <c r="G271" s="47" t="str">
        <f t="shared" si="131"/>
        <v>✅ CUBIERTO</v>
      </c>
      <c r="I271" s="60">
        <v>46014</v>
      </c>
      <c r="J271" s="45" t="str">
        <f t="shared" si="137"/>
        <v>mar</v>
      </c>
      <c r="K271" s="46">
        <v>0.70833333333333304</v>
      </c>
      <c r="L271" s="47" t="s">
        <v>4</v>
      </c>
      <c r="M271" s="47"/>
      <c r="N271" s="47"/>
      <c r="O271" s="47" t="str">
        <f t="shared" si="132"/>
        <v>✅ CUBIERTO</v>
      </c>
    </row>
    <row r="272" spans="1:15" x14ac:dyDescent="0.3">
      <c r="A272" s="60">
        <v>45984</v>
      </c>
      <c r="B272" s="45" t="str">
        <f t="shared" si="136"/>
        <v>dom</v>
      </c>
      <c r="C272" s="46">
        <v>0.75</v>
      </c>
      <c r="D272" s="47" t="s">
        <v>9</v>
      </c>
      <c r="E272" s="47"/>
      <c r="F272" s="47"/>
      <c r="G272" s="47" t="str">
        <f t="shared" si="131"/>
        <v>✅ CUBIERTO</v>
      </c>
      <c r="I272" s="60">
        <v>46014</v>
      </c>
      <c r="J272" s="45" t="str">
        <f t="shared" si="137"/>
        <v>mar</v>
      </c>
      <c r="K272" s="46">
        <v>0.75</v>
      </c>
      <c r="L272" s="47" t="s">
        <v>4</v>
      </c>
      <c r="M272" s="47"/>
      <c r="N272" s="47"/>
      <c r="O272" s="47" t="str">
        <f t="shared" si="132"/>
        <v>✅ CUBIERTO</v>
      </c>
    </row>
    <row r="273" spans="1:15" x14ac:dyDescent="0.3">
      <c r="A273" s="60">
        <v>45984</v>
      </c>
      <c r="B273" s="45" t="str">
        <f t="shared" si="136"/>
        <v>dom</v>
      </c>
      <c r="C273" s="46">
        <v>0.79166666666666696</v>
      </c>
      <c r="D273" s="47" t="s">
        <v>9</v>
      </c>
      <c r="E273" s="47"/>
      <c r="F273" s="47"/>
      <c r="G273" s="47" t="str">
        <f t="shared" si="131"/>
        <v>✅ CUBIERTO</v>
      </c>
      <c r="I273" s="60">
        <v>46014</v>
      </c>
      <c r="J273" s="45" t="str">
        <f t="shared" si="137"/>
        <v>mar</v>
      </c>
      <c r="K273" s="46">
        <v>0.79166666666666696</v>
      </c>
      <c r="L273" s="47" t="s">
        <v>4</v>
      </c>
      <c r="M273" s="47"/>
      <c r="N273" s="47"/>
      <c r="O273" s="47" t="str">
        <f t="shared" si="132"/>
        <v>✅ CUBIERTO</v>
      </c>
    </row>
    <row r="274" spans="1:15" x14ac:dyDescent="0.3">
      <c r="A274" s="60">
        <v>45984</v>
      </c>
      <c r="B274" s="45" t="str">
        <f t="shared" ref="B274" si="138">TEXT(A274,"ddd")</f>
        <v>dom</v>
      </c>
      <c r="C274" s="46">
        <v>0.83333333333333337</v>
      </c>
      <c r="D274" s="47" t="s">
        <v>9</v>
      </c>
      <c r="E274" s="47"/>
      <c r="F274" s="47"/>
      <c r="G274" s="47" t="str">
        <f t="shared" ref="G274:G275" si="139">IF(COUNTIF(D274:F274,"?*")&gt;=$D$4, "✅ CUBIERTO",
 IF(COUNTIF(D274:F274,"?*")&gt;0, "⚠ FALTANTE",
 "❌ SIN COMPLETAR"))</f>
        <v>✅ CUBIERTO</v>
      </c>
      <c r="I274" s="60">
        <v>46014</v>
      </c>
      <c r="J274" s="45" t="str">
        <f t="shared" ref="J274" si="140">TEXT(I274,"ddd")</f>
        <v>mar</v>
      </c>
      <c r="K274" s="46">
        <v>0.83333333333333337</v>
      </c>
      <c r="L274" s="47" t="s">
        <v>4</v>
      </c>
      <c r="M274" s="47"/>
      <c r="N274" s="47"/>
      <c r="O274" s="47" t="str">
        <f>IF(COUNTIF(L274:N274,"?*")&gt;=$L$4, "✅ CUBIERTO",
 IF(COUNTIF(L274:N274,"?*")&gt;0, "⚠ FALTANTE",
 "❌ SIN COMPLETAR"))</f>
        <v>✅ CUBIERTO</v>
      </c>
    </row>
    <row r="275" spans="1:15" x14ac:dyDescent="0.3">
      <c r="A275" s="61">
        <v>45985</v>
      </c>
      <c r="B275" s="58" t="str">
        <f>TEXT(A275,"ddd")</f>
        <v>lun</v>
      </c>
      <c r="C275" s="53">
        <v>0.41666666666666669</v>
      </c>
      <c r="D275" s="59" t="s">
        <v>9</v>
      </c>
      <c r="E275" s="59"/>
      <c r="F275" s="59"/>
      <c r="G275" s="59" t="str">
        <f t="shared" si="139"/>
        <v>✅ CUBIERTO</v>
      </c>
      <c r="I275" s="60">
        <v>46015</v>
      </c>
      <c r="J275" s="45" t="str">
        <f>TEXT(I275,"ddd")</f>
        <v>mié</v>
      </c>
      <c r="K275" s="46">
        <v>0.41666666666666669</v>
      </c>
      <c r="L275" s="47" t="s">
        <v>4</v>
      </c>
      <c r="M275" s="47"/>
      <c r="N275" s="47"/>
      <c r="O275" s="47" t="str">
        <f>IF(COUNTIF(L275:N275,"?*")&gt;=$L$4, "✅ CUBIERTO",
 IF(COUNTIF(L275:N275,"?*")&gt;0, "⚠ FALTANTE",
 "❌ SIN COMPLETAR"))</f>
        <v>✅ CUBIERTO</v>
      </c>
    </row>
    <row r="276" spans="1:15" x14ac:dyDescent="0.3">
      <c r="A276" s="61">
        <v>45985</v>
      </c>
      <c r="B276" s="58" t="str">
        <f>TEXT(A276,"ddd")</f>
        <v>lun</v>
      </c>
      <c r="C276" s="53">
        <v>0.45833333333333331</v>
      </c>
      <c r="D276" s="59" t="s">
        <v>9</v>
      </c>
      <c r="E276" s="59"/>
      <c r="F276" s="59"/>
      <c r="G276" s="59" t="str">
        <f t="shared" si="131"/>
        <v>✅ CUBIERTO</v>
      </c>
      <c r="I276" s="60">
        <v>46015</v>
      </c>
      <c r="J276" s="45" t="str">
        <f>TEXT(I276,"ddd")</f>
        <v>mié</v>
      </c>
      <c r="K276" s="46">
        <v>0.45833333333333331</v>
      </c>
      <c r="L276" s="47" t="s">
        <v>4</v>
      </c>
      <c r="M276" s="47"/>
      <c r="N276" s="47"/>
      <c r="O276" s="47" t="str">
        <f t="shared" si="132"/>
        <v>✅ CUBIERTO</v>
      </c>
    </row>
    <row r="277" spans="1:15" x14ac:dyDescent="0.3">
      <c r="A277" s="61">
        <v>45985</v>
      </c>
      <c r="B277" s="58" t="str">
        <f t="shared" ref="B277:B284" si="141">TEXT(A277,"ddd")</f>
        <v>lun</v>
      </c>
      <c r="C277" s="53">
        <v>0.5</v>
      </c>
      <c r="D277" s="59" t="s">
        <v>9</v>
      </c>
      <c r="E277" s="59"/>
      <c r="F277" s="59"/>
      <c r="G277" s="59" t="str">
        <f t="shared" si="131"/>
        <v>✅ CUBIERTO</v>
      </c>
      <c r="I277" s="60">
        <v>46015</v>
      </c>
      <c r="J277" s="45" t="str">
        <f t="shared" ref="J277:J284" si="142">TEXT(I277,"ddd")</f>
        <v>mié</v>
      </c>
      <c r="K277" s="46">
        <v>0.5</v>
      </c>
      <c r="L277" s="47" t="s">
        <v>4</v>
      </c>
      <c r="M277" s="47"/>
      <c r="N277" s="47"/>
      <c r="O277" s="47" t="str">
        <f t="shared" si="132"/>
        <v>✅ CUBIERTO</v>
      </c>
    </row>
    <row r="278" spans="1:15" x14ac:dyDescent="0.3">
      <c r="A278" s="61">
        <v>45985</v>
      </c>
      <c r="B278" s="58" t="str">
        <f t="shared" si="141"/>
        <v>lun</v>
      </c>
      <c r="C278" s="53">
        <v>0.54166666666666696</v>
      </c>
      <c r="D278" s="59" t="s">
        <v>9</v>
      </c>
      <c r="E278" s="59"/>
      <c r="F278" s="59"/>
      <c r="G278" s="59" t="str">
        <f t="shared" si="131"/>
        <v>✅ CUBIERTO</v>
      </c>
      <c r="I278" s="60">
        <v>46015</v>
      </c>
      <c r="J278" s="45" t="str">
        <f t="shared" si="142"/>
        <v>mié</v>
      </c>
      <c r="K278" s="46">
        <v>0.54166666666666696</v>
      </c>
      <c r="L278" s="47" t="s">
        <v>4</v>
      </c>
      <c r="M278" s="47"/>
      <c r="N278" s="47"/>
      <c r="O278" s="47" t="str">
        <f t="shared" si="132"/>
        <v>✅ CUBIERTO</v>
      </c>
    </row>
    <row r="279" spans="1:15" x14ac:dyDescent="0.3">
      <c r="A279" s="61">
        <v>45985</v>
      </c>
      <c r="B279" s="58" t="str">
        <f t="shared" si="141"/>
        <v>lun</v>
      </c>
      <c r="C279" s="53">
        <v>0.58333333333333304</v>
      </c>
      <c r="D279" s="59" t="s">
        <v>9</v>
      </c>
      <c r="E279" s="59"/>
      <c r="F279" s="59"/>
      <c r="G279" s="59" t="str">
        <f t="shared" si="131"/>
        <v>✅ CUBIERTO</v>
      </c>
      <c r="I279" s="60">
        <v>46015</v>
      </c>
      <c r="J279" s="45" t="str">
        <f t="shared" si="142"/>
        <v>mié</v>
      </c>
      <c r="K279" s="46">
        <v>0.58333333333333304</v>
      </c>
      <c r="L279" s="47" t="s">
        <v>4</v>
      </c>
      <c r="M279" s="47"/>
      <c r="N279" s="47"/>
      <c r="O279" s="47" t="str">
        <f t="shared" si="132"/>
        <v>✅ CUBIERTO</v>
      </c>
    </row>
    <row r="280" spans="1:15" x14ac:dyDescent="0.3">
      <c r="A280" s="61">
        <v>45985</v>
      </c>
      <c r="B280" s="58" t="str">
        <f t="shared" si="141"/>
        <v>lun</v>
      </c>
      <c r="C280" s="53">
        <v>0.625</v>
      </c>
      <c r="D280" s="59" t="s">
        <v>9</v>
      </c>
      <c r="E280" s="59"/>
      <c r="F280" s="59"/>
      <c r="G280" s="59" t="str">
        <f t="shared" si="131"/>
        <v>✅ CUBIERTO</v>
      </c>
      <c r="I280" s="60">
        <v>46015</v>
      </c>
      <c r="J280" s="45" t="str">
        <f t="shared" si="142"/>
        <v>mié</v>
      </c>
      <c r="K280" s="46">
        <v>0.625</v>
      </c>
      <c r="L280" s="47" t="s">
        <v>4</v>
      </c>
      <c r="M280" s="47"/>
      <c r="N280" s="47"/>
      <c r="O280" s="47" t="str">
        <f t="shared" si="132"/>
        <v>✅ CUBIERTO</v>
      </c>
    </row>
    <row r="281" spans="1:15" x14ac:dyDescent="0.3">
      <c r="A281" s="61">
        <v>45985</v>
      </c>
      <c r="B281" s="58" t="str">
        <f t="shared" si="141"/>
        <v>lun</v>
      </c>
      <c r="C281" s="53">
        <v>0.66666666666666696</v>
      </c>
      <c r="D281" s="59" t="s">
        <v>9</v>
      </c>
      <c r="E281" s="59"/>
      <c r="F281" s="59"/>
      <c r="G281" s="59" t="str">
        <f t="shared" si="131"/>
        <v>✅ CUBIERTO</v>
      </c>
      <c r="I281" s="60">
        <v>46015</v>
      </c>
      <c r="J281" s="45" t="str">
        <f t="shared" si="142"/>
        <v>mié</v>
      </c>
      <c r="K281" s="46">
        <v>0.66666666666666696</v>
      </c>
      <c r="L281" s="47" t="s">
        <v>4</v>
      </c>
      <c r="M281" s="47"/>
      <c r="N281" s="47"/>
      <c r="O281" s="47" t="str">
        <f t="shared" si="132"/>
        <v>✅ CUBIERTO</v>
      </c>
    </row>
    <row r="282" spans="1:15" x14ac:dyDescent="0.3">
      <c r="A282" s="61">
        <v>45985</v>
      </c>
      <c r="B282" s="58" t="str">
        <f t="shared" si="141"/>
        <v>lun</v>
      </c>
      <c r="C282" s="53">
        <v>0.70833333333333304</v>
      </c>
      <c r="D282" s="59" t="s">
        <v>9</v>
      </c>
      <c r="E282" s="59"/>
      <c r="F282" s="59"/>
      <c r="G282" s="59" t="str">
        <f t="shared" si="131"/>
        <v>✅ CUBIERTO</v>
      </c>
      <c r="I282" s="60">
        <v>46015</v>
      </c>
      <c r="J282" s="45" t="str">
        <f t="shared" si="142"/>
        <v>mié</v>
      </c>
      <c r="K282" s="46">
        <v>0.70833333333333304</v>
      </c>
      <c r="L282" s="47" t="s">
        <v>4</v>
      </c>
      <c r="M282" s="47"/>
      <c r="N282" s="47"/>
      <c r="O282" s="47" t="str">
        <f t="shared" si="132"/>
        <v>✅ CUBIERTO</v>
      </c>
    </row>
    <row r="283" spans="1:15" x14ac:dyDescent="0.3">
      <c r="A283" s="61">
        <v>45985</v>
      </c>
      <c r="B283" s="58" t="str">
        <f t="shared" si="141"/>
        <v>lun</v>
      </c>
      <c r="C283" s="53">
        <v>0.75</v>
      </c>
      <c r="D283" s="59" t="s">
        <v>9</v>
      </c>
      <c r="E283" s="59"/>
      <c r="F283" s="59"/>
      <c r="G283" s="59" t="str">
        <f t="shared" si="131"/>
        <v>✅ CUBIERTO</v>
      </c>
      <c r="I283" s="60">
        <v>46015</v>
      </c>
      <c r="J283" s="45" t="str">
        <f t="shared" si="142"/>
        <v>mié</v>
      </c>
      <c r="K283" s="46">
        <v>0.75</v>
      </c>
      <c r="L283" s="47" t="s">
        <v>4</v>
      </c>
      <c r="M283" s="47"/>
      <c r="N283" s="47"/>
      <c r="O283" s="47" t="str">
        <f t="shared" si="132"/>
        <v>✅ CUBIERTO</v>
      </c>
    </row>
    <row r="284" spans="1:15" x14ac:dyDescent="0.3">
      <c r="A284" s="61">
        <v>45985</v>
      </c>
      <c r="B284" s="58" t="str">
        <f t="shared" si="141"/>
        <v>lun</v>
      </c>
      <c r="C284" s="53">
        <v>0.79166666666666696</v>
      </c>
      <c r="D284" s="59" t="s">
        <v>9</v>
      </c>
      <c r="E284" s="59"/>
      <c r="F284" s="59"/>
      <c r="G284" s="59" t="str">
        <f t="shared" si="131"/>
        <v>✅ CUBIERTO</v>
      </c>
      <c r="I284" s="60">
        <v>46015</v>
      </c>
      <c r="J284" s="45" t="str">
        <f t="shared" si="142"/>
        <v>mié</v>
      </c>
      <c r="K284" s="46">
        <v>0.79166666666666696</v>
      </c>
      <c r="L284" s="47" t="s">
        <v>4</v>
      </c>
      <c r="M284" s="47"/>
      <c r="N284" s="47"/>
      <c r="O284" s="47" t="str">
        <f t="shared" si="132"/>
        <v>✅ CUBIERTO</v>
      </c>
    </row>
    <row r="285" spans="1:15" x14ac:dyDescent="0.3">
      <c r="A285" s="61">
        <v>45985</v>
      </c>
      <c r="B285" s="58" t="str">
        <f t="shared" ref="B285" si="143">TEXT(A285,"ddd")</f>
        <v>lun</v>
      </c>
      <c r="C285" s="53">
        <v>0.83333333333333337</v>
      </c>
      <c r="D285" s="59" t="s">
        <v>9</v>
      </c>
      <c r="E285" s="59"/>
      <c r="F285" s="59"/>
      <c r="G285" s="59" t="str">
        <f t="shared" ref="G285:G286" si="144">IF(COUNTIF(D285:F285,"?*")&gt;=$D$4, "✅ CUBIERTO",
 IF(COUNTIF(D285:F285,"?*")&gt;0, "⚠ FALTANTE",
 "❌ SIN COMPLETAR"))</f>
        <v>✅ CUBIERTO</v>
      </c>
      <c r="I285" s="60">
        <v>46015</v>
      </c>
      <c r="J285" s="45" t="str">
        <f t="shared" ref="J285" si="145">TEXT(I285,"ddd")</f>
        <v>mié</v>
      </c>
      <c r="K285" s="46">
        <v>0.83333333333333337</v>
      </c>
      <c r="L285" s="47" t="s">
        <v>4</v>
      </c>
      <c r="M285" s="47"/>
      <c r="N285" s="47"/>
      <c r="O285" s="47" t="str">
        <f>IF(COUNTIF(L285:N285,"?*")&gt;=$L$4, "✅ CUBIERTO",
 IF(COUNTIF(L285:N285,"?*")&gt;0, "⚠ FALTANTE",
 "❌ SIN COMPLETAR"))</f>
        <v>✅ CUBIERTO</v>
      </c>
    </row>
    <row r="286" spans="1:15" x14ac:dyDescent="0.3">
      <c r="A286" s="60">
        <v>45986</v>
      </c>
      <c r="B286" s="45" t="str">
        <f>TEXT(A286,"ddd")</f>
        <v>mar</v>
      </c>
      <c r="C286" s="46">
        <v>0.41666666666666669</v>
      </c>
      <c r="D286" s="47" t="s">
        <v>9</v>
      </c>
      <c r="E286" s="47"/>
      <c r="F286" s="47"/>
      <c r="G286" s="47" t="str">
        <f t="shared" si="144"/>
        <v>✅ CUBIERTO</v>
      </c>
      <c r="I286" s="64">
        <v>46016</v>
      </c>
      <c r="J286" s="50" t="str">
        <f>TEXT(I286,"ddd")</f>
        <v>jue</v>
      </c>
      <c r="K286" s="51">
        <v>0.41666666666666669</v>
      </c>
      <c r="L286" s="52"/>
      <c r="M286" s="52"/>
      <c r="N286" s="52"/>
      <c r="O286" s="65" t="s">
        <v>28</v>
      </c>
    </row>
    <row r="287" spans="1:15" x14ac:dyDescent="0.3">
      <c r="A287" s="60">
        <v>45986</v>
      </c>
      <c r="B287" s="45" t="str">
        <f>TEXT(A287,"ddd")</f>
        <v>mar</v>
      </c>
      <c r="C287" s="46">
        <v>0.45833333333333331</v>
      </c>
      <c r="D287" s="47" t="s">
        <v>9</v>
      </c>
      <c r="E287" s="47"/>
      <c r="F287" s="47"/>
      <c r="G287" s="47" t="str">
        <f t="shared" si="131"/>
        <v>✅ CUBIERTO</v>
      </c>
      <c r="I287" s="64">
        <v>46016</v>
      </c>
      <c r="J287" s="50" t="str">
        <f>TEXT(I287,"ddd")</f>
        <v>jue</v>
      </c>
      <c r="K287" s="51">
        <v>0.45833333333333331</v>
      </c>
      <c r="L287" s="52"/>
      <c r="M287" s="52"/>
      <c r="N287" s="52"/>
      <c r="O287" s="65" t="s">
        <v>28</v>
      </c>
    </row>
    <row r="288" spans="1:15" x14ac:dyDescent="0.3">
      <c r="A288" s="60">
        <v>45986</v>
      </c>
      <c r="B288" s="45" t="str">
        <f t="shared" ref="B288:B295" si="146">TEXT(A288,"ddd")</f>
        <v>mar</v>
      </c>
      <c r="C288" s="46">
        <v>0.5</v>
      </c>
      <c r="D288" s="47" t="s">
        <v>9</v>
      </c>
      <c r="E288" s="47"/>
      <c r="F288" s="47"/>
      <c r="G288" s="47" t="str">
        <f t="shared" si="131"/>
        <v>✅ CUBIERTO</v>
      </c>
      <c r="I288" s="64">
        <v>46016</v>
      </c>
      <c r="J288" s="50" t="str">
        <f t="shared" ref="J288:J295" si="147">TEXT(I288,"ddd")</f>
        <v>jue</v>
      </c>
      <c r="K288" s="51">
        <v>0.5</v>
      </c>
      <c r="L288" s="52"/>
      <c r="M288" s="52"/>
      <c r="N288" s="52"/>
      <c r="O288" s="65" t="s">
        <v>28</v>
      </c>
    </row>
    <row r="289" spans="1:15" x14ac:dyDescent="0.3">
      <c r="A289" s="60">
        <v>45986</v>
      </c>
      <c r="B289" s="45" t="str">
        <f t="shared" si="146"/>
        <v>mar</v>
      </c>
      <c r="C289" s="46">
        <v>0.54166666666666696</v>
      </c>
      <c r="D289" s="47" t="s">
        <v>9</v>
      </c>
      <c r="E289" s="47"/>
      <c r="F289" s="47"/>
      <c r="G289" s="47" t="str">
        <f t="shared" si="131"/>
        <v>✅ CUBIERTO</v>
      </c>
      <c r="I289" s="64">
        <v>46016</v>
      </c>
      <c r="J289" s="50" t="str">
        <f t="shared" si="147"/>
        <v>jue</v>
      </c>
      <c r="K289" s="51">
        <v>0.54166666666666696</v>
      </c>
      <c r="L289" s="52"/>
      <c r="M289" s="52"/>
      <c r="N289" s="52"/>
      <c r="O289" s="65" t="s">
        <v>28</v>
      </c>
    </row>
    <row r="290" spans="1:15" x14ac:dyDescent="0.3">
      <c r="A290" s="60">
        <v>45986</v>
      </c>
      <c r="B290" s="45" t="str">
        <f t="shared" si="146"/>
        <v>mar</v>
      </c>
      <c r="C290" s="46">
        <v>0.58333333333333304</v>
      </c>
      <c r="D290" s="47" t="s">
        <v>9</v>
      </c>
      <c r="E290" s="47"/>
      <c r="F290" s="47"/>
      <c r="G290" s="47" t="str">
        <f t="shared" si="131"/>
        <v>✅ CUBIERTO</v>
      </c>
      <c r="I290" s="64">
        <v>46016</v>
      </c>
      <c r="J290" s="50" t="str">
        <f t="shared" si="147"/>
        <v>jue</v>
      </c>
      <c r="K290" s="51">
        <v>0.58333333333333304</v>
      </c>
      <c r="L290" s="52"/>
      <c r="M290" s="52"/>
      <c r="N290" s="52"/>
      <c r="O290" s="65" t="s">
        <v>28</v>
      </c>
    </row>
    <row r="291" spans="1:15" x14ac:dyDescent="0.3">
      <c r="A291" s="60">
        <v>45986</v>
      </c>
      <c r="B291" s="45" t="str">
        <f t="shared" si="146"/>
        <v>mar</v>
      </c>
      <c r="C291" s="46">
        <v>0.625</v>
      </c>
      <c r="D291" s="47" t="s">
        <v>9</v>
      </c>
      <c r="E291" s="47"/>
      <c r="F291" s="47"/>
      <c r="G291" s="47" t="str">
        <f t="shared" si="131"/>
        <v>✅ CUBIERTO</v>
      </c>
      <c r="I291" s="64">
        <v>46016</v>
      </c>
      <c r="J291" s="50" t="str">
        <f t="shared" si="147"/>
        <v>jue</v>
      </c>
      <c r="K291" s="51">
        <v>0.625</v>
      </c>
      <c r="L291" s="52"/>
      <c r="M291" s="52"/>
      <c r="N291" s="52"/>
      <c r="O291" s="65" t="s">
        <v>28</v>
      </c>
    </row>
    <row r="292" spans="1:15" x14ac:dyDescent="0.3">
      <c r="A292" s="60">
        <v>45986</v>
      </c>
      <c r="B292" s="45" t="str">
        <f t="shared" si="146"/>
        <v>mar</v>
      </c>
      <c r="C292" s="46">
        <v>0.66666666666666696</v>
      </c>
      <c r="D292" s="47" t="s">
        <v>9</v>
      </c>
      <c r="E292" s="47"/>
      <c r="F292" s="47"/>
      <c r="G292" s="47" t="str">
        <f t="shared" si="131"/>
        <v>✅ CUBIERTO</v>
      </c>
      <c r="I292" s="64">
        <v>46016</v>
      </c>
      <c r="J292" s="50" t="str">
        <f t="shared" si="147"/>
        <v>jue</v>
      </c>
      <c r="K292" s="51">
        <v>0.66666666666666696</v>
      </c>
      <c r="L292" s="52"/>
      <c r="M292" s="52"/>
      <c r="N292" s="52"/>
      <c r="O292" s="65" t="s">
        <v>28</v>
      </c>
    </row>
    <row r="293" spans="1:15" x14ac:dyDescent="0.3">
      <c r="A293" s="60">
        <v>45986</v>
      </c>
      <c r="B293" s="45" t="str">
        <f t="shared" si="146"/>
        <v>mar</v>
      </c>
      <c r="C293" s="46">
        <v>0.70833333333333304</v>
      </c>
      <c r="D293" s="47" t="s">
        <v>9</v>
      </c>
      <c r="E293" s="47"/>
      <c r="F293" s="47"/>
      <c r="G293" s="47" t="str">
        <f t="shared" si="131"/>
        <v>✅ CUBIERTO</v>
      </c>
      <c r="I293" s="64">
        <v>46016</v>
      </c>
      <c r="J293" s="50" t="str">
        <f t="shared" si="147"/>
        <v>jue</v>
      </c>
      <c r="K293" s="51">
        <v>0.70833333333333304</v>
      </c>
      <c r="L293" s="52"/>
      <c r="M293" s="52"/>
      <c r="N293" s="52"/>
      <c r="O293" s="65" t="s">
        <v>28</v>
      </c>
    </row>
    <row r="294" spans="1:15" x14ac:dyDescent="0.3">
      <c r="A294" s="60">
        <v>45986</v>
      </c>
      <c r="B294" s="45" t="str">
        <f t="shared" si="146"/>
        <v>mar</v>
      </c>
      <c r="C294" s="46">
        <v>0.75</v>
      </c>
      <c r="D294" s="47" t="s">
        <v>9</v>
      </c>
      <c r="E294" s="47"/>
      <c r="F294" s="47"/>
      <c r="G294" s="47" t="str">
        <f t="shared" si="131"/>
        <v>✅ CUBIERTO</v>
      </c>
      <c r="I294" s="64">
        <v>46016</v>
      </c>
      <c r="J294" s="50" t="str">
        <f t="shared" si="147"/>
        <v>jue</v>
      </c>
      <c r="K294" s="51">
        <v>0.75</v>
      </c>
      <c r="L294" s="52"/>
      <c r="M294" s="52"/>
      <c r="N294" s="52"/>
      <c r="O294" s="65" t="s">
        <v>28</v>
      </c>
    </row>
    <row r="295" spans="1:15" x14ac:dyDescent="0.3">
      <c r="A295" s="60">
        <v>45986</v>
      </c>
      <c r="B295" s="45" t="str">
        <f t="shared" si="146"/>
        <v>mar</v>
      </c>
      <c r="C295" s="46">
        <v>0.79166666666666696</v>
      </c>
      <c r="D295" s="47" t="s">
        <v>9</v>
      </c>
      <c r="E295" s="47"/>
      <c r="F295" s="47"/>
      <c r="G295" s="47" t="str">
        <f t="shared" si="131"/>
        <v>✅ CUBIERTO</v>
      </c>
      <c r="I295" s="64">
        <v>46016</v>
      </c>
      <c r="J295" s="50" t="str">
        <f t="shared" si="147"/>
        <v>jue</v>
      </c>
      <c r="K295" s="51">
        <v>0.79166666666666696</v>
      </c>
      <c r="L295" s="52"/>
      <c r="M295" s="52"/>
      <c r="N295" s="52"/>
      <c r="O295" s="65" t="s">
        <v>28</v>
      </c>
    </row>
    <row r="296" spans="1:15" x14ac:dyDescent="0.3">
      <c r="A296" s="60">
        <v>45986</v>
      </c>
      <c r="B296" s="45" t="str">
        <f t="shared" ref="B296" si="148">TEXT(A296,"ddd")</f>
        <v>mar</v>
      </c>
      <c r="C296" s="46">
        <v>0.83333333333333337</v>
      </c>
      <c r="D296" s="47" t="s">
        <v>9</v>
      </c>
      <c r="E296" s="47"/>
      <c r="F296" s="47"/>
      <c r="G296" s="47" t="str">
        <f t="shared" ref="G296:G297" si="149">IF(COUNTIF(D296:F296,"?*")&gt;=$D$4, "✅ CUBIERTO",
 IF(COUNTIF(D296:F296,"?*")&gt;0, "⚠ FALTANTE",
 "❌ SIN COMPLETAR"))</f>
        <v>✅ CUBIERTO</v>
      </c>
      <c r="I296" s="64">
        <v>46016</v>
      </c>
      <c r="J296" s="50" t="str">
        <f t="shared" ref="J296" si="150">TEXT(I296,"ddd")</f>
        <v>jue</v>
      </c>
      <c r="K296" s="51">
        <v>0.83333333333333337</v>
      </c>
      <c r="L296" s="52"/>
      <c r="M296" s="52"/>
      <c r="N296" s="52"/>
      <c r="O296" s="65" t="s">
        <v>28</v>
      </c>
    </row>
    <row r="297" spans="1:15" x14ac:dyDescent="0.3">
      <c r="A297" s="60">
        <v>45987</v>
      </c>
      <c r="B297" s="45" t="str">
        <f>TEXT(A297,"ddd")</f>
        <v>mié</v>
      </c>
      <c r="C297" s="46">
        <v>0.41666666666666669</v>
      </c>
      <c r="D297" s="47" t="s">
        <v>9</v>
      </c>
      <c r="E297" s="47"/>
      <c r="F297" s="47"/>
      <c r="G297" s="47" t="str">
        <f t="shared" si="149"/>
        <v>✅ CUBIERTO</v>
      </c>
      <c r="I297" s="60">
        <v>46017</v>
      </c>
      <c r="J297" s="45" t="str">
        <f>TEXT(I297,"ddd")</f>
        <v>vie</v>
      </c>
      <c r="K297" s="46">
        <v>0.41666666666666669</v>
      </c>
      <c r="L297" s="47" t="s">
        <v>4</v>
      </c>
      <c r="M297" s="47"/>
      <c r="N297" s="47"/>
      <c r="O297" s="47" t="str">
        <f t="shared" ref="O297" si="151">IF(COUNTIF(L297:N297,"?*")&gt;=$L$4, "✅ CUBIERTO",
 IF(COUNTIF(L297:N297,"?*")&gt;0, "⚠ FALTANTE",
 "❌ SIN COMPLETAR"))</f>
        <v>✅ CUBIERTO</v>
      </c>
    </row>
    <row r="298" spans="1:15" x14ac:dyDescent="0.3">
      <c r="A298" s="60">
        <v>45987</v>
      </c>
      <c r="B298" s="45" t="str">
        <f>TEXT(A298,"ddd")</f>
        <v>mié</v>
      </c>
      <c r="C298" s="46">
        <v>0.45833333333333331</v>
      </c>
      <c r="D298" s="47" t="s">
        <v>9</v>
      </c>
      <c r="E298" s="47"/>
      <c r="F298" s="47"/>
      <c r="G298" s="47" t="str">
        <f t="shared" si="131"/>
        <v>✅ CUBIERTO</v>
      </c>
      <c r="I298" s="60">
        <v>46017</v>
      </c>
      <c r="J298" s="45" t="str">
        <f>TEXT(I298,"ddd")</f>
        <v>vie</v>
      </c>
      <c r="K298" s="46">
        <v>0.45833333333333331</v>
      </c>
      <c r="L298" s="47" t="s">
        <v>4</v>
      </c>
      <c r="M298" s="47"/>
      <c r="N298" s="47"/>
      <c r="O298" s="47" t="str">
        <f t="shared" ref="O298:O335" si="152">IF(COUNTIF(L298:N298,"?*")&gt;=$L$4, "✅ CUBIERTO",
 IF(COUNTIF(L298:N298,"?*")&gt;0, "⚠ FALTANTE",
 "❌ SIN COMPLETAR"))</f>
        <v>✅ CUBIERTO</v>
      </c>
    </row>
    <row r="299" spans="1:15" x14ac:dyDescent="0.3">
      <c r="A299" s="60">
        <v>45987</v>
      </c>
      <c r="B299" s="45" t="str">
        <f t="shared" ref="B299:B306" si="153">TEXT(A299,"ddd")</f>
        <v>mié</v>
      </c>
      <c r="C299" s="46">
        <v>0.5</v>
      </c>
      <c r="D299" s="47" t="s">
        <v>9</v>
      </c>
      <c r="E299" s="47"/>
      <c r="F299" s="47"/>
      <c r="G299" s="47" t="str">
        <f t="shared" si="131"/>
        <v>✅ CUBIERTO</v>
      </c>
      <c r="I299" s="60">
        <v>46017</v>
      </c>
      <c r="J299" s="45" t="str">
        <f t="shared" ref="J299:J306" si="154">TEXT(I299,"ddd")</f>
        <v>vie</v>
      </c>
      <c r="K299" s="46">
        <v>0.5</v>
      </c>
      <c r="L299" s="47" t="s">
        <v>4</v>
      </c>
      <c r="M299" s="47"/>
      <c r="N299" s="47"/>
      <c r="O299" s="47" t="str">
        <f t="shared" si="152"/>
        <v>✅ CUBIERTO</v>
      </c>
    </row>
    <row r="300" spans="1:15" x14ac:dyDescent="0.3">
      <c r="A300" s="60">
        <v>45987</v>
      </c>
      <c r="B300" s="45" t="str">
        <f t="shared" si="153"/>
        <v>mié</v>
      </c>
      <c r="C300" s="46">
        <v>0.54166666666666696</v>
      </c>
      <c r="D300" s="47" t="s">
        <v>22</v>
      </c>
      <c r="E300" s="47"/>
      <c r="F300" s="47"/>
      <c r="G300" s="47" t="str">
        <f t="shared" si="131"/>
        <v>✅ CUBIERTO</v>
      </c>
      <c r="I300" s="60">
        <v>46017</v>
      </c>
      <c r="J300" s="45" t="str">
        <f t="shared" si="154"/>
        <v>vie</v>
      </c>
      <c r="K300" s="46">
        <v>0.54166666666666696</v>
      </c>
      <c r="L300" s="47" t="s">
        <v>4</v>
      </c>
      <c r="M300" s="47"/>
      <c r="N300" s="47"/>
      <c r="O300" s="47" t="str">
        <f t="shared" si="152"/>
        <v>✅ CUBIERTO</v>
      </c>
    </row>
    <row r="301" spans="1:15" x14ac:dyDescent="0.3">
      <c r="A301" s="60">
        <v>45987</v>
      </c>
      <c r="B301" s="45" t="str">
        <f t="shared" si="153"/>
        <v>mié</v>
      </c>
      <c r="C301" s="46">
        <v>0.58333333333333304</v>
      </c>
      <c r="D301" s="47" t="s">
        <v>22</v>
      </c>
      <c r="E301" s="47"/>
      <c r="F301" s="47"/>
      <c r="G301" s="47" t="str">
        <f t="shared" si="131"/>
        <v>✅ CUBIERTO</v>
      </c>
      <c r="I301" s="60">
        <v>46017</v>
      </c>
      <c r="J301" s="45" t="str">
        <f t="shared" si="154"/>
        <v>vie</v>
      </c>
      <c r="K301" s="46">
        <v>0.58333333333333304</v>
      </c>
      <c r="L301" s="47" t="s">
        <v>4</v>
      </c>
      <c r="M301" s="47"/>
      <c r="N301" s="47"/>
      <c r="O301" s="47" t="str">
        <f t="shared" si="152"/>
        <v>✅ CUBIERTO</v>
      </c>
    </row>
    <row r="302" spans="1:15" x14ac:dyDescent="0.3">
      <c r="A302" s="60">
        <v>45987</v>
      </c>
      <c r="B302" s="45" t="str">
        <f t="shared" si="153"/>
        <v>mié</v>
      </c>
      <c r="C302" s="46">
        <v>0.625</v>
      </c>
      <c r="D302" s="47" t="s">
        <v>22</v>
      </c>
      <c r="E302" s="47"/>
      <c r="F302" s="47"/>
      <c r="G302" s="47" t="str">
        <f t="shared" si="131"/>
        <v>✅ CUBIERTO</v>
      </c>
      <c r="I302" s="60">
        <v>46017</v>
      </c>
      <c r="J302" s="45" t="str">
        <f t="shared" si="154"/>
        <v>vie</v>
      </c>
      <c r="K302" s="46">
        <v>0.625</v>
      </c>
      <c r="L302" s="47" t="s">
        <v>4</v>
      </c>
      <c r="M302" s="47"/>
      <c r="N302" s="47"/>
      <c r="O302" s="47" t="str">
        <f t="shared" si="152"/>
        <v>✅ CUBIERTO</v>
      </c>
    </row>
    <row r="303" spans="1:15" x14ac:dyDescent="0.3">
      <c r="A303" s="60">
        <v>45987</v>
      </c>
      <c r="B303" s="45" t="str">
        <f t="shared" si="153"/>
        <v>mié</v>
      </c>
      <c r="C303" s="46">
        <v>0.66666666666666696</v>
      </c>
      <c r="D303" s="47" t="s">
        <v>22</v>
      </c>
      <c r="E303" s="47"/>
      <c r="F303" s="47"/>
      <c r="G303" s="47" t="str">
        <f t="shared" si="131"/>
        <v>✅ CUBIERTO</v>
      </c>
      <c r="I303" s="60">
        <v>46017</v>
      </c>
      <c r="J303" s="45" t="str">
        <f t="shared" si="154"/>
        <v>vie</v>
      </c>
      <c r="K303" s="46">
        <v>0.66666666666666696</v>
      </c>
      <c r="L303" s="47" t="s">
        <v>4</v>
      </c>
      <c r="M303" s="47"/>
      <c r="N303" s="47"/>
      <c r="O303" s="47" t="str">
        <f t="shared" si="152"/>
        <v>✅ CUBIERTO</v>
      </c>
    </row>
    <row r="304" spans="1:15" x14ac:dyDescent="0.3">
      <c r="A304" s="60">
        <v>45987</v>
      </c>
      <c r="B304" s="45" t="str">
        <f t="shared" si="153"/>
        <v>mié</v>
      </c>
      <c r="C304" s="46">
        <v>0.70833333333333304</v>
      </c>
      <c r="D304" s="47" t="s">
        <v>22</v>
      </c>
      <c r="E304" s="47"/>
      <c r="F304" s="47"/>
      <c r="G304" s="47" t="str">
        <f t="shared" si="131"/>
        <v>✅ CUBIERTO</v>
      </c>
      <c r="I304" s="60">
        <v>46017</v>
      </c>
      <c r="J304" s="45" t="str">
        <f t="shared" si="154"/>
        <v>vie</v>
      </c>
      <c r="K304" s="46">
        <v>0.70833333333333304</v>
      </c>
      <c r="L304" s="47" t="s">
        <v>4</v>
      </c>
      <c r="M304" s="47"/>
      <c r="N304" s="47"/>
      <c r="O304" s="47" t="str">
        <f t="shared" si="152"/>
        <v>✅ CUBIERTO</v>
      </c>
    </row>
    <row r="305" spans="1:15" x14ac:dyDescent="0.3">
      <c r="A305" s="60">
        <v>45987</v>
      </c>
      <c r="B305" s="45" t="str">
        <f t="shared" si="153"/>
        <v>mié</v>
      </c>
      <c r="C305" s="46">
        <v>0.75</v>
      </c>
      <c r="D305" s="47" t="s">
        <v>22</v>
      </c>
      <c r="E305" s="47"/>
      <c r="F305" s="47"/>
      <c r="G305" s="47" t="str">
        <f t="shared" si="131"/>
        <v>✅ CUBIERTO</v>
      </c>
      <c r="I305" s="60">
        <v>46017</v>
      </c>
      <c r="J305" s="45" t="str">
        <f t="shared" si="154"/>
        <v>vie</v>
      </c>
      <c r="K305" s="46">
        <v>0.75</v>
      </c>
      <c r="L305" s="47" t="s">
        <v>4</v>
      </c>
      <c r="M305" s="47"/>
      <c r="N305" s="47"/>
      <c r="O305" s="47" t="str">
        <f t="shared" si="152"/>
        <v>✅ CUBIERTO</v>
      </c>
    </row>
    <row r="306" spans="1:15" x14ac:dyDescent="0.3">
      <c r="A306" s="60">
        <v>45987</v>
      </c>
      <c r="B306" s="45" t="str">
        <f t="shared" si="153"/>
        <v>mié</v>
      </c>
      <c r="C306" s="46">
        <v>0.79166666666666696</v>
      </c>
      <c r="D306" s="47" t="s">
        <v>22</v>
      </c>
      <c r="E306" s="47"/>
      <c r="F306" s="47"/>
      <c r="G306" s="47" t="str">
        <f t="shared" si="131"/>
        <v>✅ CUBIERTO</v>
      </c>
      <c r="I306" s="60">
        <v>46017</v>
      </c>
      <c r="J306" s="45" t="str">
        <f t="shared" si="154"/>
        <v>vie</v>
      </c>
      <c r="K306" s="46">
        <v>0.79166666666666696</v>
      </c>
      <c r="L306" s="47" t="s">
        <v>4</v>
      </c>
      <c r="M306" s="47"/>
      <c r="N306" s="47"/>
      <c r="O306" s="47" t="str">
        <f t="shared" si="152"/>
        <v>✅ CUBIERTO</v>
      </c>
    </row>
    <row r="307" spans="1:15" x14ac:dyDescent="0.3">
      <c r="A307" s="60">
        <v>45987</v>
      </c>
      <c r="B307" s="45" t="str">
        <f t="shared" ref="B307" si="155">TEXT(A307,"ddd")</f>
        <v>mié</v>
      </c>
      <c r="C307" s="46">
        <v>0.83333333333333337</v>
      </c>
      <c r="D307" s="47" t="s">
        <v>22</v>
      </c>
      <c r="E307" s="47"/>
      <c r="F307" s="47"/>
      <c r="G307" s="47" t="str">
        <f t="shared" ref="G307:G308" si="156">IF(COUNTIF(D307:F307,"?*")&gt;=$D$4, "✅ CUBIERTO",
 IF(COUNTIF(D307:F307,"?*")&gt;0, "⚠ FALTANTE",
 "❌ SIN COMPLETAR"))</f>
        <v>✅ CUBIERTO</v>
      </c>
      <c r="I307" s="60">
        <v>46017</v>
      </c>
      <c r="J307" s="45" t="str">
        <f t="shared" ref="J307" si="157">TEXT(I307,"ddd")</f>
        <v>vie</v>
      </c>
      <c r="K307" s="46">
        <v>0.83333333333333337</v>
      </c>
      <c r="L307" s="47" t="s">
        <v>4</v>
      </c>
      <c r="M307" s="47"/>
      <c r="N307" s="47"/>
      <c r="O307" s="47" t="str">
        <f>IF(COUNTIF(L307:N307,"?*")&gt;=$L$4, "✅ CUBIERTO",
 IF(COUNTIF(L307:N307,"?*")&gt;0, "⚠ FALTANTE",
 "❌ SIN COMPLETAR"))</f>
        <v>✅ CUBIERTO</v>
      </c>
    </row>
    <row r="308" spans="1:15" x14ac:dyDescent="0.3">
      <c r="A308" s="60">
        <v>45988</v>
      </c>
      <c r="B308" s="45" t="str">
        <f>TEXT(A308,"ddd")</f>
        <v>jue</v>
      </c>
      <c r="C308" s="46">
        <v>0.41666666666666669</v>
      </c>
      <c r="D308" s="47" t="s">
        <v>22</v>
      </c>
      <c r="E308" s="47"/>
      <c r="F308" s="47"/>
      <c r="G308" s="47" t="str">
        <f t="shared" si="156"/>
        <v>✅ CUBIERTO</v>
      </c>
      <c r="I308" s="60">
        <v>46018</v>
      </c>
      <c r="J308" s="45" t="str">
        <f>TEXT(I308,"ddd")</f>
        <v>sáb</v>
      </c>
      <c r="K308" s="46">
        <v>0.41666666666666669</v>
      </c>
      <c r="L308" s="47" t="s">
        <v>4</v>
      </c>
      <c r="M308" s="47"/>
      <c r="N308" s="47"/>
      <c r="O308" s="47" t="str">
        <f>IF(COUNTIF(L308:N308,"?*")&gt;=$L$4, "✅ CUBIERTO",
 IF(COUNTIF(L308:N308,"?*")&gt;0, "⚠ FALTANTE",
 "❌ SIN COMPLETAR"))</f>
        <v>✅ CUBIERTO</v>
      </c>
    </row>
    <row r="309" spans="1:15" x14ac:dyDescent="0.3">
      <c r="A309" s="60">
        <v>45988</v>
      </c>
      <c r="B309" s="45" t="str">
        <f>TEXT(A309,"ddd")</f>
        <v>jue</v>
      </c>
      <c r="C309" s="46">
        <v>0.45833333333333331</v>
      </c>
      <c r="D309" s="47" t="s">
        <v>22</v>
      </c>
      <c r="E309" s="47"/>
      <c r="F309" s="47"/>
      <c r="G309" s="47" t="str">
        <f t="shared" si="131"/>
        <v>✅ CUBIERTO</v>
      </c>
      <c r="I309" s="60">
        <v>46018</v>
      </c>
      <c r="J309" s="45" t="str">
        <f>TEXT(I309,"ddd")</f>
        <v>sáb</v>
      </c>
      <c r="K309" s="46">
        <v>0.45833333333333331</v>
      </c>
      <c r="L309" s="47" t="s">
        <v>4</v>
      </c>
      <c r="M309" s="47"/>
      <c r="N309" s="47"/>
      <c r="O309" s="47" t="str">
        <f t="shared" si="152"/>
        <v>✅ CUBIERTO</v>
      </c>
    </row>
    <row r="310" spans="1:15" x14ac:dyDescent="0.3">
      <c r="A310" s="60">
        <v>45988</v>
      </c>
      <c r="B310" s="45" t="str">
        <f t="shared" ref="B310:B317" si="158">TEXT(A310,"ddd")</f>
        <v>jue</v>
      </c>
      <c r="C310" s="46">
        <v>0.5</v>
      </c>
      <c r="D310" s="47" t="s">
        <v>22</v>
      </c>
      <c r="E310" s="47"/>
      <c r="F310" s="47"/>
      <c r="G310" s="47" t="str">
        <f t="shared" si="131"/>
        <v>✅ CUBIERTO</v>
      </c>
      <c r="I310" s="60">
        <v>46018</v>
      </c>
      <c r="J310" s="45" t="str">
        <f t="shared" ref="J310:J317" si="159">TEXT(I310,"ddd")</f>
        <v>sáb</v>
      </c>
      <c r="K310" s="46">
        <v>0.5</v>
      </c>
      <c r="L310" s="47" t="s">
        <v>4</v>
      </c>
      <c r="M310" s="47"/>
      <c r="N310" s="47"/>
      <c r="O310" s="47" t="str">
        <f t="shared" si="152"/>
        <v>✅ CUBIERTO</v>
      </c>
    </row>
    <row r="311" spans="1:15" x14ac:dyDescent="0.3">
      <c r="A311" s="60">
        <v>45988</v>
      </c>
      <c r="B311" s="45" t="str">
        <f t="shared" si="158"/>
        <v>jue</v>
      </c>
      <c r="C311" s="46">
        <v>0.54166666666666696</v>
      </c>
      <c r="D311" s="47" t="s">
        <v>22</v>
      </c>
      <c r="E311" s="47"/>
      <c r="F311" s="47"/>
      <c r="G311" s="47" t="str">
        <f t="shared" si="131"/>
        <v>✅ CUBIERTO</v>
      </c>
      <c r="I311" s="60">
        <v>46018</v>
      </c>
      <c r="J311" s="45" t="str">
        <f t="shared" si="159"/>
        <v>sáb</v>
      </c>
      <c r="K311" s="46">
        <v>0.54166666666666696</v>
      </c>
      <c r="L311" s="47" t="s">
        <v>4</v>
      </c>
      <c r="M311" s="47"/>
      <c r="N311" s="47"/>
      <c r="O311" s="47" t="str">
        <f t="shared" si="152"/>
        <v>✅ CUBIERTO</v>
      </c>
    </row>
    <row r="312" spans="1:15" x14ac:dyDescent="0.3">
      <c r="A312" s="60">
        <v>45988</v>
      </c>
      <c r="B312" s="45" t="str">
        <f t="shared" si="158"/>
        <v>jue</v>
      </c>
      <c r="C312" s="46">
        <v>0.58333333333333304</v>
      </c>
      <c r="D312" s="47" t="s">
        <v>22</v>
      </c>
      <c r="E312" s="47"/>
      <c r="F312" s="47"/>
      <c r="G312" s="47" t="str">
        <f t="shared" si="131"/>
        <v>✅ CUBIERTO</v>
      </c>
      <c r="I312" s="60">
        <v>46018</v>
      </c>
      <c r="J312" s="45" t="str">
        <f t="shared" si="159"/>
        <v>sáb</v>
      </c>
      <c r="K312" s="46">
        <v>0.58333333333333304</v>
      </c>
      <c r="L312" s="47" t="s">
        <v>4</v>
      </c>
      <c r="M312" s="47"/>
      <c r="N312" s="47"/>
      <c r="O312" s="47" t="str">
        <f t="shared" si="152"/>
        <v>✅ CUBIERTO</v>
      </c>
    </row>
    <row r="313" spans="1:15" x14ac:dyDescent="0.3">
      <c r="A313" s="60">
        <v>45988</v>
      </c>
      <c r="B313" s="45" t="str">
        <f t="shared" si="158"/>
        <v>jue</v>
      </c>
      <c r="C313" s="46">
        <v>0.625</v>
      </c>
      <c r="D313" s="47" t="s">
        <v>22</v>
      </c>
      <c r="E313" s="47"/>
      <c r="F313" s="47"/>
      <c r="G313" s="47" t="str">
        <f t="shared" si="131"/>
        <v>✅ CUBIERTO</v>
      </c>
      <c r="I313" s="60">
        <v>46018</v>
      </c>
      <c r="J313" s="45" t="str">
        <f t="shared" si="159"/>
        <v>sáb</v>
      </c>
      <c r="K313" s="46">
        <v>0.625</v>
      </c>
      <c r="L313" s="47" t="s">
        <v>4</v>
      </c>
      <c r="M313" s="47"/>
      <c r="N313" s="47"/>
      <c r="O313" s="47" t="str">
        <f t="shared" si="152"/>
        <v>✅ CUBIERTO</v>
      </c>
    </row>
    <row r="314" spans="1:15" x14ac:dyDescent="0.3">
      <c r="A314" s="60">
        <v>45988</v>
      </c>
      <c r="B314" s="45" t="str">
        <f t="shared" si="158"/>
        <v>jue</v>
      </c>
      <c r="C314" s="46">
        <v>0.66666666666666696</v>
      </c>
      <c r="D314" s="47" t="s">
        <v>22</v>
      </c>
      <c r="E314" s="47"/>
      <c r="F314" s="47"/>
      <c r="G314" s="47" t="str">
        <f t="shared" si="131"/>
        <v>✅ CUBIERTO</v>
      </c>
      <c r="I314" s="60">
        <v>46018</v>
      </c>
      <c r="J314" s="45" t="str">
        <f t="shared" si="159"/>
        <v>sáb</v>
      </c>
      <c r="K314" s="46">
        <v>0.66666666666666696</v>
      </c>
      <c r="L314" s="47" t="s">
        <v>4</v>
      </c>
      <c r="M314" s="47"/>
      <c r="N314" s="47"/>
      <c r="O314" s="47" t="str">
        <f t="shared" si="152"/>
        <v>✅ CUBIERTO</v>
      </c>
    </row>
    <row r="315" spans="1:15" x14ac:dyDescent="0.3">
      <c r="A315" s="60">
        <v>45988</v>
      </c>
      <c r="B315" s="45" t="str">
        <f t="shared" si="158"/>
        <v>jue</v>
      </c>
      <c r="C315" s="46">
        <v>0.70833333333333304</v>
      </c>
      <c r="D315" s="47" t="s">
        <v>22</v>
      </c>
      <c r="E315" s="47"/>
      <c r="F315" s="47"/>
      <c r="G315" s="47" t="str">
        <f t="shared" si="131"/>
        <v>✅ CUBIERTO</v>
      </c>
      <c r="I315" s="60">
        <v>46018</v>
      </c>
      <c r="J315" s="45" t="str">
        <f t="shared" si="159"/>
        <v>sáb</v>
      </c>
      <c r="K315" s="46">
        <v>0.70833333333333304</v>
      </c>
      <c r="L315" s="47" t="s">
        <v>4</v>
      </c>
      <c r="M315" s="47"/>
      <c r="N315" s="47"/>
      <c r="O315" s="47" t="str">
        <f t="shared" si="152"/>
        <v>✅ CUBIERTO</v>
      </c>
    </row>
    <row r="316" spans="1:15" x14ac:dyDescent="0.3">
      <c r="A316" s="60">
        <v>45988</v>
      </c>
      <c r="B316" s="45" t="str">
        <f t="shared" si="158"/>
        <v>jue</v>
      </c>
      <c r="C316" s="46">
        <v>0.75</v>
      </c>
      <c r="D316" s="47" t="s">
        <v>22</v>
      </c>
      <c r="E316" s="47"/>
      <c r="F316" s="47"/>
      <c r="G316" s="47" t="str">
        <f t="shared" si="131"/>
        <v>✅ CUBIERTO</v>
      </c>
      <c r="I316" s="60">
        <v>46018</v>
      </c>
      <c r="J316" s="45" t="str">
        <f t="shared" si="159"/>
        <v>sáb</v>
      </c>
      <c r="K316" s="46">
        <v>0.75</v>
      </c>
      <c r="L316" s="47" t="s">
        <v>4</v>
      </c>
      <c r="M316" s="47"/>
      <c r="N316" s="47"/>
      <c r="O316" s="47" t="str">
        <f t="shared" si="152"/>
        <v>✅ CUBIERTO</v>
      </c>
    </row>
    <row r="317" spans="1:15" x14ac:dyDescent="0.3">
      <c r="A317" s="60">
        <v>45988</v>
      </c>
      <c r="B317" s="45" t="str">
        <f t="shared" si="158"/>
        <v>jue</v>
      </c>
      <c r="C317" s="46">
        <v>0.79166666666666696</v>
      </c>
      <c r="D317" s="47" t="s">
        <v>22</v>
      </c>
      <c r="E317" s="47"/>
      <c r="F317" s="47"/>
      <c r="G317" s="47" t="str">
        <f t="shared" si="131"/>
        <v>✅ CUBIERTO</v>
      </c>
      <c r="I317" s="60">
        <v>46018</v>
      </c>
      <c r="J317" s="45" t="str">
        <f t="shared" si="159"/>
        <v>sáb</v>
      </c>
      <c r="K317" s="46">
        <v>0.79166666666666696</v>
      </c>
      <c r="L317" s="47" t="s">
        <v>4</v>
      </c>
      <c r="M317" s="47"/>
      <c r="N317" s="47"/>
      <c r="O317" s="47" t="str">
        <f t="shared" si="152"/>
        <v>✅ CUBIERTO</v>
      </c>
    </row>
    <row r="318" spans="1:15" x14ac:dyDescent="0.3">
      <c r="A318" s="60">
        <v>45988</v>
      </c>
      <c r="B318" s="45" t="str">
        <f t="shared" ref="B318" si="160">TEXT(A318,"ddd")</f>
        <v>jue</v>
      </c>
      <c r="C318" s="46">
        <v>0.83333333333333337</v>
      </c>
      <c r="D318" s="47" t="s">
        <v>22</v>
      </c>
      <c r="E318" s="47"/>
      <c r="F318" s="47"/>
      <c r="G318" s="47" t="str">
        <f t="shared" ref="G318:G319" si="161">IF(COUNTIF(D318:F318,"?*")&gt;=$D$4, "✅ CUBIERTO",
 IF(COUNTIF(D318:F318,"?*")&gt;0, "⚠ FALTANTE",
 "❌ SIN COMPLETAR"))</f>
        <v>✅ CUBIERTO</v>
      </c>
      <c r="I318" s="60">
        <v>46018</v>
      </c>
      <c r="J318" s="45" t="str">
        <f t="shared" ref="J318" si="162">TEXT(I318,"ddd")</f>
        <v>sáb</v>
      </c>
      <c r="K318" s="46">
        <v>0.83333333333333337</v>
      </c>
      <c r="L318" s="47" t="s">
        <v>4</v>
      </c>
      <c r="M318" s="47"/>
      <c r="N318" s="47"/>
      <c r="O318" s="47" t="str">
        <f>IF(COUNTIF(L318:N318,"?*")&gt;=$L$4, "✅ CUBIERTO",
 IF(COUNTIF(L318:N318,"?*")&gt;0, "⚠ FALTANTE",
 "❌ SIN COMPLETAR"))</f>
        <v>✅ CUBIERTO</v>
      </c>
    </row>
    <row r="319" spans="1:15" x14ac:dyDescent="0.3">
      <c r="A319" s="60">
        <v>45989</v>
      </c>
      <c r="B319" s="45" t="str">
        <f>TEXT(A319,"ddd")</f>
        <v>vie</v>
      </c>
      <c r="C319" s="46">
        <v>0.41666666666666669</v>
      </c>
      <c r="D319" s="47" t="s">
        <v>22</v>
      </c>
      <c r="E319" s="47"/>
      <c r="F319" s="47"/>
      <c r="G319" s="47" t="str">
        <f t="shared" si="161"/>
        <v>✅ CUBIERTO</v>
      </c>
      <c r="I319" s="60">
        <v>46019</v>
      </c>
      <c r="J319" s="45" t="str">
        <f>TEXT(I319,"ddd")</f>
        <v>dom</v>
      </c>
      <c r="K319" s="46">
        <v>0.41666666666666669</v>
      </c>
      <c r="L319" s="47" t="s">
        <v>4</v>
      </c>
      <c r="M319" s="47"/>
      <c r="N319" s="47"/>
      <c r="O319" s="47" t="str">
        <f>IF(COUNTIF(L319:N319,"?*")&gt;=$L$4, "✅ CUBIERTO",
 IF(COUNTIF(L319:N319,"?*")&gt;0, "⚠ FALTANTE",
 "❌ SIN COMPLETAR"))</f>
        <v>✅ CUBIERTO</v>
      </c>
    </row>
    <row r="320" spans="1:15" x14ac:dyDescent="0.3">
      <c r="A320" s="60">
        <v>45989</v>
      </c>
      <c r="B320" s="45" t="str">
        <f>TEXT(A320,"ddd")</f>
        <v>vie</v>
      </c>
      <c r="C320" s="46">
        <v>0.45833333333333331</v>
      </c>
      <c r="D320" s="47" t="s">
        <v>22</v>
      </c>
      <c r="E320" s="47"/>
      <c r="F320" s="47"/>
      <c r="G320" s="47" t="str">
        <f t="shared" si="131"/>
        <v>✅ CUBIERTO</v>
      </c>
      <c r="I320" s="60">
        <v>46019</v>
      </c>
      <c r="J320" s="45" t="str">
        <f>TEXT(I320,"ddd")</f>
        <v>dom</v>
      </c>
      <c r="K320" s="46">
        <v>0.45833333333333331</v>
      </c>
      <c r="L320" s="47" t="s">
        <v>4</v>
      </c>
      <c r="M320" s="47"/>
      <c r="N320" s="47"/>
      <c r="O320" s="47" t="str">
        <f t="shared" si="152"/>
        <v>✅ CUBIERTO</v>
      </c>
    </row>
    <row r="321" spans="1:15" x14ac:dyDescent="0.3">
      <c r="A321" s="60">
        <v>45989</v>
      </c>
      <c r="B321" s="45" t="str">
        <f t="shared" ref="B321:B328" si="163">TEXT(A321,"ddd")</f>
        <v>vie</v>
      </c>
      <c r="C321" s="46">
        <v>0.5</v>
      </c>
      <c r="D321" s="47" t="s">
        <v>22</v>
      </c>
      <c r="E321" s="47"/>
      <c r="F321" s="47"/>
      <c r="G321" s="47" t="str">
        <f t="shared" si="131"/>
        <v>✅ CUBIERTO</v>
      </c>
      <c r="I321" s="60">
        <v>46019</v>
      </c>
      <c r="J321" s="45" t="str">
        <f t="shared" ref="J321:J328" si="164">TEXT(I321,"ddd")</f>
        <v>dom</v>
      </c>
      <c r="K321" s="46">
        <v>0.5</v>
      </c>
      <c r="L321" s="47" t="s">
        <v>4</v>
      </c>
      <c r="M321" s="47"/>
      <c r="N321" s="47"/>
      <c r="O321" s="47" t="str">
        <f t="shared" si="152"/>
        <v>✅ CUBIERTO</v>
      </c>
    </row>
    <row r="322" spans="1:15" x14ac:dyDescent="0.3">
      <c r="A322" s="60">
        <v>45989</v>
      </c>
      <c r="B322" s="45" t="str">
        <f t="shared" si="163"/>
        <v>vie</v>
      </c>
      <c r="C322" s="46">
        <v>0.54166666666666696</v>
      </c>
      <c r="D322" s="47" t="s">
        <v>22</v>
      </c>
      <c r="E322" s="47"/>
      <c r="F322" s="47"/>
      <c r="G322" s="47" t="str">
        <f t="shared" si="131"/>
        <v>✅ CUBIERTO</v>
      </c>
      <c r="I322" s="60">
        <v>46019</v>
      </c>
      <c r="J322" s="45" t="str">
        <f t="shared" si="164"/>
        <v>dom</v>
      </c>
      <c r="K322" s="46">
        <v>0.54166666666666696</v>
      </c>
      <c r="L322" s="47" t="s">
        <v>4</v>
      </c>
      <c r="M322" s="47"/>
      <c r="N322" s="47"/>
      <c r="O322" s="47" t="str">
        <f t="shared" si="152"/>
        <v>✅ CUBIERTO</v>
      </c>
    </row>
    <row r="323" spans="1:15" x14ac:dyDescent="0.3">
      <c r="A323" s="60">
        <v>45989</v>
      </c>
      <c r="B323" s="45" t="str">
        <f t="shared" si="163"/>
        <v>vie</v>
      </c>
      <c r="C323" s="46">
        <v>0.58333333333333304</v>
      </c>
      <c r="D323" s="47" t="s">
        <v>22</v>
      </c>
      <c r="E323" s="47"/>
      <c r="F323" s="47"/>
      <c r="G323" s="47" t="str">
        <f t="shared" si="131"/>
        <v>✅ CUBIERTO</v>
      </c>
      <c r="I323" s="60">
        <v>46019</v>
      </c>
      <c r="J323" s="45" t="str">
        <f t="shared" si="164"/>
        <v>dom</v>
      </c>
      <c r="K323" s="46">
        <v>0.58333333333333304</v>
      </c>
      <c r="L323" s="47" t="s">
        <v>4</v>
      </c>
      <c r="M323" s="47"/>
      <c r="N323" s="47"/>
      <c r="O323" s="47" t="str">
        <f t="shared" si="152"/>
        <v>✅ CUBIERTO</v>
      </c>
    </row>
    <row r="324" spans="1:15" x14ac:dyDescent="0.3">
      <c r="A324" s="60">
        <v>45989</v>
      </c>
      <c r="B324" s="45" t="str">
        <f t="shared" si="163"/>
        <v>vie</v>
      </c>
      <c r="C324" s="46">
        <v>0.625</v>
      </c>
      <c r="D324" s="47" t="s">
        <v>22</v>
      </c>
      <c r="E324" s="47"/>
      <c r="F324" s="47"/>
      <c r="G324" s="47" t="str">
        <f t="shared" si="131"/>
        <v>✅ CUBIERTO</v>
      </c>
      <c r="I324" s="60">
        <v>46019</v>
      </c>
      <c r="J324" s="45" t="str">
        <f t="shared" si="164"/>
        <v>dom</v>
      </c>
      <c r="K324" s="46">
        <v>0.625</v>
      </c>
      <c r="L324" s="47" t="s">
        <v>4</v>
      </c>
      <c r="M324" s="47"/>
      <c r="N324" s="47"/>
      <c r="O324" s="47" t="str">
        <f t="shared" si="152"/>
        <v>✅ CUBIERTO</v>
      </c>
    </row>
    <row r="325" spans="1:15" x14ac:dyDescent="0.3">
      <c r="A325" s="60">
        <v>45989</v>
      </c>
      <c r="B325" s="45" t="str">
        <f t="shared" si="163"/>
        <v>vie</v>
      </c>
      <c r="C325" s="46">
        <v>0.66666666666666696</v>
      </c>
      <c r="D325" s="47" t="s">
        <v>22</v>
      </c>
      <c r="E325" s="47"/>
      <c r="F325" s="47"/>
      <c r="G325" s="47" t="str">
        <f t="shared" si="131"/>
        <v>✅ CUBIERTO</v>
      </c>
      <c r="I325" s="60">
        <v>46019</v>
      </c>
      <c r="J325" s="45" t="str">
        <f t="shared" si="164"/>
        <v>dom</v>
      </c>
      <c r="K325" s="46">
        <v>0.66666666666666696</v>
      </c>
      <c r="L325" s="47" t="s">
        <v>4</v>
      </c>
      <c r="M325" s="47"/>
      <c r="N325" s="47"/>
      <c r="O325" s="47" t="str">
        <f t="shared" si="152"/>
        <v>✅ CUBIERTO</v>
      </c>
    </row>
    <row r="326" spans="1:15" x14ac:dyDescent="0.3">
      <c r="A326" s="60">
        <v>45989</v>
      </c>
      <c r="B326" s="45" t="str">
        <f t="shared" si="163"/>
        <v>vie</v>
      </c>
      <c r="C326" s="46">
        <v>0.70833333333333304</v>
      </c>
      <c r="D326" s="47" t="s">
        <v>22</v>
      </c>
      <c r="E326" s="47"/>
      <c r="F326" s="47"/>
      <c r="G326" s="47" t="str">
        <f t="shared" si="131"/>
        <v>✅ CUBIERTO</v>
      </c>
      <c r="I326" s="60">
        <v>46019</v>
      </c>
      <c r="J326" s="45" t="str">
        <f t="shared" si="164"/>
        <v>dom</v>
      </c>
      <c r="K326" s="46">
        <v>0.70833333333333304</v>
      </c>
      <c r="L326" s="47" t="s">
        <v>4</v>
      </c>
      <c r="M326" s="47"/>
      <c r="N326" s="47"/>
      <c r="O326" s="47" t="str">
        <f t="shared" si="152"/>
        <v>✅ CUBIERTO</v>
      </c>
    </row>
    <row r="327" spans="1:15" x14ac:dyDescent="0.3">
      <c r="A327" s="60">
        <v>45989</v>
      </c>
      <c r="B327" s="45" t="str">
        <f t="shared" si="163"/>
        <v>vie</v>
      </c>
      <c r="C327" s="46">
        <v>0.75</v>
      </c>
      <c r="D327" s="47" t="s">
        <v>22</v>
      </c>
      <c r="E327" s="47"/>
      <c r="F327" s="47"/>
      <c r="G327" s="47" t="str">
        <f t="shared" si="131"/>
        <v>✅ CUBIERTO</v>
      </c>
      <c r="I327" s="60">
        <v>46019</v>
      </c>
      <c r="J327" s="45" t="str">
        <f t="shared" si="164"/>
        <v>dom</v>
      </c>
      <c r="K327" s="46">
        <v>0.75</v>
      </c>
      <c r="L327" s="47" t="s">
        <v>4</v>
      </c>
      <c r="M327" s="47"/>
      <c r="N327" s="47"/>
      <c r="O327" s="47" t="str">
        <f t="shared" si="152"/>
        <v>✅ CUBIERTO</v>
      </c>
    </row>
    <row r="328" spans="1:15" x14ac:dyDescent="0.3">
      <c r="A328" s="60">
        <v>45989</v>
      </c>
      <c r="B328" s="45" t="str">
        <f t="shared" si="163"/>
        <v>vie</v>
      </c>
      <c r="C328" s="46">
        <v>0.79166666666666696</v>
      </c>
      <c r="D328" s="47" t="s">
        <v>22</v>
      </c>
      <c r="E328" s="47"/>
      <c r="F328" s="47"/>
      <c r="G328" s="47" t="str">
        <f t="shared" si="131"/>
        <v>✅ CUBIERTO</v>
      </c>
      <c r="I328" s="60">
        <v>46019</v>
      </c>
      <c r="J328" s="45" t="str">
        <f t="shared" si="164"/>
        <v>dom</v>
      </c>
      <c r="K328" s="46">
        <v>0.79166666666666696</v>
      </c>
      <c r="L328" s="47" t="s">
        <v>4</v>
      </c>
      <c r="M328" s="47"/>
      <c r="N328" s="47"/>
      <c r="O328" s="47" t="str">
        <f t="shared" si="152"/>
        <v>✅ CUBIERTO</v>
      </c>
    </row>
    <row r="329" spans="1:15" x14ac:dyDescent="0.3">
      <c r="A329" s="60">
        <v>45989</v>
      </c>
      <c r="B329" s="45" t="str">
        <f t="shared" ref="B329" si="165">TEXT(A329,"ddd")</f>
        <v>vie</v>
      </c>
      <c r="C329" s="46">
        <v>0.83333333333333337</v>
      </c>
      <c r="D329" s="47" t="s">
        <v>22</v>
      </c>
      <c r="E329" s="47"/>
      <c r="F329" s="47"/>
      <c r="G329" s="47" t="str">
        <f t="shared" ref="G329:G330" si="166">IF(COUNTIF(D329:F329,"?*")&gt;=$D$4, "✅ CUBIERTO",
 IF(COUNTIF(D329:F329,"?*")&gt;0, "⚠ FALTANTE",
 "❌ SIN COMPLETAR"))</f>
        <v>✅ CUBIERTO</v>
      </c>
      <c r="I329" s="60">
        <v>46019</v>
      </c>
      <c r="J329" s="45" t="str">
        <f t="shared" ref="J329" si="167">TEXT(I329,"ddd")</f>
        <v>dom</v>
      </c>
      <c r="K329" s="46">
        <v>0.83333333333333337</v>
      </c>
      <c r="L329" s="47" t="s">
        <v>4</v>
      </c>
      <c r="M329" s="47"/>
      <c r="N329" s="47"/>
      <c r="O329" s="47" t="str">
        <f>IF(COUNTIF(L329:N329,"?*")&gt;=$L$4, "✅ CUBIERTO",
 IF(COUNTIF(L329:N329,"?*")&gt;0, "⚠ FALTANTE",
 "❌ SIN COMPLETAR"))</f>
        <v>✅ CUBIERTO</v>
      </c>
    </row>
    <row r="330" spans="1:15" x14ac:dyDescent="0.3">
      <c r="A330" s="60">
        <v>45990</v>
      </c>
      <c r="B330" s="45" t="str">
        <f>TEXT(A330,"ddd")</f>
        <v>sáb</v>
      </c>
      <c r="C330" s="46">
        <v>0.41666666666666669</v>
      </c>
      <c r="D330" s="47" t="s">
        <v>22</v>
      </c>
      <c r="E330" s="47"/>
      <c r="F330" s="47"/>
      <c r="G330" s="47" t="str">
        <f t="shared" si="166"/>
        <v>✅ CUBIERTO</v>
      </c>
      <c r="I330" s="60">
        <v>46020</v>
      </c>
      <c r="J330" s="45" t="str">
        <f>TEXT(I330,"ddd")</f>
        <v>lun</v>
      </c>
      <c r="K330" s="46">
        <v>0.41666666666666669</v>
      </c>
      <c r="L330" s="47" t="s">
        <v>4</v>
      </c>
      <c r="M330" s="47"/>
      <c r="N330" s="47"/>
      <c r="O330" s="47" t="str">
        <f>IF(COUNTIF(L330:N330,"?*")&gt;=$L$4, "✅ CUBIERTO",
 IF(COUNTIF(L330:N330,"?*")&gt;0, "⚠ FALTANTE",
 "❌ SIN COMPLETAR"))</f>
        <v>✅ CUBIERTO</v>
      </c>
    </row>
    <row r="331" spans="1:15" x14ac:dyDescent="0.3">
      <c r="A331" s="60">
        <v>45990</v>
      </c>
      <c r="B331" s="45" t="str">
        <f>TEXT(A331,"ddd")</f>
        <v>sáb</v>
      </c>
      <c r="C331" s="46">
        <v>0.45833333333333331</v>
      </c>
      <c r="D331" s="47" t="s">
        <v>22</v>
      </c>
      <c r="E331" s="47"/>
      <c r="F331" s="47"/>
      <c r="G331" s="47" t="str">
        <f t="shared" si="131"/>
        <v>✅ CUBIERTO</v>
      </c>
      <c r="I331" s="60">
        <v>46020</v>
      </c>
      <c r="J331" s="45" t="str">
        <f>TEXT(I331,"ddd")</f>
        <v>lun</v>
      </c>
      <c r="K331" s="46">
        <v>0.45833333333333331</v>
      </c>
      <c r="L331" s="47" t="s">
        <v>4</v>
      </c>
      <c r="M331" s="47"/>
      <c r="N331" s="47"/>
      <c r="O331" s="47" t="str">
        <f t="shared" si="152"/>
        <v>✅ CUBIERTO</v>
      </c>
    </row>
    <row r="332" spans="1:15" x14ac:dyDescent="0.3">
      <c r="A332" s="60">
        <v>45990</v>
      </c>
      <c r="B332" s="45" t="str">
        <f t="shared" ref="B332:B339" si="168">TEXT(A332,"ddd")</f>
        <v>sáb</v>
      </c>
      <c r="C332" s="46">
        <v>0.5</v>
      </c>
      <c r="D332" s="47" t="s">
        <v>22</v>
      </c>
      <c r="E332" s="47"/>
      <c r="F332" s="47"/>
      <c r="G332" s="47" t="str">
        <f t="shared" si="131"/>
        <v>✅ CUBIERTO</v>
      </c>
      <c r="I332" s="60">
        <v>46020</v>
      </c>
      <c r="J332" s="45" t="str">
        <f t="shared" ref="J332:J339" si="169">TEXT(I332,"ddd")</f>
        <v>lun</v>
      </c>
      <c r="K332" s="46">
        <v>0.5</v>
      </c>
      <c r="L332" s="47" t="s">
        <v>4</v>
      </c>
      <c r="M332" s="47"/>
      <c r="N332" s="47"/>
      <c r="O332" s="47" t="str">
        <f t="shared" si="152"/>
        <v>✅ CUBIERTO</v>
      </c>
    </row>
    <row r="333" spans="1:15" x14ac:dyDescent="0.3">
      <c r="A333" s="60">
        <v>45990</v>
      </c>
      <c r="B333" s="45" t="str">
        <f t="shared" si="168"/>
        <v>sáb</v>
      </c>
      <c r="C333" s="46">
        <v>0.54166666666666696</v>
      </c>
      <c r="D333" s="47" t="s">
        <v>22</v>
      </c>
      <c r="E333" s="47"/>
      <c r="F333" s="47"/>
      <c r="G333" s="47" t="str">
        <f t="shared" si="131"/>
        <v>✅ CUBIERTO</v>
      </c>
      <c r="I333" s="60">
        <v>46020</v>
      </c>
      <c r="J333" s="45" t="str">
        <f t="shared" si="169"/>
        <v>lun</v>
      </c>
      <c r="K333" s="46">
        <v>0.54166666666666696</v>
      </c>
      <c r="L333" s="47" t="s">
        <v>4</v>
      </c>
      <c r="M333" s="47"/>
      <c r="N333" s="47"/>
      <c r="O333" s="47" t="str">
        <f t="shared" si="152"/>
        <v>✅ CUBIERTO</v>
      </c>
    </row>
    <row r="334" spans="1:15" x14ac:dyDescent="0.3">
      <c r="A334" s="60">
        <v>45990</v>
      </c>
      <c r="B334" s="45" t="str">
        <f t="shared" si="168"/>
        <v>sáb</v>
      </c>
      <c r="C334" s="46">
        <v>0.58333333333333304</v>
      </c>
      <c r="D334" s="47" t="s">
        <v>22</v>
      </c>
      <c r="E334" s="47"/>
      <c r="F334" s="47"/>
      <c r="G334" s="47" t="str">
        <f t="shared" si="131"/>
        <v>✅ CUBIERTO</v>
      </c>
      <c r="I334" s="60">
        <v>46020</v>
      </c>
      <c r="J334" s="45" t="str">
        <f t="shared" si="169"/>
        <v>lun</v>
      </c>
      <c r="K334" s="46">
        <v>0.58333333333333304</v>
      </c>
      <c r="L334" s="47" t="s">
        <v>4</v>
      </c>
      <c r="M334" s="47"/>
      <c r="N334" s="47"/>
      <c r="O334" s="47" t="str">
        <f t="shared" si="152"/>
        <v>✅ CUBIERTO</v>
      </c>
    </row>
    <row r="335" spans="1:15" x14ac:dyDescent="0.3">
      <c r="A335" s="60">
        <v>45990</v>
      </c>
      <c r="B335" s="45" t="str">
        <f t="shared" si="168"/>
        <v>sáb</v>
      </c>
      <c r="C335" s="46">
        <v>0.625</v>
      </c>
      <c r="D335" s="47" t="s">
        <v>22</v>
      </c>
      <c r="E335" s="47"/>
      <c r="F335" s="47"/>
      <c r="G335" s="47" t="str">
        <f t="shared" ref="G335:G350" si="170">IF(COUNTIF(D335:F335,"?*")&gt;=$D$4, "✅ CUBIERTO",
 IF(COUNTIF(D335:F335,"?*")&gt;0, "⚠ FALTANTE",
 "❌ SIN COMPLETAR"))</f>
        <v>✅ CUBIERTO</v>
      </c>
      <c r="I335" s="60">
        <v>46020</v>
      </c>
      <c r="J335" s="45" t="str">
        <f t="shared" si="169"/>
        <v>lun</v>
      </c>
      <c r="K335" s="46">
        <v>0.625</v>
      </c>
      <c r="L335" s="47" t="s">
        <v>4</v>
      </c>
      <c r="M335" s="47"/>
      <c r="N335" s="47"/>
      <c r="O335" s="47" t="str">
        <f t="shared" si="152"/>
        <v>✅ CUBIERTO</v>
      </c>
    </row>
    <row r="336" spans="1:15" x14ac:dyDescent="0.3">
      <c r="A336" s="60">
        <v>45990</v>
      </c>
      <c r="B336" s="45" t="str">
        <f t="shared" si="168"/>
        <v>sáb</v>
      </c>
      <c r="C336" s="46">
        <v>0.66666666666666696</v>
      </c>
      <c r="D336" s="47" t="s">
        <v>22</v>
      </c>
      <c r="E336" s="47"/>
      <c r="F336" s="47"/>
      <c r="G336" s="47" t="str">
        <f t="shared" si="170"/>
        <v>✅ CUBIERTO</v>
      </c>
      <c r="I336" s="60">
        <v>46020</v>
      </c>
      <c r="J336" s="45" t="str">
        <f t="shared" si="169"/>
        <v>lun</v>
      </c>
      <c r="K336" s="46">
        <v>0.66666666666666696</v>
      </c>
      <c r="L336" s="47" t="s">
        <v>4</v>
      </c>
      <c r="M336" s="47"/>
      <c r="N336" s="47"/>
      <c r="O336" s="47" t="str">
        <f t="shared" ref="O336:O371" si="171">IF(COUNTIF(L336:N336,"?*")&gt;=$L$4, "✅ CUBIERTO",
 IF(COUNTIF(L336:N336,"?*")&gt;0, "⚠ FALTANTE",
 "❌ SIN COMPLETAR"))</f>
        <v>✅ CUBIERTO</v>
      </c>
    </row>
    <row r="337" spans="1:15" x14ac:dyDescent="0.3">
      <c r="A337" s="60">
        <v>45990</v>
      </c>
      <c r="B337" s="45" t="str">
        <f t="shared" si="168"/>
        <v>sáb</v>
      </c>
      <c r="C337" s="46">
        <v>0.70833333333333304</v>
      </c>
      <c r="D337" s="47" t="s">
        <v>22</v>
      </c>
      <c r="E337" s="47"/>
      <c r="F337" s="47"/>
      <c r="G337" s="47" t="str">
        <f t="shared" si="170"/>
        <v>✅ CUBIERTO</v>
      </c>
      <c r="I337" s="60">
        <v>46020</v>
      </c>
      <c r="J337" s="45" t="str">
        <f t="shared" si="169"/>
        <v>lun</v>
      </c>
      <c r="K337" s="46">
        <v>0.70833333333333304</v>
      </c>
      <c r="L337" s="47" t="s">
        <v>4</v>
      </c>
      <c r="M337" s="47"/>
      <c r="N337" s="47"/>
      <c r="O337" s="47" t="str">
        <f t="shared" si="171"/>
        <v>✅ CUBIERTO</v>
      </c>
    </row>
    <row r="338" spans="1:15" x14ac:dyDescent="0.3">
      <c r="A338" s="60">
        <v>45990</v>
      </c>
      <c r="B338" s="45" t="str">
        <f t="shared" si="168"/>
        <v>sáb</v>
      </c>
      <c r="C338" s="46">
        <v>0.75</v>
      </c>
      <c r="D338" s="47" t="s">
        <v>22</v>
      </c>
      <c r="E338" s="47"/>
      <c r="F338" s="47"/>
      <c r="G338" s="47" t="str">
        <f t="shared" si="170"/>
        <v>✅ CUBIERTO</v>
      </c>
      <c r="I338" s="60">
        <v>46020</v>
      </c>
      <c r="J338" s="45" t="str">
        <f t="shared" si="169"/>
        <v>lun</v>
      </c>
      <c r="K338" s="46">
        <v>0.75</v>
      </c>
      <c r="L338" s="47" t="s">
        <v>4</v>
      </c>
      <c r="M338" s="47"/>
      <c r="N338" s="47"/>
      <c r="O338" s="47" t="str">
        <f t="shared" si="171"/>
        <v>✅ CUBIERTO</v>
      </c>
    </row>
    <row r="339" spans="1:15" x14ac:dyDescent="0.3">
      <c r="A339" s="60">
        <v>45990</v>
      </c>
      <c r="B339" s="45" t="str">
        <f t="shared" si="168"/>
        <v>sáb</v>
      </c>
      <c r="C339" s="46">
        <v>0.79166666666666696</v>
      </c>
      <c r="D339" s="47" t="s">
        <v>22</v>
      </c>
      <c r="E339" s="47"/>
      <c r="F339" s="47"/>
      <c r="G339" s="47" t="str">
        <f t="shared" si="170"/>
        <v>✅ CUBIERTO</v>
      </c>
      <c r="I339" s="60">
        <v>46020</v>
      </c>
      <c r="J339" s="45" t="str">
        <f t="shared" si="169"/>
        <v>lun</v>
      </c>
      <c r="K339" s="46">
        <v>0.79166666666666696</v>
      </c>
      <c r="L339" s="47" t="s">
        <v>4</v>
      </c>
      <c r="M339" s="47"/>
      <c r="N339" s="47"/>
      <c r="O339" s="47" t="str">
        <f t="shared" si="171"/>
        <v>✅ CUBIERTO</v>
      </c>
    </row>
    <row r="340" spans="1:15" x14ac:dyDescent="0.3">
      <c r="A340" s="60">
        <v>45990</v>
      </c>
      <c r="B340" s="45" t="str">
        <f t="shared" ref="B340" si="172">TEXT(A340,"ddd")</f>
        <v>sáb</v>
      </c>
      <c r="C340" s="46">
        <v>0.83333333333333337</v>
      </c>
      <c r="D340" s="47" t="s">
        <v>22</v>
      </c>
      <c r="E340" s="47"/>
      <c r="F340" s="47"/>
      <c r="G340" s="47" t="str">
        <f t="shared" ref="G340:G341" si="173">IF(COUNTIF(D340:F340,"?*")&gt;=$D$4, "✅ CUBIERTO",
 IF(COUNTIF(D340:F340,"?*")&gt;0, "⚠ FALTANTE",
 "❌ SIN COMPLETAR"))</f>
        <v>✅ CUBIERTO</v>
      </c>
      <c r="I340" s="60">
        <v>46020</v>
      </c>
      <c r="J340" s="45" t="str">
        <f t="shared" ref="J340" si="174">TEXT(I340,"ddd")</f>
        <v>lun</v>
      </c>
      <c r="K340" s="46">
        <v>0.83333333333333337</v>
      </c>
      <c r="L340" s="47" t="s">
        <v>4</v>
      </c>
      <c r="M340" s="47"/>
      <c r="N340" s="47"/>
      <c r="O340" s="47" t="str">
        <f>IF(COUNTIF(L340:N340,"?*")&gt;=$L$4, "✅ CUBIERTO",
 IF(COUNTIF(L340:N340,"?*")&gt;0, "⚠ FALTANTE",
 "❌ SIN COMPLETAR"))</f>
        <v>✅ CUBIERTO</v>
      </c>
    </row>
    <row r="341" spans="1:15" x14ac:dyDescent="0.3">
      <c r="A341" s="60">
        <v>45991</v>
      </c>
      <c r="B341" s="45" t="str">
        <f>TEXT(A341,"ddd")</f>
        <v>dom</v>
      </c>
      <c r="C341" s="46">
        <v>0.41666666666666669</v>
      </c>
      <c r="D341" s="47" t="s">
        <v>22</v>
      </c>
      <c r="E341" s="47"/>
      <c r="F341" s="47"/>
      <c r="G341" s="47" t="str">
        <f t="shared" si="173"/>
        <v>✅ CUBIERTO</v>
      </c>
      <c r="I341" s="60">
        <v>46021</v>
      </c>
      <c r="J341" s="45" t="str">
        <f>TEXT(I341,"ddd")</f>
        <v>mar</v>
      </c>
      <c r="K341" s="46">
        <v>0.41666666666666669</v>
      </c>
      <c r="L341" s="47" t="s">
        <v>4</v>
      </c>
      <c r="M341" s="47"/>
      <c r="N341" s="47"/>
      <c r="O341" s="47" t="str">
        <f>IF(COUNTIF(L341:N341,"?*")&gt;=$L$4, "✅ CUBIERTO",
 IF(COUNTIF(L341:N341,"?*")&gt;0, "⚠ FALTANTE",
 "❌ SIN COMPLETAR"))</f>
        <v>✅ CUBIERTO</v>
      </c>
    </row>
    <row r="342" spans="1:15" x14ac:dyDescent="0.3">
      <c r="A342" s="60">
        <v>45991</v>
      </c>
      <c r="B342" s="45" t="str">
        <f>TEXT(A342,"ddd")</f>
        <v>dom</v>
      </c>
      <c r="C342" s="46">
        <v>0.45833333333333331</v>
      </c>
      <c r="D342" s="47" t="s">
        <v>22</v>
      </c>
      <c r="E342" s="47"/>
      <c r="F342" s="47"/>
      <c r="G342" s="47" t="str">
        <f t="shared" si="170"/>
        <v>✅ CUBIERTO</v>
      </c>
      <c r="I342" s="60">
        <v>46021</v>
      </c>
      <c r="J342" s="45" t="str">
        <f>TEXT(I342,"ddd")</f>
        <v>mar</v>
      </c>
      <c r="K342" s="46">
        <v>0.45833333333333331</v>
      </c>
      <c r="L342" s="47" t="s">
        <v>4</v>
      </c>
      <c r="M342" s="47"/>
      <c r="N342" s="47"/>
      <c r="O342" s="47" t="str">
        <f t="shared" si="171"/>
        <v>✅ CUBIERTO</v>
      </c>
    </row>
    <row r="343" spans="1:15" x14ac:dyDescent="0.3">
      <c r="A343" s="60">
        <v>45991</v>
      </c>
      <c r="B343" s="45" t="str">
        <f t="shared" ref="B343:B350" si="175">TEXT(A343,"ddd")</f>
        <v>dom</v>
      </c>
      <c r="C343" s="46">
        <v>0.5</v>
      </c>
      <c r="D343" s="47" t="s">
        <v>22</v>
      </c>
      <c r="E343" s="47"/>
      <c r="F343" s="47"/>
      <c r="G343" s="47" t="str">
        <f t="shared" si="170"/>
        <v>✅ CUBIERTO</v>
      </c>
      <c r="I343" s="60">
        <v>46021</v>
      </c>
      <c r="J343" s="45" t="str">
        <f t="shared" ref="J343:J350" si="176">TEXT(I343,"ddd")</f>
        <v>mar</v>
      </c>
      <c r="K343" s="46">
        <v>0.5</v>
      </c>
      <c r="L343" s="47" t="s">
        <v>4</v>
      </c>
      <c r="M343" s="47"/>
      <c r="N343" s="47"/>
      <c r="O343" s="47" t="str">
        <f t="shared" si="171"/>
        <v>✅ CUBIERTO</v>
      </c>
    </row>
    <row r="344" spans="1:15" x14ac:dyDescent="0.3">
      <c r="A344" s="60">
        <v>45991</v>
      </c>
      <c r="B344" s="45" t="str">
        <f t="shared" si="175"/>
        <v>dom</v>
      </c>
      <c r="C344" s="46">
        <v>0.54166666666666696</v>
      </c>
      <c r="D344" s="47" t="s">
        <v>22</v>
      </c>
      <c r="E344" s="47"/>
      <c r="F344" s="47"/>
      <c r="G344" s="47" t="str">
        <f t="shared" si="170"/>
        <v>✅ CUBIERTO</v>
      </c>
      <c r="I344" s="60">
        <v>46021</v>
      </c>
      <c r="J344" s="45" t="str">
        <f t="shared" si="176"/>
        <v>mar</v>
      </c>
      <c r="K344" s="46">
        <v>0.54166666666666696</v>
      </c>
      <c r="L344" s="47" t="s">
        <v>4</v>
      </c>
      <c r="M344" s="47"/>
      <c r="N344" s="47"/>
      <c r="O344" s="47" t="str">
        <f t="shared" si="171"/>
        <v>✅ CUBIERTO</v>
      </c>
    </row>
    <row r="345" spans="1:15" x14ac:dyDescent="0.3">
      <c r="A345" s="60">
        <v>45991</v>
      </c>
      <c r="B345" s="45" t="str">
        <f t="shared" si="175"/>
        <v>dom</v>
      </c>
      <c r="C345" s="46">
        <v>0.58333333333333304</v>
      </c>
      <c r="D345" s="47" t="s">
        <v>22</v>
      </c>
      <c r="E345" s="47"/>
      <c r="F345" s="47"/>
      <c r="G345" s="47" t="str">
        <f t="shared" si="170"/>
        <v>✅ CUBIERTO</v>
      </c>
      <c r="I345" s="60">
        <v>46021</v>
      </c>
      <c r="J345" s="45" t="str">
        <f t="shared" si="176"/>
        <v>mar</v>
      </c>
      <c r="K345" s="46">
        <v>0.58333333333333304</v>
      </c>
      <c r="L345" s="47" t="s">
        <v>4</v>
      </c>
      <c r="M345" s="47"/>
      <c r="N345" s="47"/>
      <c r="O345" s="47" t="str">
        <f t="shared" si="171"/>
        <v>✅ CUBIERTO</v>
      </c>
    </row>
    <row r="346" spans="1:15" x14ac:dyDescent="0.3">
      <c r="A346" s="60">
        <v>45991</v>
      </c>
      <c r="B346" s="45" t="str">
        <f t="shared" si="175"/>
        <v>dom</v>
      </c>
      <c r="C346" s="46">
        <v>0.625</v>
      </c>
      <c r="D346" s="47" t="s">
        <v>22</v>
      </c>
      <c r="E346" s="47"/>
      <c r="F346" s="47"/>
      <c r="G346" s="47" t="str">
        <f t="shared" si="170"/>
        <v>✅ CUBIERTO</v>
      </c>
      <c r="I346" s="60">
        <v>46021</v>
      </c>
      <c r="J346" s="45" t="str">
        <f t="shared" si="176"/>
        <v>mar</v>
      </c>
      <c r="K346" s="46">
        <v>0.625</v>
      </c>
      <c r="L346" s="47" t="s">
        <v>4</v>
      </c>
      <c r="M346" s="47"/>
      <c r="N346" s="47"/>
      <c r="O346" s="47" t="str">
        <f t="shared" si="171"/>
        <v>✅ CUBIERTO</v>
      </c>
    </row>
    <row r="347" spans="1:15" x14ac:dyDescent="0.3">
      <c r="A347" s="60">
        <v>45991</v>
      </c>
      <c r="B347" s="45" t="str">
        <f t="shared" si="175"/>
        <v>dom</v>
      </c>
      <c r="C347" s="46">
        <v>0.66666666666666696</v>
      </c>
      <c r="D347" s="47" t="s">
        <v>22</v>
      </c>
      <c r="E347" s="47"/>
      <c r="F347" s="47"/>
      <c r="G347" s="47" t="str">
        <f t="shared" si="170"/>
        <v>✅ CUBIERTO</v>
      </c>
      <c r="I347" s="60">
        <v>46021</v>
      </c>
      <c r="J347" s="45" t="str">
        <f t="shared" si="176"/>
        <v>mar</v>
      </c>
      <c r="K347" s="46">
        <v>0.66666666666666696</v>
      </c>
      <c r="L347" s="47" t="s">
        <v>4</v>
      </c>
      <c r="M347" s="47"/>
      <c r="N347" s="47"/>
      <c r="O347" s="47" t="str">
        <f t="shared" si="171"/>
        <v>✅ CUBIERTO</v>
      </c>
    </row>
    <row r="348" spans="1:15" x14ac:dyDescent="0.3">
      <c r="A348" s="60">
        <v>45991</v>
      </c>
      <c r="B348" s="45" t="str">
        <f t="shared" si="175"/>
        <v>dom</v>
      </c>
      <c r="C348" s="46">
        <v>0.70833333333333304</v>
      </c>
      <c r="D348" s="47" t="s">
        <v>22</v>
      </c>
      <c r="E348" s="47"/>
      <c r="F348" s="47"/>
      <c r="G348" s="47" t="str">
        <f t="shared" si="170"/>
        <v>✅ CUBIERTO</v>
      </c>
      <c r="I348" s="60">
        <v>46021</v>
      </c>
      <c r="J348" s="45" t="str">
        <f t="shared" si="176"/>
        <v>mar</v>
      </c>
      <c r="K348" s="46">
        <v>0.70833333333333304</v>
      </c>
      <c r="L348" s="47" t="s">
        <v>4</v>
      </c>
      <c r="M348" s="47"/>
      <c r="N348" s="47"/>
      <c r="O348" s="47" t="str">
        <f t="shared" si="171"/>
        <v>✅ CUBIERTO</v>
      </c>
    </row>
    <row r="349" spans="1:15" x14ac:dyDescent="0.3">
      <c r="A349" s="60">
        <v>45991</v>
      </c>
      <c r="B349" s="45" t="str">
        <f t="shared" si="175"/>
        <v>dom</v>
      </c>
      <c r="C349" s="46">
        <v>0.75</v>
      </c>
      <c r="D349" s="47" t="s">
        <v>22</v>
      </c>
      <c r="E349" s="47"/>
      <c r="F349" s="47"/>
      <c r="G349" s="47" t="str">
        <f t="shared" si="170"/>
        <v>✅ CUBIERTO</v>
      </c>
      <c r="I349" s="60">
        <v>46021</v>
      </c>
      <c r="J349" s="45" t="str">
        <f t="shared" si="176"/>
        <v>mar</v>
      </c>
      <c r="K349" s="46">
        <v>0.75</v>
      </c>
      <c r="L349" s="47" t="s">
        <v>4</v>
      </c>
      <c r="M349" s="47"/>
      <c r="N349" s="47"/>
      <c r="O349" s="47" t="str">
        <f t="shared" si="171"/>
        <v>✅ CUBIERTO</v>
      </c>
    </row>
    <row r="350" spans="1:15" x14ac:dyDescent="0.3">
      <c r="A350" s="62">
        <v>45991</v>
      </c>
      <c r="B350" s="54" t="str">
        <f t="shared" si="175"/>
        <v>dom</v>
      </c>
      <c r="C350" s="48">
        <v>0.79166666666666696</v>
      </c>
      <c r="D350" s="49" t="s">
        <v>22</v>
      </c>
      <c r="E350" s="49"/>
      <c r="F350" s="49"/>
      <c r="G350" s="49" t="str">
        <f t="shared" si="170"/>
        <v>✅ CUBIERTO</v>
      </c>
      <c r="I350" s="60">
        <v>46021</v>
      </c>
      <c r="J350" s="45" t="str">
        <f t="shared" si="176"/>
        <v>mar</v>
      </c>
      <c r="K350" s="46">
        <v>0.79166666666666696</v>
      </c>
      <c r="L350" s="47" t="s">
        <v>4</v>
      </c>
      <c r="M350" s="47"/>
      <c r="N350" s="47"/>
      <c r="O350" s="47" t="str">
        <f t="shared" si="171"/>
        <v>✅ CUBIERTO</v>
      </c>
    </row>
    <row r="351" spans="1:15" x14ac:dyDescent="0.3">
      <c r="A351" s="60">
        <v>45991</v>
      </c>
      <c r="B351" s="45" t="str">
        <f t="shared" ref="B351" si="177">TEXT(A351,"ddd")</f>
        <v>dom</v>
      </c>
      <c r="C351" s="46">
        <v>0.83333333333333337</v>
      </c>
      <c r="D351" s="47" t="s">
        <v>22</v>
      </c>
      <c r="E351" s="47"/>
      <c r="F351" s="47"/>
      <c r="G351" s="47" t="str">
        <f t="shared" ref="G351" si="178">IF(COUNTIF(D351:F351,"?*")&gt;=$D$4, "✅ CUBIERTO",
 IF(COUNTIF(D351:F351,"?*")&gt;0, "⚠ FALTANTE",
 "❌ SIN COMPLETAR"))</f>
        <v>✅ CUBIERTO</v>
      </c>
      <c r="I351" s="60">
        <v>46021</v>
      </c>
      <c r="J351" s="45" t="str">
        <f t="shared" ref="J351" si="179">TEXT(I351,"ddd")</f>
        <v>mar</v>
      </c>
      <c r="K351" s="46">
        <v>0.83333333333333337</v>
      </c>
      <c r="L351" s="47" t="s">
        <v>4</v>
      </c>
      <c r="M351" s="47"/>
      <c r="N351" s="47"/>
      <c r="O351" s="47" t="str">
        <f t="shared" ref="O351:O352" si="180">IF(COUNTIF(L351:N351,"?*")&gt;=$L$4, "✅ CUBIERTO",
 IF(COUNTIF(L351:N351,"?*")&gt;0, "⚠ FALTANTE",
 "❌ SIN COMPLETAR"))</f>
        <v>✅ CUBIERTO</v>
      </c>
    </row>
    <row r="352" spans="1:15" x14ac:dyDescent="0.3">
      <c r="A352" s="1"/>
      <c r="C352" s="8"/>
      <c r="I352" s="60">
        <v>46022</v>
      </c>
      <c r="J352" s="45" t="str">
        <f>TEXT(I352,"ddd")</f>
        <v>mié</v>
      </c>
      <c r="K352" s="46">
        <v>0.41666666666666669</v>
      </c>
      <c r="L352" s="47" t="s">
        <v>4</v>
      </c>
      <c r="M352" s="47"/>
      <c r="N352" s="47"/>
      <c r="O352" s="47" t="str">
        <f t="shared" si="180"/>
        <v>✅ CUBIERTO</v>
      </c>
    </row>
    <row r="353" spans="1:15" x14ac:dyDescent="0.3">
      <c r="A353" s="1"/>
      <c r="C353" s="8"/>
      <c r="I353" s="60">
        <v>46022</v>
      </c>
      <c r="J353" s="45" t="str">
        <f>TEXT(I353,"ddd")</f>
        <v>mié</v>
      </c>
      <c r="K353" s="46">
        <v>0.45833333333333331</v>
      </c>
      <c r="L353" s="47" t="s">
        <v>4</v>
      </c>
      <c r="M353" s="47"/>
      <c r="N353" s="47"/>
      <c r="O353" s="47" t="str">
        <f t="shared" si="171"/>
        <v>✅ CUBIERTO</v>
      </c>
    </row>
    <row r="354" spans="1:15" x14ac:dyDescent="0.3">
      <c r="A354" s="1"/>
      <c r="C354" s="8"/>
      <c r="I354" s="60">
        <v>46022</v>
      </c>
      <c r="J354" s="45" t="str">
        <f t="shared" ref="J354:J361" si="181">TEXT(I354,"ddd")</f>
        <v>mié</v>
      </c>
      <c r="K354" s="46">
        <v>0.5</v>
      </c>
      <c r="L354" s="47" t="s">
        <v>4</v>
      </c>
      <c r="M354" s="47"/>
      <c r="N354" s="47"/>
      <c r="O354" s="47" t="str">
        <f t="shared" si="171"/>
        <v>✅ CUBIERTO</v>
      </c>
    </row>
    <row r="355" spans="1:15" x14ac:dyDescent="0.3">
      <c r="A355" s="1"/>
      <c r="C355" s="8"/>
      <c r="I355" s="60">
        <v>46022</v>
      </c>
      <c r="J355" s="45" t="str">
        <f t="shared" si="181"/>
        <v>mié</v>
      </c>
      <c r="K355" s="46">
        <v>0.54166666666666696</v>
      </c>
      <c r="L355" s="47" t="s">
        <v>4</v>
      </c>
      <c r="M355" s="47"/>
      <c r="N355" s="47"/>
      <c r="O355" s="47" t="str">
        <f t="shared" si="171"/>
        <v>✅ CUBIERTO</v>
      </c>
    </row>
    <row r="356" spans="1:15" x14ac:dyDescent="0.3">
      <c r="A356" s="1"/>
      <c r="C356" s="8"/>
      <c r="I356" s="60">
        <v>46022</v>
      </c>
      <c r="J356" s="45" t="str">
        <f t="shared" si="181"/>
        <v>mié</v>
      </c>
      <c r="K356" s="46">
        <v>0.58333333333333304</v>
      </c>
      <c r="L356" s="47" t="s">
        <v>4</v>
      </c>
      <c r="M356" s="47"/>
      <c r="N356" s="47"/>
      <c r="O356" s="47" t="str">
        <f t="shared" si="171"/>
        <v>✅ CUBIERTO</v>
      </c>
    </row>
    <row r="357" spans="1:15" x14ac:dyDescent="0.3">
      <c r="A357" s="1"/>
      <c r="C357" s="8"/>
      <c r="I357" s="60">
        <v>46022</v>
      </c>
      <c r="J357" s="45" t="str">
        <f t="shared" si="181"/>
        <v>mié</v>
      </c>
      <c r="K357" s="46">
        <v>0.625</v>
      </c>
      <c r="L357" s="47" t="s">
        <v>4</v>
      </c>
      <c r="M357" s="47"/>
      <c r="N357" s="47"/>
      <c r="O357" s="47" t="str">
        <f t="shared" si="171"/>
        <v>✅ CUBIERTO</v>
      </c>
    </row>
    <row r="358" spans="1:15" x14ac:dyDescent="0.3">
      <c r="A358" s="1"/>
      <c r="C358" s="8"/>
      <c r="I358" s="60">
        <v>46022</v>
      </c>
      <c r="J358" s="45" t="str">
        <f t="shared" si="181"/>
        <v>mié</v>
      </c>
      <c r="K358" s="46">
        <v>0.66666666666666696</v>
      </c>
      <c r="L358" s="47" t="s">
        <v>4</v>
      </c>
      <c r="M358" s="47"/>
      <c r="N358" s="47"/>
      <c r="O358" s="47" t="str">
        <f t="shared" si="171"/>
        <v>✅ CUBIERTO</v>
      </c>
    </row>
    <row r="359" spans="1:15" x14ac:dyDescent="0.3">
      <c r="A359" s="1"/>
      <c r="C359" s="8"/>
      <c r="I359" s="60">
        <v>46022</v>
      </c>
      <c r="J359" s="45" t="str">
        <f t="shared" si="181"/>
        <v>mié</v>
      </c>
      <c r="K359" s="46">
        <v>0.70833333333333304</v>
      </c>
      <c r="L359" s="47" t="s">
        <v>4</v>
      </c>
      <c r="M359" s="47"/>
      <c r="N359" s="47"/>
      <c r="O359" s="47" t="str">
        <f t="shared" si="171"/>
        <v>✅ CUBIERTO</v>
      </c>
    </row>
    <row r="360" spans="1:15" x14ac:dyDescent="0.3">
      <c r="A360" s="1"/>
      <c r="C360" s="8"/>
      <c r="I360" s="60">
        <v>46022</v>
      </c>
      <c r="J360" s="45" t="str">
        <f t="shared" si="181"/>
        <v>mié</v>
      </c>
      <c r="K360" s="46">
        <v>0.75</v>
      </c>
      <c r="L360" s="47" t="s">
        <v>4</v>
      </c>
      <c r="M360" s="47"/>
      <c r="N360" s="47"/>
      <c r="O360" s="47" t="str">
        <f t="shared" si="171"/>
        <v>✅ CUBIERTO</v>
      </c>
    </row>
    <row r="361" spans="1:15" x14ac:dyDescent="0.3">
      <c r="A361" s="1"/>
      <c r="C361" s="8"/>
      <c r="I361" s="60">
        <v>46022</v>
      </c>
      <c r="J361" s="45" t="str">
        <f t="shared" si="181"/>
        <v>mié</v>
      </c>
      <c r="K361" s="46">
        <v>0.79166666666666696</v>
      </c>
      <c r="L361" s="47" t="s">
        <v>4</v>
      </c>
      <c r="M361" s="47"/>
      <c r="N361" s="47"/>
      <c r="O361" s="47" t="str">
        <f t="shared" si="171"/>
        <v>✅ CUBIERTO</v>
      </c>
    </row>
  </sheetData>
  <mergeCells count="2">
    <mergeCell ref="A2:G2"/>
    <mergeCell ref="I2:O2"/>
  </mergeCells>
  <conditionalFormatting sqref="O11">
    <cfRule type="cellIs" dxfId="21" priority="9" operator="greaterThan">
      <formula>$O$9</formula>
    </cfRule>
  </conditionalFormatting>
  <conditionalFormatting sqref="G11">
    <cfRule type="cellIs" dxfId="20" priority="8" operator="greaterThan">
      <formula>$O$9</formula>
    </cfRule>
  </conditionalFormatting>
  <conditionalFormatting sqref="L8">
    <cfRule type="cellIs" dxfId="19" priority="5" operator="greaterThan">
      <formula>$E$8</formula>
    </cfRule>
  </conditionalFormatting>
  <conditionalFormatting sqref="L9:L17">
    <cfRule type="cellIs" dxfId="18" priority="4" operator="greaterThan">
      <formula>$E$8</formula>
    </cfRule>
  </conditionalFormatting>
  <conditionalFormatting sqref="D8:D17">
    <cfRule type="cellIs" dxfId="17" priority="3" operator="greaterThan">
      <formula>132</formula>
    </cfRule>
  </conditionalFormatting>
  <conditionalFormatting sqref="D18">
    <cfRule type="cellIs" dxfId="16" priority="2" operator="greaterThan">
      <formula>132</formula>
    </cfRule>
  </conditionalFormatting>
  <conditionalFormatting sqref="L18">
    <cfRule type="cellIs" dxfId="15" priority="1" operator="greaterThan">
      <formula>$E$8</formula>
    </cfRule>
  </conditionalFormatting>
  <dataValidations count="2">
    <dataValidation type="list" allowBlank="1" showInputMessage="1" showErrorMessage="1" sqref="L22:N361">
      <formula1>$I$8:$I$17</formula1>
    </dataValidation>
    <dataValidation type="list" allowBlank="1" showInputMessage="1" showErrorMessage="1" sqref="E22:F351 D23:D351">
      <formula1>$A$8:$A$17</formula1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'Resumen zona'!$A$6:$A$15</xm:f>
          </x14:formula1>
          <xm:sqref>D22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zona</vt:lpstr>
      <vt:lpstr>Florida</vt:lpstr>
      <vt:lpstr>Guemes</vt:lpstr>
      <vt:lpstr>Recoleta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Valeria Levite</cp:lastModifiedBy>
  <dcterms:created xsi:type="dcterms:W3CDTF">2025-10-16T14:30:29Z</dcterms:created>
  <dcterms:modified xsi:type="dcterms:W3CDTF">2025-10-21T17:15:25Z</dcterms:modified>
</cp:coreProperties>
</file>