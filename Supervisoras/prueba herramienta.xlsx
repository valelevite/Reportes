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Supervisoras\"/>
    </mc:Choice>
  </mc:AlternateContent>
  <bookViews>
    <workbookView xWindow="0" yWindow="0" windowWidth="19200" windowHeight="6930" activeTab="2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Hoja1!$A$1:$R$26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3" l="1"/>
  <c r="T6" i="3"/>
  <c r="V6" i="3" s="1"/>
  <c r="T7" i="3"/>
  <c r="T8" i="3"/>
  <c r="T9" i="3"/>
  <c r="V9" i="3"/>
  <c r="S9" i="3"/>
  <c r="S8" i="3"/>
  <c r="V7" i="3"/>
  <c r="S7" i="3"/>
  <c r="S6" i="3"/>
  <c r="S5" i="3"/>
  <c r="V8" i="3" l="1"/>
  <c r="V5" i="3"/>
  <c r="T5" i="2"/>
  <c r="V5" i="2" s="1"/>
  <c r="T6" i="2"/>
  <c r="V6" i="2" s="1"/>
  <c r="T7" i="2"/>
  <c r="V7" i="2" s="1"/>
  <c r="T8" i="2"/>
  <c r="V8" i="2" s="1"/>
  <c r="T9" i="2"/>
  <c r="V9" i="2" s="1"/>
  <c r="V10" i="3" l="1"/>
  <c r="V11" i="3" s="1"/>
  <c r="V10" i="2"/>
  <c r="V11" i="2" s="1"/>
  <c r="R7" i="1"/>
  <c r="S5" i="2"/>
  <c r="S6" i="2"/>
  <c r="S7" i="2"/>
  <c r="S8" i="2"/>
  <c r="S9" i="2"/>
  <c r="R20" i="1"/>
  <c r="R12" i="1"/>
  <c r="R17" i="1"/>
  <c r="R15" i="1"/>
  <c r="R21" i="1"/>
  <c r="R3" i="1"/>
  <c r="R4" i="1"/>
  <c r="R5" i="1"/>
  <c r="R16" i="1"/>
  <c r="R8" i="1"/>
  <c r="R18" i="1"/>
  <c r="R9" i="1"/>
  <c r="R13" i="1"/>
  <c r="R6" i="1"/>
  <c r="R10" i="1"/>
  <c r="R19" i="1"/>
  <c r="R24" i="1"/>
  <c r="R22" i="1"/>
  <c r="R14" i="1"/>
  <c r="R25" i="1"/>
  <c r="R23" i="1"/>
  <c r="R11" i="1"/>
  <c r="R26" i="1"/>
  <c r="R2" i="1"/>
</calcChain>
</file>

<file path=xl/sharedStrings.xml><?xml version="1.0" encoding="utf-8"?>
<sst xmlns="http://schemas.openxmlformats.org/spreadsheetml/2006/main" count="304" uniqueCount="84">
  <si>
    <t>Legajo</t>
  </si>
  <si>
    <t>Apellido y Nombre</t>
  </si>
  <si>
    <t>Periodo</t>
  </si>
  <si>
    <t>Tienda asignada este mes</t>
  </si>
  <si>
    <t>Horas Totales</t>
  </si>
  <si>
    <t>Hs Normales (con vacaciones y feriados NO trabajados)</t>
  </si>
  <si>
    <t>Hs Feriados (Horas)</t>
  </si>
  <si>
    <t>Feriados No trabajados (DIAS)</t>
  </si>
  <si>
    <t>Licencias justificadas 
(en HORAS)</t>
  </si>
  <si>
    <t>Plus vacacional</t>
  </si>
  <si>
    <t>Cant dias vacaciones</t>
  </si>
  <si>
    <t>Premios</t>
  </si>
  <si>
    <t>Sueldo Neto</t>
  </si>
  <si>
    <t>Sueldo Bruto</t>
  </si>
  <si>
    <t>Contribuciones + ART</t>
  </si>
  <si>
    <t>Costo total</t>
  </si>
  <si>
    <t>Observaciones</t>
  </si>
  <si>
    <t>NO</t>
  </si>
  <si>
    <t>Carrizo Camila</t>
  </si>
  <si>
    <t>AS San Telmo</t>
  </si>
  <si>
    <t>Esposito Candela</t>
  </si>
  <si>
    <t>Lucero San Telmo</t>
  </si>
  <si>
    <t>Bertolo Milagros</t>
  </si>
  <si>
    <t>Lucero French</t>
  </si>
  <si>
    <t>Barajas Barbara</t>
  </si>
  <si>
    <t>Lucero Recoleta</t>
  </si>
  <si>
    <t>De Brito Rocio</t>
  </si>
  <si>
    <t>Lucero Güemes</t>
  </si>
  <si>
    <t>Lara Robbio</t>
  </si>
  <si>
    <t>Viña Sofia</t>
  </si>
  <si>
    <t>Lucero Florida</t>
  </si>
  <si>
    <t>Molina Agustina</t>
  </si>
  <si>
    <t>Kiara Corbalan</t>
  </si>
  <si>
    <t>Martínez Brisa</t>
  </si>
  <si>
    <t>CORONEL Mailen</t>
  </si>
  <si>
    <t>Ruiz de la Torre Maitena</t>
  </si>
  <si>
    <t>Gimenez Candela</t>
  </si>
  <si>
    <t>Imperiale Candela</t>
  </si>
  <si>
    <t>Machuca Araceli</t>
  </si>
  <si>
    <t>Villarruel Candela</t>
  </si>
  <si>
    <t>Balmaceda Luciana</t>
  </si>
  <si>
    <t>Oliva Micaela</t>
  </si>
  <si>
    <t>Mohamad Daila</t>
  </si>
  <si>
    <t>Lucero San Telmo 2</t>
  </si>
  <si>
    <t>Sarapura Rebecca</t>
  </si>
  <si>
    <t>Scholler Chavez Ruth</t>
  </si>
  <si>
    <t>Florencia Aguero</t>
  </si>
  <si>
    <t>BAJA</t>
  </si>
  <si>
    <t>Morena Martinez</t>
  </si>
  <si>
    <t>Dettoni Leguizamon Oriana</t>
  </si>
  <si>
    <t>Gonzalez Valentina</t>
  </si>
  <si>
    <t>ALTA</t>
  </si>
  <si>
    <t>FLORIDA</t>
  </si>
  <si>
    <t>JULIO</t>
  </si>
  <si>
    <t>Martes</t>
  </si>
  <si>
    <t>Miércoles</t>
  </si>
  <si>
    <t>Jueves</t>
  </si>
  <si>
    <t>Viernes</t>
  </si>
  <si>
    <t>Sábado</t>
  </si>
  <si>
    <t>Domingo</t>
  </si>
  <si>
    <t>Lunes</t>
  </si>
  <si>
    <t>Sofía</t>
  </si>
  <si>
    <t>Maitena</t>
  </si>
  <si>
    <t>Candela</t>
  </si>
  <si>
    <t>Luciana</t>
  </si>
  <si>
    <t>Oriana</t>
  </si>
  <si>
    <t>Nombre</t>
  </si>
  <si>
    <t>Valor hora</t>
  </si>
  <si>
    <t>Horas</t>
  </si>
  <si>
    <t>Costo</t>
  </si>
  <si>
    <t>Proporcional al mes</t>
  </si>
  <si>
    <t>calcular cuánto sería el mes entero con estos valores considerando los días en los que hay datos</t>
  </si>
  <si>
    <t>Horas proporcional</t>
  </si>
  <si>
    <t>Presupuesto mensual:</t>
  </si>
  <si>
    <t>Porcentaje del prespuesto</t>
  </si>
  <si>
    <t>Entrada</t>
  </si>
  <si>
    <t>Salida</t>
  </si>
  <si>
    <t>Vendedora A</t>
  </si>
  <si>
    <t>Vendedora B</t>
  </si>
  <si>
    <t>Vendedora C</t>
  </si>
  <si>
    <t>Vendedora D</t>
  </si>
  <si>
    <t>Vendedora E</t>
  </si>
  <si>
    <t>F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</si>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</sst>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4" borderId="2" xfId="0" applyFill="1" applyBorder="1"/>
    <xf numFmtId="0" fontId="6" fillId="0" borderId="0" xfId="0" applyFont="1"/>
    <xf numFmtId="0" fontId="5" fillId="0" borderId="0" xfId="0" applyFont="1" applyBorder="1" applyAlignment="1">
      <alignment horizontal="left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0" fillId="0" borderId="2" xfId="0" applyFill="1" applyBorder="1"/>
    <xf numFmtId="0" fontId="0" fillId="3" borderId="3" xfId="0" applyFill="1" applyBorder="1" applyAlignment="1">
      <alignment horizontal="center"/>
    </xf>
    <xf numFmtId="0" fontId="2" fillId="3" borderId="2" xfId="0" applyFont="1" applyFill="1" applyBorder="1"/>
    <xf numFmtId="164" fontId="0" fillId="0" borderId="2" xfId="1" applyNumberFormat="1" applyFont="1" applyBorder="1"/>
    <xf numFmtId="164" fontId="0" fillId="0" borderId="2" xfId="0" applyNumberFormat="1" applyBorder="1"/>
    <xf numFmtId="165" fontId="0" fillId="0" borderId="6" xfId="2" applyNumberFormat="1" applyFont="1" applyFill="1" applyBorder="1"/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quotePrefix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D1" workbookViewId="0">
      <selection activeCell="R7" sqref="R7"/>
    </sheetView>
  </sheetViews>
  <sheetFormatPr baseColWidth="10" defaultRowHeight="14.5" x14ac:dyDescent="0.35"/>
  <cols>
    <col min="2" max="2" width="25.36328125" customWidth="1"/>
    <col min="4" max="4" width="17.1796875" customWidth="1"/>
    <col min="17" max="17" width="16.81640625" customWidth="1"/>
  </cols>
  <sheetData>
    <row r="1" spans="1:18" ht="92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ht="15" thickBot="1" x14ac:dyDescent="0.4">
      <c r="A2" s="2">
        <v>55</v>
      </c>
      <c r="B2" s="3" t="s">
        <v>18</v>
      </c>
      <c r="C2" s="4">
        <v>44414</v>
      </c>
      <c r="D2" s="3" t="s">
        <v>19</v>
      </c>
      <c r="E2" s="2">
        <v>132</v>
      </c>
      <c r="F2" s="2">
        <v>126</v>
      </c>
      <c r="G2" s="2">
        <v>6</v>
      </c>
      <c r="H2" s="2">
        <v>1</v>
      </c>
      <c r="I2" s="3"/>
      <c r="J2" s="3" t="s">
        <v>17</v>
      </c>
      <c r="K2" s="3"/>
      <c r="L2" s="2">
        <v>17916</v>
      </c>
      <c r="M2" s="2">
        <v>745721</v>
      </c>
      <c r="N2" s="2">
        <v>942309.32</v>
      </c>
      <c r="O2" s="2">
        <v>307038.17</v>
      </c>
      <c r="P2" s="2">
        <v>1249347.49</v>
      </c>
      <c r="Q2" s="3"/>
      <c r="R2" s="5">
        <f t="shared" ref="R2:R26" si="0">P2/E2</f>
        <v>9464.7537121212117</v>
      </c>
    </row>
    <row r="3" spans="1:18" ht="15" thickBot="1" x14ac:dyDescent="0.4">
      <c r="A3" s="2">
        <v>143</v>
      </c>
      <c r="B3" s="3" t="s">
        <v>31</v>
      </c>
      <c r="C3" s="4">
        <v>45184</v>
      </c>
      <c r="D3" s="3" t="s">
        <v>19</v>
      </c>
      <c r="E3" s="2">
        <v>124</v>
      </c>
      <c r="F3" s="2">
        <v>118</v>
      </c>
      <c r="G3" s="2">
        <v>6</v>
      </c>
      <c r="H3" s="2">
        <v>1</v>
      </c>
      <c r="I3" s="3"/>
      <c r="J3" s="3" t="s">
        <v>17</v>
      </c>
      <c r="K3" s="3"/>
      <c r="L3" s="2">
        <v>16830</v>
      </c>
      <c r="M3" s="2">
        <v>688866</v>
      </c>
      <c r="N3" s="2">
        <v>870417.52</v>
      </c>
      <c r="O3" s="2">
        <v>283699.82</v>
      </c>
      <c r="P3" s="2">
        <v>1154117.3400000001</v>
      </c>
      <c r="Q3" s="3"/>
      <c r="R3" s="5">
        <f t="shared" si="0"/>
        <v>9307.3979032258067</v>
      </c>
    </row>
    <row r="4" spans="1:18" ht="15" thickBot="1" x14ac:dyDescent="0.4">
      <c r="A4" s="2">
        <v>151</v>
      </c>
      <c r="B4" s="3" t="s">
        <v>32</v>
      </c>
      <c r="C4" s="4">
        <v>45201</v>
      </c>
      <c r="D4" s="3" t="s">
        <v>19</v>
      </c>
      <c r="E4" s="2">
        <v>124</v>
      </c>
      <c r="F4" s="2">
        <v>118</v>
      </c>
      <c r="G4" s="2">
        <v>6</v>
      </c>
      <c r="H4" s="2">
        <v>1</v>
      </c>
      <c r="I4" s="3"/>
      <c r="J4" s="3" t="s">
        <v>17</v>
      </c>
      <c r="K4" s="3"/>
      <c r="L4" s="2">
        <v>16830</v>
      </c>
      <c r="M4" s="2">
        <v>688866</v>
      </c>
      <c r="N4" s="2">
        <v>870417.52</v>
      </c>
      <c r="O4" s="2">
        <v>283699.82</v>
      </c>
      <c r="P4" s="2">
        <v>1154117.3400000001</v>
      </c>
      <c r="Q4" s="3"/>
      <c r="R4" s="5">
        <f t="shared" si="0"/>
        <v>9307.3979032258067</v>
      </c>
    </row>
    <row r="5" spans="1:18" ht="15" thickBot="1" x14ac:dyDescent="0.4">
      <c r="A5" s="2">
        <v>161</v>
      </c>
      <c r="B5" s="3" t="s">
        <v>33</v>
      </c>
      <c r="C5" s="4">
        <v>45272</v>
      </c>
      <c r="D5" s="3" t="s">
        <v>19</v>
      </c>
      <c r="E5" s="2">
        <v>124</v>
      </c>
      <c r="F5" s="2">
        <v>118</v>
      </c>
      <c r="G5" s="2">
        <v>6</v>
      </c>
      <c r="H5" s="2">
        <v>1</v>
      </c>
      <c r="I5" s="3"/>
      <c r="J5" s="3" t="s">
        <v>17</v>
      </c>
      <c r="K5" s="3"/>
      <c r="L5" s="2">
        <v>16830</v>
      </c>
      <c r="M5" s="2">
        <v>688866</v>
      </c>
      <c r="N5" s="2">
        <v>870417.52</v>
      </c>
      <c r="O5" s="2">
        <v>283699.82</v>
      </c>
      <c r="P5" s="2">
        <v>1154117.3400000001</v>
      </c>
      <c r="Q5" s="3"/>
      <c r="R5" s="5">
        <f t="shared" si="0"/>
        <v>9307.3979032258067</v>
      </c>
    </row>
    <row r="6" spans="1:18" ht="15" thickBot="1" x14ac:dyDescent="0.4">
      <c r="A6" s="2">
        <v>184</v>
      </c>
      <c r="B6" s="3" t="s">
        <v>39</v>
      </c>
      <c r="C6" s="4">
        <v>45569</v>
      </c>
      <c r="D6" s="3" t="s">
        <v>19</v>
      </c>
      <c r="E6" s="2">
        <v>88</v>
      </c>
      <c r="F6" s="3"/>
      <c r="G6" s="3"/>
      <c r="H6" s="2">
        <v>2</v>
      </c>
      <c r="I6" s="3"/>
      <c r="J6" s="3" t="s">
        <v>17</v>
      </c>
      <c r="K6" s="3"/>
      <c r="L6" s="2">
        <v>0</v>
      </c>
      <c r="M6" s="2">
        <v>462011</v>
      </c>
      <c r="N6" s="2">
        <v>582807.02</v>
      </c>
      <c r="O6" s="2">
        <v>189561.52</v>
      </c>
      <c r="P6" s="2">
        <v>772368.54</v>
      </c>
      <c r="Q6" s="3"/>
      <c r="R6" s="5">
        <f t="shared" si="0"/>
        <v>8776.9152272727279</v>
      </c>
    </row>
    <row r="7" spans="1:18" ht="15" thickBot="1" x14ac:dyDescent="0.4">
      <c r="A7" s="2">
        <v>139</v>
      </c>
      <c r="B7" s="3" t="s">
        <v>29</v>
      </c>
      <c r="C7" s="4">
        <v>45139</v>
      </c>
      <c r="D7" s="3" t="s">
        <v>30</v>
      </c>
      <c r="E7" s="2">
        <v>127</v>
      </c>
      <c r="F7" s="2">
        <v>123</v>
      </c>
      <c r="G7" s="2">
        <v>4</v>
      </c>
      <c r="H7" s="2">
        <v>1</v>
      </c>
      <c r="I7" s="3"/>
      <c r="J7" s="3" t="s">
        <v>17</v>
      </c>
      <c r="K7" s="3"/>
      <c r="L7" s="2">
        <v>35034</v>
      </c>
      <c r="M7" s="2">
        <v>711975</v>
      </c>
      <c r="N7" s="2">
        <v>899820.28</v>
      </c>
      <c r="O7" s="2">
        <v>293429.88</v>
      </c>
      <c r="P7" s="2">
        <v>1193250.1599999999</v>
      </c>
      <c r="Q7" s="3"/>
      <c r="R7" s="5">
        <f t="shared" si="0"/>
        <v>9395.6705511811015</v>
      </c>
    </row>
    <row r="8" spans="1:18" ht="15" thickBot="1" x14ac:dyDescent="0.4">
      <c r="A8" s="2">
        <v>170</v>
      </c>
      <c r="B8" s="3" t="s">
        <v>35</v>
      </c>
      <c r="C8" s="4">
        <v>45345</v>
      </c>
      <c r="D8" s="3" t="s">
        <v>30</v>
      </c>
      <c r="E8" s="2">
        <v>125</v>
      </c>
      <c r="F8" s="2">
        <v>108</v>
      </c>
      <c r="G8" s="2">
        <v>5</v>
      </c>
      <c r="H8" s="2">
        <v>1</v>
      </c>
      <c r="I8" s="2">
        <v>12</v>
      </c>
      <c r="J8" s="3" t="s">
        <v>17</v>
      </c>
      <c r="K8" s="3"/>
      <c r="L8" s="2">
        <v>31172</v>
      </c>
      <c r="M8" s="2">
        <v>702267</v>
      </c>
      <c r="N8" s="2">
        <v>887570.87</v>
      </c>
      <c r="O8" s="2">
        <v>289479.86</v>
      </c>
      <c r="P8" s="2">
        <v>1177050.73</v>
      </c>
      <c r="Q8" s="3"/>
      <c r="R8" s="5">
        <f t="shared" si="0"/>
        <v>9416.4058399999994</v>
      </c>
    </row>
    <row r="9" spans="1:18" ht="15" thickBot="1" x14ac:dyDescent="0.4">
      <c r="A9" s="2">
        <v>173</v>
      </c>
      <c r="B9" s="3" t="s">
        <v>37</v>
      </c>
      <c r="C9" s="4">
        <v>45447</v>
      </c>
      <c r="D9" s="3" t="s">
        <v>30</v>
      </c>
      <c r="E9" s="2">
        <v>132</v>
      </c>
      <c r="F9" s="2">
        <v>126</v>
      </c>
      <c r="G9" s="2">
        <v>6</v>
      </c>
      <c r="H9" s="2">
        <v>1</v>
      </c>
      <c r="I9" s="3"/>
      <c r="J9" s="3" t="s">
        <v>17</v>
      </c>
      <c r="K9" s="3"/>
      <c r="L9" s="2">
        <v>36413</v>
      </c>
      <c r="M9" s="2">
        <v>739658</v>
      </c>
      <c r="N9" s="2">
        <v>935028.96</v>
      </c>
      <c r="O9" s="2">
        <v>305067.38</v>
      </c>
      <c r="P9" s="2">
        <v>1240096.3400000001</v>
      </c>
      <c r="Q9" s="3"/>
      <c r="R9" s="5">
        <f t="shared" si="0"/>
        <v>9394.6692424242428</v>
      </c>
    </row>
    <row r="10" spans="1:18" ht="15" thickBot="1" x14ac:dyDescent="0.4">
      <c r="A10" s="2">
        <v>186</v>
      </c>
      <c r="B10" s="3" t="s">
        <v>40</v>
      </c>
      <c r="C10" s="4">
        <v>45587</v>
      </c>
      <c r="D10" s="3" t="s">
        <v>30</v>
      </c>
      <c r="E10" s="2">
        <v>125</v>
      </c>
      <c r="F10" s="2">
        <v>120</v>
      </c>
      <c r="G10" s="2">
        <v>5</v>
      </c>
      <c r="H10" s="2">
        <v>1</v>
      </c>
      <c r="I10" s="3"/>
      <c r="J10" s="3" t="s">
        <v>17</v>
      </c>
      <c r="K10" s="3"/>
      <c r="L10" s="2">
        <v>34482</v>
      </c>
      <c r="M10" s="2">
        <v>698137</v>
      </c>
      <c r="N10" s="2">
        <v>882412.97</v>
      </c>
      <c r="O10" s="2">
        <v>287870.99</v>
      </c>
      <c r="P10" s="2">
        <v>1170283.96</v>
      </c>
      <c r="Q10" s="3"/>
      <c r="R10" s="5">
        <f t="shared" si="0"/>
        <v>9362.2716799999998</v>
      </c>
    </row>
    <row r="11" spans="1:18" ht="15" thickBot="1" x14ac:dyDescent="0.4">
      <c r="A11" s="2">
        <v>210</v>
      </c>
      <c r="B11" s="3" t="s">
        <v>49</v>
      </c>
      <c r="C11" s="4">
        <v>45759</v>
      </c>
      <c r="D11" s="3" t="s">
        <v>30</v>
      </c>
      <c r="E11" s="2">
        <v>126</v>
      </c>
      <c r="F11" s="2">
        <v>120</v>
      </c>
      <c r="G11" s="2">
        <v>6</v>
      </c>
      <c r="H11" s="2">
        <v>1</v>
      </c>
      <c r="I11" s="3"/>
      <c r="J11" s="3" t="s">
        <v>17</v>
      </c>
      <c r="K11" s="3"/>
      <c r="L11" s="2">
        <v>0</v>
      </c>
      <c r="M11" s="2">
        <v>678241</v>
      </c>
      <c r="N11" s="2">
        <v>856603.76</v>
      </c>
      <c r="O11" s="2">
        <v>278830.28999999998</v>
      </c>
      <c r="P11" s="2">
        <v>1135434.05</v>
      </c>
      <c r="Q11" s="3"/>
      <c r="R11" s="5">
        <f t="shared" si="0"/>
        <v>9011.3813492063491</v>
      </c>
    </row>
    <row r="12" spans="1:18" ht="15" thickBot="1" x14ac:dyDescent="0.4">
      <c r="A12" s="2">
        <v>120</v>
      </c>
      <c r="B12" s="3" t="s">
        <v>22</v>
      </c>
      <c r="C12" s="4">
        <v>45020</v>
      </c>
      <c r="D12" s="3" t="s">
        <v>23</v>
      </c>
      <c r="E12" s="2">
        <v>124</v>
      </c>
      <c r="F12" s="2">
        <v>120</v>
      </c>
      <c r="G12" s="2">
        <v>4</v>
      </c>
      <c r="H12" s="2">
        <v>1</v>
      </c>
      <c r="I12" s="3"/>
      <c r="J12" s="3" t="s">
        <v>17</v>
      </c>
      <c r="K12" s="3"/>
      <c r="L12" s="2">
        <v>27138</v>
      </c>
      <c r="M12" s="2">
        <v>696487</v>
      </c>
      <c r="N12" s="2">
        <v>880081.31</v>
      </c>
      <c r="O12" s="2">
        <v>286864.55</v>
      </c>
      <c r="P12" s="2">
        <v>1166945.8600000001</v>
      </c>
      <c r="Q12" s="3"/>
      <c r="R12" s="5">
        <f t="shared" si="0"/>
        <v>9410.8537096774198</v>
      </c>
    </row>
    <row r="13" spans="1:18" ht="15" thickBot="1" x14ac:dyDescent="0.4">
      <c r="A13" s="2">
        <v>174</v>
      </c>
      <c r="B13" s="3" t="s">
        <v>38</v>
      </c>
      <c r="C13" s="4">
        <v>45477</v>
      </c>
      <c r="D13" s="3" t="s">
        <v>23</v>
      </c>
      <c r="E13" s="2">
        <v>120</v>
      </c>
      <c r="F13" s="2">
        <v>110</v>
      </c>
      <c r="G13" s="2">
        <v>6</v>
      </c>
      <c r="H13" s="2">
        <v>1</v>
      </c>
      <c r="I13" s="2">
        <v>4</v>
      </c>
      <c r="J13" s="3" t="s">
        <v>17</v>
      </c>
      <c r="K13" s="3"/>
      <c r="L13" s="2">
        <v>25388</v>
      </c>
      <c r="M13" s="2">
        <v>668709</v>
      </c>
      <c r="N13" s="2">
        <v>845127.07</v>
      </c>
      <c r="O13" s="2">
        <v>275690.53999999998</v>
      </c>
      <c r="P13" s="2">
        <v>1120817.6100000001</v>
      </c>
      <c r="Q13" s="3"/>
      <c r="R13" s="5">
        <f t="shared" si="0"/>
        <v>9340.1467500000017</v>
      </c>
    </row>
    <row r="14" spans="1:18" ht="15" thickBot="1" x14ac:dyDescent="0.4">
      <c r="A14" s="2">
        <v>194</v>
      </c>
      <c r="B14" s="3" t="s">
        <v>45</v>
      </c>
      <c r="C14" s="4">
        <v>45639</v>
      </c>
      <c r="D14" s="3" t="s">
        <v>23</v>
      </c>
      <c r="E14" s="2">
        <v>120</v>
      </c>
      <c r="F14" s="2">
        <v>114</v>
      </c>
      <c r="G14" s="2">
        <v>6</v>
      </c>
      <c r="H14" s="2">
        <v>1</v>
      </c>
      <c r="I14" s="3"/>
      <c r="J14" s="3" t="s">
        <v>17</v>
      </c>
      <c r="K14" s="3"/>
      <c r="L14" s="2">
        <v>26263</v>
      </c>
      <c r="M14" s="2">
        <v>669444</v>
      </c>
      <c r="N14" s="2">
        <v>846075.35</v>
      </c>
      <c r="O14" s="2">
        <v>276017.62</v>
      </c>
      <c r="P14" s="2">
        <v>1122092.97</v>
      </c>
      <c r="Q14" s="3"/>
      <c r="R14" s="5">
        <f t="shared" si="0"/>
        <v>9350.7747500000005</v>
      </c>
    </row>
    <row r="15" spans="1:18" ht="15" thickBot="1" x14ac:dyDescent="0.4">
      <c r="A15" s="2">
        <v>131</v>
      </c>
      <c r="B15" s="3" t="s">
        <v>26</v>
      </c>
      <c r="C15" s="4">
        <v>45085</v>
      </c>
      <c r="D15" s="3" t="s">
        <v>27</v>
      </c>
      <c r="E15" s="2">
        <v>130</v>
      </c>
      <c r="F15" s="2">
        <v>130</v>
      </c>
      <c r="G15" s="3"/>
      <c r="H15" s="2">
        <v>2</v>
      </c>
      <c r="I15" s="3"/>
      <c r="J15" s="3" t="s">
        <v>17</v>
      </c>
      <c r="K15" s="3"/>
      <c r="L15" s="2">
        <v>9245</v>
      </c>
      <c r="M15" s="2">
        <v>692511</v>
      </c>
      <c r="N15" s="2">
        <v>874289.91</v>
      </c>
      <c r="O15" s="2">
        <v>284207.92</v>
      </c>
      <c r="P15" s="2">
        <v>1158497.83</v>
      </c>
      <c r="Q15" s="3"/>
      <c r="R15" s="5">
        <f t="shared" si="0"/>
        <v>8911.5217692307706</v>
      </c>
    </row>
    <row r="16" spans="1:18" ht="15" thickBot="1" x14ac:dyDescent="0.4">
      <c r="A16" s="2">
        <v>165</v>
      </c>
      <c r="B16" s="3" t="s">
        <v>34</v>
      </c>
      <c r="C16" s="4">
        <v>45311</v>
      </c>
      <c r="D16" s="3" t="s">
        <v>27</v>
      </c>
      <c r="E16" s="2">
        <v>128</v>
      </c>
      <c r="F16" s="2">
        <v>120</v>
      </c>
      <c r="G16" s="3"/>
      <c r="H16" s="2">
        <v>2</v>
      </c>
      <c r="I16" s="2">
        <v>8</v>
      </c>
      <c r="J16" s="3" t="s">
        <v>17</v>
      </c>
      <c r="K16" s="3"/>
      <c r="L16" s="2">
        <v>11605</v>
      </c>
      <c r="M16" s="2">
        <v>684127</v>
      </c>
      <c r="N16" s="2">
        <v>863748.83</v>
      </c>
      <c r="O16" s="2">
        <v>280847.24</v>
      </c>
      <c r="P16" s="2">
        <v>1144596.07</v>
      </c>
      <c r="Q16" s="3"/>
      <c r="R16" s="5">
        <f t="shared" si="0"/>
        <v>8942.1567968750005</v>
      </c>
    </row>
    <row r="17" spans="1:18" ht="15" thickBot="1" x14ac:dyDescent="0.4">
      <c r="A17" s="2">
        <v>126</v>
      </c>
      <c r="B17" s="3" t="s">
        <v>24</v>
      </c>
      <c r="C17" s="4">
        <v>45057</v>
      </c>
      <c r="D17" s="3" t="s">
        <v>25</v>
      </c>
      <c r="E17" s="2">
        <v>126</v>
      </c>
      <c r="F17" s="2">
        <v>122</v>
      </c>
      <c r="G17" s="2">
        <v>4</v>
      </c>
      <c r="H17" s="2">
        <v>1</v>
      </c>
      <c r="I17" s="3"/>
      <c r="J17" s="3" t="s">
        <v>17</v>
      </c>
      <c r="K17" s="3"/>
      <c r="L17" s="2">
        <v>27576</v>
      </c>
      <c r="M17" s="2">
        <v>707350</v>
      </c>
      <c r="N17" s="2">
        <v>893818.36</v>
      </c>
      <c r="O17" s="2">
        <v>291325.13</v>
      </c>
      <c r="P17" s="2">
        <v>1185143.49</v>
      </c>
      <c r="Q17" s="3"/>
      <c r="R17" s="5">
        <f t="shared" si="0"/>
        <v>9405.9007142857135</v>
      </c>
    </row>
    <row r="18" spans="1:18" ht="15" thickBot="1" x14ac:dyDescent="0.4">
      <c r="A18" s="2">
        <v>171</v>
      </c>
      <c r="B18" s="3" t="s">
        <v>36</v>
      </c>
      <c r="C18" s="4">
        <v>45771</v>
      </c>
      <c r="D18" s="3" t="s">
        <v>25</v>
      </c>
      <c r="E18" s="2">
        <v>120</v>
      </c>
      <c r="F18" s="2">
        <v>112</v>
      </c>
      <c r="G18" s="2">
        <v>4</v>
      </c>
      <c r="H18" s="2">
        <v>1</v>
      </c>
      <c r="I18" s="2">
        <v>4</v>
      </c>
      <c r="J18" s="3" t="s">
        <v>17</v>
      </c>
      <c r="K18" s="3"/>
      <c r="L18" s="2">
        <v>25388</v>
      </c>
      <c r="M18" s="2">
        <v>667448</v>
      </c>
      <c r="N18" s="2">
        <v>843335.45</v>
      </c>
      <c r="O18" s="2">
        <v>274908.49</v>
      </c>
      <c r="P18" s="2">
        <v>1118243.94</v>
      </c>
      <c r="Q18" s="3"/>
      <c r="R18" s="5">
        <f t="shared" si="0"/>
        <v>9318.6994999999988</v>
      </c>
    </row>
    <row r="19" spans="1:18" ht="15" thickBot="1" x14ac:dyDescent="0.4">
      <c r="A19" s="2">
        <v>189</v>
      </c>
      <c r="B19" s="3" t="s">
        <v>41</v>
      </c>
      <c r="C19" s="4">
        <v>45597</v>
      </c>
      <c r="D19" s="3" t="s">
        <v>25</v>
      </c>
      <c r="E19" s="2">
        <v>125</v>
      </c>
      <c r="F19" s="2">
        <v>121</v>
      </c>
      <c r="G19" s="2">
        <v>4</v>
      </c>
      <c r="H19" s="2">
        <v>1</v>
      </c>
      <c r="I19" s="3"/>
      <c r="J19" s="3" t="s">
        <v>17</v>
      </c>
      <c r="K19" s="3"/>
      <c r="L19" s="2">
        <v>28383</v>
      </c>
      <c r="M19" s="2">
        <v>689103</v>
      </c>
      <c r="N19" s="2">
        <v>870756.32</v>
      </c>
      <c r="O19" s="2">
        <v>283849.53999999998</v>
      </c>
      <c r="P19" s="2">
        <v>1154605.8600000001</v>
      </c>
      <c r="Q19" s="3"/>
      <c r="R19" s="5">
        <f t="shared" si="0"/>
        <v>9236.846880000001</v>
      </c>
    </row>
    <row r="20" spans="1:18" ht="16.25" customHeight="1" thickBot="1" x14ac:dyDescent="0.4">
      <c r="A20" s="2">
        <v>103</v>
      </c>
      <c r="B20" s="3" t="s">
        <v>20</v>
      </c>
      <c r="C20" s="4">
        <v>44854</v>
      </c>
      <c r="D20" s="3" t="s">
        <v>21</v>
      </c>
      <c r="E20" s="2">
        <v>132</v>
      </c>
      <c r="F20" s="2">
        <v>123</v>
      </c>
      <c r="G20" s="2">
        <v>5</v>
      </c>
      <c r="H20" s="2">
        <v>1</v>
      </c>
      <c r="I20" s="2">
        <v>4</v>
      </c>
      <c r="J20" s="3" t="s">
        <v>17</v>
      </c>
      <c r="K20" s="3"/>
      <c r="L20" s="2">
        <v>32828</v>
      </c>
      <c r="M20" s="2">
        <v>747302</v>
      </c>
      <c r="N20" s="2">
        <v>944530.32</v>
      </c>
      <c r="O20" s="2">
        <v>307984.75</v>
      </c>
      <c r="P20" s="2">
        <v>1252515.07</v>
      </c>
      <c r="Q20" s="3"/>
      <c r="R20" s="5">
        <f t="shared" si="0"/>
        <v>9488.7505303030302</v>
      </c>
    </row>
    <row r="21" spans="1:18" ht="15" thickBot="1" x14ac:dyDescent="0.4">
      <c r="A21" s="2">
        <v>138</v>
      </c>
      <c r="B21" s="3" t="s">
        <v>28</v>
      </c>
      <c r="C21" s="4">
        <v>45139</v>
      </c>
      <c r="D21" s="3" t="s">
        <v>21</v>
      </c>
      <c r="E21" s="2">
        <v>123</v>
      </c>
      <c r="F21" s="2">
        <v>114</v>
      </c>
      <c r="G21" s="2">
        <v>5</v>
      </c>
      <c r="H21" s="2">
        <v>1</v>
      </c>
      <c r="I21" s="2">
        <v>4</v>
      </c>
      <c r="J21" s="3" t="s">
        <v>17</v>
      </c>
      <c r="K21" s="3"/>
      <c r="L21" s="2">
        <v>30520</v>
      </c>
      <c r="M21" s="2">
        <v>691330</v>
      </c>
      <c r="N21" s="2">
        <v>873735.31</v>
      </c>
      <c r="O21" s="2">
        <v>284982.40000000002</v>
      </c>
      <c r="P21" s="2">
        <v>1158717.71</v>
      </c>
      <c r="Q21" s="3"/>
      <c r="R21" s="5">
        <f t="shared" si="0"/>
        <v>9420.4691869918697</v>
      </c>
    </row>
    <row r="22" spans="1:18" ht="15" thickBot="1" x14ac:dyDescent="0.4">
      <c r="A22" s="2">
        <v>192</v>
      </c>
      <c r="B22" s="3" t="s">
        <v>44</v>
      </c>
      <c r="C22" s="4">
        <v>45597</v>
      </c>
      <c r="D22" s="3" t="s">
        <v>21</v>
      </c>
      <c r="E22" s="2">
        <v>122</v>
      </c>
      <c r="F22" s="2">
        <v>101</v>
      </c>
      <c r="G22" s="2">
        <v>5</v>
      </c>
      <c r="H22" s="2">
        <v>1</v>
      </c>
      <c r="I22" s="2">
        <v>16</v>
      </c>
      <c r="J22" s="3" t="s">
        <v>17</v>
      </c>
      <c r="K22" s="3"/>
      <c r="L22" s="2">
        <v>27186</v>
      </c>
      <c r="M22" s="2">
        <v>676588</v>
      </c>
      <c r="N22" s="2">
        <v>855019.22</v>
      </c>
      <c r="O22" s="2">
        <v>278830.03999999998</v>
      </c>
      <c r="P22" s="2">
        <v>1133849.26</v>
      </c>
      <c r="Q22" s="3"/>
      <c r="R22" s="5">
        <f t="shared" si="0"/>
        <v>9293.8463934426236</v>
      </c>
    </row>
    <row r="23" spans="1:18" ht="17.399999999999999" customHeight="1" thickBot="1" x14ac:dyDescent="0.4">
      <c r="A23" s="2">
        <v>206</v>
      </c>
      <c r="B23" s="3" t="s">
        <v>48</v>
      </c>
      <c r="C23" s="4">
        <v>45713</v>
      </c>
      <c r="D23" s="3" t="s">
        <v>21</v>
      </c>
      <c r="E23" s="2">
        <v>124</v>
      </c>
      <c r="F23" s="2">
        <v>119</v>
      </c>
      <c r="G23" s="2">
        <v>5</v>
      </c>
      <c r="H23" s="2">
        <v>1</v>
      </c>
      <c r="I23" s="3"/>
      <c r="J23" s="3" t="s">
        <v>17</v>
      </c>
      <c r="K23" s="3"/>
      <c r="L23" s="2">
        <v>4518</v>
      </c>
      <c r="M23" s="2">
        <v>667839</v>
      </c>
      <c r="N23" s="2">
        <v>843456.02</v>
      </c>
      <c r="O23" s="2">
        <v>274567.53000000003</v>
      </c>
      <c r="P23" s="2">
        <v>1118023.55</v>
      </c>
      <c r="Q23" s="3"/>
      <c r="R23" s="5">
        <f t="shared" si="0"/>
        <v>9016.3189516129041</v>
      </c>
    </row>
    <row r="24" spans="1:18" ht="15" thickBot="1" x14ac:dyDescent="0.4">
      <c r="A24" s="2">
        <v>190</v>
      </c>
      <c r="B24" s="3" t="s">
        <v>42</v>
      </c>
      <c r="C24" s="4">
        <v>45597</v>
      </c>
      <c r="D24" s="3" t="s">
        <v>43</v>
      </c>
      <c r="E24" s="2">
        <v>132</v>
      </c>
      <c r="F24" s="2">
        <v>127</v>
      </c>
      <c r="G24" s="2">
        <v>5</v>
      </c>
      <c r="H24" s="2">
        <v>1</v>
      </c>
      <c r="I24" s="3"/>
      <c r="J24" s="3" t="s">
        <v>17</v>
      </c>
      <c r="K24" s="3"/>
      <c r="L24" s="2">
        <v>13198</v>
      </c>
      <c r="M24" s="2">
        <v>716255</v>
      </c>
      <c r="N24" s="2">
        <v>904831.42</v>
      </c>
      <c r="O24" s="2">
        <v>294649.15999999997</v>
      </c>
      <c r="P24" s="2">
        <v>1199480.58</v>
      </c>
      <c r="Q24" s="3"/>
      <c r="R24" s="5">
        <f t="shared" si="0"/>
        <v>9086.9740909090906</v>
      </c>
    </row>
    <row r="25" spans="1:18" ht="15" thickBot="1" x14ac:dyDescent="0.4">
      <c r="A25" s="2">
        <v>205</v>
      </c>
      <c r="B25" s="3" t="s">
        <v>46</v>
      </c>
      <c r="C25" s="4">
        <v>45713</v>
      </c>
      <c r="D25" s="3" t="s">
        <v>43</v>
      </c>
      <c r="E25" s="2">
        <v>58</v>
      </c>
      <c r="F25" s="2">
        <v>58</v>
      </c>
      <c r="G25" s="3"/>
      <c r="H25" s="3"/>
      <c r="I25" s="3"/>
      <c r="J25" s="3" t="s">
        <v>17</v>
      </c>
      <c r="K25" s="3"/>
      <c r="L25" s="2">
        <v>0</v>
      </c>
      <c r="M25" s="2">
        <v>560658</v>
      </c>
      <c r="N25" s="2">
        <v>681305.96</v>
      </c>
      <c r="O25" s="2">
        <v>207086.12</v>
      </c>
      <c r="P25" s="2">
        <v>888392.08</v>
      </c>
      <c r="Q25" s="3" t="s">
        <v>47</v>
      </c>
      <c r="R25" s="5">
        <f t="shared" si="0"/>
        <v>15317.104827586207</v>
      </c>
    </row>
    <row r="26" spans="1:18" ht="16.25" customHeight="1" thickBot="1" x14ac:dyDescent="0.4">
      <c r="A26" s="2">
        <v>213</v>
      </c>
      <c r="B26" s="3" t="s">
        <v>50</v>
      </c>
      <c r="C26" s="4">
        <v>45789</v>
      </c>
      <c r="D26" s="3" t="s">
        <v>43</v>
      </c>
      <c r="E26" s="2">
        <v>93</v>
      </c>
      <c r="F26" s="2">
        <v>89</v>
      </c>
      <c r="G26" s="2">
        <v>4</v>
      </c>
      <c r="H26" s="2">
        <v>1</v>
      </c>
      <c r="I26" s="3"/>
      <c r="J26" s="3" t="s">
        <v>17</v>
      </c>
      <c r="K26" s="3"/>
      <c r="L26" s="2">
        <v>0</v>
      </c>
      <c r="M26" s="2">
        <v>498151</v>
      </c>
      <c r="N26" s="2">
        <v>628753.80000000005</v>
      </c>
      <c r="O26" s="2">
        <v>204730.14</v>
      </c>
      <c r="P26" s="2">
        <v>833483.94</v>
      </c>
      <c r="Q26" s="3" t="s">
        <v>51</v>
      </c>
      <c r="R26" s="5">
        <f t="shared" si="0"/>
        <v>8962.1929032258067</v>
      </c>
    </row>
    <row r="27" spans="1:18" ht="15" thickBot="1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  <c r="N27" s="3"/>
      <c r="O27" s="3"/>
      <c r="P27" s="3"/>
      <c r="Q27" s="3"/>
    </row>
  </sheetData>
  <autoFilter ref="A1:R26">
    <sortState ref="A2:R26">
      <sortCondition ref="D2:D26"/>
      <sortCondition ref="A2:A2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"/>
  <sheetViews>
    <sheetView topLeftCell="A4" workbookViewId="0">
      <pane xSplit="1" topLeftCell="I1" activePane="topRight" state="frozen"/>
      <selection pane="topRight" activeCell="Q4" sqref="Q4:W12"/>
    </sheetView>
  </sheetViews>
  <sheetFormatPr baseColWidth="10" defaultRowHeight="14.5" x14ac:dyDescent="0.35"/>
  <cols>
    <col min="1" max="3" width="6.90625" customWidth="1"/>
    <col min="4" max="15" width="8.453125" customWidth="1"/>
    <col min="19" max="19" width="11.90625" bestFit="1" customWidth="1"/>
    <col min="21" max="21" width="16.81640625" bestFit="1" customWidth="1"/>
  </cols>
  <sheetData>
    <row r="1" spans="1:23" ht="18.5" x14ac:dyDescent="0.45">
      <c r="A1" s="11" t="s">
        <v>52</v>
      </c>
      <c r="B1" s="11"/>
      <c r="C1" s="11"/>
    </row>
    <row r="2" spans="1:23" x14ac:dyDescent="0.35">
      <c r="Q2" t="s">
        <v>73</v>
      </c>
      <c r="S2" s="5">
        <v>4000000</v>
      </c>
    </row>
    <row r="3" spans="1:23" ht="15.5" x14ac:dyDescent="0.35">
      <c r="A3" s="12" t="s">
        <v>53</v>
      </c>
      <c r="B3" s="12"/>
      <c r="C3" s="12"/>
    </row>
    <row r="4" spans="1:23" s="6" customFormat="1" x14ac:dyDescent="0.35">
      <c r="A4" s="8"/>
      <c r="B4" s="16"/>
      <c r="C4" s="16"/>
      <c r="D4" s="21" t="s">
        <v>54</v>
      </c>
      <c r="E4" s="22"/>
      <c r="F4" s="21" t="s">
        <v>55</v>
      </c>
      <c r="G4" s="22"/>
      <c r="H4" s="21" t="s">
        <v>56</v>
      </c>
      <c r="I4" s="22"/>
      <c r="J4" s="21" t="s">
        <v>57</v>
      </c>
      <c r="K4" s="22"/>
      <c r="L4" s="21" t="s">
        <v>58</v>
      </c>
      <c r="M4" s="22"/>
      <c r="N4" s="21" t="s">
        <v>59</v>
      </c>
      <c r="O4" s="22"/>
      <c r="Q4" s="7" t="s">
        <v>0</v>
      </c>
      <c r="R4" s="7" t="s">
        <v>66</v>
      </c>
      <c r="S4" s="7" t="s">
        <v>67</v>
      </c>
      <c r="T4" s="7" t="s">
        <v>68</v>
      </c>
      <c r="U4" s="15" t="s">
        <v>72</v>
      </c>
      <c r="V4" s="7" t="s">
        <v>69</v>
      </c>
      <c r="W4"/>
    </row>
    <row r="5" spans="1:23" s="6" customFormat="1" x14ac:dyDescent="0.35">
      <c r="A5" s="8"/>
      <c r="B5" s="16"/>
      <c r="C5" s="16"/>
      <c r="D5" s="21">
        <v>1</v>
      </c>
      <c r="E5" s="22"/>
      <c r="F5" s="21">
        <v>2</v>
      </c>
      <c r="G5" s="22"/>
      <c r="H5" s="21">
        <v>3</v>
      </c>
      <c r="I5" s="22"/>
      <c r="J5" s="21">
        <v>4</v>
      </c>
      <c r="K5" s="22"/>
      <c r="L5" s="21">
        <v>5</v>
      </c>
      <c r="M5" s="22"/>
      <c r="N5" s="21">
        <v>6</v>
      </c>
      <c r="O5" s="22"/>
      <c r="Q5" s="13">
        <v>139</v>
      </c>
      <c r="R5" s="14" t="s">
        <v>61</v>
      </c>
      <c r="S5" s="18">
        <f>Hoja1!R7</f>
        <v>9395.6705511811015</v>
      </c>
      <c r="T5" s="7">
        <f>SUM(COUNTIF($B$6:$O$67,R5)+5)</f>
        <v>7</v>
      </c>
      <c r="U5" s="7"/>
      <c r="V5" s="19">
        <f>S5*T5</f>
        <v>65769.69385826771</v>
      </c>
      <c r="W5"/>
    </row>
    <row r="6" spans="1:23" x14ac:dyDescent="0.35">
      <c r="A6" s="9">
        <v>10</v>
      </c>
      <c r="B6" s="17"/>
      <c r="C6" s="17"/>
      <c r="D6" s="7" t="s">
        <v>61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Q6" s="13">
        <v>170</v>
      </c>
      <c r="R6" s="14" t="s">
        <v>62</v>
      </c>
      <c r="S6" s="18">
        <f>Hoja1!R8</f>
        <v>9416.4058399999994</v>
      </c>
      <c r="T6" s="7">
        <f t="shared" ref="T6:T9" si="0">COUNTIF($B$6:$O$67, R6)</f>
        <v>5</v>
      </c>
      <c r="U6" s="7"/>
      <c r="V6" s="19">
        <f t="shared" ref="V6:V9" si="1">S6*T6</f>
        <v>47082.029199999997</v>
      </c>
    </row>
    <row r="7" spans="1:23" x14ac:dyDescent="0.35">
      <c r="A7" s="9">
        <v>11</v>
      </c>
      <c r="B7" s="17"/>
      <c r="C7" s="17"/>
      <c r="D7" s="7" t="s">
        <v>61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Q7" s="13">
        <v>173</v>
      </c>
      <c r="R7" s="14" t="s">
        <v>63</v>
      </c>
      <c r="S7" s="18">
        <f>Hoja1!R9</f>
        <v>9394.6692424242428</v>
      </c>
      <c r="T7" s="7">
        <f t="shared" si="0"/>
        <v>4</v>
      </c>
      <c r="U7" s="7"/>
      <c r="V7" s="19">
        <f t="shared" si="1"/>
        <v>37578.676969696971</v>
      </c>
    </row>
    <row r="8" spans="1:23" x14ac:dyDescent="0.35">
      <c r="A8" s="9">
        <v>12</v>
      </c>
      <c r="B8" s="17"/>
      <c r="C8" s="17"/>
      <c r="D8" s="7" t="s">
        <v>62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Q8" s="13">
        <v>186</v>
      </c>
      <c r="R8" s="14" t="s">
        <v>64</v>
      </c>
      <c r="S8" s="18">
        <f>Hoja1!R10</f>
        <v>9362.2716799999998</v>
      </c>
      <c r="T8" s="7">
        <f t="shared" si="0"/>
        <v>0</v>
      </c>
      <c r="U8" s="7"/>
      <c r="V8" s="19">
        <f t="shared" si="1"/>
        <v>0</v>
      </c>
    </row>
    <row r="9" spans="1:23" x14ac:dyDescent="0.35">
      <c r="A9" s="9">
        <v>13</v>
      </c>
      <c r="B9" s="17"/>
      <c r="C9" s="17"/>
      <c r="D9" s="7" t="s">
        <v>62</v>
      </c>
      <c r="E9" s="7" t="s">
        <v>63</v>
      </c>
      <c r="F9" s="7" t="s">
        <v>62</v>
      </c>
      <c r="G9" s="7"/>
      <c r="H9" s="7"/>
      <c r="I9" s="7"/>
      <c r="J9" s="7"/>
      <c r="K9" s="7"/>
      <c r="L9" s="7"/>
      <c r="M9" s="7"/>
      <c r="N9" s="7"/>
      <c r="O9" s="7"/>
      <c r="Q9" s="13">
        <v>210</v>
      </c>
      <c r="R9" s="14" t="s">
        <v>65</v>
      </c>
      <c r="S9" s="18">
        <f>Hoja1!R11</f>
        <v>9011.3813492063491</v>
      </c>
      <c r="T9" s="7">
        <f t="shared" si="0"/>
        <v>0</v>
      </c>
      <c r="U9" s="7"/>
      <c r="V9" s="19">
        <f t="shared" si="1"/>
        <v>0</v>
      </c>
    </row>
    <row r="10" spans="1:23" x14ac:dyDescent="0.35">
      <c r="A10" s="9">
        <v>14</v>
      </c>
      <c r="B10" s="17"/>
      <c r="C10" s="17"/>
      <c r="D10" s="7" t="s">
        <v>62</v>
      </c>
      <c r="E10" s="7" t="s">
        <v>63</v>
      </c>
      <c r="F10" s="7"/>
      <c r="G10" s="7"/>
      <c r="H10" s="7"/>
      <c r="I10" s="7"/>
      <c r="J10" s="7"/>
      <c r="K10" s="7"/>
      <c r="L10" s="7"/>
      <c r="M10" s="7"/>
      <c r="N10" s="7"/>
      <c r="O10" s="7"/>
      <c r="Q10" s="24" t="s">
        <v>15</v>
      </c>
      <c r="R10" s="24"/>
      <c r="S10" s="24"/>
      <c r="T10" s="24"/>
      <c r="U10" s="7"/>
      <c r="V10" s="19">
        <f>SUM(V5:V9)</f>
        <v>150430.40002796467</v>
      </c>
    </row>
    <row r="11" spans="1:23" x14ac:dyDescent="0.35">
      <c r="A11" s="9">
        <v>15</v>
      </c>
      <c r="B11" s="17"/>
      <c r="C11" s="17"/>
      <c r="D11" s="7" t="s">
        <v>62</v>
      </c>
      <c r="E11" s="7" t="s">
        <v>63</v>
      </c>
      <c r="F11" s="7"/>
      <c r="G11" s="7"/>
      <c r="H11" s="7"/>
      <c r="I11" s="7"/>
      <c r="J11" s="7"/>
      <c r="K11" s="7"/>
      <c r="L11" s="7"/>
      <c r="M11" s="7"/>
      <c r="N11" s="7"/>
      <c r="O11" s="7"/>
      <c r="Q11" s="23" t="s">
        <v>74</v>
      </c>
      <c r="R11" s="23"/>
      <c r="S11" s="23"/>
      <c r="T11" s="23"/>
      <c r="U11" s="23"/>
      <c r="V11" s="20">
        <f>V10/S2</f>
        <v>3.760760000699117E-2</v>
      </c>
    </row>
    <row r="12" spans="1:23" x14ac:dyDescent="0.35">
      <c r="A12" s="9">
        <v>16</v>
      </c>
      <c r="B12" s="17"/>
      <c r="C12" s="17"/>
      <c r="D12" s="7"/>
      <c r="E12" s="7" t="s">
        <v>63</v>
      </c>
      <c r="F12" s="7"/>
      <c r="G12" s="7"/>
      <c r="H12" s="7"/>
      <c r="I12" s="7"/>
      <c r="J12" s="7"/>
      <c r="K12" s="7"/>
      <c r="L12" s="7"/>
      <c r="M12" s="7"/>
      <c r="N12" s="7"/>
      <c r="O12" s="7"/>
      <c r="Q12" s="23" t="s">
        <v>70</v>
      </c>
      <c r="R12" s="23"/>
      <c r="S12" s="23"/>
      <c r="T12" s="23"/>
      <c r="W12" t="s">
        <v>71</v>
      </c>
    </row>
    <row r="13" spans="1:23" x14ac:dyDescent="0.35">
      <c r="A13" s="9">
        <v>17</v>
      </c>
      <c r="B13" s="17"/>
      <c r="C13" s="1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23" x14ac:dyDescent="0.35">
      <c r="A14" s="9">
        <v>18</v>
      </c>
      <c r="B14" s="17"/>
      <c r="C14" s="1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23" x14ac:dyDescent="0.35">
      <c r="A15" s="9">
        <v>19</v>
      </c>
      <c r="B15" s="17"/>
      <c r="C15" s="1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7" spans="1:15" x14ac:dyDescent="0.35">
      <c r="A17" s="8"/>
      <c r="B17" s="21" t="s">
        <v>60</v>
      </c>
      <c r="C17" s="22"/>
      <c r="D17" s="21" t="s">
        <v>54</v>
      </c>
      <c r="E17" s="22"/>
      <c r="F17" s="25" t="s">
        <v>55</v>
      </c>
      <c r="G17" s="26" t="s">
        <v>56</v>
      </c>
      <c r="H17" s="21" t="s">
        <v>56</v>
      </c>
      <c r="I17" s="22" t="s">
        <v>57</v>
      </c>
      <c r="J17" s="21" t="s">
        <v>57</v>
      </c>
      <c r="K17" s="22" t="s">
        <v>57</v>
      </c>
      <c r="L17" s="21" t="s">
        <v>58</v>
      </c>
      <c r="M17" s="22"/>
      <c r="N17" s="21" t="s">
        <v>59</v>
      </c>
      <c r="O17" s="22"/>
    </row>
    <row r="18" spans="1:15" x14ac:dyDescent="0.35">
      <c r="A18" s="8"/>
      <c r="B18" s="21">
        <v>7</v>
      </c>
      <c r="C18" s="22"/>
      <c r="D18" s="21">
        <v>8</v>
      </c>
      <c r="E18" s="22"/>
      <c r="F18" s="25">
        <v>9</v>
      </c>
      <c r="G18" s="26">
        <v>10</v>
      </c>
      <c r="H18" s="21">
        <v>10</v>
      </c>
      <c r="I18" s="22">
        <v>11</v>
      </c>
      <c r="J18" s="21">
        <v>11</v>
      </c>
      <c r="K18" s="22">
        <v>11</v>
      </c>
      <c r="L18" s="21">
        <v>12</v>
      </c>
      <c r="M18" s="22"/>
      <c r="N18" s="21">
        <v>13</v>
      </c>
      <c r="O18" s="22"/>
    </row>
    <row r="19" spans="1:15" x14ac:dyDescent="0.35">
      <c r="A19" s="9">
        <v>10</v>
      </c>
      <c r="B19" s="7"/>
      <c r="C19" s="7"/>
      <c r="D19" s="7"/>
      <c r="E19" s="7"/>
      <c r="F19" s="10"/>
      <c r="G19" s="10"/>
      <c r="H19" s="7"/>
      <c r="I19" s="7"/>
      <c r="J19" s="7"/>
      <c r="K19" s="7"/>
      <c r="L19" s="7"/>
      <c r="M19" s="7"/>
      <c r="N19" s="7"/>
      <c r="O19" s="7"/>
    </row>
    <row r="20" spans="1:15" x14ac:dyDescent="0.35">
      <c r="A20" s="9">
        <v>11</v>
      </c>
      <c r="B20" s="7"/>
      <c r="C20" s="7"/>
      <c r="D20" s="7"/>
      <c r="E20" s="7"/>
      <c r="F20" s="10"/>
      <c r="G20" s="10"/>
      <c r="H20" s="7"/>
      <c r="I20" s="7"/>
      <c r="J20" s="7"/>
      <c r="K20" s="7"/>
      <c r="L20" s="7"/>
      <c r="M20" s="7"/>
      <c r="N20" s="7"/>
      <c r="O20" s="7"/>
    </row>
    <row r="21" spans="1:15" x14ac:dyDescent="0.35">
      <c r="A21" s="9">
        <v>12</v>
      </c>
      <c r="B21" s="7"/>
      <c r="C21" s="7"/>
      <c r="D21" s="7"/>
      <c r="E21" s="7"/>
      <c r="F21" s="10"/>
      <c r="G21" s="10"/>
      <c r="H21" s="7"/>
      <c r="I21" s="7"/>
      <c r="J21" s="7"/>
      <c r="K21" s="7"/>
      <c r="L21" s="7"/>
      <c r="M21" s="7"/>
      <c r="N21" s="7"/>
      <c r="O21" s="7"/>
    </row>
    <row r="22" spans="1:15" x14ac:dyDescent="0.35">
      <c r="A22" s="9">
        <v>13</v>
      </c>
      <c r="B22" s="7"/>
      <c r="C22" s="7"/>
      <c r="D22" s="7"/>
      <c r="E22" s="7"/>
      <c r="F22" s="10"/>
      <c r="G22" s="10"/>
      <c r="H22" s="7"/>
      <c r="I22" s="7"/>
      <c r="J22" s="7"/>
      <c r="K22" s="7"/>
      <c r="L22" s="7"/>
      <c r="M22" s="7"/>
      <c r="N22" s="7"/>
      <c r="O22" s="7"/>
    </row>
    <row r="23" spans="1:15" x14ac:dyDescent="0.35">
      <c r="A23" s="9">
        <v>14</v>
      </c>
      <c r="B23" s="7"/>
      <c r="C23" s="7"/>
      <c r="D23" s="7"/>
      <c r="E23" s="7"/>
      <c r="F23" s="10"/>
      <c r="G23" s="10"/>
      <c r="H23" s="7"/>
      <c r="I23" s="7"/>
      <c r="J23" s="7"/>
      <c r="K23" s="7"/>
      <c r="L23" s="7"/>
      <c r="M23" s="7"/>
      <c r="N23" s="7"/>
      <c r="O23" s="7"/>
    </row>
    <row r="24" spans="1:15" x14ac:dyDescent="0.35">
      <c r="A24" s="9">
        <v>15</v>
      </c>
      <c r="B24" s="7"/>
      <c r="C24" s="7"/>
      <c r="D24" s="7"/>
      <c r="E24" s="7"/>
      <c r="F24" s="10"/>
      <c r="G24" s="10"/>
      <c r="H24" s="7"/>
      <c r="I24" s="7"/>
      <c r="J24" s="7"/>
      <c r="K24" s="7"/>
      <c r="L24" s="7"/>
      <c r="M24" s="7"/>
      <c r="N24" s="7"/>
      <c r="O24" s="7"/>
    </row>
    <row r="25" spans="1:15" x14ac:dyDescent="0.35">
      <c r="A25" s="9">
        <v>16</v>
      </c>
      <c r="B25" s="7"/>
      <c r="C25" s="7"/>
      <c r="D25" s="7"/>
      <c r="E25" s="7"/>
      <c r="F25" s="10"/>
      <c r="G25" s="10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9">
        <v>17</v>
      </c>
      <c r="B26" s="7"/>
      <c r="C26" s="7"/>
      <c r="D26" s="7"/>
      <c r="E26" s="7"/>
      <c r="F26" s="10"/>
      <c r="G26" s="10"/>
      <c r="H26" s="7"/>
      <c r="I26" s="7"/>
      <c r="J26" s="7"/>
      <c r="K26" s="7"/>
      <c r="L26" s="7"/>
      <c r="M26" s="7"/>
      <c r="N26" s="7"/>
      <c r="O26" s="7"/>
    </row>
    <row r="27" spans="1:15" x14ac:dyDescent="0.35">
      <c r="A27" s="9">
        <v>18</v>
      </c>
      <c r="B27" s="7"/>
      <c r="C27" s="7"/>
      <c r="D27" s="7"/>
      <c r="E27" s="7"/>
      <c r="F27" s="10"/>
      <c r="G27" s="10"/>
      <c r="H27" s="7"/>
      <c r="I27" s="7"/>
      <c r="J27" s="7"/>
      <c r="K27" s="7"/>
      <c r="L27" s="7"/>
      <c r="M27" s="7"/>
      <c r="N27" s="7"/>
      <c r="O27" s="7"/>
    </row>
    <row r="28" spans="1:15" x14ac:dyDescent="0.35">
      <c r="A28" s="9">
        <v>19</v>
      </c>
      <c r="B28" s="7"/>
      <c r="C28" s="7"/>
      <c r="D28" s="7"/>
      <c r="E28" s="7"/>
      <c r="F28" s="10"/>
      <c r="G28" s="10"/>
      <c r="H28" s="7"/>
      <c r="I28" s="7"/>
      <c r="J28" s="7"/>
      <c r="K28" s="7"/>
      <c r="L28" s="7"/>
      <c r="M28" s="7"/>
      <c r="N28" s="7"/>
      <c r="O28" s="7"/>
    </row>
    <row r="30" spans="1:15" x14ac:dyDescent="0.35">
      <c r="A30" s="8"/>
      <c r="B30" s="21" t="s">
        <v>60</v>
      </c>
      <c r="C30" s="22"/>
      <c r="D30" s="21" t="s">
        <v>54</v>
      </c>
      <c r="E30" s="22"/>
      <c r="F30" s="21" t="s">
        <v>55</v>
      </c>
      <c r="G30" s="22"/>
      <c r="H30" s="21" t="s">
        <v>56</v>
      </c>
      <c r="I30" s="22"/>
      <c r="J30" s="21" t="s">
        <v>57</v>
      </c>
      <c r="K30" s="22"/>
      <c r="L30" s="21" t="s">
        <v>58</v>
      </c>
      <c r="M30" s="22"/>
      <c r="N30" s="21" t="s">
        <v>59</v>
      </c>
      <c r="O30" s="22"/>
    </row>
    <row r="31" spans="1:15" x14ac:dyDescent="0.35">
      <c r="A31" s="8"/>
      <c r="B31" s="21">
        <v>14</v>
      </c>
      <c r="C31" s="22"/>
      <c r="D31" s="21">
        <v>15</v>
      </c>
      <c r="E31" s="22"/>
      <c r="F31" s="21">
        <v>16</v>
      </c>
      <c r="G31" s="22"/>
      <c r="H31" s="21">
        <v>17</v>
      </c>
      <c r="I31" s="22"/>
      <c r="J31" s="21">
        <v>18</v>
      </c>
      <c r="K31" s="22"/>
      <c r="L31" s="21">
        <v>19</v>
      </c>
      <c r="M31" s="22"/>
      <c r="N31" s="21">
        <v>20</v>
      </c>
      <c r="O31" s="22"/>
    </row>
    <row r="32" spans="1:15" x14ac:dyDescent="0.35">
      <c r="A32" s="9">
        <v>10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35">
      <c r="A33" s="9">
        <v>11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5">
      <c r="A34" s="9">
        <v>12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5">
      <c r="A35" s="9">
        <v>13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5">
      <c r="A36" s="9">
        <v>14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5">
      <c r="A37" s="9">
        <v>15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5">
      <c r="A38" s="9">
        <v>16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5">
      <c r="A39" s="9">
        <v>17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5">
      <c r="A40" s="9">
        <v>18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5">
      <c r="A41" s="9">
        <v>19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3" spans="1:15" x14ac:dyDescent="0.35">
      <c r="A43" s="8"/>
      <c r="B43" s="21" t="s">
        <v>60</v>
      </c>
      <c r="C43" s="22"/>
      <c r="D43" s="21" t="s">
        <v>54</v>
      </c>
      <c r="E43" s="22"/>
      <c r="F43" s="21" t="s">
        <v>55</v>
      </c>
      <c r="G43" s="22"/>
      <c r="H43" s="21" t="s">
        <v>56</v>
      </c>
      <c r="I43" s="22"/>
      <c r="J43" s="21" t="s">
        <v>57</v>
      </c>
      <c r="K43" s="22"/>
      <c r="L43" s="21" t="s">
        <v>58</v>
      </c>
      <c r="M43" s="22"/>
      <c r="N43" s="21" t="s">
        <v>59</v>
      </c>
      <c r="O43" s="22"/>
    </row>
    <row r="44" spans="1:15" x14ac:dyDescent="0.35">
      <c r="A44" s="8"/>
      <c r="B44" s="21">
        <v>21</v>
      </c>
      <c r="C44" s="22"/>
      <c r="D44" s="21">
        <v>22</v>
      </c>
      <c r="E44" s="22"/>
      <c r="F44" s="21">
        <v>23</v>
      </c>
      <c r="G44" s="22"/>
      <c r="H44" s="21">
        <v>24</v>
      </c>
      <c r="I44" s="22"/>
      <c r="J44" s="21">
        <v>25</v>
      </c>
      <c r="K44" s="22"/>
      <c r="L44" s="21">
        <v>26</v>
      </c>
      <c r="M44" s="22"/>
      <c r="N44" s="21">
        <v>27</v>
      </c>
      <c r="O44" s="22"/>
    </row>
    <row r="45" spans="1:15" x14ac:dyDescent="0.35">
      <c r="A45" s="9">
        <v>10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5">
      <c r="A46" s="9">
        <v>11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35">
      <c r="A47" s="9">
        <v>12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35">
      <c r="A48" s="9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35">
      <c r="A49" s="9">
        <v>14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35">
      <c r="A50" s="9">
        <v>15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35">
      <c r="A51" s="9">
        <v>16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35">
      <c r="A52" s="9">
        <v>17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35">
      <c r="A53" s="9">
        <v>18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35">
      <c r="A54" s="9">
        <v>19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6" spans="1:15" x14ac:dyDescent="0.35">
      <c r="A56" s="8"/>
      <c r="B56" s="21" t="s">
        <v>60</v>
      </c>
      <c r="C56" s="22"/>
      <c r="D56" s="21" t="s">
        <v>54</v>
      </c>
      <c r="E56" s="22"/>
      <c r="F56" s="21" t="s">
        <v>55</v>
      </c>
      <c r="G56" s="22"/>
      <c r="H56" s="21" t="s">
        <v>56</v>
      </c>
      <c r="I56" s="22"/>
    </row>
    <row r="57" spans="1:15" x14ac:dyDescent="0.35">
      <c r="A57" s="8"/>
      <c r="B57" s="21">
        <v>28</v>
      </c>
      <c r="C57" s="22"/>
      <c r="D57" s="21">
        <v>29</v>
      </c>
      <c r="E57" s="22"/>
      <c r="F57" s="21">
        <v>30</v>
      </c>
      <c r="G57" s="22"/>
      <c r="H57" s="21">
        <v>31</v>
      </c>
      <c r="I57" s="22"/>
    </row>
    <row r="58" spans="1:15" x14ac:dyDescent="0.35">
      <c r="A58" s="9">
        <v>10</v>
      </c>
      <c r="B58" s="7"/>
      <c r="C58" s="7"/>
      <c r="D58" s="7"/>
      <c r="E58" s="7"/>
      <c r="F58" s="7"/>
      <c r="G58" s="7"/>
      <c r="H58" s="7"/>
      <c r="I58" s="7"/>
    </row>
    <row r="59" spans="1:15" x14ac:dyDescent="0.35">
      <c r="A59" s="9">
        <v>11</v>
      </c>
      <c r="B59" s="7"/>
      <c r="C59" s="7"/>
      <c r="D59" s="7"/>
      <c r="E59" s="7"/>
      <c r="F59" s="7"/>
      <c r="G59" s="7"/>
      <c r="H59" s="7"/>
      <c r="I59" s="7"/>
    </row>
    <row r="60" spans="1:15" x14ac:dyDescent="0.35">
      <c r="A60" s="9">
        <v>12</v>
      </c>
      <c r="B60" s="7"/>
      <c r="C60" s="7"/>
      <c r="D60" s="7"/>
      <c r="E60" s="7"/>
      <c r="F60" s="7"/>
      <c r="G60" s="7"/>
      <c r="H60" s="7"/>
      <c r="I60" s="7"/>
    </row>
    <row r="61" spans="1:15" x14ac:dyDescent="0.35">
      <c r="A61" s="9">
        <v>13</v>
      </c>
      <c r="B61" s="7"/>
      <c r="C61" s="7"/>
      <c r="D61" s="7"/>
      <c r="E61" s="7"/>
      <c r="F61" s="7"/>
      <c r="G61" s="7"/>
      <c r="H61" s="7"/>
      <c r="I61" s="7"/>
    </row>
    <row r="62" spans="1:15" x14ac:dyDescent="0.35">
      <c r="A62" s="9">
        <v>14</v>
      </c>
      <c r="B62" s="7"/>
      <c r="C62" s="7"/>
      <c r="D62" s="7"/>
      <c r="E62" s="7"/>
      <c r="F62" s="7"/>
      <c r="G62" s="7"/>
      <c r="H62" s="7"/>
      <c r="I62" s="7"/>
    </row>
    <row r="63" spans="1:15" x14ac:dyDescent="0.35">
      <c r="A63" s="9">
        <v>15</v>
      </c>
      <c r="B63" s="7"/>
      <c r="C63" s="7"/>
      <c r="D63" s="7"/>
      <c r="E63" s="7"/>
      <c r="F63" s="7"/>
      <c r="G63" s="7"/>
      <c r="H63" s="7"/>
      <c r="I63" s="7"/>
    </row>
    <row r="64" spans="1:15" x14ac:dyDescent="0.35">
      <c r="A64" s="9">
        <v>16</v>
      </c>
      <c r="B64" s="7"/>
      <c r="C64" s="7"/>
      <c r="D64" s="7"/>
      <c r="E64" s="7"/>
      <c r="F64" s="7"/>
      <c r="G64" s="7"/>
      <c r="H64" s="7"/>
      <c r="I64" s="7"/>
    </row>
    <row r="65" spans="1:9" x14ac:dyDescent="0.35">
      <c r="A65" s="9">
        <v>17</v>
      </c>
      <c r="B65" s="7"/>
      <c r="C65" s="7"/>
      <c r="D65" s="7"/>
      <c r="E65" s="7"/>
      <c r="F65" s="7"/>
      <c r="G65" s="7"/>
      <c r="H65" s="7"/>
      <c r="I65" s="7"/>
    </row>
    <row r="66" spans="1:9" x14ac:dyDescent="0.35">
      <c r="A66" s="9">
        <v>18</v>
      </c>
      <c r="B66" s="7"/>
      <c r="C66" s="7"/>
      <c r="D66" s="7"/>
      <c r="E66" s="7"/>
      <c r="F66" s="7"/>
      <c r="G66" s="7"/>
      <c r="H66" s="7"/>
      <c r="I66" s="7"/>
    </row>
    <row r="67" spans="1:9" x14ac:dyDescent="0.35">
      <c r="A67" s="9">
        <v>19</v>
      </c>
      <c r="B67" s="7"/>
      <c r="C67" s="7"/>
      <c r="D67" s="7"/>
      <c r="E67" s="7"/>
      <c r="F67" s="7"/>
      <c r="G67" s="7"/>
      <c r="H67" s="7"/>
      <c r="I67" s="7"/>
    </row>
  </sheetData>
  <mergeCells count="65">
    <mergeCell ref="L4:M4"/>
    <mergeCell ref="L5:M5"/>
    <mergeCell ref="N4:O4"/>
    <mergeCell ref="N5:O5"/>
    <mergeCell ref="D4:E4"/>
    <mergeCell ref="D5:E5"/>
    <mergeCell ref="F4:G4"/>
    <mergeCell ref="F5:G5"/>
    <mergeCell ref="H4:I4"/>
    <mergeCell ref="H5:I5"/>
    <mergeCell ref="D18:E18"/>
    <mergeCell ref="F17:G17"/>
    <mergeCell ref="F18:G18"/>
    <mergeCell ref="J4:K4"/>
    <mergeCell ref="J5:K5"/>
    <mergeCell ref="Q10:T10"/>
    <mergeCell ref="Q12:T12"/>
    <mergeCell ref="N17:O17"/>
    <mergeCell ref="N18:O18"/>
    <mergeCell ref="B30:C30"/>
    <mergeCell ref="D30:E30"/>
    <mergeCell ref="F30:G30"/>
    <mergeCell ref="H17:I17"/>
    <mergeCell ref="H18:I18"/>
    <mergeCell ref="L17:M17"/>
    <mergeCell ref="L18:M18"/>
    <mergeCell ref="J17:K17"/>
    <mergeCell ref="J18:K18"/>
    <mergeCell ref="B17:C17"/>
    <mergeCell ref="B18:C18"/>
    <mergeCell ref="D17:E17"/>
    <mergeCell ref="H30:I30"/>
    <mergeCell ref="H31:I31"/>
    <mergeCell ref="J30:K30"/>
    <mergeCell ref="J31:K31"/>
    <mergeCell ref="L30:M30"/>
    <mergeCell ref="L31:M31"/>
    <mergeCell ref="N31:O31"/>
    <mergeCell ref="B43:C43"/>
    <mergeCell ref="B44:C44"/>
    <mergeCell ref="D43:E43"/>
    <mergeCell ref="D44:E44"/>
    <mergeCell ref="F43:G43"/>
    <mergeCell ref="F44:G44"/>
    <mergeCell ref="H43:I43"/>
    <mergeCell ref="H44:I44"/>
    <mergeCell ref="B31:C31"/>
    <mergeCell ref="D31:E31"/>
    <mergeCell ref="F31:G31"/>
    <mergeCell ref="H56:I56"/>
    <mergeCell ref="H57:I57"/>
    <mergeCell ref="Q11:U11"/>
    <mergeCell ref="B56:C56"/>
    <mergeCell ref="B57:C57"/>
    <mergeCell ref="D56:E56"/>
    <mergeCell ref="D57:E57"/>
    <mergeCell ref="F56:G56"/>
    <mergeCell ref="F57:G57"/>
    <mergeCell ref="J43:K43"/>
    <mergeCell ref="J44:K44"/>
    <mergeCell ref="L43:M43"/>
    <mergeCell ref="L44:M44"/>
    <mergeCell ref="N43:O43"/>
    <mergeCell ref="N44:O44"/>
    <mergeCell ref="N30:O30"/>
  </mergeCells>
  <dataValidations count="1">
    <dataValidation type="list" allowBlank="1" showInputMessage="1" showErrorMessage="1" sqref="D6:O15 B19:O28 B32:O41 B45:O54 B58:I67">
      <formula1>$R$5:$R$9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tabSelected="1" topLeftCell="C4" workbookViewId="0">
      <selection activeCell="T5" sqref="T5"/>
    </sheetView>
  </sheetViews>
  <sheetFormatPr baseColWidth="10" defaultRowHeight="14.5" x14ac:dyDescent="0.35"/>
  <cols>
    <col min="1" max="1" width="11.7265625" bestFit="1" customWidth="1"/>
    <col min="2" max="3" width="6.90625" customWidth="1"/>
    <col min="4" max="15" width="8.453125" customWidth="1"/>
    <col min="18" max="18" width="12.54296875" customWidth="1"/>
  </cols>
  <sheetData>
    <row r="1" spans="1:23" ht="18.5" x14ac:dyDescent="0.45">
      <c r="B1" s="11"/>
      <c r="C1" s="11"/>
    </row>
    <row r="3" spans="1:23" ht="15.5" x14ac:dyDescent="0.35">
      <c r="B3" s="12"/>
      <c r="C3" s="12"/>
    </row>
    <row r="4" spans="1:23" x14ac:dyDescent="0.35">
      <c r="B4" s="16"/>
      <c r="C4" s="16"/>
      <c r="D4" s="21" t="s">
        <v>54</v>
      </c>
      <c r="E4" s="22"/>
      <c r="F4" s="21" t="s">
        <v>55</v>
      </c>
      <c r="G4" s="22"/>
      <c r="H4" s="21" t="s">
        <v>56</v>
      </c>
      <c r="I4" s="22"/>
      <c r="J4" s="21" t="s">
        <v>57</v>
      </c>
      <c r="K4" s="22"/>
      <c r="L4" s="21" t="s">
        <v>58</v>
      </c>
      <c r="M4" s="22"/>
      <c r="N4" s="21" t="s">
        <v>59</v>
      </c>
      <c r="O4" s="22"/>
      <c r="Q4" s="7" t="s">
        <v>0</v>
      </c>
      <c r="R4" s="7" t="s">
        <v>66</v>
      </c>
      <c r="S4" s="7" t="s">
        <v>67</v>
      </c>
      <c r="T4" s="7" t="s">
        <v>68</v>
      </c>
      <c r="U4" s="15" t="s">
        <v>72</v>
      </c>
      <c r="V4" s="7" t="s">
        <v>69</v>
      </c>
    </row>
    <row r="5" spans="1:23" x14ac:dyDescent="0.35">
      <c r="B5" s="16"/>
      <c r="C5" s="16"/>
      <c r="D5" s="21">
        <v>1</v>
      </c>
      <c r="E5" s="22"/>
      <c r="F5" s="21">
        <v>2</v>
      </c>
      <c r="G5" s="22"/>
      <c r="H5" s="21">
        <v>3</v>
      </c>
      <c r="I5" s="22"/>
      <c r="J5" s="21">
        <v>4</v>
      </c>
      <c r="K5" s="22"/>
      <c r="L5" s="21">
        <v>5</v>
      </c>
      <c r="M5" s="22"/>
      <c r="N5" s="21">
        <v>6</v>
      </c>
      <c r="O5" s="22"/>
      <c r="Q5" s="13">
        <v>100</v>
      </c>
      <c r="R5" s="14" t="s">
        <v>77</v>
      </c>
      <c r="S5" s="18">
        <f>Hoja1!R7</f>
        <v>9395.6705511811015</v>
      </c>
      <c r="T5" s="7">
        <f>IF(OR(D7="F", D7 = "f"),5,E7-D7)+IF(OR(F7="F", F7 = "f"),5,G7-F7)+IF(OR(H7="F", H7 = "f"),5,I7-H7)+IF(OR(J7="F", J7 = "f"),5,K7-J7)</f>
        <v>19</v>
      </c>
      <c r="U5" s="7"/>
      <c r="V5" s="19">
        <f>S5*T5</f>
        <v>178517.74047244093</v>
      </c>
    </row>
    <row r="6" spans="1:23" x14ac:dyDescent="0.35">
      <c r="B6" s="16"/>
      <c r="C6" s="16"/>
      <c r="D6" s="27" t="s">
        <v>75</v>
      </c>
      <c r="E6" s="27" t="s">
        <v>76</v>
      </c>
      <c r="F6" s="27" t="s">
        <v>75</v>
      </c>
      <c r="G6" s="27" t="s">
        <v>76</v>
      </c>
      <c r="H6" s="27" t="s">
        <v>75</v>
      </c>
      <c r="I6" s="27" t="s">
        <v>76</v>
      </c>
      <c r="J6" s="27" t="s">
        <v>75</v>
      </c>
      <c r="K6" s="27" t="s">
        <v>76</v>
      </c>
      <c r="L6" s="27" t="s">
        <v>75</v>
      </c>
      <c r="M6" s="27" t="s">
        <v>76</v>
      </c>
      <c r="N6" s="27" t="s">
        <v>75</v>
      </c>
      <c r="O6" s="27" t="s">
        <v>76</v>
      </c>
      <c r="Q6" s="13">
        <v>101</v>
      </c>
      <c r="R6" s="14" t="s">
        <v>78</v>
      </c>
      <c r="S6" s="18">
        <f>Hoja1!R8</f>
        <v>9416.4058399999994</v>
      </c>
      <c r="T6" s="7">
        <f t="shared" ref="T6:T9" si="0">IF(OR(D8="F", D8 = "f"),5,E8-D8)</f>
        <v>5</v>
      </c>
      <c r="U6" s="7"/>
      <c r="V6" s="19">
        <f t="shared" ref="V6:V9" si="1">S6*T6</f>
        <v>47082.029199999997</v>
      </c>
    </row>
    <row r="7" spans="1:23" x14ac:dyDescent="0.35">
      <c r="A7" t="s">
        <v>77</v>
      </c>
      <c r="B7" s="17"/>
      <c r="C7" s="17"/>
      <c r="D7" s="7" t="s">
        <v>82</v>
      </c>
      <c r="E7" s="7"/>
      <c r="F7" s="7">
        <v>15</v>
      </c>
      <c r="G7" s="7">
        <v>20</v>
      </c>
      <c r="H7" s="7">
        <v>16</v>
      </c>
      <c r="I7" s="7">
        <v>20</v>
      </c>
      <c r="J7" s="7" t="s">
        <v>82</v>
      </c>
      <c r="K7" s="7"/>
      <c r="L7" s="7">
        <v>14</v>
      </c>
      <c r="M7" s="7">
        <v>20</v>
      </c>
      <c r="N7" s="7">
        <v>15</v>
      </c>
      <c r="O7" s="7">
        <v>20</v>
      </c>
      <c r="Q7" s="13">
        <v>102</v>
      </c>
      <c r="R7" s="14" t="s">
        <v>79</v>
      </c>
      <c r="S7" s="18">
        <f>Hoja1!R9</f>
        <v>9394.6692424242428</v>
      </c>
      <c r="T7" s="7">
        <f t="shared" si="0"/>
        <v>5</v>
      </c>
      <c r="U7" s="7"/>
      <c r="V7" s="19">
        <f t="shared" si="1"/>
        <v>46973.346212121214</v>
      </c>
    </row>
    <row r="8" spans="1:23" x14ac:dyDescent="0.35">
      <c r="A8" t="s">
        <v>78</v>
      </c>
      <c r="B8" s="17"/>
      <c r="C8" s="17"/>
      <c r="D8" s="7">
        <v>10</v>
      </c>
      <c r="E8" s="7">
        <v>15</v>
      </c>
      <c r="F8" s="7">
        <v>15</v>
      </c>
      <c r="G8" s="7">
        <v>20</v>
      </c>
      <c r="H8" s="7" t="s">
        <v>82</v>
      </c>
      <c r="I8" s="7"/>
      <c r="J8" s="7">
        <v>10</v>
      </c>
      <c r="K8" s="7">
        <v>14</v>
      </c>
      <c r="L8" s="7" t="s">
        <v>82</v>
      </c>
      <c r="M8" s="7"/>
      <c r="N8" s="7">
        <v>15</v>
      </c>
      <c r="O8" s="7">
        <v>20</v>
      </c>
      <c r="Q8" s="13">
        <v>103</v>
      </c>
      <c r="R8" s="14" t="s">
        <v>80</v>
      </c>
      <c r="S8" s="18">
        <f>Hoja1!R10</f>
        <v>9362.2716799999998</v>
      </c>
      <c r="T8" s="7">
        <f t="shared" si="0"/>
        <v>6</v>
      </c>
      <c r="U8" s="7"/>
      <c r="V8" s="19">
        <f t="shared" si="1"/>
        <v>56173.630080000003</v>
      </c>
    </row>
    <row r="9" spans="1:23" x14ac:dyDescent="0.35">
      <c r="A9" t="s">
        <v>79</v>
      </c>
      <c r="B9" s="17"/>
      <c r="C9" s="17"/>
      <c r="D9" s="7">
        <v>15</v>
      </c>
      <c r="E9" s="7">
        <v>20</v>
      </c>
      <c r="F9" s="7" t="s">
        <v>82</v>
      </c>
      <c r="G9" s="7"/>
      <c r="H9" s="7" t="s">
        <v>82</v>
      </c>
      <c r="I9" s="7"/>
      <c r="J9" s="7">
        <v>14</v>
      </c>
      <c r="K9" s="7">
        <v>20</v>
      </c>
      <c r="L9" s="7">
        <v>10</v>
      </c>
      <c r="M9" s="7">
        <v>15</v>
      </c>
      <c r="N9" s="7">
        <v>10</v>
      </c>
      <c r="O9" s="7">
        <v>15</v>
      </c>
      <c r="Q9" s="13">
        <v>104</v>
      </c>
      <c r="R9" s="14" t="s">
        <v>81</v>
      </c>
      <c r="S9" s="18">
        <f>Hoja1!R11</f>
        <v>9011.3813492063491</v>
      </c>
      <c r="T9" s="7">
        <f t="shared" si="0"/>
        <v>5</v>
      </c>
      <c r="U9" s="7"/>
      <c r="V9" s="19">
        <f t="shared" si="1"/>
        <v>45056.906746031746</v>
      </c>
    </row>
    <row r="10" spans="1:23" x14ac:dyDescent="0.35">
      <c r="A10" t="s">
        <v>80</v>
      </c>
      <c r="B10" s="17"/>
      <c r="C10" s="17"/>
      <c r="D10" s="7">
        <v>14</v>
      </c>
      <c r="E10" s="7">
        <v>20</v>
      </c>
      <c r="F10" s="7">
        <v>10</v>
      </c>
      <c r="G10" s="7">
        <v>15</v>
      </c>
      <c r="H10" s="7">
        <v>10</v>
      </c>
      <c r="I10" s="7">
        <v>14</v>
      </c>
      <c r="J10" s="7">
        <v>10</v>
      </c>
      <c r="K10" s="7">
        <v>14</v>
      </c>
      <c r="L10" s="7">
        <v>14</v>
      </c>
      <c r="M10" s="7">
        <v>20</v>
      </c>
      <c r="N10" s="7" t="s">
        <v>82</v>
      </c>
      <c r="O10" s="7"/>
      <c r="Q10" s="24" t="s">
        <v>15</v>
      </c>
      <c r="R10" s="24"/>
      <c r="S10" s="24"/>
      <c r="T10" s="24"/>
      <c r="U10" s="7"/>
      <c r="V10" s="19">
        <f>SUM(V5:V9)</f>
        <v>373803.65271059389</v>
      </c>
    </row>
    <row r="11" spans="1:23" x14ac:dyDescent="0.35">
      <c r="A11" t="s">
        <v>81</v>
      </c>
      <c r="B11" s="17"/>
      <c r="C11" s="17"/>
      <c r="D11" s="7">
        <v>10</v>
      </c>
      <c r="E11" s="7">
        <v>15</v>
      </c>
      <c r="F11" s="7">
        <v>10</v>
      </c>
      <c r="G11" s="7">
        <v>15</v>
      </c>
      <c r="H11" s="7">
        <v>14</v>
      </c>
      <c r="I11" s="7">
        <v>20</v>
      </c>
      <c r="J11" s="7">
        <v>14</v>
      </c>
      <c r="K11" s="7">
        <v>20</v>
      </c>
      <c r="L11" s="7" t="s">
        <v>82</v>
      </c>
      <c r="M11" s="7"/>
      <c r="N11" s="7">
        <v>10</v>
      </c>
      <c r="O11" s="7">
        <v>15</v>
      </c>
      <c r="Q11" s="23" t="s">
        <v>74</v>
      </c>
      <c r="R11" s="23"/>
      <c r="S11" s="23"/>
      <c r="T11" s="23"/>
      <c r="U11" s="23"/>
      <c r="V11" s="20" t="e">
        <f>V10/S2</f>
        <v>#DIV/0!</v>
      </c>
    </row>
    <row r="12" spans="1:23" x14ac:dyDescent="0.35">
      <c r="Q12" s="23" t="s">
        <v>70</v>
      </c>
      <c r="R12" s="23"/>
      <c r="S12" s="23"/>
      <c r="T12" s="23"/>
      <c r="W12" t="s">
        <v>71</v>
      </c>
    </row>
    <row r="13" spans="1:23" x14ac:dyDescent="0.35">
      <c r="B13" s="21" t="s">
        <v>60</v>
      </c>
      <c r="C13" s="22"/>
      <c r="D13" s="21" t="s">
        <v>54</v>
      </c>
      <c r="E13" s="22"/>
      <c r="F13" s="25" t="s">
        <v>55</v>
      </c>
      <c r="G13" s="26" t="s">
        <v>56</v>
      </c>
      <c r="H13" s="21" t="s">
        <v>56</v>
      </c>
      <c r="I13" s="22" t="s">
        <v>57</v>
      </c>
      <c r="J13" s="21" t="s">
        <v>57</v>
      </c>
      <c r="K13" s="22" t="s">
        <v>57</v>
      </c>
      <c r="L13" s="21" t="s">
        <v>58</v>
      </c>
      <c r="M13" s="22"/>
      <c r="N13" s="21" t="s">
        <v>59</v>
      </c>
      <c r="O13" s="22"/>
    </row>
    <row r="14" spans="1:23" x14ac:dyDescent="0.35">
      <c r="B14" s="21">
        <v>7</v>
      </c>
      <c r="C14" s="22"/>
      <c r="D14" s="21">
        <v>8</v>
      </c>
      <c r="E14" s="22"/>
      <c r="F14" s="25">
        <v>9</v>
      </c>
      <c r="G14" s="26">
        <v>10</v>
      </c>
      <c r="H14" s="21">
        <v>10</v>
      </c>
      <c r="I14" s="22">
        <v>11</v>
      </c>
      <c r="J14" s="21">
        <v>11</v>
      </c>
      <c r="K14" s="22">
        <v>11</v>
      </c>
      <c r="L14" s="21">
        <v>12</v>
      </c>
      <c r="M14" s="22"/>
      <c r="N14" s="21">
        <v>13</v>
      </c>
      <c r="O14" s="22"/>
    </row>
    <row r="15" spans="1:23" x14ac:dyDescent="0.35">
      <c r="B15" s="27" t="s">
        <v>75</v>
      </c>
      <c r="C15" s="27" t="s">
        <v>76</v>
      </c>
      <c r="D15" s="27" t="s">
        <v>75</v>
      </c>
      <c r="E15" s="27" t="s">
        <v>76</v>
      </c>
      <c r="F15" s="27" t="s">
        <v>75</v>
      </c>
      <c r="G15" s="27" t="s">
        <v>76</v>
      </c>
      <c r="H15" s="27" t="s">
        <v>75</v>
      </c>
      <c r="I15" s="27" t="s">
        <v>76</v>
      </c>
      <c r="J15" s="27" t="s">
        <v>75</v>
      </c>
      <c r="K15" s="27" t="s">
        <v>76</v>
      </c>
      <c r="L15" s="27" t="s">
        <v>75</v>
      </c>
      <c r="M15" s="27" t="s">
        <v>76</v>
      </c>
      <c r="N15" s="27" t="s">
        <v>75</v>
      </c>
      <c r="O15" s="27" t="s">
        <v>76</v>
      </c>
    </row>
    <row r="16" spans="1:23" x14ac:dyDescent="0.35">
      <c r="A16" t="s">
        <v>77</v>
      </c>
      <c r="B16" s="7"/>
      <c r="C16" s="7"/>
      <c r="D16" s="7"/>
      <c r="E16" s="7"/>
      <c r="F16" s="10"/>
      <c r="G16" s="10"/>
      <c r="H16" s="7"/>
      <c r="I16" s="7"/>
      <c r="J16" s="7"/>
      <c r="K16" s="7"/>
      <c r="L16" s="7"/>
      <c r="M16" s="7"/>
      <c r="N16" s="7"/>
      <c r="O16" s="7"/>
    </row>
    <row r="17" spans="1:15" x14ac:dyDescent="0.35">
      <c r="A17" t="s">
        <v>78</v>
      </c>
      <c r="B17" s="7"/>
      <c r="C17" s="7"/>
      <c r="D17" s="7"/>
      <c r="E17" s="7"/>
      <c r="F17" s="10"/>
      <c r="G17" s="10"/>
      <c r="H17" s="7"/>
      <c r="I17" s="7"/>
      <c r="J17" s="7"/>
      <c r="K17" s="7"/>
      <c r="L17" s="7"/>
      <c r="M17" s="7"/>
      <c r="N17" s="7"/>
      <c r="O17" s="7"/>
    </row>
    <row r="18" spans="1:15" x14ac:dyDescent="0.35">
      <c r="A18" t="s">
        <v>79</v>
      </c>
      <c r="B18" s="7"/>
      <c r="C18" s="7"/>
      <c r="D18" s="7"/>
      <c r="E18" s="7"/>
      <c r="F18" s="10"/>
      <c r="G18" s="10"/>
      <c r="H18" s="7"/>
      <c r="I18" s="7"/>
      <c r="J18" s="7"/>
      <c r="K18" s="7"/>
      <c r="L18" s="7"/>
      <c r="M18" s="7"/>
      <c r="N18" s="7"/>
      <c r="O18" s="7"/>
    </row>
    <row r="19" spans="1:15" x14ac:dyDescent="0.35">
      <c r="A19" t="s">
        <v>80</v>
      </c>
      <c r="B19" s="7"/>
      <c r="C19" s="7"/>
      <c r="D19" s="7"/>
      <c r="E19" s="7"/>
      <c r="F19" s="10"/>
      <c r="G19" s="10"/>
      <c r="H19" s="7"/>
      <c r="I19" s="7"/>
      <c r="J19" s="7"/>
      <c r="K19" s="7"/>
      <c r="L19" s="7"/>
      <c r="M19" s="7"/>
      <c r="N19" s="7"/>
      <c r="O19" s="7"/>
    </row>
    <row r="20" spans="1:15" x14ac:dyDescent="0.35">
      <c r="A20" t="s">
        <v>81</v>
      </c>
      <c r="B20" s="7"/>
      <c r="C20" s="7"/>
      <c r="D20" s="7"/>
      <c r="E20" s="7"/>
      <c r="F20" s="10"/>
      <c r="G20" s="10"/>
      <c r="H20" s="7"/>
      <c r="I20" s="7"/>
      <c r="J20" s="7"/>
      <c r="K20" s="7"/>
      <c r="L20" s="7"/>
      <c r="M20" s="7"/>
      <c r="N20" s="7"/>
      <c r="O20" s="7"/>
    </row>
    <row r="22" spans="1:15" x14ac:dyDescent="0.35">
      <c r="B22" s="21" t="s">
        <v>60</v>
      </c>
      <c r="C22" s="22"/>
      <c r="D22" s="21" t="s">
        <v>54</v>
      </c>
      <c r="E22" s="22"/>
      <c r="F22" s="21" t="s">
        <v>55</v>
      </c>
      <c r="G22" s="22"/>
      <c r="H22" s="21" t="s">
        <v>56</v>
      </c>
      <c r="I22" s="22"/>
      <c r="J22" s="21" t="s">
        <v>57</v>
      </c>
      <c r="K22" s="22"/>
      <c r="L22" s="21" t="s">
        <v>58</v>
      </c>
      <c r="M22" s="22"/>
      <c r="N22" s="21" t="s">
        <v>59</v>
      </c>
      <c r="O22" s="22"/>
    </row>
    <row r="23" spans="1:15" x14ac:dyDescent="0.35">
      <c r="B23" s="21">
        <v>14</v>
      </c>
      <c r="C23" s="22"/>
      <c r="D23" s="21">
        <v>15</v>
      </c>
      <c r="E23" s="22"/>
      <c r="F23" s="21">
        <v>16</v>
      </c>
      <c r="G23" s="22"/>
      <c r="H23" s="21">
        <v>17</v>
      </c>
      <c r="I23" s="22"/>
      <c r="J23" s="21">
        <v>18</v>
      </c>
      <c r="K23" s="22"/>
      <c r="L23" s="21">
        <v>19</v>
      </c>
      <c r="M23" s="22"/>
      <c r="N23" s="21">
        <v>20</v>
      </c>
      <c r="O23" s="22"/>
    </row>
    <row r="24" spans="1:15" x14ac:dyDescent="0.35">
      <c r="B24" s="27" t="s">
        <v>75</v>
      </c>
      <c r="C24" s="27" t="s">
        <v>76</v>
      </c>
      <c r="D24" s="27" t="s">
        <v>75</v>
      </c>
      <c r="E24" s="27" t="s">
        <v>76</v>
      </c>
      <c r="F24" s="27" t="s">
        <v>75</v>
      </c>
      <c r="G24" s="27" t="s">
        <v>76</v>
      </c>
      <c r="H24" s="27" t="s">
        <v>75</v>
      </c>
      <c r="I24" s="27" t="s">
        <v>76</v>
      </c>
      <c r="J24" s="27" t="s">
        <v>75</v>
      </c>
      <c r="K24" s="27" t="s">
        <v>76</v>
      </c>
      <c r="L24" s="27" t="s">
        <v>75</v>
      </c>
      <c r="M24" s="27" t="s">
        <v>76</v>
      </c>
      <c r="N24" s="27" t="s">
        <v>75</v>
      </c>
      <c r="O24" s="27" t="s">
        <v>76</v>
      </c>
    </row>
    <row r="25" spans="1:15" x14ac:dyDescent="0.35">
      <c r="A25" t="s">
        <v>77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t="s">
        <v>78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5">
      <c r="A27" t="s">
        <v>79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5">
      <c r="A28" t="s">
        <v>80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5">
      <c r="A29" t="s">
        <v>81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1" spans="1:15" x14ac:dyDescent="0.35">
      <c r="B31" s="21" t="s">
        <v>60</v>
      </c>
      <c r="C31" s="22"/>
      <c r="D31" s="21" t="s">
        <v>54</v>
      </c>
      <c r="E31" s="22"/>
      <c r="F31" s="21" t="s">
        <v>55</v>
      </c>
      <c r="G31" s="22"/>
      <c r="H31" s="21" t="s">
        <v>56</v>
      </c>
      <c r="I31" s="22"/>
      <c r="J31" s="21" t="s">
        <v>57</v>
      </c>
      <c r="K31" s="22"/>
      <c r="L31" s="21" t="s">
        <v>58</v>
      </c>
      <c r="M31" s="22"/>
      <c r="N31" s="21" t="s">
        <v>59</v>
      </c>
      <c r="O31" s="22"/>
    </row>
    <row r="32" spans="1:15" x14ac:dyDescent="0.35">
      <c r="B32" s="21">
        <v>21</v>
      </c>
      <c r="C32" s="22"/>
      <c r="D32" s="21">
        <v>22</v>
      </c>
      <c r="E32" s="22"/>
      <c r="F32" s="21">
        <v>23</v>
      </c>
      <c r="G32" s="22"/>
      <c r="H32" s="21">
        <v>24</v>
      </c>
      <c r="I32" s="22"/>
      <c r="J32" s="21">
        <v>25</v>
      </c>
      <c r="K32" s="22"/>
      <c r="L32" s="21">
        <v>26</v>
      </c>
      <c r="M32" s="22"/>
      <c r="N32" s="21">
        <v>27</v>
      </c>
      <c r="O32" s="22"/>
    </row>
    <row r="33" spans="1:15" x14ac:dyDescent="0.35">
      <c r="B33" s="27" t="s">
        <v>75</v>
      </c>
      <c r="C33" s="27" t="s">
        <v>76</v>
      </c>
      <c r="D33" s="27" t="s">
        <v>75</v>
      </c>
      <c r="E33" s="27" t="s">
        <v>76</v>
      </c>
      <c r="F33" s="27" t="s">
        <v>75</v>
      </c>
      <c r="G33" s="27" t="s">
        <v>76</v>
      </c>
      <c r="H33" s="27" t="s">
        <v>75</v>
      </c>
      <c r="I33" s="27" t="s">
        <v>76</v>
      </c>
      <c r="J33" s="27" t="s">
        <v>75</v>
      </c>
      <c r="K33" s="27" t="s">
        <v>76</v>
      </c>
      <c r="L33" s="27" t="s">
        <v>75</v>
      </c>
      <c r="M33" s="27" t="s">
        <v>76</v>
      </c>
      <c r="N33" s="27" t="s">
        <v>75</v>
      </c>
      <c r="O33" s="27" t="s">
        <v>76</v>
      </c>
    </row>
    <row r="34" spans="1:15" x14ac:dyDescent="0.35">
      <c r="A34" t="s">
        <v>77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5">
      <c r="A35" t="s">
        <v>78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5">
      <c r="A36" t="s">
        <v>79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5">
      <c r="A37" t="s">
        <v>80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5">
      <c r="A38" t="s">
        <v>81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40" spans="1:15" x14ac:dyDescent="0.35">
      <c r="B40" s="21" t="s">
        <v>60</v>
      </c>
      <c r="C40" s="22"/>
      <c r="D40" s="21" t="s">
        <v>54</v>
      </c>
      <c r="E40" s="22"/>
      <c r="F40" s="21" t="s">
        <v>55</v>
      </c>
      <c r="G40" s="22"/>
      <c r="H40" s="21" t="s">
        <v>56</v>
      </c>
      <c r="I40" s="22"/>
    </row>
    <row r="41" spans="1:15" x14ac:dyDescent="0.35">
      <c r="B41" s="21">
        <v>28</v>
      </c>
      <c r="C41" s="22"/>
      <c r="D41" s="21">
        <v>29</v>
      </c>
      <c r="E41" s="22"/>
      <c r="F41" s="21">
        <v>30</v>
      </c>
      <c r="G41" s="22"/>
      <c r="H41" s="21">
        <v>31</v>
      </c>
      <c r="I41" s="22"/>
    </row>
    <row r="42" spans="1:15" x14ac:dyDescent="0.35">
      <c r="B42" s="27" t="s">
        <v>75</v>
      </c>
      <c r="C42" s="27" t="s">
        <v>76</v>
      </c>
      <c r="D42" s="27" t="s">
        <v>75</v>
      </c>
      <c r="E42" s="27" t="s">
        <v>76</v>
      </c>
      <c r="F42" s="27" t="s">
        <v>75</v>
      </c>
      <c r="G42" s="27" t="s">
        <v>76</v>
      </c>
      <c r="H42" s="27" t="s">
        <v>75</v>
      </c>
      <c r="I42" s="27" t="s">
        <v>76</v>
      </c>
    </row>
    <row r="43" spans="1:15" x14ac:dyDescent="0.35">
      <c r="A43" t="s">
        <v>77</v>
      </c>
      <c r="B43" s="7"/>
      <c r="C43" s="7"/>
      <c r="D43" s="7"/>
      <c r="E43" s="7"/>
      <c r="F43" s="7"/>
      <c r="G43" s="7"/>
      <c r="H43" s="7"/>
      <c r="I43" s="7"/>
    </row>
    <row r="44" spans="1:15" x14ac:dyDescent="0.35">
      <c r="A44" t="s">
        <v>78</v>
      </c>
      <c r="B44" s="7" t="s">
        <v>83</v>
      </c>
      <c r="C44" s="7"/>
      <c r="D44" s="7"/>
      <c r="E44" s="7"/>
      <c r="F44" s="7"/>
      <c r="G44" s="7"/>
      <c r="H44" s="7"/>
      <c r="I44" s="7"/>
    </row>
    <row r="45" spans="1:15" x14ac:dyDescent="0.35">
      <c r="A45" t="s">
        <v>79</v>
      </c>
      <c r="B45" s="7" t="s">
        <v>82</v>
      </c>
      <c r="C45" s="7"/>
      <c r="D45" s="7"/>
      <c r="E45" s="7"/>
      <c r="F45" s="7"/>
      <c r="G45" s="7"/>
      <c r="H45" s="7"/>
      <c r="I45" s="7"/>
    </row>
    <row r="46" spans="1:15" x14ac:dyDescent="0.35">
      <c r="A46" t="s">
        <v>80</v>
      </c>
      <c r="B46" s="7"/>
      <c r="C46" s="7"/>
      <c r="D46" s="7"/>
      <c r="E46" s="7"/>
      <c r="F46" s="7"/>
      <c r="G46" s="7"/>
      <c r="H46" s="7"/>
      <c r="I46" s="7"/>
    </row>
    <row r="47" spans="1:15" x14ac:dyDescent="0.35">
      <c r="A47" t="s">
        <v>81</v>
      </c>
      <c r="B47" s="7"/>
      <c r="C47" s="7"/>
      <c r="D47" s="7"/>
      <c r="E47" s="7"/>
      <c r="F47" s="7"/>
      <c r="G47" s="7"/>
      <c r="H47" s="7"/>
      <c r="I47" s="7"/>
    </row>
  </sheetData>
  <mergeCells count="65">
    <mergeCell ref="Q10:T10"/>
    <mergeCell ref="Q11:U11"/>
    <mergeCell ref="Q12:T12"/>
    <mergeCell ref="B40:C40"/>
    <mergeCell ref="D40:E40"/>
    <mergeCell ref="F40:G40"/>
    <mergeCell ref="H40:I40"/>
    <mergeCell ref="B41:C41"/>
    <mergeCell ref="D41:E41"/>
    <mergeCell ref="F41:G41"/>
    <mergeCell ref="H41:I41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L13:M13"/>
    <mergeCell ref="D5:E5"/>
    <mergeCell ref="F5:G5"/>
    <mergeCell ref="H5:I5"/>
    <mergeCell ref="J5:K5"/>
    <mergeCell ref="L5:M5"/>
    <mergeCell ref="N5:O5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greso no válido" error="Ingresar sólo un número entero del 10 al 20 o F (Franco)">
          <x14:formula1>
            <xm:f>Hoja4!$A$1:$A$12</xm:f>
          </x14:formula1>
          <xm:sqref>D7:O11 B16:O20 B25:O29 B34:O38 B43:I47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13" sqref="A13"/>
    </sheetView>
  </sheetViews>
  <sheetFormatPr baseColWidth="10" defaultRowHeight="14.5" x14ac:dyDescent="0.35"/>
  <sheetData>
    <row r="1" spans="1:1" x14ac:dyDescent="0.35">
      <c r="A1">
        <v>10</v>
      </c>
    </row>
    <row r="2" spans="1:1" x14ac:dyDescent="0.35">
      <c r="A2">
        <v>11</v>
      </c>
    </row>
    <row r="3" spans="1:1" x14ac:dyDescent="0.35">
      <c r="A3">
        <v>12</v>
      </c>
    </row>
    <row r="4" spans="1:1" x14ac:dyDescent="0.35">
      <c r="A4">
        <v>13</v>
      </c>
    </row>
    <row r="5" spans="1:1" x14ac:dyDescent="0.35">
      <c r="A5">
        <v>14</v>
      </c>
    </row>
    <row r="6" spans="1:1" x14ac:dyDescent="0.35">
      <c r="A6">
        <v>15</v>
      </c>
    </row>
    <row r="7" spans="1:1" x14ac:dyDescent="0.35">
      <c r="A7">
        <v>16</v>
      </c>
    </row>
    <row r="8" spans="1:1" x14ac:dyDescent="0.35">
      <c r="A8">
        <v>17</v>
      </c>
    </row>
    <row r="9" spans="1:1" x14ac:dyDescent="0.35">
      <c r="A9">
        <v>18</v>
      </c>
    </row>
    <row r="10" spans="1:1" x14ac:dyDescent="0.35">
      <c r="A10">
        <v>19</v>
      </c>
    </row>
    <row r="11" spans="1:1" x14ac:dyDescent="0.35">
      <c r="A11">
        <v>20</v>
      </c>
    </row>
    <row r="12" spans="1:1" x14ac:dyDescent="0.35">
      <c r="A12" s="2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PC</cp:lastModifiedBy>
  <dcterms:created xsi:type="dcterms:W3CDTF">2025-06-13T15:02:15Z</dcterms:created>
  <dcterms:modified xsi:type="dcterms:W3CDTF">2025-06-23T17:56:42Z</dcterms:modified>
</cp:coreProperties>
</file>