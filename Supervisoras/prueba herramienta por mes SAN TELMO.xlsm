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val\Documents\Vale laburo\Castelli\Supervisoras\"/>
    </mc:Choice>
  </mc:AlternateContent>
  <bookViews>
    <workbookView xWindow="0" yWindow="0" windowWidth="23040" windowHeight="9192" activeTab="1"/>
  </bookViews>
  <sheets>
    <sheet name="Noviembre" sheetId="4" r:id="rId1"/>
    <sheet name="Diciembre" sheetId="10" r:id="rId2"/>
  </sheets>
  <functionGroups builtInGroupCount="18"/>
  <definedNames>
    <definedName name="_xlnm._FilterDatabase" localSheetId="1" hidden="1">Diciembre!#REF!</definedName>
    <definedName name="_xlnm._FilterDatabase" localSheetId="0" hidden="1">Noviembre!$A$21:$G$261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2" i="10" l="1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W268" i="10"/>
  <c r="W267" i="10"/>
  <c r="W266" i="10"/>
  <c r="W265" i="10"/>
  <c r="W264" i="10"/>
  <c r="W263" i="10"/>
  <c r="W260" i="10"/>
  <c r="W259" i="10"/>
  <c r="W258" i="10"/>
  <c r="W257" i="10"/>
  <c r="W256" i="10"/>
  <c r="W255" i="10"/>
  <c r="W252" i="10"/>
  <c r="W251" i="10"/>
  <c r="W250" i="10"/>
  <c r="W249" i="10"/>
  <c r="W248" i="10"/>
  <c r="W247" i="10"/>
  <c r="W245" i="10"/>
  <c r="W244" i="10"/>
  <c r="W243" i="10"/>
  <c r="W242" i="10"/>
  <c r="W241" i="10"/>
  <c r="W240" i="10"/>
  <c r="W239" i="10"/>
  <c r="W238" i="10"/>
  <c r="W237" i="10"/>
  <c r="W236" i="10"/>
  <c r="W235" i="10"/>
  <c r="W234" i="10"/>
  <c r="W233" i="10"/>
  <c r="W232" i="10"/>
  <c r="W231" i="10"/>
  <c r="W230" i="10"/>
  <c r="W228" i="10"/>
  <c r="W227" i="10"/>
  <c r="W226" i="10"/>
  <c r="W225" i="10"/>
  <c r="W224" i="10"/>
  <c r="W223" i="10"/>
  <c r="W212" i="10"/>
  <c r="W211" i="10"/>
  <c r="W210" i="10"/>
  <c r="W209" i="10"/>
  <c r="W208" i="10"/>
  <c r="W207" i="10"/>
  <c r="W204" i="10"/>
  <c r="W203" i="10"/>
  <c r="W202" i="10"/>
  <c r="W201" i="10"/>
  <c r="W200" i="10"/>
  <c r="W199" i="10"/>
  <c r="W196" i="10"/>
  <c r="W195" i="10"/>
  <c r="W194" i="10"/>
  <c r="W193" i="10"/>
  <c r="W192" i="10"/>
  <c r="W191" i="10"/>
  <c r="W189" i="10"/>
  <c r="W188" i="10"/>
  <c r="W187" i="10"/>
  <c r="W186" i="10"/>
  <c r="W185" i="10"/>
  <c r="W184" i="10"/>
  <c r="W183" i="10"/>
  <c r="W182" i="10"/>
  <c r="W181" i="10"/>
  <c r="W180" i="10"/>
  <c r="W179" i="10"/>
  <c r="W178" i="10"/>
  <c r="W177" i="10"/>
  <c r="W176" i="10"/>
  <c r="W175" i="10"/>
  <c r="W174" i="10"/>
  <c r="W172" i="10"/>
  <c r="W171" i="10"/>
  <c r="W170" i="10"/>
  <c r="W169" i="10"/>
  <c r="W168" i="10"/>
  <c r="W167" i="10"/>
  <c r="W164" i="10"/>
  <c r="W163" i="10"/>
  <c r="W162" i="10"/>
  <c r="W161" i="10"/>
  <c r="W160" i="10"/>
  <c r="W159" i="10"/>
  <c r="W156" i="10"/>
  <c r="W155" i="10"/>
  <c r="W154" i="10"/>
  <c r="W153" i="10"/>
  <c r="W152" i="10"/>
  <c r="W151" i="10"/>
  <c r="W148" i="10"/>
  <c r="W147" i="10"/>
  <c r="W146" i="10"/>
  <c r="W145" i="10"/>
  <c r="W144" i="10"/>
  <c r="W143" i="10"/>
  <c r="W140" i="10"/>
  <c r="W139" i="10"/>
  <c r="W138" i="10"/>
  <c r="W137" i="10"/>
  <c r="W136" i="10"/>
  <c r="W135" i="10"/>
  <c r="W133" i="10"/>
  <c r="W132" i="10"/>
  <c r="W131" i="10"/>
  <c r="W130" i="10"/>
  <c r="W129" i="10"/>
  <c r="W128" i="10"/>
  <c r="W127" i="10"/>
  <c r="W126" i="10"/>
  <c r="W125" i="10"/>
  <c r="W124" i="10"/>
  <c r="W123" i="10"/>
  <c r="W122" i="10"/>
  <c r="W121" i="10"/>
  <c r="W120" i="10"/>
  <c r="W119" i="10"/>
  <c r="W118" i="10"/>
  <c r="W116" i="10"/>
  <c r="W115" i="10"/>
  <c r="W114" i="10"/>
  <c r="W113" i="10"/>
  <c r="W112" i="10"/>
  <c r="W111" i="10"/>
  <c r="W108" i="10"/>
  <c r="W107" i="10"/>
  <c r="W106" i="10"/>
  <c r="W105" i="10"/>
  <c r="W104" i="10"/>
  <c r="W103" i="10"/>
  <c r="W100" i="10"/>
  <c r="W99" i="10"/>
  <c r="W98" i="10"/>
  <c r="W97" i="10"/>
  <c r="W96" i="10"/>
  <c r="W95" i="10"/>
  <c r="W92" i="10"/>
  <c r="W91" i="10"/>
  <c r="W90" i="10"/>
  <c r="W89" i="10"/>
  <c r="W88" i="10"/>
  <c r="W87" i="10"/>
  <c r="W84" i="10"/>
  <c r="W83" i="10"/>
  <c r="W82" i="10"/>
  <c r="W81" i="10"/>
  <c r="W80" i="10"/>
  <c r="W79" i="10"/>
  <c r="W77" i="10"/>
  <c r="W76" i="10"/>
  <c r="W75" i="10"/>
  <c r="W74" i="10"/>
  <c r="W73" i="10"/>
  <c r="W72" i="10"/>
  <c r="W71" i="10"/>
  <c r="W70" i="10"/>
  <c r="W69" i="10"/>
  <c r="W68" i="10"/>
  <c r="W67" i="10"/>
  <c r="W66" i="10"/>
  <c r="W65" i="10"/>
  <c r="W64" i="10"/>
  <c r="W63" i="10"/>
  <c r="W62" i="10"/>
  <c r="W60" i="10"/>
  <c r="W59" i="10"/>
  <c r="W58" i="10"/>
  <c r="W57" i="10"/>
  <c r="W56" i="10"/>
  <c r="W55" i="10"/>
  <c r="W52" i="10"/>
  <c r="W51" i="10"/>
  <c r="W50" i="10"/>
  <c r="W49" i="10"/>
  <c r="W48" i="10"/>
  <c r="W47" i="10"/>
  <c r="W44" i="10"/>
  <c r="W43" i="10"/>
  <c r="W42" i="10"/>
  <c r="W41" i="10"/>
  <c r="W40" i="10"/>
  <c r="W39" i="10"/>
  <c r="W36" i="10"/>
  <c r="Z269" i="10"/>
  <c r="Z268" i="10"/>
  <c r="Z267" i="10"/>
  <c r="Z266" i="10"/>
  <c r="Z265" i="10"/>
  <c r="Z264" i="10"/>
  <c r="Z263" i="10"/>
  <c r="Z262" i="10"/>
  <c r="R269" i="10"/>
  <c r="R268" i="10"/>
  <c r="R267" i="10"/>
  <c r="R266" i="10"/>
  <c r="R265" i="10"/>
  <c r="R264" i="10"/>
  <c r="R263" i="10"/>
  <c r="R262" i="10"/>
  <c r="J269" i="10"/>
  <c r="J268" i="10"/>
  <c r="J267" i="10"/>
  <c r="J266" i="10"/>
  <c r="J265" i="10"/>
  <c r="J264" i="10"/>
  <c r="J263" i="10"/>
  <c r="J262" i="10"/>
  <c r="G269" i="10"/>
  <c r="B269" i="10"/>
  <c r="G268" i="10"/>
  <c r="B268" i="10"/>
  <c r="G267" i="10"/>
  <c r="B267" i="10"/>
  <c r="G266" i="10"/>
  <c r="B266" i="10"/>
  <c r="G265" i="10"/>
  <c r="B265" i="10"/>
  <c r="G264" i="10"/>
  <c r="B264" i="10"/>
  <c r="G263" i="10"/>
  <c r="B263" i="10"/>
  <c r="G262" i="10"/>
  <c r="B262" i="10"/>
  <c r="I16" i="10"/>
  <c r="I15" i="10"/>
  <c r="I14" i="10"/>
  <c r="I13" i="10"/>
  <c r="I12" i="10"/>
  <c r="I11" i="10"/>
  <c r="I10" i="10"/>
  <c r="I9" i="10"/>
  <c r="I8" i="10"/>
  <c r="I7" i="10"/>
  <c r="I6" i="10"/>
  <c r="H16" i="10"/>
  <c r="H15" i="10"/>
  <c r="H14" i="10"/>
  <c r="H13" i="10"/>
  <c r="H12" i="10"/>
  <c r="H11" i="10"/>
  <c r="H10" i="10"/>
  <c r="H9" i="10"/>
  <c r="H8" i="10"/>
  <c r="H7" i="10"/>
  <c r="H6" i="10"/>
  <c r="G16" i="10"/>
  <c r="G15" i="10"/>
  <c r="G14" i="10"/>
  <c r="G13" i="10"/>
  <c r="G12" i="10"/>
  <c r="G11" i="10"/>
  <c r="G10" i="10"/>
  <c r="G9" i="10"/>
  <c r="G8" i="10"/>
  <c r="G7" i="10"/>
  <c r="G6" i="10"/>
  <c r="F16" i="10"/>
  <c r="F15" i="10"/>
  <c r="F14" i="10"/>
  <c r="F13" i="10"/>
  <c r="F12" i="10"/>
  <c r="F11" i="10"/>
  <c r="F10" i="10"/>
  <c r="F9" i="10"/>
  <c r="F8" i="10"/>
  <c r="F7" i="10"/>
  <c r="F6" i="10"/>
  <c r="E16" i="10"/>
  <c r="E15" i="10"/>
  <c r="E14" i="10"/>
  <c r="E13" i="10"/>
  <c r="E12" i="10"/>
  <c r="E11" i="10"/>
  <c r="E10" i="10"/>
  <c r="E9" i="10"/>
  <c r="E8" i="10"/>
  <c r="E7" i="10"/>
  <c r="E6" i="10"/>
  <c r="D16" i="10"/>
  <c r="D15" i="10"/>
  <c r="D14" i="10"/>
  <c r="D13" i="10"/>
  <c r="D12" i="10"/>
  <c r="D11" i="10"/>
  <c r="D10" i="10"/>
  <c r="D9" i="10"/>
  <c r="D8" i="10"/>
  <c r="D7" i="10"/>
  <c r="D6" i="10"/>
  <c r="C16" i="10"/>
  <c r="C15" i="10"/>
  <c r="C14" i="10"/>
  <c r="C13" i="10"/>
  <c r="C12" i="10"/>
  <c r="C11" i="10"/>
  <c r="C10" i="10"/>
  <c r="C9" i="10"/>
  <c r="C8" i="10"/>
  <c r="C7" i="10"/>
  <c r="C6" i="10"/>
  <c r="B16" i="10"/>
  <c r="B15" i="10"/>
  <c r="B14" i="10"/>
  <c r="B13" i="10"/>
  <c r="B12" i="10"/>
  <c r="B11" i="10"/>
  <c r="B10" i="10"/>
  <c r="B9" i="10"/>
  <c r="B8" i="10"/>
  <c r="B7" i="10"/>
  <c r="B6" i="10"/>
  <c r="Z261" i="10"/>
  <c r="R261" i="10"/>
  <c r="J261" i="10"/>
  <c r="G261" i="10"/>
  <c r="B261" i="10"/>
  <c r="Z260" i="10"/>
  <c r="R260" i="10"/>
  <c r="J260" i="10"/>
  <c r="G260" i="10"/>
  <c r="B260" i="10"/>
  <c r="Z259" i="10"/>
  <c r="R259" i="10"/>
  <c r="J259" i="10"/>
  <c r="G259" i="10"/>
  <c r="B259" i="10"/>
  <c r="Z258" i="10"/>
  <c r="R258" i="10"/>
  <c r="J258" i="10"/>
  <c r="G258" i="10"/>
  <c r="B258" i="10"/>
  <c r="Z257" i="10"/>
  <c r="R257" i="10"/>
  <c r="J257" i="10"/>
  <c r="G257" i="10"/>
  <c r="B257" i="10"/>
  <c r="Z256" i="10"/>
  <c r="R256" i="10"/>
  <c r="J256" i="10"/>
  <c r="G256" i="10"/>
  <c r="B256" i="10"/>
  <c r="Z255" i="10"/>
  <c r="R255" i="10"/>
  <c r="J255" i="10"/>
  <c r="G255" i="10"/>
  <c r="B255" i="10"/>
  <c r="Z254" i="10"/>
  <c r="R254" i="10"/>
  <c r="J254" i="10"/>
  <c r="G254" i="10"/>
  <c r="B254" i="10"/>
  <c r="Z253" i="10"/>
  <c r="R253" i="10"/>
  <c r="J253" i="10"/>
  <c r="G253" i="10"/>
  <c r="B253" i="10"/>
  <c r="Z252" i="10"/>
  <c r="R252" i="10"/>
  <c r="J252" i="10"/>
  <c r="G252" i="10"/>
  <c r="B252" i="10"/>
  <c r="Z251" i="10"/>
  <c r="R251" i="10"/>
  <c r="J251" i="10"/>
  <c r="G251" i="10"/>
  <c r="B251" i="10"/>
  <c r="Z250" i="10"/>
  <c r="R250" i="10"/>
  <c r="J250" i="10"/>
  <c r="G250" i="10"/>
  <c r="B250" i="10"/>
  <c r="Z249" i="10"/>
  <c r="R249" i="10"/>
  <c r="J249" i="10"/>
  <c r="G249" i="10"/>
  <c r="B249" i="10"/>
  <c r="Z248" i="10"/>
  <c r="R248" i="10"/>
  <c r="J248" i="10"/>
  <c r="G248" i="10"/>
  <c r="B248" i="10"/>
  <c r="Z247" i="10"/>
  <c r="R247" i="10"/>
  <c r="J247" i="10"/>
  <c r="G247" i="10"/>
  <c r="B247" i="10"/>
  <c r="Z246" i="10"/>
  <c r="R246" i="10"/>
  <c r="J246" i="10"/>
  <c r="G246" i="10"/>
  <c r="B246" i="10"/>
  <c r="Z245" i="10"/>
  <c r="R245" i="10"/>
  <c r="J245" i="10"/>
  <c r="G245" i="10"/>
  <c r="B245" i="10"/>
  <c r="Z244" i="10"/>
  <c r="R244" i="10"/>
  <c r="J244" i="10"/>
  <c r="G244" i="10"/>
  <c r="B244" i="10"/>
  <c r="Z243" i="10"/>
  <c r="R243" i="10"/>
  <c r="J243" i="10"/>
  <c r="G243" i="10"/>
  <c r="B243" i="10"/>
  <c r="Z242" i="10"/>
  <c r="R242" i="10"/>
  <c r="J242" i="10"/>
  <c r="G242" i="10"/>
  <c r="B242" i="10"/>
  <c r="Z241" i="10"/>
  <c r="R241" i="10"/>
  <c r="J241" i="10"/>
  <c r="G241" i="10"/>
  <c r="B241" i="10"/>
  <c r="Z240" i="10"/>
  <c r="R240" i="10"/>
  <c r="J240" i="10"/>
  <c r="G240" i="10"/>
  <c r="B240" i="10"/>
  <c r="Z239" i="10"/>
  <c r="R239" i="10"/>
  <c r="J239" i="10"/>
  <c r="G239" i="10"/>
  <c r="B239" i="10"/>
  <c r="Z238" i="10"/>
  <c r="R238" i="10"/>
  <c r="J238" i="10"/>
  <c r="G238" i="10"/>
  <c r="B238" i="10"/>
  <c r="Z237" i="10"/>
  <c r="R237" i="10"/>
  <c r="J237" i="10"/>
  <c r="G237" i="10"/>
  <c r="B237" i="10"/>
  <c r="Z236" i="10"/>
  <c r="R236" i="10"/>
  <c r="J236" i="10"/>
  <c r="G236" i="10"/>
  <c r="B236" i="10"/>
  <c r="Z235" i="10"/>
  <c r="R235" i="10"/>
  <c r="J235" i="10"/>
  <c r="G235" i="10"/>
  <c r="B235" i="10"/>
  <c r="Z234" i="10"/>
  <c r="R234" i="10"/>
  <c r="J234" i="10"/>
  <c r="G234" i="10"/>
  <c r="B234" i="10"/>
  <c r="Z233" i="10"/>
  <c r="R233" i="10"/>
  <c r="J233" i="10"/>
  <c r="G233" i="10"/>
  <c r="B233" i="10"/>
  <c r="Z232" i="10"/>
  <c r="R232" i="10"/>
  <c r="J232" i="10"/>
  <c r="G232" i="10"/>
  <c r="B232" i="10"/>
  <c r="Z231" i="10"/>
  <c r="R231" i="10"/>
  <c r="J231" i="10"/>
  <c r="G231" i="10"/>
  <c r="B231" i="10"/>
  <c r="Z230" i="10"/>
  <c r="R230" i="10"/>
  <c r="J230" i="10"/>
  <c r="G230" i="10"/>
  <c r="B230" i="10"/>
  <c r="Z229" i="10"/>
  <c r="R229" i="10"/>
  <c r="J229" i="10"/>
  <c r="G229" i="10"/>
  <c r="B229" i="10"/>
  <c r="Z228" i="10"/>
  <c r="R228" i="10"/>
  <c r="J228" i="10"/>
  <c r="G228" i="10"/>
  <c r="B228" i="10"/>
  <c r="Z227" i="10"/>
  <c r="R227" i="10"/>
  <c r="J227" i="10"/>
  <c r="G227" i="10"/>
  <c r="B227" i="10"/>
  <c r="Z226" i="10"/>
  <c r="R226" i="10"/>
  <c r="J226" i="10"/>
  <c r="G226" i="10"/>
  <c r="B226" i="10"/>
  <c r="Z225" i="10"/>
  <c r="R225" i="10"/>
  <c r="J225" i="10"/>
  <c r="G225" i="10"/>
  <c r="B225" i="10"/>
  <c r="Z224" i="10"/>
  <c r="R224" i="10"/>
  <c r="J224" i="10"/>
  <c r="G224" i="10"/>
  <c r="B224" i="10"/>
  <c r="Z223" i="10"/>
  <c r="R223" i="10"/>
  <c r="J223" i="10"/>
  <c r="G223" i="10"/>
  <c r="B223" i="10"/>
  <c r="Z222" i="10"/>
  <c r="R222" i="10"/>
  <c r="J222" i="10"/>
  <c r="G222" i="10"/>
  <c r="B222" i="10"/>
  <c r="Z221" i="10"/>
  <c r="R221" i="10"/>
  <c r="J221" i="10"/>
  <c r="B221" i="10"/>
  <c r="Z220" i="10"/>
  <c r="R220" i="10"/>
  <c r="J220" i="10"/>
  <c r="B220" i="10"/>
  <c r="Z219" i="10"/>
  <c r="R219" i="10"/>
  <c r="J219" i="10"/>
  <c r="B219" i="10"/>
  <c r="Z218" i="10"/>
  <c r="R218" i="10"/>
  <c r="J218" i="10"/>
  <c r="B218" i="10"/>
  <c r="Z217" i="10"/>
  <c r="R217" i="10"/>
  <c r="J217" i="10"/>
  <c r="B217" i="10"/>
  <c r="Z216" i="10"/>
  <c r="R216" i="10"/>
  <c r="J216" i="10"/>
  <c r="B216" i="10"/>
  <c r="Z215" i="10"/>
  <c r="R215" i="10"/>
  <c r="J215" i="10"/>
  <c r="B215" i="10"/>
  <c r="Z214" i="10"/>
  <c r="R214" i="10"/>
  <c r="J214" i="10"/>
  <c r="B214" i="10"/>
  <c r="Z213" i="10"/>
  <c r="R213" i="10"/>
  <c r="J213" i="10"/>
  <c r="G213" i="10"/>
  <c r="B213" i="10"/>
  <c r="Z212" i="10"/>
  <c r="R212" i="10"/>
  <c r="J212" i="10"/>
  <c r="G212" i="10"/>
  <c r="B212" i="10"/>
  <c r="Z211" i="10"/>
  <c r="R211" i="10"/>
  <c r="J211" i="10"/>
  <c r="G211" i="10"/>
  <c r="B211" i="10"/>
  <c r="Z210" i="10"/>
  <c r="R210" i="10"/>
  <c r="J210" i="10"/>
  <c r="G210" i="10"/>
  <c r="B210" i="10"/>
  <c r="Z209" i="10"/>
  <c r="R209" i="10"/>
  <c r="J209" i="10"/>
  <c r="G209" i="10"/>
  <c r="B209" i="10"/>
  <c r="Z208" i="10"/>
  <c r="R208" i="10"/>
  <c r="J208" i="10"/>
  <c r="G208" i="10"/>
  <c r="B208" i="10"/>
  <c r="Z207" i="10"/>
  <c r="R207" i="10"/>
  <c r="J207" i="10"/>
  <c r="G207" i="10"/>
  <c r="B207" i="10"/>
  <c r="Z206" i="10"/>
  <c r="R206" i="10"/>
  <c r="J206" i="10"/>
  <c r="G206" i="10"/>
  <c r="B206" i="10"/>
  <c r="Z205" i="10"/>
  <c r="R205" i="10"/>
  <c r="J205" i="10"/>
  <c r="G205" i="10"/>
  <c r="B205" i="10"/>
  <c r="Z204" i="10"/>
  <c r="R204" i="10"/>
  <c r="J204" i="10"/>
  <c r="G204" i="10"/>
  <c r="B204" i="10"/>
  <c r="Z203" i="10"/>
  <c r="R203" i="10"/>
  <c r="J203" i="10"/>
  <c r="G203" i="10"/>
  <c r="B203" i="10"/>
  <c r="Z202" i="10"/>
  <c r="R202" i="10"/>
  <c r="J202" i="10"/>
  <c r="G202" i="10"/>
  <c r="B202" i="10"/>
  <c r="Z201" i="10"/>
  <c r="R201" i="10"/>
  <c r="J201" i="10"/>
  <c r="G201" i="10"/>
  <c r="B201" i="10"/>
  <c r="Z200" i="10"/>
  <c r="R200" i="10"/>
  <c r="J200" i="10"/>
  <c r="G200" i="10"/>
  <c r="B200" i="10"/>
  <c r="Z199" i="10"/>
  <c r="R199" i="10"/>
  <c r="J199" i="10"/>
  <c r="G199" i="10"/>
  <c r="B199" i="10"/>
  <c r="Z198" i="10"/>
  <c r="R198" i="10"/>
  <c r="J198" i="10"/>
  <c r="G198" i="10"/>
  <c r="B198" i="10"/>
  <c r="Z197" i="10"/>
  <c r="R197" i="10"/>
  <c r="J197" i="10"/>
  <c r="G197" i="10"/>
  <c r="B197" i="10"/>
  <c r="Z196" i="10"/>
  <c r="R196" i="10"/>
  <c r="J196" i="10"/>
  <c r="G196" i="10"/>
  <c r="B196" i="10"/>
  <c r="Z195" i="10"/>
  <c r="R195" i="10"/>
  <c r="J195" i="10"/>
  <c r="G195" i="10"/>
  <c r="B195" i="10"/>
  <c r="Z194" i="10"/>
  <c r="R194" i="10"/>
  <c r="J194" i="10"/>
  <c r="G194" i="10"/>
  <c r="B194" i="10"/>
  <c r="Z193" i="10"/>
  <c r="R193" i="10"/>
  <c r="J193" i="10"/>
  <c r="G193" i="10"/>
  <c r="B193" i="10"/>
  <c r="Z192" i="10"/>
  <c r="R192" i="10"/>
  <c r="J192" i="10"/>
  <c r="G192" i="10"/>
  <c r="B192" i="10"/>
  <c r="Z191" i="10"/>
  <c r="R191" i="10"/>
  <c r="J191" i="10"/>
  <c r="G191" i="10"/>
  <c r="B191" i="10"/>
  <c r="Z190" i="10"/>
  <c r="R190" i="10"/>
  <c r="J190" i="10"/>
  <c r="G190" i="10"/>
  <c r="B190" i="10"/>
  <c r="Z189" i="10"/>
  <c r="R189" i="10"/>
  <c r="J189" i="10"/>
  <c r="G189" i="10"/>
  <c r="B189" i="10"/>
  <c r="Z188" i="10"/>
  <c r="R188" i="10"/>
  <c r="J188" i="10"/>
  <c r="G188" i="10"/>
  <c r="B188" i="10"/>
  <c r="Z187" i="10"/>
  <c r="R187" i="10"/>
  <c r="J187" i="10"/>
  <c r="G187" i="10"/>
  <c r="B187" i="10"/>
  <c r="Z186" i="10"/>
  <c r="R186" i="10"/>
  <c r="J186" i="10"/>
  <c r="G186" i="10"/>
  <c r="B186" i="10"/>
  <c r="Z185" i="10"/>
  <c r="R185" i="10"/>
  <c r="J185" i="10"/>
  <c r="G185" i="10"/>
  <c r="B185" i="10"/>
  <c r="Z184" i="10"/>
  <c r="R184" i="10"/>
  <c r="J184" i="10"/>
  <c r="G184" i="10"/>
  <c r="B184" i="10"/>
  <c r="Z183" i="10"/>
  <c r="R183" i="10"/>
  <c r="J183" i="10"/>
  <c r="G183" i="10"/>
  <c r="B183" i="10"/>
  <c r="Z182" i="10"/>
  <c r="R182" i="10"/>
  <c r="J182" i="10"/>
  <c r="G182" i="10"/>
  <c r="B182" i="10"/>
  <c r="Z181" i="10"/>
  <c r="R181" i="10"/>
  <c r="J181" i="10"/>
  <c r="G181" i="10"/>
  <c r="B181" i="10"/>
  <c r="Z180" i="10"/>
  <c r="R180" i="10"/>
  <c r="J180" i="10"/>
  <c r="G180" i="10"/>
  <c r="B180" i="10"/>
  <c r="Z179" i="10"/>
  <c r="R179" i="10"/>
  <c r="J179" i="10"/>
  <c r="G179" i="10"/>
  <c r="B179" i="10"/>
  <c r="Z178" i="10"/>
  <c r="R178" i="10"/>
  <c r="J178" i="10"/>
  <c r="G178" i="10"/>
  <c r="B178" i="10"/>
  <c r="Z177" i="10"/>
  <c r="R177" i="10"/>
  <c r="J177" i="10"/>
  <c r="G177" i="10"/>
  <c r="B177" i="10"/>
  <c r="Z176" i="10"/>
  <c r="R176" i="10"/>
  <c r="J176" i="10"/>
  <c r="G176" i="10"/>
  <c r="B176" i="10"/>
  <c r="Z175" i="10"/>
  <c r="R175" i="10"/>
  <c r="J175" i="10"/>
  <c r="G175" i="10"/>
  <c r="B175" i="10"/>
  <c r="Z174" i="10"/>
  <c r="R174" i="10"/>
  <c r="J174" i="10"/>
  <c r="G174" i="10"/>
  <c r="B174" i="10"/>
  <c r="Z173" i="10"/>
  <c r="R173" i="10"/>
  <c r="J173" i="10"/>
  <c r="G173" i="10"/>
  <c r="B173" i="10"/>
  <c r="Z172" i="10"/>
  <c r="R172" i="10"/>
  <c r="J172" i="10"/>
  <c r="G172" i="10"/>
  <c r="B172" i="10"/>
  <c r="Z171" i="10"/>
  <c r="R171" i="10"/>
  <c r="J171" i="10"/>
  <c r="G171" i="10"/>
  <c r="B171" i="10"/>
  <c r="Z170" i="10"/>
  <c r="R170" i="10"/>
  <c r="J170" i="10"/>
  <c r="G170" i="10"/>
  <c r="B170" i="10"/>
  <c r="Z169" i="10"/>
  <c r="R169" i="10"/>
  <c r="J169" i="10"/>
  <c r="G169" i="10"/>
  <c r="B169" i="10"/>
  <c r="Z168" i="10"/>
  <c r="R168" i="10"/>
  <c r="J168" i="10"/>
  <c r="G168" i="10"/>
  <c r="B168" i="10"/>
  <c r="Z167" i="10"/>
  <c r="R167" i="10"/>
  <c r="J167" i="10"/>
  <c r="G167" i="10"/>
  <c r="B167" i="10"/>
  <c r="Z166" i="10"/>
  <c r="R166" i="10"/>
  <c r="J166" i="10"/>
  <c r="G166" i="10"/>
  <c r="B166" i="10"/>
  <c r="Z165" i="10"/>
  <c r="R165" i="10"/>
  <c r="J165" i="10"/>
  <c r="G165" i="10"/>
  <c r="B165" i="10"/>
  <c r="Z164" i="10"/>
  <c r="R164" i="10"/>
  <c r="J164" i="10"/>
  <c r="G164" i="10"/>
  <c r="B164" i="10"/>
  <c r="Z163" i="10"/>
  <c r="R163" i="10"/>
  <c r="J163" i="10"/>
  <c r="G163" i="10"/>
  <c r="B163" i="10"/>
  <c r="Z162" i="10"/>
  <c r="R162" i="10"/>
  <c r="J162" i="10"/>
  <c r="G162" i="10"/>
  <c r="B162" i="10"/>
  <c r="Z161" i="10"/>
  <c r="R161" i="10"/>
  <c r="J161" i="10"/>
  <c r="G161" i="10"/>
  <c r="B161" i="10"/>
  <c r="Z160" i="10"/>
  <c r="R160" i="10"/>
  <c r="J160" i="10"/>
  <c r="G160" i="10"/>
  <c r="B160" i="10"/>
  <c r="Z159" i="10"/>
  <c r="R159" i="10"/>
  <c r="J159" i="10"/>
  <c r="G159" i="10"/>
  <c r="B159" i="10"/>
  <c r="Z158" i="10"/>
  <c r="R158" i="10"/>
  <c r="J158" i="10"/>
  <c r="G158" i="10"/>
  <c r="B158" i="10"/>
  <c r="Z157" i="10"/>
  <c r="R157" i="10"/>
  <c r="J157" i="10"/>
  <c r="G157" i="10"/>
  <c r="B157" i="10"/>
  <c r="Z156" i="10"/>
  <c r="R156" i="10"/>
  <c r="J156" i="10"/>
  <c r="G156" i="10"/>
  <c r="B156" i="10"/>
  <c r="Z155" i="10"/>
  <c r="R155" i="10"/>
  <c r="J155" i="10"/>
  <c r="G155" i="10"/>
  <c r="B155" i="10"/>
  <c r="Z154" i="10"/>
  <c r="R154" i="10"/>
  <c r="J154" i="10"/>
  <c r="G154" i="10"/>
  <c r="B154" i="10"/>
  <c r="Z153" i="10"/>
  <c r="R153" i="10"/>
  <c r="J153" i="10"/>
  <c r="G153" i="10"/>
  <c r="B153" i="10"/>
  <c r="Z152" i="10"/>
  <c r="R152" i="10"/>
  <c r="J152" i="10"/>
  <c r="G152" i="10"/>
  <c r="B152" i="10"/>
  <c r="Z151" i="10"/>
  <c r="R151" i="10"/>
  <c r="J151" i="10"/>
  <c r="G151" i="10"/>
  <c r="B151" i="10"/>
  <c r="Z150" i="10"/>
  <c r="R150" i="10"/>
  <c r="J150" i="10"/>
  <c r="G150" i="10"/>
  <c r="B150" i="10"/>
  <c r="Z149" i="10"/>
  <c r="R149" i="10"/>
  <c r="J149" i="10"/>
  <c r="G149" i="10"/>
  <c r="B149" i="10"/>
  <c r="Z148" i="10"/>
  <c r="R148" i="10"/>
  <c r="J148" i="10"/>
  <c r="G148" i="10"/>
  <c r="B148" i="10"/>
  <c r="Z147" i="10"/>
  <c r="R147" i="10"/>
  <c r="J147" i="10"/>
  <c r="G147" i="10"/>
  <c r="B147" i="10"/>
  <c r="Z146" i="10"/>
  <c r="R146" i="10"/>
  <c r="J146" i="10"/>
  <c r="G146" i="10"/>
  <c r="B146" i="10"/>
  <c r="Z145" i="10"/>
  <c r="R145" i="10"/>
  <c r="J145" i="10"/>
  <c r="G145" i="10"/>
  <c r="B145" i="10"/>
  <c r="Z144" i="10"/>
  <c r="R144" i="10"/>
  <c r="J144" i="10"/>
  <c r="G144" i="10"/>
  <c r="B144" i="10"/>
  <c r="Z143" i="10"/>
  <c r="R143" i="10"/>
  <c r="J143" i="10"/>
  <c r="G143" i="10"/>
  <c r="B143" i="10"/>
  <c r="Z142" i="10"/>
  <c r="R142" i="10"/>
  <c r="J142" i="10"/>
  <c r="G142" i="10"/>
  <c r="B142" i="10"/>
  <c r="Z141" i="10"/>
  <c r="R141" i="10"/>
  <c r="J141" i="10"/>
  <c r="G141" i="10"/>
  <c r="B141" i="10"/>
  <c r="Z140" i="10"/>
  <c r="R140" i="10"/>
  <c r="J140" i="10"/>
  <c r="G140" i="10"/>
  <c r="B140" i="10"/>
  <c r="Z139" i="10"/>
  <c r="R139" i="10"/>
  <c r="J139" i="10"/>
  <c r="G139" i="10"/>
  <c r="B139" i="10"/>
  <c r="Z138" i="10"/>
  <c r="R138" i="10"/>
  <c r="J138" i="10"/>
  <c r="G138" i="10"/>
  <c r="B138" i="10"/>
  <c r="Z137" i="10"/>
  <c r="R137" i="10"/>
  <c r="J137" i="10"/>
  <c r="G137" i="10"/>
  <c r="B137" i="10"/>
  <c r="Z136" i="10"/>
  <c r="R136" i="10"/>
  <c r="J136" i="10"/>
  <c r="G136" i="10"/>
  <c r="B136" i="10"/>
  <c r="Z135" i="10"/>
  <c r="R135" i="10"/>
  <c r="J135" i="10"/>
  <c r="G135" i="10"/>
  <c r="B135" i="10"/>
  <c r="Z134" i="10"/>
  <c r="R134" i="10"/>
  <c r="J134" i="10"/>
  <c r="G134" i="10"/>
  <c r="B134" i="10"/>
  <c r="Z133" i="10"/>
  <c r="R133" i="10"/>
  <c r="J133" i="10"/>
  <c r="G133" i="10"/>
  <c r="B133" i="10"/>
  <c r="Z132" i="10"/>
  <c r="R132" i="10"/>
  <c r="J132" i="10"/>
  <c r="G132" i="10"/>
  <c r="B132" i="10"/>
  <c r="Z131" i="10"/>
  <c r="R131" i="10"/>
  <c r="J131" i="10"/>
  <c r="G131" i="10"/>
  <c r="B131" i="10"/>
  <c r="Z130" i="10"/>
  <c r="R130" i="10"/>
  <c r="J130" i="10"/>
  <c r="G130" i="10"/>
  <c r="B130" i="10"/>
  <c r="Z129" i="10"/>
  <c r="R129" i="10"/>
  <c r="J129" i="10"/>
  <c r="G129" i="10"/>
  <c r="B129" i="10"/>
  <c r="Z128" i="10"/>
  <c r="R128" i="10"/>
  <c r="J128" i="10"/>
  <c r="G128" i="10"/>
  <c r="B128" i="10"/>
  <c r="Z127" i="10"/>
  <c r="R127" i="10"/>
  <c r="J127" i="10"/>
  <c r="G127" i="10"/>
  <c r="B127" i="10"/>
  <c r="Z126" i="10"/>
  <c r="R126" i="10"/>
  <c r="J126" i="10"/>
  <c r="G126" i="10"/>
  <c r="B126" i="10"/>
  <c r="Z125" i="10"/>
  <c r="R125" i="10"/>
  <c r="J125" i="10"/>
  <c r="G125" i="10"/>
  <c r="B125" i="10"/>
  <c r="Z124" i="10"/>
  <c r="R124" i="10"/>
  <c r="J124" i="10"/>
  <c r="G124" i="10"/>
  <c r="B124" i="10"/>
  <c r="Z123" i="10"/>
  <c r="R123" i="10"/>
  <c r="J123" i="10"/>
  <c r="G123" i="10"/>
  <c r="B123" i="10"/>
  <c r="Z122" i="10"/>
  <c r="R122" i="10"/>
  <c r="J122" i="10"/>
  <c r="G122" i="10"/>
  <c r="B122" i="10"/>
  <c r="Z121" i="10"/>
  <c r="R121" i="10"/>
  <c r="J121" i="10"/>
  <c r="G121" i="10"/>
  <c r="B121" i="10"/>
  <c r="Z120" i="10"/>
  <c r="R120" i="10"/>
  <c r="J120" i="10"/>
  <c r="G120" i="10"/>
  <c r="B120" i="10"/>
  <c r="Z119" i="10"/>
  <c r="R119" i="10"/>
  <c r="J119" i="10"/>
  <c r="G119" i="10"/>
  <c r="B119" i="10"/>
  <c r="Z118" i="10"/>
  <c r="R118" i="10"/>
  <c r="J118" i="10"/>
  <c r="G118" i="10"/>
  <c r="B118" i="10"/>
  <c r="Z117" i="10"/>
  <c r="R117" i="10"/>
  <c r="J117" i="10"/>
  <c r="G117" i="10"/>
  <c r="B117" i="10"/>
  <c r="Z116" i="10"/>
  <c r="R116" i="10"/>
  <c r="J116" i="10"/>
  <c r="G116" i="10"/>
  <c r="B116" i="10"/>
  <c r="Z115" i="10"/>
  <c r="R115" i="10"/>
  <c r="J115" i="10"/>
  <c r="G115" i="10"/>
  <c r="B115" i="10"/>
  <c r="Z114" i="10"/>
  <c r="R114" i="10"/>
  <c r="J114" i="10"/>
  <c r="G114" i="10"/>
  <c r="B114" i="10"/>
  <c r="Z113" i="10"/>
  <c r="R113" i="10"/>
  <c r="J113" i="10"/>
  <c r="G113" i="10"/>
  <c r="B113" i="10"/>
  <c r="Z112" i="10"/>
  <c r="R112" i="10"/>
  <c r="J112" i="10"/>
  <c r="G112" i="10"/>
  <c r="B112" i="10"/>
  <c r="Z111" i="10"/>
  <c r="R111" i="10"/>
  <c r="J111" i="10"/>
  <c r="G111" i="10"/>
  <c r="B111" i="10"/>
  <c r="Z110" i="10"/>
  <c r="R110" i="10"/>
  <c r="J110" i="10"/>
  <c r="G110" i="10"/>
  <c r="B110" i="10"/>
  <c r="Z109" i="10"/>
  <c r="R109" i="10"/>
  <c r="J109" i="10"/>
  <c r="G109" i="10"/>
  <c r="B109" i="10"/>
  <c r="Z108" i="10"/>
  <c r="R108" i="10"/>
  <c r="J108" i="10"/>
  <c r="G108" i="10"/>
  <c r="B108" i="10"/>
  <c r="Z107" i="10"/>
  <c r="R107" i="10"/>
  <c r="J107" i="10"/>
  <c r="G107" i="10"/>
  <c r="B107" i="10"/>
  <c r="Z106" i="10"/>
  <c r="R106" i="10"/>
  <c r="J106" i="10"/>
  <c r="G106" i="10"/>
  <c r="B106" i="10"/>
  <c r="Z105" i="10"/>
  <c r="R105" i="10"/>
  <c r="J105" i="10"/>
  <c r="G105" i="10"/>
  <c r="B105" i="10"/>
  <c r="Z104" i="10"/>
  <c r="R104" i="10"/>
  <c r="J104" i="10"/>
  <c r="G104" i="10"/>
  <c r="B104" i="10"/>
  <c r="Z103" i="10"/>
  <c r="R103" i="10"/>
  <c r="J103" i="10"/>
  <c r="G103" i="10"/>
  <c r="B103" i="10"/>
  <c r="Z102" i="10"/>
  <c r="R102" i="10"/>
  <c r="J102" i="10"/>
  <c r="G102" i="10"/>
  <c r="B102" i="10"/>
  <c r="Z101" i="10"/>
  <c r="R101" i="10"/>
  <c r="J101" i="10"/>
  <c r="G101" i="10"/>
  <c r="B101" i="10"/>
  <c r="Z100" i="10"/>
  <c r="R100" i="10"/>
  <c r="J100" i="10"/>
  <c r="G100" i="10"/>
  <c r="B100" i="10"/>
  <c r="Z99" i="10"/>
  <c r="R99" i="10"/>
  <c r="J99" i="10"/>
  <c r="G99" i="10"/>
  <c r="B99" i="10"/>
  <c r="Z98" i="10"/>
  <c r="R98" i="10"/>
  <c r="J98" i="10"/>
  <c r="G98" i="10"/>
  <c r="B98" i="10"/>
  <c r="Z97" i="10"/>
  <c r="R97" i="10"/>
  <c r="J97" i="10"/>
  <c r="G97" i="10"/>
  <c r="B97" i="10"/>
  <c r="Z96" i="10"/>
  <c r="R96" i="10"/>
  <c r="J96" i="10"/>
  <c r="G96" i="10"/>
  <c r="B96" i="10"/>
  <c r="Z95" i="10"/>
  <c r="R95" i="10"/>
  <c r="J95" i="10"/>
  <c r="G95" i="10"/>
  <c r="B95" i="10"/>
  <c r="Z94" i="10"/>
  <c r="R94" i="10"/>
  <c r="J94" i="10"/>
  <c r="G94" i="10"/>
  <c r="B94" i="10"/>
  <c r="Z93" i="10"/>
  <c r="R93" i="10"/>
  <c r="J93" i="10"/>
  <c r="G93" i="10"/>
  <c r="B93" i="10"/>
  <c r="Z92" i="10"/>
  <c r="R92" i="10"/>
  <c r="J92" i="10"/>
  <c r="G92" i="10"/>
  <c r="B92" i="10"/>
  <c r="Z91" i="10"/>
  <c r="R91" i="10"/>
  <c r="J91" i="10"/>
  <c r="G91" i="10"/>
  <c r="B91" i="10"/>
  <c r="Z90" i="10"/>
  <c r="R90" i="10"/>
  <c r="J90" i="10"/>
  <c r="G90" i="10"/>
  <c r="B90" i="10"/>
  <c r="Z89" i="10"/>
  <c r="R89" i="10"/>
  <c r="J89" i="10"/>
  <c r="G89" i="10"/>
  <c r="B89" i="10"/>
  <c r="Z88" i="10"/>
  <c r="R88" i="10"/>
  <c r="J88" i="10"/>
  <c r="G88" i="10"/>
  <c r="B88" i="10"/>
  <c r="Z87" i="10"/>
  <c r="R87" i="10"/>
  <c r="J87" i="10"/>
  <c r="G87" i="10"/>
  <c r="B87" i="10"/>
  <c r="Z86" i="10"/>
  <c r="R86" i="10"/>
  <c r="J86" i="10"/>
  <c r="G86" i="10"/>
  <c r="B86" i="10"/>
  <c r="Z85" i="10"/>
  <c r="R85" i="10"/>
  <c r="J85" i="10"/>
  <c r="G85" i="10"/>
  <c r="B85" i="10"/>
  <c r="Z84" i="10"/>
  <c r="R84" i="10"/>
  <c r="J84" i="10"/>
  <c r="G84" i="10"/>
  <c r="B84" i="10"/>
  <c r="Z83" i="10"/>
  <c r="R83" i="10"/>
  <c r="J83" i="10"/>
  <c r="G83" i="10"/>
  <c r="B83" i="10"/>
  <c r="Z82" i="10"/>
  <c r="R82" i="10"/>
  <c r="J82" i="10"/>
  <c r="G82" i="10"/>
  <c r="B82" i="10"/>
  <c r="Z81" i="10"/>
  <c r="R81" i="10"/>
  <c r="J81" i="10"/>
  <c r="G81" i="10"/>
  <c r="B81" i="10"/>
  <c r="Z80" i="10"/>
  <c r="R80" i="10"/>
  <c r="J80" i="10"/>
  <c r="G80" i="10"/>
  <c r="B80" i="10"/>
  <c r="Z79" i="10"/>
  <c r="R79" i="10"/>
  <c r="J79" i="10"/>
  <c r="G79" i="10"/>
  <c r="B79" i="10"/>
  <c r="Z78" i="10"/>
  <c r="R78" i="10"/>
  <c r="J78" i="10"/>
  <c r="G78" i="10"/>
  <c r="B78" i="10"/>
  <c r="Z77" i="10"/>
  <c r="R77" i="10"/>
  <c r="J77" i="10"/>
  <c r="G77" i="10"/>
  <c r="B77" i="10"/>
  <c r="Z76" i="10"/>
  <c r="R76" i="10"/>
  <c r="J76" i="10"/>
  <c r="G76" i="10"/>
  <c r="B76" i="10"/>
  <c r="Z75" i="10"/>
  <c r="R75" i="10"/>
  <c r="J75" i="10"/>
  <c r="G75" i="10"/>
  <c r="B75" i="10"/>
  <c r="Z74" i="10"/>
  <c r="R74" i="10"/>
  <c r="J74" i="10"/>
  <c r="G74" i="10"/>
  <c r="B74" i="10"/>
  <c r="Z73" i="10"/>
  <c r="R73" i="10"/>
  <c r="J73" i="10"/>
  <c r="G73" i="10"/>
  <c r="B73" i="10"/>
  <c r="Z72" i="10"/>
  <c r="R72" i="10"/>
  <c r="J72" i="10"/>
  <c r="G72" i="10"/>
  <c r="B72" i="10"/>
  <c r="Z71" i="10"/>
  <c r="R71" i="10"/>
  <c r="J71" i="10"/>
  <c r="G71" i="10"/>
  <c r="B71" i="10"/>
  <c r="Z70" i="10"/>
  <c r="R70" i="10"/>
  <c r="J70" i="10"/>
  <c r="G70" i="10"/>
  <c r="B70" i="10"/>
  <c r="Z69" i="10"/>
  <c r="R69" i="10"/>
  <c r="J69" i="10"/>
  <c r="G69" i="10"/>
  <c r="B69" i="10"/>
  <c r="Z68" i="10"/>
  <c r="R68" i="10"/>
  <c r="J68" i="10"/>
  <c r="G68" i="10"/>
  <c r="B68" i="10"/>
  <c r="Z67" i="10"/>
  <c r="R67" i="10"/>
  <c r="J67" i="10"/>
  <c r="G67" i="10"/>
  <c r="B67" i="10"/>
  <c r="Z66" i="10"/>
  <c r="R66" i="10"/>
  <c r="J66" i="10"/>
  <c r="G66" i="10"/>
  <c r="B66" i="10"/>
  <c r="Z65" i="10"/>
  <c r="R65" i="10"/>
  <c r="J65" i="10"/>
  <c r="G65" i="10"/>
  <c r="B65" i="10"/>
  <c r="Z64" i="10"/>
  <c r="R64" i="10"/>
  <c r="J64" i="10"/>
  <c r="G64" i="10"/>
  <c r="B64" i="10"/>
  <c r="Z63" i="10"/>
  <c r="R63" i="10"/>
  <c r="J63" i="10"/>
  <c r="G63" i="10"/>
  <c r="B63" i="10"/>
  <c r="Z62" i="10"/>
  <c r="R62" i="10"/>
  <c r="J62" i="10"/>
  <c r="G62" i="10"/>
  <c r="B62" i="10"/>
  <c r="Z61" i="10"/>
  <c r="R61" i="10"/>
  <c r="J61" i="10"/>
  <c r="G61" i="10"/>
  <c r="B61" i="10"/>
  <c r="Z60" i="10"/>
  <c r="R60" i="10"/>
  <c r="J60" i="10"/>
  <c r="G60" i="10"/>
  <c r="B60" i="10"/>
  <c r="Z59" i="10"/>
  <c r="R59" i="10"/>
  <c r="J59" i="10"/>
  <c r="G59" i="10"/>
  <c r="B59" i="10"/>
  <c r="Z58" i="10"/>
  <c r="R58" i="10"/>
  <c r="J58" i="10"/>
  <c r="G58" i="10"/>
  <c r="B58" i="10"/>
  <c r="Z57" i="10"/>
  <c r="R57" i="10"/>
  <c r="J57" i="10"/>
  <c r="G57" i="10"/>
  <c r="B57" i="10"/>
  <c r="Z56" i="10"/>
  <c r="R56" i="10"/>
  <c r="J56" i="10"/>
  <c r="G56" i="10"/>
  <c r="B56" i="10"/>
  <c r="Z55" i="10"/>
  <c r="R55" i="10"/>
  <c r="J55" i="10"/>
  <c r="G55" i="10"/>
  <c r="B55" i="10"/>
  <c r="Z54" i="10"/>
  <c r="R54" i="10"/>
  <c r="J54" i="10"/>
  <c r="G54" i="10"/>
  <c r="B54" i="10"/>
  <c r="Z53" i="10"/>
  <c r="R53" i="10"/>
  <c r="J53" i="10"/>
  <c r="G53" i="10"/>
  <c r="B53" i="10"/>
  <c r="Z52" i="10"/>
  <c r="R52" i="10"/>
  <c r="J52" i="10"/>
  <c r="G52" i="10"/>
  <c r="B52" i="10"/>
  <c r="Z51" i="10"/>
  <c r="R51" i="10"/>
  <c r="J51" i="10"/>
  <c r="G51" i="10"/>
  <c r="B51" i="10"/>
  <c r="Z50" i="10"/>
  <c r="R50" i="10"/>
  <c r="J50" i="10"/>
  <c r="G50" i="10"/>
  <c r="B50" i="10"/>
  <c r="Z49" i="10"/>
  <c r="R49" i="10"/>
  <c r="J49" i="10"/>
  <c r="G49" i="10"/>
  <c r="B49" i="10"/>
  <c r="Z48" i="10"/>
  <c r="R48" i="10"/>
  <c r="J48" i="10"/>
  <c r="G48" i="10"/>
  <c r="B48" i="10"/>
  <c r="Z47" i="10"/>
  <c r="R47" i="10"/>
  <c r="J47" i="10"/>
  <c r="G47" i="10"/>
  <c r="B47" i="10"/>
  <c r="Z46" i="10"/>
  <c r="R46" i="10"/>
  <c r="J46" i="10"/>
  <c r="G46" i="10"/>
  <c r="B46" i="10"/>
  <c r="Z45" i="10"/>
  <c r="R45" i="10"/>
  <c r="J45" i="10"/>
  <c r="G45" i="10"/>
  <c r="B45" i="10"/>
  <c r="Z44" i="10"/>
  <c r="R44" i="10"/>
  <c r="J44" i="10"/>
  <c r="G44" i="10"/>
  <c r="B44" i="10"/>
  <c r="Z43" i="10"/>
  <c r="R43" i="10"/>
  <c r="J43" i="10"/>
  <c r="G43" i="10"/>
  <c r="B43" i="10"/>
  <c r="Z42" i="10"/>
  <c r="R42" i="10"/>
  <c r="J42" i="10"/>
  <c r="G42" i="10"/>
  <c r="B42" i="10"/>
  <c r="Z41" i="10"/>
  <c r="R41" i="10"/>
  <c r="J41" i="10"/>
  <c r="G41" i="10"/>
  <c r="B41" i="10"/>
  <c r="Z40" i="10"/>
  <c r="R40" i="10"/>
  <c r="J40" i="10"/>
  <c r="G40" i="10"/>
  <c r="B40" i="10"/>
  <c r="Z39" i="10"/>
  <c r="R39" i="10"/>
  <c r="J39" i="10"/>
  <c r="G39" i="10"/>
  <c r="B39" i="10"/>
  <c r="Z38" i="10"/>
  <c r="R38" i="10"/>
  <c r="J38" i="10"/>
  <c r="G38" i="10"/>
  <c r="B38" i="10"/>
  <c r="Z37" i="10"/>
  <c r="R37" i="10"/>
  <c r="J37" i="10"/>
  <c r="G37" i="10"/>
  <c r="B37" i="10"/>
  <c r="Z36" i="10"/>
  <c r="R36" i="10"/>
  <c r="J36" i="10"/>
  <c r="G36" i="10"/>
  <c r="B36" i="10"/>
  <c r="Z35" i="10"/>
  <c r="W35" i="10"/>
  <c r="R35" i="10"/>
  <c r="J35" i="10"/>
  <c r="G35" i="10"/>
  <c r="B35" i="10"/>
  <c r="Z34" i="10"/>
  <c r="W34" i="10"/>
  <c r="R34" i="10"/>
  <c r="J34" i="10"/>
  <c r="G34" i="10"/>
  <c r="B34" i="10"/>
  <c r="Z33" i="10"/>
  <c r="W33" i="10"/>
  <c r="R33" i="10"/>
  <c r="J33" i="10"/>
  <c r="G33" i="10"/>
  <c r="B33" i="10"/>
  <c r="Z32" i="10"/>
  <c r="W32" i="10"/>
  <c r="R32" i="10"/>
  <c r="J32" i="10"/>
  <c r="G32" i="10"/>
  <c r="B32" i="10"/>
  <c r="Z31" i="10"/>
  <c r="W31" i="10"/>
  <c r="R31" i="10"/>
  <c r="J31" i="10"/>
  <c r="G31" i="10"/>
  <c r="B31" i="10"/>
  <c r="Z30" i="10"/>
  <c r="R30" i="10"/>
  <c r="J30" i="10"/>
  <c r="G30" i="10"/>
  <c r="B30" i="10"/>
  <c r="Z29" i="10"/>
  <c r="R29" i="10"/>
  <c r="J29" i="10"/>
  <c r="G29" i="10"/>
  <c r="B29" i="10"/>
  <c r="Z28" i="10"/>
  <c r="W28" i="10"/>
  <c r="R28" i="10"/>
  <c r="J28" i="10"/>
  <c r="G28" i="10"/>
  <c r="B28" i="10"/>
  <c r="Z27" i="10"/>
  <c r="W27" i="10"/>
  <c r="R27" i="10"/>
  <c r="J27" i="10"/>
  <c r="G27" i="10"/>
  <c r="B27" i="10"/>
  <c r="Z26" i="10"/>
  <c r="W26" i="10"/>
  <c r="R26" i="10"/>
  <c r="J26" i="10"/>
  <c r="G26" i="10"/>
  <c r="B26" i="10"/>
  <c r="Z25" i="10"/>
  <c r="W25" i="10"/>
  <c r="R25" i="10"/>
  <c r="J25" i="10"/>
  <c r="G25" i="10"/>
  <c r="B25" i="10"/>
  <c r="Z24" i="10"/>
  <c r="W24" i="10"/>
  <c r="R24" i="10"/>
  <c r="J24" i="10"/>
  <c r="G24" i="10"/>
  <c r="B24" i="10"/>
  <c r="Z23" i="10"/>
  <c r="W23" i="10"/>
  <c r="R23" i="10"/>
  <c r="J23" i="10"/>
  <c r="G23" i="10"/>
  <c r="B23" i="10"/>
  <c r="Z22" i="10"/>
  <c r="R22" i="10"/>
  <c r="J22" i="10"/>
  <c r="G22" i="10"/>
  <c r="B22" i="10"/>
  <c r="J16" i="10" l="1"/>
  <c r="K10" i="10"/>
  <c r="K14" i="10"/>
  <c r="K11" i="10"/>
  <c r="K15" i="10"/>
  <c r="J12" i="10"/>
  <c r="K6" i="10"/>
  <c r="K7" i="10"/>
  <c r="J8" i="10"/>
  <c r="J9" i="10"/>
  <c r="J13" i="10"/>
  <c r="J6" i="10"/>
  <c r="J10" i="10"/>
  <c r="J14" i="10"/>
  <c r="K8" i="10"/>
  <c r="K12" i="10"/>
  <c r="K16" i="10"/>
  <c r="J7" i="10"/>
  <c r="J11" i="10"/>
  <c r="J15" i="10"/>
  <c r="E17" i="10"/>
  <c r="K9" i="10"/>
  <c r="K13" i="10"/>
  <c r="I17" i="10"/>
  <c r="I16" i="4"/>
  <c r="I15" i="4"/>
  <c r="I14" i="4"/>
  <c r="I13" i="4"/>
  <c r="I12" i="4"/>
  <c r="I11" i="4"/>
  <c r="I10" i="4"/>
  <c r="I9" i="4"/>
  <c r="I8" i="4"/>
  <c r="I7" i="4"/>
  <c r="I6" i="4"/>
  <c r="E16" i="4"/>
  <c r="E15" i="4"/>
  <c r="E14" i="4"/>
  <c r="E13" i="4"/>
  <c r="E12" i="4"/>
  <c r="E11" i="4"/>
  <c r="E10" i="4"/>
  <c r="E9" i="4"/>
  <c r="E8" i="4"/>
  <c r="E7" i="4"/>
  <c r="E6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125" i="4"/>
  <c r="AE124" i="4"/>
  <c r="AE123" i="4"/>
  <c r="AE122" i="4"/>
  <c r="AE121" i="4"/>
  <c r="AE120" i="4"/>
  <c r="AE119" i="4"/>
  <c r="AE118" i="4"/>
  <c r="AE117" i="4"/>
  <c r="AE116" i="4"/>
  <c r="AE115" i="4"/>
  <c r="AE114" i="4"/>
  <c r="AE113" i="4"/>
  <c r="AE112" i="4"/>
  <c r="AE111" i="4"/>
  <c r="AE110" i="4"/>
  <c r="AE109" i="4"/>
  <c r="AE108" i="4"/>
  <c r="AE107" i="4"/>
  <c r="AE106" i="4"/>
  <c r="AE105" i="4"/>
  <c r="AE104" i="4"/>
  <c r="AE103" i="4"/>
  <c r="AE102" i="4"/>
  <c r="AE101" i="4"/>
  <c r="AE100" i="4"/>
  <c r="AE99" i="4"/>
  <c r="AE98" i="4"/>
  <c r="AE97" i="4"/>
  <c r="AE96" i="4"/>
  <c r="AE95" i="4"/>
  <c r="AE94" i="4"/>
  <c r="AE93" i="4"/>
  <c r="AE92" i="4"/>
  <c r="AE91" i="4"/>
  <c r="AE90" i="4"/>
  <c r="AE89" i="4"/>
  <c r="AE88" i="4"/>
  <c r="AE87" i="4"/>
  <c r="AE86" i="4"/>
  <c r="AE85" i="4"/>
  <c r="AE84" i="4"/>
  <c r="AE83" i="4"/>
  <c r="AE82" i="4"/>
  <c r="AE81" i="4"/>
  <c r="AE80" i="4"/>
  <c r="AE79" i="4"/>
  <c r="AE78" i="4"/>
  <c r="AE77" i="4"/>
  <c r="AE76" i="4"/>
  <c r="AE75" i="4"/>
  <c r="AE74" i="4"/>
  <c r="AE73" i="4"/>
  <c r="AE72" i="4"/>
  <c r="AE71" i="4"/>
  <c r="AE70" i="4"/>
  <c r="AE69" i="4"/>
  <c r="AE68" i="4"/>
  <c r="AE67" i="4"/>
  <c r="AE66" i="4"/>
  <c r="AE65" i="4"/>
  <c r="AE64" i="4"/>
  <c r="AE63" i="4"/>
  <c r="AE62" i="4"/>
  <c r="AE61" i="4"/>
  <c r="AE60" i="4"/>
  <c r="AE59" i="4"/>
  <c r="AE58" i="4"/>
  <c r="AE57" i="4"/>
  <c r="AE56" i="4"/>
  <c r="AE55" i="4"/>
  <c r="AE54" i="4"/>
  <c r="AE53" i="4"/>
  <c r="AE52" i="4"/>
  <c r="AE51" i="4"/>
  <c r="AE50" i="4"/>
  <c r="AE49" i="4"/>
  <c r="AE48" i="4"/>
  <c r="AE47" i="4"/>
  <c r="AE46" i="4"/>
  <c r="AE45" i="4"/>
  <c r="AE44" i="4"/>
  <c r="AE43" i="4"/>
  <c r="AE42" i="4"/>
  <c r="AE41" i="4"/>
  <c r="AE40" i="4"/>
  <c r="AE39" i="4"/>
  <c r="AE38" i="4"/>
  <c r="AE37" i="4"/>
  <c r="AE36" i="4"/>
  <c r="AE35" i="4"/>
  <c r="AE34" i="4"/>
  <c r="AE33" i="4"/>
  <c r="AE32" i="4"/>
  <c r="AE31" i="4"/>
  <c r="AE30" i="4"/>
  <c r="AE29" i="4"/>
  <c r="AE28" i="4"/>
  <c r="AE27" i="4"/>
  <c r="AE26" i="4"/>
  <c r="AE25" i="4"/>
  <c r="AE24" i="4"/>
  <c r="AE23" i="4"/>
  <c r="AE22" i="4"/>
  <c r="Z261" i="4"/>
  <c r="Z260" i="4"/>
  <c r="Z259" i="4"/>
  <c r="Z258" i="4"/>
  <c r="Z257" i="4"/>
  <c r="Z256" i="4"/>
  <c r="Z255" i="4"/>
  <c r="Z254" i="4"/>
  <c r="Z253" i="4"/>
  <c r="Z252" i="4"/>
  <c r="Z251" i="4"/>
  <c r="Z250" i="4"/>
  <c r="Z249" i="4"/>
  <c r="Z248" i="4"/>
  <c r="Z247" i="4"/>
  <c r="Z246" i="4"/>
  <c r="Z245" i="4"/>
  <c r="Z244" i="4"/>
  <c r="Z243" i="4"/>
  <c r="Z242" i="4"/>
  <c r="Z241" i="4"/>
  <c r="Z240" i="4"/>
  <c r="Z239" i="4"/>
  <c r="Z238" i="4"/>
  <c r="Z237" i="4"/>
  <c r="Z236" i="4"/>
  <c r="Z235" i="4"/>
  <c r="Z234" i="4"/>
  <c r="Z233" i="4"/>
  <c r="Z232" i="4"/>
  <c r="Z231" i="4"/>
  <c r="Z230" i="4"/>
  <c r="Z229" i="4"/>
  <c r="Z228" i="4"/>
  <c r="Z227" i="4"/>
  <c r="Z226" i="4"/>
  <c r="Z225" i="4"/>
  <c r="Z224" i="4"/>
  <c r="Z223" i="4"/>
  <c r="Z222" i="4"/>
  <c r="Z221" i="4"/>
  <c r="Z220" i="4"/>
  <c r="Z219" i="4"/>
  <c r="Z218" i="4"/>
  <c r="Z217" i="4"/>
  <c r="Z216" i="4"/>
  <c r="Z215" i="4"/>
  <c r="Z214" i="4"/>
  <c r="Z213" i="4"/>
  <c r="Z212" i="4"/>
  <c r="Z211" i="4"/>
  <c r="Z210" i="4"/>
  <c r="Z209" i="4"/>
  <c r="Z208" i="4"/>
  <c r="Z207" i="4"/>
  <c r="Z206" i="4"/>
  <c r="Z205" i="4"/>
  <c r="Z204" i="4"/>
  <c r="Z203" i="4"/>
  <c r="Z202" i="4"/>
  <c r="Z201" i="4"/>
  <c r="Z200" i="4"/>
  <c r="Z199" i="4"/>
  <c r="Z198" i="4"/>
  <c r="Z197" i="4"/>
  <c r="Z196" i="4"/>
  <c r="Z195" i="4"/>
  <c r="Z194" i="4"/>
  <c r="Z193" i="4"/>
  <c r="Z192" i="4"/>
  <c r="Z191" i="4"/>
  <c r="Z190" i="4"/>
  <c r="Z189" i="4"/>
  <c r="Z188" i="4"/>
  <c r="Z187" i="4"/>
  <c r="Z186" i="4"/>
  <c r="Z185" i="4"/>
  <c r="Z184" i="4"/>
  <c r="Z183" i="4"/>
  <c r="Z182" i="4"/>
  <c r="Z181" i="4"/>
  <c r="Z180" i="4"/>
  <c r="Z179" i="4"/>
  <c r="Z178" i="4"/>
  <c r="Z177" i="4"/>
  <c r="Z176" i="4"/>
  <c r="Z175" i="4"/>
  <c r="Z174" i="4"/>
  <c r="Z173" i="4"/>
  <c r="Z172" i="4"/>
  <c r="Z171" i="4"/>
  <c r="Z170" i="4"/>
  <c r="Z169" i="4"/>
  <c r="Z168" i="4"/>
  <c r="Z167" i="4"/>
  <c r="Z166" i="4"/>
  <c r="Z165" i="4"/>
  <c r="Z164" i="4"/>
  <c r="Z163" i="4"/>
  <c r="Z162" i="4"/>
  <c r="Z161" i="4"/>
  <c r="Z160" i="4"/>
  <c r="Z159" i="4"/>
  <c r="Z158" i="4"/>
  <c r="Z157" i="4"/>
  <c r="Z156" i="4"/>
  <c r="Z155" i="4"/>
  <c r="Z154" i="4"/>
  <c r="Z153" i="4"/>
  <c r="Z152" i="4"/>
  <c r="Z151" i="4"/>
  <c r="Z150" i="4"/>
  <c r="Z149" i="4"/>
  <c r="Z148" i="4"/>
  <c r="Z147" i="4"/>
  <c r="Z146" i="4"/>
  <c r="Z145" i="4"/>
  <c r="Z144" i="4"/>
  <c r="Z143" i="4"/>
  <c r="Z142" i="4"/>
  <c r="Z141" i="4"/>
  <c r="Z140" i="4"/>
  <c r="Z139" i="4"/>
  <c r="Z138" i="4"/>
  <c r="Z137" i="4"/>
  <c r="Z136" i="4"/>
  <c r="Z135" i="4"/>
  <c r="Z134" i="4"/>
  <c r="Z133" i="4"/>
  <c r="Z132" i="4"/>
  <c r="Z131" i="4"/>
  <c r="Z130" i="4"/>
  <c r="Z129" i="4"/>
  <c r="Z128" i="4"/>
  <c r="Z127" i="4"/>
  <c r="Z126" i="4"/>
  <c r="Z125" i="4"/>
  <c r="Z124" i="4"/>
  <c r="Z123" i="4"/>
  <c r="Z122" i="4"/>
  <c r="Z121" i="4"/>
  <c r="Z120" i="4"/>
  <c r="Z119" i="4"/>
  <c r="Z118" i="4"/>
  <c r="Z117" i="4"/>
  <c r="Z116" i="4"/>
  <c r="Z115" i="4"/>
  <c r="Z114" i="4"/>
  <c r="Z113" i="4"/>
  <c r="Z112" i="4"/>
  <c r="Z111" i="4"/>
  <c r="Z110" i="4"/>
  <c r="Z109" i="4"/>
  <c r="Z108" i="4"/>
  <c r="Z107" i="4"/>
  <c r="Z106" i="4"/>
  <c r="Z105" i="4"/>
  <c r="Z104" i="4"/>
  <c r="Z103" i="4"/>
  <c r="Z102" i="4"/>
  <c r="Z101" i="4"/>
  <c r="Z100" i="4"/>
  <c r="Z99" i="4"/>
  <c r="Z98" i="4"/>
  <c r="Z97" i="4"/>
  <c r="Z96" i="4"/>
  <c r="Z95" i="4"/>
  <c r="Z94" i="4"/>
  <c r="Z93" i="4"/>
  <c r="Z92" i="4"/>
  <c r="Z91" i="4"/>
  <c r="Z90" i="4"/>
  <c r="Z89" i="4"/>
  <c r="Z88" i="4"/>
  <c r="Z87" i="4"/>
  <c r="Z86" i="4"/>
  <c r="Z85" i="4"/>
  <c r="Z84" i="4"/>
  <c r="Z83" i="4"/>
  <c r="Z82" i="4"/>
  <c r="Z81" i="4"/>
  <c r="Z80" i="4"/>
  <c r="Z79" i="4"/>
  <c r="Z78" i="4"/>
  <c r="Z77" i="4"/>
  <c r="Z76" i="4"/>
  <c r="Z75" i="4"/>
  <c r="Z74" i="4"/>
  <c r="Z73" i="4"/>
  <c r="Z72" i="4"/>
  <c r="Z71" i="4"/>
  <c r="Z70" i="4"/>
  <c r="Z69" i="4"/>
  <c r="Z68" i="4"/>
  <c r="Z67" i="4"/>
  <c r="Z66" i="4"/>
  <c r="Z65" i="4"/>
  <c r="Z64" i="4"/>
  <c r="Z63" i="4"/>
  <c r="Z62" i="4"/>
  <c r="Z61" i="4"/>
  <c r="Z60" i="4"/>
  <c r="Z59" i="4"/>
  <c r="Z58" i="4"/>
  <c r="Z57" i="4"/>
  <c r="Z56" i="4"/>
  <c r="Z55" i="4"/>
  <c r="Z54" i="4"/>
  <c r="Z53" i="4"/>
  <c r="Z52" i="4"/>
  <c r="Z51" i="4"/>
  <c r="Z50" i="4"/>
  <c r="Z49" i="4"/>
  <c r="Z48" i="4"/>
  <c r="Z47" i="4"/>
  <c r="Z46" i="4"/>
  <c r="Z45" i="4"/>
  <c r="Z44" i="4"/>
  <c r="Z43" i="4"/>
  <c r="Z42" i="4"/>
  <c r="Z41" i="4"/>
  <c r="Z40" i="4"/>
  <c r="Z39" i="4"/>
  <c r="Z38" i="4"/>
  <c r="Z37" i="4"/>
  <c r="Z36" i="4"/>
  <c r="Z35" i="4"/>
  <c r="Z34" i="4"/>
  <c r="Z33" i="4"/>
  <c r="Z32" i="4"/>
  <c r="Z31" i="4"/>
  <c r="Z30" i="4"/>
  <c r="Z29" i="4"/>
  <c r="Z28" i="4"/>
  <c r="Z27" i="4"/>
  <c r="Z26" i="4"/>
  <c r="Z25" i="4"/>
  <c r="Z24" i="4"/>
  <c r="Z23" i="4"/>
  <c r="Z22" i="4"/>
  <c r="P8" i="10" l="1"/>
  <c r="Q8" i="10" s="1"/>
  <c r="I17" i="4"/>
  <c r="E17" i="4"/>
  <c r="P8" i="4" s="1"/>
  <c r="Q8" i="4" s="1"/>
  <c r="O261" i="4" l="1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H16" i="4" l="1"/>
  <c r="H15" i="4"/>
  <c r="H14" i="4"/>
  <c r="H13" i="4"/>
  <c r="H12" i="4"/>
  <c r="H11" i="4"/>
  <c r="H10" i="4"/>
  <c r="H9" i="4"/>
  <c r="H8" i="4"/>
  <c r="H7" i="4"/>
  <c r="H6" i="4"/>
  <c r="G16" i="4"/>
  <c r="G15" i="4"/>
  <c r="G14" i="4"/>
  <c r="G13" i="4"/>
  <c r="G12" i="4"/>
  <c r="G11" i="4"/>
  <c r="G10" i="4"/>
  <c r="G9" i="4"/>
  <c r="G8" i="4"/>
  <c r="G7" i="4"/>
  <c r="G6" i="4"/>
  <c r="F16" i="4"/>
  <c r="F15" i="4"/>
  <c r="K15" i="4" s="1"/>
  <c r="F14" i="4"/>
  <c r="F13" i="4"/>
  <c r="F12" i="4"/>
  <c r="F11" i="4"/>
  <c r="K11" i="4" s="1"/>
  <c r="F10" i="4"/>
  <c r="F9" i="4"/>
  <c r="F8" i="4"/>
  <c r="F7" i="4"/>
  <c r="F6" i="4"/>
  <c r="D16" i="4"/>
  <c r="D15" i="4"/>
  <c r="D14" i="4"/>
  <c r="D13" i="4"/>
  <c r="D12" i="4"/>
  <c r="D11" i="4"/>
  <c r="D10" i="4"/>
  <c r="D9" i="4"/>
  <c r="D8" i="4"/>
  <c r="D7" i="4"/>
  <c r="D6" i="4"/>
  <c r="C16" i="4"/>
  <c r="C15" i="4"/>
  <c r="C14" i="4"/>
  <c r="C13" i="4"/>
  <c r="C12" i="4"/>
  <c r="C11" i="4"/>
  <c r="C10" i="4"/>
  <c r="C9" i="4"/>
  <c r="C8" i="4"/>
  <c r="C7" i="4"/>
  <c r="C6" i="4"/>
  <c r="B16" i="4"/>
  <c r="J16" i="4" s="1"/>
  <c r="B15" i="4"/>
  <c r="B14" i="4"/>
  <c r="B13" i="4"/>
  <c r="B12" i="4"/>
  <c r="B11" i="4"/>
  <c r="B10" i="4"/>
  <c r="B9" i="4"/>
  <c r="B8" i="4"/>
  <c r="B7" i="4"/>
  <c r="B6" i="4"/>
  <c r="K7" i="4" l="1"/>
  <c r="K10" i="4"/>
  <c r="K14" i="4"/>
  <c r="J12" i="4"/>
  <c r="J8" i="4"/>
  <c r="K6" i="4"/>
  <c r="J13" i="4"/>
  <c r="K8" i="4"/>
  <c r="K12" i="4"/>
  <c r="K16" i="4"/>
  <c r="J9" i="4"/>
  <c r="J10" i="4"/>
  <c r="J14" i="4"/>
  <c r="K9" i="4"/>
  <c r="K13" i="4"/>
  <c r="J6" i="4"/>
  <c r="J7" i="4"/>
  <c r="J11" i="4"/>
  <c r="J15" i="4"/>
  <c r="K17" i="10"/>
  <c r="D17" i="10" l="1"/>
  <c r="B17" i="10"/>
  <c r="F17" i="10"/>
  <c r="G17" i="10"/>
  <c r="H17" i="10"/>
  <c r="C17" i="10"/>
  <c r="P6" i="10" l="1"/>
  <c r="Q6" i="10" s="1"/>
  <c r="P7" i="10"/>
  <c r="Q7" i="10" s="1"/>
  <c r="P5" i="10"/>
  <c r="Q5" i="10" s="1"/>
  <c r="J17" i="10"/>
  <c r="K17" i="4"/>
  <c r="G17" i="4" l="1"/>
  <c r="H17" i="4"/>
  <c r="F17" i="4"/>
  <c r="D17" i="4"/>
  <c r="C17" i="4"/>
  <c r="P6" i="4" s="1"/>
  <c r="Q6" i="4" s="1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9" i="4"/>
  <c r="W40" i="4"/>
  <c r="W41" i="4"/>
  <c r="W42" i="4"/>
  <c r="W43" i="4"/>
  <c r="W44" i="4"/>
  <c r="W47" i="4"/>
  <c r="W48" i="4"/>
  <c r="W49" i="4"/>
  <c r="W50" i="4"/>
  <c r="W51" i="4"/>
  <c r="W52" i="4"/>
  <c r="W55" i="4"/>
  <c r="W56" i="4"/>
  <c r="W57" i="4"/>
  <c r="W58" i="4"/>
  <c r="W59" i="4"/>
  <c r="W60" i="4"/>
  <c r="W63" i="4"/>
  <c r="W64" i="4"/>
  <c r="W65" i="4"/>
  <c r="W66" i="4"/>
  <c r="W67" i="4"/>
  <c r="W68" i="4"/>
  <c r="W71" i="4"/>
  <c r="W72" i="4"/>
  <c r="W73" i="4"/>
  <c r="W74" i="4"/>
  <c r="W75" i="4"/>
  <c r="W76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5" i="4"/>
  <c r="W96" i="4"/>
  <c r="W97" i="4"/>
  <c r="W98" i="4"/>
  <c r="W99" i="4"/>
  <c r="W100" i="4"/>
  <c r="W103" i="4"/>
  <c r="W104" i="4"/>
  <c r="W105" i="4"/>
  <c r="W106" i="4"/>
  <c r="W107" i="4"/>
  <c r="W108" i="4"/>
  <c r="W111" i="4"/>
  <c r="W112" i="4"/>
  <c r="W113" i="4"/>
  <c r="W114" i="4"/>
  <c r="W115" i="4"/>
  <c r="W116" i="4"/>
  <c r="W119" i="4"/>
  <c r="W120" i="4"/>
  <c r="W121" i="4"/>
  <c r="W122" i="4"/>
  <c r="W123" i="4"/>
  <c r="W124" i="4"/>
  <c r="W127" i="4"/>
  <c r="W128" i="4"/>
  <c r="W129" i="4"/>
  <c r="W130" i="4"/>
  <c r="W131" i="4"/>
  <c r="W132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1" i="4"/>
  <c r="W152" i="4"/>
  <c r="W153" i="4"/>
  <c r="W154" i="4"/>
  <c r="W155" i="4"/>
  <c r="W156" i="4"/>
  <c r="W159" i="4"/>
  <c r="W160" i="4"/>
  <c r="W161" i="4"/>
  <c r="W162" i="4"/>
  <c r="W163" i="4"/>
  <c r="W164" i="4"/>
  <c r="W167" i="4"/>
  <c r="W168" i="4"/>
  <c r="W169" i="4"/>
  <c r="W170" i="4"/>
  <c r="W171" i="4"/>
  <c r="W172" i="4"/>
  <c r="W175" i="4"/>
  <c r="W176" i="4"/>
  <c r="W177" i="4"/>
  <c r="W178" i="4"/>
  <c r="W179" i="4"/>
  <c r="W180" i="4"/>
  <c r="W183" i="4"/>
  <c r="W184" i="4"/>
  <c r="W185" i="4"/>
  <c r="W186" i="4"/>
  <c r="W187" i="4"/>
  <c r="W188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7" i="4"/>
  <c r="W208" i="4"/>
  <c r="W209" i="4"/>
  <c r="W210" i="4"/>
  <c r="W211" i="4"/>
  <c r="W212" i="4"/>
  <c r="W215" i="4"/>
  <c r="W216" i="4"/>
  <c r="W217" i="4"/>
  <c r="W218" i="4"/>
  <c r="W219" i="4"/>
  <c r="W220" i="4"/>
  <c r="W223" i="4"/>
  <c r="W224" i="4"/>
  <c r="W225" i="4"/>
  <c r="W226" i="4"/>
  <c r="W227" i="4"/>
  <c r="W228" i="4"/>
  <c r="W231" i="4"/>
  <c r="W232" i="4"/>
  <c r="W233" i="4"/>
  <c r="W234" i="4"/>
  <c r="W235" i="4"/>
  <c r="W236" i="4"/>
  <c r="W239" i="4"/>
  <c r="W240" i="4"/>
  <c r="W241" i="4"/>
  <c r="W242" i="4"/>
  <c r="W243" i="4"/>
  <c r="W244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P7" i="4" l="1"/>
  <c r="Q7" i="4" s="1"/>
  <c r="B17" i="4"/>
  <c r="P5" i="4" s="1"/>
  <c r="Q5" i="4" s="1"/>
  <c r="J17" i="4" l="1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</calcChain>
</file>

<file path=xl/sharedStrings.xml><?xml version="1.0" encoding="utf-8"?>
<sst xmlns="http://schemas.openxmlformats.org/spreadsheetml/2006/main" count="453" uniqueCount="43">
  <si>
    <t>Tienda</t>
  </si>
  <si>
    <t>Vendedora 1</t>
  </si>
  <si>
    <t>Vendedora 2</t>
  </si>
  <si>
    <t>Día</t>
  </si>
  <si>
    <t>Vendedora 3</t>
  </si>
  <si>
    <t>Estado de la hora</t>
  </si>
  <si>
    <t>Día de semana</t>
  </si>
  <si>
    <t>Hora</t>
  </si>
  <si>
    <t>Vendedoras</t>
  </si>
  <si>
    <t>FERIADOS</t>
  </si>
  <si>
    <t>Horas totales trabajadas</t>
  </si>
  <si>
    <t>Hora normales</t>
  </si>
  <si>
    <t>Feriados trabajados</t>
  </si>
  <si>
    <t>[Nueva]</t>
  </si>
  <si>
    <t>HORAS TOTALES POR TIENDA (normales y feriados trabajados)</t>
  </si>
  <si>
    <t>Total horas</t>
  </si>
  <si>
    <t>CERRADO</t>
  </si>
  <si>
    <t>Total horas trabajadas</t>
  </si>
  <si>
    <t>Máximo de horas permitidas</t>
  </si>
  <si>
    <t>Mínimo de vendedoras por turno</t>
  </si>
  <si>
    <t>EL LUCERO - NOVIEMBRE</t>
  </si>
  <si>
    <t>EL LUCERO - DICIEMBRE</t>
  </si>
  <si>
    <t>RESUMEN - HORAS POR VENDEDORA Y TIENDA</t>
  </si>
  <si>
    <t>Horas de feriados no trabajados</t>
  </si>
  <si>
    <t>SAN TELMO 1</t>
  </si>
  <si>
    <t>SAN TELMO 2</t>
  </si>
  <si>
    <t>FRENCH</t>
  </si>
  <si>
    <t>San Telmo 1</t>
  </si>
  <si>
    <t>San Telmo 2</t>
  </si>
  <si>
    <t>French</t>
  </si>
  <si>
    <t>% horas asignadas</t>
  </si>
  <si>
    <t>Camila</t>
  </si>
  <si>
    <t>Candela</t>
  </si>
  <si>
    <t>Lara</t>
  </si>
  <si>
    <t>Agustina</t>
  </si>
  <si>
    <t>Daila</t>
  </si>
  <si>
    <t>Milagros</t>
  </si>
  <si>
    <t>Araceli</t>
  </si>
  <si>
    <t>Ruth</t>
  </si>
  <si>
    <t>Gisela</t>
  </si>
  <si>
    <t>Dana</t>
  </si>
  <si>
    <t>AS San Telmo</t>
  </si>
  <si>
    <t>AS SAN TELMO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</si>
</sst>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536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5363"/>
        <bgColor indexed="64"/>
      </patternFill>
    </fill>
    <fill>
      <patternFill patternType="solid">
        <fgColor theme="0" tint="-0.34998626667073579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005363"/>
      </left>
      <right style="thin">
        <color indexed="64"/>
      </right>
      <top style="thin">
        <color rgb="FF005363"/>
      </top>
      <bottom style="thin">
        <color rgb="FF005363"/>
      </bottom>
      <diagonal/>
    </border>
    <border>
      <left style="thin">
        <color indexed="64"/>
      </left>
      <right style="thin">
        <color indexed="64"/>
      </right>
      <top style="thin">
        <color rgb="FF005363"/>
      </top>
      <bottom style="thin">
        <color rgb="FF005363"/>
      </bottom>
      <diagonal/>
    </border>
    <border>
      <left style="thin">
        <color indexed="64"/>
      </left>
      <right style="thin">
        <color rgb="FF005363"/>
      </right>
      <top style="thin">
        <color rgb="FF005363"/>
      </top>
      <bottom style="thin">
        <color rgb="FF005363"/>
      </bottom>
      <diagonal/>
    </border>
    <border>
      <left style="thin">
        <color rgb="FF005363"/>
      </left>
      <right/>
      <top style="thin">
        <color rgb="FF005363"/>
      </top>
      <bottom style="thin">
        <color rgb="FF005363"/>
      </bottom>
      <diagonal/>
    </border>
    <border>
      <left/>
      <right/>
      <top style="thin">
        <color rgb="FF005363"/>
      </top>
      <bottom style="thin">
        <color rgb="FF005363"/>
      </bottom>
      <diagonal/>
    </border>
    <border>
      <left/>
      <right style="thin">
        <color rgb="FF005363"/>
      </right>
      <top style="thin">
        <color rgb="FF005363"/>
      </top>
      <bottom style="thin">
        <color rgb="FF005363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Border="1"/>
    <xf numFmtId="14" fontId="0" fillId="0" borderId="0" xfId="0" applyNumberFormat="1" applyFill="1"/>
    <xf numFmtId="0" fontId="0" fillId="0" borderId="0" xfId="0" applyFill="1" applyAlignment="1">
      <alignment horizontal="center"/>
    </xf>
    <xf numFmtId="20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0" fillId="0" borderId="0" xfId="0" applyNumberFormat="1" applyFill="1"/>
    <xf numFmtId="0" fontId="2" fillId="0" borderId="0" xfId="0" applyFont="1" applyProtection="1"/>
    <xf numFmtId="0" fontId="0" fillId="0" borderId="0" xfId="0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Protection="1"/>
    <xf numFmtId="0" fontId="0" fillId="0" borderId="0" xfId="0" applyFill="1" applyProtection="1"/>
    <xf numFmtId="0" fontId="0" fillId="0" borderId="0" xfId="0" applyFill="1" applyBorder="1" applyProtection="1"/>
    <xf numFmtId="0" fontId="4" fillId="0" borderId="0" xfId="0" applyFont="1" applyProtection="1"/>
    <xf numFmtId="0" fontId="4" fillId="0" borderId="0" xfId="0" applyFont="1"/>
    <xf numFmtId="0" fontId="3" fillId="0" borderId="0" xfId="0" applyFont="1" applyFill="1" applyBorder="1" applyAlignment="1" applyProtection="1">
      <alignment horizontal="left"/>
    </xf>
    <xf numFmtId="0" fontId="0" fillId="0" borderId="5" xfId="0" applyBorder="1" applyProtection="1"/>
    <xf numFmtId="0" fontId="1" fillId="5" borderId="4" xfId="0" applyFont="1" applyFill="1" applyBorder="1" applyProtection="1"/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4" borderId="11" xfId="0" applyFont="1" applyFill="1" applyBorder="1"/>
    <xf numFmtId="0" fontId="1" fillId="3" borderId="12" xfId="0" applyFont="1" applyFill="1" applyBorder="1"/>
    <xf numFmtId="20" fontId="0" fillId="0" borderId="11" xfId="0" applyNumberFormat="1" applyFont="1" applyFill="1" applyBorder="1" applyAlignment="1">
      <alignment horizontal="center"/>
    </xf>
    <xf numFmtId="14" fontId="0" fillId="0" borderId="10" xfId="0" applyNumberFormat="1" applyFont="1" applyFill="1" applyBorder="1"/>
    <xf numFmtId="0" fontId="0" fillId="0" borderId="11" xfId="0" applyFont="1" applyFill="1" applyBorder="1" applyAlignment="1">
      <alignment horizontal="center"/>
    </xf>
    <xf numFmtId="0" fontId="0" fillId="0" borderId="11" xfId="0" applyFont="1" applyFill="1" applyBorder="1" applyProtection="1">
      <protection locked="0"/>
    </xf>
    <xf numFmtId="0" fontId="0" fillId="0" borderId="12" xfId="0" applyNumberFormat="1" applyFont="1" applyFill="1" applyBorder="1"/>
    <xf numFmtId="0" fontId="1" fillId="5" borderId="5" xfId="0" applyFont="1" applyFill="1" applyBorder="1" applyAlignment="1" applyProtection="1">
      <alignment horizontal="center" wrapText="1"/>
    </xf>
    <xf numFmtId="0" fontId="1" fillId="6" borderId="5" xfId="0" applyFont="1" applyFill="1" applyBorder="1" applyAlignment="1" applyProtection="1">
      <alignment horizontal="center" wrapText="1"/>
    </xf>
    <xf numFmtId="0" fontId="1" fillId="6" borderId="6" xfId="0" applyFont="1" applyFill="1" applyBorder="1" applyAlignment="1" applyProtection="1">
      <alignment horizontal="center" wrapText="1"/>
    </xf>
    <xf numFmtId="0" fontId="0" fillId="0" borderId="5" xfId="0" applyBorder="1" applyProtection="1">
      <protection locked="0"/>
    </xf>
    <xf numFmtId="0" fontId="1" fillId="6" borderId="3" xfId="0" applyFont="1" applyFill="1" applyBorder="1" applyAlignment="1" applyProtection="1">
      <alignment horizontal="center"/>
    </xf>
    <xf numFmtId="14" fontId="0" fillId="0" borderId="3" xfId="0" applyNumberFormat="1" applyBorder="1" applyAlignment="1" applyProtection="1">
      <alignment horizontal="center"/>
      <protection locked="0"/>
    </xf>
    <xf numFmtId="0" fontId="7" fillId="0" borderId="0" xfId="0" applyFont="1" applyProtection="1"/>
    <xf numFmtId="0" fontId="0" fillId="0" borderId="12" xfId="0" applyFont="1" applyFill="1" applyBorder="1"/>
    <xf numFmtId="0" fontId="0" fillId="0" borderId="11" xfId="0" applyFont="1" applyFill="1" applyBorder="1" applyProtection="1"/>
    <xf numFmtId="0" fontId="6" fillId="2" borderId="7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  <xf numFmtId="0" fontId="6" fillId="2" borderId="11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 vertical="center" wrapText="1"/>
    </xf>
    <xf numFmtId="0" fontId="1" fillId="5" borderId="5" xfId="0" applyFont="1" applyFill="1" applyBorder="1" applyAlignment="1" applyProtection="1">
      <alignment horizontal="center" vertical="center" wrapText="1"/>
    </xf>
    <xf numFmtId="9" fontId="0" fillId="0" borderId="6" xfId="1" applyFont="1" applyBorder="1"/>
    <xf numFmtId="0" fontId="1" fillId="5" borderId="4" xfId="0" applyFont="1" applyFill="1" applyBorder="1" applyAlignment="1" applyProtection="1">
      <alignment vertical="center"/>
    </xf>
    <xf numFmtId="0" fontId="1" fillId="6" borderId="6" xfId="0" applyFont="1" applyFill="1" applyBorder="1" applyAlignment="1" applyProtection="1">
      <alignment horizontal="center" vertical="center" wrapText="1"/>
    </xf>
    <xf numFmtId="0" fontId="1" fillId="6" borderId="5" xfId="0" applyFont="1" applyFill="1" applyBorder="1" applyAlignment="1" applyProtection="1">
      <alignment horizontal="center" vertical="center" wrapText="1"/>
    </xf>
    <xf numFmtId="0" fontId="9" fillId="0" borderId="4" xfId="0" applyFont="1" applyFill="1" applyBorder="1" applyAlignment="1" applyProtection="1">
      <alignment horizontal="left"/>
    </xf>
    <xf numFmtId="0" fontId="1" fillId="5" borderId="3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/>
    </xf>
    <xf numFmtId="0" fontId="0" fillId="0" borderId="3" xfId="0" applyBorder="1" applyProtection="1"/>
    <xf numFmtId="0" fontId="0" fillId="0" borderId="3" xfId="0" applyBorder="1" applyProtection="1">
      <protection locked="0"/>
    </xf>
    <xf numFmtId="0" fontId="1" fillId="5" borderId="3" xfId="0" applyFont="1" applyFill="1" applyBorder="1" applyProtection="1"/>
    <xf numFmtId="0" fontId="1" fillId="5" borderId="3" xfId="0" applyFont="1" applyFill="1" applyBorder="1" applyAlignment="1" applyProtection="1">
      <alignment horizontal="center" wrapText="1"/>
    </xf>
    <xf numFmtId="0" fontId="0" fillId="0" borderId="3" xfId="0" applyBorder="1" applyAlignment="1" applyProtection="1">
      <alignment horizontal="right"/>
    </xf>
    <xf numFmtId="0" fontId="1" fillId="5" borderId="3" xfId="0" applyFont="1" applyFill="1" applyBorder="1" applyAlignment="1" applyProtection="1">
      <alignment horizontal="right"/>
    </xf>
    <xf numFmtId="0" fontId="5" fillId="2" borderId="1" xfId="0" applyFont="1" applyFill="1" applyBorder="1" applyAlignment="1" applyProtection="1"/>
    <xf numFmtId="0" fontId="5" fillId="2" borderId="0" xfId="0" applyFont="1" applyFill="1" applyBorder="1" applyAlignment="1" applyProtection="1"/>
    <xf numFmtId="0" fontId="5" fillId="2" borderId="2" xfId="0" applyFont="1" applyFill="1" applyBorder="1" applyAlignment="1" applyProtection="1"/>
  </cellXfs>
  <cellStyles count="2">
    <cellStyle name="Normal" xfId="0" builtinId="0"/>
    <cellStyle name="Porcentaje" xfId="1" builtinId="5"/>
  </cellStyles>
  <dxfs count="126"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3FDA9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6FCA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34998626667073579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rgb="FF005363"/>
        </top>
        <bottom style="thin">
          <color rgb="FF005363"/>
        </bottom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34998626667073579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</dxf>
  </dxfs>
  <tableStyles count="0" defaultTableStyle="TableStyleMedium2" defaultPivotStyle="PivotStyleLight16"/>
  <colors>
    <mruColors>
      <color rgb="FFF3FDA9"/>
      <color rgb="FFF6FCAA"/>
      <color rgb="FF005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7" name="TablaST1Nov" displayName="TablaST1Nov" ref="A21:G261" totalsRowShown="0" headerRowDxfId="125" dataDxfId="124" tableBorderDxfId="123">
  <autoFilter ref="A21:G261"/>
  <tableColumns count="7">
    <tableColumn id="1" name="Día" dataDxfId="122"/>
    <tableColumn id="2" name="Día de semana" dataDxfId="121">
      <calculatedColumnFormula>TEXT(A22,"ddd")</calculatedColumnFormula>
    </tableColumn>
    <tableColumn id="3" name="Hora" dataDxfId="120"/>
    <tableColumn id="4" name="Vendedora 1" dataDxfId="119"/>
    <tableColumn id="5" name="Vendedora 2" dataDxfId="118"/>
    <tableColumn id="6" name="Vendedora 3" dataDxfId="117"/>
    <tableColumn id="7" name="Estado de la hora" dataDxfId="11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9" name="TablaST2Nov" displayName="TablaST2Nov" ref="I21:O261" totalsRowShown="0" headerRowDxfId="115" dataDxfId="114" tableBorderDxfId="113">
  <autoFilter ref="I21:O261"/>
  <tableColumns count="7">
    <tableColumn id="1" name="Día" dataDxfId="112"/>
    <tableColumn id="2" name="Día de semana" dataDxfId="111">
      <calculatedColumnFormula>TEXT(I22,"ddd")</calculatedColumnFormula>
    </tableColumn>
    <tableColumn id="3" name="Hora" dataDxfId="110"/>
    <tableColumn id="4" name="Vendedora 1" dataDxfId="109"/>
    <tableColumn id="5" name="Vendedora 2" dataDxfId="108"/>
    <tableColumn id="6" name="Vendedora 3" dataDxfId="107"/>
    <tableColumn id="7" name="Estado de la hora" dataDxfId="10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0" name="TablaFrenchNov" displayName="TablaFrenchNov" ref="Q21:W261" totalsRowShown="0" headerRowDxfId="105" dataDxfId="104" tableBorderDxfId="103">
  <autoFilter ref="Q21:W261"/>
  <tableColumns count="7">
    <tableColumn id="1" name="Día" dataDxfId="102"/>
    <tableColumn id="2" name="Día de semana" dataDxfId="101">
      <calculatedColumnFormula>TEXT(Q22,"ddd")</calculatedColumnFormula>
    </tableColumn>
    <tableColumn id="3" name="Hora" dataDxfId="100"/>
    <tableColumn id="4" name="Vendedora 1" dataDxfId="99"/>
    <tableColumn id="5" name="Vendedora 2" dataDxfId="98"/>
    <tableColumn id="6" name="Vendedora 3" dataDxfId="97"/>
    <tableColumn id="7" name="Estado de la hora" dataDxfId="96">
      <calculatedColumnFormula>IF(COUNTIF(T22:V22,"?*")=$N$7,"✅ CUBIERTO",IF(COUNTIF(T22:V22,"?*")&gt;$N$7,"⚠ EXCESO",
IF(COUNTIF(T22:V22,"?*")&gt;0,"⚠ FALTANTE", "❌ SIN COMPLETAR")))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TablaASNov" displayName="TablaASNov" ref="Y21:AE261" totalsRowShown="0" headerRowDxfId="95" dataDxfId="94" tableBorderDxfId="93">
  <autoFilter ref="Y21:AE261"/>
  <tableColumns count="7">
    <tableColumn id="1" name="Día" dataDxfId="92"/>
    <tableColumn id="2" name="Día de semana" dataDxfId="91">
      <calculatedColumnFormula>TEXT(Y22,"ddd")</calculatedColumnFormula>
    </tableColumn>
    <tableColumn id="3" name="Hora" dataDxfId="90"/>
    <tableColumn id="4" name="Vendedora 1" dataDxfId="89"/>
    <tableColumn id="5" name="Vendedora 2" dataDxfId="88"/>
    <tableColumn id="6" name="Vendedora 3" dataDxfId="87"/>
    <tableColumn id="7" name="Estado de la hora" dataDxfId="86">
      <calculatedColumnFormula>IF(COUNTIF(AB22:AD22,"?*")=$N$8,"✅ CUBIERTO",IF(COUNTIF(AB22:AD22,"?*")&gt;$N$8,"⚠ EXCESO",
IF(COUNTIF(AB22:AD22,"?*")&gt;0,"⚠ FALTANTE", "❌ SIN COMPLETAR")))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TablaST1Dic" displayName="TablaST1Dic" ref="A21:G269" totalsRowShown="0" headerRowDxfId="85" dataDxfId="84" tableBorderDxfId="83">
  <autoFilter ref="A21:G269"/>
  <tableColumns count="7">
    <tableColumn id="1" name="Día" dataDxfId="82"/>
    <tableColumn id="2" name="Día de semana" dataDxfId="81">
      <calculatedColumnFormula>TEXT(A22,"ddd")</calculatedColumnFormula>
    </tableColumn>
    <tableColumn id="3" name="Hora" dataDxfId="80"/>
    <tableColumn id="4" name="Vendedora 1" dataDxfId="79"/>
    <tableColumn id="5" name="Vendedora 2" dataDxfId="78"/>
    <tableColumn id="6" name="Vendedora 3" dataDxfId="77"/>
    <tableColumn id="7" name="Estado de la hora" dataDxfId="76">
      <calculatedColumnFormula>IF(COUNTIF(D22:F22,"?*")=$N$5,"✅ CUBIERTO",
IF(COUNTIF(D22:F22,"?*")&gt;$N$5,"⚠ EXCESO",IF(COUNTIF(D22:F22,"?*")&gt;0,"⚠ FALTANTE",
"❌ SIN COMPLETAR")))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TablaST2Dic" displayName="TablaST2Dic" ref="I21:O269" totalsRowShown="0" headerRowDxfId="75" dataDxfId="74" tableBorderDxfId="73">
  <autoFilter ref="I21:O269"/>
  <tableColumns count="7">
    <tableColumn id="1" name="Día" dataDxfId="72"/>
    <tableColumn id="2" name="Día de semana" dataDxfId="71">
      <calculatedColumnFormula>TEXT(I22,"ddd")</calculatedColumnFormula>
    </tableColumn>
    <tableColumn id="3" name="Hora" dataDxfId="70"/>
    <tableColumn id="4" name="Vendedora 1" dataDxfId="69"/>
    <tableColumn id="5" name="Vendedora 2" dataDxfId="68"/>
    <tableColumn id="6" name="Vendedora 3" dataDxfId="67"/>
    <tableColumn id="7" name="Estado de la hora" dataDxfId="23">
      <calculatedColumnFormula>IF(COUNTIF(L22:N22,"?*")=$N$6,"✅ CUBIERTO",
IF(COUNTIF(L22:N22,"?*")&gt;$N$6,"⚠ EXCESO",IF(COUNTIF(L22:N22,"?*")&gt;0,"⚠ FALTANTE",
"❌ SIN COMPLETAR")))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TablaFrenchDic" displayName="TablaFrenchDic" ref="Q21:W269" totalsRowShown="0" headerRowDxfId="66" dataDxfId="65" tableBorderDxfId="64">
  <autoFilter ref="Q21:W269"/>
  <tableColumns count="7">
    <tableColumn id="1" name="Día" dataDxfId="63"/>
    <tableColumn id="2" name="Día de semana" dataDxfId="62">
      <calculatedColumnFormula>TEXT(Q22,"ddd")</calculatedColumnFormula>
    </tableColumn>
    <tableColumn id="3" name="Hora" dataDxfId="61"/>
    <tableColumn id="4" name="Vendedora 1" dataDxfId="60"/>
    <tableColumn id="5" name="Vendedora 2" dataDxfId="59"/>
    <tableColumn id="6" name="Vendedora 3" dataDxfId="58"/>
    <tableColumn id="7" name="Estado de la hora" dataDxfId="57">
      <calculatedColumnFormula>IF(COUNTIF(T22:V22,"?*")=$N$7,"✅ CUBIERTO",IF(COUNTIF(T22:V22,"?*")&gt;$N$7,"⚠ EXCESO",
IF(COUNTIF(T22:V22,"?*")&gt;0,"⚠ FALTANTE", "❌ SIN COMPLETAR")))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5" name="TablaASDic" displayName="TablaASDic" ref="Y21:AE269" totalsRowShown="0" headerRowDxfId="56" dataDxfId="55" tableBorderDxfId="54">
  <autoFilter ref="Y21:AE269"/>
  <tableColumns count="7">
    <tableColumn id="1" name="Día" dataDxfId="53"/>
    <tableColumn id="2" name="Día de semana" dataDxfId="52">
      <calculatedColumnFormula>TEXT(Y22,"ddd")</calculatedColumnFormula>
    </tableColumn>
    <tableColumn id="3" name="Hora" dataDxfId="51"/>
    <tableColumn id="4" name="Vendedora 1" dataDxfId="50"/>
    <tableColumn id="5" name="Vendedora 2" dataDxfId="49"/>
    <tableColumn id="6" name="Vendedora 3" dataDxfId="48"/>
    <tableColumn id="7" name="Estado de la hora" dataDxfId="22">
      <calculatedColumnFormula>IF(COUNTIF(AB22:AD22,"?*")=$N$8,"✅ CUBIERTO",
IF(COUNTIF(AB22:AD22,"?*")&gt;$N$8,"⚠ EXCESO",IF(COUNTIF(AB22:AD22,"?*")&gt;0,"⚠ FALTANTE",
"❌ SIN COMPLETAR")))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385"/>
  <sheetViews>
    <sheetView showGridLines="0" topLeftCell="U10" zoomScale="110" zoomScaleNormal="110" workbookViewId="0">
      <selection activeCell="AB23" sqref="AB23"/>
    </sheetView>
  </sheetViews>
  <sheetFormatPr baseColWidth="10" defaultRowHeight="14.4" x14ac:dyDescent="0.3"/>
  <cols>
    <col min="1" max="1" width="13.77734375" customWidth="1"/>
    <col min="2" max="2" width="15.109375" style="2" customWidth="1"/>
    <col min="3" max="3" width="11" style="2" customWidth="1"/>
    <col min="4" max="6" width="13.5546875" customWidth="1"/>
    <col min="7" max="7" width="17.6640625" bestFit="1" customWidth="1"/>
    <col min="8" max="8" width="15" customWidth="1"/>
    <col min="9" max="9" width="13.77734375" customWidth="1"/>
    <col min="10" max="10" width="15.109375" style="2" customWidth="1"/>
    <col min="11" max="11" width="11" style="2" customWidth="1"/>
    <col min="12" max="14" width="13.5546875" customWidth="1"/>
    <col min="15" max="15" width="17.6640625" bestFit="1" customWidth="1"/>
    <col min="17" max="17" width="13.77734375" customWidth="1"/>
    <col min="18" max="18" width="15.109375" style="2" customWidth="1"/>
    <col min="19" max="19" width="11" style="2" customWidth="1"/>
    <col min="20" max="22" width="13.5546875" customWidth="1"/>
    <col min="23" max="23" width="25.77734375" bestFit="1" customWidth="1"/>
    <col min="31" max="31" width="17.77734375" bestFit="1" customWidth="1"/>
  </cols>
  <sheetData>
    <row r="1" spans="1:23" ht="21" x14ac:dyDescent="0.4">
      <c r="A1" s="64" t="s">
        <v>20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6"/>
    </row>
    <row r="2" spans="1:23" ht="18" x14ac:dyDescent="0.35">
      <c r="A2" s="12"/>
      <c r="B2" s="13"/>
      <c r="C2" s="13"/>
      <c r="D2" s="14"/>
      <c r="E2" s="15"/>
      <c r="F2" s="14"/>
      <c r="G2" s="15"/>
      <c r="H2" s="16"/>
      <c r="I2" s="12"/>
      <c r="J2" s="13"/>
      <c r="K2" s="13"/>
      <c r="L2" s="14"/>
      <c r="M2" s="15"/>
      <c r="N2" s="14"/>
      <c r="O2" s="15"/>
      <c r="P2" s="16"/>
      <c r="Q2" s="12"/>
      <c r="R2" s="13"/>
      <c r="S2" s="13"/>
      <c r="T2" s="14"/>
      <c r="U2" s="15"/>
      <c r="V2" s="14"/>
      <c r="W2" s="15"/>
    </row>
    <row r="3" spans="1:23" x14ac:dyDescent="0.3">
      <c r="A3" s="39" t="s">
        <v>22</v>
      </c>
      <c r="B3" s="16"/>
      <c r="C3" s="16"/>
      <c r="D3" s="16"/>
      <c r="E3" s="16"/>
      <c r="F3" s="16"/>
      <c r="G3" s="16"/>
      <c r="H3" s="16"/>
      <c r="I3" s="16"/>
      <c r="J3" s="16"/>
      <c r="M3" s="39" t="s">
        <v>14</v>
      </c>
      <c r="R3" s="16"/>
      <c r="S3" s="16"/>
      <c r="T3" s="16"/>
      <c r="U3" s="16"/>
      <c r="V3" s="16"/>
      <c r="W3" s="16"/>
    </row>
    <row r="4" spans="1:23" ht="43.2" x14ac:dyDescent="0.3">
      <c r="A4" s="56" t="s">
        <v>8</v>
      </c>
      <c r="B4" s="57" t="s">
        <v>11</v>
      </c>
      <c r="C4" s="57"/>
      <c r="D4" s="57"/>
      <c r="E4" s="57"/>
      <c r="F4" s="57" t="s">
        <v>12</v>
      </c>
      <c r="G4" s="57"/>
      <c r="H4" s="57"/>
      <c r="I4" s="57"/>
      <c r="J4" s="61" t="s">
        <v>10</v>
      </c>
      <c r="K4" s="61" t="s">
        <v>23</v>
      </c>
      <c r="M4" s="51" t="s">
        <v>0</v>
      </c>
      <c r="N4" s="52" t="s">
        <v>19</v>
      </c>
      <c r="O4" s="53" t="s">
        <v>18</v>
      </c>
      <c r="P4" s="49" t="s">
        <v>17</v>
      </c>
      <c r="Q4" s="49" t="s">
        <v>30</v>
      </c>
      <c r="R4"/>
      <c r="S4" s="16"/>
      <c r="T4" s="16"/>
      <c r="U4" s="16"/>
      <c r="V4" s="16"/>
      <c r="W4" s="16"/>
    </row>
    <row r="5" spans="1:23" x14ac:dyDescent="0.3">
      <c r="A5" s="56"/>
      <c r="B5" s="55" t="s">
        <v>27</v>
      </c>
      <c r="C5" s="55" t="s">
        <v>28</v>
      </c>
      <c r="D5" s="55" t="s">
        <v>29</v>
      </c>
      <c r="E5" s="55" t="s">
        <v>41</v>
      </c>
      <c r="F5" s="55" t="s">
        <v>27</v>
      </c>
      <c r="G5" s="55" t="s">
        <v>28</v>
      </c>
      <c r="H5" s="55" t="s">
        <v>29</v>
      </c>
      <c r="I5" s="55" t="s">
        <v>41</v>
      </c>
      <c r="J5" s="61"/>
      <c r="K5" s="61"/>
      <c r="M5" s="54" t="s">
        <v>27</v>
      </c>
      <c r="N5" s="36">
        <v>2</v>
      </c>
      <c r="O5" s="36">
        <v>320</v>
      </c>
      <c r="P5" s="22">
        <f>B17+F17</f>
        <v>96</v>
      </c>
      <c r="Q5" s="50">
        <f>P5/O5</f>
        <v>0.3</v>
      </c>
      <c r="R5"/>
      <c r="S5" s="16"/>
      <c r="T5" s="16"/>
      <c r="U5" s="16"/>
      <c r="V5" s="16"/>
      <c r="W5" s="16"/>
    </row>
    <row r="6" spans="1:23" x14ac:dyDescent="0.3">
      <c r="A6" s="58" t="s">
        <v>34</v>
      </c>
      <c r="B6" s="58">
        <f>SUMPRODUCT((TablaST1Nov[Vendedora 1]=$A6)+(TablaST1Nov[Vendedora 2]=$A6)+(TablaST1Nov[Vendedora 3]=$A6),--(TablaST1Nov[Día]&lt;&gt;$M$12))</f>
        <v>24</v>
      </c>
      <c r="C6" s="58">
        <f>SUMPRODUCT((TablaST2Nov[Vendedora 1]=$A6)+(TablaST2Nov[Vendedora 2]=$A6)+(TablaST2Nov[Vendedora 3]=$A6),--(TablaST2Nov[Día]&lt;&gt;$M$12))</f>
        <v>0</v>
      </c>
      <c r="D6" s="58">
        <f>SUMPRODUCT((TablaFrenchNov[Vendedora 1]=$A6)+(TablaFrenchNov[Vendedora 2]=$A6)+(TablaFrenchNov[Vendedora 3]=$A6),--(TablaFrenchNov[Día]&lt;&gt;$M$12))</f>
        <v>0</v>
      </c>
      <c r="E6" s="58">
        <f>SUMPRODUCT((TablaASNov[Vendedora 1]=$A6)+(TablaASNov[Vendedora 2]=$A6)+(TablaASNov[Vendedora 3]=$A6),--(TablaASNov[Día]&lt;&gt;$M$12))</f>
        <v>0</v>
      </c>
      <c r="F6" s="58">
        <f>SUMPRODUCT((TablaST1Nov[Vendedora 1]=$A6)+(TablaST1Nov[Vendedora 2]=$A6)+(TablaST1Nov[Vendedora 3]=$A6),--(TablaST1Nov[Día]=$M$12))</f>
        <v>0</v>
      </c>
      <c r="G6" s="58">
        <f>SUMPRODUCT((TablaST2Nov[Vendedora 1]=$A6)+(TablaST2Nov[Vendedora 2]=$A6)+(TablaST2Nov[Vendedora 3]=$A6),--(TablaST2Nov[Día]=$M$12))</f>
        <v>0</v>
      </c>
      <c r="H6" s="58">
        <f>SUMPRODUCT((TablaFrenchNov[Vendedora 1]=$A6)+(TablaFrenchNov[Vendedora 2]=$A6)+(TablaFrenchNov[Vendedora 3]=$A6),--(TablaFrenchNov[Día]=$M$12))</f>
        <v>0</v>
      </c>
      <c r="I6" s="58">
        <f>SUMPRODUCT((TablaASNov[Vendedora 1]=$A6)+(TablaASNov[Vendedora 2]=$A6)+(TablaASNov[Vendedora 3]=$A6),--(TablaASNov[Día]=$M$12))</f>
        <v>0</v>
      </c>
      <c r="J6" s="62">
        <f>SUM(B6:I6)</f>
        <v>24</v>
      </c>
      <c r="K6" s="62">
        <f>IF(SUM(F6:I6)=0,4,"")</f>
        <v>4</v>
      </c>
      <c r="M6" s="54" t="s">
        <v>28</v>
      </c>
      <c r="N6" s="36">
        <v>1</v>
      </c>
      <c r="O6" s="36">
        <v>240</v>
      </c>
      <c r="P6" s="22">
        <f>C17+G17</f>
        <v>0</v>
      </c>
      <c r="Q6" s="50">
        <f t="shared" ref="Q6:Q7" si="0">P6/O6</f>
        <v>0</v>
      </c>
      <c r="R6"/>
      <c r="S6" s="16"/>
      <c r="T6" s="16"/>
      <c r="U6" s="16"/>
      <c r="V6" s="16"/>
      <c r="W6" s="16"/>
    </row>
    <row r="7" spans="1:23" x14ac:dyDescent="0.3">
      <c r="A7" s="58" t="s">
        <v>37</v>
      </c>
      <c r="B7" s="58">
        <f>SUMPRODUCT((TablaST1Nov[Vendedora 1]=$A7)+(TablaST1Nov[Vendedora 2]=$A7)+(TablaST1Nov[Vendedora 3]=$A7),--(TablaST1Nov[Día]&lt;&gt;$M$12))</f>
        <v>24</v>
      </c>
      <c r="C7" s="58">
        <f>SUMPRODUCT((TablaST2Nov[Vendedora 1]=$A7)+(TablaST2Nov[Vendedora 2]=$A7)+(TablaST2Nov[Vendedora 3]=$A7),--(TablaST2Nov[Día]&lt;&gt;$M$12))</f>
        <v>0</v>
      </c>
      <c r="D7" s="58">
        <f>SUMPRODUCT((TablaFrenchNov[Vendedora 1]=$A7)+(TablaFrenchNov[Vendedora 2]=$A7)+(TablaFrenchNov[Vendedora 3]=$A7),--(TablaFrenchNov[Día]&lt;&gt;$M$12))</f>
        <v>0</v>
      </c>
      <c r="E7" s="58">
        <f>SUMPRODUCT((TablaASNov[Vendedora 1]=$A7)+(TablaASNov[Vendedora 2]=$A7)+(TablaASNov[Vendedora 3]=$A7),--(TablaASNov[Día]&lt;&gt;$M$12))</f>
        <v>0</v>
      </c>
      <c r="F7" s="58">
        <f>SUMPRODUCT((TablaST1Nov[Vendedora 1]=$A7)+(TablaST1Nov[Vendedora 2]=$A7)+(TablaST1Nov[Vendedora 3]=$A7),--(TablaST1Nov[Día]=$M$12))</f>
        <v>0</v>
      </c>
      <c r="G7" s="58">
        <f>SUMPRODUCT((TablaST2Nov[Vendedora 1]=$A7)+(TablaST2Nov[Vendedora 2]=$A7)+(TablaST2Nov[Vendedora 3]=$A7),--(TablaST2Nov[Día]=$M$12))</f>
        <v>0</v>
      </c>
      <c r="H7" s="58">
        <f>SUMPRODUCT((TablaFrenchNov[Vendedora 1]=$A7)+(TablaFrenchNov[Vendedora 2]=$A7)+(TablaFrenchNov[Vendedora 3]=$A7),--(TablaFrenchNov[Día]=$M$12))</f>
        <v>0</v>
      </c>
      <c r="I7" s="58">
        <f>SUMPRODUCT((TablaASNov[Vendedora 1]=$A7)+(TablaASNov[Vendedora 2]=$A7)+(TablaASNov[Vendedora 3]=$A7),--(TablaASNov[Día]=$M$12))</f>
        <v>0</v>
      </c>
      <c r="J7" s="62">
        <f t="shared" ref="J7:J16" si="1">SUM(B7:I7)</f>
        <v>24</v>
      </c>
      <c r="K7" s="62">
        <f t="shared" ref="K7:K16" si="2">IF(SUM(F7:I7)=0,4,"")</f>
        <v>4</v>
      </c>
      <c r="M7" s="54" t="s">
        <v>29</v>
      </c>
      <c r="N7" s="36">
        <v>1</v>
      </c>
      <c r="O7" s="36">
        <v>260</v>
      </c>
      <c r="P7" s="22">
        <f>D17+H17</f>
        <v>0</v>
      </c>
      <c r="Q7" s="50">
        <f t="shared" si="0"/>
        <v>0</v>
      </c>
      <c r="R7"/>
      <c r="S7" s="16"/>
      <c r="T7" s="16"/>
      <c r="U7" s="16"/>
      <c r="V7" s="16"/>
      <c r="W7" s="16"/>
    </row>
    <row r="8" spans="1:23" x14ac:dyDescent="0.3">
      <c r="A8" s="58" t="s">
        <v>31</v>
      </c>
      <c r="B8" s="58">
        <f>SUMPRODUCT((TablaST1Nov[Vendedora 1]=$A8)+(TablaST1Nov[Vendedora 2]=$A8)+(TablaST1Nov[Vendedora 3]=$A8),--(TablaST1Nov[Día]&lt;&gt;$M$12))</f>
        <v>0</v>
      </c>
      <c r="C8" s="58">
        <f>SUMPRODUCT((TablaST2Nov[Vendedora 1]=$A8)+(TablaST2Nov[Vendedora 2]=$A8)+(TablaST2Nov[Vendedora 3]=$A8),--(TablaST2Nov[Día]&lt;&gt;$M$12))</f>
        <v>0</v>
      </c>
      <c r="D8" s="58">
        <f>SUMPRODUCT((TablaFrenchNov[Vendedora 1]=$A8)+(TablaFrenchNov[Vendedora 2]=$A8)+(TablaFrenchNov[Vendedora 3]=$A8),--(TablaFrenchNov[Día]&lt;&gt;$M$12))</f>
        <v>0</v>
      </c>
      <c r="E8" s="58">
        <f>SUMPRODUCT((TablaASNov[Vendedora 1]=$A8)+(TablaASNov[Vendedora 2]=$A8)+(TablaASNov[Vendedora 3]=$A8),--(TablaASNov[Día]&lt;&gt;$M$12))</f>
        <v>0</v>
      </c>
      <c r="F8" s="58">
        <f>SUMPRODUCT((TablaST1Nov[Vendedora 1]=$A8)+(TablaST1Nov[Vendedora 2]=$A8)+(TablaST1Nov[Vendedora 3]=$A8),--(TablaST1Nov[Día]=$M$12))</f>
        <v>0</v>
      </c>
      <c r="G8" s="58">
        <f>SUMPRODUCT((TablaST2Nov[Vendedora 1]=$A8)+(TablaST2Nov[Vendedora 2]=$A8)+(TablaST2Nov[Vendedora 3]=$A8),--(TablaST2Nov[Día]=$M$12))</f>
        <v>0</v>
      </c>
      <c r="H8" s="58">
        <f>SUMPRODUCT((TablaFrenchNov[Vendedora 1]=$A8)+(TablaFrenchNov[Vendedora 2]=$A8)+(TablaFrenchNov[Vendedora 3]=$A8),--(TablaFrenchNov[Día]=$M$12))</f>
        <v>0</v>
      </c>
      <c r="I8" s="58">
        <f>SUMPRODUCT((TablaASNov[Vendedora 1]=$A8)+(TablaASNov[Vendedora 2]=$A8)+(TablaASNov[Vendedora 3]=$A8),--(TablaASNov[Día]=$M$12))</f>
        <v>0</v>
      </c>
      <c r="J8" s="62">
        <f t="shared" si="1"/>
        <v>0</v>
      </c>
      <c r="K8" s="62">
        <f t="shared" si="2"/>
        <v>4</v>
      </c>
      <c r="M8" s="54" t="s">
        <v>41</v>
      </c>
      <c r="N8" s="36">
        <v>2</v>
      </c>
      <c r="O8" s="36">
        <v>320</v>
      </c>
      <c r="P8" s="22">
        <f>E17+I17</f>
        <v>0</v>
      </c>
      <c r="Q8" s="50">
        <f t="shared" ref="Q8" si="3">P8/O8</f>
        <v>0</v>
      </c>
      <c r="R8" s="16"/>
      <c r="S8" s="16"/>
      <c r="T8" s="16"/>
      <c r="U8" s="16"/>
      <c r="V8" s="16"/>
      <c r="W8" s="16"/>
    </row>
    <row r="9" spans="1:23" x14ac:dyDescent="0.3">
      <c r="A9" s="58" t="s">
        <v>32</v>
      </c>
      <c r="B9" s="58">
        <f>SUMPRODUCT((TablaST1Nov[Vendedora 1]=$A9)+(TablaST1Nov[Vendedora 2]=$A9)+(TablaST1Nov[Vendedora 3]=$A9),--(TablaST1Nov[Día]&lt;&gt;$M$12))</f>
        <v>0</v>
      </c>
      <c r="C9" s="58">
        <f>SUMPRODUCT((TablaST2Nov[Vendedora 1]=$A9)+(TablaST2Nov[Vendedora 2]=$A9)+(TablaST2Nov[Vendedora 3]=$A9),--(TablaST2Nov[Día]&lt;&gt;$M$12))</f>
        <v>0</v>
      </c>
      <c r="D9" s="58">
        <f>SUMPRODUCT((TablaFrenchNov[Vendedora 1]=$A9)+(TablaFrenchNov[Vendedora 2]=$A9)+(TablaFrenchNov[Vendedora 3]=$A9),--(TablaFrenchNov[Día]&lt;&gt;$M$12))</f>
        <v>0</v>
      </c>
      <c r="E9" s="58">
        <f>SUMPRODUCT((TablaASNov[Vendedora 1]=$A9)+(TablaASNov[Vendedora 2]=$A9)+(TablaASNov[Vendedora 3]=$A9),--(TablaASNov[Día]&lt;&gt;$M$12))</f>
        <v>0</v>
      </c>
      <c r="F9" s="58">
        <f>SUMPRODUCT((TablaST1Nov[Vendedora 1]=$A9)+(TablaST1Nov[Vendedora 2]=$A9)+(TablaST1Nov[Vendedora 3]=$A9),--(TablaST1Nov[Día]=$M$12))</f>
        <v>0</v>
      </c>
      <c r="G9" s="58">
        <f>SUMPRODUCT((TablaST2Nov[Vendedora 1]=$A9)+(TablaST2Nov[Vendedora 2]=$A9)+(TablaST2Nov[Vendedora 3]=$A9),--(TablaST2Nov[Día]=$M$12))</f>
        <v>0</v>
      </c>
      <c r="H9" s="58">
        <f>SUMPRODUCT((TablaFrenchNov[Vendedora 1]=$A9)+(TablaFrenchNov[Vendedora 2]=$A9)+(TablaFrenchNov[Vendedora 3]=$A9),--(TablaFrenchNov[Día]=$M$12))</f>
        <v>0</v>
      </c>
      <c r="I9" s="58">
        <f>SUMPRODUCT((TablaASNov[Vendedora 1]=$A9)+(TablaASNov[Vendedora 2]=$A9)+(TablaASNov[Vendedora 3]=$A9),--(TablaASNov[Día]=$M$12))</f>
        <v>0</v>
      </c>
      <c r="J9" s="62">
        <f t="shared" si="1"/>
        <v>0</v>
      </c>
      <c r="K9" s="62">
        <f t="shared" si="2"/>
        <v>4</v>
      </c>
      <c r="M9" s="2"/>
      <c r="P9" s="16"/>
      <c r="R9" s="16"/>
      <c r="S9" s="16"/>
      <c r="T9" s="16"/>
      <c r="U9" s="16"/>
      <c r="V9" s="16"/>
      <c r="W9" s="16"/>
    </row>
    <row r="10" spans="1:23" x14ac:dyDescent="0.3">
      <c r="A10" s="58" t="s">
        <v>35</v>
      </c>
      <c r="B10" s="58">
        <f>SUMPRODUCT((TablaST1Nov[Vendedora 1]=$A10)+(TablaST1Nov[Vendedora 2]=$A10)+(TablaST1Nov[Vendedora 3]=$A10),--(TablaST1Nov[Día]&lt;&gt;$M$12))</f>
        <v>24</v>
      </c>
      <c r="C10" s="58">
        <f>SUMPRODUCT((TablaST2Nov[Vendedora 1]=$A10)+(TablaST2Nov[Vendedora 2]=$A10)+(TablaST2Nov[Vendedora 3]=$A10),--(TablaST2Nov[Día]&lt;&gt;$M$12))</f>
        <v>0</v>
      </c>
      <c r="D10" s="58">
        <f>SUMPRODUCT((TablaFrenchNov[Vendedora 1]=$A10)+(TablaFrenchNov[Vendedora 2]=$A10)+(TablaFrenchNov[Vendedora 3]=$A10),--(TablaFrenchNov[Día]&lt;&gt;$M$12))</f>
        <v>0</v>
      </c>
      <c r="E10" s="58">
        <f>SUMPRODUCT((TablaASNov[Vendedora 1]=$A10)+(TablaASNov[Vendedora 2]=$A10)+(TablaASNov[Vendedora 3]=$A10),--(TablaASNov[Día]&lt;&gt;$M$12))</f>
        <v>0</v>
      </c>
      <c r="F10" s="58">
        <f>SUMPRODUCT((TablaST1Nov[Vendedora 1]=$A10)+(TablaST1Nov[Vendedora 2]=$A10)+(TablaST1Nov[Vendedora 3]=$A10),--(TablaST1Nov[Día]=$M$12))</f>
        <v>0</v>
      </c>
      <c r="G10" s="58">
        <f>SUMPRODUCT((TablaST2Nov[Vendedora 1]=$A10)+(TablaST2Nov[Vendedora 2]=$A10)+(TablaST2Nov[Vendedora 3]=$A10),--(TablaST2Nov[Día]=$M$12))</f>
        <v>0</v>
      </c>
      <c r="H10" s="58">
        <f>SUMPRODUCT((TablaFrenchNov[Vendedora 1]=$A10)+(TablaFrenchNov[Vendedora 2]=$A10)+(TablaFrenchNov[Vendedora 3]=$A10),--(TablaFrenchNov[Día]=$M$12))</f>
        <v>0</v>
      </c>
      <c r="I10" s="58">
        <f>SUMPRODUCT((TablaASNov[Vendedora 1]=$A10)+(TablaASNov[Vendedora 2]=$A10)+(TablaASNov[Vendedora 3]=$A10),--(TablaASNov[Día]=$M$12))</f>
        <v>0</v>
      </c>
      <c r="J10" s="62">
        <f t="shared" si="1"/>
        <v>24</v>
      </c>
      <c r="K10" s="62">
        <f t="shared" si="2"/>
        <v>4</v>
      </c>
      <c r="P10" s="16"/>
      <c r="Q10" s="16"/>
      <c r="R10" s="16"/>
      <c r="S10" s="16"/>
      <c r="T10" s="16"/>
      <c r="U10" s="16"/>
      <c r="V10" s="16"/>
      <c r="W10" s="16"/>
    </row>
    <row r="11" spans="1:23" x14ac:dyDescent="0.3">
      <c r="A11" s="58" t="s">
        <v>40</v>
      </c>
      <c r="B11" s="58">
        <f>SUMPRODUCT((TablaST1Nov[Vendedora 1]=$A11)+(TablaST1Nov[Vendedora 2]=$A11)+(TablaST1Nov[Vendedora 3]=$A11),--(TablaST1Nov[Día]&lt;&gt;$M$12))</f>
        <v>0</v>
      </c>
      <c r="C11" s="58">
        <f>SUMPRODUCT((TablaST2Nov[Vendedora 1]=$A11)+(TablaST2Nov[Vendedora 2]=$A11)+(TablaST2Nov[Vendedora 3]=$A11),--(TablaST2Nov[Día]&lt;&gt;$M$12))</f>
        <v>0</v>
      </c>
      <c r="D11" s="58">
        <f>SUMPRODUCT((TablaFrenchNov[Vendedora 1]=$A11)+(TablaFrenchNov[Vendedora 2]=$A11)+(TablaFrenchNov[Vendedora 3]=$A11),--(TablaFrenchNov[Día]&lt;&gt;$M$12))</f>
        <v>0</v>
      </c>
      <c r="E11" s="58">
        <f>SUMPRODUCT((TablaASNov[Vendedora 1]=$A11)+(TablaASNov[Vendedora 2]=$A11)+(TablaASNov[Vendedora 3]=$A11),--(TablaASNov[Día]&lt;&gt;$M$12))</f>
        <v>0</v>
      </c>
      <c r="F11" s="58">
        <f>SUMPRODUCT((TablaST1Nov[Vendedora 1]=$A11)+(TablaST1Nov[Vendedora 2]=$A11)+(TablaST1Nov[Vendedora 3]=$A11),--(TablaST1Nov[Día]=$M$12))</f>
        <v>0</v>
      </c>
      <c r="G11" s="58">
        <f>SUMPRODUCT((TablaST2Nov[Vendedora 1]=$A11)+(TablaST2Nov[Vendedora 2]=$A11)+(TablaST2Nov[Vendedora 3]=$A11),--(TablaST2Nov[Día]=$M$12))</f>
        <v>0</v>
      </c>
      <c r="H11" s="58">
        <f>SUMPRODUCT((TablaFrenchNov[Vendedora 1]=$A11)+(TablaFrenchNov[Vendedora 2]=$A11)+(TablaFrenchNov[Vendedora 3]=$A11),--(TablaFrenchNov[Día]=$M$12))</f>
        <v>0</v>
      </c>
      <c r="I11" s="58">
        <f>SUMPRODUCT((TablaASNov[Vendedora 1]=$A11)+(TablaASNov[Vendedora 2]=$A11)+(TablaASNov[Vendedora 3]=$A11),--(TablaASNov[Día]=$M$12))</f>
        <v>0</v>
      </c>
      <c r="J11" s="62">
        <f t="shared" si="1"/>
        <v>0</v>
      </c>
      <c r="K11" s="62">
        <f t="shared" si="2"/>
        <v>4</v>
      </c>
      <c r="M11" s="37" t="s">
        <v>9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23" x14ac:dyDescent="0.3">
      <c r="A12" s="58" t="s">
        <v>39</v>
      </c>
      <c r="B12" s="58">
        <f>SUMPRODUCT((TablaST1Nov[Vendedora 1]=$A12)+(TablaST1Nov[Vendedora 2]=$A12)+(TablaST1Nov[Vendedora 3]=$A12),--(TablaST1Nov[Día]&lt;&gt;$M$12))</f>
        <v>24</v>
      </c>
      <c r="C12" s="58">
        <f>SUMPRODUCT((TablaST2Nov[Vendedora 1]=$A12)+(TablaST2Nov[Vendedora 2]=$A12)+(TablaST2Nov[Vendedora 3]=$A12),--(TablaST2Nov[Día]&lt;&gt;$M$12))</f>
        <v>0</v>
      </c>
      <c r="D12" s="58">
        <f>SUMPRODUCT((TablaFrenchNov[Vendedora 1]=$A12)+(TablaFrenchNov[Vendedora 2]=$A12)+(TablaFrenchNov[Vendedora 3]=$A12),--(TablaFrenchNov[Día]&lt;&gt;$M$12))</f>
        <v>0</v>
      </c>
      <c r="E12" s="58">
        <f>SUMPRODUCT((TablaASNov[Vendedora 1]=$A12)+(TablaASNov[Vendedora 2]=$A12)+(TablaASNov[Vendedora 3]=$A12),--(TablaASNov[Día]&lt;&gt;$M$12))</f>
        <v>0</v>
      </c>
      <c r="F12" s="58">
        <f>SUMPRODUCT((TablaST1Nov[Vendedora 1]=$A12)+(TablaST1Nov[Vendedora 2]=$A12)+(TablaST1Nov[Vendedora 3]=$A12),--(TablaST1Nov[Día]=$M$12))</f>
        <v>0</v>
      </c>
      <c r="G12" s="58">
        <f>SUMPRODUCT((TablaST2Nov[Vendedora 1]=$A12)+(TablaST2Nov[Vendedora 2]=$A12)+(TablaST2Nov[Vendedora 3]=$A12),--(TablaST2Nov[Día]=$M$12))</f>
        <v>0</v>
      </c>
      <c r="H12" s="58">
        <f>SUMPRODUCT((TablaFrenchNov[Vendedora 1]=$A12)+(TablaFrenchNov[Vendedora 2]=$A12)+(TablaFrenchNov[Vendedora 3]=$A12),--(TablaFrenchNov[Día]=$M$12))</f>
        <v>0</v>
      </c>
      <c r="I12" s="58">
        <f>SUMPRODUCT((TablaASNov[Vendedora 1]=$A12)+(TablaASNov[Vendedora 2]=$A12)+(TablaASNov[Vendedora 3]=$A12),--(TablaASNov[Día]=$M$12))</f>
        <v>0</v>
      </c>
      <c r="J12" s="62">
        <f t="shared" si="1"/>
        <v>24</v>
      </c>
      <c r="K12" s="62">
        <f t="shared" si="2"/>
        <v>4</v>
      </c>
      <c r="L12" s="16"/>
      <c r="M12" s="38">
        <v>45985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23" x14ac:dyDescent="0.3">
      <c r="A13" s="58" t="s">
        <v>33</v>
      </c>
      <c r="B13" s="58">
        <f>SUMPRODUCT((TablaST1Nov[Vendedora 1]=$A13)+(TablaST1Nov[Vendedora 2]=$A13)+(TablaST1Nov[Vendedora 3]=$A13),--(TablaST1Nov[Día]&lt;&gt;$M$12))</f>
        <v>0</v>
      </c>
      <c r="C13" s="58">
        <f>SUMPRODUCT((TablaST2Nov[Vendedora 1]=$A13)+(TablaST2Nov[Vendedora 2]=$A13)+(TablaST2Nov[Vendedora 3]=$A13),--(TablaST2Nov[Día]&lt;&gt;$M$12))</f>
        <v>0</v>
      </c>
      <c r="D13" s="58">
        <f>SUMPRODUCT((TablaFrenchNov[Vendedora 1]=$A13)+(TablaFrenchNov[Vendedora 2]=$A13)+(TablaFrenchNov[Vendedora 3]=$A13),--(TablaFrenchNov[Día]&lt;&gt;$M$12))</f>
        <v>0</v>
      </c>
      <c r="E13" s="58">
        <f>SUMPRODUCT((TablaASNov[Vendedora 1]=$A13)+(TablaASNov[Vendedora 2]=$A13)+(TablaASNov[Vendedora 3]=$A13),--(TablaASNov[Día]&lt;&gt;$M$12))</f>
        <v>0</v>
      </c>
      <c r="F13" s="58">
        <f>SUMPRODUCT((TablaST1Nov[Vendedora 1]=$A13)+(TablaST1Nov[Vendedora 2]=$A13)+(TablaST1Nov[Vendedora 3]=$A13),--(TablaST1Nov[Día]=$M$12))</f>
        <v>0</v>
      </c>
      <c r="G13" s="58">
        <f>SUMPRODUCT((TablaST2Nov[Vendedora 1]=$A13)+(TablaST2Nov[Vendedora 2]=$A13)+(TablaST2Nov[Vendedora 3]=$A13),--(TablaST2Nov[Día]=$M$12))</f>
        <v>0</v>
      </c>
      <c r="H13" s="58">
        <f>SUMPRODUCT((TablaFrenchNov[Vendedora 1]=$A13)+(TablaFrenchNov[Vendedora 2]=$A13)+(TablaFrenchNov[Vendedora 3]=$A13),--(TablaFrenchNov[Día]=$M$12))</f>
        <v>0</v>
      </c>
      <c r="I13" s="58">
        <f>SUMPRODUCT((TablaASNov[Vendedora 1]=$A13)+(TablaASNov[Vendedora 2]=$A13)+(TablaASNov[Vendedora 3]=$A13),--(TablaASNov[Día]=$M$12))</f>
        <v>0</v>
      </c>
      <c r="J13" s="62">
        <f t="shared" si="1"/>
        <v>0</v>
      </c>
      <c r="K13" s="62">
        <f t="shared" si="2"/>
        <v>4</v>
      </c>
      <c r="L13" s="21"/>
      <c r="M13" s="21"/>
      <c r="N13" s="16"/>
      <c r="O13" s="16"/>
      <c r="P13" s="16"/>
      <c r="Q13" s="16"/>
      <c r="R13" s="16"/>
      <c r="S13" s="16"/>
      <c r="T13" s="16"/>
      <c r="U13" s="16"/>
      <c r="V13" s="16"/>
      <c r="W13" s="16"/>
    </row>
    <row r="14" spans="1:23" x14ac:dyDescent="0.3">
      <c r="A14" s="58" t="s">
        <v>36</v>
      </c>
      <c r="B14" s="58">
        <f>SUMPRODUCT((TablaST1Nov[Vendedora 1]=$A14)+(TablaST1Nov[Vendedora 2]=$A14)+(TablaST1Nov[Vendedora 3]=$A14),--(TablaST1Nov[Día]&lt;&gt;$M$12))</f>
        <v>0</v>
      </c>
      <c r="C14" s="58">
        <f>SUMPRODUCT((TablaST2Nov[Vendedora 1]=$A14)+(TablaST2Nov[Vendedora 2]=$A14)+(TablaST2Nov[Vendedora 3]=$A14),--(TablaST2Nov[Día]&lt;&gt;$M$12))</f>
        <v>0</v>
      </c>
      <c r="D14" s="58">
        <f>SUMPRODUCT((TablaFrenchNov[Vendedora 1]=$A14)+(TablaFrenchNov[Vendedora 2]=$A14)+(TablaFrenchNov[Vendedora 3]=$A14),--(TablaFrenchNov[Día]&lt;&gt;$M$12))</f>
        <v>0</v>
      </c>
      <c r="E14" s="58">
        <f>SUMPRODUCT((TablaASNov[Vendedora 1]=$A14)+(TablaASNov[Vendedora 2]=$A14)+(TablaASNov[Vendedora 3]=$A14),--(TablaASNov[Día]&lt;&gt;$M$12))</f>
        <v>0</v>
      </c>
      <c r="F14" s="58">
        <f>SUMPRODUCT((TablaST1Nov[Vendedora 1]=$A14)+(TablaST1Nov[Vendedora 2]=$A14)+(TablaST1Nov[Vendedora 3]=$A14),--(TablaST1Nov[Día]=$M$12))</f>
        <v>0</v>
      </c>
      <c r="G14" s="58">
        <f>SUMPRODUCT((TablaST2Nov[Vendedora 1]=$A14)+(TablaST2Nov[Vendedora 2]=$A14)+(TablaST2Nov[Vendedora 3]=$A14),--(TablaST2Nov[Día]=$M$12))</f>
        <v>0</v>
      </c>
      <c r="H14" s="58">
        <f>SUMPRODUCT((TablaFrenchNov[Vendedora 1]=$A14)+(TablaFrenchNov[Vendedora 2]=$A14)+(TablaFrenchNov[Vendedora 3]=$A14),--(TablaFrenchNov[Día]=$M$12))</f>
        <v>0</v>
      </c>
      <c r="I14" s="58">
        <f>SUMPRODUCT((TablaASNov[Vendedora 1]=$A14)+(TablaASNov[Vendedora 2]=$A14)+(TablaASNov[Vendedora 3]=$A14),--(TablaASNov[Día]=$M$12))</f>
        <v>0</v>
      </c>
      <c r="J14" s="62">
        <f t="shared" si="1"/>
        <v>0</v>
      </c>
      <c r="K14" s="62">
        <f t="shared" si="2"/>
        <v>4</v>
      </c>
      <c r="L14" s="10"/>
      <c r="M14" s="18"/>
      <c r="O14" s="16"/>
      <c r="P14" s="16"/>
      <c r="Q14" s="16"/>
      <c r="R14" s="16"/>
      <c r="S14" s="16"/>
      <c r="T14" s="16"/>
      <c r="U14" s="16"/>
      <c r="V14" s="16"/>
      <c r="W14" s="16"/>
    </row>
    <row r="15" spans="1:23" x14ac:dyDescent="0.3">
      <c r="A15" s="58" t="s">
        <v>38</v>
      </c>
      <c r="B15" s="58">
        <f>SUMPRODUCT((TablaST1Nov[Vendedora 1]=$A15)+(TablaST1Nov[Vendedora 2]=$A15)+(TablaST1Nov[Vendedora 3]=$A15),--(TablaST1Nov[Día]&lt;&gt;$M$12))</f>
        <v>0</v>
      </c>
      <c r="C15" s="58">
        <f>SUMPRODUCT((TablaST2Nov[Vendedora 1]=$A15)+(TablaST2Nov[Vendedora 2]=$A15)+(TablaST2Nov[Vendedora 3]=$A15),--(TablaST2Nov[Día]&lt;&gt;$M$12))</f>
        <v>0</v>
      </c>
      <c r="D15" s="58">
        <f>SUMPRODUCT((TablaFrenchNov[Vendedora 1]=$A15)+(TablaFrenchNov[Vendedora 2]=$A15)+(TablaFrenchNov[Vendedora 3]=$A15),--(TablaFrenchNov[Día]&lt;&gt;$M$12))</f>
        <v>0</v>
      </c>
      <c r="E15" s="58">
        <f>SUMPRODUCT((TablaASNov[Vendedora 1]=$A15)+(TablaASNov[Vendedora 2]=$A15)+(TablaASNov[Vendedora 3]=$A15),--(TablaASNov[Día]&lt;&gt;$M$12))</f>
        <v>0</v>
      </c>
      <c r="F15" s="58">
        <f>SUMPRODUCT((TablaST1Nov[Vendedora 1]=$A15)+(TablaST1Nov[Vendedora 2]=$A15)+(TablaST1Nov[Vendedora 3]=$A15),--(TablaST1Nov[Día]=$M$12))</f>
        <v>0</v>
      </c>
      <c r="G15" s="58">
        <f>SUMPRODUCT((TablaST2Nov[Vendedora 1]=$A15)+(TablaST2Nov[Vendedora 2]=$A15)+(TablaST2Nov[Vendedora 3]=$A15),--(TablaST2Nov[Día]=$M$12))</f>
        <v>0</v>
      </c>
      <c r="H15" s="58">
        <f>SUMPRODUCT((TablaFrenchNov[Vendedora 1]=$A15)+(TablaFrenchNov[Vendedora 2]=$A15)+(TablaFrenchNov[Vendedora 3]=$A15),--(TablaFrenchNov[Día]=$M$12))</f>
        <v>0</v>
      </c>
      <c r="I15" s="58">
        <f>SUMPRODUCT((TablaASNov[Vendedora 1]=$A15)+(TablaASNov[Vendedora 2]=$A15)+(TablaASNov[Vendedora 3]=$A15),--(TablaASNov[Día]=$M$12))</f>
        <v>0</v>
      </c>
      <c r="J15" s="62">
        <f t="shared" si="1"/>
        <v>0</v>
      </c>
      <c r="K15" s="62">
        <f t="shared" si="2"/>
        <v>4</v>
      </c>
      <c r="L15" s="10"/>
      <c r="M15" s="18"/>
      <c r="O15" s="16"/>
      <c r="P15" s="16"/>
      <c r="Q15" s="16"/>
      <c r="R15" s="16"/>
      <c r="S15" s="16"/>
      <c r="T15" s="16"/>
      <c r="U15" s="16"/>
      <c r="V15" s="16"/>
      <c r="W15" s="16"/>
    </row>
    <row r="16" spans="1:23" x14ac:dyDescent="0.3">
      <c r="A16" s="59" t="s">
        <v>13</v>
      </c>
      <c r="B16" s="58">
        <f>SUMPRODUCT((TablaST1Nov[Vendedora 1]=$A16)+(TablaST1Nov[Vendedora 2]=$A16)+(TablaST1Nov[Vendedora 3]=$A16),--(TablaST1Nov[Día]&lt;&gt;$M$12))</f>
        <v>0</v>
      </c>
      <c r="C16" s="58">
        <f>SUMPRODUCT((TablaST2Nov[Vendedora 1]=$A16)+(TablaST2Nov[Vendedora 2]=$A16)+(TablaST2Nov[Vendedora 3]=$A16),--(TablaST2Nov[Día]&lt;&gt;$M$12))</f>
        <v>0</v>
      </c>
      <c r="D16" s="58">
        <f>SUMPRODUCT((TablaFrenchNov[Vendedora 1]=$A16)+(TablaFrenchNov[Vendedora 2]=$A16)+(TablaFrenchNov[Vendedora 3]=$A16),--(TablaFrenchNov[Día]&lt;&gt;$M$12))</f>
        <v>0</v>
      </c>
      <c r="E16" s="58">
        <f>SUMPRODUCT((TablaASNov[Vendedora 1]=$A16)+(TablaASNov[Vendedora 2]=$A16)+(TablaASNov[Vendedora 3]=$A16),--(TablaASNov[Día]&lt;&gt;$M$12))</f>
        <v>0</v>
      </c>
      <c r="F16" s="58">
        <f>SUMPRODUCT((TablaST1Nov[Vendedora 1]=$A16)+(TablaST1Nov[Vendedora 2]=$A16)+(TablaST1Nov[Vendedora 3]=$A16),--(TablaST1Nov[Día]=$M$12))</f>
        <v>0</v>
      </c>
      <c r="G16" s="58">
        <f>SUMPRODUCT((TablaST2Nov[Vendedora 1]=$A16)+(TablaST2Nov[Vendedora 2]=$A16)+(TablaST2Nov[Vendedora 3]=$A16),--(TablaST2Nov[Día]=$M$12))</f>
        <v>0</v>
      </c>
      <c r="H16" s="58">
        <f>SUMPRODUCT((TablaFrenchNov[Vendedora 1]=$A16)+(TablaFrenchNov[Vendedora 2]=$A16)+(TablaFrenchNov[Vendedora 3]=$A16),--(TablaFrenchNov[Día]=$M$12))</f>
        <v>0</v>
      </c>
      <c r="I16" s="58">
        <f>SUMPRODUCT((TablaASNov[Vendedora 1]=$A16)+(TablaASNov[Vendedora 2]=$A16)+(TablaASNov[Vendedora 3]=$A16),--(TablaASNov[Día]=$M$12))</f>
        <v>0</v>
      </c>
      <c r="J16" s="62">
        <f t="shared" si="1"/>
        <v>0</v>
      </c>
      <c r="K16" s="62">
        <f t="shared" si="2"/>
        <v>4</v>
      </c>
      <c r="L16" s="10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1:31" s="4" customFormat="1" x14ac:dyDescent="0.3">
      <c r="A17" s="60" t="s">
        <v>15</v>
      </c>
      <c r="B17" s="60">
        <f>SUM(B6:B16)</f>
        <v>96</v>
      </c>
      <c r="C17" s="60">
        <f t="shared" ref="C17:D17" si="4">SUM(C6:C16)</f>
        <v>0</v>
      </c>
      <c r="D17" s="60">
        <f t="shared" si="4"/>
        <v>0</v>
      </c>
      <c r="E17" s="60">
        <f>SUM(E6:E16)</f>
        <v>0</v>
      </c>
      <c r="F17" s="60">
        <f>SUM(F6:F16)</f>
        <v>0</v>
      </c>
      <c r="G17" s="60">
        <f>SUM(G6:G16)</f>
        <v>0</v>
      </c>
      <c r="H17" s="60">
        <f>SUM(H6:H16)</f>
        <v>0</v>
      </c>
      <c r="I17" s="60">
        <f>SUM(I6:I16)</f>
        <v>0</v>
      </c>
      <c r="J17" s="63">
        <f>SUM(J6:J16)</f>
        <v>96</v>
      </c>
      <c r="K17" s="63">
        <f>SUM(K6:K16)</f>
        <v>44</v>
      </c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31" s="4" customFormat="1" x14ac:dyDescent="0.3">
      <c r="A18" s="18"/>
      <c r="B18" s="14"/>
      <c r="C18" s="14"/>
      <c r="D18" s="14"/>
      <c r="E18" s="14"/>
      <c r="F18" s="14"/>
      <c r="G18" s="14"/>
      <c r="H18" s="15"/>
      <c r="I18" s="15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1:31" s="4" customFormat="1" x14ac:dyDescent="0.3">
      <c r="A19" s="14"/>
      <c r="B19" s="14"/>
      <c r="C19" s="14"/>
      <c r="D19" s="14"/>
      <c r="E19" s="14"/>
      <c r="F19" s="14"/>
      <c r="G19" s="14"/>
      <c r="H19" s="15"/>
      <c r="I19" s="15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1:31" s="20" customFormat="1" ht="18" x14ac:dyDescent="0.35">
      <c r="A20" s="42" t="s">
        <v>24</v>
      </c>
      <c r="B20" s="43"/>
      <c r="C20" s="43"/>
      <c r="D20" s="43"/>
      <c r="E20" s="43"/>
      <c r="F20" s="43"/>
      <c r="G20" s="44"/>
      <c r="H20" s="19"/>
      <c r="I20" s="42" t="s">
        <v>25</v>
      </c>
      <c r="J20" s="43"/>
      <c r="K20" s="43"/>
      <c r="L20" s="43"/>
      <c r="M20" s="43"/>
      <c r="N20" s="43"/>
      <c r="O20" s="44"/>
      <c r="P20" s="19"/>
      <c r="Q20" s="45" t="s">
        <v>26</v>
      </c>
      <c r="R20" s="46"/>
      <c r="S20" s="46"/>
      <c r="T20" s="46"/>
      <c r="U20" s="46"/>
      <c r="V20" s="46"/>
      <c r="W20" s="47"/>
      <c r="Y20" s="42" t="s">
        <v>42</v>
      </c>
      <c r="Z20" s="43"/>
      <c r="AA20" s="43"/>
      <c r="AB20" s="43"/>
      <c r="AC20" s="43"/>
      <c r="AD20" s="43"/>
      <c r="AE20" s="44"/>
    </row>
    <row r="21" spans="1:31" x14ac:dyDescent="0.3">
      <c r="A21" s="24" t="s">
        <v>3</v>
      </c>
      <c r="B21" s="25" t="s">
        <v>6</v>
      </c>
      <c r="C21" s="25" t="s">
        <v>7</v>
      </c>
      <c r="D21" s="26" t="s">
        <v>1</v>
      </c>
      <c r="E21" s="26" t="s">
        <v>2</v>
      </c>
      <c r="F21" s="26" t="s">
        <v>4</v>
      </c>
      <c r="G21" s="27" t="s">
        <v>5</v>
      </c>
      <c r="H21" s="16"/>
      <c r="I21" s="24" t="s">
        <v>3</v>
      </c>
      <c r="J21" s="25" t="s">
        <v>6</v>
      </c>
      <c r="K21" s="25" t="s">
        <v>7</v>
      </c>
      <c r="L21" s="26" t="s">
        <v>1</v>
      </c>
      <c r="M21" s="26" t="s">
        <v>2</v>
      </c>
      <c r="N21" s="26" t="s">
        <v>4</v>
      </c>
      <c r="O21" s="27" t="s">
        <v>5</v>
      </c>
      <c r="P21" s="16"/>
      <c r="Q21" s="24" t="s">
        <v>3</v>
      </c>
      <c r="R21" s="25" t="s">
        <v>6</v>
      </c>
      <c r="S21" s="25" t="s">
        <v>7</v>
      </c>
      <c r="T21" s="26" t="s">
        <v>1</v>
      </c>
      <c r="U21" s="26" t="s">
        <v>2</v>
      </c>
      <c r="V21" s="26" t="s">
        <v>4</v>
      </c>
      <c r="W21" s="27" t="s">
        <v>5</v>
      </c>
      <c r="Y21" s="24" t="s">
        <v>3</v>
      </c>
      <c r="Z21" s="25" t="s">
        <v>6</v>
      </c>
      <c r="AA21" s="25" t="s">
        <v>7</v>
      </c>
      <c r="AB21" s="26" t="s">
        <v>1</v>
      </c>
      <c r="AC21" s="26" t="s">
        <v>2</v>
      </c>
      <c r="AD21" s="26" t="s">
        <v>4</v>
      </c>
      <c r="AE21" s="27" t="s">
        <v>5</v>
      </c>
    </row>
    <row r="22" spans="1:31" x14ac:dyDescent="0.3">
      <c r="A22" s="29">
        <v>45962</v>
      </c>
      <c r="B22" s="30" t="str">
        <f>TEXT(A22,"ddd")</f>
        <v>sáb</v>
      </c>
      <c r="C22" s="28">
        <v>0.45833333333333331</v>
      </c>
      <c r="D22" s="31" t="s">
        <v>34</v>
      </c>
      <c r="E22" s="31" t="s">
        <v>35</v>
      </c>
      <c r="F22" s="31"/>
      <c r="G22" s="40" t="str">
        <f>IF(COUNTIF(D22:F22,"?*")=$N$5,"✅ CUBIERTO",
IF(COUNTIF(D22:F22,"?*")&gt;$N$5,"⚠ EXCESO",IF(COUNTIF(D22:F22,"?*")&gt;0,"⚠ FALTANTE",
"❌ SIN COMPLETAR")))</f>
        <v>✅ CUBIERTO</v>
      </c>
      <c r="H22" s="17"/>
      <c r="I22" s="29">
        <v>45962</v>
      </c>
      <c r="J22" s="30" t="str">
        <f>TEXT(I22,"ddd")</f>
        <v>sáb</v>
      </c>
      <c r="K22" s="28">
        <v>0.45833333333333331</v>
      </c>
      <c r="L22" s="31"/>
      <c r="M22" s="41"/>
      <c r="N22" s="41"/>
      <c r="O22" s="32" t="str">
        <f>IF(COUNTIF(L22:N22,"?*")=$N$6,"✅ CUBIERTO",IF(COUNTIF(L22:N22,"?*")&gt;$N$6,"⚠ EXCESO",
IF(COUNTIF(L22:N22,"?*")&gt;0,"⚠ FALTANTE", "❌ SIN COMPLETAR")))</f>
        <v>❌ SIN COMPLETAR</v>
      </c>
      <c r="P22" s="17"/>
      <c r="Q22" s="29">
        <v>45962</v>
      </c>
      <c r="R22" s="30" t="str">
        <f>TEXT(Q22,"ddd")</f>
        <v>sáb</v>
      </c>
      <c r="S22" s="28">
        <v>0.45833333333333331</v>
      </c>
      <c r="T22" s="31"/>
      <c r="U22" s="31"/>
      <c r="V22" s="31"/>
      <c r="W22" s="40" t="str">
        <f>IF(COUNTIF(T22:V22,"?*")=$N$7,"✅ CUBIERTO",IF(COUNTIF(T22:V22,"?*")&gt;$N$7,"⚠ EXCESO",
IF(COUNTIF(T22:V22,"?*")&gt;0,"⚠ FALTANTE", "❌ SIN COMPLETAR")))</f>
        <v>❌ SIN COMPLETAR</v>
      </c>
      <c r="Y22" s="29">
        <v>45962</v>
      </c>
      <c r="Z22" s="30" t="str">
        <f>TEXT(Y22,"ddd")</f>
        <v>sáb</v>
      </c>
      <c r="AA22" s="28">
        <v>0.45833333333333331</v>
      </c>
      <c r="AB22" s="41"/>
      <c r="AC22" s="41"/>
      <c r="AD22" s="41"/>
      <c r="AE22" s="32" t="str">
        <f>IF(COUNTIF(AB22:AD22,"?*")=$N$8,"✅ CUBIERTO",IF(COUNTIF(AB22:AD22,"?*")&gt;$N$8,"⚠ EXCESO",
IF(COUNTIF(AB22:AD22,"?*")&gt;0,"⚠ FALTANTE", "❌ SIN COMPLETAR")))</f>
        <v>❌ SIN COMPLETAR</v>
      </c>
    </row>
    <row r="23" spans="1:31" x14ac:dyDescent="0.3">
      <c r="A23" s="29">
        <v>45962</v>
      </c>
      <c r="B23" s="30" t="str">
        <f t="shared" ref="B23:B29" si="5">TEXT(A23,"ddd")</f>
        <v>sáb</v>
      </c>
      <c r="C23" s="28">
        <v>0.5</v>
      </c>
      <c r="D23" s="31" t="s">
        <v>34</v>
      </c>
      <c r="E23" s="31" t="s">
        <v>35</v>
      </c>
      <c r="F23" s="31"/>
      <c r="G23" s="40" t="str">
        <f>IF(COUNTIF(D23:F23,"?*")=$N$5,"✅ CUBIERTO",
IF(COUNTIF(D23:F23,"?*")&gt;$N$5,"⚠ EXCESO",IF(COUNTIF(D23:F23,"?*")&gt;0,"⚠ FALTANTE",
"❌ SIN COMPLETAR")))</f>
        <v>✅ CUBIERTO</v>
      </c>
      <c r="H23" s="17"/>
      <c r="I23" s="29">
        <v>45962</v>
      </c>
      <c r="J23" s="30" t="str">
        <f t="shared" ref="J23:J29" si="6">TEXT(I23,"ddd")</f>
        <v>sáb</v>
      </c>
      <c r="K23" s="28">
        <v>0.5</v>
      </c>
      <c r="L23" s="41"/>
      <c r="M23" s="41"/>
      <c r="N23" s="41"/>
      <c r="O23" s="32" t="str">
        <f>IF(COUNTIF(L23:N23,"?*")=$N$6,"✅ CUBIERTO",IF(COUNTIF(L23:N23,"?*")&gt;$N$6,"⚠ EXCESO",
IF(COUNTIF(L23:N23,"?*")&gt;0,"⚠ FALTANTE", "❌ SIN COMPLETAR")))</f>
        <v>❌ SIN COMPLETAR</v>
      </c>
      <c r="P23" s="17"/>
      <c r="Q23" s="29">
        <v>45962</v>
      </c>
      <c r="R23" s="30" t="str">
        <f t="shared" ref="R23:R29" si="7">TEXT(Q23,"ddd")</f>
        <v>sáb</v>
      </c>
      <c r="S23" s="28">
        <v>0.5</v>
      </c>
      <c r="T23" s="31"/>
      <c r="U23" s="31"/>
      <c r="V23" s="31"/>
      <c r="W23" s="40" t="str">
        <f>IF(COUNTIF(T23:V23,"?*")=$N$7,"✅ CUBIERTO",IF(COUNTIF(T23:V23,"?*")&gt;$N$7,"⚠ EXCESO",
IF(COUNTIF(T23:V23,"?*")&gt;0,"⚠ FALTANTE", "❌ SIN COMPLETAR")))</f>
        <v>❌ SIN COMPLETAR</v>
      </c>
      <c r="Y23" s="29">
        <v>45962</v>
      </c>
      <c r="Z23" s="30" t="str">
        <f t="shared" ref="Z23:Z29" si="8">TEXT(Y23,"ddd")</f>
        <v>sáb</v>
      </c>
      <c r="AA23" s="28">
        <v>0.5</v>
      </c>
      <c r="AB23" s="31"/>
      <c r="AC23" s="41"/>
      <c r="AD23" s="41"/>
      <c r="AE23" s="32" t="str">
        <f t="shared" ref="AE23:AE86" si="9">IF(COUNTIF(AB23:AD23,"?*")=$N$8,"✅ CUBIERTO",IF(COUNTIF(AB23:AD23,"?*")&gt;$N$8,"⚠ EXCESO",
IF(COUNTIF(AB23:AD23,"?*")&gt;0,"⚠ FALTANTE", "❌ SIN COMPLETAR")))</f>
        <v>❌ SIN COMPLETAR</v>
      </c>
    </row>
    <row r="24" spans="1:31" x14ac:dyDescent="0.3">
      <c r="A24" s="29">
        <v>45962</v>
      </c>
      <c r="B24" s="30" t="str">
        <f t="shared" si="5"/>
        <v>sáb</v>
      </c>
      <c r="C24" s="28">
        <v>0.54166666666666696</v>
      </c>
      <c r="D24" s="31" t="s">
        <v>34</v>
      </c>
      <c r="E24" s="31" t="s">
        <v>35</v>
      </c>
      <c r="F24" s="31"/>
      <c r="G24" s="40" t="str">
        <f>IF(COUNTIF(D24:F24,"?*")=$N$5,"✅ CUBIERTO",
IF(COUNTIF(D24:F24,"?*")&gt;$N$5,"⚠ EXCESO",IF(COUNTIF(D24:F24,"?*")&gt;0,"⚠ FALTANTE",
"❌ SIN COMPLETAR")))</f>
        <v>✅ CUBIERTO</v>
      </c>
      <c r="H24" s="17"/>
      <c r="I24" s="29">
        <v>45962</v>
      </c>
      <c r="J24" s="30" t="str">
        <f t="shared" si="6"/>
        <v>sáb</v>
      </c>
      <c r="K24" s="28">
        <v>0.54166666666666696</v>
      </c>
      <c r="L24" s="31"/>
      <c r="M24" s="41"/>
      <c r="N24" s="41"/>
      <c r="O24" s="32" t="str">
        <f>IF(COUNTIF(L24:N24,"?*")=$N$6,"✅ CUBIERTO",IF(COUNTIF(L24:N24,"?*")&gt;$N$6,"⚠ EXCESO",
IF(COUNTIF(L24:N24,"?*")&gt;0,"⚠ FALTANTE", "❌ SIN COMPLETAR")))</f>
        <v>❌ SIN COMPLETAR</v>
      </c>
      <c r="P24" s="17"/>
      <c r="Q24" s="29">
        <v>45962</v>
      </c>
      <c r="R24" s="30" t="str">
        <f t="shared" si="7"/>
        <v>sáb</v>
      </c>
      <c r="S24" s="28">
        <v>0.54166666666666696</v>
      </c>
      <c r="T24" s="31"/>
      <c r="U24" s="31"/>
      <c r="V24" s="31"/>
      <c r="W24" s="40" t="str">
        <f>IF(COUNTIF(T24:V24,"?*")=$N$7,"✅ CUBIERTO",IF(COUNTIF(T24:V24,"?*")&gt;$N$7,"⚠ EXCESO",
IF(COUNTIF(T24:V24,"?*")&gt;0,"⚠ FALTANTE", "❌ SIN COMPLETAR")))</f>
        <v>❌ SIN COMPLETAR</v>
      </c>
      <c r="Y24" s="29">
        <v>45962</v>
      </c>
      <c r="Z24" s="30" t="str">
        <f t="shared" si="8"/>
        <v>sáb</v>
      </c>
      <c r="AA24" s="28">
        <v>0.54166666666666696</v>
      </c>
      <c r="AB24" s="31"/>
      <c r="AC24" s="41"/>
      <c r="AD24" s="41"/>
      <c r="AE24" s="32" t="str">
        <f t="shared" si="9"/>
        <v>❌ SIN COMPLETAR</v>
      </c>
    </row>
    <row r="25" spans="1:31" x14ac:dyDescent="0.3">
      <c r="A25" s="29">
        <v>45962</v>
      </c>
      <c r="B25" s="30" t="str">
        <f t="shared" si="5"/>
        <v>sáb</v>
      </c>
      <c r="C25" s="28">
        <v>0.58333333333333304</v>
      </c>
      <c r="D25" s="31" t="s">
        <v>34</v>
      </c>
      <c r="E25" s="31" t="s">
        <v>35</v>
      </c>
      <c r="F25" s="31"/>
      <c r="G25" s="40" t="str">
        <f>IF(COUNTIF(D25:F25,"?*")=$N$5,"✅ CUBIERTO",
IF(COUNTIF(D25:F25,"?*")&gt;$N$5,"⚠ EXCESO",IF(COUNTIF(D25:F25,"?*")&gt;0,"⚠ FALTANTE",
"❌ SIN COMPLETAR")))</f>
        <v>✅ CUBIERTO</v>
      </c>
      <c r="H25" s="17"/>
      <c r="I25" s="29">
        <v>45962</v>
      </c>
      <c r="J25" s="30" t="str">
        <f t="shared" si="6"/>
        <v>sáb</v>
      </c>
      <c r="K25" s="28">
        <v>0.58333333333333304</v>
      </c>
      <c r="L25" s="41"/>
      <c r="M25" s="41"/>
      <c r="N25" s="41"/>
      <c r="O25" s="32" t="str">
        <f>IF(COUNTIF(L25:N25,"?*")=$N$6,"✅ CUBIERTO",IF(COUNTIF(L25:N25,"?*")&gt;$N$6,"⚠ EXCESO",
IF(COUNTIF(L25:N25,"?*")&gt;0,"⚠ FALTANTE", "❌ SIN COMPLETAR")))</f>
        <v>❌ SIN COMPLETAR</v>
      </c>
      <c r="P25" s="17"/>
      <c r="Q25" s="29">
        <v>45962</v>
      </c>
      <c r="R25" s="30" t="str">
        <f t="shared" si="7"/>
        <v>sáb</v>
      </c>
      <c r="S25" s="28">
        <v>0.58333333333333304</v>
      </c>
      <c r="T25" s="31"/>
      <c r="U25" s="31"/>
      <c r="V25" s="31"/>
      <c r="W25" s="40" t="str">
        <f>IF(COUNTIF(T25:V25,"?*")=$N$7,"✅ CUBIERTO",IF(COUNTIF(T25:V25,"?*")&gt;$N$7,"⚠ EXCESO",
IF(COUNTIF(T25:V25,"?*")&gt;0,"⚠ FALTANTE", "❌ SIN COMPLETAR")))</f>
        <v>❌ SIN COMPLETAR</v>
      </c>
      <c r="Y25" s="29">
        <v>45962</v>
      </c>
      <c r="Z25" s="30" t="str">
        <f t="shared" si="8"/>
        <v>sáb</v>
      </c>
      <c r="AA25" s="28">
        <v>0.58333333333333304</v>
      </c>
      <c r="AB25" s="41"/>
      <c r="AC25" s="41"/>
      <c r="AD25" s="41"/>
      <c r="AE25" s="32" t="str">
        <f t="shared" si="9"/>
        <v>❌ SIN COMPLETAR</v>
      </c>
    </row>
    <row r="26" spans="1:31" x14ac:dyDescent="0.3">
      <c r="A26" s="29">
        <v>45962</v>
      </c>
      <c r="B26" s="30" t="str">
        <f t="shared" si="5"/>
        <v>sáb</v>
      </c>
      <c r="C26" s="28">
        <v>0.625</v>
      </c>
      <c r="D26" s="31" t="s">
        <v>37</v>
      </c>
      <c r="E26" s="31" t="s">
        <v>39</v>
      </c>
      <c r="F26" s="31"/>
      <c r="G26" s="40" t="str">
        <f>IF(COUNTIF(D26:F26,"?*")=$N$5,"✅ CUBIERTO",
IF(COUNTIF(D26:F26,"?*")&gt;$N$5,"⚠ EXCESO",IF(COUNTIF(D26:F26,"?*")&gt;0,"⚠ FALTANTE",
"❌ SIN COMPLETAR")))</f>
        <v>✅ CUBIERTO</v>
      </c>
      <c r="H26" s="17"/>
      <c r="I26" s="29">
        <v>45962</v>
      </c>
      <c r="J26" s="30" t="str">
        <f t="shared" si="6"/>
        <v>sáb</v>
      </c>
      <c r="K26" s="28">
        <v>0.625</v>
      </c>
      <c r="L26" s="41"/>
      <c r="M26" s="41"/>
      <c r="N26" s="41"/>
      <c r="O26" s="32" t="str">
        <f>IF(COUNTIF(L26:N26,"?*")=$N$6,"✅ CUBIERTO",IF(COUNTIF(L26:N26,"?*")&gt;$N$6,"⚠ EXCESO",
IF(COUNTIF(L26:N26,"?*")&gt;0,"⚠ FALTANTE", "❌ SIN COMPLETAR")))</f>
        <v>❌ SIN COMPLETAR</v>
      </c>
      <c r="P26" s="17"/>
      <c r="Q26" s="29">
        <v>45962</v>
      </c>
      <c r="R26" s="30" t="str">
        <f t="shared" si="7"/>
        <v>sáb</v>
      </c>
      <c r="S26" s="28">
        <v>0.625</v>
      </c>
      <c r="T26" s="31"/>
      <c r="U26" s="31"/>
      <c r="V26" s="31"/>
      <c r="W26" s="40" t="str">
        <f>IF(COUNTIF(T26:V26,"?*")=$N$7,"✅ CUBIERTO",IF(COUNTIF(T26:V26,"?*")&gt;$N$7,"⚠ EXCESO",
IF(COUNTIF(T26:V26,"?*")&gt;0,"⚠ FALTANTE", "❌ SIN COMPLETAR")))</f>
        <v>❌ SIN COMPLETAR</v>
      </c>
      <c r="Y26" s="29">
        <v>45962</v>
      </c>
      <c r="Z26" s="30" t="str">
        <f t="shared" si="8"/>
        <v>sáb</v>
      </c>
      <c r="AA26" s="28">
        <v>0.625</v>
      </c>
      <c r="AB26" s="41"/>
      <c r="AC26" s="41"/>
      <c r="AD26" s="41"/>
      <c r="AE26" s="32" t="str">
        <f t="shared" si="9"/>
        <v>❌ SIN COMPLETAR</v>
      </c>
    </row>
    <row r="27" spans="1:31" x14ac:dyDescent="0.3">
      <c r="A27" s="29">
        <v>45962</v>
      </c>
      <c r="B27" s="30" t="str">
        <f t="shared" si="5"/>
        <v>sáb</v>
      </c>
      <c r="C27" s="28">
        <v>0.66666666666666696</v>
      </c>
      <c r="D27" s="31" t="s">
        <v>37</v>
      </c>
      <c r="E27" s="31" t="s">
        <v>39</v>
      </c>
      <c r="F27" s="31"/>
      <c r="G27" s="40" t="str">
        <f>IF(COUNTIF(D27:F27,"?*")=$N$5,"✅ CUBIERTO",
IF(COUNTIF(D27:F27,"?*")&gt;$N$5,"⚠ EXCESO",IF(COUNTIF(D27:F27,"?*")&gt;0,"⚠ FALTANTE",
"❌ SIN COMPLETAR")))</f>
        <v>✅ CUBIERTO</v>
      </c>
      <c r="H27" s="17"/>
      <c r="I27" s="29">
        <v>45962</v>
      </c>
      <c r="J27" s="30" t="str">
        <f t="shared" si="6"/>
        <v>sáb</v>
      </c>
      <c r="K27" s="28">
        <v>0.66666666666666696</v>
      </c>
      <c r="L27" s="41"/>
      <c r="M27" s="41"/>
      <c r="N27" s="41"/>
      <c r="O27" s="32" t="str">
        <f>IF(COUNTIF(L27:N27,"?*")=$N$6,"✅ CUBIERTO",IF(COUNTIF(L27:N27,"?*")&gt;$N$6,"⚠ EXCESO",
IF(COUNTIF(L27:N27,"?*")&gt;0,"⚠ FALTANTE", "❌ SIN COMPLETAR")))</f>
        <v>❌ SIN COMPLETAR</v>
      </c>
      <c r="P27" s="17"/>
      <c r="Q27" s="29">
        <v>45962</v>
      </c>
      <c r="R27" s="30" t="str">
        <f t="shared" si="7"/>
        <v>sáb</v>
      </c>
      <c r="S27" s="28">
        <v>0.66666666666666696</v>
      </c>
      <c r="T27" s="31"/>
      <c r="U27" s="31"/>
      <c r="V27" s="31"/>
      <c r="W27" s="40" t="str">
        <f>IF(COUNTIF(T27:V27,"?*")=$N$7,"✅ CUBIERTO",IF(COUNTIF(T27:V27,"?*")&gt;$N$7,"⚠ EXCESO",
IF(COUNTIF(T27:V27,"?*")&gt;0,"⚠ FALTANTE", "❌ SIN COMPLETAR")))</f>
        <v>❌ SIN COMPLETAR</v>
      </c>
      <c r="Y27" s="29">
        <v>45962</v>
      </c>
      <c r="Z27" s="30" t="str">
        <f t="shared" si="8"/>
        <v>sáb</v>
      </c>
      <c r="AA27" s="28">
        <v>0.66666666666666696</v>
      </c>
      <c r="AB27" s="41"/>
      <c r="AC27" s="41"/>
      <c r="AD27" s="41"/>
      <c r="AE27" s="32" t="str">
        <f t="shared" si="9"/>
        <v>❌ SIN COMPLETAR</v>
      </c>
    </row>
    <row r="28" spans="1:31" x14ac:dyDescent="0.3">
      <c r="A28" s="29">
        <v>45962</v>
      </c>
      <c r="B28" s="30" t="str">
        <f t="shared" si="5"/>
        <v>sáb</v>
      </c>
      <c r="C28" s="28">
        <v>0.70833333333333304</v>
      </c>
      <c r="D28" s="31" t="s">
        <v>37</v>
      </c>
      <c r="E28" s="31" t="s">
        <v>39</v>
      </c>
      <c r="F28" s="31"/>
      <c r="G28" s="40" t="str">
        <f>IF(COUNTIF(D28:F28,"?*")=$N$5,"✅ CUBIERTO",
IF(COUNTIF(D28:F28,"?*")&gt;$N$5,"⚠ EXCESO",IF(COUNTIF(D28:F28,"?*")&gt;0,"⚠ FALTANTE",
"❌ SIN COMPLETAR")))</f>
        <v>✅ CUBIERTO</v>
      </c>
      <c r="H28" s="17"/>
      <c r="I28" s="29">
        <v>45962</v>
      </c>
      <c r="J28" s="30" t="str">
        <f t="shared" si="6"/>
        <v>sáb</v>
      </c>
      <c r="K28" s="28">
        <v>0.70833333333333304</v>
      </c>
      <c r="L28" s="41"/>
      <c r="M28" s="41"/>
      <c r="N28" s="41"/>
      <c r="O28" s="32" t="str">
        <f>IF(COUNTIF(L28:N28,"?*")=$N$6,"✅ CUBIERTO",IF(COUNTIF(L28:N28,"?*")&gt;$N$6,"⚠ EXCESO",
IF(COUNTIF(L28:N28,"?*")&gt;0,"⚠ FALTANTE", "❌ SIN COMPLETAR")))</f>
        <v>❌ SIN COMPLETAR</v>
      </c>
      <c r="P28" s="17"/>
      <c r="Q28" s="29">
        <v>45962</v>
      </c>
      <c r="R28" s="30" t="str">
        <f t="shared" si="7"/>
        <v>sáb</v>
      </c>
      <c r="S28" s="28">
        <v>0.70833333333333304</v>
      </c>
      <c r="T28" s="31"/>
      <c r="U28" s="31"/>
      <c r="V28" s="31"/>
      <c r="W28" s="40" t="str">
        <f>IF(COUNTIF(T28:V28,"?*")=$N$7,"✅ CUBIERTO",IF(COUNTIF(T28:V28,"?*")&gt;$N$7,"⚠ EXCESO",
IF(COUNTIF(T28:V28,"?*")&gt;0,"⚠ FALTANTE", "❌ SIN COMPLETAR")))</f>
        <v>❌ SIN COMPLETAR</v>
      </c>
      <c r="Y28" s="29">
        <v>45962</v>
      </c>
      <c r="Z28" s="30" t="str">
        <f t="shared" si="8"/>
        <v>sáb</v>
      </c>
      <c r="AA28" s="28">
        <v>0.70833333333333304</v>
      </c>
      <c r="AB28" s="41"/>
      <c r="AC28" s="41"/>
      <c r="AD28" s="41"/>
      <c r="AE28" s="32" t="str">
        <f t="shared" si="9"/>
        <v>❌ SIN COMPLETAR</v>
      </c>
    </row>
    <row r="29" spans="1:31" x14ac:dyDescent="0.3">
      <c r="A29" s="29">
        <v>45962</v>
      </c>
      <c r="B29" s="30" t="str">
        <f t="shared" si="5"/>
        <v>sáb</v>
      </c>
      <c r="C29" s="28">
        <v>0.75</v>
      </c>
      <c r="D29" s="31" t="s">
        <v>37</v>
      </c>
      <c r="E29" s="31" t="s">
        <v>39</v>
      </c>
      <c r="F29" s="31"/>
      <c r="G29" s="40" t="str">
        <f>IF(COUNTIF(D29:F29,"?*")=$N$5,"✅ CUBIERTO",
IF(COUNTIF(D29:F29,"?*")&gt;$N$5,"⚠ EXCESO",IF(COUNTIF(D29:F29,"?*")&gt;0,"⚠ FALTANTE",
"❌ SIN COMPLETAR")))</f>
        <v>✅ CUBIERTO</v>
      </c>
      <c r="H29" s="17"/>
      <c r="I29" s="29">
        <v>45962</v>
      </c>
      <c r="J29" s="30" t="str">
        <f t="shared" si="6"/>
        <v>sáb</v>
      </c>
      <c r="K29" s="28">
        <v>0.75</v>
      </c>
      <c r="L29" s="41"/>
      <c r="M29" s="41"/>
      <c r="N29" s="41"/>
      <c r="O29" s="32" t="str">
        <f>IF(COUNTIF(L29:N29,"?*")=$N$6,"✅ CUBIERTO",IF(COUNTIF(L29:N29,"?*")&gt;$N$6,"⚠ EXCESO",
IF(COUNTIF(L29:N29,"?*")&gt;0,"⚠ FALTANTE", "❌ SIN COMPLETAR")))</f>
        <v>❌ SIN COMPLETAR</v>
      </c>
      <c r="P29" s="17"/>
      <c r="Q29" s="29">
        <v>45962</v>
      </c>
      <c r="R29" s="30" t="str">
        <f t="shared" si="7"/>
        <v>sáb</v>
      </c>
      <c r="S29" s="28">
        <v>0.75</v>
      </c>
      <c r="T29" s="31"/>
      <c r="U29" s="31"/>
      <c r="V29" s="31"/>
      <c r="W29" s="40" t="str">
        <f>IF(COUNTIF(T29:V29,"?*")=$N$7,"✅ CUBIERTO",IF(COUNTIF(T29:V29,"?*")&gt;$N$7,"⚠ EXCESO",
IF(COUNTIF(T29:V29,"?*")&gt;0,"⚠ FALTANTE", "❌ SIN COMPLETAR")))</f>
        <v>❌ SIN COMPLETAR</v>
      </c>
      <c r="Y29" s="29">
        <v>45962</v>
      </c>
      <c r="Z29" s="30" t="str">
        <f t="shared" si="8"/>
        <v>sáb</v>
      </c>
      <c r="AA29" s="28">
        <v>0.75</v>
      </c>
      <c r="AB29" s="41"/>
      <c r="AC29" s="41"/>
      <c r="AD29" s="41"/>
      <c r="AE29" s="32" t="str">
        <f t="shared" si="9"/>
        <v>❌ SIN COMPLETAR</v>
      </c>
    </row>
    <row r="30" spans="1:31" x14ac:dyDescent="0.3">
      <c r="A30" s="29">
        <v>45963</v>
      </c>
      <c r="B30" s="30" t="str">
        <f>TEXT(A30,"ddd")</f>
        <v>dom</v>
      </c>
      <c r="C30" s="28">
        <v>0.45833333333333331</v>
      </c>
      <c r="D30" s="31" t="s">
        <v>34</v>
      </c>
      <c r="E30" s="31" t="s">
        <v>35</v>
      </c>
      <c r="F30" s="31"/>
      <c r="G30" s="40" t="str">
        <f>IF(COUNTIF(D30:F30,"?*")=$N$5,"✅ CUBIERTO",
IF(COUNTIF(D30:F30,"?*")&gt;$N$5,"⚠ EXCESO",IF(COUNTIF(D30:F30,"?*")&gt;0,"⚠ FALTANTE",
"❌ SIN COMPLETAR")))</f>
        <v>✅ CUBIERTO</v>
      </c>
      <c r="H30" s="17"/>
      <c r="I30" s="29">
        <v>45963</v>
      </c>
      <c r="J30" s="30" t="str">
        <f>TEXT(I30,"ddd")</f>
        <v>dom</v>
      </c>
      <c r="K30" s="28">
        <v>0.45833333333333331</v>
      </c>
      <c r="L30" s="41"/>
      <c r="M30" s="41"/>
      <c r="N30" s="41"/>
      <c r="O30" s="32" t="str">
        <f>IF(COUNTIF(L30:N30,"?*")=$N$6,"✅ CUBIERTO",IF(COUNTIF(L30:N30,"?*")&gt;$N$6,"⚠ EXCESO",
IF(COUNTIF(L30:N30,"?*")&gt;0,"⚠ FALTANTE", "❌ SIN COMPLETAR")))</f>
        <v>❌ SIN COMPLETAR</v>
      </c>
      <c r="P30" s="17"/>
      <c r="Q30" s="29">
        <v>45963</v>
      </c>
      <c r="R30" s="30" t="str">
        <f>TEXT(Q30,"ddd")</f>
        <v>dom</v>
      </c>
      <c r="S30" s="28">
        <v>0.45833333333333331</v>
      </c>
      <c r="T30" s="31"/>
      <c r="U30" s="31"/>
      <c r="V30" s="31"/>
      <c r="W30" s="40" t="str">
        <f>IF(COUNTIF(T30:V30,"?*")=$N$7,"✅ CUBIERTO",IF(COUNTIF(T30:V30,"?*")&gt;$N$7,"⚠ EXCESO",
IF(COUNTIF(T30:V30,"?*")&gt;0,"⚠ FALTANTE", "❌ SIN COMPLETAR")))</f>
        <v>❌ SIN COMPLETAR</v>
      </c>
      <c r="Y30" s="29">
        <v>45963</v>
      </c>
      <c r="Z30" s="30" t="str">
        <f>TEXT(Y30,"ddd")</f>
        <v>dom</v>
      </c>
      <c r="AA30" s="28">
        <v>0.45833333333333331</v>
      </c>
      <c r="AB30" s="41"/>
      <c r="AC30" s="41"/>
      <c r="AD30" s="41"/>
      <c r="AE30" s="32" t="str">
        <f t="shared" si="9"/>
        <v>❌ SIN COMPLETAR</v>
      </c>
    </row>
    <row r="31" spans="1:31" x14ac:dyDescent="0.3">
      <c r="A31" s="29">
        <v>45963</v>
      </c>
      <c r="B31" s="30" t="str">
        <f t="shared" ref="B31:B37" si="10">TEXT(A31,"ddd")</f>
        <v>dom</v>
      </c>
      <c r="C31" s="28">
        <v>0.5</v>
      </c>
      <c r="D31" s="31" t="s">
        <v>34</v>
      </c>
      <c r="E31" s="31" t="s">
        <v>35</v>
      </c>
      <c r="F31" s="31"/>
      <c r="G31" s="40" t="str">
        <f>IF(COUNTIF(D31:F31,"?*")=$N$5,"✅ CUBIERTO",
IF(COUNTIF(D31:F31,"?*")&gt;$N$5,"⚠ EXCESO",IF(COUNTIF(D31:F31,"?*")&gt;0,"⚠ FALTANTE",
"❌ SIN COMPLETAR")))</f>
        <v>✅ CUBIERTO</v>
      </c>
      <c r="H31" s="17"/>
      <c r="I31" s="29">
        <v>45963</v>
      </c>
      <c r="J31" s="30" t="str">
        <f t="shared" ref="J31:J37" si="11">TEXT(I31,"ddd")</f>
        <v>dom</v>
      </c>
      <c r="K31" s="28">
        <v>0.5</v>
      </c>
      <c r="L31" s="41"/>
      <c r="M31" s="41"/>
      <c r="N31" s="41"/>
      <c r="O31" s="32" t="str">
        <f>IF(COUNTIF(L31:N31,"?*")=$N$6,"✅ CUBIERTO",IF(COUNTIF(L31:N31,"?*")&gt;$N$6,"⚠ EXCESO",
IF(COUNTIF(L31:N31,"?*")&gt;0,"⚠ FALTANTE", "❌ SIN COMPLETAR")))</f>
        <v>❌ SIN COMPLETAR</v>
      </c>
      <c r="P31" s="17"/>
      <c r="Q31" s="29">
        <v>45963</v>
      </c>
      <c r="R31" s="30" t="str">
        <f t="shared" ref="R31:R37" si="12">TEXT(Q31,"ddd")</f>
        <v>dom</v>
      </c>
      <c r="S31" s="28">
        <v>0.5</v>
      </c>
      <c r="T31" s="31"/>
      <c r="U31" s="31"/>
      <c r="V31" s="31"/>
      <c r="W31" s="40" t="str">
        <f>IF(COUNTIF(T31:V31,"?*")=$N$7,"✅ CUBIERTO",IF(COUNTIF(T31:V31,"?*")&gt;$N$7,"⚠ EXCESO",
IF(COUNTIF(T31:V31,"?*")&gt;0,"⚠ FALTANTE", "❌ SIN COMPLETAR")))</f>
        <v>❌ SIN COMPLETAR</v>
      </c>
      <c r="Y31" s="29">
        <v>45963</v>
      </c>
      <c r="Z31" s="30" t="str">
        <f t="shared" ref="Z31:Z37" si="13">TEXT(Y31,"ddd")</f>
        <v>dom</v>
      </c>
      <c r="AA31" s="28">
        <v>0.5</v>
      </c>
      <c r="AB31" s="41"/>
      <c r="AC31" s="41"/>
      <c r="AD31" s="41"/>
      <c r="AE31" s="32" t="str">
        <f t="shared" si="9"/>
        <v>❌ SIN COMPLETAR</v>
      </c>
    </row>
    <row r="32" spans="1:31" x14ac:dyDescent="0.3">
      <c r="A32" s="29">
        <v>45963</v>
      </c>
      <c r="B32" s="30" t="str">
        <f t="shared" si="10"/>
        <v>dom</v>
      </c>
      <c r="C32" s="28">
        <v>0.54166666666666696</v>
      </c>
      <c r="D32" s="31" t="s">
        <v>34</v>
      </c>
      <c r="E32" s="31" t="s">
        <v>35</v>
      </c>
      <c r="F32" s="31"/>
      <c r="G32" s="40" t="str">
        <f>IF(COUNTIF(D32:F32,"?*")=$N$5,"✅ CUBIERTO",
IF(COUNTIF(D32:F32,"?*")&gt;$N$5,"⚠ EXCESO",IF(COUNTIF(D32:F32,"?*")&gt;0,"⚠ FALTANTE",
"❌ SIN COMPLETAR")))</f>
        <v>✅ CUBIERTO</v>
      </c>
      <c r="H32" s="17"/>
      <c r="I32" s="29">
        <v>45963</v>
      </c>
      <c r="J32" s="30" t="str">
        <f t="shared" si="11"/>
        <v>dom</v>
      </c>
      <c r="K32" s="28">
        <v>0.54166666666666696</v>
      </c>
      <c r="L32" s="41"/>
      <c r="M32" s="41"/>
      <c r="N32" s="41"/>
      <c r="O32" s="32" t="str">
        <f>IF(COUNTIF(L32:N32,"?*")=$N$6,"✅ CUBIERTO",IF(COUNTIF(L32:N32,"?*")&gt;$N$6,"⚠ EXCESO",
IF(COUNTIF(L32:N32,"?*")&gt;0,"⚠ FALTANTE", "❌ SIN COMPLETAR")))</f>
        <v>❌ SIN COMPLETAR</v>
      </c>
      <c r="P32" s="17"/>
      <c r="Q32" s="29">
        <v>45963</v>
      </c>
      <c r="R32" s="30" t="str">
        <f t="shared" si="12"/>
        <v>dom</v>
      </c>
      <c r="S32" s="28">
        <v>0.54166666666666696</v>
      </c>
      <c r="T32" s="31"/>
      <c r="U32" s="31"/>
      <c r="V32" s="31"/>
      <c r="W32" s="40" t="str">
        <f>IF(COUNTIF(T32:V32,"?*")=$N$7,"✅ CUBIERTO",IF(COUNTIF(T32:V32,"?*")&gt;$N$7,"⚠ EXCESO",
IF(COUNTIF(T32:V32,"?*")&gt;0,"⚠ FALTANTE", "❌ SIN COMPLETAR")))</f>
        <v>❌ SIN COMPLETAR</v>
      </c>
      <c r="Y32" s="29">
        <v>45963</v>
      </c>
      <c r="Z32" s="30" t="str">
        <f t="shared" si="13"/>
        <v>dom</v>
      </c>
      <c r="AA32" s="28">
        <v>0.54166666666666696</v>
      </c>
      <c r="AB32" s="41"/>
      <c r="AC32" s="41"/>
      <c r="AD32" s="41"/>
      <c r="AE32" s="32" t="str">
        <f t="shared" si="9"/>
        <v>❌ SIN COMPLETAR</v>
      </c>
    </row>
    <row r="33" spans="1:31" x14ac:dyDescent="0.3">
      <c r="A33" s="29">
        <v>45963</v>
      </c>
      <c r="B33" s="30" t="str">
        <f t="shared" si="10"/>
        <v>dom</v>
      </c>
      <c r="C33" s="28">
        <v>0.58333333333333304</v>
      </c>
      <c r="D33" s="31" t="s">
        <v>34</v>
      </c>
      <c r="E33" s="31" t="s">
        <v>35</v>
      </c>
      <c r="F33" s="31"/>
      <c r="G33" s="40" t="str">
        <f>IF(COUNTIF(D33:F33,"?*")=$N$5,"✅ CUBIERTO",
IF(COUNTIF(D33:F33,"?*")&gt;$N$5,"⚠ EXCESO",IF(COUNTIF(D33:F33,"?*")&gt;0,"⚠ FALTANTE",
"❌ SIN COMPLETAR")))</f>
        <v>✅ CUBIERTO</v>
      </c>
      <c r="H33" s="17"/>
      <c r="I33" s="29">
        <v>45963</v>
      </c>
      <c r="J33" s="30" t="str">
        <f t="shared" si="11"/>
        <v>dom</v>
      </c>
      <c r="K33" s="28">
        <v>0.58333333333333304</v>
      </c>
      <c r="L33" s="41"/>
      <c r="M33" s="41"/>
      <c r="N33" s="41"/>
      <c r="O33" s="32" t="str">
        <f>IF(COUNTIF(L33:N33,"?*")=$N$6,"✅ CUBIERTO",IF(COUNTIF(L33:N33,"?*")&gt;$N$6,"⚠ EXCESO",
IF(COUNTIF(L33:N33,"?*")&gt;0,"⚠ FALTANTE", "❌ SIN COMPLETAR")))</f>
        <v>❌ SIN COMPLETAR</v>
      </c>
      <c r="P33" s="17"/>
      <c r="Q33" s="29">
        <v>45963</v>
      </c>
      <c r="R33" s="30" t="str">
        <f t="shared" si="12"/>
        <v>dom</v>
      </c>
      <c r="S33" s="28">
        <v>0.58333333333333304</v>
      </c>
      <c r="T33" s="31"/>
      <c r="U33" s="31"/>
      <c r="V33" s="31"/>
      <c r="W33" s="40" t="str">
        <f>IF(COUNTIF(T33:V33,"?*")=$N$7,"✅ CUBIERTO",IF(COUNTIF(T33:V33,"?*")&gt;$N$7,"⚠ EXCESO",
IF(COUNTIF(T33:V33,"?*")&gt;0,"⚠ FALTANTE", "❌ SIN COMPLETAR")))</f>
        <v>❌ SIN COMPLETAR</v>
      </c>
      <c r="Y33" s="29">
        <v>45963</v>
      </c>
      <c r="Z33" s="30" t="str">
        <f t="shared" si="13"/>
        <v>dom</v>
      </c>
      <c r="AA33" s="28">
        <v>0.58333333333333304</v>
      </c>
      <c r="AB33" s="41"/>
      <c r="AC33" s="41"/>
      <c r="AD33" s="41"/>
      <c r="AE33" s="32" t="str">
        <f t="shared" si="9"/>
        <v>❌ SIN COMPLETAR</v>
      </c>
    </row>
    <row r="34" spans="1:31" x14ac:dyDescent="0.3">
      <c r="A34" s="29">
        <v>45963</v>
      </c>
      <c r="B34" s="30" t="str">
        <f t="shared" si="10"/>
        <v>dom</v>
      </c>
      <c r="C34" s="28">
        <v>0.625</v>
      </c>
      <c r="D34" s="31" t="s">
        <v>37</v>
      </c>
      <c r="E34" s="31" t="s">
        <v>39</v>
      </c>
      <c r="F34" s="31"/>
      <c r="G34" s="40" t="str">
        <f>IF(COUNTIF(D34:F34,"?*")=$N$5,"✅ CUBIERTO",
IF(COUNTIF(D34:F34,"?*")&gt;$N$5,"⚠ EXCESO",IF(COUNTIF(D34:F34,"?*")&gt;0,"⚠ FALTANTE",
"❌ SIN COMPLETAR")))</f>
        <v>✅ CUBIERTO</v>
      </c>
      <c r="H34" s="17"/>
      <c r="I34" s="29">
        <v>45963</v>
      </c>
      <c r="J34" s="30" t="str">
        <f t="shared" si="11"/>
        <v>dom</v>
      </c>
      <c r="K34" s="28">
        <v>0.625</v>
      </c>
      <c r="L34" s="41"/>
      <c r="M34" s="41"/>
      <c r="N34" s="41"/>
      <c r="O34" s="32" t="str">
        <f>IF(COUNTIF(L34:N34,"?*")=$N$6,"✅ CUBIERTO",IF(COUNTIF(L34:N34,"?*")&gt;$N$6,"⚠ EXCESO",
IF(COUNTIF(L34:N34,"?*")&gt;0,"⚠ FALTANTE", "❌ SIN COMPLETAR")))</f>
        <v>❌ SIN COMPLETAR</v>
      </c>
      <c r="P34" s="17"/>
      <c r="Q34" s="29">
        <v>45963</v>
      </c>
      <c r="R34" s="30" t="str">
        <f t="shared" si="12"/>
        <v>dom</v>
      </c>
      <c r="S34" s="28">
        <v>0.625</v>
      </c>
      <c r="T34" s="31"/>
      <c r="U34" s="31"/>
      <c r="V34" s="31"/>
      <c r="W34" s="40" t="str">
        <f>IF(COUNTIF(T34:V34,"?*")=$N$7,"✅ CUBIERTO",IF(COUNTIF(T34:V34,"?*")&gt;$N$7,"⚠ EXCESO",
IF(COUNTIF(T34:V34,"?*")&gt;0,"⚠ FALTANTE", "❌ SIN COMPLETAR")))</f>
        <v>❌ SIN COMPLETAR</v>
      </c>
      <c r="Y34" s="29">
        <v>45963</v>
      </c>
      <c r="Z34" s="30" t="str">
        <f t="shared" si="13"/>
        <v>dom</v>
      </c>
      <c r="AA34" s="28">
        <v>0.625</v>
      </c>
      <c r="AB34" s="41"/>
      <c r="AC34" s="41"/>
      <c r="AD34" s="41"/>
      <c r="AE34" s="32" t="str">
        <f t="shared" si="9"/>
        <v>❌ SIN COMPLETAR</v>
      </c>
    </row>
    <row r="35" spans="1:31" x14ac:dyDescent="0.3">
      <c r="A35" s="29">
        <v>45963</v>
      </c>
      <c r="B35" s="30" t="str">
        <f t="shared" si="10"/>
        <v>dom</v>
      </c>
      <c r="C35" s="28">
        <v>0.66666666666666696</v>
      </c>
      <c r="D35" s="31" t="s">
        <v>37</v>
      </c>
      <c r="E35" s="31" t="s">
        <v>39</v>
      </c>
      <c r="F35" s="31"/>
      <c r="G35" s="40" t="str">
        <f>IF(COUNTIF(D35:F35,"?*")=$N$5,"✅ CUBIERTO",
IF(COUNTIF(D35:F35,"?*")&gt;$N$5,"⚠ EXCESO",IF(COUNTIF(D35:F35,"?*")&gt;0,"⚠ FALTANTE",
"❌ SIN COMPLETAR")))</f>
        <v>✅ CUBIERTO</v>
      </c>
      <c r="H35" s="17"/>
      <c r="I35" s="29">
        <v>45963</v>
      </c>
      <c r="J35" s="30" t="str">
        <f t="shared" si="11"/>
        <v>dom</v>
      </c>
      <c r="K35" s="28">
        <v>0.66666666666666696</v>
      </c>
      <c r="L35" s="41"/>
      <c r="M35" s="41"/>
      <c r="N35" s="41"/>
      <c r="O35" s="32" t="str">
        <f>IF(COUNTIF(L35:N35,"?*")=$N$6,"✅ CUBIERTO",IF(COUNTIF(L35:N35,"?*")&gt;$N$6,"⚠ EXCESO",
IF(COUNTIF(L35:N35,"?*")&gt;0,"⚠ FALTANTE", "❌ SIN COMPLETAR")))</f>
        <v>❌ SIN COMPLETAR</v>
      </c>
      <c r="P35" s="17"/>
      <c r="Q35" s="29">
        <v>45963</v>
      </c>
      <c r="R35" s="30" t="str">
        <f t="shared" si="12"/>
        <v>dom</v>
      </c>
      <c r="S35" s="28">
        <v>0.66666666666666696</v>
      </c>
      <c r="T35" s="31"/>
      <c r="U35" s="31"/>
      <c r="V35" s="31"/>
      <c r="W35" s="40" t="str">
        <f>IF(COUNTIF(T35:V35,"?*")=$N$7,"✅ CUBIERTO",IF(COUNTIF(T35:V35,"?*")&gt;$N$7,"⚠ EXCESO",
IF(COUNTIF(T35:V35,"?*")&gt;0,"⚠ FALTANTE", "❌ SIN COMPLETAR")))</f>
        <v>❌ SIN COMPLETAR</v>
      </c>
      <c r="Y35" s="29">
        <v>45963</v>
      </c>
      <c r="Z35" s="30" t="str">
        <f t="shared" si="13"/>
        <v>dom</v>
      </c>
      <c r="AA35" s="28">
        <v>0.66666666666666696</v>
      </c>
      <c r="AB35" s="41"/>
      <c r="AC35" s="41"/>
      <c r="AD35" s="41"/>
      <c r="AE35" s="32" t="str">
        <f t="shared" si="9"/>
        <v>❌ SIN COMPLETAR</v>
      </c>
    </row>
    <row r="36" spans="1:31" x14ac:dyDescent="0.3">
      <c r="A36" s="29">
        <v>45963</v>
      </c>
      <c r="B36" s="30" t="str">
        <f t="shared" si="10"/>
        <v>dom</v>
      </c>
      <c r="C36" s="28">
        <v>0.70833333333333304</v>
      </c>
      <c r="D36" s="31" t="s">
        <v>37</v>
      </c>
      <c r="E36" s="31" t="s">
        <v>39</v>
      </c>
      <c r="F36" s="31"/>
      <c r="G36" s="40" t="str">
        <f>IF(COUNTIF(D36:F36,"?*")=$N$5,"✅ CUBIERTO",
IF(COUNTIF(D36:F36,"?*")&gt;$N$5,"⚠ EXCESO",IF(COUNTIF(D36:F36,"?*")&gt;0,"⚠ FALTANTE",
"❌ SIN COMPLETAR")))</f>
        <v>✅ CUBIERTO</v>
      </c>
      <c r="H36" s="17"/>
      <c r="I36" s="29">
        <v>45963</v>
      </c>
      <c r="J36" s="30" t="str">
        <f t="shared" si="11"/>
        <v>dom</v>
      </c>
      <c r="K36" s="28">
        <v>0.70833333333333304</v>
      </c>
      <c r="L36" s="41"/>
      <c r="M36" s="41"/>
      <c r="N36" s="41"/>
      <c r="O36" s="32" t="str">
        <f>IF(COUNTIF(L36:N36,"?*")=$N$6,"✅ CUBIERTO",IF(COUNTIF(L36:N36,"?*")&gt;$N$6,"⚠ EXCESO",
IF(COUNTIF(L36:N36,"?*")&gt;0,"⚠ FALTANTE", "❌ SIN COMPLETAR")))</f>
        <v>❌ SIN COMPLETAR</v>
      </c>
      <c r="P36" s="17"/>
      <c r="Q36" s="29">
        <v>45963</v>
      </c>
      <c r="R36" s="30" t="str">
        <f t="shared" si="12"/>
        <v>dom</v>
      </c>
      <c r="S36" s="28">
        <v>0.70833333333333304</v>
      </c>
      <c r="T36" s="31"/>
      <c r="U36" s="31"/>
      <c r="V36" s="31"/>
      <c r="W36" s="40" t="str">
        <f>IF(COUNTIF(T36:V36,"?*")=$N$7,"✅ CUBIERTO",IF(COUNTIF(T36:V36,"?*")&gt;$N$7,"⚠ EXCESO",
IF(COUNTIF(T36:V36,"?*")&gt;0,"⚠ FALTANTE", "❌ SIN COMPLETAR")))</f>
        <v>❌ SIN COMPLETAR</v>
      </c>
      <c r="Y36" s="29">
        <v>45963</v>
      </c>
      <c r="Z36" s="30" t="str">
        <f t="shared" si="13"/>
        <v>dom</v>
      </c>
      <c r="AA36" s="28">
        <v>0.70833333333333304</v>
      </c>
      <c r="AB36" s="41"/>
      <c r="AC36" s="41"/>
      <c r="AD36" s="41"/>
      <c r="AE36" s="32" t="str">
        <f t="shared" si="9"/>
        <v>❌ SIN COMPLETAR</v>
      </c>
    </row>
    <row r="37" spans="1:31" x14ac:dyDescent="0.3">
      <c r="A37" s="29">
        <v>45963</v>
      </c>
      <c r="B37" s="30" t="str">
        <f t="shared" si="10"/>
        <v>dom</v>
      </c>
      <c r="C37" s="28">
        <v>0.75</v>
      </c>
      <c r="D37" s="31" t="s">
        <v>37</v>
      </c>
      <c r="E37" s="31" t="s">
        <v>39</v>
      </c>
      <c r="F37" s="31"/>
      <c r="G37" s="40" t="str">
        <f>IF(COUNTIF(D37:F37,"?*")=$N$5,"✅ CUBIERTO",
IF(COUNTIF(D37:F37,"?*")&gt;$N$5,"⚠ EXCESO",IF(COUNTIF(D37:F37,"?*")&gt;0,"⚠ FALTANTE",
"❌ SIN COMPLETAR")))</f>
        <v>✅ CUBIERTO</v>
      </c>
      <c r="H37" s="17"/>
      <c r="I37" s="29">
        <v>45963</v>
      </c>
      <c r="J37" s="30" t="str">
        <f t="shared" si="11"/>
        <v>dom</v>
      </c>
      <c r="K37" s="28">
        <v>0.75</v>
      </c>
      <c r="L37" s="41"/>
      <c r="M37" s="41"/>
      <c r="N37" s="41"/>
      <c r="O37" s="32" t="str">
        <f>IF(COUNTIF(L37:N37,"?*")=$N$6,"✅ CUBIERTO",IF(COUNTIF(L37:N37,"?*")&gt;$N$6,"⚠ EXCESO",
IF(COUNTIF(L37:N37,"?*")&gt;0,"⚠ FALTANTE", "❌ SIN COMPLETAR")))</f>
        <v>❌ SIN COMPLETAR</v>
      </c>
      <c r="P37" s="17"/>
      <c r="Q37" s="29">
        <v>45963</v>
      </c>
      <c r="R37" s="30" t="str">
        <f t="shared" si="12"/>
        <v>dom</v>
      </c>
      <c r="S37" s="28">
        <v>0.75</v>
      </c>
      <c r="T37" s="31"/>
      <c r="U37" s="31"/>
      <c r="V37" s="31"/>
      <c r="W37" s="40" t="str">
        <f>IF(COUNTIF(T37:V37,"?*")=$N$7,"✅ CUBIERTO",IF(COUNTIF(T37:V37,"?*")&gt;$N$7,"⚠ EXCESO",
IF(COUNTIF(T37:V37,"?*")&gt;0,"⚠ FALTANTE", "❌ SIN COMPLETAR")))</f>
        <v>❌ SIN COMPLETAR</v>
      </c>
      <c r="Y37" s="29">
        <v>45963</v>
      </c>
      <c r="Z37" s="30" t="str">
        <f t="shared" si="13"/>
        <v>dom</v>
      </c>
      <c r="AA37" s="28">
        <v>0.75</v>
      </c>
      <c r="AB37" s="41"/>
      <c r="AC37" s="41"/>
      <c r="AD37" s="41"/>
      <c r="AE37" s="32" t="str">
        <f t="shared" si="9"/>
        <v>❌ SIN COMPLETAR</v>
      </c>
    </row>
    <row r="38" spans="1:31" x14ac:dyDescent="0.3">
      <c r="A38" s="29">
        <v>45964</v>
      </c>
      <c r="B38" s="30" t="str">
        <f>TEXT(A38,"ddd")</f>
        <v>lun</v>
      </c>
      <c r="C38" s="28">
        <v>0.45833333333333331</v>
      </c>
      <c r="D38" s="31"/>
      <c r="E38" s="31"/>
      <c r="F38" s="31"/>
      <c r="G38" s="40" t="str">
        <f>IF(COUNTIF(D38:F38,"?*")=$N$5,"✅ CUBIERTO",
IF(COUNTIF(D38:F38,"?*")&gt;$N$5,"⚠ EXCESO",IF(COUNTIF(D38:F38,"?*")&gt;0,"⚠ FALTANTE",
"❌ SIN COMPLETAR")))</f>
        <v>❌ SIN COMPLETAR</v>
      </c>
      <c r="H38" s="17"/>
      <c r="I38" s="29">
        <v>45964</v>
      </c>
      <c r="J38" s="30" t="str">
        <f>TEXT(I38,"ddd")</f>
        <v>lun</v>
      </c>
      <c r="K38" s="28">
        <v>0.45833333333333331</v>
      </c>
      <c r="L38" s="31"/>
      <c r="M38" s="31"/>
      <c r="N38" s="31"/>
      <c r="O38" s="32" t="str">
        <f>IF(COUNTIF(L38:N38,"?*")=$N$6,"✅ CUBIERTO",IF(COUNTIF(L38:N38,"?*")&gt;$N$6,"⚠ EXCESO",
IF(COUNTIF(L38:N38,"?*")&gt;0,"⚠ FALTANTE", "❌ SIN COMPLETAR")))</f>
        <v>❌ SIN COMPLETAR</v>
      </c>
      <c r="P38" s="17"/>
      <c r="Q38" s="29">
        <v>45964</v>
      </c>
      <c r="R38" s="30" t="str">
        <f>TEXT(Q38,"ddd")</f>
        <v>lun</v>
      </c>
      <c r="S38" s="28">
        <v>0.45833333333333331</v>
      </c>
      <c r="T38" s="31"/>
      <c r="U38" s="31"/>
      <c r="V38" s="31"/>
      <c r="W38" s="40" t="s">
        <v>16</v>
      </c>
      <c r="Y38" s="29">
        <v>45964</v>
      </c>
      <c r="Z38" s="30" t="str">
        <f>TEXT(Y38,"ddd")</f>
        <v>lun</v>
      </c>
      <c r="AA38" s="28">
        <v>0.45833333333333331</v>
      </c>
      <c r="AB38" s="31"/>
      <c r="AC38" s="31"/>
      <c r="AD38" s="31"/>
      <c r="AE38" s="32" t="str">
        <f t="shared" si="9"/>
        <v>❌ SIN COMPLETAR</v>
      </c>
    </row>
    <row r="39" spans="1:31" x14ac:dyDescent="0.3">
      <c r="A39" s="29">
        <v>45964</v>
      </c>
      <c r="B39" s="30" t="str">
        <f t="shared" ref="B39:B45" si="14">TEXT(A39,"ddd")</f>
        <v>lun</v>
      </c>
      <c r="C39" s="28">
        <v>0.5</v>
      </c>
      <c r="D39" s="31"/>
      <c r="E39" s="31"/>
      <c r="F39" s="31"/>
      <c r="G39" s="40" t="str">
        <f>IF(COUNTIF(D39:F39,"?*")=$N$5,"✅ CUBIERTO",
IF(COUNTIF(D39:F39,"?*")&gt;$N$5,"⚠ EXCESO",IF(COUNTIF(D39:F39,"?*")&gt;0,"⚠ FALTANTE",
"❌ SIN COMPLETAR")))</f>
        <v>❌ SIN COMPLETAR</v>
      </c>
      <c r="H39" s="17"/>
      <c r="I39" s="29">
        <v>45964</v>
      </c>
      <c r="J39" s="30" t="str">
        <f t="shared" ref="J39:J45" si="15">TEXT(I39,"ddd")</f>
        <v>lun</v>
      </c>
      <c r="K39" s="28">
        <v>0.5</v>
      </c>
      <c r="L39" s="31"/>
      <c r="M39" s="31"/>
      <c r="N39" s="31"/>
      <c r="O39" s="32" t="str">
        <f>IF(COUNTIF(L39:N39,"?*")=$N$6,"✅ CUBIERTO",IF(COUNTIF(L39:N39,"?*")&gt;$N$6,"⚠ EXCESO",
IF(COUNTIF(L39:N39,"?*")&gt;0,"⚠ FALTANTE", "❌ SIN COMPLETAR")))</f>
        <v>❌ SIN COMPLETAR</v>
      </c>
      <c r="P39" s="17"/>
      <c r="Q39" s="29">
        <v>45964</v>
      </c>
      <c r="R39" s="30" t="str">
        <f t="shared" ref="R39:R45" si="16">TEXT(Q39,"ddd")</f>
        <v>lun</v>
      </c>
      <c r="S39" s="28">
        <v>0.5</v>
      </c>
      <c r="T39" s="31"/>
      <c r="U39" s="31"/>
      <c r="V39" s="31"/>
      <c r="W39" s="40" t="str">
        <f>IF(COUNTIF(T39:V39,"?*")=$N$7,"✅ CUBIERTO",IF(COUNTIF(T39:V39,"?*")&gt;$N$7,"⚠ EXCESO",
IF(COUNTIF(T39:V39,"?*")&gt;0,"⚠ FALTANTE", "❌ SIN COMPLETAR")))</f>
        <v>❌ SIN COMPLETAR</v>
      </c>
      <c r="Y39" s="29">
        <v>45964</v>
      </c>
      <c r="Z39" s="30" t="str">
        <f t="shared" ref="Z39:Z45" si="17">TEXT(Y39,"ddd")</f>
        <v>lun</v>
      </c>
      <c r="AA39" s="28">
        <v>0.5</v>
      </c>
      <c r="AB39" s="31"/>
      <c r="AC39" s="31"/>
      <c r="AD39" s="31"/>
      <c r="AE39" s="32" t="str">
        <f t="shared" si="9"/>
        <v>❌ SIN COMPLETAR</v>
      </c>
    </row>
    <row r="40" spans="1:31" x14ac:dyDescent="0.3">
      <c r="A40" s="29">
        <v>45964</v>
      </c>
      <c r="B40" s="30" t="str">
        <f t="shared" si="14"/>
        <v>lun</v>
      </c>
      <c r="C40" s="28">
        <v>0.54166666666666696</v>
      </c>
      <c r="D40" s="31"/>
      <c r="E40" s="31"/>
      <c r="F40" s="31"/>
      <c r="G40" s="40" t="str">
        <f>IF(COUNTIF(D40:F40,"?*")=$N$5,"✅ CUBIERTO",
IF(COUNTIF(D40:F40,"?*")&gt;$N$5,"⚠ EXCESO",IF(COUNTIF(D40:F40,"?*")&gt;0,"⚠ FALTANTE",
"❌ SIN COMPLETAR")))</f>
        <v>❌ SIN COMPLETAR</v>
      </c>
      <c r="H40" s="17"/>
      <c r="I40" s="29">
        <v>45964</v>
      </c>
      <c r="J40" s="30" t="str">
        <f t="shared" si="15"/>
        <v>lun</v>
      </c>
      <c r="K40" s="28">
        <v>0.54166666666666696</v>
      </c>
      <c r="L40" s="31"/>
      <c r="M40" s="31"/>
      <c r="N40" s="31"/>
      <c r="O40" s="32" t="str">
        <f>IF(COUNTIF(L40:N40,"?*")=$N$6,"✅ CUBIERTO",IF(COUNTIF(L40:N40,"?*")&gt;$N$6,"⚠ EXCESO",
IF(COUNTIF(L40:N40,"?*")&gt;0,"⚠ FALTANTE", "❌ SIN COMPLETAR")))</f>
        <v>❌ SIN COMPLETAR</v>
      </c>
      <c r="P40" s="17"/>
      <c r="Q40" s="29">
        <v>45964</v>
      </c>
      <c r="R40" s="30" t="str">
        <f t="shared" si="16"/>
        <v>lun</v>
      </c>
      <c r="S40" s="28">
        <v>0.54166666666666696</v>
      </c>
      <c r="T40" s="31"/>
      <c r="U40" s="31"/>
      <c r="V40" s="31"/>
      <c r="W40" s="40" t="str">
        <f>IF(COUNTIF(T40:V40,"?*")=$N$7,"✅ CUBIERTO",IF(COUNTIF(T40:V40,"?*")&gt;$N$7,"⚠ EXCESO",
IF(COUNTIF(T40:V40,"?*")&gt;0,"⚠ FALTANTE", "❌ SIN COMPLETAR")))</f>
        <v>❌ SIN COMPLETAR</v>
      </c>
      <c r="Y40" s="29">
        <v>45964</v>
      </c>
      <c r="Z40" s="30" t="str">
        <f t="shared" si="17"/>
        <v>lun</v>
      </c>
      <c r="AA40" s="28">
        <v>0.54166666666666696</v>
      </c>
      <c r="AB40" s="31"/>
      <c r="AC40" s="31"/>
      <c r="AD40" s="31"/>
      <c r="AE40" s="32" t="str">
        <f t="shared" si="9"/>
        <v>❌ SIN COMPLETAR</v>
      </c>
    </row>
    <row r="41" spans="1:31" x14ac:dyDescent="0.3">
      <c r="A41" s="29">
        <v>45964</v>
      </c>
      <c r="B41" s="30" t="str">
        <f t="shared" si="14"/>
        <v>lun</v>
      </c>
      <c r="C41" s="28">
        <v>0.58333333333333304</v>
      </c>
      <c r="D41" s="31"/>
      <c r="E41" s="31"/>
      <c r="F41" s="31"/>
      <c r="G41" s="40" t="str">
        <f>IF(COUNTIF(D41:F41,"?*")=$N$5,"✅ CUBIERTO",
IF(COUNTIF(D41:F41,"?*")&gt;$N$5,"⚠ EXCESO",IF(COUNTIF(D41:F41,"?*")&gt;0,"⚠ FALTANTE",
"❌ SIN COMPLETAR")))</f>
        <v>❌ SIN COMPLETAR</v>
      </c>
      <c r="H41" s="17"/>
      <c r="I41" s="29">
        <v>45964</v>
      </c>
      <c r="J41" s="30" t="str">
        <f t="shared" si="15"/>
        <v>lun</v>
      </c>
      <c r="K41" s="28">
        <v>0.58333333333333304</v>
      </c>
      <c r="L41" s="31"/>
      <c r="M41" s="31"/>
      <c r="N41" s="31"/>
      <c r="O41" s="32" t="str">
        <f>IF(COUNTIF(L41:N41,"?*")=$N$6,"✅ CUBIERTO",IF(COUNTIF(L41:N41,"?*")&gt;$N$6,"⚠ EXCESO",
IF(COUNTIF(L41:N41,"?*")&gt;0,"⚠ FALTANTE", "❌ SIN COMPLETAR")))</f>
        <v>❌ SIN COMPLETAR</v>
      </c>
      <c r="P41" s="17"/>
      <c r="Q41" s="29">
        <v>45964</v>
      </c>
      <c r="R41" s="30" t="str">
        <f t="shared" si="16"/>
        <v>lun</v>
      </c>
      <c r="S41" s="28">
        <v>0.58333333333333304</v>
      </c>
      <c r="T41" s="31"/>
      <c r="U41" s="31"/>
      <c r="V41" s="31"/>
      <c r="W41" s="40" t="str">
        <f>IF(COUNTIF(T41:V41,"?*")=$N$7,"✅ CUBIERTO",IF(COUNTIF(T41:V41,"?*")&gt;$N$7,"⚠ EXCESO",
IF(COUNTIF(T41:V41,"?*")&gt;0,"⚠ FALTANTE", "❌ SIN COMPLETAR")))</f>
        <v>❌ SIN COMPLETAR</v>
      </c>
      <c r="Y41" s="29">
        <v>45964</v>
      </c>
      <c r="Z41" s="30" t="str">
        <f t="shared" si="17"/>
        <v>lun</v>
      </c>
      <c r="AA41" s="28">
        <v>0.58333333333333304</v>
      </c>
      <c r="AB41" s="31"/>
      <c r="AC41" s="31"/>
      <c r="AD41" s="31"/>
      <c r="AE41" s="32" t="str">
        <f t="shared" si="9"/>
        <v>❌ SIN COMPLETAR</v>
      </c>
    </row>
    <row r="42" spans="1:31" x14ac:dyDescent="0.3">
      <c r="A42" s="29">
        <v>45964</v>
      </c>
      <c r="B42" s="30" t="str">
        <f t="shared" si="14"/>
        <v>lun</v>
      </c>
      <c r="C42" s="28">
        <v>0.625</v>
      </c>
      <c r="D42" s="31"/>
      <c r="E42" s="31"/>
      <c r="F42" s="31"/>
      <c r="G42" s="40" t="str">
        <f>IF(COUNTIF(D42:F42,"?*")=$N$5,"✅ CUBIERTO",
IF(COUNTIF(D42:F42,"?*")&gt;$N$5,"⚠ EXCESO",IF(COUNTIF(D42:F42,"?*")&gt;0,"⚠ FALTANTE",
"❌ SIN COMPLETAR")))</f>
        <v>❌ SIN COMPLETAR</v>
      </c>
      <c r="H42" s="17"/>
      <c r="I42" s="29">
        <v>45964</v>
      </c>
      <c r="J42" s="30" t="str">
        <f t="shared" si="15"/>
        <v>lun</v>
      </c>
      <c r="K42" s="28">
        <v>0.625</v>
      </c>
      <c r="L42" s="31"/>
      <c r="M42" s="31"/>
      <c r="N42" s="31"/>
      <c r="O42" s="32" t="str">
        <f>IF(COUNTIF(L42:N42,"?*")=$N$6,"✅ CUBIERTO",IF(COUNTIF(L42:N42,"?*")&gt;$N$6,"⚠ EXCESO",
IF(COUNTIF(L42:N42,"?*")&gt;0,"⚠ FALTANTE", "❌ SIN COMPLETAR")))</f>
        <v>❌ SIN COMPLETAR</v>
      </c>
      <c r="P42" s="17"/>
      <c r="Q42" s="29">
        <v>45964</v>
      </c>
      <c r="R42" s="30" t="str">
        <f t="shared" si="16"/>
        <v>lun</v>
      </c>
      <c r="S42" s="28">
        <v>0.625</v>
      </c>
      <c r="T42" s="31"/>
      <c r="U42" s="31"/>
      <c r="V42" s="31"/>
      <c r="W42" s="40" t="str">
        <f>IF(COUNTIF(T42:V42,"?*")=$N$7,"✅ CUBIERTO",IF(COUNTIF(T42:V42,"?*")&gt;$N$7,"⚠ EXCESO",
IF(COUNTIF(T42:V42,"?*")&gt;0,"⚠ FALTANTE", "❌ SIN COMPLETAR")))</f>
        <v>❌ SIN COMPLETAR</v>
      </c>
      <c r="Y42" s="29">
        <v>45964</v>
      </c>
      <c r="Z42" s="30" t="str">
        <f t="shared" si="17"/>
        <v>lun</v>
      </c>
      <c r="AA42" s="28">
        <v>0.625</v>
      </c>
      <c r="AB42" s="31"/>
      <c r="AC42" s="31"/>
      <c r="AD42" s="31"/>
      <c r="AE42" s="32" t="str">
        <f t="shared" si="9"/>
        <v>❌ SIN COMPLETAR</v>
      </c>
    </row>
    <row r="43" spans="1:31" x14ac:dyDescent="0.3">
      <c r="A43" s="29">
        <v>45964</v>
      </c>
      <c r="B43" s="30" t="str">
        <f t="shared" si="14"/>
        <v>lun</v>
      </c>
      <c r="C43" s="28">
        <v>0.66666666666666696</v>
      </c>
      <c r="D43" s="31"/>
      <c r="E43" s="31"/>
      <c r="F43" s="31"/>
      <c r="G43" s="40" t="str">
        <f>IF(COUNTIF(D43:F43,"?*")=$N$5,"✅ CUBIERTO",
IF(COUNTIF(D43:F43,"?*")&gt;$N$5,"⚠ EXCESO",IF(COUNTIF(D43:F43,"?*")&gt;0,"⚠ FALTANTE",
"❌ SIN COMPLETAR")))</f>
        <v>❌ SIN COMPLETAR</v>
      </c>
      <c r="H43" s="17"/>
      <c r="I43" s="29">
        <v>45964</v>
      </c>
      <c r="J43" s="30" t="str">
        <f t="shared" si="15"/>
        <v>lun</v>
      </c>
      <c r="K43" s="28">
        <v>0.66666666666666696</v>
      </c>
      <c r="L43" s="31"/>
      <c r="M43" s="31"/>
      <c r="N43" s="31"/>
      <c r="O43" s="32" t="str">
        <f>IF(COUNTIF(L43:N43,"?*")=$N$6,"✅ CUBIERTO",IF(COUNTIF(L43:N43,"?*")&gt;$N$6,"⚠ EXCESO",
IF(COUNTIF(L43:N43,"?*")&gt;0,"⚠ FALTANTE", "❌ SIN COMPLETAR")))</f>
        <v>❌ SIN COMPLETAR</v>
      </c>
      <c r="P43" s="17"/>
      <c r="Q43" s="29">
        <v>45964</v>
      </c>
      <c r="R43" s="30" t="str">
        <f t="shared" si="16"/>
        <v>lun</v>
      </c>
      <c r="S43" s="28">
        <v>0.66666666666666696</v>
      </c>
      <c r="T43" s="31"/>
      <c r="U43" s="31"/>
      <c r="V43" s="31"/>
      <c r="W43" s="40" t="str">
        <f>IF(COUNTIF(T43:V43,"?*")=$N$7,"✅ CUBIERTO",IF(COUNTIF(T43:V43,"?*")&gt;$N$7,"⚠ EXCESO",
IF(COUNTIF(T43:V43,"?*")&gt;0,"⚠ FALTANTE", "❌ SIN COMPLETAR")))</f>
        <v>❌ SIN COMPLETAR</v>
      </c>
      <c r="Y43" s="29">
        <v>45964</v>
      </c>
      <c r="Z43" s="30" t="str">
        <f t="shared" si="17"/>
        <v>lun</v>
      </c>
      <c r="AA43" s="28">
        <v>0.66666666666666696</v>
      </c>
      <c r="AB43" s="31"/>
      <c r="AC43" s="31"/>
      <c r="AD43" s="31"/>
      <c r="AE43" s="32" t="str">
        <f t="shared" si="9"/>
        <v>❌ SIN COMPLETAR</v>
      </c>
    </row>
    <row r="44" spans="1:31" x14ac:dyDescent="0.3">
      <c r="A44" s="29">
        <v>45964</v>
      </c>
      <c r="B44" s="30" t="str">
        <f t="shared" si="14"/>
        <v>lun</v>
      </c>
      <c r="C44" s="28">
        <v>0.70833333333333304</v>
      </c>
      <c r="D44" s="31"/>
      <c r="E44" s="31"/>
      <c r="F44" s="31"/>
      <c r="G44" s="40" t="str">
        <f>IF(COUNTIF(D44:F44,"?*")=$N$5,"✅ CUBIERTO",
IF(COUNTIF(D44:F44,"?*")&gt;$N$5,"⚠ EXCESO",IF(COUNTIF(D44:F44,"?*")&gt;0,"⚠ FALTANTE",
"❌ SIN COMPLETAR")))</f>
        <v>❌ SIN COMPLETAR</v>
      </c>
      <c r="H44" s="17"/>
      <c r="I44" s="29">
        <v>45964</v>
      </c>
      <c r="J44" s="30" t="str">
        <f t="shared" si="15"/>
        <v>lun</v>
      </c>
      <c r="K44" s="28">
        <v>0.70833333333333304</v>
      </c>
      <c r="L44" s="31"/>
      <c r="M44" s="31"/>
      <c r="N44" s="31"/>
      <c r="O44" s="32" t="str">
        <f>IF(COUNTIF(L44:N44,"?*")=$N$6,"✅ CUBIERTO",IF(COUNTIF(L44:N44,"?*")&gt;$N$6,"⚠ EXCESO",
IF(COUNTIF(L44:N44,"?*")&gt;0,"⚠ FALTANTE", "❌ SIN COMPLETAR")))</f>
        <v>❌ SIN COMPLETAR</v>
      </c>
      <c r="P44" s="17"/>
      <c r="Q44" s="29">
        <v>45964</v>
      </c>
      <c r="R44" s="30" t="str">
        <f t="shared" si="16"/>
        <v>lun</v>
      </c>
      <c r="S44" s="28">
        <v>0.70833333333333304</v>
      </c>
      <c r="T44" s="31"/>
      <c r="U44" s="31"/>
      <c r="V44" s="31"/>
      <c r="W44" s="40" t="str">
        <f>IF(COUNTIF(T44:V44,"?*")=$N$7,"✅ CUBIERTO",IF(COUNTIF(T44:V44,"?*")&gt;$N$7,"⚠ EXCESO",
IF(COUNTIF(T44:V44,"?*")&gt;0,"⚠ FALTANTE", "❌ SIN COMPLETAR")))</f>
        <v>❌ SIN COMPLETAR</v>
      </c>
      <c r="Y44" s="29">
        <v>45964</v>
      </c>
      <c r="Z44" s="30" t="str">
        <f t="shared" si="17"/>
        <v>lun</v>
      </c>
      <c r="AA44" s="28">
        <v>0.70833333333333304</v>
      </c>
      <c r="AB44" s="31"/>
      <c r="AC44" s="31"/>
      <c r="AD44" s="31"/>
      <c r="AE44" s="32" t="str">
        <f t="shared" si="9"/>
        <v>❌ SIN COMPLETAR</v>
      </c>
    </row>
    <row r="45" spans="1:31" x14ac:dyDescent="0.3">
      <c r="A45" s="29">
        <v>45964</v>
      </c>
      <c r="B45" s="30" t="str">
        <f t="shared" si="14"/>
        <v>lun</v>
      </c>
      <c r="C45" s="28">
        <v>0.75</v>
      </c>
      <c r="D45" s="31"/>
      <c r="E45" s="31"/>
      <c r="F45" s="31"/>
      <c r="G45" s="40" t="str">
        <f>IF(COUNTIF(D45:F45,"?*")=$N$5,"✅ CUBIERTO",
IF(COUNTIF(D45:F45,"?*")&gt;$N$5,"⚠ EXCESO",IF(COUNTIF(D45:F45,"?*")&gt;0,"⚠ FALTANTE",
"❌ SIN COMPLETAR")))</f>
        <v>❌ SIN COMPLETAR</v>
      </c>
      <c r="H45" s="17"/>
      <c r="I45" s="29">
        <v>45964</v>
      </c>
      <c r="J45" s="30" t="str">
        <f t="shared" si="15"/>
        <v>lun</v>
      </c>
      <c r="K45" s="28">
        <v>0.75</v>
      </c>
      <c r="L45" s="41"/>
      <c r="M45" s="41"/>
      <c r="N45" s="41"/>
      <c r="O45" s="32" t="str">
        <f>IF(COUNTIF(L45:N45,"?*")=$N$6,"✅ CUBIERTO",IF(COUNTIF(L45:N45,"?*")&gt;$N$6,"⚠ EXCESO",
IF(COUNTIF(L45:N45,"?*")&gt;0,"⚠ FALTANTE", "❌ SIN COMPLETAR")))</f>
        <v>❌ SIN COMPLETAR</v>
      </c>
      <c r="P45" s="17"/>
      <c r="Q45" s="29">
        <v>45964</v>
      </c>
      <c r="R45" s="30" t="str">
        <f t="shared" si="16"/>
        <v>lun</v>
      </c>
      <c r="S45" s="28">
        <v>0.75</v>
      </c>
      <c r="T45" s="31"/>
      <c r="U45" s="31"/>
      <c r="V45" s="31"/>
      <c r="W45" s="40" t="s">
        <v>16</v>
      </c>
      <c r="Y45" s="29">
        <v>45964</v>
      </c>
      <c r="Z45" s="30" t="str">
        <f t="shared" si="17"/>
        <v>lun</v>
      </c>
      <c r="AA45" s="28">
        <v>0.75</v>
      </c>
      <c r="AB45" s="41"/>
      <c r="AC45" s="41"/>
      <c r="AD45" s="41"/>
      <c r="AE45" s="32" t="str">
        <f t="shared" si="9"/>
        <v>❌ SIN COMPLETAR</v>
      </c>
    </row>
    <row r="46" spans="1:31" x14ac:dyDescent="0.3">
      <c r="A46" s="29">
        <v>45965</v>
      </c>
      <c r="B46" s="30" t="str">
        <f>TEXT(A46,"ddd")</f>
        <v>mar</v>
      </c>
      <c r="C46" s="28">
        <v>0.45833333333333331</v>
      </c>
      <c r="D46" s="31"/>
      <c r="E46" s="31"/>
      <c r="F46" s="31"/>
      <c r="G46" s="40" t="str">
        <f>IF(COUNTIF(D46:F46,"?*")=$N$5,"✅ CUBIERTO",
IF(COUNTIF(D46:F46,"?*")&gt;$N$5,"⚠ EXCESO",IF(COUNTIF(D46:F46,"?*")&gt;0,"⚠ FALTANTE",
"❌ SIN COMPLETAR")))</f>
        <v>❌ SIN COMPLETAR</v>
      </c>
      <c r="H46" s="17"/>
      <c r="I46" s="29">
        <v>45965</v>
      </c>
      <c r="J46" s="30" t="str">
        <f>TEXT(I46,"ddd")</f>
        <v>mar</v>
      </c>
      <c r="K46" s="28">
        <v>0.45833333333333331</v>
      </c>
      <c r="L46" s="31"/>
      <c r="M46" s="31"/>
      <c r="N46" s="31"/>
      <c r="O46" s="32" t="str">
        <f>IF(COUNTIF(L46:N46,"?*")=$N$6,"✅ CUBIERTO",IF(COUNTIF(L46:N46,"?*")&gt;$N$6,"⚠ EXCESO",
IF(COUNTIF(L46:N46,"?*")&gt;0,"⚠ FALTANTE", "❌ SIN COMPLETAR")))</f>
        <v>❌ SIN COMPLETAR</v>
      </c>
      <c r="P46" s="17"/>
      <c r="Q46" s="29">
        <v>45965</v>
      </c>
      <c r="R46" s="30" t="str">
        <f>TEXT(Q46,"ddd")</f>
        <v>mar</v>
      </c>
      <c r="S46" s="28">
        <v>0.45833333333333331</v>
      </c>
      <c r="T46" s="31"/>
      <c r="U46" s="31"/>
      <c r="V46" s="31"/>
      <c r="W46" s="40" t="s">
        <v>16</v>
      </c>
      <c r="Y46" s="29">
        <v>45965</v>
      </c>
      <c r="Z46" s="30" t="str">
        <f>TEXT(Y46,"ddd")</f>
        <v>mar</v>
      </c>
      <c r="AA46" s="28">
        <v>0.45833333333333331</v>
      </c>
      <c r="AB46" s="31"/>
      <c r="AC46" s="31"/>
      <c r="AD46" s="31"/>
      <c r="AE46" s="32" t="str">
        <f t="shared" si="9"/>
        <v>❌ SIN COMPLETAR</v>
      </c>
    </row>
    <row r="47" spans="1:31" x14ac:dyDescent="0.3">
      <c r="A47" s="29">
        <v>45965</v>
      </c>
      <c r="B47" s="30" t="str">
        <f t="shared" ref="B47:B53" si="18">TEXT(A47,"ddd")</f>
        <v>mar</v>
      </c>
      <c r="C47" s="28">
        <v>0.5</v>
      </c>
      <c r="D47" s="31"/>
      <c r="E47" s="31"/>
      <c r="F47" s="31"/>
      <c r="G47" s="40" t="str">
        <f>IF(COUNTIF(D47:F47,"?*")=$N$5,"✅ CUBIERTO",
IF(COUNTIF(D47:F47,"?*")&gt;$N$5,"⚠ EXCESO",IF(COUNTIF(D47:F47,"?*")&gt;0,"⚠ FALTANTE",
"❌ SIN COMPLETAR")))</f>
        <v>❌ SIN COMPLETAR</v>
      </c>
      <c r="H47" s="17"/>
      <c r="I47" s="29">
        <v>45965</v>
      </c>
      <c r="J47" s="30" t="str">
        <f t="shared" ref="J47:J53" si="19">TEXT(I47,"ddd")</f>
        <v>mar</v>
      </c>
      <c r="K47" s="28">
        <v>0.5</v>
      </c>
      <c r="L47" s="31"/>
      <c r="M47" s="31"/>
      <c r="N47" s="31"/>
      <c r="O47" s="32" t="str">
        <f>IF(COUNTIF(L47:N47,"?*")=$N$6,"✅ CUBIERTO",IF(COUNTIF(L47:N47,"?*")&gt;$N$6,"⚠ EXCESO",
IF(COUNTIF(L47:N47,"?*")&gt;0,"⚠ FALTANTE", "❌ SIN COMPLETAR")))</f>
        <v>❌ SIN COMPLETAR</v>
      </c>
      <c r="P47" s="17"/>
      <c r="Q47" s="29">
        <v>45965</v>
      </c>
      <c r="R47" s="30" t="str">
        <f t="shared" ref="R47:R53" si="20">TEXT(Q47,"ddd")</f>
        <v>mar</v>
      </c>
      <c r="S47" s="28">
        <v>0.5</v>
      </c>
      <c r="T47" s="31"/>
      <c r="U47" s="31"/>
      <c r="V47" s="31"/>
      <c r="W47" s="40" t="str">
        <f>IF(COUNTIF(T47:V47,"?*")=$N$7,"✅ CUBIERTO",IF(COUNTIF(T47:V47,"?*")&gt;$N$7,"⚠ EXCESO",
IF(COUNTIF(T47:V47,"?*")&gt;0,"⚠ FALTANTE", "❌ SIN COMPLETAR")))</f>
        <v>❌ SIN COMPLETAR</v>
      </c>
      <c r="Y47" s="29">
        <v>45965</v>
      </c>
      <c r="Z47" s="30" t="str">
        <f t="shared" ref="Z47:Z53" si="21">TEXT(Y47,"ddd")</f>
        <v>mar</v>
      </c>
      <c r="AA47" s="28">
        <v>0.5</v>
      </c>
      <c r="AB47" s="31"/>
      <c r="AC47" s="31"/>
      <c r="AD47" s="31"/>
      <c r="AE47" s="32" t="str">
        <f t="shared" si="9"/>
        <v>❌ SIN COMPLETAR</v>
      </c>
    </row>
    <row r="48" spans="1:31" x14ac:dyDescent="0.3">
      <c r="A48" s="29">
        <v>45965</v>
      </c>
      <c r="B48" s="30" t="str">
        <f t="shared" si="18"/>
        <v>mar</v>
      </c>
      <c r="C48" s="28">
        <v>0.54166666666666696</v>
      </c>
      <c r="D48" s="31"/>
      <c r="E48" s="31"/>
      <c r="F48" s="31"/>
      <c r="G48" s="40" t="str">
        <f>IF(COUNTIF(D48:F48,"?*")=$N$5,"✅ CUBIERTO",
IF(COUNTIF(D48:F48,"?*")&gt;$N$5,"⚠ EXCESO",IF(COUNTIF(D48:F48,"?*")&gt;0,"⚠ FALTANTE",
"❌ SIN COMPLETAR")))</f>
        <v>❌ SIN COMPLETAR</v>
      </c>
      <c r="H48" s="17"/>
      <c r="I48" s="29">
        <v>45965</v>
      </c>
      <c r="J48" s="30" t="str">
        <f t="shared" si="19"/>
        <v>mar</v>
      </c>
      <c r="K48" s="28">
        <v>0.54166666666666696</v>
      </c>
      <c r="L48" s="31"/>
      <c r="M48" s="31"/>
      <c r="N48" s="31"/>
      <c r="O48" s="32" t="str">
        <f>IF(COUNTIF(L48:N48,"?*")=$N$6,"✅ CUBIERTO",IF(COUNTIF(L48:N48,"?*")&gt;$N$6,"⚠ EXCESO",
IF(COUNTIF(L48:N48,"?*")&gt;0,"⚠ FALTANTE", "❌ SIN COMPLETAR")))</f>
        <v>❌ SIN COMPLETAR</v>
      </c>
      <c r="P48" s="17"/>
      <c r="Q48" s="29">
        <v>45965</v>
      </c>
      <c r="R48" s="30" t="str">
        <f t="shared" si="20"/>
        <v>mar</v>
      </c>
      <c r="S48" s="28">
        <v>0.54166666666666696</v>
      </c>
      <c r="T48" s="31"/>
      <c r="U48" s="31"/>
      <c r="V48" s="31"/>
      <c r="W48" s="40" t="str">
        <f>IF(COUNTIF(T48:V48,"?*")=$N$7,"✅ CUBIERTO",IF(COUNTIF(T48:V48,"?*")&gt;$N$7,"⚠ EXCESO",
IF(COUNTIF(T48:V48,"?*")&gt;0,"⚠ FALTANTE", "❌ SIN COMPLETAR")))</f>
        <v>❌ SIN COMPLETAR</v>
      </c>
      <c r="Y48" s="29">
        <v>45965</v>
      </c>
      <c r="Z48" s="30" t="str">
        <f t="shared" si="21"/>
        <v>mar</v>
      </c>
      <c r="AA48" s="28">
        <v>0.54166666666666696</v>
      </c>
      <c r="AB48" s="31"/>
      <c r="AC48" s="31"/>
      <c r="AD48" s="31"/>
      <c r="AE48" s="32" t="str">
        <f t="shared" si="9"/>
        <v>❌ SIN COMPLETAR</v>
      </c>
    </row>
    <row r="49" spans="1:31" x14ac:dyDescent="0.3">
      <c r="A49" s="29">
        <v>45965</v>
      </c>
      <c r="B49" s="30" t="str">
        <f t="shared" si="18"/>
        <v>mar</v>
      </c>
      <c r="C49" s="28">
        <v>0.58333333333333304</v>
      </c>
      <c r="D49" s="31"/>
      <c r="E49" s="31"/>
      <c r="F49" s="31"/>
      <c r="G49" s="40" t="str">
        <f>IF(COUNTIF(D49:F49,"?*")=$N$5,"✅ CUBIERTO",
IF(COUNTIF(D49:F49,"?*")&gt;$N$5,"⚠ EXCESO",IF(COUNTIF(D49:F49,"?*")&gt;0,"⚠ FALTANTE",
"❌ SIN COMPLETAR")))</f>
        <v>❌ SIN COMPLETAR</v>
      </c>
      <c r="H49" s="17"/>
      <c r="I49" s="29">
        <v>45965</v>
      </c>
      <c r="J49" s="30" t="str">
        <f t="shared" si="19"/>
        <v>mar</v>
      </c>
      <c r="K49" s="28">
        <v>0.58333333333333304</v>
      </c>
      <c r="L49" s="31"/>
      <c r="M49" s="31"/>
      <c r="N49" s="31"/>
      <c r="O49" s="32" t="str">
        <f>IF(COUNTIF(L49:N49,"?*")=$N$6,"✅ CUBIERTO",IF(COUNTIF(L49:N49,"?*")&gt;$N$6,"⚠ EXCESO",
IF(COUNTIF(L49:N49,"?*")&gt;0,"⚠ FALTANTE", "❌ SIN COMPLETAR")))</f>
        <v>❌ SIN COMPLETAR</v>
      </c>
      <c r="P49" s="17"/>
      <c r="Q49" s="29">
        <v>45965</v>
      </c>
      <c r="R49" s="30" t="str">
        <f t="shared" si="20"/>
        <v>mar</v>
      </c>
      <c r="S49" s="28">
        <v>0.58333333333333304</v>
      </c>
      <c r="T49" s="31"/>
      <c r="U49" s="31"/>
      <c r="V49" s="31"/>
      <c r="W49" s="40" t="str">
        <f>IF(COUNTIF(T49:V49,"?*")=$N$7,"✅ CUBIERTO",IF(COUNTIF(T49:V49,"?*")&gt;$N$7,"⚠ EXCESO",
IF(COUNTIF(T49:V49,"?*")&gt;0,"⚠ FALTANTE", "❌ SIN COMPLETAR")))</f>
        <v>❌ SIN COMPLETAR</v>
      </c>
      <c r="Y49" s="29">
        <v>45965</v>
      </c>
      <c r="Z49" s="30" t="str">
        <f t="shared" si="21"/>
        <v>mar</v>
      </c>
      <c r="AA49" s="28">
        <v>0.58333333333333304</v>
      </c>
      <c r="AB49" s="31"/>
      <c r="AC49" s="31"/>
      <c r="AD49" s="31"/>
      <c r="AE49" s="32" t="str">
        <f t="shared" si="9"/>
        <v>❌ SIN COMPLETAR</v>
      </c>
    </row>
    <row r="50" spans="1:31" x14ac:dyDescent="0.3">
      <c r="A50" s="29">
        <v>45965</v>
      </c>
      <c r="B50" s="30" t="str">
        <f t="shared" si="18"/>
        <v>mar</v>
      </c>
      <c r="C50" s="28">
        <v>0.625</v>
      </c>
      <c r="D50" s="31"/>
      <c r="E50" s="31"/>
      <c r="F50" s="31"/>
      <c r="G50" s="40" t="str">
        <f>IF(COUNTIF(D50:F50,"?*")=$N$5,"✅ CUBIERTO",
IF(COUNTIF(D50:F50,"?*")&gt;$N$5,"⚠ EXCESO",IF(COUNTIF(D50:F50,"?*")&gt;0,"⚠ FALTANTE",
"❌ SIN COMPLETAR")))</f>
        <v>❌ SIN COMPLETAR</v>
      </c>
      <c r="H50" s="17"/>
      <c r="I50" s="29">
        <v>45965</v>
      </c>
      <c r="J50" s="30" t="str">
        <f t="shared" si="19"/>
        <v>mar</v>
      </c>
      <c r="K50" s="28">
        <v>0.625</v>
      </c>
      <c r="L50" s="31"/>
      <c r="M50" s="31"/>
      <c r="N50" s="31"/>
      <c r="O50" s="32" t="str">
        <f>IF(COUNTIF(L50:N50,"?*")=$N$6,"✅ CUBIERTO",IF(COUNTIF(L50:N50,"?*")&gt;$N$6,"⚠ EXCESO",
IF(COUNTIF(L50:N50,"?*")&gt;0,"⚠ FALTANTE", "❌ SIN COMPLETAR")))</f>
        <v>❌ SIN COMPLETAR</v>
      </c>
      <c r="P50" s="17"/>
      <c r="Q50" s="29">
        <v>45965</v>
      </c>
      <c r="R50" s="30" t="str">
        <f t="shared" si="20"/>
        <v>mar</v>
      </c>
      <c r="S50" s="28">
        <v>0.625</v>
      </c>
      <c r="T50" s="31"/>
      <c r="U50" s="31"/>
      <c r="V50" s="31"/>
      <c r="W50" s="40" t="str">
        <f>IF(COUNTIF(T50:V50,"?*")=$N$7,"✅ CUBIERTO",IF(COUNTIF(T50:V50,"?*")&gt;$N$7,"⚠ EXCESO",
IF(COUNTIF(T50:V50,"?*")&gt;0,"⚠ FALTANTE", "❌ SIN COMPLETAR")))</f>
        <v>❌ SIN COMPLETAR</v>
      </c>
      <c r="Y50" s="29">
        <v>45965</v>
      </c>
      <c r="Z50" s="30" t="str">
        <f t="shared" si="21"/>
        <v>mar</v>
      </c>
      <c r="AA50" s="28">
        <v>0.625</v>
      </c>
      <c r="AB50" s="31"/>
      <c r="AC50" s="31"/>
      <c r="AD50" s="31"/>
      <c r="AE50" s="32" t="str">
        <f t="shared" si="9"/>
        <v>❌ SIN COMPLETAR</v>
      </c>
    </row>
    <row r="51" spans="1:31" x14ac:dyDescent="0.3">
      <c r="A51" s="29">
        <v>45965</v>
      </c>
      <c r="B51" s="30" t="str">
        <f t="shared" si="18"/>
        <v>mar</v>
      </c>
      <c r="C51" s="28">
        <v>0.66666666666666696</v>
      </c>
      <c r="D51" s="31"/>
      <c r="E51" s="31"/>
      <c r="F51" s="31"/>
      <c r="G51" s="40" t="str">
        <f>IF(COUNTIF(D51:F51,"?*")=$N$5,"✅ CUBIERTO",
IF(COUNTIF(D51:F51,"?*")&gt;$N$5,"⚠ EXCESO",IF(COUNTIF(D51:F51,"?*")&gt;0,"⚠ FALTANTE",
"❌ SIN COMPLETAR")))</f>
        <v>❌ SIN COMPLETAR</v>
      </c>
      <c r="H51" s="17"/>
      <c r="I51" s="29">
        <v>45965</v>
      </c>
      <c r="J51" s="30" t="str">
        <f t="shared" si="19"/>
        <v>mar</v>
      </c>
      <c r="K51" s="28">
        <v>0.66666666666666696</v>
      </c>
      <c r="L51" s="31"/>
      <c r="M51" s="31"/>
      <c r="N51" s="31"/>
      <c r="O51" s="32" t="str">
        <f>IF(COUNTIF(L51:N51,"?*")=$N$6,"✅ CUBIERTO",IF(COUNTIF(L51:N51,"?*")&gt;$N$6,"⚠ EXCESO",
IF(COUNTIF(L51:N51,"?*")&gt;0,"⚠ FALTANTE", "❌ SIN COMPLETAR")))</f>
        <v>❌ SIN COMPLETAR</v>
      </c>
      <c r="P51" s="17"/>
      <c r="Q51" s="29">
        <v>45965</v>
      </c>
      <c r="R51" s="30" t="str">
        <f t="shared" si="20"/>
        <v>mar</v>
      </c>
      <c r="S51" s="28">
        <v>0.66666666666666696</v>
      </c>
      <c r="T51" s="31"/>
      <c r="U51" s="31"/>
      <c r="V51" s="31"/>
      <c r="W51" s="40" t="str">
        <f>IF(COUNTIF(T51:V51,"?*")=$N$7,"✅ CUBIERTO",IF(COUNTIF(T51:V51,"?*")&gt;$N$7,"⚠ EXCESO",
IF(COUNTIF(T51:V51,"?*")&gt;0,"⚠ FALTANTE", "❌ SIN COMPLETAR")))</f>
        <v>❌ SIN COMPLETAR</v>
      </c>
      <c r="Y51" s="29">
        <v>45965</v>
      </c>
      <c r="Z51" s="30" t="str">
        <f t="shared" si="21"/>
        <v>mar</v>
      </c>
      <c r="AA51" s="28">
        <v>0.66666666666666696</v>
      </c>
      <c r="AB51" s="31"/>
      <c r="AC51" s="31"/>
      <c r="AD51" s="31"/>
      <c r="AE51" s="32" t="str">
        <f t="shared" si="9"/>
        <v>❌ SIN COMPLETAR</v>
      </c>
    </row>
    <row r="52" spans="1:31" x14ac:dyDescent="0.3">
      <c r="A52" s="29">
        <v>45965</v>
      </c>
      <c r="B52" s="30" t="str">
        <f t="shared" si="18"/>
        <v>mar</v>
      </c>
      <c r="C52" s="28">
        <v>0.70833333333333304</v>
      </c>
      <c r="D52" s="31"/>
      <c r="E52" s="31"/>
      <c r="F52" s="31"/>
      <c r="G52" s="40" t="str">
        <f>IF(COUNTIF(D52:F52,"?*")=$N$5,"✅ CUBIERTO",
IF(COUNTIF(D52:F52,"?*")&gt;$N$5,"⚠ EXCESO",IF(COUNTIF(D52:F52,"?*")&gt;0,"⚠ FALTANTE",
"❌ SIN COMPLETAR")))</f>
        <v>❌ SIN COMPLETAR</v>
      </c>
      <c r="H52" s="17"/>
      <c r="I52" s="29">
        <v>45965</v>
      </c>
      <c r="J52" s="30" t="str">
        <f t="shared" si="19"/>
        <v>mar</v>
      </c>
      <c r="K52" s="28">
        <v>0.70833333333333304</v>
      </c>
      <c r="L52" s="31"/>
      <c r="M52" s="31"/>
      <c r="N52" s="31"/>
      <c r="O52" s="32" t="str">
        <f>IF(COUNTIF(L52:N52,"?*")=$N$6,"✅ CUBIERTO",IF(COUNTIF(L52:N52,"?*")&gt;$N$6,"⚠ EXCESO",
IF(COUNTIF(L52:N52,"?*")&gt;0,"⚠ FALTANTE", "❌ SIN COMPLETAR")))</f>
        <v>❌ SIN COMPLETAR</v>
      </c>
      <c r="P52" s="17"/>
      <c r="Q52" s="29">
        <v>45965</v>
      </c>
      <c r="R52" s="30" t="str">
        <f t="shared" si="20"/>
        <v>mar</v>
      </c>
      <c r="S52" s="28">
        <v>0.70833333333333304</v>
      </c>
      <c r="T52" s="31"/>
      <c r="U52" s="31"/>
      <c r="V52" s="31"/>
      <c r="W52" s="40" t="str">
        <f>IF(COUNTIF(T52:V52,"?*")=$N$7,"✅ CUBIERTO",IF(COUNTIF(T52:V52,"?*")&gt;$N$7,"⚠ EXCESO",
IF(COUNTIF(T52:V52,"?*")&gt;0,"⚠ FALTANTE", "❌ SIN COMPLETAR")))</f>
        <v>❌ SIN COMPLETAR</v>
      </c>
      <c r="Y52" s="29">
        <v>45965</v>
      </c>
      <c r="Z52" s="30" t="str">
        <f t="shared" si="21"/>
        <v>mar</v>
      </c>
      <c r="AA52" s="28">
        <v>0.70833333333333304</v>
      </c>
      <c r="AB52" s="31"/>
      <c r="AC52" s="31"/>
      <c r="AD52" s="31"/>
      <c r="AE52" s="32" t="str">
        <f t="shared" si="9"/>
        <v>❌ SIN COMPLETAR</v>
      </c>
    </row>
    <row r="53" spans="1:31" x14ac:dyDescent="0.3">
      <c r="A53" s="29">
        <v>45965</v>
      </c>
      <c r="B53" s="30" t="str">
        <f t="shared" si="18"/>
        <v>mar</v>
      </c>
      <c r="C53" s="28">
        <v>0.75</v>
      </c>
      <c r="D53" s="31"/>
      <c r="E53" s="31"/>
      <c r="F53" s="31"/>
      <c r="G53" s="40" t="str">
        <f>IF(COUNTIF(D53:F53,"?*")=$N$5,"✅ CUBIERTO",
IF(COUNTIF(D53:F53,"?*")&gt;$N$5,"⚠ EXCESO",IF(COUNTIF(D53:F53,"?*")&gt;0,"⚠ FALTANTE",
"❌ SIN COMPLETAR")))</f>
        <v>❌ SIN COMPLETAR</v>
      </c>
      <c r="H53" s="17"/>
      <c r="I53" s="29">
        <v>45965</v>
      </c>
      <c r="J53" s="30" t="str">
        <f t="shared" si="19"/>
        <v>mar</v>
      </c>
      <c r="K53" s="28">
        <v>0.75</v>
      </c>
      <c r="L53" s="41"/>
      <c r="M53" s="41"/>
      <c r="N53" s="41"/>
      <c r="O53" s="32" t="str">
        <f>IF(COUNTIF(L53:N53,"?*")=$N$6,"✅ CUBIERTO",IF(COUNTIF(L53:N53,"?*")&gt;$N$6,"⚠ EXCESO",
IF(COUNTIF(L53:N53,"?*")&gt;0,"⚠ FALTANTE", "❌ SIN COMPLETAR")))</f>
        <v>❌ SIN COMPLETAR</v>
      </c>
      <c r="P53" s="17"/>
      <c r="Q53" s="29">
        <v>45965</v>
      </c>
      <c r="R53" s="30" t="str">
        <f t="shared" si="20"/>
        <v>mar</v>
      </c>
      <c r="S53" s="28">
        <v>0.75</v>
      </c>
      <c r="T53" s="31"/>
      <c r="U53" s="31"/>
      <c r="V53" s="31"/>
      <c r="W53" s="40" t="s">
        <v>16</v>
      </c>
      <c r="Y53" s="29">
        <v>45965</v>
      </c>
      <c r="Z53" s="30" t="str">
        <f t="shared" si="21"/>
        <v>mar</v>
      </c>
      <c r="AA53" s="28">
        <v>0.75</v>
      </c>
      <c r="AB53" s="41"/>
      <c r="AC53" s="41"/>
      <c r="AD53" s="41"/>
      <c r="AE53" s="32" t="str">
        <f t="shared" si="9"/>
        <v>❌ SIN COMPLETAR</v>
      </c>
    </row>
    <row r="54" spans="1:31" x14ac:dyDescent="0.3">
      <c r="A54" s="29">
        <v>45966</v>
      </c>
      <c r="B54" s="30" t="str">
        <f>TEXT(A54,"ddd")</f>
        <v>mié</v>
      </c>
      <c r="C54" s="28">
        <v>0.45833333333333331</v>
      </c>
      <c r="D54" s="31"/>
      <c r="E54" s="31"/>
      <c r="F54" s="31"/>
      <c r="G54" s="40" t="str">
        <f>IF(COUNTIF(D54:F54,"?*")=$N$5,"✅ CUBIERTO",
IF(COUNTIF(D54:F54,"?*")&gt;$N$5,"⚠ EXCESO",IF(COUNTIF(D54:F54,"?*")&gt;0,"⚠ FALTANTE",
"❌ SIN COMPLETAR")))</f>
        <v>❌ SIN COMPLETAR</v>
      </c>
      <c r="H54" s="17"/>
      <c r="I54" s="29">
        <v>45966</v>
      </c>
      <c r="J54" s="30" t="str">
        <f>TEXT(I54,"ddd")</f>
        <v>mié</v>
      </c>
      <c r="K54" s="28">
        <v>0.45833333333333331</v>
      </c>
      <c r="L54" s="31"/>
      <c r="M54" s="31"/>
      <c r="N54" s="31"/>
      <c r="O54" s="32" t="str">
        <f>IF(COUNTIF(L54:N54,"?*")=$N$6,"✅ CUBIERTO",IF(COUNTIF(L54:N54,"?*")&gt;$N$6,"⚠ EXCESO",
IF(COUNTIF(L54:N54,"?*")&gt;0,"⚠ FALTANTE", "❌ SIN COMPLETAR")))</f>
        <v>❌ SIN COMPLETAR</v>
      </c>
      <c r="P54" s="17"/>
      <c r="Q54" s="29">
        <v>45966</v>
      </c>
      <c r="R54" s="30" t="str">
        <f>TEXT(Q54,"ddd")</f>
        <v>mié</v>
      </c>
      <c r="S54" s="28">
        <v>0.45833333333333331</v>
      </c>
      <c r="T54" s="31"/>
      <c r="U54" s="31"/>
      <c r="V54" s="31"/>
      <c r="W54" s="40" t="s">
        <v>16</v>
      </c>
      <c r="Y54" s="29">
        <v>45966</v>
      </c>
      <c r="Z54" s="30" t="str">
        <f>TEXT(Y54,"ddd")</f>
        <v>mié</v>
      </c>
      <c r="AA54" s="28">
        <v>0.45833333333333331</v>
      </c>
      <c r="AB54" s="31"/>
      <c r="AC54" s="31"/>
      <c r="AD54" s="31"/>
      <c r="AE54" s="32" t="str">
        <f t="shared" si="9"/>
        <v>❌ SIN COMPLETAR</v>
      </c>
    </row>
    <row r="55" spans="1:31" x14ac:dyDescent="0.3">
      <c r="A55" s="29">
        <v>45966</v>
      </c>
      <c r="B55" s="30" t="str">
        <f t="shared" ref="B55:B61" si="22">TEXT(A55,"ddd")</f>
        <v>mié</v>
      </c>
      <c r="C55" s="28">
        <v>0.5</v>
      </c>
      <c r="D55" s="31"/>
      <c r="E55" s="31"/>
      <c r="F55" s="31"/>
      <c r="G55" s="40" t="str">
        <f>IF(COUNTIF(D55:F55,"?*")=$N$5,"✅ CUBIERTO",
IF(COUNTIF(D55:F55,"?*")&gt;$N$5,"⚠ EXCESO",IF(COUNTIF(D55:F55,"?*")&gt;0,"⚠ FALTANTE",
"❌ SIN COMPLETAR")))</f>
        <v>❌ SIN COMPLETAR</v>
      </c>
      <c r="H55" s="17"/>
      <c r="I55" s="29">
        <v>45966</v>
      </c>
      <c r="J55" s="30" t="str">
        <f t="shared" ref="J55:J61" si="23">TEXT(I55,"ddd")</f>
        <v>mié</v>
      </c>
      <c r="K55" s="28">
        <v>0.5</v>
      </c>
      <c r="L55" s="31"/>
      <c r="M55" s="31"/>
      <c r="N55" s="31"/>
      <c r="O55" s="32" t="str">
        <f>IF(COUNTIF(L55:N55,"?*")=$N$6,"✅ CUBIERTO",IF(COUNTIF(L55:N55,"?*")&gt;$N$6,"⚠ EXCESO",
IF(COUNTIF(L55:N55,"?*")&gt;0,"⚠ FALTANTE", "❌ SIN COMPLETAR")))</f>
        <v>❌ SIN COMPLETAR</v>
      </c>
      <c r="P55" s="17"/>
      <c r="Q55" s="29">
        <v>45966</v>
      </c>
      <c r="R55" s="30" t="str">
        <f t="shared" ref="R55:R61" si="24">TEXT(Q55,"ddd")</f>
        <v>mié</v>
      </c>
      <c r="S55" s="28">
        <v>0.5</v>
      </c>
      <c r="T55" s="31"/>
      <c r="U55" s="31"/>
      <c r="V55" s="31"/>
      <c r="W55" s="40" t="str">
        <f>IF(COUNTIF(T55:V55,"?*")=$N$7,"✅ CUBIERTO",IF(COUNTIF(T55:V55,"?*")&gt;$N$7,"⚠ EXCESO",
IF(COUNTIF(T55:V55,"?*")&gt;0,"⚠ FALTANTE", "❌ SIN COMPLETAR")))</f>
        <v>❌ SIN COMPLETAR</v>
      </c>
      <c r="Y55" s="29">
        <v>45966</v>
      </c>
      <c r="Z55" s="30" t="str">
        <f t="shared" ref="Z55:Z61" si="25">TEXT(Y55,"ddd")</f>
        <v>mié</v>
      </c>
      <c r="AA55" s="28">
        <v>0.5</v>
      </c>
      <c r="AB55" s="31"/>
      <c r="AC55" s="31"/>
      <c r="AD55" s="31"/>
      <c r="AE55" s="32" t="str">
        <f t="shared" si="9"/>
        <v>❌ SIN COMPLETAR</v>
      </c>
    </row>
    <row r="56" spans="1:31" x14ac:dyDescent="0.3">
      <c r="A56" s="29">
        <v>45966</v>
      </c>
      <c r="B56" s="30" t="str">
        <f t="shared" si="22"/>
        <v>mié</v>
      </c>
      <c r="C56" s="28">
        <v>0.54166666666666696</v>
      </c>
      <c r="D56" s="31"/>
      <c r="E56" s="31"/>
      <c r="F56" s="31"/>
      <c r="G56" s="40" t="str">
        <f>IF(COUNTIF(D56:F56,"?*")=$N$5,"✅ CUBIERTO",
IF(COUNTIF(D56:F56,"?*")&gt;$N$5,"⚠ EXCESO",IF(COUNTIF(D56:F56,"?*")&gt;0,"⚠ FALTANTE",
"❌ SIN COMPLETAR")))</f>
        <v>❌ SIN COMPLETAR</v>
      </c>
      <c r="H56" s="17"/>
      <c r="I56" s="29">
        <v>45966</v>
      </c>
      <c r="J56" s="30" t="str">
        <f t="shared" si="23"/>
        <v>mié</v>
      </c>
      <c r="K56" s="28">
        <v>0.54166666666666696</v>
      </c>
      <c r="L56" s="31"/>
      <c r="M56" s="31"/>
      <c r="N56" s="31"/>
      <c r="O56" s="32" t="str">
        <f>IF(COUNTIF(L56:N56,"?*")=$N$6,"✅ CUBIERTO",IF(COUNTIF(L56:N56,"?*")&gt;$N$6,"⚠ EXCESO",
IF(COUNTIF(L56:N56,"?*")&gt;0,"⚠ FALTANTE", "❌ SIN COMPLETAR")))</f>
        <v>❌ SIN COMPLETAR</v>
      </c>
      <c r="P56" s="17"/>
      <c r="Q56" s="29">
        <v>45966</v>
      </c>
      <c r="R56" s="30" t="str">
        <f t="shared" si="24"/>
        <v>mié</v>
      </c>
      <c r="S56" s="28">
        <v>0.54166666666666696</v>
      </c>
      <c r="T56" s="31"/>
      <c r="U56" s="31"/>
      <c r="V56" s="31"/>
      <c r="W56" s="40" t="str">
        <f>IF(COUNTIF(T56:V56,"?*")=$N$7,"✅ CUBIERTO",IF(COUNTIF(T56:V56,"?*")&gt;$N$7,"⚠ EXCESO",
IF(COUNTIF(T56:V56,"?*")&gt;0,"⚠ FALTANTE", "❌ SIN COMPLETAR")))</f>
        <v>❌ SIN COMPLETAR</v>
      </c>
      <c r="Y56" s="29">
        <v>45966</v>
      </c>
      <c r="Z56" s="30" t="str">
        <f t="shared" si="25"/>
        <v>mié</v>
      </c>
      <c r="AA56" s="28">
        <v>0.54166666666666696</v>
      </c>
      <c r="AB56" s="31"/>
      <c r="AC56" s="31"/>
      <c r="AD56" s="31"/>
      <c r="AE56" s="32" t="str">
        <f t="shared" si="9"/>
        <v>❌ SIN COMPLETAR</v>
      </c>
    </row>
    <row r="57" spans="1:31" x14ac:dyDescent="0.3">
      <c r="A57" s="29">
        <v>45966</v>
      </c>
      <c r="B57" s="30" t="str">
        <f t="shared" si="22"/>
        <v>mié</v>
      </c>
      <c r="C57" s="28">
        <v>0.58333333333333304</v>
      </c>
      <c r="D57" s="31"/>
      <c r="E57" s="31"/>
      <c r="F57" s="31"/>
      <c r="G57" s="40" t="str">
        <f>IF(COUNTIF(D57:F57,"?*")=$N$5,"✅ CUBIERTO",
IF(COUNTIF(D57:F57,"?*")&gt;$N$5,"⚠ EXCESO",IF(COUNTIF(D57:F57,"?*")&gt;0,"⚠ FALTANTE",
"❌ SIN COMPLETAR")))</f>
        <v>❌ SIN COMPLETAR</v>
      </c>
      <c r="H57" s="17"/>
      <c r="I57" s="29">
        <v>45966</v>
      </c>
      <c r="J57" s="30" t="str">
        <f t="shared" si="23"/>
        <v>mié</v>
      </c>
      <c r="K57" s="28">
        <v>0.58333333333333304</v>
      </c>
      <c r="L57" s="31"/>
      <c r="M57" s="31"/>
      <c r="N57" s="31"/>
      <c r="O57" s="32" t="str">
        <f>IF(COUNTIF(L57:N57,"?*")=$N$6,"✅ CUBIERTO",IF(COUNTIF(L57:N57,"?*")&gt;$N$6,"⚠ EXCESO",
IF(COUNTIF(L57:N57,"?*")&gt;0,"⚠ FALTANTE", "❌ SIN COMPLETAR")))</f>
        <v>❌ SIN COMPLETAR</v>
      </c>
      <c r="P57" s="17"/>
      <c r="Q57" s="29">
        <v>45966</v>
      </c>
      <c r="R57" s="30" t="str">
        <f t="shared" si="24"/>
        <v>mié</v>
      </c>
      <c r="S57" s="28">
        <v>0.58333333333333304</v>
      </c>
      <c r="T57" s="31"/>
      <c r="U57" s="31"/>
      <c r="V57" s="31"/>
      <c r="W57" s="40" t="str">
        <f>IF(COUNTIF(T57:V57,"?*")=$N$7,"✅ CUBIERTO",IF(COUNTIF(T57:V57,"?*")&gt;$N$7,"⚠ EXCESO",
IF(COUNTIF(T57:V57,"?*")&gt;0,"⚠ FALTANTE", "❌ SIN COMPLETAR")))</f>
        <v>❌ SIN COMPLETAR</v>
      </c>
      <c r="Y57" s="29">
        <v>45966</v>
      </c>
      <c r="Z57" s="30" t="str">
        <f t="shared" si="25"/>
        <v>mié</v>
      </c>
      <c r="AA57" s="28">
        <v>0.58333333333333304</v>
      </c>
      <c r="AB57" s="31"/>
      <c r="AC57" s="31"/>
      <c r="AD57" s="31"/>
      <c r="AE57" s="32" t="str">
        <f t="shared" si="9"/>
        <v>❌ SIN COMPLETAR</v>
      </c>
    </row>
    <row r="58" spans="1:31" x14ac:dyDescent="0.3">
      <c r="A58" s="29">
        <v>45966</v>
      </c>
      <c r="B58" s="30" t="str">
        <f t="shared" si="22"/>
        <v>mié</v>
      </c>
      <c r="C58" s="28">
        <v>0.625</v>
      </c>
      <c r="D58" s="31"/>
      <c r="E58" s="31"/>
      <c r="F58" s="31"/>
      <c r="G58" s="40" t="str">
        <f>IF(COUNTIF(D58:F58,"?*")=$N$5,"✅ CUBIERTO",
IF(COUNTIF(D58:F58,"?*")&gt;$N$5,"⚠ EXCESO",IF(COUNTIF(D58:F58,"?*")&gt;0,"⚠ FALTANTE",
"❌ SIN COMPLETAR")))</f>
        <v>❌ SIN COMPLETAR</v>
      </c>
      <c r="H58" s="17"/>
      <c r="I58" s="29">
        <v>45966</v>
      </c>
      <c r="J58" s="30" t="str">
        <f t="shared" si="23"/>
        <v>mié</v>
      </c>
      <c r="K58" s="28">
        <v>0.625</v>
      </c>
      <c r="L58" s="31"/>
      <c r="M58" s="31"/>
      <c r="N58" s="31"/>
      <c r="O58" s="32" t="str">
        <f>IF(COUNTIF(L58:N58,"?*")=$N$6,"✅ CUBIERTO",IF(COUNTIF(L58:N58,"?*")&gt;$N$6,"⚠ EXCESO",
IF(COUNTIF(L58:N58,"?*")&gt;0,"⚠ FALTANTE", "❌ SIN COMPLETAR")))</f>
        <v>❌ SIN COMPLETAR</v>
      </c>
      <c r="P58" s="17"/>
      <c r="Q58" s="29">
        <v>45966</v>
      </c>
      <c r="R58" s="30" t="str">
        <f t="shared" si="24"/>
        <v>mié</v>
      </c>
      <c r="S58" s="28">
        <v>0.625</v>
      </c>
      <c r="T58" s="31"/>
      <c r="U58" s="31"/>
      <c r="V58" s="31"/>
      <c r="W58" s="40" t="str">
        <f>IF(COUNTIF(T58:V58,"?*")=$N$7,"✅ CUBIERTO",IF(COUNTIF(T58:V58,"?*")&gt;$N$7,"⚠ EXCESO",
IF(COUNTIF(T58:V58,"?*")&gt;0,"⚠ FALTANTE", "❌ SIN COMPLETAR")))</f>
        <v>❌ SIN COMPLETAR</v>
      </c>
      <c r="Y58" s="29">
        <v>45966</v>
      </c>
      <c r="Z58" s="30" t="str">
        <f t="shared" si="25"/>
        <v>mié</v>
      </c>
      <c r="AA58" s="28">
        <v>0.625</v>
      </c>
      <c r="AB58" s="31"/>
      <c r="AC58" s="31"/>
      <c r="AD58" s="31"/>
      <c r="AE58" s="32" t="str">
        <f t="shared" si="9"/>
        <v>❌ SIN COMPLETAR</v>
      </c>
    </row>
    <row r="59" spans="1:31" x14ac:dyDescent="0.3">
      <c r="A59" s="29">
        <v>45966</v>
      </c>
      <c r="B59" s="30" t="str">
        <f t="shared" si="22"/>
        <v>mié</v>
      </c>
      <c r="C59" s="28">
        <v>0.66666666666666696</v>
      </c>
      <c r="D59" s="31"/>
      <c r="E59" s="31"/>
      <c r="F59" s="31"/>
      <c r="G59" s="40" t="str">
        <f>IF(COUNTIF(D59:F59,"?*")=$N$5,"✅ CUBIERTO",
IF(COUNTIF(D59:F59,"?*")&gt;$N$5,"⚠ EXCESO",IF(COUNTIF(D59:F59,"?*")&gt;0,"⚠ FALTANTE",
"❌ SIN COMPLETAR")))</f>
        <v>❌ SIN COMPLETAR</v>
      </c>
      <c r="H59" s="17"/>
      <c r="I59" s="29">
        <v>45966</v>
      </c>
      <c r="J59" s="30" t="str">
        <f t="shared" si="23"/>
        <v>mié</v>
      </c>
      <c r="K59" s="28">
        <v>0.66666666666666696</v>
      </c>
      <c r="L59" s="31"/>
      <c r="M59" s="31"/>
      <c r="N59" s="31"/>
      <c r="O59" s="32" t="str">
        <f>IF(COUNTIF(L59:N59,"?*")=$N$6,"✅ CUBIERTO",IF(COUNTIF(L59:N59,"?*")&gt;$N$6,"⚠ EXCESO",
IF(COUNTIF(L59:N59,"?*")&gt;0,"⚠ FALTANTE", "❌ SIN COMPLETAR")))</f>
        <v>❌ SIN COMPLETAR</v>
      </c>
      <c r="P59" s="17"/>
      <c r="Q59" s="29">
        <v>45966</v>
      </c>
      <c r="R59" s="30" t="str">
        <f t="shared" si="24"/>
        <v>mié</v>
      </c>
      <c r="S59" s="28">
        <v>0.66666666666666696</v>
      </c>
      <c r="T59" s="31"/>
      <c r="U59" s="31"/>
      <c r="V59" s="31"/>
      <c r="W59" s="40" t="str">
        <f>IF(COUNTIF(T59:V59,"?*")=$N$7,"✅ CUBIERTO",IF(COUNTIF(T59:V59,"?*")&gt;$N$7,"⚠ EXCESO",
IF(COUNTIF(T59:V59,"?*")&gt;0,"⚠ FALTANTE", "❌ SIN COMPLETAR")))</f>
        <v>❌ SIN COMPLETAR</v>
      </c>
      <c r="Y59" s="29">
        <v>45966</v>
      </c>
      <c r="Z59" s="30" t="str">
        <f t="shared" si="25"/>
        <v>mié</v>
      </c>
      <c r="AA59" s="28">
        <v>0.66666666666666696</v>
      </c>
      <c r="AB59" s="31"/>
      <c r="AC59" s="31"/>
      <c r="AD59" s="31"/>
      <c r="AE59" s="32" t="str">
        <f t="shared" si="9"/>
        <v>❌ SIN COMPLETAR</v>
      </c>
    </row>
    <row r="60" spans="1:31" x14ac:dyDescent="0.3">
      <c r="A60" s="29">
        <v>45966</v>
      </c>
      <c r="B60" s="30" t="str">
        <f t="shared" si="22"/>
        <v>mié</v>
      </c>
      <c r="C60" s="28">
        <v>0.70833333333333304</v>
      </c>
      <c r="D60" s="31"/>
      <c r="E60" s="31"/>
      <c r="F60" s="31"/>
      <c r="G60" s="40" t="str">
        <f>IF(COUNTIF(D60:F60,"?*")=$N$5,"✅ CUBIERTO",
IF(COUNTIF(D60:F60,"?*")&gt;$N$5,"⚠ EXCESO",IF(COUNTIF(D60:F60,"?*")&gt;0,"⚠ FALTANTE",
"❌ SIN COMPLETAR")))</f>
        <v>❌ SIN COMPLETAR</v>
      </c>
      <c r="H60" s="17"/>
      <c r="I60" s="29">
        <v>45966</v>
      </c>
      <c r="J60" s="30" t="str">
        <f t="shared" si="23"/>
        <v>mié</v>
      </c>
      <c r="K60" s="28">
        <v>0.70833333333333304</v>
      </c>
      <c r="L60" s="31"/>
      <c r="M60" s="31"/>
      <c r="N60" s="31"/>
      <c r="O60" s="32" t="str">
        <f>IF(COUNTIF(L60:N60,"?*")=$N$6,"✅ CUBIERTO",IF(COUNTIF(L60:N60,"?*")&gt;$N$6,"⚠ EXCESO",
IF(COUNTIF(L60:N60,"?*")&gt;0,"⚠ FALTANTE", "❌ SIN COMPLETAR")))</f>
        <v>❌ SIN COMPLETAR</v>
      </c>
      <c r="P60" s="17"/>
      <c r="Q60" s="29">
        <v>45966</v>
      </c>
      <c r="R60" s="30" t="str">
        <f t="shared" si="24"/>
        <v>mié</v>
      </c>
      <c r="S60" s="28">
        <v>0.70833333333333304</v>
      </c>
      <c r="T60" s="31"/>
      <c r="U60" s="31"/>
      <c r="V60" s="31"/>
      <c r="W60" s="40" t="str">
        <f>IF(COUNTIF(T60:V60,"?*")=$N$7,"✅ CUBIERTO",IF(COUNTIF(T60:V60,"?*")&gt;$N$7,"⚠ EXCESO",
IF(COUNTIF(T60:V60,"?*")&gt;0,"⚠ FALTANTE", "❌ SIN COMPLETAR")))</f>
        <v>❌ SIN COMPLETAR</v>
      </c>
      <c r="Y60" s="29">
        <v>45966</v>
      </c>
      <c r="Z60" s="30" t="str">
        <f t="shared" si="25"/>
        <v>mié</v>
      </c>
      <c r="AA60" s="28">
        <v>0.70833333333333304</v>
      </c>
      <c r="AB60" s="31"/>
      <c r="AC60" s="31"/>
      <c r="AD60" s="31"/>
      <c r="AE60" s="32" t="str">
        <f t="shared" si="9"/>
        <v>❌ SIN COMPLETAR</v>
      </c>
    </row>
    <row r="61" spans="1:31" x14ac:dyDescent="0.3">
      <c r="A61" s="29">
        <v>45966</v>
      </c>
      <c r="B61" s="30" t="str">
        <f t="shared" si="22"/>
        <v>mié</v>
      </c>
      <c r="C61" s="28">
        <v>0.75</v>
      </c>
      <c r="D61" s="31"/>
      <c r="E61" s="31"/>
      <c r="F61" s="31"/>
      <c r="G61" s="40" t="str">
        <f>IF(COUNTIF(D61:F61,"?*")=$N$5,"✅ CUBIERTO",
IF(COUNTIF(D61:F61,"?*")&gt;$N$5,"⚠ EXCESO",IF(COUNTIF(D61:F61,"?*")&gt;0,"⚠ FALTANTE",
"❌ SIN COMPLETAR")))</f>
        <v>❌ SIN COMPLETAR</v>
      </c>
      <c r="H61" s="17"/>
      <c r="I61" s="29">
        <v>45966</v>
      </c>
      <c r="J61" s="30" t="str">
        <f t="shared" si="23"/>
        <v>mié</v>
      </c>
      <c r="K61" s="28">
        <v>0.75</v>
      </c>
      <c r="L61" s="41"/>
      <c r="M61" s="41"/>
      <c r="N61" s="41"/>
      <c r="O61" s="32" t="str">
        <f>IF(COUNTIF(L61:N61,"?*")=$N$6,"✅ CUBIERTO",IF(COUNTIF(L61:N61,"?*")&gt;$N$6,"⚠ EXCESO",
IF(COUNTIF(L61:N61,"?*")&gt;0,"⚠ FALTANTE", "❌ SIN COMPLETAR")))</f>
        <v>❌ SIN COMPLETAR</v>
      </c>
      <c r="P61" s="17"/>
      <c r="Q61" s="29">
        <v>45966</v>
      </c>
      <c r="R61" s="30" t="str">
        <f t="shared" si="24"/>
        <v>mié</v>
      </c>
      <c r="S61" s="28">
        <v>0.75</v>
      </c>
      <c r="T61" s="31"/>
      <c r="U61" s="31"/>
      <c r="V61" s="31"/>
      <c r="W61" s="40" t="s">
        <v>16</v>
      </c>
      <c r="Y61" s="29">
        <v>45966</v>
      </c>
      <c r="Z61" s="30" t="str">
        <f t="shared" si="25"/>
        <v>mié</v>
      </c>
      <c r="AA61" s="28">
        <v>0.75</v>
      </c>
      <c r="AB61" s="41"/>
      <c r="AC61" s="41"/>
      <c r="AD61" s="41"/>
      <c r="AE61" s="32" t="str">
        <f t="shared" si="9"/>
        <v>❌ SIN COMPLETAR</v>
      </c>
    </row>
    <row r="62" spans="1:31" x14ac:dyDescent="0.3">
      <c r="A62" s="29">
        <v>45967</v>
      </c>
      <c r="B62" s="30" t="str">
        <f>TEXT(A62,"ddd")</f>
        <v>jue</v>
      </c>
      <c r="C62" s="28">
        <v>0.45833333333333331</v>
      </c>
      <c r="D62" s="31"/>
      <c r="E62" s="31"/>
      <c r="F62" s="31"/>
      <c r="G62" s="40" t="str">
        <f>IF(COUNTIF(D62:F62,"?*")=$N$5,"✅ CUBIERTO",
IF(COUNTIF(D62:F62,"?*")&gt;$N$5,"⚠ EXCESO",IF(COUNTIF(D62:F62,"?*")&gt;0,"⚠ FALTANTE",
"❌ SIN COMPLETAR")))</f>
        <v>❌ SIN COMPLETAR</v>
      </c>
      <c r="H62" s="17"/>
      <c r="I62" s="29">
        <v>45967</v>
      </c>
      <c r="J62" s="30" t="str">
        <f>TEXT(I62,"ddd")</f>
        <v>jue</v>
      </c>
      <c r="K62" s="28">
        <v>0.45833333333333331</v>
      </c>
      <c r="L62" s="31"/>
      <c r="M62" s="31"/>
      <c r="N62" s="31"/>
      <c r="O62" s="32" t="str">
        <f>IF(COUNTIF(L62:N62,"?*")=$N$6,"✅ CUBIERTO",IF(COUNTIF(L62:N62,"?*")&gt;$N$6,"⚠ EXCESO",
IF(COUNTIF(L62:N62,"?*")&gt;0,"⚠ FALTANTE", "❌ SIN COMPLETAR")))</f>
        <v>❌ SIN COMPLETAR</v>
      </c>
      <c r="P62" s="17"/>
      <c r="Q62" s="29">
        <v>45967</v>
      </c>
      <c r="R62" s="30" t="str">
        <f>TEXT(Q62,"ddd")</f>
        <v>jue</v>
      </c>
      <c r="S62" s="28">
        <v>0.45833333333333331</v>
      </c>
      <c r="T62" s="31"/>
      <c r="U62" s="31"/>
      <c r="V62" s="31"/>
      <c r="W62" s="40" t="s">
        <v>16</v>
      </c>
      <c r="Y62" s="29">
        <v>45967</v>
      </c>
      <c r="Z62" s="30" t="str">
        <f>TEXT(Y62,"ddd")</f>
        <v>jue</v>
      </c>
      <c r="AA62" s="28">
        <v>0.45833333333333331</v>
      </c>
      <c r="AB62" s="31"/>
      <c r="AC62" s="31"/>
      <c r="AD62" s="31"/>
      <c r="AE62" s="32" t="str">
        <f t="shared" si="9"/>
        <v>❌ SIN COMPLETAR</v>
      </c>
    </row>
    <row r="63" spans="1:31" x14ac:dyDescent="0.3">
      <c r="A63" s="29">
        <v>45967</v>
      </c>
      <c r="B63" s="30" t="str">
        <f t="shared" ref="B63:B69" si="26">TEXT(A63,"ddd")</f>
        <v>jue</v>
      </c>
      <c r="C63" s="28">
        <v>0.5</v>
      </c>
      <c r="D63" s="31"/>
      <c r="E63" s="31"/>
      <c r="F63" s="31"/>
      <c r="G63" s="40" t="str">
        <f>IF(COUNTIF(D63:F63,"?*")=$N$5,"✅ CUBIERTO",
IF(COUNTIF(D63:F63,"?*")&gt;$N$5,"⚠ EXCESO",IF(COUNTIF(D63:F63,"?*")&gt;0,"⚠ FALTANTE",
"❌ SIN COMPLETAR")))</f>
        <v>❌ SIN COMPLETAR</v>
      </c>
      <c r="H63" s="17"/>
      <c r="I63" s="29">
        <v>45967</v>
      </c>
      <c r="J63" s="30" t="str">
        <f t="shared" ref="J63:J69" si="27">TEXT(I63,"ddd")</f>
        <v>jue</v>
      </c>
      <c r="K63" s="28">
        <v>0.5</v>
      </c>
      <c r="L63" s="31"/>
      <c r="M63" s="31"/>
      <c r="N63" s="31"/>
      <c r="O63" s="32" t="str">
        <f>IF(COUNTIF(L63:N63,"?*")=$N$6,"✅ CUBIERTO",IF(COUNTIF(L63:N63,"?*")&gt;$N$6,"⚠ EXCESO",
IF(COUNTIF(L63:N63,"?*")&gt;0,"⚠ FALTANTE", "❌ SIN COMPLETAR")))</f>
        <v>❌ SIN COMPLETAR</v>
      </c>
      <c r="P63" s="17"/>
      <c r="Q63" s="29">
        <v>45967</v>
      </c>
      <c r="R63" s="30" t="str">
        <f t="shared" ref="R63:R69" si="28">TEXT(Q63,"ddd")</f>
        <v>jue</v>
      </c>
      <c r="S63" s="28">
        <v>0.5</v>
      </c>
      <c r="T63" s="31"/>
      <c r="U63" s="31"/>
      <c r="V63" s="31"/>
      <c r="W63" s="40" t="str">
        <f>IF(COUNTIF(T63:V63,"?*")=$N$7,"✅ CUBIERTO",IF(COUNTIF(T63:V63,"?*")&gt;$N$7,"⚠ EXCESO",
IF(COUNTIF(T63:V63,"?*")&gt;0,"⚠ FALTANTE", "❌ SIN COMPLETAR")))</f>
        <v>❌ SIN COMPLETAR</v>
      </c>
      <c r="Y63" s="29">
        <v>45967</v>
      </c>
      <c r="Z63" s="30" t="str">
        <f t="shared" ref="Z63:Z69" si="29">TEXT(Y63,"ddd")</f>
        <v>jue</v>
      </c>
      <c r="AA63" s="28">
        <v>0.5</v>
      </c>
      <c r="AB63" s="31"/>
      <c r="AC63" s="31"/>
      <c r="AD63" s="31"/>
      <c r="AE63" s="32" t="str">
        <f t="shared" si="9"/>
        <v>❌ SIN COMPLETAR</v>
      </c>
    </row>
    <row r="64" spans="1:31" x14ac:dyDescent="0.3">
      <c r="A64" s="29">
        <v>45967</v>
      </c>
      <c r="B64" s="30" t="str">
        <f t="shared" si="26"/>
        <v>jue</v>
      </c>
      <c r="C64" s="28">
        <v>0.54166666666666696</v>
      </c>
      <c r="D64" s="31"/>
      <c r="E64" s="31"/>
      <c r="F64" s="31"/>
      <c r="G64" s="40" t="str">
        <f>IF(COUNTIF(D64:F64,"?*")=$N$5,"✅ CUBIERTO",
IF(COUNTIF(D64:F64,"?*")&gt;$N$5,"⚠ EXCESO",IF(COUNTIF(D64:F64,"?*")&gt;0,"⚠ FALTANTE",
"❌ SIN COMPLETAR")))</f>
        <v>❌ SIN COMPLETAR</v>
      </c>
      <c r="H64" s="17"/>
      <c r="I64" s="29">
        <v>45967</v>
      </c>
      <c r="J64" s="30" t="str">
        <f t="shared" si="27"/>
        <v>jue</v>
      </c>
      <c r="K64" s="28">
        <v>0.54166666666666696</v>
      </c>
      <c r="L64" s="31"/>
      <c r="M64" s="31"/>
      <c r="N64" s="31"/>
      <c r="O64" s="32" t="str">
        <f>IF(COUNTIF(L64:N64,"?*")=$N$6,"✅ CUBIERTO",IF(COUNTIF(L64:N64,"?*")&gt;$N$6,"⚠ EXCESO",
IF(COUNTIF(L64:N64,"?*")&gt;0,"⚠ FALTANTE", "❌ SIN COMPLETAR")))</f>
        <v>❌ SIN COMPLETAR</v>
      </c>
      <c r="P64" s="17"/>
      <c r="Q64" s="29">
        <v>45967</v>
      </c>
      <c r="R64" s="30" t="str">
        <f t="shared" si="28"/>
        <v>jue</v>
      </c>
      <c r="S64" s="28">
        <v>0.54166666666666696</v>
      </c>
      <c r="T64" s="31"/>
      <c r="U64" s="31"/>
      <c r="V64" s="31"/>
      <c r="W64" s="40" t="str">
        <f>IF(COUNTIF(T64:V64,"?*")=$N$7,"✅ CUBIERTO",IF(COUNTIF(T64:V64,"?*")&gt;$N$7,"⚠ EXCESO",
IF(COUNTIF(T64:V64,"?*")&gt;0,"⚠ FALTANTE", "❌ SIN COMPLETAR")))</f>
        <v>❌ SIN COMPLETAR</v>
      </c>
      <c r="Y64" s="29">
        <v>45967</v>
      </c>
      <c r="Z64" s="30" t="str">
        <f t="shared" si="29"/>
        <v>jue</v>
      </c>
      <c r="AA64" s="28">
        <v>0.54166666666666696</v>
      </c>
      <c r="AB64" s="31"/>
      <c r="AC64" s="31"/>
      <c r="AD64" s="31"/>
      <c r="AE64" s="32" t="str">
        <f t="shared" si="9"/>
        <v>❌ SIN COMPLETAR</v>
      </c>
    </row>
    <row r="65" spans="1:31" x14ac:dyDescent="0.3">
      <c r="A65" s="29">
        <v>45967</v>
      </c>
      <c r="B65" s="30" t="str">
        <f t="shared" si="26"/>
        <v>jue</v>
      </c>
      <c r="C65" s="28">
        <v>0.58333333333333304</v>
      </c>
      <c r="D65" s="31"/>
      <c r="E65" s="31"/>
      <c r="F65" s="31"/>
      <c r="G65" s="40" t="str">
        <f>IF(COUNTIF(D65:F65,"?*")=$N$5,"✅ CUBIERTO",
IF(COUNTIF(D65:F65,"?*")&gt;$N$5,"⚠ EXCESO",IF(COUNTIF(D65:F65,"?*")&gt;0,"⚠ FALTANTE",
"❌ SIN COMPLETAR")))</f>
        <v>❌ SIN COMPLETAR</v>
      </c>
      <c r="H65" s="17"/>
      <c r="I65" s="29">
        <v>45967</v>
      </c>
      <c r="J65" s="30" t="str">
        <f t="shared" si="27"/>
        <v>jue</v>
      </c>
      <c r="K65" s="28">
        <v>0.58333333333333304</v>
      </c>
      <c r="L65" s="31"/>
      <c r="M65" s="31"/>
      <c r="N65" s="31"/>
      <c r="O65" s="32" t="str">
        <f>IF(COUNTIF(L65:N65,"?*")=$N$6,"✅ CUBIERTO",IF(COUNTIF(L65:N65,"?*")&gt;$N$6,"⚠ EXCESO",
IF(COUNTIF(L65:N65,"?*")&gt;0,"⚠ FALTANTE", "❌ SIN COMPLETAR")))</f>
        <v>❌ SIN COMPLETAR</v>
      </c>
      <c r="P65" s="17"/>
      <c r="Q65" s="29">
        <v>45967</v>
      </c>
      <c r="R65" s="30" t="str">
        <f t="shared" si="28"/>
        <v>jue</v>
      </c>
      <c r="S65" s="28">
        <v>0.58333333333333304</v>
      </c>
      <c r="T65" s="31"/>
      <c r="U65" s="31"/>
      <c r="V65" s="31"/>
      <c r="W65" s="40" t="str">
        <f>IF(COUNTIF(T65:V65,"?*")=$N$7,"✅ CUBIERTO",IF(COUNTIF(T65:V65,"?*")&gt;$N$7,"⚠ EXCESO",
IF(COUNTIF(T65:V65,"?*")&gt;0,"⚠ FALTANTE", "❌ SIN COMPLETAR")))</f>
        <v>❌ SIN COMPLETAR</v>
      </c>
      <c r="Y65" s="29">
        <v>45967</v>
      </c>
      <c r="Z65" s="30" t="str">
        <f t="shared" si="29"/>
        <v>jue</v>
      </c>
      <c r="AA65" s="28">
        <v>0.58333333333333304</v>
      </c>
      <c r="AB65" s="31"/>
      <c r="AC65" s="31"/>
      <c r="AD65" s="31"/>
      <c r="AE65" s="32" t="str">
        <f t="shared" si="9"/>
        <v>❌ SIN COMPLETAR</v>
      </c>
    </row>
    <row r="66" spans="1:31" x14ac:dyDescent="0.3">
      <c r="A66" s="29">
        <v>45967</v>
      </c>
      <c r="B66" s="30" t="str">
        <f t="shared" si="26"/>
        <v>jue</v>
      </c>
      <c r="C66" s="28">
        <v>0.625</v>
      </c>
      <c r="D66" s="31"/>
      <c r="E66" s="31"/>
      <c r="F66" s="31"/>
      <c r="G66" s="40" t="str">
        <f>IF(COUNTIF(D66:F66,"?*")=$N$5,"✅ CUBIERTO",
IF(COUNTIF(D66:F66,"?*")&gt;$N$5,"⚠ EXCESO",IF(COUNTIF(D66:F66,"?*")&gt;0,"⚠ FALTANTE",
"❌ SIN COMPLETAR")))</f>
        <v>❌ SIN COMPLETAR</v>
      </c>
      <c r="H66" s="17"/>
      <c r="I66" s="29">
        <v>45967</v>
      </c>
      <c r="J66" s="30" t="str">
        <f t="shared" si="27"/>
        <v>jue</v>
      </c>
      <c r="K66" s="28">
        <v>0.625</v>
      </c>
      <c r="L66" s="31"/>
      <c r="M66" s="31"/>
      <c r="N66" s="31"/>
      <c r="O66" s="32" t="str">
        <f>IF(COUNTIF(L66:N66,"?*")=$N$6,"✅ CUBIERTO",IF(COUNTIF(L66:N66,"?*")&gt;$N$6,"⚠ EXCESO",
IF(COUNTIF(L66:N66,"?*")&gt;0,"⚠ FALTANTE", "❌ SIN COMPLETAR")))</f>
        <v>❌ SIN COMPLETAR</v>
      </c>
      <c r="P66" s="17"/>
      <c r="Q66" s="29">
        <v>45967</v>
      </c>
      <c r="R66" s="30" t="str">
        <f t="shared" si="28"/>
        <v>jue</v>
      </c>
      <c r="S66" s="28">
        <v>0.625</v>
      </c>
      <c r="T66" s="31"/>
      <c r="U66" s="31"/>
      <c r="V66" s="31"/>
      <c r="W66" s="40" t="str">
        <f>IF(COUNTIF(T66:V66,"?*")=$N$7,"✅ CUBIERTO",IF(COUNTIF(T66:V66,"?*")&gt;$N$7,"⚠ EXCESO",
IF(COUNTIF(T66:V66,"?*")&gt;0,"⚠ FALTANTE", "❌ SIN COMPLETAR")))</f>
        <v>❌ SIN COMPLETAR</v>
      </c>
      <c r="Y66" s="29">
        <v>45967</v>
      </c>
      <c r="Z66" s="30" t="str">
        <f t="shared" si="29"/>
        <v>jue</v>
      </c>
      <c r="AA66" s="28">
        <v>0.625</v>
      </c>
      <c r="AB66" s="31"/>
      <c r="AC66" s="31"/>
      <c r="AD66" s="31"/>
      <c r="AE66" s="32" t="str">
        <f t="shared" si="9"/>
        <v>❌ SIN COMPLETAR</v>
      </c>
    </row>
    <row r="67" spans="1:31" x14ac:dyDescent="0.3">
      <c r="A67" s="29">
        <v>45967</v>
      </c>
      <c r="B67" s="30" t="str">
        <f t="shared" si="26"/>
        <v>jue</v>
      </c>
      <c r="C67" s="28">
        <v>0.66666666666666696</v>
      </c>
      <c r="D67" s="31"/>
      <c r="E67" s="31"/>
      <c r="F67" s="31"/>
      <c r="G67" s="40" t="str">
        <f>IF(COUNTIF(D67:F67,"?*")=$N$5,"✅ CUBIERTO",
IF(COUNTIF(D67:F67,"?*")&gt;$N$5,"⚠ EXCESO",IF(COUNTIF(D67:F67,"?*")&gt;0,"⚠ FALTANTE",
"❌ SIN COMPLETAR")))</f>
        <v>❌ SIN COMPLETAR</v>
      </c>
      <c r="H67" s="17"/>
      <c r="I67" s="29">
        <v>45967</v>
      </c>
      <c r="J67" s="30" t="str">
        <f t="shared" si="27"/>
        <v>jue</v>
      </c>
      <c r="K67" s="28">
        <v>0.66666666666666696</v>
      </c>
      <c r="L67" s="31"/>
      <c r="M67" s="31"/>
      <c r="N67" s="31"/>
      <c r="O67" s="32" t="str">
        <f>IF(COUNTIF(L67:N67,"?*")=$N$6,"✅ CUBIERTO",IF(COUNTIF(L67:N67,"?*")&gt;$N$6,"⚠ EXCESO",
IF(COUNTIF(L67:N67,"?*")&gt;0,"⚠ FALTANTE", "❌ SIN COMPLETAR")))</f>
        <v>❌ SIN COMPLETAR</v>
      </c>
      <c r="P67" s="17"/>
      <c r="Q67" s="29">
        <v>45967</v>
      </c>
      <c r="R67" s="30" t="str">
        <f t="shared" si="28"/>
        <v>jue</v>
      </c>
      <c r="S67" s="28">
        <v>0.66666666666666696</v>
      </c>
      <c r="T67" s="31"/>
      <c r="U67" s="31"/>
      <c r="V67" s="31"/>
      <c r="W67" s="40" t="str">
        <f>IF(COUNTIF(T67:V67,"?*")=$N$7,"✅ CUBIERTO",IF(COUNTIF(T67:V67,"?*")&gt;$N$7,"⚠ EXCESO",
IF(COUNTIF(T67:V67,"?*")&gt;0,"⚠ FALTANTE", "❌ SIN COMPLETAR")))</f>
        <v>❌ SIN COMPLETAR</v>
      </c>
      <c r="Y67" s="29">
        <v>45967</v>
      </c>
      <c r="Z67" s="30" t="str">
        <f t="shared" si="29"/>
        <v>jue</v>
      </c>
      <c r="AA67" s="28">
        <v>0.66666666666666696</v>
      </c>
      <c r="AB67" s="31"/>
      <c r="AC67" s="31"/>
      <c r="AD67" s="31"/>
      <c r="AE67" s="32" t="str">
        <f t="shared" si="9"/>
        <v>❌ SIN COMPLETAR</v>
      </c>
    </row>
    <row r="68" spans="1:31" x14ac:dyDescent="0.3">
      <c r="A68" s="29">
        <v>45967</v>
      </c>
      <c r="B68" s="30" t="str">
        <f t="shared" si="26"/>
        <v>jue</v>
      </c>
      <c r="C68" s="28">
        <v>0.70833333333333304</v>
      </c>
      <c r="D68" s="31"/>
      <c r="E68" s="31"/>
      <c r="F68" s="31"/>
      <c r="G68" s="40" t="str">
        <f>IF(COUNTIF(D68:F68,"?*")=$N$5,"✅ CUBIERTO",
IF(COUNTIF(D68:F68,"?*")&gt;$N$5,"⚠ EXCESO",IF(COUNTIF(D68:F68,"?*")&gt;0,"⚠ FALTANTE",
"❌ SIN COMPLETAR")))</f>
        <v>❌ SIN COMPLETAR</v>
      </c>
      <c r="H68" s="17"/>
      <c r="I68" s="29">
        <v>45967</v>
      </c>
      <c r="J68" s="30" t="str">
        <f t="shared" si="27"/>
        <v>jue</v>
      </c>
      <c r="K68" s="28">
        <v>0.70833333333333304</v>
      </c>
      <c r="L68" s="31"/>
      <c r="M68" s="31"/>
      <c r="N68" s="31"/>
      <c r="O68" s="32" t="str">
        <f>IF(COUNTIF(L68:N68,"?*")=$N$6,"✅ CUBIERTO",IF(COUNTIF(L68:N68,"?*")&gt;$N$6,"⚠ EXCESO",
IF(COUNTIF(L68:N68,"?*")&gt;0,"⚠ FALTANTE", "❌ SIN COMPLETAR")))</f>
        <v>❌ SIN COMPLETAR</v>
      </c>
      <c r="P68" s="17"/>
      <c r="Q68" s="29">
        <v>45967</v>
      </c>
      <c r="R68" s="30" t="str">
        <f t="shared" si="28"/>
        <v>jue</v>
      </c>
      <c r="S68" s="28">
        <v>0.70833333333333304</v>
      </c>
      <c r="T68" s="31"/>
      <c r="U68" s="31"/>
      <c r="V68" s="31"/>
      <c r="W68" s="40" t="str">
        <f>IF(COUNTIF(T68:V68,"?*")=$N$7,"✅ CUBIERTO",IF(COUNTIF(T68:V68,"?*")&gt;$N$7,"⚠ EXCESO",
IF(COUNTIF(T68:V68,"?*")&gt;0,"⚠ FALTANTE", "❌ SIN COMPLETAR")))</f>
        <v>❌ SIN COMPLETAR</v>
      </c>
      <c r="Y68" s="29">
        <v>45967</v>
      </c>
      <c r="Z68" s="30" t="str">
        <f t="shared" si="29"/>
        <v>jue</v>
      </c>
      <c r="AA68" s="28">
        <v>0.70833333333333304</v>
      </c>
      <c r="AB68" s="31"/>
      <c r="AC68" s="31"/>
      <c r="AD68" s="31"/>
      <c r="AE68" s="32" t="str">
        <f t="shared" si="9"/>
        <v>❌ SIN COMPLETAR</v>
      </c>
    </row>
    <row r="69" spans="1:31" x14ac:dyDescent="0.3">
      <c r="A69" s="29">
        <v>45967</v>
      </c>
      <c r="B69" s="30" t="str">
        <f t="shared" si="26"/>
        <v>jue</v>
      </c>
      <c r="C69" s="28">
        <v>0.75</v>
      </c>
      <c r="D69" s="31"/>
      <c r="E69" s="31"/>
      <c r="F69" s="31"/>
      <c r="G69" s="40" t="str">
        <f>IF(COUNTIF(D69:F69,"?*")=$N$5,"✅ CUBIERTO",
IF(COUNTIF(D69:F69,"?*")&gt;$N$5,"⚠ EXCESO",IF(COUNTIF(D69:F69,"?*")&gt;0,"⚠ FALTANTE",
"❌ SIN COMPLETAR")))</f>
        <v>❌ SIN COMPLETAR</v>
      </c>
      <c r="H69" s="17"/>
      <c r="I69" s="29">
        <v>45967</v>
      </c>
      <c r="J69" s="30" t="str">
        <f t="shared" si="27"/>
        <v>jue</v>
      </c>
      <c r="K69" s="28">
        <v>0.75</v>
      </c>
      <c r="L69" s="41"/>
      <c r="M69" s="41"/>
      <c r="N69" s="41"/>
      <c r="O69" s="32" t="str">
        <f>IF(COUNTIF(L69:N69,"?*")=$N$6,"✅ CUBIERTO",IF(COUNTIF(L69:N69,"?*")&gt;$N$6,"⚠ EXCESO",
IF(COUNTIF(L69:N69,"?*")&gt;0,"⚠ FALTANTE", "❌ SIN COMPLETAR")))</f>
        <v>❌ SIN COMPLETAR</v>
      </c>
      <c r="P69" s="17"/>
      <c r="Q69" s="29">
        <v>45967</v>
      </c>
      <c r="R69" s="30" t="str">
        <f t="shared" si="28"/>
        <v>jue</v>
      </c>
      <c r="S69" s="28">
        <v>0.75</v>
      </c>
      <c r="T69" s="31"/>
      <c r="U69" s="31"/>
      <c r="V69" s="31"/>
      <c r="W69" s="40" t="s">
        <v>16</v>
      </c>
      <c r="Y69" s="29">
        <v>45967</v>
      </c>
      <c r="Z69" s="30" t="str">
        <f t="shared" si="29"/>
        <v>jue</v>
      </c>
      <c r="AA69" s="28">
        <v>0.75</v>
      </c>
      <c r="AB69" s="41"/>
      <c r="AC69" s="41"/>
      <c r="AD69" s="41"/>
      <c r="AE69" s="32" t="str">
        <f t="shared" si="9"/>
        <v>❌ SIN COMPLETAR</v>
      </c>
    </row>
    <row r="70" spans="1:31" x14ac:dyDescent="0.3">
      <c r="A70" s="29">
        <v>45968</v>
      </c>
      <c r="B70" s="30" t="str">
        <f>TEXT(A70,"ddd")</f>
        <v>vie</v>
      </c>
      <c r="C70" s="28">
        <v>0.45833333333333331</v>
      </c>
      <c r="D70" s="31"/>
      <c r="E70" s="31"/>
      <c r="F70" s="31"/>
      <c r="G70" s="40" t="str">
        <f>IF(COUNTIF(D70:F70,"?*")=$N$5,"✅ CUBIERTO",
IF(COUNTIF(D70:F70,"?*")&gt;$N$5,"⚠ EXCESO",IF(COUNTIF(D70:F70,"?*")&gt;0,"⚠ FALTANTE",
"❌ SIN COMPLETAR")))</f>
        <v>❌ SIN COMPLETAR</v>
      </c>
      <c r="H70" s="17"/>
      <c r="I70" s="29">
        <v>45968</v>
      </c>
      <c r="J70" s="30" t="str">
        <f>TEXT(I70,"ddd")</f>
        <v>vie</v>
      </c>
      <c r="K70" s="28">
        <v>0.45833333333333331</v>
      </c>
      <c r="L70" s="31"/>
      <c r="M70" s="31"/>
      <c r="N70" s="31"/>
      <c r="O70" s="32" t="str">
        <f>IF(COUNTIF(L70:N70,"?*")=$N$6,"✅ CUBIERTO",IF(COUNTIF(L70:N70,"?*")&gt;$N$6,"⚠ EXCESO",
IF(COUNTIF(L70:N70,"?*")&gt;0,"⚠ FALTANTE", "❌ SIN COMPLETAR")))</f>
        <v>❌ SIN COMPLETAR</v>
      </c>
      <c r="P70" s="17"/>
      <c r="Q70" s="29">
        <v>45968</v>
      </c>
      <c r="R70" s="30" t="str">
        <f>TEXT(Q70,"ddd")</f>
        <v>vie</v>
      </c>
      <c r="S70" s="28">
        <v>0.45833333333333331</v>
      </c>
      <c r="T70" s="31"/>
      <c r="U70" s="31"/>
      <c r="V70" s="31"/>
      <c r="W70" s="40" t="s">
        <v>16</v>
      </c>
      <c r="Y70" s="29">
        <v>45968</v>
      </c>
      <c r="Z70" s="30" t="str">
        <f>TEXT(Y70,"ddd")</f>
        <v>vie</v>
      </c>
      <c r="AA70" s="28">
        <v>0.45833333333333331</v>
      </c>
      <c r="AB70" s="31"/>
      <c r="AC70" s="31"/>
      <c r="AD70" s="31"/>
      <c r="AE70" s="32" t="str">
        <f t="shared" si="9"/>
        <v>❌ SIN COMPLETAR</v>
      </c>
    </row>
    <row r="71" spans="1:31" x14ac:dyDescent="0.3">
      <c r="A71" s="29">
        <v>45968</v>
      </c>
      <c r="B71" s="30" t="str">
        <f t="shared" ref="B71:B77" si="30">TEXT(A71,"ddd")</f>
        <v>vie</v>
      </c>
      <c r="C71" s="28">
        <v>0.5</v>
      </c>
      <c r="D71" s="31"/>
      <c r="E71" s="31"/>
      <c r="F71" s="31"/>
      <c r="G71" s="40" t="str">
        <f>IF(COUNTIF(D71:F71,"?*")=$N$5,"✅ CUBIERTO",
IF(COUNTIF(D71:F71,"?*")&gt;$N$5,"⚠ EXCESO",IF(COUNTIF(D71:F71,"?*")&gt;0,"⚠ FALTANTE",
"❌ SIN COMPLETAR")))</f>
        <v>❌ SIN COMPLETAR</v>
      </c>
      <c r="H71" s="17"/>
      <c r="I71" s="29">
        <v>45968</v>
      </c>
      <c r="J71" s="30" t="str">
        <f t="shared" ref="J71:J77" si="31">TEXT(I71,"ddd")</f>
        <v>vie</v>
      </c>
      <c r="K71" s="28">
        <v>0.5</v>
      </c>
      <c r="L71" s="31"/>
      <c r="M71" s="31"/>
      <c r="N71" s="31"/>
      <c r="O71" s="32" t="str">
        <f>IF(COUNTIF(L71:N71,"?*")=$N$6,"✅ CUBIERTO",IF(COUNTIF(L71:N71,"?*")&gt;$N$6,"⚠ EXCESO",
IF(COUNTIF(L71:N71,"?*")&gt;0,"⚠ FALTANTE", "❌ SIN COMPLETAR")))</f>
        <v>❌ SIN COMPLETAR</v>
      </c>
      <c r="P71" s="17"/>
      <c r="Q71" s="29">
        <v>45968</v>
      </c>
      <c r="R71" s="30" t="str">
        <f t="shared" ref="R71:R77" si="32">TEXT(Q71,"ddd")</f>
        <v>vie</v>
      </c>
      <c r="S71" s="28">
        <v>0.5</v>
      </c>
      <c r="T71" s="31"/>
      <c r="U71" s="31"/>
      <c r="V71" s="31"/>
      <c r="W71" s="40" t="str">
        <f>IF(COUNTIF(T71:V71,"?*")=$N$7,"✅ CUBIERTO",IF(COUNTIF(T71:V71,"?*")&gt;$N$7,"⚠ EXCESO",
IF(COUNTIF(T71:V71,"?*")&gt;0,"⚠ FALTANTE", "❌ SIN COMPLETAR")))</f>
        <v>❌ SIN COMPLETAR</v>
      </c>
      <c r="Y71" s="29">
        <v>45968</v>
      </c>
      <c r="Z71" s="30" t="str">
        <f t="shared" ref="Z71:Z77" si="33">TEXT(Y71,"ddd")</f>
        <v>vie</v>
      </c>
      <c r="AA71" s="28">
        <v>0.5</v>
      </c>
      <c r="AB71" s="31"/>
      <c r="AC71" s="31"/>
      <c r="AD71" s="31"/>
      <c r="AE71" s="32" t="str">
        <f t="shared" si="9"/>
        <v>❌ SIN COMPLETAR</v>
      </c>
    </row>
    <row r="72" spans="1:31" x14ac:dyDescent="0.3">
      <c r="A72" s="29">
        <v>45968</v>
      </c>
      <c r="B72" s="30" t="str">
        <f t="shared" si="30"/>
        <v>vie</v>
      </c>
      <c r="C72" s="28">
        <v>0.54166666666666696</v>
      </c>
      <c r="D72" s="31"/>
      <c r="E72" s="31"/>
      <c r="F72" s="31"/>
      <c r="G72" s="40" t="str">
        <f>IF(COUNTIF(D72:F72,"?*")=$N$5,"✅ CUBIERTO",
IF(COUNTIF(D72:F72,"?*")&gt;$N$5,"⚠ EXCESO",IF(COUNTIF(D72:F72,"?*")&gt;0,"⚠ FALTANTE",
"❌ SIN COMPLETAR")))</f>
        <v>❌ SIN COMPLETAR</v>
      </c>
      <c r="H72" s="17"/>
      <c r="I72" s="29">
        <v>45968</v>
      </c>
      <c r="J72" s="30" t="str">
        <f t="shared" si="31"/>
        <v>vie</v>
      </c>
      <c r="K72" s="28">
        <v>0.54166666666666696</v>
      </c>
      <c r="L72" s="31"/>
      <c r="M72" s="31"/>
      <c r="N72" s="31"/>
      <c r="O72" s="32" t="str">
        <f>IF(COUNTIF(L72:N72,"?*")=$N$6,"✅ CUBIERTO",IF(COUNTIF(L72:N72,"?*")&gt;$N$6,"⚠ EXCESO",
IF(COUNTIF(L72:N72,"?*")&gt;0,"⚠ FALTANTE", "❌ SIN COMPLETAR")))</f>
        <v>❌ SIN COMPLETAR</v>
      </c>
      <c r="P72" s="17"/>
      <c r="Q72" s="29">
        <v>45968</v>
      </c>
      <c r="R72" s="30" t="str">
        <f t="shared" si="32"/>
        <v>vie</v>
      </c>
      <c r="S72" s="28">
        <v>0.54166666666666696</v>
      </c>
      <c r="T72" s="31"/>
      <c r="U72" s="31"/>
      <c r="V72" s="31"/>
      <c r="W72" s="40" t="str">
        <f>IF(COUNTIF(T72:V72,"?*")=$N$7,"✅ CUBIERTO",IF(COUNTIF(T72:V72,"?*")&gt;$N$7,"⚠ EXCESO",
IF(COUNTIF(T72:V72,"?*")&gt;0,"⚠ FALTANTE", "❌ SIN COMPLETAR")))</f>
        <v>❌ SIN COMPLETAR</v>
      </c>
      <c r="Y72" s="29">
        <v>45968</v>
      </c>
      <c r="Z72" s="30" t="str">
        <f t="shared" si="33"/>
        <v>vie</v>
      </c>
      <c r="AA72" s="28">
        <v>0.54166666666666696</v>
      </c>
      <c r="AB72" s="31"/>
      <c r="AC72" s="31"/>
      <c r="AD72" s="31"/>
      <c r="AE72" s="32" t="str">
        <f t="shared" si="9"/>
        <v>❌ SIN COMPLETAR</v>
      </c>
    </row>
    <row r="73" spans="1:31" x14ac:dyDescent="0.3">
      <c r="A73" s="29">
        <v>45968</v>
      </c>
      <c r="B73" s="30" t="str">
        <f t="shared" si="30"/>
        <v>vie</v>
      </c>
      <c r="C73" s="28">
        <v>0.58333333333333304</v>
      </c>
      <c r="D73" s="31"/>
      <c r="E73" s="31"/>
      <c r="F73" s="31"/>
      <c r="G73" s="40" t="str">
        <f>IF(COUNTIF(D73:F73,"?*")=$N$5,"✅ CUBIERTO",
IF(COUNTIF(D73:F73,"?*")&gt;$N$5,"⚠ EXCESO",IF(COUNTIF(D73:F73,"?*")&gt;0,"⚠ FALTANTE",
"❌ SIN COMPLETAR")))</f>
        <v>❌ SIN COMPLETAR</v>
      </c>
      <c r="H73" s="17"/>
      <c r="I73" s="29">
        <v>45968</v>
      </c>
      <c r="J73" s="30" t="str">
        <f t="shared" si="31"/>
        <v>vie</v>
      </c>
      <c r="K73" s="28">
        <v>0.58333333333333304</v>
      </c>
      <c r="L73" s="31"/>
      <c r="M73" s="31"/>
      <c r="N73" s="31"/>
      <c r="O73" s="32" t="str">
        <f>IF(COUNTIF(L73:N73,"?*")=$N$6,"✅ CUBIERTO",IF(COUNTIF(L73:N73,"?*")&gt;$N$6,"⚠ EXCESO",
IF(COUNTIF(L73:N73,"?*")&gt;0,"⚠ FALTANTE", "❌ SIN COMPLETAR")))</f>
        <v>❌ SIN COMPLETAR</v>
      </c>
      <c r="P73" s="17"/>
      <c r="Q73" s="29">
        <v>45968</v>
      </c>
      <c r="R73" s="30" t="str">
        <f t="shared" si="32"/>
        <v>vie</v>
      </c>
      <c r="S73" s="28">
        <v>0.58333333333333304</v>
      </c>
      <c r="T73" s="31"/>
      <c r="U73" s="31"/>
      <c r="V73" s="31"/>
      <c r="W73" s="40" t="str">
        <f>IF(COUNTIF(T73:V73,"?*")=$N$7,"✅ CUBIERTO",IF(COUNTIF(T73:V73,"?*")&gt;$N$7,"⚠ EXCESO",
IF(COUNTIF(T73:V73,"?*")&gt;0,"⚠ FALTANTE", "❌ SIN COMPLETAR")))</f>
        <v>❌ SIN COMPLETAR</v>
      </c>
      <c r="Y73" s="29">
        <v>45968</v>
      </c>
      <c r="Z73" s="30" t="str">
        <f t="shared" si="33"/>
        <v>vie</v>
      </c>
      <c r="AA73" s="28">
        <v>0.58333333333333304</v>
      </c>
      <c r="AB73" s="31"/>
      <c r="AC73" s="31"/>
      <c r="AD73" s="31"/>
      <c r="AE73" s="32" t="str">
        <f t="shared" si="9"/>
        <v>❌ SIN COMPLETAR</v>
      </c>
    </row>
    <row r="74" spans="1:31" x14ac:dyDescent="0.3">
      <c r="A74" s="29">
        <v>45968</v>
      </c>
      <c r="B74" s="30" t="str">
        <f t="shared" si="30"/>
        <v>vie</v>
      </c>
      <c r="C74" s="28">
        <v>0.625</v>
      </c>
      <c r="D74" s="31"/>
      <c r="E74" s="31"/>
      <c r="F74" s="31"/>
      <c r="G74" s="40" t="str">
        <f>IF(COUNTIF(D74:F74,"?*")=$N$5,"✅ CUBIERTO",
IF(COUNTIF(D74:F74,"?*")&gt;$N$5,"⚠ EXCESO",IF(COUNTIF(D74:F74,"?*")&gt;0,"⚠ FALTANTE",
"❌ SIN COMPLETAR")))</f>
        <v>❌ SIN COMPLETAR</v>
      </c>
      <c r="H74" s="17"/>
      <c r="I74" s="29">
        <v>45968</v>
      </c>
      <c r="J74" s="30" t="str">
        <f t="shared" si="31"/>
        <v>vie</v>
      </c>
      <c r="K74" s="28">
        <v>0.625</v>
      </c>
      <c r="L74" s="31"/>
      <c r="M74" s="31"/>
      <c r="N74" s="31"/>
      <c r="O74" s="32" t="str">
        <f>IF(COUNTIF(L74:N74,"?*")=$N$6,"✅ CUBIERTO",IF(COUNTIF(L74:N74,"?*")&gt;$N$6,"⚠ EXCESO",
IF(COUNTIF(L74:N74,"?*")&gt;0,"⚠ FALTANTE", "❌ SIN COMPLETAR")))</f>
        <v>❌ SIN COMPLETAR</v>
      </c>
      <c r="P74" s="17"/>
      <c r="Q74" s="29">
        <v>45968</v>
      </c>
      <c r="R74" s="30" t="str">
        <f t="shared" si="32"/>
        <v>vie</v>
      </c>
      <c r="S74" s="28">
        <v>0.625</v>
      </c>
      <c r="T74" s="31"/>
      <c r="U74" s="31"/>
      <c r="V74" s="31"/>
      <c r="W74" s="40" t="str">
        <f>IF(COUNTIF(T74:V74,"?*")=$N$7,"✅ CUBIERTO",IF(COUNTIF(T74:V74,"?*")&gt;$N$7,"⚠ EXCESO",
IF(COUNTIF(T74:V74,"?*")&gt;0,"⚠ FALTANTE", "❌ SIN COMPLETAR")))</f>
        <v>❌ SIN COMPLETAR</v>
      </c>
      <c r="Y74" s="29">
        <v>45968</v>
      </c>
      <c r="Z74" s="30" t="str">
        <f t="shared" si="33"/>
        <v>vie</v>
      </c>
      <c r="AA74" s="28">
        <v>0.625</v>
      </c>
      <c r="AB74" s="31"/>
      <c r="AC74" s="31"/>
      <c r="AD74" s="31"/>
      <c r="AE74" s="32" t="str">
        <f t="shared" si="9"/>
        <v>❌ SIN COMPLETAR</v>
      </c>
    </row>
    <row r="75" spans="1:31" x14ac:dyDescent="0.3">
      <c r="A75" s="29">
        <v>45968</v>
      </c>
      <c r="B75" s="30" t="str">
        <f t="shared" si="30"/>
        <v>vie</v>
      </c>
      <c r="C75" s="28">
        <v>0.66666666666666696</v>
      </c>
      <c r="D75" s="31"/>
      <c r="E75" s="31"/>
      <c r="F75" s="31"/>
      <c r="G75" s="40" t="str">
        <f>IF(COUNTIF(D75:F75,"?*")=$N$5,"✅ CUBIERTO",
IF(COUNTIF(D75:F75,"?*")&gt;$N$5,"⚠ EXCESO",IF(COUNTIF(D75:F75,"?*")&gt;0,"⚠ FALTANTE",
"❌ SIN COMPLETAR")))</f>
        <v>❌ SIN COMPLETAR</v>
      </c>
      <c r="H75" s="17"/>
      <c r="I75" s="29">
        <v>45968</v>
      </c>
      <c r="J75" s="30" t="str">
        <f t="shared" si="31"/>
        <v>vie</v>
      </c>
      <c r="K75" s="28">
        <v>0.66666666666666696</v>
      </c>
      <c r="L75" s="31"/>
      <c r="M75" s="31"/>
      <c r="N75" s="31"/>
      <c r="O75" s="32" t="str">
        <f>IF(COUNTIF(L75:N75,"?*")=$N$6,"✅ CUBIERTO",IF(COUNTIF(L75:N75,"?*")&gt;$N$6,"⚠ EXCESO",
IF(COUNTIF(L75:N75,"?*")&gt;0,"⚠ FALTANTE", "❌ SIN COMPLETAR")))</f>
        <v>❌ SIN COMPLETAR</v>
      </c>
      <c r="P75" s="17"/>
      <c r="Q75" s="29">
        <v>45968</v>
      </c>
      <c r="R75" s="30" t="str">
        <f t="shared" si="32"/>
        <v>vie</v>
      </c>
      <c r="S75" s="28">
        <v>0.66666666666666696</v>
      </c>
      <c r="T75" s="31"/>
      <c r="U75" s="31"/>
      <c r="V75" s="31"/>
      <c r="W75" s="40" t="str">
        <f>IF(COUNTIF(T75:V75,"?*")=$N$7,"✅ CUBIERTO",IF(COUNTIF(T75:V75,"?*")&gt;$N$7,"⚠ EXCESO",
IF(COUNTIF(T75:V75,"?*")&gt;0,"⚠ FALTANTE", "❌ SIN COMPLETAR")))</f>
        <v>❌ SIN COMPLETAR</v>
      </c>
      <c r="Y75" s="29">
        <v>45968</v>
      </c>
      <c r="Z75" s="30" t="str">
        <f t="shared" si="33"/>
        <v>vie</v>
      </c>
      <c r="AA75" s="28">
        <v>0.66666666666666696</v>
      </c>
      <c r="AB75" s="31"/>
      <c r="AC75" s="31"/>
      <c r="AD75" s="31"/>
      <c r="AE75" s="32" t="str">
        <f t="shared" si="9"/>
        <v>❌ SIN COMPLETAR</v>
      </c>
    </row>
    <row r="76" spans="1:31" x14ac:dyDescent="0.3">
      <c r="A76" s="29">
        <v>45968</v>
      </c>
      <c r="B76" s="30" t="str">
        <f t="shared" si="30"/>
        <v>vie</v>
      </c>
      <c r="C76" s="28">
        <v>0.70833333333333304</v>
      </c>
      <c r="D76" s="31"/>
      <c r="E76" s="31"/>
      <c r="F76" s="31"/>
      <c r="G76" s="40" t="str">
        <f>IF(COUNTIF(D76:F76,"?*")=$N$5,"✅ CUBIERTO",
IF(COUNTIF(D76:F76,"?*")&gt;$N$5,"⚠ EXCESO",IF(COUNTIF(D76:F76,"?*")&gt;0,"⚠ FALTANTE",
"❌ SIN COMPLETAR")))</f>
        <v>❌ SIN COMPLETAR</v>
      </c>
      <c r="H76" s="17"/>
      <c r="I76" s="29">
        <v>45968</v>
      </c>
      <c r="J76" s="30" t="str">
        <f t="shared" si="31"/>
        <v>vie</v>
      </c>
      <c r="K76" s="28">
        <v>0.70833333333333304</v>
      </c>
      <c r="L76" s="31"/>
      <c r="M76" s="31"/>
      <c r="N76" s="31"/>
      <c r="O76" s="32" t="str">
        <f>IF(COUNTIF(L76:N76,"?*")=$N$6,"✅ CUBIERTO",IF(COUNTIF(L76:N76,"?*")&gt;$N$6,"⚠ EXCESO",
IF(COUNTIF(L76:N76,"?*")&gt;0,"⚠ FALTANTE", "❌ SIN COMPLETAR")))</f>
        <v>❌ SIN COMPLETAR</v>
      </c>
      <c r="P76" s="17"/>
      <c r="Q76" s="29">
        <v>45968</v>
      </c>
      <c r="R76" s="30" t="str">
        <f t="shared" si="32"/>
        <v>vie</v>
      </c>
      <c r="S76" s="28">
        <v>0.70833333333333304</v>
      </c>
      <c r="T76" s="31"/>
      <c r="U76" s="31"/>
      <c r="V76" s="31"/>
      <c r="W76" s="40" t="str">
        <f>IF(COUNTIF(T76:V76,"?*")=$N$7,"✅ CUBIERTO",IF(COUNTIF(T76:V76,"?*")&gt;$N$7,"⚠ EXCESO",
IF(COUNTIF(T76:V76,"?*")&gt;0,"⚠ FALTANTE", "❌ SIN COMPLETAR")))</f>
        <v>❌ SIN COMPLETAR</v>
      </c>
      <c r="Y76" s="29">
        <v>45968</v>
      </c>
      <c r="Z76" s="30" t="str">
        <f t="shared" si="33"/>
        <v>vie</v>
      </c>
      <c r="AA76" s="28">
        <v>0.70833333333333304</v>
      </c>
      <c r="AB76" s="31"/>
      <c r="AC76" s="31"/>
      <c r="AD76" s="31"/>
      <c r="AE76" s="32" t="str">
        <f t="shared" si="9"/>
        <v>❌ SIN COMPLETAR</v>
      </c>
    </row>
    <row r="77" spans="1:31" x14ac:dyDescent="0.3">
      <c r="A77" s="29">
        <v>45968</v>
      </c>
      <c r="B77" s="30" t="str">
        <f t="shared" si="30"/>
        <v>vie</v>
      </c>
      <c r="C77" s="28">
        <v>0.75</v>
      </c>
      <c r="D77" s="31"/>
      <c r="E77" s="31"/>
      <c r="F77" s="31"/>
      <c r="G77" s="40" t="str">
        <f>IF(COUNTIF(D77:F77,"?*")=$N$5,"✅ CUBIERTO",
IF(COUNTIF(D77:F77,"?*")&gt;$N$5,"⚠ EXCESO",IF(COUNTIF(D77:F77,"?*")&gt;0,"⚠ FALTANTE",
"❌ SIN COMPLETAR")))</f>
        <v>❌ SIN COMPLETAR</v>
      </c>
      <c r="H77" s="17"/>
      <c r="I77" s="29">
        <v>45968</v>
      </c>
      <c r="J77" s="30" t="str">
        <f t="shared" si="31"/>
        <v>vie</v>
      </c>
      <c r="K77" s="28">
        <v>0.75</v>
      </c>
      <c r="L77" s="41"/>
      <c r="M77" s="41"/>
      <c r="N77" s="41"/>
      <c r="O77" s="32" t="str">
        <f>IF(COUNTIF(L77:N77,"?*")=$N$6,"✅ CUBIERTO",IF(COUNTIF(L77:N77,"?*")&gt;$N$6,"⚠ EXCESO",
IF(COUNTIF(L77:N77,"?*")&gt;0,"⚠ FALTANTE", "❌ SIN COMPLETAR")))</f>
        <v>❌ SIN COMPLETAR</v>
      </c>
      <c r="P77" s="17"/>
      <c r="Q77" s="29">
        <v>45968</v>
      </c>
      <c r="R77" s="30" t="str">
        <f t="shared" si="32"/>
        <v>vie</v>
      </c>
      <c r="S77" s="28">
        <v>0.75</v>
      </c>
      <c r="T77" s="31"/>
      <c r="U77" s="31"/>
      <c r="V77" s="31"/>
      <c r="W77" s="40" t="s">
        <v>16</v>
      </c>
      <c r="Y77" s="29">
        <v>45968</v>
      </c>
      <c r="Z77" s="30" t="str">
        <f t="shared" si="33"/>
        <v>vie</v>
      </c>
      <c r="AA77" s="28">
        <v>0.75</v>
      </c>
      <c r="AB77" s="41"/>
      <c r="AC77" s="41"/>
      <c r="AD77" s="41"/>
      <c r="AE77" s="32" t="str">
        <f t="shared" si="9"/>
        <v>❌ SIN COMPLETAR</v>
      </c>
    </row>
    <row r="78" spans="1:31" x14ac:dyDescent="0.3">
      <c r="A78" s="29">
        <v>45969</v>
      </c>
      <c r="B78" s="30" t="str">
        <f>TEXT(A78,"ddd")</f>
        <v>sáb</v>
      </c>
      <c r="C78" s="28">
        <v>0.45833333333333331</v>
      </c>
      <c r="D78" s="31" t="s">
        <v>34</v>
      </c>
      <c r="E78" s="31" t="s">
        <v>35</v>
      </c>
      <c r="F78" s="31"/>
      <c r="G78" s="40" t="str">
        <f>IF(COUNTIF(D78:F78,"?*")=$N$5,"✅ CUBIERTO",
IF(COUNTIF(D78:F78,"?*")&gt;$N$5,"⚠ EXCESO",IF(COUNTIF(D78:F78,"?*")&gt;0,"⚠ FALTANTE",
"❌ SIN COMPLETAR")))</f>
        <v>✅ CUBIERTO</v>
      </c>
      <c r="H78" s="17"/>
      <c r="I78" s="29">
        <v>45969</v>
      </c>
      <c r="J78" s="30" t="str">
        <f>TEXT(I78,"ddd")</f>
        <v>sáb</v>
      </c>
      <c r="K78" s="28">
        <v>0.45833333333333331</v>
      </c>
      <c r="L78" s="41"/>
      <c r="M78" s="41"/>
      <c r="N78" s="41"/>
      <c r="O78" s="32" t="str">
        <f>IF(COUNTIF(L78:N78,"?*")=$N$6,"✅ CUBIERTO",IF(COUNTIF(L78:N78,"?*")&gt;$N$6,"⚠ EXCESO",
IF(COUNTIF(L78:N78,"?*")&gt;0,"⚠ FALTANTE", "❌ SIN COMPLETAR")))</f>
        <v>❌ SIN COMPLETAR</v>
      </c>
      <c r="P78" s="17"/>
      <c r="Q78" s="29">
        <v>45969</v>
      </c>
      <c r="R78" s="30" t="str">
        <f>TEXT(Q78,"ddd")</f>
        <v>sáb</v>
      </c>
      <c r="S78" s="28">
        <v>0.45833333333333331</v>
      </c>
      <c r="T78" s="31"/>
      <c r="U78" s="31"/>
      <c r="V78" s="31"/>
      <c r="W78" s="40" t="str">
        <f>IF(COUNTIF(T78:V78,"?*")=$N$7,"✅ CUBIERTO",IF(COUNTIF(T78:V78,"?*")&gt;$N$7,"⚠ EXCESO",
IF(COUNTIF(T78:V78,"?*")&gt;0,"⚠ FALTANTE", "❌ SIN COMPLETAR")))</f>
        <v>❌ SIN COMPLETAR</v>
      </c>
      <c r="Y78" s="29">
        <v>45969</v>
      </c>
      <c r="Z78" s="30" t="str">
        <f>TEXT(Y78,"ddd")</f>
        <v>sáb</v>
      </c>
      <c r="AA78" s="28">
        <v>0.45833333333333331</v>
      </c>
      <c r="AB78" s="41"/>
      <c r="AC78" s="41"/>
      <c r="AD78" s="41"/>
      <c r="AE78" s="32" t="str">
        <f t="shared" si="9"/>
        <v>❌ SIN COMPLETAR</v>
      </c>
    </row>
    <row r="79" spans="1:31" x14ac:dyDescent="0.3">
      <c r="A79" s="29">
        <v>45969</v>
      </c>
      <c r="B79" s="30" t="str">
        <f t="shared" ref="B79:B85" si="34">TEXT(A79,"ddd")</f>
        <v>sáb</v>
      </c>
      <c r="C79" s="28">
        <v>0.5</v>
      </c>
      <c r="D79" s="31" t="s">
        <v>34</v>
      </c>
      <c r="E79" s="31" t="s">
        <v>35</v>
      </c>
      <c r="F79" s="31"/>
      <c r="G79" s="40" t="str">
        <f>IF(COUNTIF(D79:F79,"?*")=$N$5,"✅ CUBIERTO",
IF(COUNTIF(D79:F79,"?*")&gt;$N$5,"⚠ EXCESO",IF(COUNTIF(D79:F79,"?*")&gt;0,"⚠ FALTANTE",
"❌ SIN COMPLETAR")))</f>
        <v>✅ CUBIERTO</v>
      </c>
      <c r="H79" s="17"/>
      <c r="I79" s="29">
        <v>45969</v>
      </c>
      <c r="J79" s="30" t="str">
        <f t="shared" ref="J79:J85" si="35">TEXT(I79,"ddd")</f>
        <v>sáb</v>
      </c>
      <c r="K79" s="28">
        <v>0.5</v>
      </c>
      <c r="L79" s="41"/>
      <c r="M79" s="41"/>
      <c r="N79" s="41"/>
      <c r="O79" s="32" t="str">
        <f>IF(COUNTIF(L79:N79,"?*")=$N$6,"✅ CUBIERTO",IF(COUNTIF(L79:N79,"?*")&gt;$N$6,"⚠ EXCESO",
IF(COUNTIF(L79:N79,"?*")&gt;0,"⚠ FALTANTE", "❌ SIN COMPLETAR")))</f>
        <v>❌ SIN COMPLETAR</v>
      </c>
      <c r="P79" s="17"/>
      <c r="Q79" s="29">
        <v>45969</v>
      </c>
      <c r="R79" s="30" t="str">
        <f t="shared" ref="R79:R85" si="36">TEXT(Q79,"ddd")</f>
        <v>sáb</v>
      </c>
      <c r="S79" s="28">
        <v>0.5</v>
      </c>
      <c r="T79" s="31"/>
      <c r="U79" s="31"/>
      <c r="V79" s="31"/>
      <c r="W79" s="40" t="str">
        <f>IF(COUNTIF(T79:V79,"?*")=$N$7,"✅ CUBIERTO",IF(COUNTIF(T79:V79,"?*")&gt;$N$7,"⚠ EXCESO",
IF(COUNTIF(T79:V79,"?*")&gt;0,"⚠ FALTANTE", "❌ SIN COMPLETAR")))</f>
        <v>❌ SIN COMPLETAR</v>
      </c>
      <c r="Y79" s="29">
        <v>45969</v>
      </c>
      <c r="Z79" s="30" t="str">
        <f t="shared" ref="Z79:Z85" si="37">TEXT(Y79,"ddd")</f>
        <v>sáb</v>
      </c>
      <c r="AA79" s="28">
        <v>0.5</v>
      </c>
      <c r="AB79" s="41"/>
      <c r="AC79" s="41"/>
      <c r="AD79" s="41"/>
      <c r="AE79" s="32" t="str">
        <f t="shared" si="9"/>
        <v>❌ SIN COMPLETAR</v>
      </c>
    </row>
    <row r="80" spans="1:31" x14ac:dyDescent="0.3">
      <c r="A80" s="29">
        <v>45969</v>
      </c>
      <c r="B80" s="30" t="str">
        <f t="shared" si="34"/>
        <v>sáb</v>
      </c>
      <c r="C80" s="28">
        <v>0.54166666666666696</v>
      </c>
      <c r="D80" s="31" t="s">
        <v>34</v>
      </c>
      <c r="E80" s="31" t="s">
        <v>35</v>
      </c>
      <c r="F80" s="31"/>
      <c r="G80" s="40" t="str">
        <f>IF(COUNTIF(D80:F80,"?*")=$N$5,"✅ CUBIERTO",
IF(COUNTIF(D80:F80,"?*")&gt;$N$5,"⚠ EXCESO",IF(COUNTIF(D80:F80,"?*")&gt;0,"⚠ FALTANTE",
"❌ SIN COMPLETAR")))</f>
        <v>✅ CUBIERTO</v>
      </c>
      <c r="H80" s="17"/>
      <c r="I80" s="29">
        <v>45969</v>
      </c>
      <c r="J80" s="30" t="str">
        <f t="shared" si="35"/>
        <v>sáb</v>
      </c>
      <c r="K80" s="28">
        <v>0.54166666666666696</v>
      </c>
      <c r="L80" s="41"/>
      <c r="M80" s="41"/>
      <c r="N80" s="41"/>
      <c r="O80" s="32" t="str">
        <f>IF(COUNTIF(L80:N80,"?*")=$N$6,"✅ CUBIERTO",IF(COUNTIF(L80:N80,"?*")&gt;$N$6,"⚠ EXCESO",
IF(COUNTIF(L80:N80,"?*")&gt;0,"⚠ FALTANTE", "❌ SIN COMPLETAR")))</f>
        <v>❌ SIN COMPLETAR</v>
      </c>
      <c r="P80" s="17"/>
      <c r="Q80" s="29">
        <v>45969</v>
      </c>
      <c r="R80" s="30" t="str">
        <f t="shared" si="36"/>
        <v>sáb</v>
      </c>
      <c r="S80" s="28">
        <v>0.54166666666666696</v>
      </c>
      <c r="T80" s="31"/>
      <c r="U80" s="31"/>
      <c r="V80" s="31"/>
      <c r="W80" s="40" t="str">
        <f>IF(COUNTIF(T80:V80,"?*")=$N$7,"✅ CUBIERTO",IF(COUNTIF(T80:V80,"?*")&gt;$N$7,"⚠ EXCESO",
IF(COUNTIF(T80:V80,"?*")&gt;0,"⚠ FALTANTE", "❌ SIN COMPLETAR")))</f>
        <v>❌ SIN COMPLETAR</v>
      </c>
      <c r="Y80" s="29">
        <v>45969</v>
      </c>
      <c r="Z80" s="30" t="str">
        <f t="shared" si="37"/>
        <v>sáb</v>
      </c>
      <c r="AA80" s="28">
        <v>0.54166666666666696</v>
      </c>
      <c r="AB80" s="41"/>
      <c r="AC80" s="41"/>
      <c r="AD80" s="41"/>
      <c r="AE80" s="32" t="str">
        <f t="shared" si="9"/>
        <v>❌ SIN COMPLETAR</v>
      </c>
    </row>
    <row r="81" spans="1:31" x14ac:dyDescent="0.3">
      <c r="A81" s="29">
        <v>45969</v>
      </c>
      <c r="B81" s="30" t="str">
        <f t="shared" si="34"/>
        <v>sáb</v>
      </c>
      <c r="C81" s="28">
        <v>0.58333333333333304</v>
      </c>
      <c r="D81" s="31" t="s">
        <v>34</v>
      </c>
      <c r="E81" s="31" t="s">
        <v>35</v>
      </c>
      <c r="F81" s="31"/>
      <c r="G81" s="40" t="str">
        <f>IF(COUNTIF(D81:F81,"?*")=$N$5,"✅ CUBIERTO",
IF(COUNTIF(D81:F81,"?*")&gt;$N$5,"⚠ EXCESO",IF(COUNTIF(D81:F81,"?*")&gt;0,"⚠ FALTANTE",
"❌ SIN COMPLETAR")))</f>
        <v>✅ CUBIERTO</v>
      </c>
      <c r="H81" s="17"/>
      <c r="I81" s="29">
        <v>45969</v>
      </c>
      <c r="J81" s="30" t="str">
        <f t="shared" si="35"/>
        <v>sáb</v>
      </c>
      <c r="K81" s="28">
        <v>0.58333333333333304</v>
      </c>
      <c r="L81" s="41"/>
      <c r="M81" s="41"/>
      <c r="N81" s="41"/>
      <c r="O81" s="32" t="str">
        <f>IF(COUNTIF(L81:N81,"?*")=$N$6,"✅ CUBIERTO",IF(COUNTIF(L81:N81,"?*")&gt;$N$6,"⚠ EXCESO",
IF(COUNTIF(L81:N81,"?*")&gt;0,"⚠ FALTANTE", "❌ SIN COMPLETAR")))</f>
        <v>❌ SIN COMPLETAR</v>
      </c>
      <c r="P81" s="17"/>
      <c r="Q81" s="29">
        <v>45969</v>
      </c>
      <c r="R81" s="30" t="str">
        <f t="shared" si="36"/>
        <v>sáb</v>
      </c>
      <c r="S81" s="28">
        <v>0.58333333333333304</v>
      </c>
      <c r="T81" s="31"/>
      <c r="U81" s="31"/>
      <c r="V81" s="31"/>
      <c r="W81" s="40" t="str">
        <f>IF(COUNTIF(T81:V81,"?*")=$N$7,"✅ CUBIERTO",IF(COUNTIF(T81:V81,"?*")&gt;$N$7,"⚠ EXCESO",
IF(COUNTIF(T81:V81,"?*")&gt;0,"⚠ FALTANTE", "❌ SIN COMPLETAR")))</f>
        <v>❌ SIN COMPLETAR</v>
      </c>
      <c r="Y81" s="29">
        <v>45969</v>
      </c>
      <c r="Z81" s="30" t="str">
        <f t="shared" si="37"/>
        <v>sáb</v>
      </c>
      <c r="AA81" s="28">
        <v>0.58333333333333304</v>
      </c>
      <c r="AB81" s="41"/>
      <c r="AC81" s="41"/>
      <c r="AD81" s="41"/>
      <c r="AE81" s="32" t="str">
        <f t="shared" si="9"/>
        <v>❌ SIN COMPLETAR</v>
      </c>
    </row>
    <row r="82" spans="1:31" x14ac:dyDescent="0.3">
      <c r="A82" s="29">
        <v>45969</v>
      </c>
      <c r="B82" s="30" t="str">
        <f t="shared" si="34"/>
        <v>sáb</v>
      </c>
      <c r="C82" s="28">
        <v>0.625</v>
      </c>
      <c r="D82" s="31" t="s">
        <v>37</v>
      </c>
      <c r="E82" s="31" t="s">
        <v>39</v>
      </c>
      <c r="F82" s="31"/>
      <c r="G82" s="40" t="str">
        <f>IF(COUNTIF(D82:F82,"?*")=$N$5,"✅ CUBIERTO",
IF(COUNTIF(D82:F82,"?*")&gt;$N$5,"⚠ EXCESO",IF(COUNTIF(D82:F82,"?*")&gt;0,"⚠ FALTANTE",
"❌ SIN COMPLETAR")))</f>
        <v>✅ CUBIERTO</v>
      </c>
      <c r="H82" s="17"/>
      <c r="I82" s="29">
        <v>45969</v>
      </c>
      <c r="J82" s="30" t="str">
        <f t="shared" si="35"/>
        <v>sáb</v>
      </c>
      <c r="K82" s="28">
        <v>0.625</v>
      </c>
      <c r="L82" s="41"/>
      <c r="M82" s="41"/>
      <c r="N82" s="41"/>
      <c r="O82" s="32" t="str">
        <f>IF(COUNTIF(L82:N82,"?*")=$N$6,"✅ CUBIERTO",IF(COUNTIF(L82:N82,"?*")&gt;$N$6,"⚠ EXCESO",
IF(COUNTIF(L82:N82,"?*")&gt;0,"⚠ FALTANTE", "❌ SIN COMPLETAR")))</f>
        <v>❌ SIN COMPLETAR</v>
      </c>
      <c r="P82" s="17"/>
      <c r="Q82" s="29">
        <v>45969</v>
      </c>
      <c r="R82" s="30" t="str">
        <f t="shared" si="36"/>
        <v>sáb</v>
      </c>
      <c r="S82" s="28">
        <v>0.625</v>
      </c>
      <c r="T82" s="31"/>
      <c r="U82" s="31"/>
      <c r="V82" s="31"/>
      <c r="W82" s="40" t="str">
        <f>IF(COUNTIF(T82:V82,"?*")=$N$7,"✅ CUBIERTO",IF(COUNTIF(T82:V82,"?*")&gt;$N$7,"⚠ EXCESO",
IF(COUNTIF(T82:V82,"?*")&gt;0,"⚠ FALTANTE", "❌ SIN COMPLETAR")))</f>
        <v>❌ SIN COMPLETAR</v>
      </c>
      <c r="Y82" s="29">
        <v>45969</v>
      </c>
      <c r="Z82" s="30" t="str">
        <f t="shared" si="37"/>
        <v>sáb</v>
      </c>
      <c r="AA82" s="28">
        <v>0.625</v>
      </c>
      <c r="AB82" s="41"/>
      <c r="AC82" s="41"/>
      <c r="AD82" s="41"/>
      <c r="AE82" s="32" t="str">
        <f t="shared" si="9"/>
        <v>❌ SIN COMPLETAR</v>
      </c>
    </row>
    <row r="83" spans="1:31" x14ac:dyDescent="0.3">
      <c r="A83" s="29">
        <v>45969</v>
      </c>
      <c r="B83" s="30" t="str">
        <f t="shared" si="34"/>
        <v>sáb</v>
      </c>
      <c r="C83" s="28">
        <v>0.66666666666666696</v>
      </c>
      <c r="D83" s="31" t="s">
        <v>37</v>
      </c>
      <c r="E83" s="31" t="s">
        <v>39</v>
      </c>
      <c r="F83" s="31"/>
      <c r="G83" s="40" t="str">
        <f>IF(COUNTIF(D83:F83,"?*")=$N$5,"✅ CUBIERTO",
IF(COUNTIF(D83:F83,"?*")&gt;$N$5,"⚠ EXCESO",IF(COUNTIF(D83:F83,"?*")&gt;0,"⚠ FALTANTE",
"❌ SIN COMPLETAR")))</f>
        <v>✅ CUBIERTO</v>
      </c>
      <c r="H83" s="17"/>
      <c r="I83" s="29">
        <v>45969</v>
      </c>
      <c r="J83" s="30" t="str">
        <f t="shared" si="35"/>
        <v>sáb</v>
      </c>
      <c r="K83" s="28">
        <v>0.66666666666666696</v>
      </c>
      <c r="L83" s="41"/>
      <c r="M83" s="41"/>
      <c r="N83" s="41"/>
      <c r="O83" s="32" t="str">
        <f>IF(COUNTIF(L83:N83,"?*")=$N$6,"✅ CUBIERTO",IF(COUNTIF(L83:N83,"?*")&gt;$N$6,"⚠ EXCESO",
IF(COUNTIF(L83:N83,"?*")&gt;0,"⚠ FALTANTE", "❌ SIN COMPLETAR")))</f>
        <v>❌ SIN COMPLETAR</v>
      </c>
      <c r="P83" s="17"/>
      <c r="Q83" s="29">
        <v>45969</v>
      </c>
      <c r="R83" s="30" t="str">
        <f t="shared" si="36"/>
        <v>sáb</v>
      </c>
      <c r="S83" s="28">
        <v>0.66666666666666696</v>
      </c>
      <c r="T83" s="31"/>
      <c r="U83" s="31"/>
      <c r="V83" s="31"/>
      <c r="W83" s="40" t="str">
        <f>IF(COUNTIF(T83:V83,"?*")=$N$7,"✅ CUBIERTO",IF(COUNTIF(T83:V83,"?*")&gt;$N$7,"⚠ EXCESO",
IF(COUNTIF(T83:V83,"?*")&gt;0,"⚠ FALTANTE", "❌ SIN COMPLETAR")))</f>
        <v>❌ SIN COMPLETAR</v>
      </c>
      <c r="Y83" s="29">
        <v>45969</v>
      </c>
      <c r="Z83" s="30" t="str">
        <f t="shared" si="37"/>
        <v>sáb</v>
      </c>
      <c r="AA83" s="28">
        <v>0.66666666666666696</v>
      </c>
      <c r="AB83" s="41"/>
      <c r="AC83" s="41"/>
      <c r="AD83" s="41"/>
      <c r="AE83" s="32" t="str">
        <f t="shared" si="9"/>
        <v>❌ SIN COMPLETAR</v>
      </c>
    </row>
    <row r="84" spans="1:31" x14ac:dyDescent="0.3">
      <c r="A84" s="29">
        <v>45969</v>
      </c>
      <c r="B84" s="30" t="str">
        <f t="shared" si="34"/>
        <v>sáb</v>
      </c>
      <c r="C84" s="28">
        <v>0.70833333333333304</v>
      </c>
      <c r="D84" s="31" t="s">
        <v>37</v>
      </c>
      <c r="E84" s="31" t="s">
        <v>39</v>
      </c>
      <c r="F84" s="31"/>
      <c r="G84" s="40" t="str">
        <f>IF(COUNTIF(D84:F84,"?*")=$N$5,"✅ CUBIERTO",
IF(COUNTIF(D84:F84,"?*")&gt;$N$5,"⚠ EXCESO",IF(COUNTIF(D84:F84,"?*")&gt;0,"⚠ FALTANTE",
"❌ SIN COMPLETAR")))</f>
        <v>✅ CUBIERTO</v>
      </c>
      <c r="H84" s="17"/>
      <c r="I84" s="29">
        <v>45969</v>
      </c>
      <c r="J84" s="30" t="str">
        <f t="shared" si="35"/>
        <v>sáb</v>
      </c>
      <c r="K84" s="28">
        <v>0.70833333333333304</v>
      </c>
      <c r="L84" s="41"/>
      <c r="M84" s="41"/>
      <c r="N84" s="41"/>
      <c r="O84" s="32" t="str">
        <f>IF(COUNTIF(L84:N84,"?*")=$N$6,"✅ CUBIERTO",IF(COUNTIF(L84:N84,"?*")&gt;$N$6,"⚠ EXCESO",
IF(COUNTIF(L84:N84,"?*")&gt;0,"⚠ FALTANTE", "❌ SIN COMPLETAR")))</f>
        <v>❌ SIN COMPLETAR</v>
      </c>
      <c r="P84" s="17"/>
      <c r="Q84" s="29">
        <v>45969</v>
      </c>
      <c r="R84" s="30" t="str">
        <f t="shared" si="36"/>
        <v>sáb</v>
      </c>
      <c r="S84" s="28">
        <v>0.70833333333333304</v>
      </c>
      <c r="T84" s="31"/>
      <c r="U84" s="31"/>
      <c r="V84" s="31"/>
      <c r="W84" s="40" t="str">
        <f>IF(COUNTIF(T84:V84,"?*")=$N$7,"✅ CUBIERTO",IF(COUNTIF(T84:V84,"?*")&gt;$N$7,"⚠ EXCESO",
IF(COUNTIF(T84:V84,"?*")&gt;0,"⚠ FALTANTE", "❌ SIN COMPLETAR")))</f>
        <v>❌ SIN COMPLETAR</v>
      </c>
      <c r="Y84" s="29">
        <v>45969</v>
      </c>
      <c r="Z84" s="30" t="str">
        <f t="shared" si="37"/>
        <v>sáb</v>
      </c>
      <c r="AA84" s="28">
        <v>0.70833333333333304</v>
      </c>
      <c r="AB84" s="41"/>
      <c r="AC84" s="41"/>
      <c r="AD84" s="41"/>
      <c r="AE84" s="32" t="str">
        <f t="shared" si="9"/>
        <v>❌ SIN COMPLETAR</v>
      </c>
    </row>
    <row r="85" spans="1:31" x14ac:dyDescent="0.3">
      <c r="A85" s="29">
        <v>45969</v>
      </c>
      <c r="B85" s="30" t="str">
        <f t="shared" si="34"/>
        <v>sáb</v>
      </c>
      <c r="C85" s="28">
        <v>0.75</v>
      </c>
      <c r="D85" s="31" t="s">
        <v>37</v>
      </c>
      <c r="E85" s="31" t="s">
        <v>39</v>
      </c>
      <c r="F85" s="31"/>
      <c r="G85" s="40" t="str">
        <f>IF(COUNTIF(D85:F85,"?*")=$N$5,"✅ CUBIERTO",
IF(COUNTIF(D85:F85,"?*")&gt;$N$5,"⚠ EXCESO",IF(COUNTIF(D85:F85,"?*")&gt;0,"⚠ FALTANTE",
"❌ SIN COMPLETAR")))</f>
        <v>✅ CUBIERTO</v>
      </c>
      <c r="H85" s="17"/>
      <c r="I85" s="29">
        <v>45969</v>
      </c>
      <c r="J85" s="30" t="str">
        <f t="shared" si="35"/>
        <v>sáb</v>
      </c>
      <c r="K85" s="28">
        <v>0.75</v>
      </c>
      <c r="L85" s="41"/>
      <c r="M85" s="41"/>
      <c r="N85" s="41"/>
      <c r="O85" s="32" t="str">
        <f>IF(COUNTIF(L85:N85,"?*")=$N$6,"✅ CUBIERTO",IF(COUNTIF(L85:N85,"?*")&gt;$N$6,"⚠ EXCESO",
IF(COUNTIF(L85:N85,"?*")&gt;0,"⚠ FALTANTE", "❌ SIN COMPLETAR")))</f>
        <v>❌ SIN COMPLETAR</v>
      </c>
      <c r="P85" s="17"/>
      <c r="Q85" s="29">
        <v>45969</v>
      </c>
      <c r="R85" s="30" t="str">
        <f t="shared" si="36"/>
        <v>sáb</v>
      </c>
      <c r="S85" s="28">
        <v>0.75</v>
      </c>
      <c r="T85" s="31"/>
      <c r="U85" s="31"/>
      <c r="V85" s="31"/>
      <c r="W85" s="40" t="str">
        <f>IF(COUNTIF(T85:V85,"?*")=$N$7,"✅ CUBIERTO",IF(COUNTIF(T85:V85,"?*")&gt;$N$7,"⚠ EXCESO",
IF(COUNTIF(T85:V85,"?*")&gt;0,"⚠ FALTANTE", "❌ SIN COMPLETAR")))</f>
        <v>❌ SIN COMPLETAR</v>
      </c>
      <c r="Y85" s="29">
        <v>45969</v>
      </c>
      <c r="Z85" s="30" t="str">
        <f t="shared" si="37"/>
        <v>sáb</v>
      </c>
      <c r="AA85" s="28">
        <v>0.75</v>
      </c>
      <c r="AB85" s="41"/>
      <c r="AC85" s="41"/>
      <c r="AD85" s="41"/>
      <c r="AE85" s="32" t="str">
        <f t="shared" si="9"/>
        <v>❌ SIN COMPLETAR</v>
      </c>
    </row>
    <row r="86" spans="1:31" x14ac:dyDescent="0.3">
      <c r="A86" s="29">
        <v>45970</v>
      </c>
      <c r="B86" s="30" t="str">
        <f>TEXT(A86,"ddd")</f>
        <v>dom</v>
      </c>
      <c r="C86" s="28">
        <v>0.45833333333333331</v>
      </c>
      <c r="D86" s="31" t="s">
        <v>34</v>
      </c>
      <c r="E86" s="31" t="s">
        <v>35</v>
      </c>
      <c r="F86" s="31"/>
      <c r="G86" s="40" t="str">
        <f>IF(COUNTIF(D86:F86,"?*")=$N$5,"✅ CUBIERTO",
IF(COUNTIF(D86:F86,"?*")&gt;$N$5,"⚠ EXCESO",IF(COUNTIF(D86:F86,"?*")&gt;0,"⚠ FALTANTE",
"❌ SIN COMPLETAR")))</f>
        <v>✅ CUBIERTO</v>
      </c>
      <c r="H86" s="17"/>
      <c r="I86" s="29">
        <v>45970</v>
      </c>
      <c r="J86" s="30" t="str">
        <f>TEXT(I86,"ddd")</f>
        <v>dom</v>
      </c>
      <c r="K86" s="28">
        <v>0.45833333333333331</v>
      </c>
      <c r="L86" s="41"/>
      <c r="M86" s="41"/>
      <c r="N86" s="41"/>
      <c r="O86" s="32" t="str">
        <f>IF(COUNTIF(L86:N86,"?*")=$N$6,"✅ CUBIERTO",IF(COUNTIF(L86:N86,"?*")&gt;$N$6,"⚠ EXCESO",
IF(COUNTIF(L86:N86,"?*")&gt;0,"⚠ FALTANTE", "❌ SIN COMPLETAR")))</f>
        <v>❌ SIN COMPLETAR</v>
      </c>
      <c r="P86" s="17"/>
      <c r="Q86" s="29">
        <v>45970</v>
      </c>
      <c r="R86" s="30" t="str">
        <f>TEXT(Q86,"ddd")</f>
        <v>dom</v>
      </c>
      <c r="S86" s="28">
        <v>0.45833333333333331</v>
      </c>
      <c r="T86" s="31"/>
      <c r="U86" s="31"/>
      <c r="V86" s="31"/>
      <c r="W86" s="40" t="str">
        <f>IF(COUNTIF(T86:V86,"?*")=$N$7,"✅ CUBIERTO",IF(COUNTIF(T86:V86,"?*")&gt;$N$7,"⚠ EXCESO",
IF(COUNTIF(T86:V86,"?*")&gt;0,"⚠ FALTANTE", "❌ SIN COMPLETAR")))</f>
        <v>❌ SIN COMPLETAR</v>
      </c>
      <c r="Y86" s="29">
        <v>45970</v>
      </c>
      <c r="Z86" s="30" t="str">
        <f>TEXT(Y86,"ddd")</f>
        <v>dom</v>
      </c>
      <c r="AA86" s="28">
        <v>0.45833333333333331</v>
      </c>
      <c r="AB86" s="41"/>
      <c r="AC86" s="41"/>
      <c r="AD86" s="41"/>
      <c r="AE86" s="32" t="str">
        <f t="shared" si="9"/>
        <v>❌ SIN COMPLETAR</v>
      </c>
    </row>
    <row r="87" spans="1:31" x14ac:dyDescent="0.3">
      <c r="A87" s="29">
        <v>45970</v>
      </c>
      <c r="B87" s="30" t="str">
        <f t="shared" ref="B87:B93" si="38">TEXT(A87,"ddd")</f>
        <v>dom</v>
      </c>
      <c r="C87" s="28">
        <v>0.5</v>
      </c>
      <c r="D87" s="31" t="s">
        <v>34</v>
      </c>
      <c r="E87" s="31" t="s">
        <v>35</v>
      </c>
      <c r="F87" s="31"/>
      <c r="G87" s="40" t="str">
        <f>IF(COUNTIF(D87:F87,"?*")=$N$5,"✅ CUBIERTO",
IF(COUNTIF(D87:F87,"?*")&gt;$N$5,"⚠ EXCESO",IF(COUNTIF(D87:F87,"?*")&gt;0,"⚠ FALTANTE",
"❌ SIN COMPLETAR")))</f>
        <v>✅ CUBIERTO</v>
      </c>
      <c r="H87" s="17"/>
      <c r="I87" s="29">
        <v>45970</v>
      </c>
      <c r="J87" s="30" t="str">
        <f t="shared" ref="J87:J93" si="39">TEXT(I87,"ddd")</f>
        <v>dom</v>
      </c>
      <c r="K87" s="28">
        <v>0.5</v>
      </c>
      <c r="L87" s="41"/>
      <c r="M87" s="41"/>
      <c r="N87" s="41"/>
      <c r="O87" s="32" t="str">
        <f>IF(COUNTIF(L87:N87,"?*")=$N$6,"✅ CUBIERTO",IF(COUNTIF(L87:N87,"?*")&gt;$N$6,"⚠ EXCESO",
IF(COUNTIF(L87:N87,"?*")&gt;0,"⚠ FALTANTE", "❌ SIN COMPLETAR")))</f>
        <v>❌ SIN COMPLETAR</v>
      </c>
      <c r="P87" s="17"/>
      <c r="Q87" s="29">
        <v>45970</v>
      </c>
      <c r="R87" s="30" t="str">
        <f t="shared" ref="R87:R93" si="40">TEXT(Q87,"ddd")</f>
        <v>dom</v>
      </c>
      <c r="S87" s="28">
        <v>0.5</v>
      </c>
      <c r="T87" s="31"/>
      <c r="U87" s="31"/>
      <c r="V87" s="31"/>
      <c r="W87" s="40" t="str">
        <f>IF(COUNTIF(T87:V87,"?*")=$N$7,"✅ CUBIERTO",IF(COUNTIF(T87:V87,"?*")&gt;$N$7,"⚠ EXCESO",
IF(COUNTIF(T87:V87,"?*")&gt;0,"⚠ FALTANTE", "❌ SIN COMPLETAR")))</f>
        <v>❌ SIN COMPLETAR</v>
      </c>
      <c r="Y87" s="29">
        <v>45970</v>
      </c>
      <c r="Z87" s="30" t="str">
        <f t="shared" ref="Z87:Z93" si="41">TEXT(Y87,"ddd")</f>
        <v>dom</v>
      </c>
      <c r="AA87" s="28">
        <v>0.5</v>
      </c>
      <c r="AB87" s="41"/>
      <c r="AC87" s="41"/>
      <c r="AD87" s="41"/>
      <c r="AE87" s="32" t="str">
        <f t="shared" ref="AE87:AE150" si="42">IF(COUNTIF(AB87:AD87,"?*")=$N$8,"✅ CUBIERTO",IF(COUNTIF(AB87:AD87,"?*")&gt;$N$8,"⚠ EXCESO",
IF(COUNTIF(AB87:AD87,"?*")&gt;0,"⚠ FALTANTE", "❌ SIN COMPLETAR")))</f>
        <v>❌ SIN COMPLETAR</v>
      </c>
    </row>
    <row r="88" spans="1:31" x14ac:dyDescent="0.3">
      <c r="A88" s="29">
        <v>45970</v>
      </c>
      <c r="B88" s="30" t="str">
        <f t="shared" si="38"/>
        <v>dom</v>
      </c>
      <c r="C88" s="28">
        <v>0.54166666666666696</v>
      </c>
      <c r="D88" s="31" t="s">
        <v>34</v>
      </c>
      <c r="E88" s="31" t="s">
        <v>35</v>
      </c>
      <c r="F88" s="31"/>
      <c r="G88" s="40" t="str">
        <f>IF(COUNTIF(D88:F88,"?*")=$N$5,"✅ CUBIERTO",
IF(COUNTIF(D88:F88,"?*")&gt;$N$5,"⚠ EXCESO",IF(COUNTIF(D88:F88,"?*")&gt;0,"⚠ FALTANTE",
"❌ SIN COMPLETAR")))</f>
        <v>✅ CUBIERTO</v>
      </c>
      <c r="H88" s="17"/>
      <c r="I88" s="29">
        <v>45970</v>
      </c>
      <c r="J88" s="30" t="str">
        <f t="shared" si="39"/>
        <v>dom</v>
      </c>
      <c r="K88" s="28">
        <v>0.54166666666666696</v>
      </c>
      <c r="L88" s="41"/>
      <c r="M88" s="41"/>
      <c r="N88" s="41"/>
      <c r="O88" s="32" t="str">
        <f>IF(COUNTIF(L88:N88,"?*")=$N$6,"✅ CUBIERTO",IF(COUNTIF(L88:N88,"?*")&gt;$N$6,"⚠ EXCESO",
IF(COUNTIF(L88:N88,"?*")&gt;0,"⚠ FALTANTE", "❌ SIN COMPLETAR")))</f>
        <v>❌ SIN COMPLETAR</v>
      </c>
      <c r="P88" s="17"/>
      <c r="Q88" s="29">
        <v>45970</v>
      </c>
      <c r="R88" s="30" t="str">
        <f t="shared" si="40"/>
        <v>dom</v>
      </c>
      <c r="S88" s="28">
        <v>0.54166666666666696</v>
      </c>
      <c r="T88" s="31"/>
      <c r="U88" s="31"/>
      <c r="V88" s="31"/>
      <c r="W88" s="40" t="str">
        <f>IF(COUNTIF(T88:V88,"?*")=$N$7,"✅ CUBIERTO",IF(COUNTIF(T88:V88,"?*")&gt;$N$7,"⚠ EXCESO",
IF(COUNTIF(T88:V88,"?*")&gt;0,"⚠ FALTANTE", "❌ SIN COMPLETAR")))</f>
        <v>❌ SIN COMPLETAR</v>
      </c>
      <c r="Y88" s="29">
        <v>45970</v>
      </c>
      <c r="Z88" s="30" t="str">
        <f t="shared" si="41"/>
        <v>dom</v>
      </c>
      <c r="AA88" s="28">
        <v>0.54166666666666696</v>
      </c>
      <c r="AB88" s="41"/>
      <c r="AC88" s="41"/>
      <c r="AD88" s="41"/>
      <c r="AE88" s="32" t="str">
        <f t="shared" si="42"/>
        <v>❌ SIN COMPLETAR</v>
      </c>
    </row>
    <row r="89" spans="1:31" x14ac:dyDescent="0.3">
      <c r="A89" s="29">
        <v>45970</v>
      </c>
      <c r="B89" s="30" t="str">
        <f t="shared" si="38"/>
        <v>dom</v>
      </c>
      <c r="C89" s="28">
        <v>0.58333333333333304</v>
      </c>
      <c r="D89" s="31" t="s">
        <v>34</v>
      </c>
      <c r="E89" s="31" t="s">
        <v>35</v>
      </c>
      <c r="F89" s="31"/>
      <c r="G89" s="40" t="str">
        <f>IF(COUNTIF(D89:F89,"?*")=$N$5,"✅ CUBIERTO",
IF(COUNTIF(D89:F89,"?*")&gt;$N$5,"⚠ EXCESO",IF(COUNTIF(D89:F89,"?*")&gt;0,"⚠ FALTANTE",
"❌ SIN COMPLETAR")))</f>
        <v>✅ CUBIERTO</v>
      </c>
      <c r="H89" s="17"/>
      <c r="I89" s="29">
        <v>45970</v>
      </c>
      <c r="J89" s="30" t="str">
        <f t="shared" si="39"/>
        <v>dom</v>
      </c>
      <c r="K89" s="28">
        <v>0.58333333333333304</v>
      </c>
      <c r="L89" s="41"/>
      <c r="M89" s="41"/>
      <c r="N89" s="41"/>
      <c r="O89" s="32" t="str">
        <f>IF(COUNTIF(L89:N89,"?*")=$N$6,"✅ CUBIERTO",IF(COUNTIF(L89:N89,"?*")&gt;$N$6,"⚠ EXCESO",
IF(COUNTIF(L89:N89,"?*")&gt;0,"⚠ FALTANTE", "❌ SIN COMPLETAR")))</f>
        <v>❌ SIN COMPLETAR</v>
      </c>
      <c r="P89" s="17"/>
      <c r="Q89" s="29">
        <v>45970</v>
      </c>
      <c r="R89" s="30" t="str">
        <f t="shared" si="40"/>
        <v>dom</v>
      </c>
      <c r="S89" s="28">
        <v>0.58333333333333304</v>
      </c>
      <c r="T89" s="31"/>
      <c r="U89" s="31"/>
      <c r="V89" s="31"/>
      <c r="W89" s="40" t="str">
        <f>IF(COUNTIF(T89:V89,"?*")=$N$7,"✅ CUBIERTO",IF(COUNTIF(T89:V89,"?*")&gt;$N$7,"⚠ EXCESO",
IF(COUNTIF(T89:V89,"?*")&gt;0,"⚠ FALTANTE", "❌ SIN COMPLETAR")))</f>
        <v>❌ SIN COMPLETAR</v>
      </c>
      <c r="Y89" s="29">
        <v>45970</v>
      </c>
      <c r="Z89" s="30" t="str">
        <f t="shared" si="41"/>
        <v>dom</v>
      </c>
      <c r="AA89" s="28">
        <v>0.58333333333333304</v>
      </c>
      <c r="AB89" s="41"/>
      <c r="AC89" s="41"/>
      <c r="AD89" s="41"/>
      <c r="AE89" s="32" t="str">
        <f t="shared" si="42"/>
        <v>❌ SIN COMPLETAR</v>
      </c>
    </row>
    <row r="90" spans="1:31" x14ac:dyDescent="0.3">
      <c r="A90" s="29">
        <v>45970</v>
      </c>
      <c r="B90" s="30" t="str">
        <f t="shared" si="38"/>
        <v>dom</v>
      </c>
      <c r="C90" s="28">
        <v>0.625</v>
      </c>
      <c r="D90" s="31" t="s">
        <v>37</v>
      </c>
      <c r="E90" s="31" t="s">
        <v>39</v>
      </c>
      <c r="F90" s="31"/>
      <c r="G90" s="40" t="str">
        <f>IF(COUNTIF(D90:F90,"?*")=$N$5,"✅ CUBIERTO",
IF(COUNTIF(D90:F90,"?*")&gt;$N$5,"⚠ EXCESO",IF(COUNTIF(D90:F90,"?*")&gt;0,"⚠ FALTANTE",
"❌ SIN COMPLETAR")))</f>
        <v>✅ CUBIERTO</v>
      </c>
      <c r="H90" s="17"/>
      <c r="I90" s="29">
        <v>45970</v>
      </c>
      <c r="J90" s="30" t="str">
        <f t="shared" si="39"/>
        <v>dom</v>
      </c>
      <c r="K90" s="28">
        <v>0.625</v>
      </c>
      <c r="L90" s="41"/>
      <c r="M90" s="41"/>
      <c r="N90" s="41"/>
      <c r="O90" s="32" t="str">
        <f>IF(COUNTIF(L90:N90,"?*")=$N$6,"✅ CUBIERTO",IF(COUNTIF(L90:N90,"?*")&gt;$N$6,"⚠ EXCESO",
IF(COUNTIF(L90:N90,"?*")&gt;0,"⚠ FALTANTE", "❌ SIN COMPLETAR")))</f>
        <v>❌ SIN COMPLETAR</v>
      </c>
      <c r="P90" s="17"/>
      <c r="Q90" s="29">
        <v>45970</v>
      </c>
      <c r="R90" s="30" t="str">
        <f t="shared" si="40"/>
        <v>dom</v>
      </c>
      <c r="S90" s="28">
        <v>0.625</v>
      </c>
      <c r="T90" s="31"/>
      <c r="U90" s="31"/>
      <c r="V90" s="31"/>
      <c r="W90" s="40" t="str">
        <f>IF(COUNTIF(T90:V90,"?*")=$N$7,"✅ CUBIERTO",IF(COUNTIF(T90:V90,"?*")&gt;$N$7,"⚠ EXCESO",
IF(COUNTIF(T90:V90,"?*")&gt;0,"⚠ FALTANTE", "❌ SIN COMPLETAR")))</f>
        <v>❌ SIN COMPLETAR</v>
      </c>
      <c r="Y90" s="29">
        <v>45970</v>
      </c>
      <c r="Z90" s="30" t="str">
        <f t="shared" si="41"/>
        <v>dom</v>
      </c>
      <c r="AA90" s="28">
        <v>0.625</v>
      </c>
      <c r="AB90" s="41"/>
      <c r="AC90" s="41"/>
      <c r="AD90" s="41"/>
      <c r="AE90" s="32" t="str">
        <f t="shared" si="42"/>
        <v>❌ SIN COMPLETAR</v>
      </c>
    </row>
    <row r="91" spans="1:31" x14ac:dyDescent="0.3">
      <c r="A91" s="29">
        <v>45970</v>
      </c>
      <c r="B91" s="30" t="str">
        <f t="shared" si="38"/>
        <v>dom</v>
      </c>
      <c r="C91" s="28">
        <v>0.66666666666666696</v>
      </c>
      <c r="D91" s="31" t="s">
        <v>37</v>
      </c>
      <c r="E91" s="31" t="s">
        <v>39</v>
      </c>
      <c r="F91" s="31"/>
      <c r="G91" s="40" t="str">
        <f>IF(COUNTIF(D91:F91,"?*")=$N$5,"✅ CUBIERTO",
IF(COUNTIF(D91:F91,"?*")&gt;$N$5,"⚠ EXCESO",IF(COUNTIF(D91:F91,"?*")&gt;0,"⚠ FALTANTE",
"❌ SIN COMPLETAR")))</f>
        <v>✅ CUBIERTO</v>
      </c>
      <c r="H91" s="17"/>
      <c r="I91" s="29">
        <v>45970</v>
      </c>
      <c r="J91" s="30" t="str">
        <f t="shared" si="39"/>
        <v>dom</v>
      </c>
      <c r="K91" s="28">
        <v>0.66666666666666696</v>
      </c>
      <c r="L91" s="41"/>
      <c r="M91" s="41"/>
      <c r="N91" s="41"/>
      <c r="O91" s="32" t="str">
        <f>IF(COUNTIF(L91:N91,"?*")=$N$6,"✅ CUBIERTO",IF(COUNTIF(L91:N91,"?*")&gt;$N$6,"⚠ EXCESO",
IF(COUNTIF(L91:N91,"?*")&gt;0,"⚠ FALTANTE", "❌ SIN COMPLETAR")))</f>
        <v>❌ SIN COMPLETAR</v>
      </c>
      <c r="P91" s="17"/>
      <c r="Q91" s="29">
        <v>45970</v>
      </c>
      <c r="R91" s="30" t="str">
        <f t="shared" si="40"/>
        <v>dom</v>
      </c>
      <c r="S91" s="28">
        <v>0.66666666666666696</v>
      </c>
      <c r="T91" s="31"/>
      <c r="U91" s="31"/>
      <c r="V91" s="31"/>
      <c r="W91" s="40" t="str">
        <f>IF(COUNTIF(T91:V91,"?*")=$N$7,"✅ CUBIERTO",IF(COUNTIF(T91:V91,"?*")&gt;$N$7,"⚠ EXCESO",
IF(COUNTIF(T91:V91,"?*")&gt;0,"⚠ FALTANTE", "❌ SIN COMPLETAR")))</f>
        <v>❌ SIN COMPLETAR</v>
      </c>
      <c r="Y91" s="29">
        <v>45970</v>
      </c>
      <c r="Z91" s="30" t="str">
        <f t="shared" si="41"/>
        <v>dom</v>
      </c>
      <c r="AA91" s="28">
        <v>0.66666666666666696</v>
      </c>
      <c r="AB91" s="41"/>
      <c r="AC91" s="41"/>
      <c r="AD91" s="41"/>
      <c r="AE91" s="32" t="str">
        <f t="shared" si="42"/>
        <v>❌ SIN COMPLETAR</v>
      </c>
    </row>
    <row r="92" spans="1:31" x14ac:dyDescent="0.3">
      <c r="A92" s="29">
        <v>45970</v>
      </c>
      <c r="B92" s="30" t="str">
        <f t="shared" si="38"/>
        <v>dom</v>
      </c>
      <c r="C92" s="28">
        <v>0.70833333333333304</v>
      </c>
      <c r="D92" s="31" t="s">
        <v>37</v>
      </c>
      <c r="E92" s="31" t="s">
        <v>39</v>
      </c>
      <c r="F92" s="31"/>
      <c r="G92" s="40" t="str">
        <f>IF(COUNTIF(D92:F92,"?*")=$N$5,"✅ CUBIERTO",
IF(COUNTIF(D92:F92,"?*")&gt;$N$5,"⚠ EXCESO",IF(COUNTIF(D92:F92,"?*")&gt;0,"⚠ FALTANTE",
"❌ SIN COMPLETAR")))</f>
        <v>✅ CUBIERTO</v>
      </c>
      <c r="H92" s="17"/>
      <c r="I92" s="29">
        <v>45970</v>
      </c>
      <c r="J92" s="30" t="str">
        <f t="shared" si="39"/>
        <v>dom</v>
      </c>
      <c r="K92" s="28">
        <v>0.70833333333333304</v>
      </c>
      <c r="L92" s="41"/>
      <c r="M92" s="41"/>
      <c r="N92" s="41"/>
      <c r="O92" s="32" t="str">
        <f>IF(COUNTIF(L92:N92,"?*")=$N$6,"✅ CUBIERTO",IF(COUNTIF(L92:N92,"?*")&gt;$N$6,"⚠ EXCESO",
IF(COUNTIF(L92:N92,"?*")&gt;0,"⚠ FALTANTE", "❌ SIN COMPLETAR")))</f>
        <v>❌ SIN COMPLETAR</v>
      </c>
      <c r="P92" s="17"/>
      <c r="Q92" s="29">
        <v>45970</v>
      </c>
      <c r="R92" s="30" t="str">
        <f t="shared" si="40"/>
        <v>dom</v>
      </c>
      <c r="S92" s="28">
        <v>0.70833333333333304</v>
      </c>
      <c r="T92" s="31"/>
      <c r="U92" s="31"/>
      <c r="V92" s="31"/>
      <c r="W92" s="40" t="str">
        <f>IF(COUNTIF(T92:V92,"?*")=$N$7,"✅ CUBIERTO",IF(COUNTIF(T92:V92,"?*")&gt;$N$7,"⚠ EXCESO",
IF(COUNTIF(T92:V92,"?*")&gt;0,"⚠ FALTANTE", "❌ SIN COMPLETAR")))</f>
        <v>❌ SIN COMPLETAR</v>
      </c>
      <c r="Y92" s="29">
        <v>45970</v>
      </c>
      <c r="Z92" s="30" t="str">
        <f t="shared" si="41"/>
        <v>dom</v>
      </c>
      <c r="AA92" s="28">
        <v>0.70833333333333304</v>
      </c>
      <c r="AB92" s="41"/>
      <c r="AC92" s="41"/>
      <c r="AD92" s="41"/>
      <c r="AE92" s="32" t="str">
        <f t="shared" si="42"/>
        <v>❌ SIN COMPLETAR</v>
      </c>
    </row>
    <row r="93" spans="1:31" x14ac:dyDescent="0.3">
      <c r="A93" s="29">
        <v>45970</v>
      </c>
      <c r="B93" s="30" t="str">
        <f t="shared" si="38"/>
        <v>dom</v>
      </c>
      <c r="C93" s="28">
        <v>0.75</v>
      </c>
      <c r="D93" s="31" t="s">
        <v>37</v>
      </c>
      <c r="E93" s="31" t="s">
        <v>39</v>
      </c>
      <c r="F93" s="31"/>
      <c r="G93" s="40" t="str">
        <f>IF(COUNTIF(D93:F93,"?*")=$N$5,"✅ CUBIERTO",
IF(COUNTIF(D93:F93,"?*")&gt;$N$5,"⚠ EXCESO",IF(COUNTIF(D93:F93,"?*")&gt;0,"⚠ FALTANTE",
"❌ SIN COMPLETAR")))</f>
        <v>✅ CUBIERTO</v>
      </c>
      <c r="H93" s="17"/>
      <c r="I93" s="29">
        <v>45970</v>
      </c>
      <c r="J93" s="30" t="str">
        <f t="shared" si="39"/>
        <v>dom</v>
      </c>
      <c r="K93" s="28">
        <v>0.75</v>
      </c>
      <c r="L93" s="41"/>
      <c r="M93" s="41"/>
      <c r="N93" s="41"/>
      <c r="O93" s="32" t="str">
        <f>IF(COUNTIF(L93:N93,"?*")=$N$6,"✅ CUBIERTO",IF(COUNTIF(L93:N93,"?*")&gt;$N$6,"⚠ EXCESO",
IF(COUNTIF(L93:N93,"?*")&gt;0,"⚠ FALTANTE", "❌ SIN COMPLETAR")))</f>
        <v>❌ SIN COMPLETAR</v>
      </c>
      <c r="P93" s="17"/>
      <c r="Q93" s="29">
        <v>45970</v>
      </c>
      <c r="R93" s="30" t="str">
        <f t="shared" si="40"/>
        <v>dom</v>
      </c>
      <c r="S93" s="28">
        <v>0.75</v>
      </c>
      <c r="T93" s="31"/>
      <c r="U93" s="31"/>
      <c r="V93" s="31"/>
      <c r="W93" s="40" t="str">
        <f>IF(COUNTIF(T93:V93,"?*")=$N$7,"✅ CUBIERTO",IF(COUNTIF(T93:V93,"?*")&gt;$N$7,"⚠ EXCESO",
IF(COUNTIF(T93:V93,"?*")&gt;0,"⚠ FALTANTE", "❌ SIN COMPLETAR")))</f>
        <v>❌ SIN COMPLETAR</v>
      </c>
      <c r="Y93" s="29">
        <v>45970</v>
      </c>
      <c r="Z93" s="30" t="str">
        <f t="shared" si="41"/>
        <v>dom</v>
      </c>
      <c r="AA93" s="28">
        <v>0.75</v>
      </c>
      <c r="AB93" s="41"/>
      <c r="AC93" s="41"/>
      <c r="AD93" s="41"/>
      <c r="AE93" s="32" t="str">
        <f t="shared" si="42"/>
        <v>❌ SIN COMPLETAR</v>
      </c>
    </row>
    <row r="94" spans="1:31" x14ac:dyDescent="0.3">
      <c r="A94" s="29">
        <v>45971</v>
      </c>
      <c r="B94" s="30" t="str">
        <f>TEXT(A94,"ddd")</f>
        <v>lun</v>
      </c>
      <c r="C94" s="28">
        <v>0.45833333333333331</v>
      </c>
      <c r="D94" s="31"/>
      <c r="E94" s="31"/>
      <c r="F94" s="31"/>
      <c r="G94" s="40" t="str">
        <f>IF(COUNTIF(D94:F94,"?*")=$N$5,"✅ CUBIERTO",
IF(COUNTIF(D94:F94,"?*")&gt;$N$5,"⚠ EXCESO",IF(COUNTIF(D94:F94,"?*")&gt;0,"⚠ FALTANTE",
"❌ SIN COMPLETAR")))</f>
        <v>❌ SIN COMPLETAR</v>
      </c>
      <c r="H94" s="17"/>
      <c r="I94" s="29">
        <v>45971</v>
      </c>
      <c r="J94" s="30" t="str">
        <f>TEXT(I94,"ddd")</f>
        <v>lun</v>
      </c>
      <c r="K94" s="28">
        <v>0.45833333333333331</v>
      </c>
      <c r="L94" s="31"/>
      <c r="M94" s="31"/>
      <c r="N94" s="31"/>
      <c r="O94" s="32" t="str">
        <f>IF(COUNTIF(L94:N94,"?*")=$N$6,"✅ CUBIERTO",IF(COUNTIF(L94:N94,"?*")&gt;$N$6,"⚠ EXCESO",
IF(COUNTIF(L94:N94,"?*")&gt;0,"⚠ FALTANTE", "❌ SIN COMPLETAR")))</f>
        <v>❌ SIN COMPLETAR</v>
      </c>
      <c r="P94" s="17"/>
      <c r="Q94" s="29">
        <v>45971</v>
      </c>
      <c r="R94" s="30" t="str">
        <f>TEXT(Q94,"ddd")</f>
        <v>lun</v>
      </c>
      <c r="S94" s="28">
        <v>0.45833333333333331</v>
      </c>
      <c r="T94" s="31"/>
      <c r="U94" s="31"/>
      <c r="V94" s="31"/>
      <c r="W94" s="40" t="s">
        <v>16</v>
      </c>
      <c r="Y94" s="29">
        <v>45971</v>
      </c>
      <c r="Z94" s="30" t="str">
        <f>TEXT(Y94,"ddd")</f>
        <v>lun</v>
      </c>
      <c r="AA94" s="28">
        <v>0.45833333333333331</v>
      </c>
      <c r="AB94" s="31"/>
      <c r="AC94" s="31"/>
      <c r="AD94" s="31"/>
      <c r="AE94" s="32" t="str">
        <f t="shared" si="42"/>
        <v>❌ SIN COMPLETAR</v>
      </c>
    </row>
    <row r="95" spans="1:31" x14ac:dyDescent="0.3">
      <c r="A95" s="29">
        <v>45971</v>
      </c>
      <c r="B95" s="30" t="str">
        <f t="shared" ref="B95:B101" si="43">TEXT(A95,"ddd")</f>
        <v>lun</v>
      </c>
      <c r="C95" s="28">
        <v>0.5</v>
      </c>
      <c r="D95" s="31"/>
      <c r="E95" s="31"/>
      <c r="F95" s="31"/>
      <c r="G95" s="40" t="str">
        <f>IF(COUNTIF(D95:F95,"?*")=$N$5,"✅ CUBIERTO",
IF(COUNTIF(D95:F95,"?*")&gt;$N$5,"⚠ EXCESO",IF(COUNTIF(D95:F95,"?*")&gt;0,"⚠ FALTANTE",
"❌ SIN COMPLETAR")))</f>
        <v>❌ SIN COMPLETAR</v>
      </c>
      <c r="H95" s="17"/>
      <c r="I95" s="29">
        <v>45971</v>
      </c>
      <c r="J95" s="30" t="str">
        <f t="shared" ref="J95:J101" si="44">TEXT(I95,"ddd")</f>
        <v>lun</v>
      </c>
      <c r="K95" s="28">
        <v>0.5</v>
      </c>
      <c r="L95" s="31"/>
      <c r="M95" s="31"/>
      <c r="N95" s="31"/>
      <c r="O95" s="32" t="str">
        <f>IF(COUNTIF(L95:N95,"?*")=$N$6,"✅ CUBIERTO",IF(COUNTIF(L95:N95,"?*")&gt;$N$6,"⚠ EXCESO",
IF(COUNTIF(L95:N95,"?*")&gt;0,"⚠ FALTANTE", "❌ SIN COMPLETAR")))</f>
        <v>❌ SIN COMPLETAR</v>
      </c>
      <c r="P95" s="17"/>
      <c r="Q95" s="29">
        <v>45971</v>
      </c>
      <c r="R95" s="30" t="str">
        <f t="shared" ref="R95:R101" si="45">TEXT(Q95,"ddd")</f>
        <v>lun</v>
      </c>
      <c r="S95" s="28">
        <v>0.5</v>
      </c>
      <c r="T95" s="31"/>
      <c r="U95" s="31"/>
      <c r="V95" s="31"/>
      <c r="W95" s="40" t="str">
        <f>IF(COUNTIF(T95:V95,"?*")=$N$7,"✅ CUBIERTO",IF(COUNTIF(T95:V95,"?*")&gt;$N$7,"⚠ EXCESO",
IF(COUNTIF(T95:V95,"?*")&gt;0,"⚠ FALTANTE", "❌ SIN COMPLETAR")))</f>
        <v>❌ SIN COMPLETAR</v>
      </c>
      <c r="Y95" s="29">
        <v>45971</v>
      </c>
      <c r="Z95" s="30" t="str">
        <f t="shared" ref="Z95:Z101" si="46">TEXT(Y95,"ddd")</f>
        <v>lun</v>
      </c>
      <c r="AA95" s="28">
        <v>0.5</v>
      </c>
      <c r="AB95" s="31"/>
      <c r="AC95" s="31"/>
      <c r="AD95" s="31"/>
      <c r="AE95" s="32" t="str">
        <f t="shared" si="42"/>
        <v>❌ SIN COMPLETAR</v>
      </c>
    </row>
    <row r="96" spans="1:31" x14ac:dyDescent="0.3">
      <c r="A96" s="29">
        <v>45971</v>
      </c>
      <c r="B96" s="30" t="str">
        <f t="shared" si="43"/>
        <v>lun</v>
      </c>
      <c r="C96" s="28">
        <v>0.54166666666666696</v>
      </c>
      <c r="D96" s="31"/>
      <c r="E96" s="31"/>
      <c r="F96" s="31"/>
      <c r="G96" s="40" t="str">
        <f>IF(COUNTIF(D96:F96,"?*")=$N$5,"✅ CUBIERTO",
IF(COUNTIF(D96:F96,"?*")&gt;$N$5,"⚠ EXCESO",IF(COUNTIF(D96:F96,"?*")&gt;0,"⚠ FALTANTE",
"❌ SIN COMPLETAR")))</f>
        <v>❌ SIN COMPLETAR</v>
      </c>
      <c r="H96" s="17"/>
      <c r="I96" s="29">
        <v>45971</v>
      </c>
      <c r="J96" s="30" t="str">
        <f t="shared" si="44"/>
        <v>lun</v>
      </c>
      <c r="K96" s="28">
        <v>0.54166666666666696</v>
      </c>
      <c r="L96" s="31"/>
      <c r="M96" s="31"/>
      <c r="N96" s="31"/>
      <c r="O96" s="32" t="str">
        <f>IF(COUNTIF(L96:N96,"?*")=$N$6,"✅ CUBIERTO",IF(COUNTIF(L96:N96,"?*")&gt;$N$6,"⚠ EXCESO",
IF(COUNTIF(L96:N96,"?*")&gt;0,"⚠ FALTANTE", "❌ SIN COMPLETAR")))</f>
        <v>❌ SIN COMPLETAR</v>
      </c>
      <c r="P96" s="17"/>
      <c r="Q96" s="29">
        <v>45971</v>
      </c>
      <c r="R96" s="30" t="str">
        <f t="shared" si="45"/>
        <v>lun</v>
      </c>
      <c r="S96" s="28">
        <v>0.54166666666666696</v>
      </c>
      <c r="T96" s="31"/>
      <c r="U96" s="31"/>
      <c r="V96" s="31"/>
      <c r="W96" s="40" t="str">
        <f>IF(COUNTIF(T96:V96,"?*")=$N$7,"✅ CUBIERTO",IF(COUNTIF(T96:V96,"?*")&gt;$N$7,"⚠ EXCESO",
IF(COUNTIF(T96:V96,"?*")&gt;0,"⚠ FALTANTE", "❌ SIN COMPLETAR")))</f>
        <v>❌ SIN COMPLETAR</v>
      </c>
      <c r="Y96" s="29">
        <v>45971</v>
      </c>
      <c r="Z96" s="30" t="str">
        <f t="shared" si="46"/>
        <v>lun</v>
      </c>
      <c r="AA96" s="28">
        <v>0.54166666666666696</v>
      </c>
      <c r="AB96" s="31"/>
      <c r="AC96" s="31"/>
      <c r="AD96" s="31"/>
      <c r="AE96" s="32" t="str">
        <f t="shared" si="42"/>
        <v>❌ SIN COMPLETAR</v>
      </c>
    </row>
    <row r="97" spans="1:31" x14ac:dyDescent="0.3">
      <c r="A97" s="29">
        <v>45971</v>
      </c>
      <c r="B97" s="30" t="str">
        <f t="shared" si="43"/>
        <v>lun</v>
      </c>
      <c r="C97" s="28">
        <v>0.58333333333333304</v>
      </c>
      <c r="D97" s="31"/>
      <c r="E97" s="31"/>
      <c r="F97" s="31"/>
      <c r="G97" s="40" t="str">
        <f>IF(COUNTIF(D97:F97,"?*")=$N$5,"✅ CUBIERTO",
IF(COUNTIF(D97:F97,"?*")&gt;$N$5,"⚠ EXCESO",IF(COUNTIF(D97:F97,"?*")&gt;0,"⚠ FALTANTE",
"❌ SIN COMPLETAR")))</f>
        <v>❌ SIN COMPLETAR</v>
      </c>
      <c r="H97" s="17"/>
      <c r="I97" s="29">
        <v>45971</v>
      </c>
      <c r="J97" s="30" t="str">
        <f t="shared" si="44"/>
        <v>lun</v>
      </c>
      <c r="K97" s="28">
        <v>0.58333333333333304</v>
      </c>
      <c r="L97" s="31"/>
      <c r="M97" s="31"/>
      <c r="N97" s="31"/>
      <c r="O97" s="32" t="str">
        <f>IF(COUNTIF(L97:N97,"?*")=$N$6,"✅ CUBIERTO",IF(COUNTIF(L97:N97,"?*")&gt;$N$6,"⚠ EXCESO",
IF(COUNTIF(L97:N97,"?*")&gt;0,"⚠ FALTANTE", "❌ SIN COMPLETAR")))</f>
        <v>❌ SIN COMPLETAR</v>
      </c>
      <c r="P97" s="17"/>
      <c r="Q97" s="29">
        <v>45971</v>
      </c>
      <c r="R97" s="30" t="str">
        <f t="shared" si="45"/>
        <v>lun</v>
      </c>
      <c r="S97" s="28">
        <v>0.58333333333333304</v>
      </c>
      <c r="T97" s="31"/>
      <c r="U97" s="31"/>
      <c r="V97" s="31"/>
      <c r="W97" s="40" t="str">
        <f>IF(COUNTIF(T97:V97,"?*")=$N$7,"✅ CUBIERTO",IF(COUNTIF(T97:V97,"?*")&gt;$N$7,"⚠ EXCESO",
IF(COUNTIF(T97:V97,"?*")&gt;0,"⚠ FALTANTE", "❌ SIN COMPLETAR")))</f>
        <v>❌ SIN COMPLETAR</v>
      </c>
      <c r="Y97" s="29">
        <v>45971</v>
      </c>
      <c r="Z97" s="30" t="str">
        <f t="shared" si="46"/>
        <v>lun</v>
      </c>
      <c r="AA97" s="28">
        <v>0.58333333333333304</v>
      </c>
      <c r="AB97" s="31"/>
      <c r="AC97" s="31"/>
      <c r="AD97" s="31"/>
      <c r="AE97" s="32" t="str">
        <f t="shared" si="42"/>
        <v>❌ SIN COMPLETAR</v>
      </c>
    </row>
    <row r="98" spans="1:31" x14ac:dyDescent="0.3">
      <c r="A98" s="29">
        <v>45971</v>
      </c>
      <c r="B98" s="30" t="str">
        <f t="shared" si="43"/>
        <v>lun</v>
      </c>
      <c r="C98" s="28">
        <v>0.625</v>
      </c>
      <c r="D98" s="31"/>
      <c r="E98" s="31"/>
      <c r="F98" s="31"/>
      <c r="G98" s="40" t="str">
        <f>IF(COUNTIF(D98:F98,"?*")=$N$5,"✅ CUBIERTO",
IF(COUNTIF(D98:F98,"?*")&gt;$N$5,"⚠ EXCESO",IF(COUNTIF(D98:F98,"?*")&gt;0,"⚠ FALTANTE",
"❌ SIN COMPLETAR")))</f>
        <v>❌ SIN COMPLETAR</v>
      </c>
      <c r="H98" s="17"/>
      <c r="I98" s="29">
        <v>45971</v>
      </c>
      <c r="J98" s="30" t="str">
        <f t="shared" si="44"/>
        <v>lun</v>
      </c>
      <c r="K98" s="28">
        <v>0.625</v>
      </c>
      <c r="L98" s="31"/>
      <c r="M98" s="31"/>
      <c r="N98" s="31"/>
      <c r="O98" s="32" t="str">
        <f>IF(COUNTIF(L98:N98,"?*")=$N$6,"✅ CUBIERTO",IF(COUNTIF(L98:N98,"?*")&gt;$N$6,"⚠ EXCESO",
IF(COUNTIF(L98:N98,"?*")&gt;0,"⚠ FALTANTE", "❌ SIN COMPLETAR")))</f>
        <v>❌ SIN COMPLETAR</v>
      </c>
      <c r="P98" s="17"/>
      <c r="Q98" s="29">
        <v>45971</v>
      </c>
      <c r="R98" s="30" t="str">
        <f t="shared" si="45"/>
        <v>lun</v>
      </c>
      <c r="S98" s="28">
        <v>0.625</v>
      </c>
      <c r="T98" s="31"/>
      <c r="U98" s="31"/>
      <c r="V98" s="31"/>
      <c r="W98" s="40" t="str">
        <f>IF(COUNTIF(T98:V98,"?*")=$N$7,"✅ CUBIERTO",IF(COUNTIF(T98:V98,"?*")&gt;$N$7,"⚠ EXCESO",
IF(COUNTIF(T98:V98,"?*")&gt;0,"⚠ FALTANTE", "❌ SIN COMPLETAR")))</f>
        <v>❌ SIN COMPLETAR</v>
      </c>
      <c r="Y98" s="29">
        <v>45971</v>
      </c>
      <c r="Z98" s="30" t="str">
        <f t="shared" si="46"/>
        <v>lun</v>
      </c>
      <c r="AA98" s="28">
        <v>0.625</v>
      </c>
      <c r="AB98" s="31"/>
      <c r="AC98" s="31"/>
      <c r="AD98" s="31"/>
      <c r="AE98" s="32" t="str">
        <f t="shared" si="42"/>
        <v>❌ SIN COMPLETAR</v>
      </c>
    </row>
    <row r="99" spans="1:31" x14ac:dyDescent="0.3">
      <c r="A99" s="29">
        <v>45971</v>
      </c>
      <c r="B99" s="30" t="str">
        <f t="shared" si="43"/>
        <v>lun</v>
      </c>
      <c r="C99" s="28">
        <v>0.66666666666666696</v>
      </c>
      <c r="D99" s="31"/>
      <c r="E99" s="31"/>
      <c r="F99" s="31"/>
      <c r="G99" s="40" t="str">
        <f>IF(COUNTIF(D99:F99,"?*")=$N$5,"✅ CUBIERTO",
IF(COUNTIF(D99:F99,"?*")&gt;$N$5,"⚠ EXCESO",IF(COUNTIF(D99:F99,"?*")&gt;0,"⚠ FALTANTE",
"❌ SIN COMPLETAR")))</f>
        <v>❌ SIN COMPLETAR</v>
      </c>
      <c r="H99" s="17"/>
      <c r="I99" s="29">
        <v>45971</v>
      </c>
      <c r="J99" s="30" t="str">
        <f t="shared" si="44"/>
        <v>lun</v>
      </c>
      <c r="K99" s="28">
        <v>0.66666666666666696</v>
      </c>
      <c r="L99" s="31"/>
      <c r="M99" s="31"/>
      <c r="N99" s="31"/>
      <c r="O99" s="32" t="str">
        <f>IF(COUNTIF(L99:N99,"?*")=$N$6,"✅ CUBIERTO",IF(COUNTIF(L99:N99,"?*")&gt;$N$6,"⚠ EXCESO",
IF(COUNTIF(L99:N99,"?*")&gt;0,"⚠ FALTANTE", "❌ SIN COMPLETAR")))</f>
        <v>❌ SIN COMPLETAR</v>
      </c>
      <c r="P99" s="17"/>
      <c r="Q99" s="29">
        <v>45971</v>
      </c>
      <c r="R99" s="30" t="str">
        <f t="shared" si="45"/>
        <v>lun</v>
      </c>
      <c r="S99" s="28">
        <v>0.66666666666666696</v>
      </c>
      <c r="T99" s="31"/>
      <c r="U99" s="31"/>
      <c r="V99" s="31"/>
      <c r="W99" s="40" t="str">
        <f>IF(COUNTIF(T99:V99,"?*")=$N$7,"✅ CUBIERTO",IF(COUNTIF(T99:V99,"?*")&gt;$N$7,"⚠ EXCESO",
IF(COUNTIF(T99:V99,"?*")&gt;0,"⚠ FALTANTE", "❌ SIN COMPLETAR")))</f>
        <v>❌ SIN COMPLETAR</v>
      </c>
      <c r="Y99" s="29">
        <v>45971</v>
      </c>
      <c r="Z99" s="30" t="str">
        <f t="shared" si="46"/>
        <v>lun</v>
      </c>
      <c r="AA99" s="28">
        <v>0.66666666666666696</v>
      </c>
      <c r="AB99" s="31"/>
      <c r="AC99" s="31"/>
      <c r="AD99" s="31"/>
      <c r="AE99" s="32" t="str">
        <f t="shared" si="42"/>
        <v>❌ SIN COMPLETAR</v>
      </c>
    </row>
    <row r="100" spans="1:31" x14ac:dyDescent="0.3">
      <c r="A100" s="29">
        <v>45971</v>
      </c>
      <c r="B100" s="30" t="str">
        <f t="shared" si="43"/>
        <v>lun</v>
      </c>
      <c r="C100" s="28">
        <v>0.70833333333333304</v>
      </c>
      <c r="D100" s="31"/>
      <c r="E100" s="31"/>
      <c r="F100" s="31"/>
      <c r="G100" s="40" t="str">
        <f>IF(COUNTIF(D100:F100,"?*")=$N$5,"✅ CUBIERTO",
IF(COUNTIF(D100:F100,"?*")&gt;$N$5,"⚠ EXCESO",IF(COUNTIF(D100:F100,"?*")&gt;0,"⚠ FALTANTE",
"❌ SIN COMPLETAR")))</f>
        <v>❌ SIN COMPLETAR</v>
      </c>
      <c r="H100" s="17"/>
      <c r="I100" s="29">
        <v>45971</v>
      </c>
      <c r="J100" s="30" t="str">
        <f t="shared" si="44"/>
        <v>lun</v>
      </c>
      <c r="K100" s="28">
        <v>0.70833333333333304</v>
      </c>
      <c r="L100" s="31"/>
      <c r="M100" s="31"/>
      <c r="N100" s="31"/>
      <c r="O100" s="32" t="str">
        <f>IF(COUNTIF(L100:N100,"?*")=$N$6,"✅ CUBIERTO",IF(COUNTIF(L100:N100,"?*")&gt;$N$6,"⚠ EXCESO",
IF(COUNTIF(L100:N100,"?*")&gt;0,"⚠ FALTANTE", "❌ SIN COMPLETAR")))</f>
        <v>❌ SIN COMPLETAR</v>
      </c>
      <c r="P100" s="17"/>
      <c r="Q100" s="29">
        <v>45971</v>
      </c>
      <c r="R100" s="30" t="str">
        <f t="shared" si="45"/>
        <v>lun</v>
      </c>
      <c r="S100" s="28">
        <v>0.70833333333333304</v>
      </c>
      <c r="T100" s="31"/>
      <c r="U100" s="31"/>
      <c r="V100" s="31"/>
      <c r="W100" s="40" t="str">
        <f>IF(COUNTIF(T100:V100,"?*")=$N$7,"✅ CUBIERTO",IF(COUNTIF(T100:V100,"?*")&gt;$N$7,"⚠ EXCESO",
IF(COUNTIF(T100:V100,"?*")&gt;0,"⚠ FALTANTE", "❌ SIN COMPLETAR")))</f>
        <v>❌ SIN COMPLETAR</v>
      </c>
      <c r="Y100" s="29">
        <v>45971</v>
      </c>
      <c r="Z100" s="30" t="str">
        <f t="shared" si="46"/>
        <v>lun</v>
      </c>
      <c r="AA100" s="28">
        <v>0.70833333333333304</v>
      </c>
      <c r="AB100" s="31"/>
      <c r="AC100" s="31"/>
      <c r="AD100" s="31"/>
      <c r="AE100" s="32" t="str">
        <f t="shared" si="42"/>
        <v>❌ SIN COMPLETAR</v>
      </c>
    </row>
    <row r="101" spans="1:31" x14ac:dyDescent="0.3">
      <c r="A101" s="29">
        <v>45971</v>
      </c>
      <c r="B101" s="30" t="str">
        <f t="shared" si="43"/>
        <v>lun</v>
      </c>
      <c r="C101" s="28">
        <v>0.75</v>
      </c>
      <c r="D101" s="31"/>
      <c r="E101" s="31"/>
      <c r="F101" s="31"/>
      <c r="G101" s="40" t="str">
        <f>IF(COUNTIF(D101:F101,"?*")=$N$5,"✅ CUBIERTO",
IF(COUNTIF(D101:F101,"?*")&gt;$N$5,"⚠ EXCESO",IF(COUNTIF(D101:F101,"?*")&gt;0,"⚠ FALTANTE",
"❌ SIN COMPLETAR")))</f>
        <v>❌ SIN COMPLETAR</v>
      </c>
      <c r="H101" s="17"/>
      <c r="I101" s="29">
        <v>45971</v>
      </c>
      <c r="J101" s="30" t="str">
        <f t="shared" si="44"/>
        <v>lun</v>
      </c>
      <c r="K101" s="28">
        <v>0.75</v>
      </c>
      <c r="L101" s="41"/>
      <c r="M101" s="41"/>
      <c r="N101" s="41"/>
      <c r="O101" s="32" t="str">
        <f>IF(COUNTIF(L101:N101,"?*")=$N$6,"✅ CUBIERTO",IF(COUNTIF(L101:N101,"?*")&gt;$N$6,"⚠ EXCESO",
IF(COUNTIF(L101:N101,"?*")&gt;0,"⚠ FALTANTE", "❌ SIN COMPLETAR")))</f>
        <v>❌ SIN COMPLETAR</v>
      </c>
      <c r="P101" s="17"/>
      <c r="Q101" s="29">
        <v>45971</v>
      </c>
      <c r="R101" s="30" t="str">
        <f t="shared" si="45"/>
        <v>lun</v>
      </c>
      <c r="S101" s="28">
        <v>0.75</v>
      </c>
      <c r="T101" s="31"/>
      <c r="U101" s="31"/>
      <c r="V101" s="31"/>
      <c r="W101" s="40" t="s">
        <v>16</v>
      </c>
      <c r="Y101" s="29">
        <v>45971</v>
      </c>
      <c r="Z101" s="30" t="str">
        <f t="shared" si="46"/>
        <v>lun</v>
      </c>
      <c r="AA101" s="28">
        <v>0.75</v>
      </c>
      <c r="AB101" s="41"/>
      <c r="AC101" s="41"/>
      <c r="AD101" s="41"/>
      <c r="AE101" s="32" t="str">
        <f t="shared" si="42"/>
        <v>❌ SIN COMPLETAR</v>
      </c>
    </row>
    <row r="102" spans="1:31" x14ac:dyDescent="0.3">
      <c r="A102" s="29">
        <v>45972</v>
      </c>
      <c r="B102" s="30" t="str">
        <f>TEXT(A102,"ddd")</f>
        <v>mar</v>
      </c>
      <c r="C102" s="28">
        <v>0.45833333333333331</v>
      </c>
      <c r="D102" s="31"/>
      <c r="E102" s="31"/>
      <c r="F102" s="31"/>
      <c r="G102" s="40" t="str">
        <f>IF(COUNTIF(D102:F102,"?*")=$N$5,"✅ CUBIERTO",
IF(COUNTIF(D102:F102,"?*")&gt;$N$5,"⚠ EXCESO",IF(COUNTIF(D102:F102,"?*")&gt;0,"⚠ FALTANTE",
"❌ SIN COMPLETAR")))</f>
        <v>❌ SIN COMPLETAR</v>
      </c>
      <c r="H102" s="17"/>
      <c r="I102" s="29">
        <v>45972</v>
      </c>
      <c r="J102" s="30" t="str">
        <f>TEXT(I102,"ddd")</f>
        <v>mar</v>
      </c>
      <c r="K102" s="28">
        <v>0.45833333333333331</v>
      </c>
      <c r="L102" s="31"/>
      <c r="M102" s="31"/>
      <c r="N102" s="31"/>
      <c r="O102" s="32" t="str">
        <f>IF(COUNTIF(L102:N102,"?*")=$N$6,"✅ CUBIERTO",IF(COUNTIF(L102:N102,"?*")&gt;$N$6,"⚠ EXCESO",
IF(COUNTIF(L102:N102,"?*")&gt;0,"⚠ FALTANTE", "❌ SIN COMPLETAR")))</f>
        <v>❌ SIN COMPLETAR</v>
      </c>
      <c r="P102" s="17"/>
      <c r="Q102" s="29">
        <v>45972</v>
      </c>
      <c r="R102" s="30" t="str">
        <f>TEXT(Q102,"ddd")</f>
        <v>mar</v>
      </c>
      <c r="S102" s="28">
        <v>0.45833333333333331</v>
      </c>
      <c r="T102" s="31"/>
      <c r="U102" s="31"/>
      <c r="V102" s="31"/>
      <c r="W102" s="40" t="s">
        <v>16</v>
      </c>
      <c r="Y102" s="29">
        <v>45972</v>
      </c>
      <c r="Z102" s="30" t="str">
        <f>TEXT(Y102,"ddd")</f>
        <v>mar</v>
      </c>
      <c r="AA102" s="28">
        <v>0.45833333333333331</v>
      </c>
      <c r="AB102" s="31"/>
      <c r="AC102" s="31"/>
      <c r="AD102" s="31"/>
      <c r="AE102" s="32" t="str">
        <f t="shared" si="42"/>
        <v>❌ SIN COMPLETAR</v>
      </c>
    </row>
    <row r="103" spans="1:31" x14ac:dyDescent="0.3">
      <c r="A103" s="29">
        <v>45972</v>
      </c>
      <c r="B103" s="30" t="str">
        <f t="shared" ref="B103:B109" si="47">TEXT(A103,"ddd")</f>
        <v>mar</v>
      </c>
      <c r="C103" s="28">
        <v>0.5</v>
      </c>
      <c r="D103" s="31"/>
      <c r="E103" s="31"/>
      <c r="F103" s="31"/>
      <c r="G103" s="40" t="str">
        <f>IF(COUNTIF(D103:F103,"?*")=$N$5,"✅ CUBIERTO",
IF(COUNTIF(D103:F103,"?*")&gt;$N$5,"⚠ EXCESO",IF(COUNTIF(D103:F103,"?*")&gt;0,"⚠ FALTANTE",
"❌ SIN COMPLETAR")))</f>
        <v>❌ SIN COMPLETAR</v>
      </c>
      <c r="H103" s="17"/>
      <c r="I103" s="29">
        <v>45972</v>
      </c>
      <c r="J103" s="30" t="str">
        <f t="shared" ref="J103:J109" si="48">TEXT(I103,"ddd")</f>
        <v>mar</v>
      </c>
      <c r="K103" s="28">
        <v>0.5</v>
      </c>
      <c r="L103" s="31"/>
      <c r="M103" s="31"/>
      <c r="N103" s="31"/>
      <c r="O103" s="32" t="str">
        <f>IF(COUNTIF(L103:N103,"?*")=$N$6,"✅ CUBIERTO",IF(COUNTIF(L103:N103,"?*")&gt;$N$6,"⚠ EXCESO",
IF(COUNTIF(L103:N103,"?*")&gt;0,"⚠ FALTANTE", "❌ SIN COMPLETAR")))</f>
        <v>❌ SIN COMPLETAR</v>
      </c>
      <c r="P103" s="17"/>
      <c r="Q103" s="29">
        <v>45972</v>
      </c>
      <c r="R103" s="30" t="str">
        <f t="shared" ref="R103:R109" si="49">TEXT(Q103,"ddd")</f>
        <v>mar</v>
      </c>
      <c r="S103" s="28">
        <v>0.5</v>
      </c>
      <c r="T103" s="31"/>
      <c r="U103" s="31"/>
      <c r="V103" s="31"/>
      <c r="W103" s="40" t="str">
        <f>IF(COUNTIF(T103:V103,"?*")=$N$7,"✅ CUBIERTO",IF(COUNTIF(T103:V103,"?*")&gt;$N$7,"⚠ EXCESO",
IF(COUNTIF(T103:V103,"?*")&gt;0,"⚠ FALTANTE", "❌ SIN COMPLETAR")))</f>
        <v>❌ SIN COMPLETAR</v>
      </c>
      <c r="Y103" s="29">
        <v>45972</v>
      </c>
      <c r="Z103" s="30" t="str">
        <f t="shared" ref="Z103:Z109" si="50">TEXT(Y103,"ddd")</f>
        <v>mar</v>
      </c>
      <c r="AA103" s="28">
        <v>0.5</v>
      </c>
      <c r="AB103" s="31"/>
      <c r="AC103" s="31"/>
      <c r="AD103" s="31"/>
      <c r="AE103" s="32" t="str">
        <f t="shared" si="42"/>
        <v>❌ SIN COMPLETAR</v>
      </c>
    </row>
    <row r="104" spans="1:31" x14ac:dyDescent="0.3">
      <c r="A104" s="29">
        <v>45972</v>
      </c>
      <c r="B104" s="30" t="str">
        <f t="shared" si="47"/>
        <v>mar</v>
      </c>
      <c r="C104" s="28">
        <v>0.54166666666666696</v>
      </c>
      <c r="D104" s="31"/>
      <c r="E104" s="31"/>
      <c r="F104" s="31"/>
      <c r="G104" s="40" t="str">
        <f>IF(COUNTIF(D104:F104,"?*")=$N$5,"✅ CUBIERTO",
IF(COUNTIF(D104:F104,"?*")&gt;$N$5,"⚠ EXCESO",IF(COUNTIF(D104:F104,"?*")&gt;0,"⚠ FALTANTE",
"❌ SIN COMPLETAR")))</f>
        <v>❌ SIN COMPLETAR</v>
      </c>
      <c r="H104" s="17"/>
      <c r="I104" s="29">
        <v>45972</v>
      </c>
      <c r="J104" s="30" t="str">
        <f t="shared" si="48"/>
        <v>mar</v>
      </c>
      <c r="K104" s="28">
        <v>0.54166666666666696</v>
      </c>
      <c r="L104" s="31"/>
      <c r="M104" s="31"/>
      <c r="N104" s="31"/>
      <c r="O104" s="32" t="str">
        <f>IF(COUNTIF(L104:N104,"?*")=$N$6,"✅ CUBIERTO",IF(COUNTIF(L104:N104,"?*")&gt;$N$6,"⚠ EXCESO",
IF(COUNTIF(L104:N104,"?*")&gt;0,"⚠ FALTANTE", "❌ SIN COMPLETAR")))</f>
        <v>❌ SIN COMPLETAR</v>
      </c>
      <c r="P104" s="17"/>
      <c r="Q104" s="29">
        <v>45972</v>
      </c>
      <c r="R104" s="30" t="str">
        <f t="shared" si="49"/>
        <v>mar</v>
      </c>
      <c r="S104" s="28">
        <v>0.54166666666666696</v>
      </c>
      <c r="T104" s="31"/>
      <c r="U104" s="31"/>
      <c r="V104" s="31"/>
      <c r="W104" s="40" t="str">
        <f>IF(COUNTIF(T104:V104,"?*")=$N$7,"✅ CUBIERTO",IF(COUNTIF(T104:V104,"?*")&gt;$N$7,"⚠ EXCESO",
IF(COUNTIF(T104:V104,"?*")&gt;0,"⚠ FALTANTE", "❌ SIN COMPLETAR")))</f>
        <v>❌ SIN COMPLETAR</v>
      </c>
      <c r="Y104" s="29">
        <v>45972</v>
      </c>
      <c r="Z104" s="30" t="str">
        <f t="shared" si="50"/>
        <v>mar</v>
      </c>
      <c r="AA104" s="28">
        <v>0.54166666666666696</v>
      </c>
      <c r="AB104" s="31"/>
      <c r="AC104" s="31"/>
      <c r="AD104" s="31"/>
      <c r="AE104" s="32" t="str">
        <f t="shared" si="42"/>
        <v>❌ SIN COMPLETAR</v>
      </c>
    </row>
    <row r="105" spans="1:31" x14ac:dyDescent="0.3">
      <c r="A105" s="29">
        <v>45972</v>
      </c>
      <c r="B105" s="30" t="str">
        <f t="shared" si="47"/>
        <v>mar</v>
      </c>
      <c r="C105" s="28">
        <v>0.58333333333333304</v>
      </c>
      <c r="D105" s="31"/>
      <c r="E105" s="31"/>
      <c r="F105" s="31"/>
      <c r="G105" s="40" t="str">
        <f>IF(COUNTIF(D105:F105,"?*")=$N$5,"✅ CUBIERTO",
IF(COUNTIF(D105:F105,"?*")&gt;$N$5,"⚠ EXCESO",IF(COUNTIF(D105:F105,"?*")&gt;0,"⚠ FALTANTE",
"❌ SIN COMPLETAR")))</f>
        <v>❌ SIN COMPLETAR</v>
      </c>
      <c r="H105" s="17"/>
      <c r="I105" s="29">
        <v>45972</v>
      </c>
      <c r="J105" s="30" t="str">
        <f t="shared" si="48"/>
        <v>mar</v>
      </c>
      <c r="K105" s="28">
        <v>0.58333333333333304</v>
      </c>
      <c r="L105" s="31"/>
      <c r="M105" s="31"/>
      <c r="N105" s="31"/>
      <c r="O105" s="32" t="str">
        <f>IF(COUNTIF(L105:N105,"?*")=$N$6,"✅ CUBIERTO",IF(COUNTIF(L105:N105,"?*")&gt;$N$6,"⚠ EXCESO",
IF(COUNTIF(L105:N105,"?*")&gt;0,"⚠ FALTANTE", "❌ SIN COMPLETAR")))</f>
        <v>❌ SIN COMPLETAR</v>
      </c>
      <c r="P105" s="17"/>
      <c r="Q105" s="29">
        <v>45972</v>
      </c>
      <c r="R105" s="30" t="str">
        <f t="shared" si="49"/>
        <v>mar</v>
      </c>
      <c r="S105" s="28">
        <v>0.58333333333333304</v>
      </c>
      <c r="T105" s="31"/>
      <c r="U105" s="31"/>
      <c r="V105" s="31"/>
      <c r="W105" s="40" t="str">
        <f>IF(COUNTIF(T105:V105,"?*")=$N$7,"✅ CUBIERTO",IF(COUNTIF(T105:V105,"?*")&gt;$N$7,"⚠ EXCESO",
IF(COUNTIF(T105:V105,"?*")&gt;0,"⚠ FALTANTE", "❌ SIN COMPLETAR")))</f>
        <v>❌ SIN COMPLETAR</v>
      </c>
      <c r="Y105" s="29">
        <v>45972</v>
      </c>
      <c r="Z105" s="30" t="str">
        <f t="shared" si="50"/>
        <v>mar</v>
      </c>
      <c r="AA105" s="28">
        <v>0.58333333333333304</v>
      </c>
      <c r="AB105" s="31"/>
      <c r="AC105" s="31"/>
      <c r="AD105" s="31"/>
      <c r="AE105" s="32" t="str">
        <f t="shared" si="42"/>
        <v>❌ SIN COMPLETAR</v>
      </c>
    </row>
    <row r="106" spans="1:31" x14ac:dyDescent="0.3">
      <c r="A106" s="29">
        <v>45972</v>
      </c>
      <c r="B106" s="30" t="str">
        <f t="shared" si="47"/>
        <v>mar</v>
      </c>
      <c r="C106" s="28">
        <v>0.625</v>
      </c>
      <c r="D106" s="31"/>
      <c r="E106" s="31"/>
      <c r="F106" s="31"/>
      <c r="G106" s="40" t="str">
        <f>IF(COUNTIF(D106:F106,"?*")=$N$5,"✅ CUBIERTO",
IF(COUNTIF(D106:F106,"?*")&gt;$N$5,"⚠ EXCESO",IF(COUNTIF(D106:F106,"?*")&gt;0,"⚠ FALTANTE",
"❌ SIN COMPLETAR")))</f>
        <v>❌ SIN COMPLETAR</v>
      </c>
      <c r="H106" s="17"/>
      <c r="I106" s="29">
        <v>45972</v>
      </c>
      <c r="J106" s="30" t="str">
        <f t="shared" si="48"/>
        <v>mar</v>
      </c>
      <c r="K106" s="28">
        <v>0.625</v>
      </c>
      <c r="L106" s="31"/>
      <c r="M106" s="31"/>
      <c r="N106" s="31"/>
      <c r="O106" s="32" t="str">
        <f>IF(COUNTIF(L106:N106,"?*")=$N$6,"✅ CUBIERTO",IF(COUNTIF(L106:N106,"?*")&gt;$N$6,"⚠ EXCESO",
IF(COUNTIF(L106:N106,"?*")&gt;0,"⚠ FALTANTE", "❌ SIN COMPLETAR")))</f>
        <v>❌ SIN COMPLETAR</v>
      </c>
      <c r="P106" s="17"/>
      <c r="Q106" s="29">
        <v>45972</v>
      </c>
      <c r="R106" s="30" t="str">
        <f t="shared" si="49"/>
        <v>mar</v>
      </c>
      <c r="S106" s="28">
        <v>0.625</v>
      </c>
      <c r="T106" s="31"/>
      <c r="U106" s="31"/>
      <c r="V106" s="31"/>
      <c r="W106" s="40" t="str">
        <f>IF(COUNTIF(T106:V106,"?*")=$N$7,"✅ CUBIERTO",IF(COUNTIF(T106:V106,"?*")&gt;$N$7,"⚠ EXCESO",
IF(COUNTIF(T106:V106,"?*")&gt;0,"⚠ FALTANTE", "❌ SIN COMPLETAR")))</f>
        <v>❌ SIN COMPLETAR</v>
      </c>
      <c r="Y106" s="29">
        <v>45972</v>
      </c>
      <c r="Z106" s="30" t="str">
        <f t="shared" si="50"/>
        <v>mar</v>
      </c>
      <c r="AA106" s="28">
        <v>0.625</v>
      </c>
      <c r="AB106" s="31"/>
      <c r="AC106" s="31"/>
      <c r="AD106" s="31"/>
      <c r="AE106" s="32" t="str">
        <f t="shared" si="42"/>
        <v>❌ SIN COMPLETAR</v>
      </c>
    </row>
    <row r="107" spans="1:31" x14ac:dyDescent="0.3">
      <c r="A107" s="29">
        <v>45972</v>
      </c>
      <c r="B107" s="30" t="str">
        <f t="shared" si="47"/>
        <v>mar</v>
      </c>
      <c r="C107" s="28">
        <v>0.66666666666666696</v>
      </c>
      <c r="D107" s="31"/>
      <c r="E107" s="31"/>
      <c r="F107" s="31"/>
      <c r="G107" s="40" t="str">
        <f>IF(COUNTIF(D107:F107,"?*")=$N$5,"✅ CUBIERTO",
IF(COUNTIF(D107:F107,"?*")&gt;$N$5,"⚠ EXCESO",IF(COUNTIF(D107:F107,"?*")&gt;0,"⚠ FALTANTE",
"❌ SIN COMPLETAR")))</f>
        <v>❌ SIN COMPLETAR</v>
      </c>
      <c r="H107" s="17"/>
      <c r="I107" s="29">
        <v>45972</v>
      </c>
      <c r="J107" s="30" t="str">
        <f t="shared" si="48"/>
        <v>mar</v>
      </c>
      <c r="K107" s="28">
        <v>0.66666666666666696</v>
      </c>
      <c r="L107" s="31"/>
      <c r="M107" s="31"/>
      <c r="N107" s="31"/>
      <c r="O107" s="32" t="str">
        <f>IF(COUNTIF(L107:N107,"?*")=$N$6,"✅ CUBIERTO",IF(COUNTIF(L107:N107,"?*")&gt;$N$6,"⚠ EXCESO",
IF(COUNTIF(L107:N107,"?*")&gt;0,"⚠ FALTANTE", "❌ SIN COMPLETAR")))</f>
        <v>❌ SIN COMPLETAR</v>
      </c>
      <c r="P107" s="17"/>
      <c r="Q107" s="29">
        <v>45972</v>
      </c>
      <c r="R107" s="30" t="str">
        <f t="shared" si="49"/>
        <v>mar</v>
      </c>
      <c r="S107" s="28">
        <v>0.66666666666666696</v>
      </c>
      <c r="T107" s="31"/>
      <c r="U107" s="31"/>
      <c r="V107" s="31"/>
      <c r="W107" s="40" t="str">
        <f>IF(COUNTIF(T107:V107,"?*")=$N$7,"✅ CUBIERTO",IF(COUNTIF(T107:V107,"?*")&gt;$N$7,"⚠ EXCESO",
IF(COUNTIF(T107:V107,"?*")&gt;0,"⚠ FALTANTE", "❌ SIN COMPLETAR")))</f>
        <v>❌ SIN COMPLETAR</v>
      </c>
      <c r="Y107" s="29">
        <v>45972</v>
      </c>
      <c r="Z107" s="30" t="str">
        <f t="shared" si="50"/>
        <v>mar</v>
      </c>
      <c r="AA107" s="28">
        <v>0.66666666666666696</v>
      </c>
      <c r="AB107" s="31"/>
      <c r="AC107" s="31"/>
      <c r="AD107" s="31"/>
      <c r="AE107" s="32" t="str">
        <f t="shared" si="42"/>
        <v>❌ SIN COMPLETAR</v>
      </c>
    </row>
    <row r="108" spans="1:31" x14ac:dyDescent="0.3">
      <c r="A108" s="29">
        <v>45972</v>
      </c>
      <c r="B108" s="30" t="str">
        <f t="shared" si="47"/>
        <v>mar</v>
      </c>
      <c r="C108" s="28">
        <v>0.70833333333333304</v>
      </c>
      <c r="D108" s="31"/>
      <c r="E108" s="31"/>
      <c r="F108" s="31"/>
      <c r="G108" s="40" t="str">
        <f>IF(COUNTIF(D108:F108,"?*")=$N$5,"✅ CUBIERTO",
IF(COUNTIF(D108:F108,"?*")&gt;$N$5,"⚠ EXCESO",IF(COUNTIF(D108:F108,"?*")&gt;0,"⚠ FALTANTE",
"❌ SIN COMPLETAR")))</f>
        <v>❌ SIN COMPLETAR</v>
      </c>
      <c r="H108" s="17"/>
      <c r="I108" s="29">
        <v>45972</v>
      </c>
      <c r="J108" s="30" t="str">
        <f t="shared" si="48"/>
        <v>mar</v>
      </c>
      <c r="K108" s="28">
        <v>0.70833333333333304</v>
      </c>
      <c r="L108" s="31"/>
      <c r="M108" s="31"/>
      <c r="N108" s="31"/>
      <c r="O108" s="32" t="str">
        <f>IF(COUNTIF(L108:N108,"?*")=$N$6,"✅ CUBIERTO",IF(COUNTIF(L108:N108,"?*")&gt;$N$6,"⚠ EXCESO",
IF(COUNTIF(L108:N108,"?*")&gt;0,"⚠ FALTANTE", "❌ SIN COMPLETAR")))</f>
        <v>❌ SIN COMPLETAR</v>
      </c>
      <c r="P108" s="17"/>
      <c r="Q108" s="29">
        <v>45972</v>
      </c>
      <c r="R108" s="30" t="str">
        <f t="shared" si="49"/>
        <v>mar</v>
      </c>
      <c r="S108" s="28">
        <v>0.70833333333333304</v>
      </c>
      <c r="T108" s="31"/>
      <c r="U108" s="31"/>
      <c r="V108" s="31"/>
      <c r="W108" s="40" t="str">
        <f>IF(COUNTIF(T108:V108,"?*")=$N$7,"✅ CUBIERTO",IF(COUNTIF(T108:V108,"?*")&gt;$N$7,"⚠ EXCESO",
IF(COUNTIF(T108:V108,"?*")&gt;0,"⚠ FALTANTE", "❌ SIN COMPLETAR")))</f>
        <v>❌ SIN COMPLETAR</v>
      </c>
      <c r="Y108" s="29">
        <v>45972</v>
      </c>
      <c r="Z108" s="30" t="str">
        <f t="shared" si="50"/>
        <v>mar</v>
      </c>
      <c r="AA108" s="28">
        <v>0.70833333333333304</v>
      </c>
      <c r="AB108" s="31"/>
      <c r="AC108" s="31"/>
      <c r="AD108" s="31"/>
      <c r="AE108" s="32" t="str">
        <f t="shared" si="42"/>
        <v>❌ SIN COMPLETAR</v>
      </c>
    </row>
    <row r="109" spans="1:31" x14ac:dyDescent="0.3">
      <c r="A109" s="29">
        <v>45972</v>
      </c>
      <c r="B109" s="30" t="str">
        <f t="shared" si="47"/>
        <v>mar</v>
      </c>
      <c r="C109" s="28">
        <v>0.75</v>
      </c>
      <c r="D109" s="31"/>
      <c r="E109" s="31"/>
      <c r="F109" s="31"/>
      <c r="G109" s="40" t="str">
        <f>IF(COUNTIF(D109:F109,"?*")=$N$5,"✅ CUBIERTO",
IF(COUNTIF(D109:F109,"?*")&gt;$N$5,"⚠ EXCESO",IF(COUNTIF(D109:F109,"?*")&gt;0,"⚠ FALTANTE",
"❌ SIN COMPLETAR")))</f>
        <v>❌ SIN COMPLETAR</v>
      </c>
      <c r="H109" s="17"/>
      <c r="I109" s="29">
        <v>45972</v>
      </c>
      <c r="J109" s="30" t="str">
        <f t="shared" si="48"/>
        <v>mar</v>
      </c>
      <c r="K109" s="28">
        <v>0.75</v>
      </c>
      <c r="L109" s="41"/>
      <c r="M109" s="41"/>
      <c r="N109" s="41"/>
      <c r="O109" s="32" t="str">
        <f>IF(COUNTIF(L109:N109,"?*")=$N$6,"✅ CUBIERTO",IF(COUNTIF(L109:N109,"?*")&gt;$N$6,"⚠ EXCESO",
IF(COUNTIF(L109:N109,"?*")&gt;0,"⚠ FALTANTE", "❌ SIN COMPLETAR")))</f>
        <v>❌ SIN COMPLETAR</v>
      </c>
      <c r="P109" s="17"/>
      <c r="Q109" s="29">
        <v>45972</v>
      </c>
      <c r="R109" s="30" t="str">
        <f t="shared" si="49"/>
        <v>mar</v>
      </c>
      <c r="S109" s="28">
        <v>0.75</v>
      </c>
      <c r="T109" s="31"/>
      <c r="U109" s="31"/>
      <c r="V109" s="31"/>
      <c r="W109" s="40" t="s">
        <v>16</v>
      </c>
      <c r="Y109" s="29">
        <v>45972</v>
      </c>
      <c r="Z109" s="30" t="str">
        <f t="shared" si="50"/>
        <v>mar</v>
      </c>
      <c r="AA109" s="28">
        <v>0.75</v>
      </c>
      <c r="AB109" s="41"/>
      <c r="AC109" s="41"/>
      <c r="AD109" s="41"/>
      <c r="AE109" s="32" t="str">
        <f t="shared" si="42"/>
        <v>❌ SIN COMPLETAR</v>
      </c>
    </row>
    <row r="110" spans="1:31" x14ac:dyDescent="0.3">
      <c r="A110" s="29">
        <v>45973</v>
      </c>
      <c r="B110" s="30" t="str">
        <f>TEXT(A110,"ddd")</f>
        <v>mié</v>
      </c>
      <c r="C110" s="28">
        <v>0.45833333333333331</v>
      </c>
      <c r="D110" s="31"/>
      <c r="E110" s="31"/>
      <c r="F110" s="31"/>
      <c r="G110" s="40" t="str">
        <f>IF(COUNTIF(D110:F110,"?*")=$N$5,"✅ CUBIERTO",
IF(COUNTIF(D110:F110,"?*")&gt;$N$5,"⚠ EXCESO",IF(COUNTIF(D110:F110,"?*")&gt;0,"⚠ FALTANTE",
"❌ SIN COMPLETAR")))</f>
        <v>❌ SIN COMPLETAR</v>
      </c>
      <c r="H110" s="17"/>
      <c r="I110" s="29">
        <v>45973</v>
      </c>
      <c r="J110" s="30" t="str">
        <f>TEXT(I110,"ddd")</f>
        <v>mié</v>
      </c>
      <c r="K110" s="28">
        <v>0.45833333333333331</v>
      </c>
      <c r="L110" s="31"/>
      <c r="M110" s="31"/>
      <c r="N110" s="31"/>
      <c r="O110" s="32" t="str">
        <f>IF(COUNTIF(L110:N110,"?*")=$N$6,"✅ CUBIERTO",IF(COUNTIF(L110:N110,"?*")&gt;$N$6,"⚠ EXCESO",
IF(COUNTIF(L110:N110,"?*")&gt;0,"⚠ FALTANTE", "❌ SIN COMPLETAR")))</f>
        <v>❌ SIN COMPLETAR</v>
      </c>
      <c r="P110" s="17"/>
      <c r="Q110" s="29">
        <v>45973</v>
      </c>
      <c r="R110" s="30" t="str">
        <f>TEXT(Q110,"ddd")</f>
        <v>mié</v>
      </c>
      <c r="S110" s="28">
        <v>0.45833333333333331</v>
      </c>
      <c r="T110" s="31"/>
      <c r="U110" s="31"/>
      <c r="V110" s="31"/>
      <c r="W110" s="40" t="s">
        <v>16</v>
      </c>
      <c r="Y110" s="29">
        <v>45973</v>
      </c>
      <c r="Z110" s="30" t="str">
        <f>TEXT(Y110,"ddd")</f>
        <v>mié</v>
      </c>
      <c r="AA110" s="28">
        <v>0.45833333333333331</v>
      </c>
      <c r="AB110" s="31"/>
      <c r="AC110" s="31"/>
      <c r="AD110" s="31"/>
      <c r="AE110" s="32" t="str">
        <f t="shared" si="42"/>
        <v>❌ SIN COMPLETAR</v>
      </c>
    </row>
    <row r="111" spans="1:31" x14ac:dyDescent="0.3">
      <c r="A111" s="29">
        <v>45973</v>
      </c>
      <c r="B111" s="30" t="str">
        <f t="shared" ref="B111:B117" si="51">TEXT(A111,"ddd")</f>
        <v>mié</v>
      </c>
      <c r="C111" s="28">
        <v>0.5</v>
      </c>
      <c r="D111" s="31"/>
      <c r="E111" s="31"/>
      <c r="F111" s="31"/>
      <c r="G111" s="40" t="str">
        <f>IF(COUNTIF(D111:F111,"?*")=$N$5,"✅ CUBIERTO",
IF(COUNTIF(D111:F111,"?*")&gt;$N$5,"⚠ EXCESO",IF(COUNTIF(D111:F111,"?*")&gt;0,"⚠ FALTANTE",
"❌ SIN COMPLETAR")))</f>
        <v>❌ SIN COMPLETAR</v>
      </c>
      <c r="H111" s="17"/>
      <c r="I111" s="29">
        <v>45973</v>
      </c>
      <c r="J111" s="30" t="str">
        <f t="shared" ref="J111:J117" si="52">TEXT(I111,"ddd")</f>
        <v>mié</v>
      </c>
      <c r="K111" s="28">
        <v>0.5</v>
      </c>
      <c r="L111" s="31"/>
      <c r="M111" s="31"/>
      <c r="N111" s="31"/>
      <c r="O111" s="32" t="str">
        <f>IF(COUNTIF(L111:N111,"?*")=$N$6,"✅ CUBIERTO",IF(COUNTIF(L111:N111,"?*")&gt;$N$6,"⚠ EXCESO",
IF(COUNTIF(L111:N111,"?*")&gt;0,"⚠ FALTANTE", "❌ SIN COMPLETAR")))</f>
        <v>❌ SIN COMPLETAR</v>
      </c>
      <c r="P111" s="17"/>
      <c r="Q111" s="29">
        <v>45973</v>
      </c>
      <c r="R111" s="30" t="str">
        <f t="shared" ref="R111:R117" si="53">TEXT(Q111,"ddd")</f>
        <v>mié</v>
      </c>
      <c r="S111" s="28">
        <v>0.5</v>
      </c>
      <c r="T111" s="31"/>
      <c r="U111" s="31"/>
      <c r="V111" s="31"/>
      <c r="W111" s="40" t="str">
        <f>IF(COUNTIF(T111:V111,"?*")=$N$7,"✅ CUBIERTO",IF(COUNTIF(T111:V111,"?*")&gt;$N$7,"⚠ EXCESO",
IF(COUNTIF(T111:V111,"?*")&gt;0,"⚠ FALTANTE", "❌ SIN COMPLETAR")))</f>
        <v>❌ SIN COMPLETAR</v>
      </c>
      <c r="Y111" s="29">
        <v>45973</v>
      </c>
      <c r="Z111" s="30" t="str">
        <f t="shared" ref="Z111:Z117" si="54">TEXT(Y111,"ddd")</f>
        <v>mié</v>
      </c>
      <c r="AA111" s="28">
        <v>0.5</v>
      </c>
      <c r="AB111" s="31"/>
      <c r="AC111" s="31"/>
      <c r="AD111" s="31"/>
      <c r="AE111" s="32" t="str">
        <f t="shared" si="42"/>
        <v>❌ SIN COMPLETAR</v>
      </c>
    </row>
    <row r="112" spans="1:31" x14ac:dyDescent="0.3">
      <c r="A112" s="29">
        <v>45973</v>
      </c>
      <c r="B112" s="30" t="str">
        <f t="shared" si="51"/>
        <v>mié</v>
      </c>
      <c r="C112" s="28">
        <v>0.54166666666666696</v>
      </c>
      <c r="D112" s="31"/>
      <c r="E112" s="31"/>
      <c r="F112" s="31"/>
      <c r="G112" s="40" t="str">
        <f>IF(COUNTIF(D112:F112,"?*")=$N$5,"✅ CUBIERTO",
IF(COUNTIF(D112:F112,"?*")&gt;$N$5,"⚠ EXCESO",IF(COUNTIF(D112:F112,"?*")&gt;0,"⚠ FALTANTE",
"❌ SIN COMPLETAR")))</f>
        <v>❌ SIN COMPLETAR</v>
      </c>
      <c r="H112" s="17"/>
      <c r="I112" s="29">
        <v>45973</v>
      </c>
      <c r="J112" s="30" t="str">
        <f t="shared" si="52"/>
        <v>mié</v>
      </c>
      <c r="K112" s="28">
        <v>0.54166666666666696</v>
      </c>
      <c r="L112" s="31"/>
      <c r="M112" s="31"/>
      <c r="N112" s="31"/>
      <c r="O112" s="32" t="str">
        <f>IF(COUNTIF(L112:N112,"?*")=$N$6,"✅ CUBIERTO",IF(COUNTIF(L112:N112,"?*")&gt;$N$6,"⚠ EXCESO",
IF(COUNTIF(L112:N112,"?*")&gt;0,"⚠ FALTANTE", "❌ SIN COMPLETAR")))</f>
        <v>❌ SIN COMPLETAR</v>
      </c>
      <c r="P112" s="17"/>
      <c r="Q112" s="29">
        <v>45973</v>
      </c>
      <c r="R112" s="30" t="str">
        <f t="shared" si="53"/>
        <v>mié</v>
      </c>
      <c r="S112" s="28">
        <v>0.54166666666666696</v>
      </c>
      <c r="T112" s="31"/>
      <c r="U112" s="31"/>
      <c r="V112" s="31"/>
      <c r="W112" s="40" t="str">
        <f>IF(COUNTIF(T112:V112,"?*")=$N$7,"✅ CUBIERTO",IF(COUNTIF(T112:V112,"?*")&gt;$N$7,"⚠ EXCESO",
IF(COUNTIF(T112:V112,"?*")&gt;0,"⚠ FALTANTE", "❌ SIN COMPLETAR")))</f>
        <v>❌ SIN COMPLETAR</v>
      </c>
      <c r="Y112" s="29">
        <v>45973</v>
      </c>
      <c r="Z112" s="30" t="str">
        <f t="shared" si="54"/>
        <v>mié</v>
      </c>
      <c r="AA112" s="28">
        <v>0.54166666666666696</v>
      </c>
      <c r="AB112" s="31"/>
      <c r="AC112" s="31"/>
      <c r="AD112" s="31"/>
      <c r="AE112" s="32" t="str">
        <f t="shared" si="42"/>
        <v>❌ SIN COMPLETAR</v>
      </c>
    </row>
    <row r="113" spans="1:31" x14ac:dyDescent="0.3">
      <c r="A113" s="29">
        <v>45973</v>
      </c>
      <c r="B113" s="30" t="str">
        <f t="shared" si="51"/>
        <v>mié</v>
      </c>
      <c r="C113" s="28">
        <v>0.58333333333333304</v>
      </c>
      <c r="D113" s="31"/>
      <c r="E113" s="31"/>
      <c r="F113" s="31"/>
      <c r="G113" s="40" t="str">
        <f>IF(COUNTIF(D113:F113,"?*")=$N$5,"✅ CUBIERTO",
IF(COUNTIF(D113:F113,"?*")&gt;$N$5,"⚠ EXCESO",IF(COUNTIF(D113:F113,"?*")&gt;0,"⚠ FALTANTE",
"❌ SIN COMPLETAR")))</f>
        <v>❌ SIN COMPLETAR</v>
      </c>
      <c r="H113" s="17"/>
      <c r="I113" s="29">
        <v>45973</v>
      </c>
      <c r="J113" s="30" t="str">
        <f t="shared" si="52"/>
        <v>mié</v>
      </c>
      <c r="K113" s="28">
        <v>0.58333333333333304</v>
      </c>
      <c r="L113" s="31"/>
      <c r="M113" s="31"/>
      <c r="N113" s="31"/>
      <c r="O113" s="32" t="str">
        <f>IF(COUNTIF(L113:N113,"?*")=$N$6,"✅ CUBIERTO",IF(COUNTIF(L113:N113,"?*")&gt;$N$6,"⚠ EXCESO",
IF(COUNTIF(L113:N113,"?*")&gt;0,"⚠ FALTANTE", "❌ SIN COMPLETAR")))</f>
        <v>❌ SIN COMPLETAR</v>
      </c>
      <c r="P113" s="17"/>
      <c r="Q113" s="29">
        <v>45973</v>
      </c>
      <c r="R113" s="30" t="str">
        <f t="shared" si="53"/>
        <v>mié</v>
      </c>
      <c r="S113" s="28">
        <v>0.58333333333333304</v>
      </c>
      <c r="T113" s="31"/>
      <c r="U113" s="31"/>
      <c r="V113" s="31"/>
      <c r="W113" s="40" t="str">
        <f>IF(COUNTIF(T113:V113,"?*")=$N$7,"✅ CUBIERTO",IF(COUNTIF(T113:V113,"?*")&gt;$N$7,"⚠ EXCESO",
IF(COUNTIF(T113:V113,"?*")&gt;0,"⚠ FALTANTE", "❌ SIN COMPLETAR")))</f>
        <v>❌ SIN COMPLETAR</v>
      </c>
      <c r="Y113" s="29">
        <v>45973</v>
      </c>
      <c r="Z113" s="30" t="str">
        <f t="shared" si="54"/>
        <v>mié</v>
      </c>
      <c r="AA113" s="28">
        <v>0.58333333333333304</v>
      </c>
      <c r="AB113" s="31"/>
      <c r="AC113" s="31"/>
      <c r="AD113" s="31"/>
      <c r="AE113" s="32" t="str">
        <f t="shared" si="42"/>
        <v>❌ SIN COMPLETAR</v>
      </c>
    </row>
    <row r="114" spans="1:31" x14ac:dyDescent="0.3">
      <c r="A114" s="29">
        <v>45973</v>
      </c>
      <c r="B114" s="30" t="str">
        <f t="shared" si="51"/>
        <v>mié</v>
      </c>
      <c r="C114" s="28">
        <v>0.625</v>
      </c>
      <c r="D114" s="31"/>
      <c r="E114" s="31"/>
      <c r="F114" s="31"/>
      <c r="G114" s="40" t="str">
        <f>IF(COUNTIF(D114:F114,"?*")=$N$5,"✅ CUBIERTO",
IF(COUNTIF(D114:F114,"?*")&gt;$N$5,"⚠ EXCESO",IF(COUNTIF(D114:F114,"?*")&gt;0,"⚠ FALTANTE",
"❌ SIN COMPLETAR")))</f>
        <v>❌ SIN COMPLETAR</v>
      </c>
      <c r="H114" s="17"/>
      <c r="I114" s="29">
        <v>45973</v>
      </c>
      <c r="J114" s="30" t="str">
        <f t="shared" si="52"/>
        <v>mié</v>
      </c>
      <c r="K114" s="28">
        <v>0.625</v>
      </c>
      <c r="L114" s="31"/>
      <c r="M114" s="31"/>
      <c r="N114" s="31"/>
      <c r="O114" s="32" t="str">
        <f>IF(COUNTIF(L114:N114,"?*")=$N$6,"✅ CUBIERTO",IF(COUNTIF(L114:N114,"?*")&gt;$N$6,"⚠ EXCESO",
IF(COUNTIF(L114:N114,"?*")&gt;0,"⚠ FALTANTE", "❌ SIN COMPLETAR")))</f>
        <v>❌ SIN COMPLETAR</v>
      </c>
      <c r="P114" s="17"/>
      <c r="Q114" s="29">
        <v>45973</v>
      </c>
      <c r="R114" s="30" t="str">
        <f t="shared" si="53"/>
        <v>mié</v>
      </c>
      <c r="S114" s="28">
        <v>0.625</v>
      </c>
      <c r="T114" s="31"/>
      <c r="U114" s="31"/>
      <c r="V114" s="31"/>
      <c r="W114" s="40" t="str">
        <f>IF(COUNTIF(T114:V114,"?*")=$N$7,"✅ CUBIERTO",IF(COUNTIF(T114:V114,"?*")&gt;$N$7,"⚠ EXCESO",
IF(COUNTIF(T114:V114,"?*")&gt;0,"⚠ FALTANTE", "❌ SIN COMPLETAR")))</f>
        <v>❌ SIN COMPLETAR</v>
      </c>
      <c r="Y114" s="29">
        <v>45973</v>
      </c>
      <c r="Z114" s="30" t="str">
        <f t="shared" si="54"/>
        <v>mié</v>
      </c>
      <c r="AA114" s="28">
        <v>0.625</v>
      </c>
      <c r="AB114" s="31"/>
      <c r="AC114" s="31"/>
      <c r="AD114" s="31"/>
      <c r="AE114" s="32" t="str">
        <f t="shared" si="42"/>
        <v>❌ SIN COMPLETAR</v>
      </c>
    </row>
    <row r="115" spans="1:31" x14ac:dyDescent="0.3">
      <c r="A115" s="29">
        <v>45973</v>
      </c>
      <c r="B115" s="30" t="str">
        <f t="shared" si="51"/>
        <v>mié</v>
      </c>
      <c r="C115" s="28">
        <v>0.66666666666666696</v>
      </c>
      <c r="D115" s="31"/>
      <c r="E115" s="31"/>
      <c r="F115" s="31"/>
      <c r="G115" s="40" t="str">
        <f>IF(COUNTIF(D115:F115,"?*")=$N$5,"✅ CUBIERTO",
IF(COUNTIF(D115:F115,"?*")&gt;$N$5,"⚠ EXCESO",IF(COUNTIF(D115:F115,"?*")&gt;0,"⚠ FALTANTE",
"❌ SIN COMPLETAR")))</f>
        <v>❌ SIN COMPLETAR</v>
      </c>
      <c r="H115" s="17"/>
      <c r="I115" s="29">
        <v>45973</v>
      </c>
      <c r="J115" s="30" t="str">
        <f t="shared" si="52"/>
        <v>mié</v>
      </c>
      <c r="K115" s="28">
        <v>0.66666666666666696</v>
      </c>
      <c r="L115" s="31"/>
      <c r="M115" s="31"/>
      <c r="N115" s="31"/>
      <c r="O115" s="32" t="str">
        <f>IF(COUNTIF(L115:N115,"?*")=$N$6,"✅ CUBIERTO",IF(COUNTIF(L115:N115,"?*")&gt;$N$6,"⚠ EXCESO",
IF(COUNTIF(L115:N115,"?*")&gt;0,"⚠ FALTANTE", "❌ SIN COMPLETAR")))</f>
        <v>❌ SIN COMPLETAR</v>
      </c>
      <c r="P115" s="17"/>
      <c r="Q115" s="29">
        <v>45973</v>
      </c>
      <c r="R115" s="30" t="str">
        <f t="shared" si="53"/>
        <v>mié</v>
      </c>
      <c r="S115" s="28">
        <v>0.66666666666666696</v>
      </c>
      <c r="T115" s="31"/>
      <c r="U115" s="31"/>
      <c r="V115" s="31"/>
      <c r="W115" s="40" t="str">
        <f>IF(COUNTIF(T115:V115,"?*")=$N$7,"✅ CUBIERTO",IF(COUNTIF(T115:V115,"?*")&gt;$N$7,"⚠ EXCESO",
IF(COUNTIF(T115:V115,"?*")&gt;0,"⚠ FALTANTE", "❌ SIN COMPLETAR")))</f>
        <v>❌ SIN COMPLETAR</v>
      </c>
      <c r="Y115" s="29">
        <v>45973</v>
      </c>
      <c r="Z115" s="30" t="str">
        <f t="shared" si="54"/>
        <v>mié</v>
      </c>
      <c r="AA115" s="28">
        <v>0.66666666666666696</v>
      </c>
      <c r="AB115" s="31"/>
      <c r="AC115" s="31"/>
      <c r="AD115" s="31"/>
      <c r="AE115" s="32" t="str">
        <f t="shared" si="42"/>
        <v>❌ SIN COMPLETAR</v>
      </c>
    </row>
    <row r="116" spans="1:31" x14ac:dyDescent="0.3">
      <c r="A116" s="29">
        <v>45973</v>
      </c>
      <c r="B116" s="30" t="str">
        <f t="shared" si="51"/>
        <v>mié</v>
      </c>
      <c r="C116" s="28">
        <v>0.70833333333333304</v>
      </c>
      <c r="D116" s="31"/>
      <c r="E116" s="31"/>
      <c r="F116" s="31"/>
      <c r="G116" s="40" t="str">
        <f>IF(COUNTIF(D116:F116,"?*")=$N$5,"✅ CUBIERTO",
IF(COUNTIF(D116:F116,"?*")&gt;$N$5,"⚠ EXCESO",IF(COUNTIF(D116:F116,"?*")&gt;0,"⚠ FALTANTE",
"❌ SIN COMPLETAR")))</f>
        <v>❌ SIN COMPLETAR</v>
      </c>
      <c r="H116" s="17"/>
      <c r="I116" s="29">
        <v>45973</v>
      </c>
      <c r="J116" s="30" t="str">
        <f t="shared" si="52"/>
        <v>mié</v>
      </c>
      <c r="K116" s="28">
        <v>0.70833333333333304</v>
      </c>
      <c r="L116" s="31"/>
      <c r="M116" s="31"/>
      <c r="N116" s="31"/>
      <c r="O116" s="32" t="str">
        <f>IF(COUNTIF(L116:N116,"?*")=$N$6,"✅ CUBIERTO",IF(COUNTIF(L116:N116,"?*")&gt;$N$6,"⚠ EXCESO",
IF(COUNTIF(L116:N116,"?*")&gt;0,"⚠ FALTANTE", "❌ SIN COMPLETAR")))</f>
        <v>❌ SIN COMPLETAR</v>
      </c>
      <c r="P116" s="17"/>
      <c r="Q116" s="29">
        <v>45973</v>
      </c>
      <c r="R116" s="30" t="str">
        <f t="shared" si="53"/>
        <v>mié</v>
      </c>
      <c r="S116" s="28">
        <v>0.70833333333333304</v>
      </c>
      <c r="T116" s="31"/>
      <c r="U116" s="31"/>
      <c r="V116" s="31"/>
      <c r="W116" s="40" t="str">
        <f>IF(COUNTIF(T116:V116,"?*")=$N$7,"✅ CUBIERTO",IF(COUNTIF(T116:V116,"?*")&gt;$N$7,"⚠ EXCESO",
IF(COUNTIF(T116:V116,"?*")&gt;0,"⚠ FALTANTE", "❌ SIN COMPLETAR")))</f>
        <v>❌ SIN COMPLETAR</v>
      </c>
      <c r="Y116" s="29">
        <v>45973</v>
      </c>
      <c r="Z116" s="30" t="str">
        <f t="shared" si="54"/>
        <v>mié</v>
      </c>
      <c r="AA116" s="28">
        <v>0.70833333333333304</v>
      </c>
      <c r="AB116" s="31"/>
      <c r="AC116" s="31"/>
      <c r="AD116" s="31"/>
      <c r="AE116" s="32" t="str">
        <f t="shared" si="42"/>
        <v>❌ SIN COMPLETAR</v>
      </c>
    </row>
    <row r="117" spans="1:31" x14ac:dyDescent="0.3">
      <c r="A117" s="29">
        <v>45973</v>
      </c>
      <c r="B117" s="30" t="str">
        <f t="shared" si="51"/>
        <v>mié</v>
      </c>
      <c r="C117" s="28">
        <v>0.75</v>
      </c>
      <c r="D117" s="31"/>
      <c r="E117" s="31"/>
      <c r="F117" s="31"/>
      <c r="G117" s="40" t="str">
        <f>IF(COUNTIF(D117:F117,"?*")=$N$5,"✅ CUBIERTO",
IF(COUNTIF(D117:F117,"?*")&gt;$N$5,"⚠ EXCESO",IF(COUNTIF(D117:F117,"?*")&gt;0,"⚠ FALTANTE",
"❌ SIN COMPLETAR")))</f>
        <v>❌ SIN COMPLETAR</v>
      </c>
      <c r="H117" s="17"/>
      <c r="I117" s="29">
        <v>45973</v>
      </c>
      <c r="J117" s="30" t="str">
        <f t="shared" si="52"/>
        <v>mié</v>
      </c>
      <c r="K117" s="28">
        <v>0.75</v>
      </c>
      <c r="L117" s="41"/>
      <c r="M117" s="41"/>
      <c r="N117" s="41"/>
      <c r="O117" s="32" t="str">
        <f>IF(COUNTIF(L117:N117,"?*")=$N$6,"✅ CUBIERTO",IF(COUNTIF(L117:N117,"?*")&gt;$N$6,"⚠ EXCESO",
IF(COUNTIF(L117:N117,"?*")&gt;0,"⚠ FALTANTE", "❌ SIN COMPLETAR")))</f>
        <v>❌ SIN COMPLETAR</v>
      </c>
      <c r="P117" s="17"/>
      <c r="Q117" s="29">
        <v>45973</v>
      </c>
      <c r="R117" s="30" t="str">
        <f t="shared" si="53"/>
        <v>mié</v>
      </c>
      <c r="S117" s="28">
        <v>0.75</v>
      </c>
      <c r="T117" s="31"/>
      <c r="U117" s="31"/>
      <c r="V117" s="31"/>
      <c r="W117" s="40" t="s">
        <v>16</v>
      </c>
      <c r="Y117" s="29">
        <v>45973</v>
      </c>
      <c r="Z117" s="30" t="str">
        <f t="shared" si="54"/>
        <v>mié</v>
      </c>
      <c r="AA117" s="28">
        <v>0.75</v>
      </c>
      <c r="AB117" s="41"/>
      <c r="AC117" s="41"/>
      <c r="AD117" s="41"/>
      <c r="AE117" s="32" t="str">
        <f t="shared" si="42"/>
        <v>❌ SIN COMPLETAR</v>
      </c>
    </row>
    <row r="118" spans="1:31" x14ac:dyDescent="0.3">
      <c r="A118" s="29">
        <v>45974</v>
      </c>
      <c r="B118" s="30" t="str">
        <f>TEXT(A118,"ddd")</f>
        <v>jue</v>
      </c>
      <c r="C118" s="28">
        <v>0.45833333333333331</v>
      </c>
      <c r="D118" s="31"/>
      <c r="E118" s="31"/>
      <c r="F118" s="31"/>
      <c r="G118" s="40" t="str">
        <f>IF(COUNTIF(D118:F118,"?*")=$N$5,"✅ CUBIERTO",
IF(COUNTIF(D118:F118,"?*")&gt;$N$5,"⚠ EXCESO",IF(COUNTIF(D118:F118,"?*")&gt;0,"⚠ FALTANTE",
"❌ SIN COMPLETAR")))</f>
        <v>❌ SIN COMPLETAR</v>
      </c>
      <c r="H118" s="17"/>
      <c r="I118" s="29">
        <v>45974</v>
      </c>
      <c r="J118" s="30" t="str">
        <f>TEXT(I118,"ddd")</f>
        <v>jue</v>
      </c>
      <c r="K118" s="28">
        <v>0.45833333333333331</v>
      </c>
      <c r="L118" s="31"/>
      <c r="M118" s="31"/>
      <c r="N118" s="31"/>
      <c r="O118" s="32" t="str">
        <f>IF(COUNTIF(L118:N118,"?*")=$N$6,"✅ CUBIERTO",IF(COUNTIF(L118:N118,"?*")&gt;$N$6,"⚠ EXCESO",
IF(COUNTIF(L118:N118,"?*")&gt;0,"⚠ FALTANTE", "❌ SIN COMPLETAR")))</f>
        <v>❌ SIN COMPLETAR</v>
      </c>
      <c r="P118" s="17"/>
      <c r="Q118" s="29">
        <v>45974</v>
      </c>
      <c r="R118" s="30" t="str">
        <f>TEXT(Q118,"ddd")</f>
        <v>jue</v>
      </c>
      <c r="S118" s="28">
        <v>0.45833333333333331</v>
      </c>
      <c r="T118" s="31"/>
      <c r="U118" s="31"/>
      <c r="V118" s="31"/>
      <c r="W118" s="40" t="s">
        <v>16</v>
      </c>
      <c r="Y118" s="29">
        <v>45974</v>
      </c>
      <c r="Z118" s="30" t="str">
        <f>TEXT(Y118,"ddd")</f>
        <v>jue</v>
      </c>
      <c r="AA118" s="28">
        <v>0.45833333333333331</v>
      </c>
      <c r="AB118" s="31"/>
      <c r="AC118" s="31"/>
      <c r="AD118" s="31"/>
      <c r="AE118" s="32" t="str">
        <f t="shared" si="42"/>
        <v>❌ SIN COMPLETAR</v>
      </c>
    </row>
    <row r="119" spans="1:31" x14ac:dyDescent="0.3">
      <c r="A119" s="29">
        <v>45974</v>
      </c>
      <c r="B119" s="30" t="str">
        <f t="shared" ref="B119:B125" si="55">TEXT(A119,"ddd")</f>
        <v>jue</v>
      </c>
      <c r="C119" s="28">
        <v>0.5</v>
      </c>
      <c r="D119" s="31"/>
      <c r="E119" s="31"/>
      <c r="F119" s="31"/>
      <c r="G119" s="40" t="str">
        <f>IF(COUNTIF(D119:F119,"?*")=$N$5,"✅ CUBIERTO",
IF(COUNTIF(D119:F119,"?*")&gt;$N$5,"⚠ EXCESO",IF(COUNTIF(D119:F119,"?*")&gt;0,"⚠ FALTANTE",
"❌ SIN COMPLETAR")))</f>
        <v>❌ SIN COMPLETAR</v>
      </c>
      <c r="H119" s="17"/>
      <c r="I119" s="29">
        <v>45974</v>
      </c>
      <c r="J119" s="30" t="str">
        <f t="shared" ref="J119:J125" si="56">TEXT(I119,"ddd")</f>
        <v>jue</v>
      </c>
      <c r="K119" s="28">
        <v>0.5</v>
      </c>
      <c r="L119" s="31"/>
      <c r="M119" s="31"/>
      <c r="N119" s="31"/>
      <c r="O119" s="32" t="str">
        <f>IF(COUNTIF(L119:N119,"?*")=$N$6,"✅ CUBIERTO",IF(COUNTIF(L119:N119,"?*")&gt;$N$6,"⚠ EXCESO",
IF(COUNTIF(L119:N119,"?*")&gt;0,"⚠ FALTANTE", "❌ SIN COMPLETAR")))</f>
        <v>❌ SIN COMPLETAR</v>
      </c>
      <c r="P119" s="17"/>
      <c r="Q119" s="29">
        <v>45974</v>
      </c>
      <c r="R119" s="30" t="str">
        <f t="shared" ref="R119:R125" si="57">TEXT(Q119,"ddd")</f>
        <v>jue</v>
      </c>
      <c r="S119" s="28">
        <v>0.5</v>
      </c>
      <c r="T119" s="31"/>
      <c r="U119" s="31"/>
      <c r="V119" s="31"/>
      <c r="W119" s="40" t="str">
        <f>IF(COUNTIF(T119:V119,"?*")=$N$7,"✅ CUBIERTO",IF(COUNTIF(T119:V119,"?*")&gt;$N$7,"⚠ EXCESO",
IF(COUNTIF(T119:V119,"?*")&gt;0,"⚠ FALTANTE", "❌ SIN COMPLETAR")))</f>
        <v>❌ SIN COMPLETAR</v>
      </c>
      <c r="Y119" s="29">
        <v>45974</v>
      </c>
      <c r="Z119" s="30" t="str">
        <f t="shared" ref="Z119:Z125" si="58">TEXT(Y119,"ddd")</f>
        <v>jue</v>
      </c>
      <c r="AA119" s="28">
        <v>0.5</v>
      </c>
      <c r="AB119" s="31"/>
      <c r="AC119" s="31"/>
      <c r="AD119" s="31"/>
      <c r="AE119" s="32" t="str">
        <f t="shared" si="42"/>
        <v>❌ SIN COMPLETAR</v>
      </c>
    </row>
    <row r="120" spans="1:31" x14ac:dyDescent="0.3">
      <c r="A120" s="29">
        <v>45974</v>
      </c>
      <c r="B120" s="30" t="str">
        <f t="shared" si="55"/>
        <v>jue</v>
      </c>
      <c r="C120" s="28">
        <v>0.54166666666666696</v>
      </c>
      <c r="D120" s="31"/>
      <c r="E120" s="31"/>
      <c r="F120" s="31"/>
      <c r="G120" s="40" t="str">
        <f>IF(COUNTIF(D120:F120,"?*")=$N$5,"✅ CUBIERTO",
IF(COUNTIF(D120:F120,"?*")&gt;$N$5,"⚠ EXCESO",IF(COUNTIF(D120:F120,"?*")&gt;0,"⚠ FALTANTE",
"❌ SIN COMPLETAR")))</f>
        <v>❌ SIN COMPLETAR</v>
      </c>
      <c r="H120" s="17"/>
      <c r="I120" s="29">
        <v>45974</v>
      </c>
      <c r="J120" s="30" t="str">
        <f t="shared" si="56"/>
        <v>jue</v>
      </c>
      <c r="K120" s="28">
        <v>0.54166666666666696</v>
      </c>
      <c r="L120" s="31"/>
      <c r="M120" s="31"/>
      <c r="N120" s="31"/>
      <c r="O120" s="32" t="str">
        <f>IF(COUNTIF(L120:N120,"?*")=$N$6,"✅ CUBIERTO",IF(COUNTIF(L120:N120,"?*")&gt;$N$6,"⚠ EXCESO",
IF(COUNTIF(L120:N120,"?*")&gt;0,"⚠ FALTANTE", "❌ SIN COMPLETAR")))</f>
        <v>❌ SIN COMPLETAR</v>
      </c>
      <c r="P120" s="17"/>
      <c r="Q120" s="29">
        <v>45974</v>
      </c>
      <c r="R120" s="30" t="str">
        <f t="shared" si="57"/>
        <v>jue</v>
      </c>
      <c r="S120" s="28">
        <v>0.54166666666666696</v>
      </c>
      <c r="T120" s="31"/>
      <c r="U120" s="31"/>
      <c r="V120" s="31"/>
      <c r="W120" s="40" t="str">
        <f>IF(COUNTIF(T120:V120,"?*")=$N$7,"✅ CUBIERTO",IF(COUNTIF(T120:V120,"?*")&gt;$N$7,"⚠ EXCESO",
IF(COUNTIF(T120:V120,"?*")&gt;0,"⚠ FALTANTE", "❌ SIN COMPLETAR")))</f>
        <v>❌ SIN COMPLETAR</v>
      </c>
      <c r="Y120" s="29">
        <v>45974</v>
      </c>
      <c r="Z120" s="30" t="str">
        <f t="shared" si="58"/>
        <v>jue</v>
      </c>
      <c r="AA120" s="28">
        <v>0.54166666666666696</v>
      </c>
      <c r="AB120" s="31"/>
      <c r="AC120" s="31"/>
      <c r="AD120" s="31"/>
      <c r="AE120" s="32" t="str">
        <f t="shared" si="42"/>
        <v>❌ SIN COMPLETAR</v>
      </c>
    </row>
    <row r="121" spans="1:31" x14ac:dyDescent="0.3">
      <c r="A121" s="29">
        <v>45974</v>
      </c>
      <c r="B121" s="30" t="str">
        <f t="shared" si="55"/>
        <v>jue</v>
      </c>
      <c r="C121" s="28">
        <v>0.58333333333333304</v>
      </c>
      <c r="D121" s="31"/>
      <c r="E121" s="31"/>
      <c r="F121" s="31"/>
      <c r="G121" s="40" t="str">
        <f>IF(COUNTIF(D121:F121,"?*")=$N$5,"✅ CUBIERTO",
IF(COUNTIF(D121:F121,"?*")&gt;$N$5,"⚠ EXCESO",IF(COUNTIF(D121:F121,"?*")&gt;0,"⚠ FALTANTE",
"❌ SIN COMPLETAR")))</f>
        <v>❌ SIN COMPLETAR</v>
      </c>
      <c r="H121" s="17"/>
      <c r="I121" s="29">
        <v>45974</v>
      </c>
      <c r="J121" s="30" t="str">
        <f t="shared" si="56"/>
        <v>jue</v>
      </c>
      <c r="K121" s="28">
        <v>0.58333333333333304</v>
      </c>
      <c r="L121" s="31"/>
      <c r="M121" s="31"/>
      <c r="N121" s="31"/>
      <c r="O121" s="32" t="str">
        <f>IF(COUNTIF(L121:N121,"?*")=$N$6,"✅ CUBIERTO",IF(COUNTIF(L121:N121,"?*")&gt;$N$6,"⚠ EXCESO",
IF(COUNTIF(L121:N121,"?*")&gt;0,"⚠ FALTANTE", "❌ SIN COMPLETAR")))</f>
        <v>❌ SIN COMPLETAR</v>
      </c>
      <c r="P121" s="17"/>
      <c r="Q121" s="29">
        <v>45974</v>
      </c>
      <c r="R121" s="30" t="str">
        <f t="shared" si="57"/>
        <v>jue</v>
      </c>
      <c r="S121" s="28">
        <v>0.58333333333333304</v>
      </c>
      <c r="T121" s="31"/>
      <c r="U121" s="31"/>
      <c r="V121" s="31"/>
      <c r="W121" s="40" t="str">
        <f>IF(COUNTIF(T121:V121,"?*")=$N$7,"✅ CUBIERTO",IF(COUNTIF(T121:V121,"?*")&gt;$N$7,"⚠ EXCESO",
IF(COUNTIF(T121:V121,"?*")&gt;0,"⚠ FALTANTE", "❌ SIN COMPLETAR")))</f>
        <v>❌ SIN COMPLETAR</v>
      </c>
      <c r="Y121" s="29">
        <v>45974</v>
      </c>
      <c r="Z121" s="30" t="str">
        <f t="shared" si="58"/>
        <v>jue</v>
      </c>
      <c r="AA121" s="28">
        <v>0.58333333333333304</v>
      </c>
      <c r="AB121" s="31"/>
      <c r="AC121" s="31"/>
      <c r="AD121" s="31"/>
      <c r="AE121" s="32" t="str">
        <f t="shared" si="42"/>
        <v>❌ SIN COMPLETAR</v>
      </c>
    </row>
    <row r="122" spans="1:31" x14ac:dyDescent="0.3">
      <c r="A122" s="29">
        <v>45974</v>
      </c>
      <c r="B122" s="30" t="str">
        <f t="shared" si="55"/>
        <v>jue</v>
      </c>
      <c r="C122" s="28">
        <v>0.625</v>
      </c>
      <c r="D122" s="31"/>
      <c r="E122" s="31"/>
      <c r="F122" s="31"/>
      <c r="G122" s="40" t="str">
        <f>IF(COUNTIF(D122:F122,"?*")=$N$5,"✅ CUBIERTO",
IF(COUNTIF(D122:F122,"?*")&gt;$N$5,"⚠ EXCESO",IF(COUNTIF(D122:F122,"?*")&gt;0,"⚠ FALTANTE",
"❌ SIN COMPLETAR")))</f>
        <v>❌ SIN COMPLETAR</v>
      </c>
      <c r="H122" s="17"/>
      <c r="I122" s="29">
        <v>45974</v>
      </c>
      <c r="J122" s="30" t="str">
        <f t="shared" si="56"/>
        <v>jue</v>
      </c>
      <c r="K122" s="28">
        <v>0.625</v>
      </c>
      <c r="L122" s="31"/>
      <c r="M122" s="31"/>
      <c r="N122" s="31"/>
      <c r="O122" s="32" t="str">
        <f>IF(COUNTIF(L122:N122,"?*")=$N$6,"✅ CUBIERTO",IF(COUNTIF(L122:N122,"?*")&gt;$N$6,"⚠ EXCESO",
IF(COUNTIF(L122:N122,"?*")&gt;0,"⚠ FALTANTE", "❌ SIN COMPLETAR")))</f>
        <v>❌ SIN COMPLETAR</v>
      </c>
      <c r="P122" s="17"/>
      <c r="Q122" s="29">
        <v>45974</v>
      </c>
      <c r="R122" s="30" t="str">
        <f t="shared" si="57"/>
        <v>jue</v>
      </c>
      <c r="S122" s="28">
        <v>0.625</v>
      </c>
      <c r="T122" s="31"/>
      <c r="U122" s="31"/>
      <c r="V122" s="31"/>
      <c r="W122" s="40" t="str">
        <f>IF(COUNTIF(T122:V122,"?*")=$N$7,"✅ CUBIERTO",IF(COUNTIF(T122:V122,"?*")&gt;$N$7,"⚠ EXCESO",
IF(COUNTIF(T122:V122,"?*")&gt;0,"⚠ FALTANTE", "❌ SIN COMPLETAR")))</f>
        <v>❌ SIN COMPLETAR</v>
      </c>
      <c r="Y122" s="29">
        <v>45974</v>
      </c>
      <c r="Z122" s="30" t="str">
        <f t="shared" si="58"/>
        <v>jue</v>
      </c>
      <c r="AA122" s="28">
        <v>0.625</v>
      </c>
      <c r="AB122" s="31"/>
      <c r="AC122" s="31"/>
      <c r="AD122" s="31"/>
      <c r="AE122" s="32" t="str">
        <f t="shared" si="42"/>
        <v>❌ SIN COMPLETAR</v>
      </c>
    </row>
    <row r="123" spans="1:31" x14ac:dyDescent="0.3">
      <c r="A123" s="29">
        <v>45974</v>
      </c>
      <c r="B123" s="30" t="str">
        <f t="shared" si="55"/>
        <v>jue</v>
      </c>
      <c r="C123" s="28">
        <v>0.66666666666666696</v>
      </c>
      <c r="D123" s="31"/>
      <c r="E123" s="31"/>
      <c r="F123" s="31"/>
      <c r="G123" s="40" t="str">
        <f>IF(COUNTIF(D123:F123,"?*")=$N$5,"✅ CUBIERTO",
IF(COUNTIF(D123:F123,"?*")&gt;$N$5,"⚠ EXCESO",IF(COUNTIF(D123:F123,"?*")&gt;0,"⚠ FALTANTE",
"❌ SIN COMPLETAR")))</f>
        <v>❌ SIN COMPLETAR</v>
      </c>
      <c r="H123" s="17"/>
      <c r="I123" s="29">
        <v>45974</v>
      </c>
      <c r="J123" s="30" t="str">
        <f t="shared" si="56"/>
        <v>jue</v>
      </c>
      <c r="K123" s="28">
        <v>0.66666666666666696</v>
      </c>
      <c r="L123" s="31"/>
      <c r="M123" s="31"/>
      <c r="N123" s="31"/>
      <c r="O123" s="32" t="str">
        <f>IF(COUNTIF(L123:N123,"?*")=$N$6,"✅ CUBIERTO",IF(COUNTIF(L123:N123,"?*")&gt;$N$6,"⚠ EXCESO",
IF(COUNTIF(L123:N123,"?*")&gt;0,"⚠ FALTANTE", "❌ SIN COMPLETAR")))</f>
        <v>❌ SIN COMPLETAR</v>
      </c>
      <c r="P123" s="17"/>
      <c r="Q123" s="29">
        <v>45974</v>
      </c>
      <c r="R123" s="30" t="str">
        <f t="shared" si="57"/>
        <v>jue</v>
      </c>
      <c r="S123" s="28">
        <v>0.66666666666666696</v>
      </c>
      <c r="T123" s="31"/>
      <c r="U123" s="31"/>
      <c r="V123" s="31"/>
      <c r="W123" s="40" t="str">
        <f>IF(COUNTIF(T123:V123,"?*")=$N$7,"✅ CUBIERTO",IF(COUNTIF(T123:V123,"?*")&gt;$N$7,"⚠ EXCESO",
IF(COUNTIF(T123:V123,"?*")&gt;0,"⚠ FALTANTE", "❌ SIN COMPLETAR")))</f>
        <v>❌ SIN COMPLETAR</v>
      </c>
      <c r="Y123" s="29">
        <v>45974</v>
      </c>
      <c r="Z123" s="30" t="str">
        <f t="shared" si="58"/>
        <v>jue</v>
      </c>
      <c r="AA123" s="28">
        <v>0.66666666666666696</v>
      </c>
      <c r="AB123" s="31"/>
      <c r="AC123" s="31"/>
      <c r="AD123" s="31"/>
      <c r="AE123" s="32" t="str">
        <f t="shared" si="42"/>
        <v>❌ SIN COMPLETAR</v>
      </c>
    </row>
    <row r="124" spans="1:31" x14ac:dyDescent="0.3">
      <c r="A124" s="29">
        <v>45974</v>
      </c>
      <c r="B124" s="30" t="str">
        <f t="shared" si="55"/>
        <v>jue</v>
      </c>
      <c r="C124" s="28">
        <v>0.70833333333333304</v>
      </c>
      <c r="D124" s="31"/>
      <c r="E124" s="31"/>
      <c r="F124" s="31"/>
      <c r="G124" s="40" t="str">
        <f>IF(COUNTIF(D124:F124,"?*")=$N$5,"✅ CUBIERTO",
IF(COUNTIF(D124:F124,"?*")&gt;$N$5,"⚠ EXCESO",IF(COUNTIF(D124:F124,"?*")&gt;0,"⚠ FALTANTE",
"❌ SIN COMPLETAR")))</f>
        <v>❌ SIN COMPLETAR</v>
      </c>
      <c r="H124" s="17"/>
      <c r="I124" s="29">
        <v>45974</v>
      </c>
      <c r="J124" s="30" t="str">
        <f t="shared" si="56"/>
        <v>jue</v>
      </c>
      <c r="K124" s="28">
        <v>0.70833333333333304</v>
      </c>
      <c r="L124" s="31"/>
      <c r="M124" s="31"/>
      <c r="N124" s="31"/>
      <c r="O124" s="32" t="str">
        <f>IF(COUNTIF(L124:N124,"?*")=$N$6,"✅ CUBIERTO",IF(COUNTIF(L124:N124,"?*")&gt;$N$6,"⚠ EXCESO",
IF(COUNTIF(L124:N124,"?*")&gt;0,"⚠ FALTANTE", "❌ SIN COMPLETAR")))</f>
        <v>❌ SIN COMPLETAR</v>
      </c>
      <c r="P124" s="17"/>
      <c r="Q124" s="29">
        <v>45974</v>
      </c>
      <c r="R124" s="30" t="str">
        <f t="shared" si="57"/>
        <v>jue</v>
      </c>
      <c r="S124" s="28">
        <v>0.70833333333333304</v>
      </c>
      <c r="T124" s="31"/>
      <c r="U124" s="31"/>
      <c r="V124" s="31"/>
      <c r="W124" s="40" t="str">
        <f>IF(COUNTIF(T124:V124,"?*")=$N$7,"✅ CUBIERTO",IF(COUNTIF(T124:V124,"?*")&gt;$N$7,"⚠ EXCESO",
IF(COUNTIF(T124:V124,"?*")&gt;0,"⚠ FALTANTE", "❌ SIN COMPLETAR")))</f>
        <v>❌ SIN COMPLETAR</v>
      </c>
      <c r="Y124" s="29">
        <v>45974</v>
      </c>
      <c r="Z124" s="30" t="str">
        <f t="shared" si="58"/>
        <v>jue</v>
      </c>
      <c r="AA124" s="28">
        <v>0.70833333333333304</v>
      </c>
      <c r="AB124" s="31"/>
      <c r="AC124" s="31"/>
      <c r="AD124" s="31"/>
      <c r="AE124" s="32" t="str">
        <f t="shared" si="42"/>
        <v>❌ SIN COMPLETAR</v>
      </c>
    </row>
    <row r="125" spans="1:31" x14ac:dyDescent="0.3">
      <c r="A125" s="29">
        <v>45974</v>
      </c>
      <c r="B125" s="30" t="str">
        <f t="shared" si="55"/>
        <v>jue</v>
      </c>
      <c r="C125" s="28">
        <v>0.75</v>
      </c>
      <c r="D125" s="31"/>
      <c r="E125" s="31"/>
      <c r="F125" s="31"/>
      <c r="G125" s="40" t="str">
        <f>IF(COUNTIF(D125:F125,"?*")=$N$5,"✅ CUBIERTO",
IF(COUNTIF(D125:F125,"?*")&gt;$N$5,"⚠ EXCESO",IF(COUNTIF(D125:F125,"?*")&gt;0,"⚠ FALTANTE",
"❌ SIN COMPLETAR")))</f>
        <v>❌ SIN COMPLETAR</v>
      </c>
      <c r="H125" s="17"/>
      <c r="I125" s="29">
        <v>45974</v>
      </c>
      <c r="J125" s="30" t="str">
        <f t="shared" si="56"/>
        <v>jue</v>
      </c>
      <c r="K125" s="28">
        <v>0.75</v>
      </c>
      <c r="L125" s="41"/>
      <c r="M125" s="41"/>
      <c r="N125" s="41"/>
      <c r="O125" s="32" t="str">
        <f>IF(COUNTIF(L125:N125,"?*")=$N$6,"✅ CUBIERTO",IF(COUNTIF(L125:N125,"?*")&gt;$N$6,"⚠ EXCESO",
IF(COUNTIF(L125:N125,"?*")&gt;0,"⚠ FALTANTE", "❌ SIN COMPLETAR")))</f>
        <v>❌ SIN COMPLETAR</v>
      </c>
      <c r="P125" s="17"/>
      <c r="Q125" s="29">
        <v>45974</v>
      </c>
      <c r="R125" s="30" t="str">
        <f t="shared" si="57"/>
        <v>jue</v>
      </c>
      <c r="S125" s="28">
        <v>0.75</v>
      </c>
      <c r="T125" s="31"/>
      <c r="U125" s="31"/>
      <c r="V125" s="31"/>
      <c r="W125" s="40" t="s">
        <v>16</v>
      </c>
      <c r="Y125" s="29">
        <v>45974</v>
      </c>
      <c r="Z125" s="30" t="str">
        <f t="shared" si="58"/>
        <v>jue</v>
      </c>
      <c r="AA125" s="28">
        <v>0.75</v>
      </c>
      <c r="AB125" s="41"/>
      <c r="AC125" s="41"/>
      <c r="AD125" s="41"/>
      <c r="AE125" s="32" t="str">
        <f t="shared" si="42"/>
        <v>❌ SIN COMPLETAR</v>
      </c>
    </row>
    <row r="126" spans="1:31" x14ac:dyDescent="0.3">
      <c r="A126" s="29">
        <v>45975</v>
      </c>
      <c r="B126" s="30" t="str">
        <f>TEXT(A126,"ddd")</f>
        <v>vie</v>
      </c>
      <c r="C126" s="28">
        <v>0.45833333333333331</v>
      </c>
      <c r="D126" s="31"/>
      <c r="E126" s="31"/>
      <c r="F126" s="31"/>
      <c r="G126" s="40" t="str">
        <f>IF(COUNTIF(D126:F126,"?*")=$N$5,"✅ CUBIERTO",
IF(COUNTIF(D126:F126,"?*")&gt;$N$5,"⚠ EXCESO",IF(COUNTIF(D126:F126,"?*")&gt;0,"⚠ FALTANTE",
"❌ SIN COMPLETAR")))</f>
        <v>❌ SIN COMPLETAR</v>
      </c>
      <c r="H126" s="17"/>
      <c r="I126" s="29">
        <v>45975</v>
      </c>
      <c r="J126" s="30" t="str">
        <f>TEXT(I126,"ddd")</f>
        <v>vie</v>
      </c>
      <c r="K126" s="28">
        <v>0.45833333333333331</v>
      </c>
      <c r="L126" s="31"/>
      <c r="M126" s="31"/>
      <c r="N126" s="31"/>
      <c r="O126" s="32" t="str">
        <f>IF(COUNTIF(L126:N126,"?*")=$N$6,"✅ CUBIERTO",IF(COUNTIF(L126:N126,"?*")&gt;$N$6,"⚠ EXCESO",
IF(COUNTIF(L126:N126,"?*")&gt;0,"⚠ FALTANTE", "❌ SIN COMPLETAR")))</f>
        <v>❌ SIN COMPLETAR</v>
      </c>
      <c r="P126" s="17"/>
      <c r="Q126" s="29">
        <v>45975</v>
      </c>
      <c r="R126" s="30" t="str">
        <f>TEXT(Q126,"ddd")</f>
        <v>vie</v>
      </c>
      <c r="S126" s="28">
        <v>0.45833333333333331</v>
      </c>
      <c r="T126" s="31"/>
      <c r="U126" s="31"/>
      <c r="V126" s="31"/>
      <c r="W126" s="40" t="s">
        <v>16</v>
      </c>
      <c r="Y126" s="29">
        <v>45975</v>
      </c>
      <c r="Z126" s="30" t="str">
        <f>TEXT(Y126,"ddd")</f>
        <v>vie</v>
      </c>
      <c r="AA126" s="28">
        <v>0.45833333333333331</v>
      </c>
      <c r="AB126" s="31"/>
      <c r="AC126" s="31"/>
      <c r="AD126" s="31"/>
      <c r="AE126" s="32" t="str">
        <f t="shared" si="42"/>
        <v>❌ SIN COMPLETAR</v>
      </c>
    </row>
    <row r="127" spans="1:31" x14ac:dyDescent="0.3">
      <c r="A127" s="29">
        <v>45975</v>
      </c>
      <c r="B127" s="30" t="str">
        <f t="shared" ref="B127:B133" si="59">TEXT(A127,"ddd")</f>
        <v>vie</v>
      </c>
      <c r="C127" s="28">
        <v>0.5</v>
      </c>
      <c r="D127" s="31"/>
      <c r="E127" s="31"/>
      <c r="F127" s="31"/>
      <c r="G127" s="40" t="str">
        <f>IF(COUNTIF(D127:F127,"?*")=$N$5,"✅ CUBIERTO",
IF(COUNTIF(D127:F127,"?*")&gt;$N$5,"⚠ EXCESO",IF(COUNTIF(D127:F127,"?*")&gt;0,"⚠ FALTANTE",
"❌ SIN COMPLETAR")))</f>
        <v>❌ SIN COMPLETAR</v>
      </c>
      <c r="H127" s="17"/>
      <c r="I127" s="29">
        <v>45975</v>
      </c>
      <c r="J127" s="30" t="str">
        <f t="shared" ref="J127:J133" si="60">TEXT(I127,"ddd")</f>
        <v>vie</v>
      </c>
      <c r="K127" s="28">
        <v>0.5</v>
      </c>
      <c r="L127" s="31"/>
      <c r="M127" s="31"/>
      <c r="N127" s="31"/>
      <c r="O127" s="32" t="str">
        <f>IF(COUNTIF(L127:N127,"?*")=$N$6,"✅ CUBIERTO",IF(COUNTIF(L127:N127,"?*")&gt;$N$6,"⚠ EXCESO",
IF(COUNTIF(L127:N127,"?*")&gt;0,"⚠ FALTANTE", "❌ SIN COMPLETAR")))</f>
        <v>❌ SIN COMPLETAR</v>
      </c>
      <c r="P127" s="17"/>
      <c r="Q127" s="29">
        <v>45975</v>
      </c>
      <c r="R127" s="30" t="str">
        <f t="shared" ref="R127:R133" si="61">TEXT(Q127,"ddd")</f>
        <v>vie</v>
      </c>
      <c r="S127" s="28">
        <v>0.5</v>
      </c>
      <c r="T127" s="31"/>
      <c r="U127" s="31"/>
      <c r="V127" s="31"/>
      <c r="W127" s="40" t="str">
        <f>IF(COUNTIF(T127:V127,"?*")=$N$7,"✅ CUBIERTO",IF(COUNTIF(T127:V127,"?*")&gt;$N$7,"⚠ EXCESO",
IF(COUNTIF(T127:V127,"?*")&gt;0,"⚠ FALTANTE", "❌ SIN COMPLETAR")))</f>
        <v>❌ SIN COMPLETAR</v>
      </c>
      <c r="Y127" s="29">
        <v>45975</v>
      </c>
      <c r="Z127" s="30" t="str">
        <f t="shared" ref="Z127:Z133" si="62">TEXT(Y127,"ddd")</f>
        <v>vie</v>
      </c>
      <c r="AA127" s="28">
        <v>0.5</v>
      </c>
      <c r="AB127" s="31"/>
      <c r="AC127" s="31"/>
      <c r="AD127" s="31"/>
      <c r="AE127" s="32" t="str">
        <f t="shared" si="42"/>
        <v>❌ SIN COMPLETAR</v>
      </c>
    </row>
    <row r="128" spans="1:31" x14ac:dyDescent="0.3">
      <c r="A128" s="29">
        <v>45975</v>
      </c>
      <c r="B128" s="30" t="str">
        <f t="shared" si="59"/>
        <v>vie</v>
      </c>
      <c r="C128" s="28">
        <v>0.54166666666666696</v>
      </c>
      <c r="D128" s="31"/>
      <c r="E128" s="31"/>
      <c r="F128" s="31"/>
      <c r="G128" s="40" t="str">
        <f>IF(COUNTIF(D128:F128,"?*")=$N$5,"✅ CUBIERTO",
IF(COUNTIF(D128:F128,"?*")&gt;$N$5,"⚠ EXCESO",IF(COUNTIF(D128:F128,"?*")&gt;0,"⚠ FALTANTE",
"❌ SIN COMPLETAR")))</f>
        <v>❌ SIN COMPLETAR</v>
      </c>
      <c r="H128" s="17"/>
      <c r="I128" s="29">
        <v>45975</v>
      </c>
      <c r="J128" s="30" t="str">
        <f t="shared" si="60"/>
        <v>vie</v>
      </c>
      <c r="K128" s="28">
        <v>0.54166666666666696</v>
      </c>
      <c r="L128" s="31"/>
      <c r="M128" s="31"/>
      <c r="N128" s="31"/>
      <c r="O128" s="32" t="str">
        <f>IF(COUNTIF(L128:N128,"?*")=$N$6,"✅ CUBIERTO",IF(COUNTIF(L128:N128,"?*")&gt;$N$6,"⚠ EXCESO",
IF(COUNTIF(L128:N128,"?*")&gt;0,"⚠ FALTANTE", "❌ SIN COMPLETAR")))</f>
        <v>❌ SIN COMPLETAR</v>
      </c>
      <c r="P128" s="17"/>
      <c r="Q128" s="29">
        <v>45975</v>
      </c>
      <c r="R128" s="30" t="str">
        <f t="shared" si="61"/>
        <v>vie</v>
      </c>
      <c r="S128" s="28">
        <v>0.54166666666666696</v>
      </c>
      <c r="T128" s="31"/>
      <c r="U128" s="31"/>
      <c r="V128" s="31"/>
      <c r="W128" s="40" t="str">
        <f>IF(COUNTIF(T128:V128,"?*")=$N$7,"✅ CUBIERTO",IF(COUNTIF(T128:V128,"?*")&gt;$N$7,"⚠ EXCESO",
IF(COUNTIF(T128:V128,"?*")&gt;0,"⚠ FALTANTE", "❌ SIN COMPLETAR")))</f>
        <v>❌ SIN COMPLETAR</v>
      </c>
      <c r="Y128" s="29">
        <v>45975</v>
      </c>
      <c r="Z128" s="30" t="str">
        <f t="shared" si="62"/>
        <v>vie</v>
      </c>
      <c r="AA128" s="28">
        <v>0.54166666666666696</v>
      </c>
      <c r="AB128" s="31"/>
      <c r="AC128" s="31"/>
      <c r="AD128" s="31"/>
      <c r="AE128" s="32" t="str">
        <f t="shared" si="42"/>
        <v>❌ SIN COMPLETAR</v>
      </c>
    </row>
    <row r="129" spans="1:31" x14ac:dyDescent="0.3">
      <c r="A129" s="29">
        <v>45975</v>
      </c>
      <c r="B129" s="30" t="str">
        <f t="shared" si="59"/>
        <v>vie</v>
      </c>
      <c r="C129" s="28">
        <v>0.58333333333333304</v>
      </c>
      <c r="D129" s="31"/>
      <c r="E129" s="31"/>
      <c r="F129" s="31"/>
      <c r="G129" s="40" t="str">
        <f>IF(COUNTIF(D129:F129,"?*")=$N$5,"✅ CUBIERTO",
IF(COUNTIF(D129:F129,"?*")&gt;$N$5,"⚠ EXCESO",IF(COUNTIF(D129:F129,"?*")&gt;0,"⚠ FALTANTE",
"❌ SIN COMPLETAR")))</f>
        <v>❌ SIN COMPLETAR</v>
      </c>
      <c r="H129" s="17"/>
      <c r="I129" s="29">
        <v>45975</v>
      </c>
      <c r="J129" s="30" t="str">
        <f t="shared" si="60"/>
        <v>vie</v>
      </c>
      <c r="K129" s="28">
        <v>0.58333333333333304</v>
      </c>
      <c r="L129" s="31"/>
      <c r="M129" s="31"/>
      <c r="N129" s="31"/>
      <c r="O129" s="32" t="str">
        <f>IF(COUNTIF(L129:N129,"?*")=$N$6,"✅ CUBIERTO",IF(COUNTIF(L129:N129,"?*")&gt;$N$6,"⚠ EXCESO",
IF(COUNTIF(L129:N129,"?*")&gt;0,"⚠ FALTANTE", "❌ SIN COMPLETAR")))</f>
        <v>❌ SIN COMPLETAR</v>
      </c>
      <c r="P129" s="17"/>
      <c r="Q129" s="29">
        <v>45975</v>
      </c>
      <c r="R129" s="30" t="str">
        <f t="shared" si="61"/>
        <v>vie</v>
      </c>
      <c r="S129" s="28">
        <v>0.58333333333333304</v>
      </c>
      <c r="T129" s="31"/>
      <c r="U129" s="31"/>
      <c r="V129" s="31"/>
      <c r="W129" s="40" t="str">
        <f>IF(COUNTIF(T129:V129,"?*")=$N$7,"✅ CUBIERTO",IF(COUNTIF(T129:V129,"?*")&gt;$N$7,"⚠ EXCESO",
IF(COUNTIF(T129:V129,"?*")&gt;0,"⚠ FALTANTE", "❌ SIN COMPLETAR")))</f>
        <v>❌ SIN COMPLETAR</v>
      </c>
      <c r="Y129" s="29">
        <v>45975</v>
      </c>
      <c r="Z129" s="30" t="str">
        <f t="shared" si="62"/>
        <v>vie</v>
      </c>
      <c r="AA129" s="28">
        <v>0.58333333333333304</v>
      </c>
      <c r="AB129" s="31"/>
      <c r="AC129" s="31"/>
      <c r="AD129" s="31"/>
      <c r="AE129" s="32" t="str">
        <f t="shared" si="42"/>
        <v>❌ SIN COMPLETAR</v>
      </c>
    </row>
    <row r="130" spans="1:31" x14ac:dyDescent="0.3">
      <c r="A130" s="29">
        <v>45975</v>
      </c>
      <c r="B130" s="30" t="str">
        <f t="shared" si="59"/>
        <v>vie</v>
      </c>
      <c r="C130" s="28">
        <v>0.625</v>
      </c>
      <c r="D130" s="31"/>
      <c r="E130" s="31"/>
      <c r="F130" s="31"/>
      <c r="G130" s="40" t="str">
        <f>IF(COUNTIF(D130:F130,"?*")=$N$5,"✅ CUBIERTO",
IF(COUNTIF(D130:F130,"?*")&gt;$N$5,"⚠ EXCESO",IF(COUNTIF(D130:F130,"?*")&gt;0,"⚠ FALTANTE",
"❌ SIN COMPLETAR")))</f>
        <v>❌ SIN COMPLETAR</v>
      </c>
      <c r="H130" s="17"/>
      <c r="I130" s="29">
        <v>45975</v>
      </c>
      <c r="J130" s="30" t="str">
        <f t="shared" si="60"/>
        <v>vie</v>
      </c>
      <c r="K130" s="28">
        <v>0.625</v>
      </c>
      <c r="L130" s="31"/>
      <c r="M130" s="31"/>
      <c r="N130" s="31"/>
      <c r="O130" s="32" t="str">
        <f>IF(COUNTIF(L130:N130,"?*")=$N$6,"✅ CUBIERTO",IF(COUNTIF(L130:N130,"?*")&gt;$N$6,"⚠ EXCESO",
IF(COUNTIF(L130:N130,"?*")&gt;0,"⚠ FALTANTE", "❌ SIN COMPLETAR")))</f>
        <v>❌ SIN COMPLETAR</v>
      </c>
      <c r="P130" s="17"/>
      <c r="Q130" s="29">
        <v>45975</v>
      </c>
      <c r="R130" s="30" t="str">
        <f t="shared" si="61"/>
        <v>vie</v>
      </c>
      <c r="S130" s="28">
        <v>0.625</v>
      </c>
      <c r="T130" s="31"/>
      <c r="U130" s="31"/>
      <c r="V130" s="31"/>
      <c r="W130" s="40" t="str">
        <f>IF(COUNTIF(T130:V130,"?*")=$N$7,"✅ CUBIERTO",IF(COUNTIF(T130:V130,"?*")&gt;$N$7,"⚠ EXCESO",
IF(COUNTIF(T130:V130,"?*")&gt;0,"⚠ FALTANTE", "❌ SIN COMPLETAR")))</f>
        <v>❌ SIN COMPLETAR</v>
      </c>
      <c r="Y130" s="29">
        <v>45975</v>
      </c>
      <c r="Z130" s="30" t="str">
        <f t="shared" si="62"/>
        <v>vie</v>
      </c>
      <c r="AA130" s="28">
        <v>0.625</v>
      </c>
      <c r="AB130" s="31"/>
      <c r="AC130" s="31"/>
      <c r="AD130" s="31"/>
      <c r="AE130" s="32" t="str">
        <f t="shared" si="42"/>
        <v>❌ SIN COMPLETAR</v>
      </c>
    </row>
    <row r="131" spans="1:31" x14ac:dyDescent="0.3">
      <c r="A131" s="29">
        <v>45975</v>
      </c>
      <c r="B131" s="30" t="str">
        <f t="shared" si="59"/>
        <v>vie</v>
      </c>
      <c r="C131" s="28">
        <v>0.66666666666666696</v>
      </c>
      <c r="D131" s="31"/>
      <c r="E131" s="31"/>
      <c r="F131" s="31"/>
      <c r="G131" s="40" t="str">
        <f>IF(COUNTIF(D131:F131,"?*")=$N$5,"✅ CUBIERTO",
IF(COUNTIF(D131:F131,"?*")&gt;$N$5,"⚠ EXCESO",IF(COUNTIF(D131:F131,"?*")&gt;0,"⚠ FALTANTE",
"❌ SIN COMPLETAR")))</f>
        <v>❌ SIN COMPLETAR</v>
      </c>
      <c r="H131" s="17"/>
      <c r="I131" s="29">
        <v>45975</v>
      </c>
      <c r="J131" s="30" t="str">
        <f t="shared" si="60"/>
        <v>vie</v>
      </c>
      <c r="K131" s="28">
        <v>0.66666666666666696</v>
      </c>
      <c r="L131" s="31"/>
      <c r="M131" s="31"/>
      <c r="N131" s="31"/>
      <c r="O131" s="32" t="str">
        <f>IF(COUNTIF(L131:N131,"?*")=$N$6,"✅ CUBIERTO",IF(COUNTIF(L131:N131,"?*")&gt;$N$6,"⚠ EXCESO",
IF(COUNTIF(L131:N131,"?*")&gt;0,"⚠ FALTANTE", "❌ SIN COMPLETAR")))</f>
        <v>❌ SIN COMPLETAR</v>
      </c>
      <c r="P131" s="17"/>
      <c r="Q131" s="29">
        <v>45975</v>
      </c>
      <c r="R131" s="30" t="str">
        <f t="shared" si="61"/>
        <v>vie</v>
      </c>
      <c r="S131" s="28">
        <v>0.66666666666666696</v>
      </c>
      <c r="T131" s="31"/>
      <c r="U131" s="31"/>
      <c r="V131" s="31"/>
      <c r="W131" s="40" t="str">
        <f>IF(COUNTIF(T131:V131,"?*")=$N$7,"✅ CUBIERTO",IF(COUNTIF(T131:V131,"?*")&gt;$N$7,"⚠ EXCESO",
IF(COUNTIF(T131:V131,"?*")&gt;0,"⚠ FALTANTE", "❌ SIN COMPLETAR")))</f>
        <v>❌ SIN COMPLETAR</v>
      </c>
      <c r="Y131" s="29">
        <v>45975</v>
      </c>
      <c r="Z131" s="30" t="str">
        <f t="shared" si="62"/>
        <v>vie</v>
      </c>
      <c r="AA131" s="28">
        <v>0.66666666666666696</v>
      </c>
      <c r="AB131" s="31"/>
      <c r="AC131" s="31"/>
      <c r="AD131" s="31"/>
      <c r="AE131" s="32" t="str">
        <f t="shared" si="42"/>
        <v>❌ SIN COMPLETAR</v>
      </c>
    </row>
    <row r="132" spans="1:31" x14ac:dyDescent="0.3">
      <c r="A132" s="29">
        <v>45975</v>
      </c>
      <c r="B132" s="30" t="str">
        <f t="shared" si="59"/>
        <v>vie</v>
      </c>
      <c r="C132" s="28">
        <v>0.70833333333333304</v>
      </c>
      <c r="D132" s="31"/>
      <c r="E132" s="31"/>
      <c r="F132" s="31"/>
      <c r="G132" s="40" t="str">
        <f>IF(COUNTIF(D132:F132,"?*")=$N$5,"✅ CUBIERTO",
IF(COUNTIF(D132:F132,"?*")&gt;$N$5,"⚠ EXCESO",IF(COUNTIF(D132:F132,"?*")&gt;0,"⚠ FALTANTE",
"❌ SIN COMPLETAR")))</f>
        <v>❌ SIN COMPLETAR</v>
      </c>
      <c r="H132" s="17"/>
      <c r="I132" s="29">
        <v>45975</v>
      </c>
      <c r="J132" s="30" t="str">
        <f t="shared" si="60"/>
        <v>vie</v>
      </c>
      <c r="K132" s="28">
        <v>0.70833333333333304</v>
      </c>
      <c r="L132" s="31"/>
      <c r="M132" s="31"/>
      <c r="N132" s="31"/>
      <c r="O132" s="32" t="str">
        <f>IF(COUNTIF(L132:N132,"?*")=$N$6,"✅ CUBIERTO",IF(COUNTIF(L132:N132,"?*")&gt;$N$6,"⚠ EXCESO",
IF(COUNTIF(L132:N132,"?*")&gt;0,"⚠ FALTANTE", "❌ SIN COMPLETAR")))</f>
        <v>❌ SIN COMPLETAR</v>
      </c>
      <c r="P132" s="17"/>
      <c r="Q132" s="29">
        <v>45975</v>
      </c>
      <c r="R132" s="30" t="str">
        <f t="shared" si="61"/>
        <v>vie</v>
      </c>
      <c r="S132" s="28">
        <v>0.70833333333333304</v>
      </c>
      <c r="T132" s="31"/>
      <c r="U132" s="31"/>
      <c r="V132" s="31"/>
      <c r="W132" s="40" t="str">
        <f>IF(COUNTIF(T132:V132,"?*")=$N$7,"✅ CUBIERTO",IF(COUNTIF(T132:V132,"?*")&gt;$N$7,"⚠ EXCESO",
IF(COUNTIF(T132:V132,"?*")&gt;0,"⚠ FALTANTE", "❌ SIN COMPLETAR")))</f>
        <v>❌ SIN COMPLETAR</v>
      </c>
      <c r="Y132" s="29">
        <v>45975</v>
      </c>
      <c r="Z132" s="30" t="str">
        <f t="shared" si="62"/>
        <v>vie</v>
      </c>
      <c r="AA132" s="28">
        <v>0.70833333333333304</v>
      </c>
      <c r="AB132" s="31"/>
      <c r="AC132" s="31"/>
      <c r="AD132" s="31"/>
      <c r="AE132" s="32" t="str">
        <f t="shared" si="42"/>
        <v>❌ SIN COMPLETAR</v>
      </c>
    </row>
    <row r="133" spans="1:31" x14ac:dyDescent="0.3">
      <c r="A133" s="29">
        <v>45975</v>
      </c>
      <c r="B133" s="30" t="str">
        <f t="shared" si="59"/>
        <v>vie</v>
      </c>
      <c r="C133" s="28">
        <v>0.75</v>
      </c>
      <c r="D133" s="31"/>
      <c r="E133" s="31"/>
      <c r="F133" s="31"/>
      <c r="G133" s="40" t="str">
        <f>IF(COUNTIF(D133:F133,"?*")=$N$5,"✅ CUBIERTO",
IF(COUNTIF(D133:F133,"?*")&gt;$N$5,"⚠ EXCESO",IF(COUNTIF(D133:F133,"?*")&gt;0,"⚠ FALTANTE",
"❌ SIN COMPLETAR")))</f>
        <v>❌ SIN COMPLETAR</v>
      </c>
      <c r="H133" s="17"/>
      <c r="I133" s="29">
        <v>45975</v>
      </c>
      <c r="J133" s="30" t="str">
        <f t="shared" si="60"/>
        <v>vie</v>
      </c>
      <c r="K133" s="28">
        <v>0.75</v>
      </c>
      <c r="L133" s="41"/>
      <c r="M133" s="41"/>
      <c r="N133" s="41"/>
      <c r="O133" s="32" t="str">
        <f>IF(COUNTIF(L133:N133,"?*")=$N$6,"✅ CUBIERTO",IF(COUNTIF(L133:N133,"?*")&gt;$N$6,"⚠ EXCESO",
IF(COUNTIF(L133:N133,"?*")&gt;0,"⚠ FALTANTE", "❌ SIN COMPLETAR")))</f>
        <v>❌ SIN COMPLETAR</v>
      </c>
      <c r="P133" s="17"/>
      <c r="Q133" s="29">
        <v>45975</v>
      </c>
      <c r="R133" s="30" t="str">
        <f t="shared" si="61"/>
        <v>vie</v>
      </c>
      <c r="S133" s="28">
        <v>0.75</v>
      </c>
      <c r="T133" s="31"/>
      <c r="U133" s="31"/>
      <c r="V133" s="31"/>
      <c r="W133" s="40" t="s">
        <v>16</v>
      </c>
      <c r="Y133" s="29">
        <v>45975</v>
      </c>
      <c r="Z133" s="30" t="str">
        <f t="shared" si="62"/>
        <v>vie</v>
      </c>
      <c r="AA133" s="28">
        <v>0.75</v>
      </c>
      <c r="AB133" s="41"/>
      <c r="AC133" s="41"/>
      <c r="AD133" s="41"/>
      <c r="AE133" s="32" t="str">
        <f t="shared" si="42"/>
        <v>❌ SIN COMPLETAR</v>
      </c>
    </row>
    <row r="134" spans="1:31" x14ac:dyDescent="0.3">
      <c r="A134" s="29">
        <v>45976</v>
      </c>
      <c r="B134" s="30" t="str">
        <f>TEXT(A134,"ddd")</f>
        <v>sáb</v>
      </c>
      <c r="C134" s="28">
        <v>0.45833333333333331</v>
      </c>
      <c r="D134" s="31" t="s">
        <v>34</v>
      </c>
      <c r="E134" s="31" t="s">
        <v>35</v>
      </c>
      <c r="F134" s="31"/>
      <c r="G134" s="40" t="str">
        <f>IF(COUNTIF(D134:F134,"?*")=$N$5,"✅ CUBIERTO",
IF(COUNTIF(D134:F134,"?*")&gt;$N$5,"⚠ EXCESO",IF(COUNTIF(D134:F134,"?*")&gt;0,"⚠ FALTANTE",
"❌ SIN COMPLETAR")))</f>
        <v>✅ CUBIERTO</v>
      </c>
      <c r="H134" s="17"/>
      <c r="I134" s="29">
        <v>45976</v>
      </c>
      <c r="J134" s="30" t="str">
        <f>TEXT(I134,"ddd")</f>
        <v>sáb</v>
      </c>
      <c r="K134" s="28">
        <v>0.45833333333333331</v>
      </c>
      <c r="L134" s="41"/>
      <c r="M134" s="41"/>
      <c r="N134" s="41"/>
      <c r="O134" s="32" t="str">
        <f>IF(COUNTIF(L134:N134,"?*")=$N$6,"✅ CUBIERTO",IF(COUNTIF(L134:N134,"?*")&gt;$N$6,"⚠ EXCESO",
IF(COUNTIF(L134:N134,"?*")&gt;0,"⚠ FALTANTE", "❌ SIN COMPLETAR")))</f>
        <v>❌ SIN COMPLETAR</v>
      </c>
      <c r="P134" s="17"/>
      <c r="Q134" s="29">
        <v>45976</v>
      </c>
      <c r="R134" s="30" t="str">
        <f>TEXT(Q134,"ddd")</f>
        <v>sáb</v>
      </c>
      <c r="S134" s="28">
        <v>0.45833333333333331</v>
      </c>
      <c r="T134" s="31"/>
      <c r="U134" s="31"/>
      <c r="V134" s="31"/>
      <c r="W134" s="40" t="str">
        <f>IF(COUNTIF(T134:V134,"?*")=$N$7,"✅ CUBIERTO",IF(COUNTIF(T134:V134,"?*")&gt;$N$7,"⚠ EXCESO",
IF(COUNTIF(T134:V134,"?*")&gt;0,"⚠ FALTANTE", "❌ SIN COMPLETAR")))</f>
        <v>❌ SIN COMPLETAR</v>
      </c>
      <c r="Y134" s="29">
        <v>45976</v>
      </c>
      <c r="Z134" s="30" t="str">
        <f>TEXT(Y134,"ddd")</f>
        <v>sáb</v>
      </c>
      <c r="AA134" s="28">
        <v>0.45833333333333331</v>
      </c>
      <c r="AB134" s="41"/>
      <c r="AC134" s="41"/>
      <c r="AD134" s="41"/>
      <c r="AE134" s="32" t="str">
        <f t="shared" si="42"/>
        <v>❌ SIN COMPLETAR</v>
      </c>
    </row>
    <row r="135" spans="1:31" x14ac:dyDescent="0.3">
      <c r="A135" s="29">
        <v>45976</v>
      </c>
      <c r="B135" s="30" t="str">
        <f t="shared" ref="B135:B141" si="63">TEXT(A135,"ddd")</f>
        <v>sáb</v>
      </c>
      <c r="C135" s="28">
        <v>0.5</v>
      </c>
      <c r="D135" s="31" t="s">
        <v>34</v>
      </c>
      <c r="E135" s="31" t="s">
        <v>35</v>
      </c>
      <c r="F135" s="31"/>
      <c r="G135" s="40" t="str">
        <f>IF(COUNTIF(D135:F135,"?*")=$N$5,"✅ CUBIERTO",
IF(COUNTIF(D135:F135,"?*")&gt;$N$5,"⚠ EXCESO",IF(COUNTIF(D135:F135,"?*")&gt;0,"⚠ FALTANTE",
"❌ SIN COMPLETAR")))</f>
        <v>✅ CUBIERTO</v>
      </c>
      <c r="H135" s="17"/>
      <c r="I135" s="29">
        <v>45976</v>
      </c>
      <c r="J135" s="30" t="str">
        <f t="shared" ref="J135:J141" si="64">TEXT(I135,"ddd")</f>
        <v>sáb</v>
      </c>
      <c r="K135" s="28">
        <v>0.5</v>
      </c>
      <c r="L135" s="41"/>
      <c r="M135" s="41"/>
      <c r="N135" s="41"/>
      <c r="O135" s="32" t="str">
        <f>IF(COUNTIF(L135:N135,"?*")=$N$6,"✅ CUBIERTO",IF(COUNTIF(L135:N135,"?*")&gt;$N$6,"⚠ EXCESO",
IF(COUNTIF(L135:N135,"?*")&gt;0,"⚠ FALTANTE", "❌ SIN COMPLETAR")))</f>
        <v>❌ SIN COMPLETAR</v>
      </c>
      <c r="P135" s="17"/>
      <c r="Q135" s="29">
        <v>45976</v>
      </c>
      <c r="R135" s="30" t="str">
        <f t="shared" ref="R135:R141" si="65">TEXT(Q135,"ddd")</f>
        <v>sáb</v>
      </c>
      <c r="S135" s="28">
        <v>0.5</v>
      </c>
      <c r="T135" s="31"/>
      <c r="U135" s="31"/>
      <c r="V135" s="31"/>
      <c r="W135" s="40" t="str">
        <f>IF(COUNTIF(T135:V135,"?*")=$N$7,"✅ CUBIERTO",IF(COUNTIF(T135:V135,"?*")&gt;$N$7,"⚠ EXCESO",
IF(COUNTIF(T135:V135,"?*")&gt;0,"⚠ FALTANTE", "❌ SIN COMPLETAR")))</f>
        <v>❌ SIN COMPLETAR</v>
      </c>
      <c r="Y135" s="29">
        <v>45976</v>
      </c>
      <c r="Z135" s="30" t="str">
        <f t="shared" ref="Z135:Z141" si="66">TEXT(Y135,"ddd")</f>
        <v>sáb</v>
      </c>
      <c r="AA135" s="28">
        <v>0.5</v>
      </c>
      <c r="AB135" s="41"/>
      <c r="AC135" s="41"/>
      <c r="AD135" s="41"/>
      <c r="AE135" s="32" t="str">
        <f t="shared" si="42"/>
        <v>❌ SIN COMPLETAR</v>
      </c>
    </row>
    <row r="136" spans="1:31" x14ac:dyDescent="0.3">
      <c r="A136" s="29">
        <v>45976</v>
      </c>
      <c r="B136" s="30" t="str">
        <f t="shared" si="63"/>
        <v>sáb</v>
      </c>
      <c r="C136" s="28">
        <v>0.54166666666666696</v>
      </c>
      <c r="D136" s="31" t="s">
        <v>34</v>
      </c>
      <c r="E136" s="31" t="s">
        <v>35</v>
      </c>
      <c r="F136" s="31"/>
      <c r="G136" s="40" t="str">
        <f>IF(COUNTIF(D136:F136,"?*")=$N$5,"✅ CUBIERTO",
IF(COUNTIF(D136:F136,"?*")&gt;$N$5,"⚠ EXCESO",IF(COUNTIF(D136:F136,"?*")&gt;0,"⚠ FALTANTE",
"❌ SIN COMPLETAR")))</f>
        <v>✅ CUBIERTO</v>
      </c>
      <c r="H136" s="17"/>
      <c r="I136" s="29">
        <v>45976</v>
      </c>
      <c r="J136" s="30" t="str">
        <f t="shared" si="64"/>
        <v>sáb</v>
      </c>
      <c r="K136" s="28">
        <v>0.54166666666666696</v>
      </c>
      <c r="L136" s="41"/>
      <c r="M136" s="41"/>
      <c r="N136" s="41"/>
      <c r="O136" s="32" t="str">
        <f>IF(COUNTIF(L136:N136,"?*")=$N$6,"✅ CUBIERTO",IF(COUNTIF(L136:N136,"?*")&gt;$N$6,"⚠ EXCESO",
IF(COUNTIF(L136:N136,"?*")&gt;0,"⚠ FALTANTE", "❌ SIN COMPLETAR")))</f>
        <v>❌ SIN COMPLETAR</v>
      </c>
      <c r="P136" s="17"/>
      <c r="Q136" s="29">
        <v>45976</v>
      </c>
      <c r="R136" s="30" t="str">
        <f t="shared" si="65"/>
        <v>sáb</v>
      </c>
      <c r="S136" s="28">
        <v>0.54166666666666696</v>
      </c>
      <c r="T136" s="31"/>
      <c r="U136" s="31"/>
      <c r="V136" s="31"/>
      <c r="W136" s="40" t="str">
        <f>IF(COUNTIF(T136:V136,"?*")=$N$7,"✅ CUBIERTO",IF(COUNTIF(T136:V136,"?*")&gt;$N$7,"⚠ EXCESO",
IF(COUNTIF(T136:V136,"?*")&gt;0,"⚠ FALTANTE", "❌ SIN COMPLETAR")))</f>
        <v>❌ SIN COMPLETAR</v>
      </c>
      <c r="Y136" s="29">
        <v>45976</v>
      </c>
      <c r="Z136" s="30" t="str">
        <f t="shared" si="66"/>
        <v>sáb</v>
      </c>
      <c r="AA136" s="28">
        <v>0.54166666666666696</v>
      </c>
      <c r="AB136" s="41"/>
      <c r="AC136" s="41"/>
      <c r="AD136" s="41"/>
      <c r="AE136" s="32" t="str">
        <f t="shared" si="42"/>
        <v>❌ SIN COMPLETAR</v>
      </c>
    </row>
    <row r="137" spans="1:31" x14ac:dyDescent="0.3">
      <c r="A137" s="29">
        <v>45976</v>
      </c>
      <c r="B137" s="30" t="str">
        <f t="shared" si="63"/>
        <v>sáb</v>
      </c>
      <c r="C137" s="28">
        <v>0.58333333333333304</v>
      </c>
      <c r="D137" s="31" t="s">
        <v>34</v>
      </c>
      <c r="E137" s="31" t="s">
        <v>35</v>
      </c>
      <c r="F137" s="31"/>
      <c r="G137" s="40" t="str">
        <f>IF(COUNTIF(D137:F137,"?*")=$N$5,"✅ CUBIERTO",
IF(COUNTIF(D137:F137,"?*")&gt;$N$5,"⚠ EXCESO",IF(COUNTIF(D137:F137,"?*")&gt;0,"⚠ FALTANTE",
"❌ SIN COMPLETAR")))</f>
        <v>✅ CUBIERTO</v>
      </c>
      <c r="H137" s="17"/>
      <c r="I137" s="29">
        <v>45976</v>
      </c>
      <c r="J137" s="30" t="str">
        <f t="shared" si="64"/>
        <v>sáb</v>
      </c>
      <c r="K137" s="28">
        <v>0.58333333333333304</v>
      </c>
      <c r="L137" s="41"/>
      <c r="M137" s="41"/>
      <c r="N137" s="41"/>
      <c r="O137" s="32" t="str">
        <f>IF(COUNTIF(L137:N137,"?*")=$N$6,"✅ CUBIERTO",IF(COUNTIF(L137:N137,"?*")&gt;$N$6,"⚠ EXCESO",
IF(COUNTIF(L137:N137,"?*")&gt;0,"⚠ FALTANTE", "❌ SIN COMPLETAR")))</f>
        <v>❌ SIN COMPLETAR</v>
      </c>
      <c r="P137" s="17"/>
      <c r="Q137" s="29">
        <v>45976</v>
      </c>
      <c r="R137" s="30" t="str">
        <f t="shared" si="65"/>
        <v>sáb</v>
      </c>
      <c r="S137" s="28">
        <v>0.58333333333333304</v>
      </c>
      <c r="T137" s="31"/>
      <c r="U137" s="31"/>
      <c r="V137" s="31"/>
      <c r="W137" s="40" t="str">
        <f>IF(COUNTIF(T137:V137,"?*")=$N$7,"✅ CUBIERTO",IF(COUNTIF(T137:V137,"?*")&gt;$N$7,"⚠ EXCESO",
IF(COUNTIF(T137:V137,"?*")&gt;0,"⚠ FALTANTE", "❌ SIN COMPLETAR")))</f>
        <v>❌ SIN COMPLETAR</v>
      </c>
      <c r="Y137" s="29">
        <v>45976</v>
      </c>
      <c r="Z137" s="30" t="str">
        <f t="shared" si="66"/>
        <v>sáb</v>
      </c>
      <c r="AA137" s="28">
        <v>0.58333333333333304</v>
      </c>
      <c r="AB137" s="41"/>
      <c r="AC137" s="41"/>
      <c r="AD137" s="41"/>
      <c r="AE137" s="32" t="str">
        <f t="shared" si="42"/>
        <v>❌ SIN COMPLETAR</v>
      </c>
    </row>
    <row r="138" spans="1:31" x14ac:dyDescent="0.3">
      <c r="A138" s="29">
        <v>45976</v>
      </c>
      <c r="B138" s="30" t="str">
        <f t="shared" si="63"/>
        <v>sáb</v>
      </c>
      <c r="C138" s="28">
        <v>0.625</v>
      </c>
      <c r="D138" s="31" t="s">
        <v>37</v>
      </c>
      <c r="E138" s="31" t="s">
        <v>39</v>
      </c>
      <c r="F138" s="31"/>
      <c r="G138" s="40" t="str">
        <f>IF(COUNTIF(D138:F138,"?*")=$N$5,"✅ CUBIERTO",
IF(COUNTIF(D138:F138,"?*")&gt;$N$5,"⚠ EXCESO",IF(COUNTIF(D138:F138,"?*")&gt;0,"⚠ FALTANTE",
"❌ SIN COMPLETAR")))</f>
        <v>✅ CUBIERTO</v>
      </c>
      <c r="H138" s="17"/>
      <c r="I138" s="29">
        <v>45976</v>
      </c>
      <c r="J138" s="30" t="str">
        <f t="shared" si="64"/>
        <v>sáb</v>
      </c>
      <c r="K138" s="28">
        <v>0.625</v>
      </c>
      <c r="L138" s="41"/>
      <c r="M138" s="41"/>
      <c r="N138" s="41"/>
      <c r="O138" s="32" t="str">
        <f>IF(COUNTIF(L138:N138,"?*")=$N$6,"✅ CUBIERTO",IF(COUNTIF(L138:N138,"?*")&gt;$N$6,"⚠ EXCESO",
IF(COUNTIF(L138:N138,"?*")&gt;0,"⚠ FALTANTE", "❌ SIN COMPLETAR")))</f>
        <v>❌ SIN COMPLETAR</v>
      </c>
      <c r="P138" s="17"/>
      <c r="Q138" s="29">
        <v>45976</v>
      </c>
      <c r="R138" s="30" t="str">
        <f t="shared" si="65"/>
        <v>sáb</v>
      </c>
      <c r="S138" s="28">
        <v>0.625</v>
      </c>
      <c r="T138" s="31"/>
      <c r="U138" s="31"/>
      <c r="V138" s="31"/>
      <c r="W138" s="40" t="str">
        <f>IF(COUNTIF(T138:V138,"?*")=$N$7,"✅ CUBIERTO",IF(COUNTIF(T138:V138,"?*")&gt;$N$7,"⚠ EXCESO",
IF(COUNTIF(T138:V138,"?*")&gt;0,"⚠ FALTANTE", "❌ SIN COMPLETAR")))</f>
        <v>❌ SIN COMPLETAR</v>
      </c>
      <c r="Y138" s="29">
        <v>45976</v>
      </c>
      <c r="Z138" s="30" t="str">
        <f t="shared" si="66"/>
        <v>sáb</v>
      </c>
      <c r="AA138" s="28">
        <v>0.625</v>
      </c>
      <c r="AB138" s="41"/>
      <c r="AC138" s="41"/>
      <c r="AD138" s="41"/>
      <c r="AE138" s="32" t="str">
        <f t="shared" si="42"/>
        <v>❌ SIN COMPLETAR</v>
      </c>
    </row>
    <row r="139" spans="1:31" x14ac:dyDescent="0.3">
      <c r="A139" s="29">
        <v>45976</v>
      </c>
      <c r="B139" s="30" t="str">
        <f t="shared" si="63"/>
        <v>sáb</v>
      </c>
      <c r="C139" s="28">
        <v>0.66666666666666696</v>
      </c>
      <c r="D139" s="31" t="s">
        <v>37</v>
      </c>
      <c r="E139" s="31" t="s">
        <v>39</v>
      </c>
      <c r="F139" s="31"/>
      <c r="G139" s="40" t="str">
        <f>IF(COUNTIF(D139:F139,"?*")=$N$5,"✅ CUBIERTO",
IF(COUNTIF(D139:F139,"?*")&gt;$N$5,"⚠ EXCESO",IF(COUNTIF(D139:F139,"?*")&gt;0,"⚠ FALTANTE",
"❌ SIN COMPLETAR")))</f>
        <v>✅ CUBIERTO</v>
      </c>
      <c r="H139" s="17"/>
      <c r="I139" s="29">
        <v>45976</v>
      </c>
      <c r="J139" s="30" t="str">
        <f t="shared" si="64"/>
        <v>sáb</v>
      </c>
      <c r="K139" s="28">
        <v>0.66666666666666696</v>
      </c>
      <c r="L139" s="41"/>
      <c r="M139" s="41"/>
      <c r="N139" s="41"/>
      <c r="O139" s="32" t="str">
        <f>IF(COUNTIF(L139:N139,"?*")=$N$6,"✅ CUBIERTO",IF(COUNTIF(L139:N139,"?*")&gt;$N$6,"⚠ EXCESO",
IF(COUNTIF(L139:N139,"?*")&gt;0,"⚠ FALTANTE", "❌ SIN COMPLETAR")))</f>
        <v>❌ SIN COMPLETAR</v>
      </c>
      <c r="P139" s="17"/>
      <c r="Q139" s="29">
        <v>45976</v>
      </c>
      <c r="R139" s="30" t="str">
        <f t="shared" si="65"/>
        <v>sáb</v>
      </c>
      <c r="S139" s="28">
        <v>0.66666666666666696</v>
      </c>
      <c r="T139" s="31"/>
      <c r="U139" s="31"/>
      <c r="V139" s="31"/>
      <c r="W139" s="40" t="str">
        <f>IF(COUNTIF(T139:V139,"?*")=$N$7,"✅ CUBIERTO",IF(COUNTIF(T139:V139,"?*")&gt;$N$7,"⚠ EXCESO",
IF(COUNTIF(T139:V139,"?*")&gt;0,"⚠ FALTANTE", "❌ SIN COMPLETAR")))</f>
        <v>❌ SIN COMPLETAR</v>
      </c>
      <c r="Y139" s="29">
        <v>45976</v>
      </c>
      <c r="Z139" s="30" t="str">
        <f t="shared" si="66"/>
        <v>sáb</v>
      </c>
      <c r="AA139" s="28">
        <v>0.66666666666666696</v>
      </c>
      <c r="AB139" s="41"/>
      <c r="AC139" s="41"/>
      <c r="AD139" s="41"/>
      <c r="AE139" s="32" t="str">
        <f t="shared" si="42"/>
        <v>❌ SIN COMPLETAR</v>
      </c>
    </row>
    <row r="140" spans="1:31" x14ac:dyDescent="0.3">
      <c r="A140" s="29">
        <v>45976</v>
      </c>
      <c r="B140" s="30" t="str">
        <f t="shared" si="63"/>
        <v>sáb</v>
      </c>
      <c r="C140" s="28">
        <v>0.70833333333333304</v>
      </c>
      <c r="D140" s="31" t="s">
        <v>37</v>
      </c>
      <c r="E140" s="31" t="s">
        <v>39</v>
      </c>
      <c r="F140" s="31"/>
      <c r="G140" s="40" t="str">
        <f>IF(COUNTIF(D140:F140,"?*")=$N$5,"✅ CUBIERTO",
IF(COUNTIF(D140:F140,"?*")&gt;$N$5,"⚠ EXCESO",IF(COUNTIF(D140:F140,"?*")&gt;0,"⚠ FALTANTE",
"❌ SIN COMPLETAR")))</f>
        <v>✅ CUBIERTO</v>
      </c>
      <c r="H140" s="17"/>
      <c r="I140" s="29">
        <v>45976</v>
      </c>
      <c r="J140" s="30" t="str">
        <f t="shared" si="64"/>
        <v>sáb</v>
      </c>
      <c r="K140" s="28">
        <v>0.70833333333333304</v>
      </c>
      <c r="L140" s="41"/>
      <c r="M140" s="41"/>
      <c r="N140" s="41"/>
      <c r="O140" s="32" t="str">
        <f>IF(COUNTIF(L140:N140,"?*")=$N$6,"✅ CUBIERTO",IF(COUNTIF(L140:N140,"?*")&gt;$N$6,"⚠ EXCESO",
IF(COUNTIF(L140:N140,"?*")&gt;0,"⚠ FALTANTE", "❌ SIN COMPLETAR")))</f>
        <v>❌ SIN COMPLETAR</v>
      </c>
      <c r="P140" s="17"/>
      <c r="Q140" s="29">
        <v>45976</v>
      </c>
      <c r="R140" s="30" t="str">
        <f t="shared" si="65"/>
        <v>sáb</v>
      </c>
      <c r="S140" s="28">
        <v>0.70833333333333304</v>
      </c>
      <c r="T140" s="31"/>
      <c r="U140" s="31"/>
      <c r="V140" s="31"/>
      <c r="W140" s="40" t="str">
        <f>IF(COUNTIF(T140:V140,"?*")=$N$7,"✅ CUBIERTO",IF(COUNTIF(T140:V140,"?*")&gt;$N$7,"⚠ EXCESO",
IF(COUNTIF(T140:V140,"?*")&gt;0,"⚠ FALTANTE", "❌ SIN COMPLETAR")))</f>
        <v>❌ SIN COMPLETAR</v>
      </c>
      <c r="Y140" s="29">
        <v>45976</v>
      </c>
      <c r="Z140" s="30" t="str">
        <f t="shared" si="66"/>
        <v>sáb</v>
      </c>
      <c r="AA140" s="28">
        <v>0.70833333333333304</v>
      </c>
      <c r="AB140" s="41"/>
      <c r="AC140" s="41"/>
      <c r="AD140" s="41"/>
      <c r="AE140" s="32" t="str">
        <f t="shared" si="42"/>
        <v>❌ SIN COMPLETAR</v>
      </c>
    </row>
    <row r="141" spans="1:31" x14ac:dyDescent="0.3">
      <c r="A141" s="29">
        <v>45976</v>
      </c>
      <c r="B141" s="30" t="str">
        <f t="shared" si="63"/>
        <v>sáb</v>
      </c>
      <c r="C141" s="28">
        <v>0.75</v>
      </c>
      <c r="D141" s="31" t="s">
        <v>37</v>
      </c>
      <c r="E141" s="31" t="s">
        <v>39</v>
      </c>
      <c r="F141" s="31"/>
      <c r="G141" s="40" t="str">
        <f>IF(COUNTIF(D141:F141,"?*")=$N$5,"✅ CUBIERTO",
IF(COUNTIF(D141:F141,"?*")&gt;$N$5,"⚠ EXCESO",IF(COUNTIF(D141:F141,"?*")&gt;0,"⚠ FALTANTE",
"❌ SIN COMPLETAR")))</f>
        <v>✅ CUBIERTO</v>
      </c>
      <c r="H141" s="17"/>
      <c r="I141" s="29">
        <v>45976</v>
      </c>
      <c r="J141" s="30" t="str">
        <f t="shared" si="64"/>
        <v>sáb</v>
      </c>
      <c r="K141" s="28">
        <v>0.75</v>
      </c>
      <c r="L141" s="41"/>
      <c r="M141" s="41"/>
      <c r="N141" s="41"/>
      <c r="O141" s="32" t="str">
        <f>IF(COUNTIF(L141:N141,"?*")=$N$6,"✅ CUBIERTO",IF(COUNTIF(L141:N141,"?*")&gt;$N$6,"⚠ EXCESO",
IF(COUNTIF(L141:N141,"?*")&gt;0,"⚠ FALTANTE", "❌ SIN COMPLETAR")))</f>
        <v>❌ SIN COMPLETAR</v>
      </c>
      <c r="P141" s="17"/>
      <c r="Q141" s="29">
        <v>45976</v>
      </c>
      <c r="R141" s="30" t="str">
        <f t="shared" si="65"/>
        <v>sáb</v>
      </c>
      <c r="S141" s="28">
        <v>0.75</v>
      </c>
      <c r="T141" s="31"/>
      <c r="U141" s="31"/>
      <c r="V141" s="31"/>
      <c r="W141" s="40" t="str">
        <f>IF(COUNTIF(T141:V141,"?*")=$N$7,"✅ CUBIERTO",IF(COUNTIF(T141:V141,"?*")&gt;$N$7,"⚠ EXCESO",
IF(COUNTIF(T141:V141,"?*")&gt;0,"⚠ FALTANTE", "❌ SIN COMPLETAR")))</f>
        <v>❌ SIN COMPLETAR</v>
      </c>
      <c r="Y141" s="29">
        <v>45976</v>
      </c>
      <c r="Z141" s="30" t="str">
        <f t="shared" si="66"/>
        <v>sáb</v>
      </c>
      <c r="AA141" s="28">
        <v>0.75</v>
      </c>
      <c r="AB141" s="41"/>
      <c r="AC141" s="41"/>
      <c r="AD141" s="41"/>
      <c r="AE141" s="32" t="str">
        <f t="shared" si="42"/>
        <v>❌ SIN COMPLETAR</v>
      </c>
    </row>
    <row r="142" spans="1:31" x14ac:dyDescent="0.3">
      <c r="A142" s="29">
        <v>45977</v>
      </c>
      <c r="B142" s="30" t="str">
        <f>TEXT(A142,"ddd")</f>
        <v>dom</v>
      </c>
      <c r="C142" s="28">
        <v>0.45833333333333331</v>
      </c>
      <c r="D142" s="31" t="s">
        <v>34</v>
      </c>
      <c r="E142" s="31" t="s">
        <v>35</v>
      </c>
      <c r="F142" s="31"/>
      <c r="G142" s="40" t="str">
        <f>IF(COUNTIF(D142:F142,"?*")=$N$5,"✅ CUBIERTO",
IF(COUNTIF(D142:F142,"?*")&gt;$N$5,"⚠ EXCESO",IF(COUNTIF(D142:F142,"?*")&gt;0,"⚠ FALTANTE",
"❌ SIN COMPLETAR")))</f>
        <v>✅ CUBIERTO</v>
      </c>
      <c r="H142" s="17"/>
      <c r="I142" s="29">
        <v>45977</v>
      </c>
      <c r="J142" s="30" t="str">
        <f>TEXT(I142,"ddd")</f>
        <v>dom</v>
      </c>
      <c r="K142" s="28">
        <v>0.45833333333333331</v>
      </c>
      <c r="L142" s="41"/>
      <c r="M142" s="41"/>
      <c r="N142" s="41"/>
      <c r="O142" s="32" t="str">
        <f>IF(COUNTIF(L142:N142,"?*")=$N$6,"✅ CUBIERTO",IF(COUNTIF(L142:N142,"?*")&gt;$N$6,"⚠ EXCESO",
IF(COUNTIF(L142:N142,"?*")&gt;0,"⚠ FALTANTE", "❌ SIN COMPLETAR")))</f>
        <v>❌ SIN COMPLETAR</v>
      </c>
      <c r="P142" s="17"/>
      <c r="Q142" s="29">
        <v>45977</v>
      </c>
      <c r="R142" s="30" t="str">
        <f>TEXT(Q142,"ddd")</f>
        <v>dom</v>
      </c>
      <c r="S142" s="28">
        <v>0.45833333333333331</v>
      </c>
      <c r="T142" s="31"/>
      <c r="U142" s="31"/>
      <c r="V142" s="31"/>
      <c r="W142" s="40" t="str">
        <f>IF(COUNTIF(T142:V142,"?*")=$N$7,"✅ CUBIERTO",IF(COUNTIF(T142:V142,"?*")&gt;$N$7,"⚠ EXCESO",
IF(COUNTIF(T142:V142,"?*")&gt;0,"⚠ FALTANTE", "❌ SIN COMPLETAR")))</f>
        <v>❌ SIN COMPLETAR</v>
      </c>
      <c r="Y142" s="29">
        <v>45977</v>
      </c>
      <c r="Z142" s="30" t="str">
        <f>TEXT(Y142,"ddd")</f>
        <v>dom</v>
      </c>
      <c r="AA142" s="28">
        <v>0.45833333333333331</v>
      </c>
      <c r="AB142" s="41"/>
      <c r="AC142" s="41"/>
      <c r="AD142" s="41"/>
      <c r="AE142" s="32" t="str">
        <f t="shared" si="42"/>
        <v>❌ SIN COMPLETAR</v>
      </c>
    </row>
    <row r="143" spans="1:31" x14ac:dyDescent="0.3">
      <c r="A143" s="29">
        <v>45977</v>
      </c>
      <c r="B143" s="30" t="str">
        <f t="shared" ref="B143:B149" si="67">TEXT(A143,"ddd")</f>
        <v>dom</v>
      </c>
      <c r="C143" s="28">
        <v>0.5</v>
      </c>
      <c r="D143" s="31" t="s">
        <v>34</v>
      </c>
      <c r="E143" s="31" t="s">
        <v>35</v>
      </c>
      <c r="F143" s="31"/>
      <c r="G143" s="40" t="str">
        <f>IF(COUNTIF(D143:F143,"?*")=$N$5,"✅ CUBIERTO",
IF(COUNTIF(D143:F143,"?*")&gt;$N$5,"⚠ EXCESO",IF(COUNTIF(D143:F143,"?*")&gt;0,"⚠ FALTANTE",
"❌ SIN COMPLETAR")))</f>
        <v>✅ CUBIERTO</v>
      </c>
      <c r="H143" s="17"/>
      <c r="I143" s="29">
        <v>45977</v>
      </c>
      <c r="J143" s="30" t="str">
        <f t="shared" ref="J143:J149" si="68">TEXT(I143,"ddd")</f>
        <v>dom</v>
      </c>
      <c r="K143" s="28">
        <v>0.5</v>
      </c>
      <c r="L143" s="41"/>
      <c r="M143" s="41"/>
      <c r="N143" s="41"/>
      <c r="O143" s="32" t="str">
        <f>IF(COUNTIF(L143:N143,"?*")=$N$6,"✅ CUBIERTO",IF(COUNTIF(L143:N143,"?*")&gt;$N$6,"⚠ EXCESO",
IF(COUNTIF(L143:N143,"?*")&gt;0,"⚠ FALTANTE", "❌ SIN COMPLETAR")))</f>
        <v>❌ SIN COMPLETAR</v>
      </c>
      <c r="P143" s="17"/>
      <c r="Q143" s="29">
        <v>45977</v>
      </c>
      <c r="R143" s="30" t="str">
        <f t="shared" ref="R143:R149" si="69">TEXT(Q143,"ddd")</f>
        <v>dom</v>
      </c>
      <c r="S143" s="28">
        <v>0.5</v>
      </c>
      <c r="T143" s="31"/>
      <c r="U143" s="31"/>
      <c r="V143" s="31"/>
      <c r="W143" s="40" t="str">
        <f>IF(COUNTIF(T143:V143,"?*")=$N$7,"✅ CUBIERTO",IF(COUNTIF(T143:V143,"?*")&gt;$N$7,"⚠ EXCESO",
IF(COUNTIF(T143:V143,"?*")&gt;0,"⚠ FALTANTE", "❌ SIN COMPLETAR")))</f>
        <v>❌ SIN COMPLETAR</v>
      </c>
      <c r="Y143" s="29">
        <v>45977</v>
      </c>
      <c r="Z143" s="30" t="str">
        <f t="shared" ref="Z143:Z149" si="70">TEXT(Y143,"ddd")</f>
        <v>dom</v>
      </c>
      <c r="AA143" s="28">
        <v>0.5</v>
      </c>
      <c r="AB143" s="41"/>
      <c r="AC143" s="41"/>
      <c r="AD143" s="41"/>
      <c r="AE143" s="32" t="str">
        <f t="shared" si="42"/>
        <v>❌ SIN COMPLETAR</v>
      </c>
    </row>
    <row r="144" spans="1:31" x14ac:dyDescent="0.3">
      <c r="A144" s="29">
        <v>45977</v>
      </c>
      <c r="B144" s="30" t="str">
        <f t="shared" si="67"/>
        <v>dom</v>
      </c>
      <c r="C144" s="28">
        <v>0.54166666666666696</v>
      </c>
      <c r="D144" s="31" t="s">
        <v>34</v>
      </c>
      <c r="E144" s="31" t="s">
        <v>35</v>
      </c>
      <c r="F144" s="31"/>
      <c r="G144" s="40" t="str">
        <f>IF(COUNTIF(D144:F144,"?*")=$N$5,"✅ CUBIERTO",
IF(COUNTIF(D144:F144,"?*")&gt;$N$5,"⚠ EXCESO",IF(COUNTIF(D144:F144,"?*")&gt;0,"⚠ FALTANTE",
"❌ SIN COMPLETAR")))</f>
        <v>✅ CUBIERTO</v>
      </c>
      <c r="H144" s="17"/>
      <c r="I144" s="29">
        <v>45977</v>
      </c>
      <c r="J144" s="30" t="str">
        <f t="shared" si="68"/>
        <v>dom</v>
      </c>
      <c r="K144" s="28">
        <v>0.54166666666666696</v>
      </c>
      <c r="L144" s="41"/>
      <c r="M144" s="41"/>
      <c r="N144" s="41"/>
      <c r="O144" s="32" t="str">
        <f>IF(COUNTIF(L144:N144,"?*")=$N$6,"✅ CUBIERTO",IF(COUNTIF(L144:N144,"?*")&gt;$N$6,"⚠ EXCESO",
IF(COUNTIF(L144:N144,"?*")&gt;0,"⚠ FALTANTE", "❌ SIN COMPLETAR")))</f>
        <v>❌ SIN COMPLETAR</v>
      </c>
      <c r="P144" s="17"/>
      <c r="Q144" s="29">
        <v>45977</v>
      </c>
      <c r="R144" s="30" t="str">
        <f t="shared" si="69"/>
        <v>dom</v>
      </c>
      <c r="S144" s="28">
        <v>0.54166666666666696</v>
      </c>
      <c r="T144" s="31"/>
      <c r="U144" s="31"/>
      <c r="V144" s="31"/>
      <c r="W144" s="40" t="str">
        <f>IF(COUNTIF(T144:V144,"?*")=$N$7,"✅ CUBIERTO",IF(COUNTIF(T144:V144,"?*")&gt;$N$7,"⚠ EXCESO",
IF(COUNTIF(T144:V144,"?*")&gt;0,"⚠ FALTANTE", "❌ SIN COMPLETAR")))</f>
        <v>❌ SIN COMPLETAR</v>
      </c>
      <c r="Y144" s="29">
        <v>45977</v>
      </c>
      <c r="Z144" s="30" t="str">
        <f t="shared" si="70"/>
        <v>dom</v>
      </c>
      <c r="AA144" s="28">
        <v>0.54166666666666696</v>
      </c>
      <c r="AB144" s="41"/>
      <c r="AC144" s="41"/>
      <c r="AD144" s="41"/>
      <c r="AE144" s="32" t="str">
        <f t="shared" si="42"/>
        <v>❌ SIN COMPLETAR</v>
      </c>
    </row>
    <row r="145" spans="1:31" x14ac:dyDescent="0.3">
      <c r="A145" s="29">
        <v>45977</v>
      </c>
      <c r="B145" s="30" t="str">
        <f t="shared" si="67"/>
        <v>dom</v>
      </c>
      <c r="C145" s="28">
        <v>0.58333333333333304</v>
      </c>
      <c r="D145" s="31" t="s">
        <v>34</v>
      </c>
      <c r="E145" s="31" t="s">
        <v>35</v>
      </c>
      <c r="F145" s="31"/>
      <c r="G145" s="40" t="str">
        <f>IF(COUNTIF(D145:F145,"?*")=$N$5,"✅ CUBIERTO",
IF(COUNTIF(D145:F145,"?*")&gt;$N$5,"⚠ EXCESO",IF(COUNTIF(D145:F145,"?*")&gt;0,"⚠ FALTANTE",
"❌ SIN COMPLETAR")))</f>
        <v>✅ CUBIERTO</v>
      </c>
      <c r="H145" s="17"/>
      <c r="I145" s="29">
        <v>45977</v>
      </c>
      <c r="J145" s="30" t="str">
        <f t="shared" si="68"/>
        <v>dom</v>
      </c>
      <c r="K145" s="28">
        <v>0.58333333333333304</v>
      </c>
      <c r="L145" s="41"/>
      <c r="M145" s="41"/>
      <c r="N145" s="41"/>
      <c r="O145" s="32" t="str">
        <f>IF(COUNTIF(L145:N145,"?*")=$N$6,"✅ CUBIERTO",IF(COUNTIF(L145:N145,"?*")&gt;$N$6,"⚠ EXCESO",
IF(COUNTIF(L145:N145,"?*")&gt;0,"⚠ FALTANTE", "❌ SIN COMPLETAR")))</f>
        <v>❌ SIN COMPLETAR</v>
      </c>
      <c r="P145" s="17"/>
      <c r="Q145" s="29">
        <v>45977</v>
      </c>
      <c r="R145" s="30" t="str">
        <f t="shared" si="69"/>
        <v>dom</v>
      </c>
      <c r="S145" s="28">
        <v>0.58333333333333304</v>
      </c>
      <c r="T145" s="31"/>
      <c r="U145" s="31"/>
      <c r="V145" s="31"/>
      <c r="W145" s="40" t="str">
        <f>IF(COUNTIF(T145:V145,"?*")=$N$7,"✅ CUBIERTO",IF(COUNTIF(T145:V145,"?*")&gt;$N$7,"⚠ EXCESO",
IF(COUNTIF(T145:V145,"?*")&gt;0,"⚠ FALTANTE", "❌ SIN COMPLETAR")))</f>
        <v>❌ SIN COMPLETAR</v>
      </c>
      <c r="Y145" s="29">
        <v>45977</v>
      </c>
      <c r="Z145" s="30" t="str">
        <f t="shared" si="70"/>
        <v>dom</v>
      </c>
      <c r="AA145" s="28">
        <v>0.58333333333333304</v>
      </c>
      <c r="AB145" s="41"/>
      <c r="AC145" s="41"/>
      <c r="AD145" s="41"/>
      <c r="AE145" s="32" t="str">
        <f t="shared" si="42"/>
        <v>❌ SIN COMPLETAR</v>
      </c>
    </row>
    <row r="146" spans="1:31" x14ac:dyDescent="0.3">
      <c r="A146" s="29">
        <v>45977</v>
      </c>
      <c r="B146" s="30" t="str">
        <f t="shared" si="67"/>
        <v>dom</v>
      </c>
      <c r="C146" s="28">
        <v>0.625</v>
      </c>
      <c r="D146" s="31" t="s">
        <v>37</v>
      </c>
      <c r="E146" s="31" t="s">
        <v>39</v>
      </c>
      <c r="F146" s="31"/>
      <c r="G146" s="40" t="str">
        <f>IF(COUNTIF(D146:F146,"?*")=$N$5,"✅ CUBIERTO",
IF(COUNTIF(D146:F146,"?*")&gt;$N$5,"⚠ EXCESO",IF(COUNTIF(D146:F146,"?*")&gt;0,"⚠ FALTANTE",
"❌ SIN COMPLETAR")))</f>
        <v>✅ CUBIERTO</v>
      </c>
      <c r="H146" s="17"/>
      <c r="I146" s="29">
        <v>45977</v>
      </c>
      <c r="J146" s="30" t="str">
        <f t="shared" si="68"/>
        <v>dom</v>
      </c>
      <c r="K146" s="28">
        <v>0.625</v>
      </c>
      <c r="L146" s="41"/>
      <c r="M146" s="41"/>
      <c r="N146" s="41"/>
      <c r="O146" s="32" t="str">
        <f>IF(COUNTIF(L146:N146,"?*")=$N$6,"✅ CUBIERTO",IF(COUNTIF(L146:N146,"?*")&gt;$N$6,"⚠ EXCESO",
IF(COUNTIF(L146:N146,"?*")&gt;0,"⚠ FALTANTE", "❌ SIN COMPLETAR")))</f>
        <v>❌ SIN COMPLETAR</v>
      </c>
      <c r="P146" s="17"/>
      <c r="Q146" s="29">
        <v>45977</v>
      </c>
      <c r="R146" s="30" t="str">
        <f t="shared" si="69"/>
        <v>dom</v>
      </c>
      <c r="S146" s="28">
        <v>0.625</v>
      </c>
      <c r="T146" s="31"/>
      <c r="U146" s="31"/>
      <c r="V146" s="31"/>
      <c r="W146" s="40" t="str">
        <f>IF(COUNTIF(T146:V146,"?*")=$N$7,"✅ CUBIERTO",IF(COUNTIF(T146:V146,"?*")&gt;$N$7,"⚠ EXCESO",
IF(COUNTIF(T146:V146,"?*")&gt;0,"⚠ FALTANTE", "❌ SIN COMPLETAR")))</f>
        <v>❌ SIN COMPLETAR</v>
      </c>
      <c r="Y146" s="29">
        <v>45977</v>
      </c>
      <c r="Z146" s="30" t="str">
        <f t="shared" si="70"/>
        <v>dom</v>
      </c>
      <c r="AA146" s="28">
        <v>0.625</v>
      </c>
      <c r="AB146" s="41"/>
      <c r="AC146" s="41"/>
      <c r="AD146" s="41"/>
      <c r="AE146" s="32" t="str">
        <f t="shared" si="42"/>
        <v>❌ SIN COMPLETAR</v>
      </c>
    </row>
    <row r="147" spans="1:31" x14ac:dyDescent="0.3">
      <c r="A147" s="29">
        <v>45977</v>
      </c>
      <c r="B147" s="30" t="str">
        <f t="shared" si="67"/>
        <v>dom</v>
      </c>
      <c r="C147" s="28">
        <v>0.66666666666666696</v>
      </c>
      <c r="D147" s="31" t="s">
        <v>37</v>
      </c>
      <c r="E147" s="31" t="s">
        <v>39</v>
      </c>
      <c r="F147" s="31"/>
      <c r="G147" s="40" t="str">
        <f>IF(COUNTIF(D147:F147,"?*")=$N$5,"✅ CUBIERTO",
IF(COUNTIF(D147:F147,"?*")&gt;$N$5,"⚠ EXCESO",IF(COUNTIF(D147:F147,"?*")&gt;0,"⚠ FALTANTE",
"❌ SIN COMPLETAR")))</f>
        <v>✅ CUBIERTO</v>
      </c>
      <c r="H147" s="17"/>
      <c r="I147" s="29">
        <v>45977</v>
      </c>
      <c r="J147" s="30" t="str">
        <f t="shared" si="68"/>
        <v>dom</v>
      </c>
      <c r="K147" s="28">
        <v>0.66666666666666696</v>
      </c>
      <c r="L147" s="41"/>
      <c r="M147" s="41"/>
      <c r="N147" s="41"/>
      <c r="O147" s="32" t="str">
        <f>IF(COUNTIF(L147:N147,"?*")=$N$6,"✅ CUBIERTO",IF(COUNTIF(L147:N147,"?*")&gt;$N$6,"⚠ EXCESO",
IF(COUNTIF(L147:N147,"?*")&gt;0,"⚠ FALTANTE", "❌ SIN COMPLETAR")))</f>
        <v>❌ SIN COMPLETAR</v>
      </c>
      <c r="P147" s="17"/>
      <c r="Q147" s="29">
        <v>45977</v>
      </c>
      <c r="R147" s="30" t="str">
        <f t="shared" si="69"/>
        <v>dom</v>
      </c>
      <c r="S147" s="28">
        <v>0.66666666666666696</v>
      </c>
      <c r="T147" s="31"/>
      <c r="U147" s="31"/>
      <c r="V147" s="31"/>
      <c r="W147" s="40" t="str">
        <f>IF(COUNTIF(T147:V147,"?*")=$N$7,"✅ CUBIERTO",IF(COUNTIF(T147:V147,"?*")&gt;$N$7,"⚠ EXCESO",
IF(COUNTIF(T147:V147,"?*")&gt;0,"⚠ FALTANTE", "❌ SIN COMPLETAR")))</f>
        <v>❌ SIN COMPLETAR</v>
      </c>
      <c r="Y147" s="29">
        <v>45977</v>
      </c>
      <c r="Z147" s="30" t="str">
        <f t="shared" si="70"/>
        <v>dom</v>
      </c>
      <c r="AA147" s="28">
        <v>0.66666666666666696</v>
      </c>
      <c r="AB147" s="41"/>
      <c r="AC147" s="41"/>
      <c r="AD147" s="41"/>
      <c r="AE147" s="32" t="str">
        <f t="shared" si="42"/>
        <v>❌ SIN COMPLETAR</v>
      </c>
    </row>
    <row r="148" spans="1:31" x14ac:dyDescent="0.3">
      <c r="A148" s="29">
        <v>45977</v>
      </c>
      <c r="B148" s="30" t="str">
        <f t="shared" si="67"/>
        <v>dom</v>
      </c>
      <c r="C148" s="28">
        <v>0.70833333333333304</v>
      </c>
      <c r="D148" s="31" t="s">
        <v>37</v>
      </c>
      <c r="E148" s="31" t="s">
        <v>39</v>
      </c>
      <c r="F148" s="31"/>
      <c r="G148" s="40" t="str">
        <f>IF(COUNTIF(D148:F148,"?*")=$N$5,"✅ CUBIERTO",
IF(COUNTIF(D148:F148,"?*")&gt;$N$5,"⚠ EXCESO",IF(COUNTIF(D148:F148,"?*")&gt;0,"⚠ FALTANTE",
"❌ SIN COMPLETAR")))</f>
        <v>✅ CUBIERTO</v>
      </c>
      <c r="H148" s="17"/>
      <c r="I148" s="29">
        <v>45977</v>
      </c>
      <c r="J148" s="30" t="str">
        <f t="shared" si="68"/>
        <v>dom</v>
      </c>
      <c r="K148" s="28">
        <v>0.70833333333333304</v>
      </c>
      <c r="L148" s="41"/>
      <c r="M148" s="41"/>
      <c r="N148" s="41"/>
      <c r="O148" s="32" t="str">
        <f>IF(COUNTIF(L148:N148,"?*")=$N$6,"✅ CUBIERTO",IF(COUNTIF(L148:N148,"?*")&gt;$N$6,"⚠ EXCESO",
IF(COUNTIF(L148:N148,"?*")&gt;0,"⚠ FALTANTE", "❌ SIN COMPLETAR")))</f>
        <v>❌ SIN COMPLETAR</v>
      </c>
      <c r="P148" s="17"/>
      <c r="Q148" s="29">
        <v>45977</v>
      </c>
      <c r="R148" s="30" t="str">
        <f t="shared" si="69"/>
        <v>dom</v>
      </c>
      <c r="S148" s="28">
        <v>0.70833333333333304</v>
      </c>
      <c r="T148" s="31"/>
      <c r="U148" s="31"/>
      <c r="V148" s="31"/>
      <c r="W148" s="40" t="str">
        <f>IF(COUNTIF(T148:V148,"?*")=$N$7,"✅ CUBIERTO",IF(COUNTIF(T148:V148,"?*")&gt;$N$7,"⚠ EXCESO",
IF(COUNTIF(T148:V148,"?*")&gt;0,"⚠ FALTANTE", "❌ SIN COMPLETAR")))</f>
        <v>❌ SIN COMPLETAR</v>
      </c>
      <c r="Y148" s="29">
        <v>45977</v>
      </c>
      <c r="Z148" s="30" t="str">
        <f t="shared" si="70"/>
        <v>dom</v>
      </c>
      <c r="AA148" s="28">
        <v>0.70833333333333304</v>
      </c>
      <c r="AB148" s="41"/>
      <c r="AC148" s="41"/>
      <c r="AD148" s="41"/>
      <c r="AE148" s="32" t="str">
        <f t="shared" si="42"/>
        <v>❌ SIN COMPLETAR</v>
      </c>
    </row>
    <row r="149" spans="1:31" x14ac:dyDescent="0.3">
      <c r="A149" s="29">
        <v>45977</v>
      </c>
      <c r="B149" s="30" t="str">
        <f t="shared" si="67"/>
        <v>dom</v>
      </c>
      <c r="C149" s="28">
        <v>0.75</v>
      </c>
      <c r="D149" s="31" t="s">
        <v>37</v>
      </c>
      <c r="E149" s="31" t="s">
        <v>39</v>
      </c>
      <c r="F149" s="31"/>
      <c r="G149" s="40" t="str">
        <f>IF(COUNTIF(D149:F149,"?*")=$N$5,"✅ CUBIERTO",
IF(COUNTIF(D149:F149,"?*")&gt;$N$5,"⚠ EXCESO",IF(COUNTIF(D149:F149,"?*")&gt;0,"⚠ FALTANTE",
"❌ SIN COMPLETAR")))</f>
        <v>✅ CUBIERTO</v>
      </c>
      <c r="H149" s="17"/>
      <c r="I149" s="29">
        <v>45977</v>
      </c>
      <c r="J149" s="30" t="str">
        <f t="shared" si="68"/>
        <v>dom</v>
      </c>
      <c r="K149" s="28">
        <v>0.75</v>
      </c>
      <c r="L149" s="41"/>
      <c r="M149" s="41"/>
      <c r="N149" s="41"/>
      <c r="O149" s="32" t="str">
        <f>IF(COUNTIF(L149:N149,"?*")=$N$6,"✅ CUBIERTO",IF(COUNTIF(L149:N149,"?*")&gt;$N$6,"⚠ EXCESO",
IF(COUNTIF(L149:N149,"?*")&gt;0,"⚠ FALTANTE", "❌ SIN COMPLETAR")))</f>
        <v>❌ SIN COMPLETAR</v>
      </c>
      <c r="P149" s="17"/>
      <c r="Q149" s="29">
        <v>45977</v>
      </c>
      <c r="R149" s="30" t="str">
        <f t="shared" si="69"/>
        <v>dom</v>
      </c>
      <c r="S149" s="28">
        <v>0.75</v>
      </c>
      <c r="T149" s="31"/>
      <c r="U149" s="31"/>
      <c r="V149" s="31"/>
      <c r="W149" s="40" t="str">
        <f>IF(COUNTIF(T149:V149,"?*")=$N$7,"✅ CUBIERTO",IF(COUNTIF(T149:V149,"?*")&gt;$N$7,"⚠ EXCESO",
IF(COUNTIF(T149:V149,"?*")&gt;0,"⚠ FALTANTE", "❌ SIN COMPLETAR")))</f>
        <v>❌ SIN COMPLETAR</v>
      </c>
      <c r="Y149" s="29">
        <v>45977</v>
      </c>
      <c r="Z149" s="30" t="str">
        <f t="shared" si="70"/>
        <v>dom</v>
      </c>
      <c r="AA149" s="28">
        <v>0.75</v>
      </c>
      <c r="AB149" s="41"/>
      <c r="AC149" s="41"/>
      <c r="AD149" s="41"/>
      <c r="AE149" s="32" t="str">
        <f t="shared" si="42"/>
        <v>❌ SIN COMPLETAR</v>
      </c>
    </row>
    <row r="150" spans="1:31" x14ac:dyDescent="0.3">
      <c r="A150" s="29">
        <v>45978</v>
      </c>
      <c r="B150" s="30" t="str">
        <f>TEXT(A150,"ddd")</f>
        <v>lun</v>
      </c>
      <c r="C150" s="28">
        <v>0.45833333333333331</v>
      </c>
      <c r="D150" s="31"/>
      <c r="E150" s="31"/>
      <c r="F150" s="31"/>
      <c r="G150" s="40" t="str">
        <f>IF(COUNTIF(D150:F150,"?*")=$N$5,"✅ CUBIERTO",
IF(COUNTIF(D150:F150,"?*")&gt;$N$5,"⚠ EXCESO",IF(COUNTIF(D150:F150,"?*")&gt;0,"⚠ FALTANTE",
"❌ SIN COMPLETAR")))</f>
        <v>❌ SIN COMPLETAR</v>
      </c>
      <c r="H150" s="17"/>
      <c r="I150" s="29">
        <v>45978</v>
      </c>
      <c r="J150" s="30" t="str">
        <f>TEXT(I150,"ddd")</f>
        <v>lun</v>
      </c>
      <c r="K150" s="28">
        <v>0.45833333333333331</v>
      </c>
      <c r="L150" s="31"/>
      <c r="M150" s="31"/>
      <c r="N150" s="31"/>
      <c r="O150" s="32" t="str">
        <f>IF(COUNTIF(L150:N150,"?*")=$N$6,"✅ CUBIERTO",IF(COUNTIF(L150:N150,"?*")&gt;$N$6,"⚠ EXCESO",
IF(COUNTIF(L150:N150,"?*")&gt;0,"⚠ FALTANTE", "❌ SIN COMPLETAR")))</f>
        <v>❌ SIN COMPLETAR</v>
      </c>
      <c r="P150" s="17"/>
      <c r="Q150" s="29">
        <v>45978</v>
      </c>
      <c r="R150" s="30" t="str">
        <f>TEXT(Q150,"ddd")</f>
        <v>lun</v>
      </c>
      <c r="S150" s="28">
        <v>0.45833333333333331</v>
      </c>
      <c r="T150" s="31"/>
      <c r="U150" s="31"/>
      <c r="V150" s="31"/>
      <c r="W150" s="40" t="s">
        <v>16</v>
      </c>
      <c r="Y150" s="29">
        <v>45978</v>
      </c>
      <c r="Z150" s="30" t="str">
        <f>TEXT(Y150,"ddd")</f>
        <v>lun</v>
      </c>
      <c r="AA150" s="28">
        <v>0.45833333333333331</v>
      </c>
      <c r="AB150" s="31"/>
      <c r="AC150" s="31"/>
      <c r="AD150" s="31"/>
      <c r="AE150" s="32" t="str">
        <f t="shared" si="42"/>
        <v>❌ SIN COMPLETAR</v>
      </c>
    </row>
    <row r="151" spans="1:31" x14ac:dyDescent="0.3">
      <c r="A151" s="29">
        <v>45978</v>
      </c>
      <c r="B151" s="30" t="str">
        <f t="shared" ref="B151:B157" si="71">TEXT(A151,"ddd")</f>
        <v>lun</v>
      </c>
      <c r="C151" s="28">
        <v>0.5</v>
      </c>
      <c r="D151" s="31"/>
      <c r="E151" s="31"/>
      <c r="F151" s="31"/>
      <c r="G151" s="40" t="str">
        <f>IF(COUNTIF(D151:F151,"?*")=$N$5,"✅ CUBIERTO",
IF(COUNTIF(D151:F151,"?*")&gt;$N$5,"⚠ EXCESO",IF(COUNTIF(D151:F151,"?*")&gt;0,"⚠ FALTANTE",
"❌ SIN COMPLETAR")))</f>
        <v>❌ SIN COMPLETAR</v>
      </c>
      <c r="H151" s="17"/>
      <c r="I151" s="29">
        <v>45978</v>
      </c>
      <c r="J151" s="30" t="str">
        <f t="shared" ref="J151:J157" si="72">TEXT(I151,"ddd")</f>
        <v>lun</v>
      </c>
      <c r="K151" s="28">
        <v>0.5</v>
      </c>
      <c r="L151" s="31"/>
      <c r="M151" s="31"/>
      <c r="N151" s="31"/>
      <c r="O151" s="32" t="str">
        <f>IF(COUNTIF(L151:N151,"?*")=$N$6,"✅ CUBIERTO",IF(COUNTIF(L151:N151,"?*")&gt;$N$6,"⚠ EXCESO",
IF(COUNTIF(L151:N151,"?*")&gt;0,"⚠ FALTANTE", "❌ SIN COMPLETAR")))</f>
        <v>❌ SIN COMPLETAR</v>
      </c>
      <c r="P151" s="17"/>
      <c r="Q151" s="29">
        <v>45978</v>
      </c>
      <c r="R151" s="30" t="str">
        <f t="shared" ref="R151:R157" si="73">TEXT(Q151,"ddd")</f>
        <v>lun</v>
      </c>
      <c r="S151" s="28">
        <v>0.5</v>
      </c>
      <c r="T151" s="31"/>
      <c r="U151" s="31"/>
      <c r="V151" s="31"/>
      <c r="W151" s="40" t="str">
        <f>IF(COUNTIF(T151:V151,"?*")=$N$7,"✅ CUBIERTO",IF(COUNTIF(T151:V151,"?*")&gt;$N$7,"⚠ EXCESO",
IF(COUNTIF(T151:V151,"?*")&gt;0,"⚠ FALTANTE", "❌ SIN COMPLETAR")))</f>
        <v>❌ SIN COMPLETAR</v>
      </c>
      <c r="Y151" s="29">
        <v>45978</v>
      </c>
      <c r="Z151" s="30" t="str">
        <f t="shared" ref="Z151:Z157" si="74">TEXT(Y151,"ddd")</f>
        <v>lun</v>
      </c>
      <c r="AA151" s="28">
        <v>0.5</v>
      </c>
      <c r="AB151" s="31"/>
      <c r="AC151" s="31"/>
      <c r="AD151" s="31"/>
      <c r="AE151" s="32" t="str">
        <f t="shared" ref="AE151:AE214" si="75">IF(COUNTIF(AB151:AD151,"?*")=$N$8,"✅ CUBIERTO",IF(COUNTIF(AB151:AD151,"?*")&gt;$N$8,"⚠ EXCESO",
IF(COUNTIF(AB151:AD151,"?*")&gt;0,"⚠ FALTANTE", "❌ SIN COMPLETAR")))</f>
        <v>❌ SIN COMPLETAR</v>
      </c>
    </row>
    <row r="152" spans="1:31" x14ac:dyDescent="0.3">
      <c r="A152" s="29">
        <v>45978</v>
      </c>
      <c r="B152" s="30" t="str">
        <f t="shared" si="71"/>
        <v>lun</v>
      </c>
      <c r="C152" s="28">
        <v>0.54166666666666696</v>
      </c>
      <c r="D152" s="31"/>
      <c r="E152" s="31"/>
      <c r="F152" s="31"/>
      <c r="G152" s="40" t="str">
        <f>IF(COUNTIF(D152:F152,"?*")=$N$5,"✅ CUBIERTO",
IF(COUNTIF(D152:F152,"?*")&gt;$N$5,"⚠ EXCESO",IF(COUNTIF(D152:F152,"?*")&gt;0,"⚠ FALTANTE",
"❌ SIN COMPLETAR")))</f>
        <v>❌ SIN COMPLETAR</v>
      </c>
      <c r="H152" s="17"/>
      <c r="I152" s="29">
        <v>45978</v>
      </c>
      <c r="J152" s="30" t="str">
        <f t="shared" si="72"/>
        <v>lun</v>
      </c>
      <c r="K152" s="28">
        <v>0.54166666666666696</v>
      </c>
      <c r="L152" s="31"/>
      <c r="M152" s="31"/>
      <c r="N152" s="31"/>
      <c r="O152" s="32" t="str">
        <f>IF(COUNTIF(L152:N152,"?*")=$N$6,"✅ CUBIERTO",IF(COUNTIF(L152:N152,"?*")&gt;$N$6,"⚠ EXCESO",
IF(COUNTIF(L152:N152,"?*")&gt;0,"⚠ FALTANTE", "❌ SIN COMPLETAR")))</f>
        <v>❌ SIN COMPLETAR</v>
      </c>
      <c r="P152" s="17"/>
      <c r="Q152" s="29">
        <v>45978</v>
      </c>
      <c r="R152" s="30" t="str">
        <f t="shared" si="73"/>
        <v>lun</v>
      </c>
      <c r="S152" s="28">
        <v>0.54166666666666696</v>
      </c>
      <c r="T152" s="31"/>
      <c r="U152" s="31"/>
      <c r="V152" s="31"/>
      <c r="W152" s="40" t="str">
        <f>IF(COUNTIF(T152:V152,"?*")=$N$7,"✅ CUBIERTO",IF(COUNTIF(T152:V152,"?*")&gt;$N$7,"⚠ EXCESO",
IF(COUNTIF(T152:V152,"?*")&gt;0,"⚠ FALTANTE", "❌ SIN COMPLETAR")))</f>
        <v>❌ SIN COMPLETAR</v>
      </c>
      <c r="Y152" s="29">
        <v>45978</v>
      </c>
      <c r="Z152" s="30" t="str">
        <f t="shared" si="74"/>
        <v>lun</v>
      </c>
      <c r="AA152" s="28">
        <v>0.54166666666666696</v>
      </c>
      <c r="AB152" s="31"/>
      <c r="AC152" s="31"/>
      <c r="AD152" s="31"/>
      <c r="AE152" s="32" t="str">
        <f t="shared" si="75"/>
        <v>❌ SIN COMPLETAR</v>
      </c>
    </row>
    <row r="153" spans="1:31" x14ac:dyDescent="0.3">
      <c r="A153" s="29">
        <v>45978</v>
      </c>
      <c r="B153" s="30" t="str">
        <f t="shared" si="71"/>
        <v>lun</v>
      </c>
      <c r="C153" s="28">
        <v>0.58333333333333304</v>
      </c>
      <c r="D153" s="31"/>
      <c r="E153" s="31"/>
      <c r="F153" s="31"/>
      <c r="G153" s="40" t="str">
        <f>IF(COUNTIF(D153:F153,"?*")=$N$5,"✅ CUBIERTO",
IF(COUNTIF(D153:F153,"?*")&gt;$N$5,"⚠ EXCESO",IF(COUNTIF(D153:F153,"?*")&gt;0,"⚠ FALTANTE",
"❌ SIN COMPLETAR")))</f>
        <v>❌ SIN COMPLETAR</v>
      </c>
      <c r="H153" s="17"/>
      <c r="I153" s="29">
        <v>45978</v>
      </c>
      <c r="J153" s="30" t="str">
        <f t="shared" si="72"/>
        <v>lun</v>
      </c>
      <c r="K153" s="28">
        <v>0.58333333333333304</v>
      </c>
      <c r="L153" s="31"/>
      <c r="M153" s="31"/>
      <c r="N153" s="31"/>
      <c r="O153" s="32" t="str">
        <f>IF(COUNTIF(L153:N153,"?*")=$N$6,"✅ CUBIERTO",IF(COUNTIF(L153:N153,"?*")&gt;$N$6,"⚠ EXCESO",
IF(COUNTIF(L153:N153,"?*")&gt;0,"⚠ FALTANTE", "❌ SIN COMPLETAR")))</f>
        <v>❌ SIN COMPLETAR</v>
      </c>
      <c r="P153" s="17"/>
      <c r="Q153" s="29">
        <v>45978</v>
      </c>
      <c r="R153" s="30" t="str">
        <f t="shared" si="73"/>
        <v>lun</v>
      </c>
      <c r="S153" s="28">
        <v>0.58333333333333304</v>
      </c>
      <c r="T153" s="31"/>
      <c r="U153" s="31"/>
      <c r="V153" s="31"/>
      <c r="W153" s="40" t="str">
        <f>IF(COUNTIF(T153:V153,"?*")=$N$7,"✅ CUBIERTO",IF(COUNTIF(T153:V153,"?*")&gt;$N$7,"⚠ EXCESO",
IF(COUNTIF(T153:V153,"?*")&gt;0,"⚠ FALTANTE", "❌ SIN COMPLETAR")))</f>
        <v>❌ SIN COMPLETAR</v>
      </c>
      <c r="Y153" s="29">
        <v>45978</v>
      </c>
      <c r="Z153" s="30" t="str">
        <f t="shared" si="74"/>
        <v>lun</v>
      </c>
      <c r="AA153" s="28">
        <v>0.58333333333333304</v>
      </c>
      <c r="AB153" s="31"/>
      <c r="AC153" s="31"/>
      <c r="AD153" s="31"/>
      <c r="AE153" s="32" t="str">
        <f t="shared" si="75"/>
        <v>❌ SIN COMPLETAR</v>
      </c>
    </row>
    <row r="154" spans="1:31" x14ac:dyDescent="0.3">
      <c r="A154" s="29">
        <v>45978</v>
      </c>
      <c r="B154" s="30" t="str">
        <f t="shared" si="71"/>
        <v>lun</v>
      </c>
      <c r="C154" s="28">
        <v>0.625</v>
      </c>
      <c r="D154" s="31"/>
      <c r="E154" s="31"/>
      <c r="F154" s="31"/>
      <c r="G154" s="40" t="str">
        <f>IF(COUNTIF(D154:F154,"?*")=$N$5,"✅ CUBIERTO",
IF(COUNTIF(D154:F154,"?*")&gt;$N$5,"⚠ EXCESO",IF(COUNTIF(D154:F154,"?*")&gt;0,"⚠ FALTANTE",
"❌ SIN COMPLETAR")))</f>
        <v>❌ SIN COMPLETAR</v>
      </c>
      <c r="H154" s="17"/>
      <c r="I154" s="29">
        <v>45978</v>
      </c>
      <c r="J154" s="30" t="str">
        <f t="shared" si="72"/>
        <v>lun</v>
      </c>
      <c r="K154" s="28">
        <v>0.625</v>
      </c>
      <c r="L154" s="31"/>
      <c r="M154" s="31"/>
      <c r="N154" s="31"/>
      <c r="O154" s="32" t="str">
        <f>IF(COUNTIF(L154:N154,"?*")=$N$6,"✅ CUBIERTO",IF(COUNTIF(L154:N154,"?*")&gt;$N$6,"⚠ EXCESO",
IF(COUNTIF(L154:N154,"?*")&gt;0,"⚠ FALTANTE", "❌ SIN COMPLETAR")))</f>
        <v>❌ SIN COMPLETAR</v>
      </c>
      <c r="P154" s="17"/>
      <c r="Q154" s="29">
        <v>45978</v>
      </c>
      <c r="R154" s="30" t="str">
        <f t="shared" si="73"/>
        <v>lun</v>
      </c>
      <c r="S154" s="28">
        <v>0.625</v>
      </c>
      <c r="T154" s="31"/>
      <c r="U154" s="31"/>
      <c r="V154" s="31"/>
      <c r="W154" s="40" t="str">
        <f>IF(COUNTIF(T154:V154,"?*")=$N$7,"✅ CUBIERTO",IF(COUNTIF(T154:V154,"?*")&gt;$N$7,"⚠ EXCESO",
IF(COUNTIF(T154:V154,"?*")&gt;0,"⚠ FALTANTE", "❌ SIN COMPLETAR")))</f>
        <v>❌ SIN COMPLETAR</v>
      </c>
      <c r="Y154" s="29">
        <v>45978</v>
      </c>
      <c r="Z154" s="30" t="str">
        <f t="shared" si="74"/>
        <v>lun</v>
      </c>
      <c r="AA154" s="28">
        <v>0.625</v>
      </c>
      <c r="AB154" s="31"/>
      <c r="AC154" s="31"/>
      <c r="AD154" s="31"/>
      <c r="AE154" s="32" t="str">
        <f t="shared" si="75"/>
        <v>❌ SIN COMPLETAR</v>
      </c>
    </row>
    <row r="155" spans="1:31" x14ac:dyDescent="0.3">
      <c r="A155" s="29">
        <v>45978</v>
      </c>
      <c r="B155" s="30" t="str">
        <f t="shared" si="71"/>
        <v>lun</v>
      </c>
      <c r="C155" s="28">
        <v>0.66666666666666696</v>
      </c>
      <c r="D155" s="31"/>
      <c r="E155" s="31"/>
      <c r="F155" s="31"/>
      <c r="G155" s="40" t="str">
        <f>IF(COUNTIF(D155:F155,"?*")=$N$5,"✅ CUBIERTO",
IF(COUNTIF(D155:F155,"?*")&gt;$N$5,"⚠ EXCESO",IF(COUNTIF(D155:F155,"?*")&gt;0,"⚠ FALTANTE",
"❌ SIN COMPLETAR")))</f>
        <v>❌ SIN COMPLETAR</v>
      </c>
      <c r="H155" s="17"/>
      <c r="I155" s="29">
        <v>45978</v>
      </c>
      <c r="J155" s="30" t="str">
        <f t="shared" si="72"/>
        <v>lun</v>
      </c>
      <c r="K155" s="28">
        <v>0.66666666666666696</v>
      </c>
      <c r="L155" s="31"/>
      <c r="M155" s="31"/>
      <c r="N155" s="31"/>
      <c r="O155" s="32" t="str">
        <f>IF(COUNTIF(L155:N155,"?*")=$N$6,"✅ CUBIERTO",IF(COUNTIF(L155:N155,"?*")&gt;$N$6,"⚠ EXCESO",
IF(COUNTIF(L155:N155,"?*")&gt;0,"⚠ FALTANTE", "❌ SIN COMPLETAR")))</f>
        <v>❌ SIN COMPLETAR</v>
      </c>
      <c r="P155" s="17"/>
      <c r="Q155" s="29">
        <v>45978</v>
      </c>
      <c r="R155" s="30" t="str">
        <f t="shared" si="73"/>
        <v>lun</v>
      </c>
      <c r="S155" s="28">
        <v>0.66666666666666696</v>
      </c>
      <c r="T155" s="31"/>
      <c r="U155" s="31"/>
      <c r="V155" s="31"/>
      <c r="W155" s="40" t="str">
        <f>IF(COUNTIF(T155:V155,"?*")=$N$7,"✅ CUBIERTO",IF(COUNTIF(T155:V155,"?*")&gt;$N$7,"⚠ EXCESO",
IF(COUNTIF(T155:V155,"?*")&gt;0,"⚠ FALTANTE", "❌ SIN COMPLETAR")))</f>
        <v>❌ SIN COMPLETAR</v>
      </c>
      <c r="Y155" s="29">
        <v>45978</v>
      </c>
      <c r="Z155" s="30" t="str">
        <f t="shared" si="74"/>
        <v>lun</v>
      </c>
      <c r="AA155" s="28">
        <v>0.66666666666666696</v>
      </c>
      <c r="AB155" s="31"/>
      <c r="AC155" s="31"/>
      <c r="AD155" s="31"/>
      <c r="AE155" s="32" t="str">
        <f t="shared" si="75"/>
        <v>❌ SIN COMPLETAR</v>
      </c>
    </row>
    <row r="156" spans="1:31" x14ac:dyDescent="0.3">
      <c r="A156" s="29">
        <v>45978</v>
      </c>
      <c r="B156" s="30" t="str">
        <f t="shared" si="71"/>
        <v>lun</v>
      </c>
      <c r="C156" s="28">
        <v>0.70833333333333304</v>
      </c>
      <c r="D156" s="31"/>
      <c r="E156" s="31"/>
      <c r="F156" s="31"/>
      <c r="G156" s="40" t="str">
        <f>IF(COUNTIF(D156:F156,"?*")=$N$5,"✅ CUBIERTO",
IF(COUNTIF(D156:F156,"?*")&gt;$N$5,"⚠ EXCESO",IF(COUNTIF(D156:F156,"?*")&gt;0,"⚠ FALTANTE",
"❌ SIN COMPLETAR")))</f>
        <v>❌ SIN COMPLETAR</v>
      </c>
      <c r="H156" s="17"/>
      <c r="I156" s="29">
        <v>45978</v>
      </c>
      <c r="J156" s="30" t="str">
        <f t="shared" si="72"/>
        <v>lun</v>
      </c>
      <c r="K156" s="28">
        <v>0.70833333333333304</v>
      </c>
      <c r="L156" s="31"/>
      <c r="M156" s="31"/>
      <c r="N156" s="31"/>
      <c r="O156" s="32" t="str">
        <f>IF(COUNTIF(L156:N156,"?*")=$N$6,"✅ CUBIERTO",IF(COUNTIF(L156:N156,"?*")&gt;$N$6,"⚠ EXCESO",
IF(COUNTIF(L156:N156,"?*")&gt;0,"⚠ FALTANTE", "❌ SIN COMPLETAR")))</f>
        <v>❌ SIN COMPLETAR</v>
      </c>
      <c r="P156" s="17"/>
      <c r="Q156" s="29">
        <v>45978</v>
      </c>
      <c r="R156" s="30" t="str">
        <f t="shared" si="73"/>
        <v>lun</v>
      </c>
      <c r="S156" s="28">
        <v>0.70833333333333304</v>
      </c>
      <c r="T156" s="31"/>
      <c r="U156" s="31"/>
      <c r="V156" s="31"/>
      <c r="W156" s="40" t="str">
        <f>IF(COUNTIF(T156:V156,"?*")=$N$7,"✅ CUBIERTO",IF(COUNTIF(T156:V156,"?*")&gt;$N$7,"⚠ EXCESO",
IF(COUNTIF(T156:V156,"?*")&gt;0,"⚠ FALTANTE", "❌ SIN COMPLETAR")))</f>
        <v>❌ SIN COMPLETAR</v>
      </c>
      <c r="Y156" s="29">
        <v>45978</v>
      </c>
      <c r="Z156" s="30" t="str">
        <f t="shared" si="74"/>
        <v>lun</v>
      </c>
      <c r="AA156" s="28">
        <v>0.70833333333333304</v>
      </c>
      <c r="AB156" s="31"/>
      <c r="AC156" s="31"/>
      <c r="AD156" s="31"/>
      <c r="AE156" s="32" t="str">
        <f t="shared" si="75"/>
        <v>❌ SIN COMPLETAR</v>
      </c>
    </row>
    <row r="157" spans="1:31" x14ac:dyDescent="0.3">
      <c r="A157" s="29">
        <v>45978</v>
      </c>
      <c r="B157" s="30" t="str">
        <f t="shared" si="71"/>
        <v>lun</v>
      </c>
      <c r="C157" s="28">
        <v>0.75</v>
      </c>
      <c r="D157" s="31"/>
      <c r="E157" s="31"/>
      <c r="F157" s="31"/>
      <c r="G157" s="40" t="str">
        <f>IF(COUNTIF(D157:F157,"?*")=$N$5,"✅ CUBIERTO",
IF(COUNTIF(D157:F157,"?*")&gt;$N$5,"⚠ EXCESO",IF(COUNTIF(D157:F157,"?*")&gt;0,"⚠ FALTANTE",
"❌ SIN COMPLETAR")))</f>
        <v>❌ SIN COMPLETAR</v>
      </c>
      <c r="H157" s="17"/>
      <c r="I157" s="29">
        <v>45978</v>
      </c>
      <c r="J157" s="30" t="str">
        <f t="shared" si="72"/>
        <v>lun</v>
      </c>
      <c r="K157" s="28">
        <v>0.75</v>
      </c>
      <c r="L157" s="41"/>
      <c r="M157" s="41"/>
      <c r="N157" s="41"/>
      <c r="O157" s="32" t="str">
        <f>IF(COUNTIF(L157:N157,"?*")=$N$6,"✅ CUBIERTO",IF(COUNTIF(L157:N157,"?*")&gt;$N$6,"⚠ EXCESO",
IF(COUNTIF(L157:N157,"?*")&gt;0,"⚠ FALTANTE", "❌ SIN COMPLETAR")))</f>
        <v>❌ SIN COMPLETAR</v>
      </c>
      <c r="P157" s="17"/>
      <c r="Q157" s="29">
        <v>45978</v>
      </c>
      <c r="R157" s="30" t="str">
        <f t="shared" si="73"/>
        <v>lun</v>
      </c>
      <c r="S157" s="28">
        <v>0.75</v>
      </c>
      <c r="T157" s="31"/>
      <c r="U157" s="31"/>
      <c r="V157" s="31"/>
      <c r="W157" s="40" t="s">
        <v>16</v>
      </c>
      <c r="Y157" s="29">
        <v>45978</v>
      </c>
      <c r="Z157" s="30" t="str">
        <f t="shared" si="74"/>
        <v>lun</v>
      </c>
      <c r="AA157" s="28">
        <v>0.75</v>
      </c>
      <c r="AB157" s="41"/>
      <c r="AC157" s="41"/>
      <c r="AD157" s="41"/>
      <c r="AE157" s="32" t="str">
        <f t="shared" si="75"/>
        <v>❌ SIN COMPLETAR</v>
      </c>
    </row>
    <row r="158" spans="1:31" x14ac:dyDescent="0.3">
      <c r="A158" s="29">
        <v>45979</v>
      </c>
      <c r="B158" s="30" t="str">
        <f>TEXT(A158,"ddd")</f>
        <v>mar</v>
      </c>
      <c r="C158" s="28">
        <v>0.45833333333333331</v>
      </c>
      <c r="D158" s="31"/>
      <c r="E158" s="31"/>
      <c r="F158" s="31"/>
      <c r="G158" s="40" t="str">
        <f>IF(COUNTIF(D158:F158,"?*")=$N$5,"✅ CUBIERTO",
IF(COUNTIF(D158:F158,"?*")&gt;$N$5,"⚠ EXCESO",IF(COUNTIF(D158:F158,"?*")&gt;0,"⚠ FALTANTE",
"❌ SIN COMPLETAR")))</f>
        <v>❌ SIN COMPLETAR</v>
      </c>
      <c r="H158" s="17"/>
      <c r="I158" s="29">
        <v>45979</v>
      </c>
      <c r="J158" s="30" t="str">
        <f>TEXT(I158,"ddd")</f>
        <v>mar</v>
      </c>
      <c r="K158" s="28">
        <v>0.45833333333333331</v>
      </c>
      <c r="L158" s="31"/>
      <c r="M158" s="31"/>
      <c r="N158" s="31"/>
      <c r="O158" s="32" t="str">
        <f>IF(COUNTIF(L158:N158,"?*")=$N$6,"✅ CUBIERTO",IF(COUNTIF(L158:N158,"?*")&gt;$N$6,"⚠ EXCESO",
IF(COUNTIF(L158:N158,"?*")&gt;0,"⚠ FALTANTE", "❌ SIN COMPLETAR")))</f>
        <v>❌ SIN COMPLETAR</v>
      </c>
      <c r="P158" s="17"/>
      <c r="Q158" s="29">
        <v>45979</v>
      </c>
      <c r="R158" s="30" t="str">
        <f>TEXT(Q158,"ddd")</f>
        <v>mar</v>
      </c>
      <c r="S158" s="28">
        <v>0.45833333333333331</v>
      </c>
      <c r="T158" s="31"/>
      <c r="U158" s="31"/>
      <c r="V158" s="31"/>
      <c r="W158" s="40" t="s">
        <v>16</v>
      </c>
      <c r="Y158" s="29">
        <v>45979</v>
      </c>
      <c r="Z158" s="30" t="str">
        <f>TEXT(Y158,"ddd")</f>
        <v>mar</v>
      </c>
      <c r="AA158" s="28">
        <v>0.45833333333333331</v>
      </c>
      <c r="AB158" s="31"/>
      <c r="AC158" s="31"/>
      <c r="AD158" s="31"/>
      <c r="AE158" s="32" t="str">
        <f t="shared" si="75"/>
        <v>❌ SIN COMPLETAR</v>
      </c>
    </row>
    <row r="159" spans="1:31" x14ac:dyDescent="0.3">
      <c r="A159" s="29">
        <v>45979</v>
      </c>
      <c r="B159" s="30" t="str">
        <f t="shared" ref="B159:B165" si="76">TEXT(A159,"ddd")</f>
        <v>mar</v>
      </c>
      <c r="C159" s="28">
        <v>0.5</v>
      </c>
      <c r="D159" s="31"/>
      <c r="E159" s="31"/>
      <c r="F159" s="31"/>
      <c r="G159" s="40" t="str">
        <f>IF(COUNTIF(D159:F159,"?*")=$N$5,"✅ CUBIERTO",
IF(COUNTIF(D159:F159,"?*")&gt;$N$5,"⚠ EXCESO",IF(COUNTIF(D159:F159,"?*")&gt;0,"⚠ FALTANTE",
"❌ SIN COMPLETAR")))</f>
        <v>❌ SIN COMPLETAR</v>
      </c>
      <c r="H159" s="17"/>
      <c r="I159" s="29">
        <v>45979</v>
      </c>
      <c r="J159" s="30" t="str">
        <f t="shared" ref="J159:J165" si="77">TEXT(I159,"ddd")</f>
        <v>mar</v>
      </c>
      <c r="K159" s="28">
        <v>0.5</v>
      </c>
      <c r="L159" s="31"/>
      <c r="M159" s="31"/>
      <c r="N159" s="31"/>
      <c r="O159" s="32" t="str">
        <f>IF(COUNTIF(L159:N159,"?*")=$N$6,"✅ CUBIERTO",IF(COUNTIF(L159:N159,"?*")&gt;$N$6,"⚠ EXCESO",
IF(COUNTIF(L159:N159,"?*")&gt;0,"⚠ FALTANTE", "❌ SIN COMPLETAR")))</f>
        <v>❌ SIN COMPLETAR</v>
      </c>
      <c r="P159" s="17"/>
      <c r="Q159" s="29">
        <v>45979</v>
      </c>
      <c r="R159" s="30" t="str">
        <f t="shared" ref="R159:R165" si="78">TEXT(Q159,"ddd")</f>
        <v>mar</v>
      </c>
      <c r="S159" s="28">
        <v>0.5</v>
      </c>
      <c r="T159" s="31"/>
      <c r="U159" s="31"/>
      <c r="V159" s="31"/>
      <c r="W159" s="40" t="str">
        <f>IF(COUNTIF(T159:V159,"?*")=$N$7,"✅ CUBIERTO",IF(COUNTIF(T159:V159,"?*")&gt;$N$7,"⚠ EXCESO",
IF(COUNTIF(T159:V159,"?*")&gt;0,"⚠ FALTANTE", "❌ SIN COMPLETAR")))</f>
        <v>❌ SIN COMPLETAR</v>
      </c>
      <c r="Y159" s="29">
        <v>45979</v>
      </c>
      <c r="Z159" s="30" t="str">
        <f t="shared" ref="Z159:Z165" si="79">TEXT(Y159,"ddd")</f>
        <v>mar</v>
      </c>
      <c r="AA159" s="28">
        <v>0.5</v>
      </c>
      <c r="AB159" s="31"/>
      <c r="AC159" s="31"/>
      <c r="AD159" s="31"/>
      <c r="AE159" s="32" t="str">
        <f t="shared" si="75"/>
        <v>❌ SIN COMPLETAR</v>
      </c>
    </row>
    <row r="160" spans="1:31" x14ac:dyDescent="0.3">
      <c r="A160" s="29">
        <v>45979</v>
      </c>
      <c r="B160" s="30" t="str">
        <f t="shared" si="76"/>
        <v>mar</v>
      </c>
      <c r="C160" s="28">
        <v>0.54166666666666696</v>
      </c>
      <c r="D160" s="31"/>
      <c r="E160" s="31"/>
      <c r="F160" s="31"/>
      <c r="G160" s="40" t="str">
        <f>IF(COUNTIF(D160:F160,"?*")=$N$5,"✅ CUBIERTO",
IF(COUNTIF(D160:F160,"?*")&gt;$N$5,"⚠ EXCESO",IF(COUNTIF(D160:F160,"?*")&gt;0,"⚠ FALTANTE",
"❌ SIN COMPLETAR")))</f>
        <v>❌ SIN COMPLETAR</v>
      </c>
      <c r="H160" s="17"/>
      <c r="I160" s="29">
        <v>45979</v>
      </c>
      <c r="J160" s="30" t="str">
        <f t="shared" si="77"/>
        <v>mar</v>
      </c>
      <c r="K160" s="28">
        <v>0.54166666666666696</v>
      </c>
      <c r="L160" s="31"/>
      <c r="M160" s="31"/>
      <c r="N160" s="31"/>
      <c r="O160" s="32" t="str">
        <f>IF(COUNTIF(L160:N160,"?*")=$N$6,"✅ CUBIERTO",IF(COUNTIF(L160:N160,"?*")&gt;$N$6,"⚠ EXCESO",
IF(COUNTIF(L160:N160,"?*")&gt;0,"⚠ FALTANTE", "❌ SIN COMPLETAR")))</f>
        <v>❌ SIN COMPLETAR</v>
      </c>
      <c r="P160" s="17"/>
      <c r="Q160" s="29">
        <v>45979</v>
      </c>
      <c r="R160" s="30" t="str">
        <f t="shared" si="78"/>
        <v>mar</v>
      </c>
      <c r="S160" s="28">
        <v>0.54166666666666696</v>
      </c>
      <c r="T160" s="31"/>
      <c r="U160" s="31"/>
      <c r="V160" s="31"/>
      <c r="W160" s="40" t="str">
        <f>IF(COUNTIF(T160:V160,"?*")=$N$7,"✅ CUBIERTO",IF(COUNTIF(T160:V160,"?*")&gt;$N$7,"⚠ EXCESO",
IF(COUNTIF(T160:V160,"?*")&gt;0,"⚠ FALTANTE", "❌ SIN COMPLETAR")))</f>
        <v>❌ SIN COMPLETAR</v>
      </c>
      <c r="Y160" s="29">
        <v>45979</v>
      </c>
      <c r="Z160" s="30" t="str">
        <f t="shared" si="79"/>
        <v>mar</v>
      </c>
      <c r="AA160" s="28">
        <v>0.54166666666666696</v>
      </c>
      <c r="AB160" s="31"/>
      <c r="AC160" s="31"/>
      <c r="AD160" s="31"/>
      <c r="AE160" s="32" t="str">
        <f t="shared" si="75"/>
        <v>❌ SIN COMPLETAR</v>
      </c>
    </row>
    <row r="161" spans="1:31" x14ac:dyDescent="0.3">
      <c r="A161" s="29">
        <v>45979</v>
      </c>
      <c r="B161" s="30" t="str">
        <f t="shared" si="76"/>
        <v>mar</v>
      </c>
      <c r="C161" s="28">
        <v>0.58333333333333304</v>
      </c>
      <c r="D161" s="31"/>
      <c r="E161" s="31"/>
      <c r="F161" s="31"/>
      <c r="G161" s="40" t="str">
        <f>IF(COUNTIF(D161:F161,"?*")=$N$5,"✅ CUBIERTO",
IF(COUNTIF(D161:F161,"?*")&gt;$N$5,"⚠ EXCESO",IF(COUNTIF(D161:F161,"?*")&gt;0,"⚠ FALTANTE",
"❌ SIN COMPLETAR")))</f>
        <v>❌ SIN COMPLETAR</v>
      </c>
      <c r="H161" s="17"/>
      <c r="I161" s="29">
        <v>45979</v>
      </c>
      <c r="J161" s="30" t="str">
        <f t="shared" si="77"/>
        <v>mar</v>
      </c>
      <c r="K161" s="28">
        <v>0.58333333333333304</v>
      </c>
      <c r="L161" s="31"/>
      <c r="M161" s="31"/>
      <c r="N161" s="31"/>
      <c r="O161" s="32" t="str">
        <f>IF(COUNTIF(L161:N161,"?*")=$N$6,"✅ CUBIERTO",IF(COUNTIF(L161:N161,"?*")&gt;$N$6,"⚠ EXCESO",
IF(COUNTIF(L161:N161,"?*")&gt;0,"⚠ FALTANTE", "❌ SIN COMPLETAR")))</f>
        <v>❌ SIN COMPLETAR</v>
      </c>
      <c r="P161" s="17"/>
      <c r="Q161" s="29">
        <v>45979</v>
      </c>
      <c r="R161" s="30" t="str">
        <f t="shared" si="78"/>
        <v>mar</v>
      </c>
      <c r="S161" s="28">
        <v>0.58333333333333304</v>
      </c>
      <c r="T161" s="31"/>
      <c r="U161" s="31"/>
      <c r="V161" s="31"/>
      <c r="W161" s="40" t="str">
        <f>IF(COUNTIF(T161:V161,"?*")=$N$7,"✅ CUBIERTO",IF(COUNTIF(T161:V161,"?*")&gt;$N$7,"⚠ EXCESO",
IF(COUNTIF(T161:V161,"?*")&gt;0,"⚠ FALTANTE", "❌ SIN COMPLETAR")))</f>
        <v>❌ SIN COMPLETAR</v>
      </c>
      <c r="Y161" s="29">
        <v>45979</v>
      </c>
      <c r="Z161" s="30" t="str">
        <f t="shared" si="79"/>
        <v>mar</v>
      </c>
      <c r="AA161" s="28">
        <v>0.58333333333333304</v>
      </c>
      <c r="AB161" s="31"/>
      <c r="AC161" s="31"/>
      <c r="AD161" s="31"/>
      <c r="AE161" s="32" t="str">
        <f t="shared" si="75"/>
        <v>❌ SIN COMPLETAR</v>
      </c>
    </row>
    <row r="162" spans="1:31" x14ac:dyDescent="0.3">
      <c r="A162" s="29">
        <v>45979</v>
      </c>
      <c r="B162" s="30" t="str">
        <f t="shared" si="76"/>
        <v>mar</v>
      </c>
      <c r="C162" s="28">
        <v>0.625</v>
      </c>
      <c r="D162" s="31"/>
      <c r="E162" s="31"/>
      <c r="F162" s="31"/>
      <c r="G162" s="40" t="str">
        <f>IF(COUNTIF(D162:F162,"?*")=$N$5,"✅ CUBIERTO",
IF(COUNTIF(D162:F162,"?*")&gt;$N$5,"⚠ EXCESO",IF(COUNTIF(D162:F162,"?*")&gt;0,"⚠ FALTANTE",
"❌ SIN COMPLETAR")))</f>
        <v>❌ SIN COMPLETAR</v>
      </c>
      <c r="H162" s="17"/>
      <c r="I162" s="29">
        <v>45979</v>
      </c>
      <c r="J162" s="30" t="str">
        <f t="shared" si="77"/>
        <v>mar</v>
      </c>
      <c r="K162" s="28">
        <v>0.625</v>
      </c>
      <c r="L162" s="31"/>
      <c r="M162" s="31"/>
      <c r="N162" s="31"/>
      <c r="O162" s="32" t="str">
        <f>IF(COUNTIF(L162:N162,"?*")=$N$6,"✅ CUBIERTO",IF(COUNTIF(L162:N162,"?*")&gt;$N$6,"⚠ EXCESO",
IF(COUNTIF(L162:N162,"?*")&gt;0,"⚠ FALTANTE", "❌ SIN COMPLETAR")))</f>
        <v>❌ SIN COMPLETAR</v>
      </c>
      <c r="P162" s="17"/>
      <c r="Q162" s="29">
        <v>45979</v>
      </c>
      <c r="R162" s="30" t="str">
        <f t="shared" si="78"/>
        <v>mar</v>
      </c>
      <c r="S162" s="28">
        <v>0.625</v>
      </c>
      <c r="T162" s="31"/>
      <c r="U162" s="31"/>
      <c r="V162" s="31"/>
      <c r="W162" s="40" t="str">
        <f>IF(COUNTIF(T162:V162,"?*")=$N$7,"✅ CUBIERTO",IF(COUNTIF(T162:V162,"?*")&gt;$N$7,"⚠ EXCESO",
IF(COUNTIF(T162:V162,"?*")&gt;0,"⚠ FALTANTE", "❌ SIN COMPLETAR")))</f>
        <v>❌ SIN COMPLETAR</v>
      </c>
      <c r="Y162" s="29">
        <v>45979</v>
      </c>
      <c r="Z162" s="30" t="str">
        <f t="shared" si="79"/>
        <v>mar</v>
      </c>
      <c r="AA162" s="28">
        <v>0.625</v>
      </c>
      <c r="AB162" s="31"/>
      <c r="AC162" s="31"/>
      <c r="AD162" s="31"/>
      <c r="AE162" s="32" t="str">
        <f t="shared" si="75"/>
        <v>❌ SIN COMPLETAR</v>
      </c>
    </row>
    <row r="163" spans="1:31" x14ac:dyDescent="0.3">
      <c r="A163" s="29">
        <v>45979</v>
      </c>
      <c r="B163" s="30" t="str">
        <f t="shared" si="76"/>
        <v>mar</v>
      </c>
      <c r="C163" s="28">
        <v>0.66666666666666696</v>
      </c>
      <c r="D163" s="31"/>
      <c r="E163" s="31"/>
      <c r="F163" s="31"/>
      <c r="G163" s="40" t="str">
        <f>IF(COUNTIF(D163:F163,"?*")=$N$5,"✅ CUBIERTO",
IF(COUNTIF(D163:F163,"?*")&gt;$N$5,"⚠ EXCESO",IF(COUNTIF(D163:F163,"?*")&gt;0,"⚠ FALTANTE",
"❌ SIN COMPLETAR")))</f>
        <v>❌ SIN COMPLETAR</v>
      </c>
      <c r="H163" s="17"/>
      <c r="I163" s="29">
        <v>45979</v>
      </c>
      <c r="J163" s="30" t="str">
        <f t="shared" si="77"/>
        <v>mar</v>
      </c>
      <c r="K163" s="28">
        <v>0.66666666666666696</v>
      </c>
      <c r="L163" s="31"/>
      <c r="M163" s="31"/>
      <c r="N163" s="31"/>
      <c r="O163" s="32" t="str">
        <f>IF(COUNTIF(L163:N163,"?*")=$N$6,"✅ CUBIERTO",IF(COUNTIF(L163:N163,"?*")&gt;$N$6,"⚠ EXCESO",
IF(COUNTIF(L163:N163,"?*")&gt;0,"⚠ FALTANTE", "❌ SIN COMPLETAR")))</f>
        <v>❌ SIN COMPLETAR</v>
      </c>
      <c r="P163" s="17"/>
      <c r="Q163" s="29">
        <v>45979</v>
      </c>
      <c r="R163" s="30" t="str">
        <f t="shared" si="78"/>
        <v>mar</v>
      </c>
      <c r="S163" s="28">
        <v>0.66666666666666696</v>
      </c>
      <c r="T163" s="31"/>
      <c r="U163" s="31"/>
      <c r="V163" s="31"/>
      <c r="W163" s="40" t="str">
        <f>IF(COUNTIF(T163:V163,"?*")=$N$7,"✅ CUBIERTO",IF(COUNTIF(T163:V163,"?*")&gt;$N$7,"⚠ EXCESO",
IF(COUNTIF(T163:V163,"?*")&gt;0,"⚠ FALTANTE", "❌ SIN COMPLETAR")))</f>
        <v>❌ SIN COMPLETAR</v>
      </c>
      <c r="Y163" s="29">
        <v>45979</v>
      </c>
      <c r="Z163" s="30" t="str">
        <f t="shared" si="79"/>
        <v>mar</v>
      </c>
      <c r="AA163" s="28">
        <v>0.66666666666666696</v>
      </c>
      <c r="AB163" s="31"/>
      <c r="AC163" s="31"/>
      <c r="AD163" s="31"/>
      <c r="AE163" s="32" t="str">
        <f t="shared" si="75"/>
        <v>❌ SIN COMPLETAR</v>
      </c>
    </row>
    <row r="164" spans="1:31" x14ac:dyDescent="0.3">
      <c r="A164" s="29">
        <v>45979</v>
      </c>
      <c r="B164" s="30" t="str">
        <f t="shared" si="76"/>
        <v>mar</v>
      </c>
      <c r="C164" s="28">
        <v>0.70833333333333304</v>
      </c>
      <c r="D164" s="31"/>
      <c r="E164" s="31"/>
      <c r="F164" s="31"/>
      <c r="G164" s="40" t="str">
        <f>IF(COUNTIF(D164:F164,"?*")=$N$5,"✅ CUBIERTO",
IF(COUNTIF(D164:F164,"?*")&gt;$N$5,"⚠ EXCESO",IF(COUNTIF(D164:F164,"?*")&gt;0,"⚠ FALTANTE",
"❌ SIN COMPLETAR")))</f>
        <v>❌ SIN COMPLETAR</v>
      </c>
      <c r="H164" s="17"/>
      <c r="I164" s="29">
        <v>45979</v>
      </c>
      <c r="J164" s="30" t="str">
        <f t="shared" si="77"/>
        <v>mar</v>
      </c>
      <c r="K164" s="28">
        <v>0.70833333333333304</v>
      </c>
      <c r="L164" s="31"/>
      <c r="M164" s="31"/>
      <c r="N164" s="31"/>
      <c r="O164" s="32" t="str">
        <f>IF(COUNTIF(L164:N164,"?*")=$N$6,"✅ CUBIERTO",IF(COUNTIF(L164:N164,"?*")&gt;$N$6,"⚠ EXCESO",
IF(COUNTIF(L164:N164,"?*")&gt;0,"⚠ FALTANTE", "❌ SIN COMPLETAR")))</f>
        <v>❌ SIN COMPLETAR</v>
      </c>
      <c r="P164" s="17"/>
      <c r="Q164" s="29">
        <v>45979</v>
      </c>
      <c r="R164" s="30" t="str">
        <f t="shared" si="78"/>
        <v>mar</v>
      </c>
      <c r="S164" s="28">
        <v>0.70833333333333304</v>
      </c>
      <c r="T164" s="31"/>
      <c r="U164" s="31"/>
      <c r="V164" s="31"/>
      <c r="W164" s="40" t="str">
        <f>IF(COUNTIF(T164:V164,"?*")=$N$7,"✅ CUBIERTO",IF(COUNTIF(T164:V164,"?*")&gt;$N$7,"⚠ EXCESO",
IF(COUNTIF(T164:V164,"?*")&gt;0,"⚠ FALTANTE", "❌ SIN COMPLETAR")))</f>
        <v>❌ SIN COMPLETAR</v>
      </c>
      <c r="Y164" s="29">
        <v>45979</v>
      </c>
      <c r="Z164" s="30" t="str">
        <f t="shared" si="79"/>
        <v>mar</v>
      </c>
      <c r="AA164" s="28">
        <v>0.70833333333333304</v>
      </c>
      <c r="AB164" s="31"/>
      <c r="AC164" s="31"/>
      <c r="AD164" s="31"/>
      <c r="AE164" s="32" t="str">
        <f t="shared" si="75"/>
        <v>❌ SIN COMPLETAR</v>
      </c>
    </row>
    <row r="165" spans="1:31" x14ac:dyDescent="0.3">
      <c r="A165" s="29">
        <v>45979</v>
      </c>
      <c r="B165" s="30" t="str">
        <f t="shared" si="76"/>
        <v>mar</v>
      </c>
      <c r="C165" s="28">
        <v>0.75</v>
      </c>
      <c r="D165" s="31"/>
      <c r="E165" s="31"/>
      <c r="F165" s="31"/>
      <c r="G165" s="40" t="str">
        <f>IF(COUNTIF(D165:F165,"?*")=$N$5,"✅ CUBIERTO",
IF(COUNTIF(D165:F165,"?*")&gt;$N$5,"⚠ EXCESO",IF(COUNTIF(D165:F165,"?*")&gt;0,"⚠ FALTANTE",
"❌ SIN COMPLETAR")))</f>
        <v>❌ SIN COMPLETAR</v>
      </c>
      <c r="H165" s="17"/>
      <c r="I165" s="29">
        <v>45979</v>
      </c>
      <c r="J165" s="30" t="str">
        <f t="shared" si="77"/>
        <v>mar</v>
      </c>
      <c r="K165" s="28">
        <v>0.75</v>
      </c>
      <c r="L165" s="41"/>
      <c r="M165" s="41"/>
      <c r="N165" s="41"/>
      <c r="O165" s="32" t="str">
        <f>IF(COUNTIF(L165:N165,"?*")=$N$6,"✅ CUBIERTO",IF(COUNTIF(L165:N165,"?*")&gt;$N$6,"⚠ EXCESO",
IF(COUNTIF(L165:N165,"?*")&gt;0,"⚠ FALTANTE", "❌ SIN COMPLETAR")))</f>
        <v>❌ SIN COMPLETAR</v>
      </c>
      <c r="P165" s="17"/>
      <c r="Q165" s="29">
        <v>45979</v>
      </c>
      <c r="R165" s="30" t="str">
        <f t="shared" si="78"/>
        <v>mar</v>
      </c>
      <c r="S165" s="28">
        <v>0.75</v>
      </c>
      <c r="T165" s="31"/>
      <c r="U165" s="31"/>
      <c r="V165" s="31"/>
      <c r="W165" s="40" t="s">
        <v>16</v>
      </c>
      <c r="Y165" s="29">
        <v>45979</v>
      </c>
      <c r="Z165" s="30" t="str">
        <f t="shared" si="79"/>
        <v>mar</v>
      </c>
      <c r="AA165" s="28">
        <v>0.75</v>
      </c>
      <c r="AB165" s="41"/>
      <c r="AC165" s="41"/>
      <c r="AD165" s="41"/>
      <c r="AE165" s="32" t="str">
        <f t="shared" si="75"/>
        <v>❌ SIN COMPLETAR</v>
      </c>
    </row>
    <row r="166" spans="1:31" x14ac:dyDescent="0.3">
      <c r="A166" s="29">
        <v>45980</v>
      </c>
      <c r="B166" s="30" t="str">
        <f>TEXT(A166,"ddd")</f>
        <v>mié</v>
      </c>
      <c r="C166" s="28">
        <v>0.45833333333333331</v>
      </c>
      <c r="D166" s="31"/>
      <c r="E166" s="31"/>
      <c r="F166" s="31"/>
      <c r="G166" s="40" t="str">
        <f>IF(COUNTIF(D166:F166,"?*")=$N$5,"✅ CUBIERTO",
IF(COUNTIF(D166:F166,"?*")&gt;$N$5,"⚠ EXCESO",IF(COUNTIF(D166:F166,"?*")&gt;0,"⚠ FALTANTE",
"❌ SIN COMPLETAR")))</f>
        <v>❌ SIN COMPLETAR</v>
      </c>
      <c r="H166" s="17"/>
      <c r="I166" s="29">
        <v>45980</v>
      </c>
      <c r="J166" s="30" t="str">
        <f>TEXT(I166,"ddd")</f>
        <v>mié</v>
      </c>
      <c r="K166" s="28">
        <v>0.45833333333333331</v>
      </c>
      <c r="L166" s="31"/>
      <c r="M166" s="31"/>
      <c r="N166" s="31"/>
      <c r="O166" s="32" t="str">
        <f>IF(COUNTIF(L166:N166,"?*")=$N$6,"✅ CUBIERTO",IF(COUNTIF(L166:N166,"?*")&gt;$N$6,"⚠ EXCESO",
IF(COUNTIF(L166:N166,"?*")&gt;0,"⚠ FALTANTE", "❌ SIN COMPLETAR")))</f>
        <v>❌ SIN COMPLETAR</v>
      </c>
      <c r="P166" s="17"/>
      <c r="Q166" s="29">
        <v>45980</v>
      </c>
      <c r="R166" s="30" t="str">
        <f>TEXT(Q166,"ddd")</f>
        <v>mié</v>
      </c>
      <c r="S166" s="28">
        <v>0.45833333333333331</v>
      </c>
      <c r="T166" s="31"/>
      <c r="U166" s="31"/>
      <c r="V166" s="31"/>
      <c r="W166" s="40" t="s">
        <v>16</v>
      </c>
      <c r="Y166" s="29">
        <v>45980</v>
      </c>
      <c r="Z166" s="30" t="str">
        <f>TEXT(Y166,"ddd")</f>
        <v>mié</v>
      </c>
      <c r="AA166" s="28">
        <v>0.45833333333333331</v>
      </c>
      <c r="AB166" s="31"/>
      <c r="AC166" s="31"/>
      <c r="AD166" s="31"/>
      <c r="AE166" s="32" t="str">
        <f t="shared" si="75"/>
        <v>❌ SIN COMPLETAR</v>
      </c>
    </row>
    <row r="167" spans="1:31" x14ac:dyDescent="0.3">
      <c r="A167" s="29">
        <v>45980</v>
      </c>
      <c r="B167" s="30" t="str">
        <f t="shared" ref="B167:B173" si="80">TEXT(A167,"ddd")</f>
        <v>mié</v>
      </c>
      <c r="C167" s="28">
        <v>0.5</v>
      </c>
      <c r="D167" s="31"/>
      <c r="E167" s="31"/>
      <c r="F167" s="31"/>
      <c r="G167" s="40" t="str">
        <f>IF(COUNTIF(D167:F167,"?*")=$N$5,"✅ CUBIERTO",
IF(COUNTIF(D167:F167,"?*")&gt;$N$5,"⚠ EXCESO",IF(COUNTIF(D167:F167,"?*")&gt;0,"⚠ FALTANTE",
"❌ SIN COMPLETAR")))</f>
        <v>❌ SIN COMPLETAR</v>
      </c>
      <c r="H167" s="17"/>
      <c r="I167" s="29">
        <v>45980</v>
      </c>
      <c r="J167" s="30" t="str">
        <f t="shared" ref="J167:J173" si="81">TEXT(I167,"ddd")</f>
        <v>mié</v>
      </c>
      <c r="K167" s="28">
        <v>0.5</v>
      </c>
      <c r="L167" s="31"/>
      <c r="M167" s="31"/>
      <c r="N167" s="31"/>
      <c r="O167" s="32" t="str">
        <f>IF(COUNTIF(L167:N167,"?*")=$N$6,"✅ CUBIERTO",IF(COUNTIF(L167:N167,"?*")&gt;$N$6,"⚠ EXCESO",
IF(COUNTIF(L167:N167,"?*")&gt;0,"⚠ FALTANTE", "❌ SIN COMPLETAR")))</f>
        <v>❌ SIN COMPLETAR</v>
      </c>
      <c r="P167" s="17"/>
      <c r="Q167" s="29">
        <v>45980</v>
      </c>
      <c r="R167" s="30" t="str">
        <f t="shared" ref="R167:R173" si="82">TEXT(Q167,"ddd")</f>
        <v>mié</v>
      </c>
      <c r="S167" s="28">
        <v>0.5</v>
      </c>
      <c r="T167" s="31"/>
      <c r="U167" s="31"/>
      <c r="V167" s="31"/>
      <c r="W167" s="40" t="str">
        <f>IF(COUNTIF(T167:V167,"?*")=$N$7,"✅ CUBIERTO",IF(COUNTIF(T167:V167,"?*")&gt;$N$7,"⚠ EXCESO",
IF(COUNTIF(T167:V167,"?*")&gt;0,"⚠ FALTANTE", "❌ SIN COMPLETAR")))</f>
        <v>❌ SIN COMPLETAR</v>
      </c>
      <c r="Y167" s="29">
        <v>45980</v>
      </c>
      <c r="Z167" s="30" t="str">
        <f t="shared" ref="Z167:Z173" si="83">TEXT(Y167,"ddd")</f>
        <v>mié</v>
      </c>
      <c r="AA167" s="28">
        <v>0.5</v>
      </c>
      <c r="AB167" s="31"/>
      <c r="AC167" s="31"/>
      <c r="AD167" s="31"/>
      <c r="AE167" s="32" t="str">
        <f t="shared" si="75"/>
        <v>❌ SIN COMPLETAR</v>
      </c>
    </row>
    <row r="168" spans="1:31" x14ac:dyDescent="0.3">
      <c r="A168" s="29">
        <v>45980</v>
      </c>
      <c r="B168" s="30" t="str">
        <f t="shared" si="80"/>
        <v>mié</v>
      </c>
      <c r="C168" s="28">
        <v>0.54166666666666696</v>
      </c>
      <c r="D168" s="31"/>
      <c r="E168" s="31"/>
      <c r="F168" s="31"/>
      <c r="G168" s="40" t="str">
        <f>IF(COUNTIF(D168:F168,"?*")=$N$5,"✅ CUBIERTO",
IF(COUNTIF(D168:F168,"?*")&gt;$N$5,"⚠ EXCESO",IF(COUNTIF(D168:F168,"?*")&gt;0,"⚠ FALTANTE",
"❌ SIN COMPLETAR")))</f>
        <v>❌ SIN COMPLETAR</v>
      </c>
      <c r="H168" s="17"/>
      <c r="I168" s="29">
        <v>45980</v>
      </c>
      <c r="J168" s="30" t="str">
        <f t="shared" si="81"/>
        <v>mié</v>
      </c>
      <c r="K168" s="28">
        <v>0.54166666666666696</v>
      </c>
      <c r="L168" s="31"/>
      <c r="M168" s="31"/>
      <c r="N168" s="31"/>
      <c r="O168" s="32" t="str">
        <f>IF(COUNTIF(L168:N168,"?*")=$N$6,"✅ CUBIERTO",IF(COUNTIF(L168:N168,"?*")&gt;$N$6,"⚠ EXCESO",
IF(COUNTIF(L168:N168,"?*")&gt;0,"⚠ FALTANTE", "❌ SIN COMPLETAR")))</f>
        <v>❌ SIN COMPLETAR</v>
      </c>
      <c r="P168" s="17"/>
      <c r="Q168" s="29">
        <v>45980</v>
      </c>
      <c r="R168" s="30" t="str">
        <f t="shared" si="82"/>
        <v>mié</v>
      </c>
      <c r="S168" s="28">
        <v>0.54166666666666696</v>
      </c>
      <c r="T168" s="31"/>
      <c r="U168" s="31"/>
      <c r="V168" s="31"/>
      <c r="W168" s="40" t="str">
        <f>IF(COUNTIF(T168:V168,"?*")=$N$7,"✅ CUBIERTO",IF(COUNTIF(T168:V168,"?*")&gt;$N$7,"⚠ EXCESO",
IF(COUNTIF(T168:V168,"?*")&gt;0,"⚠ FALTANTE", "❌ SIN COMPLETAR")))</f>
        <v>❌ SIN COMPLETAR</v>
      </c>
      <c r="Y168" s="29">
        <v>45980</v>
      </c>
      <c r="Z168" s="30" t="str">
        <f t="shared" si="83"/>
        <v>mié</v>
      </c>
      <c r="AA168" s="28">
        <v>0.54166666666666696</v>
      </c>
      <c r="AB168" s="31"/>
      <c r="AC168" s="31"/>
      <c r="AD168" s="31"/>
      <c r="AE168" s="32" t="str">
        <f t="shared" si="75"/>
        <v>❌ SIN COMPLETAR</v>
      </c>
    </row>
    <row r="169" spans="1:31" x14ac:dyDescent="0.3">
      <c r="A169" s="29">
        <v>45980</v>
      </c>
      <c r="B169" s="30" t="str">
        <f t="shared" si="80"/>
        <v>mié</v>
      </c>
      <c r="C169" s="28">
        <v>0.58333333333333304</v>
      </c>
      <c r="D169" s="31"/>
      <c r="E169" s="31"/>
      <c r="F169" s="31"/>
      <c r="G169" s="40" t="str">
        <f>IF(COUNTIF(D169:F169,"?*")=$N$5,"✅ CUBIERTO",
IF(COUNTIF(D169:F169,"?*")&gt;$N$5,"⚠ EXCESO",IF(COUNTIF(D169:F169,"?*")&gt;0,"⚠ FALTANTE",
"❌ SIN COMPLETAR")))</f>
        <v>❌ SIN COMPLETAR</v>
      </c>
      <c r="H169" s="17"/>
      <c r="I169" s="29">
        <v>45980</v>
      </c>
      <c r="J169" s="30" t="str">
        <f t="shared" si="81"/>
        <v>mié</v>
      </c>
      <c r="K169" s="28">
        <v>0.58333333333333304</v>
      </c>
      <c r="L169" s="31"/>
      <c r="M169" s="31"/>
      <c r="N169" s="31"/>
      <c r="O169" s="32" t="str">
        <f>IF(COUNTIF(L169:N169,"?*")=$N$6,"✅ CUBIERTO",IF(COUNTIF(L169:N169,"?*")&gt;$N$6,"⚠ EXCESO",
IF(COUNTIF(L169:N169,"?*")&gt;0,"⚠ FALTANTE", "❌ SIN COMPLETAR")))</f>
        <v>❌ SIN COMPLETAR</v>
      </c>
      <c r="P169" s="17"/>
      <c r="Q169" s="29">
        <v>45980</v>
      </c>
      <c r="R169" s="30" t="str">
        <f t="shared" si="82"/>
        <v>mié</v>
      </c>
      <c r="S169" s="28">
        <v>0.58333333333333304</v>
      </c>
      <c r="T169" s="31"/>
      <c r="U169" s="31"/>
      <c r="V169" s="31"/>
      <c r="W169" s="40" t="str">
        <f>IF(COUNTIF(T169:V169,"?*")=$N$7,"✅ CUBIERTO",IF(COUNTIF(T169:V169,"?*")&gt;$N$7,"⚠ EXCESO",
IF(COUNTIF(T169:V169,"?*")&gt;0,"⚠ FALTANTE", "❌ SIN COMPLETAR")))</f>
        <v>❌ SIN COMPLETAR</v>
      </c>
      <c r="Y169" s="29">
        <v>45980</v>
      </c>
      <c r="Z169" s="30" t="str">
        <f t="shared" si="83"/>
        <v>mié</v>
      </c>
      <c r="AA169" s="28">
        <v>0.58333333333333304</v>
      </c>
      <c r="AB169" s="31"/>
      <c r="AC169" s="31"/>
      <c r="AD169" s="31"/>
      <c r="AE169" s="32" t="str">
        <f t="shared" si="75"/>
        <v>❌ SIN COMPLETAR</v>
      </c>
    </row>
    <row r="170" spans="1:31" x14ac:dyDescent="0.3">
      <c r="A170" s="29">
        <v>45980</v>
      </c>
      <c r="B170" s="30" t="str">
        <f t="shared" si="80"/>
        <v>mié</v>
      </c>
      <c r="C170" s="28">
        <v>0.625</v>
      </c>
      <c r="D170" s="31"/>
      <c r="E170" s="31"/>
      <c r="F170" s="31"/>
      <c r="G170" s="40" t="str">
        <f>IF(COUNTIF(D170:F170,"?*")=$N$5,"✅ CUBIERTO",
IF(COUNTIF(D170:F170,"?*")&gt;$N$5,"⚠ EXCESO",IF(COUNTIF(D170:F170,"?*")&gt;0,"⚠ FALTANTE",
"❌ SIN COMPLETAR")))</f>
        <v>❌ SIN COMPLETAR</v>
      </c>
      <c r="H170" s="17"/>
      <c r="I170" s="29">
        <v>45980</v>
      </c>
      <c r="J170" s="30" t="str">
        <f t="shared" si="81"/>
        <v>mié</v>
      </c>
      <c r="K170" s="28">
        <v>0.625</v>
      </c>
      <c r="L170" s="31"/>
      <c r="M170" s="31"/>
      <c r="N170" s="31"/>
      <c r="O170" s="32" t="str">
        <f>IF(COUNTIF(L170:N170,"?*")=$N$6,"✅ CUBIERTO",IF(COUNTIF(L170:N170,"?*")&gt;$N$6,"⚠ EXCESO",
IF(COUNTIF(L170:N170,"?*")&gt;0,"⚠ FALTANTE", "❌ SIN COMPLETAR")))</f>
        <v>❌ SIN COMPLETAR</v>
      </c>
      <c r="P170" s="17"/>
      <c r="Q170" s="29">
        <v>45980</v>
      </c>
      <c r="R170" s="30" t="str">
        <f t="shared" si="82"/>
        <v>mié</v>
      </c>
      <c r="S170" s="28">
        <v>0.625</v>
      </c>
      <c r="T170" s="31"/>
      <c r="U170" s="31"/>
      <c r="V170" s="31"/>
      <c r="W170" s="40" t="str">
        <f>IF(COUNTIF(T170:V170,"?*")=$N$7,"✅ CUBIERTO",IF(COUNTIF(T170:V170,"?*")&gt;$N$7,"⚠ EXCESO",
IF(COUNTIF(T170:V170,"?*")&gt;0,"⚠ FALTANTE", "❌ SIN COMPLETAR")))</f>
        <v>❌ SIN COMPLETAR</v>
      </c>
      <c r="Y170" s="29">
        <v>45980</v>
      </c>
      <c r="Z170" s="30" t="str">
        <f t="shared" si="83"/>
        <v>mié</v>
      </c>
      <c r="AA170" s="28">
        <v>0.625</v>
      </c>
      <c r="AB170" s="31"/>
      <c r="AC170" s="31"/>
      <c r="AD170" s="31"/>
      <c r="AE170" s="32" t="str">
        <f t="shared" si="75"/>
        <v>❌ SIN COMPLETAR</v>
      </c>
    </row>
    <row r="171" spans="1:31" x14ac:dyDescent="0.3">
      <c r="A171" s="29">
        <v>45980</v>
      </c>
      <c r="B171" s="30" t="str">
        <f t="shared" si="80"/>
        <v>mié</v>
      </c>
      <c r="C171" s="28">
        <v>0.66666666666666696</v>
      </c>
      <c r="D171" s="31"/>
      <c r="E171" s="31"/>
      <c r="F171" s="31"/>
      <c r="G171" s="40" t="str">
        <f>IF(COUNTIF(D171:F171,"?*")=$N$5,"✅ CUBIERTO",
IF(COUNTIF(D171:F171,"?*")&gt;$N$5,"⚠ EXCESO",IF(COUNTIF(D171:F171,"?*")&gt;0,"⚠ FALTANTE",
"❌ SIN COMPLETAR")))</f>
        <v>❌ SIN COMPLETAR</v>
      </c>
      <c r="H171" s="17"/>
      <c r="I171" s="29">
        <v>45980</v>
      </c>
      <c r="J171" s="30" t="str">
        <f t="shared" si="81"/>
        <v>mié</v>
      </c>
      <c r="K171" s="28">
        <v>0.66666666666666696</v>
      </c>
      <c r="L171" s="31"/>
      <c r="M171" s="31"/>
      <c r="N171" s="31"/>
      <c r="O171" s="32" t="str">
        <f>IF(COUNTIF(L171:N171,"?*")=$N$6,"✅ CUBIERTO",IF(COUNTIF(L171:N171,"?*")&gt;$N$6,"⚠ EXCESO",
IF(COUNTIF(L171:N171,"?*")&gt;0,"⚠ FALTANTE", "❌ SIN COMPLETAR")))</f>
        <v>❌ SIN COMPLETAR</v>
      </c>
      <c r="P171" s="17"/>
      <c r="Q171" s="29">
        <v>45980</v>
      </c>
      <c r="R171" s="30" t="str">
        <f t="shared" si="82"/>
        <v>mié</v>
      </c>
      <c r="S171" s="28">
        <v>0.66666666666666696</v>
      </c>
      <c r="T171" s="31"/>
      <c r="U171" s="31"/>
      <c r="V171" s="31"/>
      <c r="W171" s="40" t="str">
        <f>IF(COUNTIF(T171:V171,"?*")=$N$7,"✅ CUBIERTO",IF(COUNTIF(T171:V171,"?*")&gt;$N$7,"⚠ EXCESO",
IF(COUNTIF(T171:V171,"?*")&gt;0,"⚠ FALTANTE", "❌ SIN COMPLETAR")))</f>
        <v>❌ SIN COMPLETAR</v>
      </c>
      <c r="Y171" s="29">
        <v>45980</v>
      </c>
      <c r="Z171" s="30" t="str">
        <f t="shared" si="83"/>
        <v>mié</v>
      </c>
      <c r="AA171" s="28">
        <v>0.66666666666666696</v>
      </c>
      <c r="AB171" s="31"/>
      <c r="AC171" s="31"/>
      <c r="AD171" s="31"/>
      <c r="AE171" s="32" t="str">
        <f t="shared" si="75"/>
        <v>❌ SIN COMPLETAR</v>
      </c>
    </row>
    <row r="172" spans="1:31" x14ac:dyDescent="0.3">
      <c r="A172" s="29">
        <v>45980</v>
      </c>
      <c r="B172" s="30" t="str">
        <f t="shared" si="80"/>
        <v>mié</v>
      </c>
      <c r="C172" s="28">
        <v>0.70833333333333304</v>
      </c>
      <c r="D172" s="31"/>
      <c r="E172" s="31"/>
      <c r="F172" s="31"/>
      <c r="G172" s="40" t="str">
        <f>IF(COUNTIF(D172:F172,"?*")=$N$5,"✅ CUBIERTO",
IF(COUNTIF(D172:F172,"?*")&gt;$N$5,"⚠ EXCESO",IF(COUNTIF(D172:F172,"?*")&gt;0,"⚠ FALTANTE",
"❌ SIN COMPLETAR")))</f>
        <v>❌ SIN COMPLETAR</v>
      </c>
      <c r="H172" s="17"/>
      <c r="I172" s="29">
        <v>45980</v>
      </c>
      <c r="J172" s="30" t="str">
        <f t="shared" si="81"/>
        <v>mié</v>
      </c>
      <c r="K172" s="28">
        <v>0.70833333333333304</v>
      </c>
      <c r="L172" s="31"/>
      <c r="M172" s="31"/>
      <c r="N172" s="31"/>
      <c r="O172" s="32" t="str">
        <f>IF(COUNTIF(L172:N172,"?*")=$N$6,"✅ CUBIERTO",IF(COUNTIF(L172:N172,"?*")&gt;$N$6,"⚠ EXCESO",
IF(COUNTIF(L172:N172,"?*")&gt;0,"⚠ FALTANTE", "❌ SIN COMPLETAR")))</f>
        <v>❌ SIN COMPLETAR</v>
      </c>
      <c r="P172" s="17"/>
      <c r="Q172" s="29">
        <v>45980</v>
      </c>
      <c r="R172" s="30" t="str">
        <f t="shared" si="82"/>
        <v>mié</v>
      </c>
      <c r="S172" s="28">
        <v>0.70833333333333304</v>
      </c>
      <c r="T172" s="31"/>
      <c r="U172" s="31"/>
      <c r="V172" s="31"/>
      <c r="W172" s="40" t="str">
        <f>IF(COUNTIF(T172:V172,"?*")=$N$7,"✅ CUBIERTO",IF(COUNTIF(T172:V172,"?*")&gt;$N$7,"⚠ EXCESO",
IF(COUNTIF(T172:V172,"?*")&gt;0,"⚠ FALTANTE", "❌ SIN COMPLETAR")))</f>
        <v>❌ SIN COMPLETAR</v>
      </c>
      <c r="Y172" s="29">
        <v>45980</v>
      </c>
      <c r="Z172" s="30" t="str">
        <f t="shared" si="83"/>
        <v>mié</v>
      </c>
      <c r="AA172" s="28">
        <v>0.70833333333333304</v>
      </c>
      <c r="AB172" s="31"/>
      <c r="AC172" s="31"/>
      <c r="AD172" s="31"/>
      <c r="AE172" s="32" t="str">
        <f t="shared" si="75"/>
        <v>❌ SIN COMPLETAR</v>
      </c>
    </row>
    <row r="173" spans="1:31" x14ac:dyDescent="0.3">
      <c r="A173" s="29">
        <v>45980</v>
      </c>
      <c r="B173" s="30" t="str">
        <f t="shared" si="80"/>
        <v>mié</v>
      </c>
      <c r="C173" s="28">
        <v>0.75</v>
      </c>
      <c r="D173" s="31"/>
      <c r="E173" s="31"/>
      <c r="F173" s="31"/>
      <c r="G173" s="40" t="str">
        <f>IF(COUNTIF(D173:F173,"?*")=$N$5,"✅ CUBIERTO",
IF(COUNTIF(D173:F173,"?*")&gt;$N$5,"⚠ EXCESO",IF(COUNTIF(D173:F173,"?*")&gt;0,"⚠ FALTANTE",
"❌ SIN COMPLETAR")))</f>
        <v>❌ SIN COMPLETAR</v>
      </c>
      <c r="H173" s="17"/>
      <c r="I173" s="29">
        <v>45980</v>
      </c>
      <c r="J173" s="30" t="str">
        <f t="shared" si="81"/>
        <v>mié</v>
      </c>
      <c r="K173" s="28">
        <v>0.75</v>
      </c>
      <c r="L173" s="41"/>
      <c r="M173" s="41"/>
      <c r="N173" s="41"/>
      <c r="O173" s="32" t="str">
        <f>IF(COUNTIF(L173:N173,"?*")=$N$6,"✅ CUBIERTO",IF(COUNTIF(L173:N173,"?*")&gt;$N$6,"⚠ EXCESO",
IF(COUNTIF(L173:N173,"?*")&gt;0,"⚠ FALTANTE", "❌ SIN COMPLETAR")))</f>
        <v>❌ SIN COMPLETAR</v>
      </c>
      <c r="P173" s="17"/>
      <c r="Q173" s="29">
        <v>45980</v>
      </c>
      <c r="R173" s="30" t="str">
        <f t="shared" si="82"/>
        <v>mié</v>
      </c>
      <c r="S173" s="28">
        <v>0.75</v>
      </c>
      <c r="T173" s="31"/>
      <c r="U173" s="31"/>
      <c r="V173" s="31"/>
      <c r="W173" s="40" t="s">
        <v>16</v>
      </c>
      <c r="Y173" s="29">
        <v>45980</v>
      </c>
      <c r="Z173" s="30" t="str">
        <f t="shared" si="83"/>
        <v>mié</v>
      </c>
      <c r="AA173" s="28">
        <v>0.75</v>
      </c>
      <c r="AB173" s="41"/>
      <c r="AC173" s="41"/>
      <c r="AD173" s="41"/>
      <c r="AE173" s="32" t="str">
        <f t="shared" si="75"/>
        <v>❌ SIN COMPLETAR</v>
      </c>
    </row>
    <row r="174" spans="1:31" x14ac:dyDescent="0.3">
      <c r="A174" s="29">
        <v>45981</v>
      </c>
      <c r="B174" s="30" t="str">
        <f>TEXT(A174,"ddd")</f>
        <v>jue</v>
      </c>
      <c r="C174" s="28">
        <v>0.45833333333333331</v>
      </c>
      <c r="D174" s="31"/>
      <c r="E174" s="31"/>
      <c r="F174" s="31"/>
      <c r="G174" s="40" t="str">
        <f>IF(COUNTIF(D174:F174,"?*")=$N$5,"✅ CUBIERTO",
IF(COUNTIF(D174:F174,"?*")&gt;$N$5,"⚠ EXCESO",IF(COUNTIF(D174:F174,"?*")&gt;0,"⚠ FALTANTE",
"❌ SIN COMPLETAR")))</f>
        <v>❌ SIN COMPLETAR</v>
      </c>
      <c r="H174" s="17"/>
      <c r="I174" s="29">
        <v>45981</v>
      </c>
      <c r="J174" s="30" t="str">
        <f>TEXT(I174,"ddd")</f>
        <v>jue</v>
      </c>
      <c r="K174" s="28">
        <v>0.45833333333333331</v>
      </c>
      <c r="L174" s="31"/>
      <c r="M174" s="31"/>
      <c r="N174" s="31"/>
      <c r="O174" s="32" t="str">
        <f>IF(COUNTIF(L174:N174,"?*")=$N$6,"✅ CUBIERTO",IF(COUNTIF(L174:N174,"?*")&gt;$N$6,"⚠ EXCESO",
IF(COUNTIF(L174:N174,"?*")&gt;0,"⚠ FALTANTE", "❌ SIN COMPLETAR")))</f>
        <v>❌ SIN COMPLETAR</v>
      </c>
      <c r="P174" s="17"/>
      <c r="Q174" s="29">
        <v>45981</v>
      </c>
      <c r="R174" s="30" t="str">
        <f>TEXT(Q174,"ddd")</f>
        <v>jue</v>
      </c>
      <c r="S174" s="28">
        <v>0.45833333333333331</v>
      </c>
      <c r="T174" s="31"/>
      <c r="U174" s="31"/>
      <c r="V174" s="31"/>
      <c r="W174" s="40" t="s">
        <v>16</v>
      </c>
      <c r="Y174" s="29">
        <v>45981</v>
      </c>
      <c r="Z174" s="30" t="str">
        <f>TEXT(Y174,"ddd")</f>
        <v>jue</v>
      </c>
      <c r="AA174" s="28">
        <v>0.45833333333333331</v>
      </c>
      <c r="AB174" s="31"/>
      <c r="AC174" s="31"/>
      <c r="AD174" s="31"/>
      <c r="AE174" s="32" t="str">
        <f t="shared" si="75"/>
        <v>❌ SIN COMPLETAR</v>
      </c>
    </row>
    <row r="175" spans="1:31" x14ac:dyDescent="0.3">
      <c r="A175" s="29">
        <v>45981</v>
      </c>
      <c r="B175" s="30" t="str">
        <f t="shared" ref="B175:B181" si="84">TEXT(A175,"ddd")</f>
        <v>jue</v>
      </c>
      <c r="C175" s="28">
        <v>0.5</v>
      </c>
      <c r="D175" s="31"/>
      <c r="E175" s="31"/>
      <c r="F175" s="31"/>
      <c r="G175" s="40" t="str">
        <f>IF(COUNTIF(D175:F175,"?*")=$N$5,"✅ CUBIERTO",
IF(COUNTIF(D175:F175,"?*")&gt;$N$5,"⚠ EXCESO",IF(COUNTIF(D175:F175,"?*")&gt;0,"⚠ FALTANTE",
"❌ SIN COMPLETAR")))</f>
        <v>❌ SIN COMPLETAR</v>
      </c>
      <c r="H175" s="17"/>
      <c r="I175" s="29">
        <v>45981</v>
      </c>
      <c r="J175" s="30" t="str">
        <f t="shared" ref="J175:J181" si="85">TEXT(I175,"ddd")</f>
        <v>jue</v>
      </c>
      <c r="K175" s="28">
        <v>0.5</v>
      </c>
      <c r="L175" s="31"/>
      <c r="M175" s="31"/>
      <c r="N175" s="31"/>
      <c r="O175" s="32" t="str">
        <f>IF(COUNTIF(L175:N175,"?*")=$N$6,"✅ CUBIERTO",IF(COUNTIF(L175:N175,"?*")&gt;$N$6,"⚠ EXCESO",
IF(COUNTIF(L175:N175,"?*")&gt;0,"⚠ FALTANTE", "❌ SIN COMPLETAR")))</f>
        <v>❌ SIN COMPLETAR</v>
      </c>
      <c r="P175" s="17"/>
      <c r="Q175" s="29">
        <v>45981</v>
      </c>
      <c r="R175" s="30" t="str">
        <f t="shared" ref="R175:R181" si="86">TEXT(Q175,"ddd")</f>
        <v>jue</v>
      </c>
      <c r="S175" s="28">
        <v>0.5</v>
      </c>
      <c r="T175" s="31"/>
      <c r="U175" s="31"/>
      <c r="V175" s="31"/>
      <c r="W175" s="40" t="str">
        <f>IF(COUNTIF(T175:V175,"?*")=$N$7,"✅ CUBIERTO",IF(COUNTIF(T175:V175,"?*")&gt;$N$7,"⚠ EXCESO",
IF(COUNTIF(T175:V175,"?*")&gt;0,"⚠ FALTANTE", "❌ SIN COMPLETAR")))</f>
        <v>❌ SIN COMPLETAR</v>
      </c>
      <c r="Y175" s="29">
        <v>45981</v>
      </c>
      <c r="Z175" s="30" t="str">
        <f t="shared" ref="Z175:Z181" si="87">TEXT(Y175,"ddd")</f>
        <v>jue</v>
      </c>
      <c r="AA175" s="28">
        <v>0.5</v>
      </c>
      <c r="AB175" s="31"/>
      <c r="AC175" s="31"/>
      <c r="AD175" s="31"/>
      <c r="AE175" s="32" t="str">
        <f t="shared" si="75"/>
        <v>❌ SIN COMPLETAR</v>
      </c>
    </row>
    <row r="176" spans="1:31" x14ac:dyDescent="0.3">
      <c r="A176" s="29">
        <v>45981</v>
      </c>
      <c r="B176" s="30" t="str">
        <f t="shared" si="84"/>
        <v>jue</v>
      </c>
      <c r="C176" s="28">
        <v>0.54166666666666696</v>
      </c>
      <c r="D176" s="31"/>
      <c r="E176" s="31"/>
      <c r="F176" s="31"/>
      <c r="G176" s="40" t="str">
        <f>IF(COUNTIF(D176:F176,"?*")=$N$5,"✅ CUBIERTO",
IF(COUNTIF(D176:F176,"?*")&gt;$N$5,"⚠ EXCESO",IF(COUNTIF(D176:F176,"?*")&gt;0,"⚠ FALTANTE",
"❌ SIN COMPLETAR")))</f>
        <v>❌ SIN COMPLETAR</v>
      </c>
      <c r="H176" s="17"/>
      <c r="I176" s="29">
        <v>45981</v>
      </c>
      <c r="J176" s="30" t="str">
        <f t="shared" si="85"/>
        <v>jue</v>
      </c>
      <c r="K176" s="28">
        <v>0.54166666666666696</v>
      </c>
      <c r="L176" s="31"/>
      <c r="M176" s="31"/>
      <c r="N176" s="31"/>
      <c r="O176" s="32" t="str">
        <f>IF(COUNTIF(L176:N176,"?*")=$N$6,"✅ CUBIERTO",IF(COUNTIF(L176:N176,"?*")&gt;$N$6,"⚠ EXCESO",
IF(COUNTIF(L176:N176,"?*")&gt;0,"⚠ FALTANTE", "❌ SIN COMPLETAR")))</f>
        <v>❌ SIN COMPLETAR</v>
      </c>
      <c r="P176" s="17"/>
      <c r="Q176" s="29">
        <v>45981</v>
      </c>
      <c r="R176" s="30" t="str">
        <f t="shared" si="86"/>
        <v>jue</v>
      </c>
      <c r="S176" s="28">
        <v>0.54166666666666696</v>
      </c>
      <c r="T176" s="31"/>
      <c r="U176" s="31"/>
      <c r="V176" s="31"/>
      <c r="W176" s="40" t="str">
        <f>IF(COUNTIF(T176:V176,"?*")=$N$7,"✅ CUBIERTO",IF(COUNTIF(T176:V176,"?*")&gt;$N$7,"⚠ EXCESO",
IF(COUNTIF(T176:V176,"?*")&gt;0,"⚠ FALTANTE", "❌ SIN COMPLETAR")))</f>
        <v>❌ SIN COMPLETAR</v>
      </c>
      <c r="Y176" s="29">
        <v>45981</v>
      </c>
      <c r="Z176" s="30" t="str">
        <f t="shared" si="87"/>
        <v>jue</v>
      </c>
      <c r="AA176" s="28">
        <v>0.54166666666666696</v>
      </c>
      <c r="AB176" s="31"/>
      <c r="AC176" s="31"/>
      <c r="AD176" s="31"/>
      <c r="AE176" s="32" t="str">
        <f t="shared" si="75"/>
        <v>❌ SIN COMPLETAR</v>
      </c>
    </row>
    <row r="177" spans="1:31" x14ac:dyDescent="0.3">
      <c r="A177" s="29">
        <v>45981</v>
      </c>
      <c r="B177" s="30" t="str">
        <f t="shared" si="84"/>
        <v>jue</v>
      </c>
      <c r="C177" s="28">
        <v>0.58333333333333304</v>
      </c>
      <c r="D177" s="31"/>
      <c r="E177" s="31"/>
      <c r="F177" s="31"/>
      <c r="G177" s="40" t="str">
        <f>IF(COUNTIF(D177:F177,"?*")=$N$5,"✅ CUBIERTO",
IF(COUNTIF(D177:F177,"?*")&gt;$N$5,"⚠ EXCESO",IF(COUNTIF(D177:F177,"?*")&gt;0,"⚠ FALTANTE",
"❌ SIN COMPLETAR")))</f>
        <v>❌ SIN COMPLETAR</v>
      </c>
      <c r="H177" s="17"/>
      <c r="I177" s="29">
        <v>45981</v>
      </c>
      <c r="J177" s="30" t="str">
        <f t="shared" si="85"/>
        <v>jue</v>
      </c>
      <c r="K177" s="28">
        <v>0.58333333333333304</v>
      </c>
      <c r="L177" s="31"/>
      <c r="M177" s="31"/>
      <c r="N177" s="31"/>
      <c r="O177" s="32" t="str">
        <f>IF(COUNTIF(L177:N177,"?*")=$N$6,"✅ CUBIERTO",IF(COUNTIF(L177:N177,"?*")&gt;$N$6,"⚠ EXCESO",
IF(COUNTIF(L177:N177,"?*")&gt;0,"⚠ FALTANTE", "❌ SIN COMPLETAR")))</f>
        <v>❌ SIN COMPLETAR</v>
      </c>
      <c r="P177" s="17"/>
      <c r="Q177" s="29">
        <v>45981</v>
      </c>
      <c r="R177" s="30" t="str">
        <f t="shared" si="86"/>
        <v>jue</v>
      </c>
      <c r="S177" s="28">
        <v>0.58333333333333304</v>
      </c>
      <c r="T177" s="31"/>
      <c r="U177" s="31"/>
      <c r="V177" s="31"/>
      <c r="W177" s="40" t="str">
        <f>IF(COUNTIF(T177:V177,"?*")=$N$7,"✅ CUBIERTO",IF(COUNTIF(T177:V177,"?*")&gt;$N$7,"⚠ EXCESO",
IF(COUNTIF(T177:V177,"?*")&gt;0,"⚠ FALTANTE", "❌ SIN COMPLETAR")))</f>
        <v>❌ SIN COMPLETAR</v>
      </c>
      <c r="Y177" s="29">
        <v>45981</v>
      </c>
      <c r="Z177" s="30" t="str">
        <f t="shared" si="87"/>
        <v>jue</v>
      </c>
      <c r="AA177" s="28">
        <v>0.58333333333333304</v>
      </c>
      <c r="AB177" s="31"/>
      <c r="AC177" s="31"/>
      <c r="AD177" s="31"/>
      <c r="AE177" s="32" t="str">
        <f t="shared" si="75"/>
        <v>❌ SIN COMPLETAR</v>
      </c>
    </row>
    <row r="178" spans="1:31" x14ac:dyDescent="0.3">
      <c r="A178" s="29">
        <v>45981</v>
      </c>
      <c r="B178" s="30" t="str">
        <f t="shared" si="84"/>
        <v>jue</v>
      </c>
      <c r="C178" s="28">
        <v>0.625</v>
      </c>
      <c r="D178" s="31"/>
      <c r="E178" s="31"/>
      <c r="F178" s="31"/>
      <c r="G178" s="40" t="str">
        <f>IF(COUNTIF(D178:F178,"?*")=$N$5,"✅ CUBIERTO",
IF(COUNTIF(D178:F178,"?*")&gt;$N$5,"⚠ EXCESO",IF(COUNTIF(D178:F178,"?*")&gt;0,"⚠ FALTANTE",
"❌ SIN COMPLETAR")))</f>
        <v>❌ SIN COMPLETAR</v>
      </c>
      <c r="H178" s="17"/>
      <c r="I178" s="29">
        <v>45981</v>
      </c>
      <c r="J178" s="30" t="str">
        <f t="shared" si="85"/>
        <v>jue</v>
      </c>
      <c r="K178" s="28">
        <v>0.625</v>
      </c>
      <c r="L178" s="31"/>
      <c r="M178" s="31"/>
      <c r="N178" s="31"/>
      <c r="O178" s="32" t="str">
        <f>IF(COUNTIF(L178:N178,"?*")=$N$6,"✅ CUBIERTO",IF(COUNTIF(L178:N178,"?*")&gt;$N$6,"⚠ EXCESO",
IF(COUNTIF(L178:N178,"?*")&gt;0,"⚠ FALTANTE", "❌ SIN COMPLETAR")))</f>
        <v>❌ SIN COMPLETAR</v>
      </c>
      <c r="P178" s="17"/>
      <c r="Q178" s="29">
        <v>45981</v>
      </c>
      <c r="R178" s="30" t="str">
        <f t="shared" si="86"/>
        <v>jue</v>
      </c>
      <c r="S178" s="28">
        <v>0.625</v>
      </c>
      <c r="T178" s="31"/>
      <c r="U178" s="31"/>
      <c r="V178" s="31"/>
      <c r="W178" s="40" t="str">
        <f>IF(COUNTIF(T178:V178,"?*")=$N$7,"✅ CUBIERTO",IF(COUNTIF(T178:V178,"?*")&gt;$N$7,"⚠ EXCESO",
IF(COUNTIF(T178:V178,"?*")&gt;0,"⚠ FALTANTE", "❌ SIN COMPLETAR")))</f>
        <v>❌ SIN COMPLETAR</v>
      </c>
      <c r="Y178" s="29">
        <v>45981</v>
      </c>
      <c r="Z178" s="30" t="str">
        <f t="shared" si="87"/>
        <v>jue</v>
      </c>
      <c r="AA178" s="28">
        <v>0.625</v>
      </c>
      <c r="AB178" s="31"/>
      <c r="AC178" s="31"/>
      <c r="AD178" s="31"/>
      <c r="AE178" s="32" t="str">
        <f t="shared" si="75"/>
        <v>❌ SIN COMPLETAR</v>
      </c>
    </row>
    <row r="179" spans="1:31" x14ac:dyDescent="0.3">
      <c r="A179" s="29">
        <v>45981</v>
      </c>
      <c r="B179" s="30" t="str">
        <f t="shared" si="84"/>
        <v>jue</v>
      </c>
      <c r="C179" s="28">
        <v>0.66666666666666696</v>
      </c>
      <c r="D179" s="31"/>
      <c r="E179" s="31"/>
      <c r="F179" s="31"/>
      <c r="G179" s="40" t="str">
        <f>IF(COUNTIF(D179:F179,"?*")=$N$5,"✅ CUBIERTO",
IF(COUNTIF(D179:F179,"?*")&gt;$N$5,"⚠ EXCESO",IF(COUNTIF(D179:F179,"?*")&gt;0,"⚠ FALTANTE",
"❌ SIN COMPLETAR")))</f>
        <v>❌ SIN COMPLETAR</v>
      </c>
      <c r="H179" s="17"/>
      <c r="I179" s="29">
        <v>45981</v>
      </c>
      <c r="J179" s="30" t="str">
        <f t="shared" si="85"/>
        <v>jue</v>
      </c>
      <c r="K179" s="28">
        <v>0.66666666666666696</v>
      </c>
      <c r="L179" s="31"/>
      <c r="M179" s="31"/>
      <c r="N179" s="31"/>
      <c r="O179" s="32" t="str">
        <f>IF(COUNTIF(L179:N179,"?*")=$N$6,"✅ CUBIERTO",IF(COUNTIF(L179:N179,"?*")&gt;$N$6,"⚠ EXCESO",
IF(COUNTIF(L179:N179,"?*")&gt;0,"⚠ FALTANTE", "❌ SIN COMPLETAR")))</f>
        <v>❌ SIN COMPLETAR</v>
      </c>
      <c r="P179" s="17"/>
      <c r="Q179" s="29">
        <v>45981</v>
      </c>
      <c r="R179" s="30" t="str">
        <f t="shared" si="86"/>
        <v>jue</v>
      </c>
      <c r="S179" s="28">
        <v>0.66666666666666696</v>
      </c>
      <c r="T179" s="31"/>
      <c r="U179" s="31"/>
      <c r="V179" s="31"/>
      <c r="W179" s="40" t="str">
        <f>IF(COUNTIF(T179:V179,"?*")=$N$7,"✅ CUBIERTO",IF(COUNTIF(T179:V179,"?*")&gt;$N$7,"⚠ EXCESO",
IF(COUNTIF(T179:V179,"?*")&gt;0,"⚠ FALTANTE", "❌ SIN COMPLETAR")))</f>
        <v>❌ SIN COMPLETAR</v>
      </c>
      <c r="Y179" s="29">
        <v>45981</v>
      </c>
      <c r="Z179" s="30" t="str">
        <f t="shared" si="87"/>
        <v>jue</v>
      </c>
      <c r="AA179" s="28">
        <v>0.66666666666666696</v>
      </c>
      <c r="AB179" s="31"/>
      <c r="AC179" s="31"/>
      <c r="AD179" s="31"/>
      <c r="AE179" s="32" t="str">
        <f t="shared" si="75"/>
        <v>❌ SIN COMPLETAR</v>
      </c>
    </row>
    <row r="180" spans="1:31" x14ac:dyDescent="0.3">
      <c r="A180" s="29">
        <v>45981</v>
      </c>
      <c r="B180" s="30" t="str">
        <f t="shared" si="84"/>
        <v>jue</v>
      </c>
      <c r="C180" s="28">
        <v>0.70833333333333304</v>
      </c>
      <c r="D180" s="31"/>
      <c r="E180" s="31"/>
      <c r="F180" s="31"/>
      <c r="G180" s="40" t="str">
        <f>IF(COUNTIF(D180:F180,"?*")=$N$5,"✅ CUBIERTO",
IF(COUNTIF(D180:F180,"?*")&gt;$N$5,"⚠ EXCESO",IF(COUNTIF(D180:F180,"?*")&gt;0,"⚠ FALTANTE",
"❌ SIN COMPLETAR")))</f>
        <v>❌ SIN COMPLETAR</v>
      </c>
      <c r="H180" s="17"/>
      <c r="I180" s="29">
        <v>45981</v>
      </c>
      <c r="J180" s="30" t="str">
        <f t="shared" si="85"/>
        <v>jue</v>
      </c>
      <c r="K180" s="28">
        <v>0.70833333333333304</v>
      </c>
      <c r="L180" s="31"/>
      <c r="M180" s="31"/>
      <c r="N180" s="31"/>
      <c r="O180" s="32" t="str">
        <f>IF(COUNTIF(L180:N180,"?*")=$N$6,"✅ CUBIERTO",IF(COUNTIF(L180:N180,"?*")&gt;$N$6,"⚠ EXCESO",
IF(COUNTIF(L180:N180,"?*")&gt;0,"⚠ FALTANTE", "❌ SIN COMPLETAR")))</f>
        <v>❌ SIN COMPLETAR</v>
      </c>
      <c r="P180" s="17"/>
      <c r="Q180" s="29">
        <v>45981</v>
      </c>
      <c r="R180" s="30" t="str">
        <f t="shared" si="86"/>
        <v>jue</v>
      </c>
      <c r="S180" s="28">
        <v>0.70833333333333304</v>
      </c>
      <c r="T180" s="31"/>
      <c r="U180" s="31"/>
      <c r="V180" s="31"/>
      <c r="W180" s="40" t="str">
        <f>IF(COUNTIF(T180:V180,"?*")=$N$7,"✅ CUBIERTO",IF(COUNTIF(T180:V180,"?*")&gt;$N$7,"⚠ EXCESO",
IF(COUNTIF(T180:V180,"?*")&gt;0,"⚠ FALTANTE", "❌ SIN COMPLETAR")))</f>
        <v>❌ SIN COMPLETAR</v>
      </c>
      <c r="Y180" s="29">
        <v>45981</v>
      </c>
      <c r="Z180" s="30" t="str">
        <f t="shared" si="87"/>
        <v>jue</v>
      </c>
      <c r="AA180" s="28">
        <v>0.70833333333333304</v>
      </c>
      <c r="AB180" s="31"/>
      <c r="AC180" s="31"/>
      <c r="AD180" s="31"/>
      <c r="AE180" s="32" t="str">
        <f t="shared" si="75"/>
        <v>❌ SIN COMPLETAR</v>
      </c>
    </row>
    <row r="181" spans="1:31" x14ac:dyDescent="0.3">
      <c r="A181" s="29">
        <v>45981</v>
      </c>
      <c r="B181" s="30" t="str">
        <f t="shared" si="84"/>
        <v>jue</v>
      </c>
      <c r="C181" s="28">
        <v>0.75</v>
      </c>
      <c r="D181" s="31"/>
      <c r="E181" s="31"/>
      <c r="F181" s="31"/>
      <c r="G181" s="40" t="str">
        <f>IF(COUNTIF(D181:F181,"?*")=$N$5,"✅ CUBIERTO",
IF(COUNTIF(D181:F181,"?*")&gt;$N$5,"⚠ EXCESO",IF(COUNTIF(D181:F181,"?*")&gt;0,"⚠ FALTANTE",
"❌ SIN COMPLETAR")))</f>
        <v>❌ SIN COMPLETAR</v>
      </c>
      <c r="H181" s="17"/>
      <c r="I181" s="29">
        <v>45981</v>
      </c>
      <c r="J181" s="30" t="str">
        <f t="shared" si="85"/>
        <v>jue</v>
      </c>
      <c r="K181" s="28">
        <v>0.75</v>
      </c>
      <c r="L181" s="41"/>
      <c r="M181" s="41"/>
      <c r="N181" s="41"/>
      <c r="O181" s="32" t="str">
        <f>IF(COUNTIF(L181:N181,"?*")=$N$6,"✅ CUBIERTO",IF(COUNTIF(L181:N181,"?*")&gt;$N$6,"⚠ EXCESO",
IF(COUNTIF(L181:N181,"?*")&gt;0,"⚠ FALTANTE", "❌ SIN COMPLETAR")))</f>
        <v>❌ SIN COMPLETAR</v>
      </c>
      <c r="P181" s="17"/>
      <c r="Q181" s="29">
        <v>45981</v>
      </c>
      <c r="R181" s="30" t="str">
        <f t="shared" si="86"/>
        <v>jue</v>
      </c>
      <c r="S181" s="28">
        <v>0.75</v>
      </c>
      <c r="T181" s="31"/>
      <c r="U181" s="31"/>
      <c r="V181" s="31"/>
      <c r="W181" s="40" t="s">
        <v>16</v>
      </c>
      <c r="Y181" s="29">
        <v>45981</v>
      </c>
      <c r="Z181" s="30" t="str">
        <f t="shared" si="87"/>
        <v>jue</v>
      </c>
      <c r="AA181" s="28">
        <v>0.75</v>
      </c>
      <c r="AB181" s="41"/>
      <c r="AC181" s="41"/>
      <c r="AD181" s="41"/>
      <c r="AE181" s="32" t="str">
        <f t="shared" si="75"/>
        <v>❌ SIN COMPLETAR</v>
      </c>
    </row>
    <row r="182" spans="1:31" x14ac:dyDescent="0.3">
      <c r="A182" s="29">
        <v>45982</v>
      </c>
      <c r="B182" s="30" t="str">
        <f>TEXT(A182,"ddd")</f>
        <v>vie</v>
      </c>
      <c r="C182" s="28">
        <v>0.45833333333333331</v>
      </c>
      <c r="D182" s="31"/>
      <c r="E182" s="31"/>
      <c r="F182" s="31"/>
      <c r="G182" s="40" t="str">
        <f>IF(COUNTIF(D182:F182,"?*")=$N$5,"✅ CUBIERTO",
IF(COUNTIF(D182:F182,"?*")&gt;$N$5,"⚠ EXCESO",IF(COUNTIF(D182:F182,"?*")&gt;0,"⚠ FALTANTE",
"❌ SIN COMPLETAR")))</f>
        <v>❌ SIN COMPLETAR</v>
      </c>
      <c r="H182" s="17"/>
      <c r="I182" s="29">
        <v>45982</v>
      </c>
      <c r="J182" s="30" t="str">
        <f>TEXT(I182,"ddd")</f>
        <v>vie</v>
      </c>
      <c r="K182" s="28">
        <v>0.45833333333333331</v>
      </c>
      <c r="L182" s="31"/>
      <c r="M182" s="31"/>
      <c r="N182" s="31"/>
      <c r="O182" s="32" t="str">
        <f>IF(COUNTIF(L182:N182,"?*")=$N$6,"✅ CUBIERTO",IF(COUNTIF(L182:N182,"?*")&gt;$N$6,"⚠ EXCESO",
IF(COUNTIF(L182:N182,"?*")&gt;0,"⚠ FALTANTE", "❌ SIN COMPLETAR")))</f>
        <v>❌ SIN COMPLETAR</v>
      </c>
      <c r="P182" s="17"/>
      <c r="Q182" s="29">
        <v>45982</v>
      </c>
      <c r="R182" s="30" t="str">
        <f>TEXT(Q182,"ddd")</f>
        <v>vie</v>
      </c>
      <c r="S182" s="28">
        <v>0.45833333333333331</v>
      </c>
      <c r="T182" s="31"/>
      <c r="U182" s="31"/>
      <c r="V182" s="31"/>
      <c r="W182" s="40" t="s">
        <v>16</v>
      </c>
      <c r="Y182" s="29">
        <v>45982</v>
      </c>
      <c r="Z182" s="30" t="str">
        <f>TEXT(Y182,"ddd")</f>
        <v>vie</v>
      </c>
      <c r="AA182" s="28">
        <v>0.45833333333333331</v>
      </c>
      <c r="AB182" s="31"/>
      <c r="AC182" s="31"/>
      <c r="AD182" s="31"/>
      <c r="AE182" s="32" t="str">
        <f t="shared" si="75"/>
        <v>❌ SIN COMPLETAR</v>
      </c>
    </row>
    <row r="183" spans="1:31" x14ac:dyDescent="0.3">
      <c r="A183" s="29">
        <v>45982</v>
      </c>
      <c r="B183" s="30" t="str">
        <f t="shared" ref="B183:B189" si="88">TEXT(A183,"ddd")</f>
        <v>vie</v>
      </c>
      <c r="C183" s="28">
        <v>0.5</v>
      </c>
      <c r="D183" s="31"/>
      <c r="E183" s="31"/>
      <c r="F183" s="31"/>
      <c r="G183" s="40" t="str">
        <f>IF(COUNTIF(D183:F183,"?*")=$N$5,"✅ CUBIERTO",
IF(COUNTIF(D183:F183,"?*")&gt;$N$5,"⚠ EXCESO",IF(COUNTIF(D183:F183,"?*")&gt;0,"⚠ FALTANTE",
"❌ SIN COMPLETAR")))</f>
        <v>❌ SIN COMPLETAR</v>
      </c>
      <c r="H183" s="17"/>
      <c r="I183" s="29">
        <v>45982</v>
      </c>
      <c r="J183" s="30" t="str">
        <f t="shared" ref="J183:J189" si="89">TEXT(I183,"ddd")</f>
        <v>vie</v>
      </c>
      <c r="K183" s="28">
        <v>0.5</v>
      </c>
      <c r="L183" s="31"/>
      <c r="M183" s="31"/>
      <c r="N183" s="31"/>
      <c r="O183" s="32" t="str">
        <f>IF(COUNTIF(L183:N183,"?*")=$N$6,"✅ CUBIERTO",IF(COUNTIF(L183:N183,"?*")&gt;$N$6,"⚠ EXCESO",
IF(COUNTIF(L183:N183,"?*")&gt;0,"⚠ FALTANTE", "❌ SIN COMPLETAR")))</f>
        <v>❌ SIN COMPLETAR</v>
      </c>
      <c r="P183" s="17"/>
      <c r="Q183" s="29">
        <v>45982</v>
      </c>
      <c r="R183" s="30" t="str">
        <f t="shared" ref="R183:R189" si="90">TEXT(Q183,"ddd")</f>
        <v>vie</v>
      </c>
      <c r="S183" s="28">
        <v>0.5</v>
      </c>
      <c r="T183" s="31"/>
      <c r="U183" s="31"/>
      <c r="V183" s="31"/>
      <c r="W183" s="40" t="str">
        <f>IF(COUNTIF(T183:V183,"?*")=$N$7,"✅ CUBIERTO",IF(COUNTIF(T183:V183,"?*")&gt;$N$7,"⚠ EXCESO",
IF(COUNTIF(T183:V183,"?*")&gt;0,"⚠ FALTANTE", "❌ SIN COMPLETAR")))</f>
        <v>❌ SIN COMPLETAR</v>
      </c>
      <c r="Y183" s="29">
        <v>45982</v>
      </c>
      <c r="Z183" s="30" t="str">
        <f t="shared" ref="Z183:Z189" si="91">TEXT(Y183,"ddd")</f>
        <v>vie</v>
      </c>
      <c r="AA183" s="28">
        <v>0.5</v>
      </c>
      <c r="AB183" s="31"/>
      <c r="AC183" s="31"/>
      <c r="AD183" s="31"/>
      <c r="AE183" s="32" t="str">
        <f t="shared" si="75"/>
        <v>❌ SIN COMPLETAR</v>
      </c>
    </row>
    <row r="184" spans="1:31" x14ac:dyDescent="0.3">
      <c r="A184" s="29">
        <v>45982</v>
      </c>
      <c r="B184" s="30" t="str">
        <f t="shared" si="88"/>
        <v>vie</v>
      </c>
      <c r="C184" s="28">
        <v>0.54166666666666696</v>
      </c>
      <c r="D184" s="31"/>
      <c r="E184" s="31"/>
      <c r="F184" s="31"/>
      <c r="G184" s="40" t="str">
        <f>IF(COUNTIF(D184:F184,"?*")=$N$5,"✅ CUBIERTO",
IF(COUNTIF(D184:F184,"?*")&gt;$N$5,"⚠ EXCESO",IF(COUNTIF(D184:F184,"?*")&gt;0,"⚠ FALTANTE",
"❌ SIN COMPLETAR")))</f>
        <v>❌ SIN COMPLETAR</v>
      </c>
      <c r="H184" s="17"/>
      <c r="I184" s="29">
        <v>45982</v>
      </c>
      <c r="J184" s="30" t="str">
        <f t="shared" si="89"/>
        <v>vie</v>
      </c>
      <c r="K184" s="28">
        <v>0.54166666666666696</v>
      </c>
      <c r="L184" s="31"/>
      <c r="M184" s="31"/>
      <c r="N184" s="31"/>
      <c r="O184" s="32" t="str">
        <f>IF(COUNTIF(L184:N184,"?*")=$N$6,"✅ CUBIERTO",IF(COUNTIF(L184:N184,"?*")&gt;$N$6,"⚠ EXCESO",
IF(COUNTIF(L184:N184,"?*")&gt;0,"⚠ FALTANTE", "❌ SIN COMPLETAR")))</f>
        <v>❌ SIN COMPLETAR</v>
      </c>
      <c r="P184" s="17"/>
      <c r="Q184" s="29">
        <v>45982</v>
      </c>
      <c r="R184" s="30" t="str">
        <f t="shared" si="90"/>
        <v>vie</v>
      </c>
      <c r="S184" s="28">
        <v>0.54166666666666696</v>
      </c>
      <c r="T184" s="31"/>
      <c r="U184" s="31"/>
      <c r="V184" s="31"/>
      <c r="W184" s="40" t="str">
        <f>IF(COUNTIF(T184:V184,"?*")=$N$7,"✅ CUBIERTO",IF(COUNTIF(T184:V184,"?*")&gt;$N$7,"⚠ EXCESO",
IF(COUNTIF(T184:V184,"?*")&gt;0,"⚠ FALTANTE", "❌ SIN COMPLETAR")))</f>
        <v>❌ SIN COMPLETAR</v>
      </c>
      <c r="Y184" s="29">
        <v>45982</v>
      </c>
      <c r="Z184" s="30" t="str">
        <f t="shared" si="91"/>
        <v>vie</v>
      </c>
      <c r="AA184" s="28">
        <v>0.54166666666666696</v>
      </c>
      <c r="AB184" s="31"/>
      <c r="AC184" s="31"/>
      <c r="AD184" s="31"/>
      <c r="AE184" s="32" t="str">
        <f t="shared" si="75"/>
        <v>❌ SIN COMPLETAR</v>
      </c>
    </row>
    <row r="185" spans="1:31" x14ac:dyDescent="0.3">
      <c r="A185" s="29">
        <v>45982</v>
      </c>
      <c r="B185" s="30" t="str">
        <f t="shared" si="88"/>
        <v>vie</v>
      </c>
      <c r="C185" s="28">
        <v>0.58333333333333304</v>
      </c>
      <c r="D185" s="31"/>
      <c r="E185" s="31"/>
      <c r="F185" s="31"/>
      <c r="G185" s="40" t="str">
        <f>IF(COUNTIF(D185:F185,"?*")=$N$5,"✅ CUBIERTO",
IF(COUNTIF(D185:F185,"?*")&gt;$N$5,"⚠ EXCESO",IF(COUNTIF(D185:F185,"?*")&gt;0,"⚠ FALTANTE",
"❌ SIN COMPLETAR")))</f>
        <v>❌ SIN COMPLETAR</v>
      </c>
      <c r="H185" s="17"/>
      <c r="I185" s="29">
        <v>45982</v>
      </c>
      <c r="J185" s="30" t="str">
        <f t="shared" si="89"/>
        <v>vie</v>
      </c>
      <c r="K185" s="28">
        <v>0.58333333333333304</v>
      </c>
      <c r="L185" s="31"/>
      <c r="M185" s="31"/>
      <c r="N185" s="31"/>
      <c r="O185" s="32" t="str">
        <f>IF(COUNTIF(L185:N185,"?*")=$N$6,"✅ CUBIERTO",IF(COUNTIF(L185:N185,"?*")&gt;$N$6,"⚠ EXCESO",
IF(COUNTIF(L185:N185,"?*")&gt;0,"⚠ FALTANTE", "❌ SIN COMPLETAR")))</f>
        <v>❌ SIN COMPLETAR</v>
      </c>
      <c r="P185" s="17"/>
      <c r="Q185" s="29">
        <v>45982</v>
      </c>
      <c r="R185" s="30" t="str">
        <f t="shared" si="90"/>
        <v>vie</v>
      </c>
      <c r="S185" s="28">
        <v>0.58333333333333304</v>
      </c>
      <c r="T185" s="31"/>
      <c r="U185" s="31"/>
      <c r="V185" s="31"/>
      <c r="W185" s="40" t="str">
        <f>IF(COUNTIF(T185:V185,"?*")=$N$7,"✅ CUBIERTO",IF(COUNTIF(T185:V185,"?*")&gt;$N$7,"⚠ EXCESO",
IF(COUNTIF(T185:V185,"?*")&gt;0,"⚠ FALTANTE", "❌ SIN COMPLETAR")))</f>
        <v>❌ SIN COMPLETAR</v>
      </c>
      <c r="Y185" s="29">
        <v>45982</v>
      </c>
      <c r="Z185" s="30" t="str">
        <f t="shared" si="91"/>
        <v>vie</v>
      </c>
      <c r="AA185" s="28">
        <v>0.58333333333333304</v>
      </c>
      <c r="AB185" s="31"/>
      <c r="AC185" s="31"/>
      <c r="AD185" s="31"/>
      <c r="AE185" s="32" t="str">
        <f t="shared" si="75"/>
        <v>❌ SIN COMPLETAR</v>
      </c>
    </row>
    <row r="186" spans="1:31" x14ac:dyDescent="0.3">
      <c r="A186" s="29">
        <v>45982</v>
      </c>
      <c r="B186" s="30" t="str">
        <f t="shared" si="88"/>
        <v>vie</v>
      </c>
      <c r="C186" s="28">
        <v>0.625</v>
      </c>
      <c r="D186" s="31"/>
      <c r="E186" s="31"/>
      <c r="F186" s="31"/>
      <c r="G186" s="40" t="str">
        <f>IF(COUNTIF(D186:F186,"?*")=$N$5,"✅ CUBIERTO",
IF(COUNTIF(D186:F186,"?*")&gt;$N$5,"⚠ EXCESO",IF(COUNTIF(D186:F186,"?*")&gt;0,"⚠ FALTANTE",
"❌ SIN COMPLETAR")))</f>
        <v>❌ SIN COMPLETAR</v>
      </c>
      <c r="H186" s="17"/>
      <c r="I186" s="29">
        <v>45982</v>
      </c>
      <c r="J186" s="30" t="str">
        <f t="shared" si="89"/>
        <v>vie</v>
      </c>
      <c r="K186" s="28">
        <v>0.625</v>
      </c>
      <c r="L186" s="31"/>
      <c r="M186" s="31"/>
      <c r="N186" s="31"/>
      <c r="O186" s="32" t="str">
        <f>IF(COUNTIF(L186:N186,"?*")=$N$6,"✅ CUBIERTO",IF(COUNTIF(L186:N186,"?*")&gt;$N$6,"⚠ EXCESO",
IF(COUNTIF(L186:N186,"?*")&gt;0,"⚠ FALTANTE", "❌ SIN COMPLETAR")))</f>
        <v>❌ SIN COMPLETAR</v>
      </c>
      <c r="P186" s="17"/>
      <c r="Q186" s="29">
        <v>45982</v>
      </c>
      <c r="R186" s="30" t="str">
        <f t="shared" si="90"/>
        <v>vie</v>
      </c>
      <c r="S186" s="28">
        <v>0.625</v>
      </c>
      <c r="T186" s="31"/>
      <c r="U186" s="31"/>
      <c r="V186" s="31"/>
      <c r="W186" s="40" t="str">
        <f>IF(COUNTIF(T186:V186,"?*")=$N$7,"✅ CUBIERTO",IF(COUNTIF(T186:V186,"?*")&gt;$N$7,"⚠ EXCESO",
IF(COUNTIF(T186:V186,"?*")&gt;0,"⚠ FALTANTE", "❌ SIN COMPLETAR")))</f>
        <v>❌ SIN COMPLETAR</v>
      </c>
      <c r="Y186" s="29">
        <v>45982</v>
      </c>
      <c r="Z186" s="30" t="str">
        <f t="shared" si="91"/>
        <v>vie</v>
      </c>
      <c r="AA186" s="28">
        <v>0.625</v>
      </c>
      <c r="AB186" s="31"/>
      <c r="AC186" s="31"/>
      <c r="AD186" s="31"/>
      <c r="AE186" s="32" t="str">
        <f t="shared" si="75"/>
        <v>❌ SIN COMPLETAR</v>
      </c>
    </row>
    <row r="187" spans="1:31" x14ac:dyDescent="0.3">
      <c r="A187" s="29">
        <v>45982</v>
      </c>
      <c r="B187" s="30" t="str">
        <f t="shared" si="88"/>
        <v>vie</v>
      </c>
      <c r="C187" s="28">
        <v>0.66666666666666696</v>
      </c>
      <c r="D187" s="31"/>
      <c r="E187" s="31"/>
      <c r="F187" s="31"/>
      <c r="G187" s="40" t="str">
        <f>IF(COUNTIF(D187:F187,"?*")=$N$5,"✅ CUBIERTO",
IF(COUNTIF(D187:F187,"?*")&gt;$N$5,"⚠ EXCESO",IF(COUNTIF(D187:F187,"?*")&gt;0,"⚠ FALTANTE",
"❌ SIN COMPLETAR")))</f>
        <v>❌ SIN COMPLETAR</v>
      </c>
      <c r="H187" s="17"/>
      <c r="I187" s="29">
        <v>45982</v>
      </c>
      <c r="J187" s="30" t="str">
        <f t="shared" si="89"/>
        <v>vie</v>
      </c>
      <c r="K187" s="28">
        <v>0.66666666666666696</v>
      </c>
      <c r="L187" s="31"/>
      <c r="M187" s="31"/>
      <c r="N187" s="31"/>
      <c r="O187" s="32" t="str">
        <f>IF(COUNTIF(L187:N187,"?*")=$N$6,"✅ CUBIERTO",IF(COUNTIF(L187:N187,"?*")&gt;$N$6,"⚠ EXCESO",
IF(COUNTIF(L187:N187,"?*")&gt;0,"⚠ FALTANTE", "❌ SIN COMPLETAR")))</f>
        <v>❌ SIN COMPLETAR</v>
      </c>
      <c r="P187" s="17"/>
      <c r="Q187" s="29">
        <v>45982</v>
      </c>
      <c r="R187" s="30" t="str">
        <f t="shared" si="90"/>
        <v>vie</v>
      </c>
      <c r="S187" s="28">
        <v>0.66666666666666696</v>
      </c>
      <c r="T187" s="31"/>
      <c r="U187" s="31"/>
      <c r="V187" s="31"/>
      <c r="W187" s="40" t="str">
        <f>IF(COUNTIF(T187:V187,"?*")=$N$7,"✅ CUBIERTO",IF(COUNTIF(T187:V187,"?*")&gt;$N$7,"⚠ EXCESO",
IF(COUNTIF(T187:V187,"?*")&gt;0,"⚠ FALTANTE", "❌ SIN COMPLETAR")))</f>
        <v>❌ SIN COMPLETAR</v>
      </c>
      <c r="Y187" s="29">
        <v>45982</v>
      </c>
      <c r="Z187" s="30" t="str">
        <f t="shared" si="91"/>
        <v>vie</v>
      </c>
      <c r="AA187" s="28">
        <v>0.66666666666666696</v>
      </c>
      <c r="AB187" s="31"/>
      <c r="AC187" s="31"/>
      <c r="AD187" s="31"/>
      <c r="AE187" s="32" t="str">
        <f t="shared" si="75"/>
        <v>❌ SIN COMPLETAR</v>
      </c>
    </row>
    <row r="188" spans="1:31" x14ac:dyDescent="0.3">
      <c r="A188" s="29">
        <v>45982</v>
      </c>
      <c r="B188" s="30" t="str">
        <f t="shared" si="88"/>
        <v>vie</v>
      </c>
      <c r="C188" s="28">
        <v>0.70833333333333304</v>
      </c>
      <c r="D188" s="31"/>
      <c r="E188" s="31"/>
      <c r="F188" s="31"/>
      <c r="G188" s="40" t="str">
        <f>IF(COUNTIF(D188:F188,"?*")=$N$5,"✅ CUBIERTO",
IF(COUNTIF(D188:F188,"?*")&gt;$N$5,"⚠ EXCESO",IF(COUNTIF(D188:F188,"?*")&gt;0,"⚠ FALTANTE",
"❌ SIN COMPLETAR")))</f>
        <v>❌ SIN COMPLETAR</v>
      </c>
      <c r="H188" s="17"/>
      <c r="I188" s="29">
        <v>45982</v>
      </c>
      <c r="J188" s="30" t="str">
        <f t="shared" si="89"/>
        <v>vie</v>
      </c>
      <c r="K188" s="28">
        <v>0.70833333333333304</v>
      </c>
      <c r="L188" s="31"/>
      <c r="M188" s="31"/>
      <c r="N188" s="31"/>
      <c r="O188" s="32" t="str">
        <f>IF(COUNTIF(L188:N188,"?*")=$N$6,"✅ CUBIERTO",IF(COUNTIF(L188:N188,"?*")&gt;$N$6,"⚠ EXCESO",
IF(COUNTIF(L188:N188,"?*")&gt;0,"⚠ FALTANTE", "❌ SIN COMPLETAR")))</f>
        <v>❌ SIN COMPLETAR</v>
      </c>
      <c r="P188" s="17"/>
      <c r="Q188" s="29">
        <v>45982</v>
      </c>
      <c r="R188" s="30" t="str">
        <f t="shared" si="90"/>
        <v>vie</v>
      </c>
      <c r="S188" s="28">
        <v>0.70833333333333304</v>
      </c>
      <c r="T188" s="31"/>
      <c r="U188" s="31"/>
      <c r="V188" s="31"/>
      <c r="W188" s="40" t="str">
        <f>IF(COUNTIF(T188:V188,"?*")=$N$7,"✅ CUBIERTO",IF(COUNTIF(T188:V188,"?*")&gt;$N$7,"⚠ EXCESO",
IF(COUNTIF(T188:V188,"?*")&gt;0,"⚠ FALTANTE", "❌ SIN COMPLETAR")))</f>
        <v>❌ SIN COMPLETAR</v>
      </c>
      <c r="Y188" s="29">
        <v>45982</v>
      </c>
      <c r="Z188" s="30" t="str">
        <f t="shared" si="91"/>
        <v>vie</v>
      </c>
      <c r="AA188" s="28">
        <v>0.70833333333333304</v>
      </c>
      <c r="AB188" s="31"/>
      <c r="AC188" s="31"/>
      <c r="AD188" s="31"/>
      <c r="AE188" s="32" t="str">
        <f t="shared" si="75"/>
        <v>❌ SIN COMPLETAR</v>
      </c>
    </row>
    <row r="189" spans="1:31" x14ac:dyDescent="0.3">
      <c r="A189" s="29">
        <v>45982</v>
      </c>
      <c r="B189" s="30" t="str">
        <f t="shared" si="88"/>
        <v>vie</v>
      </c>
      <c r="C189" s="28">
        <v>0.75</v>
      </c>
      <c r="D189" s="31"/>
      <c r="E189" s="31"/>
      <c r="F189" s="31"/>
      <c r="G189" s="40" t="str">
        <f>IF(COUNTIF(D189:F189,"?*")=$N$5,"✅ CUBIERTO",
IF(COUNTIF(D189:F189,"?*")&gt;$N$5,"⚠ EXCESO",IF(COUNTIF(D189:F189,"?*")&gt;0,"⚠ FALTANTE",
"❌ SIN COMPLETAR")))</f>
        <v>❌ SIN COMPLETAR</v>
      </c>
      <c r="H189" s="17"/>
      <c r="I189" s="29">
        <v>45982</v>
      </c>
      <c r="J189" s="30" t="str">
        <f t="shared" si="89"/>
        <v>vie</v>
      </c>
      <c r="K189" s="28">
        <v>0.75</v>
      </c>
      <c r="L189" s="41"/>
      <c r="M189" s="41"/>
      <c r="N189" s="41"/>
      <c r="O189" s="32" t="str">
        <f>IF(COUNTIF(L189:N189,"?*")=$N$6,"✅ CUBIERTO",IF(COUNTIF(L189:N189,"?*")&gt;$N$6,"⚠ EXCESO",
IF(COUNTIF(L189:N189,"?*")&gt;0,"⚠ FALTANTE", "❌ SIN COMPLETAR")))</f>
        <v>❌ SIN COMPLETAR</v>
      </c>
      <c r="P189" s="17"/>
      <c r="Q189" s="29">
        <v>45982</v>
      </c>
      <c r="R189" s="30" t="str">
        <f t="shared" si="90"/>
        <v>vie</v>
      </c>
      <c r="S189" s="28">
        <v>0.75</v>
      </c>
      <c r="T189" s="31"/>
      <c r="U189" s="31"/>
      <c r="V189" s="31"/>
      <c r="W189" s="40" t="s">
        <v>16</v>
      </c>
      <c r="Y189" s="29">
        <v>45982</v>
      </c>
      <c r="Z189" s="30" t="str">
        <f t="shared" si="91"/>
        <v>vie</v>
      </c>
      <c r="AA189" s="28">
        <v>0.75</v>
      </c>
      <c r="AB189" s="41"/>
      <c r="AC189" s="41"/>
      <c r="AD189" s="41"/>
      <c r="AE189" s="32" t="str">
        <f t="shared" si="75"/>
        <v>❌ SIN COMPLETAR</v>
      </c>
    </row>
    <row r="190" spans="1:31" x14ac:dyDescent="0.3">
      <c r="A190" s="29">
        <v>45983</v>
      </c>
      <c r="B190" s="30" t="str">
        <f>TEXT(A190,"ddd")</f>
        <v>sáb</v>
      </c>
      <c r="C190" s="28">
        <v>0.45833333333333331</v>
      </c>
      <c r="D190" s="31"/>
      <c r="E190" s="31"/>
      <c r="F190" s="31"/>
      <c r="G190" s="40" t="str">
        <f>IF(COUNTIF(D190:F190,"?*")=$N$5,"✅ CUBIERTO",
IF(COUNTIF(D190:F190,"?*")&gt;$N$5,"⚠ EXCESO",IF(COUNTIF(D190:F190,"?*")&gt;0,"⚠ FALTANTE",
"❌ SIN COMPLETAR")))</f>
        <v>❌ SIN COMPLETAR</v>
      </c>
      <c r="H190" s="17"/>
      <c r="I190" s="29">
        <v>45983</v>
      </c>
      <c r="J190" s="30" t="str">
        <f>TEXT(I190,"ddd")</f>
        <v>sáb</v>
      </c>
      <c r="K190" s="28">
        <v>0.45833333333333331</v>
      </c>
      <c r="L190" s="41"/>
      <c r="M190" s="41"/>
      <c r="N190" s="41"/>
      <c r="O190" s="32" t="str">
        <f>IF(COUNTIF(L190:N190,"?*")=$N$6,"✅ CUBIERTO",IF(COUNTIF(L190:N190,"?*")&gt;$N$6,"⚠ EXCESO",
IF(COUNTIF(L190:N190,"?*")&gt;0,"⚠ FALTANTE", "❌ SIN COMPLETAR")))</f>
        <v>❌ SIN COMPLETAR</v>
      </c>
      <c r="P190" s="17"/>
      <c r="Q190" s="29">
        <v>45983</v>
      </c>
      <c r="R190" s="30" t="str">
        <f>TEXT(Q190,"ddd")</f>
        <v>sáb</v>
      </c>
      <c r="S190" s="28">
        <v>0.45833333333333331</v>
      </c>
      <c r="T190" s="31"/>
      <c r="U190" s="31"/>
      <c r="V190" s="31"/>
      <c r="W190" s="40" t="str">
        <f>IF(COUNTIF(T190:V190,"?*")=$N$7,"✅ CUBIERTO",IF(COUNTIF(T190:V190,"?*")&gt;$N$7,"⚠ EXCESO",
IF(COUNTIF(T190:V190,"?*")&gt;0,"⚠ FALTANTE", "❌ SIN COMPLETAR")))</f>
        <v>❌ SIN COMPLETAR</v>
      </c>
      <c r="Y190" s="29">
        <v>45983</v>
      </c>
      <c r="Z190" s="30" t="str">
        <f>TEXT(Y190,"ddd")</f>
        <v>sáb</v>
      </c>
      <c r="AA190" s="28">
        <v>0.45833333333333331</v>
      </c>
      <c r="AB190" s="41"/>
      <c r="AC190" s="41"/>
      <c r="AD190" s="41"/>
      <c r="AE190" s="32" t="str">
        <f t="shared" si="75"/>
        <v>❌ SIN COMPLETAR</v>
      </c>
    </row>
    <row r="191" spans="1:31" x14ac:dyDescent="0.3">
      <c r="A191" s="29">
        <v>45983</v>
      </c>
      <c r="B191" s="30" t="str">
        <f t="shared" ref="B191:B198" si="92">TEXT(A191,"ddd")</f>
        <v>sáb</v>
      </c>
      <c r="C191" s="28">
        <v>0.5</v>
      </c>
      <c r="D191" s="31"/>
      <c r="E191" s="31"/>
      <c r="F191" s="31"/>
      <c r="G191" s="40" t="str">
        <f>IF(COUNTIF(D191:F191,"?*")=$N$5,"✅ CUBIERTO",
IF(COUNTIF(D191:F191,"?*")&gt;$N$5,"⚠ EXCESO",IF(COUNTIF(D191:F191,"?*")&gt;0,"⚠ FALTANTE",
"❌ SIN COMPLETAR")))</f>
        <v>❌ SIN COMPLETAR</v>
      </c>
      <c r="H191" s="17"/>
      <c r="I191" s="29">
        <v>45983</v>
      </c>
      <c r="J191" s="30" t="str">
        <f t="shared" ref="J191:J198" si="93">TEXT(I191,"ddd")</f>
        <v>sáb</v>
      </c>
      <c r="K191" s="28">
        <v>0.5</v>
      </c>
      <c r="L191" s="41"/>
      <c r="M191" s="41"/>
      <c r="N191" s="41"/>
      <c r="O191" s="32" t="str">
        <f>IF(COUNTIF(L191:N191,"?*")=$N$6,"✅ CUBIERTO",IF(COUNTIF(L191:N191,"?*")&gt;$N$6,"⚠ EXCESO",
IF(COUNTIF(L191:N191,"?*")&gt;0,"⚠ FALTANTE", "❌ SIN COMPLETAR")))</f>
        <v>❌ SIN COMPLETAR</v>
      </c>
      <c r="P191" s="17"/>
      <c r="Q191" s="29">
        <v>45983</v>
      </c>
      <c r="R191" s="30" t="str">
        <f t="shared" ref="R191:R198" si="94">TEXT(Q191,"ddd")</f>
        <v>sáb</v>
      </c>
      <c r="S191" s="28">
        <v>0.5</v>
      </c>
      <c r="T191" s="31"/>
      <c r="U191" s="31"/>
      <c r="V191" s="31"/>
      <c r="W191" s="40" t="str">
        <f>IF(COUNTIF(T191:V191,"?*")=$N$7,"✅ CUBIERTO",IF(COUNTIF(T191:V191,"?*")&gt;$N$7,"⚠ EXCESO",
IF(COUNTIF(T191:V191,"?*")&gt;0,"⚠ FALTANTE", "❌ SIN COMPLETAR")))</f>
        <v>❌ SIN COMPLETAR</v>
      </c>
      <c r="Y191" s="29">
        <v>45983</v>
      </c>
      <c r="Z191" s="30" t="str">
        <f t="shared" ref="Z191:Z198" si="95">TEXT(Y191,"ddd")</f>
        <v>sáb</v>
      </c>
      <c r="AA191" s="28">
        <v>0.5</v>
      </c>
      <c r="AB191" s="41"/>
      <c r="AC191" s="41"/>
      <c r="AD191" s="41"/>
      <c r="AE191" s="32" t="str">
        <f t="shared" si="75"/>
        <v>❌ SIN COMPLETAR</v>
      </c>
    </row>
    <row r="192" spans="1:31" x14ac:dyDescent="0.3">
      <c r="A192" s="29">
        <v>45983</v>
      </c>
      <c r="B192" s="30" t="str">
        <f t="shared" si="92"/>
        <v>sáb</v>
      </c>
      <c r="C192" s="28">
        <v>0.54166666666666696</v>
      </c>
      <c r="D192" s="31"/>
      <c r="E192" s="31"/>
      <c r="F192" s="31"/>
      <c r="G192" s="40" t="str">
        <f>IF(COUNTIF(D192:F192,"?*")=$N$5,"✅ CUBIERTO",
IF(COUNTIF(D192:F192,"?*")&gt;$N$5,"⚠ EXCESO",IF(COUNTIF(D192:F192,"?*")&gt;0,"⚠ FALTANTE",
"❌ SIN COMPLETAR")))</f>
        <v>❌ SIN COMPLETAR</v>
      </c>
      <c r="H192" s="17"/>
      <c r="I192" s="29">
        <v>45983</v>
      </c>
      <c r="J192" s="30" t="str">
        <f t="shared" si="93"/>
        <v>sáb</v>
      </c>
      <c r="K192" s="28">
        <v>0.54166666666666696</v>
      </c>
      <c r="L192" s="41"/>
      <c r="M192" s="41"/>
      <c r="N192" s="41"/>
      <c r="O192" s="32" t="str">
        <f>IF(COUNTIF(L192:N192,"?*")=$N$6,"✅ CUBIERTO",IF(COUNTIF(L192:N192,"?*")&gt;$N$6,"⚠ EXCESO",
IF(COUNTIF(L192:N192,"?*")&gt;0,"⚠ FALTANTE", "❌ SIN COMPLETAR")))</f>
        <v>❌ SIN COMPLETAR</v>
      </c>
      <c r="P192" s="17"/>
      <c r="Q192" s="29">
        <v>45983</v>
      </c>
      <c r="R192" s="30" t="str">
        <f t="shared" si="94"/>
        <v>sáb</v>
      </c>
      <c r="S192" s="28">
        <v>0.54166666666666696</v>
      </c>
      <c r="T192" s="31"/>
      <c r="U192" s="31"/>
      <c r="V192" s="31"/>
      <c r="W192" s="40" t="str">
        <f>IF(COUNTIF(T192:V192,"?*")=$N$7,"✅ CUBIERTO",IF(COUNTIF(T192:V192,"?*")&gt;$N$7,"⚠ EXCESO",
IF(COUNTIF(T192:V192,"?*")&gt;0,"⚠ FALTANTE", "❌ SIN COMPLETAR")))</f>
        <v>❌ SIN COMPLETAR</v>
      </c>
      <c r="Y192" s="29">
        <v>45983</v>
      </c>
      <c r="Z192" s="30" t="str">
        <f t="shared" si="95"/>
        <v>sáb</v>
      </c>
      <c r="AA192" s="28">
        <v>0.54166666666666696</v>
      </c>
      <c r="AB192" s="41"/>
      <c r="AC192" s="41"/>
      <c r="AD192" s="41"/>
      <c r="AE192" s="32" t="str">
        <f t="shared" si="75"/>
        <v>❌ SIN COMPLETAR</v>
      </c>
    </row>
    <row r="193" spans="1:31" x14ac:dyDescent="0.3">
      <c r="A193" s="29">
        <v>45983</v>
      </c>
      <c r="B193" s="30" t="str">
        <f t="shared" si="92"/>
        <v>sáb</v>
      </c>
      <c r="C193" s="28">
        <v>0.58333333333333304</v>
      </c>
      <c r="D193" s="31"/>
      <c r="E193" s="31"/>
      <c r="F193" s="31"/>
      <c r="G193" s="40" t="str">
        <f>IF(COUNTIF(D193:F193,"?*")=$N$5,"✅ CUBIERTO",
IF(COUNTIF(D193:F193,"?*")&gt;$N$5,"⚠ EXCESO",IF(COUNTIF(D193:F193,"?*")&gt;0,"⚠ FALTANTE",
"❌ SIN COMPLETAR")))</f>
        <v>❌ SIN COMPLETAR</v>
      </c>
      <c r="H193" s="17"/>
      <c r="I193" s="29">
        <v>45983</v>
      </c>
      <c r="J193" s="30" t="str">
        <f t="shared" si="93"/>
        <v>sáb</v>
      </c>
      <c r="K193" s="28">
        <v>0.58333333333333304</v>
      </c>
      <c r="L193" s="41"/>
      <c r="M193" s="41"/>
      <c r="N193" s="41"/>
      <c r="O193" s="32" t="str">
        <f>IF(COUNTIF(L193:N193,"?*")=$N$6,"✅ CUBIERTO",IF(COUNTIF(L193:N193,"?*")&gt;$N$6,"⚠ EXCESO",
IF(COUNTIF(L193:N193,"?*")&gt;0,"⚠ FALTANTE", "❌ SIN COMPLETAR")))</f>
        <v>❌ SIN COMPLETAR</v>
      </c>
      <c r="P193" s="17"/>
      <c r="Q193" s="29">
        <v>45983</v>
      </c>
      <c r="R193" s="30" t="str">
        <f t="shared" si="94"/>
        <v>sáb</v>
      </c>
      <c r="S193" s="28">
        <v>0.58333333333333304</v>
      </c>
      <c r="T193" s="31"/>
      <c r="U193" s="31"/>
      <c r="V193" s="31"/>
      <c r="W193" s="40" t="str">
        <f>IF(COUNTIF(T193:V193,"?*")=$N$7,"✅ CUBIERTO",IF(COUNTIF(T193:V193,"?*")&gt;$N$7,"⚠ EXCESO",
IF(COUNTIF(T193:V193,"?*")&gt;0,"⚠ FALTANTE", "❌ SIN COMPLETAR")))</f>
        <v>❌ SIN COMPLETAR</v>
      </c>
      <c r="Y193" s="29">
        <v>45983</v>
      </c>
      <c r="Z193" s="30" t="str">
        <f t="shared" si="95"/>
        <v>sáb</v>
      </c>
      <c r="AA193" s="28">
        <v>0.58333333333333304</v>
      </c>
      <c r="AB193" s="41"/>
      <c r="AC193" s="41"/>
      <c r="AD193" s="41"/>
      <c r="AE193" s="32" t="str">
        <f t="shared" si="75"/>
        <v>❌ SIN COMPLETAR</v>
      </c>
    </row>
    <row r="194" spans="1:31" x14ac:dyDescent="0.3">
      <c r="A194" s="29">
        <v>45983</v>
      </c>
      <c r="B194" s="30" t="str">
        <f t="shared" si="92"/>
        <v>sáb</v>
      </c>
      <c r="C194" s="28">
        <v>0.625</v>
      </c>
      <c r="D194" s="31"/>
      <c r="E194" s="31"/>
      <c r="F194" s="31"/>
      <c r="G194" s="40" t="str">
        <f>IF(COUNTIF(D194:F194,"?*")=$N$5,"✅ CUBIERTO",
IF(COUNTIF(D194:F194,"?*")&gt;$N$5,"⚠ EXCESO",IF(COUNTIF(D194:F194,"?*")&gt;0,"⚠ FALTANTE",
"❌ SIN COMPLETAR")))</f>
        <v>❌ SIN COMPLETAR</v>
      </c>
      <c r="H194" s="17"/>
      <c r="I194" s="29">
        <v>45983</v>
      </c>
      <c r="J194" s="30" t="str">
        <f t="shared" si="93"/>
        <v>sáb</v>
      </c>
      <c r="K194" s="28">
        <v>0.625</v>
      </c>
      <c r="L194" s="41"/>
      <c r="M194" s="41"/>
      <c r="N194" s="41"/>
      <c r="O194" s="32" t="str">
        <f>IF(COUNTIF(L194:N194,"?*")=$N$6,"✅ CUBIERTO",IF(COUNTIF(L194:N194,"?*")&gt;$N$6,"⚠ EXCESO",
IF(COUNTIF(L194:N194,"?*")&gt;0,"⚠ FALTANTE", "❌ SIN COMPLETAR")))</f>
        <v>❌ SIN COMPLETAR</v>
      </c>
      <c r="P194" s="17"/>
      <c r="Q194" s="29">
        <v>45983</v>
      </c>
      <c r="R194" s="30" t="str">
        <f t="shared" si="94"/>
        <v>sáb</v>
      </c>
      <c r="S194" s="28">
        <v>0.625</v>
      </c>
      <c r="T194" s="31"/>
      <c r="U194" s="31"/>
      <c r="V194" s="31"/>
      <c r="W194" s="40" t="str">
        <f>IF(COUNTIF(T194:V194,"?*")=$N$7,"✅ CUBIERTO",IF(COUNTIF(T194:V194,"?*")&gt;$N$7,"⚠ EXCESO",
IF(COUNTIF(T194:V194,"?*")&gt;0,"⚠ FALTANTE", "❌ SIN COMPLETAR")))</f>
        <v>❌ SIN COMPLETAR</v>
      </c>
      <c r="Y194" s="29">
        <v>45983</v>
      </c>
      <c r="Z194" s="30" t="str">
        <f t="shared" si="95"/>
        <v>sáb</v>
      </c>
      <c r="AA194" s="28">
        <v>0.625</v>
      </c>
      <c r="AB194" s="41"/>
      <c r="AC194" s="41"/>
      <c r="AD194" s="41"/>
      <c r="AE194" s="32" t="str">
        <f t="shared" si="75"/>
        <v>❌ SIN COMPLETAR</v>
      </c>
    </row>
    <row r="195" spans="1:31" x14ac:dyDescent="0.3">
      <c r="A195" s="29">
        <v>45983</v>
      </c>
      <c r="B195" s="30" t="str">
        <f t="shared" si="92"/>
        <v>sáb</v>
      </c>
      <c r="C195" s="28">
        <v>0.66666666666666696</v>
      </c>
      <c r="D195" s="31"/>
      <c r="E195" s="31"/>
      <c r="F195" s="31"/>
      <c r="G195" s="40" t="str">
        <f>IF(COUNTIF(D195:F195,"?*")=$N$5,"✅ CUBIERTO",
IF(COUNTIF(D195:F195,"?*")&gt;$N$5,"⚠ EXCESO",IF(COUNTIF(D195:F195,"?*")&gt;0,"⚠ FALTANTE",
"❌ SIN COMPLETAR")))</f>
        <v>❌ SIN COMPLETAR</v>
      </c>
      <c r="H195" s="17"/>
      <c r="I195" s="29">
        <v>45983</v>
      </c>
      <c r="J195" s="30" t="str">
        <f t="shared" si="93"/>
        <v>sáb</v>
      </c>
      <c r="K195" s="28">
        <v>0.66666666666666696</v>
      </c>
      <c r="L195" s="41"/>
      <c r="M195" s="41"/>
      <c r="N195" s="41"/>
      <c r="O195" s="32" t="str">
        <f>IF(COUNTIF(L195:N195,"?*")=$N$6,"✅ CUBIERTO",IF(COUNTIF(L195:N195,"?*")&gt;$N$6,"⚠ EXCESO",
IF(COUNTIF(L195:N195,"?*")&gt;0,"⚠ FALTANTE", "❌ SIN COMPLETAR")))</f>
        <v>❌ SIN COMPLETAR</v>
      </c>
      <c r="P195" s="17"/>
      <c r="Q195" s="29">
        <v>45983</v>
      </c>
      <c r="R195" s="30" t="str">
        <f t="shared" si="94"/>
        <v>sáb</v>
      </c>
      <c r="S195" s="28">
        <v>0.66666666666666696</v>
      </c>
      <c r="T195" s="31"/>
      <c r="U195" s="31"/>
      <c r="V195" s="31"/>
      <c r="W195" s="40" t="str">
        <f>IF(COUNTIF(T195:V195,"?*")=$N$7,"✅ CUBIERTO",IF(COUNTIF(T195:V195,"?*")&gt;$N$7,"⚠ EXCESO",
IF(COUNTIF(T195:V195,"?*")&gt;0,"⚠ FALTANTE", "❌ SIN COMPLETAR")))</f>
        <v>❌ SIN COMPLETAR</v>
      </c>
      <c r="Y195" s="29">
        <v>45983</v>
      </c>
      <c r="Z195" s="30" t="str">
        <f t="shared" si="95"/>
        <v>sáb</v>
      </c>
      <c r="AA195" s="28">
        <v>0.66666666666666696</v>
      </c>
      <c r="AB195" s="41"/>
      <c r="AC195" s="41"/>
      <c r="AD195" s="41"/>
      <c r="AE195" s="32" t="str">
        <f t="shared" si="75"/>
        <v>❌ SIN COMPLETAR</v>
      </c>
    </row>
    <row r="196" spans="1:31" x14ac:dyDescent="0.3">
      <c r="A196" s="29">
        <v>45983</v>
      </c>
      <c r="B196" s="30" t="str">
        <f t="shared" si="92"/>
        <v>sáb</v>
      </c>
      <c r="C196" s="28">
        <v>0.70833333333333304</v>
      </c>
      <c r="D196" s="31"/>
      <c r="E196" s="31"/>
      <c r="F196" s="31"/>
      <c r="G196" s="40" t="str">
        <f>IF(COUNTIF(D196:F196,"?*")=$N$5,"✅ CUBIERTO",
IF(COUNTIF(D196:F196,"?*")&gt;$N$5,"⚠ EXCESO",IF(COUNTIF(D196:F196,"?*")&gt;0,"⚠ FALTANTE",
"❌ SIN COMPLETAR")))</f>
        <v>❌ SIN COMPLETAR</v>
      </c>
      <c r="H196" s="17"/>
      <c r="I196" s="29">
        <v>45983</v>
      </c>
      <c r="J196" s="30" t="str">
        <f t="shared" si="93"/>
        <v>sáb</v>
      </c>
      <c r="K196" s="28">
        <v>0.70833333333333304</v>
      </c>
      <c r="L196" s="41"/>
      <c r="M196" s="41"/>
      <c r="N196" s="41"/>
      <c r="O196" s="32" t="str">
        <f>IF(COUNTIF(L196:N196,"?*")=$N$6,"✅ CUBIERTO",IF(COUNTIF(L196:N196,"?*")&gt;$N$6,"⚠ EXCESO",
IF(COUNTIF(L196:N196,"?*")&gt;0,"⚠ FALTANTE", "❌ SIN COMPLETAR")))</f>
        <v>❌ SIN COMPLETAR</v>
      </c>
      <c r="P196" s="17"/>
      <c r="Q196" s="29">
        <v>45983</v>
      </c>
      <c r="R196" s="30" t="str">
        <f t="shared" si="94"/>
        <v>sáb</v>
      </c>
      <c r="S196" s="28">
        <v>0.70833333333333304</v>
      </c>
      <c r="T196" s="31"/>
      <c r="U196" s="31"/>
      <c r="V196" s="31"/>
      <c r="W196" s="40" t="str">
        <f>IF(COUNTIF(T196:V196,"?*")=$N$7,"✅ CUBIERTO",IF(COUNTIF(T196:V196,"?*")&gt;$N$7,"⚠ EXCESO",
IF(COUNTIF(T196:V196,"?*")&gt;0,"⚠ FALTANTE", "❌ SIN COMPLETAR")))</f>
        <v>❌ SIN COMPLETAR</v>
      </c>
      <c r="Y196" s="29">
        <v>45983</v>
      </c>
      <c r="Z196" s="30" t="str">
        <f t="shared" si="95"/>
        <v>sáb</v>
      </c>
      <c r="AA196" s="28">
        <v>0.70833333333333304</v>
      </c>
      <c r="AB196" s="41"/>
      <c r="AC196" s="41"/>
      <c r="AD196" s="41"/>
      <c r="AE196" s="32" t="str">
        <f t="shared" si="75"/>
        <v>❌ SIN COMPLETAR</v>
      </c>
    </row>
    <row r="197" spans="1:31" x14ac:dyDescent="0.3">
      <c r="A197" s="29">
        <v>45983</v>
      </c>
      <c r="B197" s="30" t="str">
        <f t="shared" si="92"/>
        <v>sáb</v>
      </c>
      <c r="C197" s="28">
        <v>0.75</v>
      </c>
      <c r="D197" s="31"/>
      <c r="E197" s="31"/>
      <c r="F197" s="31"/>
      <c r="G197" s="40" t="str">
        <f>IF(COUNTIF(D197:F197,"?*")=$N$5,"✅ CUBIERTO",
IF(COUNTIF(D197:F197,"?*")&gt;$N$5,"⚠ EXCESO",IF(COUNTIF(D197:F197,"?*")&gt;0,"⚠ FALTANTE",
"❌ SIN COMPLETAR")))</f>
        <v>❌ SIN COMPLETAR</v>
      </c>
      <c r="H197" s="17"/>
      <c r="I197" s="29">
        <v>45983</v>
      </c>
      <c r="J197" s="30" t="str">
        <f t="shared" si="93"/>
        <v>sáb</v>
      </c>
      <c r="K197" s="28">
        <v>0.75</v>
      </c>
      <c r="L197" s="41"/>
      <c r="M197" s="41"/>
      <c r="N197" s="41"/>
      <c r="O197" s="32" t="str">
        <f>IF(COUNTIF(L197:N197,"?*")=$N$6,"✅ CUBIERTO",IF(COUNTIF(L197:N197,"?*")&gt;$N$6,"⚠ EXCESO",
IF(COUNTIF(L197:N197,"?*")&gt;0,"⚠ FALTANTE", "❌ SIN COMPLETAR")))</f>
        <v>❌ SIN COMPLETAR</v>
      </c>
      <c r="P197" s="17"/>
      <c r="Q197" s="29">
        <v>45983</v>
      </c>
      <c r="R197" s="30" t="str">
        <f t="shared" si="94"/>
        <v>sáb</v>
      </c>
      <c r="S197" s="28">
        <v>0.75</v>
      </c>
      <c r="T197" s="31"/>
      <c r="U197" s="31"/>
      <c r="V197" s="31"/>
      <c r="W197" s="40" t="str">
        <f>IF(COUNTIF(T197:V197,"?*")=$N$7,"✅ CUBIERTO",IF(COUNTIF(T197:V197,"?*")&gt;$N$7,"⚠ EXCESO",
IF(COUNTIF(T197:V197,"?*")&gt;0,"⚠ FALTANTE", "❌ SIN COMPLETAR")))</f>
        <v>❌ SIN COMPLETAR</v>
      </c>
      <c r="Y197" s="29">
        <v>45983</v>
      </c>
      <c r="Z197" s="30" t="str">
        <f t="shared" si="95"/>
        <v>sáb</v>
      </c>
      <c r="AA197" s="28">
        <v>0.75</v>
      </c>
      <c r="AB197" s="41"/>
      <c r="AC197" s="41"/>
      <c r="AD197" s="41"/>
      <c r="AE197" s="32" t="str">
        <f t="shared" si="75"/>
        <v>❌ SIN COMPLETAR</v>
      </c>
    </row>
    <row r="198" spans="1:31" x14ac:dyDescent="0.3">
      <c r="A198" s="29">
        <v>45984</v>
      </c>
      <c r="B198" s="30" t="str">
        <f t="shared" si="92"/>
        <v>dom</v>
      </c>
      <c r="C198" s="28">
        <v>0.45833333333333331</v>
      </c>
      <c r="D198" s="31"/>
      <c r="E198" s="31"/>
      <c r="F198" s="31"/>
      <c r="G198" s="40" t="str">
        <f>IF(COUNTIF(D198:F198,"?*")=$N$5,"✅ CUBIERTO",
IF(COUNTIF(D198:F198,"?*")&gt;$N$5,"⚠ EXCESO",IF(COUNTIF(D198:F198,"?*")&gt;0,"⚠ FALTANTE",
"❌ SIN COMPLETAR")))</f>
        <v>❌ SIN COMPLETAR</v>
      </c>
      <c r="H198" s="17"/>
      <c r="I198" s="29">
        <v>45984</v>
      </c>
      <c r="J198" s="30" t="str">
        <f t="shared" si="93"/>
        <v>dom</v>
      </c>
      <c r="K198" s="28">
        <v>0.45833333333333331</v>
      </c>
      <c r="L198" s="41"/>
      <c r="M198" s="41"/>
      <c r="N198" s="41"/>
      <c r="O198" s="32" t="str">
        <f>IF(COUNTIF(L198:N198,"?*")=$N$6,"✅ CUBIERTO",IF(COUNTIF(L198:N198,"?*")&gt;$N$6,"⚠ EXCESO",
IF(COUNTIF(L198:N198,"?*")&gt;0,"⚠ FALTANTE", "❌ SIN COMPLETAR")))</f>
        <v>❌ SIN COMPLETAR</v>
      </c>
      <c r="P198" s="17"/>
      <c r="Q198" s="29">
        <v>45984</v>
      </c>
      <c r="R198" s="30" t="str">
        <f t="shared" si="94"/>
        <v>dom</v>
      </c>
      <c r="S198" s="28">
        <v>0.45833333333333331</v>
      </c>
      <c r="T198" s="31"/>
      <c r="U198" s="31"/>
      <c r="V198" s="31"/>
      <c r="W198" s="40" t="str">
        <f>IF(COUNTIF(T198:V198,"?*")=$N$7,"✅ CUBIERTO",IF(COUNTIF(T198:V198,"?*")&gt;$N$7,"⚠ EXCESO",
IF(COUNTIF(T198:V198,"?*")&gt;0,"⚠ FALTANTE", "❌ SIN COMPLETAR")))</f>
        <v>❌ SIN COMPLETAR</v>
      </c>
      <c r="Y198" s="29">
        <v>45984</v>
      </c>
      <c r="Z198" s="30" t="str">
        <f t="shared" si="95"/>
        <v>dom</v>
      </c>
      <c r="AA198" s="28">
        <v>0.45833333333333331</v>
      </c>
      <c r="AB198" s="41"/>
      <c r="AC198" s="41"/>
      <c r="AD198" s="41"/>
      <c r="AE198" s="32" t="str">
        <f t="shared" si="75"/>
        <v>❌ SIN COMPLETAR</v>
      </c>
    </row>
    <row r="199" spans="1:31" x14ac:dyDescent="0.3">
      <c r="A199" s="29">
        <v>45984</v>
      </c>
      <c r="B199" s="30" t="str">
        <f>TEXT(A199,"ddd")</f>
        <v>dom</v>
      </c>
      <c r="C199" s="28">
        <v>0.5</v>
      </c>
      <c r="D199" s="31"/>
      <c r="E199" s="31"/>
      <c r="F199" s="31"/>
      <c r="G199" s="40" t="str">
        <f>IF(COUNTIF(D199:F199,"?*")=$N$5,"✅ CUBIERTO",
IF(COUNTIF(D199:F199,"?*")&gt;$N$5,"⚠ EXCESO",IF(COUNTIF(D199:F199,"?*")&gt;0,"⚠ FALTANTE",
"❌ SIN COMPLETAR")))</f>
        <v>❌ SIN COMPLETAR</v>
      </c>
      <c r="H199" s="17"/>
      <c r="I199" s="29">
        <v>45984</v>
      </c>
      <c r="J199" s="30" t="str">
        <f>TEXT(I199,"ddd")</f>
        <v>dom</v>
      </c>
      <c r="K199" s="28">
        <v>0.5</v>
      </c>
      <c r="L199" s="41"/>
      <c r="M199" s="41"/>
      <c r="N199" s="41"/>
      <c r="O199" s="32" t="str">
        <f>IF(COUNTIF(L199:N199,"?*")=$N$6,"✅ CUBIERTO",IF(COUNTIF(L199:N199,"?*")&gt;$N$6,"⚠ EXCESO",
IF(COUNTIF(L199:N199,"?*")&gt;0,"⚠ FALTANTE", "❌ SIN COMPLETAR")))</f>
        <v>❌ SIN COMPLETAR</v>
      </c>
      <c r="P199" s="17"/>
      <c r="Q199" s="29">
        <v>45984</v>
      </c>
      <c r="R199" s="30" t="str">
        <f>TEXT(Q199,"ddd")</f>
        <v>dom</v>
      </c>
      <c r="S199" s="28">
        <v>0.5</v>
      </c>
      <c r="T199" s="31"/>
      <c r="U199" s="31"/>
      <c r="V199" s="31"/>
      <c r="W199" s="40" t="str">
        <f>IF(COUNTIF(T199:V199,"?*")=$N$7,"✅ CUBIERTO",IF(COUNTIF(T199:V199,"?*")&gt;$N$7,"⚠ EXCESO",
IF(COUNTIF(T199:V199,"?*")&gt;0,"⚠ FALTANTE", "❌ SIN COMPLETAR")))</f>
        <v>❌ SIN COMPLETAR</v>
      </c>
      <c r="Y199" s="29">
        <v>45984</v>
      </c>
      <c r="Z199" s="30" t="str">
        <f>TEXT(Y199,"ddd")</f>
        <v>dom</v>
      </c>
      <c r="AA199" s="28">
        <v>0.5</v>
      </c>
      <c r="AB199" s="41"/>
      <c r="AC199" s="41"/>
      <c r="AD199" s="41"/>
      <c r="AE199" s="32" t="str">
        <f t="shared" si="75"/>
        <v>❌ SIN COMPLETAR</v>
      </c>
    </row>
    <row r="200" spans="1:31" x14ac:dyDescent="0.3">
      <c r="A200" s="29">
        <v>45984</v>
      </c>
      <c r="B200" s="30" t="str">
        <f t="shared" ref="B200:B205" si="96">TEXT(A200,"ddd")</f>
        <v>dom</v>
      </c>
      <c r="C200" s="28">
        <v>0.54166666666666696</v>
      </c>
      <c r="D200" s="31"/>
      <c r="E200" s="31"/>
      <c r="F200" s="31"/>
      <c r="G200" s="40" t="str">
        <f>IF(COUNTIF(D200:F200,"?*")=$N$5,"✅ CUBIERTO",
IF(COUNTIF(D200:F200,"?*")&gt;$N$5,"⚠ EXCESO",IF(COUNTIF(D200:F200,"?*")&gt;0,"⚠ FALTANTE",
"❌ SIN COMPLETAR")))</f>
        <v>❌ SIN COMPLETAR</v>
      </c>
      <c r="H200" s="17"/>
      <c r="I200" s="29">
        <v>45984</v>
      </c>
      <c r="J200" s="30" t="str">
        <f t="shared" ref="J200:J205" si="97">TEXT(I200,"ddd")</f>
        <v>dom</v>
      </c>
      <c r="K200" s="28">
        <v>0.54166666666666696</v>
      </c>
      <c r="L200" s="41"/>
      <c r="M200" s="41"/>
      <c r="N200" s="41"/>
      <c r="O200" s="32" t="str">
        <f>IF(COUNTIF(L200:N200,"?*")=$N$6,"✅ CUBIERTO",IF(COUNTIF(L200:N200,"?*")&gt;$N$6,"⚠ EXCESO",
IF(COUNTIF(L200:N200,"?*")&gt;0,"⚠ FALTANTE", "❌ SIN COMPLETAR")))</f>
        <v>❌ SIN COMPLETAR</v>
      </c>
      <c r="P200" s="17"/>
      <c r="Q200" s="29">
        <v>45984</v>
      </c>
      <c r="R200" s="30" t="str">
        <f t="shared" ref="R200:R205" si="98">TEXT(Q200,"ddd")</f>
        <v>dom</v>
      </c>
      <c r="S200" s="28">
        <v>0.54166666666666696</v>
      </c>
      <c r="T200" s="31"/>
      <c r="U200" s="31"/>
      <c r="V200" s="31"/>
      <c r="W200" s="40" t="str">
        <f>IF(COUNTIF(T200:V200,"?*")=$N$7,"✅ CUBIERTO",IF(COUNTIF(T200:V200,"?*")&gt;$N$7,"⚠ EXCESO",
IF(COUNTIF(T200:V200,"?*")&gt;0,"⚠ FALTANTE", "❌ SIN COMPLETAR")))</f>
        <v>❌ SIN COMPLETAR</v>
      </c>
      <c r="Y200" s="29">
        <v>45984</v>
      </c>
      <c r="Z200" s="30" t="str">
        <f t="shared" ref="Z200:Z205" si="99">TEXT(Y200,"ddd")</f>
        <v>dom</v>
      </c>
      <c r="AA200" s="28">
        <v>0.54166666666666696</v>
      </c>
      <c r="AB200" s="41"/>
      <c r="AC200" s="41"/>
      <c r="AD200" s="41"/>
      <c r="AE200" s="32" t="str">
        <f t="shared" si="75"/>
        <v>❌ SIN COMPLETAR</v>
      </c>
    </row>
    <row r="201" spans="1:31" x14ac:dyDescent="0.3">
      <c r="A201" s="29">
        <v>45984</v>
      </c>
      <c r="B201" s="30" t="str">
        <f t="shared" si="96"/>
        <v>dom</v>
      </c>
      <c r="C201" s="28">
        <v>0.58333333333333304</v>
      </c>
      <c r="D201" s="31"/>
      <c r="E201" s="31"/>
      <c r="F201" s="31"/>
      <c r="G201" s="40" t="str">
        <f>IF(COUNTIF(D201:F201,"?*")=$N$5,"✅ CUBIERTO",
IF(COUNTIF(D201:F201,"?*")&gt;$N$5,"⚠ EXCESO",IF(COUNTIF(D201:F201,"?*")&gt;0,"⚠ FALTANTE",
"❌ SIN COMPLETAR")))</f>
        <v>❌ SIN COMPLETAR</v>
      </c>
      <c r="H201" s="17"/>
      <c r="I201" s="29">
        <v>45984</v>
      </c>
      <c r="J201" s="30" t="str">
        <f t="shared" si="97"/>
        <v>dom</v>
      </c>
      <c r="K201" s="28">
        <v>0.58333333333333304</v>
      </c>
      <c r="L201" s="41"/>
      <c r="M201" s="41"/>
      <c r="N201" s="41"/>
      <c r="O201" s="32" t="str">
        <f>IF(COUNTIF(L201:N201,"?*")=$N$6,"✅ CUBIERTO",IF(COUNTIF(L201:N201,"?*")&gt;$N$6,"⚠ EXCESO",
IF(COUNTIF(L201:N201,"?*")&gt;0,"⚠ FALTANTE", "❌ SIN COMPLETAR")))</f>
        <v>❌ SIN COMPLETAR</v>
      </c>
      <c r="P201" s="17"/>
      <c r="Q201" s="29">
        <v>45984</v>
      </c>
      <c r="R201" s="30" t="str">
        <f t="shared" si="98"/>
        <v>dom</v>
      </c>
      <c r="S201" s="28">
        <v>0.58333333333333304</v>
      </c>
      <c r="T201" s="31"/>
      <c r="U201" s="31"/>
      <c r="V201" s="31"/>
      <c r="W201" s="40" t="str">
        <f>IF(COUNTIF(T201:V201,"?*")=$N$7,"✅ CUBIERTO",IF(COUNTIF(T201:V201,"?*")&gt;$N$7,"⚠ EXCESO",
IF(COUNTIF(T201:V201,"?*")&gt;0,"⚠ FALTANTE", "❌ SIN COMPLETAR")))</f>
        <v>❌ SIN COMPLETAR</v>
      </c>
      <c r="Y201" s="29">
        <v>45984</v>
      </c>
      <c r="Z201" s="30" t="str">
        <f t="shared" si="99"/>
        <v>dom</v>
      </c>
      <c r="AA201" s="28">
        <v>0.58333333333333304</v>
      </c>
      <c r="AB201" s="41"/>
      <c r="AC201" s="41"/>
      <c r="AD201" s="41"/>
      <c r="AE201" s="32" t="str">
        <f t="shared" si="75"/>
        <v>❌ SIN COMPLETAR</v>
      </c>
    </row>
    <row r="202" spans="1:31" x14ac:dyDescent="0.3">
      <c r="A202" s="29">
        <v>45984</v>
      </c>
      <c r="B202" s="30" t="str">
        <f t="shared" si="96"/>
        <v>dom</v>
      </c>
      <c r="C202" s="28">
        <v>0.625</v>
      </c>
      <c r="D202" s="31"/>
      <c r="E202" s="31"/>
      <c r="F202" s="31"/>
      <c r="G202" s="40" t="str">
        <f>IF(COUNTIF(D202:F202,"?*")=$N$5,"✅ CUBIERTO",
IF(COUNTIF(D202:F202,"?*")&gt;$N$5,"⚠ EXCESO",IF(COUNTIF(D202:F202,"?*")&gt;0,"⚠ FALTANTE",
"❌ SIN COMPLETAR")))</f>
        <v>❌ SIN COMPLETAR</v>
      </c>
      <c r="H202" s="17"/>
      <c r="I202" s="29">
        <v>45984</v>
      </c>
      <c r="J202" s="30" t="str">
        <f t="shared" si="97"/>
        <v>dom</v>
      </c>
      <c r="K202" s="28">
        <v>0.625</v>
      </c>
      <c r="L202" s="41"/>
      <c r="M202" s="41"/>
      <c r="N202" s="41"/>
      <c r="O202" s="32" t="str">
        <f>IF(COUNTIF(L202:N202,"?*")=$N$6,"✅ CUBIERTO",IF(COUNTIF(L202:N202,"?*")&gt;$N$6,"⚠ EXCESO",
IF(COUNTIF(L202:N202,"?*")&gt;0,"⚠ FALTANTE", "❌ SIN COMPLETAR")))</f>
        <v>❌ SIN COMPLETAR</v>
      </c>
      <c r="P202" s="17"/>
      <c r="Q202" s="29">
        <v>45984</v>
      </c>
      <c r="R202" s="30" t="str">
        <f t="shared" si="98"/>
        <v>dom</v>
      </c>
      <c r="S202" s="28">
        <v>0.625</v>
      </c>
      <c r="T202" s="31"/>
      <c r="U202" s="31"/>
      <c r="V202" s="31"/>
      <c r="W202" s="40" t="str">
        <f>IF(COUNTIF(T202:V202,"?*")=$N$7,"✅ CUBIERTO",IF(COUNTIF(T202:V202,"?*")&gt;$N$7,"⚠ EXCESO",
IF(COUNTIF(T202:V202,"?*")&gt;0,"⚠ FALTANTE", "❌ SIN COMPLETAR")))</f>
        <v>❌ SIN COMPLETAR</v>
      </c>
      <c r="Y202" s="29">
        <v>45984</v>
      </c>
      <c r="Z202" s="30" t="str">
        <f t="shared" si="99"/>
        <v>dom</v>
      </c>
      <c r="AA202" s="28">
        <v>0.625</v>
      </c>
      <c r="AB202" s="41"/>
      <c r="AC202" s="41"/>
      <c r="AD202" s="41"/>
      <c r="AE202" s="32" t="str">
        <f t="shared" si="75"/>
        <v>❌ SIN COMPLETAR</v>
      </c>
    </row>
    <row r="203" spans="1:31" x14ac:dyDescent="0.3">
      <c r="A203" s="29">
        <v>45984</v>
      </c>
      <c r="B203" s="30" t="str">
        <f t="shared" si="96"/>
        <v>dom</v>
      </c>
      <c r="C203" s="28">
        <v>0.66666666666666696</v>
      </c>
      <c r="D203" s="31"/>
      <c r="E203" s="31"/>
      <c r="F203" s="31"/>
      <c r="G203" s="40" t="str">
        <f>IF(COUNTIF(D203:F203,"?*")=$N$5,"✅ CUBIERTO",
IF(COUNTIF(D203:F203,"?*")&gt;$N$5,"⚠ EXCESO",IF(COUNTIF(D203:F203,"?*")&gt;0,"⚠ FALTANTE",
"❌ SIN COMPLETAR")))</f>
        <v>❌ SIN COMPLETAR</v>
      </c>
      <c r="H203" s="17"/>
      <c r="I203" s="29">
        <v>45984</v>
      </c>
      <c r="J203" s="30" t="str">
        <f t="shared" si="97"/>
        <v>dom</v>
      </c>
      <c r="K203" s="28">
        <v>0.66666666666666696</v>
      </c>
      <c r="L203" s="41"/>
      <c r="M203" s="41"/>
      <c r="N203" s="41"/>
      <c r="O203" s="32" t="str">
        <f>IF(COUNTIF(L203:N203,"?*")=$N$6,"✅ CUBIERTO",IF(COUNTIF(L203:N203,"?*")&gt;$N$6,"⚠ EXCESO",
IF(COUNTIF(L203:N203,"?*")&gt;0,"⚠ FALTANTE", "❌ SIN COMPLETAR")))</f>
        <v>❌ SIN COMPLETAR</v>
      </c>
      <c r="P203" s="17"/>
      <c r="Q203" s="29">
        <v>45984</v>
      </c>
      <c r="R203" s="30" t="str">
        <f t="shared" si="98"/>
        <v>dom</v>
      </c>
      <c r="S203" s="28">
        <v>0.66666666666666696</v>
      </c>
      <c r="T203" s="31"/>
      <c r="U203" s="31"/>
      <c r="V203" s="31"/>
      <c r="W203" s="40" t="str">
        <f>IF(COUNTIF(T203:V203,"?*")=$N$7,"✅ CUBIERTO",IF(COUNTIF(T203:V203,"?*")&gt;$N$7,"⚠ EXCESO",
IF(COUNTIF(T203:V203,"?*")&gt;0,"⚠ FALTANTE", "❌ SIN COMPLETAR")))</f>
        <v>❌ SIN COMPLETAR</v>
      </c>
      <c r="Y203" s="29">
        <v>45984</v>
      </c>
      <c r="Z203" s="30" t="str">
        <f t="shared" si="99"/>
        <v>dom</v>
      </c>
      <c r="AA203" s="28">
        <v>0.66666666666666696</v>
      </c>
      <c r="AB203" s="41"/>
      <c r="AC203" s="41"/>
      <c r="AD203" s="41"/>
      <c r="AE203" s="32" t="str">
        <f t="shared" si="75"/>
        <v>❌ SIN COMPLETAR</v>
      </c>
    </row>
    <row r="204" spans="1:31" x14ac:dyDescent="0.3">
      <c r="A204" s="29">
        <v>45984</v>
      </c>
      <c r="B204" s="30" t="str">
        <f t="shared" si="96"/>
        <v>dom</v>
      </c>
      <c r="C204" s="28">
        <v>0.70833333333333304</v>
      </c>
      <c r="D204" s="31"/>
      <c r="E204" s="31"/>
      <c r="F204" s="31"/>
      <c r="G204" s="40" t="str">
        <f>IF(COUNTIF(D204:F204,"?*")=$N$5,"✅ CUBIERTO",
IF(COUNTIF(D204:F204,"?*")&gt;$N$5,"⚠ EXCESO",IF(COUNTIF(D204:F204,"?*")&gt;0,"⚠ FALTANTE",
"❌ SIN COMPLETAR")))</f>
        <v>❌ SIN COMPLETAR</v>
      </c>
      <c r="H204" s="17"/>
      <c r="I204" s="29">
        <v>45984</v>
      </c>
      <c r="J204" s="30" t="str">
        <f t="shared" si="97"/>
        <v>dom</v>
      </c>
      <c r="K204" s="28">
        <v>0.70833333333333304</v>
      </c>
      <c r="L204" s="41"/>
      <c r="M204" s="41"/>
      <c r="N204" s="41"/>
      <c r="O204" s="32" t="str">
        <f>IF(COUNTIF(L204:N204,"?*")=$N$6,"✅ CUBIERTO",IF(COUNTIF(L204:N204,"?*")&gt;$N$6,"⚠ EXCESO",
IF(COUNTIF(L204:N204,"?*")&gt;0,"⚠ FALTANTE", "❌ SIN COMPLETAR")))</f>
        <v>❌ SIN COMPLETAR</v>
      </c>
      <c r="P204" s="17"/>
      <c r="Q204" s="29">
        <v>45984</v>
      </c>
      <c r="R204" s="30" t="str">
        <f t="shared" si="98"/>
        <v>dom</v>
      </c>
      <c r="S204" s="28">
        <v>0.70833333333333304</v>
      </c>
      <c r="T204" s="31"/>
      <c r="U204" s="31"/>
      <c r="V204" s="31"/>
      <c r="W204" s="40" t="str">
        <f>IF(COUNTIF(T204:V204,"?*")=$N$7,"✅ CUBIERTO",IF(COUNTIF(T204:V204,"?*")&gt;$N$7,"⚠ EXCESO",
IF(COUNTIF(T204:V204,"?*")&gt;0,"⚠ FALTANTE", "❌ SIN COMPLETAR")))</f>
        <v>❌ SIN COMPLETAR</v>
      </c>
      <c r="Y204" s="29">
        <v>45984</v>
      </c>
      <c r="Z204" s="30" t="str">
        <f t="shared" si="99"/>
        <v>dom</v>
      </c>
      <c r="AA204" s="28">
        <v>0.70833333333333304</v>
      </c>
      <c r="AB204" s="41"/>
      <c r="AC204" s="41"/>
      <c r="AD204" s="41"/>
      <c r="AE204" s="32" t="str">
        <f t="shared" si="75"/>
        <v>❌ SIN COMPLETAR</v>
      </c>
    </row>
    <row r="205" spans="1:31" x14ac:dyDescent="0.3">
      <c r="A205" s="29">
        <v>45984</v>
      </c>
      <c r="B205" s="30" t="str">
        <f t="shared" si="96"/>
        <v>dom</v>
      </c>
      <c r="C205" s="28">
        <v>0.75</v>
      </c>
      <c r="D205" s="31"/>
      <c r="E205" s="31"/>
      <c r="F205" s="31"/>
      <c r="G205" s="40" t="str">
        <f>IF(COUNTIF(D205:F205,"?*")=$N$5,"✅ CUBIERTO",
IF(COUNTIF(D205:F205,"?*")&gt;$N$5,"⚠ EXCESO",IF(COUNTIF(D205:F205,"?*")&gt;0,"⚠ FALTANTE",
"❌ SIN COMPLETAR")))</f>
        <v>❌ SIN COMPLETAR</v>
      </c>
      <c r="H205" s="17"/>
      <c r="I205" s="29">
        <v>45984</v>
      </c>
      <c r="J205" s="30" t="str">
        <f t="shared" si="97"/>
        <v>dom</v>
      </c>
      <c r="K205" s="28">
        <v>0.75</v>
      </c>
      <c r="L205" s="41"/>
      <c r="M205" s="41"/>
      <c r="N205" s="41"/>
      <c r="O205" s="32" t="str">
        <f>IF(COUNTIF(L205:N205,"?*")=$N$6,"✅ CUBIERTO",IF(COUNTIF(L205:N205,"?*")&gt;$N$6,"⚠ EXCESO",
IF(COUNTIF(L205:N205,"?*")&gt;0,"⚠ FALTANTE", "❌ SIN COMPLETAR")))</f>
        <v>❌ SIN COMPLETAR</v>
      </c>
      <c r="P205" s="17"/>
      <c r="Q205" s="29">
        <v>45984</v>
      </c>
      <c r="R205" s="30" t="str">
        <f t="shared" si="98"/>
        <v>dom</v>
      </c>
      <c r="S205" s="28">
        <v>0.75</v>
      </c>
      <c r="T205" s="31"/>
      <c r="U205" s="31"/>
      <c r="V205" s="31"/>
      <c r="W205" s="40" t="str">
        <f>IF(COUNTIF(T205:V205,"?*")=$N$7,"✅ CUBIERTO",IF(COUNTIF(T205:V205,"?*")&gt;$N$7,"⚠ EXCESO",
IF(COUNTIF(T205:V205,"?*")&gt;0,"⚠ FALTANTE", "❌ SIN COMPLETAR")))</f>
        <v>❌ SIN COMPLETAR</v>
      </c>
      <c r="Y205" s="29">
        <v>45984</v>
      </c>
      <c r="Z205" s="30" t="str">
        <f t="shared" si="99"/>
        <v>dom</v>
      </c>
      <c r="AA205" s="28">
        <v>0.75</v>
      </c>
      <c r="AB205" s="41"/>
      <c r="AC205" s="41"/>
      <c r="AD205" s="41"/>
      <c r="AE205" s="32" t="str">
        <f t="shared" si="75"/>
        <v>❌ SIN COMPLETAR</v>
      </c>
    </row>
    <row r="206" spans="1:31" x14ac:dyDescent="0.3">
      <c r="A206" s="29">
        <v>45985</v>
      </c>
      <c r="B206" s="30" t="str">
        <f>TEXT(A206,"ddd")</f>
        <v>lun</v>
      </c>
      <c r="C206" s="28">
        <v>0.45833333333333331</v>
      </c>
      <c r="D206" s="31"/>
      <c r="E206" s="31"/>
      <c r="F206" s="31"/>
      <c r="G206" s="40" t="str">
        <f>IF(COUNTIF(D206:F206,"?*")=$N$5,"✅ CUBIERTO",
IF(COUNTIF(D206:F206,"?*")&gt;$N$5,"⚠ EXCESO",IF(COUNTIF(D206:F206,"?*")&gt;0,"⚠ FALTANTE",
"❌ SIN COMPLETAR")))</f>
        <v>❌ SIN COMPLETAR</v>
      </c>
      <c r="H206" s="17"/>
      <c r="I206" s="29">
        <v>45985</v>
      </c>
      <c r="J206" s="30" t="str">
        <f>TEXT(I206,"ddd")</f>
        <v>lun</v>
      </c>
      <c r="K206" s="28">
        <v>0.45833333333333331</v>
      </c>
      <c r="L206" s="31"/>
      <c r="M206" s="31"/>
      <c r="N206" s="31"/>
      <c r="O206" s="32" t="str">
        <f>IF(COUNTIF(L206:N206,"?*")=$N$6,"✅ CUBIERTO",IF(COUNTIF(L206:N206,"?*")&gt;$N$6,"⚠ EXCESO",
IF(COUNTIF(L206:N206,"?*")&gt;0,"⚠ FALTANTE", "❌ SIN COMPLETAR")))</f>
        <v>❌ SIN COMPLETAR</v>
      </c>
      <c r="P206" s="17"/>
      <c r="Q206" s="29">
        <v>45985</v>
      </c>
      <c r="R206" s="30" t="str">
        <f>TEXT(Q206,"ddd")</f>
        <v>lun</v>
      </c>
      <c r="S206" s="28">
        <v>0.45833333333333331</v>
      </c>
      <c r="T206" s="31"/>
      <c r="U206" s="31"/>
      <c r="V206" s="31"/>
      <c r="W206" s="40" t="s">
        <v>16</v>
      </c>
      <c r="Y206" s="29">
        <v>45985</v>
      </c>
      <c r="Z206" s="30" t="str">
        <f>TEXT(Y206,"ddd")</f>
        <v>lun</v>
      </c>
      <c r="AA206" s="28">
        <v>0.45833333333333331</v>
      </c>
      <c r="AB206" s="31"/>
      <c r="AC206" s="31"/>
      <c r="AD206" s="31"/>
      <c r="AE206" s="32" t="str">
        <f t="shared" si="75"/>
        <v>❌ SIN COMPLETAR</v>
      </c>
    </row>
    <row r="207" spans="1:31" x14ac:dyDescent="0.3">
      <c r="A207" s="29">
        <v>45985</v>
      </c>
      <c r="B207" s="30" t="str">
        <f t="shared" ref="B207:B213" si="100">TEXT(A207,"ddd")</f>
        <v>lun</v>
      </c>
      <c r="C207" s="28">
        <v>0.5</v>
      </c>
      <c r="D207" s="31"/>
      <c r="E207" s="31"/>
      <c r="F207" s="31"/>
      <c r="G207" s="40" t="str">
        <f>IF(COUNTIF(D207:F207,"?*")=$N$5,"✅ CUBIERTO",
IF(COUNTIF(D207:F207,"?*")&gt;$N$5,"⚠ EXCESO",IF(COUNTIF(D207:F207,"?*")&gt;0,"⚠ FALTANTE",
"❌ SIN COMPLETAR")))</f>
        <v>❌ SIN COMPLETAR</v>
      </c>
      <c r="H207" s="17"/>
      <c r="I207" s="29">
        <v>45985</v>
      </c>
      <c r="J207" s="30" t="str">
        <f t="shared" ref="J207:J213" si="101">TEXT(I207,"ddd")</f>
        <v>lun</v>
      </c>
      <c r="K207" s="28">
        <v>0.5</v>
      </c>
      <c r="L207" s="31"/>
      <c r="M207" s="31"/>
      <c r="N207" s="31"/>
      <c r="O207" s="32" t="str">
        <f>IF(COUNTIF(L207:N207,"?*")=$N$6,"✅ CUBIERTO",IF(COUNTIF(L207:N207,"?*")&gt;$N$6,"⚠ EXCESO",
IF(COUNTIF(L207:N207,"?*")&gt;0,"⚠ FALTANTE", "❌ SIN COMPLETAR")))</f>
        <v>❌ SIN COMPLETAR</v>
      </c>
      <c r="P207" s="17"/>
      <c r="Q207" s="29">
        <v>45985</v>
      </c>
      <c r="R207" s="30" t="str">
        <f t="shared" ref="R207:R213" si="102">TEXT(Q207,"ddd")</f>
        <v>lun</v>
      </c>
      <c r="S207" s="28">
        <v>0.5</v>
      </c>
      <c r="T207" s="31"/>
      <c r="U207" s="31"/>
      <c r="V207" s="31"/>
      <c r="W207" s="40" t="str">
        <f>IF(COUNTIF(T207:V207,"?*")=$N$7,"✅ CUBIERTO",IF(COUNTIF(T207:V207,"?*")&gt;$N$7,"⚠ EXCESO",
IF(COUNTIF(T207:V207,"?*")&gt;0,"⚠ FALTANTE", "❌ SIN COMPLETAR")))</f>
        <v>❌ SIN COMPLETAR</v>
      </c>
      <c r="Y207" s="29">
        <v>45985</v>
      </c>
      <c r="Z207" s="30" t="str">
        <f t="shared" ref="Z207:Z213" si="103">TEXT(Y207,"ddd")</f>
        <v>lun</v>
      </c>
      <c r="AA207" s="28">
        <v>0.5</v>
      </c>
      <c r="AB207" s="31"/>
      <c r="AC207" s="31"/>
      <c r="AD207" s="31"/>
      <c r="AE207" s="32" t="str">
        <f t="shared" si="75"/>
        <v>❌ SIN COMPLETAR</v>
      </c>
    </row>
    <row r="208" spans="1:31" x14ac:dyDescent="0.3">
      <c r="A208" s="29">
        <v>45985</v>
      </c>
      <c r="B208" s="30" t="str">
        <f t="shared" si="100"/>
        <v>lun</v>
      </c>
      <c r="C208" s="28">
        <v>0.54166666666666696</v>
      </c>
      <c r="D208" s="31"/>
      <c r="E208" s="31"/>
      <c r="F208" s="31"/>
      <c r="G208" s="40" t="str">
        <f>IF(COUNTIF(D208:F208,"?*")=$N$5,"✅ CUBIERTO",
IF(COUNTIF(D208:F208,"?*")&gt;$N$5,"⚠ EXCESO",IF(COUNTIF(D208:F208,"?*")&gt;0,"⚠ FALTANTE",
"❌ SIN COMPLETAR")))</f>
        <v>❌ SIN COMPLETAR</v>
      </c>
      <c r="H208" s="17"/>
      <c r="I208" s="29">
        <v>45985</v>
      </c>
      <c r="J208" s="30" t="str">
        <f t="shared" si="101"/>
        <v>lun</v>
      </c>
      <c r="K208" s="28">
        <v>0.54166666666666696</v>
      </c>
      <c r="L208" s="31"/>
      <c r="M208" s="31"/>
      <c r="N208" s="31"/>
      <c r="O208" s="32" t="str">
        <f>IF(COUNTIF(L208:N208,"?*")=$N$6,"✅ CUBIERTO",IF(COUNTIF(L208:N208,"?*")&gt;$N$6,"⚠ EXCESO",
IF(COUNTIF(L208:N208,"?*")&gt;0,"⚠ FALTANTE", "❌ SIN COMPLETAR")))</f>
        <v>❌ SIN COMPLETAR</v>
      </c>
      <c r="P208" s="17"/>
      <c r="Q208" s="29">
        <v>45985</v>
      </c>
      <c r="R208" s="30" t="str">
        <f t="shared" si="102"/>
        <v>lun</v>
      </c>
      <c r="S208" s="28">
        <v>0.54166666666666696</v>
      </c>
      <c r="T208" s="31"/>
      <c r="U208" s="31"/>
      <c r="V208" s="31"/>
      <c r="W208" s="40" t="str">
        <f>IF(COUNTIF(T208:V208,"?*")=$N$7,"✅ CUBIERTO",IF(COUNTIF(T208:V208,"?*")&gt;$N$7,"⚠ EXCESO",
IF(COUNTIF(T208:V208,"?*")&gt;0,"⚠ FALTANTE", "❌ SIN COMPLETAR")))</f>
        <v>❌ SIN COMPLETAR</v>
      </c>
      <c r="Y208" s="29">
        <v>45985</v>
      </c>
      <c r="Z208" s="30" t="str">
        <f t="shared" si="103"/>
        <v>lun</v>
      </c>
      <c r="AA208" s="28">
        <v>0.54166666666666696</v>
      </c>
      <c r="AB208" s="31"/>
      <c r="AC208" s="31"/>
      <c r="AD208" s="31"/>
      <c r="AE208" s="32" t="str">
        <f t="shared" si="75"/>
        <v>❌ SIN COMPLETAR</v>
      </c>
    </row>
    <row r="209" spans="1:31" x14ac:dyDescent="0.3">
      <c r="A209" s="29">
        <v>45985</v>
      </c>
      <c r="B209" s="30" t="str">
        <f t="shared" si="100"/>
        <v>lun</v>
      </c>
      <c r="C209" s="28">
        <v>0.58333333333333304</v>
      </c>
      <c r="D209" s="31"/>
      <c r="E209" s="31"/>
      <c r="F209" s="31"/>
      <c r="G209" s="40" t="str">
        <f>IF(COUNTIF(D209:F209,"?*")=$N$5,"✅ CUBIERTO",
IF(COUNTIF(D209:F209,"?*")&gt;$N$5,"⚠ EXCESO",IF(COUNTIF(D209:F209,"?*")&gt;0,"⚠ FALTANTE",
"❌ SIN COMPLETAR")))</f>
        <v>❌ SIN COMPLETAR</v>
      </c>
      <c r="H209" s="17"/>
      <c r="I209" s="29">
        <v>45985</v>
      </c>
      <c r="J209" s="30" t="str">
        <f t="shared" si="101"/>
        <v>lun</v>
      </c>
      <c r="K209" s="28">
        <v>0.58333333333333304</v>
      </c>
      <c r="L209" s="31"/>
      <c r="M209" s="31"/>
      <c r="N209" s="31"/>
      <c r="O209" s="32" t="str">
        <f>IF(COUNTIF(L209:N209,"?*")=$N$6,"✅ CUBIERTO",IF(COUNTIF(L209:N209,"?*")&gt;$N$6,"⚠ EXCESO",
IF(COUNTIF(L209:N209,"?*")&gt;0,"⚠ FALTANTE", "❌ SIN COMPLETAR")))</f>
        <v>❌ SIN COMPLETAR</v>
      </c>
      <c r="P209" s="17"/>
      <c r="Q209" s="29">
        <v>45985</v>
      </c>
      <c r="R209" s="30" t="str">
        <f t="shared" si="102"/>
        <v>lun</v>
      </c>
      <c r="S209" s="28">
        <v>0.58333333333333304</v>
      </c>
      <c r="T209" s="31"/>
      <c r="U209" s="31"/>
      <c r="V209" s="31"/>
      <c r="W209" s="40" t="str">
        <f>IF(COUNTIF(T209:V209,"?*")=$N$7,"✅ CUBIERTO",IF(COUNTIF(T209:V209,"?*")&gt;$N$7,"⚠ EXCESO",
IF(COUNTIF(T209:V209,"?*")&gt;0,"⚠ FALTANTE", "❌ SIN COMPLETAR")))</f>
        <v>❌ SIN COMPLETAR</v>
      </c>
      <c r="Y209" s="29">
        <v>45985</v>
      </c>
      <c r="Z209" s="30" t="str">
        <f t="shared" si="103"/>
        <v>lun</v>
      </c>
      <c r="AA209" s="28">
        <v>0.58333333333333304</v>
      </c>
      <c r="AB209" s="31"/>
      <c r="AC209" s="31"/>
      <c r="AD209" s="31"/>
      <c r="AE209" s="32" t="str">
        <f t="shared" si="75"/>
        <v>❌ SIN COMPLETAR</v>
      </c>
    </row>
    <row r="210" spans="1:31" x14ac:dyDescent="0.3">
      <c r="A210" s="29">
        <v>45985</v>
      </c>
      <c r="B210" s="30" t="str">
        <f t="shared" si="100"/>
        <v>lun</v>
      </c>
      <c r="C210" s="28">
        <v>0.625</v>
      </c>
      <c r="D210" s="31"/>
      <c r="E210" s="31"/>
      <c r="F210" s="31"/>
      <c r="G210" s="40" t="str">
        <f>IF(COUNTIF(D210:F210,"?*")=$N$5,"✅ CUBIERTO",
IF(COUNTIF(D210:F210,"?*")&gt;$N$5,"⚠ EXCESO",IF(COUNTIF(D210:F210,"?*")&gt;0,"⚠ FALTANTE",
"❌ SIN COMPLETAR")))</f>
        <v>❌ SIN COMPLETAR</v>
      </c>
      <c r="H210" s="17"/>
      <c r="I210" s="29">
        <v>45985</v>
      </c>
      <c r="J210" s="30" t="str">
        <f t="shared" si="101"/>
        <v>lun</v>
      </c>
      <c r="K210" s="28">
        <v>0.625</v>
      </c>
      <c r="L210" s="31"/>
      <c r="M210" s="31"/>
      <c r="N210" s="31"/>
      <c r="O210" s="32" t="str">
        <f>IF(COUNTIF(L210:N210,"?*")=$N$6,"✅ CUBIERTO",IF(COUNTIF(L210:N210,"?*")&gt;$N$6,"⚠ EXCESO",
IF(COUNTIF(L210:N210,"?*")&gt;0,"⚠ FALTANTE", "❌ SIN COMPLETAR")))</f>
        <v>❌ SIN COMPLETAR</v>
      </c>
      <c r="P210" s="17"/>
      <c r="Q210" s="29">
        <v>45985</v>
      </c>
      <c r="R210" s="30" t="str">
        <f t="shared" si="102"/>
        <v>lun</v>
      </c>
      <c r="S210" s="28">
        <v>0.625</v>
      </c>
      <c r="T210" s="31"/>
      <c r="U210" s="31"/>
      <c r="V210" s="31"/>
      <c r="W210" s="40" t="str">
        <f>IF(COUNTIF(T210:V210,"?*")=$N$7,"✅ CUBIERTO",IF(COUNTIF(T210:V210,"?*")&gt;$N$7,"⚠ EXCESO",
IF(COUNTIF(T210:V210,"?*")&gt;0,"⚠ FALTANTE", "❌ SIN COMPLETAR")))</f>
        <v>❌ SIN COMPLETAR</v>
      </c>
      <c r="Y210" s="29">
        <v>45985</v>
      </c>
      <c r="Z210" s="30" t="str">
        <f t="shared" si="103"/>
        <v>lun</v>
      </c>
      <c r="AA210" s="28">
        <v>0.625</v>
      </c>
      <c r="AB210" s="31"/>
      <c r="AC210" s="31"/>
      <c r="AD210" s="31"/>
      <c r="AE210" s="32" t="str">
        <f t="shared" si="75"/>
        <v>❌ SIN COMPLETAR</v>
      </c>
    </row>
    <row r="211" spans="1:31" x14ac:dyDescent="0.3">
      <c r="A211" s="29">
        <v>45985</v>
      </c>
      <c r="B211" s="30" t="str">
        <f t="shared" si="100"/>
        <v>lun</v>
      </c>
      <c r="C211" s="28">
        <v>0.66666666666666696</v>
      </c>
      <c r="D211" s="31"/>
      <c r="E211" s="31"/>
      <c r="F211" s="31"/>
      <c r="G211" s="40" t="str">
        <f>IF(COUNTIF(D211:F211,"?*")=$N$5,"✅ CUBIERTO",
IF(COUNTIF(D211:F211,"?*")&gt;$N$5,"⚠ EXCESO",IF(COUNTIF(D211:F211,"?*")&gt;0,"⚠ FALTANTE",
"❌ SIN COMPLETAR")))</f>
        <v>❌ SIN COMPLETAR</v>
      </c>
      <c r="H211" s="17"/>
      <c r="I211" s="29">
        <v>45985</v>
      </c>
      <c r="J211" s="30" t="str">
        <f t="shared" si="101"/>
        <v>lun</v>
      </c>
      <c r="K211" s="28">
        <v>0.66666666666666696</v>
      </c>
      <c r="L211" s="31"/>
      <c r="M211" s="31"/>
      <c r="N211" s="31"/>
      <c r="O211" s="32" t="str">
        <f>IF(COUNTIF(L211:N211,"?*")=$N$6,"✅ CUBIERTO",IF(COUNTIF(L211:N211,"?*")&gt;$N$6,"⚠ EXCESO",
IF(COUNTIF(L211:N211,"?*")&gt;0,"⚠ FALTANTE", "❌ SIN COMPLETAR")))</f>
        <v>❌ SIN COMPLETAR</v>
      </c>
      <c r="P211" s="17"/>
      <c r="Q211" s="29">
        <v>45985</v>
      </c>
      <c r="R211" s="30" t="str">
        <f t="shared" si="102"/>
        <v>lun</v>
      </c>
      <c r="S211" s="28">
        <v>0.66666666666666696</v>
      </c>
      <c r="T211" s="31"/>
      <c r="U211" s="31"/>
      <c r="V211" s="31"/>
      <c r="W211" s="40" t="str">
        <f>IF(COUNTIF(T211:V211,"?*")=$N$7,"✅ CUBIERTO",IF(COUNTIF(T211:V211,"?*")&gt;$N$7,"⚠ EXCESO",
IF(COUNTIF(T211:V211,"?*")&gt;0,"⚠ FALTANTE", "❌ SIN COMPLETAR")))</f>
        <v>❌ SIN COMPLETAR</v>
      </c>
      <c r="Y211" s="29">
        <v>45985</v>
      </c>
      <c r="Z211" s="30" t="str">
        <f t="shared" si="103"/>
        <v>lun</v>
      </c>
      <c r="AA211" s="28">
        <v>0.66666666666666696</v>
      </c>
      <c r="AB211" s="31"/>
      <c r="AC211" s="31"/>
      <c r="AD211" s="31"/>
      <c r="AE211" s="32" t="str">
        <f t="shared" si="75"/>
        <v>❌ SIN COMPLETAR</v>
      </c>
    </row>
    <row r="212" spans="1:31" x14ac:dyDescent="0.3">
      <c r="A212" s="29">
        <v>45985</v>
      </c>
      <c r="B212" s="30" t="str">
        <f t="shared" si="100"/>
        <v>lun</v>
      </c>
      <c r="C212" s="28">
        <v>0.70833333333333304</v>
      </c>
      <c r="D212" s="31"/>
      <c r="E212" s="31"/>
      <c r="F212" s="31"/>
      <c r="G212" s="40" t="str">
        <f>IF(COUNTIF(D212:F212,"?*")=$N$5,"✅ CUBIERTO",
IF(COUNTIF(D212:F212,"?*")&gt;$N$5,"⚠ EXCESO",IF(COUNTIF(D212:F212,"?*")&gt;0,"⚠ FALTANTE",
"❌ SIN COMPLETAR")))</f>
        <v>❌ SIN COMPLETAR</v>
      </c>
      <c r="H212" s="17"/>
      <c r="I212" s="29">
        <v>45985</v>
      </c>
      <c r="J212" s="30" t="str">
        <f t="shared" si="101"/>
        <v>lun</v>
      </c>
      <c r="K212" s="28">
        <v>0.70833333333333304</v>
      </c>
      <c r="L212" s="31"/>
      <c r="M212" s="31"/>
      <c r="N212" s="31"/>
      <c r="O212" s="32" t="str">
        <f>IF(COUNTIF(L212:N212,"?*")=$N$6,"✅ CUBIERTO",IF(COUNTIF(L212:N212,"?*")&gt;$N$6,"⚠ EXCESO",
IF(COUNTIF(L212:N212,"?*")&gt;0,"⚠ FALTANTE", "❌ SIN COMPLETAR")))</f>
        <v>❌ SIN COMPLETAR</v>
      </c>
      <c r="P212" s="17"/>
      <c r="Q212" s="29">
        <v>45985</v>
      </c>
      <c r="R212" s="30" t="str">
        <f t="shared" si="102"/>
        <v>lun</v>
      </c>
      <c r="S212" s="28">
        <v>0.70833333333333304</v>
      </c>
      <c r="T212" s="31"/>
      <c r="U212" s="31"/>
      <c r="V212" s="31"/>
      <c r="W212" s="40" t="str">
        <f>IF(COUNTIF(T212:V212,"?*")=$N$7,"✅ CUBIERTO",IF(COUNTIF(T212:V212,"?*")&gt;$N$7,"⚠ EXCESO",
IF(COUNTIF(T212:V212,"?*")&gt;0,"⚠ FALTANTE", "❌ SIN COMPLETAR")))</f>
        <v>❌ SIN COMPLETAR</v>
      </c>
      <c r="Y212" s="29">
        <v>45985</v>
      </c>
      <c r="Z212" s="30" t="str">
        <f t="shared" si="103"/>
        <v>lun</v>
      </c>
      <c r="AA212" s="28">
        <v>0.70833333333333304</v>
      </c>
      <c r="AB212" s="31"/>
      <c r="AC212" s="31"/>
      <c r="AD212" s="31"/>
      <c r="AE212" s="32" t="str">
        <f t="shared" si="75"/>
        <v>❌ SIN COMPLETAR</v>
      </c>
    </row>
    <row r="213" spans="1:31" x14ac:dyDescent="0.3">
      <c r="A213" s="29">
        <v>45985</v>
      </c>
      <c r="B213" s="30" t="str">
        <f t="shared" si="100"/>
        <v>lun</v>
      </c>
      <c r="C213" s="28">
        <v>0.75</v>
      </c>
      <c r="D213" s="31"/>
      <c r="E213" s="31"/>
      <c r="F213" s="31"/>
      <c r="G213" s="40" t="str">
        <f>IF(COUNTIF(D213:F213,"?*")=$N$5,"✅ CUBIERTO",
IF(COUNTIF(D213:F213,"?*")&gt;$N$5,"⚠ EXCESO",IF(COUNTIF(D213:F213,"?*")&gt;0,"⚠ FALTANTE",
"❌ SIN COMPLETAR")))</f>
        <v>❌ SIN COMPLETAR</v>
      </c>
      <c r="H213" s="17"/>
      <c r="I213" s="29">
        <v>45985</v>
      </c>
      <c r="J213" s="30" t="str">
        <f t="shared" si="101"/>
        <v>lun</v>
      </c>
      <c r="K213" s="28">
        <v>0.75</v>
      </c>
      <c r="L213" s="41"/>
      <c r="M213" s="41"/>
      <c r="N213" s="41"/>
      <c r="O213" s="32" t="str">
        <f>IF(COUNTIF(L213:N213,"?*")=$N$6,"✅ CUBIERTO",IF(COUNTIF(L213:N213,"?*")&gt;$N$6,"⚠ EXCESO",
IF(COUNTIF(L213:N213,"?*")&gt;0,"⚠ FALTANTE", "❌ SIN COMPLETAR")))</f>
        <v>❌ SIN COMPLETAR</v>
      </c>
      <c r="P213" s="17"/>
      <c r="Q213" s="29">
        <v>45985</v>
      </c>
      <c r="R213" s="30" t="str">
        <f t="shared" si="102"/>
        <v>lun</v>
      </c>
      <c r="S213" s="28">
        <v>0.75</v>
      </c>
      <c r="T213" s="31"/>
      <c r="U213" s="31"/>
      <c r="V213" s="31"/>
      <c r="W213" s="40" t="s">
        <v>16</v>
      </c>
      <c r="Y213" s="29">
        <v>45985</v>
      </c>
      <c r="Z213" s="30" t="str">
        <f t="shared" si="103"/>
        <v>lun</v>
      </c>
      <c r="AA213" s="28">
        <v>0.75</v>
      </c>
      <c r="AB213" s="41"/>
      <c r="AC213" s="41"/>
      <c r="AD213" s="41"/>
      <c r="AE213" s="32" t="str">
        <f t="shared" si="75"/>
        <v>❌ SIN COMPLETAR</v>
      </c>
    </row>
    <row r="214" spans="1:31" x14ac:dyDescent="0.3">
      <c r="A214" s="29">
        <v>45986</v>
      </c>
      <c r="B214" s="30" t="str">
        <f>TEXT(A214,"ddd")</f>
        <v>mar</v>
      </c>
      <c r="C214" s="28">
        <v>0.45833333333333331</v>
      </c>
      <c r="D214" s="31"/>
      <c r="E214" s="31"/>
      <c r="F214" s="31"/>
      <c r="G214" s="40" t="str">
        <f>IF(COUNTIF(D214:F214,"?*")=$N$5,"✅ CUBIERTO",
IF(COUNTIF(D214:F214,"?*")&gt;$N$5,"⚠ EXCESO",IF(COUNTIF(D214:F214,"?*")&gt;0,"⚠ FALTANTE",
"❌ SIN COMPLETAR")))</f>
        <v>❌ SIN COMPLETAR</v>
      </c>
      <c r="H214" s="17"/>
      <c r="I214" s="29">
        <v>45986</v>
      </c>
      <c r="J214" s="30" t="str">
        <f>TEXT(I214,"ddd")</f>
        <v>mar</v>
      </c>
      <c r="K214" s="28">
        <v>0.45833333333333331</v>
      </c>
      <c r="L214" s="31"/>
      <c r="M214" s="31"/>
      <c r="N214" s="31"/>
      <c r="O214" s="32" t="str">
        <f>IF(COUNTIF(L214:N214,"?*")=$N$6,"✅ CUBIERTO",IF(COUNTIF(L214:N214,"?*")&gt;$N$6,"⚠ EXCESO",
IF(COUNTIF(L214:N214,"?*")&gt;0,"⚠ FALTANTE", "❌ SIN COMPLETAR")))</f>
        <v>❌ SIN COMPLETAR</v>
      </c>
      <c r="P214" s="17"/>
      <c r="Q214" s="29">
        <v>45986</v>
      </c>
      <c r="R214" s="30" t="str">
        <f>TEXT(Q214,"ddd")</f>
        <v>mar</v>
      </c>
      <c r="S214" s="28">
        <v>0.45833333333333331</v>
      </c>
      <c r="T214" s="31"/>
      <c r="U214" s="31"/>
      <c r="V214" s="31"/>
      <c r="W214" s="40" t="s">
        <v>16</v>
      </c>
      <c r="Y214" s="29">
        <v>45986</v>
      </c>
      <c r="Z214" s="30" t="str">
        <f>TEXT(Y214,"ddd")</f>
        <v>mar</v>
      </c>
      <c r="AA214" s="28">
        <v>0.45833333333333331</v>
      </c>
      <c r="AB214" s="31"/>
      <c r="AC214" s="31"/>
      <c r="AD214" s="31"/>
      <c r="AE214" s="32" t="str">
        <f t="shared" si="75"/>
        <v>❌ SIN COMPLETAR</v>
      </c>
    </row>
    <row r="215" spans="1:31" x14ac:dyDescent="0.3">
      <c r="A215" s="29">
        <v>45986</v>
      </c>
      <c r="B215" s="30" t="str">
        <f t="shared" ref="B215:B221" si="104">TEXT(A215,"ddd")</f>
        <v>mar</v>
      </c>
      <c r="C215" s="28">
        <v>0.5</v>
      </c>
      <c r="D215" s="31"/>
      <c r="E215" s="31"/>
      <c r="F215" s="31"/>
      <c r="G215" s="40" t="str">
        <f>IF(COUNTIF(D215:F215,"?*")=$N$5,"✅ CUBIERTO",
IF(COUNTIF(D215:F215,"?*")&gt;$N$5,"⚠ EXCESO",IF(COUNTIF(D215:F215,"?*")&gt;0,"⚠ FALTANTE",
"❌ SIN COMPLETAR")))</f>
        <v>❌ SIN COMPLETAR</v>
      </c>
      <c r="H215" s="17"/>
      <c r="I215" s="29">
        <v>45986</v>
      </c>
      <c r="J215" s="30" t="str">
        <f t="shared" ref="J215:J221" si="105">TEXT(I215,"ddd")</f>
        <v>mar</v>
      </c>
      <c r="K215" s="28">
        <v>0.5</v>
      </c>
      <c r="L215" s="31"/>
      <c r="M215" s="31"/>
      <c r="N215" s="31"/>
      <c r="O215" s="32" t="str">
        <f>IF(COUNTIF(L215:N215,"?*")=$N$6,"✅ CUBIERTO",IF(COUNTIF(L215:N215,"?*")&gt;$N$6,"⚠ EXCESO",
IF(COUNTIF(L215:N215,"?*")&gt;0,"⚠ FALTANTE", "❌ SIN COMPLETAR")))</f>
        <v>❌ SIN COMPLETAR</v>
      </c>
      <c r="P215" s="17"/>
      <c r="Q215" s="29">
        <v>45986</v>
      </c>
      <c r="R215" s="30" t="str">
        <f t="shared" ref="R215:R221" si="106">TEXT(Q215,"ddd")</f>
        <v>mar</v>
      </c>
      <c r="S215" s="28">
        <v>0.5</v>
      </c>
      <c r="T215" s="31"/>
      <c r="U215" s="31"/>
      <c r="V215" s="31"/>
      <c r="W215" s="40" t="str">
        <f>IF(COUNTIF(T215:V215,"?*")=$N$7,"✅ CUBIERTO",IF(COUNTIF(T215:V215,"?*")&gt;$N$7,"⚠ EXCESO",
IF(COUNTIF(T215:V215,"?*")&gt;0,"⚠ FALTANTE", "❌ SIN COMPLETAR")))</f>
        <v>❌ SIN COMPLETAR</v>
      </c>
      <c r="Y215" s="29">
        <v>45986</v>
      </c>
      <c r="Z215" s="30" t="str">
        <f t="shared" ref="Z215:Z221" si="107">TEXT(Y215,"ddd")</f>
        <v>mar</v>
      </c>
      <c r="AA215" s="28">
        <v>0.5</v>
      </c>
      <c r="AB215" s="31"/>
      <c r="AC215" s="31"/>
      <c r="AD215" s="31"/>
      <c r="AE215" s="32" t="str">
        <f t="shared" ref="AE215:AE261" si="108">IF(COUNTIF(AB215:AD215,"?*")=$N$8,"✅ CUBIERTO",IF(COUNTIF(AB215:AD215,"?*")&gt;$N$8,"⚠ EXCESO",
IF(COUNTIF(AB215:AD215,"?*")&gt;0,"⚠ FALTANTE", "❌ SIN COMPLETAR")))</f>
        <v>❌ SIN COMPLETAR</v>
      </c>
    </row>
    <row r="216" spans="1:31" x14ac:dyDescent="0.3">
      <c r="A216" s="29">
        <v>45986</v>
      </c>
      <c r="B216" s="30" t="str">
        <f t="shared" si="104"/>
        <v>mar</v>
      </c>
      <c r="C216" s="28">
        <v>0.54166666666666696</v>
      </c>
      <c r="D216" s="31"/>
      <c r="E216" s="31"/>
      <c r="F216" s="31"/>
      <c r="G216" s="40" t="str">
        <f>IF(COUNTIF(D216:F216,"?*")=$N$5,"✅ CUBIERTO",
IF(COUNTIF(D216:F216,"?*")&gt;$N$5,"⚠ EXCESO",IF(COUNTIF(D216:F216,"?*")&gt;0,"⚠ FALTANTE",
"❌ SIN COMPLETAR")))</f>
        <v>❌ SIN COMPLETAR</v>
      </c>
      <c r="H216" s="17"/>
      <c r="I216" s="29">
        <v>45986</v>
      </c>
      <c r="J216" s="30" t="str">
        <f t="shared" si="105"/>
        <v>mar</v>
      </c>
      <c r="K216" s="28">
        <v>0.54166666666666696</v>
      </c>
      <c r="L216" s="31"/>
      <c r="M216" s="31"/>
      <c r="N216" s="31"/>
      <c r="O216" s="32" t="str">
        <f>IF(COUNTIF(L216:N216,"?*")=$N$6,"✅ CUBIERTO",IF(COUNTIF(L216:N216,"?*")&gt;$N$6,"⚠ EXCESO",
IF(COUNTIF(L216:N216,"?*")&gt;0,"⚠ FALTANTE", "❌ SIN COMPLETAR")))</f>
        <v>❌ SIN COMPLETAR</v>
      </c>
      <c r="P216" s="17"/>
      <c r="Q216" s="29">
        <v>45986</v>
      </c>
      <c r="R216" s="30" t="str">
        <f t="shared" si="106"/>
        <v>mar</v>
      </c>
      <c r="S216" s="28">
        <v>0.54166666666666696</v>
      </c>
      <c r="T216" s="31"/>
      <c r="U216" s="31"/>
      <c r="V216" s="31"/>
      <c r="W216" s="40" t="str">
        <f>IF(COUNTIF(T216:V216,"?*")=$N$7,"✅ CUBIERTO",IF(COUNTIF(T216:V216,"?*")&gt;$N$7,"⚠ EXCESO",
IF(COUNTIF(T216:V216,"?*")&gt;0,"⚠ FALTANTE", "❌ SIN COMPLETAR")))</f>
        <v>❌ SIN COMPLETAR</v>
      </c>
      <c r="Y216" s="29">
        <v>45986</v>
      </c>
      <c r="Z216" s="30" t="str">
        <f t="shared" si="107"/>
        <v>mar</v>
      </c>
      <c r="AA216" s="28">
        <v>0.54166666666666696</v>
      </c>
      <c r="AB216" s="31"/>
      <c r="AC216" s="31"/>
      <c r="AD216" s="31"/>
      <c r="AE216" s="32" t="str">
        <f t="shared" si="108"/>
        <v>❌ SIN COMPLETAR</v>
      </c>
    </row>
    <row r="217" spans="1:31" x14ac:dyDescent="0.3">
      <c r="A217" s="29">
        <v>45986</v>
      </c>
      <c r="B217" s="30" t="str">
        <f t="shared" si="104"/>
        <v>mar</v>
      </c>
      <c r="C217" s="28">
        <v>0.58333333333333304</v>
      </c>
      <c r="D217" s="31"/>
      <c r="E217" s="31"/>
      <c r="F217" s="31"/>
      <c r="G217" s="40" t="str">
        <f>IF(COUNTIF(D217:F217,"?*")=$N$5,"✅ CUBIERTO",
IF(COUNTIF(D217:F217,"?*")&gt;$N$5,"⚠ EXCESO",IF(COUNTIF(D217:F217,"?*")&gt;0,"⚠ FALTANTE",
"❌ SIN COMPLETAR")))</f>
        <v>❌ SIN COMPLETAR</v>
      </c>
      <c r="H217" s="17"/>
      <c r="I217" s="29">
        <v>45986</v>
      </c>
      <c r="J217" s="30" t="str">
        <f t="shared" si="105"/>
        <v>mar</v>
      </c>
      <c r="K217" s="28">
        <v>0.58333333333333304</v>
      </c>
      <c r="L217" s="31"/>
      <c r="M217" s="31"/>
      <c r="N217" s="31"/>
      <c r="O217" s="32" t="str">
        <f>IF(COUNTIF(L217:N217,"?*")=$N$6,"✅ CUBIERTO",IF(COUNTIF(L217:N217,"?*")&gt;$N$6,"⚠ EXCESO",
IF(COUNTIF(L217:N217,"?*")&gt;0,"⚠ FALTANTE", "❌ SIN COMPLETAR")))</f>
        <v>❌ SIN COMPLETAR</v>
      </c>
      <c r="P217" s="17"/>
      <c r="Q217" s="29">
        <v>45986</v>
      </c>
      <c r="R217" s="30" t="str">
        <f t="shared" si="106"/>
        <v>mar</v>
      </c>
      <c r="S217" s="28">
        <v>0.58333333333333304</v>
      </c>
      <c r="T217" s="31"/>
      <c r="U217" s="31"/>
      <c r="V217" s="31"/>
      <c r="W217" s="40" t="str">
        <f>IF(COUNTIF(T217:V217,"?*")=$N$7,"✅ CUBIERTO",IF(COUNTIF(T217:V217,"?*")&gt;$N$7,"⚠ EXCESO",
IF(COUNTIF(T217:V217,"?*")&gt;0,"⚠ FALTANTE", "❌ SIN COMPLETAR")))</f>
        <v>❌ SIN COMPLETAR</v>
      </c>
      <c r="Y217" s="29">
        <v>45986</v>
      </c>
      <c r="Z217" s="30" t="str">
        <f t="shared" si="107"/>
        <v>mar</v>
      </c>
      <c r="AA217" s="28">
        <v>0.58333333333333304</v>
      </c>
      <c r="AB217" s="31"/>
      <c r="AC217" s="31"/>
      <c r="AD217" s="31"/>
      <c r="AE217" s="32" t="str">
        <f t="shared" si="108"/>
        <v>❌ SIN COMPLETAR</v>
      </c>
    </row>
    <row r="218" spans="1:31" x14ac:dyDescent="0.3">
      <c r="A218" s="29">
        <v>45986</v>
      </c>
      <c r="B218" s="30" t="str">
        <f t="shared" si="104"/>
        <v>mar</v>
      </c>
      <c r="C218" s="28">
        <v>0.625</v>
      </c>
      <c r="D218" s="31"/>
      <c r="E218" s="31"/>
      <c r="F218" s="31"/>
      <c r="G218" s="40" t="str">
        <f>IF(COUNTIF(D218:F218,"?*")=$N$5,"✅ CUBIERTO",
IF(COUNTIF(D218:F218,"?*")&gt;$N$5,"⚠ EXCESO",IF(COUNTIF(D218:F218,"?*")&gt;0,"⚠ FALTANTE",
"❌ SIN COMPLETAR")))</f>
        <v>❌ SIN COMPLETAR</v>
      </c>
      <c r="H218" s="17"/>
      <c r="I218" s="29">
        <v>45986</v>
      </c>
      <c r="J218" s="30" t="str">
        <f t="shared" si="105"/>
        <v>mar</v>
      </c>
      <c r="K218" s="28">
        <v>0.625</v>
      </c>
      <c r="L218" s="31"/>
      <c r="M218" s="31"/>
      <c r="N218" s="31"/>
      <c r="O218" s="32" t="str">
        <f>IF(COUNTIF(L218:N218,"?*")=$N$6,"✅ CUBIERTO",IF(COUNTIF(L218:N218,"?*")&gt;$N$6,"⚠ EXCESO",
IF(COUNTIF(L218:N218,"?*")&gt;0,"⚠ FALTANTE", "❌ SIN COMPLETAR")))</f>
        <v>❌ SIN COMPLETAR</v>
      </c>
      <c r="P218" s="17"/>
      <c r="Q218" s="29">
        <v>45986</v>
      </c>
      <c r="R218" s="30" t="str">
        <f t="shared" si="106"/>
        <v>mar</v>
      </c>
      <c r="S218" s="28">
        <v>0.625</v>
      </c>
      <c r="T218" s="31"/>
      <c r="U218" s="31"/>
      <c r="V218" s="31"/>
      <c r="W218" s="40" t="str">
        <f>IF(COUNTIF(T218:V218,"?*")=$N$7,"✅ CUBIERTO",IF(COUNTIF(T218:V218,"?*")&gt;$N$7,"⚠ EXCESO",
IF(COUNTIF(T218:V218,"?*")&gt;0,"⚠ FALTANTE", "❌ SIN COMPLETAR")))</f>
        <v>❌ SIN COMPLETAR</v>
      </c>
      <c r="Y218" s="29">
        <v>45986</v>
      </c>
      <c r="Z218" s="30" t="str">
        <f t="shared" si="107"/>
        <v>mar</v>
      </c>
      <c r="AA218" s="28">
        <v>0.625</v>
      </c>
      <c r="AB218" s="31"/>
      <c r="AC218" s="31"/>
      <c r="AD218" s="31"/>
      <c r="AE218" s="32" t="str">
        <f t="shared" si="108"/>
        <v>❌ SIN COMPLETAR</v>
      </c>
    </row>
    <row r="219" spans="1:31" x14ac:dyDescent="0.3">
      <c r="A219" s="29">
        <v>45986</v>
      </c>
      <c r="B219" s="30" t="str">
        <f t="shared" si="104"/>
        <v>mar</v>
      </c>
      <c r="C219" s="28">
        <v>0.66666666666666696</v>
      </c>
      <c r="D219" s="31"/>
      <c r="E219" s="31"/>
      <c r="F219" s="31"/>
      <c r="G219" s="32" t="str">
        <f>IF(COUNTIF(D219:F219,"?*")=$N$5,"✅ CUBIERTO",
IF(COUNTIF(D219:F219,"?*")&gt;$N$5,"⚠ EXCESO",IF(COUNTIF(D219:F219,"?*")&gt;0,"⚠ FALTANTE",
"❌ SIN COMPLETAR")))</f>
        <v>❌ SIN COMPLETAR</v>
      </c>
      <c r="H219" s="17"/>
      <c r="I219" s="29">
        <v>45986</v>
      </c>
      <c r="J219" s="30" t="str">
        <f t="shared" si="105"/>
        <v>mar</v>
      </c>
      <c r="K219" s="28">
        <v>0.66666666666666696</v>
      </c>
      <c r="L219" s="31"/>
      <c r="M219" s="31"/>
      <c r="N219" s="31"/>
      <c r="O219" s="32" t="str">
        <f>IF(COUNTIF(L219:N219,"?*")=$N$6,"✅ CUBIERTO",IF(COUNTIF(L219:N219,"?*")&gt;$N$6,"⚠ EXCESO",
IF(COUNTIF(L219:N219,"?*")&gt;0,"⚠ FALTANTE", "❌ SIN COMPLETAR")))</f>
        <v>❌ SIN COMPLETAR</v>
      </c>
      <c r="P219" s="17"/>
      <c r="Q219" s="29">
        <v>45986</v>
      </c>
      <c r="R219" s="30" t="str">
        <f t="shared" si="106"/>
        <v>mar</v>
      </c>
      <c r="S219" s="28">
        <v>0.66666666666666696</v>
      </c>
      <c r="T219" s="31"/>
      <c r="U219" s="31"/>
      <c r="V219" s="31"/>
      <c r="W219" s="40" t="str">
        <f>IF(COUNTIF(T219:V219,"?*")=$N$7,"✅ CUBIERTO",IF(COUNTIF(T219:V219,"?*")&gt;$N$7,"⚠ EXCESO",
IF(COUNTIF(T219:V219,"?*")&gt;0,"⚠ FALTANTE", "❌ SIN COMPLETAR")))</f>
        <v>❌ SIN COMPLETAR</v>
      </c>
      <c r="Y219" s="29">
        <v>45986</v>
      </c>
      <c r="Z219" s="30" t="str">
        <f t="shared" si="107"/>
        <v>mar</v>
      </c>
      <c r="AA219" s="28">
        <v>0.66666666666666696</v>
      </c>
      <c r="AB219" s="31"/>
      <c r="AC219" s="31"/>
      <c r="AD219" s="31"/>
      <c r="AE219" s="32" t="str">
        <f t="shared" si="108"/>
        <v>❌ SIN COMPLETAR</v>
      </c>
    </row>
    <row r="220" spans="1:31" x14ac:dyDescent="0.3">
      <c r="A220" s="29">
        <v>45986</v>
      </c>
      <c r="B220" s="30" t="str">
        <f t="shared" si="104"/>
        <v>mar</v>
      </c>
      <c r="C220" s="28">
        <v>0.70833333333333304</v>
      </c>
      <c r="D220" s="31"/>
      <c r="E220" s="31"/>
      <c r="F220" s="31"/>
      <c r="G220" s="32" t="str">
        <f>IF(COUNTIF(D220:F220,"?*")=$N$5,"✅ CUBIERTO",
IF(COUNTIF(D220:F220,"?*")&gt;$N$5,"⚠ EXCESO",IF(COUNTIF(D220:F220,"?*")&gt;0,"⚠ FALTANTE",
"❌ SIN COMPLETAR")))</f>
        <v>❌ SIN COMPLETAR</v>
      </c>
      <c r="H220" s="17"/>
      <c r="I220" s="29">
        <v>45986</v>
      </c>
      <c r="J220" s="30" t="str">
        <f t="shared" si="105"/>
        <v>mar</v>
      </c>
      <c r="K220" s="28">
        <v>0.70833333333333304</v>
      </c>
      <c r="L220" s="31"/>
      <c r="M220" s="31"/>
      <c r="N220" s="31"/>
      <c r="O220" s="32" t="str">
        <f>IF(COUNTIF(L220:N220,"?*")=$N$6,"✅ CUBIERTO",IF(COUNTIF(L220:N220,"?*")&gt;$N$6,"⚠ EXCESO",
IF(COUNTIF(L220:N220,"?*")&gt;0,"⚠ FALTANTE", "❌ SIN COMPLETAR")))</f>
        <v>❌ SIN COMPLETAR</v>
      </c>
      <c r="P220" s="17"/>
      <c r="Q220" s="29">
        <v>45986</v>
      </c>
      <c r="R220" s="30" t="str">
        <f t="shared" si="106"/>
        <v>mar</v>
      </c>
      <c r="S220" s="28">
        <v>0.70833333333333304</v>
      </c>
      <c r="T220" s="31"/>
      <c r="U220" s="31"/>
      <c r="V220" s="31"/>
      <c r="W220" s="40" t="str">
        <f>IF(COUNTIF(T220:V220,"?*")=$N$7,"✅ CUBIERTO",IF(COUNTIF(T220:V220,"?*")&gt;$N$7,"⚠ EXCESO",
IF(COUNTIF(T220:V220,"?*")&gt;0,"⚠ FALTANTE", "❌ SIN COMPLETAR")))</f>
        <v>❌ SIN COMPLETAR</v>
      </c>
      <c r="Y220" s="29">
        <v>45986</v>
      </c>
      <c r="Z220" s="30" t="str">
        <f t="shared" si="107"/>
        <v>mar</v>
      </c>
      <c r="AA220" s="28">
        <v>0.70833333333333304</v>
      </c>
      <c r="AB220" s="31"/>
      <c r="AC220" s="31"/>
      <c r="AD220" s="31"/>
      <c r="AE220" s="32" t="str">
        <f t="shared" si="108"/>
        <v>❌ SIN COMPLETAR</v>
      </c>
    </row>
    <row r="221" spans="1:31" x14ac:dyDescent="0.3">
      <c r="A221" s="29">
        <v>45986</v>
      </c>
      <c r="B221" s="30" t="str">
        <f t="shared" si="104"/>
        <v>mar</v>
      </c>
      <c r="C221" s="28">
        <v>0.75</v>
      </c>
      <c r="D221" s="31"/>
      <c r="E221" s="31"/>
      <c r="F221" s="31"/>
      <c r="G221" s="32" t="str">
        <f>IF(COUNTIF(D221:F221,"?*")=$N$5,"✅ CUBIERTO",
IF(COUNTIF(D221:F221,"?*")&gt;$N$5,"⚠ EXCESO",IF(COUNTIF(D221:F221,"?*")&gt;0,"⚠ FALTANTE",
"❌ SIN COMPLETAR")))</f>
        <v>❌ SIN COMPLETAR</v>
      </c>
      <c r="H221" s="17"/>
      <c r="I221" s="29">
        <v>45986</v>
      </c>
      <c r="J221" s="30" t="str">
        <f t="shared" si="105"/>
        <v>mar</v>
      </c>
      <c r="K221" s="28">
        <v>0.75</v>
      </c>
      <c r="L221" s="41"/>
      <c r="M221" s="41"/>
      <c r="N221" s="41"/>
      <c r="O221" s="32" t="str">
        <f>IF(COUNTIF(L221:N221,"?*")=$N$6,"✅ CUBIERTO",IF(COUNTIF(L221:N221,"?*")&gt;$N$6,"⚠ EXCESO",
IF(COUNTIF(L221:N221,"?*")&gt;0,"⚠ FALTANTE", "❌ SIN COMPLETAR")))</f>
        <v>❌ SIN COMPLETAR</v>
      </c>
      <c r="P221" s="17"/>
      <c r="Q221" s="29">
        <v>45986</v>
      </c>
      <c r="R221" s="30" t="str">
        <f t="shared" si="106"/>
        <v>mar</v>
      </c>
      <c r="S221" s="28">
        <v>0.75</v>
      </c>
      <c r="T221" s="31"/>
      <c r="U221" s="31"/>
      <c r="V221" s="31"/>
      <c r="W221" s="40" t="s">
        <v>16</v>
      </c>
      <c r="Y221" s="29">
        <v>45986</v>
      </c>
      <c r="Z221" s="30" t="str">
        <f t="shared" si="107"/>
        <v>mar</v>
      </c>
      <c r="AA221" s="28">
        <v>0.75</v>
      </c>
      <c r="AB221" s="41"/>
      <c r="AC221" s="41"/>
      <c r="AD221" s="41"/>
      <c r="AE221" s="32" t="str">
        <f t="shared" si="108"/>
        <v>❌ SIN COMPLETAR</v>
      </c>
    </row>
    <row r="222" spans="1:31" x14ac:dyDescent="0.3">
      <c r="A222" s="29">
        <v>45987</v>
      </c>
      <c r="B222" s="30" t="str">
        <f>TEXT(A222,"ddd")</f>
        <v>mié</v>
      </c>
      <c r="C222" s="28">
        <v>0.45833333333333331</v>
      </c>
      <c r="D222" s="31"/>
      <c r="E222" s="31"/>
      <c r="F222" s="31"/>
      <c r="G222" s="32" t="str">
        <f>IF(COUNTIF(D222:F222,"?*")=$N$5,"✅ CUBIERTO",
IF(COUNTIF(D222:F222,"?*")&gt;$N$5,"⚠ EXCESO",IF(COUNTIF(D222:F222,"?*")&gt;0,"⚠ FALTANTE",
"❌ SIN COMPLETAR")))</f>
        <v>❌ SIN COMPLETAR</v>
      </c>
      <c r="H222" s="17"/>
      <c r="I222" s="29">
        <v>45987</v>
      </c>
      <c r="J222" s="30" t="str">
        <f>TEXT(I222,"ddd")</f>
        <v>mié</v>
      </c>
      <c r="K222" s="28">
        <v>0.45833333333333331</v>
      </c>
      <c r="L222" s="31"/>
      <c r="M222" s="31"/>
      <c r="N222" s="31"/>
      <c r="O222" s="32" t="str">
        <f>IF(COUNTIF(L222:N222,"?*")=$N$6,"✅ CUBIERTO",IF(COUNTIF(L222:N222,"?*")&gt;$N$6,"⚠ EXCESO",
IF(COUNTIF(L222:N222,"?*")&gt;0,"⚠ FALTANTE", "❌ SIN COMPLETAR")))</f>
        <v>❌ SIN COMPLETAR</v>
      </c>
      <c r="P222" s="17"/>
      <c r="Q222" s="29">
        <v>45987</v>
      </c>
      <c r="R222" s="30" t="str">
        <f>TEXT(Q222,"ddd")</f>
        <v>mié</v>
      </c>
      <c r="S222" s="28">
        <v>0.45833333333333331</v>
      </c>
      <c r="T222" s="31"/>
      <c r="U222" s="31"/>
      <c r="V222" s="31"/>
      <c r="W222" s="40" t="s">
        <v>16</v>
      </c>
      <c r="Y222" s="29">
        <v>45987</v>
      </c>
      <c r="Z222" s="30" t="str">
        <f>TEXT(Y222,"ddd")</f>
        <v>mié</v>
      </c>
      <c r="AA222" s="28">
        <v>0.45833333333333331</v>
      </c>
      <c r="AB222" s="31"/>
      <c r="AC222" s="31"/>
      <c r="AD222" s="31"/>
      <c r="AE222" s="32" t="str">
        <f t="shared" si="108"/>
        <v>❌ SIN COMPLETAR</v>
      </c>
    </row>
    <row r="223" spans="1:31" x14ac:dyDescent="0.3">
      <c r="A223" s="29">
        <v>45987</v>
      </c>
      <c r="B223" s="30" t="str">
        <f t="shared" ref="B223:B229" si="109">TEXT(A223,"ddd")</f>
        <v>mié</v>
      </c>
      <c r="C223" s="28">
        <v>0.5</v>
      </c>
      <c r="D223" s="31"/>
      <c r="E223" s="31"/>
      <c r="F223" s="31"/>
      <c r="G223" s="32" t="str">
        <f>IF(COUNTIF(D223:F223,"?*")=$N$5,"✅ CUBIERTO",
IF(COUNTIF(D223:F223,"?*")&gt;$N$5,"⚠ EXCESO",IF(COUNTIF(D223:F223,"?*")&gt;0,"⚠ FALTANTE",
"❌ SIN COMPLETAR")))</f>
        <v>❌ SIN COMPLETAR</v>
      </c>
      <c r="H223" s="17"/>
      <c r="I223" s="29">
        <v>45987</v>
      </c>
      <c r="J223" s="30" t="str">
        <f t="shared" ref="J223:J229" si="110">TEXT(I223,"ddd")</f>
        <v>mié</v>
      </c>
      <c r="K223" s="28">
        <v>0.5</v>
      </c>
      <c r="L223" s="31"/>
      <c r="M223" s="31"/>
      <c r="N223" s="31"/>
      <c r="O223" s="32" t="str">
        <f>IF(COUNTIF(L223:N223,"?*")=$N$6,"✅ CUBIERTO",IF(COUNTIF(L223:N223,"?*")&gt;$N$6,"⚠ EXCESO",
IF(COUNTIF(L223:N223,"?*")&gt;0,"⚠ FALTANTE", "❌ SIN COMPLETAR")))</f>
        <v>❌ SIN COMPLETAR</v>
      </c>
      <c r="P223" s="17"/>
      <c r="Q223" s="29">
        <v>45987</v>
      </c>
      <c r="R223" s="30" t="str">
        <f t="shared" ref="R223:R229" si="111">TEXT(Q223,"ddd")</f>
        <v>mié</v>
      </c>
      <c r="S223" s="28">
        <v>0.5</v>
      </c>
      <c r="T223" s="31"/>
      <c r="U223" s="31"/>
      <c r="V223" s="31"/>
      <c r="W223" s="40" t="str">
        <f>IF(COUNTIF(T223:V223,"?*")=$N$7,"✅ CUBIERTO",IF(COUNTIF(T223:V223,"?*")&gt;$N$7,"⚠ EXCESO",
IF(COUNTIF(T223:V223,"?*")&gt;0,"⚠ FALTANTE", "❌ SIN COMPLETAR")))</f>
        <v>❌ SIN COMPLETAR</v>
      </c>
      <c r="Y223" s="29">
        <v>45987</v>
      </c>
      <c r="Z223" s="30" t="str">
        <f t="shared" ref="Z223:Z229" si="112">TEXT(Y223,"ddd")</f>
        <v>mié</v>
      </c>
      <c r="AA223" s="28">
        <v>0.5</v>
      </c>
      <c r="AB223" s="31"/>
      <c r="AC223" s="31"/>
      <c r="AD223" s="31"/>
      <c r="AE223" s="32" t="str">
        <f t="shared" si="108"/>
        <v>❌ SIN COMPLETAR</v>
      </c>
    </row>
    <row r="224" spans="1:31" x14ac:dyDescent="0.3">
      <c r="A224" s="29">
        <v>45987</v>
      </c>
      <c r="B224" s="30" t="str">
        <f t="shared" si="109"/>
        <v>mié</v>
      </c>
      <c r="C224" s="28">
        <v>0.54166666666666696</v>
      </c>
      <c r="D224" s="31"/>
      <c r="E224" s="31"/>
      <c r="F224" s="31"/>
      <c r="G224" s="32" t="str">
        <f>IF(COUNTIF(D224:F224,"?*")=$N$5,"✅ CUBIERTO",
IF(COUNTIF(D224:F224,"?*")&gt;$N$5,"⚠ EXCESO",IF(COUNTIF(D224:F224,"?*")&gt;0,"⚠ FALTANTE",
"❌ SIN COMPLETAR")))</f>
        <v>❌ SIN COMPLETAR</v>
      </c>
      <c r="H224" s="17"/>
      <c r="I224" s="29">
        <v>45987</v>
      </c>
      <c r="J224" s="30" t="str">
        <f t="shared" si="110"/>
        <v>mié</v>
      </c>
      <c r="K224" s="28">
        <v>0.54166666666666696</v>
      </c>
      <c r="L224" s="31"/>
      <c r="M224" s="31"/>
      <c r="N224" s="31"/>
      <c r="O224" s="32" t="str">
        <f>IF(COUNTIF(L224:N224,"?*")=$N$6,"✅ CUBIERTO",IF(COUNTIF(L224:N224,"?*")&gt;$N$6,"⚠ EXCESO",
IF(COUNTIF(L224:N224,"?*")&gt;0,"⚠ FALTANTE", "❌ SIN COMPLETAR")))</f>
        <v>❌ SIN COMPLETAR</v>
      </c>
      <c r="P224" s="17"/>
      <c r="Q224" s="29">
        <v>45987</v>
      </c>
      <c r="R224" s="30" t="str">
        <f t="shared" si="111"/>
        <v>mié</v>
      </c>
      <c r="S224" s="28">
        <v>0.54166666666666696</v>
      </c>
      <c r="T224" s="31"/>
      <c r="U224" s="31"/>
      <c r="V224" s="31"/>
      <c r="W224" s="40" t="str">
        <f>IF(COUNTIF(T224:V224,"?*")=$N$7,"✅ CUBIERTO",IF(COUNTIF(T224:V224,"?*")&gt;$N$7,"⚠ EXCESO",
IF(COUNTIF(T224:V224,"?*")&gt;0,"⚠ FALTANTE", "❌ SIN COMPLETAR")))</f>
        <v>❌ SIN COMPLETAR</v>
      </c>
      <c r="Y224" s="29">
        <v>45987</v>
      </c>
      <c r="Z224" s="30" t="str">
        <f t="shared" si="112"/>
        <v>mié</v>
      </c>
      <c r="AA224" s="28">
        <v>0.54166666666666696</v>
      </c>
      <c r="AB224" s="31"/>
      <c r="AC224" s="31"/>
      <c r="AD224" s="31"/>
      <c r="AE224" s="32" t="str">
        <f t="shared" si="108"/>
        <v>❌ SIN COMPLETAR</v>
      </c>
    </row>
    <row r="225" spans="1:31" x14ac:dyDescent="0.3">
      <c r="A225" s="29">
        <v>45987</v>
      </c>
      <c r="B225" s="30" t="str">
        <f t="shared" si="109"/>
        <v>mié</v>
      </c>
      <c r="C225" s="28">
        <v>0.58333333333333304</v>
      </c>
      <c r="D225" s="31"/>
      <c r="E225" s="31"/>
      <c r="F225" s="31"/>
      <c r="G225" s="32" t="str">
        <f>IF(COUNTIF(D225:F225,"?*")=$N$5,"✅ CUBIERTO",
IF(COUNTIF(D225:F225,"?*")&gt;$N$5,"⚠ EXCESO",IF(COUNTIF(D225:F225,"?*")&gt;0,"⚠ FALTANTE",
"❌ SIN COMPLETAR")))</f>
        <v>❌ SIN COMPLETAR</v>
      </c>
      <c r="H225" s="17"/>
      <c r="I225" s="29">
        <v>45987</v>
      </c>
      <c r="J225" s="30" t="str">
        <f t="shared" si="110"/>
        <v>mié</v>
      </c>
      <c r="K225" s="28">
        <v>0.58333333333333304</v>
      </c>
      <c r="L225" s="31"/>
      <c r="M225" s="31"/>
      <c r="N225" s="31"/>
      <c r="O225" s="32" t="str">
        <f>IF(COUNTIF(L225:N225,"?*")=$N$6,"✅ CUBIERTO",IF(COUNTIF(L225:N225,"?*")&gt;$N$6,"⚠ EXCESO",
IF(COUNTIF(L225:N225,"?*")&gt;0,"⚠ FALTANTE", "❌ SIN COMPLETAR")))</f>
        <v>❌ SIN COMPLETAR</v>
      </c>
      <c r="P225" s="17"/>
      <c r="Q225" s="29">
        <v>45987</v>
      </c>
      <c r="R225" s="30" t="str">
        <f t="shared" si="111"/>
        <v>mié</v>
      </c>
      <c r="S225" s="28">
        <v>0.58333333333333304</v>
      </c>
      <c r="T225" s="31"/>
      <c r="U225" s="31"/>
      <c r="V225" s="31"/>
      <c r="W225" s="40" t="str">
        <f>IF(COUNTIF(T225:V225,"?*")=$N$7,"✅ CUBIERTO",IF(COUNTIF(T225:V225,"?*")&gt;$N$7,"⚠ EXCESO",
IF(COUNTIF(T225:V225,"?*")&gt;0,"⚠ FALTANTE", "❌ SIN COMPLETAR")))</f>
        <v>❌ SIN COMPLETAR</v>
      </c>
      <c r="Y225" s="29">
        <v>45987</v>
      </c>
      <c r="Z225" s="30" t="str">
        <f t="shared" si="112"/>
        <v>mié</v>
      </c>
      <c r="AA225" s="28">
        <v>0.58333333333333304</v>
      </c>
      <c r="AB225" s="31"/>
      <c r="AC225" s="31"/>
      <c r="AD225" s="31"/>
      <c r="AE225" s="32" t="str">
        <f t="shared" si="108"/>
        <v>❌ SIN COMPLETAR</v>
      </c>
    </row>
    <row r="226" spans="1:31" x14ac:dyDescent="0.3">
      <c r="A226" s="29">
        <v>45987</v>
      </c>
      <c r="B226" s="30" t="str">
        <f t="shared" si="109"/>
        <v>mié</v>
      </c>
      <c r="C226" s="28">
        <v>0.625</v>
      </c>
      <c r="D226" s="31"/>
      <c r="E226" s="31"/>
      <c r="F226" s="31"/>
      <c r="G226" s="32" t="str">
        <f>IF(COUNTIF(D226:F226,"?*")=$N$5,"✅ CUBIERTO",
IF(COUNTIF(D226:F226,"?*")&gt;$N$5,"⚠ EXCESO",IF(COUNTIF(D226:F226,"?*")&gt;0,"⚠ FALTANTE",
"❌ SIN COMPLETAR")))</f>
        <v>❌ SIN COMPLETAR</v>
      </c>
      <c r="H226" s="17"/>
      <c r="I226" s="29">
        <v>45987</v>
      </c>
      <c r="J226" s="30" t="str">
        <f t="shared" si="110"/>
        <v>mié</v>
      </c>
      <c r="K226" s="28">
        <v>0.625</v>
      </c>
      <c r="L226" s="31"/>
      <c r="M226" s="31"/>
      <c r="N226" s="31"/>
      <c r="O226" s="32" t="str">
        <f>IF(COUNTIF(L226:N226,"?*")=$N$6,"✅ CUBIERTO",IF(COUNTIF(L226:N226,"?*")&gt;$N$6,"⚠ EXCESO",
IF(COUNTIF(L226:N226,"?*")&gt;0,"⚠ FALTANTE", "❌ SIN COMPLETAR")))</f>
        <v>❌ SIN COMPLETAR</v>
      </c>
      <c r="P226" s="17"/>
      <c r="Q226" s="29">
        <v>45987</v>
      </c>
      <c r="R226" s="30" t="str">
        <f t="shared" si="111"/>
        <v>mié</v>
      </c>
      <c r="S226" s="28">
        <v>0.625</v>
      </c>
      <c r="T226" s="31"/>
      <c r="U226" s="31"/>
      <c r="V226" s="31"/>
      <c r="W226" s="40" t="str">
        <f>IF(COUNTIF(T226:V226,"?*")=$N$7,"✅ CUBIERTO",IF(COUNTIF(T226:V226,"?*")&gt;$N$7,"⚠ EXCESO",
IF(COUNTIF(T226:V226,"?*")&gt;0,"⚠ FALTANTE", "❌ SIN COMPLETAR")))</f>
        <v>❌ SIN COMPLETAR</v>
      </c>
      <c r="Y226" s="29">
        <v>45987</v>
      </c>
      <c r="Z226" s="30" t="str">
        <f t="shared" si="112"/>
        <v>mié</v>
      </c>
      <c r="AA226" s="28">
        <v>0.625</v>
      </c>
      <c r="AB226" s="31"/>
      <c r="AC226" s="31"/>
      <c r="AD226" s="31"/>
      <c r="AE226" s="32" t="str">
        <f t="shared" si="108"/>
        <v>❌ SIN COMPLETAR</v>
      </c>
    </row>
    <row r="227" spans="1:31" x14ac:dyDescent="0.3">
      <c r="A227" s="29">
        <v>45987</v>
      </c>
      <c r="B227" s="30" t="str">
        <f t="shared" si="109"/>
        <v>mié</v>
      </c>
      <c r="C227" s="28">
        <v>0.66666666666666696</v>
      </c>
      <c r="D227" s="31"/>
      <c r="E227" s="31"/>
      <c r="F227" s="31"/>
      <c r="G227" s="32" t="str">
        <f>IF(COUNTIF(D227:F227,"?*")=$N$5,"✅ CUBIERTO",
IF(COUNTIF(D227:F227,"?*")&gt;$N$5,"⚠ EXCESO",IF(COUNTIF(D227:F227,"?*")&gt;0,"⚠ FALTANTE",
"❌ SIN COMPLETAR")))</f>
        <v>❌ SIN COMPLETAR</v>
      </c>
      <c r="H227" s="17"/>
      <c r="I227" s="29">
        <v>45987</v>
      </c>
      <c r="J227" s="30" t="str">
        <f t="shared" si="110"/>
        <v>mié</v>
      </c>
      <c r="K227" s="28">
        <v>0.66666666666666696</v>
      </c>
      <c r="L227" s="31"/>
      <c r="M227" s="31"/>
      <c r="N227" s="31"/>
      <c r="O227" s="32" t="str">
        <f>IF(COUNTIF(L227:N227,"?*")=$N$6,"✅ CUBIERTO",IF(COUNTIF(L227:N227,"?*")&gt;$N$6,"⚠ EXCESO",
IF(COUNTIF(L227:N227,"?*")&gt;0,"⚠ FALTANTE", "❌ SIN COMPLETAR")))</f>
        <v>❌ SIN COMPLETAR</v>
      </c>
      <c r="P227" s="17"/>
      <c r="Q227" s="29">
        <v>45987</v>
      </c>
      <c r="R227" s="30" t="str">
        <f t="shared" si="111"/>
        <v>mié</v>
      </c>
      <c r="S227" s="28">
        <v>0.66666666666666696</v>
      </c>
      <c r="T227" s="31"/>
      <c r="U227" s="31"/>
      <c r="V227" s="31"/>
      <c r="W227" s="40" t="str">
        <f>IF(COUNTIF(T227:V227,"?*")=$N$7,"✅ CUBIERTO",IF(COUNTIF(T227:V227,"?*")&gt;$N$7,"⚠ EXCESO",
IF(COUNTIF(T227:V227,"?*")&gt;0,"⚠ FALTANTE", "❌ SIN COMPLETAR")))</f>
        <v>❌ SIN COMPLETAR</v>
      </c>
      <c r="Y227" s="29">
        <v>45987</v>
      </c>
      <c r="Z227" s="30" t="str">
        <f t="shared" si="112"/>
        <v>mié</v>
      </c>
      <c r="AA227" s="28">
        <v>0.66666666666666696</v>
      </c>
      <c r="AB227" s="31"/>
      <c r="AC227" s="31"/>
      <c r="AD227" s="31"/>
      <c r="AE227" s="32" t="str">
        <f t="shared" si="108"/>
        <v>❌ SIN COMPLETAR</v>
      </c>
    </row>
    <row r="228" spans="1:31" x14ac:dyDescent="0.3">
      <c r="A228" s="29">
        <v>45987</v>
      </c>
      <c r="B228" s="30" t="str">
        <f t="shared" si="109"/>
        <v>mié</v>
      </c>
      <c r="C228" s="28">
        <v>0.70833333333333304</v>
      </c>
      <c r="D228" s="31"/>
      <c r="E228" s="31"/>
      <c r="F228" s="31"/>
      <c r="G228" s="32" t="str">
        <f>IF(COUNTIF(D228:F228,"?*")=$N$5,"✅ CUBIERTO",
IF(COUNTIF(D228:F228,"?*")&gt;$N$5,"⚠ EXCESO",IF(COUNTIF(D228:F228,"?*")&gt;0,"⚠ FALTANTE",
"❌ SIN COMPLETAR")))</f>
        <v>❌ SIN COMPLETAR</v>
      </c>
      <c r="H228" s="17"/>
      <c r="I228" s="29">
        <v>45987</v>
      </c>
      <c r="J228" s="30" t="str">
        <f t="shared" si="110"/>
        <v>mié</v>
      </c>
      <c r="K228" s="28">
        <v>0.70833333333333304</v>
      </c>
      <c r="L228" s="31"/>
      <c r="M228" s="31"/>
      <c r="N228" s="31"/>
      <c r="O228" s="32" t="str">
        <f>IF(COUNTIF(L228:N228,"?*")=$N$6,"✅ CUBIERTO",IF(COUNTIF(L228:N228,"?*")&gt;$N$6,"⚠ EXCESO",
IF(COUNTIF(L228:N228,"?*")&gt;0,"⚠ FALTANTE", "❌ SIN COMPLETAR")))</f>
        <v>❌ SIN COMPLETAR</v>
      </c>
      <c r="P228" s="17"/>
      <c r="Q228" s="29">
        <v>45987</v>
      </c>
      <c r="R228" s="30" t="str">
        <f t="shared" si="111"/>
        <v>mié</v>
      </c>
      <c r="S228" s="28">
        <v>0.70833333333333304</v>
      </c>
      <c r="T228" s="31"/>
      <c r="U228" s="31"/>
      <c r="V228" s="31"/>
      <c r="W228" s="40" t="str">
        <f>IF(COUNTIF(T228:V228,"?*")=$N$7,"✅ CUBIERTO",IF(COUNTIF(T228:V228,"?*")&gt;$N$7,"⚠ EXCESO",
IF(COUNTIF(T228:V228,"?*")&gt;0,"⚠ FALTANTE", "❌ SIN COMPLETAR")))</f>
        <v>❌ SIN COMPLETAR</v>
      </c>
      <c r="Y228" s="29">
        <v>45987</v>
      </c>
      <c r="Z228" s="30" t="str">
        <f t="shared" si="112"/>
        <v>mié</v>
      </c>
      <c r="AA228" s="28">
        <v>0.70833333333333304</v>
      </c>
      <c r="AB228" s="31"/>
      <c r="AC228" s="31"/>
      <c r="AD228" s="31"/>
      <c r="AE228" s="32" t="str">
        <f t="shared" si="108"/>
        <v>❌ SIN COMPLETAR</v>
      </c>
    </row>
    <row r="229" spans="1:31" x14ac:dyDescent="0.3">
      <c r="A229" s="29">
        <v>45987</v>
      </c>
      <c r="B229" s="30" t="str">
        <f t="shared" si="109"/>
        <v>mié</v>
      </c>
      <c r="C229" s="28">
        <v>0.75</v>
      </c>
      <c r="D229" s="31"/>
      <c r="E229" s="31"/>
      <c r="F229" s="31"/>
      <c r="G229" s="32" t="str">
        <f>IF(COUNTIF(D229:F229,"?*")=$N$5,"✅ CUBIERTO",
IF(COUNTIF(D229:F229,"?*")&gt;$N$5,"⚠ EXCESO",IF(COUNTIF(D229:F229,"?*")&gt;0,"⚠ FALTANTE",
"❌ SIN COMPLETAR")))</f>
        <v>❌ SIN COMPLETAR</v>
      </c>
      <c r="H229" s="17"/>
      <c r="I229" s="29">
        <v>45987</v>
      </c>
      <c r="J229" s="30" t="str">
        <f t="shared" si="110"/>
        <v>mié</v>
      </c>
      <c r="K229" s="28">
        <v>0.75</v>
      </c>
      <c r="L229" s="41"/>
      <c r="M229" s="41"/>
      <c r="N229" s="41"/>
      <c r="O229" s="32" t="str">
        <f>IF(COUNTIF(L229:N229,"?*")=$N$6,"✅ CUBIERTO",IF(COUNTIF(L229:N229,"?*")&gt;$N$6,"⚠ EXCESO",
IF(COUNTIF(L229:N229,"?*")&gt;0,"⚠ FALTANTE", "❌ SIN COMPLETAR")))</f>
        <v>❌ SIN COMPLETAR</v>
      </c>
      <c r="P229" s="17"/>
      <c r="Q229" s="29">
        <v>45987</v>
      </c>
      <c r="R229" s="30" t="str">
        <f t="shared" si="111"/>
        <v>mié</v>
      </c>
      <c r="S229" s="28">
        <v>0.75</v>
      </c>
      <c r="T229" s="31"/>
      <c r="U229" s="31"/>
      <c r="V229" s="31"/>
      <c r="W229" s="40" t="s">
        <v>16</v>
      </c>
      <c r="Y229" s="29">
        <v>45987</v>
      </c>
      <c r="Z229" s="30" t="str">
        <f t="shared" si="112"/>
        <v>mié</v>
      </c>
      <c r="AA229" s="28">
        <v>0.75</v>
      </c>
      <c r="AB229" s="41"/>
      <c r="AC229" s="41"/>
      <c r="AD229" s="41"/>
      <c r="AE229" s="32" t="str">
        <f t="shared" si="108"/>
        <v>❌ SIN COMPLETAR</v>
      </c>
    </row>
    <row r="230" spans="1:31" x14ac:dyDescent="0.3">
      <c r="A230" s="29">
        <v>45988</v>
      </c>
      <c r="B230" s="30" t="str">
        <f>TEXT(A230,"ddd")</f>
        <v>jue</v>
      </c>
      <c r="C230" s="28">
        <v>0.45833333333333331</v>
      </c>
      <c r="D230" s="31"/>
      <c r="E230" s="31"/>
      <c r="F230" s="31"/>
      <c r="G230" s="32" t="str">
        <f>IF(COUNTIF(D230:F230,"?*")=$N$5,"✅ CUBIERTO",
IF(COUNTIF(D230:F230,"?*")&gt;$N$5,"⚠ EXCESO",IF(COUNTIF(D230:F230,"?*")&gt;0,"⚠ FALTANTE",
"❌ SIN COMPLETAR")))</f>
        <v>❌ SIN COMPLETAR</v>
      </c>
      <c r="H230" s="17"/>
      <c r="I230" s="29">
        <v>45988</v>
      </c>
      <c r="J230" s="30" t="str">
        <f>TEXT(I230,"ddd")</f>
        <v>jue</v>
      </c>
      <c r="K230" s="28">
        <v>0.45833333333333331</v>
      </c>
      <c r="L230" s="31"/>
      <c r="M230" s="31"/>
      <c r="N230" s="31"/>
      <c r="O230" s="32" t="str">
        <f>IF(COUNTIF(L230:N230,"?*")=$N$6,"✅ CUBIERTO",IF(COUNTIF(L230:N230,"?*")&gt;$N$6,"⚠ EXCESO",
IF(COUNTIF(L230:N230,"?*")&gt;0,"⚠ FALTANTE", "❌ SIN COMPLETAR")))</f>
        <v>❌ SIN COMPLETAR</v>
      </c>
      <c r="P230" s="17"/>
      <c r="Q230" s="29">
        <v>45988</v>
      </c>
      <c r="R230" s="30" t="str">
        <f>TEXT(Q230,"ddd")</f>
        <v>jue</v>
      </c>
      <c r="S230" s="28">
        <v>0.45833333333333331</v>
      </c>
      <c r="T230" s="31"/>
      <c r="U230" s="31"/>
      <c r="V230" s="31"/>
      <c r="W230" s="40" t="s">
        <v>16</v>
      </c>
      <c r="Y230" s="29">
        <v>45988</v>
      </c>
      <c r="Z230" s="30" t="str">
        <f>TEXT(Y230,"ddd")</f>
        <v>jue</v>
      </c>
      <c r="AA230" s="28">
        <v>0.45833333333333331</v>
      </c>
      <c r="AB230" s="31"/>
      <c r="AC230" s="31"/>
      <c r="AD230" s="31"/>
      <c r="AE230" s="32" t="str">
        <f t="shared" si="108"/>
        <v>❌ SIN COMPLETAR</v>
      </c>
    </row>
    <row r="231" spans="1:31" x14ac:dyDescent="0.3">
      <c r="A231" s="29">
        <v>45988</v>
      </c>
      <c r="B231" s="30" t="str">
        <f t="shared" ref="B231:B237" si="113">TEXT(A231,"ddd")</f>
        <v>jue</v>
      </c>
      <c r="C231" s="28">
        <v>0.5</v>
      </c>
      <c r="D231" s="31"/>
      <c r="E231" s="31"/>
      <c r="F231" s="31"/>
      <c r="G231" s="32" t="str">
        <f>IF(COUNTIF(D231:F231,"?*")=$N$5,"✅ CUBIERTO",
IF(COUNTIF(D231:F231,"?*")&gt;$N$5,"⚠ EXCESO",IF(COUNTIF(D231:F231,"?*")&gt;0,"⚠ FALTANTE",
"❌ SIN COMPLETAR")))</f>
        <v>❌ SIN COMPLETAR</v>
      </c>
      <c r="H231" s="17"/>
      <c r="I231" s="29">
        <v>45988</v>
      </c>
      <c r="J231" s="30" t="str">
        <f t="shared" ref="J231:J237" si="114">TEXT(I231,"ddd")</f>
        <v>jue</v>
      </c>
      <c r="K231" s="28">
        <v>0.5</v>
      </c>
      <c r="L231" s="31"/>
      <c r="M231" s="31"/>
      <c r="N231" s="31"/>
      <c r="O231" s="32" t="str">
        <f>IF(COUNTIF(L231:N231,"?*")=$N$6,"✅ CUBIERTO",IF(COUNTIF(L231:N231,"?*")&gt;$N$6,"⚠ EXCESO",
IF(COUNTIF(L231:N231,"?*")&gt;0,"⚠ FALTANTE", "❌ SIN COMPLETAR")))</f>
        <v>❌ SIN COMPLETAR</v>
      </c>
      <c r="P231" s="17"/>
      <c r="Q231" s="29">
        <v>45988</v>
      </c>
      <c r="R231" s="30" t="str">
        <f t="shared" ref="R231:R237" si="115">TEXT(Q231,"ddd")</f>
        <v>jue</v>
      </c>
      <c r="S231" s="28">
        <v>0.5</v>
      </c>
      <c r="T231" s="31"/>
      <c r="U231" s="31"/>
      <c r="V231" s="31"/>
      <c r="W231" s="40" t="str">
        <f>IF(COUNTIF(T231:V231,"?*")=$N$7,"✅ CUBIERTO",IF(COUNTIF(T231:V231,"?*")&gt;$N$7,"⚠ EXCESO",
IF(COUNTIF(T231:V231,"?*")&gt;0,"⚠ FALTANTE", "❌ SIN COMPLETAR")))</f>
        <v>❌ SIN COMPLETAR</v>
      </c>
      <c r="Y231" s="29">
        <v>45988</v>
      </c>
      <c r="Z231" s="30" t="str">
        <f t="shared" ref="Z231:Z237" si="116">TEXT(Y231,"ddd")</f>
        <v>jue</v>
      </c>
      <c r="AA231" s="28">
        <v>0.5</v>
      </c>
      <c r="AB231" s="31"/>
      <c r="AC231" s="31"/>
      <c r="AD231" s="31"/>
      <c r="AE231" s="32" t="str">
        <f t="shared" si="108"/>
        <v>❌ SIN COMPLETAR</v>
      </c>
    </row>
    <row r="232" spans="1:31" x14ac:dyDescent="0.3">
      <c r="A232" s="29">
        <v>45988</v>
      </c>
      <c r="B232" s="30" t="str">
        <f t="shared" si="113"/>
        <v>jue</v>
      </c>
      <c r="C232" s="28">
        <v>0.54166666666666696</v>
      </c>
      <c r="D232" s="31"/>
      <c r="E232" s="31"/>
      <c r="F232" s="31"/>
      <c r="G232" s="32" t="str">
        <f>IF(COUNTIF(D232:F232,"?*")=$N$5,"✅ CUBIERTO",
IF(COUNTIF(D232:F232,"?*")&gt;$N$5,"⚠ EXCESO",IF(COUNTIF(D232:F232,"?*")&gt;0,"⚠ FALTANTE",
"❌ SIN COMPLETAR")))</f>
        <v>❌ SIN COMPLETAR</v>
      </c>
      <c r="H232" s="17"/>
      <c r="I232" s="29">
        <v>45988</v>
      </c>
      <c r="J232" s="30" t="str">
        <f t="shared" si="114"/>
        <v>jue</v>
      </c>
      <c r="K232" s="28">
        <v>0.54166666666666696</v>
      </c>
      <c r="L232" s="31"/>
      <c r="M232" s="31"/>
      <c r="N232" s="31"/>
      <c r="O232" s="32" t="str">
        <f>IF(COUNTIF(L232:N232,"?*")=$N$6,"✅ CUBIERTO",IF(COUNTIF(L232:N232,"?*")&gt;$N$6,"⚠ EXCESO",
IF(COUNTIF(L232:N232,"?*")&gt;0,"⚠ FALTANTE", "❌ SIN COMPLETAR")))</f>
        <v>❌ SIN COMPLETAR</v>
      </c>
      <c r="P232" s="17"/>
      <c r="Q232" s="29">
        <v>45988</v>
      </c>
      <c r="R232" s="30" t="str">
        <f t="shared" si="115"/>
        <v>jue</v>
      </c>
      <c r="S232" s="28">
        <v>0.54166666666666696</v>
      </c>
      <c r="T232" s="31"/>
      <c r="U232" s="31"/>
      <c r="V232" s="31"/>
      <c r="W232" s="40" t="str">
        <f>IF(COUNTIF(T232:V232,"?*")=$N$7,"✅ CUBIERTO",IF(COUNTIF(T232:V232,"?*")&gt;$N$7,"⚠ EXCESO",
IF(COUNTIF(T232:V232,"?*")&gt;0,"⚠ FALTANTE", "❌ SIN COMPLETAR")))</f>
        <v>❌ SIN COMPLETAR</v>
      </c>
      <c r="Y232" s="29">
        <v>45988</v>
      </c>
      <c r="Z232" s="30" t="str">
        <f t="shared" si="116"/>
        <v>jue</v>
      </c>
      <c r="AA232" s="28">
        <v>0.54166666666666696</v>
      </c>
      <c r="AB232" s="31"/>
      <c r="AC232" s="31"/>
      <c r="AD232" s="31"/>
      <c r="AE232" s="32" t="str">
        <f t="shared" si="108"/>
        <v>❌ SIN COMPLETAR</v>
      </c>
    </row>
    <row r="233" spans="1:31" x14ac:dyDescent="0.3">
      <c r="A233" s="29">
        <v>45988</v>
      </c>
      <c r="B233" s="30" t="str">
        <f t="shared" si="113"/>
        <v>jue</v>
      </c>
      <c r="C233" s="28">
        <v>0.58333333333333304</v>
      </c>
      <c r="D233" s="31"/>
      <c r="E233" s="31"/>
      <c r="F233" s="31"/>
      <c r="G233" s="32" t="str">
        <f>IF(COUNTIF(D233:F233,"?*")=$N$5,"✅ CUBIERTO",
IF(COUNTIF(D233:F233,"?*")&gt;$N$5,"⚠ EXCESO",IF(COUNTIF(D233:F233,"?*")&gt;0,"⚠ FALTANTE",
"❌ SIN COMPLETAR")))</f>
        <v>❌ SIN COMPLETAR</v>
      </c>
      <c r="H233" s="17"/>
      <c r="I233" s="29">
        <v>45988</v>
      </c>
      <c r="J233" s="30" t="str">
        <f t="shared" si="114"/>
        <v>jue</v>
      </c>
      <c r="K233" s="28">
        <v>0.58333333333333304</v>
      </c>
      <c r="L233" s="31"/>
      <c r="M233" s="31"/>
      <c r="N233" s="31"/>
      <c r="O233" s="32" t="str">
        <f>IF(COUNTIF(L233:N233,"?*")=$N$6,"✅ CUBIERTO",IF(COUNTIF(L233:N233,"?*")&gt;$N$6,"⚠ EXCESO",
IF(COUNTIF(L233:N233,"?*")&gt;0,"⚠ FALTANTE", "❌ SIN COMPLETAR")))</f>
        <v>❌ SIN COMPLETAR</v>
      </c>
      <c r="P233" s="17"/>
      <c r="Q233" s="29">
        <v>45988</v>
      </c>
      <c r="R233" s="30" t="str">
        <f t="shared" si="115"/>
        <v>jue</v>
      </c>
      <c r="S233" s="28">
        <v>0.58333333333333304</v>
      </c>
      <c r="T233" s="31"/>
      <c r="U233" s="31"/>
      <c r="V233" s="31"/>
      <c r="W233" s="40" t="str">
        <f>IF(COUNTIF(T233:V233,"?*")=$N$7,"✅ CUBIERTO",IF(COUNTIF(T233:V233,"?*")&gt;$N$7,"⚠ EXCESO",
IF(COUNTIF(T233:V233,"?*")&gt;0,"⚠ FALTANTE", "❌ SIN COMPLETAR")))</f>
        <v>❌ SIN COMPLETAR</v>
      </c>
      <c r="Y233" s="29">
        <v>45988</v>
      </c>
      <c r="Z233" s="30" t="str">
        <f t="shared" si="116"/>
        <v>jue</v>
      </c>
      <c r="AA233" s="28">
        <v>0.58333333333333304</v>
      </c>
      <c r="AB233" s="31"/>
      <c r="AC233" s="31"/>
      <c r="AD233" s="31"/>
      <c r="AE233" s="32" t="str">
        <f t="shared" si="108"/>
        <v>❌ SIN COMPLETAR</v>
      </c>
    </row>
    <row r="234" spans="1:31" x14ac:dyDescent="0.3">
      <c r="A234" s="29">
        <v>45988</v>
      </c>
      <c r="B234" s="30" t="str">
        <f t="shared" si="113"/>
        <v>jue</v>
      </c>
      <c r="C234" s="28">
        <v>0.625</v>
      </c>
      <c r="D234" s="31"/>
      <c r="E234" s="31"/>
      <c r="F234" s="31"/>
      <c r="G234" s="32" t="str">
        <f>IF(COUNTIF(D234:F234,"?*")=$N$5,"✅ CUBIERTO",
IF(COUNTIF(D234:F234,"?*")&gt;$N$5,"⚠ EXCESO",IF(COUNTIF(D234:F234,"?*")&gt;0,"⚠ FALTANTE",
"❌ SIN COMPLETAR")))</f>
        <v>❌ SIN COMPLETAR</v>
      </c>
      <c r="H234" s="17"/>
      <c r="I234" s="29">
        <v>45988</v>
      </c>
      <c r="J234" s="30" t="str">
        <f t="shared" si="114"/>
        <v>jue</v>
      </c>
      <c r="K234" s="28">
        <v>0.625</v>
      </c>
      <c r="L234" s="31"/>
      <c r="M234" s="31"/>
      <c r="N234" s="31"/>
      <c r="O234" s="32" t="str">
        <f>IF(COUNTIF(L234:N234,"?*")=$N$6,"✅ CUBIERTO",IF(COUNTIF(L234:N234,"?*")&gt;$N$6,"⚠ EXCESO",
IF(COUNTIF(L234:N234,"?*")&gt;0,"⚠ FALTANTE", "❌ SIN COMPLETAR")))</f>
        <v>❌ SIN COMPLETAR</v>
      </c>
      <c r="P234" s="17"/>
      <c r="Q234" s="29">
        <v>45988</v>
      </c>
      <c r="R234" s="30" t="str">
        <f t="shared" si="115"/>
        <v>jue</v>
      </c>
      <c r="S234" s="28">
        <v>0.625</v>
      </c>
      <c r="T234" s="31"/>
      <c r="U234" s="31"/>
      <c r="V234" s="31"/>
      <c r="W234" s="40" t="str">
        <f>IF(COUNTIF(T234:V234,"?*")=$N$7,"✅ CUBIERTO",IF(COUNTIF(T234:V234,"?*")&gt;$N$7,"⚠ EXCESO",
IF(COUNTIF(T234:V234,"?*")&gt;0,"⚠ FALTANTE", "❌ SIN COMPLETAR")))</f>
        <v>❌ SIN COMPLETAR</v>
      </c>
      <c r="Y234" s="29">
        <v>45988</v>
      </c>
      <c r="Z234" s="30" t="str">
        <f t="shared" si="116"/>
        <v>jue</v>
      </c>
      <c r="AA234" s="28">
        <v>0.625</v>
      </c>
      <c r="AB234" s="31"/>
      <c r="AC234" s="31"/>
      <c r="AD234" s="31"/>
      <c r="AE234" s="32" t="str">
        <f t="shared" si="108"/>
        <v>❌ SIN COMPLETAR</v>
      </c>
    </row>
    <row r="235" spans="1:31" x14ac:dyDescent="0.3">
      <c r="A235" s="29">
        <v>45988</v>
      </c>
      <c r="B235" s="30" t="str">
        <f t="shared" si="113"/>
        <v>jue</v>
      </c>
      <c r="C235" s="28">
        <v>0.66666666666666696</v>
      </c>
      <c r="D235" s="31"/>
      <c r="E235" s="31"/>
      <c r="F235" s="31"/>
      <c r="G235" s="32" t="str">
        <f>IF(COUNTIF(D235:F235,"?*")=$N$5,"✅ CUBIERTO",
IF(COUNTIF(D235:F235,"?*")&gt;$N$5,"⚠ EXCESO",IF(COUNTIF(D235:F235,"?*")&gt;0,"⚠ FALTANTE",
"❌ SIN COMPLETAR")))</f>
        <v>❌ SIN COMPLETAR</v>
      </c>
      <c r="H235" s="17"/>
      <c r="I235" s="29">
        <v>45988</v>
      </c>
      <c r="J235" s="30" t="str">
        <f t="shared" si="114"/>
        <v>jue</v>
      </c>
      <c r="K235" s="28">
        <v>0.66666666666666696</v>
      </c>
      <c r="L235" s="31"/>
      <c r="M235" s="31"/>
      <c r="N235" s="31"/>
      <c r="O235" s="32" t="str">
        <f>IF(COUNTIF(L235:N235,"?*")=$N$6,"✅ CUBIERTO",IF(COUNTIF(L235:N235,"?*")&gt;$N$6,"⚠ EXCESO",
IF(COUNTIF(L235:N235,"?*")&gt;0,"⚠ FALTANTE", "❌ SIN COMPLETAR")))</f>
        <v>❌ SIN COMPLETAR</v>
      </c>
      <c r="P235" s="17"/>
      <c r="Q235" s="29">
        <v>45988</v>
      </c>
      <c r="R235" s="30" t="str">
        <f t="shared" si="115"/>
        <v>jue</v>
      </c>
      <c r="S235" s="28">
        <v>0.66666666666666696</v>
      </c>
      <c r="T235" s="31"/>
      <c r="U235" s="31"/>
      <c r="V235" s="31"/>
      <c r="W235" s="40" t="str">
        <f>IF(COUNTIF(T235:V235,"?*")=$N$7,"✅ CUBIERTO",IF(COUNTIF(T235:V235,"?*")&gt;$N$7,"⚠ EXCESO",
IF(COUNTIF(T235:V235,"?*")&gt;0,"⚠ FALTANTE", "❌ SIN COMPLETAR")))</f>
        <v>❌ SIN COMPLETAR</v>
      </c>
      <c r="Y235" s="29">
        <v>45988</v>
      </c>
      <c r="Z235" s="30" t="str">
        <f t="shared" si="116"/>
        <v>jue</v>
      </c>
      <c r="AA235" s="28">
        <v>0.66666666666666696</v>
      </c>
      <c r="AB235" s="31"/>
      <c r="AC235" s="31"/>
      <c r="AD235" s="31"/>
      <c r="AE235" s="32" t="str">
        <f t="shared" si="108"/>
        <v>❌ SIN COMPLETAR</v>
      </c>
    </row>
    <row r="236" spans="1:31" x14ac:dyDescent="0.3">
      <c r="A236" s="29">
        <v>45988</v>
      </c>
      <c r="B236" s="30" t="str">
        <f t="shared" si="113"/>
        <v>jue</v>
      </c>
      <c r="C236" s="28">
        <v>0.70833333333333304</v>
      </c>
      <c r="D236" s="31"/>
      <c r="E236" s="31"/>
      <c r="F236" s="31"/>
      <c r="G236" s="32" t="str">
        <f>IF(COUNTIF(D236:F236,"?*")=$N$5,"✅ CUBIERTO",
IF(COUNTIF(D236:F236,"?*")&gt;$N$5,"⚠ EXCESO",IF(COUNTIF(D236:F236,"?*")&gt;0,"⚠ FALTANTE",
"❌ SIN COMPLETAR")))</f>
        <v>❌ SIN COMPLETAR</v>
      </c>
      <c r="H236" s="17"/>
      <c r="I236" s="29">
        <v>45988</v>
      </c>
      <c r="J236" s="30" t="str">
        <f t="shared" si="114"/>
        <v>jue</v>
      </c>
      <c r="K236" s="28">
        <v>0.70833333333333304</v>
      </c>
      <c r="L236" s="31"/>
      <c r="M236" s="31"/>
      <c r="N236" s="31"/>
      <c r="O236" s="32" t="str">
        <f>IF(COUNTIF(L236:N236,"?*")=$N$6,"✅ CUBIERTO",IF(COUNTIF(L236:N236,"?*")&gt;$N$6,"⚠ EXCESO",
IF(COUNTIF(L236:N236,"?*")&gt;0,"⚠ FALTANTE", "❌ SIN COMPLETAR")))</f>
        <v>❌ SIN COMPLETAR</v>
      </c>
      <c r="P236" s="17"/>
      <c r="Q236" s="29">
        <v>45988</v>
      </c>
      <c r="R236" s="30" t="str">
        <f t="shared" si="115"/>
        <v>jue</v>
      </c>
      <c r="S236" s="28">
        <v>0.70833333333333304</v>
      </c>
      <c r="T236" s="31"/>
      <c r="U236" s="31"/>
      <c r="V236" s="31"/>
      <c r="W236" s="40" t="str">
        <f>IF(COUNTIF(T236:V236,"?*")=$N$7,"✅ CUBIERTO",IF(COUNTIF(T236:V236,"?*")&gt;$N$7,"⚠ EXCESO",
IF(COUNTIF(T236:V236,"?*")&gt;0,"⚠ FALTANTE", "❌ SIN COMPLETAR")))</f>
        <v>❌ SIN COMPLETAR</v>
      </c>
      <c r="Y236" s="29">
        <v>45988</v>
      </c>
      <c r="Z236" s="30" t="str">
        <f t="shared" si="116"/>
        <v>jue</v>
      </c>
      <c r="AA236" s="28">
        <v>0.70833333333333304</v>
      </c>
      <c r="AB236" s="31"/>
      <c r="AC236" s="31"/>
      <c r="AD236" s="31"/>
      <c r="AE236" s="32" t="str">
        <f t="shared" si="108"/>
        <v>❌ SIN COMPLETAR</v>
      </c>
    </row>
    <row r="237" spans="1:31" x14ac:dyDescent="0.3">
      <c r="A237" s="29">
        <v>45988</v>
      </c>
      <c r="B237" s="30" t="str">
        <f t="shared" si="113"/>
        <v>jue</v>
      </c>
      <c r="C237" s="28">
        <v>0.75</v>
      </c>
      <c r="D237" s="31"/>
      <c r="E237" s="31"/>
      <c r="F237" s="31"/>
      <c r="G237" s="32" t="str">
        <f>IF(COUNTIF(D237:F237,"?*")=$N$5,"✅ CUBIERTO",
IF(COUNTIF(D237:F237,"?*")&gt;$N$5,"⚠ EXCESO",IF(COUNTIF(D237:F237,"?*")&gt;0,"⚠ FALTANTE",
"❌ SIN COMPLETAR")))</f>
        <v>❌ SIN COMPLETAR</v>
      </c>
      <c r="H237" s="17"/>
      <c r="I237" s="29">
        <v>45988</v>
      </c>
      <c r="J237" s="30" t="str">
        <f t="shared" si="114"/>
        <v>jue</v>
      </c>
      <c r="K237" s="28">
        <v>0.75</v>
      </c>
      <c r="L237" s="41"/>
      <c r="M237" s="41"/>
      <c r="N237" s="41"/>
      <c r="O237" s="32" t="str">
        <f>IF(COUNTIF(L237:N237,"?*")=$N$6,"✅ CUBIERTO",IF(COUNTIF(L237:N237,"?*")&gt;$N$6,"⚠ EXCESO",
IF(COUNTIF(L237:N237,"?*")&gt;0,"⚠ FALTANTE", "❌ SIN COMPLETAR")))</f>
        <v>❌ SIN COMPLETAR</v>
      </c>
      <c r="P237" s="17"/>
      <c r="Q237" s="29">
        <v>45988</v>
      </c>
      <c r="R237" s="30" t="str">
        <f t="shared" si="115"/>
        <v>jue</v>
      </c>
      <c r="S237" s="28">
        <v>0.75</v>
      </c>
      <c r="T237" s="31"/>
      <c r="U237" s="31"/>
      <c r="V237" s="31"/>
      <c r="W237" s="40" t="s">
        <v>16</v>
      </c>
      <c r="Y237" s="29">
        <v>45988</v>
      </c>
      <c r="Z237" s="30" t="str">
        <f t="shared" si="116"/>
        <v>jue</v>
      </c>
      <c r="AA237" s="28">
        <v>0.75</v>
      </c>
      <c r="AB237" s="41"/>
      <c r="AC237" s="41"/>
      <c r="AD237" s="41"/>
      <c r="AE237" s="32" t="str">
        <f t="shared" si="108"/>
        <v>❌ SIN COMPLETAR</v>
      </c>
    </row>
    <row r="238" spans="1:31" x14ac:dyDescent="0.3">
      <c r="A238" s="29">
        <v>45989</v>
      </c>
      <c r="B238" s="30" t="str">
        <f>TEXT(A238,"ddd")</f>
        <v>vie</v>
      </c>
      <c r="C238" s="28">
        <v>0.45833333333333331</v>
      </c>
      <c r="D238" s="31"/>
      <c r="E238" s="31"/>
      <c r="F238" s="31"/>
      <c r="G238" s="32" t="str">
        <f>IF(COUNTIF(D238:F238,"?*")=$N$5,"✅ CUBIERTO",
IF(COUNTIF(D238:F238,"?*")&gt;$N$5,"⚠ EXCESO",IF(COUNTIF(D238:F238,"?*")&gt;0,"⚠ FALTANTE",
"❌ SIN COMPLETAR")))</f>
        <v>❌ SIN COMPLETAR</v>
      </c>
      <c r="H238" s="17"/>
      <c r="I238" s="29">
        <v>45989</v>
      </c>
      <c r="J238" s="30" t="str">
        <f>TEXT(I238,"ddd")</f>
        <v>vie</v>
      </c>
      <c r="K238" s="28">
        <v>0.45833333333333331</v>
      </c>
      <c r="L238" s="31"/>
      <c r="M238" s="31"/>
      <c r="N238" s="31"/>
      <c r="O238" s="32" t="str">
        <f>IF(COUNTIF(L238:N238,"?*")=$N$6,"✅ CUBIERTO",IF(COUNTIF(L238:N238,"?*")&gt;$N$6,"⚠ EXCESO",
IF(COUNTIF(L238:N238,"?*")&gt;0,"⚠ FALTANTE", "❌ SIN COMPLETAR")))</f>
        <v>❌ SIN COMPLETAR</v>
      </c>
      <c r="P238" s="17"/>
      <c r="Q238" s="29">
        <v>45989</v>
      </c>
      <c r="R238" s="30" t="str">
        <f>TEXT(Q238,"ddd")</f>
        <v>vie</v>
      </c>
      <c r="S238" s="28">
        <v>0.45833333333333331</v>
      </c>
      <c r="T238" s="31"/>
      <c r="U238" s="31"/>
      <c r="V238" s="31"/>
      <c r="W238" s="40" t="s">
        <v>16</v>
      </c>
      <c r="Y238" s="29">
        <v>45989</v>
      </c>
      <c r="Z238" s="30" t="str">
        <f>TEXT(Y238,"ddd")</f>
        <v>vie</v>
      </c>
      <c r="AA238" s="28">
        <v>0.45833333333333331</v>
      </c>
      <c r="AB238" s="31"/>
      <c r="AC238" s="31"/>
      <c r="AD238" s="31"/>
      <c r="AE238" s="32" t="str">
        <f t="shared" si="108"/>
        <v>❌ SIN COMPLETAR</v>
      </c>
    </row>
    <row r="239" spans="1:31" x14ac:dyDescent="0.3">
      <c r="A239" s="29">
        <v>45989</v>
      </c>
      <c r="B239" s="30" t="str">
        <f t="shared" ref="B239:B245" si="117">TEXT(A239,"ddd")</f>
        <v>vie</v>
      </c>
      <c r="C239" s="28">
        <v>0.5</v>
      </c>
      <c r="D239" s="31"/>
      <c r="E239" s="31"/>
      <c r="F239" s="31"/>
      <c r="G239" s="32" t="str">
        <f>IF(COUNTIF(D239:F239,"?*")=$N$5,"✅ CUBIERTO",
IF(COUNTIF(D239:F239,"?*")&gt;$N$5,"⚠ EXCESO",IF(COUNTIF(D239:F239,"?*")&gt;0,"⚠ FALTANTE",
"❌ SIN COMPLETAR")))</f>
        <v>❌ SIN COMPLETAR</v>
      </c>
      <c r="H239" s="17"/>
      <c r="I239" s="29">
        <v>45989</v>
      </c>
      <c r="J239" s="30" t="str">
        <f t="shared" ref="J239:J245" si="118">TEXT(I239,"ddd")</f>
        <v>vie</v>
      </c>
      <c r="K239" s="28">
        <v>0.5</v>
      </c>
      <c r="L239" s="31"/>
      <c r="M239" s="31"/>
      <c r="N239" s="31"/>
      <c r="O239" s="32" t="str">
        <f>IF(COUNTIF(L239:N239,"?*")=$N$6,"✅ CUBIERTO",IF(COUNTIF(L239:N239,"?*")&gt;$N$6,"⚠ EXCESO",
IF(COUNTIF(L239:N239,"?*")&gt;0,"⚠ FALTANTE", "❌ SIN COMPLETAR")))</f>
        <v>❌ SIN COMPLETAR</v>
      </c>
      <c r="P239" s="17"/>
      <c r="Q239" s="29">
        <v>45989</v>
      </c>
      <c r="R239" s="30" t="str">
        <f t="shared" ref="R239:R245" si="119">TEXT(Q239,"ddd")</f>
        <v>vie</v>
      </c>
      <c r="S239" s="28">
        <v>0.5</v>
      </c>
      <c r="T239" s="31"/>
      <c r="U239" s="31"/>
      <c r="V239" s="31"/>
      <c r="W239" s="40" t="str">
        <f>IF(COUNTIF(T239:V239,"?*")=$N$7,"✅ CUBIERTO",IF(COUNTIF(T239:V239,"?*")&gt;$N$7,"⚠ EXCESO",
IF(COUNTIF(T239:V239,"?*")&gt;0,"⚠ FALTANTE", "❌ SIN COMPLETAR")))</f>
        <v>❌ SIN COMPLETAR</v>
      </c>
      <c r="Y239" s="29">
        <v>45989</v>
      </c>
      <c r="Z239" s="30" t="str">
        <f t="shared" ref="Z239:Z245" si="120">TEXT(Y239,"ddd")</f>
        <v>vie</v>
      </c>
      <c r="AA239" s="28">
        <v>0.5</v>
      </c>
      <c r="AB239" s="31"/>
      <c r="AC239" s="31"/>
      <c r="AD239" s="31"/>
      <c r="AE239" s="32" t="str">
        <f t="shared" si="108"/>
        <v>❌ SIN COMPLETAR</v>
      </c>
    </row>
    <row r="240" spans="1:31" x14ac:dyDescent="0.3">
      <c r="A240" s="29">
        <v>45989</v>
      </c>
      <c r="B240" s="30" t="str">
        <f t="shared" si="117"/>
        <v>vie</v>
      </c>
      <c r="C240" s="28">
        <v>0.54166666666666696</v>
      </c>
      <c r="D240" s="31"/>
      <c r="E240" s="31"/>
      <c r="F240" s="31"/>
      <c r="G240" s="32" t="str">
        <f>IF(COUNTIF(D240:F240,"?*")=$N$5,"✅ CUBIERTO",
IF(COUNTIF(D240:F240,"?*")&gt;$N$5,"⚠ EXCESO",IF(COUNTIF(D240:F240,"?*")&gt;0,"⚠ FALTANTE",
"❌ SIN COMPLETAR")))</f>
        <v>❌ SIN COMPLETAR</v>
      </c>
      <c r="H240" s="17"/>
      <c r="I240" s="29">
        <v>45989</v>
      </c>
      <c r="J240" s="30" t="str">
        <f t="shared" si="118"/>
        <v>vie</v>
      </c>
      <c r="K240" s="28">
        <v>0.54166666666666696</v>
      </c>
      <c r="L240" s="31"/>
      <c r="M240" s="31"/>
      <c r="N240" s="31"/>
      <c r="O240" s="32" t="str">
        <f>IF(COUNTIF(L240:N240,"?*")=$N$6,"✅ CUBIERTO",IF(COUNTIF(L240:N240,"?*")&gt;$N$6,"⚠ EXCESO",
IF(COUNTIF(L240:N240,"?*")&gt;0,"⚠ FALTANTE", "❌ SIN COMPLETAR")))</f>
        <v>❌ SIN COMPLETAR</v>
      </c>
      <c r="P240" s="17"/>
      <c r="Q240" s="29">
        <v>45989</v>
      </c>
      <c r="R240" s="30" t="str">
        <f t="shared" si="119"/>
        <v>vie</v>
      </c>
      <c r="S240" s="28">
        <v>0.54166666666666696</v>
      </c>
      <c r="T240" s="31"/>
      <c r="U240" s="31"/>
      <c r="V240" s="31"/>
      <c r="W240" s="40" t="str">
        <f>IF(COUNTIF(T240:V240,"?*")=$N$7,"✅ CUBIERTO",IF(COUNTIF(T240:V240,"?*")&gt;$N$7,"⚠ EXCESO",
IF(COUNTIF(T240:V240,"?*")&gt;0,"⚠ FALTANTE", "❌ SIN COMPLETAR")))</f>
        <v>❌ SIN COMPLETAR</v>
      </c>
      <c r="Y240" s="29">
        <v>45989</v>
      </c>
      <c r="Z240" s="30" t="str">
        <f t="shared" si="120"/>
        <v>vie</v>
      </c>
      <c r="AA240" s="28">
        <v>0.54166666666666696</v>
      </c>
      <c r="AB240" s="31"/>
      <c r="AC240" s="31"/>
      <c r="AD240" s="31"/>
      <c r="AE240" s="32" t="str">
        <f t="shared" si="108"/>
        <v>❌ SIN COMPLETAR</v>
      </c>
    </row>
    <row r="241" spans="1:31" x14ac:dyDescent="0.3">
      <c r="A241" s="29">
        <v>45989</v>
      </c>
      <c r="B241" s="30" t="str">
        <f t="shared" si="117"/>
        <v>vie</v>
      </c>
      <c r="C241" s="28">
        <v>0.58333333333333304</v>
      </c>
      <c r="D241" s="31"/>
      <c r="E241" s="31"/>
      <c r="F241" s="31"/>
      <c r="G241" s="32" t="str">
        <f>IF(COUNTIF(D241:F241,"?*")=$N$5,"✅ CUBIERTO",
IF(COUNTIF(D241:F241,"?*")&gt;$N$5,"⚠ EXCESO",IF(COUNTIF(D241:F241,"?*")&gt;0,"⚠ FALTANTE",
"❌ SIN COMPLETAR")))</f>
        <v>❌ SIN COMPLETAR</v>
      </c>
      <c r="H241" s="17"/>
      <c r="I241" s="29">
        <v>45989</v>
      </c>
      <c r="J241" s="30" t="str">
        <f t="shared" si="118"/>
        <v>vie</v>
      </c>
      <c r="K241" s="28">
        <v>0.58333333333333304</v>
      </c>
      <c r="L241" s="31"/>
      <c r="M241" s="31"/>
      <c r="N241" s="31"/>
      <c r="O241" s="32" t="str">
        <f>IF(COUNTIF(L241:N241,"?*")=$N$6,"✅ CUBIERTO",IF(COUNTIF(L241:N241,"?*")&gt;$N$6,"⚠ EXCESO",
IF(COUNTIF(L241:N241,"?*")&gt;0,"⚠ FALTANTE", "❌ SIN COMPLETAR")))</f>
        <v>❌ SIN COMPLETAR</v>
      </c>
      <c r="P241" s="17"/>
      <c r="Q241" s="29">
        <v>45989</v>
      </c>
      <c r="R241" s="30" t="str">
        <f t="shared" si="119"/>
        <v>vie</v>
      </c>
      <c r="S241" s="28">
        <v>0.58333333333333304</v>
      </c>
      <c r="T241" s="31"/>
      <c r="U241" s="31"/>
      <c r="V241" s="31"/>
      <c r="W241" s="40" t="str">
        <f>IF(COUNTIF(T241:V241,"?*")=$N$7,"✅ CUBIERTO",IF(COUNTIF(T241:V241,"?*")&gt;$N$7,"⚠ EXCESO",
IF(COUNTIF(T241:V241,"?*")&gt;0,"⚠ FALTANTE", "❌ SIN COMPLETAR")))</f>
        <v>❌ SIN COMPLETAR</v>
      </c>
      <c r="Y241" s="29">
        <v>45989</v>
      </c>
      <c r="Z241" s="30" t="str">
        <f t="shared" si="120"/>
        <v>vie</v>
      </c>
      <c r="AA241" s="28">
        <v>0.58333333333333304</v>
      </c>
      <c r="AB241" s="31"/>
      <c r="AC241" s="31"/>
      <c r="AD241" s="31"/>
      <c r="AE241" s="32" t="str">
        <f t="shared" si="108"/>
        <v>❌ SIN COMPLETAR</v>
      </c>
    </row>
    <row r="242" spans="1:31" x14ac:dyDescent="0.3">
      <c r="A242" s="29">
        <v>45989</v>
      </c>
      <c r="B242" s="30" t="str">
        <f t="shared" si="117"/>
        <v>vie</v>
      </c>
      <c r="C242" s="28">
        <v>0.625</v>
      </c>
      <c r="D242" s="31"/>
      <c r="E242" s="31"/>
      <c r="F242" s="31"/>
      <c r="G242" s="32" t="str">
        <f>IF(COUNTIF(D242:F242,"?*")=$N$5,"✅ CUBIERTO",
IF(COUNTIF(D242:F242,"?*")&gt;$N$5,"⚠ EXCESO",IF(COUNTIF(D242:F242,"?*")&gt;0,"⚠ FALTANTE",
"❌ SIN COMPLETAR")))</f>
        <v>❌ SIN COMPLETAR</v>
      </c>
      <c r="H242" s="17"/>
      <c r="I242" s="29">
        <v>45989</v>
      </c>
      <c r="J242" s="30" t="str">
        <f t="shared" si="118"/>
        <v>vie</v>
      </c>
      <c r="K242" s="28">
        <v>0.625</v>
      </c>
      <c r="L242" s="31"/>
      <c r="M242" s="31"/>
      <c r="N242" s="31"/>
      <c r="O242" s="32" t="str">
        <f>IF(COUNTIF(L242:N242,"?*")=$N$6,"✅ CUBIERTO",IF(COUNTIF(L242:N242,"?*")&gt;$N$6,"⚠ EXCESO",
IF(COUNTIF(L242:N242,"?*")&gt;0,"⚠ FALTANTE", "❌ SIN COMPLETAR")))</f>
        <v>❌ SIN COMPLETAR</v>
      </c>
      <c r="P242" s="17"/>
      <c r="Q242" s="29">
        <v>45989</v>
      </c>
      <c r="R242" s="30" t="str">
        <f t="shared" si="119"/>
        <v>vie</v>
      </c>
      <c r="S242" s="28">
        <v>0.625</v>
      </c>
      <c r="T242" s="31"/>
      <c r="U242" s="31"/>
      <c r="V242" s="31"/>
      <c r="W242" s="40" t="str">
        <f>IF(COUNTIF(T242:V242,"?*")=$N$7,"✅ CUBIERTO",IF(COUNTIF(T242:V242,"?*")&gt;$N$7,"⚠ EXCESO",
IF(COUNTIF(T242:V242,"?*")&gt;0,"⚠ FALTANTE", "❌ SIN COMPLETAR")))</f>
        <v>❌ SIN COMPLETAR</v>
      </c>
      <c r="Y242" s="29">
        <v>45989</v>
      </c>
      <c r="Z242" s="30" t="str">
        <f t="shared" si="120"/>
        <v>vie</v>
      </c>
      <c r="AA242" s="28">
        <v>0.625</v>
      </c>
      <c r="AB242" s="31"/>
      <c r="AC242" s="31"/>
      <c r="AD242" s="31"/>
      <c r="AE242" s="32" t="str">
        <f t="shared" si="108"/>
        <v>❌ SIN COMPLETAR</v>
      </c>
    </row>
    <row r="243" spans="1:31" x14ac:dyDescent="0.3">
      <c r="A243" s="29">
        <v>45989</v>
      </c>
      <c r="B243" s="30" t="str">
        <f t="shared" si="117"/>
        <v>vie</v>
      </c>
      <c r="C243" s="28">
        <v>0.66666666666666696</v>
      </c>
      <c r="D243" s="31"/>
      <c r="E243" s="31"/>
      <c r="F243" s="31"/>
      <c r="G243" s="32" t="str">
        <f>IF(COUNTIF(D243:F243,"?*")=$N$5,"✅ CUBIERTO",
IF(COUNTIF(D243:F243,"?*")&gt;$N$5,"⚠ EXCESO",IF(COUNTIF(D243:F243,"?*")&gt;0,"⚠ FALTANTE",
"❌ SIN COMPLETAR")))</f>
        <v>❌ SIN COMPLETAR</v>
      </c>
      <c r="H243" s="17"/>
      <c r="I243" s="29">
        <v>45989</v>
      </c>
      <c r="J243" s="30" t="str">
        <f t="shared" si="118"/>
        <v>vie</v>
      </c>
      <c r="K243" s="28">
        <v>0.66666666666666696</v>
      </c>
      <c r="L243" s="31"/>
      <c r="M243" s="31"/>
      <c r="N243" s="31"/>
      <c r="O243" s="32" t="str">
        <f>IF(COUNTIF(L243:N243,"?*")=$N$6,"✅ CUBIERTO",IF(COUNTIF(L243:N243,"?*")&gt;$N$6,"⚠ EXCESO",
IF(COUNTIF(L243:N243,"?*")&gt;0,"⚠ FALTANTE", "❌ SIN COMPLETAR")))</f>
        <v>❌ SIN COMPLETAR</v>
      </c>
      <c r="P243" s="17"/>
      <c r="Q243" s="29">
        <v>45989</v>
      </c>
      <c r="R243" s="30" t="str">
        <f t="shared" si="119"/>
        <v>vie</v>
      </c>
      <c r="S243" s="28">
        <v>0.66666666666666696</v>
      </c>
      <c r="T243" s="31"/>
      <c r="U243" s="31"/>
      <c r="V243" s="31"/>
      <c r="W243" s="40" t="str">
        <f>IF(COUNTIF(T243:V243,"?*")=$N$7,"✅ CUBIERTO",IF(COUNTIF(T243:V243,"?*")&gt;$N$7,"⚠ EXCESO",
IF(COUNTIF(T243:V243,"?*")&gt;0,"⚠ FALTANTE", "❌ SIN COMPLETAR")))</f>
        <v>❌ SIN COMPLETAR</v>
      </c>
      <c r="Y243" s="29">
        <v>45989</v>
      </c>
      <c r="Z243" s="30" t="str">
        <f t="shared" si="120"/>
        <v>vie</v>
      </c>
      <c r="AA243" s="28">
        <v>0.66666666666666696</v>
      </c>
      <c r="AB243" s="31"/>
      <c r="AC243" s="31"/>
      <c r="AD243" s="31"/>
      <c r="AE243" s="32" t="str">
        <f t="shared" si="108"/>
        <v>❌ SIN COMPLETAR</v>
      </c>
    </row>
    <row r="244" spans="1:31" x14ac:dyDescent="0.3">
      <c r="A244" s="29">
        <v>45989</v>
      </c>
      <c r="B244" s="30" t="str">
        <f t="shared" si="117"/>
        <v>vie</v>
      </c>
      <c r="C244" s="28">
        <v>0.70833333333333304</v>
      </c>
      <c r="D244" s="31"/>
      <c r="E244" s="31"/>
      <c r="F244" s="31"/>
      <c r="G244" s="32" t="str">
        <f>IF(COUNTIF(D244:F244,"?*")=$N$5,"✅ CUBIERTO",
IF(COUNTIF(D244:F244,"?*")&gt;$N$5,"⚠ EXCESO",IF(COUNTIF(D244:F244,"?*")&gt;0,"⚠ FALTANTE",
"❌ SIN COMPLETAR")))</f>
        <v>❌ SIN COMPLETAR</v>
      </c>
      <c r="H244" s="17"/>
      <c r="I244" s="29">
        <v>45989</v>
      </c>
      <c r="J244" s="30" t="str">
        <f t="shared" si="118"/>
        <v>vie</v>
      </c>
      <c r="K244" s="28">
        <v>0.70833333333333304</v>
      </c>
      <c r="L244" s="31"/>
      <c r="M244" s="31"/>
      <c r="N244" s="31"/>
      <c r="O244" s="32" t="str">
        <f>IF(COUNTIF(L244:N244,"?*")=$N$6,"✅ CUBIERTO",IF(COUNTIF(L244:N244,"?*")&gt;$N$6,"⚠ EXCESO",
IF(COUNTIF(L244:N244,"?*")&gt;0,"⚠ FALTANTE", "❌ SIN COMPLETAR")))</f>
        <v>❌ SIN COMPLETAR</v>
      </c>
      <c r="P244" s="17"/>
      <c r="Q244" s="29">
        <v>45989</v>
      </c>
      <c r="R244" s="30" t="str">
        <f t="shared" si="119"/>
        <v>vie</v>
      </c>
      <c r="S244" s="28">
        <v>0.70833333333333304</v>
      </c>
      <c r="T244" s="31"/>
      <c r="U244" s="31"/>
      <c r="V244" s="31"/>
      <c r="W244" s="40" t="str">
        <f>IF(COUNTIF(T244:V244,"?*")=$N$7,"✅ CUBIERTO",IF(COUNTIF(T244:V244,"?*")&gt;$N$7,"⚠ EXCESO",
IF(COUNTIF(T244:V244,"?*")&gt;0,"⚠ FALTANTE", "❌ SIN COMPLETAR")))</f>
        <v>❌ SIN COMPLETAR</v>
      </c>
      <c r="Y244" s="29">
        <v>45989</v>
      </c>
      <c r="Z244" s="30" t="str">
        <f t="shared" si="120"/>
        <v>vie</v>
      </c>
      <c r="AA244" s="28">
        <v>0.70833333333333304</v>
      </c>
      <c r="AB244" s="31"/>
      <c r="AC244" s="31"/>
      <c r="AD244" s="31"/>
      <c r="AE244" s="32" t="str">
        <f t="shared" si="108"/>
        <v>❌ SIN COMPLETAR</v>
      </c>
    </row>
    <row r="245" spans="1:31" x14ac:dyDescent="0.3">
      <c r="A245" s="29">
        <v>45989</v>
      </c>
      <c r="B245" s="30" t="str">
        <f t="shared" si="117"/>
        <v>vie</v>
      </c>
      <c r="C245" s="28">
        <v>0.75</v>
      </c>
      <c r="D245" s="31"/>
      <c r="E245" s="31"/>
      <c r="F245" s="31"/>
      <c r="G245" s="32" t="str">
        <f>IF(COUNTIF(D245:F245,"?*")=$N$5,"✅ CUBIERTO",
IF(COUNTIF(D245:F245,"?*")&gt;$N$5,"⚠ EXCESO",IF(COUNTIF(D245:F245,"?*")&gt;0,"⚠ FALTANTE",
"❌ SIN COMPLETAR")))</f>
        <v>❌ SIN COMPLETAR</v>
      </c>
      <c r="H245" s="17"/>
      <c r="I245" s="29">
        <v>45989</v>
      </c>
      <c r="J245" s="30" t="str">
        <f t="shared" si="118"/>
        <v>vie</v>
      </c>
      <c r="K245" s="28">
        <v>0.75</v>
      </c>
      <c r="L245" s="41"/>
      <c r="M245" s="41"/>
      <c r="N245" s="41"/>
      <c r="O245" s="32" t="str">
        <f>IF(COUNTIF(L245:N245,"?*")=$N$6,"✅ CUBIERTO",IF(COUNTIF(L245:N245,"?*")&gt;$N$6,"⚠ EXCESO",
IF(COUNTIF(L245:N245,"?*")&gt;0,"⚠ FALTANTE", "❌ SIN COMPLETAR")))</f>
        <v>❌ SIN COMPLETAR</v>
      </c>
      <c r="P245" s="17"/>
      <c r="Q245" s="29">
        <v>45989</v>
      </c>
      <c r="R245" s="30" t="str">
        <f t="shared" si="119"/>
        <v>vie</v>
      </c>
      <c r="S245" s="28">
        <v>0.75</v>
      </c>
      <c r="T245" s="31"/>
      <c r="U245" s="31"/>
      <c r="V245" s="31"/>
      <c r="W245" s="40" t="s">
        <v>16</v>
      </c>
      <c r="Y245" s="29">
        <v>45989</v>
      </c>
      <c r="Z245" s="30" t="str">
        <f t="shared" si="120"/>
        <v>vie</v>
      </c>
      <c r="AA245" s="28">
        <v>0.75</v>
      </c>
      <c r="AB245" s="41"/>
      <c r="AC245" s="41"/>
      <c r="AD245" s="41"/>
      <c r="AE245" s="32" t="str">
        <f t="shared" si="108"/>
        <v>❌ SIN COMPLETAR</v>
      </c>
    </row>
    <row r="246" spans="1:31" x14ac:dyDescent="0.3">
      <c r="A246" s="29">
        <v>45990</v>
      </c>
      <c r="B246" s="30" t="str">
        <f>TEXT(A246,"ddd")</f>
        <v>sáb</v>
      </c>
      <c r="C246" s="28">
        <v>0.45833333333333331</v>
      </c>
      <c r="D246" s="31"/>
      <c r="E246" s="31"/>
      <c r="F246" s="31"/>
      <c r="G246" s="32" t="str">
        <f>IF(COUNTIF(D246:F246,"?*")=$N$5,"✅ CUBIERTO",
IF(COUNTIF(D246:F246,"?*")&gt;$N$5,"⚠ EXCESO",IF(COUNTIF(D246:F246,"?*")&gt;0,"⚠ FALTANTE",
"❌ SIN COMPLETAR")))</f>
        <v>❌ SIN COMPLETAR</v>
      </c>
      <c r="H246" s="17"/>
      <c r="I246" s="29">
        <v>45990</v>
      </c>
      <c r="J246" s="30" t="str">
        <f>TEXT(I246,"ddd")</f>
        <v>sáb</v>
      </c>
      <c r="K246" s="28">
        <v>0.45833333333333331</v>
      </c>
      <c r="L246" s="41"/>
      <c r="M246" s="41"/>
      <c r="N246" s="41"/>
      <c r="O246" s="32" t="str">
        <f>IF(COUNTIF(L246:N246,"?*")=$N$6,"✅ CUBIERTO",IF(COUNTIF(L246:N246,"?*")&gt;$N$6,"⚠ EXCESO",
IF(COUNTIF(L246:N246,"?*")&gt;0,"⚠ FALTANTE", "❌ SIN COMPLETAR")))</f>
        <v>❌ SIN COMPLETAR</v>
      </c>
      <c r="P246" s="17"/>
      <c r="Q246" s="29">
        <v>45990</v>
      </c>
      <c r="R246" s="30" t="str">
        <f>TEXT(Q246,"ddd")</f>
        <v>sáb</v>
      </c>
      <c r="S246" s="28">
        <v>0.45833333333333331</v>
      </c>
      <c r="T246" s="31"/>
      <c r="U246" s="31"/>
      <c r="V246" s="31"/>
      <c r="W246" s="40" t="str">
        <f>IF(COUNTIF(T246:V246,"?*")=$N$7,"✅ CUBIERTO",IF(COUNTIF(T246:V246,"?*")&gt;$N$7,"⚠ EXCESO",
IF(COUNTIF(T246:V246,"?*")&gt;0,"⚠ FALTANTE", "❌ SIN COMPLETAR")))</f>
        <v>❌ SIN COMPLETAR</v>
      </c>
      <c r="Y246" s="29">
        <v>45990</v>
      </c>
      <c r="Z246" s="30" t="str">
        <f>TEXT(Y246,"ddd")</f>
        <v>sáb</v>
      </c>
      <c r="AA246" s="28">
        <v>0.45833333333333331</v>
      </c>
      <c r="AB246" s="41"/>
      <c r="AC246" s="41"/>
      <c r="AD246" s="41"/>
      <c r="AE246" s="32" t="str">
        <f t="shared" si="108"/>
        <v>❌ SIN COMPLETAR</v>
      </c>
    </row>
    <row r="247" spans="1:31" x14ac:dyDescent="0.3">
      <c r="A247" s="29">
        <v>45990</v>
      </c>
      <c r="B247" s="30" t="str">
        <f t="shared" ref="B247:B253" si="121">TEXT(A247,"ddd")</f>
        <v>sáb</v>
      </c>
      <c r="C247" s="28">
        <v>0.5</v>
      </c>
      <c r="D247" s="31"/>
      <c r="E247" s="31"/>
      <c r="F247" s="31"/>
      <c r="G247" s="32" t="str">
        <f>IF(COUNTIF(D247:F247,"?*")=$N$5,"✅ CUBIERTO",
IF(COUNTIF(D247:F247,"?*")&gt;$N$5,"⚠ EXCESO",IF(COUNTIF(D247:F247,"?*")&gt;0,"⚠ FALTANTE",
"❌ SIN COMPLETAR")))</f>
        <v>❌ SIN COMPLETAR</v>
      </c>
      <c r="H247" s="17"/>
      <c r="I247" s="29">
        <v>45990</v>
      </c>
      <c r="J247" s="30" t="str">
        <f t="shared" ref="J247:J253" si="122">TEXT(I247,"ddd")</f>
        <v>sáb</v>
      </c>
      <c r="K247" s="28">
        <v>0.5</v>
      </c>
      <c r="L247" s="41"/>
      <c r="M247" s="41"/>
      <c r="N247" s="41"/>
      <c r="O247" s="32" t="str">
        <f>IF(COUNTIF(L247:N247,"?*")=$N$6,"✅ CUBIERTO",IF(COUNTIF(L247:N247,"?*")&gt;$N$6,"⚠ EXCESO",
IF(COUNTIF(L247:N247,"?*")&gt;0,"⚠ FALTANTE", "❌ SIN COMPLETAR")))</f>
        <v>❌ SIN COMPLETAR</v>
      </c>
      <c r="P247" s="17"/>
      <c r="Q247" s="29">
        <v>45990</v>
      </c>
      <c r="R247" s="30" t="str">
        <f t="shared" ref="R247:R253" si="123">TEXT(Q247,"ddd")</f>
        <v>sáb</v>
      </c>
      <c r="S247" s="28">
        <v>0.5</v>
      </c>
      <c r="T247" s="31"/>
      <c r="U247" s="31"/>
      <c r="V247" s="31"/>
      <c r="W247" s="40" t="str">
        <f>IF(COUNTIF(T247:V247,"?*")=$N$7,"✅ CUBIERTO",IF(COUNTIF(T247:V247,"?*")&gt;$N$7,"⚠ EXCESO",
IF(COUNTIF(T247:V247,"?*")&gt;0,"⚠ FALTANTE", "❌ SIN COMPLETAR")))</f>
        <v>❌ SIN COMPLETAR</v>
      </c>
      <c r="Y247" s="29">
        <v>45990</v>
      </c>
      <c r="Z247" s="30" t="str">
        <f t="shared" ref="Z247:Z253" si="124">TEXT(Y247,"ddd")</f>
        <v>sáb</v>
      </c>
      <c r="AA247" s="28">
        <v>0.5</v>
      </c>
      <c r="AB247" s="41"/>
      <c r="AC247" s="41"/>
      <c r="AD247" s="41"/>
      <c r="AE247" s="32" t="str">
        <f t="shared" si="108"/>
        <v>❌ SIN COMPLETAR</v>
      </c>
    </row>
    <row r="248" spans="1:31" x14ac:dyDescent="0.3">
      <c r="A248" s="29">
        <v>45990</v>
      </c>
      <c r="B248" s="30" t="str">
        <f t="shared" si="121"/>
        <v>sáb</v>
      </c>
      <c r="C248" s="28">
        <v>0.54166666666666696</v>
      </c>
      <c r="D248" s="31"/>
      <c r="E248" s="31"/>
      <c r="F248" s="31"/>
      <c r="G248" s="32" t="str">
        <f>IF(COUNTIF(D248:F248,"?*")=$N$5,"✅ CUBIERTO",
IF(COUNTIF(D248:F248,"?*")&gt;$N$5,"⚠ EXCESO",IF(COUNTIF(D248:F248,"?*")&gt;0,"⚠ FALTANTE",
"❌ SIN COMPLETAR")))</f>
        <v>❌ SIN COMPLETAR</v>
      </c>
      <c r="H248" s="17"/>
      <c r="I248" s="29">
        <v>45990</v>
      </c>
      <c r="J248" s="30" t="str">
        <f t="shared" si="122"/>
        <v>sáb</v>
      </c>
      <c r="K248" s="28">
        <v>0.54166666666666696</v>
      </c>
      <c r="L248" s="41"/>
      <c r="M248" s="41"/>
      <c r="N248" s="41"/>
      <c r="O248" s="32" t="str">
        <f>IF(COUNTIF(L248:N248,"?*")=$N$6,"✅ CUBIERTO",IF(COUNTIF(L248:N248,"?*")&gt;$N$6,"⚠ EXCESO",
IF(COUNTIF(L248:N248,"?*")&gt;0,"⚠ FALTANTE", "❌ SIN COMPLETAR")))</f>
        <v>❌ SIN COMPLETAR</v>
      </c>
      <c r="P248" s="17"/>
      <c r="Q248" s="29">
        <v>45990</v>
      </c>
      <c r="R248" s="30" t="str">
        <f t="shared" si="123"/>
        <v>sáb</v>
      </c>
      <c r="S248" s="28">
        <v>0.54166666666666696</v>
      </c>
      <c r="T248" s="31"/>
      <c r="U248" s="31"/>
      <c r="V248" s="31"/>
      <c r="W248" s="40" t="str">
        <f>IF(COUNTIF(T248:V248,"?*")=$N$7,"✅ CUBIERTO",IF(COUNTIF(T248:V248,"?*")&gt;$N$7,"⚠ EXCESO",
IF(COUNTIF(T248:V248,"?*")&gt;0,"⚠ FALTANTE", "❌ SIN COMPLETAR")))</f>
        <v>❌ SIN COMPLETAR</v>
      </c>
      <c r="Y248" s="29">
        <v>45990</v>
      </c>
      <c r="Z248" s="30" t="str">
        <f t="shared" si="124"/>
        <v>sáb</v>
      </c>
      <c r="AA248" s="28">
        <v>0.54166666666666696</v>
      </c>
      <c r="AB248" s="41"/>
      <c r="AC248" s="41"/>
      <c r="AD248" s="41"/>
      <c r="AE248" s="32" t="str">
        <f t="shared" si="108"/>
        <v>❌ SIN COMPLETAR</v>
      </c>
    </row>
    <row r="249" spans="1:31" x14ac:dyDescent="0.3">
      <c r="A249" s="29">
        <v>45990</v>
      </c>
      <c r="B249" s="30" t="str">
        <f t="shared" si="121"/>
        <v>sáb</v>
      </c>
      <c r="C249" s="28">
        <v>0.58333333333333304</v>
      </c>
      <c r="D249" s="31"/>
      <c r="E249" s="31"/>
      <c r="F249" s="31"/>
      <c r="G249" s="32" t="str">
        <f>IF(COUNTIF(D249:F249,"?*")=$N$5,"✅ CUBIERTO",
IF(COUNTIF(D249:F249,"?*")&gt;$N$5,"⚠ EXCESO",IF(COUNTIF(D249:F249,"?*")&gt;0,"⚠ FALTANTE",
"❌ SIN COMPLETAR")))</f>
        <v>❌ SIN COMPLETAR</v>
      </c>
      <c r="H249" s="17"/>
      <c r="I249" s="29">
        <v>45990</v>
      </c>
      <c r="J249" s="30" t="str">
        <f t="shared" si="122"/>
        <v>sáb</v>
      </c>
      <c r="K249" s="28">
        <v>0.58333333333333304</v>
      </c>
      <c r="L249" s="41"/>
      <c r="M249" s="41"/>
      <c r="N249" s="41"/>
      <c r="O249" s="32" t="str">
        <f>IF(COUNTIF(L249:N249,"?*")=$N$6,"✅ CUBIERTO",IF(COUNTIF(L249:N249,"?*")&gt;$N$6,"⚠ EXCESO",
IF(COUNTIF(L249:N249,"?*")&gt;0,"⚠ FALTANTE", "❌ SIN COMPLETAR")))</f>
        <v>❌ SIN COMPLETAR</v>
      </c>
      <c r="P249" s="17"/>
      <c r="Q249" s="29">
        <v>45990</v>
      </c>
      <c r="R249" s="30" t="str">
        <f t="shared" si="123"/>
        <v>sáb</v>
      </c>
      <c r="S249" s="28">
        <v>0.58333333333333304</v>
      </c>
      <c r="T249" s="31"/>
      <c r="U249" s="31"/>
      <c r="V249" s="31"/>
      <c r="W249" s="40" t="str">
        <f>IF(COUNTIF(T249:V249,"?*")=$N$7,"✅ CUBIERTO",IF(COUNTIF(T249:V249,"?*")&gt;$N$7,"⚠ EXCESO",
IF(COUNTIF(T249:V249,"?*")&gt;0,"⚠ FALTANTE", "❌ SIN COMPLETAR")))</f>
        <v>❌ SIN COMPLETAR</v>
      </c>
      <c r="Y249" s="29">
        <v>45990</v>
      </c>
      <c r="Z249" s="30" t="str">
        <f t="shared" si="124"/>
        <v>sáb</v>
      </c>
      <c r="AA249" s="28">
        <v>0.58333333333333304</v>
      </c>
      <c r="AB249" s="41"/>
      <c r="AC249" s="41"/>
      <c r="AD249" s="41"/>
      <c r="AE249" s="32" t="str">
        <f t="shared" si="108"/>
        <v>❌ SIN COMPLETAR</v>
      </c>
    </row>
    <row r="250" spans="1:31" x14ac:dyDescent="0.3">
      <c r="A250" s="29">
        <v>45990</v>
      </c>
      <c r="B250" s="30" t="str">
        <f t="shared" si="121"/>
        <v>sáb</v>
      </c>
      <c r="C250" s="28">
        <v>0.625</v>
      </c>
      <c r="D250" s="31"/>
      <c r="E250" s="31"/>
      <c r="F250" s="31"/>
      <c r="G250" s="32" t="str">
        <f>IF(COUNTIF(D250:F250,"?*")=$N$5,"✅ CUBIERTO",
IF(COUNTIF(D250:F250,"?*")&gt;$N$5,"⚠ EXCESO",IF(COUNTIF(D250:F250,"?*")&gt;0,"⚠ FALTANTE",
"❌ SIN COMPLETAR")))</f>
        <v>❌ SIN COMPLETAR</v>
      </c>
      <c r="H250" s="17"/>
      <c r="I250" s="29">
        <v>45990</v>
      </c>
      <c r="J250" s="30" t="str">
        <f t="shared" si="122"/>
        <v>sáb</v>
      </c>
      <c r="K250" s="28">
        <v>0.625</v>
      </c>
      <c r="L250" s="41"/>
      <c r="M250" s="41"/>
      <c r="N250" s="41"/>
      <c r="O250" s="32" t="str">
        <f>IF(COUNTIF(L250:N250,"?*")=$N$6,"✅ CUBIERTO",IF(COUNTIF(L250:N250,"?*")&gt;$N$6,"⚠ EXCESO",
IF(COUNTIF(L250:N250,"?*")&gt;0,"⚠ FALTANTE", "❌ SIN COMPLETAR")))</f>
        <v>❌ SIN COMPLETAR</v>
      </c>
      <c r="P250" s="17"/>
      <c r="Q250" s="29">
        <v>45990</v>
      </c>
      <c r="R250" s="30" t="str">
        <f t="shared" si="123"/>
        <v>sáb</v>
      </c>
      <c r="S250" s="28">
        <v>0.625</v>
      </c>
      <c r="T250" s="31"/>
      <c r="U250" s="31"/>
      <c r="V250" s="31"/>
      <c r="W250" s="40" t="str">
        <f>IF(COUNTIF(T250:V250,"?*")=$N$7,"✅ CUBIERTO",IF(COUNTIF(T250:V250,"?*")&gt;$N$7,"⚠ EXCESO",
IF(COUNTIF(T250:V250,"?*")&gt;0,"⚠ FALTANTE", "❌ SIN COMPLETAR")))</f>
        <v>❌ SIN COMPLETAR</v>
      </c>
      <c r="Y250" s="29">
        <v>45990</v>
      </c>
      <c r="Z250" s="30" t="str">
        <f t="shared" si="124"/>
        <v>sáb</v>
      </c>
      <c r="AA250" s="28">
        <v>0.625</v>
      </c>
      <c r="AB250" s="41"/>
      <c r="AC250" s="41"/>
      <c r="AD250" s="41"/>
      <c r="AE250" s="32" t="str">
        <f t="shared" si="108"/>
        <v>❌ SIN COMPLETAR</v>
      </c>
    </row>
    <row r="251" spans="1:31" x14ac:dyDescent="0.3">
      <c r="A251" s="29">
        <v>45990</v>
      </c>
      <c r="B251" s="30" t="str">
        <f t="shared" si="121"/>
        <v>sáb</v>
      </c>
      <c r="C251" s="28">
        <v>0.66666666666666696</v>
      </c>
      <c r="D251" s="31"/>
      <c r="E251" s="31"/>
      <c r="F251" s="31"/>
      <c r="G251" s="32" t="str">
        <f>IF(COUNTIF(D251:F251,"?*")=$N$5,"✅ CUBIERTO",
IF(COUNTIF(D251:F251,"?*")&gt;$N$5,"⚠ EXCESO",IF(COUNTIF(D251:F251,"?*")&gt;0,"⚠ FALTANTE",
"❌ SIN COMPLETAR")))</f>
        <v>❌ SIN COMPLETAR</v>
      </c>
      <c r="H251" s="17"/>
      <c r="I251" s="29">
        <v>45990</v>
      </c>
      <c r="J251" s="30" t="str">
        <f t="shared" si="122"/>
        <v>sáb</v>
      </c>
      <c r="K251" s="28">
        <v>0.66666666666666696</v>
      </c>
      <c r="L251" s="41"/>
      <c r="M251" s="41"/>
      <c r="N251" s="41"/>
      <c r="O251" s="32" t="str">
        <f>IF(COUNTIF(L251:N251,"?*")=$N$6,"✅ CUBIERTO",IF(COUNTIF(L251:N251,"?*")&gt;$N$6,"⚠ EXCESO",
IF(COUNTIF(L251:N251,"?*")&gt;0,"⚠ FALTANTE", "❌ SIN COMPLETAR")))</f>
        <v>❌ SIN COMPLETAR</v>
      </c>
      <c r="P251" s="17"/>
      <c r="Q251" s="29">
        <v>45990</v>
      </c>
      <c r="R251" s="30" t="str">
        <f t="shared" si="123"/>
        <v>sáb</v>
      </c>
      <c r="S251" s="28">
        <v>0.66666666666666696</v>
      </c>
      <c r="T251" s="31"/>
      <c r="U251" s="31"/>
      <c r="V251" s="31"/>
      <c r="W251" s="40" t="str">
        <f>IF(COUNTIF(T251:V251,"?*")=$N$7,"✅ CUBIERTO",IF(COUNTIF(T251:V251,"?*")&gt;$N$7,"⚠ EXCESO",
IF(COUNTIF(T251:V251,"?*")&gt;0,"⚠ FALTANTE", "❌ SIN COMPLETAR")))</f>
        <v>❌ SIN COMPLETAR</v>
      </c>
      <c r="Y251" s="29">
        <v>45990</v>
      </c>
      <c r="Z251" s="30" t="str">
        <f t="shared" si="124"/>
        <v>sáb</v>
      </c>
      <c r="AA251" s="28">
        <v>0.66666666666666696</v>
      </c>
      <c r="AB251" s="41"/>
      <c r="AC251" s="41"/>
      <c r="AD251" s="41"/>
      <c r="AE251" s="32" t="str">
        <f t="shared" si="108"/>
        <v>❌ SIN COMPLETAR</v>
      </c>
    </row>
    <row r="252" spans="1:31" x14ac:dyDescent="0.3">
      <c r="A252" s="29">
        <v>45990</v>
      </c>
      <c r="B252" s="30" t="str">
        <f t="shared" si="121"/>
        <v>sáb</v>
      </c>
      <c r="C252" s="28">
        <v>0.70833333333333304</v>
      </c>
      <c r="D252" s="31"/>
      <c r="E252" s="31"/>
      <c r="F252" s="31"/>
      <c r="G252" s="32" t="str">
        <f>IF(COUNTIF(D252:F252,"?*")=$N$5,"✅ CUBIERTO",
IF(COUNTIF(D252:F252,"?*")&gt;$N$5,"⚠ EXCESO",IF(COUNTIF(D252:F252,"?*")&gt;0,"⚠ FALTANTE",
"❌ SIN COMPLETAR")))</f>
        <v>❌ SIN COMPLETAR</v>
      </c>
      <c r="H252" s="17"/>
      <c r="I252" s="29">
        <v>45990</v>
      </c>
      <c r="J252" s="30" t="str">
        <f t="shared" si="122"/>
        <v>sáb</v>
      </c>
      <c r="K252" s="28">
        <v>0.70833333333333304</v>
      </c>
      <c r="L252" s="41"/>
      <c r="M252" s="41"/>
      <c r="N252" s="41"/>
      <c r="O252" s="32" t="str">
        <f>IF(COUNTIF(L252:N252,"?*")=$N$6,"✅ CUBIERTO",IF(COUNTIF(L252:N252,"?*")&gt;$N$6,"⚠ EXCESO",
IF(COUNTIF(L252:N252,"?*")&gt;0,"⚠ FALTANTE", "❌ SIN COMPLETAR")))</f>
        <v>❌ SIN COMPLETAR</v>
      </c>
      <c r="P252" s="17"/>
      <c r="Q252" s="29">
        <v>45990</v>
      </c>
      <c r="R252" s="30" t="str">
        <f t="shared" si="123"/>
        <v>sáb</v>
      </c>
      <c r="S252" s="28">
        <v>0.70833333333333304</v>
      </c>
      <c r="T252" s="31"/>
      <c r="U252" s="31"/>
      <c r="V252" s="31"/>
      <c r="W252" s="40" t="str">
        <f>IF(COUNTIF(T252:V252,"?*")=$N$7,"✅ CUBIERTO",IF(COUNTIF(T252:V252,"?*")&gt;$N$7,"⚠ EXCESO",
IF(COUNTIF(T252:V252,"?*")&gt;0,"⚠ FALTANTE", "❌ SIN COMPLETAR")))</f>
        <v>❌ SIN COMPLETAR</v>
      </c>
      <c r="Y252" s="29">
        <v>45990</v>
      </c>
      <c r="Z252" s="30" t="str">
        <f t="shared" si="124"/>
        <v>sáb</v>
      </c>
      <c r="AA252" s="28">
        <v>0.70833333333333304</v>
      </c>
      <c r="AB252" s="41"/>
      <c r="AC252" s="41"/>
      <c r="AD252" s="41"/>
      <c r="AE252" s="32" t="str">
        <f t="shared" si="108"/>
        <v>❌ SIN COMPLETAR</v>
      </c>
    </row>
    <row r="253" spans="1:31" x14ac:dyDescent="0.3">
      <c r="A253" s="29">
        <v>45990</v>
      </c>
      <c r="B253" s="30" t="str">
        <f t="shared" si="121"/>
        <v>sáb</v>
      </c>
      <c r="C253" s="28">
        <v>0.75</v>
      </c>
      <c r="D253" s="31"/>
      <c r="E253" s="31"/>
      <c r="F253" s="31"/>
      <c r="G253" s="32" t="str">
        <f>IF(COUNTIF(D253:F253,"?*")=$N$5,"✅ CUBIERTO",
IF(COUNTIF(D253:F253,"?*")&gt;$N$5,"⚠ EXCESO",IF(COUNTIF(D253:F253,"?*")&gt;0,"⚠ FALTANTE",
"❌ SIN COMPLETAR")))</f>
        <v>❌ SIN COMPLETAR</v>
      </c>
      <c r="H253" s="17"/>
      <c r="I253" s="29">
        <v>45990</v>
      </c>
      <c r="J253" s="30" t="str">
        <f t="shared" si="122"/>
        <v>sáb</v>
      </c>
      <c r="K253" s="28">
        <v>0.75</v>
      </c>
      <c r="L253" s="41"/>
      <c r="M253" s="41"/>
      <c r="N253" s="41"/>
      <c r="O253" s="32" t="str">
        <f>IF(COUNTIF(L253:N253,"?*")=$N$6,"✅ CUBIERTO",IF(COUNTIF(L253:N253,"?*")&gt;$N$6,"⚠ EXCESO",
IF(COUNTIF(L253:N253,"?*")&gt;0,"⚠ FALTANTE", "❌ SIN COMPLETAR")))</f>
        <v>❌ SIN COMPLETAR</v>
      </c>
      <c r="P253" s="17"/>
      <c r="Q253" s="29">
        <v>45990</v>
      </c>
      <c r="R253" s="30" t="str">
        <f t="shared" si="123"/>
        <v>sáb</v>
      </c>
      <c r="S253" s="28">
        <v>0.75</v>
      </c>
      <c r="T253" s="31"/>
      <c r="U253" s="31"/>
      <c r="V253" s="31"/>
      <c r="W253" s="40" t="str">
        <f>IF(COUNTIF(T253:V253,"?*")=$N$7,"✅ CUBIERTO",IF(COUNTIF(T253:V253,"?*")&gt;$N$7,"⚠ EXCESO",
IF(COUNTIF(T253:V253,"?*")&gt;0,"⚠ FALTANTE", "❌ SIN COMPLETAR")))</f>
        <v>❌ SIN COMPLETAR</v>
      </c>
      <c r="Y253" s="29">
        <v>45990</v>
      </c>
      <c r="Z253" s="30" t="str">
        <f t="shared" si="124"/>
        <v>sáb</v>
      </c>
      <c r="AA253" s="28">
        <v>0.75</v>
      </c>
      <c r="AB253" s="41"/>
      <c r="AC253" s="41"/>
      <c r="AD253" s="41"/>
      <c r="AE253" s="32" t="str">
        <f t="shared" si="108"/>
        <v>❌ SIN COMPLETAR</v>
      </c>
    </row>
    <row r="254" spans="1:31" x14ac:dyDescent="0.3">
      <c r="A254" s="29">
        <v>45991</v>
      </c>
      <c r="B254" s="30" t="str">
        <f>TEXT(A254,"ddd")</f>
        <v>dom</v>
      </c>
      <c r="C254" s="28">
        <v>0.45833333333333331</v>
      </c>
      <c r="D254" s="31"/>
      <c r="E254" s="31"/>
      <c r="F254" s="31"/>
      <c r="G254" s="32" t="str">
        <f>IF(COUNTIF(D254:F254,"?*")=$N$5,"✅ CUBIERTO",
IF(COUNTIF(D254:F254,"?*")&gt;$N$5,"⚠ EXCESO",IF(COUNTIF(D254:F254,"?*")&gt;0,"⚠ FALTANTE",
"❌ SIN COMPLETAR")))</f>
        <v>❌ SIN COMPLETAR</v>
      </c>
      <c r="H254" s="17"/>
      <c r="I254" s="29">
        <v>45991</v>
      </c>
      <c r="J254" s="30" t="str">
        <f>TEXT(I254,"ddd")</f>
        <v>dom</v>
      </c>
      <c r="K254" s="28">
        <v>0.45833333333333331</v>
      </c>
      <c r="L254" s="41"/>
      <c r="M254" s="41"/>
      <c r="N254" s="41"/>
      <c r="O254" s="32" t="str">
        <f>IF(COUNTIF(L254:N254,"?*")=$N$6,"✅ CUBIERTO",IF(COUNTIF(L254:N254,"?*")&gt;$N$6,"⚠ EXCESO",
IF(COUNTIF(L254:N254,"?*")&gt;0,"⚠ FALTANTE", "❌ SIN COMPLETAR")))</f>
        <v>❌ SIN COMPLETAR</v>
      </c>
      <c r="P254" s="17"/>
      <c r="Q254" s="29">
        <v>45991</v>
      </c>
      <c r="R254" s="30" t="str">
        <f>TEXT(Q254,"ddd")</f>
        <v>dom</v>
      </c>
      <c r="S254" s="28">
        <v>0.45833333333333331</v>
      </c>
      <c r="T254" s="31"/>
      <c r="U254" s="31"/>
      <c r="V254" s="31"/>
      <c r="W254" s="40" t="str">
        <f>IF(COUNTIF(T254:V254,"?*")=$N$7,"✅ CUBIERTO",IF(COUNTIF(T254:V254,"?*")&gt;$N$7,"⚠ EXCESO",
IF(COUNTIF(T254:V254,"?*")&gt;0,"⚠ FALTANTE", "❌ SIN COMPLETAR")))</f>
        <v>❌ SIN COMPLETAR</v>
      </c>
      <c r="Y254" s="29">
        <v>45991</v>
      </c>
      <c r="Z254" s="30" t="str">
        <f>TEXT(Y254,"ddd")</f>
        <v>dom</v>
      </c>
      <c r="AA254" s="28">
        <v>0.45833333333333331</v>
      </c>
      <c r="AB254" s="41"/>
      <c r="AC254" s="41"/>
      <c r="AD254" s="41"/>
      <c r="AE254" s="32" t="str">
        <f t="shared" si="108"/>
        <v>❌ SIN COMPLETAR</v>
      </c>
    </row>
    <row r="255" spans="1:31" x14ac:dyDescent="0.3">
      <c r="A255" s="29">
        <v>45991</v>
      </c>
      <c r="B255" s="30" t="str">
        <f t="shared" ref="B255:B261" si="125">TEXT(A255,"ddd")</f>
        <v>dom</v>
      </c>
      <c r="C255" s="28">
        <v>0.5</v>
      </c>
      <c r="D255" s="31"/>
      <c r="E255" s="31"/>
      <c r="F255" s="31"/>
      <c r="G255" s="32" t="str">
        <f>IF(COUNTIF(D255:F255,"?*")=$N$5,"✅ CUBIERTO",
IF(COUNTIF(D255:F255,"?*")&gt;$N$5,"⚠ EXCESO",IF(COUNTIF(D255:F255,"?*")&gt;0,"⚠ FALTANTE",
"❌ SIN COMPLETAR")))</f>
        <v>❌ SIN COMPLETAR</v>
      </c>
      <c r="H255" s="17"/>
      <c r="I255" s="29">
        <v>45991</v>
      </c>
      <c r="J255" s="30" t="str">
        <f t="shared" ref="J255:J261" si="126">TEXT(I255,"ddd")</f>
        <v>dom</v>
      </c>
      <c r="K255" s="28">
        <v>0.5</v>
      </c>
      <c r="L255" s="41"/>
      <c r="M255" s="41"/>
      <c r="N255" s="41"/>
      <c r="O255" s="32" t="str">
        <f>IF(COUNTIF(L255:N255,"?*")=$N$6,"✅ CUBIERTO",IF(COUNTIF(L255:N255,"?*")&gt;$N$6,"⚠ EXCESO",
IF(COUNTIF(L255:N255,"?*")&gt;0,"⚠ FALTANTE", "❌ SIN COMPLETAR")))</f>
        <v>❌ SIN COMPLETAR</v>
      </c>
      <c r="P255" s="17"/>
      <c r="Q255" s="29">
        <v>45991</v>
      </c>
      <c r="R255" s="30" t="str">
        <f t="shared" ref="R255:R261" si="127">TEXT(Q255,"ddd")</f>
        <v>dom</v>
      </c>
      <c r="S255" s="28">
        <v>0.5</v>
      </c>
      <c r="T255" s="31"/>
      <c r="U255" s="31"/>
      <c r="V255" s="31"/>
      <c r="W255" s="40" t="str">
        <f>IF(COUNTIF(T255:V255,"?*")=$N$7,"✅ CUBIERTO",IF(COUNTIF(T255:V255,"?*")&gt;$N$7,"⚠ EXCESO",
IF(COUNTIF(T255:V255,"?*")&gt;0,"⚠ FALTANTE", "❌ SIN COMPLETAR")))</f>
        <v>❌ SIN COMPLETAR</v>
      </c>
      <c r="Y255" s="29">
        <v>45991</v>
      </c>
      <c r="Z255" s="30" t="str">
        <f t="shared" ref="Z255:Z261" si="128">TEXT(Y255,"ddd")</f>
        <v>dom</v>
      </c>
      <c r="AA255" s="28">
        <v>0.5</v>
      </c>
      <c r="AB255" s="41"/>
      <c r="AC255" s="41"/>
      <c r="AD255" s="41"/>
      <c r="AE255" s="32" t="str">
        <f t="shared" si="108"/>
        <v>❌ SIN COMPLETAR</v>
      </c>
    </row>
    <row r="256" spans="1:31" x14ac:dyDescent="0.3">
      <c r="A256" s="29">
        <v>45991</v>
      </c>
      <c r="B256" s="30" t="str">
        <f t="shared" si="125"/>
        <v>dom</v>
      </c>
      <c r="C256" s="28">
        <v>0.54166666666666696</v>
      </c>
      <c r="D256" s="31"/>
      <c r="E256" s="31"/>
      <c r="F256" s="31"/>
      <c r="G256" s="32" t="str">
        <f>IF(COUNTIF(D256:F256,"?*")=$N$5,"✅ CUBIERTO",
IF(COUNTIF(D256:F256,"?*")&gt;$N$5,"⚠ EXCESO",IF(COUNTIF(D256:F256,"?*")&gt;0,"⚠ FALTANTE",
"❌ SIN COMPLETAR")))</f>
        <v>❌ SIN COMPLETAR</v>
      </c>
      <c r="H256" s="17"/>
      <c r="I256" s="29">
        <v>45991</v>
      </c>
      <c r="J256" s="30" t="str">
        <f t="shared" si="126"/>
        <v>dom</v>
      </c>
      <c r="K256" s="28">
        <v>0.54166666666666696</v>
      </c>
      <c r="L256" s="41"/>
      <c r="M256" s="41"/>
      <c r="N256" s="41"/>
      <c r="O256" s="32" t="str">
        <f>IF(COUNTIF(L256:N256,"?*")=$N$6,"✅ CUBIERTO",IF(COUNTIF(L256:N256,"?*")&gt;$N$6,"⚠ EXCESO",
IF(COUNTIF(L256:N256,"?*")&gt;0,"⚠ FALTANTE", "❌ SIN COMPLETAR")))</f>
        <v>❌ SIN COMPLETAR</v>
      </c>
      <c r="P256" s="17"/>
      <c r="Q256" s="29">
        <v>45991</v>
      </c>
      <c r="R256" s="30" t="str">
        <f t="shared" si="127"/>
        <v>dom</v>
      </c>
      <c r="S256" s="28">
        <v>0.54166666666666696</v>
      </c>
      <c r="T256" s="31"/>
      <c r="U256" s="31"/>
      <c r="V256" s="31"/>
      <c r="W256" s="40" t="str">
        <f>IF(COUNTIF(T256:V256,"?*")=$N$7,"✅ CUBIERTO",IF(COUNTIF(T256:V256,"?*")&gt;$N$7,"⚠ EXCESO",
IF(COUNTIF(T256:V256,"?*")&gt;0,"⚠ FALTANTE", "❌ SIN COMPLETAR")))</f>
        <v>❌ SIN COMPLETAR</v>
      </c>
      <c r="Y256" s="29">
        <v>45991</v>
      </c>
      <c r="Z256" s="30" t="str">
        <f t="shared" si="128"/>
        <v>dom</v>
      </c>
      <c r="AA256" s="28">
        <v>0.54166666666666696</v>
      </c>
      <c r="AB256" s="41"/>
      <c r="AC256" s="41"/>
      <c r="AD256" s="41"/>
      <c r="AE256" s="32" t="str">
        <f t="shared" si="108"/>
        <v>❌ SIN COMPLETAR</v>
      </c>
    </row>
    <row r="257" spans="1:31" x14ac:dyDescent="0.3">
      <c r="A257" s="29">
        <v>45991</v>
      </c>
      <c r="B257" s="30" t="str">
        <f t="shared" si="125"/>
        <v>dom</v>
      </c>
      <c r="C257" s="28">
        <v>0.58333333333333304</v>
      </c>
      <c r="D257" s="31"/>
      <c r="E257" s="31"/>
      <c r="F257" s="31"/>
      <c r="G257" s="32" t="str">
        <f>IF(COUNTIF(D257:F257,"?*")=$N$5,"✅ CUBIERTO",
IF(COUNTIF(D257:F257,"?*")&gt;$N$5,"⚠ EXCESO",IF(COUNTIF(D257:F257,"?*")&gt;0,"⚠ FALTANTE",
"❌ SIN COMPLETAR")))</f>
        <v>❌ SIN COMPLETAR</v>
      </c>
      <c r="H257" s="17"/>
      <c r="I257" s="29">
        <v>45991</v>
      </c>
      <c r="J257" s="30" t="str">
        <f t="shared" si="126"/>
        <v>dom</v>
      </c>
      <c r="K257" s="28">
        <v>0.58333333333333304</v>
      </c>
      <c r="L257" s="41"/>
      <c r="M257" s="41"/>
      <c r="N257" s="41"/>
      <c r="O257" s="32" t="str">
        <f>IF(COUNTIF(L257:N257,"?*")=$N$6,"✅ CUBIERTO",IF(COUNTIF(L257:N257,"?*")&gt;$N$6,"⚠ EXCESO",
IF(COUNTIF(L257:N257,"?*")&gt;0,"⚠ FALTANTE", "❌ SIN COMPLETAR")))</f>
        <v>❌ SIN COMPLETAR</v>
      </c>
      <c r="P257" s="17"/>
      <c r="Q257" s="29">
        <v>45991</v>
      </c>
      <c r="R257" s="30" t="str">
        <f t="shared" si="127"/>
        <v>dom</v>
      </c>
      <c r="S257" s="28">
        <v>0.58333333333333304</v>
      </c>
      <c r="T257" s="31"/>
      <c r="U257" s="31"/>
      <c r="V257" s="31"/>
      <c r="W257" s="40" t="str">
        <f>IF(COUNTIF(T257:V257,"?*")=$N$7,"✅ CUBIERTO",IF(COUNTIF(T257:V257,"?*")&gt;$N$7,"⚠ EXCESO",
IF(COUNTIF(T257:V257,"?*")&gt;0,"⚠ FALTANTE", "❌ SIN COMPLETAR")))</f>
        <v>❌ SIN COMPLETAR</v>
      </c>
      <c r="Y257" s="29">
        <v>45991</v>
      </c>
      <c r="Z257" s="30" t="str">
        <f t="shared" si="128"/>
        <v>dom</v>
      </c>
      <c r="AA257" s="28">
        <v>0.58333333333333304</v>
      </c>
      <c r="AB257" s="41"/>
      <c r="AC257" s="41"/>
      <c r="AD257" s="41"/>
      <c r="AE257" s="32" t="str">
        <f t="shared" si="108"/>
        <v>❌ SIN COMPLETAR</v>
      </c>
    </row>
    <row r="258" spans="1:31" x14ac:dyDescent="0.3">
      <c r="A258" s="29">
        <v>45991</v>
      </c>
      <c r="B258" s="30" t="str">
        <f t="shared" si="125"/>
        <v>dom</v>
      </c>
      <c r="C258" s="28">
        <v>0.625</v>
      </c>
      <c r="D258" s="31"/>
      <c r="E258" s="31"/>
      <c r="F258" s="31"/>
      <c r="G258" s="32" t="str">
        <f>IF(COUNTIF(D258:F258,"?*")=$N$5,"✅ CUBIERTO",
IF(COUNTIF(D258:F258,"?*")&gt;$N$5,"⚠ EXCESO",IF(COUNTIF(D258:F258,"?*")&gt;0,"⚠ FALTANTE",
"❌ SIN COMPLETAR")))</f>
        <v>❌ SIN COMPLETAR</v>
      </c>
      <c r="H258" s="17"/>
      <c r="I258" s="29">
        <v>45991</v>
      </c>
      <c r="J258" s="30" t="str">
        <f t="shared" si="126"/>
        <v>dom</v>
      </c>
      <c r="K258" s="28">
        <v>0.625</v>
      </c>
      <c r="L258" s="41"/>
      <c r="M258" s="41"/>
      <c r="N258" s="41"/>
      <c r="O258" s="32" t="str">
        <f>IF(COUNTIF(L258:N258,"?*")=$N$6,"✅ CUBIERTO",IF(COUNTIF(L258:N258,"?*")&gt;$N$6,"⚠ EXCESO",
IF(COUNTIF(L258:N258,"?*")&gt;0,"⚠ FALTANTE", "❌ SIN COMPLETAR")))</f>
        <v>❌ SIN COMPLETAR</v>
      </c>
      <c r="P258" s="17"/>
      <c r="Q258" s="29">
        <v>45991</v>
      </c>
      <c r="R258" s="30" t="str">
        <f t="shared" si="127"/>
        <v>dom</v>
      </c>
      <c r="S258" s="28">
        <v>0.625</v>
      </c>
      <c r="T258" s="31"/>
      <c r="U258" s="31"/>
      <c r="V258" s="31"/>
      <c r="W258" s="40" t="str">
        <f>IF(COUNTIF(T258:V258,"?*")=$N$7,"✅ CUBIERTO",IF(COUNTIF(T258:V258,"?*")&gt;$N$7,"⚠ EXCESO",
IF(COUNTIF(T258:V258,"?*")&gt;0,"⚠ FALTANTE", "❌ SIN COMPLETAR")))</f>
        <v>❌ SIN COMPLETAR</v>
      </c>
      <c r="Y258" s="29">
        <v>45991</v>
      </c>
      <c r="Z258" s="30" t="str">
        <f t="shared" si="128"/>
        <v>dom</v>
      </c>
      <c r="AA258" s="28">
        <v>0.625</v>
      </c>
      <c r="AB258" s="41"/>
      <c r="AC258" s="41"/>
      <c r="AD258" s="41"/>
      <c r="AE258" s="32" t="str">
        <f t="shared" si="108"/>
        <v>❌ SIN COMPLETAR</v>
      </c>
    </row>
    <row r="259" spans="1:31" x14ac:dyDescent="0.3">
      <c r="A259" s="29">
        <v>45991</v>
      </c>
      <c r="B259" s="30" t="str">
        <f t="shared" si="125"/>
        <v>dom</v>
      </c>
      <c r="C259" s="28">
        <v>0.66666666666666696</v>
      </c>
      <c r="D259" s="31"/>
      <c r="E259" s="31"/>
      <c r="F259" s="31"/>
      <c r="G259" s="32" t="str">
        <f>IF(COUNTIF(D259:F259,"?*")=$N$5,"✅ CUBIERTO",
IF(COUNTIF(D259:F259,"?*")&gt;$N$5,"⚠ EXCESO",IF(COUNTIF(D259:F259,"?*")&gt;0,"⚠ FALTANTE",
"❌ SIN COMPLETAR")))</f>
        <v>❌ SIN COMPLETAR</v>
      </c>
      <c r="H259" s="17"/>
      <c r="I259" s="29">
        <v>45991</v>
      </c>
      <c r="J259" s="30" t="str">
        <f t="shared" si="126"/>
        <v>dom</v>
      </c>
      <c r="K259" s="28">
        <v>0.66666666666666696</v>
      </c>
      <c r="L259" s="41"/>
      <c r="M259" s="41"/>
      <c r="N259" s="41"/>
      <c r="O259" s="32" t="str">
        <f>IF(COUNTIF(L259:N259,"?*")=$N$6,"✅ CUBIERTO",IF(COUNTIF(L259:N259,"?*")&gt;$N$6,"⚠ EXCESO",
IF(COUNTIF(L259:N259,"?*")&gt;0,"⚠ FALTANTE", "❌ SIN COMPLETAR")))</f>
        <v>❌ SIN COMPLETAR</v>
      </c>
      <c r="P259" s="17"/>
      <c r="Q259" s="29">
        <v>45991</v>
      </c>
      <c r="R259" s="30" t="str">
        <f t="shared" si="127"/>
        <v>dom</v>
      </c>
      <c r="S259" s="28">
        <v>0.66666666666666696</v>
      </c>
      <c r="T259" s="31"/>
      <c r="U259" s="31"/>
      <c r="V259" s="31"/>
      <c r="W259" s="40" t="str">
        <f>IF(COUNTIF(T259:V259,"?*")=$N$7,"✅ CUBIERTO",IF(COUNTIF(T259:V259,"?*")&gt;$N$7,"⚠ EXCESO",
IF(COUNTIF(T259:V259,"?*")&gt;0,"⚠ FALTANTE", "❌ SIN COMPLETAR")))</f>
        <v>❌ SIN COMPLETAR</v>
      </c>
      <c r="Y259" s="29">
        <v>45991</v>
      </c>
      <c r="Z259" s="30" t="str">
        <f t="shared" si="128"/>
        <v>dom</v>
      </c>
      <c r="AA259" s="28">
        <v>0.66666666666666696</v>
      </c>
      <c r="AB259" s="41"/>
      <c r="AC259" s="41"/>
      <c r="AD259" s="41"/>
      <c r="AE259" s="32" t="str">
        <f t="shared" si="108"/>
        <v>❌ SIN COMPLETAR</v>
      </c>
    </row>
    <row r="260" spans="1:31" x14ac:dyDescent="0.3">
      <c r="A260" s="29">
        <v>45991</v>
      </c>
      <c r="B260" s="30" t="str">
        <f t="shared" si="125"/>
        <v>dom</v>
      </c>
      <c r="C260" s="28">
        <v>0.70833333333333304</v>
      </c>
      <c r="D260" s="31"/>
      <c r="E260" s="31"/>
      <c r="F260" s="31"/>
      <c r="G260" s="32" t="str">
        <f>IF(COUNTIF(D260:F260,"?*")=$N$5,"✅ CUBIERTO",
IF(COUNTIF(D260:F260,"?*")&gt;$N$5,"⚠ EXCESO",IF(COUNTIF(D260:F260,"?*")&gt;0,"⚠ FALTANTE",
"❌ SIN COMPLETAR")))</f>
        <v>❌ SIN COMPLETAR</v>
      </c>
      <c r="H260" s="17"/>
      <c r="I260" s="29">
        <v>45991</v>
      </c>
      <c r="J260" s="30" t="str">
        <f t="shared" si="126"/>
        <v>dom</v>
      </c>
      <c r="K260" s="28">
        <v>0.70833333333333304</v>
      </c>
      <c r="L260" s="41"/>
      <c r="M260" s="41"/>
      <c r="N260" s="41"/>
      <c r="O260" s="32" t="str">
        <f>IF(COUNTIF(L260:N260,"?*")=$N$6,"✅ CUBIERTO",IF(COUNTIF(L260:N260,"?*")&gt;$N$6,"⚠ EXCESO",
IF(COUNTIF(L260:N260,"?*")&gt;0,"⚠ FALTANTE", "❌ SIN COMPLETAR")))</f>
        <v>❌ SIN COMPLETAR</v>
      </c>
      <c r="P260" s="17"/>
      <c r="Q260" s="29">
        <v>45991</v>
      </c>
      <c r="R260" s="30" t="str">
        <f t="shared" si="127"/>
        <v>dom</v>
      </c>
      <c r="S260" s="28">
        <v>0.70833333333333304</v>
      </c>
      <c r="T260" s="31"/>
      <c r="U260" s="31"/>
      <c r="V260" s="31"/>
      <c r="W260" s="40" t="str">
        <f>IF(COUNTIF(T260:V260,"?*")=$N$7,"✅ CUBIERTO",IF(COUNTIF(T260:V260,"?*")&gt;$N$7,"⚠ EXCESO",
IF(COUNTIF(T260:V260,"?*")&gt;0,"⚠ FALTANTE", "❌ SIN COMPLETAR")))</f>
        <v>❌ SIN COMPLETAR</v>
      </c>
      <c r="Y260" s="29">
        <v>45991</v>
      </c>
      <c r="Z260" s="30" t="str">
        <f t="shared" si="128"/>
        <v>dom</v>
      </c>
      <c r="AA260" s="28">
        <v>0.70833333333333304</v>
      </c>
      <c r="AB260" s="41"/>
      <c r="AC260" s="41"/>
      <c r="AD260" s="41"/>
      <c r="AE260" s="32" t="str">
        <f t="shared" si="108"/>
        <v>❌ SIN COMPLETAR</v>
      </c>
    </row>
    <row r="261" spans="1:31" x14ac:dyDescent="0.3">
      <c r="A261" s="29">
        <v>45991</v>
      </c>
      <c r="B261" s="30" t="str">
        <f t="shared" si="125"/>
        <v>dom</v>
      </c>
      <c r="C261" s="28">
        <v>0.75</v>
      </c>
      <c r="D261" s="31"/>
      <c r="E261" s="31"/>
      <c r="F261" s="31"/>
      <c r="G261" s="32" t="str">
        <f>IF(COUNTIF(D261:F261,"?*")=$N$5,"✅ CUBIERTO",
IF(COUNTIF(D261:F261,"?*")&gt;$N$5,"⚠ EXCESO",IF(COUNTIF(D261:F261,"?*")&gt;0,"⚠ FALTANTE",
"❌ SIN COMPLETAR")))</f>
        <v>❌ SIN COMPLETAR</v>
      </c>
      <c r="H261" s="17"/>
      <c r="I261" s="29">
        <v>45991</v>
      </c>
      <c r="J261" s="30" t="str">
        <f t="shared" si="126"/>
        <v>dom</v>
      </c>
      <c r="K261" s="28">
        <v>0.75</v>
      </c>
      <c r="L261" s="41"/>
      <c r="M261" s="41"/>
      <c r="N261" s="41"/>
      <c r="O261" s="32" t="str">
        <f>IF(COUNTIF(L261:N261,"?*")=$N$6,"✅ CUBIERTO",IF(COUNTIF(L261:N261,"?*")&gt;$N$6,"⚠ EXCESO",
IF(COUNTIF(L261:N261,"?*")&gt;0,"⚠ FALTANTE", "❌ SIN COMPLETAR")))</f>
        <v>❌ SIN COMPLETAR</v>
      </c>
      <c r="P261" s="17"/>
      <c r="Q261" s="29">
        <v>45991</v>
      </c>
      <c r="R261" s="30" t="str">
        <f t="shared" si="127"/>
        <v>dom</v>
      </c>
      <c r="S261" s="28">
        <v>0.75</v>
      </c>
      <c r="T261" s="31"/>
      <c r="U261" s="31"/>
      <c r="V261" s="31"/>
      <c r="W261" s="40" t="str">
        <f>IF(COUNTIF(T261:V261,"?*")=$N$7,"✅ CUBIERTO",IF(COUNTIF(T261:V261,"?*")&gt;$N$7,"⚠ EXCESO",
IF(COUNTIF(T261:V261,"?*")&gt;0,"⚠ FALTANTE", "❌ SIN COMPLETAR")))</f>
        <v>❌ SIN COMPLETAR</v>
      </c>
      <c r="Y261" s="29">
        <v>45991</v>
      </c>
      <c r="Z261" s="30" t="str">
        <f t="shared" si="128"/>
        <v>dom</v>
      </c>
      <c r="AA261" s="28">
        <v>0.75</v>
      </c>
      <c r="AB261" s="41"/>
      <c r="AC261" s="41"/>
      <c r="AD261" s="41"/>
      <c r="AE261" s="32" t="str">
        <f t="shared" si="108"/>
        <v>❌ SIN COMPLETAR</v>
      </c>
    </row>
    <row r="262" spans="1:31" x14ac:dyDescent="0.3">
      <c r="A262" s="8"/>
      <c r="B262" s="6"/>
      <c r="C262" s="6"/>
      <c r="D262" s="8"/>
      <c r="E262" s="8"/>
      <c r="F262" s="8"/>
      <c r="G262" s="8"/>
      <c r="H262" s="17"/>
      <c r="I262" s="5"/>
      <c r="J262" s="6"/>
      <c r="K262" s="7"/>
      <c r="L262" s="8"/>
      <c r="M262" s="8"/>
      <c r="N262" s="8"/>
      <c r="O262" s="11"/>
      <c r="P262" s="17"/>
      <c r="Q262" s="5"/>
      <c r="R262" s="6"/>
      <c r="S262" s="7"/>
      <c r="T262" s="8"/>
      <c r="U262" s="8"/>
      <c r="V262" s="8"/>
      <c r="W262" s="8"/>
    </row>
    <row r="263" spans="1:31" x14ac:dyDescent="0.3">
      <c r="A263" s="8"/>
      <c r="B263" s="6"/>
      <c r="C263" s="6"/>
      <c r="D263" s="8"/>
      <c r="E263" s="8"/>
      <c r="F263" s="8"/>
      <c r="G263" s="8"/>
      <c r="H263" s="17"/>
      <c r="I263" s="5"/>
      <c r="J263" s="6"/>
      <c r="K263" s="7"/>
      <c r="L263" s="8"/>
      <c r="M263" s="8"/>
      <c r="N263" s="8"/>
      <c r="O263" s="11"/>
      <c r="P263" s="17"/>
      <c r="Q263" s="5"/>
      <c r="R263" s="6"/>
      <c r="S263" s="7"/>
      <c r="T263" s="8"/>
      <c r="U263" s="8"/>
      <c r="V263" s="8"/>
      <c r="W263" s="8"/>
    </row>
    <row r="264" spans="1:31" x14ac:dyDescent="0.3">
      <c r="A264" s="8"/>
      <c r="B264" s="6"/>
      <c r="C264" s="6"/>
      <c r="D264" s="8"/>
      <c r="E264" s="8"/>
      <c r="F264" s="8"/>
      <c r="G264" s="8"/>
      <c r="H264" s="17"/>
      <c r="I264" s="5"/>
      <c r="J264" s="6"/>
      <c r="K264" s="7"/>
      <c r="L264" s="8"/>
      <c r="M264" s="8"/>
      <c r="N264" s="8"/>
      <c r="O264" s="11"/>
      <c r="P264" s="17"/>
      <c r="Q264" s="5"/>
      <c r="R264" s="6"/>
      <c r="S264" s="7"/>
      <c r="T264" s="8"/>
      <c r="U264" s="8"/>
      <c r="V264" s="8"/>
      <c r="W264" s="8"/>
    </row>
    <row r="265" spans="1:31" x14ac:dyDescent="0.3">
      <c r="A265" s="8"/>
      <c r="B265" s="6"/>
      <c r="C265" s="6"/>
      <c r="D265" s="8"/>
      <c r="E265" s="8"/>
      <c r="F265" s="8"/>
      <c r="G265" s="8"/>
      <c r="H265" s="17"/>
      <c r="I265" s="5"/>
      <c r="J265" s="6"/>
      <c r="K265" s="7"/>
      <c r="L265" s="8"/>
      <c r="M265" s="8"/>
      <c r="N265" s="8"/>
      <c r="O265" s="11"/>
      <c r="P265" s="17"/>
      <c r="Q265" s="5"/>
      <c r="R265" s="6"/>
      <c r="S265" s="7"/>
      <c r="T265" s="8"/>
      <c r="U265" s="8"/>
      <c r="V265" s="8"/>
      <c r="W265" s="8"/>
    </row>
    <row r="266" spans="1:31" x14ac:dyDescent="0.3">
      <c r="H266" s="17"/>
      <c r="I266" s="1"/>
      <c r="K266" s="3"/>
      <c r="O266" s="9"/>
      <c r="P266" s="17"/>
      <c r="Q266" s="1"/>
      <c r="S266" s="3"/>
    </row>
    <row r="267" spans="1:31" x14ac:dyDescent="0.3">
      <c r="H267" s="17"/>
      <c r="I267" s="1"/>
      <c r="K267" s="3"/>
      <c r="O267" s="9"/>
      <c r="P267" s="17"/>
      <c r="Q267" s="1"/>
      <c r="S267" s="3"/>
    </row>
    <row r="268" spans="1:31" x14ac:dyDescent="0.3">
      <c r="H268" s="17"/>
      <c r="I268" s="1"/>
      <c r="K268" s="3"/>
      <c r="O268" s="9"/>
      <c r="P268" s="17"/>
      <c r="Q268" s="1"/>
      <c r="S268" s="3"/>
    </row>
    <row r="269" spans="1:31" x14ac:dyDescent="0.3">
      <c r="H269" s="17"/>
      <c r="I269" s="1"/>
      <c r="K269" s="3"/>
      <c r="O269" s="9"/>
      <c r="P269" s="17"/>
      <c r="Q269" s="1"/>
      <c r="S269" s="3"/>
    </row>
    <row r="270" spans="1:31" x14ac:dyDescent="0.3">
      <c r="H270" s="17"/>
      <c r="I270" s="1"/>
      <c r="K270" s="3"/>
      <c r="O270" s="9"/>
      <c r="P270" s="17"/>
      <c r="Q270" s="1"/>
      <c r="S270" s="3"/>
    </row>
    <row r="271" spans="1:31" x14ac:dyDescent="0.3">
      <c r="H271" s="17"/>
      <c r="I271" s="1"/>
      <c r="K271" s="3"/>
      <c r="O271" s="9"/>
      <c r="P271" s="17"/>
      <c r="Q271" s="1"/>
      <c r="S271" s="3"/>
    </row>
    <row r="272" spans="1:31" x14ac:dyDescent="0.3">
      <c r="H272" s="17"/>
      <c r="I272" s="1"/>
      <c r="K272" s="3"/>
      <c r="O272" s="9"/>
      <c r="P272" s="17"/>
    </row>
    <row r="273" spans="8:16" x14ac:dyDescent="0.3">
      <c r="H273" s="17"/>
      <c r="I273" s="1"/>
      <c r="K273" s="3"/>
      <c r="O273" s="9"/>
      <c r="P273" s="17"/>
    </row>
    <row r="274" spans="8:16" x14ac:dyDescent="0.3">
      <c r="H274" s="17"/>
      <c r="I274" s="1"/>
      <c r="K274" s="3"/>
      <c r="O274" s="9"/>
      <c r="P274" s="17"/>
    </row>
    <row r="275" spans="8:16" x14ac:dyDescent="0.3">
      <c r="H275" s="17"/>
      <c r="I275" s="1"/>
      <c r="K275" s="3"/>
      <c r="O275" s="9"/>
      <c r="P275" s="17"/>
    </row>
    <row r="276" spans="8:16" x14ac:dyDescent="0.3">
      <c r="H276" s="17"/>
      <c r="I276" s="1"/>
      <c r="K276" s="3"/>
      <c r="O276" s="9"/>
      <c r="P276" s="17"/>
    </row>
    <row r="277" spans="8:16" x14ac:dyDescent="0.3">
      <c r="H277" s="17"/>
      <c r="I277" s="1"/>
      <c r="K277" s="3"/>
      <c r="O277" s="9"/>
      <c r="P277" s="17"/>
    </row>
    <row r="278" spans="8:16" x14ac:dyDescent="0.3">
      <c r="H278" s="17"/>
      <c r="I278" s="1"/>
      <c r="K278" s="3"/>
      <c r="O278" s="9"/>
      <c r="P278" s="17"/>
    </row>
    <row r="279" spans="8:16" x14ac:dyDescent="0.3">
      <c r="H279" s="17"/>
      <c r="I279" s="1"/>
      <c r="K279" s="3"/>
      <c r="O279" s="9"/>
      <c r="P279" s="17"/>
    </row>
    <row r="280" spans="8:16" x14ac:dyDescent="0.3">
      <c r="H280" s="17"/>
      <c r="I280" s="1"/>
      <c r="K280" s="3"/>
      <c r="O280" s="9"/>
      <c r="P280" s="17"/>
    </row>
    <row r="281" spans="8:16" x14ac:dyDescent="0.3">
      <c r="H281" s="17"/>
      <c r="I281" s="1"/>
      <c r="K281" s="3"/>
      <c r="O281" s="9"/>
      <c r="P281" s="17"/>
    </row>
    <row r="282" spans="8:16" x14ac:dyDescent="0.3">
      <c r="H282" s="17"/>
      <c r="I282" s="1"/>
      <c r="K282" s="3"/>
      <c r="O282" s="9"/>
      <c r="P282" s="17"/>
    </row>
    <row r="283" spans="8:16" x14ac:dyDescent="0.3">
      <c r="H283" s="17"/>
      <c r="I283" s="1"/>
      <c r="K283" s="3"/>
      <c r="O283" s="9"/>
      <c r="P283" s="17"/>
    </row>
    <row r="284" spans="8:16" x14ac:dyDescent="0.3">
      <c r="H284" s="17"/>
      <c r="I284" s="1"/>
      <c r="K284" s="3"/>
      <c r="O284" s="9"/>
      <c r="P284" s="17"/>
    </row>
    <row r="285" spans="8:16" x14ac:dyDescent="0.3">
      <c r="H285" s="17"/>
      <c r="I285" s="1"/>
      <c r="K285" s="3"/>
      <c r="O285" s="9"/>
      <c r="P285" s="17"/>
    </row>
    <row r="286" spans="8:16" x14ac:dyDescent="0.3">
      <c r="H286" s="17"/>
      <c r="I286" s="1"/>
      <c r="K286" s="3"/>
      <c r="O286" s="9"/>
      <c r="P286" s="17"/>
    </row>
    <row r="287" spans="8:16" x14ac:dyDescent="0.3">
      <c r="H287" s="17"/>
      <c r="I287" s="1"/>
      <c r="K287" s="3"/>
      <c r="O287" s="9"/>
      <c r="P287" s="17"/>
    </row>
    <row r="288" spans="8:16" x14ac:dyDescent="0.3">
      <c r="H288" s="17"/>
      <c r="I288" s="1"/>
      <c r="K288" s="3"/>
      <c r="O288" s="9"/>
      <c r="P288" s="17"/>
    </row>
    <row r="289" spans="8:16" x14ac:dyDescent="0.3">
      <c r="H289" s="17"/>
      <c r="I289" s="1"/>
      <c r="K289" s="3"/>
      <c r="O289" s="9"/>
      <c r="P289" s="17"/>
    </row>
    <row r="290" spans="8:16" x14ac:dyDescent="0.3">
      <c r="H290" s="17"/>
      <c r="I290" s="1"/>
      <c r="K290" s="3"/>
      <c r="O290" s="9"/>
      <c r="P290" s="17"/>
    </row>
    <row r="291" spans="8:16" x14ac:dyDescent="0.3">
      <c r="H291" s="17"/>
      <c r="I291" s="1"/>
      <c r="K291" s="3"/>
      <c r="O291" s="9"/>
      <c r="P291" s="17"/>
    </row>
    <row r="292" spans="8:16" x14ac:dyDescent="0.3">
      <c r="H292" s="17"/>
      <c r="I292" s="1"/>
      <c r="K292" s="3"/>
      <c r="O292" s="9"/>
      <c r="P292" s="17"/>
    </row>
    <row r="293" spans="8:16" x14ac:dyDescent="0.3">
      <c r="H293" s="17"/>
      <c r="I293" s="1"/>
      <c r="K293" s="3"/>
      <c r="O293" s="9"/>
      <c r="P293" s="17"/>
    </row>
    <row r="294" spans="8:16" x14ac:dyDescent="0.3">
      <c r="H294" s="17"/>
      <c r="I294" s="1"/>
      <c r="K294" s="3"/>
      <c r="O294" s="9"/>
      <c r="P294" s="17"/>
    </row>
    <row r="295" spans="8:16" x14ac:dyDescent="0.3">
      <c r="H295" s="17"/>
      <c r="I295" s="1"/>
      <c r="K295" s="3"/>
      <c r="O295" s="9"/>
      <c r="P295" s="17"/>
    </row>
    <row r="296" spans="8:16" x14ac:dyDescent="0.3">
      <c r="H296" s="17"/>
      <c r="I296" s="1"/>
      <c r="K296" s="3"/>
      <c r="O296" s="9"/>
      <c r="P296" s="17"/>
    </row>
    <row r="297" spans="8:16" x14ac:dyDescent="0.3">
      <c r="H297" s="17"/>
      <c r="I297" s="1"/>
      <c r="K297" s="3"/>
      <c r="O297" s="9"/>
      <c r="P297" s="17"/>
    </row>
    <row r="298" spans="8:16" x14ac:dyDescent="0.3">
      <c r="H298" s="17"/>
      <c r="I298" s="1"/>
      <c r="K298" s="3"/>
      <c r="P298" s="17"/>
    </row>
    <row r="299" spans="8:16" x14ac:dyDescent="0.3">
      <c r="H299" s="17"/>
      <c r="I299" s="1"/>
      <c r="K299" s="3"/>
      <c r="P299" s="17"/>
    </row>
    <row r="300" spans="8:16" x14ac:dyDescent="0.3">
      <c r="H300" s="17"/>
      <c r="I300" s="1"/>
      <c r="K300" s="3"/>
      <c r="P300" s="17"/>
    </row>
    <row r="301" spans="8:16" x14ac:dyDescent="0.3">
      <c r="H301" s="17"/>
      <c r="I301" s="1"/>
      <c r="K301" s="3"/>
      <c r="P301" s="17"/>
    </row>
    <row r="302" spans="8:16" x14ac:dyDescent="0.3">
      <c r="H302" s="17"/>
      <c r="I302" s="1"/>
      <c r="K302" s="3"/>
      <c r="P302" s="17"/>
    </row>
    <row r="303" spans="8:16" x14ac:dyDescent="0.3">
      <c r="H303" s="17"/>
      <c r="I303" s="1"/>
      <c r="K303" s="3"/>
      <c r="P303" s="17"/>
    </row>
    <row r="304" spans="8:16" x14ac:dyDescent="0.3">
      <c r="H304" s="17"/>
      <c r="I304" s="1"/>
      <c r="K304" s="3"/>
      <c r="P304" s="17"/>
    </row>
    <row r="305" spans="8:16" x14ac:dyDescent="0.3">
      <c r="H305" s="17"/>
      <c r="I305" s="1"/>
      <c r="K305" s="3"/>
      <c r="P305" s="17"/>
    </row>
    <row r="306" spans="8:16" x14ac:dyDescent="0.3">
      <c r="H306" s="17"/>
      <c r="I306" s="1"/>
      <c r="K306" s="3"/>
      <c r="P306" s="17"/>
    </row>
    <row r="307" spans="8:16" x14ac:dyDescent="0.3">
      <c r="H307" s="17"/>
      <c r="P307" s="17"/>
    </row>
    <row r="308" spans="8:16" x14ac:dyDescent="0.3">
      <c r="H308" s="17"/>
      <c r="P308" s="17"/>
    </row>
    <row r="309" spans="8:16" x14ac:dyDescent="0.3">
      <c r="H309" s="17"/>
      <c r="P309" s="17"/>
    </row>
    <row r="310" spans="8:16" x14ac:dyDescent="0.3">
      <c r="H310" s="17"/>
      <c r="P310" s="17"/>
    </row>
    <row r="311" spans="8:16" x14ac:dyDescent="0.3">
      <c r="H311" s="17"/>
      <c r="P311" s="17"/>
    </row>
    <row r="312" spans="8:16" x14ac:dyDescent="0.3">
      <c r="H312" s="17"/>
      <c r="P312" s="17"/>
    </row>
    <row r="313" spans="8:16" x14ac:dyDescent="0.3">
      <c r="H313" s="17"/>
      <c r="P313" s="17"/>
    </row>
    <row r="314" spans="8:16" x14ac:dyDescent="0.3">
      <c r="H314" s="17"/>
      <c r="P314" s="17"/>
    </row>
    <row r="315" spans="8:16" x14ac:dyDescent="0.3">
      <c r="H315" s="17"/>
      <c r="P315" s="17"/>
    </row>
    <row r="316" spans="8:16" x14ac:dyDescent="0.3">
      <c r="H316" s="17"/>
      <c r="P316" s="17"/>
    </row>
    <row r="317" spans="8:16" x14ac:dyDescent="0.3">
      <c r="H317" s="17"/>
      <c r="P317" s="17"/>
    </row>
    <row r="318" spans="8:16" x14ac:dyDescent="0.3">
      <c r="H318" s="17"/>
      <c r="P318" s="17"/>
    </row>
    <row r="319" spans="8:16" x14ac:dyDescent="0.3">
      <c r="H319" s="17"/>
      <c r="P319" s="17"/>
    </row>
    <row r="320" spans="8:16" x14ac:dyDescent="0.3">
      <c r="H320" s="17"/>
      <c r="P320" s="17"/>
    </row>
    <row r="321" spans="8:16" x14ac:dyDescent="0.3">
      <c r="H321" s="17"/>
      <c r="P321" s="17"/>
    </row>
    <row r="322" spans="8:16" x14ac:dyDescent="0.3">
      <c r="H322" s="17"/>
      <c r="P322" s="17"/>
    </row>
    <row r="323" spans="8:16" x14ac:dyDescent="0.3">
      <c r="H323" s="17"/>
      <c r="P323" s="17"/>
    </row>
    <row r="324" spans="8:16" x14ac:dyDescent="0.3">
      <c r="H324" s="17"/>
      <c r="P324" s="17"/>
    </row>
    <row r="325" spans="8:16" x14ac:dyDescent="0.3">
      <c r="H325" s="17"/>
      <c r="P325" s="17"/>
    </row>
    <row r="326" spans="8:16" x14ac:dyDescent="0.3">
      <c r="H326" s="17"/>
      <c r="P326" s="17"/>
    </row>
    <row r="327" spans="8:16" x14ac:dyDescent="0.3">
      <c r="H327" s="17"/>
      <c r="P327" s="17"/>
    </row>
    <row r="328" spans="8:16" x14ac:dyDescent="0.3">
      <c r="H328" s="17"/>
      <c r="P328" s="17"/>
    </row>
    <row r="329" spans="8:16" x14ac:dyDescent="0.3">
      <c r="H329" s="17"/>
      <c r="P329" s="17"/>
    </row>
    <row r="330" spans="8:16" x14ac:dyDescent="0.3">
      <c r="H330" s="17"/>
      <c r="P330" s="17"/>
    </row>
    <row r="331" spans="8:16" x14ac:dyDescent="0.3">
      <c r="H331" s="17"/>
      <c r="P331" s="17"/>
    </row>
    <row r="332" spans="8:16" x14ac:dyDescent="0.3">
      <c r="H332" s="17"/>
      <c r="P332" s="17"/>
    </row>
    <row r="333" spans="8:16" x14ac:dyDescent="0.3">
      <c r="H333" s="17"/>
      <c r="P333" s="17"/>
    </row>
    <row r="334" spans="8:16" x14ac:dyDescent="0.3">
      <c r="H334" s="17"/>
      <c r="P334" s="17"/>
    </row>
    <row r="335" spans="8:16" x14ac:dyDescent="0.3">
      <c r="H335" s="17"/>
      <c r="P335" s="17"/>
    </row>
    <row r="336" spans="8:16" x14ac:dyDescent="0.3">
      <c r="H336" s="17"/>
      <c r="P336" s="17"/>
    </row>
    <row r="337" spans="8:16" x14ac:dyDescent="0.3">
      <c r="H337" s="17"/>
      <c r="P337" s="17"/>
    </row>
    <row r="338" spans="8:16" x14ac:dyDescent="0.3">
      <c r="H338" s="17"/>
      <c r="P338" s="17"/>
    </row>
    <row r="339" spans="8:16" x14ac:dyDescent="0.3">
      <c r="H339" s="17"/>
      <c r="P339" s="17"/>
    </row>
    <row r="340" spans="8:16" x14ac:dyDescent="0.3">
      <c r="H340" s="17"/>
      <c r="P340" s="17"/>
    </row>
    <row r="341" spans="8:16" x14ac:dyDescent="0.3">
      <c r="H341" s="17"/>
      <c r="P341" s="17"/>
    </row>
    <row r="342" spans="8:16" x14ac:dyDescent="0.3">
      <c r="H342" s="17"/>
      <c r="P342" s="17"/>
    </row>
    <row r="343" spans="8:16" x14ac:dyDescent="0.3">
      <c r="H343" s="17"/>
      <c r="P343" s="17"/>
    </row>
    <row r="344" spans="8:16" x14ac:dyDescent="0.3">
      <c r="H344" s="17"/>
      <c r="P344" s="17"/>
    </row>
    <row r="345" spans="8:16" x14ac:dyDescent="0.3">
      <c r="H345" s="17"/>
      <c r="P345" s="17"/>
    </row>
    <row r="346" spans="8:16" x14ac:dyDescent="0.3">
      <c r="H346" s="17"/>
      <c r="P346" s="17"/>
    </row>
    <row r="347" spans="8:16" x14ac:dyDescent="0.3">
      <c r="H347" s="17"/>
      <c r="P347" s="17"/>
    </row>
    <row r="348" spans="8:16" x14ac:dyDescent="0.3">
      <c r="H348" s="17"/>
      <c r="P348" s="17"/>
    </row>
    <row r="349" spans="8:16" x14ac:dyDescent="0.3">
      <c r="H349" s="17"/>
      <c r="P349" s="17"/>
    </row>
    <row r="350" spans="8:16" x14ac:dyDescent="0.3">
      <c r="H350" s="17"/>
      <c r="P350" s="17"/>
    </row>
    <row r="351" spans="8:16" x14ac:dyDescent="0.3">
      <c r="H351" s="17"/>
      <c r="P351" s="17"/>
    </row>
    <row r="352" spans="8:16" x14ac:dyDescent="0.3">
      <c r="H352" s="17"/>
      <c r="P352" s="17"/>
    </row>
    <row r="353" spans="8:16" x14ac:dyDescent="0.3">
      <c r="H353" s="17"/>
      <c r="P353" s="17"/>
    </row>
    <row r="354" spans="8:16" x14ac:dyDescent="0.3">
      <c r="H354" s="17"/>
      <c r="P354" s="17"/>
    </row>
    <row r="355" spans="8:16" x14ac:dyDescent="0.3">
      <c r="H355" s="17"/>
      <c r="P355" s="17"/>
    </row>
    <row r="356" spans="8:16" x14ac:dyDescent="0.3">
      <c r="H356" s="17"/>
      <c r="P356" s="17"/>
    </row>
    <row r="357" spans="8:16" x14ac:dyDescent="0.3">
      <c r="H357" s="17"/>
      <c r="P357" s="17"/>
    </row>
    <row r="358" spans="8:16" x14ac:dyDescent="0.3">
      <c r="H358" s="17"/>
      <c r="P358" s="17"/>
    </row>
    <row r="359" spans="8:16" x14ac:dyDescent="0.3">
      <c r="H359" s="17"/>
      <c r="P359" s="17"/>
    </row>
    <row r="360" spans="8:16" x14ac:dyDescent="0.3">
      <c r="H360" s="17"/>
      <c r="P360" s="17"/>
    </row>
    <row r="361" spans="8:16" x14ac:dyDescent="0.3">
      <c r="H361" s="17"/>
      <c r="P361" s="17"/>
    </row>
    <row r="362" spans="8:16" x14ac:dyDescent="0.3">
      <c r="H362" s="17"/>
      <c r="P362" s="17"/>
    </row>
    <row r="363" spans="8:16" x14ac:dyDescent="0.3">
      <c r="H363" s="17"/>
      <c r="P363" s="17"/>
    </row>
    <row r="364" spans="8:16" x14ac:dyDescent="0.3">
      <c r="H364" s="17"/>
      <c r="P364" s="17"/>
    </row>
    <row r="365" spans="8:16" x14ac:dyDescent="0.3">
      <c r="H365" s="17"/>
      <c r="P365" s="17"/>
    </row>
    <row r="366" spans="8:16" x14ac:dyDescent="0.3">
      <c r="H366" s="17"/>
      <c r="P366" s="17"/>
    </row>
    <row r="367" spans="8:16" x14ac:dyDescent="0.3">
      <c r="H367" s="17"/>
      <c r="P367" s="17"/>
    </row>
    <row r="368" spans="8:16" x14ac:dyDescent="0.3">
      <c r="H368" s="17"/>
      <c r="P368" s="17"/>
    </row>
    <row r="369" spans="8:16" x14ac:dyDescent="0.3">
      <c r="H369" s="17"/>
      <c r="P369" s="17"/>
    </row>
    <row r="370" spans="8:16" x14ac:dyDescent="0.3">
      <c r="H370" s="17"/>
      <c r="P370" s="17"/>
    </row>
    <row r="371" spans="8:16" x14ac:dyDescent="0.3">
      <c r="H371" s="17"/>
      <c r="P371" s="17"/>
    </row>
    <row r="372" spans="8:16" x14ac:dyDescent="0.3">
      <c r="H372" s="17"/>
      <c r="P372" s="17"/>
    </row>
    <row r="373" spans="8:16" x14ac:dyDescent="0.3">
      <c r="H373" s="17"/>
      <c r="P373" s="17"/>
    </row>
    <row r="374" spans="8:16" x14ac:dyDescent="0.3">
      <c r="H374" s="17"/>
      <c r="P374" s="17"/>
    </row>
    <row r="375" spans="8:16" x14ac:dyDescent="0.3">
      <c r="H375" s="17"/>
      <c r="P375" s="17"/>
    </row>
    <row r="376" spans="8:16" x14ac:dyDescent="0.3">
      <c r="H376" s="17"/>
      <c r="P376" s="17"/>
    </row>
    <row r="377" spans="8:16" x14ac:dyDescent="0.3">
      <c r="H377" s="17"/>
      <c r="P377" s="17"/>
    </row>
    <row r="378" spans="8:16" x14ac:dyDescent="0.3">
      <c r="H378" s="17"/>
      <c r="P378" s="17"/>
    </row>
    <row r="379" spans="8:16" x14ac:dyDescent="0.3">
      <c r="H379" s="17"/>
      <c r="P379" s="17"/>
    </row>
    <row r="380" spans="8:16" x14ac:dyDescent="0.3">
      <c r="H380" s="17"/>
      <c r="P380" s="17"/>
    </row>
    <row r="381" spans="8:16" x14ac:dyDescent="0.3">
      <c r="H381" s="17"/>
      <c r="P381" s="17"/>
    </row>
    <row r="382" spans="8:16" x14ac:dyDescent="0.3">
      <c r="H382" s="8"/>
      <c r="P382" s="8"/>
    </row>
    <row r="383" spans="8:16" x14ac:dyDescent="0.3">
      <c r="H383" s="8"/>
      <c r="P383" s="8"/>
    </row>
    <row r="384" spans="8:16" x14ac:dyDescent="0.3">
      <c r="H384" s="8"/>
      <c r="P384" s="8"/>
    </row>
    <row r="385" spans="8:16" x14ac:dyDescent="0.3">
      <c r="H385" s="8"/>
      <c r="P385" s="8"/>
    </row>
  </sheetData>
  <sheetProtection autoFilter="0"/>
  <sortState ref="A6:A15">
    <sortCondition ref="A6"/>
  </sortState>
  <dataConsolidate/>
  <mergeCells count="9">
    <mergeCell ref="Y20:AE20"/>
    <mergeCell ref="A20:G20"/>
    <mergeCell ref="I20:O20"/>
    <mergeCell ref="Q20:W20"/>
    <mergeCell ref="A4:A5"/>
    <mergeCell ref="F4:I4"/>
    <mergeCell ref="B4:E4"/>
    <mergeCell ref="J4:J5"/>
    <mergeCell ref="K4:K5"/>
  </mergeCells>
  <conditionalFormatting sqref="J6:J16">
    <cfRule type="cellIs" dxfId="47" priority="38" operator="lessThan">
      <formula>100</formula>
    </cfRule>
    <cfRule type="cellIs" dxfId="46" priority="39" operator="greaterThan">
      <formula>132</formula>
    </cfRule>
  </conditionalFormatting>
  <conditionalFormatting sqref="Q5:Q7">
    <cfRule type="dataBar" priority="15">
      <dataBar>
        <cfvo type="num" val="0"/>
        <cfvo type="num" val="1"/>
        <color rgb="FF005363"/>
      </dataBar>
      <extLst>
        <ext xmlns:x14="http://schemas.microsoft.com/office/spreadsheetml/2009/9/main" uri="{B025F937-C7B1-47D3-B67F-A62EFF666E3E}">
          <x14:id>{0221F501-32F9-433F-AE3A-B507816B24EA}</x14:id>
        </ext>
      </extLst>
    </cfRule>
  </conditionalFormatting>
  <conditionalFormatting sqref="P5:P7">
    <cfRule type="cellIs" dxfId="45" priority="17" operator="greaterThan">
      <formula>O5</formula>
    </cfRule>
  </conditionalFormatting>
  <conditionalFormatting sqref="A22:G261">
    <cfRule type="expression" dxfId="44" priority="107">
      <formula>$G22="CERRADO"</formula>
    </cfRule>
    <cfRule type="expression" dxfId="43" priority="108">
      <formula>$A22=$M$12</formula>
    </cfRule>
  </conditionalFormatting>
  <conditionalFormatting sqref="I23:O23 I25:O261 I24:K24 M24:O24 I22:K22 M22:O22">
    <cfRule type="expression" dxfId="42" priority="109">
      <formula>$O22="CERRADO"</formula>
    </cfRule>
    <cfRule type="expression" dxfId="41" priority="110">
      <formula>$I22=$M$12</formula>
    </cfRule>
  </conditionalFormatting>
  <conditionalFormatting sqref="Q22:W261">
    <cfRule type="expression" dxfId="40" priority="111">
      <formula>$W22="CERRADO"</formula>
    </cfRule>
    <cfRule type="expression" dxfId="39" priority="112">
      <formula>$Q22=$M$12</formula>
    </cfRule>
  </conditionalFormatting>
  <conditionalFormatting sqref="P8">
    <cfRule type="cellIs" dxfId="38" priority="14" operator="greaterThan">
      <formula>O8</formula>
    </cfRule>
  </conditionalFormatting>
  <conditionalFormatting sqref="Y22:AE22 Y25:AE261 Y23:AA24 AC23:AE24">
    <cfRule type="expression" dxfId="37" priority="11">
      <formula>$AE22="CERRADO"</formula>
    </cfRule>
    <cfRule type="expression" dxfId="36" priority="12">
      <formula>$Y22=$M$12</formula>
    </cfRule>
  </conditionalFormatting>
  <conditionalFormatting sqref="L24">
    <cfRule type="expression" dxfId="11" priority="9">
      <formula>$G24="CERRADO"</formula>
    </cfRule>
    <cfRule type="expression" dxfId="10" priority="10">
      <formula>$A24=$M$12</formula>
    </cfRule>
  </conditionalFormatting>
  <conditionalFormatting sqref="AB24">
    <cfRule type="expression" dxfId="7" priority="5">
      <formula>$G24="CERRADO"</formula>
    </cfRule>
    <cfRule type="expression" dxfId="6" priority="6">
      <formula>$A24=$M$12</formula>
    </cfRule>
  </conditionalFormatting>
  <conditionalFormatting sqref="L22">
    <cfRule type="expression" dxfId="5" priority="3">
      <formula>$G22="CERRADO"</formula>
    </cfRule>
    <cfRule type="expression" dxfId="4" priority="4">
      <formula>$A22=$M$12</formula>
    </cfRule>
  </conditionalFormatting>
  <conditionalFormatting sqref="AB23">
    <cfRule type="expression" dxfId="3" priority="1">
      <formula>$G23="CERRADO"</formula>
    </cfRule>
    <cfRule type="expression" dxfId="2" priority="2">
      <formula>$A23=$M$12</formula>
    </cfRule>
  </conditionalFormatting>
  <dataValidations count="3">
    <dataValidation type="list" allowBlank="1" showInputMessage="1" showErrorMessage="1" sqref="T22:V261 D22:F261 L22:N261 AB22:AD261">
      <formula1>$A$6:$A$16</formula1>
    </dataValidation>
    <dataValidation type="whole" operator="greaterThan" allowBlank="1" showInputMessage="1" showErrorMessage="1" sqref="N5:O8">
      <formula1>0</formula1>
    </dataValidation>
    <dataValidation type="list" allowBlank="1" showInputMessage="1" showErrorMessage="1" sqref="L262:N279">
      <formula1>$K$5:$K$14</formula1>
    </dataValidation>
  </dataValidations>
  <pageMargins left="0.7" right="0.7" top="0.75" bottom="0.75" header="0.3" footer="0.3"/>
  <pageSetup orientation="portrait" r:id="rId1"/>
  <ignoredErrors>
    <ignoredError sqref="W22:W29 W30:W37 W39:W44 W47:W52 W55:W60 W63:W68 W71:W76 W78:W85 W86:W93 W95:W100 W103:W108 W111:W116 W119:W124 W127:W132 W134:W141 W142:W149 W151:W156 W159:W164 W167:W172 W175:W180 W183:W188 W190:W197 W198:W205 W207:W212 W215:W220 W223:W228 W231:W236 W239:W244 W246:W253" calculatedColumn="1"/>
    <ignoredError sqref="AE22:AE261" formulaRange="1"/>
  </ignoredErrors>
  <tableParts count="4"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21F501-32F9-433F-AE3A-B507816B24E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5363"/>
              <x14:negativeFillColor rgb="FFFF0000"/>
              <x14:negativeBorderColor rgb="FFFF0000"/>
              <x14:axisColor rgb="FF000000"/>
            </x14:dataBar>
          </x14:cfRule>
          <xm:sqref>Q5:Q7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E269"/>
  <sheetViews>
    <sheetView showGridLines="0" tabSelected="1" topLeftCell="A31" zoomScaleNormal="100" workbookViewId="0">
      <selection activeCell="A34" sqref="A34"/>
    </sheetView>
  </sheetViews>
  <sheetFormatPr baseColWidth="10" defaultRowHeight="14.4" x14ac:dyDescent="0.3"/>
  <cols>
    <col min="1" max="1" width="13.77734375" customWidth="1"/>
    <col min="2" max="2" width="15.109375" style="2" customWidth="1"/>
    <col min="3" max="3" width="11" style="2" customWidth="1"/>
    <col min="4" max="6" width="13.5546875" customWidth="1"/>
    <col min="7" max="7" width="17.6640625" bestFit="1" customWidth="1"/>
    <col min="8" max="8" width="15" customWidth="1"/>
    <col min="9" max="9" width="13.77734375" customWidth="1"/>
    <col min="10" max="10" width="15.109375" style="2" customWidth="1"/>
    <col min="11" max="11" width="11" style="2" customWidth="1"/>
    <col min="12" max="14" width="13.5546875" customWidth="1"/>
    <col min="15" max="15" width="17.6640625" bestFit="1" customWidth="1"/>
    <col min="17" max="17" width="13.77734375" customWidth="1"/>
    <col min="18" max="18" width="15.109375" style="2" customWidth="1"/>
    <col min="19" max="19" width="11" style="2" customWidth="1"/>
    <col min="20" max="22" width="13.5546875" customWidth="1"/>
    <col min="23" max="23" width="25.77734375" bestFit="1" customWidth="1"/>
    <col min="31" max="31" width="18.44140625" bestFit="1" customWidth="1"/>
  </cols>
  <sheetData>
    <row r="1" spans="1:31" ht="21" x14ac:dyDescent="0.4">
      <c r="A1" s="64" t="s">
        <v>21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</row>
    <row r="2" spans="1:31" ht="18" x14ac:dyDescent="0.35">
      <c r="A2" s="12"/>
      <c r="B2" s="13"/>
      <c r="C2" s="13"/>
      <c r="D2" s="14"/>
      <c r="E2" s="15"/>
      <c r="F2" s="14"/>
      <c r="G2" s="15"/>
      <c r="H2" s="16"/>
      <c r="I2" s="12"/>
      <c r="J2" s="13"/>
      <c r="K2" s="13"/>
      <c r="L2" s="14"/>
      <c r="M2" s="15"/>
      <c r="N2" s="14"/>
      <c r="O2" s="15"/>
      <c r="P2" s="16"/>
      <c r="Q2" s="12"/>
      <c r="R2" s="13"/>
      <c r="S2" s="13"/>
      <c r="T2" s="14"/>
      <c r="U2" s="15"/>
      <c r="V2" s="14"/>
      <c r="W2" s="15"/>
    </row>
    <row r="3" spans="1:31" x14ac:dyDescent="0.3">
      <c r="A3" s="39" t="s">
        <v>22</v>
      </c>
      <c r="B3" s="16"/>
      <c r="C3" s="16"/>
      <c r="D3" s="16"/>
      <c r="E3" s="16"/>
      <c r="F3" s="16"/>
      <c r="G3" s="16"/>
      <c r="H3" s="16"/>
      <c r="I3" s="16"/>
      <c r="J3" s="16"/>
      <c r="M3" s="39" t="s">
        <v>14</v>
      </c>
      <c r="Q3" s="16"/>
      <c r="R3" s="16"/>
      <c r="S3" s="16"/>
      <c r="T3" s="16"/>
      <c r="U3" s="16"/>
      <c r="V3" s="16"/>
      <c r="W3" s="16"/>
    </row>
    <row r="4" spans="1:31" ht="43.2" x14ac:dyDescent="0.3">
      <c r="A4" s="48" t="s">
        <v>8</v>
      </c>
      <c r="B4" s="57" t="s">
        <v>11</v>
      </c>
      <c r="C4" s="57"/>
      <c r="D4" s="57"/>
      <c r="E4" s="57"/>
      <c r="F4" s="57" t="s">
        <v>12</v>
      </c>
      <c r="G4" s="57"/>
      <c r="H4" s="57"/>
      <c r="I4" s="57"/>
      <c r="J4" s="61" t="s">
        <v>10</v>
      </c>
      <c r="K4" s="61" t="s">
        <v>23</v>
      </c>
      <c r="M4" s="23" t="s">
        <v>0</v>
      </c>
      <c r="N4" s="35" t="s">
        <v>19</v>
      </c>
      <c r="O4" s="34" t="s">
        <v>18</v>
      </c>
      <c r="P4" s="33" t="s">
        <v>17</v>
      </c>
      <c r="Q4" s="49" t="s">
        <v>30</v>
      </c>
      <c r="R4" s="16"/>
      <c r="S4" s="16"/>
      <c r="T4" s="16"/>
      <c r="U4" s="16"/>
      <c r="V4" s="16"/>
      <c r="W4" s="16"/>
    </row>
    <row r="5" spans="1:31" x14ac:dyDescent="0.3">
      <c r="A5" s="48"/>
      <c r="B5" s="55" t="s">
        <v>27</v>
      </c>
      <c r="C5" s="55" t="s">
        <v>28</v>
      </c>
      <c r="D5" s="55" t="s">
        <v>29</v>
      </c>
      <c r="E5" s="55" t="s">
        <v>41</v>
      </c>
      <c r="F5" s="55" t="s">
        <v>27</v>
      </c>
      <c r="G5" s="55" t="s">
        <v>28</v>
      </c>
      <c r="H5" s="55" t="s">
        <v>29</v>
      </c>
      <c r="I5" s="55" t="s">
        <v>41</v>
      </c>
      <c r="J5" s="61"/>
      <c r="K5" s="61"/>
      <c r="M5" s="54" t="s">
        <v>27</v>
      </c>
      <c r="N5" s="36">
        <v>2</v>
      </c>
      <c r="O5" s="36">
        <v>320</v>
      </c>
      <c r="P5" s="22">
        <f>B17+F17</f>
        <v>96</v>
      </c>
      <c r="Q5" s="50">
        <f>P5/O5</f>
        <v>0.3</v>
      </c>
      <c r="R5" s="16"/>
      <c r="S5" s="16"/>
      <c r="T5" s="16"/>
      <c r="U5" s="16"/>
      <c r="V5" s="16"/>
      <c r="W5" s="16"/>
    </row>
    <row r="6" spans="1:31" x14ac:dyDescent="0.3">
      <c r="A6" s="58" t="s">
        <v>34</v>
      </c>
      <c r="B6" s="58">
        <f>SUMPRODUCT((TablaST1Dic[Vendedora 1]=$A6)+(TablaST1Dic[Vendedora 2]=$A6)+(TablaST1Dic[Vendedora 3]=$A6),--(TablaST1Dic[Día]&lt;&gt;$M$12))</f>
        <v>20</v>
      </c>
      <c r="C6" s="58">
        <f>SUMPRODUCT((TablaST2Dic[Vendedora 1]=$A6)+(TablaST2Dic[Vendedora 2]=$A6)+(TablaST2Dic[Vendedora 3]=$A6),--(TablaST2Dic[Día]&lt;&gt;$M$12))</f>
        <v>0</v>
      </c>
      <c r="D6" s="58">
        <f>SUMPRODUCT((TablaFrenchDic[Vendedora 1]=$A6)+(TablaFrenchDic[Vendedora 2]=$A6)+(TablaFrenchDic[Vendedora 3]=$A6),--(TablaFrenchDic[Día]&lt;&gt;$M$12))</f>
        <v>0</v>
      </c>
      <c r="E6" s="58">
        <f>SUMPRODUCT((TablaASDic[Vendedora 1]=$A6)+(TablaASDic[Vendedora 2]=$A6)+(TablaASDic[Vendedora 3]=$A6),--(TablaASDic[Día]&lt;&gt;$M$12))</f>
        <v>0</v>
      </c>
      <c r="F6" s="58">
        <f>SUMPRODUCT((TablaST1Dic[Vendedora 1]=$A6)+(TablaST1Dic[Vendedora 2]=$A6)+(TablaST1Dic[Vendedora 3]=$A6),--(TablaST1Dic[Día]=$M$12))</f>
        <v>4</v>
      </c>
      <c r="G6" s="58">
        <f>SUMPRODUCT((TablaST2Dic[Vendedora 1]=$A6)+(TablaST2Dic[Vendedora 2]=$A6)+(TablaST2Dic[Vendedora 3]=$A6),--(TablaST2Dic[Día]=$M$12))</f>
        <v>0</v>
      </c>
      <c r="H6" s="58">
        <f>SUMPRODUCT((TablaFrenchDic[Vendedora 1]=$A6)+(TablaFrenchDic[Vendedora 2]=$A6)+(TablaFrenchDic[Vendedora 3]=$A6),--(TablaFrenchDic[Día]=$M$12))</f>
        <v>0</v>
      </c>
      <c r="I6" s="58">
        <f>SUMPRODUCT((TablaASDic[Vendedora 1]=$A6)+(TablaASDic[Vendedora 2]=$A6)+(TablaASDic[Vendedora 3]=$A6),--(TablaASDic[Día]=$M$12))</f>
        <v>0</v>
      </c>
      <c r="J6" s="62">
        <f>SUM(B6:I6)</f>
        <v>24</v>
      </c>
      <c r="K6" s="62">
        <f>IF(SUM(F6:I6)=0,8,4)</f>
        <v>4</v>
      </c>
      <c r="M6" s="54" t="s">
        <v>28</v>
      </c>
      <c r="N6" s="36">
        <v>1</v>
      </c>
      <c r="O6" s="36">
        <v>240</v>
      </c>
      <c r="P6" s="22">
        <f>C17+G17</f>
        <v>5</v>
      </c>
      <c r="Q6" s="50">
        <f t="shared" ref="Q6:Q8" si="0">P6/O6</f>
        <v>2.0833333333333332E-2</v>
      </c>
      <c r="R6" s="16"/>
      <c r="S6" s="16"/>
      <c r="T6" s="16"/>
      <c r="U6" s="16"/>
      <c r="V6" s="16"/>
      <c r="W6" s="16"/>
    </row>
    <row r="7" spans="1:31" x14ac:dyDescent="0.3">
      <c r="A7" s="58" t="s">
        <v>37</v>
      </c>
      <c r="B7" s="58">
        <f>SUMPRODUCT((TablaST1Dic[Vendedora 1]=$A7)+(TablaST1Dic[Vendedora 2]=$A7)+(TablaST1Dic[Vendedora 3]=$A7),--(TablaST1Dic[Día]&lt;&gt;$M$12))</f>
        <v>20</v>
      </c>
      <c r="C7" s="58">
        <f>SUMPRODUCT((TablaST2Dic[Vendedora 1]=$A7)+(TablaST2Dic[Vendedora 2]=$A7)+(TablaST2Dic[Vendedora 3]=$A7),--(TablaST2Dic[Día]&lt;&gt;$M$12))</f>
        <v>0</v>
      </c>
      <c r="D7" s="58">
        <f>SUMPRODUCT((TablaFrenchDic[Vendedora 1]=$A7)+(TablaFrenchDic[Vendedora 2]=$A7)+(TablaFrenchDic[Vendedora 3]=$A7),--(TablaFrenchDic[Día]&lt;&gt;$M$12))</f>
        <v>0</v>
      </c>
      <c r="E7" s="58">
        <f>SUMPRODUCT((TablaASDic[Vendedora 1]=$A7)+(TablaASDic[Vendedora 2]=$A7)+(TablaASDic[Vendedora 3]=$A7),--(TablaASDic[Día]&lt;&gt;$M$12))</f>
        <v>0</v>
      </c>
      <c r="F7" s="58">
        <f>SUMPRODUCT((TablaST1Dic[Vendedora 1]=$A7)+(TablaST1Dic[Vendedora 2]=$A7)+(TablaST1Dic[Vendedora 3]=$A7),--(TablaST1Dic[Día]=$M$12))</f>
        <v>4</v>
      </c>
      <c r="G7" s="58">
        <f>SUMPRODUCT((TablaST2Dic[Vendedora 1]=$A7)+(TablaST2Dic[Vendedora 2]=$A7)+(TablaST2Dic[Vendedora 3]=$A7),--(TablaST2Dic[Día]=$M$12))</f>
        <v>0</v>
      </c>
      <c r="H7" s="58">
        <f>SUMPRODUCT((TablaFrenchDic[Vendedora 1]=$A7)+(TablaFrenchDic[Vendedora 2]=$A7)+(TablaFrenchDic[Vendedora 3]=$A7),--(TablaFrenchDic[Día]=$M$12))</f>
        <v>0</v>
      </c>
      <c r="I7" s="58">
        <f>SUMPRODUCT((TablaASDic[Vendedora 1]=$A7)+(TablaASDic[Vendedora 2]=$A7)+(TablaASDic[Vendedora 3]=$A7),--(TablaASDic[Día]=$M$12))</f>
        <v>0</v>
      </c>
      <c r="J7" s="62">
        <f t="shared" ref="J7:J16" si="1">SUM(B7:I7)</f>
        <v>24</v>
      </c>
      <c r="K7" s="62">
        <f t="shared" ref="K7:K16" si="2">IF(SUM(F7:I7)=0,8,4)</f>
        <v>4</v>
      </c>
      <c r="M7" s="54" t="s">
        <v>29</v>
      </c>
      <c r="N7" s="36">
        <v>1</v>
      </c>
      <c r="O7" s="36">
        <v>260</v>
      </c>
      <c r="P7" s="22">
        <f>D17+H17</f>
        <v>0</v>
      </c>
      <c r="Q7" s="50">
        <f t="shared" si="0"/>
        <v>0</v>
      </c>
      <c r="R7" s="16"/>
      <c r="S7" s="16"/>
      <c r="T7" s="16"/>
      <c r="U7" s="16"/>
      <c r="V7" s="16"/>
      <c r="W7" s="16"/>
    </row>
    <row r="8" spans="1:31" x14ac:dyDescent="0.3">
      <c r="A8" s="58" t="s">
        <v>31</v>
      </c>
      <c r="B8" s="58">
        <f>SUMPRODUCT((TablaST1Dic[Vendedora 1]=$A8)+(TablaST1Dic[Vendedora 2]=$A8)+(TablaST1Dic[Vendedora 3]=$A8),--(TablaST1Dic[Día]&lt;&gt;$M$12))</f>
        <v>0</v>
      </c>
      <c r="C8" s="58">
        <f>SUMPRODUCT((TablaST2Dic[Vendedora 1]=$A8)+(TablaST2Dic[Vendedora 2]=$A8)+(TablaST2Dic[Vendedora 3]=$A8),--(TablaST2Dic[Día]&lt;&gt;$M$12))</f>
        <v>0</v>
      </c>
      <c r="D8" s="58">
        <f>SUMPRODUCT((TablaFrenchDic[Vendedora 1]=$A8)+(TablaFrenchDic[Vendedora 2]=$A8)+(TablaFrenchDic[Vendedora 3]=$A8),--(TablaFrenchDic[Día]&lt;&gt;$M$12))</f>
        <v>0</v>
      </c>
      <c r="E8" s="58">
        <f>SUMPRODUCT((TablaASDic[Vendedora 1]=$A8)+(TablaASDic[Vendedora 2]=$A8)+(TablaASDic[Vendedora 3]=$A8),--(TablaASDic[Día]&lt;&gt;$M$12))</f>
        <v>0</v>
      </c>
      <c r="F8" s="58">
        <f>SUMPRODUCT((TablaST1Dic[Vendedora 1]=$A8)+(TablaST1Dic[Vendedora 2]=$A8)+(TablaST1Dic[Vendedora 3]=$A8),--(TablaST1Dic[Día]=$M$12))</f>
        <v>0</v>
      </c>
      <c r="G8" s="58">
        <f>SUMPRODUCT((TablaST2Dic[Vendedora 1]=$A8)+(TablaST2Dic[Vendedora 2]=$A8)+(TablaST2Dic[Vendedora 3]=$A8),--(TablaST2Dic[Día]=$M$12))</f>
        <v>0</v>
      </c>
      <c r="H8" s="58">
        <f>SUMPRODUCT((TablaFrenchDic[Vendedora 1]=$A8)+(TablaFrenchDic[Vendedora 2]=$A8)+(TablaFrenchDic[Vendedora 3]=$A8),--(TablaFrenchDic[Día]=$M$12))</f>
        <v>0</v>
      </c>
      <c r="I8" s="58">
        <f>SUMPRODUCT((TablaASDic[Vendedora 1]=$A8)+(TablaASDic[Vendedora 2]=$A8)+(TablaASDic[Vendedora 3]=$A8),--(TablaASDic[Día]=$M$12))</f>
        <v>0</v>
      </c>
      <c r="J8" s="62">
        <f t="shared" si="1"/>
        <v>0</v>
      </c>
      <c r="K8" s="62">
        <f t="shared" si="2"/>
        <v>8</v>
      </c>
      <c r="M8" s="54" t="s">
        <v>41</v>
      </c>
      <c r="N8" s="36">
        <v>2</v>
      </c>
      <c r="O8" s="36">
        <v>320</v>
      </c>
      <c r="P8" s="22">
        <f>E17+I17</f>
        <v>0</v>
      </c>
      <c r="Q8" s="50">
        <f t="shared" si="0"/>
        <v>0</v>
      </c>
      <c r="R8" s="16"/>
      <c r="S8" s="16"/>
      <c r="T8" s="16"/>
      <c r="U8" s="16"/>
      <c r="V8" s="16"/>
      <c r="W8" s="16"/>
    </row>
    <row r="9" spans="1:31" x14ac:dyDescent="0.3">
      <c r="A9" s="58" t="s">
        <v>32</v>
      </c>
      <c r="B9" s="58">
        <f>SUMPRODUCT((TablaST1Dic[Vendedora 1]=$A9)+(TablaST1Dic[Vendedora 2]=$A9)+(TablaST1Dic[Vendedora 3]=$A9),--(TablaST1Dic[Día]&lt;&gt;$M$12))</f>
        <v>0</v>
      </c>
      <c r="C9" s="58">
        <f>SUMPRODUCT((TablaST2Dic[Vendedora 1]=$A9)+(TablaST2Dic[Vendedora 2]=$A9)+(TablaST2Dic[Vendedora 3]=$A9),--(TablaST2Dic[Día]&lt;&gt;$M$12))</f>
        <v>0</v>
      </c>
      <c r="D9" s="58">
        <f>SUMPRODUCT((TablaFrenchDic[Vendedora 1]=$A9)+(TablaFrenchDic[Vendedora 2]=$A9)+(TablaFrenchDic[Vendedora 3]=$A9),--(TablaFrenchDic[Día]&lt;&gt;$M$12))</f>
        <v>0</v>
      </c>
      <c r="E9" s="58">
        <f>SUMPRODUCT((TablaASDic[Vendedora 1]=$A9)+(TablaASDic[Vendedora 2]=$A9)+(TablaASDic[Vendedora 3]=$A9),--(TablaASDic[Día]&lt;&gt;$M$12))</f>
        <v>0</v>
      </c>
      <c r="F9" s="58">
        <f>SUMPRODUCT((TablaST1Dic[Vendedora 1]=$A9)+(TablaST1Dic[Vendedora 2]=$A9)+(TablaST1Dic[Vendedora 3]=$A9),--(TablaST1Dic[Día]=$M$12))</f>
        <v>0</v>
      </c>
      <c r="G9" s="58">
        <f>SUMPRODUCT((TablaST2Dic[Vendedora 1]=$A9)+(TablaST2Dic[Vendedora 2]=$A9)+(TablaST2Dic[Vendedora 3]=$A9),--(TablaST2Dic[Día]=$M$12))</f>
        <v>0</v>
      </c>
      <c r="H9" s="58">
        <f>SUMPRODUCT((TablaFrenchDic[Vendedora 1]=$A9)+(TablaFrenchDic[Vendedora 2]=$A9)+(TablaFrenchDic[Vendedora 3]=$A9),--(TablaFrenchDic[Día]=$M$12))</f>
        <v>0</v>
      </c>
      <c r="I9" s="58">
        <f>SUMPRODUCT((TablaASDic[Vendedora 1]=$A9)+(TablaASDic[Vendedora 2]=$A9)+(TablaASDic[Vendedora 3]=$A9),--(TablaASDic[Día]=$M$12))</f>
        <v>0</v>
      </c>
      <c r="J9" s="62">
        <f t="shared" si="1"/>
        <v>0</v>
      </c>
      <c r="K9" s="62">
        <f t="shared" si="2"/>
        <v>8</v>
      </c>
      <c r="M9" s="2"/>
      <c r="P9" s="16"/>
      <c r="Q9" s="16"/>
      <c r="R9" s="16"/>
      <c r="S9" s="16"/>
      <c r="T9" s="16"/>
      <c r="U9" s="16"/>
      <c r="V9" s="16"/>
      <c r="W9" s="16"/>
    </row>
    <row r="10" spans="1:31" x14ac:dyDescent="0.3">
      <c r="A10" s="58" t="s">
        <v>35</v>
      </c>
      <c r="B10" s="58">
        <f>SUMPRODUCT((TablaST1Dic[Vendedora 1]=$A10)+(TablaST1Dic[Vendedora 2]=$A10)+(TablaST1Dic[Vendedora 3]=$A10),--(TablaST1Dic[Día]&lt;&gt;$M$12))</f>
        <v>20</v>
      </c>
      <c r="C10" s="58">
        <f>SUMPRODUCT((TablaST2Dic[Vendedora 1]=$A10)+(TablaST2Dic[Vendedora 2]=$A10)+(TablaST2Dic[Vendedora 3]=$A10),--(TablaST2Dic[Día]&lt;&gt;$M$12))</f>
        <v>0</v>
      </c>
      <c r="D10" s="58">
        <f>SUMPRODUCT((TablaFrenchDic[Vendedora 1]=$A10)+(TablaFrenchDic[Vendedora 2]=$A10)+(TablaFrenchDic[Vendedora 3]=$A10),--(TablaFrenchDic[Día]&lt;&gt;$M$12))</f>
        <v>0</v>
      </c>
      <c r="E10" s="58">
        <f>SUMPRODUCT((TablaASDic[Vendedora 1]=$A10)+(TablaASDic[Vendedora 2]=$A10)+(TablaASDic[Vendedora 3]=$A10),--(TablaASDic[Día]&lt;&gt;$M$12))</f>
        <v>0</v>
      </c>
      <c r="F10" s="58">
        <f>SUMPRODUCT((TablaST1Dic[Vendedora 1]=$A10)+(TablaST1Dic[Vendedora 2]=$A10)+(TablaST1Dic[Vendedora 3]=$A10),--(TablaST1Dic[Día]=$M$12))</f>
        <v>4</v>
      </c>
      <c r="G10" s="58">
        <f>SUMPRODUCT((TablaST2Dic[Vendedora 1]=$A10)+(TablaST2Dic[Vendedora 2]=$A10)+(TablaST2Dic[Vendedora 3]=$A10),--(TablaST2Dic[Día]=$M$12))</f>
        <v>0</v>
      </c>
      <c r="H10" s="58">
        <f>SUMPRODUCT((TablaFrenchDic[Vendedora 1]=$A10)+(TablaFrenchDic[Vendedora 2]=$A10)+(TablaFrenchDic[Vendedora 3]=$A10),--(TablaFrenchDic[Día]=$M$12))</f>
        <v>0</v>
      </c>
      <c r="I10" s="58">
        <f>SUMPRODUCT((TablaASDic[Vendedora 1]=$A10)+(TablaASDic[Vendedora 2]=$A10)+(TablaASDic[Vendedora 3]=$A10),--(TablaASDic[Día]=$M$12))</f>
        <v>0</v>
      </c>
      <c r="J10" s="62">
        <f t="shared" si="1"/>
        <v>24</v>
      </c>
      <c r="K10" s="62">
        <f t="shared" si="2"/>
        <v>4</v>
      </c>
      <c r="P10" s="16"/>
      <c r="Q10" s="16"/>
      <c r="R10" s="16"/>
      <c r="S10" s="16"/>
      <c r="T10" s="16"/>
      <c r="U10" s="16"/>
      <c r="V10" s="16"/>
      <c r="W10" s="16"/>
    </row>
    <row r="11" spans="1:31" x14ac:dyDescent="0.3">
      <c r="A11" s="58" t="s">
        <v>40</v>
      </c>
      <c r="B11" s="58">
        <f>SUMPRODUCT((TablaST1Dic[Vendedora 1]=$A11)+(TablaST1Dic[Vendedora 2]=$A11)+(TablaST1Dic[Vendedora 3]=$A11),--(TablaST1Dic[Día]&lt;&gt;$M$12))</f>
        <v>0</v>
      </c>
      <c r="C11" s="58">
        <f>SUMPRODUCT((TablaST2Dic[Vendedora 1]=$A11)+(TablaST2Dic[Vendedora 2]=$A11)+(TablaST2Dic[Vendedora 3]=$A11),--(TablaST2Dic[Día]&lt;&gt;$M$12))</f>
        <v>0</v>
      </c>
      <c r="D11" s="58">
        <f>SUMPRODUCT((TablaFrenchDic[Vendedora 1]=$A11)+(TablaFrenchDic[Vendedora 2]=$A11)+(TablaFrenchDic[Vendedora 3]=$A11),--(TablaFrenchDic[Día]&lt;&gt;$M$12))</f>
        <v>0</v>
      </c>
      <c r="E11" s="58">
        <f>SUMPRODUCT((TablaASDic[Vendedora 1]=$A11)+(TablaASDic[Vendedora 2]=$A11)+(TablaASDic[Vendedora 3]=$A11),--(TablaASDic[Día]&lt;&gt;$M$12))</f>
        <v>0</v>
      </c>
      <c r="F11" s="58">
        <f>SUMPRODUCT((TablaST1Dic[Vendedora 1]=$A11)+(TablaST1Dic[Vendedora 2]=$A11)+(TablaST1Dic[Vendedora 3]=$A11),--(TablaST1Dic[Día]=$M$12))</f>
        <v>0</v>
      </c>
      <c r="G11" s="58">
        <f>SUMPRODUCT((TablaST2Dic[Vendedora 1]=$A11)+(TablaST2Dic[Vendedora 2]=$A11)+(TablaST2Dic[Vendedora 3]=$A11),--(TablaST2Dic[Día]=$M$12))</f>
        <v>0</v>
      </c>
      <c r="H11" s="58">
        <f>SUMPRODUCT((TablaFrenchDic[Vendedora 1]=$A11)+(TablaFrenchDic[Vendedora 2]=$A11)+(TablaFrenchDic[Vendedora 3]=$A11),--(TablaFrenchDic[Día]=$M$12))</f>
        <v>0</v>
      </c>
      <c r="I11" s="58">
        <f>SUMPRODUCT((TablaASDic[Vendedora 1]=$A11)+(TablaASDic[Vendedora 2]=$A11)+(TablaASDic[Vendedora 3]=$A11),--(TablaASDic[Día]=$M$12))</f>
        <v>0</v>
      </c>
      <c r="J11" s="62">
        <f t="shared" si="1"/>
        <v>0</v>
      </c>
      <c r="K11" s="62">
        <f t="shared" si="2"/>
        <v>8</v>
      </c>
      <c r="M11" s="37" t="s">
        <v>9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</row>
    <row r="12" spans="1:31" x14ac:dyDescent="0.3">
      <c r="A12" s="58" t="s">
        <v>39</v>
      </c>
      <c r="B12" s="58">
        <f>SUMPRODUCT((TablaST1Dic[Vendedora 1]=$A12)+(TablaST1Dic[Vendedora 2]=$A12)+(TablaST1Dic[Vendedora 3]=$A12),--(TablaST1Dic[Día]&lt;&gt;$M$12))</f>
        <v>20</v>
      </c>
      <c r="C12" s="58">
        <f>SUMPRODUCT((TablaST2Dic[Vendedora 1]=$A12)+(TablaST2Dic[Vendedora 2]=$A12)+(TablaST2Dic[Vendedora 3]=$A12),--(TablaST2Dic[Día]&lt;&gt;$M$12))</f>
        <v>0</v>
      </c>
      <c r="D12" s="58">
        <f>SUMPRODUCT((TablaFrenchDic[Vendedora 1]=$A12)+(TablaFrenchDic[Vendedora 2]=$A12)+(TablaFrenchDic[Vendedora 3]=$A12),--(TablaFrenchDic[Día]&lt;&gt;$M$12))</f>
        <v>0</v>
      </c>
      <c r="E12" s="58">
        <f>SUMPRODUCT((TablaASDic[Vendedora 1]=$A12)+(TablaASDic[Vendedora 2]=$A12)+(TablaASDic[Vendedora 3]=$A12),--(TablaASDic[Día]&lt;&gt;$M$12))</f>
        <v>0</v>
      </c>
      <c r="F12" s="58">
        <f>SUMPRODUCT((TablaST1Dic[Vendedora 1]=$A12)+(TablaST1Dic[Vendedora 2]=$A12)+(TablaST1Dic[Vendedora 3]=$A12),--(TablaST1Dic[Día]=$M$12))</f>
        <v>4</v>
      </c>
      <c r="G12" s="58">
        <f>SUMPRODUCT((TablaST2Dic[Vendedora 1]=$A12)+(TablaST2Dic[Vendedora 2]=$A12)+(TablaST2Dic[Vendedora 3]=$A12),--(TablaST2Dic[Día]=$M$12))</f>
        <v>0</v>
      </c>
      <c r="H12" s="58">
        <f>SUMPRODUCT((TablaFrenchDic[Vendedora 1]=$A12)+(TablaFrenchDic[Vendedora 2]=$A12)+(TablaFrenchDic[Vendedora 3]=$A12),--(TablaFrenchDic[Día]=$M$12))</f>
        <v>0</v>
      </c>
      <c r="I12" s="58">
        <f>SUMPRODUCT((TablaASDic[Vendedora 1]=$A12)+(TablaASDic[Vendedora 2]=$A12)+(TablaASDic[Vendedora 3]=$A12),--(TablaASDic[Día]=$M$12))</f>
        <v>0</v>
      </c>
      <c r="J12" s="62">
        <f t="shared" si="1"/>
        <v>24</v>
      </c>
      <c r="K12" s="62">
        <f t="shared" si="2"/>
        <v>4</v>
      </c>
      <c r="L12" s="16"/>
      <c r="M12" s="38">
        <v>45999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</row>
    <row r="13" spans="1:31" x14ac:dyDescent="0.3">
      <c r="A13" s="58" t="s">
        <v>33</v>
      </c>
      <c r="B13" s="58">
        <f>SUMPRODUCT((TablaST1Dic[Vendedora 1]=$A13)+(TablaST1Dic[Vendedora 2]=$A13)+(TablaST1Dic[Vendedora 3]=$A13),--(TablaST1Dic[Día]&lt;&gt;$M$12))</f>
        <v>0</v>
      </c>
      <c r="C13" s="58">
        <f>SUMPRODUCT((TablaST2Dic[Vendedora 1]=$A13)+(TablaST2Dic[Vendedora 2]=$A13)+(TablaST2Dic[Vendedora 3]=$A13),--(TablaST2Dic[Día]&lt;&gt;$M$12))</f>
        <v>0</v>
      </c>
      <c r="D13" s="58">
        <f>SUMPRODUCT((TablaFrenchDic[Vendedora 1]=$A13)+(TablaFrenchDic[Vendedora 2]=$A13)+(TablaFrenchDic[Vendedora 3]=$A13),--(TablaFrenchDic[Día]&lt;&gt;$M$12))</f>
        <v>0</v>
      </c>
      <c r="E13" s="58">
        <f>SUMPRODUCT((TablaASDic[Vendedora 1]=$A13)+(TablaASDic[Vendedora 2]=$A13)+(TablaASDic[Vendedora 3]=$A13),--(TablaASDic[Día]&lt;&gt;$M$12))</f>
        <v>0</v>
      </c>
      <c r="F13" s="58">
        <f>SUMPRODUCT((TablaST1Dic[Vendedora 1]=$A13)+(TablaST1Dic[Vendedora 2]=$A13)+(TablaST1Dic[Vendedora 3]=$A13),--(TablaST1Dic[Día]=$M$12))</f>
        <v>0</v>
      </c>
      <c r="G13" s="58">
        <f>SUMPRODUCT((TablaST2Dic[Vendedora 1]=$A13)+(TablaST2Dic[Vendedora 2]=$A13)+(TablaST2Dic[Vendedora 3]=$A13),--(TablaST2Dic[Día]=$M$12))</f>
        <v>0</v>
      </c>
      <c r="H13" s="58">
        <f>SUMPRODUCT((TablaFrenchDic[Vendedora 1]=$A13)+(TablaFrenchDic[Vendedora 2]=$A13)+(TablaFrenchDic[Vendedora 3]=$A13),--(TablaFrenchDic[Día]=$M$12))</f>
        <v>0</v>
      </c>
      <c r="I13" s="58">
        <f>SUMPRODUCT((TablaASDic[Vendedora 1]=$A13)+(TablaASDic[Vendedora 2]=$A13)+(TablaASDic[Vendedora 3]=$A13),--(TablaASDic[Día]=$M$12))</f>
        <v>0</v>
      </c>
      <c r="J13" s="62">
        <f t="shared" si="1"/>
        <v>0</v>
      </c>
      <c r="K13" s="62">
        <f t="shared" si="2"/>
        <v>8</v>
      </c>
      <c r="L13" s="21"/>
      <c r="M13" s="21"/>
      <c r="N13" s="16"/>
      <c r="O13" s="16"/>
      <c r="P13" s="16"/>
      <c r="Q13" s="16"/>
      <c r="R13" s="16"/>
      <c r="S13" s="16"/>
      <c r="T13" s="16"/>
      <c r="U13" s="16"/>
      <c r="V13" s="16"/>
      <c r="W13" s="16"/>
    </row>
    <row r="14" spans="1:31" x14ac:dyDescent="0.3">
      <c r="A14" s="58" t="s">
        <v>36</v>
      </c>
      <c r="B14" s="58">
        <f>SUMPRODUCT((TablaST1Dic[Vendedora 1]=$A14)+(TablaST1Dic[Vendedora 2]=$A14)+(TablaST1Dic[Vendedora 3]=$A14),--(TablaST1Dic[Día]&lt;&gt;$M$12))</f>
        <v>0</v>
      </c>
      <c r="C14" s="58">
        <f>SUMPRODUCT((TablaST2Dic[Vendedora 1]=$A14)+(TablaST2Dic[Vendedora 2]=$A14)+(TablaST2Dic[Vendedora 3]=$A14),--(TablaST2Dic[Día]&lt;&gt;$M$12))</f>
        <v>0</v>
      </c>
      <c r="D14" s="58">
        <f>SUMPRODUCT((TablaFrenchDic[Vendedora 1]=$A14)+(TablaFrenchDic[Vendedora 2]=$A14)+(TablaFrenchDic[Vendedora 3]=$A14),--(TablaFrenchDic[Día]&lt;&gt;$M$12))</f>
        <v>0</v>
      </c>
      <c r="E14" s="58">
        <f>SUMPRODUCT((TablaASDic[Vendedora 1]=$A14)+(TablaASDic[Vendedora 2]=$A14)+(TablaASDic[Vendedora 3]=$A14),--(TablaASDic[Día]&lt;&gt;$M$12))</f>
        <v>0</v>
      </c>
      <c r="F14" s="58">
        <f>SUMPRODUCT((TablaST1Dic[Vendedora 1]=$A14)+(TablaST1Dic[Vendedora 2]=$A14)+(TablaST1Dic[Vendedora 3]=$A14),--(TablaST1Dic[Día]=$M$12))</f>
        <v>0</v>
      </c>
      <c r="G14" s="58">
        <f>SUMPRODUCT((TablaST2Dic[Vendedora 1]=$A14)+(TablaST2Dic[Vendedora 2]=$A14)+(TablaST2Dic[Vendedora 3]=$A14),--(TablaST2Dic[Día]=$M$12))</f>
        <v>0</v>
      </c>
      <c r="H14" s="58">
        <f>SUMPRODUCT((TablaFrenchDic[Vendedora 1]=$A14)+(TablaFrenchDic[Vendedora 2]=$A14)+(TablaFrenchDic[Vendedora 3]=$A14),--(TablaFrenchDic[Día]=$M$12))</f>
        <v>0</v>
      </c>
      <c r="I14" s="58">
        <f>SUMPRODUCT((TablaASDic[Vendedora 1]=$A14)+(TablaASDic[Vendedora 2]=$A14)+(TablaASDic[Vendedora 3]=$A14),--(TablaASDic[Día]=$M$12))</f>
        <v>0</v>
      </c>
      <c r="J14" s="62">
        <f t="shared" si="1"/>
        <v>0</v>
      </c>
      <c r="K14" s="62">
        <f t="shared" si="2"/>
        <v>8</v>
      </c>
      <c r="L14" s="10"/>
      <c r="M14" s="18"/>
      <c r="O14" s="16"/>
      <c r="P14" s="16"/>
      <c r="Q14" s="16"/>
      <c r="R14" s="16"/>
      <c r="S14" s="16"/>
      <c r="T14" s="16"/>
      <c r="U14" s="16"/>
      <c r="V14" s="16"/>
      <c r="W14" s="16"/>
    </row>
    <row r="15" spans="1:31" x14ac:dyDescent="0.3">
      <c r="A15" s="58" t="s">
        <v>38</v>
      </c>
      <c r="B15" s="58">
        <f>SUMPRODUCT((TablaST1Dic[Vendedora 1]=$A15)+(TablaST1Dic[Vendedora 2]=$A15)+(TablaST1Dic[Vendedora 3]=$A15),--(TablaST1Dic[Día]&lt;&gt;$M$12))</f>
        <v>0</v>
      </c>
      <c r="C15" s="58">
        <f>SUMPRODUCT((TablaST2Dic[Vendedora 1]=$A15)+(TablaST2Dic[Vendedora 2]=$A15)+(TablaST2Dic[Vendedora 3]=$A15),--(TablaST2Dic[Día]&lt;&gt;$M$12))</f>
        <v>5</v>
      </c>
      <c r="D15" s="58">
        <f>SUMPRODUCT((TablaFrenchDic[Vendedora 1]=$A15)+(TablaFrenchDic[Vendedora 2]=$A15)+(TablaFrenchDic[Vendedora 3]=$A15),--(TablaFrenchDic[Día]&lt;&gt;$M$12))</f>
        <v>0</v>
      </c>
      <c r="E15" s="58">
        <f>SUMPRODUCT((TablaASDic[Vendedora 1]=$A15)+(TablaASDic[Vendedora 2]=$A15)+(TablaASDic[Vendedora 3]=$A15),--(TablaASDic[Día]&lt;&gt;$M$12))</f>
        <v>0</v>
      </c>
      <c r="F15" s="58">
        <f>SUMPRODUCT((TablaST1Dic[Vendedora 1]=$A15)+(TablaST1Dic[Vendedora 2]=$A15)+(TablaST1Dic[Vendedora 3]=$A15),--(TablaST1Dic[Día]=$M$12))</f>
        <v>0</v>
      </c>
      <c r="G15" s="58">
        <f>SUMPRODUCT((TablaST2Dic[Vendedora 1]=$A15)+(TablaST2Dic[Vendedora 2]=$A15)+(TablaST2Dic[Vendedora 3]=$A15),--(TablaST2Dic[Día]=$M$12))</f>
        <v>0</v>
      </c>
      <c r="H15" s="58">
        <f>SUMPRODUCT((TablaFrenchDic[Vendedora 1]=$A15)+(TablaFrenchDic[Vendedora 2]=$A15)+(TablaFrenchDic[Vendedora 3]=$A15),--(TablaFrenchDic[Día]=$M$12))</f>
        <v>0</v>
      </c>
      <c r="I15" s="58">
        <f>SUMPRODUCT((TablaASDic[Vendedora 1]=$A15)+(TablaASDic[Vendedora 2]=$A15)+(TablaASDic[Vendedora 3]=$A15),--(TablaASDic[Día]=$M$12))</f>
        <v>0</v>
      </c>
      <c r="J15" s="62">
        <f t="shared" si="1"/>
        <v>5</v>
      </c>
      <c r="K15" s="62">
        <f t="shared" si="2"/>
        <v>8</v>
      </c>
      <c r="L15" s="10"/>
      <c r="M15" s="18"/>
      <c r="O15" s="16"/>
      <c r="P15" s="16"/>
      <c r="Q15" s="16"/>
      <c r="R15" s="16"/>
      <c r="S15" s="16"/>
      <c r="T15" s="16"/>
      <c r="U15" s="16"/>
      <c r="V15" s="16"/>
      <c r="W15" s="16"/>
    </row>
    <row r="16" spans="1:31" x14ac:dyDescent="0.3">
      <c r="A16" s="59" t="s">
        <v>13</v>
      </c>
      <c r="B16" s="58">
        <f>SUMPRODUCT((TablaST1Dic[Vendedora 1]=$A16)+(TablaST1Dic[Vendedora 2]=$A16)+(TablaST1Dic[Vendedora 3]=$A16),--(TablaST1Dic[Día]&lt;&gt;$M$12))</f>
        <v>0</v>
      </c>
      <c r="C16" s="58">
        <f>SUMPRODUCT((TablaST2Dic[Vendedora 1]=$A16)+(TablaST2Dic[Vendedora 2]=$A16)+(TablaST2Dic[Vendedora 3]=$A16),--(TablaST2Dic[Día]&lt;&gt;$M$12))</f>
        <v>0</v>
      </c>
      <c r="D16" s="58">
        <f>SUMPRODUCT((TablaFrenchDic[Vendedora 1]=$A16)+(TablaFrenchDic[Vendedora 2]=$A16)+(TablaFrenchDic[Vendedora 3]=$A16),--(TablaFrenchDic[Día]&lt;&gt;$M$12))</f>
        <v>0</v>
      </c>
      <c r="E16" s="58">
        <f>SUMPRODUCT((TablaASDic[Vendedora 1]=$A16)+(TablaASDic[Vendedora 2]=$A16)+(TablaASDic[Vendedora 3]=$A16),--(TablaASDic[Día]&lt;&gt;$M$12))</f>
        <v>0</v>
      </c>
      <c r="F16" s="58">
        <f>SUMPRODUCT((TablaST1Dic[Vendedora 1]=$A16)+(TablaST1Dic[Vendedora 2]=$A16)+(TablaST1Dic[Vendedora 3]=$A16),--(TablaST1Dic[Día]=$M$12))</f>
        <v>0</v>
      </c>
      <c r="G16" s="58">
        <f>SUMPRODUCT((TablaST2Dic[Vendedora 1]=$A16)+(TablaST2Dic[Vendedora 2]=$A16)+(TablaST2Dic[Vendedora 3]=$A16),--(TablaST2Dic[Día]=$M$12))</f>
        <v>0</v>
      </c>
      <c r="H16" s="58">
        <f>SUMPRODUCT((TablaFrenchDic[Vendedora 1]=$A16)+(TablaFrenchDic[Vendedora 2]=$A16)+(TablaFrenchDic[Vendedora 3]=$A16),--(TablaFrenchDic[Día]=$M$12))</f>
        <v>0</v>
      </c>
      <c r="I16" s="58">
        <f>SUMPRODUCT((TablaASDic[Vendedora 1]=$A16)+(TablaASDic[Vendedora 2]=$A16)+(TablaASDic[Vendedora 3]=$A16),--(TablaASDic[Día]=$M$12))</f>
        <v>0</v>
      </c>
      <c r="J16" s="62">
        <f t="shared" si="1"/>
        <v>0</v>
      </c>
      <c r="K16" s="62">
        <f t="shared" si="2"/>
        <v>8</v>
      </c>
      <c r="L16" s="10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1:31" s="4" customFormat="1" x14ac:dyDescent="0.3">
      <c r="A17" s="60" t="s">
        <v>15</v>
      </c>
      <c r="B17" s="60">
        <f>SUM(B6:B16)</f>
        <v>80</v>
      </c>
      <c r="C17" s="60">
        <f t="shared" ref="C17:D17" si="3">SUM(C6:C16)</f>
        <v>5</v>
      </c>
      <c r="D17" s="60">
        <f t="shared" si="3"/>
        <v>0</v>
      </c>
      <c r="E17" s="60">
        <f>SUM(E6:E16)</f>
        <v>0</v>
      </c>
      <c r="F17" s="60">
        <f>SUM(F6:F16)</f>
        <v>16</v>
      </c>
      <c r="G17" s="60">
        <f>SUM(G6:G16)</f>
        <v>0</v>
      </c>
      <c r="H17" s="60">
        <f>SUM(H6:H16)</f>
        <v>0</v>
      </c>
      <c r="I17" s="60">
        <f>SUM(I6:I16)</f>
        <v>0</v>
      </c>
      <c r="J17" s="63">
        <f>SUM(J6:J16)</f>
        <v>101</v>
      </c>
      <c r="K17" s="63">
        <f>SUM(K6:K16)</f>
        <v>72</v>
      </c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31" s="4" customFormat="1" x14ac:dyDescent="0.3">
      <c r="A18" s="18"/>
      <c r="B18" s="14"/>
      <c r="C18" s="14"/>
      <c r="D18" s="14"/>
      <c r="E18" s="14"/>
      <c r="F18" s="14"/>
      <c r="G18" s="14"/>
      <c r="H18" s="15"/>
      <c r="I18" s="15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1:31" s="4" customFormat="1" x14ac:dyDescent="0.3">
      <c r="A19" s="14"/>
      <c r="B19" s="14"/>
      <c r="C19" s="14"/>
      <c r="D19" s="14"/>
      <c r="E19" s="14"/>
      <c r="F19" s="14"/>
      <c r="G19" s="14"/>
      <c r="H19" s="15"/>
      <c r="I19" s="15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1:31" s="20" customFormat="1" ht="18" x14ac:dyDescent="0.35">
      <c r="A20" s="42" t="s">
        <v>24</v>
      </c>
      <c r="B20" s="43"/>
      <c r="C20" s="43"/>
      <c r="D20" s="43"/>
      <c r="E20" s="43"/>
      <c r="F20" s="43"/>
      <c r="G20" s="44"/>
      <c r="H20" s="19"/>
      <c r="I20" s="42" t="s">
        <v>25</v>
      </c>
      <c r="J20" s="43"/>
      <c r="K20" s="43"/>
      <c r="L20" s="43"/>
      <c r="M20" s="43"/>
      <c r="N20" s="43"/>
      <c r="O20" s="44"/>
      <c r="P20" s="19"/>
      <c r="Q20" s="45" t="s">
        <v>26</v>
      </c>
      <c r="R20" s="46"/>
      <c r="S20" s="46"/>
      <c r="T20" s="46"/>
      <c r="U20" s="46"/>
      <c r="V20" s="46"/>
      <c r="W20" s="47"/>
      <c r="Y20" s="42" t="s">
        <v>42</v>
      </c>
      <c r="Z20" s="43"/>
      <c r="AA20" s="43"/>
      <c r="AB20" s="43"/>
      <c r="AC20" s="43"/>
      <c r="AD20" s="43"/>
      <c r="AE20" s="44"/>
    </row>
    <row r="21" spans="1:31" x14ac:dyDescent="0.3">
      <c r="A21" s="24" t="s">
        <v>3</v>
      </c>
      <c r="B21" s="25" t="s">
        <v>6</v>
      </c>
      <c r="C21" s="25" t="s">
        <v>7</v>
      </c>
      <c r="D21" s="26" t="s">
        <v>1</v>
      </c>
      <c r="E21" s="26" t="s">
        <v>2</v>
      </c>
      <c r="F21" s="26" t="s">
        <v>4</v>
      </c>
      <c r="G21" s="27" t="s">
        <v>5</v>
      </c>
      <c r="H21" s="16"/>
      <c r="I21" s="24" t="s">
        <v>3</v>
      </c>
      <c r="J21" s="25" t="s">
        <v>6</v>
      </c>
      <c r="K21" s="25" t="s">
        <v>7</v>
      </c>
      <c r="L21" s="26" t="s">
        <v>1</v>
      </c>
      <c r="M21" s="26" t="s">
        <v>2</v>
      </c>
      <c r="N21" s="26" t="s">
        <v>4</v>
      </c>
      <c r="O21" s="27" t="s">
        <v>5</v>
      </c>
      <c r="P21" s="16"/>
      <c r="Q21" s="24" t="s">
        <v>3</v>
      </c>
      <c r="R21" s="25" t="s">
        <v>6</v>
      </c>
      <c r="S21" s="25" t="s">
        <v>7</v>
      </c>
      <c r="T21" s="26" t="s">
        <v>1</v>
      </c>
      <c r="U21" s="26" t="s">
        <v>2</v>
      </c>
      <c r="V21" s="26" t="s">
        <v>4</v>
      </c>
      <c r="W21" s="27" t="s">
        <v>5</v>
      </c>
      <c r="Y21" s="24" t="s">
        <v>3</v>
      </c>
      <c r="Z21" s="25" t="s">
        <v>6</v>
      </c>
      <c r="AA21" s="25" t="s">
        <v>7</v>
      </c>
      <c r="AB21" s="26" t="s">
        <v>1</v>
      </c>
      <c r="AC21" s="26" t="s">
        <v>2</v>
      </c>
      <c r="AD21" s="26" t="s">
        <v>4</v>
      </c>
      <c r="AE21" s="27" t="s">
        <v>5</v>
      </c>
    </row>
    <row r="22" spans="1:31" x14ac:dyDescent="0.3">
      <c r="A22" s="29">
        <v>45992</v>
      </c>
      <c r="B22" s="30" t="str">
        <f>TEXT(A22,"ddd")</f>
        <v>lun</v>
      </c>
      <c r="C22" s="28">
        <v>0.45833333333333331</v>
      </c>
      <c r="D22" s="31" t="s">
        <v>34</v>
      </c>
      <c r="E22" s="31" t="s">
        <v>35</v>
      </c>
      <c r="F22" s="31"/>
      <c r="G22" s="40" t="str">
        <f>IF(COUNTIF(D22:F22,"?*")=$N$5,"✅ CUBIERTO",
IF(COUNTIF(D22:F22,"?*")&gt;$N$5,"⚠ EXCESO",IF(COUNTIF(D22:F22,"?*")&gt;0,"⚠ FALTANTE",
"❌ SIN COMPLETAR")))</f>
        <v>✅ CUBIERTO</v>
      </c>
      <c r="H22" s="17"/>
      <c r="I22" s="29">
        <v>45992</v>
      </c>
      <c r="J22" s="30" t="str">
        <f>TEXT(I22,"ddd")</f>
        <v>lun</v>
      </c>
      <c r="K22" s="28">
        <v>0.45833333333333331</v>
      </c>
      <c r="L22" s="41" t="s">
        <v>38</v>
      </c>
      <c r="M22" s="41"/>
      <c r="N22" s="41"/>
      <c r="O22" s="32" t="str">
        <f t="shared" ref="O22:O85" si="4">IF(COUNTIF(L22:N22,"?*")=$N$6,"✅ CUBIERTO",
IF(COUNTIF(L22:N22,"?*")&gt;$N$6,"⚠ EXCESO",IF(COUNTIF(L22:N22,"?*")&gt;0,"⚠ FALTANTE",
"❌ SIN COMPLETAR")))</f>
        <v>✅ CUBIERTO</v>
      </c>
      <c r="P22" s="17"/>
      <c r="Q22" s="29">
        <v>45992</v>
      </c>
      <c r="R22" s="30" t="str">
        <f>TEXT(Q22,"ddd")</f>
        <v>lun</v>
      </c>
      <c r="S22" s="28">
        <v>0.45833333333333331</v>
      </c>
      <c r="T22" s="31"/>
      <c r="U22" s="31"/>
      <c r="V22" s="31"/>
      <c r="W22" s="40" t="s">
        <v>16</v>
      </c>
      <c r="Y22" s="29">
        <v>45992</v>
      </c>
      <c r="Z22" s="30" t="str">
        <f>TEXT(Y22,"ddd")</f>
        <v>lun</v>
      </c>
      <c r="AA22" s="28">
        <v>0.45833333333333331</v>
      </c>
      <c r="AB22" s="41"/>
      <c r="AC22" s="41"/>
      <c r="AD22" s="41"/>
      <c r="AE22" s="32" t="str">
        <f t="shared" ref="AE22:AE85" si="5">IF(COUNTIF(AB22:AD22,"?*")=$N$8,"✅ CUBIERTO",
IF(COUNTIF(AB22:AD22,"?*")&gt;$N$8,"⚠ EXCESO",IF(COUNTIF(AB22:AD22,"?*")&gt;0,"⚠ FALTANTE",
"❌ SIN COMPLETAR")))</f>
        <v>❌ SIN COMPLETAR</v>
      </c>
    </row>
    <row r="23" spans="1:31" x14ac:dyDescent="0.3">
      <c r="A23" s="29">
        <v>45992</v>
      </c>
      <c r="B23" s="30" t="str">
        <f t="shared" ref="B23:B29" si="6">TEXT(A23,"ddd")</f>
        <v>lun</v>
      </c>
      <c r="C23" s="28">
        <v>0.5</v>
      </c>
      <c r="D23" s="31" t="s">
        <v>34</v>
      </c>
      <c r="E23" s="31" t="s">
        <v>35</v>
      </c>
      <c r="F23" s="31"/>
      <c r="G23" s="40" t="str">
        <f>IF(COUNTIF(D23:F23,"?*")=$N$5,"✅ CUBIERTO",
IF(COUNTIF(D23:F23,"?*")&gt;$N$5,"⚠ EXCESO",IF(COUNTIF(D23:F23,"?*")&gt;0,"⚠ FALTANTE",
"❌ SIN COMPLETAR")))</f>
        <v>✅ CUBIERTO</v>
      </c>
      <c r="H23" s="17"/>
      <c r="I23" s="29">
        <v>45992</v>
      </c>
      <c r="J23" s="30" t="str">
        <f t="shared" ref="J23:J29" si="7">TEXT(I23,"ddd")</f>
        <v>lun</v>
      </c>
      <c r="K23" s="28">
        <v>0.5</v>
      </c>
      <c r="L23" s="41" t="s">
        <v>38</v>
      </c>
      <c r="M23" s="41"/>
      <c r="N23" s="41"/>
      <c r="O23" s="32" t="str">
        <f t="shared" si="4"/>
        <v>✅ CUBIERTO</v>
      </c>
      <c r="P23" s="17"/>
      <c r="Q23" s="29">
        <v>45992</v>
      </c>
      <c r="R23" s="30" t="str">
        <f t="shared" ref="R23:R29" si="8">TEXT(Q23,"ddd")</f>
        <v>lun</v>
      </c>
      <c r="S23" s="28">
        <v>0.5</v>
      </c>
      <c r="T23" s="31"/>
      <c r="U23" s="31"/>
      <c r="V23" s="31"/>
      <c r="W23" s="40" t="str">
        <f>IF(COUNTIF(T23:V23,"?*")=$N$7,"✅ CUBIERTO",IF(COUNTIF(T23:V23,"?*")&gt;$N$7,"⚠ EXCESO",
IF(COUNTIF(T23:V23,"?*")&gt;0,"⚠ FALTANTE", "❌ SIN COMPLETAR")))</f>
        <v>❌ SIN COMPLETAR</v>
      </c>
      <c r="Y23" s="29">
        <v>45992</v>
      </c>
      <c r="Z23" s="30" t="str">
        <f t="shared" ref="Z23:Z29" si="9">TEXT(Y23,"ddd")</f>
        <v>lun</v>
      </c>
      <c r="AA23" s="28">
        <v>0.5</v>
      </c>
      <c r="AB23" s="31"/>
      <c r="AC23" s="41"/>
      <c r="AD23" s="41"/>
      <c r="AE23" s="32" t="str">
        <f t="shared" si="5"/>
        <v>❌ SIN COMPLETAR</v>
      </c>
    </row>
    <row r="24" spans="1:31" x14ac:dyDescent="0.3">
      <c r="A24" s="29">
        <v>45992</v>
      </c>
      <c r="B24" s="30" t="str">
        <f t="shared" si="6"/>
        <v>lun</v>
      </c>
      <c r="C24" s="28">
        <v>0.54166666666666696</v>
      </c>
      <c r="D24" s="31" t="s">
        <v>34</v>
      </c>
      <c r="E24" s="31" t="s">
        <v>35</v>
      </c>
      <c r="F24" s="31"/>
      <c r="G24" s="40" t="str">
        <f>IF(COUNTIF(D24:F24,"?*")=$N$5,"✅ CUBIERTO",
IF(COUNTIF(D24:F24,"?*")&gt;$N$5,"⚠ EXCESO",IF(COUNTIF(D24:F24,"?*")&gt;0,"⚠ FALTANTE",
"❌ SIN COMPLETAR")))</f>
        <v>✅ CUBIERTO</v>
      </c>
      <c r="H24" s="17"/>
      <c r="I24" s="29">
        <v>45992</v>
      </c>
      <c r="J24" s="30" t="str">
        <f t="shared" si="7"/>
        <v>lun</v>
      </c>
      <c r="K24" s="28">
        <v>0.54166666666666696</v>
      </c>
      <c r="L24" s="41" t="s">
        <v>38</v>
      </c>
      <c r="M24" s="41"/>
      <c r="N24" s="41"/>
      <c r="O24" s="32" t="str">
        <f t="shared" si="4"/>
        <v>✅ CUBIERTO</v>
      </c>
      <c r="P24" s="17"/>
      <c r="Q24" s="29">
        <v>45992</v>
      </c>
      <c r="R24" s="30" t="str">
        <f t="shared" si="8"/>
        <v>lun</v>
      </c>
      <c r="S24" s="28">
        <v>0.54166666666666696</v>
      </c>
      <c r="T24" s="31"/>
      <c r="U24" s="31"/>
      <c r="V24" s="31"/>
      <c r="W24" s="40" t="str">
        <f>IF(COUNTIF(T24:V24,"?*")=$N$7,"✅ CUBIERTO",IF(COUNTIF(T24:V24,"?*")&gt;$N$7,"⚠ EXCESO",
IF(COUNTIF(T24:V24,"?*")&gt;0,"⚠ FALTANTE", "❌ SIN COMPLETAR")))</f>
        <v>❌ SIN COMPLETAR</v>
      </c>
      <c r="Y24" s="29">
        <v>45992</v>
      </c>
      <c r="Z24" s="30" t="str">
        <f t="shared" si="9"/>
        <v>lun</v>
      </c>
      <c r="AA24" s="28">
        <v>0.54166666666666696</v>
      </c>
      <c r="AB24" s="41"/>
      <c r="AC24" s="41"/>
      <c r="AD24" s="41"/>
      <c r="AE24" s="32" t="str">
        <f t="shared" si="5"/>
        <v>❌ SIN COMPLETAR</v>
      </c>
    </row>
    <row r="25" spans="1:31" x14ac:dyDescent="0.3">
      <c r="A25" s="29">
        <v>45992</v>
      </c>
      <c r="B25" s="30" t="str">
        <f t="shared" si="6"/>
        <v>lun</v>
      </c>
      <c r="C25" s="28">
        <v>0.58333333333333304</v>
      </c>
      <c r="D25" s="31" t="s">
        <v>34</v>
      </c>
      <c r="E25" s="31" t="s">
        <v>35</v>
      </c>
      <c r="F25" s="31"/>
      <c r="G25" s="40" t="str">
        <f>IF(COUNTIF(D25:F25,"?*")=$N$5,"✅ CUBIERTO",
IF(COUNTIF(D25:F25,"?*")&gt;$N$5,"⚠ EXCESO",IF(COUNTIF(D25:F25,"?*")&gt;0,"⚠ FALTANTE",
"❌ SIN COMPLETAR")))</f>
        <v>✅ CUBIERTO</v>
      </c>
      <c r="H25" s="17"/>
      <c r="I25" s="29">
        <v>45992</v>
      </c>
      <c r="J25" s="30" t="str">
        <f t="shared" si="7"/>
        <v>lun</v>
      </c>
      <c r="K25" s="28">
        <v>0.58333333333333304</v>
      </c>
      <c r="L25" s="41" t="s">
        <v>38</v>
      </c>
      <c r="M25" s="41"/>
      <c r="N25" s="41"/>
      <c r="O25" s="32" t="str">
        <f t="shared" si="4"/>
        <v>✅ CUBIERTO</v>
      </c>
      <c r="P25" s="17"/>
      <c r="Q25" s="29">
        <v>45992</v>
      </c>
      <c r="R25" s="30" t="str">
        <f t="shared" si="8"/>
        <v>lun</v>
      </c>
      <c r="S25" s="28">
        <v>0.58333333333333304</v>
      </c>
      <c r="T25" s="31"/>
      <c r="U25" s="31"/>
      <c r="V25" s="31"/>
      <c r="W25" s="40" t="str">
        <f>IF(COUNTIF(T25:V25,"?*")=$N$7,"✅ CUBIERTO",IF(COUNTIF(T25:V25,"?*")&gt;$N$7,"⚠ EXCESO",
IF(COUNTIF(T25:V25,"?*")&gt;0,"⚠ FALTANTE", "❌ SIN COMPLETAR")))</f>
        <v>❌ SIN COMPLETAR</v>
      </c>
      <c r="Y25" s="29">
        <v>45992</v>
      </c>
      <c r="Z25" s="30" t="str">
        <f t="shared" si="9"/>
        <v>lun</v>
      </c>
      <c r="AA25" s="28">
        <v>0.58333333333333304</v>
      </c>
      <c r="AB25" s="41"/>
      <c r="AC25" s="41"/>
      <c r="AD25" s="41"/>
      <c r="AE25" s="32" t="str">
        <f t="shared" si="5"/>
        <v>❌ SIN COMPLETAR</v>
      </c>
    </row>
    <row r="26" spans="1:31" x14ac:dyDescent="0.3">
      <c r="A26" s="29">
        <v>45992</v>
      </c>
      <c r="B26" s="30" t="str">
        <f t="shared" si="6"/>
        <v>lun</v>
      </c>
      <c r="C26" s="28">
        <v>0.625</v>
      </c>
      <c r="D26" s="31" t="s">
        <v>37</v>
      </c>
      <c r="E26" s="31" t="s">
        <v>39</v>
      </c>
      <c r="F26" s="31"/>
      <c r="G26" s="40" t="str">
        <f>IF(COUNTIF(D26:F26,"?*")=$N$5,"✅ CUBIERTO",
IF(COUNTIF(D26:F26,"?*")&gt;$N$5,"⚠ EXCESO",IF(COUNTIF(D26:F26,"?*")&gt;0,"⚠ FALTANTE",
"❌ SIN COMPLETAR")))</f>
        <v>✅ CUBIERTO</v>
      </c>
      <c r="H26" s="17"/>
      <c r="I26" s="29">
        <v>45992</v>
      </c>
      <c r="J26" s="30" t="str">
        <f t="shared" si="7"/>
        <v>lun</v>
      </c>
      <c r="K26" s="28">
        <v>0.625</v>
      </c>
      <c r="L26" s="41" t="s">
        <v>38</v>
      </c>
      <c r="M26" s="41"/>
      <c r="N26" s="41"/>
      <c r="O26" s="32" t="str">
        <f t="shared" si="4"/>
        <v>✅ CUBIERTO</v>
      </c>
      <c r="P26" s="17"/>
      <c r="Q26" s="29">
        <v>45992</v>
      </c>
      <c r="R26" s="30" t="str">
        <f t="shared" si="8"/>
        <v>lun</v>
      </c>
      <c r="S26" s="28">
        <v>0.625</v>
      </c>
      <c r="T26" s="31"/>
      <c r="U26" s="31"/>
      <c r="V26" s="31"/>
      <c r="W26" s="40" t="str">
        <f>IF(COUNTIF(T26:V26,"?*")=$N$7,"✅ CUBIERTO",IF(COUNTIF(T26:V26,"?*")&gt;$N$7,"⚠ EXCESO",
IF(COUNTIF(T26:V26,"?*")&gt;0,"⚠ FALTANTE", "❌ SIN COMPLETAR")))</f>
        <v>❌ SIN COMPLETAR</v>
      </c>
      <c r="Y26" s="29">
        <v>45992</v>
      </c>
      <c r="Z26" s="30" t="str">
        <f t="shared" si="9"/>
        <v>lun</v>
      </c>
      <c r="AA26" s="28">
        <v>0.625</v>
      </c>
      <c r="AB26" s="41"/>
      <c r="AC26" s="41"/>
      <c r="AD26" s="41"/>
      <c r="AE26" s="32" t="str">
        <f t="shared" si="5"/>
        <v>❌ SIN COMPLETAR</v>
      </c>
    </row>
    <row r="27" spans="1:31" x14ac:dyDescent="0.3">
      <c r="A27" s="29">
        <v>45992</v>
      </c>
      <c r="B27" s="30" t="str">
        <f t="shared" si="6"/>
        <v>lun</v>
      </c>
      <c r="C27" s="28">
        <v>0.66666666666666696</v>
      </c>
      <c r="D27" s="31" t="s">
        <v>37</v>
      </c>
      <c r="E27" s="31" t="s">
        <v>39</v>
      </c>
      <c r="F27" s="31"/>
      <c r="G27" s="40" t="str">
        <f>IF(COUNTIF(D27:F27,"?*")=$N$5,"✅ CUBIERTO",
IF(COUNTIF(D27:F27,"?*")&gt;$N$5,"⚠ EXCESO",IF(COUNTIF(D27:F27,"?*")&gt;0,"⚠ FALTANTE",
"❌ SIN COMPLETAR")))</f>
        <v>✅ CUBIERTO</v>
      </c>
      <c r="H27" s="17"/>
      <c r="I27" s="29">
        <v>45992</v>
      </c>
      <c r="J27" s="30" t="str">
        <f t="shared" si="7"/>
        <v>lun</v>
      </c>
      <c r="K27" s="28">
        <v>0.66666666666666696</v>
      </c>
      <c r="L27" s="41"/>
      <c r="M27" s="41"/>
      <c r="N27" s="41"/>
      <c r="O27" s="32" t="str">
        <f t="shared" si="4"/>
        <v>❌ SIN COMPLETAR</v>
      </c>
      <c r="P27" s="17"/>
      <c r="Q27" s="29">
        <v>45992</v>
      </c>
      <c r="R27" s="30" t="str">
        <f t="shared" si="8"/>
        <v>lun</v>
      </c>
      <c r="S27" s="28">
        <v>0.66666666666666696</v>
      </c>
      <c r="T27" s="31"/>
      <c r="U27" s="31"/>
      <c r="V27" s="31"/>
      <c r="W27" s="40" t="str">
        <f>IF(COUNTIF(T27:V27,"?*")=$N$7,"✅ CUBIERTO",IF(COUNTIF(T27:V27,"?*")&gt;$N$7,"⚠ EXCESO",
IF(COUNTIF(T27:V27,"?*")&gt;0,"⚠ FALTANTE", "❌ SIN COMPLETAR")))</f>
        <v>❌ SIN COMPLETAR</v>
      </c>
      <c r="Y27" s="29">
        <v>45992</v>
      </c>
      <c r="Z27" s="30" t="str">
        <f t="shared" si="9"/>
        <v>lun</v>
      </c>
      <c r="AA27" s="28">
        <v>0.66666666666666696</v>
      </c>
      <c r="AB27" s="41"/>
      <c r="AC27" s="41"/>
      <c r="AD27" s="41"/>
      <c r="AE27" s="32" t="str">
        <f t="shared" si="5"/>
        <v>❌ SIN COMPLETAR</v>
      </c>
    </row>
    <row r="28" spans="1:31" x14ac:dyDescent="0.3">
      <c r="A28" s="29">
        <v>45992</v>
      </c>
      <c r="B28" s="30" t="str">
        <f t="shared" si="6"/>
        <v>lun</v>
      </c>
      <c r="C28" s="28">
        <v>0.70833333333333304</v>
      </c>
      <c r="D28" s="31" t="s">
        <v>37</v>
      </c>
      <c r="E28" s="31" t="s">
        <v>39</v>
      </c>
      <c r="F28" s="31"/>
      <c r="G28" s="40" t="str">
        <f>IF(COUNTIF(D28:F28,"?*")=$N$5,"✅ CUBIERTO",
IF(COUNTIF(D28:F28,"?*")&gt;$N$5,"⚠ EXCESO",IF(COUNTIF(D28:F28,"?*")&gt;0,"⚠ FALTANTE",
"❌ SIN COMPLETAR")))</f>
        <v>✅ CUBIERTO</v>
      </c>
      <c r="H28" s="17"/>
      <c r="I28" s="29">
        <v>45992</v>
      </c>
      <c r="J28" s="30" t="str">
        <f t="shared" si="7"/>
        <v>lun</v>
      </c>
      <c r="K28" s="28">
        <v>0.70833333333333304</v>
      </c>
      <c r="L28" s="41"/>
      <c r="M28" s="41"/>
      <c r="N28" s="41"/>
      <c r="O28" s="32" t="str">
        <f t="shared" si="4"/>
        <v>❌ SIN COMPLETAR</v>
      </c>
      <c r="P28" s="17"/>
      <c r="Q28" s="29">
        <v>45992</v>
      </c>
      <c r="R28" s="30" t="str">
        <f t="shared" si="8"/>
        <v>lun</v>
      </c>
      <c r="S28" s="28">
        <v>0.70833333333333304</v>
      </c>
      <c r="T28" s="31"/>
      <c r="U28" s="31"/>
      <c r="V28" s="31"/>
      <c r="W28" s="40" t="str">
        <f>IF(COUNTIF(T28:V28,"?*")=$N$7,"✅ CUBIERTO",IF(COUNTIF(T28:V28,"?*")&gt;$N$7,"⚠ EXCESO",
IF(COUNTIF(T28:V28,"?*")&gt;0,"⚠ FALTANTE", "❌ SIN COMPLETAR")))</f>
        <v>❌ SIN COMPLETAR</v>
      </c>
      <c r="Y28" s="29">
        <v>45992</v>
      </c>
      <c r="Z28" s="30" t="str">
        <f t="shared" si="9"/>
        <v>lun</v>
      </c>
      <c r="AA28" s="28">
        <v>0.70833333333333304</v>
      </c>
      <c r="AB28" s="41"/>
      <c r="AC28" s="41"/>
      <c r="AD28" s="41"/>
      <c r="AE28" s="32" t="str">
        <f t="shared" si="5"/>
        <v>❌ SIN COMPLETAR</v>
      </c>
    </row>
    <row r="29" spans="1:31" x14ac:dyDescent="0.3">
      <c r="A29" s="29">
        <v>45992</v>
      </c>
      <c r="B29" s="30" t="str">
        <f t="shared" si="6"/>
        <v>lun</v>
      </c>
      <c r="C29" s="28">
        <v>0.75</v>
      </c>
      <c r="D29" s="31" t="s">
        <v>37</v>
      </c>
      <c r="E29" s="31" t="s">
        <v>39</v>
      </c>
      <c r="F29" s="31"/>
      <c r="G29" s="40" t="str">
        <f>IF(COUNTIF(D29:F29,"?*")=$N$5,"✅ CUBIERTO",
IF(COUNTIF(D29:F29,"?*")&gt;$N$5,"⚠ EXCESO",IF(COUNTIF(D29:F29,"?*")&gt;0,"⚠ FALTANTE",
"❌ SIN COMPLETAR")))</f>
        <v>✅ CUBIERTO</v>
      </c>
      <c r="H29" s="17"/>
      <c r="I29" s="29">
        <v>45992</v>
      </c>
      <c r="J29" s="30" t="str">
        <f t="shared" si="7"/>
        <v>lun</v>
      </c>
      <c r="K29" s="28">
        <v>0.75</v>
      </c>
      <c r="L29" s="41"/>
      <c r="M29" s="41"/>
      <c r="N29" s="41"/>
      <c r="O29" s="32" t="str">
        <f t="shared" si="4"/>
        <v>❌ SIN COMPLETAR</v>
      </c>
      <c r="P29" s="17"/>
      <c r="Q29" s="29">
        <v>45992</v>
      </c>
      <c r="R29" s="30" t="str">
        <f t="shared" si="8"/>
        <v>lun</v>
      </c>
      <c r="S29" s="28">
        <v>0.75</v>
      </c>
      <c r="T29" s="31"/>
      <c r="U29" s="31"/>
      <c r="V29" s="31"/>
      <c r="W29" s="40" t="s">
        <v>16</v>
      </c>
      <c r="Y29" s="29">
        <v>45992</v>
      </c>
      <c r="Z29" s="30" t="str">
        <f t="shared" si="9"/>
        <v>lun</v>
      </c>
      <c r="AA29" s="28">
        <v>0.75</v>
      </c>
      <c r="AB29" s="41"/>
      <c r="AC29" s="41"/>
      <c r="AD29" s="41"/>
      <c r="AE29" s="32" t="str">
        <f t="shared" si="5"/>
        <v>❌ SIN COMPLETAR</v>
      </c>
    </row>
    <row r="30" spans="1:31" x14ac:dyDescent="0.3">
      <c r="A30" s="29">
        <v>45993</v>
      </c>
      <c r="B30" s="30" t="str">
        <f>TEXT(A30,"ddd")</f>
        <v>mar</v>
      </c>
      <c r="C30" s="28">
        <v>0.45833333333333331</v>
      </c>
      <c r="D30" s="31" t="s">
        <v>34</v>
      </c>
      <c r="E30" s="31" t="s">
        <v>35</v>
      </c>
      <c r="F30" s="31"/>
      <c r="G30" s="40" t="str">
        <f>IF(COUNTIF(D30:F30,"?*")=$N$5,"✅ CUBIERTO",
IF(COUNTIF(D30:F30,"?*")&gt;$N$5,"⚠ EXCESO",IF(COUNTIF(D30:F30,"?*")&gt;0,"⚠ FALTANTE",
"❌ SIN COMPLETAR")))</f>
        <v>✅ CUBIERTO</v>
      </c>
      <c r="H30" s="17"/>
      <c r="I30" s="29">
        <v>45993</v>
      </c>
      <c r="J30" s="30" t="str">
        <f>TEXT(I30,"ddd")</f>
        <v>mar</v>
      </c>
      <c r="K30" s="28">
        <v>0.45833333333333331</v>
      </c>
      <c r="L30" s="41"/>
      <c r="M30" s="41"/>
      <c r="N30" s="41"/>
      <c r="O30" s="32" t="str">
        <f t="shared" si="4"/>
        <v>❌ SIN COMPLETAR</v>
      </c>
      <c r="P30" s="17"/>
      <c r="Q30" s="29">
        <v>45993</v>
      </c>
      <c r="R30" s="30" t="str">
        <f>TEXT(Q30,"ddd")</f>
        <v>mar</v>
      </c>
      <c r="S30" s="28">
        <v>0.45833333333333331</v>
      </c>
      <c r="T30" s="31"/>
      <c r="U30" s="31"/>
      <c r="V30" s="31"/>
      <c r="W30" s="40" t="s">
        <v>16</v>
      </c>
      <c r="Y30" s="29">
        <v>45993</v>
      </c>
      <c r="Z30" s="30" t="str">
        <f>TEXT(Y30,"ddd")</f>
        <v>mar</v>
      </c>
      <c r="AA30" s="28">
        <v>0.45833333333333331</v>
      </c>
      <c r="AB30" s="41"/>
      <c r="AC30" s="41"/>
      <c r="AD30" s="41"/>
      <c r="AE30" s="32" t="str">
        <f t="shared" si="5"/>
        <v>❌ SIN COMPLETAR</v>
      </c>
    </row>
    <row r="31" spans="1:31" x14ac:dyDescent="0.3">
      <c r="A31" s="29">
        <v>45993</v>
      </c>
      <c r="B31" s="30" t="str">
        <f t="shared" ref="B31:B37" si="10">TEXT(A31,"ddd")</f>
        <v>mar</v>
      </c>
      <c r="C31" s="28">
        <v>0.5</v>
      </c>
      <c r="D31" s="31" t="s">
        <v>34</v>
      </c>
      <c r="E31" s="31" t="s">
        <v>35</v>
      </c>
      <c r="F31" s="31"/>
      <c r="G31" s="40" t="str">
        <f>IF(COUNTIF(D31:F31,"?*")=$N$5,"✅ CUBIERTO",
IF(COUNTIF(D31:F31,"?*")&gt;$N$5,"⚠ EXCESO",IF(COUNTIF(D31:F31,"?*")&gt;0,"⚠ FALTANTE",
"❌ SIN COMPLETAR")))</f>
        <v>✅ CUBIERTO</v>
      </c>
      <c r="H31" s="17"/>
      <c r="I31" s="29">
        <v>45993</v>
      </c>
      <c r="J31" s="30" t="str">
        <f t="shared" ref="J31:J37" si="11">TEXT(I31,"ddd")</f>
        <v>mar</v>
      </c>
      <c r="K31" s="28">
        <v>0.5</v>
      </c>
      <c r="L31" s="41"/>
      <c r="M31" s="41"/>
      <c r="N31" s="41"/>
      <c r="O31" s="32" t="str">
        <f t="shared" si="4"/>
        <v>❌ SIN COMPLETAR</v>
      </c>
      <c r="P31" s="17"/>
      <c r="Q31" s="29">
        <v>45993</v>
      </c>
      <c r="R31" s="30" t="str">
        <f t="shared" ref="R31:R37" si="12">TEXT(Q31,"ddd")</f>
        <v>mar</v>
      </c>
      <c r="S31" s="28">
        <v>0.5</v>
      </c>
      <c r="T31" s="31"/>
      <c r="U31" s="31"/>
      <c r="V31" s="31"/>
      <c r="W31" s="40" t="str">
        <f>IF(COUNTIF(T31:V31,"?*")=$N$7,"✅ CUBIERTO",IF(COUNTIF(T31:V31,"?*")&gt;$N$7,"⚠ EXCESO",
IF(COUNTIF(T31:V31,"?*")&gt;0,"⚠ FALTANTE", "❌ SIN COMPLETAR")))</f>
        <v>❌ SIN COMPLETAR</v>
      </c>
      <c r="Y31" s="29">
        <v>45993</v>
      </c>
      <c r="Z31" s="30" t="str">
        <f t="shared" ref="Z31:Z37" si="13">TEXT(Y31,"ddd")</f>
        <v>mar</v>
      </c>
      <c r="AA31" s="28">
        <v>0.5</v>
      </c>
      <c r="AB31" s="41"/>
      <c r="AC31" s="41"/>
      <c r="AD31" s="41"/>
      <c r="AE31" s="32" t="str">
        <f t="shared" si="5"/>
        <v>❌ SIN COMPLETAR</v>
      </c>
    </row>
    <row r="32" spans="1:31" x14ac:dyDescent="0.3">
      <c r="A32" s="29">
        <v>45993</v>
      </c>
      <c r="B32" s="30" t="str">
        <f t="shared" si="10"/>
        <v>mar</v>
      </c>
      <c r="C32" s="28">
        <v>0.54166666666666696</v>
      </c>
      <c r="D32" s="31" t="s">
        <v>34</v>
      </c>
      <c r="E32" s="31" t="s">
        <v>35</v>
      </c>
      <c r="F32" s="31"/>
      <c r="G32" s="40" t="str">
        <f>IF(COUNTIF(D32:F32,"?*")=$N$5,"✅ CUBIERTO",
IF(COUNTIF(D32:F32,"?*")&gt;$N$5,"⚠ EXCESO",IF(COUNTIF(D32:F32,"?*")&gt;0,"⚠ FALTANTE",
"❌ SIN COMPLETAR")))</f>
        <v>✅ CUBIERTO</v>
      </c>
      <c r="H32" s="17"/>
      <c r="I32" s="29">
        <v>45993</v>
      </c>
      <c r="J32" s="30" t="str">
        <f t="shared" si="11"/>
        <v>mar</v>
      </c>
      <c r="K32" s="28">
        <v>0.54166666666666696</v>
      </c>
      <c r="L32" s="41"/>
      <c r="M32" s="41"/>
      <c r="N32" s="41"/>
      <c r="O32" s="32" t="str">
        <f t="shared" si="4"/>
        <v>❌ SIN COMPLETAR</v>
      </c>
      <c r="P32" s="17"/>
      <c r="Q32" s="29">
        <v>45993</v>
      </c>
      <c r="R32" s="30" t="str">
        <f t="shared" si="12"/>
        <v>mar</v>
      </c>
      <c r="S32" s="28">
        <v>0.54166666666666696</v>
      </c>
      <c r="T32" s="31"/>
      <c r="U32" s="31"/>
      <c r="V32" s="31"/>
      <c r="W32" s="40" t="str">
        <f>IF(COUNTIF(T32:V32,"?*")=$N$7,"✅ CUBIERTO",IF(COUNTIF(T32:V32,"?*")&gt;$N$7,"⚠ EXCESO",
IF(COUNTIF(T32:V32,"?*")&gt;0,"⚠ FALTANTE", "❌ SIN COMPLETAR")))</f>
        <v>❌ SIN COMPLETAR</v>
      </c>
      <c r="Y32" s="29">
        <v>45993</v>
      </c>
      <c r="Z32" s="30" t="str">
        <f t="shared" si="13"/>
        <v>mar</v>
      </c>
      <c r="AA32" s="28">
        <v>0.54166666666666696</v>
      </c>
      <c r="AB32" s="41"/>
      <c r="AC32" s="41"/>
      <c r="AD32" s="41"/>
      <c r="AE32" s="32" t="str">
        <f t="shared" si="5"/>
        <v>❌ SIN COMPLETAR</v>
      </c>
    </row>
    <row r="33" spans="1:31" x14ac:dyDescent="0.3">
      <c r="A33" s="29">
        <v>45993</v>
      </c>
      <c r="B33" s="30" t="str">
        <f t="shared" si="10"/>
        <v>mar</v>
      </c>
      <c r="C33" s="28">
        <v>0.58333333333333304</v>
      </c>
      <c r="D33" s="31" t="s">
        <v>34</v>
      </c>
      <c r="E33" s="31" t="s">
        <v>35</v>
      </c>
      <c r="F33" s="31"/>
      <c r="G33" s="40" t="str">
        <f>IF(COUNTIF(D33:F33,"?*")=$N$5,"✅ CUBIERTO",
IF(COUNTIF(D33:F33,"?*")&gt;$N$5,"⚠ EXCESO",IF(COUNTIF(D33:F33,"?*")&gt;0,"⚠ FALTANTE",
"❌ SIN COMPLETAR")))</f>
        <v>✅ CUBIERTO</v>
      </c>
      <c r="H33" s="17"/>
      <c r="I33" s="29">
        <v>45993</v>
      </c>
      <c r="J33" s="30" t="str">
        <f t="shared" si="11"/>
        <v>mar</v>
      </c>
      <c r="K33" s="28">
        <v>0.58333333333333304</v>
      </c>
      <c r="L33" s="41"/>
      <c r="M33" s="41"/>
      <c r="N33" s="41"/>
      <c r="O33" s="32" t="str">
        <f t="shared" si="4"/>
        <v>❌ SIN COMPLETAR</v>
      </c>
      <c r="P33" s="17"/>
      <c r="Q33" s="29">
        <v>45993</v>
      </c>
      <c r="R33" s="30" t="str">
        <f t="shared" si="12"/>
        <v>mar</v>
      </c>
      <c r="S33" s="28">
        <v>0.58333333333333304</v>
      </c>
      <c r="T33" s="31"/>
      <c r="U33" s="31"/>
      <c r="V33" s="31"/>
      <c r="W33" s="40" t="str">
        <f>IF(COUNTIF(T33:V33,"?*")=$N$7,"✅ CUBIERTO",IF(COUNTIF(T33:V33,"?*")&gt;$N$7,"⚠ EXCESO",
IF(COUNTIF(T33:V33,"?*")&gt;0,"⚠ FALTANTE", "❌ SIN COMPLETAR")))</f>
        <v>❌ SIN COMPLETAR</v>
      </c>
      <c r="Y33" s="29">
        <v>45993</v>
      </c>
      <c r="Z33" s="30" t="str">
        <f t="shared" si="13"/>
        <v>mar</v>
      </c>
      <c r="AA33" s="28">
        <v>0.58333333333333304</v>
      </c>
      <c r="AB33" s="41"/>
      <c r="AC33" s="41"/>
      <c r="AD33" s="41"/>
      <c r="AE33" s="32" t="str">
        <f t="shared" si="5"/>
        <v>❌ SIN COMPLETAR</v>
      </c>
    </row>
    <row r="34" spans="1:31" x14ac:dyDescent="0.3">
      <c r="A34" s="29">
        <v>45993</v>
      </c>
      <c r="B34" s="30" t="str">
        <f t="shared" si="10"/>
        <v>mar</v>
      </c>
      <c r="C34" s="28">
        <v>0.625</v>
      </c>
      <c r="D34" s="31" t="s">
        <v>37</v>
      </c>
      <c r="E34" s="31" t="s">
        <v>39</v>
      </c>
      <c r="F34" s="31"/>
      <c r="G34" s="40" t="str">
        <f>IF(COUNTIF(D34:F34,"?*")=$N$5,"✅ CUBIERTO",
IF(COUNTIF(D34:F34,"?*")&gt;$N$5,"⚠ EXCESO",IF(COUNTIF(D34:F34,"?*")&gt;0,"⚠ FALTANTE",
"❌ SIN COMPLETAR")))</f>
        <v>✅ CUBIERTO</v>
      </c>
      <c r="H34" s="17"/>
      <c r="I34" s="29">
        <v>45993</v>
      </c>
      <c r="J34" s="30" t="str">
        <f t="shared" si="11"/>
        <v>mar</v>
      </c>
      <c r="K34" s="28">
        <v>0.625</v>
      </c>
      <c r="L34" s="41"/>
      <c r="M34" s="41"/>
      <c r="N34" s="41"/>
      <c r="O34" s="32" t="str">
        <f t="shared" si="4"/>
        <v>❌ SIN COMPLETAR</v>
      </c>
      <c r="P34" s="17"/>
      <c r="Q34" s="29">
        <v>45993</v>
      </c>
      <c r="R34" s="30" t="str">
        <f t="shared" si="12"/>
        <v>mar</v>
      </c>
      <c r="S34" s="28">
        <v>0.625</v>
      </c>
      <c r="T34" s="31"/>
      <c r="U34" s="31"/>
      <c r="V34" s="31"/>
      <c r="W34" s="40" t="str">
        <f>IF(COUNTIF(T34:V34,"?*")=$N$7,"✅ CUBIERTO",IF(COUNTIF(T34:V34,"?*")&gt;$N$7,"⚠ EXCESO",
IF(COUNTIF(T34:V34,"?*")&gt;0,"⚠ FALTANTE", "❌ SIN COMPLETAR")))</f>
        <v>❌ SIN COMPLETAR</v>
      </c>
      <c r="Y34" s="29">
        <v>45993</v>
      </c>
      <c r="Z34" s="30" t="str">
        <f t="shared" si="13"/>
        <v>mar</v>
      </c>
      <c r="AA34" s="28">
        <v>0.625</v>
      </c>
      <c r="AB34" s="41"/>
      <c r="AC34" s="41"/>
      <c r="AD34" s="41"/>
      <c r="AE34" s="32" t="str">
        <f t="shared" si="5"/>
        <v>❌ SIN COMPLETAR</v>
      </c>
    </row>
    <row r="35" spans="1:31" x14ac:dyDescent="0.3">
      <c r="A35" s="29">
        <v>45993</v>
      </c>
      <c r="B35" s="30" t="str">
        <f t="shared" si="10"/>
        <v>mar</v>
      </c>
      <c r="C35" s="28">
        <v>0.66666666666666696</v>
      </c>
      <c r="D35" s="31" t="s">
        <v>37</v>
      </c>
      <c r="E35" s="31" t="s">
        <v>39</v>
      </c>
      <c r="F35" s="31"/>
      <c r="G35" s="40" t="str">
        <f>IF(COUNTIF(D35:F35,"?*")=$N$5,"✅ CUBIERTO",
IF(COUNTIF(D35:F35,"?*")&gt;$N$5,"⚠ EXCESO",IF(COUNTIF(D35:F35,"?*")&gt;0,"⚠ FALTANTE",
"❌ SIN COMPLETAR")))</f>
        <v>✅ CUBIERTO</v>
      </c>
      <c r="H35" s="17"/>
      <c r="I35" s="29">
        <v>45993</v>
      </c>
      <c r="J35" s="30" t="str">
        <f t="shared" si="11"/>
        <v>mar</v>
      </c>
      <c r="K35" s="28">
        <v>0.66666666666666696</v>
      </c>
      <c r="L35" s="41"/>
      <c r="M35" s="41"/>
      <c r="N35" s="41"/>
      <c r="O35" s="32" t="str">
        <f t="shared" si="4"/>
        <v>❌ SIN COMPLETAR</v>
      </c>
      <c r="P35" s="17"/>
      <c r="Q35" s="29">
        <v>45993</v>
      </c>
      <c r="R35" s="30" t="str">
        <f t="shared" si="12"/>
        <v>mar</v>
      </c>
      <c r="S35" s="28">
        <v>0.66666666666666696</v>
      </c>
      <c r="T35" s="31"/>
      <c r="U35" s="31"/>
      <c r="V35" s="31"/>
      <c r="W35" s="40" t="str">
        <f>IF(COUNTIF(T35:V35,"?*")=$N$7,"✅ CUBIERTO",IF(COUNTIF(T35:V35,"?*")&gt;$N$7,"⚠ EXCESO",
IF(COUNTIF(T35:V35,"?*")&gt;0,"⚠ FALTANTE", "❌ SIN COMPLETAR")))</f>
        <v>❌ SIN COMPLETAR</v>
      </c>
      <c r="Y35" s="29">
        <v>45993</v>
      </c>
      <c r="Z35" s="30" t="str">
        <f t="shared" si="13"/>
        <v>mar</v>
      </c>
      <c r="AA35" s="28">
        <v>0.66666666666666696</v>
      </c>
      <c r="AB35" s="41"/>
      <c r="AC35" s="41"/>
      <c r="AD35" s="41"/>
      <c r="AE35" s="32" t="str">
        <f t="shared" si="5"/>
        <v>❌ SIN COMPLETAR</v>
      </c>
    </row>
    <row r="36" spans="1:31" x14ac:dyDescent="0.3">
      <c r="A36" s="29">
        <v>45993</v>
      </c>
      <c r="B36" s="30" t="str">
        <f t="shared" si="10"/>
        <v>mar</v>
      </c>
      <c r="C36" s="28">
        <v>0.70833333333333304</v>
      </c>
      <c r="D36" s="31" t="s">
        <v>37</v>
      </c>
      <c r="E36" s="31" t="s">
        <v>39</v>
      </c>
      <c r="F36" s="31"/>
      <c r="G36" s="40" t="str">
        <f>IF(COUNTIF(D36:F36,"?*")=$N$5,"✅ CUBIERTO",
IF(COUNTIF(D36:F36,"?*")&gt;$N$5,"⚠ EXCESO",IF(COUNTIF(D36:F36,"?*")&gt;0,"⚠ FALTANTE",
"❌ SIN COMPLETAR")))</f>
        <v>✅ CUBIERTO</v>
      </c>
      <c r="H36" s="17"/>
      <c r="I36" s="29">
        <v>45993</v>
      </c>
      <c r="J36" s="30" t="str">
        <f t="shared" si="11"/>
        <v>mar</v>
      </c>
      <c r="K36" s="28">
        <v>0.70833333333333304</v>
      </c>
      <c r="L36" s="41"/>
      <c r="M36" s="41"/>
      <c r="N36" s="41"/>
      <c r="O36" s="32" t="str">
        <f t="shared" si="4"/>
        <v>❌ SIN COMPLETAR</v>
      </c>
      <c r="P36" s="17"/>
      <c r="Q36" s="29">
        <v>45993</v>
      </c>
      <c r="R36" s="30" t="str">
        <f t="shared" si="12"/>
        <v>mar</v>
      </c>
      <c r="S36" s="28">
        <v>0.70833333333333304</v>
      </c>
      <c r="T36" s="31"/>
      <c r="U36" s="31"/>
      <c r="V36" s="31"/>
      <c r="W36" s="40" t="str">
        <f t="shared" ref="W36:W99" si="14">IF(COUNTIF(T36:V36,"?*")=$N$7,"✅ CUBIERTO",IF(COUNTIF(T36:V36,"?*")&gt;$N$7,"⚠ EXCESO",
IF(COUNTIF(T36:V36,"?*")&gt;0,"⚠ FALTANTE", "❌ SIN COMPLETAR")))</f>
        <v>❌ SIN COMPLETAR</v>
      </c>
      <c r="Y36" s="29">
        <v>45993</v>
      </c>
      <c r="Z36" s="30" t="str">
        <f t="shared" si="13"/>
        <v>mar</v>
      </c>
      <c r="AA36" s="28">
        <v>0.70833333333333304</v>
      </c>
      <c r="AB36" s="41"/>
      <c r="AC36" s="41"/>
      <c r="AD36" s="41"/>
      <c r="AE36" s="32" t="str">
        <f t="shared" si="5"/>
        <v>❌ SIN COMPLETAR</v>
      </c>
    </row>
    <row r="37" spans="1:31" x14ac:dyDescent="0.3">
      <c r="A37" s="29">
        <v>45993</v>
      </c>
      <c r="B37" s="30" t="str">
        <f t="shared" si="10"/>
        <v>mar</v>
      </c>
      <c r="C37" s="28">
        <v>0.75</v>
      </c>
      <c r="D37" s="31" t="s">
        <v>37</v>
      </c>
      <c r="E37" s="31" t="s">
        <v>39</v>
      </c>
      <c r="F37" s="31"/>
      <c r="G37" s="40" t="str">
        <f>IF(COUNTIF(D37:F37,"?*")=$N$5,"✅ CUBIERTO",
IF(COUNTIF(D37:F37,"?*")&gt;$N$5,"⚠ EXCESO",IF(COUNTIF(D37:F37,"?*")&gt;0,"⚠ FALTANTE",
"❌ SIN COMPLETAR")))</f>
        <v>✅ CUBIERTO</v>
      </c>
      <c r="H37" s="17"/>
      <c r="I37" s="29">
        <v>45993</v>
      </c>
      <c r="J37" s="30" t="str">
        <f t="shared" si="11"/>
        <v>mar</v>
      </c>
      <c r="K37" s="28">
        <v>0.75</v>
      </c>
      <c r="L37" s="41"/>
      <c r="M37" s="41"/>
      <c r="N37" s="41"/>
      <c r="O37" s="32" t="str">
        <f t="shared" si="4"/>
        <v>❌ SIN COMPLETAR</v>
      </c>
      <c r="P37" s="17"/>
      <c r="Q37" s="29">
        <v>45993</v>
      </c>
      <c r="R37" s="30" t="str">
        <f t="shared" si="12"/>
        <v>mar</v>
      </c>
      <c r="S37" s="28">
        <v>0.75</v>
      </c>
      <c r="T37" s="31"/>
      <c r="U37" s="31"/>
      <c r="V37" s="31"/>
      <c r="W37" s="40" t="s">
        <v>16</v>
      </c>
      <c r="Y37" s="29">
        <v>45993</v>
      </c>
      <c r="Z37" s="30" t="str">
        <f t="shared" si="13"/>
        <v>mar</v>
      </c>
      <c r="AA37" s="28">
        <v>0.75</v>
      </c>
      <c r="AB37" s="41"/>
      <c r="AC37" s="41"/>
      <c r="AD37" s="41"/>
      <c r="AE37" s="32" t="str">
        <f t="shared" si="5"/>
        <v>❌ SIN COMPLETAR</v>
      </c>
    </row>
    <row r="38" spans="1:31" x14ac:dyDescent="0.3">
      <c r="A38" s="29">
        <v>45994</v>
      </c>
      <c r="B38" s="30" t="str">
        <f>TEXT(A38,"ddd")</f>
        <v>mié</v>
      </c>
      <c r="C38" s="28">
        <v>0.45833333333333331</v>
      </c>
      <c r="D38" s="31"/>
      <c r="E38" s="31"/>
      <c r="F38" s="31"/>
      <c r="G38" s="40" t="str">
        <f>IF(COUNTIF(D38:F38,"?*")=$N$5,"✅ CUBIERTO",
IF(COUNTIF(D38:F38,"?*")&gt;$N$5,"⚠ EXCESO",IF(COUNTIF(D38:F38,"?*")&gt;0,"⚠ FALTANTE",
"❌ SIN COMPLETAR")))</f>
        <v>❌ SIN COMPLETAR</v>
      </c>
      <c r="H38" s="17"/>
      <c r="I38" s="29">
        <v>45994</v>
      </c>
      <c r="J38" s="30" t="str">
        <f>TEXT(I38,"ddd")</f>
        <v>mié</v>
      </c>
      <c r="K38" s="28">
        <v>0.45833333333333331</v>
      </c>
      <c r="L38" s="31"/>
      <c r="M38" s="31"/>
      <c r="N38" s="31"/>
      <c r="O38" s="32" t="str">
        <f t="shared" si="4"/>
        <v>❌ SIN COMPLETAR</v>
      </c>
      <c r="P38" s="17"/>
      <c r="Q38" s="29">
        <v>45994</v>
      </c>
      <c r="R38" s="30" t="str">
        <f>TEXT(Q38,"ddd")</f>
        <v>mié</v>
      </c>
      <c r="S38" s="28">
        <v>0.45833333333333331</v>
      </c>
      <c r="T38" s="31"/>
      <c r="U38" s="31"/>
      <c r="V38" s="31"/>
      <c r="W38" s="40" t="s">
        <v>16</v>
      </c>
      <c r="Y38" s="29">
        <v>45994</v>
      </c>
      <c r="Z38" s="30" t="str">
        <f>TEXT(Y38,"ddd")</f>
        <v>mié</v>
      </c>
      <c r="AA38" s="28">
        <v>0.45833333333333331</v>
      </c>
      <c r="AB38" s="31"/>
      <c r="AC38" s="31"/>
      <c r="AD38" s="31"/>
      <c r="AE38" s="32" t="str">
        <f t="shared" si="5"/>
        <v>❌ SIN COMPLETAR</v>
      </c>
    </row>
    <row r="39" spans="1:31" x14ac:dyDescent="0.3">
      <c r="A39" s="29">
        <v>45994</v>
      </c>
      <c r="B39" s="30" t="str">
        <f t="shared" ref="B39:B45" si="15">TEXT(A39,"ddd")</f>
        <v>mié</v>
      </c>
      <c r="C39" s="28">
        <v>0.5</v>
      </c>
      <c r="D39" s="31"/>
      <c r="E39" s="31"/>
      <c r="F39" s="31"/>
      <c r="G39" s="40" t="str">
        <f>IF(COUNTIF(D39:F39,"?*")=$N$5,"✅ CUBIERTO",
IF(COUNTIF(D39:F39,"?*")&gt;$N$5,"⚠ EXCESO",IF(COUNTIF(D39:F39,"?*")&gt;0,"⚠ FALTANTE",
"❌ SIN COMPLETAR")))</f>
        <v>❌ SIN COMPLETAR</v>
      </c>
      <c r="H39" s="17"/>
      <c r="I39" s="29">
        <v>45994</v>
      </c>
      <c r="J39" s="30" t="str">
        <f t="shared" ref="J39:J45" si="16">TEXT(I39,"ddd")</f>
        <v>mié</v>
      </c>
      <c r="K39" s="28">
        <v>0.5</v>
      </c>
      <c r="L39" s="31"/>
      <c r="M39" s="31"/>
      <c r="N39" s="31"/>
      <c r="O39" s="32" t="str">
        <f t="shared" si="4"/>
        <v>❌ SIN COMPLETAR</v>
      </c>
      <c r="P39" s="17"/>
      <c r="Q39" s="29">
        <v>45994</v>
      </c>
      <c r="R39" s="30" t="str">
        <f t="shared" ref="R39:R45" si="17">TEXT(Q39,"ddd")</f>
        <v>mié</v>
      </c>
      <c r="S39" s="28">
        <v>0.5</v>
      </c>
      <c r="T39" s="31"/>
      <c r="U39" s="31"/>
      <c r="V39" s="31"/>
      <c r="W39" s="40" t="str">
        <f t="shared" si="14"/>
        <v>❌ SIN COMPLETAR</v>
      </c>
      <c r="Y39" s="29">
        <v>45994</v>
      </c>
      <c r="Z39" s="30" t="str">
        <f t="shared" ref="Z39:Z45" si="18">TEXT(Y39,"ddd")</f>
        <v>mié</v>
      </c>
      <c r="AA39" s="28">
        <v>0.5</v>
      </c>
      <c r="AB39" s="31"/>
      <c r="AC39" s="31"/>
      <c r="AD39" s="31"/>
      <c r="AE39" s="32" t="str">
        <f t="shared" si="5"/>
        <v>❌ SIN COMPLETAR</v>
      </c>
    </row>
    <row r="40" spans="1:31" x14ac:dyDescent="0.3">
      <c r="A40" s="29">
        <v>45994</v>
      </c>
      <c r="B40" s="30" t="str">
        <f t="shared" si="15"/>
        <v>mié</v>
      </c>
      <c r="C40" s="28">
        <v>0.54166666666666696</v>
      </c>
      <c r="D40" s="31"/>
      <c r="E40" s="31"/>
      <c r="F40" s="31"/>
      <c r="G40" s="40" t="str">
        <f>IF(COUNTIF(D40:F40,"?*")=$N$5,"✅ CUBIERTO",
IF(COUNTIF(D40:F40,"?*")&gt;$N$5,"⚠ EXCESO",IF(COUNTIF(D40:F40,"?*")&gt;0,"⚠ FALTANTE",
"❌ SIN COMPLETAR")))</f>
        <v>❌ SIN COMPLETAR</v>
      </c>
      <c r="H40" s="17"/>
      <c r="I40" s="29">
        <v>45994</v>
      </c>
      <c r="J40" s="30" t="str">
        <f t="shared" si="16"/>
        <v>mié</v>
      </c>
      <c r="K40" s="28">
        <v>0.54166666666666696</v>
      </c>
      <c r="L40" s="31"/>
      <c r="M40" s="31"/>
      <c r="N40" s="31"/>
      <c r="O40" s="32" t="str">
        <f t="shared" si="4"/>
        <v>❌ SIN COMPLETAR</v>
      </c>
      <c r="P40" s="17"/>
      <c r="Q40" s="29">
        <v>45994</v>
      </c>
      <c r="R40" s="30" t="str">
        <f t="shared" si="17"/>
        <v>mié</v>
      </c>
      <c r="S40" s="28">
        <v>0.54166666666666696</v>
      </c>
      <c r="T40" s="31"/>
      <c r="U40" s="31"/>
      <c r="V40" s="31"/>
      <c r="W40" s="40" t="str">
        <f t="shared" si="14"/>
        <v>❌ SIN COMPLETAR</v>
      </c>
      <c r="Y40" s="29">
        <v>45994</v>
      </c>
      <c r="Z40" s="30" t="str">
        <f t="shared" si="18"/>
        <v>mié</v>
      </c>
      <c r="AA40" s="28">
        <v>0.54166666666666696</v>
      </c>
      <c r="AB40" s="31"/>
      <c r="AC40" s="31"/>
      <c r="AD40" s="31"/>
      <c r="AE40" s="32" t="str">
        <f t="shared" si="5"/>
        <v>❌ SIN COMPLETAR</v>
      </c>
    </row>
    <row r="41" spans="1:31" x14ac:dyDescent="0.3">
      <c r="A41" s="29">
        <v>45994</v>
      </c>
      <c r="B41" s="30" t="str">
        <f t="shared" si="15"/>
        <v>mié</v>
      </c>
      <c r="C41" s="28">
        <v>0.58333333333333304</v>
      </c>
      <c r="D41" s="31"/>
      <c r="E41" s="31"/>
      <c r="F41" s="31"/>
      <c r="G41" s="40" t="str">
        <f>IF(COUNTIF(D41:F41,"?*")=$N$5,"✅ CUBIERTO",
IF(COUNTIF(D41:F41,"?*")&gt;$N$5,"⚠ EXCESO",IF(COUNTIF(D41:F41,"?*")&gt;0,"⚠ FALTANTE",
"❌ SIN COMPLETAR")))</f>
        <v>❌ SIN COMPLETAR</v>
      </c>
      <c r="H41" s="17"/>
      <c r="I41" s="29">
        <v>45994</v>
      </c>
      <c r="J41" s="30" t="str">
        <f t="shared" si="16"/>
        <v>mié</v>
      </c>
      <c r="K41" s="28">
        <v>0.58333333333333304</v>
      </c>
      <c r="L41" s="31"/>
      <c r="M41" s="31"/>
      <c r="N41" s="31"/>
      <c r="O41" s="32" t="str">
        <f t="shared" si="4"/>
        <v>❌ SIN COMPLETAR</v>
      </c>
      <c r="P41" s="17"/>
      <c r="Q41" s="29">
        <v>45994</v>
      </c>
      <c r="R41" s="30" t="str">
        <f t="shared" si="17"/>
        <v>mié</v>
      </c>
      <c r="S41" s="28">
        <v>0.58333333333333304</v>
      </c>
      <c r="T41" s="31"/>
      <c r="U41" s="31"/>
      <c r="V41" s="31"/>
      <c r="W41" s="40" t="str">
        <f t="shared" si="14"/>
        <v>❌ SIN COMPLETAR</v>
      </c>
      <c r="Y41" s="29">
        <v>45994</v>
      </c>
      <c r="Z41" s="30" t="str">
        <f t="shared" si="18"/>
        <v>mié</v>
      </c>
      <c r="AA41" s="28">
        <v>0.58333333333333304</v>
      </c>
      <c r="AB41" s="31"/>
      <c r="AC41" s="31"/>
      <c r="AD41" s="31"/>
      <c r="AE41" s="32" t="str">
        <f t="shared" si="5"/>
        <v>❌ SIN COMPLETAR</v>
      </c>
    </row>
    <row r="42" spans="1:31" x14ac:dyDescent="0.3">
      <c r="A42" s="29">
        <v>45994</v>
      </c>
      <c r="B42" s="30" t="str">
        <f t="shared" si="15"/>
        <v>mié</v>
      </c>
      <c r="C42" s="28">
        <v>0.625</v>
      </c>
      <c r="D42" s="31"/>
      <c r="E42" s="31"/>
      <c r="F42" s="31"/>
      <c r="G42" s="40" t="str">
        <f>IF(COUNTIF(D42:F42,"?*")=$N$5,"✅ CUBIERTO",
IF(COUNTIF(D42:F42,"?*")&gt;$N$5,"⚠ EXCESO",IF(COUNTIF(D42:F42,"?*")&gt;0,"⚠ FALTANTE",
"❌ SIN COMPLETAR")))</f>
        <v>❌ SIN COMPLETAR</v>
      </c>
      <c r="H42" s="17"/>
      <c r="I42" s="29">
        <v>45994</v>
      </c>
      <c r="J42" s="30" t="str">
        <f t="shared" si="16"/>
        <v>mié</v>
      </c>
      <c r="K42" s="28">
        <v>0.625</v>
      </c>
      <c r="L42" s="31"/>
      <c r="M42" s="31"/>
      <c r="N42" s="31"/>
      <c r="O42" s="32" t="str">
        <f t="shared" si="4"/>
        <v>❌ SIN COMPLETAR</v>
      </c>
      <c r="P42" s="17"/>
      <c r="Q42" s="29">
        <v>45994</v>
      </c>
      <c r="R42" s="30" t="str">
        <f t="shared" si="17"/>
        <v>mié</v>
      </c>
      <c r="S42" s="28">
        <v>0.625</v>
      </c>
      <c r="T42" s="31"/>
      <c r="U42" s="31"/>
      <c r="V42" s="31"/>
      <c r="W42" s="40" t="str">
        <f t="shared" si="14"/>
        <v>❌ SIN COMPLETAR</v>
      </c>
      <c r="Y42" s="29">
        <v>45994</v>
      </c>
      <c r="Z42" s="30" t="str">
        <f t="shared" si="18"/>
        <v>mié</v>
      </c>
      <c r="AA42" s="28">
        <v>0.625</v>
      </c>
      <c r="AB42" s="31"/>
      <c r="AC42" s="31"/>
      <c r="AD42" s="31"/>
      <c r="AE42" s="32" t="str">
        <f t="shared" si="5"/>
        <v>❌ SIN COMPLETAR</v>
      </c>
    </row>
    <row r="43" spans="1:31" x14ac:dyDescent="0.3">
      <c r="A43" s="29">
        <v>45994</v>
      </c>
      <c r="B43" s="30" t="str">
        <f t="shared" si="15"/>
        <v>mié</v>
      </c>
      <c r="C43" s="28">
        <v>0.66666666666666696</v>
      </c>
      <c r="D43" s="31"/>
      <c r="E43" s="31"/>
      <c r="F43" s="31"/>
      <c r="G43" s="40" t="str">
        <f>IF(COUNTIF(D43:F43,"?*")=$N$5,"✅ CUBIERTO",
IF(COUNTIF(D43:F43,"?*")&gt;$N$5,"⚠ EXCESO",IF(COUNTIF(D43:F43,"?*")&gt;0,"⚠ FALTANTE",
"❌ SIN COMPLETAR")))</f>
        <v>❌ SIN COMPLETAR</v>
      </c>
      <c r="H43" s="17"/>
      <c r="I43" s="29">
        <v>45994</v>
      </c>
      <c r="J43" s="30" t="str">
        <f t="shared" si="16"/>
        <v>mié</v>
      </c>
      <c r="K43" s="28">
        <v>0.66666666666666696</v>
      </c>
      <c r="L43" s="31"/>
      <c r="M43" s="31"/>
      <c r="N43" s="31"/>
      <c r="O43" s="32" t="str">
        <f t="shared" si="4"/>
        <v>❌ SIN COMPLETAR</v>
      </c>
      <c r="P43" s="17"/>
      <c r="Q43" s="29">
        <v>45994</v>
      </c>
      <c r="R43" s="30" t="str">
        <f t="shared" si="17"/>
        <v>mié</v>
      </c>
      <c r="S43" s="28">
        <v>0.66666666666666696</v>
      </c>
      <c r="T43" s="31"/>
      <c r="U43" s="31"/>
      <c r="V43" s="31"/>
      <c r="W43" s="40" t="str">
        <f t="shared" si="14"/>
        <v>❌ SIN COMPLETAR</v>
      </c>
      <c r="Y43" s="29">
        <v>45994</v>
      </c>
      <c r="Z43" s="30" t="str">
        <f t="shared" si="18"/>
        <v>mié</v>
      </c>
      <c r="AA43" s="28">
        <v>0.66666666666666696</v>
      </c>
      <c r="AB43" s="31"/>
      <c r="AC43" s="31"/>
      <c r="AD43" s="31"/>
      <c r="AE43" s="32" t="str">
        <f t="shared" si="5"/>
        <v>❌ SIN COMPLETAR</v>
      </c>
    </row>
    <row r="44" spans="1:31" x14ac:dyDescent="0.3">
      <c r="A44" s="29">
        <v>45994</v>
      </c>
      <c r="B44" s="30" t="str">
        <f t="shared" si="15"/>
        <v>mié</v>
      </c>
      <c r="C44" s="28">
        <v>0.70833333333333304</v>
      </c>
      <c r="D44" s="31"/>
      <c r="E44" s="31"/>
      <c r="F44" s="31"/>
      <c r="G44" s="40" t="str">
        <f>IF(COUNTIF(D44:F44,"?*")=$N$5,"✅ CUBIERTO",
IF(COUNTIF(D44:F44,"?*")&gt;$N$5,"⚠ EXCESO",IF(COUNTIF(D44:F44,"?*")&gt;0,"⚠ FALTANTE",
"❌ SIN COMPLETAR")))</f>
        <v>❌ SIN COMPLETAR</v>
      </c>
      <c r="H44" s="17"/>
      <c r="I44" s="29">
        <v>45994</v>
      </c>
      <c r="J44" s="30" t="str">
        <f t="shared" si="16"/>
        <v>mié</v>
      </c>
      <c r="K44" s="28">
        <v>0.70833333333333304</v>
      </c>
      <c r="L44" s="31"/>
      <c r="M44" s="31"/>
      <c r="N44" s="31"/>
      <c r="O44" s="32" t="str">
        <f t="shared" si="4"/>
        <v>❌ SIN COMPLETAR</v>
      </c>
      <c r="P44" s="17"/>
      <c r="Q44" s="29">
        <v>45994</v>
      </c>
      <c r="R44" s="30" t="str">
        <f t="shared" si="17"/>
        <v>mié</v>
      </c>
      <c r="S44" s="28">
        <v>0.70833333333333304</v>
      </c>
      <c r="T44" s="31"/>
      <c r="U44" s="31"/>
      <c r="V44" s="31"/>
      <c r="W44" s="40" t="str">
        <f t="shared" si="14"/>
        <v>❌ SIN COMPLETAR</v>
      </c>
      <c r="Y44" s="29">
        <v>45994</v>
      </c>
      <c r="Z44" s="30" t="str">
        <f t="shared" si="18"/>
        <v>mié</v>
      </c>
      <c r="AA44" s="28">
        <v>0.70833333333333304</v>
      </c>
      <c r="AB44" s="31"/>
      <c r="AC44" s="31"/>
      <c r="AD44" s="31"/>
      <c r="AE44" s="32" t="str">
        <f t="shared" si="5"/>
        <v>❌ SIN COMPLETAR</v>
      </c>
    </row>
    <row r="45" spans="1:31" x14ac:dyDescent="0.3">
      <c r="A45" s="29">
        <v>45994</v>
      </c>
      <c r="B45" s="30" t="str">
        <f t="shared" si="15"/>
        <v>mié</v>
      </c>
      <c r="C45" s="28">
        <v>0.75</v>
      </c>
      <c r="D45" s="31"/>
      <c r="E45" s="31"/>
      <c r="F45" s="31"/>
      <c r="G45" s="40" t="str">
        <f>IF(COUNTIF(D45:F45,"?*")=$N$5,"✅ CUBIERTO",
IF(COUNTIF(D45:F45,"?*")&gt;$N$5,"⚠ EXCESO",IF(COUNTIF(D45:F45,"?*")&gt;0,"⚠ FALTANTE",
"❌ SIN COMPLETAR")))</f>
        <v>❌ SIN COMPLETAR</v>
      </c>
      <c r="H45" s="17"/>
      <c r="I45" s="29">
        <v>45994</v>
      </c>
      <c r="J45" s="30" t="str">
        <f t="shared" si="16"/>
        <v>mié</v>
      </c>
      <c r="K45" s="28">
        <v>0.75</v>
      </c>
      <c r="L45" s="41"/>
      <c r="M45" s="41"/>
      <c r="N45" s="41"/>
      <c r="O45" s="32" t="str">
        <f t="shared" si="4"/>
        <v>❌ SIN COMPLETAR</v>
      </c>
      <c r="P45" s="17"/>
      <c r="Q45" s="29">
        <v>45994</v>
      </c>
      <c r="R45" s="30" t="str">
        <f t="shared" si="17"/>
        <v>mié</v>
      </c>
      <c r="S45" s="28">
        <v>0.75</v>
      </c>
      <c r="T45" s="31"/>
      <c r="U45" s="31"/>
      <c r="V45" s="31"/>
      <c r="W45" s="40" t="s">
        <v>16</v>
      </c>
      <c r="Y45" s="29">
        <v>45994</v>
      </c>
      <c r="Z45" s="30" t="str">
        <f t="shared" si="18"/>
        <v>mié</v>
      </c>
      <c r="AA45" s="28">
        <v>0.75</v>
      </c>
      <c r="AB45" s="41"/>
      <c r="AC45" s="41"/>
      <c r="AD45" s="41"/>
      <c r="AE45" s="32" t="str">
        <f t="shared" si="5"/>
        <v>❌ SIN COMPLETAR</v>
      </c>
    </row>
    <row r="46" spans="1:31" x14ac:dyDescent="0.3">
      <c r="A46" s="29">
        <v>45995</v>
      </c>
      <c r="B46" s="30" t="str">
        <f>TEXT(A46,"ddd")</f>
        <v>jue</v>
      </c>
      <c r="C46" s="28">
        <v>0.45833333333333331</v>
      </c>
      <c r="D46" s="31"/>
      <c r="E46" s="31"/>
      <c r="F46" s="31"/>
      <c r="G46" s="40" t="str">
        <f>IF(COUNTIF(D46:F46,"?*")=$N$5,"✅ CUBIERTO",
IF(COUNTIF(D46:F46,"?*")&gt;$N$5,"⚠ EXCESO",IF(COUNTIF(D46:F46,"?*")&gt;0,"⚠ FALTANTE",
"❌ SIN COMPLETAR")))</f>
        <v>❌ SIN COMPLETAR</v>
      </c>
      <c r="H46" s="17"/>
      <c r="I46" s="29">
        <v>45995</v>
      </c>
      <c r="J46" s="30" t="str">
        <f>TEXT(I46,"ddd")</f>
        <v>jue</v>
      </c>
      <c r="K46" s="28">
        <v>0.45833333333333331</v>
      </c>
      <c r="L46" s="31"/>
      <c r="M46" s="31"/>
      <c r="N46" s="31"/>
      <c r="O46" s="32" t="str">
        <f t="shared" si="4"/>
        <v>❌ SIN COMPLETAR</v>
      </c>
      <c r="P46" s="17"/>
      <c r="Q46" s="29">
        <v>45995</v>
      </c>
      <c r="R46" s="30" t="str">
        <f>TEXT(Q46,"ddd")</f>
        <v>jue</v>
      </c>
      <c r="S46" s="28">
        <v>0.45833333333333331</v>
      </c>
      <c r="T46" s="31"/>
      <c r="U46" s="31"/>
      <c r="V46" s="31"/>
      <c r="W46" s="40" t="s">
        <v>16</v>
      </c>
      <c r="Y46" s="29">
        <v>45995</v>
      </c>
      <c r="Z46" s="30" t="str">
        <f>TEXT(Y46,"ddd")</f>
        <v>jue</v>
      </c>
      <c r="AA46" s="28">
        <v>0.45833333333333331</v>
      </c>
      <c r="AB46" s="31"/>
      <c r="AC46" s="31"/>
      <c r="AD46" s="31"/>
      <c r="AE46" s="32" t="str">
        <f t="shared" si="5"/>
        <v>❌ SIN COMPLETAR</v>
      </c>
    </row>
    <row r="47" spans="1:31" x14ac:dyDescent="0.3">
      <c r="A47" s="29">
        <v>45995</v>
      </c>
      <c r="B47" s="30" t="str">
        <f t="shared" ref="B47:B53" si="19">TEXT(A47,"ddd")</f>
        <v>jue</v>
      </c>
      <c r="C47" s="28">
        <v>0.5</v>
      </c>
      <c r="D47" s="31"/>
      <c r="E47" s="31"/>
      <c r="F47" s="31"/>
      <c r="G47" s="40" t="str">
        <f>IF(COUNTIF(D47:F47,"?*")=$N$5,"✅ CUBIERTO",
IF(COUNTIF(D47:F47,"?*")&gt;$N$5,"⚠ EXCESO",IF(COUNTIF(D47:F47,"?*")&gt;0,"⚠ FALTANTE",
"❌ SIN COMPLETAR")))</f>
        <v>❌ SIN COMPLETAR</v>
      </c>
      <c r="H47" s="17"/>
      <c r="I47" s="29">
        <v>45995</v>
      </c>
      <c r="J47" s="30" t="str">
        <f t="shared" ref="J47:J53" si="20">TEXT(I47,"ddd")</f>
        <v>jue</v>
      </c>
      <c r="K47" s="28">
        <v>0.5</v>
      </c>
      <c r="L47" s="31"/>
      <c r="M47" s="31"/>
      <c r="N47" s="31"/>
      <c r="O47" s="32" t="str">
        <f t="shared" si="4"/>
        <v>❌ SIN COMPLETAR</v>
      </c>
      <c r="P47" s="17"/>
      <c r="Q47" s="29">
        <v>45995</v>
      </c>
      <c r="R47" s="30" t="str">
        <f t="shared" ref="R47:R53" si="21">TEXT(Q47,"ddd")</f>
        <v>jue</v>
      </c>
      <c r="S47" s="28">
        <v>0.5</v>
      </c>
      <c r="T47" s="31"/>
      <c r="U47" s="31"/>
      <c r="V47" s="31"/>
      <c r="W47" s="40" t="str">
        <f t="shared" si="14"/>
        <v>❌ SIN COMPLETAR</v>
      </c>
      <c r="Y47" s="29">
        <v>45995</v>
      </c>
      <c r="Z47" s="30" t="str">
        <f t="shared" ref="Z47:Z53" si="22">TEXT(Y47,"ddd")</f>
        <v>jue</v>
      </c>
      <c r="AA47" s="28">
        <v>0.5</v>
      </c>
      <c r="AB47" s="31"/>
      <c r="AC47" s="31"/>
      <c r="AD47" s="31"/>
      <c r="AE47" s="32" t="str">
        <f t="shared" si="5"/>
        <v>❌ SIN COMPLETAR</v>
      </c>
    </row>
    <row r="48" spans="1:31" x14ac:dyDescent="0.3">
      <c r="A48" s="29">
        <v>45995</v>
      </c>
      <c r="B48" s="30" t="str">
        <f t="shared" si="19"/>
        <v>jue</v>
      </c>
      <c r="C48" s="28">
        <v>0.54166666666666696</v>
      </c>
      <c r="D48" s="31"/>
      <c r="E48" s="31"/>
      <c r="F48" s="31"/>
      <c r="G48" s="40" t="str">
        <f>IF(COUNTIF(D48:F48,"?*")=$N$5,"✅ CUBIERTO",
IF(COUNTIF(D48:F48,"?*")&gt;$N$5,"⚠ EXCESO",IF(COUNTIF(D48:F48,"?*")&gt;0,"⚠ FALTANTE",
"❌ SIN COMPLETAR")))</f>
        <v>❌ SIN COMPLETAR</v>
      </c>
      <c r="H48" s="17"/>
      <c r="I48" s="29">
        <v>45995</v>
      </c>
      <c r="J48" s="30" t="str">
        <f t="shared" si="20"/>
        <v>jue</v>
      </c>
      <c r="K48" s="28">
        <v>0.54166666666666696</v>
      </c>
      <c r="L48" s="31"/>
      <c r="M48" s="31"/>
      <c r="N48" s="31"/>
      <c r="O48" s="32" t="str">
        <f t="shared" si="4"/>
        <v>❌ SIN COMPLETAR</v>
      </c>
      <c r="P48" s="17"/>
      <c r="Q48" s="29">
        <v>45995</v>
      </c>
      <c r="R48" s="30" t="str">
        <f t="shared" si="21"/>
        <v>jue</v>
      </c>
      <c r="S48" s="28">
        <v>0.54166666666666696</v>
      </c>
      <c r="T48" s="31"/>
      <c r="U48" s="31"/>
      <c r="V48" s="31"/>
      <c r="W48" s="40" t="str">
        <f t="shared" si="14"/>
        <v>❌ SIN COMPLETAR</v>
      </c>
      <c r="Y48" s="29">
        <v>45995</v>
      </c>
      <c r="Z48" s="30" t="str">
        <f t="shared" si="22"/>
        <v>jue</v>
      </c>
      <c r="AA48" s="28">
        <v>0.54166666666666696</v>
      </c>
      <c r="AB48" s="31"/>
      <c r="AC48" s="31"/>
      <c r="AD48" s="31"/>
      <c r="AE48" s="32" t="str">
        <f t="shared" si="5"/>
        <v>❌ SIN COMPLETAR</v>
      </c>
    </row>
    <row r="49" spans="1:31" x14ac:dyDescent="0.3">
      <c r="A49" s="29">
        <v>45995</v>
      </c>
      <c r="B49" s="30" t="str">
        <f t="shared" si="19"/>
        <v>jue</v>
      </c>
      <c r="C49" s="28">
        <v>0.58333333333333304</v>
      </c>
      <c r="D49" s="31"/>
      <c r="E49" s="31"/>
      <c r="F49" s="31"/>
      <c r="G49" s="40" t="str">
        <f>IF(COUNTIF(D49:F49,"?*")=$N$5,"✅ CUBIERTO",
IF(COUNTIF(D49:F49,"?*")&gt;$N$5,"⚠ EXCESO",IF(COUNTIF(D49:F49,"?*")&gt;0,"⚠ FALTANTE",
"❌ SIN COMPLETAR")))</f>
        <v>❌ SIN COMPLETAR</v>
      </c>
      <c r="H49" s="17"/>
      <c r="I49" s="29">
        <v>45995</v>
      </c>
      <c r="J49" s="30" t="str">
        <f t="shared" si="20"/>
        <v>jue</v>
      </c>
      <c r="K49" s="28">
        <v>0.58333333333333304</v>
      </c>
      <c r="L49" s="31"/>
      <c r="M49" s="31"/>
      <c r="N49" s="31"/>
      <c r="O49" s="32" t="str">
        <f t="shared" si="4"/>
        <v>❌ SIN COMPLETAR</v>
      </c>
      <c r="P49" s="17"/>
      <c r="Q49" s="29">
        <v>45995</v>
      </c>
      <c r="R49" s="30" t="str">
        <f t="shared" si="21"/>
        <v>jue</v>
      </c>
      <c r="S49" s="28">
        <v>0.58333333333333304</v>
      </c>
      <c r="T49" s="31"/>
      <c r="U49" s="31"/>
      <c r="V49" s="31"/>
      <c r="W49" s="40" t="str">
        <f t="shared" si="14"/>
        <v>❌ SIN COMPLETAR</v>
      </c>
      <c r="Y49" s="29">
        <v>45995</v>
      </c>
      <c r="Z49" s="30" t="str">
        <f t="shared" si="22"/>
        <v>jue</v>
      </c>
      <c r="AA49" s="28">
        <v>0.58333333333333304</v>
      </c>
      <c r="AB49" s="31"/>
      <c r="AC49" s="31"/>
      <c r="AD49" s="31"/>
      <c r="AE49" s="32" t="str">
        <f t="shared" si="5"/>
        <v>❌ SIN COMPLETAR</v>
      </c>
    </row>
    <row r="50" spans="1:31" x14ac:dyDescent="0.3">
      <c r="A50" s="29">
        <v>45995</v>
      </c>
      <c r="B50" s="30" t="str">
        <f t="shared" si="19"/>
        <v>jue</v>
      </c>
      <c r="C50" s="28">
        <v>0.625</v>
      </c>
      <c r="D50" s="31"/>
      <c r="E50" s="31"/>
      <c r="F50" s="31"/>
      <c r="G50" s="40" t="str">
        <f>IF(COUNTIF(D50:F50,"?*")=$N$5,"✅ CUBIERTO",
IF(COUNTIF(D50:F50,"?*")&gt;$N$5,"⚠ EXCESO",IF(COUNTIF(D50:F50,"?*")&gt;0,"⚠ FALTANTE",
"❌ SIN COMPLETAR")))</f>
        <v>❌ SIN COMPLETAR</v>
      </c>
      <c r="H50" s="17"/>
      <c r="I50" s="29">
        <v>45995</v>
      </c>
      <c r="J50" s="30" t="str">
        <f t="shared" si="20"/>
        <v>jue</v>
      </c>
      <c r="K50" s="28">
        <v>0.625</v>
      </c>
      <c r="L50" s="31"/>
      <c r="M50" s="31"/>
      <c r="N50" s="31"/>
      <c r="O50" s="32" t="str">
        <f t="shared" si="4"/>
        <v>❌ SIN COMPLETAR</v>
      </c>
      <c r="P50" s="17"/>
      <c r="Q50" s="29">
        <v>45995</v>
      </c>
      <c r="R50" s="30" t="str">
        <f t="shared" si="21"/>
        <v>jue</v>
      </c>
      <c r="S50" s="28">
        <v>0.625</v>
      </c>
      <c r="T50" s="31"/>
      <c r="U50" s="31"/>
      <c r="V50" s="31"/>
      <c r="W50" s="40" t="str">
        <f t="shared" si="14"/>
        <v>❌ SIN COMPLETAR</v>
      </c>
      <c r="Y50" s="29">
        <v>45995</v>
      </c>
      <c r="Z50" s="30" t="str">
        <f t="shared" si="22"/>
        <v>jue</v>
      </c>
      <c r="AA50" s="28">
        <v>0.625</v>
      </c>
      <c r="AB50" s="31"/>
      <c r="AC50" s="31"/>
      <c r="AD50" s="31"/>
      <c r="AE50" s="32" t="str">
        <f t="shared" si="5"/>
        <v>❌ SIN COMPLETAR</v>
      </c>
    </row>
    <row r="51" spans="1:31" x14ac:dyDescent="0.3">
      <c r="A51" s="29">
        <v>45995</v>
      </c>
      <c r="B51" s="30" t="str">
        <f t="shared" si="19"/>
        <v>jue</v>
      </c>
      <c r="C51" s="28">
        <v>0.66666666666666696</v>
      </c>
      <c r="D51" s="31"/>
      <c r="E51" s="31"/>
      <c r="F51" s="31"/>
      <c r="G51" s="40" t="str">
        <f>IF(COUNTIF(D51:F51,"?*")=$N$5,"✅ CUBIERTO",
IF(COUNTIF(D51:F51,"?*")&gt;$N$5,"⚠ EXCESO",IF(COUNTIF(D51:F51,"?*")&gt;0,"⚠ FALTANTE",
"❌ SIN COMPLETAR")))</f>
        <v>❌ SIN COMPLETAR</v>
      </c>
      <c r="H51" s="17"/>
      <c r="I51" s="29">
        <v>45995</v>
      </c>
      <c r="J51" s="30" t="str">
        <f t="shared" si="20"/>
        <v>jue</v>
      </c>
      <c r="K51" s="28">
        <v>0.66666666666666696</v>
      </c>
      <c r="L51" s="31"/>
      <c r="M51" s="31"/>
      <c r="N51" s="31"/>
      <c r="O51" s="32" t="str">
        <f t="shared" si="4"/>
        <v>❌ SIN COMPLETAR</v>
      </c>
      <c r="P51" s="17"/>
      <c r="Q51" s="29">
        <v>45995</v>
      </c>
      <c r="R51" s="30" t="str">
        <f t="shared" si="21"/>
        <v>jue</v>
      </c>
      <c r="S51" s="28">
        <v>0.66666666666666696</v>
      </c>
      <c r="T51" s="31"/>
      <c r="U51" s="31"/>
      <c r="V51" s="31"/>
      <c r="W51" s="40" t="str">
        <f t="shared" si="14"/>
        <v>❌ SIN COMPLETAR</v>
      </c>
      <c r="Y51" s="29">
        <v>45995</v>
      </c>
      <c r="Z51" s="30" t="str">
        <f t="shared" si="22"/>
        <v>jue</v>
      </c>
      <c r="AA51" s="28">
        <v>0.66666666666666696</v>
      </c>
      <c r="AB51" s="31"/>
      <c r="AC51" s="31"/>
      <c r="AD51" s="31"/>
      <c r="AE51" s="32" t="str">
        <f t="shared" si="5"/>
        <v>❌ SIN COMPLETAR</v>
      </c>
    </row>
    <row r="52" spans="1:31" x14ac:dyDescent="0.3">
      <c r="A52" s="29">
        <v>45995</v>
      </c>
      <c r="B52" s="30" t="str">
        <f t="shared" si="19"/>
        <v>jue</v>
      </c>
      <c r="C52" s="28">
        <v>0.70833333333333304</v>
      </c>
      <c r="D52" s="31"/>
      <c r="E52" s="31"/>
      <c r="F52" s="31"/>
      <c r="G52" s="40" t="str">
        <f>IF(COUNTIF(D52:F52,"?*")=$N$5,"✅ CUBIERTO",
IF(COUNTIF(D52:F52,"?*")&gt;$N$5,"⚠ EXCESO",IF(COUNTIF(D52:F52,"?*")&gt;0,"⚠ FALTANTE",
"❌ SIN COMPLETAR")))</f>
        <v>❌ SIN COMPLETAR</v>
      </c>
      <c r="H52" s="17"/>
      <c r="I52" s="29">
        <v>45995</v>
      </c>
      <c r="J52" s="30" t="str">
        <f t="shared" si="20"/>
        <v>jue</v>
      </c>
      <c r="K52" s="28">
        <v>0.70833333333333304</v>
      </c>
      <c r="L52" s="31"/>
      <c r="M52" s="31"/>
      <c r="N52" s="31"/>
      <c r="O52" s="32" t="str">
        <f t="shared" si="4"/>
        <v>❌ SIN COMPLETAR</v>
      </c>
      <c r="P52" s="17"/>
      <c r="Q52" s="29">
        <v>45995</v>
      </c>
      <c r="R52" s="30" t="str">
        <f t="shared" si="21"/>
        <v>jue</v>
      </c>
      <c r="S52" s="28">
        <v>0.70833333333333304</v>
      </c>
      <c r="T52" s="31"/>
      <c r="U52" s="31"/>
      <c r="V52" s="31"/>
      <c r="W52" s="40" t="str">
        <f t="shared" si="14"/>
        <v>❌ SIN COMPLETAR</v>
      </c>
      <c r="Y52" s="29">
        <v>45995</v>
      </c>
      <c r="Z52" s="30" t="str">
        <f t="shared" si="22"/>
        <v>jue</v>
      </c>
      <c r="AA52" s="28">
        <v>0.70833333333333304</v>
      </c>
      <c r="AB52" s="31"/>
      <c r="AC52" s="31"/>
      <c r="AD52" s="31"/>
      <c r="AE52" s="32" t="str">
        <f t="shared" si="5"/>
        <v>❌ SIN COMPLETAR</v>
      </c>
    </row>
    <row r="53" spans="1:31" x14ac:dyDescent="0.3">
      <c r="A53" s="29">
        <v>45995</v>
      </c>
      <c r="B53" s="30" t="str">
        <f t="shared" si="19"/>
        <v>jue</v>
      </c>
      <c r="C53" s="28">
        <v>0.75</v>
      </c>
      <c r="D53" s="31"/>
      <c r="E53" s="31"/>
      <c r="F53" s="31"/>
      <c r="G53" s="40" t="str">
        <f>IF(COUNTIF(D53:F53,"?*")=$N$5,"✅ CUBIERTO",
IF(COUNTIF(D53:F53,"?*")&gt;$N$5,"⚠ EXCESO",IF(COUNTIF(D53:F53,"?*")&gt;0,"⚠ FALTANTE",
"❌ SIN COMPLETAR")))</f>
        <v>❌ SIN COMPLETAR</v>
      </c>
      <c r="H53" s="17"/>
      <c r="I53" s="29">
        <v>45995</v>
      </c>
      <c r="J53" s="30" t="str">
        <f t="shared" si="20"/>
        <v>jue</v>
      </c>
      <c r="K53" s="28">
        <v>0.75</v>
      </c>
      <c r="L53" s="41"/>
      <c r="M53" s="41"/>
      <c r="N53" s="41"/>
      <c r="O53" s="32" t="str">
        <f t="shared" si="4"/>
        <v>❌ SIN COMPLETAR</v>
      </c>
      <c r="P53" s="17"/>
      <c r="Q53" s="29">
        <v>45995</v>
      </c>
      <c r="R53" s="30" t="str">
        <f t="shared" si="21"/>
        <v>jue</v>
      </c>
      <c r="S53" s="28">
        <v>0.75</v>
      </c>
      <c r="T53" s="31"/>
      <c r="U53" s="31"/>
      <c r="V53" s="31"/>
      <c r="W53" s="40" t="s">
        <v>16</v>
      </c>
      <c r="Y53" s="29">
        <v>45995</v>
      </c>
      <c r="Z53" s="30" t="str">
        <f t="shared" si="22"/>
        <v>jue</v>
      </c>
      <c r="AA53" s="28">
        <v>0.75</v>
      </c>
      <c r="AB53" s="41"/>
      <c r="AC53" s="41"/>
      <c r="AD53" s="41"/>
      <c r="AE53" s="32" t="str">
        <f t="shared" si="5"/>
        <v>❌ SIN COMPLETAR</v>
      </c>
    </row>
    <row r="54" spans="1:31" x14ac:dyDescent="0.3">
      <c r="A54" s="29">
        <v>45996</v>
      </c>
      <c r="B54" s="30" t="str">
        <f>TEXT(A54,"ddd")</f>
        <v>vie</v>
      </c>
      <c r="C54" s="28">
        <v>0.45833333333333331</v>
      </c>
      <c r="D54" s="31"/>
      <c r="E54" s="31"/>
      <c r="F54" s="31"/>
      <c r="G54" s="40" t="str">
        <f>IF(COUNTIF(D54:F54,"?*")=$N$5,"✅ CUBIERTO",
IF(COUNTIF(D54:F54,"?*")&gt;$N$5,"⚠ EXCESO",IF(COUNTIF(D54:F54,"?*")&gt;0,"⚠ FALTANTE",
"❌ SIN COMPLETAR")))</f>
        <v>❌ SIN COMPLETAR</v>
      </c>
      <c r="H54" s="17"/>
      <c r="I54" s="29">
        <v>45996</v>
      </c>
      <c r="J54" s="30" t="str">
        <f>TEXT(I54,"ddd")</f>
        <v>vie</v>
      </c>
      <c r="K54" s="28">
        <v>0.45833333333333331</v>
      </c>
      <c r="L54" s="31"/>
      <c r="M54" s="31"/>
      <c r="N54" s="31"/>
      <c r="O54" s="32" t="str">
        <f t="shared" si="4"/>
        <v>❌ SIN COMPLETAR</v>
      </c>
      <c r="P54" s="17"/>
      <c r="Q54" s="29">
        <v>45996</v>
      </c>
      <c r="R54" s="30" t="str">
        <f>TEXT(Q54,"ddd")</f>
        <v>vie</v>
      </c>
      <c r="S54" s="28">
        <v>0.45833333333333331</v>
      </c>
      <c r="T54" s="31"/>
      <c r="U54" s="31"/>
      <c r="V54" s="31"/>
      <c r="W54" s="40" t="s">
        <v>16</v>
      </c>
      <c r="Y54" s="29">
        <v>45996</v>
      </c>
      <c r="Z54" s="30" t="str">
        <f>TEXT(Y54,"ddd")</f>
        <v>vie</v>
      </c>
      <c r="AA54" s="28">
        <v>0.45833333333333331</v>
      </c>
      <c r="AB54" s="31"/>
      <c r="AC54" s="31"/>
      <c r="AD54" s="31"/>
      <c r="AE54" s="32" t="str">
        <f t="shared" si="5"/>
        <v>❌ SIN COMPLETAR</v>
      </c>
    </row>
    <row r="55" spans="1:31" x14ac:dyDescent="0.3">
      <c r="A55" s="29">
        <v>45996</v>
      </c>
      <c r="B55" s="30" t="str">
        <f t="shared" ref="B55:B61" si="23">TEXT(A55,"ddd")</f>
        <v>vie</v>
      </c>
      <c r="C55" s="28">
        <v>0.5</v>
      </c>
      <c r="D55" s="31"/>
      <c r="E55" s="31"/>
      <c r="F55" s="31"/>
      <c r="G55" s="40" t="str">
        <f>IF(COUNTIF(D55:F55,"?*")=$N$5,"✅ CUBIERTO",
IF(COUNTIF(D55:F55,"?*")&gt;$N$5,"⚠ EXCESO",IF(COUNTIF(D55:F55,"?*")&gt;0,"⚠ FALTANTE",
"❌ SIN COMPLETAR")))</f>
        <v>❌ SIN COMPLETAR</v>
      </c>
      <c r="H55" s="17"/>
      <c r="I55" s="29">
        <v>45996</v>
      </c>
      <c r="J55" s="30" t="str">
        <f t="shared" ref="J55:J61" si="24">TEXT(I55,"ddd")</f>
        <v>vie</v>
      </c>
      <c r="K55" s="28">
        <v>0.5</v>
      </c>
      <c r="L55" s="31"/>
      <c r="M55" s="31"/>
      <c r="N55" s="31"/>
      <c r="O55" s="32" t="str">
        <f t="shared" si="4"/>
        <v>❌ SIN COMPLETAR</v>
      </c>
      <c r="P55" s="17"/>
      <c r="Q55" s="29">
        <v>45996</v>
      </c>
      <c r="R55" s="30" t="str">
        <f t="shared" ref="R55:R61" si="25">TEXT(Q55,"ddd")</f>
        <v>vie</v>
      </c>
      <c r="S55" s="28">
        <v>0.5</v>
      </c>
      <c r="T55" s="31"/>
      <c r="U55" s="31"/>
      <c r="V55" s="31"/>
      <c r="W55" s="40" t="str">
        <f t="shared" si="14"/>
        <v>❌ SIN COMPLETAR</v>
      </c>
      <c r="Y55" s="29">
        <v>45996</v>
      </c>
      <c r="Z55" s="30" t="str">
        <f t="shared" ref="Z55:Z61" si="26">TEXT(Y55,"ddd")</f>
        <v>vie</v>
      </c>
      <c r="AA55" s="28">
        <v>0.5</v>
      </c>
      <c r="AB55" s="31"/>
      <c r="AC55" s="31"/>
      <c r="AD55" s="31"/>
      <c r="AE55" s="32" t="str">
        <f t="shared" si="5"/>
        <v>❌ SIN COMPLETAR</v>
      </c>
    </row>
    <row r="56" spans="1:31" x14ac:dyDescent="0.3">
      <c r="A56" s="29">
        <v>45996</v>
      </c>
      <c r="B56" s="30" t="str">
        <f t="shared" si="23"/>
        <v>vie</v>
      </c>
      <c r="C56" s="28">
        <v>0.54166666666666696</v>
      </c>
      <c r="D56" s="31"/>
      <c r="E56" s="31"/>
      <c r="F56" s="31"/>
      <c r="G56" s="40" t="str">
        <f>IF(COUNTIF(D56:F56,"?*")=$N$5,"✅ CUBIERTO",
IF(COUNTIF(D56:F56,"?*")&gt;$N$5,"⚠ EXCESO",IF(COUNTIF(D56:F56,"?*")&gt;0,"⚠ FALTANTE",
"❌ SIN COMPLETAR")))</f>
        <v>❌ SIN COMPLETAR</v>
      </c>
      <c r="H56" s="17"/>
      <c r="I56" s="29">
        <v>45996</v>
      </c>
      <c r="J56" s="30" t="str">
        <f t="shared" si="24"/>
        <v>vie</v>
      </c>
      <c r="K56" s="28">
        <v>0.54166666666666696</v>
      </c>
      <c r="L56" s="31"/>
      <c r="M56" s="31"/>
      <c r="N56" s="31"/>
      <c r="O56" s="32" t="str">
        <f t="shared" si="4"/>
        <v>❌ SIN COMPLETAR</v>
      </c>
      <c r="P56" s="17"/>
      <c r="Q56" s="29">
        <v>45996</v>
      </c>
      <c r="R56" s="30" t="str">
        <f t="shared" si="25"/>
        <v>vie</v>
      </c>
      <c r="S56" s="28">
        <v>0.54166666666666696</v>
      </c>
      <c r="T56" s="31"/>
      <c r="U56" s="31"/>
      <c r="V56" s="31"/>
      <c r="W56" s="40" t="str">
        <f t="shared" si="14"/>
        <v>❌ SIN COMPLETAR</v>
      </c>
      <c r="Y56" s="29">
        <v>45996</v>
      </c>
      <c r="Z56" s="30" t="str">
        <f t="shared" si="26"/>
        <v>vie</v>
      </c>
      <c r="AA56" s="28">
        <v>0.54166666666666696</v>
      </c>
      <c r="AB56" s="31"/>
      <c r="AC56" s="31"/>
      <c r="AD56" s="31"/>
      <c r="AE56" s="32" t="str">
        <f t="shared" si="5"/>
        <v>❌ SIN COMPLETAR</v>
      </c>
    </row>
    <row r="57" spans="1:31" x14ac:dyDescent="0.3">
      <c r="A57" s="29">
        <v>45996</v>
      </c>
      <c r="B57" s="30" t="str">
        <f t="shared" si="23"/>
        <v>vie</v>
      </c>
      <c r="C57" s="28">
        <v>0.58333333333333304</v>
      </c>
      <c r="D57" s="31"/>
      <c r="E57" s="31"/>
      <c r="F57" s="31"/>
      <c r="G57" s="40" t="str">
        <f>IF(COUNTIF(D57:F57,"?*")=$N$5,"✅ CUBIERTO",
IF(COUNTIF(D57:F57,"?*")&gt;$N$5,"⚠ EXCESO",IF(COUNTIF(D57:F57,"?*")&gt;0,"⚠ FALTANTE",
"❌ SIN COMPLETAR")))</f>
        <v>❌ SIN COMPLETAR</v>
      </c>
      <c r="H57" s="17"/>
      <c r="I57" s="29">
        <v>45996</v>
      </c>
      <c r="J57" s="30" t="str">
        <f t="shared" si="24"/>
        <v>vie</v>
      </c>
      <c r="K57" s="28">
        <v>0.58333333333333304</v>
      </c>
      <c r="L57" s="31"/>
      <c r="M57" s="31"/>
      <c r="N57" s="31"/>
      <c r="O57" s="32" t="str">
        <f t="shared" si="4"/>
        <v>❌ SIN COMPLETAR</v>
      </c>
      <c r="P57" s="17"/>
      <c r="Q57" s="29">
        <v>45996</v>
      </c>
      <c r="R57" s="30" t="str">
        <f t="shared" si="25"/>
        <v>vie</v>
      </c>
      <c r="S57" s="28">
        <v>0.58333333333333304</v>
      </c>
      <c r="T57" s="31"/>
      <c r="U57" s="31"/>
      <c r="V57" s="31"/>
      <c r="W57" s="40" t="str">
        <f t="shared" si="14"/>
        <v>❌ SIN COMPLETAR</v>
      </c>
      <c r="Y57" s="29">
        <v>45996</v>
      </c>
      <c r="Z57" s="30" t="str">
        <f t="shared" si="26"/>
        <v>vie</v>
      </c>
      <c r="AA57" s="28">
        <v>0.58333333333333304</v>
      </c>
      <c r="AB57" s="31"/>
      <c r="AC57" s="31"/>
      <c r="AD57" s="31"/>
      <c r="AE57" s="32" t="str">
        <f t="shared" si="5"/>
        <v>❌ SIN COMPLETAR</v>
      </c>
    </row>
    <row r="58" spans="1:31" x14ac:dyDescent="0.3">
      <c r="A58" s="29">
        <v>45996</v>
      </c>
      <c r="B58" s="30" t="str">
        <f t="shared" si="23"/>
        <v>vie</v>
      </c>
      <c r="C58" s="28">
        <v>0.625</v>
      </c>
      <c r="D58" s="31"/>
      <c r="E58" s="31"/>
      <c r="F58" s="31"/>
      <c r="G58" s="40" t="str">
        <f>IF(COUNTIF(D58:F58,"?*")=$N$5,"✅ CUBIERTO",
IF(COUNTIF(D58:F58,"?*")&gt;$N$5,"⚠ EXCESO",IF(COUNTIF(D58:F58,"?*")&gt;0,"⚠ FALTANTE",
"❌ SIN COMPLETAR")))</f>
        <v>❌ SIN COMPLETAR</v>
      </c>
      <c r="H58" s="17"/>
      <c r="I58" s="29">
        <v>45996</v>
      </c>
      <c r="J58" s="30" t="str">
        <f t="shared" si="24"/>
        <v>vie</v>
      </c>
      <c r="K58" s="28">
        <v>0.625</v>
      </c>
      <c r="L58" s="31"/>
      <c r="M58" s="31"/>
      <c r="N58" s="31"/>
      <c r="O58" s="32" t="str">
        <f t="shared" si="4"/>
        <v>❌ SIN COMPLETAR</v>
      </c>
      <c r="P58" s="17"/>
      <c r="Q58" s="29">
        <v>45996</v>
      </c>
      <c r="R58" s="30" t="str">
        <f t="shared" si="25"/>
        <v>vie</v>
      </c>
      <c r="S58" s="28">
        <v>0.625</v>
      </c>
      <c r="T58" s="31"/>
      <c r="U58" s="31"/>
      <c r="V58" s="31"/>
      <c r="W58" s="40" t="str">
        <f t="shared" si="14"/>
        <v>❌ SIN COMPLETAR</v>
      </c>
      <c r="Y58" s="29">
        <v>45996</v>
      </c>
      <c r="Z58" s="30" t="str">
        <f t="shared" si="26"/>
        <v>vie</v>
      </c>
      <c r="AA58" s="28">
        <v>0.625</v>
      </c>
      <c r="AB58" s="31"/>
      <c r="AC58" s="31"/>
      <c r="AD58" s="31"/>
      <c r="AE58" s="32" t="str">
        <f t="shared" si="5"/>
        <v>❌ SIN COMPLETAR</v>
      </c>
    </row>
    <row r="59" spans="1:31" x14ac:dyDescent="0.3">
      <c r="A59" s="29">
        <v>45996</v>
      </c>
      <c r="B59" s="30" t="str">
        <f t="shared" si="23"/>
        <v>vie</v>
      </c>
      <c r="C59" s="28">
        <v>0.66666666666666696</v>
      </c>
      <c r="D59" s="31"/>
      <c r="E59" s="31"/>
      <c r="F59" s="31"/>
      <c r="G59" s="40" t="str">
        <f>IF(COUNTIF(D59:F59,"?*")=$N$5,"✅ CUBIERTO",
IF(COUNTIF(D59:F59,"?*")&gt;$N$5,"⚠ EXCESO",IF(COUNTIF(D59:F59,"?*")&gt;0,"⚠ FALTANTE",
"❌ SIN COMPLETAR")))</f>
        <v>❌ SIN COMPLETAR</v>
      </c>
      <c r="H59" s="17"/>
      <c r="I59" s="29">
        <v>45996</v>
      </c>
      <c r="J59" s="30" t="str">
        <f t="shared" si="24"/>
        <v>vie</v>
      </c>
      <c r="K59" s="28">
        <v>0.66666666666666696</v>
      </c>
      <c r="L59" s="31"/>
      <c r="M59" s="31"/>
      <c r="N59" s="31"/>
      <c r="O59" s="32" t="str">
        <f t="shared" si="4"/>
        <v>❌ SIN COMPLETAR</v>
      </c>
      <c r="P59" s="17"/>
      <c r="Q59" s="29">
        <v>45996</v>
      </c>
      <c r="R59" s="30" t="str">
        <f t="shared" si="25"/>
        <v>vie</v>
      </c>
      <c r="S59" s="28">
        <v>0.66666666666666696</v>
      </c>
      <c r="T59" s="31"/>
      <c r="U59" s="31"/>
      <c r="V59" s="31"/>
      <c r="W59" s="40" t="str">
        <f t="shared" si="14"/>
        <v>❌ SIN COMPLETAR</v>
      </c>
      <c r="Y59" s="29">
        <v>45996</v>
      </c>
      <c r="Z59" s="30" t="str">
        <f t="shared" si="26"/>
        <v>vie</v>
      </c>
      <c r="AA59" s="28">
        <v>0.66666666666666696</v>
      </c>
      <c r="AB59" s="31"/>
      <c r="AC59" s="31"/>
      <c r="AD59" s="31"/>
      <c r="AE59" s="32" t="str">
        <f t="shared" si="5"/>
        <v>❌ SIN COMPLETAR</v>
      </c>
    </row>
    <row r="60" spans="1:31" x14ac:dyDescent="0.3">
      <c r="A60" s="29">
        <v>45996</v>
      </c>
      <c r="B60" s="30" t="str">
        <f t="shared" si="23"/>
        <v>vie</v>
      </c>
      <c r="C60" s="28">
        <v>0.70833333333333304</v>
      </c>
      <c r="D60" s="31"/>
      <c r="E60" s="31"/>
      <c r="F60" s="31"/>
      <c r="G60" s="40" t="str">
        <f>IF(COUNTIF(D60:F60,"?*")=$N$5,"✅ CUBIERTO",
IF(COUNTIF(D60:F60,"?*")&gt;$N$5,"⚠ EXCESO",IF(COUNTIF(D60:F60,"?*")&gt;0,"⚠ FALTANTE",
"❌ SIN COMPLETAR")))</f>
        <v>❌ SIN COMPLETAR</v>
      </c>
      <c r="H60" s="17"/>
      <c r="I60" s="29">
        <v>45996</v>
      </c>
      <c r="J60" s="30" t="str">
        <f t="shared" si="24"/>
        <v>vie</v>
      </c>
      <c r="K60" s="28">
        <v>0.70833333333333304</v>
      </c>
      <c r="L60" s="31"/>
      <c r="M60" s="31"/>
      <c r="N60" s="31"/>
      <c r="O60" s="32" t="str">
        <f t="shared" si="4"/>
        <v>❌ SIN COMPLETAR</v>
      </c>
      <c r="P60" s="17"/>
      <c r="Q60" s="29">
        <v>45996</v>
      </c>
      <c r="R60" s="30" t="str">
        <f t="shared" si="25"/>
        <v>vie</v>
      </c>
      <c r="S60" s="28">
        <v>0.70833333333333304</v>
      </c>
      <c r="T60" s="31"/>
      <c r="U60" s="31"/>
      <c r="V60" s="31"/>
      <c r="W60" s="40" t="str">
        <f t="shared" si="14"/>
        <v>❌ SIN COMPLETAR</v>
      </c>
      <c r="Y60" s="29">
        <v>45996</v>
      </c>
      <c r="Z60" s="30" t="str">
        <f t="shared" si="26"/>
        <v>vie</v>
      </c>
      <c r="AA60" s="28">
        <v>0.70833333333333304</v>
      </c>
      <c r="AB60" s="31"/>
      <c r="AC60" s="31"/>
      <c r="AD60" s="31"/>
      <c r="AE60" s="32" t="str">
        <f t="shared" si="5"/>
        <v>❌ SIN COMPLETAR</v>
      </c>
    </row>
    <row r="61" spans="1:31" x14ac:dyDescent="0.3">
      <c r="A61" s="29">
        <v>45996</v>
      </c>
      <c r="B61" s="30" t="str">
        <f t="shared" si="23"/>
        <v>vie</v>
      </c>
      <c r="C61" s="28">
        <v>0.75</v>
      </c>
      <c r="D61" s="31"/>
      <c r="E61" s="31"/>
      <c r="F61" s="31"/>
      <c r="G61" s="40" t="str">
        <f>IF(COUNTIF(D61:F61,"?*")=$N$5,"✅ CUBIERTO",
IF(COUNTIF(D61:F61,"?*")&gt;$N$5,"⚠ EXCESO",IF(COUNTIF(D61:F61,"?*")&gt;0,"⚠ FALTANTE",
"❌ SIN COMPLETAR")))</f>
        <v>❌ SIN COMPLETAR</v>
      </c>
      <c r="H61" s="17"/>
      <c r="I61" s="29">
        <v>45996</v>
      </c>
      <c r="J61" s="30" t="str">
        <f t="shared" si="24"/>
        <v>vie</v>
      </c>
      <c r="K61" s="28">
        <v>0.75</v>
      </c>
      <c r="L61" s="41"/>
      <c r="M61" s="41"/>
      <c r="N61" s="41"/>
      <c r="O61" s="32" t="str">
        <f t="shared" si="4"/>
        <v>❌ SIN COMPLETAR</v>
      </c>
      <c r="P61" s="17"/>
      <c r="Q61" s="29">
        <v>45996</v>
      </c>
      <c r="R61" s="30" t="str">
        <f t="shared" si="25"/>
        <v>vie</v>
      </c>
      <c r="S61" s="28">
        <v>0.75</v>
      </c>
      <c r="T61" s="31"/>
      <c r="U61" s="31"/>
      <c r="V61" s="31"/>
      <c r="W61" s="40" t="s">
        <v>16</v>
      </c>
      <c r="Y61" s="29">
        <v>45996</v>
      </c>
      <c r="Z61" s="30" t="str">
        <f t="shared" si="26"/>
        <v>vie</v>
      </c>
      <c r="AA61" s="28">
        <v>0.75</v>
      </c>
      <c r="AB61" s="41"/>
      <c r="AC61" s="41"/>
      <c r="AD61" s="41"/>
      <c r="AE61" s="32" t="str">
        <f t="shared" si="5"/>
        <v>❌ SIN COMPLETAR</v>
      </c>
    </row>
    <row r="62" spans="1:31" x14ac:dyDescent="0.3">
      <c r="A62" s="29">
        <v>45997</v>
      </c>
      <c r="B62" s="30" t="str">
        <f>TEXT(A62,"ddd")</f>
        <v>sáb</v>
      </c>
      <c r="C62" s="28">
        <v>0.45833333333333331</v>
      </c>
      <c r="D62" s="31"/>
      <c r="E62" s="31"/>
      <c r="F62" s="31"/>
      <c r="G62" s="40" t="str">
        <f>IF(COUNTIF(D62:F62,"?*")=$N$5,"✅ CUBIERTO",
IF(COUNTIF(D62:F62,"?*")&gt;$N$5,"⚠ EXCESO",IF(COUNTIF(D62:F62,"?*")&gt;0,"⚠ FALTANTE",
"❌ SIN COMPLETAR")))</f>
        <v>❌ SIN COMPLETAR</v>
      </c>
      <c r="H62" s="17"/>
      <c r="I62" s="29">
        <v>45997</v>
      </c>
      <c r="J62" s="30" t="str">
        <f>TEXT(I62,"ddd")</f>
        <v>sáb</v>
      </c>
      <c r="K62" s="28">
        <v>0.45833333333333331</v>
      </c>
      <c r="L62" s="31"/>
      <c r="M62" s="31"/>
      <c r="N62" s="31"/>
      <c r="O62" s="32" t="str">
        <f t="shared" si="4"/>
        <v>❌ SIN COMPLETAR</v>
      </c>
      <c r="P62" s="17"/>
      <c r="Q62" s="29">
        <v>45997</v>
      </c>
      <c r="R62" s="30" t="str">
        <f>TEXT(Q62,"ddd")</f>
        <v>sáb</v>
      </c>
      <c r="S62" s="28">
        <v>0.45833333333333331</v>
      </c>
      <c r="T62" s="31"/>
      <c r="U62" s="31"/>
      <c r="V62" s="31"/>
      <c r="W62" s="40" t="str">
        <f t="shared" si="14"/>
        <v>❌ SIN COMPLETAR</v>
      </c>
      <c r="Y62" s="29">
        <v>45997</v>
      </c>
      <c r="Z62" s="30" t="str">
        <f>TEXT(Y62,"ddd")</f>
        <v>sáb</v>
      </c>
      <c r="AA62" s="28">
        <v>0.45833333333333331</v>
      </c>
      <c r="AB62" s="31"/>
      <c r="AC62" s="31"/>
      <c r="AD62" s="31"/>
      <c r="AE62" s="32" t="str">
        <f t="shared" si="5"/>
        <v>❌ SIN COMPLETAR</v>
      </c>
    </row>
    <row r="63" spans="1:31" x14ac:dyDescent="0.3">
      <c r="A63" s="29">
        <v>45997</v>
      </c>
      <c r="B63" s="30" t="str">
        <f t="shared" ref="B63:B69" si="27">TEXT(A63,"ddd")</f>
        <v>sáb</v>
      </c>
      <c r="C63" s="28">
        <v>0.5</v>
      </c>
      <c r="D63" s="31"/>
      <c r="E63" s="31"/>
      <c r="F63" s="31"/>
      <c r="G63" s="40" t="str">
        <f>IF(COUNTIF(D63:F63,"?*")=$N$5,"✅ CUBIERTO",
IF(COUNTIF(D63:F63,"?*")&gt;$N$5,"⚠ EXCESO",IF(COUNTIF(D63:F63,"?*")&gt;0,"⚠ FALTANTE",
"❌ SIN COMPLETAR")))</f>
        <v>❌ SIN COMPLETAR</v>
      </c>
      <c r="H63" s="17"/>
      <c r="I63" s="29">
        <v>45997</v>
      </c>
      <c r="J63" s="30" t="str">
        <f t="shared" ref="J63:J69" si="28">TEXT(I63,"ddd")</f>
        <v>sáb</v>
      </c>
      <c r="K63" s="28">
        <v>0.5</v>
      </c>
      <c r="L63" s="31"/>
      <c r="M63" s="31"/>
      <c r="N63" s="31"/>
      <c r="O63" s="32" t="str">
        <f t="shared" si="4"/>
        <v>❌ SIN COMPLETAR</v>
      </c>
      <c r="P63" s="17"/>
      <c r="Q63" s="29">
        <v>45997</v>
      </c>
      <c r="R63" s="30" t="str">
        <f t="shared" ref="R63:R69" si="29">TEXT(Q63,"ddd")</f>
        <v>sáb</v>
      </c>
      <c r="S63" s="28">
        <v>0.5</v>
      </c>
      <c r="T63" s="31"/>
      <c r="U63" s="31"/>
      <c r="V63" s="31"/>
      <c r="W63" s="40" t="str">
        <f t="shared" si="14"/>
        <v>❌ SIN COMPLETAR</v>
      </c>
      <c r="Y63" s="29">
        <v>45997</v>
      </c>
      <c r="Z63" s="30" t="str">
        <f t="shared" ref="Z63:Z69" si="30">TEXT(Y63,"ddd")</f>
        <v>sáb</v>
      </c>
      <c r="AA63" s="28">
        <v>0.5</v>
      </c>
      <c r="AB63" s="31"/>
      <c r="AC63" s="31"/>
      <c r="AD63" s="31"/>
      <c r="AE63" s="32" t="str">
        <f t="shared" si="5"/>
        <v>❌ SIN COMPLETAR</v>
      </c>
    </row>
    <row r="64" spans="1:31" x14ac:dyDescent="0.3">
      <c r="A64" s="29">
        <v>45997</v>
      </c>
      <c r="B64" s="30" t="str">
        <f t="shared" si="27"/>
        <v>sáb</v>
      </c>
      <c r="C64" s="28">
        <v>0.54166666666666696</v>
      </c>
      <c r="D64" s="31"/>
      <c r="E64" s="31"/>
      <c r="F64" s="31"/>
      <c r="G64" s="40" t="str">
        <f>IF(COUNTIF(D64:F64,"?*")=$N$5,"✅ CUBIERTO",
IF(COUNTIF(D64:F64,"?*")&gt;$N$5,"⚠ EXCESO",IF(COUNTIF(D64:F64,"?*")&gt;0,"⚠ FALTANTE",
"❌ SIN COMPLETAR")))</f>
        <v>❌ SIN COMPLETAR</v>
      </c>
      <c r="H64" s="17"/>
      <c r="I64" s="29">
        <v>45997</v>
      </c>
      <c r="J64" s="30" t="str">
        <f t="shared" si="28"/>
        <v>sáb</v>
      </c>
      <c r="K64" s="28">
        <v>0.54166666666666696</v>
      </c>
      <c r="L64" s="31"/>
      <c r="M64" s="31"/>
      <c r="N64" s="31"/>
      <c r="O64" s="32" t="str">
        <f t="shared" si="4"/>
        <v>❌ SIN COMPLETAR</v>
      </c>
      <c r="P64" s="17"/>
      <c r="Q64" s="29">
        <v>45997</v>
      </c>
      <c r="R64" s="30" t="str">
        <f t="shared" si="29"/>
        <v>sáb</v>
      </c>
      <c r="S64" s="28">
        <v>0.54166666666666696</v>
      </c>
      <c r="T64" s="31"/>
      <c r="U64" s="31"/>
      <c r="V64" s="31"/>
      <c r="W64" s="40" t="str">
        <f t="shared" si="14"/>
        <v>❌ SIN COMPLETAR</v>
      </c>
      <c r="Y64" s="29">
        <v>45997</v>
      </c>
      <c r="Z64" s="30" t="str">
        <f t="shared" si="30"/>
        <v>sáb</v>
      </c>
      <c r="AA64" s="28">
        <v>0.54166666666666696</v>
      </c>
      <c r="AB64" s="31"/>
      <c r="AC64" s="31"/>
      <c r="AD64" s="31"/>
      <c r="AE64" s="32" t="str">
        <f t="shared" si="5"/>
        <v>❌ SIN COMPLETAR</v>
      </c>
    </row>
    <row r="65" spans="1:31" x14ac:dyDescent="0.3">
      <c r="A65" s="29">
        <v>45997</v>
      </c>
      <c r="B65" s="30" t="str">
        <f t="shared" si="27"/>
        <v>sáb</v>
      </c>
      <c r="C65" s="28">
        <v>0.58333333333333304</v>
      </c>
      <c r="D65" s="31"/>
      <c r="E65" s="31"/>
      <c r="F65" s="31"/>
      <c r="G65" s="40" t="str">
        <f>IF(COUNTIF(D65:F65,"?*")=$N$5,"✅ CUBIERTO",
IF(COUNTIF(D65:F65,"?*")&gt;$N$5,"⚠ EXCESO",IF(COUNTIF(D65:F65,"?*")&gt;0,"⚠ FALTANTE",
"❌ SIN COMPLETAR")))</f>
        <v>❌ SIN COMPLETAR</v>
      </c>
      <c r="H65" s="17"/>
      <c r="I65" s="29">
        <v>45997</v>
      </c>
      <c r="J65" s="30" t="str">
        <f t="shared" si="28"/>
        <v>sáb</v>
      </c>
      <c r="K65" s="28">
        <v>0.58333333333333304</v>
      </c>
      <c r="L65" s="31"/>
      <c r="M65" s="31"/>
      <c r="N65" s="31"/>
      <c r="O65" s="32" t="str">
        <f t="shared" si="4"/>
        <v>❌ SIN COMPLETAR</v>
      </c>
      <c r="P65" s="17"/>
      <c r="Q65" s="29">
        <v>45997</v>
      </c>
      <c r="R65" s="30" t="str">
        <f t="shared" si="29"/>
        <v>sáb</v>
      </c>
      <c r="S65" s="28">
        <v>0.58333333333333304</v>
      </c>
      <c r="T65" s="31"/>
      <c r="U65" s="31"/>
      <c r="V65" s="31"/>
      <c r="W65" s="40" t="str">
        <f t="shared" si="14"/>
        <v>❌ SIN COMPLETAR</v>
      </c>
      <c r="Y65" s="29">
        <v>45997</v>
      </c>
      <c r="Z65" s="30" t="str">
        <f t="shared" si="30"/>
        <v>sáb</v>
      </c>
      <c r="AA65" s="28">
        <v>0.58333333333333304</v>
      </c>
      <c r="AB65" s="31"/>
      <c r="AC65" s="31"/>
      <c r="AD65" s="31"/>
      <c r="AE65" s="32" t="str">
        <f t="shared" si="5"/>
        <v>❌ SIN COMPLETAR</v>
      </c>
    </row>
    <row r="66" spans="1:31" x14ac:dyDescent="0.3">
      <c r="A66" s="29">
        <v>45997</v>
      </c>
      <c r="B66" s="30" t="str">
        <f t="shared" si="27"/>
        <v>sáb</v>
      </c>
      <c r="C66" s="28">
        <v>0.625</v>
      </c>
      <c r="D66" s="31"/>
      <c r="E66" s="31"/>
      <c r="F66" s="31"/>
      <c r="G66" s="40" t="str">
        <f>IF(COUNTIF(D66:F66,"?*")=$N$5,"✅ CUBIERTO",
IF(COUNTIF(D66:F66,"?*")&gt;$N$5,"⚠ EXCESO",IF(COUNTIF(D66:F66,"?*")&gt;0,"⚠ FALTANTE",
"❌ SIN COMPLETAR")))</f>
        <v>❌ SIN COMPLETAR</v>
      </c>
      <c r="H66" s="17"/>
      <c r="I66" s="29">
        <v>45997</v>
      </c>
      <c r="J66" s="30" t="str">
        <f t="shared" si="28"/>
        <v>sáb</v>
      </c>
      <c r="K66" s="28">
        <v>0.625</v>
      </c>
      <c r="L66" s="31"/>
      <c r="M66" s="31"/>
      <c r="N66" s="31"/>
      <c r="O66" s="32" t="str">
        <f t="shared" si="4"/>
        <v>❌ SIN COMPLETAR</v>
      </c>
      <c r="P66" s="17"/>
      <c r="Q66" s="29">
        <v>45997</v>
      </c>
      <c r="R66" s="30" t="str">
        <f t="shared" si="29"/>
        <v>sáb</v>
      </c>
      <c r="S66" s="28">
        <v>0.625</v>
      </c>
      <c r="T66" s="31"/>
      <c r="U66" s="31"/>
      <c r="V66" s="31"/>
      <c r="W66" s="40" t="str">
        <f t="shared" si="14"/>
        <v>❌ SIN COMPLETAR</v>
      </c>
      <c r="Y66" s="29">
        <v>45997</v>
      </c>
      <c r="Z66" s="30" t="str">
        <f t="shared" si="30"/>
        <v>sáb</v>
      </c>
      <c r="AA66" s="28">
        <v>0.625</v>
      </c>
      <c r="AB66" s="31"/>
      <c r="AC66" s="31"/>
      <c r="AD66" s="31"/>
      <c r="AE66" s="32" t="str">
        <f t="shared" si="5"/>
        <v>❌ SIN COMPLETAR</v>
      </c>
    </row>
    <row r="67" spans="1:31" x14ac:dyDescent="0.3">
      <c r="A67" s="29">
        <v>45997</v>
      </c>
      <c r="B67" s="30" t="str">
        <f t="shared" si="27"/>
        <v>sáb</v>
      </c>
      <c r="C67" s="28">
        <v>0.66666666666666696</v>
      </c>
      <c r="D67" s="31"/>
      <c r="E67" s="31"/>
      <c r="F67" s="31"/>
      <c r="G67" s="40" t="str">
        <f>IF(COUNTIF(D67:F67,"?*")=$N$5,"✅ CUBIERTO",
IF(COUNTIF(D67:F67,"?*")&gt;$N$5,"⚠ EXCESO",IF(COUNTIF(D67:F67,"?*")&gt;0,"⚠ FALTANTE",
"❌ SIN COMPLETAR")))</f>
        <v>❌ SIN COMPLETAR</v>
      </c>
      <c r="H67" s="17"/>
      <c r="I67" s="29">
        <v>45997</v>
      </c>
      <c r="J67" s="30" t="str">
        <f t="shared" si="28"/>
        <v>sáb</v>
      </c>
      <c r="K67" s="28">
        <v>0.66666666666666696</v>
      </c>
      <c r="L67" s="31"/>
      <c r="M67" s="31"/>
      <c r="N67" s="31"/>
      <c r="O67" s="32" t="str">
        <f t="shared" si="4"/>
        <v>❌ SIN COMPLETAR</v>
      </c>
      <c r="P67" s="17"/>
      <c r="Q67" s="29">
        <v>45997</v>
      </c>
      <c r="R67" s="30" t="str">
        <f t="shared" si="29"/>
        <v>sáb</v>
      </c>
      <c r="S67" s="28">
        <v>0.66666666666666696</v>
      </c>
      <c r="T67" s="31"/>
      <c r="U67" s="31"/>
      <c r="V67" s="31"/>
      <c r="W67" s="40" t="str">
        <f t="shared" si="14"/>
        <v>❌ SIN COMPLETAR</v>
      </c>
      <c r="Y67" s="29">
        <v>45997</v>
      </c>
      <c r="Z67" s="30" t="str">
        <f t="shared" si="30"/>
        <v>sáb</v>
      </c>
      <c r="AA67" s="28">
        <v>0.66666666666666696</v>
      </c>
      <c r="AB67" s="31"/>
      <c r="AC67" s="31"/>
      <c r="AD67" s="31"/>
      <c r="AE67" s="32" t="str">
        <f t="shared" si="5"/>
        <v>❌ SIN COMPLETAR</v>
      </c>
    </row>
    <row r="68" spans="1:31" x14ac:dyDescent="0.3">
      <c r="A68" s="29">
        <v>45997</v>
      </c>
      <c r="B68" s="30" t="str">
        <f t="shared" si="27"/>
        <v>sáb</v>
      </c>
      <c r="C68" s="28">
        <v>0.70833333333333304</v>
      </c>
      <c r="D68" s="31"/>
      <c r="E68" s="31"/>
      <c r="F68" s="31"/>
      <c r="G68" s="40" t="str">
        <f>IF(COUNTIF(D68:F68,"?*")=$N$5,"✅ CUBIERTO",
IF(COUNTIF(D68:F68,"?*")&gt;$N$5,"⚠ EXCESO",IF(COUNTIF(D68:F68,"?*")&gt;0,"⚠ FALTANTE",
"❌ SIN COMPLETAR")))</f>
        <v>❌ SIN COMPLETAR</v>
      </c>
      <c r="H68" s="17"/>
      <c r="I68" s="29">
        <v>45997</v>
      </c>
      <c r="J68" s="30" t="str">
        <f t="shared" si="28"/>
        <v>sáb</v>
      </c>
      <c r="K68" s="28">
        <v>0.70833333333333304</v>
      </c>
      <c r="L68" s="31"/>
      <c r="M68" s="31"/>
      <c r="N68" s="31"/>
      <c r="O68" s="32" t="str">
        <f t="shared" si="4"/>
        <v>❌ SIN COMPLETAR</v>
      </c>
      <c r="P68" s="17"/>
      <c r="Q68" s="29">
        <v>45997</v>
      </c>
      <c r="R68" s="30" t="str">
        <f t="shared" si="29"/>
        <v>sáb</v>
      </c>
      <c r="S68" s="28">
        <v>0.70833333333333304</v>
      </c>
      <c r="T68" s="31"/>
      <c r="U68" s="31"/>
      <c r="V68" s="31"/>
      <c r="W68" s="40" t="str">
        <f t="shared" si="14"/>
        <v>❌ SIN COMPLETAR</v>
      </c>
      <c r="Y68" s="29">
        <v>45997</v>
      </c>
      <c r="Z68" s="30" t="str">
        <f t="shared" si="30"/>
        <v>sáb</v>
      </c>
      <c r="AA68" s="28">
        <v>0.70833333333333304</v>
      </c>
      <c r="AB68" s="31"/>
      <c r="AC68" s="31"/>
      <c r="AD68" s="31"/>
      <c r="AE68" s="32" t="str">
        <f t="shared" si="5"/>
        <v>❌ SIN COMPLETAR</v>
      </c>
    </row>
    <row r="69" spans="1:31" x14ac:dyDescent="0.3">
      <c r="A69" s="29">
        <v>45997</v>
      </c>
      <c r="B69" s="30" t="str">
        <f t="shared" si="27"/>
        <v>sáb</v>
      </c>
      <c r="C69" s="28">
        <v>0.75</v>
      </c>
      <c r="D69" s="31"/>
      <c r="E69" s="31"/>
      <c r="F69" s="31"/>
      <c r="G69" s="40" t="str">
        <f>IF(COUNTIF(D69:F69,"?*")=$N$5,"✅ CUBIERTO",
IF(COUNTIF(D69:F69,"?*")&gt;$N$5,"⚠ EXCESO",IF(COUNTIF(D69:F69,"?*")&gt;0,"⚠ FALTANTE",
"❌ SIN COMPLETAR")))</f>
        <v>❌ SIN COMPLETAR</v>
      </c>
      <c r="H69" s="17"/>
      <c r="I69" s="29">
        <v>45997</v>
      </c>
      <c r="J69" s="30" t="str">
        <f t="shared" si="28"/>
        <v>sáb</v>
      </c>
      <c r="K69" s="28">
        <v>0.75</v>
      </c>
      <c r="L69" s="41"/>
      <c r="M69" s="41"/>
      <c r="N69" s="41"/>
      <c r="O69" s="32" t="str">
        <f t="shared" si="4"/>
        <v>❌ SIN COMPLETAR</v>
      </c>
      <c r="P69" s="17"/>
      <c r="Q69" s="29">
        <v>45997</v>
      </c>
      <c r="R69" s="30" t="str">
        <f t="shared" si="29"/>
        <v>sáb</v>
      </c>
      <c r="S69" s="28">
        <v>0.75</v>
      </c>
      <c r="T69" s="31"/>
      <c r="U69" s="31"/>
      <c r="V69" s="31"/>
      <c r="W69" s="40" t="str">
        <f t="shared" si="14"/>
        <v>❌ SIN COMPLETAR</v>
      </c>
      <c r="Y69" s="29">
        <v>45997</v>
      </c>
      <c r="Z69" s="30" t="str">
        <f t="shared" si="30"/>
        <v>sáb</v>
      </c>
      <c r="AA69" s="28">
        <v>0.75</v>
      </c>
      <c r="AB69" s="41"/>
      <c r="AC69" s="41"/>
      <c r="AD69" s="41"/>
      <c r="AE69" s="32" t="str">
        <f t="shared" si="5"/>
        <v>❌ SIN COMPLETAR</v>
      </c>
    </row>
    <row r="70" spans="1:31" x14ac:dyDescent="0.3">
      <c r="A70" s="29">
        <v>45998</v>
      </c>
      <c r="B70" s="30" t="str">
        <f>TEXT(A70,"ddd")</f>
        <v>dom</v>
      </c>
      <c r="C70" s="28">
        <v>0.45833333333333331</v>
      </c>
      <c r="D70" s="31"/>
      <c r="E70" s="31"/>
      <c r="F70" s="31"/>
      <c r="G70" s="40" t="str">
        <f>IF(COUNTIF(D70:F70,"?*")=$N$5,"✅ CUBIERTO",
IF(COUNTIF(D70:F70,"?*")&gt;$N$5,"⚠ EXCESO",IF(COUNTIF(D70:F70,"?*")&gt;0,"⚠ FALTANTE",
"❌ SIN COMPLETAR")))</f>
        <v>❌ SIN COMPLETAR</v>
      </c>
      <c r="H70" s="17"/>
      <c r="I70" s="29">
        <v>45998</v>
      </c>
      <c r="J70" s="30" t="str">
        <f>TEXT(I70,"ddd")</f>
        <v>dom</v>
      </c>
      <c r="K70" s="28">
        <v>0.45833333333333331</v>
      </c>
      <c r="L70" s="31"/>
      <c r="M70" s="31"/>
      <c r="N70" s="31"/>
      <c r="O70" s="32" t="str">
        <f t="shared" si="4"/>
        <v>❌ SIN COMPLETAR</v>
      </c>
      <c r="P70" s="17"/>
      <c r="Q70" s="29">
        <v>45998</v>
      </c>
      <c r="R70" s="30" t="str">
        <f>TEXT(Q70,"ddd")</f>
        <v>dom</v>
      </c>
      <c r="S70" s="28">
        <v>0.45833333333333331</v>
      </c>
      <c r="T70" s="31"/>
      <c r="U70" s="31"/>
      <c r="V70" s="31"/>
      <c r="W70" s="40" t="str">
        <f t="shared" si="14"/>
        <v>❌ SIN COMPLETAR</v>
      </c>
      <c r="Y70" s="29">
        <v>45998</v>
      </c>
      <c r="Z70" s="30" t="str">
        <f>TEXT(Y70,"ddd")</f>
        <v>dom</v>
      </c>
      <c r="AA70" s="28">
        <v>0.45833333333333331</v>
      </c>
      <c r="AB70" s="31"/>
      <c r="AC70" s="31"/>
      <c r="AD70" s="31"/>
      <c r="AE70" s="32" t="str">
        <f t="shared" si="5"/>
        <v>❌ SIN COMPLETAR</v>
      </c>
    </row>
    <row r="71" spans="1:31" x14ac:dyDescent="0.3">
      <c r="A71" s="29">
        <v>45998</v>
      </c>
      <c r="B71" s="30" t="str">
        <f t="shared" ref="B71:B77" si="31">TEXT(A71,"ddd")</f>
        <v>dom</v>
      </c>
      <c r="C71" s="28">
        <v>0.5</v>
      </c>
      <c r="D71" s="31"/>
      <c r="E71" s="31"/>
      <c r="F71" s="31"/>
      <c r="G71" s="40" t="str">
        <f>IF(COUNTIF(D71:F71,"?*")=$N$5,"✅ CUBIERTO",
IF(COUNTIF(D71:F71,"?*")&gt;$N$5,"⚠ EXCESO",IF(COUNTIF(D71:F71,"?*")&gt;0,"⚠ FALTANTE",
"❌ SIN COMPLETAR")))</f>
        <v>❌ SIN COMPLETAR</v>
      </c>
      <c r="H71" s="17"/>
      <c r="I71" s="29">
        <v>45998</v>
      </c>
      <c r="J71" s="30" t="str">
        <f t="shared" ref="J71:J77" si="32">TEXT(I71,"ddd")</f>
        <v>dom</v>
      </c>
      <c r="K71" s="28">
        <v>0.5</v>
      </c>
      <c r="L71" s="31"/>
      <c r="M71" s="31"/>
      <c r="N71" s="31"/>
      <c r="O71" s="32" t="str">
        <f t="shared" si="4"/>
        <v>❌ SIN COMPLETAR</v>
      </c>
      <c r="P71" s="17"/>
      <c r="Q71" s="29">
        <v>45998</v>
      </c>
      <c r="R71" s="30" t="str">
        <f t="shared" ref="R71:R77" si="33">TEXT(Q71,"ddd")</f>
        <v>dom</v>
      </c>
      <c r="S71" s="28">
        <v>0.5</v>
      </c>
      <c r="T71" s="31"/>
      <c r="U71" s="31"/>
      <c r="V71" s="31"/>
      <c r="W71" s="40" t="str">
        <f t="shared" si="14"/>
        <v>❌ SIN COMPLETAR</v>
      </c>
      <c r="Y71" s="29">
        <v>45998</v>
      </c>
      <c r="Z71" s="30" t="str">
        <f t="shared" ref="Z71:Z77" si="34">TEXT(Y71,"ddd")</f>
        <v>dom</v>
      </c>
      <c r="AA71" s="28">
        <v>0.5</v>
      </c>
      <c r="AB71" s="31"/>
      <c r="AC71" s="31"/>
      <c r="AD71" s="31"/>
      <c r="AE71" s="32" t="str">
        <f t="shared" si="5"/>
        <v>❌ SIN COMPLETAR</v>
      </c>
    </row>
    <row r="72" spans="1:31" x14ac:dyDescent="0.3">
      <c r="A72" s="29">
        <v>45998</v>
      </c>
      <c r="B72" s="30" t="str">
        <f t="shared" si="31"/>
        <v>dom</v>
      </c>
      <c r="C72" s="28">
        <v>0.54166666666666696</v>
      </c>
      <c r="D72" s="31"/>
      <c r="E72" s="31"/>
      <c r="F72" s="31"/>
      <c r="G72" s="40" t="str">
        <f>IF(COUNTIF(D72:F72,"?*")=$N$5,"✅ CUBIERTO",
IF(COUNTIF(D72:F72,"?*")&gt;$N$5,"⚠ EXCESO",IF(COUNTIF(D72:F72,"?*")&gt;0,"⚠ FALTANTE",
"❌ SIN COMPLETAR")))</f>
        <v>❌ SIN COMPLETAR</v>
      </c>
      <c r="H72" s="17"/>
      <c r="I72" s="29">
        <v>45998</v>
      </c>
      <c r="J72" s="30" t="str">
        <f t="shared" si="32"/>
        <v>dom</v>
      </c>
      <c r="K72" s="28">
        <v>0.54166666666666696</v>
      </c>
      <c r="L72" s="31"/>
      <c r="M72" s="31"/>
      <c r="N72" s="31"/>
      <c r="O72" s="32" t="str">
        <f t="shared" si="4"/>
        <v>❌ SIN COMPLETAR</v>
      </c>
      <c r="P72" s="17"/>
      <c r="Q72" s="29">
        <v>45998</v>
      </c>
      <c r="R72" s="30" t="str">
        <f t="shared" si="33"/>
        <v>dom</v>
      </c>
      <c r="S72" s="28">
        <v>0.54166666666666696</v>
      </c>
      <c r="T72" s="31"/>
      <c r="U72" s="31"/>
      <c r="V72" s="31"/>
      <c r="W72" s="40" t="str">
        <f t="shared" si="14"/>
        <v>❌ SIN COMPLETAR</v>
      </c>
      <c r="Y72" s="29">
        <v>45998</v>
      </c>
      <c r="Z72" s="30" t="str">
        <f t="shared" si="34"/>
        <v>dom</v>
      </c>
      <c r="AA72" s="28">
        <v>0.54166666666666696</v>
      </c>
      <c r="AB72" s="31"/>
      <c r="AC72" s="31"/>
      <c r="AD72" s="31"/>
      <c r="AE72" s="32" t="str">
        <f t="shared" si="5"/>
        <v>❌ SIN COMPLETAR</v>
      </c>
    </row>
    <row r="73" spans="1:31" x14ac:dyDescent="0.3">
      <c r="A73" s="29">
        <v>45998</v>
      </c>
      <c r="B73" s="30" t="str">
        <f t="shared" si="31"/>
        <v>dom</v>
      </c>
      <c r="C73" s="28">
        <v>0.58333333333333304</v>
      </c>
      <c r="D73" s="31"/>
      <c r="E73" s="31"/>
      <c r="F73" s="31"/>
      <c r="G73" s="40" t="str">
        <f>IF(COUNTIF(D73:F73,"?*")=$N$5,"✅ CUBIERTO",
IF(COUNTIF(D73:F73,"?*")&gt;$N$5,"⚠ EXCESO",IF(COUNTIF(D73:F73,"?*")&gt;0,"⚠ FALTANTE",
"❌ SIN COMPLETAR")))</f>
        <v>❌ SIN COMPLETAR</v>
      </c>
      <c r="H73" s="17"/>
      <c r="I73" s="29">
        <v>45998</v>
      </c>
      <c r="J73" s="30" t="str">
        <f t="shared" si="32"/>
        <v>dom</v>
      </c>
      <c r="K73" s="28">
        <v>0.58333333333333304</v>
      </c>
      <c r="L73" s="31"/>
      <c r="M73" s="31"/>
      <c r="N73" s="31"/>
      <c r="O73" s="32" t="str">
        <f t="shared" si="4"/>
        <v>❌ SIN COMPLETAR</v>
      </c>
      <c r="P73" s="17"/>
      <c r="Q73" s="29">
        <v>45998</v>
      </c>
      <c r="R73" s="30" t="str">
        <f t="shared" si="33"/>
        <v>dom</v>
      </c>
      <c r="S73" s="28">
        <v>0.58333333333333304</v>
      </c>
      <c r="T73" s="31"/>
      <c r="U73" s="31"/>
      <c r="V73" s="31"/>
      <c r="W73" s="40" t="str">
        <f t="shared" si="14"/>
        <v>❌ SIN COMPLETAR</v>
      </c>
      <c r="Y73" s="29">
        <v>45998</v>
      </c>
      <c r="Z73" s="30" t="str">
        <f t="shared" si="34"/>
        <v>dom</v>
      </c>
      <c r="AA73" s="28">
        <v>0.58333333333333304</v>
      </c>
      <c r="AB73" s="31"/>
      <c r="AC73" s="31"/>
      <c r="AD73" s="31"/>
      <c r="AE73" s="32" t="str">
        <f t="shared" si="5"/>
        <v>❌ SIN COMPLETAR</v>
      </c>
    </row>
    <row r="74" spans="1:31" x14ac:dyDescent="0.3">
      <c r="A74" s="29">
        <v>45998</v>
      </c>
      <c r="B74" s="30" t="str">
        <f t="shared" si="31"/>
        <v>dom</v>
      </c>
      <c r="C74" s="28">
        <v>0.625</v>
      </c>
      <c r="D74" s="31"/>
      <c r="E74" s="31"/>
      <c r="F74" s="31"/>
      <c r="G74" s="40" t="str">
        <f>IF(COUNTIF(D74:F74,"?*")=$N$5,"✅ CUBIERTO",
IF(COUNTIF(D74:F74,"?*")&gt;$N$5,"⚠ EXCESO",IF(COUNTIF(D74:F74,"?*")&gt;0,"⚠ FALTANTE",
"❌ SIN COMPLETAR")))</f>
        <v>❌ SIN COMPLETAR</v>
      </c>
      <c r="H74" s="17"/>
      <c r="I74" s="29">
        <v>45998</v>
      </c>
      <c r="J74" s="30" t="str">
        <f t="shared" si="32"/>
        <v>dom</v>
      </c>
      <c r="K74" s="28">
        <v>0.625</v>
      </c>
      <c r="L74" s="31"/>
      <c r="M74" s="31"/>
      <c r="N74" s="31"/>
      <c r="O74" s="32" t="str">
        <f t="shared" si="4"/>
        <v>❌ SIN COMPLETAR</v>
      </c>
      <c r="P74" s="17"/>
      <c r="Q74" s="29">
        <v>45998</v>
      </c>
      <c r="R74" s="30" t="str">
        <f t="shared" si="33"/>
        <v>dom</v>
      </c>
      <c r="S74" s="28">
        <v>0.625</v>
      </c>
      <c r="T74" s="31"/>
      <c r="U74" s="31"/>
      <c r="V74" s="31"/>
      <c r="W74" s="40" t="str">
        <f t="shared" si="14"/>
        <v>❌ SIN COMPLETAR</v>
      </c>
      <c r="Y74" s="29">
        <v>45998</v>
      </c>
      <c r="Z74" s="30" t="str">
        <f t="shared" si="34"/>
        <v>dom</v>
      </c>
      <c r="AA74" s="28">
        <v>0.625</v>
      </c>
      <c r="AB74" s="31"/>
      <c r="AC74" s="31"/>
      <c r="AD74" s="31"/>
      <c r="AE74" s="32" t="str">
        <f t="shared" si="5"/>
        <v>❌ SIN COMPLETAR</v>
      </c>
    </row>
    <row r="75" spans="1:31" x14ac:dyDescent="0.3">
      <c r="A75" s="29">
        <v>45998</v>
      </c>
      <c r="B75" s="30" t="str">
        <f t="shared" si="31"/>
        <v>dom</v>
      </c>
      <c r="C75" s="28">
        <v>0.66666666666666696</v>
      </c>
      <c r="D75" s="31"/>
      <c r="E75" s="31"/>
      <c r="F75" s="31"/>
      <c r="G75" s="40" t="str">
        <f>IF(COUNTIF(D75:F75,"?*")=$N$5,"✅ CUBIERTO",
IF(COUNTIF(D75:F75,"?*")&gt;$N$5,"⚠ EXCESO",IF(COUNTIF(D75:F75,"?*")&gt;0,"⚠ FALTANTE",
"❌ SIN COMPLETAR")))</f>
        <v>❌ SIN COMPLETAR</v>
      </c>
      <c r="H75" s="17"/>
      <c r="I75" s="29">
        <v>45998</v>
      </c>
      <c r="J75" s="30" t="str">
        <f t="shared" si="32"/>
        <v>dom</v>
      </c>
      <c r="K75" s="28">
        <v>0.66666666666666696</v>
      </c>
      <c r="L75" s="31"/>
      <c r="M75" s="31"/>
      <c r="N75" s="31"/>
      <c r="O75" s="32" t="str">
        <f t="shared" si="4"/>
        <v>❌ SIN COMPLETAR</v>
      </c>
      <c r="P75" s="17"/>
      <c r="Q75" s="29">
        <v>45998</v>
      </c>
      <c r="R75" s="30" t="str">
        <f t="shared" si="33"/>
        <v>dom</v>
      </c>
      <c r="S75" s="28">
        <v>0.66666666666666696</v>
      </c>
      <c r="T75" s="31"/>
      <c r="U75" s="31"/>
      <c r="V75" s="31"/>
      <c r="W75" s="40" t="str">
        <f t="shared" si="14"/>
        <v>❌ SIN COMPLETAR</v>
      </c>
      <c r="Y75" s="29">
        <v>45998</v>
      </c>
      <c r="Z75" s="30" t="str">
        <f t="shared" si="34"/>
        <v>dom</v>
      </c>
      <c r="AA75" s="28">
        <v>0.66666666666666696</v>
      </c>
      <c r="AB75" s="31"/>
      <c r="AC75" s="31"/>
      <c r="AD75" s="31"/>
      <c r="AE75" s="32" t="str">
        <f t="shared" si="5"/>
        <v>❌ SIN COMPLETAR</v>
      </c>
    </row>
    <row r="76" spans="1:31" x14ac:dyDescent="0.3">
      <c r="A76" s="29">
        <v>45998</v>
      </c>
      <c r="B76" s="30" t="str">
        <f t="shared" si="31"/>
        <v>dom</v>
      </c>
      <c r="C76" s="28">
        <v>0.70833333333333304</v>
      </c>
      <c r="D76" s="31"/>
      <c r="E76" s="31"/>
      <c r="F76" s="31"/>
      <c r="G76" s="40" t="str">
        <f>IF(COUNTIF(D76:F76,"?*")=$N$5,"✅ CUBIERTO",
IF(COUNTIF(D76:F76,"?*")&gt;$N$5,"⚠ EXCESO",IF(COUNTIF(D76:F76,"?*")&gt;0,"⚠ FALTANTE",
"❌ SIN COMPLETAR")))</f>
        <v>❌ SIN COMPLETAR</v>
      </c>
      <c r="H76" s="17"/>
      <c r="I76" s="29">
        <v>45998</v>
      </c>
      <c r="J76" s="30" t="str">
        <f t="shared" si="32"/>
        <v>dom</v>
      </c>
      <c r="K76" s="28">
        <v>0.70833333333333304</v>
      </c>
      <c r="L76" s="31"/>
      <c r="M76" s="31"/>
      <c r="N76" s="31"/>
      <c r="O76" s="32" t="str">
        <f t="shared" si="4"/>
        <v>❌ SIN COMPLETAR</v>
      </c>
      <c r="P76" s="17"/>
      <c r="Q76" s="29">
        <v>45998</v>
      </c>
      <c r="R76" s="30" t="str">
        <f t="shared" si="33"/>
        <v>dom</v>
      </c>
      <c r="S76" s="28">
        <v>0.70833333333333304</v>
      </c>
      <c r="T76" s="31"/>
      <c r="U76" s="31"/>
      <c r="V76" s="31"/>
      <c r="W76" s="40" t="str">
        <f t="shared" si="14"/>
        <v>❌ SIN COMPLETAR</v>
      </c>
      <c r="Y76" s="29">
        <v>45998</v>
      </c>
      <c r="Z76" s="30" t="str">
        <f t="shared" si="34"/>
        <v>dom</v>
      </c>
      <c r="AA76" s="28">
        <v>0.70833333333333304</v>
      </c>
      <c r="AB76" s="31"/>
      <c r="AC76" s="31"/>
      <c r="AD76" s="31"/>
      <c r="AE76" s="32" t="str">
        <f t="shared" si="5"/>
        <v>❌ SIN COMPLETAR</v>
      </c>
    </row>
    <row r="77" spans="1:31" x14ac:dyDescent="0.3">
      <c r="A77" s="29">
        <v>45998</v>
      </c>
      <c r="B77" s="30" t="str">
        <f t="shared" si="31"/>
        <v>dom</v>
      </c>
      <c r="C77" s="28">
        <v>0.75</v>
      </c>
      <c r="D77" s="31"/>
      <c r="E77" s="31"/>
      <c r="F77" s="31"/>
      <c r="G77" s="40" t="str">
        <f>IF(COUNTIF(D77:F77,"?*")=$N$5,"✅ CUBIERTO",
IF(COUNTIF(D77:F77,"?*")&gt;$N$5,"⚠ EXCESO",IF(COUNTIF(D77:F77,"?*")&gt;0,"⚠ FALTANTE",
"❌ SIN COMPLETAR")))</f>
        <v>❌ SIN COMPLETAR</v>
      </c>
      <c r="H77" s="17"/>
      <c r="I77" s="29">
        <v>45998</v>
      </c>
      <c r="J77" s="30" t="str">
        <f t="shared" si="32"/>
        <v>dom</v>
      </c>
      <c r="K77" s="28">
        <v>0.75</v>
      </c>
      <c r="L77" s="41"/>
      <c r="M77" s="41"/>
      <c r="N77" s="41"/>
      <c r="O77" s="32" t="str">
        <f t="shared" si="4"/>
        <v>❌ SIN COMPLETAR</v>
      </c>
      <c r="P77" s="17"/>
      <c r="Q77" s="29">
        <v>45998</v>
      </c>
      <c r="R77" s="30" t="str">
        <f t="shared" si="33"/>
        <v>dom</v>
      </c>
      <c r="S77" s="28">
        <v>0.75</v>
      </c>
      <c r="T77" s="31"/>
      <c r="U77" s="31"/>
      <c r="V77" s="31"/>
      <c r="W77" s="40" t="str">
        <f t="shared" si="14"/>
        <v>❌ SIN COMPLETAR</v>
      </c>
      <c r="Y77" s="29">
        <v>45998</v>
      </c>
      <c r="Z77" s="30" t="str">
        <f t="shared" si="34"/>
        <v>dom</v>
      </c>
      <c r="AA77" s="28">
        <v>0.75</v>
      </c>
      <c r="AB77" s="41"/>
      <c r="AC77" s="41"/>
      <c r="AD77" s="41"/>
      <c r="AE77" s="32" t="str">
        <f t="shared" si="5"/>
        <v>❌ SIN COMPLETAR</v>
      </c>
    </row>
    <row r="78" spans="1:31" x14ac:dyDescent="0.3">
      <c r="A78" s="29">
        <v>45999</v>
      </c>
      <c r="B78" s="30" t="str">
        <f>TEXT(A78,"ddd")</f>
        <v>lun</v>
      </c>
      <c r="C78" s="28">
        <v>0.45833333333333331</v>
      </c>
      <c r="D78" s="31" t="s">
        <v>34</v>
      </c>
      <c r="E78" s="31" t="s">
        <v>35</v>
      </c>
      <c r="F78" s="31"/>
      <c r="G78" s="40" t="str">
        <f>IF(COUNTIF(D78:F78,"?*")=$N$5,"✅ CUBIERTO",
IF(COUNTIF(D78:F78,"?*")&gt;$N$5,"⚠ EXCESO",IF(COUNTIF(D78:F78,"?*")&gt;0,"⚠ FALTANTE",
"❌ SIN COMPLETAR")))</f>
        <v>✅ CUBIERTO</v>
      </c>
      <c r="H78" s="17"/>
      <c r="I78" s="29">
        <v>45999</v>
      </c>
      <c r="J78" s="30" t="str">
        <f>TEXT(I78,"ddd")</f>
        <v>lun</v>
      </c>
      <c r="K78" s="28">
        <v>0.45833333333333331</v>
      </c>
      <c r="L78" s="41"/>
      <c r="M78" s="41"/>
      <c r="N78" s="41"/>
      <c r="O78" s="32" t="str">
        <f t="shared" si="4"/>
        <v>❌ SIN COMPLETAR</v>
      </c>
      <c r="P78" s="17"/>
      <c r="Q78" s="29">
        <v>45999</v>
      </c>
      <c r="R78" s="30" t="str">
        <f>TEXT(Q78,"ddd")</f>
        <v>lun</v>
      </c>
      <c r="S78" s="28">
        <v>0.45833333333333331</v>
      </c>
      <c r="T78" s="31"/>
      <c r="U78" s="31"/>
      <c r="V78" s="31"/>
      <c r="W78" s="40" t="s">
        <v>16</v>
      </c>
      <c r="Y78" s="29">
        <v>45999</v>
      </c>
      <c r="Z78" s="30" t="str">
        <f>TEXT(Y78,"ddd")</f>
        <v>lun</v>
      </c>
      <c r="AA78" s="28">
        <v>0.45833333333333331</v>
      </c>
      <c r="AB78" s="41"/>
      <c r="AC78" s="41"/>
      <c r="AD78" s="41"/>
      <c r="AE78" s="32" t="str">
        <f t="shared" si="5"/>
        <v>❌ SIN COMPLETAR</v>
      </c>
    </row>
    <row r="79" spans="1:31" x14ac:dyDescent="0.3">
      <c r="A79" s="29">
        <v>45999</v>
      </c>
      <c r="B79" s="30" t="str">
        <f t="shared" ref="B79:B85" si="35">TEXT(A79,"ddd")</f>
        <v>lun</v>
      </c>
      <c r="C79" s="28">
        <v>0.5</v>
      </c>
      <c r="D79" s="31" t="s">
        <v>34</v>
      </c>
      <c r="E79" s="31" t="s">
        <v>35</v>
      </c>
      <c r="F79" s="31"/>
      <c r="G79" s="40" t="str">
        <f>IF(COUNTIF(D79:F79,"?*")=$N$5,"✅ CUBIERTO",
IF(COUNTIF(D79:F79,"?*")&gt;$N$5,"⚠ EXCESO",IF(COUNTIF(D79:F79,"?*")&gt;0,"⚠ FALTANTE",
"❌ SIN COMPLETAR")))</f>
        <v>✅ CUBIERTO</v>
      </c>
      <c r="H79" s="17"/>
      <c r="I79" s="29">
        <v>45999</v>
      </c>
      <c r="J79" s="30" t="str">
        <f t="shared" ref="J79:J85" si="36">TEXT(I79,"ddd")</f>
        <v>lun</v>
      </c>
      <c r="K79" s="28">
        <v>0.5</v>
      </c>
      <c r="L79" s="41"/>
      <c r="M79" s="41"/>
      <c r="N79" s="41"/>
      <c r="O79" s="32" t="str">
        <f t="shared" si="4"/>
        <v>❌ SIN COMPLETAR</v>
      </c>
      <c r="P79" s="17"/>
      <c r="Q79" s="29">
        <v>45999</v>
      </c>
      <c r="R79" s="30" t="str">
        <f t="shared" ref="R79:R85" si="37">TEXT(Q79,"ddd")</f>
        <v>lun</v>
      </c>
      <c r="S79" s="28">
        <v>0.5</v>
      </c>
      <c r="T79" s="31"/>
      <c r="U79" s="31"/>
      <c r="V79" s="31"/>
      <c r="W79" s="40" t="str">
        <f t="shared" si="14"/>
        <v>❌ SIN COMPLETAR</v>
      </c>
      <c r="Y79" s="29">
        <v>45999</v>
      </c>
      <c r="Z79" s="30" t="str">
        <f t="shared" ref="Z79:Z85" si="38">TEXT(Y79,"ddd")</f>
        <v>lun</v>
      </c>
      <c r="AA79" s="28">
        <v>0.5</v>
      </c>
      <c r="AB79" s="41"/>
      <c r="AC79" s="41"/>
      <c r="AD79" s="41"/>
      <c r="AE79" s="32" t="str">
        <f t="shared" si="5"/>
        <v>❌ SIN COMPLETAR</v>
      </c>
    </row>
    <row r="80" spans="1:31" x14ac:dyDescent="0.3">
      <c r="A80" s="29">
        <v>45999</v>
      </c>
      <c r="B80" s="30" t="str">
        <f t="shared" si="35"/>
        <v>lun</v>
      </c>
      <c r="C80" s="28">
        <v>0.54166666666666696</v>
      </c>
      <c r="D80" s="31" t="s">
        <v>34</v>
      </c>
      <c r="E80" s="31" t="s">
        <v>35</v>
      </c>
      <c r="F80" s="31"/>
      <c r="G80" s="40" t="str">
        <f>IF(COUNTIF(D80:F80,"?*")=$N$5,"✅ CUBIERTO",
IF(COUNTIF(D80:F80,"?*")&gt;$N$5,"⚠ EXCESO",IF(COUNTIF(D80:F80,"?*")&gt;0,"⚠ FALTANTE",
"❌ SIN COMPLETAR")))</f>
        <v>✅ CUBIERTO</v>
      </c>
      <c r="H80" s="17"/>
      <c r="I80" s="29">
        <v>45999</v>
      </c>
      <c r="J80" s="30" t="str">
        <f t="shared" si="36"/>
        <v>lun</v>
      </c>
      <c r="K80" s="28">
        <v>0.54166666666666696</v>
      </c>
      <c r="L80" s="41"/>
      <c r="M80" s="41"/>
      <c r="N80" s="41"/>
      <c r="O80" s="32" t="str">
        <f t="shared" si="4"/>
        <v>❌ SIN COMPLETAR</v>
      </c>
      <c r="P80" s="17"/>
      <c r="Q80" s="29">
        <v>45999</v>
      </c>
      <c r="R80" s="30" t="str">
        <f t="shared" si="37"/>
        <v>lun</v>
      </c>
      <c r="S80" s="28">
        <v>0.54166666666666696</v>
      </c>
      <c r="T80" s="31"/>
      <c r="U80" s="31"/>
      <c r="V80" s="31"/>
      <c r="W80" s="40" t="str">
        <f t="shared" si="14"/>
        <v>❌ SIN COMPLETAR</v>
      </c>
      <c r="Y80" s="29">
        <v>45999</v>
      </c>
      <c r="Z80" s="30" t="str">
        <f t="shared" si="38"/>
        <v>lun</v>
      </c>
      <c r="AA80" s="28">
        <v>0.54166666666666696</v>
      </c>
      <c r="AB80" s="41"/>
      <c r="AC80" s="41"/>
      <c r="AD80" s="41"/>
      <c r="AE80" s="32" t="str">
        <f t="shared" si="5"/>
        <v>❌ SIN COMPLETAR</v>
      </c>
    </row>
    <row r="81" spans="1:31" x14ac:dyDescent="0.3">
      <c r="A81" s="29">
        <v>45999</v>
      </c>
      <c r="B81" s="30" t="str">
        <f t="shared" si="35"/>
        <v>lun</v>
      </c>
      <c r="C81" s="28">
        <v>0.58333333333333304</v>
      </c>
      <c r="D81" s="31" t="s">
        <v>34</v>
      </c>
      <c r="E81" s="31" t="s">
        <v>35</v>
      </c>
      <c r="F81" s="31"/>
      <c r="G81" s="40" t="str">
        <f>IF(COUNTIF(D81:F81,"?*")=$N$5,"✅ CUBIERTO",
IF(COUNTIF(D81:F81,"?*")&gt;$N$5,"⚠ EXCESO",IF(COUNTIF(D81:F81,"?*")&gt;0,"⚠ FALTANTE",
"❌ SIN COMPLETAR")))</f>
        <v>✅ CUBIERTO</v>
      </c>
      <c r="H81" s="17"/>
      <c r="I81" s="29">
        <v>45999</v>
      </c>
      <c r="J81" s="30" t="str">
        <f t="shared" si="36"/>
        <v>lun</v>
      </c>
      <c r="K81" s="28">
        <v>0.58333333333333304</v>
      </c>
      <c r="L81" s="41"/>
      <c r="M81" s="41"/>
      <c r="N81" s="41"/>
      <c r="O81" s="32" t="str">
        <f t="shared" si="4"/>
        <v>❌ SIN COMPLETAR</v>
      </c>
      <c r="P81" s="17"/>
      <c r="Q81" s="29">
        <v>45999</v>
      </c>
      <c r="R81" s="30" t="str">
        <f t="shared" si="37"/>
        <v>lun</v>
      </c>
      <c r="S81" s="28">
        <v>0.58333333333333304</v>
      </c>
      <c r="T81" s="31"/>
      <c r="U81" s="31"/>
      <c r="V81" s="31"/>
      <c r="W81" s="40" t="str">
        <f t="shared" si="14"/>
        <v>❌ SIN COMPLETAR</v>
      </c>
      <c r="Y81" s="29">
        <v>45999</v>
      </c>
      <c r="Z81" s="30" t="str">
        <f t="shared" si="38"/>
        <v>lun</v>
      </c>
      <c r="AA81" s="28">
        <v>0.58333333333333304</v>
      </c>
      <c r="AB81" s="41"/>
      <c r="AC81" s="41"/>
      <c r="AD81" s="41"/>
      <c r="AE81" s="32" t="str">
        <f t="shared" si="5"/>
        <v>❌ SIN COMPLETAR</v>
      </c>
    </row>
    <row r="82" spans="1:31" x14ac:dyDescent="0.3">
      <c r="A82" s="29">
        <v>45999</v>
      </c>
      <c r="B82" s="30" t="str">
        <f t="shared" si="35"/>
        <v>lun</v>
      </c>
      <c r="C82" s="28">
        <v>0.625</v>
      </c>
      <c r="D82" s="31" t="s">
        <v>37</v>
      </c>
      <c r="E82" s="31" t="s">
        <v>39</v>
      </c>
      <c r="F82" s="31"/>
      <c r="G82" s="40" t="str">
        <f>IF(COUNTIF(D82:F82,"?*")=$N$5,"✅ CUBIERTO",
IF(COUNTIF(D82:F82,"?*")&gt;$N$5,"⚠ EXCESO",IF(COUNTIF(D82:F82,"?*")&gt;0,"⚠ FALTANTE",
"❌ SIN COMPLETAR")))</f>
        <v>✅ CUBIERTO</v>
      </c>
      <c r="H82" s="17"/>
      <c r="I82" s="29">
        <v>45999</v>
      </c>
      <c r="J82" s="30" t="str">
        <f t="shared" si="36"/>
        <v>lun</v>
      </c>
      <c r="K82" s="28">
        <v>0.625</v>
      </c>
      <c r="L82" s="41"/>
      <c r="M82" s="41"/>
      <c r="N82" s="41"/>
      <c r="O82" s="32" t="str">
        <f t="shared" si="4"/>
        <v>❌ SIN COMPLETAR</v>
      </c>
      <c r="P82" s="17"/>
      <c r="Q82" s="29">
        <v>45999</v>
      </c>
      <c r="R82" s="30" t="str">
        <f t="shared" si="37"/>
        <v>lun</v>
      </c>
      <c r="S82" s="28">
        <v>0.625</v>
      </c>
      <c r="T82" s="31"/>
      <c r="U82" s="31"/>
      <c r="V82" s="31"/>
      <c r="W82" s="40" t="str">
        <f t="shared" si="14"/>
        <v>❌ SIN COMPLETAR</v>
      </c>
      <c r="Y82" s="29">
        <v>45999</v>
      </c>
      <c r="Z82" s="30" t="str">
        <f t="shared" si="38"/>
        <v>lun</v>
      </c>
      <c r="AA82" s="28">
        <v>0.625</v>
      </c>
      <c r="AB82" s="41"/>
      <c r="AC82" s="41"/>
      <c r="AD82" s="41"/>
      <c r="AE82" s="32" t="str">
        <f t="shared" si="5"/>
        <v>❌ SIN COMPLETAR</v>
      </c>
    </row>
    <row r="83" spans="1:31" x14ac:dyDescent="0.3">
      <c r="A83" s="29">
        <v>45999</v>
      </c>
      <c r="B83" s="30" t="str">
        <f t="shared" si="35"/>
        <v>lun</v>
      </c>
      <c r="C83" s="28">
        <v>0.66666666666666696</v>
      </c>
      <c r="D83" s="31" t="s">
        <v>37</v>
      </c>
      <c r="E83" s="31" t="s">
        <v>39</v>
      </c>
      <c r="F83" s="31"/>
      <c r="G83" s="40" t="str">
        <f>IF(COUNTIF(D83:F83,"?*")=$N$5,"✅ CUBIERTO",
IF(COUNTIF(D83:F83,"?*")&gt;$N$5,"⚠ EXCESO",IF(COUNTIF(D83:F83,"?*")&gt;0,"⚠ FALTANTE",
"❌ SIN COMPLETAR")))</f>
        <v>✅ CUBIERTO</v>
      </c>
      <c r="H83" s="17"/>
      <c r="I83" s="29">
        <v>45999</v>
      </c>
      <c r="J83" s="30" t="str">
        <f t="shared" si="36"/>
        <v>lun</v>
      </c>
      <c r="K83" s="28">
        <v>0.66666666666666696</v>
      </c>
      <c r="L83" s="41"/>
      <c r="M83" s="41"/>
      <c r="N83" s="41"/>
      <c r="O83" s="32" t="str">
        <f t="shared" si="4"/>
        <v>❌ SIN COMPLETAR</v>
      </c>
      <c r="P83" s="17"/>
      <c r="Q83" s="29">
        <v>45999</v>
      </c>
      <c r="R83" s="30" t="str">
        <f t="shared" si="37"/>
        <v>lun</v>
      </c>
      <c r="S83" s="28">
        <v>0.66666666666666696</v>
      </c>
      <c r="T83" s="31"/>
      <c r="U83" s="31"/>
      <c r="V83" s="31"/>
      <c r="W83" s="40" t="str">
        <f t="shared" si="14"/>
        <v>❌ SIN COMPLETAR</v>
      </c>
      <c r="Y83" s="29">
        <v>45999</v>
      </c>
      <c r="Z83" s="30" t="str">
        <f t="shared" si="38"/>
        <v>lun</v>
      </c>
      <c r="AA83" s="28">
        <v>0.66666666666666696</v>
      </c>
      <c r="AB83" s="41"/>
      <c r="AC83" s="41"/>
      <c r="AD83" s="41"/>
      <c r="AE83" s="32" t="str">
        <f t="shared" si="5"/>
        <v>❌ SIN COMPLETAR</v>
      </c>
    </row>
    <row r="84" spans="1:31" x14ac:dyDescent="0.3">
      <c r="A84" s="29">
        <v>45999</v>
      </c>
      <c r="B84" s="30" t="str">
        <f t="shared" si="35"/>
        <v>lun</v>
      </c>
      <c r="C84" s="28">
        <v>0.70833333333333304</v>
      </c>
      <c r="D84" s="31" t="s">
        <v>37</v>
      </c>
      <c r="E84" s="31" t="s">
        <v>39</v>
      </c>
      <c r="F84" s="31"/>
      <c r="G84" s="40" t="str">
        <f>IF(COUNTIF(D84:F84,"?*")=$N$5,"✅ CUBIERTO",
IF(COUNTIF(D84:F84,"?*")&gt;$N$5,"⚠ EXCESO",IF(COUNTIF(D84:F84,"?*")&gt;0,"⚠ FALTANTE",
"❌ SIN COMPLETAR")))</f>
        <v>✅ CUBIERTO</v>
      </c>
      <c r="H84" s="17"/>
      <c r="I84" s="29">
        <v>45999</v>
      </c>
      <c r="J84" s="30" t="str">
        <f t="shared" si="36"/>
        <v>lun</v>
      </c>
      <c r="K84" s="28">
        <v>0.70833333333333304</v>
      </c>
      <c r="L84" s="41"/>
      <c r="M84" s="41"/>
      <c r="N84" s="41"/>
      <c r="O84" s="32" t="str">
        <f t="shared" si="4"/>
        <v>❌ SIN COMPLETAR</v>
      </c>
      <c r="P84" s="17"/>
      <c r="Q84" s="29">
        <v>45999</v>
      </c>
      <c r="R84" s="30" t="str">
        <f t="shared" si="37"/>
        <v>lun</v>
      </c>
      <c r="S84" s="28">
        <v>0.70833333333333304</v>
      </c>
      <c r="T84" s="31"/>
      <c r="U84" s="31"/>
      <c r="V84" s="31"/>
      <c r="W84" s="40" t="str">
        <f t="shared" si="14"/>
        <v>❌ SIN COMPLETAR</v>
      </c>
      <c r="Y84" s="29">
        <v>45999</v>
      </c>
      <c r="Z84" s="30" t="str">
        <f t="shared" si="38"/>
        <v>lun</v>
      </c>
      <c r="AA84" s="28">
        <v>0.70833333333333304</v>
      </c>
      <c r="AB84" s="41"/>
      <c r="AC84" s="41"/>
      <c r="AD84" s="41"/>
      <c r="AE84" s="32" t="str">
        <f t="shared" si="5"/>
        <v>❌ SIN COMPLETAR</v>
      </c>
    </row>
    <row r="85" spans="1:31" x14ac:dyDescent="0.3">
      <c r="A85" s="29">
        <v>45999</v>
      </c>
      <c r="B85" s="30" t="str">
        <f t="shared" si="35"/>
        <v>lun</v>
      </c>
      <c r="C85" s="28">
        <v>0.75</v>
      </c>
      <c r="D85" s="31" t="s">
        <v>37</v>
      </c>
      <c r="E85" s="31" t="s">
        <v>39</v>
      </c>
      <c r="F85" s="31"/>
      <c r="G85" s="40" t="str">
        <f>IF(COUNTIF(D85:F85,"?*")=$N$5,"✅ CUBIERTO",
IF(COUNTIF(D85:F85,"?*")&gt;$N$5,"⚠ EXCESO",IF(COUNTIF(D85:F85,"?*")&gt;0,"⚠ FALTANTE",
"❌ SIN COMPLETAR")))</f>
        <v>✅ CUBIERTO</v>
      </c>
      <c r="H85" s="17"/>
      <c r="I85" s="29">
        <v>45999</v>
      </c>
      <c r="J85" s="30" t="str">
        <f t="shared" si="36"/>
        <v>lun</v>
      </c>
      <c r="K85" s="28">
        <v>0.75</v>
      </c>
      <c r="L85" s="41"/>
      <c r="M85" s="41"/>
      <c r="N85" s="41"/>
      <c r="O85" s="32" t="str">
        <f t="shared" si="4"/>
        <v>❌ SIN COMPLETAR</v>
      </c>
      <c r="P85" s="17"/>
      <c r="Q85" s="29">
        <v>45999</v>
      </c>
      <c r="R85" s="30" t="str">
        <f t="shared" si="37"/>
        <v>lun</v>
      </c>
      <c r="S85" s="28">
        <v>0.75</v>
      </c>
      <c r="T85" s="31"/>
      <c r="U85" s="31"/>
      <c r="V85" s="31"/>
      <c r="W85" s="40" t="s">
        <v>16</v>
      </c>
      <c r="Y85" s="29">
        <v>45999</v>
      </c>
      <c r="Z85" s="30" t="str">
        <f t="shared" si="38"/>
        <v>lun</v>
      </c>
      <c r="AA85" s="28">
        <v>0.75</v>
      </c>
      <c r="AB85" s="41"/>
      <c r="AC85" s="41"/>
      <c r="AD85" s="41"/>
      <c r="AE85" s="32" t="str">
        <f t="shared" si="5"/>
        <v>❌ SIN COMPLETAR</v>
      </c>
    </row>
    <row r="86" spans="1:31" x14ac:dyDescent="0.3">
      <c r="A86" s="29">
        <v>46000</v>
      </c>
      <c r="B86" s="30" t="str">
        <f>TEXT(A86,"ddd")</f>
        <v>mar</v>
      </c>
      <c r="C86" s="28">
        <v>0.45833333333333331</v>
      </c>
      <c r="D86" s="31" t="s">
        <v>34</v>
      </c>
      <c r="E86" s="31" t="s">
        <v>35</v>
      </c>
      <c r="F86" s="31"/>
      <c r="G86" s="40" t="str">
        <f>IF(COUNTIF(D86:F86,"?*")=$N$5,"✅ CUBIERTO",
IF(COUNTIF(D86:F86,"?*")&gt;$N$5,"⚠ EXCESO",IF(COUNTIF(D86:F86,"?*")&gt;0,"⚠ FALTANTE",
"❌ SIN COMPLETAR")))</f>
        <v>✅ CUBIERTO</v>
      </c>
      <c r="H86" s="17"/>
      <c r="I86" s="29">
        <v>46000</v>
      </c>
      <c r="J86" s="30" t="str">
        <f>TEXT(I86,"ddd")</f>
        <v>mar</v>
      </c>
      <c r="K86" s="28">
        <v>0.45833333333333331</v>
      </c>
      <c r="L86" s="41"/>
      <c r="M86" s="41"/>
      <c r="N86" s="41"/>
      <c r="O86" s="32" t="str">
        <f t="shared" ref="O86:O149" si="39">IF(COUNTIF(L86:N86,"?*")=$N$6,"✅ CUBIERTO",
IF(COUNTIF(L86:N86,"?*")&gt;$N$6,"⚠ EXCESO",IF(COUNTIF(L86:N86,"?*")&gt;0,"⚠ FALTANTE",
"❌ SIN COMPLETAR")))</f>
        <v>❌ SIN COMPLETAR</v>
      </c>
      <c r="P86" s="17"/>
      <c r="Q86" s="29">
        <v>46000</v>
      </c>
      <c r="R86" s="30" t="str">
        <f>TEXT(Q86,"ddd")</f>
        <v>mar</v>
      </c>
      <c r="S86" s="28">
        <v>0.45833333333333331</v>
      </c>
      <c r="T86" s="31"/>
      <c r="U86" s="31"/>
      <c r="V86" s="31"/>
      <c r="W86" s="40" t="s">
        <v>16</v>
      </c>
      <c r="Y86" s="29">
        <v>46000</v>
      </c>
      <c r="Z86" s="30" t="str">
        <f>TEXT(Y86,"ddd")</f>
        <v>mar</v>
      </c>
      <c r="AA86" s="28">
        <v>0.45833333333333331</v>
      </c>
      <c r="AB86" s="41"/>
      <c r="AC86" s="41"/>
      <c r="AD86" s="41"/>
      <c r="AE86" s="32" t="str">
        <f t="shared" ref="AE86:AE149" si="40">IF(COUNTIF(AB86:AD86,"?*")=$N$8,"✅ CUBIERTO",
IF(COUNTIF(AB86:AD86,"?*")&gt;$N$8,"⚠ EXCESO",IF(COUNTIF(AB86:AD86,"?*")&gt;0,"⚠ FALTANTE",
"❌ SIN COMPLETAR")))</f>
        <v>❌ SIN COMPLETAR</v>
      </c>
    </row>
    <row r="87" spans="1:31" x14ac:dyDescent="0.3">
      <c r="A87" s="29">
        <v>46000</v>
      </c>
      <c r="B87" s="30" t="str">
        <f t="shared" ref="B87:B93" si="41">TEXT(A87,"ddd")</f>
        <v>mar</v>
      </c>
      <c r="C87" s="28">
        <v>0.5</v>
      </c>
      <c r="D87" s="31" t="s">
        <v>34</v>
      </c>
      <c r="E87" s="31" t="s">
        <v>35</v>
      </c>
      <c r="F87" s="31"/>
      <c r="G87" s="40" t="str">
        <f>IF(COUNTIF(D87:F87,"?*")=$N$5,"✅ CUBIERTO",
IF(COUNTIF(D87:F87,"?*")&gt;$N$5,"⚠ EXCESO",IF(COUNTIF(D87:F87,"?*")&gt;0,"⚠ FALTANTE",
"❌ SIN COMPLETAR")))</f>
        <v>✅ CUBIERTO</v>
      </c>
      <c r="H87" s="17"/>
      <c r="I87" s="29">
        <v>46000</v>
      </c>
      <c r="J87" s="30" t="str">
        <f t="shared" ref="J87:J93" si="42">TEXT(I87,"ddd")</f>
        <v>mar</v>
      </c>
      <c r="K87" s="28">
        <v>0.5</v>
      </c>
      <c r="L87" s="41"/>
      <c r="M87" s="41"/>
      <c r="N87" s="41"/>
      <c r="O87" s="32" t="str">
        <f t="shared" si="39"/>
        <v>❌ SIN COMPLETAR</v>
      </c>
      <c r="P87" s="17"/>
      <c r="Q87" s="29">
        <v>46000</v>
      </c>
      <c r="R87" s="30" t="str">
        <f t="shared" ref="R87:R93" si="43">TEXT(Q87,"ddd")</f>
        <v>mar</v>
      </c>
      <c r="S87" s="28">
        <v>0.5</v>
      </c>
      <c r="T87" s="31"/>
      <c r="U87" s="31"/>
      <c r="V87" s="31"/>
      <c r="W87" s="40" t="str">
        <f t="shared" si="14"/>
        <v>❌ SIN COMPLETAR</v>
      </c>
      <c r="Y87" s="29">
        <v>46000</v>
      </c>
      <c r="Z87" s="30" t="str">
        <f t="shared" ref="Z87:Z93" si="44">TEXT(Y87,"ddd")</f>
        <v>mar</v>
      </c>
      <c r="AA87" s="28">
        <v>0.5</v>
      </c>
      <c r="AB87" s="41"/>
      <c r="AC87" s="41"/>
      <c r="AD87" s="41"/>
      <c r="AE87" s="32" t="str">
        <f t="shared" si="40"/>
        <v>❌ SIN COMPLETAR</v>
      </c>
    </row>
    <row r="88" spans="1:31" x14ac:dyDescent="0.3">
      <c r="A88" s="29">
        <v>46000</v>
      </c>
      <c r="B88" s="30" t="str">
        <f t="shared" si="41"/>
        <v>mar</v>
      </c>
      <c r="C88" s="28">
        <v>0.54166666666666696</v>
      </c>
      <c r="D88" s="31" t="s">
        <v>34</v>
      </c>
      <c r="E88" s="31" t="s">
        <v>35</v>
      </c>
      <c r="F88" s="31"/>
      <c r="G88" s="40" t="str">
        <f>IF(COUNTIF(D88:F88,"?*")=$N$5,"✅ CUBIERTO",
IF(COUNTIF(D88:F88,"?*")&gt;$N$5,"⚠ EXCESO",IF(COUNTIF(D88:F88,"?*")&gt;0,"⚠ FALTANTE",
"❌ SIN COMPLETAR")))</f>
        <v>✅ CUBIERTO</v>
      </c>
      <c r="H88" s="17"/>
      <c r="I88" s="29">
        <v>46000</v>
      </c>
      <c r="J88" s="30" t="str">
        <f t="shared" si="42"/>
        <v>mar</v>
      </c>
      <c r="K88" s="28">
        <v>0.54166666666666696</v>
      </c>
      <c r="L88" s="41"/>
      <c r="M88" s="41"/>
      <c r="N88" s="41"/>
      <c r="O88" s="32" t="str">
        <f t="shared" si="39"/>
        <v>❌ SIN COMPLETAR</v>
      </c>
      <c r="P88" s="17"/>
      <c r="Q88" s="29">
        <v>46000</v>
      </c>
      <c r="R88" s="30" t="str">
        <f t="shared" si="43"/>
        <v>mar</v>
      </c>
      <c r="S88" s="28">
        <v>0.54166666666666696</v>
      </c>
      <c r="T88" s="31"/>
      <c r="U88" s="31"/>
      <c r="V88" s="31"/>
      <c r="W88" s="40" t="str">
        <f t="shared" si="14"/>
        <v>❌ SIN COMPLETAR</v>
      </c>
      <c r="Y88" s="29">
        <v>46000</v>
      </c>
      <c r="Z88" s="30" t="str">
        <f t="shared" si="44"/>
        <v>mar</v>
      </c>
      <c r="AA88" s="28">
        <v>0.54166666666666696</v>
      </c>
      <c r="AB88" s="41"/>
      <c r="AC88" s="41"/>
      <c r="AD88" s="41"/>
      <c r="AE88" s="32" t="str">
        <f t="shared" si="40"/>
        <v>❌ SIN COMPLETAR</v>
      </c>
    </row>
    <row r="89" spans="1:31" x14ac:dyDescent="0.3">
      <c r="A89" s="29">
        <v>46000</v>
      </c>
      <c r="B89" s="30" t="str">
        <f t="shared" si="41"/>
        <v>mar</v>
      </c>
      <c r="C89" s="28">
        <v>0.58333333333333304</v>
      </c>
      <c r="D89" s="31" t="s">
        <v>34</v>
      </c>
      <c r="E89" s="31" t="s">
        <v>35</v>
      </c>
      <c r="F89" s="31"/>
      <c r="G89" s="40" t="str">
        <f>IF(COUNTIF(D89:F89,"?*")=$N$5,"✅ CUBIERTO",
IF(COUNTIF(D89:F89,"?*")&gt;$N$5,"⚠ EXCESO",IF(COUNTIF(D89:F89,"?*")&gt;0,"⚠ FALTANTE",
"❌ SIN COMPLETAR")))</f>
        <v>✅ CUBIERTO</v>
      </c>
      <c r="H89" s="17"/>
      <c r="I89" s="29">
        <v>46000</v>
      </c>
      <c r="J89" s="30" t="str">
        <f t="shared" si="42"/>
        <v>mar</v>
      </c>
      <c r="K89" s="28">
        <v>0.58333333333333304</v>
      </c>
      <c r="L89" s="41"/>
      <c r="M89" s="41"/>
      <c r="N89" s="41"/>
      <c r="O89" s="32" t="str">
        <f t="shared" si="39"/>
        <v>❌ SIN COMPLETAR</v>
      </c>
      <c r="P89" s="17"/>
      <c r="Q89" s="29">
        <v>46000</v>
      </c>
      <c r="R89" s="30" t="str">
        <f t="shared" si="43"/>
        <v>mar</v>
      </c>
      <c r="S89" s="28">
        <v>0.58333333333333304</v>
      </c>
      <c r="T89" s="31"/>
      <c r="U89" s="31"/>
      <c r="V89" s="31"/>
      <c r="W89" s="40" t="str">
        <f t="shared" si="14"/>
        <v>❌ SIN COMPLETAR</v>
      </c>
      <c r="Y89" s="29">
        <v>46000</v>
      </c>
      <c r="Z89" s="30" t="str">
        <f t="shared" si="44"/>
        <v>mar</v>
      </c>
      <c r="AA89" s="28">
        <v>0.58333333333333304</v>
      </c>
      <c r="AB89" s="41"/>
      <c r="AC89" s="41"/>
      <c r="AD89" s="41"/>
      <c r="AE89" s="32" t="str">
        <f t="shared" si="40"/>
        <v>❌ SIN COMPLETAR</v>
      </c>
    </row>
    <row r="90" spans="1:31" x14ac:dyDescent="0.3">
      <c r="A90" s="29">
        <v>46000</v>
      </c>
      <c r="B90" s="30" t="str">
        <f t="shared" si="41"/>
        <v>mar</v>
      </c>
      <c r="C90" s="28">
        <v>0.625</v>
      </c>
      <c r="D90" s="31" t="s">
        <v>37</v>
      </c>
      <c r="E90" s="31" t="s">
        <v>39</v>
      </c>
      <c r="F90" s="31"/>
      <c r="G90" s="40" t="str">
        <f>IF(COUNTIF(D90:F90,"?*")=$N$5,"✅ CUBIERTO",
IF(COUNTIF(D90:F90,"?*")&gt;$N$5,"⚠ EXCESO",IF(COUNTIF(D90:F90,"?*")&gt;0,"⚠ FALTANTE",
"❌ SIN COMPLETAR")))</f>
        <v>✅ CUBIERTO</v>
      </c>
      <c r="H90" s="17"/>
      <c r="I90" s="29">
        <v>46000</v>
      </c>
      <c r="J90" s="30" t="str">
        <f t="shared" si="42"/>
        <v>mar</v>
      </c>
      <c r="K90" s="28">
        <v>0.625</v>
      </c>
      <c r="L90" s="41"/>
      <c r="M90" s="41"/>
      <c r="N90" s="41"/>
      <c r="O90" s="32" t="str">
        <f t="shared" si="39"/>
        <v>❌ SIN COMPLETAR</v>
      </c>
      <c r="P90" s="17"/>
      <c r="Q90" s="29">
        <v>46000</v>
      </c>
      <c r="R90" s="30" t="str">
        <f t="shared" si="43"/>
        <v>mar</v>
      </c>
      <c r="S90" s="28">
        <v>0.625</v>
      </c>
      <c r="T90" s="31"/>
      <c r="U90" s="31"/>
      <c r="V90" s="31"/>
      <c r="W90" s="40" t="str">
        <f t="shared" si="14"/>
        <v>❌ SIN COMPLETAR</v>
      </c>
      <c r="Y90" s="29">
        <v>46000</v>
      </c>
      <c r="Z90" s="30" t="str">
        <f t="shared" si="44"/>
        <v>mar</v>
      </c>
      <c r="AA90" s="28">
        <v>0.625</v>
      </c>
      <c r="AB90" s="41"/>
      <c r="AC90" s="41"/>
      <c r="AD90" s="41"/>
      <c r="AE90" s="32" t="str">
        <f t="shared" si="40"/>
        <v>❌ SIN COMPLETAR</v>
      </c>
    </row>
    <row r="91" spans="1:31" x14ac:dyDescent="0.3">
      <c r="A91" s="29">
        <v>46000</v>
      </c>
      <c r="B91" s="30" t="str">
        <f t="shared" si="41"/>
        <v>mar</v>
      </c>
      <c r="C91" s="28">
        <v>0.66666666666666696</v>
      </c>
      <c r="D91" s="31" t="s">
        <v>37</v>
      </c>
      <c r="E91" s="31" t="s">
        <v>39</v>
      </c>
      <c r="F91" s="31"/>
      <c r="G91" s="40" t="str">
        <f>IF(COUNTIF(D91:F91,"?*")=$N$5,"✅ CUBIERTO",
IF(COUNTIF(D91:F91,"?*")&gt;$N$5,"⚠ EXCESO",IF(COUNTIF(D91:F91,"?*")&gt;0,"⚠ FALTANTE",
"❌ SIN COMPLETAR")))</f>
        <v>✅ CUBIERTO</v>
      </c>
      <c r="H91" s="17"/>
      <c r="I91" s="29">
        <v>46000</v>
      </c>
      <c r="J91" s="30" t="str">
        <f t="shared" si="42"/>
        <v>mar</v>
      </c>
      <c r="K91" s="28">
        <v>0.66666666666666696</v>
      </c>
      <c r="L91" s="41"/>
      <c r="M91" s="41"/>
      <c r="N91" s="41"/>
      <c r="O91" s="32" t="str">
        <f t="shared" si="39"/>
        <v>❌ SIN COMPLETAR</v>
      </c>
      <c r="P91" s="17"/>
      <c r="Q91" s="29">
        <v>46000</v>
      </c>
      <c r="R91" s="30" t="str">
        <f t="shared" si="43"/>
        <v>mar</v>
      </c>
      <c r="S91" s="28">
        <v>0.66666666666666696</v>
      </c>
      <c r="T91" s="31"/>
      <c r="U91" s="31"/>
      <c r="V91" s="31"/>
      <c r="W91" s="40" t="str">
        <f t="shared" si="14"/>
        <v>❌ SIN COMPLETAR</v>
      </c>
      <c r="Y91" s="29">
        <v>46000</v>
      </c>
      <c r="Z91" s="30" t="str">
        <f t="shared" si="44"/>
        <v>mar</v>
      </c>
      <c r="AA91" s="28">
        <v>0.66666666666666696</v>
      </c>
      <c r="AB91" s="41"/>
      <c r="AC91" s="41"/>
      <c r="AD91" s="41"/>
      <c r="AE91" s="32" t="str">
        <f t="shared" si="40"/>
        <v>❌ SIN COMPLETAR</v>
      </c>
    </row>
    <row r="92" spans="1:31" x14ac:dyDescent="0.3">
      <c r="A92" s="29">
        <v>46000</v>
      </c>
      <c r="B92" s="30" t="str">
        <f t="shared" si="41"/>
        <v>mar</v>
      </c>
      <c r="C92" s="28">
        <v>0.70833333333333304</v>
      </c>
      <c r="D92" s="31" t="s">
        <v>37</v>
      </c>
      <c r="E92" s="31" t="s">
        <v>39</v>
      </c>
      <c r="F92" s="31"/>
      <c r="G92" s="40" t="str">
        <f>IF(COUNTIF(D92:F92,"?*")=$N$5,"✅ CUBIERTO",
IF(COUNTIF(D92:F92,"?*")&gt;$N$5,"⚠ EXCESO",IF(COUNTIF(D92:F92,"?*")&gt;0,"⚠ FALTANTE",
"❌ SIN COMPLETAR")))</f>
        <v>✅ CUBIERTO</v>
      </c>
      <c r="H92" s="17"/>
      <c r="I92" s="29">
        <v>46000</v>
      </c>
      <c r="J92" s="30" t="str">
        <f t="shared" si="42"/>
        <v>mar</v>
      </c>
      <c r="K92" s="28">
        <v>0.70833333333333304</v>
      </c>
      <c r="L92" s="41"/>
      <c r="M92" s="41"/>
      <c r="N92" s="41"/>
      <c r="O92" s="32" t="str">
        <f t="shared" si="39"/>
        <v>❌ SIN COMPLETAR</v>
      </c>
      <c r="P92" s="17"/>
      <c r="Q92" s="29">
        <v>46000</v>
      </c>
      <c r="R92" s="30" t="str">
        <f t="shared" si="43"/>
        <v>mar</v>
      </c>
      <c r="S92" s="28">
        <v>0.70833333333333304</v>
      </c>
      <c r="T92" s="31"/>
      <c r="U92" s="31"/>
      <c r="V92" s="31"/>
      <c r="W92" s="40" t="str">
        <f t="shared" si="14"/>
        <v>❌ SIN COMPLETAR</v>
      </c>
      <c r="Y92" s="29">
        <v>46000</v>
      </c>
      <c r="Z92" s="30" t="str">
        <f t="shared" si="44"/>
        <v>mar</v>
      </c>
      <c r="AA92" s="28">
        <v>0.70833333333333304</v>
      </c>
      <c r="AB92" s="41"/>
      <c r="AC92" s="41"/>
      <c r="AD92" s="41"/>
      <c r="AE92" s="32" t="str">
        <f t="shared" si="40"/>
        <v>❌ SIN COMPLETAR</v>
      </c>
    </row>
    <row r="93" spans="1:31" x14ac:dyDescent="0.3">
      <c r="A93" s="29">
        <v>46000</v>
      </c>
      <c r="B93" s="30" t="str">
        <f t="shared" si="41"/>
        <v>mar</v>
      </c>
      <c r="C93" s="28">
        <v>0.75</v>
      </c>
      <c r="D93" s="31" t="s">
        <v>37</v>
      </c>
      <c r="E93" s="31" t="s">
        <v>39</v>
      </c>
      <c r="F93" s="31"/>
      <c r="G93" s="40" t="str">
        <f>IF(COUNTIF(D93:F93,"?*")=$N$5,"✅ CUBIERTO",
IF(COUNTIF(D93:F93,"?*")&gt;$N$5,"⚠ EXCESO",IF(COUNTIF(D93:F93,"?*")&gt;0,"⚠ FALTANTE",
"❌ SIN COMPLETAR")))</f>
        <v>✅ CUBIERTO</v>
      </c>
      <c r="H93" s="17"/>
      <c r="I93" s="29">
        <v>46000</v>
      </c>
      <c r="J93" s="30" t="str">
        <f t="shared" si="42"/>
        <v>mar</v>
      </c>
      <c r="K93" s="28">
        <v>0.75</v>
      </c>
      <c r="L93" s="41"/>
      <c r="M93" s="41"/>
      <c r="N93" s="41"/>
      <c r="O93" s="32" t="str">
        <f t="shared" si="39"/>
        <v>❌ SIN COMPLETAR</v>
      </c>
      <c r="P93" s="17"/>
      <c r="Q93" s="29">
        <v>46000</v>
      </c>
      <c r="R93" s="30" t="str">
        <f t="shared" si="43"/>
        <v>mar</v>
      </c>
      <c r="S93" s="28">
        <v>0.75</v>
      </c>
      <c r="T93" s="31"/>
      <c r="U93" s="31"/>
      <c r="V93" s="31"/>
      <c r="W93" s="40" t="s">
        <v>16</v>
      </c>
      <c r="Y93" s="29">
        <v>46000</v>
      </c>
      <c r="Z93" s="30" t="str">
        <f t="shared" si="44"/>
        <v>mar</v>
      </c>
      <c r="AA93" s="28">
        <v>0.75</v>
      </c>
      <c r="AB93" s="41"/>
      <c r="AC93" s="41"/>
      <c r="AD93" s="41"/>
      <c r="AE93" s="32" t="str">
        <f t="shared" si="40"/>
        <v>❌ SIN COMPLETAR</v>
      </c>
    </row>
    <row r="94" spans="1:31" x14ac:dyDescent="0.3">
      <c r="A94" s="29">
        <v>46001</v>
      </c>
      <c r="B94" s="30" t="str">
        <f>TEXT(A94,"ddd")</f>
        <v>mié</v>
      </c>
      <c r="C94" s="28">
        <v>0.45833333333333331</v>
      </c>
      <c r="D94" s="31"/>
      <c r="E94" s="31"/>
      <c r="F94" s="31"/>
      <c r="G94" s="40" t="str">
        <f>IF(COUNTIF(D94:F94,"?*")=$N$5,"✅ CUBIERTO",
IF(COUNTIF(D94:F94,"?*")&gt;$N$5,"⚠ EXCESO",IF(COUNTIF(D94:F94,"?*")&gt;0,"⚠ FALTANTE",
"❌ SIN COMPLETAR")))</f>
        <v>❌ SIN COMPLETAR</v>
      </c>
      <c r="H94" s="17"/>
      <c r="I94" s="29">
        <v>46001</v>
      </c>
      <c r="J94" s="30" t="str">
        <f>TEXT(I94,"ddd")</f>
        <v>mié</v>
      </c>
      <c r="K94" s="28">
        <v>0.45833333333333331</v>
      </c>
      <c r="L94" s="31"/>
      <c r="M94" s="31"/>
      <c r="N94" s="31"/>
      <c r="O94" s="32" t="str">
        <f t="shared" si="39"/>
        <v>❌ SIN COMPLETAR</v>
      </c>
      <c r="P94" s="17"/>
      <c r="Q94" s="29">
        <v>46001</v>
      </c>
      <c r="R94" s="30" t="str">
        <f>TEXT(Q94,"ddd")</f>
        <v>mié</v>
      </c>
      <c r="S94" s="28">
        <v>0.45833333333333331</v>
      </c>
      <c r="T94" s="31"/>
      <c r="U94" s="31"/>
      <c r="V94" s="31"/>
      <c r="W94" s="40" t="s">
        <v>16</v>
      </c>
      <c r="Y94" s="29">
        <v>46001</v>
      </c>
      <c r="Z94" s="30" t="str">
        <f>TEXT(Y94,"ddd")</f>
        <v>mié</v>
      </c>
      <c r="AA94" s="28">
        <v>0.45833333333333331</v>
      </c>
      <c r="AB94" s="31"/>
      <c r="AC94" s="31"/>
      <c r="AD94" s="31"/>
      <c r="AE94" s="32" t="str">
        <f t="shared" si="40"/>
        <v>❌ SIN COMPLETAR</v>
      </c>
    </row>
    <row r="95" spans="1:31" x14ac:dyDescent="0.3">
      <c r="A95" s="29">
        <v>46001</v>
      </c>
      <c r="B95" s="30" t="str">
        <f t="shared" ref="B95:B101" si="45">TEXT(A95,"ddd")</f>
        <v>mié</v>
      </c>
      <c r="C95" s="28">
        <v>0.5</v>
      </c>
      <c r="D95" s="31"/>
      <c r="E95" s="31"/>
      <c r="F95" s="31"/>
      <c r="G95" s="40" t="str">
        <f>IF(COUNTIF(D95:F95,"?*")=$N$5,"✅ CUBIERTO",
IF(COUNTIF(D95:F95,"?*")&gt;$N$5,"⚠ EXCESO",IF(COUNTIF(D95:F95,"?*")&gt;0,"⚠ FALTANTE",
"❌ SIN COMPLETAR")))</f>
        <v>❌ SIN COMPLETAR</v>
      </c>
      <c r="H95" s="17"/>
      <c r="I95" s="29">
        <v>46001</v>
      </c>
      <c r="J95" s="30" t="str">
        <f t="shared" ref="J95:J101" si="46">TEXT(I95,"ddd")</f>
        <v>mié</v>
      </c>
      <c r="K95" s="28">
        <v>0.5</v>
      </c>
      <c r="L95" s="31"/>
      <c r="M95" s="31"/>
      <c r="N95" s="31"/>
      <c r="O95" s="32" t="str">
        <f t="shared" si="39"/>
        <v>❌ SIN COMPLETAR</v>
      </c>
      <c r="P95" s="17"/>
      <c r="Q95" s="29">
        <v>46001</v>
      </c>
      <c r="R95" s="30" t="str">
        <f t="shared" ref="R95:R101" si="47">TEXT(Q95,"ddd")</f>
        <v>mié</v>
      </c>
      <c r="S95" s="28">
        <v>0.5</v>
      </c>
      <c r="T95" s="31"/>
      <c r="U95" s="31"/>
      <c r="V95" s="31"/>
      <c r="W95" s="40" t="str">
        <f t="shared" si="14"/>
        <v>❌ SIN COMPLETAR</v>
      </c>
      <c r="Y95" s="29">
        <v>46001</v>
      </c>
      <c r="Z95" s="30" t="str">
        <f t="shared" ref="Z95:Z101" si="48">TEXT(Y95,"ddd")</f>
        <v>mié</v>
      </c>
      <c r="AA95" s="28">
        <v>0.5</v>
      </c>
      <c r="AB95" s="31"/>
      <c r="AC95" s="31"/>
      <c r="AD95" s="31"/>
      <c r="AE95" s="32" t="str">
        <f t="shared" si="40"/>
        <v>❌ SIN COMPLETAR</v>
      </c>
    </row>
    <row r="96" spans="1:31" x14ac:dyDescent="0.3">
      <c r="A96" s="29">
        <v>46001</v>
      </c>
      <c r="B96" s="30" t="str">
        <f t="shared" si="45"/>
        <v>mié</v>
      </c>
      <c r="C96" s="28">
        <v>0.54166666666666696</v>
      </c>
      <c r="D96" s="31"/>
      <c r="E96" s="31"/>
      <c r="F96" s="31"/>
      <c r="G96" s="40" t="str">
        <f>IF(COUNTIF(D96:F96,"?*")=$N$5,"✅ CUBIERTO",
IF(COUNTIF(D96:F96,"?*")&gt;$N$5,"⚠ EXCESO",IF(COUNTIF(D96:F96,"?*")&gt;0,"⚠ FALTANTE",
"❌ SIN COMPLETAR")))</f>
        <v>❌ SIN COMPLETAR</v>
      </c>
      <c r="H96" s="17"/>
      <c r="I96" s="29">
        <v>46001</v>
      </c>
      <c r="J96" s="30" t="str">
        <f t="shared" si="46"/>
        <v>mié</v>
      </c>
      <c r="K96" s="28">
        <v>0.54166666666666696</v>
      </c>
      <c r="L96" s="31"/>
      <c r="M96" s="31"/>
      <c r="N96" s="31"/>
      <c r="O96" s="32" t="str">
        <f t="shared" si="39"/>
        <v>❌ SIN COMPLETAR</v>
      </c>
      <c r="P96" s="17"/>
      <c r="Q96" s="29">
        <v>46001</v>
      </c>
      <c r="R96" s="30" t="str">
        <f t="shared" si="47"/>
        <v>mié</v>
      </c>
      <c r="S96" s="28">
        <v>0.54166666666666696</v>
      </c>
      <c r="T96" s="31"/>
      <c r="U96" s="31"/>
      <c r="V96" s="31"/>
      <c r="W96" s="40" t="str">
        <f t="shared" si="14"/>
        <v>❌ SIN COMPLETAR</v>
      </c>
      <c r="Y96" s="29">
        <v>46001</v>
      </c>
      <c r="Z96" s="30" t="str">
        <f t="shared" si="48"/>
        <v>mié</v>
      </c>
      <c r="AA96" s="28">
        <v>0.54166666666666696</v>
      </c>
      <c r="AB96" s="31"/>
      <c r="AC96" s="31"/>
      <c r="AD96" s="31"/>
      <c r="AE96" s="32" t="str">
        <f t="shared" si="40"/>
        <v>❌ SIN COMPLETAR</v>
      </c>
    </row>
    <row r="97" spans="1:31" x14ac:dyDescent="0.3">
      <c r="A97" s="29">
        <v>46001</v>
      </c>
      <c r="B97" s="30" t="str">
        <f t="shared" si="45"/>
        <v>mié</v>
      </c>
      <c r="C97" s="28">
        <v>0.58333333333333304</v>
      </c>
      <c r="D97" s="31"/>
      <c r="E97" s="31"/>
      <c r="F97" s="31"/>
      <c r="G97" s="40" t="str">
        <f>IF(COUNTIF(D97:F97,"?*")=$N$5,"✅ CUBIERTO",
IF(COUNTIF(D97:F97,"?*")&gt;$N$5,"⚠ EXCESO",IF(COUNTIF(D97:F97,"?*")&gt;0,"⚠ FALTANTE",
"❌ SIN COMPLETAR")))</f>
        <v>❌ SIN COMPLETAR</v>
      </c>
      <c r="H97" s="17"/>
      <c r="I97" s="29">
        <v>46001</v>
      </c>
      <c r="J97" s="30" t="str">
        <f t="shared" si="46"/>
        <v>mié</v>
      </c>
      <c r="K97" s="28">
        <v>0.58333333333333304</v>
      </c>
      <c r="L97" s="31"/>
      <c r="M97" s="31"/>
      <c r="N97" s="31"/>
      <c r="O97" s="32" t="str">
        <f t="shared" si="39"/>
        <v>❌ SIN COMPLETAR</v>
      </c>
      <c r="P97" s="17"/>
      <c r="Q97" s="29">
        <v>46001</v>
      </c>
      <c r="R97" s="30" t="str">
        <f t="shared" si="47"/>
        <v>mié</v>
      </c>
      <c r="S97" s="28">
        <v>0.58333333333333304</v>
      </c>
      <c r="T97" s="31"/>
      <c r="U97" s="31"/>
      <c r="V97" s="31"/>
      <c r="W97" s="40" t="str">
        <f t="shared" si="14"/>
        <v>❌ SIN COMPLETAR</v>
      </c>
      <c r="Y97" s="29">
        <v>46001</v>
      </c>
      <c r="Z97" s="30" t="str">
        <f t="shared" si="48"/>
        <v>mié</v>
      </c>
      <c r="AA97" s="28">
        <v>0.58333333333333304</v>
      </c>
      <c r="AB97" s="31"/>
      <c r="AC97" s="31"/>
      <c r="AD97" s="31"/>
      <c r="AE97" s="32" t="str">
        <f t="shared" si="40"/>
        <v>❌ SIN COMPLETAR</v>
      </c>
    </row>
    <row r="98" spans="1:31" x14ac:dyDescent="0.3">
      <c r="A98" s="29">
        <v>46001</v>
      </c>
      <c r="B98" s="30" t="str">
        <f t="shared" si="45"/>
        <v>mié</v>
      </c>
      <c r="C98" s="28">
        <v>0.625</v>
      </c>
      <c r="D98" s="31"/>
      <c r="E98" s="31"/>
      <c r="F98" s="31"/>
      <c r="G98" s="40" t="str">
        <f>IF(COUNTIF(D98:F98,"?*")=$N$5,"✅ CUBIERTO",
IF(COUNTIF(D98:F98,"?*")&gt;$N$5,"⚠ EXCESO",IF(COUNTIF(D98:F98,"?*")&gt;0,"⚠ FALTANTE",
"❌ SIN COMPLETAR")))</f>
        <v>❌ SIN COMPLETAR</v>
      </c>
      <c r="H98" s="17"/>
      <c r="I98" s="29">
        <v>46001</v>
      </c>
      <c r="J98" s="30" t="str">
        <f t="shared" si="46"/>
        <v>mié</v>
      </c>
      <c r="K98" s="28">
        <v>0.625</v>
      </c>
      <c r="L98" s="31"/>
      <c r="M98" s="31"/>
      <c r="N98" s="31"/>
      <c r="O98" s="32" t="str">
        <f t="shared" si="39"/>
        <v>❌ SIN COMPLETAR</v>
      </c>
      <c r="P98" s="17"/>
      <c r="Q98" s="29">
        <v>46001</v>
      </c>
      <c r="R98" s="30" t="str">
        <f t="shared" si="47"/>
        <v>mié</v>
      </c>
      <c r="S98" s="28">
        <v>0.625</v>
      </c>
      <c r="T98" s="31"/>
      <c r="U98" s="31"/>
      <c r="V98" s="31"/>
      <c r="W98" s="40" t="str">
        <f t="shared" si="14"/>
        <v>❌ SIN COMPLETAR</v>
      </c>
      <c r="Y98" s="29">
        <v>46001</v>
      </c>
      <c r="Z98" s="30" t="str">
        <f t="shared" si="48"/>
        <v>mié</v>
      </c>
      <c r="AA98" s="28">
        <v>0.625</v>
      </c>
      <c r="AB98" s="31"/>
      <c r="AC98" s="31"/>
      <c r="AD98" s="31"/>
      <c r="AE98" s="32" t="str">
        <f t="shared" si="40"/>
        <v>❌ SIN COMPLETAR</v>
      </c>
    </row>
    <row r="99" spans="1:31" x14ac:dyDescent="0.3">
      <c r="A99" s="29">
        <v>46001</v>
      </c>
      <c r="B99" s="30" t="str">
        <f t="shared" si="45"/>
        <v>mié</v>
      </c>
      <c r="C99" s="28">
        <v>0.66666666666666696</v>
      </c>
      <c r="D99" s="31"/>
      <c r="E99" s="31"/>
      <c r="F99" s="31"/>
      <c r="G99" s="40" t="str">
        <f>IF(COUNTIF(D99:F99,"?*")=$N$5,"✅ CUBIERTO",
IF(COUNTIF(D99:F99,"?*")&gt;$N$5,"⚠ EXCESO",IF(COUNTIF(D99:F99,"?*")&gt;0,"⚠ FALTANTE",
"❌ SIN COMPLETAR")))</f>
        <v>❌ SIN COMPLETAR</v>
      </c>
      <c r="H99" s="17"/>
      <c r="I99" s="29">
        <v>46001</v>
      </c>
      <c r="J99" s="30" t="str">
        <f t="shared" si="46"/>
        <v>mié</v>
      </c>
      <c r="K99" s="28">
        <v>0.66666666666666696</v>
      </c>
      <c r="L99" s="31"/>
      <c r="M99" s="31"/>
      <c r="N99" s="31"/>
      <c r="O99" s="32" t="str">
        <f t="shared" si="39"/>
        <v>❌ SIN COMPLETAR</v>
      </c>
      <c r="P99" s="17"/>
      <c r="Q99" s="29">
        <v>46001</v>
      </c>
      <c r="R99" s="30" t="str">
        <f t="shared" si="47"/>
        <v>mié</v>
      </c>
      <c r="S99" s="28">
        <v>0.66666666666666696</v>
      </c>
      <c r="T99" s="31"/>
      <c r="U99" s="31"/>
      <c r="V99" s="31"/>
      <c r="W99" s="40" t="str">
        <f t="shared" si="14"/>
        <v>❌ SIN COMPLETAR</v>
      </c>
      <c r="Y99" s="29">
        <v>46001</v>
      </c>
      <c r="Z99" s="30" t="str">
        <f t="shared" si="48"/>
        <v>mié</v>
      </c>
      <c r="AA99" s="28">
        <v>0.66666666666666696</v>
      </c>
      <c r="AB99" s="31"/>
      <c r="AC99" s="31"/>
      <c r="AD99" s="31"/>
      <c r="AE99" s="32" t="str">
        <f t="shared" si="40"/>
        <v>❌ SIN COMPLETAR</v>
      </c>
    </row>
    <row r="100" spans="1:31" x14ac:dyDescent="0.3">
      <c r="A100" s="29">
        <v>46001</v>
      </c>
      <c r="B100" s="30" t="str">
        <f t="shared" si="45"/>
        <v>mié</v>
      </c>
      <c r="C100" s="28">
        <v>0.70833333333333304</v>
      </c>
      <c r="D100" s="31"/>
      <c r="E100" s="31"/>
      <c r="F100" s="31"/>
      <c r="G100" s="40" t="str">
        <f>IF(COUNTIF(D100:F100,"?*")=$N$5,"✅ CUBIERTO",
IF(COUNTIF(D100:F100,"?*")&gt;$N$5,"⚠ EXCESO",IF(COUNTIF(D100:F100,"?*")&gt;0,"⚠ FALTANTE",
"❌ SIN COMPLETAR")))</f>
        <v>❌ SIN COMPLETAR</v>
      </c>
      <c r="H100" s="17"/>
      <c r="I100" s="29">
        <v>46001</v>
      </c>
      <c r="J100" s="30" t="str">
        <f t="shared" si="46"/>
        <v>mié</v>
      </c>
      <c r="K100" s="28">
        <v>0.70833333333333304</v>
      </c>
      <c r="L100" s="31"/>
      <c r="M100" s="31"/>
      <c r="N100" s="31"/>
      <c r="O100" s="32" t="str">
        <f t="shared" si="39"/>
        <v>❌ SIN COMPLETAR</v>
      </c>
      <c r="P100" s="17"/>
      <c r="Q100" s="29">
        <v>46001</v>
      </c>
      <c r="R100" s="30" t="str">
        <f t="shared" si="47"/>
        <v>mié</v>
      </c>
      <c r="S100" s="28">
        <v>0.70833333333333304</v>
      </c>
      <c r="T100" s="31"/>
      <c r="U100" s="31"/>
      <c r="V100" s="31"/>
      <c r="W100" s="40" t="str">
        <f t="shared" ref="W100:W163" si="49">IF(COUNTIF(T100:V100,"?*")=$N$7,"✅ CUBIERTO",IF(COUNTIF(T100:V100,"?*")&gt;$N$7,"⚠ EXCESO",
IF(COUNTIF(T100:V100,"?*")&gt;0,"⚠ FALTANTE", "❌ SIN COMPLETAR")))</f>
        <v>❌ SIN COMPLETAR</v>
      </c>
      <c r="Y100" s="29">
        <v>46001</v>
      </c>
      <c r="Z100" s="30" t="str">
        <f t="shared" si="48"/>
        <v>mié</v>
      </c>
      <c r="AA100" s="28">
        <v>0.70833333333333304</v>
      </c>
      <c r="AB100" s="31"/>
      <c r="AC100" s="31"/>
      <c r="AD100" s="31"/>
      <c r="AE100" s="32" t="str">
        <f t="shared" si="40"/>
        <v>❌ SIN COMPLETAR</v>
      </c>
    </row>
    <row r="101" spans="1:31" x14ac:dyDescent="0.3">
      <c r="A101" s="29">
        <v>46001</v>
      </c>
      <c r="B101" s="30" t="str">
        <f t="shared" si="45"/>
        <v>mié</v>
      </c>
      <c r="C101" s="28">
        <v>0.75</v>
      </c>
      <c r="D101" s="31"/>
      <c r="E101" s="31"/>
      <c r="F101" s="31"/>
      <c r="G101" s="40" t="str">
        <f>IF(COUNTIF(D101:F101,"?*")=$N$5,"✅ CUBIERTO",
IF(COUNTIF(D101:F101,"?*")&gt;$N$5,"⚠ EXCESO",IF(COUNTIF(D101:F101,"?*")&gt;0,"⚠ FALTANTE",
"❌ SIN COMPLETAR")))</f>
        <v>❌ SIN COMPLETAR</v>
      </c>
      <c r="H101" s="17"/>
      <c r="I101" s="29">
        <v>46001</v>
      </c>
      <c r="J101" s="30" t="str">
        <f t="shared" si="46"/>
        <v>mié</v>
      </c>
      <c r="K101" s="28">
        <v>0.75</v>
      </c>
      <c r="L101" s="41"/>
      <c r="M101" s="41"/>
      <c r="N101" s="41"/>
      <c r="O101" s="32" t="str">
        <f t="shared" si="39"/>
        <v>❌ SIN COMPLETAR</v>
      </c>
      <c r="P101" s="17"/>
      <c r="Q101" s="29">
        <v>46001</v>
      </c>
      <c r="R101" s="30" t="str">
        <f t="shared" si="47"/>
        <v>mié</v>
      </c>
      <c r="S101" s="28">
        <v>0.75</v>
      </c>
      <c r="T101" s="31"/>
      <c r="U101" s="31"/>
      <c r="V101" s="31"/>
      <c r="W101" s="40" t="s">
        <v>16</v>
      </c>
      <c r="Y101" s="29">
        <v>46001</v>
      </c>
      <c r="Z101" s="30" t="str">
        <f t="shared" si="48"/>
        <v>mié</v>
      </c>
      <c r="AA101" s="28">
        <v>0.75</v>
      </c>
      <c r="AB101" s="41"/>
      <c r="AC101" s="41"/>
      <c r="AD101" s="41"/>
      <c r="AE101" s="32" t="str">
        <f t="shared" si="40"/>
        <v>❌ SIN COMPLETAR</v>
      </c>
    </row>
    <row r="102" spans="1:31" x14ac:dyDescent="0.3">
      <c r="A102" s="29">
        <v>46002</v>
      </c>
      <c r="B102" s="30" t="str">
        <f>TEXT(A102,"ddd")</f>
        <v>jue</v>
      </c>
      <c r="C102" s="28">
        <v>0.45833333333333331</v>
      </c>
      <c r="D102" s="31"/>
      <c r="E102" s="31"/>
      <c r="F102" s="31"/>
      <c r="G102" s="40" t="str">
        <f>IF(COUNTIF(D102:F102,"?*")=$N$5,"✅ CUBIERTO",
IF(COUNTIF(D102:F102,"?*")&gt;$N$5,"⚠ EXCESO",IF(COUNTIF(D102:F102,"?*")&gt;0,"⚠ FALTANTE",
"❌ SIN COMPLETAR")))</f>
        <v>❌ SIN COMPLETAR</v>
      </c>
      <c r="H102" s="17"/>
      <c r="I102" s="29">
        <v>46002</v>
      </c>
      <c r="J102" s="30" t="str">
        <f>TEXT(I102,"ddd")</f>
        <v>jue</v>
      </c>
      <c r="K102" s="28">
        <v>0.45833333333333331</v>
      </c>
      <c r="L102" s="31"/>
      <c r="M102" s="31"/>
      <c r="N102" s="31"/>
      <c r="O102" s="32" t="str">
        <f t="shared" si="39"/>
        <v>❌ SIN COMPLETAR</v>
      </c>
      <c r="P102" s="17"/>
      <c r="Q102" s="29">
        <v>46002</v>
      </c>
      <c r="R102" s="30" t="str">
        <f>TEXT(Q102,"ddd")</f>
        <v>jue</v>
      </c>
      <c r="S102" s="28">
        <v>0.45833333333333331</v>
      </c>
      <c r="T102" s="31"/>
      <c r="U102" s="31"/>
      <c r="V102" s="31"/>
      <c r="W102" s="40" t="s">
        <v>16</v>
      </c>
      <c r="Y102" s="29">
        <v>46002</v>
      </c>
      <c r="Z102" s="30" t="str">
        <f>TEXT(Y102,"ddd")</f>
        <v>jue</v>
      </c>
      <c r="AA102" s="28">
        <v>0.45833333333333331</v>
      </c>
      <c r="AB102" s="31"/>
      <c r="AC102" s="31"/>
      <c r="AD102" s="31"/>
      <c r="AE102" s="32" t="str">
        <f t="shared" si="40"/>
        <v>❌ SIN COMPLETAR</v>
      </c>
    </row>
    <row r="103" spans="1:31" x14ac:dyDescent="0.3">
      <c r="A103" s="29">
        <v>46002</v>
      </c>
      <c r="B103" s="30" t="str">
        <f t="shared" ref="B103:B109" si="50">TEXT(A103,"ddd")</f>
        <v>jue</v>
      </c>
      <c r="C103" s="28">
        <v>0.5</v>
      </c>
      <c r="D103" s="31"/>
      <c r="E103" s="31"/>
      <c r="F103" s="31"/>
      <c r="G103" s="40" t="str">
        <f>IF(COUNTIF(D103:F103,"?*")=$N$5,"✅ CUBIERTO",
IF(COUNTIF(D103:F103,"?*")&gt;$N$5,"⚠ EXCESO",IF(COUNTIF(D103:F103,"?*")&gt;0,"⚠ FALTANTE",
"❌ SIN COMPLETAR")))</f>
        <v>❌ SIN COMPLETAR</v>
      </c>
      <c r="H103" s="17"/>
      <c r="I103" s="29">
        <v>46002</v>
      </c>
      <c r="J103" s="30" t="str">
        <f t="shared" ref="J103:J109" si="51">TEXT(I103,"ddd")</f>
        <v>jue</v>
      </c>
      <c r="K103" s="28">
        <v>0.5</v>
      </c>
      <c r="L103" s="31"/>
      <c r="M103" s="31"/>
      <c r="N103" s="31"/>
      <c r="O103" s="32" t="str">
        <f t="shared" si="39"/>
        <v>❌ SIN COMPLETAR</v>
      </c>
      <c r="P103" s="17"/>
      <c r="Q103" s="29">
        <v>46002</v>
      </c>
      <c r="R103" s="30" t="str">
        <f t="shared" ref="R103:R109" si="52">TEXT(Q103,"ddd")</f>
        <v>jue</v>
      </c>
      <c r="S103" s="28">
        <v>0.5</v>
      </c>
      <c r="T103" s="31"/>
      <c r="U103" s="31"/>
      <c r="V103" s="31"/>
      <c r="W103" s="40" t="str">
        <f t="shared" si="49"/>
        <v>❌ SIN COMPLETAR</v>
      </c>
      <c r="Y103" s="29">
        <v>46002</v>
      </c>
      <c r="Z103" s="30" t="str">
        <f t="shared" ref="Z103:Z109" si="53">TEXT(Y103,"ddd")</f>
        <v>jue</v>
      </c>
      <c r="AA103" s="28">
        <v>0.5</v>
      </c>
      <c r="AB103" s="31"/>
      <c r="AC103" s="31"/>
      <c r="AD103" s="31"/>
      <c r="AE103" s="32" t="str">
        <f t="shared" si="40"/>
        <v>❌ SIN COMPLETAR</v>
      </c>
    </row>
    <row r="104" spans="1:31" x14ac:dyDescent="0.3">
      <c r="A104" s="29">
        <v>46002</v>
      </c>
      <c r="B104" s="30" t="str">
        <f t="shared" si="50"/>
        <v>jue</v>
      </c>
      <c r="C104" s="28">
        <v>0.54166666666666696</v>
      </c>
      <c r="D104" s="31"/>
      <c r="E104" s="31"/>
      <c r="F104" s="31"/>
      <c r="G104" s="40" t="str">
        <f>IF(COUNTIF(D104:F104,"?*")=$N$5,"✅ CUBIERTO",
IF(COUNTIF(D104:F104,"?*")&gt;$N$5,"⚠ EXCESO",IF(COUNTIF(D104:F104,"?*")&gt;0,"⚠ FALTANTE",
"❌ SIN COMPLETAR")))</f>
        <v>❌ SIN COMPLETAR</v>
      </c>
      <c r="H104" s="17"/>
      <c r="I104" s="29">
        <v>46002</v>
      </c>
      <c r="J104" s="30" t="str">
        <f t="shared" si="51"/>
        <v>jue</v>
      </c>
      <c r="K104" s="28">
        <v>0.54166666666666696</v>
      </c>
      <c r="L104" s="31"/>
      <c r="M104" s="31"/>
      <c r="N104" s="31"/>
      <c r="O104" s="32" t="str">
        <f t="shared" si="39"/>
        <v>❌ SIN COMPLETAR</v>
      </c>
      <c r="P104" s="17"/>
      <c r="Q104" s="29">
        <v>46002</v>
      </c>
      <c r="R104" s="30" t="str">
        <f t="shared" si="52"/>
        <v>jue</v>
      </c>
      <c r="S104" s="28">
        <v>0.54166666666666696</v>
      </c>
      <c r="T104" s="31"/>
      <c r="U104" s="31"/>
      <c r="V104" s="31"/>
      <c r="W104" s="40" t="str">
        <f t="shared" si="49"/>
        <v>❌ SIN COMPLETAR</v>
      </c>
      <c r="Y104" s="29">
        <v>46002</v>
      </c>
      <c r="Z104" s="30" t="str">
        <f t="shared" si="53"/>
        <v>jue</v>
      </c>
      <c r="AA104" s="28">
        <v>0.54166666666666696</v>
      </c>
      <c r="AB104" s="31"/>
      <c r="AC104" s="31"/>
      <c r="AD104" s="31"/>
      <c r="AE104" s="32" t="str">
        <f t="shared" si="40"/>
        <v>❌ SIN COMPLETAR</v>
      </c>
    </row>
    <row r="105" spans="1:31" x14ac:dyDescent="0.3">
      <c r="A105" s="29">
        <v>46002</v>
      </c>
      <c r="B105" s="30" t="str">
        <f t="shared" si="50"/>
        <v>jue</v>
      </c>
      <c r="C105" s="28">
        <v>0.58333333333333304</v>
      </c>
      <c r="D105" s="31"/>
      <c r="E105" s="31"/>
      <c r="F105" s="31"/>
      <c r="G105" s="40" t="str">
        <f>IF(COUNTIF(D105:F105,"?*")=$N$5,"✅ CUBIERTO",
IF(COUNTIF(D105:F105,"?*")&gt;$N$5,"⚠ EXCESO",IF(COUNTIF(D105:F105,"?*")&gt;0,"⚠ FALTANTE",
"❌ SIN COMPLETAR")))</f>
        <v>❌ SIN COMPLETAR</v>
      </c>
      <c r="H105" s="17"/>
      <c r="I105" s="29">
        <v>46002</v>
      </c>
      <c r="J105" s="30" t="str">
        <f t="shared" si="51"/>
        <v>jue</v>
      </c>
      <c r="K105" s="28">
        <v>0.58333333333333304</v>
      </c>
      <c r="L105" s="31"/>
      <c r="M105" s="31"/>
      <c r="N105" s="31"/>
      <c r="O105" s="32" t="str">
        <f t="shared" si="39"/>
        <v>❌ SIN COMPLETAR</v>
      </c>
      <c r="P105" s="17"/>
      <c r="Q105" s="29">
        <v>46002</v>
      </c>
      <c r="R105" s="30" t="str">
        <f t="shared" si="52"/>
        <v>jue</v>
      </c>
      <c r="S105" s="28">
        <v>0.58333333333333304</v>
      </c>
      <c r="T105" s="31"/>
      <c r="U105" s="31"/>
      <c r="V105" s="31"/>
      <c r="W105" s="40" t="str">
        <f t="shared" si="49"/>
        <v>❌ SIN COMPLETAR</v>
      </c>
      <c r="Y105" s="29">
        <v>46002</v>
      </c>
      <c r="Z105" s="30" t="str">
        <f t="shared" si="53"/>
        <v>jue</v>
      </c>
      <c r="AA105" s="28">
        <v>0.58333333333333304</v>
      </c>
      <c r="AB105" s="31"/>
      <c r="AC105" s="31"/>
      <c r="AD105" s="31"/>
      <c r="AE105" s="32" t="str">
        <f t="shared" si="40"/>
        <v>❌ SIN COMPLETAR</v>
      </c>
    </row>
    <row r="106" spans="1:31" x14ac:dyDescent="0.3">
      <c r="A106" s="29">
        <v>46002</v>
      </c>
      <c r="B106" s="30" t="str">
        <f t="shared" si="50"/>
        <v>jue</v>
      </c>
      <c r="C106" s="28">
        <v>0.625</v>
      </c>
      <c r="D106" s="31"/>
      <c r="E106" s="31"/>
      <c r="F106" s="31"/>
      <c r="G106" s="40" t="str">
        <f>IF(COUNTIF(D106:F106,"?*")=$N$5,"✅ CUBIERTO",
IF(COUNTIF(D106:F106,"?*")&gt;$N$5,"⚠ EXCESO",IF(COUNTIF(D106:F106,"?*")&gt;0,"⚠ FALTANTE",
"❌ SIN COMPLETAR")))</f>
        <v>❌ SIN COMPLETAR</v>
      </c>
      <c r="H106" s="17"/>
      <c r="I106" s="29">
        <v>46002</v>
      </c>
      <c r="J106" s="30" t="str">
        <f t="shared" si="51"/>
        <v>jue</v>
      </c>
      <c r="K106" s="28">
        <v>0.625</v>
      </c>
      <c r="L106" s="31"/>
      <c r="M106" s="31"/>
      <c r="N106" s="31"/>
      <c r="O106" s="32" t="str">
        <f t="shared" si="39"/>
        <v>❌ SIN COMPLETAR</v>
      </c>
      <c r="P106" s="17"/>
      <c r="Q106" s="29">
        <v>46002</v>
      </c>
      <c r="R106" s="30" t="str">
        <f t="shared" si="52"/>
        <v>jue</v>
      </c>
      <c r="S106" s="28">
        <v>0.625</v>
      </c>
      <c r="T106" s="31"/>
      <c r="U106" s="31"/>
      <c r="V106" s="31"/>
      <c r="W106" s="40" t="str">
        <f t="shared" si="49"/>
        <v>❌ SIN COMPLETAR</v>
      </c>
      <c r="Y106" s="29">
        <v>46002</v>
      </c>
      <c r="Z106" s="30" t="str">
        <f t="shared" si="53"/>
        <v>jue</v>
      </c>
      <c r="AA106" s="28">
        <v>0.625</v>
      </c>
      <c r="AB106" s="31"/>
      <c r="AC106" s="31"/>
      <c r="AD106" s="31"/>
      <c r="AE106" s="32" t="str">
        <f t="shared" si="40"/>
        <v>❌ SIN COMPLETAR</v>
      </c>
    </row>
    <row r="107" spans="1:31" x14ac:dyDescent="0.3">
      <c r="A107" s="29">
        <v>46002</v>
      </c>
      <c r="B107" s="30" t="str">
        <f t="shared" si="50"/>
        <v>jue</v>
      </c>
      <c r="C107" s="28">
        <v>0.66666666666666696</v>
      </c>
      <c r="D107" s="31"/>
      <c r="E107" s="31"/>
      <c r="F107" s="31"/>
      <c r="G107" s="40" t="str">
        <f>IF(COUNTIF(D107:F107,"?*")=$N$5,"✅ CUBIERTO",
IF(COUNTIF(D107:F107,"?*")&gt;$N$5,"⚠ EXCESO",IF(COUNTIF(D107:F107,"?*")&gt;0,"⚠ FALTANTE",
"❌ SIN COMPLETAR")))</f>
        <v>❌ SIN COMPLETAR</v>
      </c>
      <c r="H107" s="17"/>
      <c r="I107" s="29">
        <v>46002</v>
      </c>
      <c r="J107" s="30" t="str">
        <f t="shared" si="51"/>
        <v>jue</v>
      </c>
      <c r="K107" s="28">
        <v>0.66666666666666696</v>
      </c>
      <c r="L107" s="31"/>
      <c r="M107" s="31"/>
      <c r="N107" s="31"/>
      <c r="O107" s="32" t="str">
        <f t="shared" si="39"/>
        <v>❌ SIN COMPLETAR</v>
      </c>
      <c r="P107" s="17"/>
      <c r="Q107" s="29">
        <v>46002</v>
      </c>
      <c r="R107" s="30" t="str">
        <f t="shared" si="52"/>
        <v>jue</v>
      </c>
      <c r="S107" s="28">
        <v>0.66666666666666696</v>
      </c>
      <c r="T107" s="31"/>
      <c r="U107" s="31"/>
      <c r="V107" s="31"/>
      <c r="W107" s="40" t="str">
        <f t="shared" si="49"/>
        <v>❌ SIN COMPLETAR</v>
      </c>
      <c r="Y107" s="29">
        <v>46002</v>
      </c>
      <c r="Z107" s="30" t="str">
        <f t="shared" si="53"/>
        <v>jue</v>
      </c>
      <c r="AA107" s="28">
        <v>0.66666666666666696</v>
      </c>
      <c r="AB107" s="31"/>
      <c r="AC107" s="31"/>
      <c r="AD107" s="31"/>
      <c r="AE107" s="32" t="str">
        <f t="shared" si="40"/>
        <v>❌ SIN COMPLETAR</v>
      </c>
    </row>
    <row r="108" spans="1:31" x14ac:dyDescent="0.3">
      <c r="A108" s="29">
        <v>46002</v>
      </c>
      <c r="B108" s="30" t="str">
        <f t="shared" si="50"/>
        <v>jue</v>
      </c>
      <c r="C108" s="28">
        <v>0.70833333333333304</v>
      </c>
      <c r="D108" s="31"/>
      <c r="E108" s="31"/>
      <c r="F108" s="31"/>
      <c r="G108" s="40" t="str">
        <f>IF(COUNTIF(D108:F108,"?*")=$N$5,"✅ CUBIERTO",
IF(COUNTIF(D108:F108,"?*")&gt;$N$5,"⚠ EXCESO",IF(COUNTIF(D108:F108,"?*")&gt;0,"⚠ FALTANTE",
"❌ SIN COMPLETAR")))</f>
        <v>❌ SIN COMPLETAR</v>
      </c>
      <c r="H108" s="17"/>
      <c r="I108" s="29">
        <v>46002</v>
      </c>
      <c r="J108" s="30" t="str">
        <f t="shared" si="51"/>
        <v>jue</v>
      </c>
      <c r="K108" s="28">
        <v>0.70833333333333304</v>
      </c>
      <c r="L108" s="31"/>
      <c r="M108" s="31"/>
      <c r="N108" s="31"/>
      <c r="O108" s="32" t="str">
        <f t="shared" si="39"/>
        <v>❌ SIN COMPLETAR</v>
      </c>
      <c r="P108" s="17"/>
      <c r="Q108" s="29">
        <v>46002</v>
      </c>
      <c r="R108" s="30" t="str">
        <f t="shared" si="52"/>
        <v>jue</v>
      </c>
      <c r="S108" s="28">
        <v>0.70833333333333304</v>
      </c>
      <c r="T108" s="31"/>
      <c r="U108" s="31"/>
      <c r="V108" s="31"/>
      <c r="W108" s="40" t="str">
        <f t="shared" si="49"/>
        <v>❌ SIN COMPLETAR</v>
      </c>
      <c r="Y108" s="29">
        <v>46002</v>
      </c>
      <c r="Z108" s="30" t="str">
        <f t="shared" si="53"/>
        <v>jue</v>
      </c>
      <c r="AA108" s="28">
        <v>0.70833333333333304</v>
      </c>
      <c r="AB108" s="31"/>
      <c r="AC108" s="31"/>
      <c r="AD108" s="31"/>
      <c r="AE108" s="32" t="str">
        <f t="shared" si="40"/>
        <v>❌ SIN COMPLETAR</v>
      </c>
    </row>
    <row r="109" spans="1:31" x14ac:dyDescent="0.3">
      <c r="A109" s="29">
        <v>46002</v>
      </c>
      <c r="B109" s="30" t="str">
        <f t="shared" si="50"/>
        <v>jue</v>
      </c>
      <c r="C109" s="28">
        <v>0.75</v>
      </c>
      <c r="D109" s="31"/>
      <c r="E109" s="31"/>
      <c r="F109" s="31"/>
      <c r="G109" s="40" t="str">
        <f>IF(COUNTIF(D109:F109,"?*")=$N$5,"✅ CUBIERTO",
IF(COUNTIF(D109:F109,"?*")&gt;$N$5,"⚠ EXCESO",IF(COUNTIF(D109:F109,"?*")&gt;0,"⚠ FALTANTE",
"❌ SIN COMPLETAR")))</f>
        <v>❌ SIN COMPLETAR</v>
      </c>
      <c r="H109" s="17"/>
      <c r="I109" s="29">
        <v>46002</v>
      </c>
      <c r="J109" s="30" t="str">
        <f t="shared" si="51"/>
        <v>jue</v>
      </c>
      <c r="K109" s="28">
        <v>0.75</v>
      </c>
      <c r="L109" s="41"/>
      <c r="M109" s="41"/>
      <c r="N109" s="41"/>
      <c r="O109" s="32" t="str">
        <f t="shared" si="39"/>
        <v>❌ SIN COMPLETAR</v>
      </c>
      <c r="P109" s="17"/>
      <c r="Q109" s="29">
        <v>46002</v>
      </c>
      <c r="R109" s="30" t="str">
        <f t="shared" si="52"/>
        <v>jue</v>
      </c>
      <c r="S109" s="28">
        <v>0.75</v>
      </c>
      <c r="T109" s="31"/>
      <c r="U109" s="31"/>
      <c r="V109" s="31"/>
      <c r="W109" s="40" t="s">
        <v>16</v>
      </c>
      <c r="Y109" s="29">
        <v>46002</v>
      </c>
      <c r="Z109" s="30" t="str">
        <f t="shared" si="53"/>
        <v>jue</v>
      </c>
      <c r="AA109" s="28">
        <v>0.75</v>
      </c>
      <c r="AB109" s="41"/>
      <c r="AC109" s="41"/>
      <c r="AD109" s="41"/>
      <c r="AE109" s="32" t="str">
        <f t="shared" si="40"/>
        <v>❌ SIN COMPLETAR</v>
      </c>
    </row>
    <row r="110" spans="1:31" x14ac:dyDescent="0.3">
      <c r="A110" s="29">
        <v>46003</v>
      </c>
      <c r="B110" s="30" t="str">
        <f>TEXT(A110,"ddd")</f>
        <v>vie</v>
      </c>
      <c r="C110" s="28">
        <v>0.45833333333333331</v>
      </c>
      <c r="D110" s="31"/>
      <c r="E110" s="31"/>
      <c r="F110" s="31"/>
      <c r="G110" s="40" t="str">
        <f>IF(COUNTIF(D110:F110,"?*")=$N$5,"✅ CUBIERTO",
IF(COUNTIF(D110:F110,"?*")&gt;$N$5,"⚠ EXCESO",IF(COUNTIF(D110:F110,"?*")&gt;0,"⚠ FALTANTE",
"❌ SIN COMPLETAR")))</f>
        <v>❌ SIN COMPLETAR</v>
      </c>
      <c r="H110" s="17"/>
      <c r="I110" s="29">
        <v>46003</v>
      </c>
      <c r="J110" s="30" t="str">
        <f>TEXT(I110,"ddd")</f>
        <v>vie</v>
      </c>
      <c r="K110" s="28">
        <v>0.45833333333333331</v>
      </c>
      <c r="L110" s="31"/>
      <c r="M110" s="31"/>
      <c r="N110" s="31"/>
      <c r="O110" s="32" t="str">
        <f t="shared" si="39"/>
        <v>❌ SIN COMPLETAR</v>
      </c>
      <c r="P110" s="17"/>
      <c r="Q110" s="29">
        <v>46003</v>
      </c>
      <c r="R110" s="30" t="str">
        <f>TEXT(Q110,"ddd")</f>
        <v>vie</v>
      </c>
      <c r="S110" s="28">
        <v>0.45833333333333331</v>
      </c>
      <c r="T110" s="31"/>
      <c r="U110" s="31"/>
      <c r="V110" s="31"/>
      <c r="W110" s="40" t="s">
        <v>16</v>
      </c>
      <c r="Y110" s="29">
        <v>46003</v>
      </c>
      <c r="Z110" s="30" t="str">
        <f>TEXT(Y110,"ddd")</f>
        <v>vie</v>
      </c>
      <c r="AA110" s="28">
        <v>0.45833333333333331</v>
      </c>
      <c r="AB110" s="31"/>
      <c r="AC110" s="31"/>
      <c r="AD110" s="31"/>
      <c r="AE110" s="32" t="str">
        <f t="shared" si="40"/>
        <v>❌ SIN COMPLETAR</v>
      </c>
    </row>
    <row r="111" spans="1:31" x14ac:dyDescent="0.3">
      <c r="A111" s="29">
        <v>46003</v>
      </c>
      <c r="B111" s="30" t="str">
        <f t="shared" ref="B111:B117" si="54">TEXT(A111,"ddd")</f>
        <v>vie</v>
      </c>
      <c r="C111" s="28">
        <v>0.5</v>
      </c>
      <c r="D111" s="31"/>
      <c r="E111" s="31"/>
      <c r="F111" s="31"/>
      <c r="G111" s="40" t="str">
        <f>IF(COUNTIF(D111:F111,"?*")=$N$5,"✅ CUBIERTO",
IF(COUNTIF(D111:F111,"?*")&gt;$N$5,"⚠ EXCESO",IF(COUNTIF(D111:F111,"?*")&gt;0,"⚠ FALTANTE",
"❌ SIN COMPLETAR")))</f>
        <v>❌ SIN COMPLETAR</v>
      </c>
      <c r="H111" s="17"/>
      <c r="I111" s="29">
        <v>46003</v>
      </c>
      <c r="J111" s="30" t="str">
        <f t="shared" ref="J111:J117" si="55">TEXT(I111,"ddd")</f>
        <v>vie</v>
      </c>
      <c r="K111" s="28">
        <v>0.5</v>
      </c>
      <c r="L111" s="31"/>
      <c r="M111" s="31"/>
      <c r="N111" s="31"/>
      <c r="O111" s="32" t="str">
        <f t="shared" si="39"/>
        <v>❌ SIN COMPLETAR</v>
      </c>
      <c r="P111" s="17"/>
      <c r="Q111" s="29">
        <v>46003</v>
      </c>
      <c r="R111" s="30" t="str">
        <f t="shared" ref="R111:R117" si="56">TEXT(Q111,"ddd")</f>
        <v>vie</v>
      </c>
      <c r="S111" s="28">
        <v>0.5</v>
      </c>
      <c r="T111" s="31"/>
      <c r="U111" s="31"/>
      <c r="V111" s="31"/>
      <c r="W111" s="40" t="str">
        <f t="shared" si="49"/>
        <v>❌ SIN COMPLETAR</v>
      </c>
      <c r="Y111" s="29">
        <v>46003</v>
      </c>
      <c r="Z111" s="30" t="str">
        <f t="shared" ref="Z111:Z117" si="57">TEXT(Y111,"ddd")</f>
        <v>vie</v>
      </c>
      <c r="AA111" s="28">
        <v>0.5</v>
      </c>
      <c r="AB111" s="31"/>
      <c r="AC111" s="31"/>
      <c r="AD111" s="31"/>
      <c r="AE111" s="32" t="str">
        <f t="shared" si="40"/>
        <v>❌ SIN COMPLETAR</v>
      </c>
    </row>
    <row r="112" spans="1:31" x14ac:dyDescent="0.3">
      <c r="A112" s="29">
        <v>46003</v>
      </c>
      <c r="B112" s="30" t="str">
        <f t="shared" si="54"/>
        <v>vie</v>
      </c>
      <c r="C112" s="28">
        <v>0.54166666666666696</v>
      </c>
      <c r="D112" s="31"/>
      <c r="E112" s="31"/>
      <c r="F112" s="31"/>
      <c r="G112" s="40" t="str">
        <f>IF(COUNTIF(D112:F112,"?*")=$N$5,"✅ CUBIERTO",
IF(COUNTIF(D112:F112,"?*")&gt;$N$5,"⚠ EXCESO",IF(COUNTIF(D112:F112,"?*")&gt;0,"⚠ FALTANTE",
"❌ SIN COMPLETAR")))</f>
        <v>❌ SIN COMPLETAR</v>
      </c>
      <c r="H112" s="17"/>
      <c r="I112" s="29">
        <v>46003</v>
      </c>
      <c r="J112" s="30" t="str">
        <f t="shared" si="55"/>
        <v>vie</v>
      </c>
      <c r="K112" s="28">
        <v>0.54166666666666696</v>
      </c>
      <c r="L112" s="31"/>
      <c r="M112" s="31"/>
      <c r="N112" s="31"/>
      <c r="O112" s="32" t="str">
        <f t="shared" si="39"/>
        <v>❌ SIN COMPLETAR</v>
      </c>
      <c r="P112" s="17"/>
      <c r="Q112" s="29">
        <v>46003</v>
      </c>
      <c r="R112" s="30" t="str">
        <f t="shared" si="56"/>
        <v>vie</v>
      </c>
      <c r="S112" s="28">
        <v>0.54166666666666696</v>
      </c>
      <c r="T112" s="31"/>
      <c r="U112" s="31"/>
      <c r="V112" s="31"/>
      <c r="W112" s="40" t="str">
        <f t="shared" si="49"/>
        <v>❌ SIN COMPLETAR</v>
      </c>
      <c r="Y112" s="29">
        <v>46003</v>
      </c>
      <c r="Z112" s="30" t="str">
        <f t="shared" si="57"/>
        <v>vie</v>
      </c>
      <c r="AA112" s="28">
        <v>0.54166666666666696</v>
      </c>
      <c r="AB112" s="31"/>
      <c r="AC112" s="31"/>
      <c r="AD112" s="31"/>
      <c r="AE112" s="32" t="str">
        <f t="shared" si="40"/>
        <v>❌ SIN COMPLETAR</v>
      </c>
    </row>
    <row r="113" spans="1:31" x14ac:dyDescent="0.3">
      <c r="A113" s="29">
        <v>46003</v>
      </c>
      <c r="B113" s="30" t="str">
        <f t="shared" si="54"/>
        <v>vie</v>
      </c>
      <c r="C113" s="28">
        <v>0.58333333333333304</v>
      </c>
      <c r="D113" s="31"/>
      <c r="E113" s="31"/>
      <c r="F113" s="31"/>
      <c r="G113" s="40" t="str">
        <f>IF(COUNTIF(D113:F113,"?*")=$N$5,"✅ CUBIERTO",
IF(COUNTIF(D113:F113,"?*")&gt;$N$5,"⚠ EXCESO",IF(COUNTIF(D113:F113,"?*")&gt;0,"⚠ FALTANTE",
"❌ SIN COMPLETAR")))</f>
        <v>❌ SIN COMPLETAR</v>
      </c>
      <c r="H113" s="17"/>
      <c r="I113" s="29">
        <v>46003</v>
      </c>
      <c r="J113" s="30" t="str">
        <f t="shared" si="55"/>
        <v>vie</v>
      </c>
      <c r="K113" s="28">
        <v>0.58333333333333304</v>
      </c>
      <c r="L113" s="31"/>
      <c r="M113" s="31"/>
      <c r="N113" s="31"/>
      <c r="O113" s="32" t="str">
        <f t="shared" si="39"/>
        <v>❌ SIN COMPLETAR</v>
      </c>
      <c r="P113" s="17"/>
      <c r="Q113" s="29">
        <v>46003</v>
      </c>
      <c r="R113" s="30" t="str">
        <f t="shared" si="56"/>
        <v>vie</v>
      </c>
      <c r="S113" s="28">
        <v>0.58333333333333304</v>
      </c>
      <c r="T113" s="31"/>
      <c r="U113" s="31"/>
      <c r="V113" s="31"/>
      <c r="W113" s="40" t="str">
        <f t="shared" si="49"/>
        <v>❌ SIN COMPLETAR</v>
      </c>
      <c r="Y113" s="29">
        <v>46003</v>
      </c>
      <c r="Z113" s="30" t="str">
        <f t="shared" si="57"/>
        <v>vie</v>
      </c>
      <c r="AA113" s="28">
        <v>0.58333333333333304</v>
      </c>
      <c r="AB113" s="31"/>
      <c r="AC113" s="31"/>
      <c r="AD113" s="31"/>
      <c r="AE113" s="32" t="str">
        <f t="shared" si="40"/>
        <v>❌ SIN COMPLETAR</v>
      </c>
    </row>
    <row r="114" spans="1:31" x14ac:dyDescent="0.3">
      <c r="A114" s="29">
        <v>46003</v>
      </c>
      <c r="B114" s="30" t="str">
        <f t="shared" si="54"/>
        <v>vie</v>
      </c>
      <c r="C114" s="28">
        <v>0.625</v>
      </c>
      <c r="D114" s="31"/>
      <c r="E114" s="31"/>
      <c r="F114" s="31"/>
      <c r="G114" s="40" t="str">
        <f>IF(COUNTIF(D114:F114,"?*")=$N$5,"✅ CUBIERTO",
IF(COUNTIF(D114:F114,"?*")&gt;$N$5,"⚠ EXCESO",IF(COUNTIF(D114:F114,"?*")&gt;0,"⚠ FALTANTE",
"❌ SIN COMPLETAR")))</f>
        <v>❌ SIN COMPLETAR</v>
      </c>
      <c r="H114" s="17"/>
      <c r="I114" s="29">
        <v>46003</v>
      </c>
      <c r="J114" s="30" t="str">
        <f t="shared" si="55"/>
        <v>vie</v>
      </c>
      <c r="K114" s="28">
        <v>0.625</v>
      </c>
      <c r="L114" s="31"/>
      <c r="M114" s="31"/>
      <c r="N114" s="31"/>
      <c r="O114" s="32" t="str">
        <f t="shared" si="39"/>
        <v>❌ SIN COMPLETAR</v>
      </c>
      <c r="P114" s="17"/>
      <c r="Q114" s="29">
        <v>46003</v>
      </c>
      <c r="R114" s="30" t="str">
        <f t="shared" si="56"/>
        <v>vie</v>
      </c>
      <c r="S114" s="28">
        <v>0.625</v>
      </c>
      <c r="T114" s="31"/>
      <c r="U114" s="31"/>
      <c r="V114" s="31"/>
      <c r="W114" s="40" t="str">
        <f t="shared" si="49"/>
        <v>❌ SIN COMPLETAR</v>
      </c>
      <c r="Y114" s="29">
        <v>46003</v>
      </c>
      <c r="Z114" s="30" t="str">
        <f t="shared" si="57"/>
        <v>vie</v>
      </c>
      <c r="AA114" s="28">
        <v>0.625</v>
      </c>
      <c r="AB114" s="31"/>
      <c r="AC114" s="31"/>
      <c r="AD114" s="31"/>
      <c r="AE114" s="32" t="str">
        <f t="shared" si="40"/>
        <v>❌ SIN COMPLETAR</v>
      </c>
    </row>
    <row r="115" spans="1:31" x14ac:dyDescent="0.3">
      <c r="A115" s="29">
        <v>46003</v>
      </c>
      <c r="B115" s="30" t="str">
        <f t="shared" si="54"/>
        <v>vie</v>
      </c>
      <c r="C115" s="28">
        <v>0.66666666666666696</v>
      </c>
      <c r="D115" s="31"/>
      <c r="E115" s="31"/>
      <c r="F115" s="31"/>
      <c r="G115" s="40" t="str">
        <f>IF(COUNTIF(D115:F115,"?*")=$N$5,"✅ CUBIERTO",
IF(COUNTIF(D115:F115,"?*")&gt;$N$5,"⚠ EXCESO",IF(COUNTIF(D115:F115,"?*")&gt;0,"⚠ FALTANTE",
"❌ SIN COMPLETAR")))</f>
        <v>❌ SIN COMPLETAR</v>
      </c>
      <c r="H115" s="17"/>
      <c r="I115" s="29">
        <v>46003</v>
      </c>
      <c r="J115" s="30" t="str">
        <f t="shared" si="55"/>
        <v>vie</v>
      </c>
      <c r="K115" s="28">
        <v>0.66666666666666696</v>
      </c>
      <c r="L115" s="31"/>
      <c r="M115" s="31"/>
      <c r="N115" s="31"/>
      <c r="O115" s="32" t="str">
        <f t="shared" si="39"/>
        <v>❌ SIN COMPLETAR</v>
      </c>
      <c r="P115" s="17"/>
      <c r="Q115" s="29">
        <v>46003</v>
      </c>
      <c r="R115" s="30" t="str">
        <f t="shared" si="56"/>
        <v>vie</v>
      </c>
      <c r="S115" s="28">
        <v>0.66666666666666696</v>
      </c>
      <c r="T115" s="31"/>
      <c r="U115" s="31"/>
      <c r="V115" s="31"/>
      <c r="W115" s="40" t="str">
        <f t="shared" si="49"/>
        <v>❌ SIN COMPLETAR</v>
      </c>
      <c r="Y115" s="29">
        <v>46003</v>
      </c>
      <c r="Z115" s="30" t="str">
        <f t="shared" si="57"/>
        <v>vie</v>
      </c>
      <c r="AA115" s="28">
        <v>0.66666666666666696</v>
      </c>
      <c r="AB115" s="31"/>
      <c r="AC115" s="31"/>
      <c r="AD115" s="31"/>
      <c r="AE115" s="32" t="str">
        <f t="shared" si="40"/>
        <v>❌ SIN COMPLETAR</v>
      </c>
    </row>
    <row r="116" spans="1:31" x14ac:dyDescent="0.3">
      <c r="A116" s="29">
        <v>46003</v>
      </c>
      <c r="B116" s="30" t="str">
        <f t="shared" si="54"/>
        <v>vie</v>
      </c>
      <c r="C116" s="28">
        <v>0.70833333333333304</v>
      </c>
      <c r="D116" s="31"/>
      <c r="E116" s="31"/>
      <c r="F116" s="31"/>
      <c r="G116" s="40" t="str">
        <f>IF(COUNTIF(D116:F116,"?*")=$N$5,"✅ CUBIERTO",
IF(COUNTIF(D116:F116,"?*")&gt;$N$5,"⚠ EXCESO",IF(COUNTIF(D116:F116,"?*")&gt;0,"⚠ FALTANTE",
"❌ SIN COMPLETAR")))</f>
        <v>❌ SIN COMPLETAR</v>
      </c>
      <c r="H116" s="17"/>
      <c r="I116" s="29">
        <v>46003</v>
      </c>
      <c r="J116" s="30" t="str">
        <f t="shared" si="55"/>
        <v>vie</v>
      </c>
      <c r="K116" s="28">
        <v>0.70833333333333304</v>
      </c>
      <c r="L116" s="31"/>
      <c r="M116" s="31"/>
      <c r="N116" s="31"/>
      <c r="O116" s="32" t="str">
        <f t="shared" si="39"/>
        <v>❌ SIN COMPLETAR</v>
      </c>
      <c r="P116" s="17"/>
      <c r="Q116" s="29">
        <v>46003</v>
      </c>
      <c r="R116" s="30" t="str">
        <f t="shared" si="56"/>
        <v>vie</v>
      </c>
      <c r="S116" s="28">
        <v>0.70833333333333304</v>
      </c>
      <c r="T116" s="31"/>
      <c r="U116" s="31"/>
      <c r="V116" s="31"/>
      <c r="W116" s="40" t="str">
        <f t="shared" si="49"/>
        <v>❌ SIN COMPLETAR</v>
      </c>
      <c r="Y116" s="29">
        <v>46003</v>
      </c>
      <c r="Z116" s="30" t="str">
        <f t="shared" si="57"/>
        <v>vie</v>
      </c>
      <c r="AA116" s="28">
        <v>0.70833333333333304</v>
      </c>
      <c r="AB116" s="31"/>
      <c r="AC116" s="31"/>
      <c r="AD116" s="31"/>
      <c r="AE116" s="32" t="str">
        <f t="shared" si="40"/>
        <v>❌ SIN COMPLETAR</v>
      </c>
    </row>
    <row r="117" spans="1:31" x14ac:dyDescent="0.3">
      <c r="A117" s="29">
        <v>46003</v>
      </c>
      <c r="B117" s="30" t="str">
        <f t="shared" si="54"/>
        <v>vie</v>
      </c>
      <c r="C117" s="28">
        <v>0.75</v>
      </c>
      <c r="D117" s="31"/>
      <c r="E117" s="31"/>
      <c r="F117" s="31"/>
      <c r="G117" s="40" t="str">
        <f>IF(COUNTIF(D117:F117,"?*")=$N$5,"✅ CUBIERTO",
IF(COUNTIF(D117:F117,"?*")&gt;$N$5,"⚠ EXCESO",IF(COUNTIF(D117:F117,"?*")&gt;0,"⚠ FALTANTE",
"❌ SIN COMPLETAR")))</f>
        <v>❌ SIN COMPLETAR</v>
      </c>
      <c r="H117" s="17"/>
      <c r="I117" s="29">
        <v>46003</v>
      </c>
      <c r="J117" s="30" t="str">
        <f t="shared" si="55"/>
        <v>vie</v>
      </c>
      <c r="K117" s="28">
        <v>0.75</v>
      </c>
      <c r="L117" s="41"/>
      <c r="M117" s="41"/>
      <c r="N117" s="41"/>
      <c r="O117" s="32" t="str">
        <f t="shared" si="39"/>
        <v>❌ SIN COMPLETAR</v>
      </c>
      <c r="P117" s="17"/>
      <c r="Q117" s="29">
        <v>46003</v>
      </c>
      <c r="R117" s="30" t="str">
        <f t="shared" si="56"/>
        <v>vie</v>
      </c>
      <c r="S117" s="28">
        <v>0.75</v>
      </c>
      <c r="T117" s="31"/>
      <c r="U117" s="31"/>
      <c r="V117" s="31"/>
      <c r="W117" s="40" t="s">
        <v>16</v>
      </c>
      <c r="Y117" s="29">
        <v>46003</v>
      </c>
      <c r="Z117" s="30" t="str">
        <f t="shared" si="57"/>
        <v>vie</v>
      </c>
      <c r="AA117" s="28">
        <v>0.75</v>
      </c>
      <c r="AB117" s="41"/>
      <c r="AC117" s="41"/>
      <c r="AD117" s="41"/>
      <c r="AE117" s="32" t="str">
        <f t="shared" si="40"/>
        <v>❌ SIN COMPLETAR</v>
      </c>
    </row>
    <row r="118" spans="1:31" x14ac:dyDescent="0.3">
      <c r="A118" s="29">
        <v>46004</v>
      </c>
      <c r="B118" s="30" t="str">
        <f>TEXT(A118,"ddd")</f>
        <v>sáb</v>
      </c>
      <c r="C118" s="28">
        <v>0.45833333333333331</v>
      </c>
      <c r="D118" s="31"/>
      <c r="E118" s="31"/>
      <c r="F118" s="31"/>
      <c r="G118" s="40" t="str">
        <f>IF(COUNTIF(D118:F118,"?*")=$N$5,"✅ CUBIERTO",
IF(COUNTIF(D118:F118,"?*")&gt;$N$5,"⚠ EXCESO",IF(COUNTIF(D118:F118,"?*")&gt;0,"⚠ FALTANTE",
"❌ SIN COMPLETAR")))</f>
        <v>❌ SIN COMPLETAR</v>
      </c>
      <c r="H118" s="17"/>
      <c r="I118" s="29">
        <v>46004</v>
      </c>
      <c r="J118" s="30" t="str">
        <f>TEXT(I118,"ddd")</f>
        <v>sáb</v>
      </c>
      <c r="K118" s="28">
        <v>0.45833333333333331</v>
      </c>
      <c r="L118" s="31"/>
      <c r="M118" s="31"/>
      <c r="N118" s="31"/>
      <c r="O118" s="32" t="str">
        <f t="shared" si="39"/>
        <v>❌ SIN COMPLETAR</v>
      </c>
      <c r="P118" s="17"/>
      <c r="Q118" s="29">
        <v>46004</v>
      </c>
      <c r="R118" s="30" t="str">
        <f>TEXT(Q118,"ddd")</f>
        <v>sáb</v>
      </c>
      <c r="S118" s="28">
        <v>0.45833333333333331</v>
      </c>
      <c r="T118" s="31"/>
      <c r="U118" s="31"/>
      <c r="V118" s="31"/>
      <c r="W118" s="40" t="str">
        <f t="shared" si="49"/>
        <v>❌ SIN COMPLETAR</v>
      </c>
      <c r="Y118" s="29">
        <v>46004</v>
      </c>
      <c r="Z118" s="30" t="str">
        <f>TEXT(Y118,"ddd")</f>
        <v>sáb</v>
      </c>
      <c r="AA118" s="28">
        <v>0.45833333333333331</v>
      </c>
      <c r="AB118" s="31"/>
      <c r="AC118" s="31"/>
      <c r="AD118" s="31"/>
      <c r="AE118" s="32" t="str">
        <f t="shared" si="40"/>
        <v>❌ SIN COMPLETAR</v>
      </c>
    </row>
    <row r="119" spans="1:31" x14ac:dyDescent="0.3">
      <c r="A119" s="29">
        <v>46004</v>
      </c>
      <c r="B119" s="30" t="str">
        <f t="shared" ref="B119:B125" si="58">TEXT(A119,"ddd")</f>
        <v>sáb</v>
      </c>
      <c r="C119" s="28">
        <v>0.5</v>
      </c>
      <c r="D119" s="31"/>
      <c r="E119" s="31"/>
      <c r="F119" s="31"/>
      <c r="G119" s="40" t="str">
        <f>IF(COUNTIF(D119:F119,"?*")=$N$5,"✅ CUBIERTO",
IF(COUNTIF(D119:F119,"?*")&gt;$N$5,"⚠ EXCESO",IF(COUNTIF(D119:F119,"?*")&gt;0,"⚠ FALTANTE",
"❌ SIN COMPLETAR")))</f>
        <v>❌ SIN COMPLETAR</v>
      </c>
      <c r="H119" s="17"/>
      <c r="I119" s="29">
        <v>46004</v>
      </c>
      <c r="J119" s="30" t="str">
        <f t="shared" ref="J119:J125" si="59">TEXT(I119,"ddd")</f>
        <v>sáb</v>
      </c>
      <c r="K119" s="28">
        <v>0.5</v>
      </c>
      <c r="L119" s="31"/>
      <c r="M119" s="31"/>
      <c r="N119" s="31"/>
      <c r="O119" s="32" t="str">
        <f t="shared" si="39"/>
        <v>❌ SIN COMPLETAR</v>
      </c>
      <c r="P119" s="17"/>
      <c r="Q119" s="29">
        <v>46004</v>
      </c>
      <c r="R119" s="30" t="str">
        <f t="shared" ref="R119:R125" si="60">TEXT(Q119,"ddd")</f>
        <v>sáb</v>
      </c>
      <c r="S119" s="28">
        <v>0.5</v>
      </c>
      <c r="T119" s="31"/>
      <c r="U119" s="31"/>
      <c r="V119" s="31"/>
      <c r="W119" s="40" t="str">
        <f t="shared" si="49"/>
        <v>❌ SIN COMPLETAR</v>
      </c>
      <c r="Y119" s="29">
        <v>46004</v>
      </c>
      <c r="Z119" s="30" t="str">
        <f t="shared" ref="Z119:Z125" si="61">TEXT(Y119,"ddd")</f>
        <v>sáb</v>
      </c>
      <c r="AA119" s="28">
        <v>0.5</v>
      </c>
      <c r="AB119" s="31"/>
      <c r="AC119" s="31"/>
      <c r="AD119" s="31"/>
      <c r="AE119" s="32" t="str">
        <f t="shared" si="40"/>
        <v>❌ SIN COMPLETAR</v>
      </c>
    </row>
    <row r="120" spans="1:31" x14ac:dyDescent="0.3">
      <c r="A120" s="29">
        <v>46004</v>
      </c>
      <c r="B120" s="30" t="str">
        <f t="shared" si="58"/>
        <v>sáb</v>
      </c>
      <c r="C120" s="28">
        <v>0.54166666666666696</v>
      </c>
      <c r="D120" s="31"/>
      <c r="E120" s="31"/>
      <c r="F120" s="31"/>
      <c r="G120" s="40" t="str">
        <f>IF(COUNTIF(D120:F120,"?*")=$N$5,"✅ CUBIERTO",
IF(COUNTIF(D120:F120,"?*")&gt;$N$5,"⚠ EXCESO",IF(COUNTIF(D120:F120,"?*")&gt;0,"⚠ FALTANTE",
"❌ SIN COMPLETAR")))</f>
        <v>❌ SIN COMPLETAR</v>
      </c>
      <c r="H120" s="17"/>
      <c r="I120" s="29">
        <v>46004</v>
      </c>
      <c r="J120" s="30" t="str">
        <f t="shared" si="59"/>
        <v>sáb</v>
      </c>
      <c r="K120" s="28">
        <v>0.54166666666666696</v>
      </c>
      <c r="L120" s="31"/>
      <c r="M120" s="31"/>
      <c r="N120" s="31"/>
      <c r="O120" s="32" t="str">
        <f t="shared" si="39"/>
        <v>❌ SIN COMPLETAR</v>
      </c>
      <c r="P120" s="17"/>
      <c r="Q120" s="29">
        <v>46004</v>
      </c>
      <c r="R120" s="30" t="str">
        <f t="shared" si="60"/>
        <v>sáb</v>
      </c>
      <c r="S120" s="28">
        <v>0.54166666666666696</v>
      </c>
      <c r="T120" s="31"/>
      <c r="U120" s="31"/>
      <c r="V120" s="31"/>
      <c r="W120" s="40" t="str">
        <f t="shared" si="49"/>
        <v>❌ SIN COMPLETAR</v>
      </c>
      <c r="Y120" s="29">
        <v>46004</v>
      </c>
      <c r="Z120" s="30" t="str">
        <f t="shared" si="61"/>
        <v>sáb</v>
      </c>
      <c r="AA120" s="28">
        <v>0.54166666666666696</v>
      </c>
      <c r="AB120" s="31"/>
      <c r="AC120" s="31"/>
      <c r="AD120" s="31"/>
      <c r="AE120" s="32" t="str">
        <f t="shared" si="40"/>
        <v>❌ SIN COMPLETAR</v>
      </c>
    </row>
    <row r="121" spans="1:31" x14ac:dyDescent="0.3">
      <c r="A121" s="29">
        <v>46004</v>
      </c>
      <c r="B121" s="30" t="str">
        <f t="shared" si="58"/>
        <v>sáb</v>
      </c>
      <c r="C121" s="28">
        <v>0.58333333333333304</v>
      </c>
      <c r="D121" s="31"/>
      <c r="E121" s="31"/>
      <c r="F121" s="31"/>
      <c r="G121" s="40" t="str">
        <f>IF(COUNTIF(D121:F121,"?*")=$N$5,"✅ CUBIERTO",
IF(COUNTIF(D121:F121,"?*")&gt;$N$5,"⚠ EXCESO",IF(COUNTIF(D121:F121,"?*")&gt;0,"⚠ FALTANTE",
"❌ SIN COMPLETAR")))</f>
        <v>❌ SIN COMPLETAR</v>
      </c>
      <c r="H121" s="17"/>
      <c r="I121" s="29">
        <v>46004</v>
      </c>
      <c r="J121" s="30" t="str">
        <f t="shared" si="59"/>
        <v>sáb</v>
      </c>
      <c r="K121" s="28">
        <v>0.58333333333333304</v>
      </c>
      <c r="L121" s="31"/>
      <c r="M121" s="31"/>
      <c r="N121" s="31"/>
      <c r="O121" s="32" t="str">
        <f t="shared" si="39"/>
        <v>❌ SIN COMPLETAR</v>
      </c>
      <c r="P121" s="17"/>
      <c r="Q121" s="29">
        <v>46004</v>
      </c>
      <c r="R121" s="30" t="str">
        <f t="shared" si="60"/>
        <v>sáb</v>
      </c>
      <c r="S121" s="28">
        <v>0.58333333333333304</v>
      </c>
      <c r="T121" s="31"/>
      <c r="U121" s="31"/>
      <c r="V121" s="31"/>
      <c r="W121" s="40" t="str">
        <f t="shared" si="49"/>
        <v>❌ SIN COMPLETAR</v>
      </c>
      <c r="Y121" s="29">
        <v>46004</v>
      </c>
      <c r="Z121" s="30" t="str">
        <f t="shared" si="61"/>
        <v>sáb</v>
      </c>
      <c r="AA121" s="28">
        <v>0.58333333333333304</v>
      </c>
      <c r="AB121" s="31"/>
      <c r="AC121" s="31"/>
      <c r="AD121" s="31"/>
      <c r="AE121" s="32" t="str">
        <f t="shared" si="40"/>
        <v>❌ SIN COMPLETAR</v>
      </c>
    </row>
    <row r="122" spans="1:31" x14ac:dyDescent="0.3">
      <c r="A122" s="29">
        <v>46004</v>
      </c>
      <c r="B122" s="30" t="str">
        <f t="shared" si="58"/>
        <v>sáb</v>
      </c>
      <c r="C122" s="28">
        <v>0.625</v>
      </c>
      <c r="D122" s="31"/>
      <c r="E122" s="31"/>
      <c r="F122" s="31"/>
      <c r="G122" s="40" t="str">
        <f>IF(COUNTIF(D122:F122,"?*")=$N$5,"✅ CUBIERTO",
IF(COUNTIF(D122:F122,"?*")&gt;$N$5,"⚠ EXCESO",IF(COUNTIF(D122:F122,"?*")&gt;0,"⚠ FALTANTE",
"❌ SIN COMPLETAR")))</f>
        <v>❌ SIN COMPLETAR</v>
      </c>
      <c r="H122" s="17"/>
      <c r="I122" s="29">
        <v>46004</v>
      </c>
      <c r="J122" s="30" t="str">
        <f t="shared" si="59"/>
        <v>sáb</v>
      </c>
      <c r="K122" s="28">
        <v>0.625</v>
      </c>
      <c r="L122" s="31"/>
      <c r="M122" s="31"/>
      <c r="N122" s="31"/>
      <c r="O122" s="32" t="str">
        <f t="shared" si="39"/>
        <v>❌ SIN COMPLETAR</v>
      </c>
      <c r="P122" s="17"/>
      <c r="Q122" s="29">
        <v>46004</v>
      </c>
      <c r="R122" s="30" t="str">
        <f t="shared" si="60"/>
        <v>sáb</v>
      </c>
      <c r="S122" s="28">
        <v>0.625</v>
      </c>
      <c r="T122" s="31"/>
      <c r="U122" s="31"/>
      <c r="V122" s="31"/>
      <c r="W122" s="40" t="str">
        <f t="shared" si="49"/>
        <v>❌ SIN COMPLETAR</v>
      </c>
      <c r="Y122" s="29">
        <v>46004</v>
      </c>
      <c r="Z122" s="30" t="str">
        <f t="shared" si="61"/>
        <v>sáb</v>
      </c>
      <c r="AA122" s="28">
        <v>0.625</v>
      </c>
      <c r="AB122" s="31"/>
      <c r="AC122" s="31"/>
      <c r="AD122" s="31"/>
      <c r="AE122" s="32" t="str">
        <f t="shared" si="40"/>
        <v>❌ SIN COMPLETAR</v>
      </c>
    </row>
    <row r="123" spans="1:31" x14ac:dyDescent="0.3">
      <c r="A123" s="29">
        <v>46004</v>
      </c>
      <c r="B123" s="30" t="str">
        <f t="shared" si="58"/>
        <v>sáb</v>
      </c>
      <c r="C123" s="28">
        <v>0.66666666666666696</v>
      </c>
      <c r="D123" s="31"/>
      <c r="E123" s="31"/>
      <c r="F123" s="31"/>
      <c r="G123" s="40" t="str">
        <f>IF(COUNTIF(D123:F123,"?*")=$N$5,"✅ CUBIERTO",
IF(COUNTIF(D123:F123,"?*")&gt;$N$5,"⚠ EXCESO",IF(COUNTIF(D123:F123,"?*")&gt;0,"⚠ FALTANTE",
"❌ SIN COMPLETAR")))</f>
        <v>❌ SIN COMPLETAR</v>
      </c>
      <c r="H123" s="17"/>
      <c r="I123" s="29">
        <v>46004</v>
      </c>
      <c r="J123" s="30" t="str">
        <f t="shared" si="59"/>
        <v>sáb</v>
      </c>
      <c r="K123" s="28">
        <v>0.66666666666666696</v>
      </c>
      <c r="L123" s="31"/>
      <c r="M123" s="31"/>
      <c r="N123" s="31"/>
      <c r="O123" s="32" t="str">
        <f t="shared" si="39"/>
        <v>❌ SIN COMPLETAR</v>
      </c>
      <c r="P123" s="17"/>
      <c r="Q123" s="29">
        <v>46004</v>
      </c>
      <c r="R123" s="30" t="str">
        <f t="shared" si="60"/>
        <v>sáb</v>
      </c>
      <c r="S123" s="28">
        <v>0.66666666666666696</v>
      </c>
      <c r="T123" s="31"/>
      <c r="U123" s="31"/>
      <c r="V123" s="31"/>
      <c r="W123" s="40" t="str">
        <f t="shared" si="49"/>
        <v>❌ SIN COMPLETAR</v>
      </c>
      <c r="Y123" s="29">
        <v>46004</v>
      </c>
      <c r="Z123" s="30" t="str">
        <f t="shared" si="61"/>
        <v>sáb</v>
      </c>
      <c r="AA123" s="28">
        <v>0.66666666666666696</v>
      </c>
      <c r="AB123" s="31"/>
      <c r="AC123" s="31"/>
      <c r="AD123" s="31"/>
      <c r="AE123" s="32" t="str">
        <f t="shared" si="40"/>
        <v>❌ SIN COMPLETAR</v>
      </c>
    </row>
    <row r="124" spans="1:31" x14ac:dyDescent="0.3">
      <c r="A124" s="29">
        <v>46004</v>
      </c>
      <c r="B124" s="30" t="str">
        <f t="shared" si="58"/>
        <v>sáb</v>
      </c>
      <c r="C124" s="28">
        <v>0.70833333333333304</v>
      </c>
      <c r="D124" s="31"/>
      <c r="E124" s="31"/>
      <c r="F124" s="31"/>
      <c r="G124" s="40" t="str">
        <f>IF(COUNTIF(D124:F124,"?*")=$N$5,"✅ CUBIERTO",
IF(COUNTIF(D124:F124,"?*")&gt;$N$5,"⚠ EXCESO",IF(COUNTIF(D124:F124,"?*")&gt;0,"⚠ FALTANTE",
"❌ SIN COMPLETAR")))</f>
        <v>❌ SIN COMPLETAR</v>
      </c>
      <c r="H124" s="17"/>
      <c r="I124" s="29">
        <v>46004</v>
      </c>
      <c r="J124" s="30" t="str">
        <f t="shared" si="59"/>
        <v>sáb</v>
      </c>
      <c r="K124" s="28">
        <v>0.70833333333333304</v>
      </c>
      <c r="L124" s="31"/>
      <c r="M124" s="31"/>
      <c r="N124" s="31"/>
      <c r="O124" s="32" t="str">
        <f t="shared" si="39"/>
        <v>❌ SIN COMPLETAR</v>
      </c>
      <c r="P124" s="17"/>
      <c r="Q124" s="29">
        <v>46004</v>
      </c>
      <c r="R124" s="30" t="str">
        <f t="shared" si="60"/>
        <v>sáb</v>
      </c>
      <c r="S124" s="28">
        <v>0.70833333333333304</v>
      </c>
      <c r="T124" s="31"/>
      <c r="U124" s="31"/>
      <c r="V124" s="31"/>
      <c r="W124" s="40" t="str">
        <f t="shared" si="49"/>
        <v>❌ SIN COMPLETAR</v>
      </c>
      <c r="Y124" s="29">
        <v>46004</v>
      </c>
      <c r="Z124" s="30" t="str">
        <f t="shared" si="61"/>
        <v>sáb</v>
      </c>
      <c r="AA124" s="28">
        <v>0.70833333333333304</v>
      </c>
      <c r="AB124" s="31"/>
      <c r="AC124" s="31"/>
      <c r="AD124" s="31"/>
      <c r="AE124" s="32" t="str">
        <f t="shared" si="40"/>
        <v>❌ SIN COMPLETAR</v>
      </c>
    </row>
    <row r="125" spans="1:31" x14ac:dyDescent="0.3">
      <c r="A125" s="29">
        <v>46004</v>
      </c>
      <c r="B125" s="30" t="str">
        <f t="shared" si="58"/>
        <v>sáb</v>
      </c>
      <c r="C125" s="28">
        <v>0.75</v>
      </c>
      <c r="D125" s="31"/>
      <c r="E125" s="31"/>
      <c r="F125" s="31"/>
      <c r="G125" s="40" t="str">
        <f>IF(COUNTIF(D125:F125,"?*")=$N$5,"✅ CUBIERTO",
IF(COUNTIF(D125:F125,"?*")&gt;$N$5,"⚠ EXCESO",IF(COUNTIF(D125:F125,"?*")&gt;0,"⚠ FALTANTE",
"❌ SIN COMPLETAR")))</f>
        <v>❌ SIN COMPLETAR</v>
      </c>
      <c r="H125" s="17"/>
      <c r="I125" s="29">
        <v>46004</v>
      </c>
      <c r="J125" s="30" t="str">
        <f t="shared" si="59"/>
        <v>sáb</v>
      </c>
      <c r="K125" s="28">
        <v>0.75</v>
      </c>
      <c r="L125" s="41"/>
      <c r="M125" s="41"/>
      <c r="N125" s="41"/>
      <c r="O125" s="32" t="str">
        <f t="shared" si="39"/>
        <v>❌ SIN COMPLETAR</v>
      </c>
      <c r="P125" s="17"/>
      <c r="Q125" s="29">
        <v>46004</v>
      </c>
      <c r="R125" s="30" t="str">
        <f t="shared" si="60"/>
        <v>sáb</v>
      </c>
      <c r="S125" s="28">
        <v>0.75</v>
      </c>
      <c r="T125" s="31"/>
      <c r="U125" s="31"/>
      <c r="V125" s="31"/>
      <c r="W125" s="40" t="str">
        <f t="shared" si="49"/>
        <v>❌ SIN COMPLETAR</v>
      </c>
      <c r="Y125" s="29">
        <v>46004</v>
      </c>
      <c r="Z125" s="30" t="str">
        <f t="shared" si="61"/>
        <v>sáb</v>
      </c>
      <c r="AA125" s="28">
        <v>0.75</v>
      </c>
      <c r="AB125" s="41"/>
      <c r="AC125" s="41"/>
      <c r="AD125" s="41"/>
      <c r="AE125" s="32" t="str">
        <f t="shared" si="40"/>
        <v>❌ SIN COMPLETAR</v>
      </c>
    </row>
    <row r="126" spans="1:31" x14ac:dyDescent="0.3">
      <c r="A126" s="29">
        <v>46005</v>
      </c>
      <c r="B126" s="30" t="str">
        <f>TEXT(A126,"ddd")</f>
        <v>dom</v>
      </c>
      <c r="C126" s="28">
        <v>0.45833333333333331</v>
      </c>
      <c r="D126" s="31"/>
      <c r="E126" s="31"/>
      <c r="F126" s="31"/>
      <c r="G126" s="40" t="str">
        <f>IF(COUNTIF(D126:F126,"?*")=$N$5,"✅ CUBIERTO",
IF(COUNTIF(D126:F126,"?*")&gt;$N$5,"⚠ EXCESO",IF(COUNTIF(D126:F126,"?*")&gt;0,"⚠ FALTANTE",
"❌ SIN COMPLETAR")))</f>
        <v>❌ SIN COMPLETAR</v>
      </c>
      <c r="H126" s="17"/>
      <c r="I126" s="29">
        <v>46005</v>
      </c>
      <c r="J126" s="30" t="str">
        <f>TEXT(I126,"ddd")</f>
        <v>dom</v>
      </c>
      <c r="K126" s="28">
        <v>0.45833333333333331</v>
      </c>
      <c r="L126" s="31"/>
      <c r="M126" s="31"/>
      <c r="N126" s="31"/>
      <c r="O126" s="32" t="str">
        <f t="shared" si="39"/>
        <v>❌ SIN COMPLETAR</v>
      </c>
      <c r="P126" s="17"/>
      <c r="Q126" s="29">
        <v>46005</v>
      </c>
      <c r="R126" s="30" t="str">
        <f>TEXT(Q126,"ddd")</f>
        <v>dom</v>
      </c>
      <c r="S126" s="28">
        <v>0.45833333333333331</v>
      </c>
      <c r="T126" s="31"/>
      <c r="U126" s="31"/>
      <c r="V126" s="31"/>
      <c r="W126" s="40" t="str">
        <f t="shared" si="49"/>
        <v>❌ SIN COMPLETAR</v>
      </c>
      <c r="Y126" s="29">
        <v>46005</v>
      </c>
      <c r="Z126" s="30" t="str">
        <f>TEXT(Y126,"ddd")</f>
        <v>dom</v>
      </c>
      <c r="AA126" s="28">
        <v>0.45833333333333331</v>
      </c>
      <c r="AB126" s="31"/>
      <c r="AC126" s="31"/>
      <c r="AD126" s="31"/>
      <c r="AE126" s="32" t="str">
        <f t="shared" si="40"/>
        <v>❌ SIN COMPLETAR</v>
      </c>
    </row>
    <row r="127" spans="1:31" x14ac:dyDescent="0.3">
      <c r="A127" s="29">
        <v>46005</v>
      </c>
      <c r="B127" s="30" t="str">
        <f t="shared" ref="B127:B133" si="62">TEXT(A127,"ddd")</f>
        <v>dom</v>
      </c>
      <c r="C127" s="28">
        <v>0.5</v>
      </c>
      <c r="D127" s="31"/>
      <c r="E127" s="31"/>
      <c r="F127" s="31"/>
      <c r="G127" s="40" t="str">
        <f>IF(COUNTIF(D127:F127,"?*")=$N$5,"✅ CUBIERTO",
IF(COUNTIF(D127:F127,"?*")&gt;$N$5,"⚠ EXCESO",IF(COUNTIF(D127:F127,"?*")&gt;0,"⚠ FALTANTE",
"❌ SIN COMPLETAR")))</f>
        <v>❌ SIN COMPLETAR</v>
      </c>
      <c r="H127" s="17"/>
      <c r="I127" s="29">
        <v>46005</v>
      </c>
      <c r="J127" s="30" t="str">
        <f t="shared" ref="J127:J133" si="63">TEXT(I127,"ddd")</f>
        <v>dom</v>
      </c>
      <c r="K127" s="28">
        <v>0.5</v>
      </c>
      <c r="L127" s="31"/>
      <c r="M127" s="31"/>
      <c r="N127" s="31"/>
      <c r="O127" s="32" t="str">
        <f t="shared" si="39"/>
        <v>❌ SIN COMPLETAR</v>
      </c>
      <c r="P127" s="17"/>
      <c r="Q127" s="29">
        <v>46005</v>
      </c>
      <c r="R127" s="30" t="str">
        <f t="shared" ref="R127:R133" si="64">TEXT(Q127,"ddd")</f>
        <v>dom</v>
      </c>
      <c r="S127" s="28">
        <v>0.5</v>
      </c>
      <c r="T127" s="31"/>
      <c r="U127" s="31"/>
      <c r="V127" s="31"/>
      <c r="W127" s="40" t="str">
        <f t="shared" si="49"/>
        <v>❌ SIN COMPLETAR</v>
      </c>
      <c r="Y127" s="29">
        <v>46005</v>
      </c>
      <c r="Z127" s="30" t="str">
        <f t="shared" ref="Z127:Z133" si="65">TEXT(Y127,"ddd")</f>
        <v>dom</v>
      </c>
      <c r="AA127" s="28">
        <v>0.5</v>
      </c>
      <c r="AB127" s="31"/>
      <c r="AC127" s="31"/>
      <c r="AD127" s="31"/>
      <c r="AE127" s="32" t="str">
        <f t="shared" si="40"/>
        <v>❌ SIN COMPLETAR</v>
      </c>
    </row>
    <row r="128" spans="1:31" x14ac:dyDescent="0.3">
      <c r="A128" s="29">
        <v>46005</v>
      </c>
      <c r="B128" s="30" t="str">
        <f t="shared" si="62"/>
        <v>dom</v>
      </c>
      <c r="C128" s="28">
        <v>0.54166666666666696</v>
      </c>
      <c r="D128" s="31"/>
      <c r="E128" s="31"/>
      <c r="F128" s="31"/>
      <c r="G128" s="40" t="str">
        <f>IF(COUNTIF(D128:F128,"?*")=$N$5,"✅ CUBIERTO",
IF(COUNTIF(D128:F128,"?*")&gt;$N$5,"⚠ EXCESO",IF(COUNTIF(D128:F128,"?*")&gt;0,"⚠ FALTANTE",
"❌ SIN COMPLETAR")))</f>
        <v>❌ SIN COMPLETAR</v>
      </c>
      <c r="H128" s="17"/>
      <c r="I128" s="29">
        <v>46005</v>
      </c>
      <c r="J128" s="30" t="str">
        <f t="shared" si="63"/>
        <v>dom</v>
      </c>
      <c r="K128" s="28">
        <v>0.54166666666666696</v>
      </c>
      <c r="L128" s="31"/>
      <c r="M128" s="31"/>
      <c r="N128" s="31"/>
      <c r="O128" s="32" t="str">
        <f t="shared" si="39"/>
        <v>❌ SIN COMPLETAR</v>
      </c>
      <c r="P128" s="17"/>
      <c r="Q128" s="29">
        <v>46005</v>
      </c>
      <c r="R128" s="30" t="str">
        <f t="shared" si="64"/>
        <v>dom</v>
      </c>
      <c r="S128" s="28">
        <v>0.54166666666666696</v>
      </c>
      <c r="T128" s="31"/>
      <c r="U128" s="31"/>
      <c r="V128" s="31"/>
      <c r="W128" s="40" t="str">
        <f t="shared" si="49"/>
        <v>❌ SIN COMPLETAR</v>
      </c>
      <c r="Y128" s="29">
        <v>46005</v>
      </c>
      <c r="Z128" s="30" t="str">
        <f t="shared" si="65"/>
        <v>dom</v>
      </c>
      <c r="AA128" s="28">
        <v>0.54166666666666696</v>
      </c>
      <c r="AB128" s="31"/>
      <c r="AC128" s="31"/>
      <c r="AD128" s="31"/>
      <c r="AE128" s="32" t="str">
        <f t="shared" si="40"/>
        <v>❌ SIN COMPLETAR</v>
      </c>
    </row>
    <row r="129" spans="1:31" x14ac:dyDescent="0.3">
      <c r="A129" s="29">
        <v>46005</v>
      </c>
      <c r="B129" s="30" t="str">
        <f t="shared" si="62"/>
        <v>dom</v>
      </c>
      <c r="C129" s="28">
        <v>0.58333333333333304</v>
      </c>
      <c r="D129" s="31"/>
      <c r="E129" s="31"/>
      <c r="F129" s="31"/>
      <c r="G129" s="40" t="str">
        <f>IF(COUNTIF(D129:F129,"?*")=$N$5,"✅ CUBIERTO",
IF(COUNTIF(D129:F129,"?*")&gt;$N$5,"⚠ EXCESO",IF(COUNTIF(D129:F129,"?*")&gt;0,"⚠ FALTANTE",
"❌ SIN COMPLETAR")))</f>
        <v>❌ SIN COMPLETAR</v>
      </c>
      <c r="H129" s="17"/>
      <c r="I129" s="29">
        <v>46005</v>
      </c>
      <c r="J129" s="30" t="str">
        <f t="shared" si="63"/>
        <v>dom</v>
      </c>
      <c r="K129" s="28">
        <v>0.58333333333333304</v>
      </c>
      <c r="L129" s="31"/>
      <c r="M129" s="31"/>
      <c r="N129" s="31"/>
      <c r="O129" s="32" t="str">
        <f t="shared" si="39"/>
        <v>❌ SIN COMPLETAR</v>
      </c>
      <c r="P129" s="17"/>
      <c r="Q129" s="29">
        <v>46005</v>
      </c>
      <c r="R129" s="30" t="str">
        <f t="shared" si="64"/>
        <v>dom</v>
      </c>
      <c r="S129" s="28">
        <v>0.58333333333333304</v>
      </c>
      <c r="T129" s="31"/>
      <c r="U129" s="31"/>
      <c r="V129" s="31"/>
      <c r="W129" s="40" t="str">
        <f t="shared" si="49"/>
        <v>❌ SIN COMPLETAR</v>
      </c>
      <c r="Y129" s="29">
        <v>46005</v>
      </c>
      <c r="Z129" s="30" t="str">
        <f t="shared" si="65"/>
        <v>dom</v>
      </c>
      <c r="AA129" s="28">
        <v>0.58333333333333304</v>
      </c>
      <c r="AB129" s="31"/>
      <c r="AC129" s="31"/>
      <c r="AD129" s="31"/>
      <c r="AE129" s="32" t="str">
        <f t="shared" si="40"/>
        <v>❌ SIN COMPLETAR</v>
      </c>
    </row>
    <row r="130" spans="1:31" x14ac:dyDescent="0.3">
      <c r="A130" s="29">
        <v>46005</v>
      </c>
      <c r="B130" s="30" t="str">
        <f t="shared" si="62"/>
        <v>dom</v>
      </c>
      <c r="C130" s="28">
        <v>0.625</v>
      </c>
      <c r="D130" s="31"/>
      <c r="E130" s="31"/>
      <c r="F130" s="31"/>
      <c r="G130" s="40" t="str">
        <f>IF(COUNTIF(D130:F130,"?*")=$N$5,"✅ CUBIERTO",
IF(COUNTIF(D130:F130,"?*")&gt;$N$5,"⚠ EXCESO",IF(COUNTIF(D130:F130,"?*")&gt;0,"⚠ FALTANTE",
"❌ SIN COMPLETAR")))</f>
        <v>❌ SIN COMPLETAR</v>
      </c>
      <c r="H130" s="17"/>
      <c r="I130" s="29">
        <v>46005</v>
      </c>
      <c r="J130" s="30" t="str">
        <f t="shared" si="63"/>
        <v>dom</v>
      </c>
      <c r="K130" s="28">
        <v>0.625</v>
      </c>
      <c r="L130" s="31"/>
      <c r="M130" s="31"/>
      <c r="N130" s="31"/>
      <c r="O130" s="32" t="str">
        <f t="shared" si="39"/>
        <v>❌ SIN COMPLETAR</v>
      </c>
      <c r="P130" s="17"/>
      <c r="Q130" s="29">
        <v>46005</v>
      </c>
      <c r="R130" s="30" t="str">
        <f t="shared" si="64"/>
        <v>dom</v>
      </c>
      <c r="S130" s="28">
        <v>0.625</v>
      </c>
      <c r="T130" s="31"/>
      <c r="U130" s="31"/>
      <c r="V130" s="31"/>
      <c r="W130" s="40" t="str">
        <f t="shared" si="49"/>
        <v>❌ SIN COMPLETAR</v>
      </c>
      <c r="Y130" s="29">
        <v>46005</v>
      </c>
      <c r="Z130" s="30" t="str">
        <f t="shared" si="65"/>
        <v>dom</v>
      </c>
      <c r="AA130" s="28">
        <v>0.625</v>
      </c>
      <c r="AB130" s="31"/>
      <c r="AC130" s="31"/>
      <c r="AD130" s="31"/>
      <c r="AE130" s="32" t="str">
        <f t="shared" si="40"/>
        <v>❌ SIN COMPLETAR</v>
      </c>
    </row>
    <row r="131" spans="1:31" x14ac:dyDescent="0.3">
      <c r="A131" s="29">
        <v>46005</v>
      </c>
      <c r="B131" s="30" t="str">
        <f t="shared" si="62"/>
        <v>dom</v>
      </c>
      <c r="C131" s="28">
        <v>0.66666666666666696</v>
      </c>
      <c r="D131" s="31"/>
      <c r="E131" s="31"/>
      <c r="F131" s="31"/>
      <c r="G131" s="40" t="str">
        <f>IF(COUNTIF(D131:F131,"?*")=$N$5,"✅ CUBIERTO",
IF(COUNTIF(D131:F131,"?*")&gt;$N$5,"⚠ EXCESO",IF(COUNTIF(D131:F131,"?*")&gt;0,"⚠ FALTANTE",
"❌ SIN COMPLETAR")))</f>
        <v>❌ SIN COMPLETAR</v>
      </c>
      <c r="H131" s="17"/>
      <c r="I131" s="29">
        <v>46005</v>
      </c>
      <c r="J131" s="30" t="str">
        <f t="shared" si="63"/>
        <v>dom</v>
      </c>
      <c r="K131" s="28">
        <v>0.66666666666666696</v>
      </c>
      <c r="L131" s="31"/>
      <c r="M131" s="31"/>
      <c r="N131" s="31"/>
      <c r="O131" s="32" t="str">
        <f t="shared" si="39"/>
        <v>❌ SIN COMPLETAR</v>
      </c>
      <c r="P131" s="17"/>
      <c r="Q131" s="29">
        <v>46005</v>
      </c>
      <c r="R131" s="30" t="str">
        <f t="shared" si="64"/>
        <v>dom</v>
      </c>
      <c r="S131" s="28">
        <v>0.66666666666666696</v>
      </c>
      <c r="T131" s="31"/>
      <c r="U131" s="31"/>
      <c r="V131" s="31"/>
      <c r="W131" s="40" t="str">
        <f t="shared" si="49"/>
        <v>❌ SIN COMPLETAR</v>
      </c>
      <c r="Y131" s="29">
        <v>46005</v>
      </c>
      <c r="Z131" s="30" t="str">
        <f t="shared" si="65"/>
        <v>dom</v>
      </c>
      <c r="AA131" s="28">
        <v>0.66666666666666696</v>
      </c>
      <c r="AB131" s="31"/>
      <c r="AC131" s="31"/>
      <c r="AD131" s="31"/>
      <c r="AE131" s="32" t="str">
        <f t="shared" si="40"/>
        <v>❌ SIN COMPLETAR</v>
      </c>
    </row>
    <row r="132" spans="1:31" x14ac:dyDescent="0.3">
      <c r="A132" s="29">
        <v>46005</v>
      </c>
      <c r="B132" s="30" t="str">
        <f t="shared" si="62"/>
        <v>dom</v>
      </c>
      <c r="C132" s="28">
        <v>0.70833333333333304</v>
      </c>
      <c r="D132" s="31"/>
      <c r="E132" s="31"/>
      <c r="F132" s="31"/>
      <c r="G132" s="40" t="str">
        <f>IF(COUNTIF(D132:F132,"?*")=$N$5,"✅ CUBIERTO",
IF(COUNTIF(D132:F132,"?*")&gt;$N$5,"⚠ EXCESO",IF(COUNTIF(D132:F132,"?*")&gt;0,"⚠ FALTANTE",
"❌ SIN COMPLETAR")))</f>
        <v>❌ SIN COMPLETAR</v>
      </c>
      <c r="H132" s="17"/>
      <c r="I132" s="29">
        <v>46005</v>
      </c>
      <c r="J132" s="30" t="str">
        <f t="shared" si="63"/>
        <v>dom</v>
      </c>
      <c r="K132" s="28">
        <v>0.70833333333333304</v>
      </c>
      <c r="L132" s="31"/>
      <c r="M132" s="31"/>
      <c r="N132" s="31"/>
      <c r="O132" s="32" t="str">
        <f t="shared" si="39"/>
        <v>❌ SIN COMPLETAR</v>
      </c>
      <c r="P132" s="17"/>
      <c r="Q132" s="29">
        <v>46005</v>
      </c>
      <c r="R132" s="30" t="str">
        <f t="shared" si="64"/>
        <v>dom</v>
      </c>
      <c r="S132" s="28">
        <v>0.70833333333333304</v>
      </c>
      <c r="T132" s="31"/>
      <c r="U132" s="31"/>
      <c r="V132" s="31"/>
      <c r="W132" s="40" t="str">
        <f t="shared" si="49"/>
        <v>❌ SIN COMPLETAR</v>
      </c>
      <c r="Y132" s="29">
        <v>46005</v>
      </c>
      <c r="Z132" s="30" t="str">
        <f t="shared" si="65"/>
        <v>dom</v>
      </c>
      <c r="AA132" s="28">
        <v>0.70833333333333304</v>
      </c>
      <c r="AB132" s="31"/>
      <c r="AC132" s="31"/>
      <c r="AD132" s="31"/>
      <c r="AE132" s="32" t="str">
        <f t="shared" si="40"/>
        <v>❌ SIN COMPLETAR</v>
      </c>
    </row>
    <row r="133" spans="1:31" x14ac:dyDescent="0.3">
      <c r="A133" s="29">
        <v>46005</v>
      </c>
      <c r="B133" s="30" t="str">
        <f t="shared" si="62"/>
        <v>dom</v>
      </c>
      <c r="C133" s="28">
        <v>0.75</v>
      </c>
      <c r="D133" s="31"/>
      <c r="E133" s="31"/>
      <c r="F133" s="31"/>
      <c r="G133" s="40" t="str">
        <f>IF(COUNTIF(D133:F133,"?*")=$N$5,"✅ CUBIERTO",
IF(COUNTIF(D133:F133,"?*")&gt;$N$5,"⚠ EXCESO",IF(COUNTIF(D133:F133,"?*")&gt;0,"⚠ FALTANTE",
"❌ SIN COMPLETAR")))</f>
        <v>❌ SIN COMPLETAR</v>
      </c>
      <c r="H133" s="17"/>
      <c r="I133" s="29">
        <v>46005</v>
      </c>
      <c r="J133" s="30" t="str">
        <f t="shared" si="63"/>
        <v>dom</v>
      </c>
      <c r="K133" s="28">
        <v>0.75</v>
      </c>
      <c r="L133" s="41"/>
      <c r="M133" s="41"/>
      <c r="N133" s="41"/>
      <c r="O133" s="32" t="str">
        <f t="shared" si="39"/>
        <v>❌ SIN COMPLETAR</v>
      </c>
      <c r="P133" s="17"/>
      <c r="Q133" s="29">
        <v>46005</v>
      </c>
      <c r="R133" s="30" t="str">
        <f t="shared" si="64"/>
        <v>dom</v>
      </c>
      <c r="S133" s="28">
        <v>0.75</v>
      </c>
      <c r="T133" s="31"/>
      <c r="U133" s="31"/>
      <c r="V133" s="31"/>
      <c r="W133" s="40" t="str">
        <f t="shared" si="49"/>
        <v>❌ SIN COMPLETAR</v>
      </c>
      <c r="Y133" s="29">
        <v>46005</v>
      </c>
      <c r="Z133" s="30" t="str">
        <f t="shared" si="65"/>
        <v>dom</v>
      </c>
      <c r="AA133" s="28">
        <v>0.75</v>
      </c>
      <c r="AB133" s="41"/>
      <c r="AC133" s="41"/>
      <c r="AD133" s="41"/>
      <c r="AE133" s="32" t="str">
        <f t="shared" si="40"/>
        <v>❌ SIN COMPLETAR</v>
      </c>
    </row>
    <row r="134" spans="1:31" x14ac:dyDescent="0.3">
      <c r="A134" s="29">
        <v>46006</v>
      </c>
      <c r="B134" s="30" t="str">
        <f>TEXT(A134,"ddd")</f>
        <v>lun</v>
      </c>
      <c r="C134" s="28">
        <v>0.45833333333333331</v>
      </c>
      <c r="D134" s="31" t="s">
        <v>34</v>
      </c>
      <c r="E134" s="31" t="s">
        <v>35</v>
      </c>
      <c r="F134" s="31"/>
      <c r="G134" s="40" t="str">
        <f>IF(COUNTIF(D134:F134,"?*")=$N$5,"✅ CUBIERTO",
IF(COUNTIF(D134:F134,"?*")&gt;$N$5,"⚠ EXCESO",IF(COUNTIF(D134:F134,"?*")&gt;0,"⚠ FALTANTE",
"❌ SIN COMPLETAR")))</f>
        <v>✅ CUBIERTO</v>
      </c>
      <c r="H134" s="17"/>
      <c r="I134" s="29">
        <v>46006</v>
      </c>
      <c r="J134" s="30" t="str">
        <f>TEXT(I134,"ddd")</f>
        <v>lun</v>
      </c>
      <c r="K134" s="28">
        <v>0.45833333333333331</v>
      </c>
      <c r="L134" s="41"/>
      <c r="M134" s="41"/>
      <c r="N134" s="41"/>
      <c r="O134" s="32" t="str">
        <f t="shared" si="39"/>
        <v>❌ SIN COMPLETAR</v>
      </c>
      <c r="P134" s="17"/>
      <c r="Q134" s="29">
        <v>46006</v>
      </c>
      <c r="R134" s="30" t="str">
        <f>TEXT(Q134,"ddd")</f>
        <v>lun</v>
      </c>
      <c r="S134" s="28">
        <v>0.45833333333333331</v>
      </c>
      <c r="T134" s="31"/>
      <c r="U134" s="31"/>
      <c r="V134" s="31"/>
      <c r="W134" s="40" t="s">
        <v>16</v>
      </c>
      <c r="Y134" s="29">
        <v>46006</v>
      </c>
      <c r="Z134" s="30" t="str">
        <f>TEXT(Y134,"ddd")</f>
        <v>lun</v>
      </c>
      <c r="AA134" s="28">
        <v>0.45833333333333331</v>
      </c>
      <c r="AB134" s="41"/>
      <c r="AC134" s="41"/>
      <c r="AD134" s="41"/>
      <c r="AE134" s="32" t="str">
        <f t="shared" si="40"/>
        <v>❌ SIN COMPLETAR</v>
      </c>
    </row>
    <row r="135" spans="1:31" x14ac:dyDescent="0.3">
      <c r="A135" s="29">
        <v>46006</v>
      </c>
      <c r="B135" s="30" t="str">
        <f t="shared" ref="B135:B141" si="66">TEXT(A135,"ddd")</f>
        <v>lun</v>
      </c>
      <c r="C135" s="28">
        <v>0.5</v>
      </c>
      <c r="D135" s="31" t="s">
        <v>34</v>
      </c>
      <c r="E135" s="31" t="s">
        <v>35</v>
      </c>
      <c r="F135" s="31"/>
      <c r="G135" s="40" t="str">
        <f>IF(COUNTIF(D135:F135,"?*")=$N$5,"✅ CUBIERTO",
IF(COUNTIF(D135:F135,"?*")&gt;$N$5,"⚠ EXCESO",IF(COUNTIF(D135:F135,"?*")&gt;0,"⚠ FALTANTE",
"❌ SIN COMPLETAR")))</f>
        <v>✅ CUBIERTO</v>
      </c>
      <c r="H135" s="17"/>
      <c r="I135" s="29">
        <v>46006</v>
      </c>
      <c r="J135" s="30" t="str">
        <f t="shared" ref="J135:J141" si="67">TEXT(I135,"ddd")</f>
        <v>lun</v>
      </c>
      <c r="K135" s="28">
        <v>0.5</v>
      </c>
      <c r="L135" s="41"/>
      <c r="M135" s="41"/>
      <c r="N135" s="41"/>
      <c r="O135" s="32" t="str">
        <f t="shared" si="39"/>
        <v>❌ SIN COMPLETAR</v>
      </c>
      <c r="P135" s="17"/>
      <c r="Q135" s="29">
        <v>46006</v>
      </c>
      <c r="R135" s="30" t="str">
        <f t="shared" ref="R135:R141" si="68">TEXT(Q135,"ddd")</f>
        <v>lun</v>
      </c>
      <c r="S135" s="28">
        <v>0.5</v>
      </c>
      <c r="T135" s="31"/>
      <c r="U135" s="31"/>
      <c r="V135" s="31"/>
      <c r="W135" s="40" t="str">
        <f t="shared" si="49"/>
        <v>❌ SIN COMPLETAR</v>
      </c>
      <c r="Y135" s="29">
        <v>46006</v>
      </c>
      <c r="Z135" s="30" t="str">
        <f t="shared" ref="Z135:Z141" si="69">TEXT(Y135,"ddd")</f>
        <v>lun</v>
      </c>
      <c r="AA135" s="28">
        <v>0.5</v>
      </c>
      <c r="AB135" s="41"/>
      <c r="AC135" s="41"/>
      <c r="AD135" s="41"/>
      <c r="AE135" s="32" t="str">
        <f t="shared" si="40"/>
        <v>❌ SIN COMPLETAR</v>
      </c>
    </row>
    <row r="136" spans="1:31" x14ac:dyDescent="0.3">
      <c r="A136" s="29">
        <v>46006</v>
      </c>
      <c r="B136" s="30" t="str">
        <f t="shared" si="66"/>
        <v>lun</v>
      </c>
      <c r="C136" s="28">
        <v>0.54166666666666696</v>
      </c>
      <c r="D136" s="31" t="s">
        <v>34</v>
      </c>
      <c r="E136" s="31" t="s">
        <v>35</v>
      </c>
      <c r="F136" s="31"/>
      <c r="G136" s="40" t="str">
        <f>IF(COUNTIF(D136:F136,"?*")=$N$5,"✅ CUBIERTO",
IF(COUNTIF(D136:F136,"?*")&gt;$N$5,"⚠ EXCESO",IF(COUNTIF(D136:F136,"?*")&gt;0,"⚠ FALTANTE",
"❌ SIN COMPLETAR")))</f>
        <v>✅ CUBIERTO</v>
      </c>
      <c r="H136" s="17"/>
      <c r="I136" s="29">
        <v>46006</v>
      </c>
      <c r="J136" s="30" t="str">
        <f t="shared" si="67"/>
        <v>lun</v>
      </c>
      <c r="K136" s="28">
        <v>0.54166666666666696</v>
      </c>
      <c r="L136" s="41"/>
      <c r="M136" s="41"/>
      <c r="N136" s="41"/>
      <c r="O136" s="32" t="str">
        <f t="shared" si="39"/>
        <v>❌ SIN COMPLETAR</v>
      </c>
      <c r="P136" s="17"/>
      <c r="Q136" s="29">
        <v>46006</v>
      </c>
      <c r="R136" s="30" t="str">
        <f t="shared" si="68"/>
        <v>lun</v>
      </c>
      <c r="S136" s="28">
        <v>0.54166666666666696</v>
      </c>
      <c r="T136" s="31"/>
      <c r="U136" s="31"/>
      <c r="V136" s="31"/>
      <c r="W136" s="40" t="str">
        <f t="shared" si="49"/>
        <v>❌ SIN COMPLETAR</v>
      </c>
      <c r="Y136" s="29">
        <v>46006</v>
      </c>
      <c r="Z136" s="30" t="str">
        <f t="shared" si="69"/>
        <v>lun</v>
      </c>
      <c r="AA136" s="28">
        <v>0.54166666666666696</v>
      </c>
      <c r="AB136" s="41"/>
      <c r="AC136" s="41"/>
      <c r="AD136" s="41"/>
      <c r="AE136" s="32" t="str">
        <f t="shared" si="40"/>
        <v>❌ SIN COMPLETAR</v>
      </c>
    </row>
    <row r="137" spans="1:31" x14ac:dyDescent="0.3">
      <c r="A137" s="29">
        <v>46006</v>
      </c>
      <c r="B137" s="30" t="str">
        <f t="shared" si="66"/>
        <v>lun</v>
      </c>
      <c r="C137" s="28">
        <v>0.58333333333333304</v>
      </c>
      <c r="D137" s="31" t="s">
        <v>34</v>
      </c>
      <c r="E137" s="31" t="s">
        <v>35</v>
      </c>
      <c r="F137" s="31"/>
      <c r="G137" s="40" t="str">
        <f>IF(COUNTIF(D137:F137,"?*")=$N$5,"✅ CUBIERTO",
IF(COUNTIF(D137:F137,"?*")&gt;$N$5,"⚠ EXCESO",IF(COUNTIF(D137:F137,"?*")&gt;0,"⚠ FALTANTE",
"❌ SIN COMPLETAR")))</f>
        <v>✅ CUBIERTO</v>
      </c>
      <c r="H137" s="17"/>
      <c r="I137" s="29">
        <v>46006</v>
      </c>
      <c r="J137" s="30" t="str">
        <f t="shared" si="67"/>
        <v>lun</v>
      </c>
      <c r="K137" s="28">
        <v>0.58333333333333304</v>
      </c>
      <c r="L137" s="41"/>
      <c r="M137" s="41"/>
      <c r="N137" s="41"/>
      <c r="O137" s="32" t="str">
        <f t="shared" si="39"/>
        <v>❌ SIN COMPLETAR</v>
      </c>
      <c r="P137" s="17"/>
      <c r="Q137" s="29">
        <v>46006</v>
      </c>
      <c r="R137" s="30" t="str">
        <f t="shared" si="68"/>
        <v>lun</v>
      </c>
      <c r="S137" s="28">
        <v>0.58333333333333304</v>
      </c>
      <c r="T137" s="31"/>
      <c r="U137" s="31"/>
      <c r="V137" s="31"/>
      <c r="W137" s="40" t="str">
        <f t="shared" si="49"/>
        <v>❌ SIN COMPLETAR</v>
      </c>
      <c r="Y137" s="29">
        <v>46006</v>
      </c>
      <c r="Z137" s="30" t="str">
        <f t="shared" si="69"/>
        <v>lun</v>
      </c>
      <c r="AA137" s="28">
        <v>0.58333333333333304</v>
      </c>
      <c r="AB137" s="41"/>
      <c r="AC137" s="41"/>
      <c r="AD137" s="41"/>
      <c r="AE137" s="32" t="str">
        <f t="shared" si="40"/>
        <v>❌ SIN COMPLETAR</v>
      </c>
    </row>
    <row r="138" spans="1:31" x14ac:dyDescent="0.3">
      <c r="A138" s="29">
        <v>46006</v>
      </c>
      <c r="B138" s="30" t="str">
        <f t="shared" si="66"/>
        <v>lun</v>
      </c>
      <c r="C138" s="28">
        <v>0.625</v>
      </c>
      <c r="D138" s="31" t="s">
        <v>37</v>
      </c>
      <c r="E138" s="31" t="s">
        <v>39</v>
      </c>
      <c r="F138" s="31"/>
      <c r="G138" s="40" t="str">
        <f>IF(COUNTIF(D138:F138,"?*")=$N$5,"✅ CUBIERTO",
IF(COUNTIF(D138:F138,"?*")&gt;$N$5,"⚠ EXCESO",IF(COUNTIF(D138:F138,"?*")&gt;0,"⚠ FALTANTE",
"❌ SIN COMPLETAR")))</f>
        <v>✅ CUBIERTO</v>
      </c>
      <c r="H138" s="17"/>
      <c r="I138" s="29">
        <v>46006</v>
      </c>
      <c r="J138" s="30" t="str">
        <f t="shared" si="67"/>
        <v>lun</v>
      </c>
      <c r="K138" s="28">
        <v>0.625</v>
      </c>
      <c r="L138" s="41"/>
      <c r="M138" s="41"/>
      <c r="N138" s="41"/>
      <c r="O138" s="32" t="str">
        <f t="shared" si="39"/>
        <v>❌ SIN COMPLETAR</v>
      </c>
      <c r="P138" s="17"/>
      <c r="Q138" s="29">
        <v>46006</v>
      </c>
      <c r="R138" s="30" t="str">
        <f t="shared" si="68"/>
        <v>lun</v>
      </c>
      <c r="S138" s="28">
        <v>0.625</v>
      </c>
      <c r="T138" s="31"/>
      <c r="U138" s="31"/>
      <c r="V138" s="31"/>
      <c r="W138" s="40" t="str">
        <f t="shared" si="49"/>
        <v>❌ SIN COMPLETAR</v>
      </c>
      <c r="Y138" s="29">
        <v>46006</v>
      </c>
      <c r="Z138" s="30" t="str">
        <f t="shared" si="69"/>
        <v>lun</v>
      </c>
      <c r="AA138" s="28">
        <v>0.625</v>
      </c>
      <c r="AB138" s="41"/>
      <c r="AC138" s="41"/>
      <c r="AD138" s="41"/>
      <c r="AE138" s="32" t="str">
        <f t="shared" si="40"/>
        <v>❌ SIN COMPLETAR</v>
      </c>
    </row>
    <row r="139" spans="1:31" x14ac:dyDescent="0.3">
      <c r="A139" s="29">
        <v>46006</v>
      </c>
      <c r="B139" s="30" t="str">
        <f t="shared" si="66"/>
        <v>lun</v>
      </c>
      <c r="C139" s="28">
        <v>0.66666666666666696</v>
      </c>
      <c r="D139" s="31" t="s">
        <v>37</v>
      </c>
      <c r="E139" s="31" t="s">
        <v>39</v>
      </c>
      <c r="F139" s="31"/>
      <c r="G139" s="40" t="str">
        <f>IF(COUNTIF(D139:F139,"?*")=$N$5,"✅ CUBIERTO",
IF(COUNTIF(D139:F139,"?*")&gt;$N$5,"⚠ EXCESO",IF(COUNTIF(D139:F139,"?*")&gt;0,"⚠ FALTANTE",
"❌ SIN COMPLETAR")))</f>
        <v>✅ CUBIERTO</v>
      </c>
      <c r="H139" s="17"/>
      <c r="I139" s="29">
        <v>46006</v>
      </c>
      <c r="J139" s="30" t="str">
        <f t="shared" si="67"/>
        <v>lun</v>
      </c>
      <c r="K139" s="28">
        <v>0.66666666666666696</v>
      </c>
      <c r="L139" s="41"/>
      <c r="M139" s="41"/>
      <c r="N139" s="41"/>
      <c r="O139" s="32" t="str">
        <f t="shared" si="39"/>
        <v>❌ SIN COMPLETAR</v>
      </c>
      <c r="P139" s="17"/>
      <c r="Q139" s="29">
        <v>46006</v>
      </c>
      <c r="R139" s="30" t="str">
        <f t="shared" si="68"/>
        <v>lun</v>
      </c>
      <c r="S139" s="28">
        <v>0.66666666666666696</v>
      </c>
      <c r="T139" s="31"/>
      <c r="U139" s="31"/>
      <c r="V139" s="31"/>
      <c r="W139" s="40" t="str">
        <f t="shared" si="49"/>
        <v>❌ SIN COMPLETAR</v>
      </c>
      <c r="Y139" s="29">
        <v>46006</v>
      </c>
      <c r="Z139" s="30" t="str">
        <f t="shared" si="69"/>
        <v>lun</v>
      </c>
      <c r="AA139" s="28">
        <v>0.66666666666666696</v>
      </c>
      <c r="AB139" s="41"/>
      <c r="AC139" s="41"/>
      <c r="AD139" s="41"/>
      <c r="AE139" s="32" t="str">
        <f t="shared" si="40"/>
        <v>❌ SIN COMPLETAR</v>
      </c>
    </row>
    <row r="140" spans="1:31" x14ac:dyDescent="0.3">
      <c r="A140" s="29">
        <v>46006</v>
      </c>
      <c r="B140" s="30" t="str">
        <f t="shared" si="66"/>
        <v>lun</v>
      </c>
      <c r="C140" s="28">
        <v>0.70833333333333304</v>
      </c>
      <c r="D140" s="31" t="s">
        <v>37</v>
      </c>
      <c r="E140" s="31" t="s">
        <v>39</v>
      </c>
      <c r="F140" s="31"/>
      <c r="G140" s="40" t="str">
        <f>IF(COUNTIF(D140:F140,"?*")=$N$5,"✅ CUBIERTO",
IF(COUNTIF(D140:F140,"?*")&gt;$N$5,"⚠ EXCESO",IF(COUNTIF(D140:F140,"?*")&gt;0,"⚠ FALTANTE",
"❌ SIN COMPLETAR")))</f>
        <v>✅ CUBIERTO</v>
      </c>
      <c r="H140" s="17"/>
      <c r="I140" s="29">
        <v>46006</v>
      </c>
      <c r="J140" s="30" t="str">
        <f t="shared" si="67"/>
        <v>lun</v>
      </c>
      <c r="K140" s="28">
        <v>0.70833333333333304</v>
      </c>
      <c r="L140" s="41"/>
      <c r="M140" s="41"/>
      <c r="N140" s="41"/>
      <c r="O140" s="32" t="str">
        <f t="shared" si="39"/>
        <v>❌ SIN COMPLETAR</v>
      </c>
      <c r="P140" s="17"/>
      <c r="Q140" s="29">
        <v>46006</v>
      </c>
      <c r="R140" s="30" t="str">
        <f t="shared" si="68"/>
        <v>lun</v>
      </c>
      <c r="S140" s="28">
        <v>0.70833333333333304</v>
      </c>
      <c r="T140" s="31"/>
      <c r="U140" s="31"/>
      <c r="V140" s="31"/>
      <c r="W140" s="40" t="str">
        <f t="shared" si="49"/>
        <v>❌ SIN COMPLETAR</v>
      </c>
      <c r="Y140" s="29">
        <v>46006</v>
      </c>
      <c r="Z140" s="30" t="str">
        <f t="shared" si="69"/>
        <v>lun</v>
      </c>
      <c r="AA140" s="28">
        <v>0.70833333333333304</v>
      </c>
      <c r="AB140" s="41"/>
      <c r="AC140" s="41"/>
      <c r="AD140" s="41"/>
      <c r="AE140" s="32" t="str">
        <f t="shared" si="40"/>
        <v>❌ SIN COMPLETAR</v>
      </c>
    </row>
    <row r="141" spans="1:31" x14ac:dyDescent="0.3">
      <c r="A141" s="29">
        <v>46006</v>
      </c>
      <c r="B141" s="30" t="str">
        <f t="shared" si="66"/>
        <v>lun</v>
      </c>
      <c r="C141" s="28">
        <v>0.75</v>
      </c>
      <c r="D141" s="31" t="s">
        <v>37</v>
      </c>
      <c r="E141" s="31" t="s">
        <v>39</v>
      </c>
      <c r="F141" s="31"/>
      <c r="G141" s="40" t="str">
        <f>IF(COUNTIF(D141:F141,"?*")=$N$5,"✅ CUBIERTO",
IF(COUNTIF(D141:F141,"?*")&gt;$N$5,"⚠ EXCESO",IF(COUNTIF(D141:F141,"?*")&gt;0,"⚠ FALTANTE",
"❌ SIN COMPLETAR")))</f>
        <v>✅ CUBIERTO</v>
      </c>
      <c r="H141" s="17"/>
      <c r="I141" s="29">
        <v>46006</v>
      </c>
      <c r="J141" s="30" t="str">
        <f t="shared" si="67"/>
        <v>lun</v>
      </c>
      <c r="K141" s="28">
        <v>0.75</v>
      </c>
      <c r="L141" s="41"/>
      <c r="M141" s="41"/>
      <c r="N141" s="41"/>
      <c r="O141" s="32" t="str">
        <f t="shared" si="39"/>
        <v>❌ SIN COMPLETAR</v>
      </c>
      <c r="P141" s="17"/>
      <c r="Q141" s="29">
        <v>46006</v>
      </c>
      <c r="R141" s="30" t="str">
        <f t="shared" si="68"/>
        <v>lun</v>
      </c>
      <c r="S141" s="28">
        <v>0.75</v>
      </c>
      <c r="T141" s="31"/>
      <c r="U141" s="31"/>
      <c r="V141" s="31"/>
      <c r="W141" s="40" t="s">
        <v>16</v>
      </c>
      <c r="Y141" s="29">
        <v>46006</v>
      </c>
      <c r="Z141" s="30" t="str">
        <f t="shared" si="69"/>
        <v>lun</v>
      </c>
      <c r="AA141" s="28">
        <v>0.75</v>
      </c>
      <c r="AB141" s="41"/>
      <c r="AC141" s="41"/>
      <c r="AD141" s="41"/>
      <c r="AE141" s="32" t="str">
        <f t="shared" si="40"/>
        <v>❌ SIN COMPLETAR</v>
      </c>
    </row>
    <row r="142" spans="1:31" x14ac:dyDescent="0.3">
      <c r="A142" s="29">
        <v>46007</v>
      </c>
      <c r="B142" s="30" t="str">
        <f>TEXT(A142,"ddd")</f>
        <v>mar</v>
      </c>
      <c r="C142" s="28">
        <v>0.45833333333333331</v>
      </c>
      <c r="D142" s="31" t="s">
        <v>34</v>
      </c>
      <c r="E142" s="31" t="s">
        <v>35</v>
      </c>
      <c r="F142" s="31"/>
      <c r="G142" s="40" t="str">
        <f>IF(COUNTIF(D142:F142,"?*")=$N$5,"✅ CUBIERTO",
IF(COUNTIF(D142:F142,"?*")&gt;$N$5,"⚠ EXCESO",IF(COUNTIF(D142:F142,"?*")&gt;0,"⚠ FALTANTE",
"❌ SIN COMPLETAR")))</f>
        <v>✅ CUBIERTO</v>
      </c>
      <c r="H142" s="17"/>
      <c r="I142" s="29">
        <v>46007</v>
      </c>
      <c r="J142" s="30" t="str">
        <f>TEXT(I142,"ddd")</f>
        <v>mar</v>
      </c>
      <c r="K142" s="28">
        <v>0.45833333333333331</v>
      </c>
      <c r="L142" s="41"/>
      <c r="M142" s="41"/>
      <c r="N142" s="41"/>
      <c r="O142" s="32" t="str">
        <f t="shared" si="39"/>
        <v>❌ SIN COMPLETAR</v>
      </c>
      <c r="P142" s="17"/>
      <c r="Q142" s="29">
        <v>46007</v>
      </c>
      <c r="R142" s="30" t="str">
        <f>TEXT(Q142,"ddd")</f>
        <v>mar</v>
      </c>
      <c r="S142" s="28">
        <v>0.45833333333333331</v>
      </c>
      <c r="T142" s="31"/>
      <c r="U142" s="31"/>
      <c r="V142" s="31"/>
      <c r="W142" s="40" t="s">
        <v>16</v>
      </c>
      <c r="Y142" s="29">
        <v>46007</v>
      </c>
      <c r="Z142" s="30" t="str">
        <f>TEXT(Y142,"ddd")</f>
        <v>mar</v>
      </c>
      <c r="AA142" s="28">
        <v>0.45833333333333331</v>
      </c>
      <c r="AB142" s="41"/>
      <c r="AC142" s="41"/>
      <c r="AD142" s="41"/>
      <c r="AE142" s="32" t="str">
        <f t="shared" si="40"/>
        <v>❌ SIN COMPLETAR</v>
      </c>
    </row>
    <row r="143" spans="1:31" x14ac:dyDescent="0.3">
      <c r="A143" s="29">
        <v>46007</v>
      </c>
      <c r="B143" s="30" t="str">
        <f t="shared" ref="B143:B149" si="70">TEXT(A143,"ddd")</f>
        <v>mar</v>
      </c>
      <c r="C143" s="28">
        <v>0.5</v>
      </c>
      <c r="D143" s="31" t="s">
        <v>34</v>
      </c>
      <c r="E143" s="31" t="s">
        <v>35</v>
      </c>
      <c r="F143" s="31"/>
      <c r="G143" s="40" t="str">
        <f>IF(COUNTIF(D143:F143,"?*")=$N$5,"✅ CUBIERTO",
IF(COUNTIF(D143:F143,"?*")&gt;$N$5,"⚠ EXCESO",IF(COUNTIF(D143:F143,"?*")&gt;0,"⚠ FALTANTE",
"❌ SIN COMPLETAR")))</f>
        <v>✅ CUBIERTO</v>
      </c>
      <c r="H143" s="17"/>
      <c r="I143" s="29">
        <v>46007</v>
      </c>
      <c r="J143" s="30" t="str">
        <f t="shared" ref="J143:J149" si="71">TEXT(I143,"ddd")</f>
        <v>mar</v>
      </c>
      <c r="K143" s="28">
        <v>0.5</v>
      </c>
      <c r="L143" s="41"/>
      <c r="M143" s="41"/>
      <c r="N143" s="41"/>
      <c r="O143" s="32" t="str">
        <f t="shared" si="39"/>
        <v>❌ SIN COMPLETAR</v>
      </c>
      <c r="P143" s="17"/>
      <c r="Q143" s="29">
        <v>46007</v>
      </c>
      <c r="R143" s="30" t="str">
        <f t="shared" ref="R143:R149" si="72">TEXT(Q143,"ddd")</f>
        <v>mar</v>
      </c>
      <c r="S143" s="28">
        <v>0.5</v>
      </c>
      <c r="T143" s="31"/>
      <c r="U143" s="31"/>
      <c r="V143" s="31"/>
      <c r="W143" s="40" t="str">
        <f t="shared" si="49"/>
        <v>❌ SIN COMPLETAR</v>
      </c>
      <c r="Y143" s="29">
        <v>46007</v>
      </c>
      <c r="Z143" s="30" t="str">
        <f t="shared" ref="Z143:Z149" si="73">TEXT(Y143,"ddd")</f>
        <v>mar</v>
      </c>
      <c r="AA143" s="28">
        <v>0.5</v>
      </c>
      <c r="AB143" s="41"/>
      <c r="AC143" s="41"/>
      <c r="AD143" s="41"/>
      <c r="AE143" s="32" t="str">
        <f t="shared" si="40"/>
        <v>❌ SIN COMPLETAR</v>
      </c>
    </row>
    <row r="144" spans="1:31" x14ac:dyDescent="0.3">
      <c r="A144" s="29">
        <v>46007</v>
      </c>
      <c r="B144" s="30" t="str">
        <f t="shared" si="70"/>
        <v>mar</v>
      </c>
      <c r="C144" s="28">
        <v>0.54166666666666696</v>
      </c>
      <c r="D144" s="31" t="s">
        <v>34</v>
      </c>
      <c r="E144" s="31" t="s">
        <v>35</v>
      </c>
      <c r="F144" s="31"/>
      <c r="G144" s="40" t="str">
        <f>IF(COUNTIF(D144:F144,"?*")=$N$5,"✅ CUBIERTO",
IF(COUNTIF(D144:F144,"?*")&gt;$N$5,"⚠ EXCESO",IF(COUNTIF(D144:F144,"?*")&gt;0,"⚠ FALTANTE",
"❌ SIN COMPLETAR")))</f>
        <v>✅ CUBIERTO</v>
      </c>
      <c r="H144" s="17"/>
      <c r="I144" s="29">
        <v>46007</v>
      </c>
      <c r="J144" s="30" t="str">
        <f t="shared" si="71"/>
        <v>mar</v>
      </c>
      <c r="K144" s="28">
        <v>0.54166666666666696</v>
      </c>
      <c r="L144" s="41"/>
      <c r="M144" s="41"/>
      <c r="N144" s="41"/>
      <c r="O144" s="32" t="str">
        <f t="shared" si="39"/>
        <v>❌ SIN COMPLETAR</v>
      </c>
      <c r="P144" s="17"/>
      <c r="Q144" s="29">
        <v>46007</v>
      </c>
      <c r="R144" s="30" t="str">
        <f t="shared" si="72"/>
        <v>mar</v>
      </c>
      <c r="S144" s="28">
        <v>0.54166666666666696</v>
      </c>
      <c r="T144" s="31"/>
      <c r="U144" s="31"/>
      <c r="V144" s="31"/>
      <c r="W144" s="40" t="str">
        <f t="shared" si="49"/>
        <v>❌ SIN COMPLETAR</v>
      </c>
      <c r="Y144" s="29">
        <v>46007</v>
      </c>
      <c r="Z144" s="30" t="str">
        <f t="shared" si="73"/>
        <v>mar</v>
      </c>
      <c r="AA144" s="28">
        <v>0.54166666666666696</v>
      </c>
      <c r="AB144" s="41"/>
      <c r="AC144" s="41"/>
      <c r="AD144" s="41"/>
      <c r="AE144" s="32" t="str">
        <f t="shared" si="40"/>
        <v>❌ SIN COMPLETAR</v>
      </c>
    </row>
    <row r="145" spans="1:31" x14ac:dyDescent="0.3">
      <c r="A145" s="29">
        <v>46007</v>
      </c>
      <c r="B145" s="30" t="str">
        <f t="shared" si="70"/>
        <v>mar</v>
      </c>
      <c r="C145" s="28">
        <v>0.58333333333333304</v>
      </c>
      <c r="D145" s="31" t="s">
        <v>34</v>
      </c>
      <c r="E145" s="31" t="s">
        <v>35</v>
      </c>
      <c r="F145" s="31"/>
      <c r="G145" s="40" t="str">
        <f>IF(COUNTIF(D145:F145,"?*")=$N$5,"✅ CUBIERTO",
IF(COUNTIF(D145:F145,"?*")&gt;$N$5,"⚠ EXCESO",IF(COUNTIF(D145:F145,"?*")&gt;0,"⚠ FALTANTE",
"❌ SIN COMPLETAR")))</f>
        <v>✅ CUBIERTO</v>
      </c>
      <c r="H145" s="17"/>
      <c r="I145" s="29">
        <v>46007</v>
      </c>
      <c r="J145" s="30" t="str">
        <f t="shared" si="71"/>
        <v>mar</v>
      </c>
      <c r="K145" s="28">
        <v>0.58333333333333304</v>
      </c>
      <c r="L145" s="41"/>
      <c r="M145" s="41"/>
      <c r="N145" s="41"/>
      <c r="O145" s="32" t="str">
        <f t="shared" si="39"/>
        <v>❌ SIN COMPLETAR</v>
      </c>
      <c r="P145" s="17"/>
      <c r="Q145" s="29">
        <v>46007</v>
      </c>
      <c r="R145" s="30" t="str">
        <f t="shared" si="72"/>
        <v>mar</v>
      </c>
      <c r="S145" s="28">
        <v>0.58333333333333304</v>
      </c>
      <c r="T145" s="31"/>
      <c r="U145" s="31"/>
      <c r="V145" s="31"/>
      <c r="W145" s="40" t="str">
        <f t="shared" si="49"/>
        <v>❌ SIN COMPLETAR</v>
      </c>
      <c r="Y145" s="29">
        <v>46007</v>
      </c>
      <c r="Z145" s="30" t="str">
        <f t="shared" si="73"/>
        <v>mar</v>
      </c>
      <c r="AA145" s="28">
        <v>0.58333333333333304</v>
      </c>
      <c r="AB145" s="41"/>
      <c r="AC145" s="41"/>
      <c r="AD145" s="41"/>
      <c r="AE145" s="32" t="str">
        <f t="shared" si="40"/>
        <v>❌ SIN COMPLETAR</v>
      </c>
    </row>
    <row r="146" spans="1:31" x14ac:dyDescent="0.3">
      <c r="A146" s="29">
        <v>46007</v>
      </c>
      <c r="B146" s="30" t="str">
        <f t="shared" si="70"/>
        <v>mar</v>
      </c>
      <c r="C146" s="28">
        <v>0.625</v>
      </c>
      <c r="D146" s="31" t="s">
        <v>37</v>
      </c>
      <c r="E146" s="31" t="s">
        <v>39</v>
      </c>
      <c r="F146" s="31"/>
      <c r="G146" s="40" t="str">
        <f>IF(COUNTIF(D146:F146,"?*")=$N$5,"✅ CUBIERTO",
IF(COUNTIF(D146:F146,"?*")&gt;$N$5,"⚠ EXCESO",IF(COUNTIF(D146:F146,"?*")&gt;0,"⚠ FALTANTE",
"❌ SIN COMPLETAR")))</f>
        <v>✅ CUBIERTO</v>
      </c>
      <c r="H146" s="17"/>
      <c r="I146" s="29">
        <v>46007</v>
      </c>
      <c r="J146" s="30" t="str">
        <f t="shared" si="71"/>
        <v>mar</v>
      </c>
      <c r="K146" s="28">
        <v>0.625</v>
      </c>
      <c r="L146" s="41"/>
      <c r="M146" s="41"/>
      <c r="N146" s="41"/>
      <c r="O146" s="32" t="str">
        <f t="shared" si="39"/>
        <v>❌ SIN COMPLETAR</v>
      </c>
      <c r="P146" s="17"/>
      <c r="Q146" s="29">
        <v>46007</v>
      </c>
      <c r="R146" s="30" t="str">
        <f t="shared" si="72"/>
        <v>mar</v>
      </c>
      <c r="S146" s="28">
        <v>0.625</v>
      </c>
      <c r="T146" s="31"/>
      <c r="U146" s="31"/>
      <c r="V146" s="31"/>
      <c r="W146" s="40" t="str">
        <f t="shared" si="49"/>
        <v>❌ SIN COMPLETAR</v>
      </c>
      <c r="Y146" s="29">
        <v>46007</v>
      </c>
      <c r="Z146" s="30" t="str">
        <f t="shared" si="73"/>
        <v>mar</v>
      </c>
      <c r="AA146" s="28">
        <v>0.625</v>
      </c>
      <c r="AB146" s="41"/>
      <c r="AC146" s="41"/>
      <c r="AD146" s="41"/>
      <c r="AE146" s="32" t="str">
        <f t="shared" si="40"/>
        <v>❌ SIN COMPLETAR</v>
      </c>
    </row>
    <row r="147" spans="1:31" x14ac:dyDescent="0.3">
      <c r="A147" s="29">
        <v>46007</v>
      </c>
      <c r="B147" s="30" t="str">
        <f t="shared" si="70"/>
        <v>mar</v>
      </c>
      <c r="C147" s="28">
        <v>0.66666666666666696</v>
      </c>
      <c r="D147" s="31" t="s">
        <v>37</v>
      </c>
      <c r="E147" s="31" t="s">
        <v>39</v>
      </c>
      <c r="F147" s="31"/>
      <c r="G147" s="40" t="str">
        <f>IF(COUNTIF(D147:F147,"?*")=$N$5,"✅ CUBIERTO",
IF(COUNTIF(D147:F147,"?*")&gt;$N$5,"⚠ EXCESO",IF(COUNTIF(D147:F147,"?*")&gt;0,"⚠ FALTANTE",
"❌ SIN COMPLETAR")))</f>
        <v>✅ CUBIERTO</v>
      </c>
      <c r="H147" s="17"/>
      <c r="I147" s="29">
        <v>46007</v>
      </c>
      <c r="J147" s="30" t="str">
        <f t="shared" si="71"/>
        <v>mar</v>
      </c>
      <c r="K147" s="28">
        <v>0.66666666666666696</v>
      </c>
      <c r="L147" s="41"/>
      <c r="M147" s="41"/>
      <c r="N147" s="41"/>
      <c r="O147" s="32" t="str">
        <f t="shared" si="39"/>
        <v>❌ SIN COMPLETAR</v>
      </c>
      <c r="P147" s="17"/>
      <c r="Q147" s="29">
        <v>46007</v>
      </c>
      <c r="R147" s="30" t="str">
        <f t="shared" si="72"/>
        <v>mar</v>
      </c>
      <c r="S147" s="28">
        <v>0.66666666666666696</v>
      </c>
      <c r="T147" s="31"/>
      <c r="U147" s="31"/>
      <c r="V147" s="31"/>
      <c r="W147" s="40" t="str">
        <f t="shared" si="49"/>
        <v>❌ SIN COMPLETAR</v>
      </c>
      <c r="Y147" s="29">
        <v>46007</v>
      </c>
      <c r="Z147" s="30" t="str">
        <f t="shared" si="73"/>
        <v>mar</v>
      </c>
      <c r="AA147" s="28">
        <v>0.66666666666666696</v>
      </c>
      <c r="AB147" s="41"/>
      <c r="AC147" s="41"/>
      <c r="AD147" s="41"/>
      <c r="AE147" s="32" t="str">
        <f t="shared" si="40"/>
        <v>❌ SIN COMPLETAR</v>
      </c>
    </row>
    <row r="148" spans="1:31" x14ac:dyDescent="0.3">
      <c r="A148" s="29">
        <v>46007</v>
      </c>
      <c r="B148" s="30" t="str">
        <f t="shared" si="70"/>
        <v>mar</v>
      </c>
      <c r="C148" s="28">
        <v>0.70833333333333304</v>
      </c>
      <c r="D148" s="31" t="s">
        <v>37</v>
      </c>
      <c r="E148" s="31" t="s">
        <v>39</v>
      </c>
      <c r="F148" s="31"/>
      <c r="G148" s="40" t="str">
        <f>IF(COUNTIF(D148:F148,"?*")=$N$5,"✅ CUBIERTO",
IF(COUNTIF(D148:F148,"?*")&gt;$N$5,"⚠ EXCESO",IF(COUNTIF(D148:F148,"?*")&gt;0,"⚠ FALTANTE",
"❌ SIN COMPLETAR")))</f>
        <v>✅ CUBIERTO</v>
      </c>
      <c r="H148" s="17"/>
      <c r="I148" s="29">
        <v>46007</v>
      </c>
      <c r="J148" s="30" t="str">
        <f t="shared" si="71"/>
        <v>mar</v>
      </c>
      <c r="K148" s="28">
        <v>0.70833333333333304</v>
      </c>
      <c r="L148" s="41"/>
      <c r="M148" s="41"/>
      <c r="N148" s="41"/>
      <c r="O148" s="32" t="str">
        <f t="shared" si="39"/>
        <v>❌ SIN COMPLETAR</v>
      </c>
      <c r="P148" s="17"/>
      <c r="Q148" s="29">
        <v>46007</v>
      </c>
      <c r="R148" s="30" t="str">
        <f t="shared" si="72"/>
        <v>mar</v>
      </c>
      <c r="S148" s="28">
        <v>0.70833333333333304</v>
      </c>
      <c r="T148" s="31"/>
      <c r="U148" s="31"/>
      <c r="V148" s="31"/>
      <c r="W148" s="40" t="str">
        <f t="shared" si="49"/>
        <v>❌ SIN COMPLETAR</v>
      </c>
      <c r="Y148" s="29">
        <v>46007</v>
      </c>
      <c r="Z148" s="30" t="str">
        <f t="shared" si="73"/>
        <v>mar</v>
      </c>
      <c r="AA148" s="28">
        <v>0.70833333333333304</v>
      </c>
      <c r="AB148" s="41"/>
      <c r="AC148" s="41"/>
      <c r="AD148" s="41"/>
      <c r="AE148" s="32" t="str">
        <f t="shared" si="40"/>
        <v>❌ SIN COMPLETAR</v>
      </c>
    </row>
    <row r="149" spans="1:31" x14ac:dyDescent="0.3">
      <c r="A149" s="29">
        <v>46007</v>
      </c>
      <c r="B149" s="30" t="str">
        <f t="shared" si="70"/>
        <v>mar</v>
      </c>
      <c r="C149" s="28">
        <v>0.75</v>
      </c>
      <c r="D149" s="31" t="s">
        <v>37</v>
      </c>
      <c r="E149" s="31" t="s">
        <v>39</v>
      </c>
      <c r="F149" s="31"/>
      <c r="G149" s="40" t="str">
        <f>IF(COUNTIF(D149:F149,"?*")=$N$5,"✅ CUBIERTO",
IF(COUNTIF(D149:F149,"?*")&gt;$N$5,"⚠ EXCESO",IF(COUNTIF(D149:F149,"?*")&gt;0,"⚠ FALTANTE",
"❌ SIN COMPLETAR")))</f>
        <v>✅ CUBIERTO</v>
      </c>
      <c r="H149" s="17"/>
      <c r="I149" s="29">
        <v>46007</v>
      </c>
      <c r="J149" s="30" t="str">
        <f t="shared" si="71"/>
        <v>mar</v>
      </c>
      <c r="K149" s="28">
        <v>0.75</v>
      </c>
      <c r="L149" s="41"/>
      <c r="M149" s="41"/>
      <c r="N149" s="41"/>
      <c r="O149" s="32" t="str">
        <f t="shared" si="39"/>
        <v>❌ SIN COMPLETAR</v>
      </c>
      <c r="P149" s="17"/>
      <c r="Q149" s="29">
        <v>46007</v>
      </c>
      <c r="R149" s="30" t="str">
        <f t="shared" si="72"/>
        <v>mar</v>
      </c>
      <c r="S149" s="28">
        <v>0.75</v>
      </c>
      <c r="T149" s="31"/>
      <c r="U149" s="31"/>
      <c r="V149" s="31"/>
      <c r="W149" s="40" t="s">
        <v>16</v>
      </c>
      <c r="Y149" s="29">
        <v>46007</v>
      </c>
      <c r="Z149" s="30" t="str">
        <f t="shared" si="73"/>
        <v>mar</v>
      </c>
      <c r="AA149" s="28">
        <v>0.75</v>
      </c>
      <c r="AB149" s="41"/>
      <c r="AC149" s="41"/>
      <c r="AD149" s="41"/>
      <c r="AE149" s="32" t="str">
        <f t="shared" si="40"/>
        <v>❌ SIN COMPLETAR</v>
      </c>
    </row>
    <row r="150" spans="1:31" x14ac:dyDescent="0.3">
      <c r="A150" s="29">
        <v>46008</v>
      </c>
      <c r="B150" s="30" t="str">
        <f>TEXT(A150,"ddd")</f>
        <v>mié</v>
      </c>
      <c r="C150" s="28">
        <v>0.45833333333333331</v>
      </c>
      <c r="D150" s="31"/>
      <c r="E150" s="31"/>
      <c r="F150" s="31"/>
      <c r="G150" s="40" t="str">
        <f>IF(COUNTIF(D150:F150,"?*")=$N$5,"✅ CUBIERTO",
IF(COUNTIF(D150:F150,"?*")&gt;$N$5,"⚠ EXCESO",IF(COUNTIF(D150:F150,"?*")&gt;0,"⚠ FALTANTE",
"❌ SIN COMPLETAR")))</f>
        <v>❌ SIN COMPLETAR</v>
      </c>
      <c r="H150" s="17"/>
      <c r="I150" s="29">
        <v>46008</v>
      </c>
      <c r="J150" s="30" t="str">
        <f>TEXT(I150,"ddd")</f>
        <v>mié</v>
      </c>
      <c r="K150" s="28">
        <v>0.45833333333333331</v>
      </c>
      <c r="L150" s="31"/>
      <c r="M150" s="31"/>
      <c r="N150" s="31"/>
      <c r="O150" s="32" t="str">
        <f t="shared" ref="O150:O213" si="74">IF(COUNTIF(L150:N150,"?*")=$N$6,"✅ CUBIERTO",
IF(COUNTIF(L150:N150,"?*")&gt;$N$6,"⚠ EXCESO",IF(COUNTIF(L150:N150,"?*")&gt;0,"⚠ FALTANTE",
"❌ SIN COMPLETAR")))</f>
        <v>❌ SIN COMPLETAR</v>
      </c>
      <c r="P150" s="17"/>
      <c r="Q150" s="29">
        <v>46008</v>
      </c>
      <c r="R150" s="30" t="str">
        <f>TEXT(Q150,"ddd")</f>
        <v>mié</v>
      </c>
      <c r="S150" s="28">
        <v>0.45833333333333331</v>
      </c>
      <c r="T150" s="31"/>
      <c r="U150" s="31"/>
      <c r="V150" s="31"/>
      <c r="W150" s="40" t="s">
        <v>16</v>
      </c>
      <c r="Y150" s="29">
        <v>46008</v>
      </c>
      <c r="Z150" s="30" t="str">
        <f>TEXT(Y150,"ddd")</f>
        <v>mié</v>
      </c>
      <c r="AA150" s="28">
        <v>0.45833333333333331</v>
      </c>
      <c r="AB150" s="31"/>
      <c r="AC150" s="31"/>
      <c r="AD150" s="31"/>
      <c r="AE150" s="32" t="str">
        <f t="shared" ref="AE150:AE213" si="75">IF(COUNTIF(AB150:AD150,"?*")=$N$8,"✅ CUBIERTO",
IF(COUNTIF(AB150:AD150,"?*")&gt;$N$8,"⚠ EXCESO",IF(COUNTIF(AB150:AD150,"?*")&gt;0,"⚠ FALTANTE",
"❌ SIN COMPLETAR")))</f>
        <v>❌ SIN COMPLETAR</v>
      </c>
    </row>
    <row r="151" spans="1:31" x14ac:dyDescent="0.3">
      <c r="A151" s="29">
        <v>46008</v>
      </c>
      <c r="B151" s="30" t="str">
        <f t="shared" ref="B151:B157" si="76">TEXT(A151,"ddd")</f>
        <v>mié</v>
      </c>
      <c r="C151" s="28">
        <v>0.5</v>
      </c>
      <c r="D151" s="31"/>
      <c r="E151" s="31"/>
      <c r="F151" s="31"/>
      <c r="G151" s="40" t="str">
        <f>IF(COUNTIF(D151:F151,"?*")=$N$5,"✅ CUBIERTO",
IF(COUNTIF(D151:F151,"?*")&gt;$N$5,"⚠ EXCESO",IF(COUNTIF(D151:F151,"?*")&gt;0,"⚠ FALTANTE",
"❌ SIN COMPLETAR")))</f>
        <v>❌ SIN COMPLETAR</v>
      </c>
      <c r="H151" s="17"/>
      <c r="I151" s="29">
        <v>46008</v>
      </c>
      <c r="J151" s="30" t="str">
        <f t="shared" ref="J151:J157" si="77">TEXT(I151,"ddd")</f>
        <v>mié</v>
      </c>
      <c r="K151" s="28">
        <v>0.5</v>
      </c>
      <c r="L151" s="31"/>
      <c r="M151" s="31"/>
      <c r="N151" s="31"/>
      <c r="O151" s="32" t="str">
        <f t="shared" si="74"/>
        <v>❌ SIN COMPLETAR</v>
      </c>
      <c r="P151" s="17"/>
      <c r="Q151" s="29">
        <v>46008</v>
      </c>
      <c r="R151" s="30" t="str">
        <f t="shared" ref="R151:R157" si="78">TEXT(Q151,"ddd")</f>
        <v>mié</v>
      </c>
      <c r="S151" s="28">
        <v>0.5</v>
      </c>
      <c r="T151" s="31"/>
      <c r="U151" s="31"/>
      <c r="V151" s="31"/>
      <c r="W151" s="40" t="str">
        <f t="shared" si="49"/>
        <v>❌ SIN COMPLETAR</v>
      </c>
      <c r="Y151" s="29">
        <v>46008</v>
      </c>
      <c r="Z151" s="30" t="str">
        <f t="shared" ref="Z151:Z157" si="79">TEXT(Y151,"ddd")</f>
        <v>mié</v>
      </c>
      <c r="AA151" s="28">
        <v>0.5</v>
      </c>
      <c r="AB151" s="31"/>
      <c r="AC151" s="31"/>
      <c r="AD151" s="31"/>
      <c r="AE151" s="32" t="str">
        <f t="shared" si="75"/>
        <v>❌ SIN COMPLETAR</v>
      </c>
    </row>
    <row r="152" spans="1:31" x14ac:dyDescent="0.3">
      <c r="A152" s="29">
        <v>46008</v>
      </c>
      <c r="B152" s="30" t="str">
        <f t="shared" si="76"/>
        <v>mié</v>
      </c>
      <c r="C152" s="28">
        <v>0.54166666666666696</v>
      </c>
      <c r="D152" s="31"/>
      <c r="E152" s="31"/>
      <c r="F152" s="31"/>
      <c r="G152" s="40" t="str">
        <f>IF(COUNTIF(D152:F152,"?*")=$N$5,"✅ CUBIERTO",
IF(COUNTIF(D152:F152,"?*")&gt;$N$5,"⚠ EXCESO",IF(COUNTIF(D152:F152,"?*")&gt;0,"⚠ FALTANTE",
"❌ SIN COMPLETAR")))</f>
        <v>❌ SIN COMPLETAR</v>
      </c>
      <c r="H152" s="17"/>
      <c r="I152" s="29">
        <v>46008</v>
      </c>
      <c r="J152" s="30" t="str">
        <f t="shared" si="77"/>
        <v>mié</v>
      </c>
      <c r="K152" s="28">
        <v>0.54166666666666696</v>
      </c>
      <c r="L152" s="31"/>
      <c r="M152" s="31"/>
      <c r="N152" s="31"/>
      <c r="O152" s="32" t="str">
        <f t="shared" si="74"/>
        <v>❌ SIN COMPLETAR</v>
      </c>
      <c r="P152" s="17"/>
      <c r="Q152" s="29">
        <v>46008</v>
      </c>
      <c r="R152" s="30" t="str">
        <f t="shared" si="78"/>
        <v>mié</v>
      </c>
      <c r="S152" s="28">
        <v>0.54166666666666696</v>
      </c>
      <c r="T152" s="31"/>
      <c r="U152" s="31"/>
      <c r="V152" s="31"/>
      <c r="W152" s="40" t="str">
        <f t="shared" si="49"/>
        <v>❌ SIN COMPLETAR</v>
      </c>
      <c r="Y152" s="29">
        <v>46008</v>
      </c>
      <c r="Z152" s="30" t="str">
        <f t="shared" si="79"/>
        <v>mié</v>
      </c>
      <c r="AA152" s="28">
        <v>0.54166666666666696</v>
      </c>
      <c r="AB152" s="31"/>
      <c r="AC152" s="31"/>
      <c r="AD152" s="31"/>
      <c r="AE152" s="32" t="str">
        <f t="shared" si="75"/>
        <v>❌ SIN COMPLETAR</v>
      </c>
    </row>
    <row r="153" spans="1:31" x14ac:dyDescent="0.3">
      <c r="A153" s="29">
        <v>46008</v>
      </c>
      <c r="B153" s="30" t="str">
        <f t="shared" si="76"/>
        <v>mié</v>
      </c>
      <c r="C153" s="28">
        <v>0.58333333333333304</v>
      </c>
      <c r="D153" s="31"/>
      <c r="E153" s="31"/>
      <c r="F153" s="31"/>
      <c r="G153" s="40" t="str">
        <f>IF(COUNTIF(D153:F153,"?*")=$N$5,"✅ CUBIERTO",
IF(COUNTIF(D153:F153,"?*")&gt;$N$5,"⚠ EXCESO",IF(COUNTIF(D153:F153,"?*")&gt;0,"⚠ FALTANTE",
"❌ SIN COMPLETAR")))</f>
        <v>❌ SIN COMPLETAR</v>
      </c>
      <c r="H153" s="17"/>
      <c r="I153" s="29">
        <v>46008</v>
      </c>
      <c r="J153" s="30" t="str">
        <f t="shared" si="77"/>
        <v>mié</v>
      </c>
      <c r="K153" s="28">
        <v>0.58333333333333304</v>
      </c>
      <c r="L153" s="31"/>
      <c r="M153" s="31"/>
      <c r="N153" s="31"/>
      <c r="O153" s="32" t="str">
        <f t="shared" si="74"/>
        <v>❌ SIN COMPLETAR</v>
      </c>
      <c r="P153" s="17"/>
      <c r="Q153" s="29">
        <v>46008</v>
      </c>
      <c r="R153" s="30" t="str">
        <f t="shared" si="78"/>
        <v>mié</v>
      </c>
      <c r="S153" s="28">
        <v>0.58333333333333304</v>
      </c>
      <c r="T153" s="31"/>
      <c r="U153" s="31"/>
      <c r="V153" s="31"/>
      <c r="W153" s="40" t="str">
        <f t="shared" si="49"/>
        <v>❌ SIN COMPLETAR</v>
      </c>
      <c r="Y153" s="29">
        <v>46008</v>
      </c>
      <c r="Z153" s="30" t="str">
        <f t="shared" si="79"/>
        <v>mié</v>
      </c>
      <c r="AA153" s="28">
        <v>0.58333333333333304</v>
      </c>
      <c r="AB153" s="31"/>
      <c r="AC153" s="31"/>
      <c r="AD153" s="31"/>
      <c r="AE153" s="32" t="str">
        <f t="shared" si="75"/>
        <v>❌ SIN COMPLETAR</v>
      </c>
    </row>
    <row r="154" spans="1:31" x14ac:dyDescent="0.3">
      <c r="A154" s="29">
        <v>46008</v>
      </c>
      <c r="B154" s="30" t="str">
        <f t="shared" si="76"/>
        <v>mié</v>
      </c>
      <c r="C154" s="28">
        <v>0.625</v>
      </c>
      <c r="D154" s="31"/>
      <c r="E154" s="31"/>
      <c r="F154" s="31"/>
      <c r="G154" s="40" t="str">
        <f>IF(COUNTIF(D154:F154,"?*")=$N$5,"✅ CUBIERTO",
IF(COUNTIF(D154:F154,"?*")&gt;$N$5,"⚠ EXCESO",IF(COUNTIF(D154:F154,"?*")&gt;0,"⚠ FALTANTE",
"❌ SIN COMPLETAR")))</f>
        <v>❌ SIN COMPLETAR</v>
      </c>
      <c r="H154" s="17"/>
      <c r="I154" s="29">
        <v>46008</v>
      </c>
      <c r="J154" s="30" t="str">
        <f t="shared" si="77"/>
        <v>mié</v>
      </c>
      <c r="K154" s="28">
        <v>0.625</v>
      </c>
      <c r="L154" s="31"/>
      <c r="M154" s="31"/>
      <c r="N154" s="31"/>
      <c r="O154" s="32" t="str">
        <f t="shared" si="74"/>
        <v>❌ SIN COMPLETAR</v>
      </c>
      <c r="P154" s="17"/>
      <c r="Q154" s="29">
        <v>46008</v>
      </c>
      <c r="R154" s="30" t="str">
        <f t="shared" si="78"/>
        <v>mié</v>
      </c>
      <c r="S154" s="28">
        <v>0.625</v>
      </c>
      <c r="T154" s="31"/>
      <c r="U154" s="31"/>
      <c r="V154" s="31"/>
      <c r="W154" s="40" t="str">
        <f t="shared" si="49"/>
        <v>❌ SIN COMPLETAR</v>
      </c>
      <c r="Y154" s="29">
        <v>46008</v>
      </c>
      <c r="Z154" s="30" t="str">
        <f t="shared" si="79"/>
        <v>mié</v>
      </c>
      <c r="AA154" s="28">
        <v>0.625</v>
      </c>
      <c r="AB154" s="31"/>
      <c r="AC154" s="31"/>
      <c r="AD154" s="31"/>
      <c r="AE154" s="32" t="str">
        <f t="shared" si="75"/>
        <v>❌ SIN COMPLETAR</v>
      </c>
    </row>
    <row r="155" spans="1:31" x14ac:dyDescent="0.3">
      <c r="A155" s="29">
        <v>46008</v>
      </c>
      <c r="B155" s="30" t="str">
        <f t="shared" si="76"/>
        <v>mié</v>
      </c>
      <c r="C155" s="28">
        <v>0.66666666666666696</v>
      </c>
      <c r="D155" s="31"/>
      <c r="E155" s="31"/>
      <c r="F155" s="31"/>
      <c r="G155" s="40" t="str">
        <f>IF(COUNTIF(D155:F155,"?*")=$N$5,"✅ CUBIERTO",
IF(COUNTIF(D155:F155,"?*")&gt;$N$5,"⚠ EXCESO",IF(COUNTIF(D155:F155,"?*")&gt;0,"⚠ FALTANTE",
"❌ SIN COMPLETAR")))</f>
        <v>❌ SIN COMPLETAR</v>
      </c>
      <c r="H155" s="17"/>
      <c r="I155" s="29">
        <v>46008</v>
      </c>
      <c r="J155" s="30" t="str">
        <f t="shared" si="77"/>
        <v>mié</v>
      </c>
      <c r="K155" s="28">
        <v>0.66666666666666696</v>
      </c>
      <c r="L155" s="31"/>
      <c r="M155" s="31"/>
      <c r="N155" s="31"/>
      <c r="O155" s="32" t="str">
        <f t="shared" si="74"/>
        <v>❌ SIN COMPLETAR</v>
      </c>
      <c r="P155" s="17"/>
      <c r="Q155" s="29">
        <v>46008</v>
      </c>
      <c r="R155" s="30" t="str">
        <f t="shared" si="78"/>
        <v>mié</v>
      </c>
      <c r="S155" s="28">
        <v>0.66666666666666696</v>
      </c>
      <c r="T155" s="31"/>
      <c r="U155" s="31"/>
      <c r="V155" s="31"/>
      <c r="W155" s="40" t="str">
        <f t="shared" si="49"/>
        <v>❌ SIN COMPLETAR</v>
      </c>
      <c r="Y155" s="29">
        <v>46008</v>
      </c>
      <c r="Z155" s="30" t="str">
        <f t="shared" si="79"/>
        <v>mié</v>
      </c>
      <c r="AA155" s="28">
        <v>0.66666666666666696</v>
      </c>
      <c r="AB155" s="31"/>
      <c r="AC155" s="31"/>
      <c r="AD155" s="31"/>
      <c r="AE155" s="32" t="str">
        <f t="shared" si="75"/>
        <v>❌ SIN COMPLETAR</v>
      </c>
    </row>
    <row r="156" spans="1:31" x14ac:dyDescent="0.3">
      <c r="A156" s="29">
        <v>46008</v>
      </c>
      <c r="B156" s="30" t="str">
        <f t="shared" si="76"/>
        <v>mié</v>
      </c>
      <c r="C156" s="28">
        <v>0.70833333333333304</v>
      </c>
      <c r="D156" s="31"/>
      <c r="E156" s="31"/>
      <c r="F156" s="31"/>
      <c r="G156" s="40" t="str">
        <f>IF(COUNTIF(D156:F156,"?*")=$N$5,"✅ CUBIERTO",
IF(COUNTIF(D156:F156,"?*")&gt;$N$5,"⚠ EXCESO",IF(COUNTIF(D156:F156,"?*")&gt;0,"⚠ FALTANTE",
"❌ SIN COMPLETAR")))</f>
        <v>❌ SIN COMPLETAR</v>
      </c>
      <c r="H156" s="17"/>
      <c r="I156" s="29">
        <v>46008</v>
      </c>
      <c r="J156" s="30" t="str">
        <f t="shared" si="77"/>
        <v>mié</v>
      </c>
      <c r="K156" s="28">
        <v>0.70833333333333304</v>
      </c>
      <c r="L156" s="31"/>
      <c r="M156" s="31"/>
      <c r="N156" s="31"/>
      <c r="O156" s="32" t="str">
        <f t="shared" si="74"/>
        <v>❌ SIN COMPLETAR</v>
      </c>
      <c r="P156" s="17"/>
      <c r="Q156" s="29">
        <v>46008</v>
      </c>
      <c r="R156" s="30" t="str">
        <f t="shared" si="78"/>
        <v>mié</v>
      </c>
      <c r="S156" s="28">
        <v>0.70833333333333304</v>
      </c>
      <c r="T156" s="31"/>
      <c r="U156" s="31"/>
      <c r="V156" s="31"/>
      <c r="W156" s="40" t="str">
        <f t="shared" si="49"/>
        <v>❌ SIN COMPLETAR</v>
      </c>
      <c r="Y156" s="29">
        <v>46008</v>
      </c>
      <c r="Z156" s="30" t="str">
        <f t="shared" si="79"/>
        <v>mié</v>
      </c>
      <c r="AA156" s="28">
        <v>0.70833333333333304</v>
      </c>
      <c r="AB156" s="31"/>
      <c r="AC156" s="31"/>
      <c r="AD156" s="31"/>
      <c r="AE156" s="32" t="str">
        <f t="shared" si="75"/>
        <v>❌ SIN COMPLETAR</v>
      </c>
    </row>
    <row r="157" spans="1:31" x14ac:dyDescent="0.3">
      <c r="A157" s="29">
        <v>46008</v>
      </c>
      <c r="B157" s="30" t="str">
        <f t="shared" si="76"/>
        <v>mié</v>
      </c>
      <c r="C157" s="28">
        <v>0.75</v>
      </c>
      <c r="D157" s="31"/>
      <c r="E157" s="31"/>
      <c r="F157" s="31"/>
      <c r="G157" s="40" t="str">
        <f>IF(COUNTIF(D157:F157,"?*")=$N$5,"✅ CUBIERTO",
IF(COUNTIF(D157:F157,"?*")&gt;$N$5,"⚠ EXCESO",IF(COUNTIF(D157:F157,"?*")&gt;0,"⚠ FALTANTE",
"❌ SIN COMPLETAR")))</f>
        <v>❌ SIN COMPLETAR</v>
      </c>
      <c r="H157" s="17"/>
      <c r="I157" s="29">
        <v>46008</v>
      </c>
      <c r="J157" s="30" t="str">
        <f t="shared" si="77"/>
        <v>mié</v>
      </c>
      <c r="K157" s="28">
        <v>0.75</v>
      </c>
      <c r="L157" s="41"/>
      <c r="M157" s="41"/>
      <c r="N157" s="41"/>
      <c r="O157" s="32" t="str">
        <f t="shared" si="74"/>
        <v>❌ SIN COMPLETAR</v>
      </c>
      <c r="P157" s="17"/>
      <c r="Q157" s="29">
        <v>46008</v>
      </c>
      <c r="R157" s="30" t="str">
        <f t="shared" si="78"/>
        <v>mié</v>
      </c>
      <c r="S157" s="28">
        <v>0.75</v>
      </c>
      <c r="T157" s="31"/>
      <c r="U157" s="31"/>
      <c r="V157" s="31"/>
      <c r="W157" s="40" t="s">
        <v>16</v>
      </c>
      <c r="Y157" s="29">
        <v>46008</v>
      </c>
      <c r="Z157" s="30" t="str">
        <f t="shared" si="79"/>
        <v>mié</v>
      </c>
      <c r="AA157" s="28">
        <v>0.75</v>
      </c>
      <c r="AB157" s="41"/>
      <c r="AC157" s="41"/>
      <c r="AD157" s="41"/>
      <c r="AE157" s="32" t="str">
        <f t="shared" si="75"/>
        <v>❌ SIN COMPLETAR</v>
      </c>
    </row>
    <row r="158" spans="1:31" x14ac:dyDescent="0.3">
      <c r="A158" s="29">
        <v>46009</v>
      </c>
      <c r="B158" s="30" t="str">
        <f>TEXT(A158,"ddd")</f>
        <v>jue</v>
      </c>
      <c r="C158" s="28">
        <v>0.45833333333333331</v>
      </c>
      <c r="D158" s="31"/>
      <c r="E158" s="31"/>
      <c r="F158" s="31"/>
      <c r="G158" s="40" t="str">
        <f>IF(COUNTIF(D158:F158,"?*")=$N$5,"✅ CUBIERTO",
IF(COUNTIF(D158:F158,"?*")&gt;$N$5,"⚠ EXCESO",IF(COUNTIF(D158:F158,"?*")&gt;0,"⚠ FALTANTE",
"❌ SIN COMPLETAR")))</f>
        <v>❌ SIN COMPLETAR</v>
      </c>
      <c r="H158" s="17"/>
      <c r="I158" s="29">
        <v>46009</v>
      </c>
      <c r="J158" s="30" t="str">
        <f>TEXT(I158,"ddd")</f>
        <v>jue</v>
      </c>
      <c r="K158" s="28">
        <v>0.45833333333333331</v>
      </c>
      <c r="L158" s="31"/>
      <c r="M158" s="31"/>
      <c r="N158" s="31"/>
      <c r="O158" s="32" t="str">
        <f t="shared" si="74"/>
        <v>❌ SIN COMPLETAR</v>
      </c>
      <c r="P158" s="17"/>
      <c r="Q158" s="29">
        <v>46009</v>
      </c>
      <c r="R158" s="30" t="str">
        <f>TEXT(Q158,"ddd")</f>
        <v>jue</v>
      </c>
      <c r="S158" s="28">
        <v>0.45833333333333331</v>
      </c>
      <c r="T158" s="31"/>
      <c r="U158" s="31"/>
      <c r="V158" s="31"/>
      <c r="W158" s="40" t="s">
        <v>16</v>
      </c>
      <c r="Y158" s="29">
        <v>46009</v>
      </c>
      <c r="Z158" s="30" t="str">
        <f>TEXT(Y158,"ddd")</f>
        <v>jue</v>
      </c>
      <c r="AA158" s="28">
        <v>0.45833333333333331</v>
      </c>
      <c r="AB158" s="31"/>
      <c r="AC158" s="31"/>
      <c r="AD158" s="31"/>
      <c r="AE158" s="32" t="str">
        <f t="shared" si="75"/>
        <v>❌ SIN COMPLETAR</v>
      </c>
    </row>
    <row r="159" spans="1:31" x14ac:dyDescent="0.3">
      <c r="A159" s="29">
        <v>46009</v>
      </c>
      <c r="B159" s="30" t="str">
        <f t="shared" ref="B159:B165" si="80">TEXT(A159,"ddd")</f>
        <v>jue</v>
      </c>
      <c r="C159" s="28">
        <v>0.5</v>
      </c>
      <c r="D159" s="31"/>
      <c r="E159" s="31"/>
      <c r="F159" s="31"/>
      <c r="G159" s="40" t="str">
        <f>IF(COUNTIF(D159:F159,"?*")=$N$5,"✅ CUBIERTO",
IF(COUNTIF(D159:F159,"?*")&gt;$N$5,"⚠ EXCESO",IF(COUNTIF(D159:F159,"?*")&gt;0,"⚠ FALTANTE",
"❌ SIN COMPLETAR")))</f>
        <v>❌ SIN COMPLETAR</v>
      </c>
      <c r="H159" s="17"/>
      <c r="I159" s="29">
        <v>46009</v>
      </c>
      <c r="J159" s="30" t="str">
        <f t="shared" ref="J159:J165" si="81">TEXT(I159,"ddd")</f>
        <v>jue</v>
      </c>
      <c r="K159" s="28">
        <v>0.5</v>
      </c>
      <c r="L159" s="31"/>
      <c r="M159" s="31"/>
      <c r="N159" s="31"/>
      <c r="O159" s="32" t="str">
        <f t="shared" si="74"/>
        <v>❌ SIN COMPLETAR</v>
      </c>
      <c r="P159" s="17"/>
      <c r="Q159" s="29">
        <v>46009</v>
      </c>
      <c r="R159" s="30" t="str">
        <f t="shared" ref="R159:R165" si="82">TEXT(Q159,"ddd")</f>
        <v>jue</v>
      </c>
      <c r="S159" s="28">
        <v>0.5</v>
      </c>
      <c r="T159" s="31"/>
      <c r="U159" s="31"/>
      <c r="V159" s="31"/>
      <c r="W159" s="40" t="str">
        <f t="shared" si="49"/>
        <v>❌ SIN COMPLETAR</v>
      </c>
      <c r="Y159" s="29">
        <v>46009</v>
      </c>
      <c r="Z159" s="30" t="str">
        <f t="shared" ref="Z159:Z165" si="83">TEXT(Y159,"ddd")</f>
        <v>jue</v>
      </c>
      <c r="AA159" s="28">
        <v>0.5</v>
      </c>
      <c r="AB159" s="31"/>
      <c r="AC159" s="31"/>
      <c r="AD159" s="31"/>
      <c r="AE159" s="32" t="str">
        <f t="shared" si="75"/>
        <v>❌ SIN COMPLETAR</v>
      </c>
    </row>
    <row r="160" spans="1:31" x14ac:dyDescent="0.3">
      <c r="A160" s="29">
        <v>46009</v>
      </c>
      <c r="B160" s="30" t="str">
        <f t="shared" si="80"/>
        <v>jue</v>
      </c>
      <c r="C160" s="28">
        <v>0.54166666666666696</v>
      </c>
      <c r="D160" s="31"/>
      <c r="E160" s="31"/>
      <c r="F160" s="31"/>
      <c r="G160" s="40" t="str">
        <f>IF(COUNTIF(D160:F160,"?*")=$N$5,"✅ CUBIERTO",
IF(COUNTIF(D160:F160,"?*")&gt;$N$5,"⚠ EXCESO",IF(COUNTIF(D160:F160,"?*")&gt;0,"⚠ FALTANTE",
"❌ SIN COMPLETAR")))</f>
        <v>❌ SIN COMPLETAR</v>
      </c>
      <c r="H160" s="17"/>
      <c r="I160" s="29">
        <v>46009</v>
      </c>
      <c r="J160" s="30" t="str">
        <f t="shared" si="81"/>
        <v>jue</v>
      </c>
      <c r="K160" s="28">
        <v>0.54166666666666696</v>
      </c>
      <c r="L160" s="31"/>
      <c r="M160" s="31"/>
      <c r="N160" s="31"/>
      <c r="O160" s="32" t="str">
        <f t="shared" si="74"/>
        <v>❌ SIN COMPLETAR</v>
      </c>
      <c r="P160" s="17"/>
      <c r="Q160" s="29">
        <v>46009</v>
      </c>
      <c r="R160" s="30" t="str">
        <f t="shared" si="82"/>
        <v>jue</v>
      </c>
      <c r="S160" s="28">
        <v>0.54166666666666696</v>
      </c>
      <c r="T160" s="31"/>
      <c r="U160" s="31"/>
      <c r="V160" s="31"/>
      <c r="W160" s="40" t="str">
        <f t="shared" si="49"/>
        <v>❌ SIN COMPLETAR</v>
      </c>
      <c r="Y160" s="29">
        <v>46009</v>
      </c>
      <c r="Z160" s="30" t="str">
        <f t="shared" si="83"/>
        <v>jue</v>
      </c>
      <c r="AA160" s="28">
        <v>0.54166666666666696</v>
      </c>
      <c r="AB160" s="31"/>
      <c r="AC160" s="31"/>
      <c r="AD160" s="31"/>
      <c r="AE160" s="32" t="str">
        <f t="shared" si="75"/>
        <v>❌ SIN COMPLETAR</v>
      </c>
    </row>
    <row r="161" spans="1:31" x14ac:dyDescent="0.3">
      <c r="A161" s="29">
        <v>46009</v>
      </c>
      <c r="B161" s="30" t="str">
        <f t="shared" si="80"/>
        <v>jue</v>
      </c>
      <c r="C161" s="28">
        <v>0.58333333333333304</v>
      </c>
      <c r="D161" s="31"/>
      <c r="E161" s="31"/>
      <c r="F161" s="31"/>
      <c r="G161" s="40" t="str">
        <f>IF(COUNTIF(D161:F161,"?*")=$N$5,"✅ CUBIERTO",
IF(COUNTIF(D161:F161,"?*")&gt;$N$5,"⚠ EXCESO",IF(COUNTIF(D161:F161,"?*")&gt;0,"⚠ FALTANTE",
"❌ SIN COMPLETAR")))</f>
        <v>❌ SIN COMPLETAR</v>
      </c>
      <c r="H161" s="17"/>
      <c r="I161" s="29">
        <v>46009</v>
      </c>
      <c r="J161" s="30" t="str">
        <f t="shared" si="81"/>
        <v>jue</v>
      </c>
      <c r="K161" s="28">
        <v>0.58333333333333304</v>
      </c>
      <c r="L161" s="31"/>
      <c r="M161" s="31"/>
      <c r="N161" s="31"/>
      <c r="O161" s="32" t="str">
        <f t="shared" si="74"/>
        <v>❌ SIN COMPLETAR</v>
      </c>
      <c r="P161" s="17"/>
      <c r="Q161" s="29">
        <v>46009</v>
      </c>
      <c r="R161" s="30" t="str">
        <f t="shared" si="82"/>
        <v>jue</v>
      </c>
      <c r="S161" s="28">
        <v>0.58333333333333304</v>
      </c>
      <c r="T161" s="31"/>
      <c r="U161" s="31"/>
      <c r="V161" s="31"/>
      <c r="W161" s="40" t="str">
        <f t="shared" si="49"/>
        <v>❌ SIN COMPLETAR</v>
      </c>
      <c r="Y161" s="29">
        <v>46009</v>
      </c>
      <c r="Z161" s="30" t="str">
        <f t="shared" si="83"/>
        <v>jue</v>
      </c>
      <c r="AA161" s="28">
        <v>0.58333333333333304</v>
      </c>
      <c r="AB161" s="31"/>
      <c r="AC161" s="31"/>
      <c r="AD161" s="31"/>
      <c r="AE161" s="32" t="str">
        <f t="shared" si="75"/>
        <v>❌ SIN COMPLETAR</v>
      </c>
    </row>
    <row r="162" spans="1:31" x14ac:dyDescent="0.3">
      <c r="A162" s="29">
        <v>46009</v>
      </c>
      <c r="B162" s="30" t="str">
        <f t="shared" si="80"/>
        <v>jue</v>
      </c>
      <c r="C162" s="28">
        <v>0.625</v>
      </c>
      <c r="D162" s="31"/>
      <c r="E162" s="31"/>
      <c r="F162" s="31"/>
      <c r="G162" s="40" t="str">
        <f>IF(COUNTIF(D162:F162,"?*")=$N$5,"✅ CUBIERTO",
IF(COUNTIF(D162:F162,"?*")&gt;$N$5,"⚠ EXCESO",IF(COUNTIF(D162:F162,"?*")&gt;0,"⚠ FALTANTE",
"❌ SIN COMPLETAR")))</f>
        <v>❌ SIN COMPLETAR</v>
      </c>
      <c r="H162" s="17"/>
      <c r="I162" s="29">
        <v>46009</v>
      </c>
      <c r="J162" s="30" t="str">
        <f t="shared" si="81"/>
        <v>jue</v>
      </c>
      <c r="K162" s="28">
        <v>0.625</v>
      </c>
      <c r="L162" s="31"/>
      <c r="M162" s="31"/>
      <c r="N162" s="31"/>
      <c r="O162" s="32" t="str">
        <f t="shared" si="74"/>
        <v>❌ SIN COMPLETAR</v>
      </c>
      <c r="P162" s="17"/>
      <c r="Q162" s="29">
        <v>46009</v>
      </c>
      <c r="R162" s="30" t="str">
        <f t="shared" si="82"/>
        <v>jue</v>
      </c>
      <c r="S162" s="28">
        <v>0.625</v>
      </c>
      <c r="T162" s="31"/>
      <c r="U162" s="31"/>
      <c r="V162" s="31"/>
      <c r="W162" s="40" t="str">
        <f t="shared" si="49"/>
        <v>❌ SIN COMPLETAR</v>
      </c>
      <c r="Y162" s="29">
        <v>46009</v>
      </c>
      <c r="Z162" s="30" t="str">
        <f t="shared" si="83"/>
        <v>jue</v>
      </c>
      <c r="AA162" s="28">
        <v>0.625</v>
      </c>
      <c r="AB162" s="31"/>
      <c r="AC162" s="31"/>
      <c r="AD162" s="31"/>
      <c r="AE162" s="32" t="str">
        <f t="shared" si="75"/>
        <v>❌ SIN COMPLETAR</v>
      </c>
    </row>
    <row r="163" spans="1:31" x14ac:dyDescent="0.3">
      <c r="A163" s="29">
        <v>46009</v>
      </c>
      <c r="B163" s="30" t="str">
        <f t="shared" si="80"/>
        <v>jue</v>
      </c>
      <c r="C163" s="28">
        <v>0.66666666666666696</v>
      </c>
      <c r="D163" s="31"/>
      <c r="E163" s="31"/>
      <c r="F163" s="31"/>
      <c r="G163" s="40" t="str">
        <f>IF(COUNTIF(D163:F163,"?*")=$N$5,"✅ CUBIERTO",
IF(COUNTIF(D163:F163,"?*")&gt;$N$5,"⚠ EXCESO",IF(COUNTIF(D163:F163,"?*")&gt;0,"⚠ FALTANTE",
"❌ SIN COMPLETAR")))</f>
        <v>❌ SIN COMPLETAR</v>
      </c>
      <c r="H163" s="17"/>
      <c r="I163" s="29">
        <v>46009</v>
      </c>
      <c r="J163" s="30" t="str">
        <f t="shared" si="81"/>
        <v>jue</v>
      </c>
      <c r="K163" s="28">
        <v>0.66666666666666696</v>
      </c>
      <c r="L163" s="31"/>
      <c r="M163" s="31"/>
      <c r="N163" s="31"/>
      <c r="O163" s="32" t="str">
        <f t="shared" si="74"/>
        <v>❌ SIN COMPLETAR</v>
      </c>
      <c r="P163" s="17"/>
      <c r="Q163" s="29">
        <v>46009</v>
      </c>
      <c r="R163" s="30" t="str">
        <f t="shared" si="82"/>
        <v>jue</v>
      </c>
      <c r="S163" s="28">
        <v>0.66666666666666696</v>
      </c>
      <c r="T163" s="31"/>
      <c r="U163" s="31"/>
      <c r="V163" s="31"/>
      <c r="W163" s="40" t="str">
        <f t="shared" si="49"/>
        <v>❌ SIN COMPLETAR</v>
      </c>
      <c r="Y163" s="29">
        <v>46009</v>
      </c>
      <c r="Z163" s="30" t="str">
        <f t="shared" si="83"/>
        <v>jue</v>
      </c>
      <c r="AA163" s="28">
        <v>0.66666666666666696</v>
      </c>
      <c r="AB163" s="31"/>
      <c r="AC163" s="31"/>
      <c r="AD163" s="31"/>
      <c r="AE163" s="32" t="str">
        <f t="shared" si="75"/>
        <v>❌ SIN COMPLETAR</v>
      </c>
    </row>
    <row r="164" spans="1:31" x14ac:dyDescent="0.3">
      <c r="A164" s="29">
        <v>46009</v>
      </c>
      <c r="B164" s="30" t="str">
        <f t="shared" si="80"/>
        <v>jue</v>
      </c>
      <c r="C164" s="28">
        <v>0.70833333333333304</v>
      </c>
      <c r="D164" s="31"/>
      <c r="E164" s="31"/>
      <c r="F164" s="31"/>
      <c r="G164" s="40" t="str">
        <f>IF(COUNTIF(D164:F164,"?*")=$N$5,"✅ CUBIERTO",
IF(COUNTIF(D164:F164,"?*")&gt;$N$5,"⚠ EXCESO",IF(COUNTIF(D164:F164,"?*")&gt;0,"⚠ FALTANTE",
"❌ SIN COMPLETAR")))</f>
        <v>❌ SIN COMPLETAR</v>
      </c>
      <c r="H164" s="17"/>
      <c r="I164" s="29">
        <v>46009</v>
      </c>
      <c r="J164" s="30" t="str">
        <f t="shared" si="81"/>
        <v>jue</v>
      </c>
      <c r="K164" s="28">
        <v>0.70833333333333304</v>
      </c>
      <c r="L164" s="31"/>
      <c r="M164" s="31"/>
      <c r="N164" s="31"/>
      <c r="O164" s="32" t="str">
        <f t="shared" si="74"/>
        <v>❌ SIN COMPLETAR</v>
      </c>
      <c r="P164" s="17"/>
      <c r="Q164" s="29">
        <v>46009</v>
      </c>
      <c r="R164" s="30" t="str">
        <f t="shared" si="82"/>
        <v>jue</v>
      </c>
      <c r="S164" s="28">
        <v>0.70833333333333304</v>
      </c>
      <c r="T164" s="31"/>
      <c r="U164" s="31"/>
      <c r="V164" s="31"/>
      <c r="W164" s="40" t="str">
        <f t="shared" ref="W164:W227" si="84">IF(COUNTIF(T164:V164,"?*")=$N$7,"✅ CUBIERTO",IF(COUNTIF(T164:V164,"?*")&gt;$N$7,"⚠ EXCESO",
IF(COUNTIF(T164:V164,"?*")&gt;0,"⚠ FALTANTE", "❌ SIN COMPLETAR")))</f>
        <v>❌ SIN COMPLETAR</v>
      </c>
      <c r="Y164" s="29">
        <v>46009</v>
      </c>
      <c r="Z164" s="30" t="str">
        <f t="shared" si="83"/>
        <v>jue</v>
      </c>
      <c r="AA164" s="28">
        <v>0.70833333333333304</v>
      </c>
      <c r="AB164" s="31"/>
      <c r="AC164" s="31"/>
      <c r="AD164" s="31"/>
      <c r="AE164" s="32" t="str">
        <f t="shared" si="75"/>
        <v>❌ SIN COMPLETAR</v>
      </c>
    </row>
    <row r="165" spans="1:31" x14ac:dyDescent="0.3">
      <c r="A165" s="29">
        <v>46009</v>
      </c>
      <c r="B165" s="30" t="str">
        <f t="shared" si="80"/>
        <v>jue</v>
      </c>
      <c r="C165" s="28">
        <v>0.75</v>
      </c>
      <c r="D165" s="31"/>
      <c r="E165" s="31"/>
      <c r="F165" s="31"/>
      <c r="G165" s="40" t="str">
        <f>IF(COUNTIF(D165:F165,"?*")=$N$5,"✅ CUBIERTO",
IF(COUNTIF(D165:F165,"?*")&gt;$N$5,"⚠ EXCESO",IF(COUNTIF(D165:F165,"?*")&gt;0,"⚠ FALTANTE",
"❌ SIN COMPLETAR")))</f>
        <v>❌ SIN COMPLETAR</v>
      </c>
      <c r="H165" s="17"/>
      <c r="I165" s="29">
        <v>46009</v>
      </c>
      <c r="J165" s="30" t="str">
        <f t="shared" si="81"/>
        <v>jue</v>
      </c>
      <c r="K165" s="28">
        <v>0.75</v>
      </c>
      <c r="L165" s="41"/>
      <c r="M165" s="41"/>
      <c r="N165" s="41"/>
      <c r="O165" s="32" t="str">
        <f t="shared" si="74"/>
        <v>❌ SIN COMPLETAR</v>
      </c>
      <c r="P165" s="17"/>
      <c r="Q165" s="29">
        <v>46009</v>
      </c>
      <c r="R165" s="30" t="str">
        <f t="shared" si="82"/>
        <v>jue</v>
      </c>
      <c r="S165" s="28">
        <v>0.75</v>
      </c>
      <c r="T165" s="31"/>
      <c r="U165" s="31"/>
      <c r="V165" s="31"/>
      <c r="W165" s="40" t="s">
        <v>16</v>
      </c>
      <c r="Y165" s="29">
        <v>46009</v>
      </c>
      <c r="Z165" s="30" t="str">
        <f t="shared" si="83"/>
        <v>jue</v>
      </c>
      <c r="AA165" s="28">
        <v>0.75</v>
      </c>
      <c r="AB165" s="41"/>
      <c r="AC165" s="41"/>
      <c r="AD165" s="41"/>
      <c r="AE165" s="32" t="str">
        <f t="shared" si="75"/>
        <v>❌ SIN COMPLETAR</v>
      </c>
    </row>
    <row r="166" spans="1:31" x14ac:dyDescent="0.3">
      <c r="A166" s="29">
        <v>46010</v>
      </c>
      <c r="B166" s="30" t="str">
        <f>TEXT(A166,"ddd")</f>
        <v>vie</v>
      </c>
      <c r="C166" s="28">
        <v>0.45833333333333331</v>
      </c>
      <c r="D166" s="31"/>
      <c r="E166" s="31"/>
      <c r="F166" s="31"/>
      <c r="G166" s="40" t="str">
        <f>IF(COUNTIF(D166:F166,"?*")=$N$5,"✅ CUBIERTO",
IF(COUNTIF(D166:F166,"?*")&gt;$N$5,"⚠ EXCESO",IF(COUNTIF(D166:F166,"?*")&gt;0,"⚠ FALTANTE",
"❌ SIN COMPLETAR")))</f>
        <v>❌ SIN COMPLETAR</v>
      </c>
      <c r="H166" s="17"/>
      <c r="I166" s="29">
        <v>46010</v>
      </c>
      <c r="J166" s="30" t="str">
        <f>TEXT(I166,"ddd")</f>
        <v>vie</v>
      </c>
      <c r="K166" s="28">
        <v>0.45833333333333331</v>
      </c>
      <c r="L166" s="31"/>
      <c r="M166" s="31"/>
      <c r="N166" s="31"/>
      <c r="O166" s="32" t="str">
        <f t="shared" si="74"/>
        <v>❌ SIN COMPLETAR</v>
      </c>
      <c r="P166" s="17"/>
      <c r="Q166" s="29">
        <v>46010</v>
      </c>
      <c r="R166" s="30" t="str">
        <f>TEXT(Q166,"ddd")</f>
        <v>vie</v>
      </c>
      <c r="S166" s="28">
        <v>0.45833333333333331</v>
      </c>
      <c r="T166" s="31"/>
      <c r="U166" s="31"/>
      <c r="V166" s="31"/>
      <c r="W166" s="40" t="s">
        <v>16</v>
      </c>
      <c r="Y166" s="29">
        <v>46010</v>
      </c>
      <c r="Z166" s="30" t="str">
        <f>TEXT(Y166,"ddd")</f>
        <v>vie</v>
      </c>
      <c r="AA166" s="28">
        <v>0.45833333333333331</v>
      </c>
      <c r="AB166" s="31"/>
      <c r="AC166" s="31"/>
      <c r="AD166" s="31"/>
      <c r="AE166" s="32" t="str">
        <f t="shared" si="75"/>
        <v>❌ SIN COMPLETAR</v>
      </c>
    </row>
    <row r="167" spans="1:31" x14ac:dyDescent="0.3">
      <c r="A167" s="29">
        <v>46010</v>
      </c>
      <c r="B167" s="30" t="str">
        <f t="shared" ref="B167:B173" si="85">TEXT(A167,"ddd")</f>
        <v>vie</v>
      </c>
      <c r="C167" s="28">
        <v>0.5</v>
      </c>
      <c r="D167" s="31"/>
      <c r="E167" s="31"/>
      <c r="F167" s="31"/>
      <c r="G167" s="40" t="str">
        <f>IF(COUNTIF(D167:F167,"?*")=$N$5,"✅ CUBIERTO",
IF(COUNTIF(D167:F167,"?*")&gt;$N$5,"⚠ EXCESO",IF(COUNTIF(D167:F167,"?*")&gt;0,"⚠ FALTANTE",
"❌ SIN COMPLETAR")))</f>
        <v>❌ SIN COMPLETAR</v>
      </c>
      <c r="H167" s="17"/>
      <c r="I167" s="29">
        <v>46010</v>
      </c>
      <c r="J167" s="30" t="str">
        <f t="shared" ref="J167:J173" si="86">TEXT(I167,"ddd")</f>
        <v>vie</v>
      </c>
      <c r="K167" s="28">
        <v>0.5</v>
      </c>
      <c r="L167" s="31"/>
      <c r="M167" s="31"/>
      <c r="N167" s="31"/>
      <c r="O167" s="32" t="str">
        <f t="shared" si="74"/>
        <v>❌ SIN COMPLETAR</v>
      </c>
      <c r="P167" s="17"/>
      <c r="Q167" s="29">
        <v>46010</v>
      </c>
      <c r="R167" s="30" t="str">
        <f t="shared" ref="R167:R173" si="87">TEXT(Q167,"ddd")</f>
        <v>vie</v>
      </c>
      <c r="S167" s="28">
        <v>0.5</v>
      </c>
      <c r="T167" s="31"/>
      <c r="U167" s="31"/>
      <c r="V167" s="31"/>
      <c r="W167" s="40" t="str">
        <f t="shared" si="84"/>
        <v>❌ SIN COMPLETAR</v>
      </c>
      <c r="Y167" s="29">
        <v>46010</v>
      </c>
      <c r="Z167" s="30" t="str">
        <f t="shared" ref="Z167:Z173" si="88">TEXT(Y167,"ddd")</f>
        <v>vie</v>
      </c>
      <c r="AA167" s="28">
        <v>0.5</v>
      </c>
      <c r="AB167" s="31"/>
      <c r="AC167" s="31"/>
      <c r="AD167" s="31"/>
      <c r="AE167" s="32" t="str">
        <f t="shared" si="75"/>
        <v>❌ SIN COMPLETAR</v>
      </c>
    </row>
    <row r="168" spans="1:31" x14ac:dyDescent="0.3">
      <c r="A168" s="29">
        <v>46010</v>
      </c>
      <c r="B168" s="30" t="str">
        <f t="shared" si="85"/>
        <v>vie</v>
      </c>
      <c r="C168" s="28">
        <v>0.54166666666666696</v>
      </c>
      <c r="D168" s="31"/>
      <c r="E168" s="31"/>
      <c r="F168" s="31"/>
      <c r="G168" s="40" t="str">
        <f>IF(COUNTIF(D168:F168,"?*")=$N$5,"✅ CUBIERTO",
IF(COUNTIF(D168:F168,"?*")&gt;$N$5,"⚠ EXCESO",IF(COUNTIF(D168:F168,"?*")&gt;0,"⚠ FALTANTE",
"❌ SIN COMPLETAR")))</f>
        <v>❌ SIN COMPLETAR</v>
      </c>
      <c r="H168" s="17"/>
      <c r="I168" s="29">
        <v>46010</v>
      </c>
      <c r="J168" s="30" t="str">
        <f t="shared" si="86"/>
        <v>vie</v>
      </c>
      <c r="K168" s="28">
        <v>0.54166666666666696</v>
      </c>
      <c r="L168" s="31"/>
      <c r="M168" s="31"/>
      <c r="N168" s="31"/>
      <c r="O168" s="32" t="str">
        <f t="shared" si="74"/>
        <v>❌ SIN COMPLETAR</v>
      </c>
      <c r="P168" s="17"/>
      <c r="Q168" s="29">
        <v>46010</v>
      </c>
      <c r="R168" s="30" t="str">
        <f t="shared" si="87"/>
        <v>vie</v>
      </c>
      <c r="S168" s="28">
        <v>0.54166666666666696</v>
      </c>
      <c r="T168" s="31"/>
      <c r="U168" s="31"/>
      <c r="V168" s="31"/>
      <c r="W168" s="40" t="str">
        <f t="shared" si="84"/>
        <v>❌ SIN COMPLETAR</v>
      </c>
      <c r="Y168" s="29">
        <v>46010</v>
      </c>
      <c r="Z168" s="30" t="str">
        <f t="shared" si="88"/>
        <v>vie</v>
      </c>
      <c r="AA168" s="28">
        <v>0.54166666666666696</v>
      </c>
      <c r="AB168" s="31"/>
      <c r="AC168" s="31"/>
      <c r="AD168" s="31"/>
      <c r="AE168" s="32" t="str">
        <f t="shared" si="75"/>
        <v>❌ SIN COMPLETAR</v>
      </c>
    </row>
    <row r="169" spans="1:31" x14ac:dyDescent="0.3">
      <c r="A169" s="29">
        <v>46010</v>
      </c>
      <c r="B169" s="30" t="str">
        <f t="shared" si="85"/>
        <v>vie</v>
      </c>
      <c r="C169" s="28">
        <v>0.58333333333333304</v>
      </c>
      <c r="D169" s="31"/>
      <c r="E169" s="31"/>
      <c r="F169" s="31"/>
      <c r="G169" s="40" t="str">
        <f>IF(COUNTIF(D169:F169,"?*")=$N$5,"✅ CUBIERTO",
IF(COUNTIF(D169:F169,"?*")&gt;$N$5,"⚠ EXCESO",IF(COUNTIF(D169:F169,"?*")&gt;0,"⚠ FALTANTE",
"❌ SIN COMPLETAR")))</f>
        <v>❌ SIN COMPLETAR</v>
      </c>
      <c r="H169" s="17"/>
      <c r="I169" s="29">
        <v>46010</v>
      </c>
      <c r="J169" s="30" t="str">
        <f t="shared" si="86"/>
        <v>vie</v>
      </c>
      <c r="K169" s="28">
        <v>0.58333333333333304</v>
      </c>
      <c r="L169" s="31"/>
      <c r="M169" s="31"/>
      <c r="N169" s="31"/>
      <c r="O169" s="32" t="str">
        <f t="shared" si="74"/>
        <v>❌ SIN COMPLETAR</v>
      </c>
      <c r="P169" s="17"/>
      <c r="Q169" s="29">
        <v>46010</v>
      </c>
      <c r="R169" s="30" t="str">
        <f t="shared" si="87"/>
        <v>vie</v>
      </c>
      <c r="S169" s="28">
        <v>0.58333333333333304</v>
      </c>
      <c r="T169" s="31"/>
      <c r="U169" s="31"/>
      <c r="V169" s="31"/>
      <c r="W169" s="40" t="str">
        <f t="shared" si="84"/>
        <v>❌ SIN COMPLETAR</v>
      </c>
      <c r="Y169" s="29">
        <v>46010</v>
      </c>
      <c r="Z169" s="30" t="str">
        <f t="shared" si="88"/>
        <v>vie</v>
      </c>
      <c r="AA169" s="28">
        <v>0.58333333333333304</v>
      </c>
      <c r="AB169" s="31"/>
      <c r="AC169" s="31"/>
      <c r="AD169" s="31"/>
      <c r="AE169" s="32" t="str">
        <f t="shared" si="75"/>
        <v>❌ SIN COMPLETAR</v>
      </c>
    </row>
    <row r="170" spans="1:31" x14ac:dyDescent="0.3">
      <c r="A170" s="29">
        <v>46010</v>
      </c>
      <c r="B170" s="30" t="str">
        <f t="shared" si="85"/>
        <v>vie</v>
      </c>
      <c r="C170" s="28">
        <v>0.625</v>
      </c>
      <c r="D170" s="31"/>
      <c r="E170" s="31"/>
      <c r="F170" s="31"/>
      <c r="G170" s="40" t="str">
        <f>IF(COUNTIF(D170:F170,"?*")=$N$5,"✅ CUBIERTO",
IF(COUNTIF(D170:F170,"?*")&gt;$N$5,"⚠ EXCESO",IF(COUNTIF(D170:F170,"?*")&gt;0,"⚠ FALTANTE",
"❌ SIN COMPLETAR")))</f>
        <v>❌ SIN COMPLETAR</v>
      </c>
      <c r="H170" s="17"/>
      <c r="I170" s="29">
        <v>46010</v>
      </c>
      <c r="J170" s="30" t="str">
        <f t="shared" si="86"/>
        <v>vie</v>
      </c>
      <c r="K170" s="28">
        <v>0.625</v>
      </c>
      <c r="L170" s="31"/>
      <c r="M170" s="31"/>
      <c r="N170" s="31"/>
      <c r="O170" s="32" t="str">
        <f t="shared" si="74"/>
        <v>❌ SIN COMPLETAR</v>
      </c>
      <c r="P170" s="17"/>
      <c r="Q170" s="29">
        <v>46010</v>
      </c>
      <c r="R170" s="30" t="str">
        <f t="shared" si="87"/>
        <v>vie</v>
      </c>
      <c r="S170" s="28">
        <v>0.625</v>
      </c>
      <c r="T170" s="31"/>
      <c r="U170" s="31"/>
      <c r="V170" s="31"/>
      <c r="W170" s="40" t="str">
        <f t="shared" si="84"/>
        <v>❌ SIN COMPLETAR</v>
      </c>
      <c r="Y170" s="29">
        <v>46010</v>
      </c>
      <c r="Z170" s="30" t="str">
        <f t="shared" si="88"/>
        <v>vie</v>
      </c>
      <c r="AA170" s="28">
        <v>0.625</v>
      </c>
      <c r="AB170" s="31"/>
      <c r="AC170" s="31"/>
      <c r="AD170" s="31"/>
      <c r="AE170" s="32" t="str">
        <f t="shared" si="75"/>
        <v>❌ SIN COMPLETAR</v>
      </c>
    </row>
    <row r="171" spans="1:31" x14ac:dyDescent="0.3">
      <c r="A171" s="29">
        <v>46010</v>
      </c>
      <c r="B171" s="30" t="str">
        <f t="shared" si="85"/>
        <v>vie</v>
      </c>
      <c r="C171" s="28">
        <v>0.66666666666666696</v>
      </c>
      <c r="D171" s="31"/>
      <c r="E171" s="31"/>
      <c r="F171" s="31"/>
      <c r="G171" s="40" t="str">
        <f>IF(COUNTIF(D171:F171,"?*")=$N$5,"✅ CUBIERTO",
IF(COUNTIF(D171:F171,"?*")&gt;$N$5,"⚠ EXCESO",IF(COUNTIF(D171:F171,"?*")&gt;0,"⚠ FALTANTE",
"❌ SIN COMPLETAR")))</f>
        <v>❌ SIN COMPLETAR</v>
      </c>
      <c r="H171" s="17"/>
      <c r="I171" s="29">
        <v>46010</v>
      </c>
      <c r="J171" s="30" t="str">
        <f t="shared" si="86"/>
        <v>vie</v>
      </c>
      <c r="K171" s="28">
        <v>0.66666666666666696</v>
      </c>
      <c r="L171" s="31"/>
      <c r="M171" s="31"/>
      <c r="N171" s="31"/>
      <c r="O171" s="32" t="str">
        <f t="shared" si="74"/>
        <v>❌ SIN COMPLETAR</v>
      </c>
      <c r="P171" s="17"/>
      <c r="Q171" s="29">
        <v>46010</v>
      </c>
      <c r="R171" s="30" t="str">
        <f t="shared" si="87"/>
        <v>vie</v>
      </c>
      <c r="S171" s="28">
        <v>0.66666666666666696</v>
      </c>
      <c r="T171" s="31"/>
      <c r="U171" s="31"/>
      <c r="V171" s="31"/>
      <c r="W171" s="40" t="str">
        <f t="shared" si="84"/>
        <v>❌ SIN COMPLETAR</v>
      </c>
      <c r="Y171" s="29">
        <v>46010</v>
      </c>
      <c r="Z171" s="30" t="str">
        <f t="shared" si="88"/>
        <v>vie</v>
      </c>
      <c r="AA171" s="28">
        <v>0.66666666666666696</v>
      </c>
      <c r="AB171" s="31"/>
      <c r="AC171" s="31"/>
      <c r="AD171" s="31"/>
      <c r="AE171" s="32" t="str">
        <f t="shared" si="75"/>
        <v>❌ SIN COMPLETAR</v>
      </c>
    </row>
    <row r="172" spans="1:31" x14ac:dyDescent="0.3">
      <c r="A172" s="29">
        <v>46010</v>
      </c>
      <c r="B172" s="30" t="str">
        <f t="shared" si="85"/>
        <v>vie</v>
      </c>
      <c r="C172" s="28">
        <v>0.70833333333333304</v>
      </c>
      <c r="D172" s="31"/>
      <c r="E172" s="31"/>
      <c r="F172" s="31"/>
      <c r="G172" s="40" t="str">
        <f>IF(COUNTIF(D172:F172,"?*")=$N$5,"✅ CUBIERTO",
IF(COUNTIF(D172:F172,"?*")&gt;$N$5,"⚠ EXCESO",IF(COUNTIF(D172:F172,"?*")&gt;0,"⚠ FALTANTE",
"❌ SIN COMPLETAR")))</f>
        <v>❌ SIN COMPLETAR</v>
      </c>
      <c r="H172" s="17"/>
      <c r="I172" s="29">
        <v>46010</v>
      </c>
      <c r="J172" s="30" t="str">
        <f t="shared" si="86"/>
        <v>vie</v>
      </c>
      <c r="K172" s="28">
        <v>0.70833333333333304</v>
      </c>
      <c r="L172" s="31"/>
      <c r="M172" s="31"/>
      <c r="N172" s="31"/>
      <c r="O172" s="32" t="str">
        <f t="shared" si="74"/>
        <v>❌ SIN COMPLETAR</v>
      </c>
      <c r="P172" s="17"/>
      <c r="Q172" s="29">
        <v>46010</v>
      </c>
      <c r="R172" s="30" t="str">
        <f t="shared" si="87"/>
        <v>vie</v>
      </c>
      <c r="S172" s="28">
        <v>0.70833333333333304</v>
      </c>
      <c r="T172" s="31"/>
      <c r="U172" s="31"/>
      <c r="V172" s="31"/>
      <c r="W172" s="40" t="str">
        <f t="shared" si="84"/>
        <v>❌ SIN COMPLETAR</v>
      </c>
      <c r="Y172" s="29">
        <v>46010</v>
      </c>
      <c r="Z172" s="30" t="str">
        <f t="shared" si="88"/>
        <v>vie</v>
      </c>
      <c r="AA172" s="28">
        <v>0.70833333333333304</v>
      </c>
      <c r="AB172" s="31"/>
      <c r="AC172" s="31"/>
      <c r="AD172" s="31"/>
      <c r="AE172" s="32" t="str">
        <f t="shared" si="75"/>
        <v>❌ SIN COMPLETAR</v>
      </c>
    </row>
    <row r="173" spans="1:31" x14ac:dyDescent="0.3">
      <c r="A173" s="29">
        <v>46010</v>
      </c>
      <c r="B173" s="30" t="str">
        <f t="shared" si="85"/>
        <v>vie</v>
      </c>
      <c r="C173" s="28">
        <v>0.75</v>
      </c>
      <c r="D173" s="31"/>
      <c r="E173" s="31"/>
      <c r="F173" s="31"/>
      <c r="G173" s="40" t="str">
        <f>IF(COUNTIF(D173:F173,"?*")=$N$5,"✅ CUBIERTO",
IF(COUNTIF(D173:F173,"?*")&gt;$N$5,"⚠ EXCESO",IF(COUNTIF(D173:F173,"?*")&gt;0,"⚠ FALTANTE",
"❌ SIN COMPLETAR")))</f>
        <v>❌ SIN COMPLETAR</v>
      </c>
      <c r="H173" s="17"/>
      <c r="I173" s="29">
        <v>46010</v>
      </c>
      <c r="J173" s="30" t="str">
        <f t="shared" si="86"/>
        <v>vie</v>
      </c>
      <c r="K173" s="28">
        <v>0.75</v>
      </c>
      <c r="L173" s="41"/>
      <c r="M173" s="41"/>
      <c r="N173" s="41"/>
      <c r="O173" s="32" t="str">
        <f t="shared" si="74"/>
        <v>❌ SIN COMPLETAR</v>
      </c>
      <c r="P173" s="17"/>
      <c r="Q173" s="29">
        <v>46010</v>
      </c>
      <c r="R173" s="30" t="str">
        <f t="shared" si="87"/>
        <v>vie</v>
      </c>
      <c r="S173" s="28">
        <v>0.75</v>
      </c>
      <c r="T173" s="31"/>
      <c r="U173" s="31"/>
      <c r="V173" s="31"/>
      <c r="W173" s="40" t="s">
        <v>16</v>
      </c>
      <c r="Y173" s="29">
        <v>46010</v>
      </c>
      <c r="Z173" s="30" t="str">
        <f t="shared" si="88"/>
        <v>vie</v>
      </c>
      <c r="AA173" s="28">
        <v>0.75</v>
      </c>
      <c r="AB173" s="41"/>
      <c r="AC173" s="41"/>
      <c r="AD173" s="41"/>
      <c r="AE173" s="32" t="str">
        <f t="shared" si="75"/>
        <v>❌ SIN COMPLETAR</v>
      </c>
    </row>
    <row r="174" spans="1:31" x14ac:dyDescent="0.3">
      <c r="A174" s="29">
        <v>46011</v>
      </c>
      <c r="B174" s="30" t="str">
        <f>TEXT(A174,"ddd")</f>
        <v>sáb</v>
      </c>
      <c r="C174" s="28">
        <v>0.45833333333333331</v>
      </c>
      <c r="D174" s="31"/>
      <c r="E174" s="31"/>
      <c r="F174" s="31"/>
      <c r="G174" s="40" t="str">
        <f>IF(COUNTIF(D174:F174,"?*")=$N$5,"✅ CUBIERTO",
IF(COUNTIF(D174:F174,"?*")&gt;$N$5,"⚠ EXCESO",IF(COUNTIF(D174:F174,"?*")&gt;0,"⚠ FALTANTE",
"❌ SIN COMPLETAR")))</f>
        <v>❌ SIN COMPLETAR</v>
      </c>
      <c r="H174" s="17"/>
      <c r="I174" s="29">
        <v>46011</v>
      </c>
      <c r="J174" s="30" t="str">
        <f>TEXT(I174,"ddd")</f>
        <v>sáb</v>
      </c>
      <c r="K174" s="28">
        <v>0.45833333333333331</v>
      </c>
      <c r="L174" s="31"/>
      <c r="M174" s="31"/>
      <c r="N174" s="31"/>
      <c r="O174" s="32" t="str">
        <f t="shared" si="74"/>
        <v>❌ SIN COMPLETAR</v>
      </c>
      <c r="P174" s="17"/>
      <c r="Q174" s="29">
        <v>46011</v>
      </c>
      <c r="R174" s="30" t="str">
        <f>TEXT(Q174,"ddd")</f>
        <v>sáb</v>
      </c>
      <c r="S174" s="28">
        <v>0.45833333333333331</v>
      </c>
      <c r="T174" s="31"/>
      <c r="U174" s="31"/>
      <c r="V174" s="31"/>
      <c r="W174" s="40" t="str">
        <f t="shared" si="84"/>
        <v>❌ SIN COMPLETAR</v>
      </c>
      <c r="Y174" s="29">
        <v>46011</v>
      </c>
      <c r="Z174" s="30" t="str">
        <f>TEXT(Y174,"ddd")</f>
        <v>sáb</v>
      </c>
      <c r="AA174" s="28">
        <v>0.45833333333333331</v>
      </c>
      <c r="AB174" s="31"/>
      <c r="AC174" s="31"/>
      <c r="AD174" s="31"/>
      <c r="AE174" s="32" t="str">
        <f t="shared" si="75"/>
        <v>❌ SIN COMPLETAR</v>
      </c>
    </row>
    <row r="175" spans="1:31" x14ac:dyDescent="0.3">
      <c r="A175" s="29">
        <v>46011</v>
      </c>
      <c r="B175" s="30" t="str">
        <f t="shared" ref="B175:B181" si="89">TEXT(A175,"ddd")</f>
        <v>sáb</v>
      </c>
      <c r="C175" s="28">
        <v>0.5</v>
      </c>
      <c r="D175" s="31"/>
      <c r="E175" s="31"/>
      <c r="F175" s="31"/>
      <c r="G175" s="40" t="str">
        <f>IF(COUNTIF(D175:F175,"?*")=$N$5,"✅ CUBIERTO",
IF(COUNTIF(D175:F175,"?*")&gt;$N$5,"⚠ EXCESO",IF(COUNTIF(D175:F175,"?*")&gt;0,"⚠ FALTANTE",
"❌ SIN COMPLETAR")))</f>
        <v>❌ SIN COMPLETAR</v>
      </c>
      <c r="H175" s="17"/>
      <c r="I175" s="29">
        <v>46011</v>
      </c>
      <c r="J175" s="30" t="str">
        <f t="shared" ref="J175:J181" si="90">TEXT(I175,"ddd")</f>
        <v>sáb</v>
      </c>
      <c r="K175" s="28">
        <v>0.5</v>
      </c>
      <c r="L175" s="31"/>
      <c r="M175" s="31"/>
      <c r="N175" s="31"/>
      <c r="O175" s="32" t="str">
        <f t="shared" si="74"/>
        <v>❌ SIN COMPLETAR</v>
      </c>
      <c r="P175" s="17"/>
      <c r="Q175" s="29">
        <v>46011</v>
      </c>
      <c r="R175" s="30" t="str">
        <f t="shared" ref="R175:R181" si="91">TEXT(Q175,"ddd")</f>
        <v>sáb</v>
      </c>
      <c r="S175" s="28">
        <v>0.5</v>
      </c>
      <c r="T175" s="31"/>
      <c r="U175" s="31"/>
      <c r="V175" s="31"/>
      <c r="W175" s="40" t="str">
        <f t="shared" si="84"/>
        <v>❌ SIN COMPLETAR</v>
      </c>
      <c r="Y175" s="29">
        <v>46011</v>
      </c>
      <c r="Z175" s="30" t="str">
        <f t="shared" ref="Z175:Z181" si="92">TEXT(Y175,"ddd")</f>
        <v>sáb</v>
      </c>
      <c r="AA175" s="28">
        <v>0.5</v>
      </c>
      <c r="AB175" s="31"/>
      <c r="AC175" s="31"/>
      <c r="AD175" s="31"/>
      <c r="AE175" s="32" t="str">
        <f t="shared" si="75"/>
        <v>❌ SIN COMPLETAR</v>
      </c>
    </row>
    <row r="176" spans="1:31" x14ac:dyDescent="0.3">
      <c r="A176" s="29">
        <v>46011</v>
      </c>
      <c r="B176" s="30" t="str">
        <f t="shared" si="89"/>
        <v>sáb</v>
      </c>
      <c r="C176" s="28">
        <v>0.54166666666666696</v>
      </c>
      <c r="D176" s="31"/>
      <c r="E176" s="31"/>
      <c r="F176" s="31"/>
      <c r="G176" s="40" t="str">
        <f>IF(COUNTIF(D176:F176,"?*")=$N$5,"✅ CUBIERTO",
IF(COUNTIF(D176:F176,"?*")&gt;$N$5,"⚠ EXCESO",IF(COUNTIF(D176:F176,"?*")&gt;0,"⚠ FALTANTE",
"❌ SIN COMPLETAR")))</f>
        <v>❌ SIN COMPLETAR</v>
      </c>
      <c r="H176" s="17"/>
      <c r="I176" s="29">
        <v>46011</v>
      </c>
      <c r="J176" s="30" t="str">
        <f t="shared" si="90"/>
        <v>sáb</v>
      </c>
      <c r="K176" s="28">
        <v>0.54166666666666696</v>
      </c>
      <c r="L176" s="31"/>
      <c r="M176" s="31"/>
      <c r="N176" s="31"/>
      <c r="O176" s="32" t="str">
        <f t="shared" si="74"/>
        <v>❌ SIN COMPLETAR</v>
      </c>
      <c r="P176" s="17"/>
      <c r="Q176" s="29">
        <v>46011</v>
      </c>
      <c r="R176" s="30" t="str">
        <f t="shared" si="91"/>
        <v>sáb</v>
      </c>
      <c r="S176" s="28">
        <v>0.54166666666666696</v>
      </c>
      <c r="T176" s="31"/>
      <c r="U176" s="31"/>
      <c r="V176" s="31"/>
      <c r="W176" s="40" t="str">
        <f t="shared" si="84"/>
        <v>❌ SIN COMPLETAR</v>
      </c>
      <c r="Y176" s="29">
        <v>46011</v>
      </c>
      <c r="Z176" s="30" t="str">
        <f t="shared" si="92"/>
        <v>sáb</v>
      </c>
      <c r="AA176" s="28">
        <v>0.54166666666666696</v>
      </c>
      <c r="AB176" s="31"/>
      <c r="AC176" s="31"/>
      <c r="AD176" s="31"/>
      <c r="AE176" s="32" t="str">
        <f t="shared" si="75"/>
        <v>❌ SIN COMPLETAR</v>
      </c>
    </row>
    <row r="177" spans="1:31" x14ac:dyDescent="0.3">
      <c r="A177" s="29">
        <v>46011</v>
      </c>
      <c r="B177" s="30" t="str">
        <f t="shared" si="89"/>
        <v>sáb</v>
      </c>
      <c r="C177" s="28">
        <v>0.58333333333333304</v>
      </c>
      <c r="D177" s="31"/>
      <c r="E177" s="31"/>
      <c r="F177" s="31"/>
      <c r="G177" s="40" t="str">
        <f>IF(COUNTIF(D177:F177,"?*")=$N$5,"✅ CUBIERTO",
IF(COUNTIF(D177:F177,"?*")&gt;$N$5,"⚠ EXCESO",IF(COUNTIF(D177:F177,"?*")&gt;0,"⚠ FALTANTE",
"❌ SIN COMPLETAR")))</f>
        <v>❌ SIN COMPLETAR</v>
      </c>
      <c r="H177" s="17"/>
      <c r="I177" s="29">
        <v>46011</v>
      </c>
      <c r="J177" s="30" t="str">
        <f t="shared" si="90"/>
        <v>sáb</v>
      </c>
      <c r="K177" s="28">
        <v>0.58333333333333304</v>
      </c>
      <c r="L177" s="31"/>
      <c r="M177" s="31"/>
      <c r="N177" s="31"/>
      <c r="O177" s="32" t="str">
        <f t="shared" si="74"/>
        <v>❌ SIN COMPLETAR</v>
      </c>
      <c r="P177" s="17"/>
      <c r="Q177" s="29">
        <v>46011</v>
      </c>
      <c r="R177" s="30" t="str">
        <f t="shared" si="91"/>
        <v>sáb</v>
      </c>
      <c r="S177" s="28">
        <v>0.58333333333333304</v>
      </c>
      <c r="T177" s="31"/>
      <c r="U177" s="31"/>
      <c r="V177" s="31"/>
      <c r="W177" s="40" t="str">
        <f t="shared" si="84"/>
        <v>❌ SIN COMPLETAR</v>
      </c>
      <c r="Y177" s="29">
        <v>46011</v>
      </c>
      <c r="Z177" s="30" t="str">
        <f t="shared" si="92"/>
        <v>sáb</v>
      </c>
      <c r="AA177" s="28">
        <v>0.58333333333333304</v>
      </c>
      <c r="AB177" s="31"/>
      <c r="AC177" s="31"/>
      <c r="AD177" s="31"/>
      <c r="AE177" s="32" t="str">
        <f t="shared" si="75"/>
        <v>❌ SIN COMPLETAR</v>
      </c>
    </row>
    <row r="178" spans="1:31" x14ac:dyDescent="0.3">
      <c r="A178" s="29">
        <v>46011</v>
      </c>
      <c r="B178" s="30" t="str">
        <f t="shared" si="89"/>
        <v>sáb</v>
      </c>
      <c r="C178" s="28">
        <v>0.625</v>
      </c>
      <c r="D178" s="31"/>
      <c r="E178" s="31"/>
      <c r="F178" s="31"/>
      <c r="G178" s="40" t="str">
        <f>IF(COUNTIF(D178:F178,"?*")=$N$5,"✅ CUBIERTO",
IF(COUNTIF(D178:F178,"?*")&gt;$N$5,"⚠ EXCESO",IF(COUNTIF(D178:F178,"?*")&gt;0,"⚠ FALTANTE",
"❌ SIN COMPLETAR")))</f>
        <v>❌ SIN COMPLETAR</v>
      </c>
      <c r="H178" s="17"/>
      <c r="I178" s="29">
        <v>46011</v>
      </c>
      <c r="J178" s="30" t="str">
        <f t="shared" si="90"/>
        <v>sáb</v>
      </c>
      <c r="K178" s="28">
        <v>0.625</v>
      </c>
      <c r="L178" s="31"/>
      <c r="M178" s="31"/>
      <c r="N178" s="31"/>
      <c r="O178" s="32" t="str">
        <f t="shared" si="74"/>
        <v>❌ SIN COMPLETAR</v>
      </c>
      <c r="P178" s="17"/>
      <c r="Q178" s="29">
        <v>46011</v>
      </c>
      <c r="R178" s="30" t="str">
        <f t="shared" si="91"/>
        <v>sáb</v>
      </c>
      <c r="S178" s="28">
        <v>0.625</v>
      </c>
      <c r="T178" s="31"/>
      <c r="U178" s="31"/>
      <c r="V178" s="31"/>
      <c r="W178" s="40" t="str">
        <f t="shared" si="84"/>
        <v>❌ SIN COMPLETAR</v>
      </c>
      <c r="Y178" s="29">
        <v>46011</v>
      </c>
      <c r="Z178" s="30" t="str">
        <f t="shared" si="92"/>
        <v>sáb</v>
      </c>
      <c r="AA178" s="28">
        <v>0.625</v>
      </c>
      <c r="AB178" s="31"/>
      <c r="AC178" s="31"/>
      <c r="AD178" s="31"/>
      <c r="AE178" s="32" t="str">
        <f t="shared" si="75"/>
        <v>❌ SIN COMPLETAR</v>
      </c>
    </row>
    <row r="179" spans="1:31" x14ac:dyDescent="0.3">
      <c r="A179" s="29">
        <v>46011</v>
      </c>
      <c r="B179" s="30" t="str">
        <f t="shared" si="89"/>
        <v>sáb</v>
      </c>
      <c r="C179" s="28">
        <v>0.66666666666666696</v>
      </c>
      <c r="D179" s="31"/>
      <c r="E179" s="31"/>
      <c r="F179" s="31"/>
      <c r="G179" s="40" t="str">
        <f>IF(COUNTIF(D179:F179,"?*")=$N$5,"✅ CUBIERTO",
IF(COUNTIF(D179:F179,"?*")&gt;$N$5,"⚠ EXCESO",IF(COUNTIF(D179:F179,"?*")&gt;0,"⚠ FALTANTE",
"❌ SIN COMPLETAR")))</f>
        <v>❌ SIN COMPLETAR</v>
      </c>
      <c r="H179" s="17"/>
      <c r="I179" s="29">
        <v>46011</v>
      </c>
      <c r="J179" s="30" t="str">
        <f t="shared" si="90"/>
        <v>sáb</v>
      </c>
      <c r="K179" s="28">
        <v>0.66666666666666696</v>
      </c>
      <c r="L179" s="31"/>
      <c r="M179" s="31"/>
      <c r="N179" s="31"/>
      <c r="O179" s="32" t="str">
        <f t="shared" si="74"/>
        <v>❌ SIN COMPLETAR</v>
      </c>
      <c r="P179" s="17"/>
      <c r="Q179" s="29">
        <v>46011</v>
      </c>
      <c r="R179" s="30" t="str">
        <f t="shared" si="91"/>
        <v>sáb</v>
      </c>
      <c r="S179" s="28">
        <v>0.66666666666666696</v>
      </c>
      <c r="T179" s="31"/>
      <c r="U179" s="31"/>
      <c r="V179" s="31"/>
      <c r="W179" s="40" t="str">
        <f t="shared" si="84"/>
        <v>❌ SIN COMPLETAR</v>
      </c>
      <c r="Y179" s="29">
        <v>46011</v>
      </c>
      <c r="Z179" s="30" t="str">
        <f t="shared" si="92"/>
        <v>sáb</v>
      </c>
      <c r="AA179" s="28">
        <v>0.66666666666666696</v>
      </c>
      <c r="AB179" s="31"/>
      <c r="AC179" s="31"/>
      <c r="AD179" s="31"/>
      <c r="AE179" s="32" t="str">
        <f t="shared" si="75"/>
        <v>❌ SIN COMPLETAR</v>
      </c>
    </row>
    <row r="180" spans="1:31" x14ac:dyDescent="0.3">
      <c r="A180" s="29">
        <v>46011</v>
      </c>
      <c r="B180" s="30" t="str">
        <f t="shared" si="89"/>
        <v>sáb</v>
      </c>
      <c r="C180" s="28">
        <v>0.70833333333333304</v>
      </c>
      <c r="D180" s="31"/>
      <c r="E180" s="31"/>
      <c r="F180" s="31"/>
      <c r="G180" s="40" t="str">
        <f>IF(COUNTIF(D180:F180,"?*")=$N$5,"✅ CUBIERTO",
IF(COUNTIF(D180:F180,"?*")&gt;$N$5,"⚠ EXCESO",IF(COUNTIF(D180:F180,"?*")&gt;0,"⚠ FALTANTE",
"❌ SIN COMPLETAR")))</f>
        <v>❌ SIN COMPLETAR</v>
      </c>
      <c r="H180" s="17"/>
      <c r="I180" s="29">
        <v>46011</v>
      </c>
      <c r="J180" s="30" t="str">
        <f t="shared" si="90"/>
        <v>sáb</v>
      </c>
      <c r="K180" s="28">
        <v>0.70833333333333304</v>
      </c>
      <c r="L180" s="31"/>
      <c r="M180" s="31"/>
      <c r="N180" s="31"/>
      <c r="O180" s="32" t="str">
        <f t="shared" si="74"/>
        <v>❌ SIN COMPLETAR</v>
      </c>
      <c r="P180" s="17"/>
      <c r="Q180" s="29">
        <v>46011</v>
      </c>
      <c r="R180" s="30" t="str">
        <f t="shared" si="91"/>
        <v>sáb</v>
      </c>
      <c r="S180" s="28">
        <v>0.70833333333333304</v>
      </c>
      <c r="T180" s="31"/>
      <c r="U180" s="31"/>
      <c r="V180" s="31"/>
      <c r="W180" s="40" t="str">
        <f t="shared" si="84"/>
        <v>❌ SIN COMPLETAR</v>
      </c>
      <c r="Y180" s="29">
        <v>46011</v>
      </c>
      <c r="Z180" s="30" t="str">
        <f t="shared" si="92"/>
        <v>sáb</v>
      </c>
      <c r="AA180" s="28">
        <v>0.70833333333333304</v>
      </c>
      <c r="AB180" s="31"/>
      <c r="AC180" s="31"/>
      <c r="AD180" s="31"/>
      <c r="AE180" s="32" t="str">
        <f t="shared" si="75"/>
        <v>❌ SIN COMPLETAR</v>
      </c>
    </row>
    <row r="181" spans="1:31" x14ac:dyDescent="0.3">
      <c r="A181" s="29">
        <v>46011</v>
      </c>
      <c r="B181" s="30" t="str">
        <f t="shared" si="89"/>
        <v>sáb</v>
      </c>
      <c r="C181" s="28">
        <v>0.75</v>
      </c>
      <c r="D181" s="31"/>
      <c r="E181" s="31"/>
      <c r="F181" s="31"/>
      <c r="G181" s="40" t="str">
        <f>IF(COUNTIF(D181:F181,"?*")=$N$5,"✅ CUBIERTO",
IF(COUNTIF(D181:F181,"?*")&gt;$N$5,"⚠ EXCESO",IF(COUNTIF(D181:F181,"?*")&gt;0,"⚠ FALTANTE",
"❌ SIN COMPLETAR")))</f>
        <v>❌ SIN COMPLETAR</v>
      </c>
      <c r="H181" s="17"/>
      <c r="I181" s="29">
        <v>46011</v>
      </c>
      <c r="J181" s="30" t="str">
        <f t="shared" si="90"/>
        <v>sáb</v>
      </c>
      <c r="K181" s="28">
        <v>0.75</v>
      </c>
      <c r="L181" s="41"/>
      <c r="M181" s="41"/>
      <c r="N181" s="41"/>
      <c r="O181" s="32" t="str">
        <f t="shared" si="74"/>
        <v>❌ SIN COMPLETAR</v>
      </c>
      <c r="P181" s="17"/>
      <c r="Q181" s="29">
        <v>46011</v>
      </c>
      <c r="R181" s="30" t="str">
        <f t="shared" si="91"/>
        <v>sáb</v>
      </c>
      <c r="S181" s="28">
        <v>0.75</v>
      </c>
      <c r="T181" s="31"/>
      <c r="U181" s="31"/>
      <c r="V181" s="31"/>
      <c r="W181" s="40" t="str">
        <f t="shared" si="84"/>
        <v>❌ SIN COMPLETAR</v>
      </c>
      <c r="Y181" s="29">
        <v>46011</v>
      </c>
      <c r="Z181" s="30" t="str">
        <f t="shared" si="92"/>
        <v>sáb</v>
      </c>
      <c r="AA181" s="28">
        <v>0.75</v>
      </c>
      <c r="AB181" s="41"/>
      <c r="AC181" s="41"/>
      <c r="AD181" s="41"/>
      <c r="AE181" s="32" t="str">
        <f t="shared" si="75"/>
        <v>❌ SIN COMPLETAR</v>
      </c>
    </row>
    <row r="182" spans="1:31" x14ac:dyDescent="0.3">
      <c r="A182" s="29">
        <v>46012</v>
      </c>
      <c r="B182" s="30" t="str">
        <f>TEXT(A182,"ddd")</f>
        <v>dom</v>
      </c>
      <c r="C182" s="28">
        <v>0.45833333333333331</v>
      </c>
      <c r="D182" s="31"/>
      <c r="E182" s="31"/>
      <c r="F182" s="31"/>
      <c r="G182" s="40" t="str">
        <f>IF(COUNTIF(D182:F182,"?*")=$N$5,"✅ CUBIERTO",
IF(COUNTIF(D182:F182,"?*")&gt;$N$5,"⚠ EXCESO",IF(COUNTIF(D182:F182,"?*")&gt;0,"⚠ FALTANTE",
"❌ SIN COMPLETAR")))</f>
        <v>❌ SIN COMPLETAR</v>
      </c>
      <c r="H182" s="17"/>
      <c r="I182" s="29">
        <v>46012</v>
      </c>
      <c r="J182" s="30" t="str">
        <f>TEXT(I182,"ddd")</f>
        <v>dom</v>
      </c>
      <c r="K182" s="28">
        <v>0.45833333333333331</v>
      </c>
      <c r="L182" s="31"/>
      <c r="M182" s="31"/>
      <c r="N182" s="31"/>
      <c r="O182" s="32" t="str">
        <f t="shared" si="74"/>
        <v>❌ SIN COMPLETAR</v>
      </c>
      <c r="P182" s="17"/>
      <c r="Q182" s="29">
        <v>46012</v>
      </c>
      <c r="R182" s="30" t="str">
        <f>TEXT(Q182,"ddd")</f>
        <v>dom</v>
      </c>
      <c r="S182" s="28">
        <v>0.45833333333333331</v>
      </c>
      <c r="T182" s="31"/>
      <c r="U182" s="31"/>
      <c r="V182" s="31"/>
      <c r="W182" s="40" t="str">
        <f t="shared" si="84"/>
        <v>❌ SIN COMPLETAR</v>
      </c>
      <c r="Y182" s="29">
        <v>46012</v>
      </c>
      <c r="Z182" s="30" t="str">
        <f>TEXT(Y182,"ddd")</f>
        <v>dom</v>
      </c>
      <c r="AA182" s="28">
        <v>0.45833333333333331</v>
      </c>
      <c r="AB182" s="31"/>
      <c r="AC182" s="31"/>
      <c r="AD182" s="31"/>
      <c r="AE182" s="32" t="str">
        <f t="shared" si="75"/>
        <v>❌ SIN COMPLETAR</v>
      </c>
    </row>
    <row r="183" spans="1:31" x14ac:dyDescent="0.3">
      <c r="A183" s="29">
        <v>46012</v>
      </c>
      <c r="B183" s="30" t="str">
        <f t="shared" ref="B183:B189" si="93">TEXT(A183,"ddd")</f>
        <v>dom</v>
      </c>
      <c r="C183" s="28">
        <v>0.5</v>
      </c>
      <c r="D183" s="31"/>
      <c r="E183" s="31"/>
      <c r="F183" s="31"/>
      <c r="G183" s="40" t="str">
        <f>IF(COUNTIF(D183:F183,"?*")=$N$5,"✅ CUBIERTO",
IF(COUNTIF(D183:F183,"?*")&gt;$N$5,"⚠ EXCESO",IF(COUNTIF(D183:F183,"?*")&gt;0,"⚠ FALTANTE",
"❌ SIN COMPLETAR")))</f>
        <v>❌ SIN COMPLETAR</v>
      </c>
      <c r="H183" s="17"/>
      <c r="I183" s="29">
        <v>46012</v>
      </c>
      <c r="J183" s="30" t="str">
        <f t="shared" ref="J183:J189" si="94">TEXT(I183,"ddd")</f>
        <v>dom</v>
      </c>
      <c r="K183" s="28">
        <v>0.5</v>
      </c>
      <c r="L183" s="31"/>
      <c r="M183" s="31"/>
      <c r="N183" s="31"/>
      <c r="O183" s="32" t="str">
        <f t="shared" si="74"/>
        <v>❌ SIN COMPLETAR</v>
      </c>
      <c r="P183" s="17"/>
      <c r="Q183" s="29">
        <v>46012</v>
      </c>
      <c r="R183" s="30" t="str">
        <f t="shared" ref="R183:R189" si="95">TEXT(Q183,"ddd")</f>
        <v>dom</v>
      </c>
      <c r="S183" s="28">
        <v>0.5</v>
      </c>
      <c r="T183" s="31"/>
      <c r="U183" s="31"/>
      <c r="V183" s="31"/>
      <c r="W183" s="40" t="str">
        <f t="shared" si="84"/>
        <v>❌ SIN COMPLETAR</v>
      </c>
      <c r="Y183" s="29">
        <v>46012</v>
      </c>
      <c r="Z183" s="30" t="str">
        <f t="shared" ref="Z183:Z189" si="96">TEXT(Y183,"ddd")</f>
        <v>dom</v>
      </c>
      <c r="AA183" s="28">
        <v>0.5</v>
      </c>
      <c r="AB183" s="31"/>
      <c r="AC183" s="31"/>
      <c r="AD183" s="31"/>
      <c r="AE183" s="32" t="str">
        <f t="shared" si="75"/>
        <v>❌ SIN COMPLETAR</v>
      </c>
    </row>
    <row r="184" spans="1:31" x14ac:dyDescent="0.3">
      <c r="A184" s="29">
        <v>46012</v>
      </c>
      <c r="B184" s="30" t="str">
        <f t="shared" si="93"/>
        <v>dom</v>
      </c>
      <c r="C184" s="28">
        <v>0.54166666666666696</v>
      </c>
      <c r="D184" s="31"/>
      <c r="E184" s="31"/>
      <c r="F184" s="31"/>
      <c r="G184" s="40" t="str">
        <f>IF(COUNTIF(D184:F184,"?*")=$N$5,"✅ CUBIERTO",
IF(COUNTIF(D184:F184,"?*")&gt;$N$5,"⚠ EXCESO",IF(COUNTIF(D184:F184,"?*")&gt;0,"⚠ FALTANTE",
"❌ SIN COMPLETAR")))</f>
        <v>❌ SIN COMPLETAR</v>
      </c>
      <c r="H184" s="17"/>
      <c r="I184" s="29">
        <v>46012</v>
      </c>
      <c r="J184" s="30" t="str">
        <f t="shared" si="94"/>
        <v>dom</v>
      </c>
      <c r="K184" s="28">
        <v>0.54166666666666696</v>
      </c>
      <c r="L184" s="31"/>
      <c r="M184" s="31"/>
      <c r="N184" s="31"/>
      <c r="O184" s="32" t="str">
        <f t="shared" si="74"/>
        <v>❌ SIN COMPLETAR</v>
      </c>
      <c r="P184" s="17"/>
      <c r="Q184" s="29">
        <v>46012</v>
      </c>
      <c r="R184" s="30" t="str">
        <f t="shared" si="95"/>
        <v>dom</v>
      </c>
      <c r="S184" s="28">
        <v>0.54166666666666696</v>
      </c>
      <c r="T184" s="31"/>
      <c r="U184" s="31"/>
      <c r="V184" s="31"/>
      <c r="W184" s="40" t="str">
        <f t="shared" si="84"/>
        <v>❌ SIN COMPLETAR</v>
      </c>
      <c r="Y184" s="29">
        <v>46012</v>
      </c>
      <c r="Z184" s="30" t="str">
        <f t="shared" si="96"/>
        <v>dom</v>
      </c>
      <c r="AA184" s="28">
        <v>0.54166666666666696</v>
      </c>
      <c r="AB184" s="31"/>
      <c r="AC184" s="31"/>
      <c r="AD184" s="31"/>
      <c r="AE184" s="32" t="str">
        <f t="shared" si="75"/>
        <v>❌ SIN COMPLETAR</v>
      </c>
    </row>
    <row r="185" spans="1:31" x14ac:dyDescent="0.3">
      <c r="A185" s="29">
        <v>46012</v>
      </c>
      <c r="B185" s="30" t="str">
        <f t="shared" si="93"/>
        <v>dom</v>
      </c>
      <c r="C185" s="28">
        <v>0.58333333333333304</v>
      </c>
      <c r="D185" s="31"/>
      <c r="E185" s="31"/>
      <c r="F185" s="31"/>
      <c r="G185" s="40" t="str">
        <f>IF(COUNTIF(D185:F185,"?*")=$N$5,"✅ CUBIERTO",
IF(COUNTIF(D185:F185,"?*")&gt;$N$5,"⚠ EXCESO",IF(COUNTIF(D185:F185,"?*")&gt;0,"⚠ FALTANTE",
"❌ SIN COMPLETAR")))</f>
        <v>❌ SIN COMPLETAR</v>
      </c>
      <c r="H185" s="17"/>
      <c r="I185" s="29">
        <v>46012</v>
      </c>
      <c r="J185" s="30" t="str">
        <f t="shared" si="94"/>
        <v>dom</v>
      </c>
      <c r="K185" s="28">
        <v>0.58333333333333304</v>
      </c>
      <c r="L185" s="31"/>
      <c r="M185" s="31"/>
      <c r="N185" s="31"/>
      <c r="O185" s="32" t="str">
        <f t="shared" si="74"/>
        <v>❌ SIN COMPLETAR</v>
      </c>
      <c r="P185" s="17"/>
      <c r="Q185" s="29">
        <v>46012</v>
      </c>
      <c r="R185" s="30" t="str">
        <f t="shared" si="95"/>
        <v>dom</v>
      </c>
      <c r="S185" s="28">
        <v>0.58333333333333304</v>
      </c>
      <c r="T185" s="31"/>
      <c r="U185" s="31"/>
      <c r="V185" s="31"/>
      <c r="W185" s="40" t="str">
        <f t="shared" si="84"/>
        <v>❌ SIN COMPLETAR</v>
      </c>
      <c r="Y185" s="29">
        <v>46012</v>
      </c>
      <c r="Z185" s="30" t="str">
        <f t="shared" si="96"/>
        <v>dom</v>
      </c>
      <c r="AA185" s="28">
        <v>0.58333333333333304</v>
      </c>
      <c r="AB185" s="31"/>
      <c r="AC185" s="31"/>
      <c r="AD185" s="31"/>
      <c r="AE185" s="32" t="str">
        <f t="shared" si="75"/>
        <v>❌ SIN COMPLETAR</v>
      </c>
    </row>
    <row r="186" spans="1:31" x14ac:dyDescent="0.3">
      <c r="A186" s="29">
        <v>46012</v>
      </c>
      <c r="B186" s="30" t="str">
        <f t="shared" si="93"/>
        <v>dom</v>
      </c>
      <c r="C186" s="28">
        <v>0.625</v>
      </c>
      <c r="D186" s="31"/>
      <c r="E186" s="31"/>
      <c r="F186" s="31"/>
      <c r="G186" s="40" t="str">
        <f>IF(COUNTIF(D186:F186,"?*")=$N$5,"✅ CUBIERTO",
IF(COUNTIF(D186:F186,"?*")&gt;$N$5,"⚠ EXCESO",IF(COUNTIF(D186:F186,"?*")&gt;0,"⚠ FALTANTE",
"❌ SIN COMPLETAR")))</f>
        <v>❌ SIN COMPLETAR</v>
      </c>
      <c r="H186" s="17"/>
      <c r="I186" s="29">
        <v>46012</v>
      </c>
      <c r="J186" s="30" t="str">
        <f t="shared" si="94"/>
        <v>dom</v>
      </c>
      <c r="K186" s="28">
        <v>0.625</v>
      </c>
      <c r="L186" s="31"/>
      <c r="M186" s="31"/>
      <c r="N186" s="31"/>
      <c r="O186" s="32" t="str">
        <f t="shared" si="74"/>
        <v>❌ SIN COMPLETAR</v>
      </c>
      <c r="P186" s="17"/>
      <c r="Q186" s="29">
        <v>46012</v>
      </c>
      <c r="R186" s="30" t="str">
        <f t="shared" si="95"/>
        <v>dom</v>
      </c>
      <c r="S186" s="28">
        <v>0.625</v>
      </c>
      <c r="T186" s="31"/>
      <c r="U186" s="31"/>
      <c r="V186" s="31"/>
      <c r="W186" s="40" t="str">
        <f t="shared" si="84"/>
        <v>❌ SIN COMPLETAR</v>
      </c>
      <c r="Y186" s="29">
        <v>46012</v>
      </c>
      <c r="Z186" s="30" t="str">
        <f t="shared" si="96"/>
        <v>dom</v>
      </c>
      <c r="AA186" s="28">
        <v>0.625</v>
      </c>
      <c r="AB186" s="31"/>
      <c r="AC186" s="31"/>
      <c r="AD186" s="31"/>
      <c r="AE186" s="32" t="str">
        <f t="shared" si="75"/>
        <v>❌ SIN COMPLETAR</v>
      </c>
    </row>
    <row r="187" spans="1:31" x14ac:dyDescent="0.3">
      <c r="A187" s="29">
        <v>46012</v>
      </c>
      <c r="B187" s="30" t="str">
        <f t="shared" si="93"/>
        <v>dom</v>
      </c>
      <c r="C187" s="28">
        <v>0.66666666666666696</v>
      </c>
      <c r="D187" s="31"/>
      <c r="E187" s="31"/>
      <c r="F187" s="31"/>
      <c r="G187" s="40" t="str">
        <f>IF(COUNTIF(D187:F187,"?*")=$N$5,"✅ CUBIERTO",
IF(COUNTIF(D187:F187,"?*")&gt;$N$5,"⚠ EXCESO",IF(COUNTIF(D187:F187,"?*")&gt;0,"⚠ FALTANTE",
"❌ SIN COMPLETAR")))</f>
        <v>❌ SIN COMPLETAR</v>
      </c>
      <c r="H187" s="17"/>
      <c r="I187" s="29">
        <v>46012</v>
      </c>
      <c r="J187" s="30" t="str">
        <f t="shared" si="94"/>
        <v>dom</v>
      </c>
      <c r="K187" s="28">
        <v>0.66666666666666696</v>
      </c>
      <c r="L187" s="31"/>
      <c r="M187" s="31"/>
      <c r="N187" s="31"/>
      <c r="O187" s="32" t="str">
        <f t="shared" si="74"/>
        <v>❌ SIN COMPLETAR</v>
      </c>
      <c r="P187" s="17"/>
      <c r="Q187" s="29">
        <v>46012</v>
      </c>
      <c r="R187" s="30" t="str">
        <f t="shared" si="95"/>
        <v>dom</v>
      </c>
      <c r="S187" s="28">
        <v>0.66666666666666696</v>
      </c>
      <c r="T187" s="31"/>
      <c r="U187" s="31"/>
      <c r="V187" s="31"/>
      <c r="W187" s="40" t="str">
        <f t="shared" si="84"/>
        <v>❌ SIN COMPLETAR</v>
      </c>
      <c r="Y187" s="29">
        <v>46012</v>
      </c>
      <c r="Z187" s="30" t="str">
        <f t="shared" si="96"/>
        <v>dom</v>
      </c>
      <c r="AA187" s="28">
        <v>0.66666666666666696</v>
      </c>
      <c r="AB187" s="31"/>
      <c r="AC187" s="31"/>
      <c r="AD187" s="31"/>
      <c r="AE187" s="32" t="str">
        <f t="shared" si="75"/>
        <v>❌ SIN COMPLETAR</v>
      </c>
    </row>
    <row r="188" spans="1:31" x14ac:dyDescent="0.3">
      <c r="A188" s="29">
        <v>46012</v>
      </c>
      <c r="B188" s="30" t="str">
        <f t="shared" si="93"/>
        <v>dom</v>
      </c>
      <c r="C188" s="28">
        <v>0.70833333333333304</v>
      </c>
      <c r="D188" s="31"/>
      <c r="E188" s="31"/>
      <c r="F188" s="31"/>
      <c r="G188" s="40" t="str">
        <f>IF(COUNTIF(D188:F188,"?*")=$N$5,"✅ CUBIERTO",
IF(COUNTIF(D188:F188,"?*")&gt;$N$5,"⚠ EXCESO",IF(COUNTIF(D188:F188,"?*")&gt;0,"⚠ FALTANTE",
"❌ SIN COMPLETAR")))</f>
        <v>❌ SIN COMPLETAR</v>
      </c>
      <c r="H188" s="17"/>
      <c r="I188" s="29">
        <v>46012</v>
      </c>
      <c r="J188" s="30" t="str">
        <f t="shared" si="94"/>
        <v>dom</v>
      </c>
      <c r="K188" s="28">
        <v>0.70833333333333304</v>
      </c>
      <c r="L188" s="31"/>
      <c r="M188" s="31"/>
      <c r="N188" s="31"/>
      <c r="O188" s="32" t="str">
        <f t="shared" si="74"/>
        <v>❌ SIN COMPLETAR</v>
      </c>
      <c r="P188" s="17"/>
      <c r="Q188" s="29">
        <v>46012</v>
      </c>
      <c r="R188" s="30" t="str">
        <f t="shared" si="95"/>
        <v>dom</v>
      </c>
      <c r="S188" s="28">
        <v>0.70833333333333304</v>
      </c>
      <c r="T188" s="31"/>
      <c r="U188" s="31"/>
      <c r="V188" s="31"/>
      <c r="W188" s="40" t="str">
        <f t="shared" si="84"/>
        <v>❌ SIN COMPLETAR</v>
      </c>
      <c r="Y188" s="29">
        <v>46012</v>
      </c>
      <c r="Z188" s="30" t="str">
        <f t="shared" si="96"/>
        <v>dom</v>
      </c>
      <c r="AA188" s="28">
        <v>0.70833333333333304</v>
      </c>
      <c r="AB188" s="31"/>
      <c r="AC188" s="31"/>
      <c r="AD188" s="31"/>
      <c r="AE188" s="32" t="str">
        <f t="shared" si="75"/>
        <v>❌ SIN COMPLETAR</v>
      </c>
    </row>
    <row r="189" spans="1:31" x14ac:dyDescent="0.3">
      <c r="A189" s="29">
        <v>46012</v>
      </c>
      <c r="B189" s="30" t="str">
        <f t="shared" si="93"/>
        <v>dom</v>
      </c>
      <c r="C189" s="28">
        <v>0.75</v>
      </c>
      <c r="D189" s="31"/>
      <c r="E189" s="31"/>
      <c r="F189" s="31"/>
      <c r="G189" s="40" t="str">
        <f>IF(COUNTIF(D189:F189,"?*")=$N$5,"✅ CUBIERTO",
IF(COUNTIF(D189:F189,"?*")&gt;$N$5,"⚠ EXCESO",IF(COUNTIF(D189:F189,"?*")&gt;0,"⚠ FALTANTE",
"❌ SIN COMPLETAR")))</f>
        <v>❌ SIN COMPLETAR</v>
      </c>
      <c r="H189" s="17"/>
      <c r="I189" s="29">
        <v>46012</v>
      </c>
      <c r="J189" s="30" t="str">
        <f t="shared" si="94"/>
        <v>dom</v>
      </c>
      <c r="K189" s="28">
        <v>0.75</v>
      </c>
      <c r="L189" s="41"/>
      <c r="M189" s="41"/>
      <c r="N189" s="41"/>
      <c r="O189" s="32" t="str">
        <f t="shared" si="74"/>
        <v>❌ SIN COMPLETAR</v>
      </c>
      <c r="P189" s="17"/>
      <c r="Q189" s="29">
        <v>46012</v>
      </c>
      <c r="R189" s="30" t="str">
        <f t="shared" si="95"/>
        <v>dom</v>
      </c>
      <c r="S189" s="28">
        <v>0.75</v>
      </c>
      <c r="T189" s="31"/>
      <c r="U189" s="31"/>
      <c r="V189" s="31"/>
      <c r="W189" s="40" t="str">
        <f t="shared" si="84"/>
        <v>❌ SIN COMPLETAR</v>
      </c>
      <c r="Y189" s="29">
        <v>46012</v>
      </c>
      <c r="Z189" s="30" t="str">
        <f t="shared" si="96"/>
        <v>dom</v>
      </c>
      <c r="AA189" s="28">
        <v>0.75</v>
      </c>
      <c r="AB189" s="41"/>
      <c r="AC189" s="41"/>
      <c r="AD189" s="41"/>
      <c r="AE189" s="32" t="str">
        <f t="shared" si="75"/>
        <v>❌ SIN COMPLETAR</v>
      </c>
    </row>
    <row r="190" spans="1:31" x14ac:dyDescent="0.3">
      <c r="A190" s="29">
        <v>46013</v>
      </c>
      <c r="B190" s="30" t="str">
        <f>TEXT(A190,"ddd")</f>
        <v>lun</v>
      </c>
      <c r="C190" s="28">
        <v>0.45833333333333331</v>
      </c>
      <c r="D190" s="31"/>
      <c r="E190" s="31"/>
      <c r="F190" s="31"/>
      <c r="G190" s="40" t="str">
        <f>IF(COUNTIF(D190:F190,"?*")=$N$5,"✅ CUBIERTO",
IF(COUNTIF(D190:F190,"?*")&gt;$N$5,"⚠ EXCESO",IF(COUNTIF(D190:F190,"?*")&gt;0,"⚠ FALTANTE",
"❌ SIN COMPLETAR")))</f>
        <v>❌ SIN COMPLETAR</v>
      </c>
      <c r="H190" s="17"/>
      <c r="I190" s="29">
        <v>46013</v>
      </c>
      <c r="J190" s="30" t="str">
        <f>TEXT(I190,"ddd")</f>
        <v>lun</v>
      </c>
      <c r="K190" s="28">
        <v>0.45833333333333331</v>
      </c>
      <c r="L190" s="41"/>
      <c r="M190" s="41"/>
      <c r="N190" s="41"/>
      <c r="O190" s="32" t="str">
        <f t="shared" si="74"/>
        <v>❌ SIN COMPLETAR</v>
      </c>
      <c r="P190" s="17"/>
      <c r="Q190" s="29">
        <v>46013</v>
      </c>
      <c r="R190" s="30" t="str">
        <f>TEXT(Q190,"ddd")</f>
        <v>lun</v>
      </c>
      <c r="S190" s="28">
        <v>0.45833333333333331</v>
      </c>
      <c r="T190" s="31"/>
      <c r="U190" s="31"/>
      <c r="V190" s="31"/>
      <c r="W190" s="40" t="s">
        <v>16</v>
      </c>
      <c r="Y190" s="29">
        <v>46013</v>
      </c>
      <c r="Z190" s="30" t="str">
        <f>TEXT(Y190,"ddd")</f>
        <v>lun</v>
      </c>
      <c r="AA190" s="28">
        <v>0.45833333333333331</v>
      </c>
      <c r="AB190" s="41"/>
      <c r="AC190" s="41"/>
      <c r="AD190" s="41"/>
      <c r="AE190" s="32" t="str">
        <f t="shared" si="75"/>
        <v>❌ SIN COMPLETAR</v>
      </c>
    </row>
    <row r="191" spans="1:31" x14ac:dyDescent="0.3">
      <c r="A191" s="29">
        <v>46013</v>
      </c>
      <c r="B191" s="30" t="str">
        <f t="shared" ref="B191:B198" si="97">TEXT(A191,"ddd")</f>
        <v>lun</v>
      </c>
      <c r="C191" s="28">
        <v>0.5</v>
      </c>
      <c r="D191" s="31"/>
      <c r="E191" s="31"/>
      <c r="F191" s="31"/>
      <c r="G191" s="40" t="str">
        <f>IF(COUNTIF(D191:F191,"?*")=$N$5,"✅ CUBIERTO",
IF(COUNTIF(D191:F191,"?*")&gt;$N$5,"⚠ EXCESO",IF(COUNTIF(D191:F191,"?*")&gt;0,"⚠ FALTANTE",
"❌ SIN COMPLETAR")))</f>
        <v>❌ SIN COMPLETAR</v>
      </c>
      <c r="H191" s="17"/>
      <c r="I191" s="29">
        <v>46013</v>
      </c>
      <c r="J191" s="30" t="str">
        <f t="shared" ref="J191:J198" si="98">TEXT(I191,"ddd")</f>
        <v>lun</v>
      </c>
      <c r="K191" s="28">
        <v>0.5</v>
      </c>
      <c r="L191" s="41"/>
      <c r="M191" s="41"/>
      <c r="N191" s="41"/>
      <c r="O191" s="32" t="str">
        <f t="shared" si="74"/>
        <v>❌ SIN COMPLETAR</v>
      </c>
      <c r="P191" s="17"/>
      <c r="Q191" s="29">
        <v>46013</v>
      </c>
      <c r="R191" s="30" t="str">
        <f t="shared" ref="R191:R198" si="99">TEXT(Q191,"ddd")</f>
        <v>lun</v>
      </c>
      <c r="S191" s="28">
        <v>0.5</v>
      </c>
      <c r="T191" s="31"/>
      <c r="U191" s="31"/>
      <c r="V191" s="31"/>
      <c r="W191" s="40" t="str">
        <f t="shared" si="84"/>
        <v>❌ SIN COMPLETAR</v>
      </c>
      <c r="Y191" s="29">
        <v>46013</v>
      </c>
      <c r="Z191" s="30" t="str">
        <f t="shared" ref="Z191:Z198" si="100">TEXT(Y191,"ddd")</f>
        <v>lun</v>
      </c>
      <c r="AA191" s="28">
        <v>0.5</v>
      </c>
      <c r="AB191" s="41"/>
      <c r="AC191" s="41"/>
      <c r="AD191" s="41"/>
      <c r="AE191" s="32" t="str">
        <f t="shared" si="75"/>
        <v>❌ SIN COMPLETAR</v>
      </c>
    </row>
    <row r="192" spans="1:31" x14ac:dyDescent="0.3">
      <c r="A192" s="29">
        <v>46013</v>
      </c>
      <c r="B192" s="30" t="str">
        <f t="shared" si="97"/>
        <v>lun</v>
      </c>
      <c r="C192" s="28">
        <v>0.54166666666666696</v>
      </c>
      <c r="D192" s="31"/>
      <c r="E192" s="31"/>
      <c r="F192" s="31"/>
      <c r="G192" s="40" t="str">
        <f>IF(COUNTIF(D192:F192,"?*")=$N$5,"✅ CUBIERTO",
IF(COUNTIF(D192:F192,"?*")&gt;$N$5,"⚠ EXCESO",IF(COUNTIF(D192:F192,"?*")&gt;0,"⚠ FALTANTE",
"❌ SIN COMPLETAR")))</f>
        <v>❌ SIN COMPLETAR</v>
      </c>
      <c r="H192" s="17"/>
      <c r="I192" s="29">
        <v>46013</v>
      </c>
      <c r="J192" s="30" t="str">
        <f t="shared" si="98"/>
        <v>lun</v>
      </c>
      <c r="K192" s="28">
        <v>0.54166666666666696</v>
      </c>
      <c r="L192" s="41"/>
      <c r="M192" s="41"/>
      <c r="N192" s="41"/>
      <c r="O192" s="32" t="str">
        <f t="shared" si="74"/>
        <v>❌ SIN COMPLETAR</v>
      </c>
      <c r="P192" s="17"/>
      <c r="Q192" s="29">
        <v>46013</v>
      </c>
      <c r="R192" s="30" t="str">
        <f t="shared" si="99"/>
        <v>lun</v>
      </c>
      <c r="S192" s="28">
        <v>0.54166666666666696</v>
      </c>
      <c r="T192" s="31"/>
      <c r="U192" s="31"/>
      <c r="V192" s="31"/>
      <c r="W192" s="40" t="str">
        <f t="shared" si="84"/>
        <v>❌ SIN COMPLETAR</v>
      </c>
      <c r="Y192" s="29">
        <v>46013</v>
      </c>
      <c r="Z192" s="30" t="str">
        <f t="shared" si="100"/>
        <v>lun</v>
      </c>
      <c r="AA192" s="28">
        <v>0.54166666666666696</v>
      </c>
      <c r="AB192" s="41"/>
      <c r="AC192" s="41"/>
      <c r="AD192" s="41"/>
      <c r="AE192" s="32" t="str">
        <f t="shared" si="75"/>
        <v>❌ SIN COMPLETAR</v>
      </c>
    </row>
    <row r="193" spans="1:31" x14ac:dyDescent="0.3">
      <c r="A193" s="29">
        <v>46013</v>
      </c>
      <c r="B193" s="30" t="str">
        <f t="shared" si="97"/>
        <v>lun</v>
      </c>
      <c r="C193" s="28">
        <v>0.58333333333333304</v>
      </c>
      <c r="D193" s="31"/>
      <c r="E193" s="31"/>
      <c r="F193" s="31"/>
      <c r="G193" s="40" t="str">
        <f>IF(COUNTIF(D193:F193,"?*")=$N$5,"✅ CUBIERTO",
IF(COUNTIF(D193:F193,"?*")&gt;$N$5,"⚠ EXCESO",IF(COUNTIF(D193:F193,"?*")&gt;0,"⚠ FALTANTE",
"❌ SIN COMPLETAR")))</f>
        <v>❌ SIN COMPLETAR</v>
      </c>
      <c r="H193" s="17"/>
      <c r="I193" s="29">
        <v>46013</v>
      </c>
      <c r="J193" s="30" t="str">
        <f t="shared" si="98"/>
        <v>lun</v>
      </c>
      <c r="K193" s="28">
        <v>0.58333333333333304</v>
      </c>
      <c r="L193" s="41"/>
      <c r="M193" s="41"/>
      <c r="N193" s="41"/>
      <c r="O193" s="32" t="str">
        <f t="shared" si="74"/>
        <v>❌ SIN COMPLETAR</v>
      </c>
      <c r="P193" s="17"/>
      <c r="Q193" s="29">
        <v>46013</v>
      </c>
      <c r="R193" s="30" t="str">
        <f t="shared" si="99"/>
        <v>lun</v>
      </c>
      <c r="S193" s="28">
        <v>0.58333333333333304</v>
      </c>
      <c r="T193" s="31"/>
      <c r="U193" s="31"/>
      <c r="V193" s="31"/>
      <c r="W193" s="40" t="str">
        <f t="shared" si="84"/>
        <v>❌ SIN COMPLETAR</v>
      </c>
      <c r="Y193" s="29">
        <v>46013</v>
      </c>
      <c r="Z193" s="30" t="str">
        <f t="shared" si="100"/>
        <v>lun</v>
      </c>
      <c r="AA193" s="28">
        <v>0.58333333333333304</v>
      </c>
      <c r="AB193" s="41"/>
      <c r="AC193" s="41"/>
      <c r="AD193" s="41"/>
      <c r="AE193" s="32" t="str">
        <f t="shared" si="75"/>
        <v>❌ SIN COMPLETAR</v>
      </c>
    </row>
    <row r="194" spans="1:31" x14ac:dyDescent="0.3">
      <c r="A194" s="29">
        <v>46013</v>
      </c>
      <c r="B194" s="30" t="str">
        <f t="shared" si="97"/>
        <v>lun</v>
      </c>
      <c r="C194" s="28">
        <v>0.625</v>
      </c>
      <c r="D194" s="31"/>
      <c r="E194" s="31"/>
      <c r="F194" s="31"/>
      <c r="G194" s="40" t="str">
        <f>IF(COUNTIF(D194:F194,"?*")=$N$5,"✅ CUBIERTO",
IF(COUNTIF(D194:F194,"?*")&gt;$N$5,"⚠ EXCESO",IF(COUNTIF(D194:F194,"?*")&gt;0,"⚠ FALTANTE",
"❌ SIN COMPLETAR")))</f>
        <v>❌ SIN COMPLETAR</v>
      </c>
      <c r="H194" s="17"/>
      <c r="I194" s="29">
        <v>46013</v>
      </c>
      <c r="J194" s="30" t="str">
        <f t="shared" si="98"/>
        <v>lun</v>
      </c>
      <c r="K194" s="28">
        <v>0.625</v>
      </c>
      <c r="L194" s="41"/>
      <c r="M194" s="41"/>
      <c r="N194" s="41"/>
      <c r="O194" s="32" t="str">
        <f t="shared" si="74"/>
        <v>❌ SIN COMPLETAR</v>
      </c>
      <c r="P194" s="17"/>
      <c r="Q194" s="29">
        <v>46013</v>
      </c>
      <c r="R194" s="30" t="str">
        <f t="shared" si="99"/>
        <v>lun</v>
      </c>
      <c r="S194" s="28">
        <v>0.625</v>
      </c>
      <c r="T194" s="31"/>
      <c r="U194" s="31"/>
      <c r="V194" s="31"/>
      <c r="W194" s="40" t="str">
        <f t="shared" si="84"/>
        <v>❌ SIN COMPLETAR</v>
      </c>
      <c r="Y194" s="29">
        <v>46013</v>
      </c>
      <c r="Z194" s="30" t="str">
        <f t="shared" si="100"/>
        <v>lun</v>
      </c>
      <c r="AA194" s="28">
        <v>0.625</v>
      </c>
      <c r="AB194" s="41"/>
      <c r="AC194" s="41"/>
      <c r="AD194" s="41"/>
      <c r="AE194" s="32" t="str">
        <f t="shared" si="75"/>
        <v>❌ SIN COMPLETAR</v>
      </c>
    </row>
    <row r="195" spans="1:31" x14ac:dyDescent="0.3">
      <c r="A195" s="29">
        <v>46013</v>
      </c>
      <c r="B195" s="30" t="str">
        <f t="shared" si="97"/>
        <v>lun</v>
      </c>
      <c r="C195" s="28">
        <v>0.66666666666666696</v>
      </c>
      <c r="D195" s="31"/>
      <c r="E195" s="31"/>
      <c r="F195" s="31"/>
      <c r="G195" s="40" t="str">
        <f>IF(COUNTIF(D195:F195,"?*")=$N$5,"✅ CUBIERTO",
IF(COUNTIF(D195:F195,"?*")&gt;$N$5,"⚠ EXCESO",IF(COUNTIF(D195:F195,"?*")&gt;0,"⚠ FALTANTE",
"❌ SIN COMPLETAR")))</f>
        <v>❌ SIN COMPLETAR</v>
      </c>
      <c r="H195" s="17"/>
      <c r="I195" s="29">
        <v>46013</v>
      </c>
      <c r="J195" s="30" t="str">
        <f t="shared" si="98"/>
        <v>lun</v>
      </c>
      <c r="K195" s="28">
        <v>0.66666666666666696</v>
      </c>
      <c r="L195" s="41"/>
      <c r="M195" s="41"/>
      <c r="N195" s="41"/>
      <c r="O195" s="32" t="str">
        <f t="shared" si="74"/>
        <v>❌ SIN COMPLETAR</v>
      </c>
      <c r="P195" s="17"/>
      <c r="Q195" s="29">
        <v>46013</v>
      </c>
      <c r="R195" s="30" t="str">
        <f t="shared" si="99"/>
        <v>lun</v>
      </c>
      <c r="S195" s="28">
        <v>0.66666666666666696</v>
      </c>
      <c r="T195" s="31"/>
      <c r="U195" s="31"/>
      <c r="V195" s="31"/>
      <c r="W195" s="40" t="str">
        <f t="shared" si="84"/>
        <v>❌ SIN COMPLETAR</v>
      </c>
      <c r="Y195" s="29">
        <v>46013</v>
      </c>
      <c r="Z195" s="30" t="str">
        <f t="shared" si="100"/>
        <v>lun</v>
      </c>
      <c r="AA195" s="28">
        <v>0.66666666666666696</v>
      </c>
      <c r="AB195" s="41"/>
      <c r="AC195" s="41"/>
      <c r="AD195" s="41"/>
      <c r="AE195" s="32" t="str">
        <f t="shared" si="75"/>
        <v>❌ SIN COMPLETAR</v>
      </c>
    </row>
    <row r="196" spans="1:31" x14ac:dyDescent="0.3">
      <c r="A196" s="29">
        <v>46013</v>
      </c>
      <c r="B196" s="30" t="str">
        <f t="shared" si="97"/>
        <v>lun</v>
      </c>
      <c r="C196" s="28">
        <v>0.70833333333333304</v>
      </c>
      <c r="D196" s="31"/>
      <c r="E196" s="31"/>
      <c r="F196" s="31"/>
      <c r="G196" s="40" t="str">
        <f>IF(COUNTIF(D196:F196,"?*")=$N$5,"✅ CUBIERTO",
IF(COUNTIF(D196:F196,"?*")&gt;$N$5,"⚠ EXCESO",IF(COUNTIF(D196:F196,"?*")&gt;0,"⚠ FALTANTE",
"❌ SIN COMPLETAR")))</f>
        <v>❌ SIN COMPLETAR</v>
      </c>
      <c r="H196" s="17"/>
      <c r="I196" s="29">
        <v>46013</v>
      </c>
      <c r="J196" s="30" t="str">
        <f t="shared" si="98"/>
        <v>lun</v>
      </c>
      <c r="K196" s="28">
        <v>0.70833333333333304</v>
      </c>
      <c r="L196" s="41"/>
      <c r="M196" s="41"/>
      <c r="N196" s="41"/>
      <c r="O196" s="32" t="str">
        <f t="shared" si="74"/>
        <v>❌ SIN COMPLETAR</v>
      </c>
      <c r="P196" s="17"/>
      <c r="Q196" s="29">
        <v>46013</v>
      </c>
      <c r="R196" s="30" t="str">
        <f t="shared" si="99"/>
        <v>lun</v>
      </c>
      <c r="S196" s="28">
        <v>0.70833333333333304</v>
      </c>
      <c r="T196" s="31"/>
      <c r="U196" s="31"/>
      <c r="V196" s="31"/>
      <c r="W196" s="40" t="str">
        <f t="shared" si="84"/>
        <v>❌ SIN COMPLETAR</v>
      </c>
      <c r="Y196" s="29">
        <v>46013</v>
      </c>
      <c r="Z196" s="30" t="str">
        <f t="shared" si="100"/>
        <v>lun</v>
      </c>
      <c r="AA196" s="28">
        <v>0.70833333333333304</v>
      </c>
      <c r="AB196" s="41"/>
      <c r="AC196" s="41"/>
      <c r="AD196" s="41"/>
      <c r="AE196" s="32" t="str">
        <f t="shared" si="75"/>
        <v>❌ SIN COMPLETAR</v>
      </c>
    </row>
    <row r="197" spans="1:31" x14ac:dyDescent="0.3">
      <c r="A197" s="29">
        <v>46013</v>
      </c>
      <c r="B197" s="30" t="str">
        <f t="shared" si="97"/>
        <v>lun</v>
      </c>
      <c r="C197" s="28">
        <v>0.75</v>
      </c>
      <c r="D197" s="31"/>
      <c r="E197" s="31"/>
      <c r="F197" s="31"/>
      <c r="G197" s="40" t="str">
        <f>IF(COUNTIF(D197:F197,"?*")=$N$5,"✅ CUBIERTO",
IF(COUNTIF(D197:F197,"?*")&gt;$N$5,"⚠ EXCESO",IF(COUNTIF(D197:F197,"?*")&gt;0,"⚠ FALTANTE",
"❌ SIN COMPLETAR")))</f>
        <v>❌ SIN COMPLETAR</v>
      </c>
      <c r="H197" s="17"/>
      <c r="I197" s="29">
        <v>46013</v>
      </c>
      <c r="J197" s="30" t="str">
        <f t="shared" si="98"/>
        <v>lun</v>
      </c>
      <c r="K197" s="28">
        <v>0.75</v>
      </c>
      <c r="L197" s="41"/>
      <c r="M197" s="41"/>
      <c r="N197" s="41"/>
      <c r="O197" s="32" t="str">
        <f t="shared" si="74"/>
        <v>❌ SIN COMPLETAR</v>
      </c>
      <c r="P197" s="17"/>
      <c r="Q197" s="29">
        <v>46013</v>
      </c>
      <c r="R197" s="30" t="str">
        <f t="shared" si="99"/>
        <v>lun</v>
      </c>
      <c r="S197" s="28">
        <v>0.75</v>
      </c>
      <c r="T197" s="31"/>
      <c r="U197" s="31"/>
      <c r="V197" s="31"/>
      <c r="W197" s="40" t="s">
        <v>16</v>
      </c>
      <c r="Y197" s="29">
        <v>46013</v>
      </c>
      <c r="Z197" s="30" t="str">
        <f t="shared" si="100"/>
        <v>lun</v>
      </c>
      <c r="AA197" s="28">
        <v>0.75</v>
      </c>
      <c r="AB197" s="41"/>
      <c r="AC197" s="41"/>
      <c r="AD197" s="41"/>
      <c r="AE197" s="32" t="str">
        <f t="shared" si="75"/>
        <v>❌ SIN COMPLETAR</v>
      </c>
    </row>
    <row r="198" spans="1:31" x14ac:dyDescent="0.3">
      <c r="A198" s="29">
        <v>46014</v>
      </c>
      <c r="B198" s="30" t="str">
        <f t="shared" si="97"/>
        <v>mar</v>
      </c>
      <c r="C198" s="28">
        <v>0.45833333333333331</v>
      </c>
      <c r="D198" s="31"/>
      <c r="E198" s="31"/>
      <c r="F198" s="31"/>
      <c r="G198" s="40" t="str">
        <f>IF(COUNTIF(D198:F198,"?*")=$N$5,"✅ CUBIERTO",
IF(COUNTIF(D198:F198,"?*")&gt;$N$5,"⚠ EXCESO",IF(COUNTIF(D198:F198,"?*")&gt;0,"⚠ FALTANTE",
"❌ SIN COMPLETAR")))</f>
        <v>❌ SIN COMPLETAR</v>
      </c>
      <c r="H198" s="17"/>
      <c r="I198" s="29">
        <v>46014</v>
      </c>
      <c r="J198" s="30" t="str">
        <f t="shared" si="98"/>
        <v>mar</v>
      </c>
      <c r="K198" s="28">
        <v>0.45833333333333331</v>
      </c>
      <c r="L198" s="41"/>
      <c r="M198" s="41"/>
      <c r="N198" s="41"/>
      <c r="O198" s="32" t="str">
        <f t="shared" si="74"/>
        <v>❌ SIN COMPLETAR</v>
      </c>
      <c r="P198" s="17"/>
      <c r="Q198" s="29">
        <v>46014</v>
      </c>
      <c r="R198" s="30" t="str">
        <f t="shared" si="99"/>
        <v>mar</v>
      </c>
      <c r="S198" s="28">
        <v>0.45833333333333331</v>
      </c>
      <c r="T198" s="31"/>
      <c r="U198" s="31"/>
      <c r="V198" s="31"/>
      <c r="W198" s="40" t="s">
        <v>16</v>
      </c>
      <c r="Y198" s="29">
        <v>46014</v>
      </c>
      <c r="Z198" s="30" t="str">
        <f t="shared" si="100"/>
        <v>mar</v>
      </c>
      <c r="AA198" s="28">
        <v>0.45833333333333331</v>
      </c>
      <c r="AB198" s="41"/>
      <c r="AC198" s="41"/>
      <c r="AD198" s="41"/>
      <c r="AE198" s="32" t="str">
        <f t="shared" si="75"/>
        <v>❌ SIN COMPLETAR</v>
      </c>
    </row>
    <row r="199" spans="1:31" x14ac:dyDescent="0.3">
      <c r="A199" s="29">
        <v>46014</v>
      </c>
      <c r="B199" s="30" t="str">
        <f>TEXT(A199,"ddd")</f>
        <v>mar</v>
      </c>
      <c r="C199" s="28">
        <v>0.5</v>
      </c>
      <c r="D199" s="31"/>
      <c r="E199" s="31"/>
      <c r="F199" s="31"/>
      <c r="G199" s="40" t="str">
        <f>IF(COUNTIF(D199:F199,"?*")=$N$5,"✅ CUBIERTO",
IF(COUNTIF(D199:F199,"?*")&gt;$N$5,"⚠ EXCESO",IF(COUNTIF(D199:F199,"?*")&gt;0,"⚠ FALTANTE",
"❌ SIN COMPLETAR")))</f>
        <v>❌ SIN COMPLETAR</v>
      </c>
      <c r="H199" s="17"/>
      <c r="I199" s="29">
        <v>46014</v>
      </c>
      <c r="J199" s="30" t="str">
        <f>TEXT(I199,"ddd")</f>
        <v>mar</v>
      </c>
      <c r="K199" s="28">
        <v>0.5</v>
      </c>
      <c r="L199" s="41"/>
      <c r="M199" s="41"/>
      <c r="N199" s="41"/>
      <c r="O199" s="32" t="str">
        <f t="shared" si="74"/>
        <v>❌ SIN COMPLETAR</v>
      </c>
      <c r="P199" s="17"/>
      <c r="Q199" s="29">
        <v>46014</v>
      </c>
      <c r="R199" s="30" t="str">
        <f>TEXT(Q199,"ddd")</f>
        <v>mar</v>
      </c>
      <c r="S199" s="28">
        <v>0.5</v>
      </c>
      <c r="T199" s="31"/>
      <c r="U199" s="31"/>
      <c r="V199" s="31"/>
      <c r="W199" s="40" t="str">
        <f t="shared" si="84"/>
        <v>❌ SIN COMPLETAR</v>
      </c>
      <c r="Y199" s="29">
        <v>46014</v>
      </c>
      <c r="Z199" s="30" t="str">
        <f>TEXT(Y199,"ddd")</f>
        <v>mar</v>
      </c>
      <c r="AA199" s="28">
        <v>0.5</v>
      </c>
      <c r="AB199" s="41"/>
      <c r="AC199" s="41"/>
      <c r="AD199" s="41"/>
      <c r="AE199" s="32" t="str">
        <f t="shared" si="75"/>
        <v>❌ SIN COMPLETAR</v>
      </c>
    </row>
    <row r="200" spans="1:31" x14ac:dyDescent="0.3">
      <c r="A200" s="29">
        <v>46014</v>
      </c>
      <c r="B200" s="30" t="str">
        <f t="shared" ref="B200:B205" si="101">TEXT(A200,"ddd")</f>
        <v>mar</v>
      </c>
      <c r="C200" s="28">
        <v>0.54166666666666696</v>
      </c>
      <c r="D200" s="31"/>
      <c r="E200" s="31"/>
      <c r="F200" s="31"/>
      <c r="G200" s="40" t="str">
        <f>IF(COUNTIF(D200:F200,"?*")=$N$5,"✅ CUBIERTO",
IF(COUNTIF(D200:F200,"?*")&gt;$N$5,"⚠ EXCESO",IF(COUNTIF(D200:F200,"?*")&gt;0,"⚠ FALTANTE",
"❌ SIN COMPLETAR")))</f>
        <v>❌ SIN COMPLETAR</v>
      </c>
      <c r="H200" s="17"/>
      <c r="I200" s="29">
        <v>46014</v>
      </c>
      <c r="J200" s="30" t="str">
        <f t="shared" ref="J200:J205" si="102">TEXT(I200,"ddd")</f>
        <v>mar</v>
      </c>
      <c r="K200" s="28">
        <v>0.54166666666666696</v>
      </c>
      <c r="L200" s="41"/>
      <c r="M200" s="41"/>
      <c r="N200" s="41"/>
      <c r="O200" s="32" t="str">
        <f t="shared" si="74"/>
        <v>❌ SIN COMPLETAR</v>
      </c>
      <c r="P200" s="17"/>
      <c r="Q200" s="29">
        <v>46014</v>
      </c>
      <c r="R200" s="30" t="str">
        <f t="shared" ref="R200:R205" si="103">TEXT(Q200,"ddd")</f>
        <v>mar</v>
      </c>
      <c r="S200" s="28">
        <v>0.54166666666666696</v>
      </c>
      <c r="T200" s="31"/>
      <c r="U200" s="31"/>
      <c r="V200" s="31"/>
      <c r="W200" s="40" t="str">
        <f t="shared" si="84"/>
        <v>❌ SIN COMPLETAR</v>
      </c>
      <c r="Y200" s="29">
        <v>46014</v>
      </c>
      <c r="Z200" s="30" t="str">
        <f t="shared" ref="Z200:Z205" si="104">TEXT(Y200,"ddd")</f>
        <v>mar</v>
      </c>
      <c r="AA200" s="28">
        <v>0.54166666666666696</v>
      </c>
      <c r="AB200" s="41"/>
      <c r="AC200" s="41"/>
      <c r="AD200" s="41"/>
      <c r="AE200" s="32" t="str">
        <f t="shared" si="75"/>
        <v>❌ SIN COMPLETAR</v>
      </c>
    </row>
    <row r="201" spans="1:31" x14ac:dyDescent="0.3">
      <c r="A201" s="29">
        <v>46014</v>
      </c>
      <c r="B201" s="30" t="str">
        <f t="shared" si="101"/>
        <v>mar</v>
      </c>
      <c r="C201" s="28">
        <v>0.58333333333333304</v>
      </c>
      <c r="D201" s="31"/>
      <c r="E201" s="31"/>
      <c r="F201" s="31"/>
      <c r="G201" s="40" t="str">
        <f>IF(COUNTIF(D201:F201,"?*")=$N$5,"✅ CUBIERTO",
IF(COUNTIF(D201:F201,"?*")&gt;$N$5,"⚠ EXCESO",IF(COUNTIF(D201:F201,"?*")&gt;0,"⚠ FALTANTE",
"❌ SIN COMPLETAR")))</f>
        <v>❌ SIN COMPLETAR</v>
      </c>
      <c r="H201" s="17"/>
      <c r="I201" s="29">
        <v>46014</v>
      </c>
      <c r="J201" s="30" t="str">
        <f t="shared" si="102"/>
        <v>mar</v>
      </c>
      <c r="K201" s="28">
        <v>0.58333333333333304</v>
      </c>
      <c r="L201" s="41"/>
      <c r="M201" s="41"/>
      <c r="N201" s="41"/>
      <c r="O201" s="32" t="str">
        <f t="shared" si="74"/>
        <v>❌ SIN COMPLETAR</v>
      </c>
      <c r="P201" s="17"/>
      <c r="Q201" s="29">
        <v>46014</v>
      </c>
      <c r="R201" s="30" t="str">
        <f t="shared" si="103"/>
        <v>mar</v>
      </c>
      <c r="S201" s="28">
        <v>0.58333333333333304</v>
      </c>
      <c r="T201" s="31"/>
      <c r="U201" s="31"/>
      <c r="V201" s="31"/>
      <c r="W201" s="40" t="str">
        <f t="shared" si="84"/>
        <v>❌ SIN COMPLETAR</v>
      </c>
      <c r="Y201" s="29">
        <v>46014</v>
      </c>
      <c r="Z201" s="30" t="str">
        <f t="shared" si="104"/>
        <v>mar</v>
      </c>
      <c r="AA201" s="28">
        <v>0.58333333333333304</v>
      </c>
      <c r="AB201" s="41"/>
      <c r="AC201" s="41"/>
      <c r="AD201" s="41"/>
      <c r="AE201" s="32" t="str">
        <f t="shared" si="75"/>
        <v>❌ SIN COMPLETAR</v>
      </c>
    </row>
    <row r="202" spans="1:31" x14ac:dyDescent="0.3">
      <c r="A202" s="29">
        <v>46014</v>
      </c>
      <c r="B202" s="30" t="str">
        <f t="shared" si="101"/>
        <v>mar</v>
      </c>
      <c r="C202" s="28">
        <v>0.625</v>
      </c>
      <c r="D202" s="31"/>
      <c r="E202" s="31"/>
      <c r="F202" s="31"/>
      <c r="G202" s="40" t="str">
        <f>IF(COUNTIF(D202:F202,"?*")=$N$5,"✅ CUBIERTO",
IF(COUNTIF(D202:F202,"?*")&gt;$N$5,"⚠ EXCESO",IF(COUNTIF(D202:F202,"?*")&gt;0,"⚠ FALTANTE",
"❌ SIN COMPLETAR")))</f>
        <v>❌ SIN COMPLETAR</v>
      </c>
      <c r="H202" s="17"/>
      <c r="I202" s="29">
        <v>46014</v>
      </c>
      <c r="J202" s="30" t="str">
        <f t="shared" si="102"/>
        <v>mar</v>
      </c>
      <c r="K202" s="28">
        <v>0.625</v>
      </c>
      <c r="L202" s="41"/>
      <c r="M202" s="41"/>
      <c r="N202" s="41"/>
      <c r="O202" s="32" t="str">
        <f t="shared" si="74"/>
        <v>❌ SIN COMPLETAR</v>
      </c>
      <c r="P202" s="17"/>
      <c r="Q202" s="29">
        <v>46014</v>
      </c>
      <c r="R202" s="30" t="str">
        <f t="shared" si="103"/>
        <v>mar</v>
      </c>
      <c r="S202" s="28">
        <v>0.625</v>
      </c>
      <c r="T202" s="31"/>
      <c r="U202" s="31"/>
      <c r="V202" s="31"/>
      <c r="W202" s="40" t="str">
        <f t="shared" si="84"/>
        <v>❌ SIN COMPLETAR</v>
      </c>
      <c r="Y202" s="29">
        <v>46014</v>
      </c>
      <c r="Z202" s="30" t="str">
        <f t="shared" si="104"/>
        <v>mar</v>
      </c>
      <c r="AA202" s="28">
        <v>0.625</v>
      </c>
      <c r="AB202" s="41"/>
      <c r="AC202" s="41"/>
      <c r="AD202" s="41"/>
      <c r="AE202" s="32" t="str">
        <f t="shared" si="75"/>
        <v>❌ SIN COMPLETAR</v>
      </c>
    </row>
    <row r="203" spans="1:31" x14ac:dyDescent="0.3">
      <c r="A203" s="29">
        <v>46014</v>
      </c>
      <c r="B203" s="30" t="str">
        <f t="shared" si="101"/>
        <v>mar</v>
      </c>
      <c r="C203" s="28">
        <v>0.66666666666666696</v>
      </c>
      <c r="D203" s="31"/>
      <c r="E203" s="31"/>
      <c r="F203" s="31"/>
      <c r="G203" s="40" t="str">
        <f>IF(COUNTIF(D203:F203,"?*")=$N$5,"✅ CUBIERTO",
IF(COUNTIF(D203:F203,"?*")&gt;$N$5,"⚠ EXCESO",IF(COUNTIF(D203:F203,"?*")&gt;0,"⚠ FALTANTE",
"❌ SIN COMPLETAR")))</f>
        <v>❌ SIN COMPLETAR</v>
      </c>
      <c r="H203" s="17"/>
      <c r="I203" s="29">
        <v>46014</v>
      </c>
      <c r="J203" s="30" t="str">
        <f t="shared" si="102"/>
        <v>mar</v>
      </c>
      <c r="K203" s="28">
        <v>0.66666666666666696</v>
      </c>
      <c r="L203" s="41"/>
      <c r="M203" s="41"/>
      <c r="N203" s="41"/>
      <c r="O203" s="32" t="str">
        <f t="shared" si="74"/>
        <v>❌ SIN COMPLETAR</v>
      </c>
      <c r="P203" s="17"/>
      <c r="Q203" s="29">
        <v>46014</v>
      </c>
      <c r="R203" s="30" t="str">
        <f t="shared" si="103"/>
        <v>mar</v>
      </c>
      <c r="S203" s="28">
        <v>0.66666666666666696</v>
      </c>
      <c r="T203" s="31"/>
      <c r="U203" s="31"/>
      <c r="V203" s="31"/>
      <c r="W203" s="40" t="str">
        <f t="shared" si="84"/>
        <v>❌ SIN COMPLETAR</v>
      </c>
      <c r="Y203" s="29">
        <v>46014</v>
      </c>
      <c r="Z203" s="30" t="str">
        <f t="shared" si="104"/>
        <v>mar</v>
      </c>
      <c r="AA203" s="28">
        <v>0.66666666666666696</v>
      </c>
      <c r="AB203" s="41"/>
      <c r="AC203" s="41"/>
      <c r="AD203" s="41"/>
      <c r="AE203" s="32" t="str">
        <f t="shared" si="75"/>
        <v>❌ SIN COMPLETAR</v>
      </c>
    </row>
    <row r="204" spans="1:31" x14ac:dyDescent="0.3">
      <c r="A204" s="29">
        <v>46014</v>
      </c>
      <c r="B204" s="30" t="str">
        <f t="shared" si="101"/>
        <v>mar</v>
      </c>
      <c r="C204" s="28">
        <v>0.70833333333333304</v>
      </c>
      <c r="D204" s="31"/>
      <c r="E204" s="31"/>
      <c r="F204" s="31"/>
      <c r="G204" s="40" t="str">
        <f>IF(COUNTIF(D204:F204,"?*")=$N$5,"✅ CUBIERTO",
IF(COUNTIF(D204:F204,"?*")&gt;$N$5,"⚠ EXCESO",IF(COUNTIF(D204:F204,"?*")&gt;0,"⚠ FALTANTE",
"❌ SIN COMPLETAR")))</f>
        <v>❌ SIN COMPLETAR</v>
      </c>
      <c r="H204" s="17"/>
      <c r="I204" s="29">
        <v>46014</v>
      </c>
      <c r="J204" s="30" t="str">
        <f t="shared" si="102"/>
        <v>mar</v>
      </c>
      <c r="K204" s="28">
        <v>0.70833333333333304</v>
      </c>
      <c r="L204" s="41"/>
      <c r="M204" s="41"/>
      <c r="N204" s="41"/>
      <c r="O204" s="32" t="str">
        <f t="shared" si="74"/>
        <v>❌ SIN COMPLETAR</v>
      </c>
      <c r="P204" s="17"/>
      <c r="Q204" s="29">
        <v>46014</v>
      </c>
      <c r="R204" s="30" t="str">
        <f t="shared" si="103"/>
        <v>mar</v>
      </c>
      <c r="S204" s="28">
        <v>0.70833333333333304</v>
      </c>
      <c r="T204" s="31"/>
      <c r="U204" s="31"/>
      <c r="V204" s="31"/>
      <c r="W204" s="40" t="str">
        <f t="shared" si="84"/>
        <v>❌ SIN COMPLETAR</v>
      </c>
      <c r="Y204" s="29">
        <v>46014</v>
      </c>
      <c r="Z204" s="30" t="str">
        <f t="shared" si="104"/>
        <v>mar</v>
      </c>
      <c r="AA204" s="28">
        <v>0.70833333333333304</v>
      </c>
      <c r="AB204" s="41"/>
      <c r="AC204" s="41"/>
      <c r="AD204" s="41"/>
      <c r="AE204" s="32" t="str">
        <f t="shared" si="75"/>
        <v>❌ SIN COMPLETAR</v>
      </c>
    </row>
    <row r="205" spans="1:31" x14ac:dyDescent="0.3">
      <c r="A205" s="29">
        <v>46014</v>
      </c>
      <c r="B205" s="30" t="str">
        <f t="shared" si="101"/>
        <v>mar</v>
      </c>
      <c r="C205" s="28">
        <v>0.75</v>
      </c>
      <c r="D205" s="31"/>
      <c r="E205" s="31"/>
      <c r="F205" s="31"/>
      <c r="G205" s="40" t="str">
        <f>IF(COUNTIF(D205:F205,"?*")=$N$5,"✅ CUBIERTO",
IF(COUNTIF(D205:F205,"?*")&gt;$N$5,"⚠ EXCESO",IF(COUNTIF(D205:F205,"?*")&gt;0,"⚠ FALTANTE",
"❌ SIN COMPLETAR")))</f>
        <v>❌ SIN COMPLETAR</v>
      </c>
      <c r="H205" s="17"/>
      <c r="I205" s="29">
        <v>46014</v>
      </c>
      <c r="J205" s="30" t="str">
        <f t="shared" si="102"/>
        <v>mar</v>
      </c>
      <c r="K205" s="28">
        <v>0.75</v>
      </c>
      <c r="L205" s="41"/>
      <c r="M205" s="41"/>
      <c r="N205" s="41"/>
      <c r="O205" s="32" t="str">
        <f t="shared" si="74"/>
        <v>❌ SIN COMPLETAR</v>
      </c>
      <c r="P205" s="17"/>
      <c r="Q205" s="29">
        <v>46014</v>
      </c>
      <c r="R205" s="30" t="str">
        <f t="shared" si="103"/>
        <v>mar</v>
      </c>
      <c r="S205" s="28">
        <v>0.75</v>
      </c>
      <c r="T205" s="31"/>
      <c r="U205" s="31"/>
      <c r="V205" s="31"/>
      <c r="W205" s="40" t="s">
        <v>16</v>
      </c>
      <c r="Y205" s="29">
        <v>46014</v>
      </c>
      <c r="Z205" s="30" t="str">
        <f t="shared" si="104"/>
        <v>mar</v>
      </c>
      <c r="AA205" s="28">
        <v>0.75</v>
      </c>
      <c r="AB205" s="41"/>
      <c r="AC205" s="41"/>
      <c r="AD205" s="41"/>
      <c r="AE205" s="32" t="str">
        <f t="shared" si="75"/>
        <v>❌ SIN COMPLETAR</v>
      </c>
    </row>
    <row r="206" spans="1:31" x14ac:dyDescent="0.3">
      <c r="A206" s="29">
        <v>46015</v>
      </c>
      <c r="B206" s="30" t="str">
        <f>TEXT(A206,"ddd")</f>
        <v>mié</v>
      </c>
      <c r="C206" s="28">
        <v>0.45833333333333331</v>
      </c>
      <c r="D206" s="31"/>
      <c r="E206" s="31"/>
      <c r="F206" s="31"/>
      <c r="G206" s="40" t="str">
        <f>IF(COUNTIF(D206:F206,"?*")=$N$5,"✅ CUBIERTO",
IF(COUNTIF(D206:F206,"?*")&gt;$N$5,"⚠ EXCESO",IF(COUNTIF(D206:F206,"?*")&gt;0,"⚠ FALTANTE",
"❌ SIN COMPLETAR")))</f>
        <v>❌ SIN COMPLETAR</v>
      </c>
      <c r="H206" s="17"/>
      <c r="I206" s="29">
        <v>46015</v>
      </c>
      <c r="J206" s="30" t="str">
        <f>TEXT(I206,"ddd")</f>
        <v>mié</v>
      </c>
      <c r="K206" s="28">
        <v>0.45833333333333331</v>
      </c>
      <c r="L206" s="31"/>
      <c r="M206" s="31"/>
      <c r="N206" s="31"/>
      <c r="O206" s="32" t="str">
        <f t="shared" si="74"/>
        <v>❌ SIN COMPLETAR</v>
      </c>
      <c r="P206" s="17"/>
      <c r="Q206" s="29">
        <v>46015</v>
      </c>
      <c r="R206" s="30" t="str">
        <f>TEXT(Q206,"ddd")</f>
        <v>mié</v>
      </c>
      <c r="S206" s="28">
        <v>0.45833333333333331</v>
      </c>
      <c r="T206" s="31"/>
      <c r="U206" s="31"/>
      <c r="V206" s="31"/>
      <c r="W206" s="40" t="s">
        <v>16</v>
      </c>
      <c r="Y206" s="29">
        <v>46015</v>
      </c>
      <c r="Z206" s="30" t="str">
        <f>TEXT(Y206,"ddd")</f>
        <v>mié</v>
      </c>
      <c r="AA206" s="28">
        <v>0.45833333333333331</v>
      </c>
      <c r="AB206" s="31"/>
      <c r="AC206" s="31"/>
      <c r="AD206" s="31"/>
      <c r="AE206" s="32" t="str">
        <f t="shared" si="75"/>
        <v>❌ SIN COMPLETAR</v>
      </c>
    </row>
    <row r="207" spans="1:31" x14ac:dyDescent="0.3">
      <c r="A207" s="29">
        <v>46015</v>
      </c>
      <c r="B207" s="30" t="str">
        <f t="shared" ref="B207:B213" si="105">TEXT(A207,"ddd")</f>
        <v>mié</v>
      </c>
      <c r="C207" s="28">
        <v>0.5</v>
      </c>
      <c r="D207" s="31"/>
      <c r="E207" s="31"/>
      <c r="F207" s="31"/>
      <c r="G207" s="40" t="str">
        <f>IF(COUNTIF(D207:F207,"?*")=$N$5,"✅ CUBIERTO",
IF(COUNTIF(D207:F207,"?*")&gt;$N$5,"⚠ EXCESO",IF(COUNTIF(D207:F207,"?*")&gt;0,"⚠ FALTANTE",
"❌ SIN COMPLETAR")))</f>
        <v>❌ SIN COMPLETAR</v>
      </c>
      <c r="H207" s="17"/>
      <c r="I207" s="29">
        <v>46015</v>
      </c>
      <c r="J207" s="30" t="str">
        <f t="shared" ref="J207:J213" si="106">TEXT(I207,"ddd")</f>
        <v>mié</v>
      </c>
      <c r="K207" s="28">
        <v>0.5</v>
      </c>
      <c r="L207" s="31"/>
      <c r="M207" s="31"/>
      <c r="N207" s="31"/>
      <c r="O207" s="32" t="str">
        <f t="shared" si="74"/>
        <v>❌ SIN COMPLETAR</v>
      </c>
      <c r="P207" s="17"/>
      <c r="Q207" s="29">
        <v>46015</v>
      </c>
      <c r="R207" s="30" t="str">
        <f t="shared" ref="R207:R213" si="107">TEXT(Q207,"ddd")</f>
        <v>mié</v>
      </c>
      <c r="S207" s="28">
        <v>0.5</v>
      </c>
      <c r="T207" s="31"/>
      <c r="U207" s="31"/>
      <c r="V207" s="31"/>
      <c r="W207" s="40" t="str">
        <f t="shared" si="84"/>
        <v>❌ SIN COMPLETAR</v>
      </c>
      <c r="Y207" s="29">
        <v>46015</v>
      </c>
      <c r="Z207" s="30" t="str">
        <f t="shared" ref="Z207:Z213" si="108">TEXT(Y207,"ddd")</f>
        <v>mié</v>
      </c>
      <c r="AA207" s="28">
        <v>0.5</v>
      </c>
      <c r="AB207" s="31"/>
      <c r="AC207" s="31"/>
      <c r="AD207" s="31"/>
      <c r="AE207" s="32" t="str">
        <f t="shared" si="75"/>
        <v>❌ SIN COMPLETAR</v>
      </c>
    </row>
    <row r="208" spans="1:31" x14ac:dyDescent="0.3">
      <c r="A208" s="29">
        <v>46015</v>
      </c>
      <c r="B208" s="30" t="str">
        <f t="shared" si="105"/>
        <v>mié</v>
      </c>
      <c r="C208" s="28">
        <v>0.54166666666666696</v>
      </c>
      <c r="D208" s="31"/>
      <c r="E208" s="31"/>
      <c r="F208" s="31"/>
      <c r="G208" s="40" t="str">
        <f>IF(COUNTIF(D208:F208,"?*")=$N$5,"✅ CUBIERTO",
IF(COUNTIF(D208:F208,"?*")&gt;$N$5,"⚠ EXCESO",IF(COUNTIF(D208:F208,"?*")&gt;0,"⚠ FALTANTE",
"❌ SIN COMPLETAR")))</f>
        <v>❌ SIN COMPLETAR</v>
      </c>
      <c r="H208" s="17"/>
      <c r="I208" s="29">
        <v>46015</v>
      </c>
      <c r="J208" s="30" t="str">
        <f t="shared" si="106"/>
        <v>mié</v>
      </c>
      <c r="K208" s="28">
        <v>0.54166666666666696</v>
      </c>
      <c r="L208" s="31"/>
      <c r="M208" s="31"/>
      <c r="N208" s="31"/>
      <c r="O208" s="32" t="str">
        <f t="shared" si="74"/>
        <v>❌ SIN COMPLETAR</v>
      </c>
      <c r="P208" s="17"/>
      <c r="Q208" s="29">
        <v>46015</v>
      </c>
      <c r="R208" s="30" t="str">
        <f t="shared" si="107"/>
        <v>mié</v>
      </c>
      <c r="S208" s="28">
        <v>0.54166666666666696</v>
      </c>
      <c r="T208" s="31"/>
      <c r="U208" s="31"/>
      <c r="V208" s="31"/>
      <c r="W208" s="40" t="str">
        <f t="shared" si="84"/>
        <v>❌ SIN COMPLETAR</v>
      </c>
      <c r="Y208" s="29">
        <v>46015</v>
      </c>
      <c r="Z208" s="30" t="str">
        <f t="shared" si="108"/>
        <v>mié</v>
      </c>
      <c r="AA208" s="28">
        <v>0.54166666666666696</v>
      </c>
      <c r="AB208" s="31"/>
      <c r="AC208" s="31"/>
      <c r="AD208" s="31"/>
      <c r="AE208" s="32" t="str">
        <f t="shared" si="75"/>
        <v>❌ SIN COMPLETAR</v>
      </c>
    </row>
    <row r="209" spans="1:31" x14ac:dyDescent="0.3">
      <c r="A209" s="29">
        <v>46015</v>
      </c>
      <c r="B209" s="30" t="str">
        <f t="shared" si="105"/>
        <v>mié</v>
      </c>
      <c r="C209" s="28">
        <v>0.58333333333333304</v>
      </c>
      <c r="D209" s="31"/>
      <c r="E209" s="31"/>
      <c r="F209" s="31"/>
      <c r="G209" s="40" t="str">
        <f>IF(COUNTIF(D209:F209,"?*")=$N$5,"✅ CUBIERTO",
IF(COUNTIF(D209:F209,"?*")&gt;$N$5,"⚠ EXCESO",IF(COUNTIF(D209:F209,"?*")&gt;0,"⚠ FALTANTE",
"❌ SIN COMPLETAR")))</f>
        <v>❌ SIN COMPLETAR</v>
      </c>
      <c r="H209" s="17"/>
      <c r="I209" s="29">
        <v>46015</v>
      </c>
      <c r="J209" s="30" t="str">
        <f t="shared" si="106"/>
        <v>mié</v>
      </c>
      <c r="K209" s="28">
        <v>0.58333333333333304</v>
      </c>
      <c r="L209" s="31"/>
      <c r="M209" s="31"/>
      <c r="N209" s="31"/>
      <c r="O209" s="32" t="str">
        <f t="shared" si="74"/>
        <v>❌ SIN COMPLETAR</v>
      </c>
      <c r="P209" s="17"/>
      <c r="Q209" s="29">
        <v>46015</v>
      </c>
      <c r="R209" s="30" t="str">
        <f t="shared" si="107"/>
        <v>mié</v>
      </c>
      <c r="S209" s="28">
        <v>0.58333333333333304</v>
      </c>
      <c r="T209" s="31"/>
      <c r="U209" s="31"/>
      <c r="V209" s="31"/>
      <c r="W209" s="40" t="str">
        <f t="shared" si="84"/>
        <v>❌ SIN COMPLETAR</v>
      </c>
      <c r="Y209" s="29">
        <v>46015</v>
      </c>
      <c r="Z209" s="30" t="str">
        <f t="shared" si="108"/>
        <v>mié</v>
      </c>
      <c r="AA209" s="28">
        <v>0.58333333333333304</v>
      </c>
      <c r="AB209" s="31"/>
      <c r="AC209" s="31"/>
      <c r="AD209" s="31"/>
      <c r="AE209" s="32" t="str">
        <f t="shared" si="75"/>
        <v>❌ SIN COMPLETAR</v>
      </c>
    </row>
    <row r="210" spans="1:31" x14ac:dyDescent="0.3">
      <c r="A210" s="29">
        <v>46015</v>
      </c>
      <c r="B210" s="30" t="str">
        <f t="shared" si="105"/>
        <v>mié</v>
      </c>
      <c r="C210" s="28">
        <v>0.625</v>
      </c>
      <c r="D210" s="31"/>
      <c r="E210" s="31"/>
      <c r="F210" s="31"/>
      <c r="G210" s="40" t="str">
        <f>IF(COUNTIF(D210:F210,"?*")=$N$5,"✅ CUBIERTO",
IF(COUNTIF(D210:F210,"?*")&gt;$N$5,"⚠ EXCESO",IF(COUNTIF(D210:F210,"?*")&gt;0,"⚠ FALTANTE",
"❌ SIN COMPLETAR")))</f>
        <v>❌ SIN COMPLETAR</v>
      </c>
      <c r="H210" s="17"/>
      <c r="I210" s="29">
        <v>46015</v>
      </c>
      <c r="J210" s="30" t="str">
        <f t="shared" si="106"/>
        <v>mié</v>
      </c>
      <c r="K210" s="28">
        <v>0.625</v>
      </c>
      <c r="L210" s="31"/>
      <c r="M210" s="31"/>
      <c r="N210" s="31"/>
      <c r="O210" s="32" t="str">
        <f t="shared" si="74"/>
        <v>❌ SIN COMPLETAR</v>
      </c>
      <c r="P210" s="17"/>
      <c r="Q210" s="29">
        <v>46015</v>
      </c>
      <c r="R210" s="30" t="str">
        <f t="shared" si="107"/>
        <v>mié</v>
      </c>
      <c r="S210" s="28">
        <v>0.625</v>
      </c>
      <c r="T210" s="31"/>
      <c r="U210" s="31"/>
      <c r="V210" s="31"/>
      <c r="W210" s="40" t="str">
        <f t="shared" si="84"/>
        <v>❌ SIN COMPLETAR</v>
      </c>
      <c r="Y210" s="29">
        <v>46015</v>
      </c>
      <c r="Z210" s="30" t="str">
        <f t="shared" si="108"/>
        <v>mié</v>
      </c>
      <c r="AA210" s="28">
        <v>0.625</v>
      </c>
      <c r="AB210" s="31"/>
      <c r="AC210" s="31"/>
      <c r="AD210" s="31"/>
      <c r="AE210" s="32" t="str">
        <f t="shared" si="75"/>
        <v>❌ SIN COMPLETAR</v>
      </c>
    </row>
    <row r="211" spans="1:31" x14ac:dyDescent="0.3">
      <c r="A211" s="29">
        <v>46015</v>
      </c>
      <c r="B211" s="30" t="str">
        <f t="shared" si="105"/>
        <v>mié</v>
      </c>
      <c r="C211" s="28">
        <v>0.66666666666666696</v>
      </c>
      <c r="D211" s="31"/>
      <c r="E211" s="31"/>
      <c r="F211" s="31"/>
      <c r="G211" s="40" t="str">
        <f>IF(COUNTIF(D211:F211,"?*")=$N$5,"✅ CUBIERTO",
IF(COUNTIF(D211:F211,"?*")&gt;$N$5,"⚠ EXCESO",IF(COUNTIF(D211:F211,"?*")&gt;0,"⚠ FALTANTE",
"❌ SIN COMPLETAR")))</f>
        <v>❌ SIN COMPLETAR</v>
      </c>
      <c r="H211" s="17"/>
      <c r="I211" s="29">
        <v>46015</v>
      </c>
      <c r="J211" s="30" t="str">
        <f t="shared" si="106"/>
        <v>mié</v>
      </c>
      <c r="K211" s="28">
        <v>0.66666666666666696</v>
      </c>
      <c r="L211" s="31"/>
      <c r="M211" s="31"/>
      <c r="N211" s="31"/>
      <c r="O211" s="32" t="str">
        <f t="shared" si="74"/>
        <v>❌ SIN COMPLETAR</v>
      </c>
      <c r="P211" s="17"/>
      <c r="Q211" s="29">
        <v>46015</v>
      </c>
      <c r="R211" s="30" t="str">
        <f t="shared" si="107"/>
        <v>mié</v>
      </c>
      <c r="S211" s="28">
        <v>0.66666666666666696</v>
      </c>
      <c r="T211" s="31"/>
      <c r="U211" s="31"/>
      <c r="V211" s="31"/>
      <c r="W211" s="40" t="str">
        <f t="shared" si="84"/>
        <v>❌ SIN COMPLETAR</v>
      </c>
      <c r="Y211" s="29">
        <v>46015</v>
      </c>
      <c r="Z211" s="30" t="str">
        <f t="shared" si="108"/>
        <v>mié</v>
      </c>
      <c r="AA211" s="28">
        <v>0.66666666666666696</v>
      </c>
      <c r="AB211" s="31"/>
      <c r="AC211" s="31"/>
      <c r="AD211" s="31"/>
      <c r="AE211" s="32" t="str">
        <f t="shared" si="75"/>
        <v>❌ SIN COMPLETAR</v>
      </c>
    </row>
    <row r="212" spans="1:31" x14ac:dyDescent="0.3">
      <c r="A212" s="29">
        <v>46015</v>
      </c>
      <c r="B212" s="30" t="str">
        <f t="shared" si="105"/>
        <v>mié</v>
      </c>
      <c r="C212" s="28">
        <v>0.70833333333333304</v>
      </c>
      <c r="D212" s="31"/>
      <c r="E212" s="31"/>
      <c r="F212" s="31"/>
      <c r="G212" s="40" t="str">
        <f>IF(COUNTIF(D212:F212,"?*")=$N$5,"✅ CUBIERTO",
IF(COUNTIF(D212:F212,"?*")&gt;$N$5,"⚠ EXCESO",IF(COUNTIF(D212:F212,"?*")&gt;0,"⚠ FALTANTE",
"❌ SIN COMPLETAR")))</f>
        <v>❌ SIN COMPLETAR</v>
      </c>
      <c r="H212" s="17"/>
      <c r="I212" s="29">
        <v>46015</v>
      </c>
      <c r="J212" s="30" t="str">
        <f t="shared" si="106"/>
        <v>mié</v>
      </c>
      <c r="K212" s="28">
        <v>0.70833333333333304</v>
      </c>
      <c r="L212" s="31"/>
      <c r="M212" s="31"/>
      <c r="N212" s="31"/>
      <c r="O212" s="32" t="str">
        <f t="shared" si="74"/>
        <v>❌ SIN COMPLETAR</v>
      </c>
      <c r="P212" s="17"/>
      <c r="Q212" s="29">
        <v>46015</v>
      </c>
      <c r="R212" s="30" t="str">
        <f t="shared" si="107"/>
        <v>mié</v>
      </c>
      <c r="S212" s="28">
        <v>0.70833333333333304</v>
      </c>
      <c r="T212" s="31"/>
      <c r="U212" s="31"/>
      <c r="V212" s="31"/>
      <c r="W212" s="40" t="str">
        <f t="shared" si="84"/>
        <v>❌ SIN COMPLETAR</v>
      </c>
      <c r="Y212" s="29">
        <v>46015</v>
      </c>
      <c r="Z212" s="30" t="str">
        <f t="shared" si="108"/>
        <v>mié</v>
      </c>
      <c r="AA212" s="28">
        <v>0.70833333333333304</v>
      </c>
      <c r="AB212" s="31"/>
      <c r="AC212" s="31"/>
      <c r="AD212" s="31"/>
      <c r="AE212" s="32" t="str">
        <f t="shared" si="75"/>
        <v>❌ SIN COMPLETAR</v>
      </c>
    </row>
    <row r="213" spans="1:31" x14ac:dyDescent="0.3">
      <c r="A213" s="29">
        <v>46015</v>
      </c>
      <c r="B213" s="30" t="str">
        <f t="shared" si="105"/>
        <v>mié</v>
      </c>
      <c r="C213" s="28">
        <v>0.75</v>
      </c>
      <c r="D213" s="31"/>
      <c r="E213" s="31"/>
      <c r="F213" s="31"/>
      <c r="G213" s="40" t="str">
        <f>IF(COUNTIF(D213:F213,"?*")=$N$5,"✅ CUBIERTO",
IF(COUNTIF(D213:F213,"?*")&gt;$N$5,"⚠ EXCESO",IF(COUNTIF(D213:F213,"?*")&gt;0,"⚠ FALTANTE",
"❌ SIN COMPLETAR")))</f>
        <v>❌ SIN COMPLETAR</v>
      </c>
      <c r="H213" s="17"/>
      <c r="I213" s="29">
        <v>46015</v>
      </c>
      <c r="J213" s="30" t="str">
        <f t="shared" si="106"/>
        <v>mié</v>
      </c>
      <c r="K213" s="28">
        <v>0.75</v>
      </c>
      <c r="L213" s="41"/>
      <c r="M213" s="41"/>
      <c r="N213" s="41"/>
      <c r="O213" s="32" t="str">
        <f t="shared" si="74"/>
        <v>❌ SIN COMPLETAR</v>
      </c>
      <c r="P213" s="17"/>
      <c r="Q213" s="29">
        <v>46015</v>
      </c>
      <c r="R213" s="30" t="str">
        <f t="shared" si="107"/>
        <v>mié</v>
      </c>
      <c r="S213" s="28">
        <v>0.75</v>
      </c>
      <c r="T213" s="31"/>
      <c r="U213" s="31"/>
      <c r="V213" s="31"/>
      <c r="W213" s="40" t="s">
        <v>16</v>
      </c>
      <c r="Y213" s="29">
        <v>46015</v>
      </c>
      <c r="Z213" s="30" t="str">
        <f t="shared" si="108"/>
        <v>mié</v>
      </c>
      <c r="AA213" s="28">
        <v>0.75</v>
      </c>
      <c r="AB213" s="41"/>
      <c r="AC213" s="41"/>
      <c r="AD213" s="41"/>
      <c r="AE213" s="32" t="str">
        <f t="shared" si="75"/>
        <v>❌ SIN COMPLETAR</v>
      </c>
    </row>
    <row r="214" spans="1:31" x14ac:dyDescent="0.3">
      <c r="A214" s="29">
        <v>46016</v>
      </c>
      <c r="B214" s="30" t="str">
        <f>TEXT(A214,"ddd")</f>
        <v>jue</v>
      </c>
      <c r="C214" s="28">
        <v>0.45833333333333331</v>
      </c>
      <c r="D214" s="31"/>
      <c r="E214" s="31"/>
      <c r="F214" s="31"/>
      <c r="G214" s="40" t="s">
        <v>16</v>
      </c>
      <c r="H214" s="17"/>
      <c r="I214" s="29">
        <v>46016</v>
      </c>
      <c r="J214" s="30" t="str">
        <f>TEXT(I214,"ddd")</f>
        <v>jue</v>
      </c>
      <c r="K214" s="28">
        <v>0.45833333333333331</v>
      </c>
      <c r="L214" s="31"/>
      <c r="M214" s="31"/>
      <c r="N214" s="31"/>
      <c r="O214" s="40" t="s">
        <v>16</v>
      </c>
      <c r="P214" s="17"/>
      <c r="Q214" s="29">
        <v>46016</v>
      </c>
      <c r="R214" s="30" t="str">
        <f>TEXT(Q214,"ddd")</f>
        <v>jue</v>
      </c>
      <c r="S214" s="28">
        <v>0.45833333333333331</v>
      </c>
      <c r="T214" s="31"/>
      <c r="U214" s="31"/>
      <c r="V214" s="31"/>
      <c r="W214" s="40" t="s">
        <v>16</v>
      </c>
      <c r="Y214" s="29">
        <v>46016</v>
      </c>
      <c r="Z214" s="30" t="str">
        <f>TEXT(Y214,"ddd")</f>
        <v>jue</v>
      </c>
      <c r="AA214" s="28">
        <v>0.45833333333333331</v>
      </c>
      <c r="AB214" s="31"/>
      <c r="AC214" s="31"/>
      <c r="AD214" s="31"/>
      <c r="AE214" s="40" t="s">
        <v>16</v>
      </c>
    </row>
    <row r="215" spans="1:31" x14ac:dyDescent="0.3">
      <c r="A215" s="29">
        <v>46016</v>
      </c>
      <c r="B215" s="30" t="str">
        <f t="shared" ref="B215:B221" si="109">TEXT(A215,"ddd")</f>
        <v>jue</v>
      </c>
      <c r="C215" s="28">
        <v>0.5</v>
      </c>
      <c r="D215" s="31"/>
      <c r="E215" s="31"/>
      <c r="F215" s="31"/>
      <c r="G215" s="40" t="s">
        <v>16</v>
      </c>
      <c r="H215" s="17"/>
      <c r="I215" s="29">
        <v>46016</v>
      </c>
      <c r="J215" s="30" t="str">
        <f t="shared" ref="J215:J221" si="110">TEXT(I215,"ddd")</f>
        <v>jue</v>
      </c>
      <c r="K215" s="28">
        <v>0.5</v>
      </c>
      <c r="L215" s="31"/>
      <c r="M215" s="31"/>
      <c r="N215" s="31"/>
      <c r="O215" s="40" t="s">
        <v>16</v>
      </c>
      <c r="P215" s="17"/>
      <c r="Q215" s="29">
        <v>46016</v>
      </c>
      <c r="R215" s="30" t="str">
        <f t="shared" ref="R215:R221" si="111">TEXT(Q215,"ddd")</f>
        <v>jue</v>
      </c>
      <c r="S215" s="28">
        <v>0.5</v>
      </c>
      <c r="T215" s="31"/>
      <c r="U215" s="31"/>
      <c r="V215" s="31"/>
      <c r="W215" s="40" t="s">
        <v>16</v>
      </c>
      <c r="Y215" s="29">
        <v>46016</v>
      </c>
      <c r="Z215" s="30" t="str">
        <f t="shared" ref="Z215:Z221" si="112">TEXT(Y215,"ddd")</f>
        <v>jue</v>
      </c>
      <c r="AA215" s="28">
        <v>0.5</v>
      </c>
      <c r="AB215" s="31"/>
      <c r="AC215" s="31"/>
      <c r="AD215" s="31"/>
      <c r="AE215" s="40" t="s">
        <v>16</v>
      </c>
    </row>
    <row r="216" spans="1:31" x14ac:dyDescent="0.3">
      <c r="A216" s="29">
        <v>46016</v>
      </c>
      <c r="B216" s="30" t="str">
        <f t="shared" si="109"/>
        <v>jue</v>
      </c>
      <c r="C216" s="28">
        <v>0.54166666666666696</v>
      </c>
      <c r="D216" s="31"/>
      <c r="E216" s="31"/>
      <c r="F216" s="31"/>
      <c r="G216" s="40" t="s">
        <v>16</v>
      </c>
      <c r="H216" s="17"/>
      <c r="I216" s="29">
        <v>46016</v>
      </c>
      <c r="J216" s="30" t="str">
        <f t="shared" si="110"/>
        <v>jue</v>
      </c>
      <c r="K216" s="28">
        <v>0.54166666666666696</v>
      </c>
      <c r="L216" s="31"/>
      <c r="M216" s="31"/>
      <c r="N216" s="31"/>
      <c r="O216" s="40" t="s">
        <v>16</v>
      </c>
      <c r="P216" s="17"/>
      <c r="Q216" s="29">
        <v>46016</v>
      </c>
      <c r="R216" s="30" t="str">
        <f t="shared" si="111"/>
        <v>jue</v>
      </c>
      <c r="S216" s="28">
        <v>0.54166666666666696</v>
      </c>
      <c r="T216" s="31"/>
      <c r="U216" s="31"/>
      <c r="V216" s="31"/>
      <c r="W216" s="40" t="s">
        <v>16</v>
      </c>
      <c r="Y216" s="29">
        <v>46016</v>
      </c>
      <c r="Z216" s="30" t="str">
        <f t="shared" si="112"/>
        <v>jue</v>
      </c>
      <c r="AA216" s="28">
        <v>0.54166666666666696</v>
      </c>
      <c r="AB216" s="31"/>
      <c r="AC216" s="31"/>
      <c r="AD216" s="31"/>
      <c r="AE216" s="40" t="s">
        <v>16</v>
      </c>
    </row>
    <row r="217" spans="1:31" x14ac:dyDescent="0.3">
      <c r="A217" s="29">
        <v>46016</v>
      </c>
      <c r="B217" s="30" t="str">
        <f t="shared" si="109"/>
        <v>jue</v>
      </c>
      <c r="C217" s="28">
        <v>0.58333333333333304</v>
      </c>
      <c r="D217" s="31"/>
      <c r="E217" s="31"/>
      <c r="F217" s="31"/>
      <c r="G217" s="40" t="s">
        <v>16</v>
      </c>
      <c r="H217" s="17"/>
      <c r="I217" s="29">
        <v>46016</v>
      </c>
      <c r="J217" s="30" t="str">
        <f t="shared" si="110"/>
        <v>jue</v>
      </c>
      <c r="K217" s="28">
        <v>0.58333333333333304</v>
      </c>
      <c r="L217" s="31"/>
      <c r="M217" s="31"/>
      <c r="N217" s="31"/>
      <c r="O217" s="40" t="s">
        <v>16</v>
      </c>
      <c r="P217" s="17"/>
      <c r="Q217" s="29">
        <v>46016</v>
      </c>
      <c r="R217" s="30" t="str">
        <f t="shared" si="111"/>
        <v>jue</v>
      </c>
      <c r="S217" s="28">
        <v>0.58333333333333304</v>
      </c>
      <c r="T217" s="31"/>
      <c r="U217" s="31"/>
      <c r="V217" s="31"/>
      <c r="W217" s="40" t="s">
        <v>16</v>
      </c>
      <c r="Y217" s="29">
        <v>46016</v>
      </c>
      <c r="Z217" s="30" t="str">
        <f t="shared" si="112"/>
        <v>jue</v>
      </c>
      <c r="AA217" s="28">
        <v>0.58333333333333304</v>
      </c>
      <c r="AB217" s="31"/>
      <c r="AC217" s="31"/>
      <c r="AD217" s="31"/>
      <c r="AE217" s="40" t="s">
        <v>16</v>
      </c>
    </row>
    <row r="218" spans="1:31" x14ac:dyDescent="0.3">
      <c r="A218" s="29">
        <v>46016</v>
      </c>
      <c r="B218" s="30" t="str">
        <f t="shared" si="109"/>
        <v>jue</v>
      </c>
      <c r="C218" s="28">
        <v>0.625</v>
      </c>
      <c r="D218" s="31"/>
      <c r="E218" s="31"/>
      <c r="F218" s="31"/>
      <c r="G218" s="40" t="s">
        <v>16</v>
      </c>
      <c r="H218" s="17"/>
      <c r="I218" s="29">
        <v>46016</v>
      </c>
      <c r="J218" s="30" t="str">
        <f t="shared" si="110"/>
        <v>jue</v>
      </c>
      <c r="K218" s="28">
        <v>0.625</v>
      </c>
      <c r="L218" s="31"/>
      <c r="M218" s="31"/>
      <c r="N218" s="31"/>
      <c r="O218" s="40" t="s">
        <v>16</v>
      </c>
      <c r="P218" s="17"/>
      <c r="Q218" s="29">
        <v>46016</v>
      </c>
      <c r="R218" s="30" t="str">
        <f t="shared" si="111"/>
        <v>jue</v>
      </c>
      <c r="S218" s="28">
        <v>0.625</v>
      </c>
      <c r="T218" s="31"/>
      <c r="U218" s="31"/>
      <c r="V218" s="31"/>
      <c r="W218" s="40" t="s">
        <v>16</v>
      </c>
      <c r="Y218" s="29">
        <v>46016</v>
      </c>
      <c r="Z218" s="30" t="str">
        <f t="shared" si="112"/>
        <v>jue</v>
      </c>
      <c r="AA218" s="28">
        <v>0.625</v>
      </c>
      <c r="AB218" s="31"/>
      <c r="AC218" s="31"/>
      <c r="AD218" s="31"/>
      <c r="AE218" s="40" t="s">
        <v>16</v>
      </c>
    </row>
    <row r="219" spans="1:31" x14ac:dyDescent="0.3">
      <c r="A219" s="29">
        <v>46016</v>
      </c>
      <c r="B219" s="30" t="str">
        <f t="shared" si="109"/>
        <v>jue</v>
      </c>
      <c r="C219" s="28">
        <v>0.66666666666666696</v>
      </c>
      <c r="D219" s="31"/>
      <c r="E219" s="31"/>
      <c r="F219" s="31"/>
      <c r="G219" s="40" t="s">
        <v>16</v>
      </c>
      <c r="H219" s="17"/>
      <c r="I219" s="29">
        <v>46016</v>
      </c>
      <c r="J219" s="30" t="str">
        <f t="shared" si="110"/>
        <v>jue</v>
      </c>
      <c r="K219" s="28">
        <v>0.66666666666666696</v>
      </c>
      <c r="L219" s="31"/>
      <c r="M219" s="31"/>
      <c r="N219" s="31"/>
      <c r="O219" s="40" t="s">
        <v>16</v>
      </c>
      <c r="P219" s="17"/>
      <c r="Q219" s="29">
        <v>46016</v>
      </c>
      <c r="R219" s="30" t="str">
        <f t="shared" si="111"/>
        <v>jue</v>
      </c>
      <c r="S219" s="28">
        <v>0.66666666666666696</v>
      </c>
      <c r="T219" s="31"/>
      <c r="U219" s="31"/>
      <c r="V219" s="31"/>
      <c r="W219" s="40" t="s">
        <v>16</v>
      </c>
      <c r="Y219" s="29">
        <v>46016</v>
      </c>
      <c r="Z219" s="30" t="str">
        <f t="shared" si="112"/>
        <v>jue</v>
      </c>
      <c r="AA219" s="28">
        <v>0.66666666666666696</v>
      </c>
      <c r="AB219" s="31"/>
      <c r="AC219" s="31"/>
      <c r="AD219" s="31"/>
      <c r="AE219" s="40" t="s">
        <v>16</v>
      </c>
    </row>
    <row r="220" spans="1:31" x14ac:dyDescent="0.3">
      <c r="A220" s="29">
        <v>46016</v>
      </c>
      <c r="B220" s="30" t="str">
        <f t="shared" si="109"/>
        <v>jue</v>
      </c>
      <c r="C220" s="28">
        <v>0.70833333333333304</v>
      </c>
      <c r="D220" s="31"/>
      <c r="E220" s="31"/>
      <c r="F220" s="31"/>
      <c r="G220" s="40" t="s">
        <v>16</v>
      </c>
      <c r="H220" s="17"/>
      <c r="I220" s="29">
        <v>46016</v>
      </c>
      <c r="J220" s="30" t="str">
        <f t="shared" si="110"/>
        <v>jue</v>
      </c>
      <c r="K220" s="28">
        <v>0.70833333333333304</v>
      </c>
      <c r="L220" s="31"/>
      <c r="M220" s="31"/>
      <c r="N220" s="31"/>
      <c r="O220" s="40" t="s">
        <v>16</v>
      </c>
      <c r="P220" s="17"/>
      <c r="Q220" s="29">
        <v>46016</v>
      </c>
      <c r="R220" s="30" t="str">
        <f t="shared" si="111"/>
        <v>jue</v>
      </c>
      <c r="S220" s="28">
        <v>0.70833333333333304</v>
      </c>
      <c r="T220" s="31"/>
      <c r="U220" s="31"/>
      <c r="V220" s="31"/>
      <c r="W220" s="40" t="s">
        <v>16</v>
      </c>
      <c r="Y220" s="29">
        <v>46016</v>
      </c>
      <c r="Z220" s="30" t="str">
        <f t="shared" si="112"/>
        <v>jue</v>
      </c>
      <c r="AA220" s="28">
        <v>0.70833333333333304</v>
      </c>
      <c r="AB220" s="31"/>
      <c r="AC220" s="31"/>
      <c r="AD220" s="31"/>
      <c r="AE220" s="40" t="s">
        <v>16</v>
      </c>
    </row>
    <row r="221" spans="1:31" x14ac:dyDescent="0.3">
      <c r="A221" s="29">
        <v>46016</v>
      </c>
      <c r="B221" s="30" t="str">
        <f t="shared" si="109"/>
        <v>jue</v>
      </c>
      <c r="C221" s="28">
        <v>0.75</v>
      </c>
      <c r="D221" s="31"/>
      <c r="E221" s="31"/>
      <c r="F221" s="31"/>
      <c r="G221" s="40" t="s">
        <v>16</v>
      </c>
      <c r="H221" s="17"/>
      <c r="I221" s="29">
        <v>46016</v>
      </c>
      <c r="J221" s="30" t="str">
        <f t="shared" si="110"/>
        <v>jue</v>
      </c>
      <c r="K221" s="28">
        <v>0.75</v>
      </c>
      <c r="L221" s="41"/>
      <c r="M221" s="41"/>
      <c r="N221" s="41"/>
      <c r="O221" s="40" t="s">
        <v>16</v>
      </c>
      <c r="P221" s="17"/>
      <c r="Q221" s="29">
        <v>46016</v>
      </c>
      <c r="R221" s="30" t="str">
        <f t="shared" si="111"/>
        <v>jue</v>
      </c>
      <c r="S221" s="28">
        <v>0.75</v>
      </c>
      <c r="T221" s="31"/>
      <c r="U221" s="31"/>
      <c r="V221" s="31"/>
      <c r="W221" s="40" t="s">
        <v>16</v>
      </c>
      <c r="Y221" s="29">
        <v>46016</v>
      </c>
      <c r="Z221" s="30" t="str">
        <f t="shared" si="112"/>
        <v>jue</v>
      </c>
      <c r="AA221" s="28">
        <v>0.75</v>
      </c>
      <c r="AB221" s="41"/>
      <c r="AC221" s="41"/>
      <c r="AD221" s="41"/>
      <c r="AE221" s="40" t="s">
        <v>16</v>
      </c>
    </row>
    <row r="222" spans="1:31" x14ac:dyDescent="0.3">
      <c r="A222" s="29">
        <v>46017</v>
      </c>
      <c r="B222" s="30" t="str">
        <f>TEXT(A222,"ddd")</f>
        <v>vie</v>
      </c>
      <c r="C222" s="28">
        <v>0.45833333333333331</v>
      </c>
      <c r="D222" s="31"/>
      <c r="E222" s="31"/>
      <c r="F222" s="31"/>
      <c r="G222" s="32" t="str">
        <f>IF(COUNTIF(D222:F222,"?*")=$N$5,"✅ CUBIERTO",
IF(COUNTIF(D222:F222,"?*")&gt;$N$5,"⚠ EXCESO",IF(COUNTIF(D222:F222,"?*")&gt;0,"⚠ FALTANTE",
"❌ SIN COMPLETAR")))</f>
        <v>❌ SIN COMPLETAR</v>
      </c>
      <c r="H222" s="17"/>
      <c r="I222" s="29">
        <v>46017</v>
      </c>
      <c r="J222" s="30" t="str">
        <f>TEXT(I222,"ddd")</f>
        <v>vie</v>
      </c>
      <c r="K222" s="28">
        <v>0.45833333333333331</v>
      </c>
      <c r="L222" s="31"/>
      <c r="M222" s="31"/>
      <c r="N222" s="31"/>
      <c r="O222" s="32" t="str">
        <f t="shared" ref="O214:O277" si="113">IF(COUNTIF(L222:N222,"?*")=$N$6,"✅ CUBIERTO",
IF(COUNTIF(L222:N222,"?*")&gt;$N$6,"⚠ EXCESO",IF(COUNTIF(L222:N222,"?*")&gt;0,"⚠ FALTANTE",
"❌ SIN COMPLETAR")))</f>
        <v>❌ SIN COMPLETAR</v>
      </c>
      <c r="P222" s="17"/>
      <c r="Q222" s="29">
        <v>46017</v>
      </c>
      <c r="R222" s="30" t="str">
        <f>TEXT(Q222,"ddd")</f>
        <v>vie</v>
      </c>
      <c r="S222" s="28">
        <v>0.45833333333333331</v>
      </c>
      <c r="T222" s="31"/>
      <c r="U222" s="31"/>
      <c r="V222" s="31"/>
      <c r="W222" s="40" t="s">
        <v>16</v>
      </c>
      <c r="Y222" s="29">
        <v>46017</v>
      </c>
      <c r="Z222" s="30" t="str">
        <f>TEXT(Y222,"ddd")</f>
        <v>vie</v>
      </c>
      <c r="AA222" s="28">
        <v>0.45833333333333331</v>
      </c>
      <c r="AB222" s="31"/>
      <c r="AC222" s="31"/>
      <c r="AD222" s="31"/>
      <c r="AE222" s="32" t="str">
        <f t="shared" ref="AE214:AE277" si="114">IF(COUNTIF(AB222:AD222,"?*")=$N$8,"✅ CUBIERTO",
IF(COUNTIF(AB222:AD222,"?*")&gt;$N$8,"⚠ EXCESO",IF(COUNTIF(AB222:AD222,"?*")&gt;0,"⚠ FALTANTE",
"❌ SIN COMPLETAR")))</f>
        <v>❌ SIN COMPLETAR</v>
      </c>
    </row>
    <row r="223" spans="1:31" x14ac:dyDescent="0.3">
      <c r="A223" s="29">
        <v>46017</v>
      </c>
      <c r="B223" s="30" t="str">
        <f t="shared" ref="B223:B229" si="115">TEXT(A223,"ddd")</f>
        <v>vie</v>
      </c>
      <c r="C223" s="28">
        <v>0.5</v>
      </c>
      <c r="D223" s="31"/>
      <c r="E223" s="31"/>
      <c r="F223" s="31"/>
      <c r="G223" s="32" t="str">
        <f>IF(COUNTIF(D223:F223,"?*")=$N$5,"✅ CUBIERTO",
IF(COUNTIF(D223:F223,"?*")&gt;$N$5,"⚠ EXCESO",IF(COUNTIF(D223:F223,"?*")&gt;0,"⚠ FALTANTE",
"❌ SIN COMPLETAR")))</f>
        <v>❌ SIN COMPLETAR</v>
      </c>
      <c r="H223" s="17"/>
      <c r="I223" s="29">
        <v>46017</v>
      </c>
      <c r="J223" s="30" t="str">
        <f t="shared" ref="J223:J229" si="116">TEXT(I223,"ddd")</f>
        <v>vie</v>
      </c>
      <c r="K223" s="28">
        <v>0.5</v>
      </c>
      <c r="L223" s="31"/>
      <c r="M223" s="31"/>
      <c r="N223" s="31"/>
      <c r="O223" s="32" t="str">
        <f t="shared" si="113"/>
        <v>❌ SIN COMPLETAR</v>
      </c>
      <c r="P223" s="17"/>
      <c r="Q223" s="29">
        <v>46017</v>
      </c>
      <c r="R223" s="30" t="str">
        <f t="shared" ref="R223:R229" si="117">TEXT(Q223,"ddd")</f>
        <v>vie</v>
      </c>
      <c r="S223" s="28">
        <v>0.5</v>
      </c>
      <c r="T223" s="31"/>
      <c r="U223" s="31"/>
      <c r="V223" s="31"/>
      <c r="W223" s="40" t="str">
        <f t="shared" si="84"/>
        <v>❌ SIN COMPLETAR</v>
      </c>
      <c r="Y223" s="29">
        <v>46017</v>
      </c>
      <c r="Z223" s="30" t="str">
        <f t="shared" ref="Z223:Z229" si="118">TEXT(Y223,"ddd")</f>
        <v>vie</v>
      </c>
      <c r="AA223" s="28">
        <v>0.5</v>
      </c>
      <c r="AB223" s="31"/>
      <c r="AC223" s="31"/>
      <c r="AD223" s="31"/>
      <c r="AE223" s="32" t="str">
        <f t="shared" si="114"/>
        <v>❌ SIN COMPLETAR</v>
      </c>
    </row>
    <row r="224" spans="1:31" x14ac:dyDescent="0.3">
      <c r="A224" s="29">
        <v>46017</v>
      </c>
      <c r="B224" s="30" t="str">
        <f t="shared" si="115"/>
        <v>vie</v>
      </c>
      <c r="C224" s="28">
        <v>0.54166666666666696</v>
      </c>
      <c r="D224" s="31"/>
      <c r="E224" s="31"/>
      <c r="F224" s="31"/>
      <c r="G224" s="32" t="str">
        <f>IF(COUNTIF(D224:F224,"?*")=$N$5,"✅ CUBIERTO",
IF(COUNTIF(D224:F224,"?*")&gt;$N$5,"⚠ EXCESO",IF(COUNTIF(D224:F224,"?*")&gt;0,"⚠ FALTANTE",
"❌ SIN COMPLETAR")))</f>
        <v>❌ SIN COMPLETAR</v>
      </c>
      <c r="H224" s="17"/>
      <c r="I224" s="29">
        <v>46017</v>
      </c>
      <c r="J224" s="30" t="str">
        <f t="shared" si="116"/>
        <v>vie</v>
      </c>
      <c r="K224" s="28">
        <v>0.54166666666666696</v>
      </c>
      <c r="L224" s="31"/>
      <c r="M224" s="31"/>
      <c r="N224" s="31"/>
      <c r="O224" s="32" t="str">
        <f t="shared" si="113"/>
        <v>❌ SIN COMPLETAR</v>
      </c>
      <c r="P224" s="17"/>
      <c r="Q224" s="29">
        <v>46017</v>
      </c>
      <c r="R224" s="30" t="str">
        <f t="shared" si="117"/>
        <v>vie</v>
      </c>
      <c r="S224" s="28">
        <v>0.54166666666666696</v>
      </c>
      <c r="T224" s="31"/>
      <c r="U224" s="31"/>
      <c r="V224" s="31"/>
      <c r="W224" s="40" t="str">
        <f t="shared" si="84"/>
        <v>❌ SIN COMPLETAR</v>
      </c>
      <c r="Y224" s="29">
        <v>46017</v>
      </c>
      <c r="Z224" s="30" t="str">
        <f t="shared" si="118"/>
        <v>vie</v>
      </c>
      <c r="AA224" s="28">
        <v>0.54166666666666696</v>
      </c>
      <c r="AB224" s="31"/>
      <c r="AC224" s="31"/>
      <c r="AD224" s="31"/>
      <c r="AE224" s="32" t="str">
        <f t="shared" si="114"/>
        <v>❌ SIN COMPLETAR</v>
      </c>
    </row>
    <row r="225" spans="1:31" x14ac:dyDescent="0.3">
      <c r="A225" s="29">
        <v>46017</v>
      </c>
      <c r="B225" s="30" t="str">
        <f t="shared" si="115"/>
        <v>vie</v>
      </c>
      <c r="C225" s="28">
        <v>0.58333333333333304</v>
      </c>
      <c r="D225" s="31"/>
      <c r="E225" s="31"/>
      <c r="F225" s="31"/>
      <c r="G225" s="32" t="str">
        <f>IF(COUNTIF(D225:F225,"?*")=$N$5,"✅ CUBIERTO",
IF(COUNTIF(D225:F225,"?*")&gt;$N$5,"⚠ EXCESO",IF(COUNTIF(D225:F225,"?*")&gt;0,"⚠ FALTANTE",
"❌ SIN COMPLETAR")))</f>
        <v>❌ SIN COMPLETAR</v>
      </c>
      <c r="H225" s="17"/>
      <c r="I225" s="29">
        <v>46017</v>
      </c>
      <c r="J225" s="30" t="str">
        <f t="shared" si="116"/>
        <v>vie</v>
      </c>
      <c r="K225" s="28">
        <v>0.58333333333333304</v>
      </c>
      <c r="L225" s="31"/>
      <c r="M225" s="31"/>
      <c r="N225" s="31"/>
      <c r="O225" s="32" t="str">
        <f t="shared" si="113"/>
        <v>❌ SIN COMPLETAR</v>
      </c>
      <c r="P225" s="17"/>
      <c r="Q225" s="29">
        <v>46017</v>
      </c>
      <c r="R225" s="30" t="str">
        <f t="shared" si="117"/>
        <v>vie</v>
      </c>
      <c r="S225" s="28">
        <v>0.58333333333333304</v>
      </c>
      <c r="T225" s="31"/>
      <c r="U225" s="31"/>
      <c r="V225" s="31"/>
      <c r="W225" s="40" t="str">
        <f t="shared" si="84"/>
        <v>❌ SIN COMPLETAR</v>
      </c>
      <c r="Y225" s="29">
        <v>46017</v>
      </c>
      <c r="Z225" s="30" t="str">
        <f t="shared" si="118"/>
        <v>vie</v>
      </c>
      <c r="AA225" s="28">
        <v>0.58333333333333304</v>
      </c>
      <c r="AB225" s="31"/>
      <c r="AC225" s="31"/>
      <c r="AD225" s="31"/>
      <c r="AE225" s="32" t="str">
        <f t="shared" si="114"/>
        <v>❌ SIN COMPLETAR</v>
      </c>
    </row>
    <row r="226" spans="1:31" x14ac:dyDescent="0.3">
      <c r="A226" s="29">
        <v>46017</v>
      </c>
      <c r="B226" s="30" t="str">
        <f t="shared" si="115"/>
        <v>vie</v>
      </c>
      <c r="C226" s="28">
        <v>0.625</v>
      </c>
      <c r="D226" s="31"/>
      <c r="E226" s="31"/>
      <c r="F226" s="31"/>
      <c r="G226" s="32" t="str">
        <f>IF(COUNTIF(D226:F226,"?*")=$N$5,"✅ CUBIERTO",
IF(COUNTIF(D226:F226,"?*")&gt;$N$5,"⚠ EXCESO",IF(COUNTIF(D226:F226,"?*")&gt;0,"⚠ FALTANTE",
"❌ SIN COMPLETAR")))</f>
        <v>❌ SIN COMPLETAR</v>
      </c>
      <c r="H226" s="17"/>
      <c r="I226" s="29">
        <v>46017</v>
      </c>
      <c r="J226" s="30" t="str">
        <f t="shared" si="116"/>
        <v>vie</v>
      </c>
      <c r="K226" s="28">
        <v>0.625</v>
      </c>
      <c r="L226" s="31"/>
      <c r="M226" s="31"/>
      <c r="N226" s="31"/>
      <c r="O226" s="32" t="str">
        <f t="shared" si="113"/>
        <v>❌ SIN COMPLETAR</v>
      </c>
      <c r="P226" s="17"/>
      <c r="Q226" s="29">
        <v>46017</v>
      </c>
      <c r="R226" s="30" t="str">
        <f t="shared" si="117"/>
        <v>vie</v>
      </c>
      <c r="S226" s="28">
        <v>0.625</v>
      </c>
      <c r="T226" s="31"/>
      <c r="U226" s="31"/>
      <c r="V226" s="31"/>
      <c r="W226" s="40" t="str">
        <f t="shared" si="84"/>
        <v>❌ SIN COMPLETAR</v>
      </c>
      <c r="Y226" s="29">
        <v>46017</v>
      </c>
      <c r="Z226" s="30" t="str">
        <f t="shared" si="118"/>
        <v>vie</v>
      </c>
      <c r="AA226" s="28">
        <v>0.625</v>
      </c>
      <c r="AB226" s="31"/>
      <c r="AC226" s="31"/>
      <c r="AD226" s="31"/>
      <c r="AE226" s="32" t="str">
        <f t="shared" si="114"/>
        <v>❌ SIN COMPLETAR</v>
      </c>
    </row>
    <row r="227" spans="1:31" x14ac:dyDescent="0.3">
      <c r="A227" s="29">
        <v>46017</v>
      </c>
      <c r="B227" s="30" t="str">
        <f t="shared" si="115"/>
        <v>vie</v>
      </c>
      <c r="C227" s="28">
        <v>0.66666666666666696</v>
      </c>
      <c r="D227" s="31"/>
      <c r="E227" s="31"/>
      <c r="F227" s="31"/>
      <c r="G227" s="32" t="str">
        <f>IF(COUNTIF(D227:F227,"?*")=$N$5,"✅ CUBIERTO",
IF(COUNTIF(D227:F227,"?*")&gt;$N$5,"⚠ EXCESO",IF(COUNTIF(D227:F227,"?*")&gt;0,"⚠ FALTANTE",
"❌ SIN COMPLETAR")))</f>
        <v>❌ SIN COMPLETAR</v>
      </c>
      <c r="H227" s="17"/>
      <c r="I227" s="29">
        <v>46017</v>
      </c>
      <c r="J227" s="30" t="str">
        <f t="shared" si="116"/>
        <v>vie</v>
      </c>
      <c r="K227" s="28">
        <v>0.66666666666666696</v>
      </c>
      <c r="L227" s="31"/>
      <c r="M227" s="31"/>
      <c r="N227" s="31"/>
      <c r="O227" s="32" t="str">
        <f t="shared" si="113"/>
        <v>❌ SIN COMPLETAR</v>
      </c>
      <c r="P227" s="17"/>
      <c r="Q227" s="29">
        <v>46017</v>
      </c>
      <c r="R227" s="30" t="str">
        <f t="shared" si="117"/>
        <v>vie</v>
      </c>
      <c r="S227" s="28">
        <v>0.66666666666666696</v>
      </c>
      <c r="T227" s="31"/>
      <c r="U227" s="31"/>
      <c r="V227" s="31"/>
      <c r="W227" s="40" t="str">
        <f t="shared" si="84"/>
        <v>❌ SIN COMPLETAR</v>
      </c>
      <c r="Y227" s="29">
        <v>46017</v>
      </c>
      <c r="Z227" s="30" t="str">
        <f t="shared" si="118"/>
        <v>vie</v>
      </c>
      <c r="AA227" s="28">
        <v>0.66666666666666696</v>
      </c>
      <c r="AB227" s="31"/>
      <c r="AC227" s="31"/>
      <c r="AD227" s="31"/>
      <c r="AE227" s="32" t="str">
        <f t="shared" si="114"/>
        <v>❌ SIN COMPLETAR</v>
      </c>
    </row>
    <row r="228" spans="1:31" x14ac:dyDescent="0.3">
      <c r="A228" s="29">
        <v>46017</v>
      </c>
      <c r="B228" s="30" t="str">
        <f t="shared" si="115"/>
        <v>vie</v>
      </c>
      <c r="C228" s="28">
        <v>0.70833333333333304</v>
      </c>
      <c r="D228" s="31"/>
      <c r="E228" s="31"/>
      <c r="F228" s="31"/>
      <c r="G228" s="32" t="str">
        <f>IF(COUNTIF(D228:F228,"?*")=$N$5,"✅ CUBIERTO",
IF(COUNTIF(D228:F228,"?*")&gt;$N$5,"⚠ EXCESO",IF(COUNTIF(D228:F228,"?*")&gt;0,"⚠ FALTANTE",
"❌ SIN COMPLETAR")))</f>
        <v>❌ SIN COMPLETAR</v>
      </c>
      <c r="H228" s="17"/>
      <c r="I228" s="29">
        <v>46017</v>
      </c>
      <c r="J228" s="30" t="str">
        <f t="shared" si="116"/>
        <v>vie</v>
      </c>
      <c r="K228" s="28">
        <v>0.70833333333333304</v>
      </c>
      <c r="L228" s="31"/>
      <c r="M228" s="31"/>
      <c r="N228" s="31"/>
      <c r="O228" s="32" t="str">
        <f t="shared" si="113"/>
        <v>❌ SIN COMPLETAR</v>
      </c>
      <c r="P228" s="17"/>
      <c r="Q228" s="29">
        <v>46017</v>
      </c>
      <c r="R228" s="30" t="str">
        <f t="shared" si="117"/>
        <v>vie</v>
      </c>
      <c r="S228" s="28">
        <v>0.70833333333333304</v>
      </c>
      <c r="T228" s="31"/>
      <c r="U228" s="31"/>
      <c r="V228" s="31"/>
      <c r="W228" s="40" t="str">
        <f t="shared" ref="W228:W269" si="119">IF(COUNTIF(T228:V228,"?*")=$N$7,"✅ CUBIERTO",IF(COUNTIF(T228:V228,"?*")&gt;$N$7,"⚠ EXCESO",
IF(COUNTIF(T228:V228,"?*")&gt;0,"⚠ FALTANTE", "❌ SIN COMPLETAR")))</f>
        <v>❌ SIN COMPLETAR</v>
      </c>
      <c r="Y228" s="29">
        <v>46017</v>
      </c>
      <c r="Z228" s="30" t="str">
        <f t="shared" si="118"/>
        <v>vie</v>
      </c>
      <c r="AA228" s="28">
        <v>0.70833333333333304</v>
      </c>
      <c r="AB228" s="31"/>
      <c r="AC228" s="31"/>
      <c r="AD228" s="31"/>
      <c r="AE228" s="32" t="str">
        <f t="shared" si="114"/>
        <v>❌ SIN COMPLETAR</v>
      </c>
    </row>
    <row r="229" spans="1:31" x14ac:dyDescent="0.3">
      <c r="A229" s="29">
        <v>46017</v>
      </c>
      <c r="B229" s="30" t="str">
        <f t="shared" si="115"/>
        <v>vie</v>
      </c>
      <c r="C229" s="28">
        <v>0.75</v>
      </c>
      <c r="D229" s="31"/>
      <c r="E229" s="31"/>
      <c r="F229" s="31"/>
      <c r="G229" s="32" t="str">
        <f>IF(COUNTIF(D229:F229,"?*")=$N$5,"✅ CUBIERTO",
IF(COUNTIF(D229:F229,"?*")&gt;$N$5,"⚠ EXCESO",IF(COUNTIF(D229:F229,"?*")&gt;0,"⚠ FALTANTE",
"❌ SIN COMPLETAR")))</f>
        <v>❌ SIN COMPLETAR</v>
      </c>
      <c r="H229" s="17"/>
      <c r="I229" s="29">
        <v>46017</v>
      </c>
      <c r="J229" s="30" t="str">
        <f t="shared" si="116"/>
        <v>vie</v>
      </c>
      <c r="K229" s="28">
        <v>0.75</v>
      </c>
      <c r="L229" s="41"/>
      <c r="M229" s="41"/>
      <c r="N229" s="41"/>
      <c r="O229" s="32" t="str">
        <f t="shared" si="113"/>
        <v>❌ SIN COMPLETAR</v>
      </c>
      <c r="P229" s="17"/>
      <c r="Q229" s="29">
        <v>46017</v>
      </c>
      <c r="R229" s="30" t="str">
        <f t="shared" si="117"/>
        <v>vie</v>
      </c>
      <c r="S229" s="28">
        <v>0.75</v>
      </c>
      <c r="T229" s="31"/>
      <c r="U229" s="31"/>
      <c r="V229" s="31"/>
      <c r="W229" s="40" t="s">
        <v>16</v>
      </c>
      <c r="Y229" s="29">
        <v>46017</v>
      </c>
      <c r="Z229" s="30" t="str">
        <f t="shared" si="118"/>
        <v>vie</v>
      </c>
      <c r="AA229" s="28">
        <v>0.75</v>
      </c>
      <c r="AB229" s="41"/>
      <c r="AC229" s="41"/>
      <c r="AD229" s="41"/>
      <c r="AE229" s="32" t="str">
        <f t="shared" si="114"/>
        <v>❌ SIN COMPLETAR</v>
      </c>
    </row>
    <row r="230" spans="1:31" x14ac:dyDescent="0.3">
      <c r="A230" s="29">
        <v>46018</v>
      </c>
      <c r="B230" s="30" t="str">
        <f>TEXT(A230,"ddd")</f>
        <v>sáb</v>
      </c>
      <c r="C230" s="28">
        <v>0.45833333333333331</v>
      </c>
      <c r="D230" s="31"/>
      <c r="E230" s="31"/>
      <c r="F230" s="31"/>
      <c r="G230" s="32" t="str">
        <f>IF(COUNTIF(D230:F230,"?*")=$N$5,"✅ CUBIERTO",
IF(COUNTIF(D230:F230,"?*")&gt;$N$5,"⚠ EXCESO",IF(COUNTIF(D230:F230,"?*")&gt;0,"⚠ FALTANTE",
"❌ SIN COMPLETAR")))</f>
        <v>❌ SIN COMPLETAR</v>
      </c>
      <c r="H230" s="17"/>
      <c r="I230" s="29">
        <v>46018</v>
      </c>
      <c r="J230" s="30" t="str">
        <f>TEXT(I230,"ddd")</f>
        <v>sáb</v>
      </c>
      <c r="K230" s="28">
        <v>0.45833333333333331</v>
      </c>
      <c r="L230" s="31"/>
      <c r="M230" s="31"/>
      <c r="N230" s="31"/>
      <c r="O230" s="32" t="str">
        <f t="shared" si="113"/>
        <v>❌ SIN COMPLETAR</v>
      </c>
      <c r="P230" s="17"/>
      <c r="Q230" s="29">
        <v>46018</v>
      </c>
      <c r="R230" s="30" t="str">
        <f>TEXT(Q230,"ddd")</f>
        <v>sáb</v>
      </c>
      <c r="S230" s="28">
        <v>0.45833333333333331</v>
      </c>
      <c r="T230" s="31"/>
      <c r="U230" s="31"/>
      <c r="V230" s="31"/>
      <c r="W230" s="40" t="str">
        <f t="shared" si="119"/>
        <v>❌ SIN COMPLETAR</v>
      </c>
      <c r="Y230" s="29">
        <v>46018</v>
      </c>
      <c r="Z230" s="30" t="str">
        <f>TEXT(Y230,"ddd")</f>
        <v>sáb</v>
      </c>
      <c r="AA230" s="28">
        <v>0.45833333333333331</v>
      </c>
      <c r="AB230" s="31"/>
      <c r="AC230" s="31"/>
      <c r="AD230" s="31"/>
      <c r="AE230" s="32" t="str">
        <f t="shared" si="114"/>
        <v>❌ SIN COMPLETAR</v>
      </c>
    </row>
    <row r="231" spans="1:31" x14ac:dyDescent="0.3">
      <c r="A231" s="29">
        <v>46018</v>
      </c>
      <c r="B231" s="30" t="str">
        <f t="shared" ref="B231:B237" si="120">TEXT(A231,"ddd")</f>
        <v>sáb</v>
      </c>
      <c r="C231" s="28">
        <v>0.5</v>
      </c>
      <c r="D231" s="31"/>
      <c r="E231" s="31"/>
      <c r="F231" s="31"/>
      <c r="G231" s="32" t="str">
        <f>IF(COUNTIF(D231:F231,"?*")=$N$5,"✅ CUBIERTO",
IF(COUNTIF(D231:F231,"?*")&gt;$N$5,"⚠ EXCESO",IF(COUNTIF(D231:F231,"?*")&gt;0,"⚠ FALTANTE",
"❌ SIN COMPLETAR")))</f>
        <v>❌ SIN COMPLETAR</v>
      </c>
      <c r="H231" s="17"/>
      <c r="I231" s="29">
        <v>46018</v>
      </c>
      <c r="J231" s="30" t="str">
        <f t="shared" ref="J231:J237" si="121">TEXT(I231,"ddd")</f>
        <v>sáb</v>
      </c>
      <c r="K231" s="28">
        <v>0.5</v>
      </c>
      <c r="L231" s="31"/>
      <c r="M231" s="31"/>
      <c r="N231" s="31"/>
      <c r="O231" s="32" t="str">
        <f t="shared" si="113"/>
        <v>❌ SIN COMPLETAR</v>
      </c>
      <c r="P231" s="17"/>
      <c r="Q231" s="29">
        <v>46018</v>
      </c>
      <c r="R231" s="30" t="str">
        <f t="shared" ref="R231:R237" si="122">TEXT(Q231,"ddd")</f>
        <v>sáb</v>
      </c>
      <c r="S231" s="28">
        <v>0.5</v>
      </c>
      <c r="T231" s="31"/>
      <c r="U231" s="31"/>
      <c r="V231" s="31"/>
      <c r="W231" s="40" t="str">
        <f t="shared" si="119"/>
        <v>❌ SIN COMPLETAR</v>
      </c>
      <c r="Y231" s="29">
        <v>46018</v>
      </c>
      <c r="Z231" s="30" t="str">
        <f t="shared" ref="Z231:Z237" si="123">TEXT(Y231,"ddd")</f>
        <v>sáb</v>
      </c>
      <c r="AA231" s="28">
        <v>0.5</v>
      </c>
      <c r="AB231" s="31"/>
      <c r="AC231" s="31"/>
      <c r="AD231" s="31"/>
      <c r="AE231" s="32" t="str">
        <f t="shared" si="114"/>
        <v>❌ SIN COMPLETAR</v>
      </c>
    </row>
    <row r="232" spans="1:31" x14ac:dyDescent="0.3">
      <c r="A232" s="29">
        <v>46018</v>
      </c>
      <c r="B232" s="30" t="str">
        <f t="shared" si="120"/>
        <v>sáb</v>
      </c>
      <c r="C232" s="28">
        <v>0.54166666666666696</v>
      </c>
      <c r="D232" s="31"/>
      <c r="E232" s="31"/>
      <c r="F232" s="31"/>
      <c r="G232" s="32" t="str">
        <f>IF(COUNTIF(D232:F232,"?*")=$N$5,"✅ CUBIERTO",
IF(COUNTIF(D232:F232,"?*")&gt;$N$5,"⚠ EXCESO",IF(COUNTIF(D232:F232,"?*")&gt;0,"⚠ FALTANTE",
"❌ SIN COMPLETAR")))</f>
        <v>❌ SIN COMPLETAR</v>
      </c>
      <c r="H232" s="17"/>
      <c r="I232" s="29">
        <v>46018</v>
      </c>
      <c r="J232" s="30" t="str">
        <f t="shared" si="121"/>
        <v>sáb</v>
      </c>
      <c r="K232" s="28">
        <v>0.54166666666666696</v>
      </c>
      <c r="L232" s="31"/>
      <c r="M232" s="31"/>
      <c r="N232" s="31"/>
      <c r="O232" s="32" t="str">
        <f t="shared" si="113"/>
        <v>❌ SIN COMPLETAR</v>
      </c>
      <c r="P232" s="17"/>
      <c r="Q232" s="29">
        <v>46018</v>
      </c>
      <c r="R232" s="30" t="str">
        <f t="shared" si="122"/>
        <v>sáb</v>
      </c>
      <c r="S232" s="28">
        <v>0.54166666666666696</v>
      </c>
      <c r="T232" s="31"/>
      <c r="U232" s="31"/>
      <c r="V232" s="31"/>
      <c r="W232" s="40" t="str">
        <f t="shared" si="119"/>
        <v>❌ SIN COMPLETAR</v>
      </c>
      <c r="Y232" s="29">
        <v>46018</v>
      </c>
      <c r="Z232" s="30" t="str">
        <f t="shared" si="123"/>
        <v>sáb</v>
      </c>
      <c r="AA232" s="28">
        <v>0.54166666666666696</v>
      </c>
      <c r="AB232" s="31"/>
      <c r="AC232" s="31"/>
      <c r="AD232" s="31"/>
      <c r="AE232" s="32" t="str">
        <f t="shared" si="114"/>
        <v>❌ SIN COMPLETAR</v>
      </c>
    </row>
    <row r="233" spans="1:31" x14ac:dyDescent="0.3">
      <c r="A233" s="29">
        <v>46018</v>
      </c>
      <c r="B233" s="30" t="str">
        <f t="shared" si="120"/>
        <v>sáb</v>
      </c>
      <c r="C233" s="28">
        <v>0.58333333333333304</v>
      </c>
      <c r="D233" s="31"/>
      <c r="E233" s="31"/>
      <c r="F233" s="31"/>
      <c r="G233" s="32" t="str">
        <f>IF(COUNTIF(D233:F233,"?*")=$N$5,"✅ CUBIERTO",
IF(COUNTIF(D233:F233,"?*")&gt;$N$5,"⚠ EXCESO",IF(COUNTIF(D233:F233,"?*")&gt;0,"⚠ FALTANTE",
"❌ SIN COMPLETAR")))</f>
        <v>❌ SIN COMPLETAR</v>
      </c>
      <c r="H233" s="17"/>
      <c r="I233" s="29">
        <v>46018</v>
      </c>
      <c r="J233" s="30" t="str">
        <f t="shared" si="121"/>
        <v>sáb</v>
      </c>
      <c r="K233" s="28">
        <v>0.58333333333333304</v>
      </c>
      <c r="L233" s="31"/>
      <c r="M233" s="31"/>
      <c r="N233" s="31"/>
      <c r="O233" s="32" t="str">
        <f t="shared" si="113"/>
        <v>❌ SIN COMPLETAR</v>
      </c>
      <c r="P233" s="17"/>
      <c r="Q233" s="29">
        <v>46018</v>
      </c>
      <c r="R233" s="30" t="str">
        <f t="shared" si="122"/>
        <v>sáb</v>
      </c>
      <c r="S233" s="28">
        <v>0.58333333333333304</v>
      </c>
      <c r="T233" s="31"/>
      <c r="U233" s="31"/>
      <c r="V233" s="31"/>
      <c r="W233" s="40" t="str">
        <f t="shared" si="119"/>
        <v>❌ SIN COMPLETAR</v>
      </c>
      <c r="Y233" s="29">
        <v>46018</v>
      </c>
      <c r="Z233" s="30" t="str">
        <f t="shared" si="123"/>
        <v>sáb</v>
      </c>
      <c r="AA233" s="28">
        <v>0.58333333333333304</v>
      </c>
      <c r="AB233" s="31"/>
      <c r="AC233" s="31"/>
      <c r="AD233" s="31"/>
      <c r="AE233" s="32" t="str">
        <f t="shared" si="114"/>
        <v>❌ SIN COMPLETAR</v>
      </c>
    </row>
    <row r="234" spans="1:31" x14ac:dyDescent="0.3">
      <c r="A234" s="29">
        <v>46018</v>
      </c>
      <c r="B234" s="30" t="str">
        <f t="shared" si="120"/>
        <v>sáb</v>
      </c>
      <c r="C234" s="28">
        <v>0.625</v>
      </c>
      <c r="D234" s="31"/>
      <c r="E234" s="31"/>
      <c r="F234" s="31"/>
      <c r="G234" s="32" t="str">
        <f>IF(COUNTIF(D234:F234,"?*")=$N$5,"✅ CUBIERTO",
IF(COUNTIF(D234:F234,"?*")&gt;$N$5,"⚠ EXCESO",IF(COUNTIF(D234:F234,"?*")&gt;0,"⚠ FALTANTE",
"❌ SIN COMPLETAR")))</f>
        <v>❌ SIN COMPLETAR</v>
      </c>
      <c r="H234" s="17"/>
      <c r="I234" s="29">
        <v>46018</v>
      </c>
      <c r="J234" s="30" t="str">
        <f t="shared" si="121"/>
        <v>sáb</v>
      </c>
      <c r="K234" s="28">
        <v>0.625</v>
      </c>
      <c r="L234" s="31"/>
      <c r="M234" s="31"/>
      <c r="N234" s="31"/>
      <c r="O234" s="32" t="str">
        <f t="shared" si="113"/>
        <v>❌ SIN COMPLETAR</v>
      </c>
      <c r="P234" s="17"/>
      <c r="Q234" s="29">
        <v>46018</v>
      </c>
      <c r="R234" s="30" t="str">
        <f t="shared" si="122"/>
        <v>sáb</v>
      </c>
      <c r="S234" s="28">
        <v>0.625</v>
      </c>
      <c r="T234" s="31"/>
      <c r="U234" s="31"/>
      <c r="V234" s="31"/>
      <c r="W234" s="40" t="str">
        <f t="shared" si="119"/>
        <v>❌ SIN COMPLETAR</v>
      </c>
      <c r="Y234" s="29">
        <v>46018</v>
      </c>
      <c r="Z234" s="30" t="str">
        <f t="shared" si="123"/>
        <v>sáb</v>
      </c>
      <c r="AA234" s="28">
        <v>0.625</v>
      </c>
      <c r="AB234" s="31"/>
      <c r="AC234" s="31"/>
      <c r="AD234" s="31"/>
      <c r="AE234" s="32" t="str">
        <f t="shared" si="114"/>
        <v>❌ SIN COMPLETAR</v>
      </c>
    </row>
    <row r="235" spans="1:31" x14ac:dyDescent="0.3">
      <c r="A235" s="29">
        <v>46018</v>
      </c>
      <c r="B235" s="30" t="str">
        <f t="shared" si="120"/>
        <v>sáb</v>
      </c>
      <c r="C235" s="28">
        <v>0.66666666666666696</v>
      </c>
      <c r="D235" s="31"/>
      <c r="E235" s="31"/>
      <c r="F235" s="31"/>
      <c r="G235" s="32" t="str">
        <f>IF(COUNTIF(D235:F235,"?*")=$N$5,"✅ CUBIERTO",
IF(COUNTIF(D235:F235,"?*")&gt;$N$5,"⚠ EXCESO",IF(COUNTIF(D235:F235,"?*")&gt;0,"⚠ FALTANTE",
"❌ SIN COMPLETAR")))</f>
        <v>❌ SIN COMPLETAR</v>
      </c>
      <c r="H235" s="17"/>
      <c r="I235" s="29">
        <v>46018</v>
      </c>
      <c r="J235" s="30" t="str">
        <f t="shared" si="121"/>
        <v>sáb</v>
      </c>
      <c r="K235" s="28">
        <v>0.66666666666666696</v>
      </c>
      <c r="L235" s="31"/>
      <c r="M235" s="31"/>
      <c r="N235" s="31"/>
      <c r="O235" s="32" t="str">
        <f t="shared" si="113"/>
        <v>❌ SIN COMPLETAR</v>
      </c>
      <c r="P235" s="17"/>
      <c r="Q235" s="29">
        <v>46018</v>
      </c>
      <c r="R235" s="30" t="str">
        <f t="shared" si="122"/>
        <v>sáb</v>
      </c>
      <c r="S235" s="28">
        <v>0.66666666666666696</v>
      </c>
      <c r="T235" s="31"/>
      <c r="U235" s="31"/>
      <c r="V235" s="31"/>
      <c r="W235" s="40" t="str">
        <f t="shared" si="119"/>
        <v>❌ SIN COMPLETAR</v>
      </c>
      <c r="Y235" s="29">
        <v>46018</v>
      </c>
      <c r="Z235" s="30" t="str">
        <f t="shared" si="123"/>
        <v>sáb</v>
      </c>
      <c r="AA235" s="28">
        <v>0.66666666666666696</v>
      </c>
      <c r="AB235" s="31"/>
      <c r="AC235" s="31"/>
      <c r="AD235" s="31"/>
      <c r="AE235" s="32" t="str">
        <f t="shared" si="114"/>
        <v>❌ SIN COMPLETAR</v>
      </c>
    </row>
    <row r="236" spans="1:31" x14ac:dyDescent="0.3">
      <c r="A236" s="29">
        <v>46018</v>
      </c>
      <c r="B236" s="30" t="str">
        <f t="shared" si="120"/>
        <v>sáb</v>
      </c>
      <c r="C236" s="28">
        <v>0.70833333333333304</v>
      </c>
      <c r="D236" s="31"/>
      <c r="E236" s="31"/>
      <c r="F236" s="31"/>
      <c r="G236" s="32" t="str">
        <f>IF(COUNTIF(D236:F236,"?*")=$N$5,"✅ CUBIERTO",
IF(COUNTIF(D236:F236,"?*")&gt;$N$5,"⚠ EXCESO",IF(COUNTIF(D236:F236,"?*")&gt;0,"⚠ FALTANTE",
"❌ SIN COMPLETAR")))</f>
        <v>❌ SIN COMPLETAR</v>
      </c>
      <c r="H236" s="17"/>
      <c r="I236" s="29">
        <v>46018</v>
      </c>
      <c r="J236" s="30" t="str">
        <f t="shared" si="121"/>
        <v>sáb</v>
      </c>
      <c r="K236" s="28">
        <v>0.70833333333333304</v>
      </c>
      <c r="L236" s="31"/>
      <c r="M236" s="31"/>
      <c r="N236" s="31"/>
      <c r="O236" s="32" t="str">
        <f t="shared" si="113"/>
        <v>❌ SIN COMPLETAR</v>
      </c>
      <c r="P236" s="17"/>
      <c r="Q236" s="29">
        <v>46018</v>
      </c>
      <c r="R236" s="30" t="str">
        <f t="shared" si="122"/>
        <v>sáb</v>
      </c>
      <c r="S236" s="28">
        <v>0.70833333333333304</v>
      </c>
      <c r="T236" s="31"/>
      <c r="U236" s="31"/>
      <c r="V236" s="31"/>
      <c r="W236" s="40" t="str">
        <f t="shared" si="119"/>
        <v>❌ SIN COMPLETAR</v>
      </c>
      <c r="Y236" s="29">
        <v>46018</v>
      </c>
      <c r="Z236" s="30" t="str">
        <f t="shared" si="123"/>
        <v>sáb</v>
      </c>
      <c r="AA236" s="28">
        <v>0.70833333333333304</v>
      </c>
      <c r="AB236" s="31"/>
      <c r="AC236" s="31"/>
      <c r="AD236" s="31"/>
      <c r="AE236" s="32" t="str">
        <f t="shared" si="114"/>
        <v>❌ SIN COMPLETAR</v>
      </c>
    </row>
    <row r="237" spans="1:31" x14ac:dyDescent="0.3">
      <c r="A237" s="29">
        <v>46018</v>
      </c>
      <c r="B237" s="30" t="str">
        <f t="shared" si="120"/>
        <v>sáb</v>
      </c>
      <c r="C237" s="28">
        <v>0.75</v>
      </c>
      <c r="D237" s="31"/>
      <c r="E237" s="31"/>
      <c r="F237" s="31"/>
      <c r="G237" s="32" t="str">
        <f>IF(COUNTIF(D237:F237,"?*")=$N$5,"✅ CUBIERTO",
IF(COUNTIF(D237:F237,"?*")&gt;$N$5,"⚠ EXCESO",IF(COUNTIF(D237:F237,"?*")&gt;0,"⚠ FALTANTE",
"❌ SIN COMPLETAR")))</f>
        <v>❌ SIN COMPLETAR</v>
      </c>
      <c r="H237" s="17"/>
      <c r="I237" s="29">
        <v>46018</v>
      </c>
      <c r="J237" s="30" t="str">
        <f t="shared" si="121"/>
        <v>sáb</v>
      </c>
      <c r="K237" s="28">
        <v>0.75</v>
      </c>
      <c r="L237" s="41"/>
      <c r="M237" s="41"/>
      <c r="N237" s="41"/>
      <c r="O237" s="32" t="str">
        <f t="shared" si="113"/>
        <v>❌ SIN COMPLETAR</v>
      </c>
      <c r="P237" s="17"/>
      <c r="Q237" s="29">
        <v>46018</v>
      </c>
      <c r="R237" s="30" t="str">
        <f t="shared" si="122"/>
        <v>sáb</v>
      </c>
      <c r="S237" s="28">
        <v>0.75</v>
      </c>
      <c r="T237" s="31"/>
      <c r="U237" s="31"/>
      <c r="V237" s="31"/>
      <c r="W237" s="40" t="str">
        <f t="shared" si="119"/>
        <v>❌ SIN COMPLETAR</v>
      </c>
      <c r="Y237" s="29">
        <v>46018</v>
      </c>
      <c r="Z237" s="30" t="str">
        <f t="shared" si="123"/>
        <v>sáb</v>
      </c>
      <c r="AA237" s="28">
        <v>0.75</v>
      </c>
      <c r="AB237" s="41"/>
      <c r="AC237" s="41"/>
      <c r="AD237" s="41"/>
      <c r="AE237" s="32" t="str">
        <f t="shared" si="114"/>
        <v>❌ SIN COMPLETAR</v>
      </c>
    </row>
    <row r="238" spans="1:31" x14ac:dyDescent="0.3">
      <c r="A238" s="29">
        <v>46019</v>
      </c>
      <c r="B238" s="30" t="str">
        <f>TEXT(A238,"ddd")</f>
        <v>dom</v>
      </c>
      <c r="C238" s="28">
        <v>0.45833333333333331</v>
      </c>
      <c r="D238" s="31"/>
      <c r="E238" s="31"/>
      <c r="F238" s="31"/>
      <c r="G238" s="32" t="str">
        <f>IF(COUNTIF(D238:F238,"?*")=$N$5,"✅ CUBIERTO",
IF(COUNTIF(D238:F238,"?*")&gt;$N$5,"⚠ EXCESO",IF(COUNTIF(D238:F238,"?*")&gt;0,"⚠ FALTANTE",
"❌ SIN COMPLETAR")))</f>
        <v>❌ SIN COMPLETAR</v>
      </c>
      <c r="H238" s="17"/>
      <c r="I238" s="29">
        <v>46019</v>
      </c>
      <c r="J238" s="30" t="str">
        <f>TEXT(I238,"ddd")</f>
        <v>dom</v>
      </c>
      <c r="K238" s="28">
        <v>0.45833333333333331</v>
      </c>
      <c r="L238" s="31"/>
      <c r="M238" s="31"/>
      <c r="N238" s="31"/>
      <c r="O238" s="32" t="str">
        <f t="shared" si="113"/>
        <v>❌ SIN COMPLETAR</v>
      </c>
      <c r="P238" s="17"/>
      <c r="Q238" s="29">
        <v>46019</v>
      </c>
      <c r="R238" s="30" t="str">
        <f>TEXT(Q238,"ddd")</f>
        <v>dom</v>
      </c>
      <c r="S238" s="28">
        <v>0.45833333333333331</v>
      </c>
      <c r="T238" s="31"/>
      <c r="U238" s="31"/>
      <c r="V238" s="31"/>
      <c r="W238" s="40" t="str">
        <f t="shared" si="119"/>
        <v>❌ SIN COMPLETAR</v>
      </c>
      <c r="Y238" s="29">
        <v>46019</v>
      </c>
      <c r="Z238" s="30" t="str">
        <f>TEXT(Y238,"ddd")</f>
        <v>dom</v>
      </c>
      <c r="AA238" s="28">
        <v>0.45833333333333331</v>
      </c>
      <c r="AB238" s="31"/>
      <c r="AC238" s="31"/>
      <c r="AD238" s="31"/>
      <c r="AE238" s="32" t="str">
        <f t="shared" si="114"/>
        <v>❌ SIN COMPLETAR</v>
      </c>
    </row>
    <row r="239" spans="1:31" x14ac:dyDescent="0.3">
      <c r="A239" s="29">
        <v>46019</v>
      </c>
      <c r="B239" s="30" t="str">
        <f t="shared" ref="B239:B245" si="124">TEXT(A239,"ddd")</f>
        <v>dom</v>
      </c>
      <c r="C239" s="28">
        <v>0.5</v>
      </c>
      <c r="D239" s="31"/>
      <c r="E239" s="31"/>
      <c r="F239" s="31"/>
      <c r="G239" s="32" t="str">
        <f>IF(COUNTIF(D239:F239,"?*")=$N$5,"✅ CUBIERTO",
IF(COUNTIF(D239:F239,"?*")&gt;$N$5,"⚠ EXCESO",IF(COUNTIF(D239:F239,"?*")&gt;0,"⚠ FALTANTE",
"❌ SIN COMPLETAR")))</f>
        <v>❌ SIN COMPLETAR</v>
      </c>
      <c r="H239" s="17"/>
      <c r="I239" s="29">
        <v>46019</v>
      </c>
      <c r="J239" s="30" t="str">
        <f t="shared" ref="J239:J245" si="125">TEXT(I239,"ddd")</f>
        <v>dom</v>
      </c>
      <c r="K239" s="28">
        <v>0.5</v>
      </c>
      <c r="L239" s="31"/>
      <c r="M239" s="31"/>
      <c r="N239" s="31"/>
      <c r="O239" s="32" t="str">
        <f t="shared" si="113"/>
        <v>❌ SIN COMPLETAR</v>
      </c>
      <c r="P239" s="17"/>
      <c r="Q239" s="29">
        <v>46019</v>
      </c>
      <c r="R239" s="30" t="str">
        <f t="shared" ref="R239:R245" si="126">TEXT(Q239,"ddd")</f>
        <v>dom</v>
      </c>
      <c r="S239" s="28">
        <v>0.5</v>
      </c>
      <c r="T239" s="31"/>
      <c r="U239" s="31"/>
      <c r="V239" s="31"/>
      <c r="W239" s="40" t="str">
        <f t="shared" si="119"/>
        <v>❌ SIN COMPLETAR</v>
      </c>
      <c r="Y239" s="29">
        <v>46019</v>
      </c>
      <c r="Z239" s="30" t="str">
        <f t="shared" ref="Z239:Z245" si="127">TEXT(Y239,"ddd")</f>
        <v>dom</v>
      </c>
      <c r="AA239" s="28">
        <v>0.5</v>
      </c>
      <c r="AB239" s="31"/>
      <c r="AC239" s="31"/>
      <c r="AD239" s="31"/>
      <c r="AE239" s="32" t="str">
        <f t="shared" si="114"/>
        <v>❌ SIN COMPLETAR</v>
      </c>
    </row>
    <row r="240" spans="1:31" x14ac:dyDescent="0.3">
      <c r="A240" s="29">
        <v>46019</v>
      </c>
      <c r="B240" s="30" t="str">
        <f t="shared" si="124"/>
        <v>dom</v>
      </c>
      <c r="C240" s="28">
        <v>0.54166666666666696</v>
      </c>
      <c r="D240" s="31"/>
      <c r="E240" s="31"/>
      <c r="F240" s="31"/>
      <c r="G240" s="32" t="str">
        <f>IF(COUNTIF(D240:F240,"?*")=$N$5,"✅ CUBIERTO",
IF(COUNTIF(D240:F240,"?*")&gt;$N$5,"⚠ EXCESO",IF(COUNTIF(D240:F240,"?*")&gt;0,"⚠ FALTANTE",
"❌ SIN COMPLETAR")))</f>
        <v>❌ SIN COMPLETAR</v>
      </c>
      <c r="H240" s="17"/>
      <c r="I240" s="29">
        <v>46019</v>
      </c>
      <c r="J240" s="30" t="str">
        <f t="shared" si="125"/>
        <v>dom</v>
      </c>
      <c r="K240" s="28">
        <v>0.54166666666666696</v>
      </c>
      <c r="L240" s="31"/>
      <c r="M240" s="31"/>
      <c r="N240" s="31"/>
      <c r="O240" s="32" t="str">
        <f t="shared" si="113"/>
        <v>❌ SIN COMPLETAR</v>
      </c>
      <c r="P240" s="17"/>
      <c r="Q240" s="29">
        <v>46019</v>
      </c>
      <c r="R240" s="30" t="str">
        <f t="shared" si="126"/>
        <v>dom</v>
      </c>
      <c r="S240" s="28">
        <v>0.54166666666666696</v>
      </c>
      <c r="T240" s="31"/>
      <c r="U240" s="31"/>
      <c r="V240" s="31"/>
      <c r="W240" s="40" t="str">
        <f t="shared" si="119"/>
        <v>❌ SIN COMPLETAR</v>
      </c>
      <c r="Y240" s="29">
        <v>46019</v>
      </c>
      <c r="Z240" s="30" t="str">
        <f t="shared" si="127"/>
        <v>dom</v>
      </c>
      <c r="AA240" s="28">
        <v>0.54166666666666696</v>
      </c>
      <c r="AB240" s="31"/>
      <c r="AC240" s="31"/>
      <c r="AD240" s="31"/>
      <c r="AE240" s="32" t="str">
        <f t="shared" si="114"/>
        <v>❌ SIN COMPLETAR</v>
      </c>
    </row>
    <row r="241" spans="1:31" x14ac:dyDescent="0.3">
      <c r="A241" s="29">
        <v>46019</v>
      </c>
      <c r="B241" s="30" t="str">
        <f t="shared" si="124"/>
        <v>dom</v>
      </c>
      <c r="C241" s="28">
        <v>0.58333333333333304</v>
      </c>
      <c r="D241" s="31"/>
      <c r="E241" s="31"/>
      <c r="F241" s="31"/>
      <c r="G241" s="32" t="str">
        <f>IF(COUNTIF(D241:F241,"?*")=$N$5,"✅ CUBIERTO",
IF(COUNTIF(D241:F241,"?*")&gt;$N$5,"⚠ EXCESO",IF(COUNTIF(D241:F241,"?*")&gt;0,"⚠ FALTANTE",
"❌ SIN COMPLETAR")))</f>
        <v>❌ SIN COMPLETAR</v>
      </c>
      <c r="H241" s="17"/>
      <c r="I241" s="29">
        <v>46019</v>
      </c>
      <c r="J241" s="30" t="str">
        <f t="shared" si="125"/>
        <v>dom</v>
      </c>
      <c r="K241" s="28">
        <v>0.58333333333333304</v>
      </c>
      <c r="L241" s="31"/>
      <c r="M241" s="31"/>
      <c r="N241" s="31"/>
      <c r="O241" s="32" t="str">
        <f t="shared" si="113"/>
        <v>❌ SIN COMPLETAR</v>
      </c>
      <c r="P241" s="17"/>
      <c r="Q241" s="29">
        <v>46019</v>
      </c>
      <c r="R241" s="30" t="str">
        <f t="shared" si="126"/>
        <v>dom</v>
      </c>
      <c r="S241" s="28">
        <v>0.58333333333333304</v>
      </c>
      <c r="T241" s="31"/>
      <c r="U241" s="31"/>
      <c r="V241" s="31"/>
      <c r="W241" s="40" t="str">
        <f t="shared" si="119"/>
        <v>❌ SIN COMPLETAR</v>
      </c>
      <c r="Y241" s="29">
        <v>46019</v>
      </c>
      <c r="Z241" s="30" t="str">
        <f t="shared" si="127"/>
        <v>dom</v>
      </c>
      <c r="AA241" s="28">
        <v>0.58333333333333304</v>
      </c>
      <c r="AB241" s="31"/>
      <c r="AC241" s="31"/>
      <c r="AD241" s="31"/>
      <c r="AE241" s="32" t="str">
        <f t="shared" si="114"/>
        <v>❌ SIN COMPLETAR</v>
      </c>
    </row>
    <row r="242" spans="1:31" x14ac:dyDescent="0.3">
      <c r="A242" s="29">
        <v>46019</v>
      </c>
      <c r="B242" s="30" t="str">
        <f t="shared" si="124"/>
        <v>dom</v>
      </c>
      <c r="C242" s="28">
        <v>0.625</v>
      </c>
      <c r="D242" s="31"/>
      <c r="E242" s="31"/>
      <c r="F242" s="31"/>
      <c r="G242" s="32" t="str">
        <f>IF(COUNTIF(D242:F242,"?*")=$N$5,"✅ CUBIERTO",
IF(COUNTIF(D242:F242,"?*")&gt;$N$5,"⚠ EXCESO",IF(COUNTIF(D242:F242,"?*")&gt;0,"⚠ FALTANTE",
"❌ SIN COMPLETAR")))</f>
        <v>❌ SIN COMPLETAR</v>
      </c>
      <c r="H242" s="17"/>
      <c r="I242" s="29">
        <v>46019</v>
      </c>
      <c r="J242" s="30" t="str">
        <f t="shared" si="125"/>
        <v>dom</v>
      </c>
      <c r="K242" s="28">
        <v>0.625</v>
      </c>
      <c r="L242" s="31"/>
      <c r="M242" s="31"/>
      <c r="N242" s="31"/>
      <c r="O242" s="32" t="str">
        <f t="shared" si="113"/>
        <v>❌ SIN COMPLETAR</v>
      </c>
      <c r="P242" s="17"/>
      <c r="Q242" s="29">
        <v>46019</v>
      </c>
      <c r="R242" s="30" t="str">
        <f t="shared" si="126"/>
        <v>dom</v>
      </c>
      <c r="S242" s="28">
        <v>0.625</v>
      </c>
      <c r="T242" s="31"/>
      <c r="U242" s="31"/>
      <c r="V242" s="31"/>
      <c r="W242" s="40" t="str">
        <f t="shared" si="119"/>
        <v>❌ SIN COMPLETAR</v>
      </c>
      <c r="Y242" s="29">
        <v>46019</v>
      </c>
      <c r="Z242" s="30" t="str">
        <f t="shared" si="127"/>
        <v>dom</v>
      </c>
      <c r="AA242" s="28">
        <v>0.625</v>
      </c>
      <c r="AB242" s="31"/>
      <c r="AC242" s="31"/>
      <c r="AD242" s="31"/>
      <c r="AE242" s="32" t="str">
        <f t="shared" si="114"/>
        <v>❌ SIN COMPLETAR</v>
      </c>
    </row>
    <row r="243" spans="1:31" x14ac:dyDescent="0.3">
      <c r="A243" s="29">
        <v>46019</v>
      </c>
      <c r="B243" s="30" t="str">
        <f t="shared" si="124"/>
        <v>dom</v>
      </c>
      <c r="C243" s="28">
        <v>0.66666666666666696</v>
      </c>
      <c r="D243" s="31"/>
      <c r="E243" s="31"/>
      <c r="F243" s="31"/>
      <c r="G243" s="32" t="str">
        <f>IF(COUNTIF(D243:F243,"?*")=$N$5,"✅ CUBIERTO",
IF(COUNTIF(D243:F243,"?*")&gt;$N$5,"⚠ EXCESO",IF(COUNTIF(D243:F243,"?*")&gt;0,"⚠ FALTANTE",
"❌ SIN COMPLETAR")))</f>
        <v>❌ SIN COMPLETAR</v>
      </c>
      <c r="H243" s="17"/>
      <c r="I243" s="29">
        <v>46019</v>
      </c>
      <c r="J243" s="30" t="str">
        <f t="shared" si="125"/>
        <v>dom</v>
      </c>
      <c r="K243" s="28">
        <v>0.66666666666666696</v>
      </c>
      <c r="L243" s="31"/>
      <c r="M243" s="31"/>
      <c r="N243" s="31"/>
      <c r="O243" s="32" t="str">
        <f t="shared" si="113"/>
        <v>❌ SIN COMPLETAR</v>
      </c>
      <c r="P243" s="17"/>
      <c r="Q243" s="29">
        <v>46019</v>
      </c>
      <c r="R243" s="30" t="str">
        <f t="shared" si="126"/>
        <v>dom</v>
      </c>
      <c r="S243" s="28">
        <v>0.66666666666666696</v>
      </c>
      <c r="T243" s="31"/>
      <c r="U243" s="31"/>
      <c r="V243" s="31"/>
      <c r="W243" s="40" t="str">
        <f t="shared" si="119"/>
        <v>❌ SIN COMPLETAR</v>
      </c>
      <c r="Y243" s="29">
        <v>46019</v>
      </c>
      <c r="Z243" s="30" t="str">
        <f t="shared" si="127"/>
        <v>dom</v>
      </c>
      <c r="AA243" s="28">
        <v>0.66666666666666696</v>
      </c>
      <c r="AB243" s="31"/>
      <c r="AC243" s="31"/>
      <c r="AD243" s="31"/>
      <c r="AE243" s="32" t="str">
        <f t="shared" si="114"/>
        <v>❌ SIN COMPLETAR</v>
      </c>
    </row>
    <row r="244" spans="1:31" x14ac:dyDescent="0.3">
      <c r="A244" s="29">
        <v>46019</v>
      </c>
      <c r="B244" s="30" t="str">
        <f t="shared" si="124"/>
        <v>dom</v>
      </c>
      <c r="C244" s="28">
        <v>0.70833333333333304</v>
      </c>
      <c r="D244" s="31"/>
      <c r="E244" s="31"/>
      <c r="F244" s="31"/>
      <c r="G244" s="32" t="str">
        <f>IF(COUNTIF(D244:F244,"?*")=$N$5,"✅ CUBIERTO",
IF(COUNTIF(D244:F244,"?*")&gt;$N$5,"⚠ EXCESO",IF(COUNTIF(D244:F244,"?*")&gt;0,"⚠ FALTANTE",
"❌ SIN COMPLETAR")))</f>
        <v>❌ SIN COMPLETAR</v>
      </c>
      <c r="H244" s="17"/>
      <c r="I244" s="29">
        <v>46019</v>
      </c>
      <c r="J244" s="30" t="str">
        <f t="shared" si="125"/>
        <v>dom</v>
      </c>
      <c r="K244" s="28">
        <v>0.70833333333333304</v>
      </c>
      <c r="L244" s="31"/>
      <c r="M244" s="31"/>
      <c r="N244" s="31"/>
      <c r="O244" s="32" t="str">
        <f t="shared" si="113"/>
        <v>❌ SIN COMPLETAR</v>
      </c>
      <c r="P244" s="17"/>
      <c r="Q244" s="29">
        <v>46019</v>
      </c>
      <c r="R244" s="30" t="str">
        <f t="shared" si="126"/>
        <v>dom</v>
      </c>
      <c r="S244" s="28">
        <v>0.70833333333333304</v>
      </c>
      <c r="T244" s="31"/>
      <c r="U244" s="31"/>
      <c r="V244" s="31"/>
      <c r="W244" s="40" t="str">
        <f t="shared" si="119"/>
        <v>❌ SIN COMPLETAR</v>
      </c>
      <c r="Y244" s="29">
        <v>46019</v>
      </c>
      <c r="Z244" s="30" t="str">
        <f t="shared" si="127"/>
        <v>dom</v>
      </c>
      <c r="AA244" s="28">
        <v>0.70833333333333304</v>
      </c>
      <c r="AB244" s="31"/>
      <c r="AC244" s="31"/>
      <c r="AD244" s="31"/>
      <c r="AE244" s="32" t="str">
        <f t="shared" si="114"/>
        <v>❌ SIN COMPLETAR</v>
      </c>
    </row>
    <row r="245" spans="1:31" x14ac:dyDescent="0.3">
      <c r="A245" s="29">
        <v>46019</v>
      </c>
      <c r="B245" s="30" t="str">
        <f t="shared" si="124"/>
        <v>dom</v>
      </c>
      <c r="C245" s="28">
        <v>0.75</v>
      </c>
      <c r="D245" s="31"/>
      <c r="E245" s="31"/>
      <c r="F245" s="31"/>
      <c r="G245" s="32" t="str">
        <f>IF(COUNTIF(D245:F245,"?*")=$N$5,"✅ CUBIERTO",
IF(COUNTIF(D245:F245,"?*")&gt;$N$5,"⚠ EXCESO",IF(COUNTIF(D245:F245,"?*")&gt;0,"⚠ FALTANTE",
"❌ SIN COMPLETAR")))</f>
        <v>❌ SIN COMPLETAR</v>
      </c>
      <c r="H245" s="17"/>
      <c r="I245" s="29">
        <v>46019</v>
      </c>
      <c r="J245" s="30" t="str">
        <f t="shared" si="125"/>
        <v>dom</v>
      </c>
      <c r="K245" s="28">
        <v>0.75</v>
      </c>
      <c r="L245" s="41"/>
      <c r="M245" s="41"/>
      <c r="N245" s="41"/>
      <c r="O245" s="32" t="str">
        <f t="shared" si="113"/>
        <v>❌ SIN COMPLETAR</v>
      </c>
      <c r="P245" s="17"/>
      <c r="Q245" s="29">
        <v>46019</v>
      </c>
      <c r="R245" s="30" t="str">
        <f t="shared" si="126"/>
        <v>dom</v>
      </c>
      <c r="S245" s="28">
        <v>0.75</v>
      </c>
      <c r="T245" s="31"/>
      <c r="U245" s="31"/>
      <c r="V245" s="31"/>
      <c r="W245" s="40" t="str">
        <f t="shared" si="119"/>
        <v>❌ SIN COMPLETAR</v>
      </c>
      <c r="Y245" s="29">
        <v>46019</v>
      </c>
      <c r="Z245" s="30" t="str">
        <f t="shared" si="127"/>
        <v>dom</v>
      </c>
      <c r="AA245" s="28">
        <v>0.75</v>
      </c>
      <c r="AB245" s="41"/>
      <c r="AC245" s="41"/>
      <c r="AD245" s="41"/>
      <c r="AE245" s="32" t="str">
        <f t="shared" si="114"/>
        <v>❌ SIN COMPLETAR</v>
      </c>
    </row>
    <row r="246" spans="1:31" x14ac:dyDescent="0.3">
      <c r="A246" s="29">
        <v>46020</v>
      </c>
      <c r="B246" s="30" t="str">
        <f>TEXT(A246,"ddd")</f>
        <v>lun</v>
      </c>
      <c r="C246" s="28">
        <v>0.45833333333333331</v>
      </c>
      <c r="D246" s="31"/>
      <c r="E246" s="31"/>
      <c r="F246" s="31"/>
      <c r="G246" s="32" t="str">
        <f>IF(COUNTIF(D246:F246,"?*")=$N$5,"✅ CUBIERTO",
IF(COUNTIF(D246:F246,"?*")&gt;$N$5,"⚠ EXCESO",IF(COUNTIF(D246:F246,"?*")&gt;0,"⚠ FALTANTE",
"❌ SIN COMPLETAR")))</f>
        <v>❌ SIN COMPLETAR</v>
      </c>
      <c r="H246" s="17"/>
      <c r="I246" s="29">
        <v>46020</v>
      </c>
      <c r="J246" s="30" t="str">
        <f>TEXT(I246,"ddd")</f>
        <v>lun</v>
      </c>
      <c r="K246" s="28">
        <v>0.45833333333333331</v>
      </c>
      <c r="L246" s="41"/>
      <c r="M246" s="41"/>
      <c r="N246" s="41"/>
      <c r="O246" s="32" t="str">
        <f t="shared" si="113"/>
        <v>❌ SIN COMPLETAR</v>
      </c>
      <c r="P246" s="17"/>
      <c r="Q246" s="29">
        <v>46020</v>
      </c>
      <c r="R246" s="30" t="str">
        <f>TEXT(Q246,"ddd")</f>
        <v>lun</v>
      </c>
      <c r="S246" s="28">
        <v>0.45833333333333331</v>
      </c>
      <c r="T246" s="31"/>
      <c r="U246" s="31"/>
      <c r="V246" s="31"/>
      <c r="W246" s="40" t="s">
        <v>16</v>
      </c>
      <c r="Y246" s="29">
        <v>46020</v>
      </c>
      <c r="Z246" s="30" t="str">
        <f>TEXT(Y246,"ddd")</f>
        <v>lun</v>
      </c>
      <c r="AA246" s="28">
        <v>0.45833333333333331</v>
      </c>
      <c r="AB246" s="41"/>
      <c r="AC246" s="41"/>
      <c r="AD246" s="41"/>
      <c r="AE246" s="32" t="str">
        <f t="shared" si="114"/>
        <v>❌ SIN COMPLETAR</v>
      </c>
    </row>
    <row r="247" spans="1:31" x14ac:dyDescent="0.3">
      <c r="A247" s="29">
        <v>46020</v>
      </c>
      <c r="B247" s="30" t="str">
        <f t="shared" ref="B247:B253" si="128">TEXT(A247,"ddd")</f>
        <v>lun</v>
      </c>
      <c r="C247" s="28">
        <v>0.5</v>
      </c>
      <c r="D247" s="31"/>
      <c r="E247" s="31"/>
      <c r="F247" s="31"/>
      <c r="G247" s="32" t="str">
        <f>IF(COUNTIF(D247:F247,"?*")=$N$5,"✅ CUBIERTO",
IF(COUNTIF(D247:F247,"?*")&gt;$N$5,"⚠ EXCESO",IF(COUNTIF(D247:F247,"?*")&gt;0,"⚠ FALTANTE",
"❌ SIN COMPLETAR")))</f>
        <v>❌ SIN COMPLETAR</v>
      </c>
      <c r="H247" s="17"/>
      <c r="I247" s="29">
        <v>46020</v>
      </c>
      <c r="J247" s="30" t="str">
        <f t="shared" ref="J247:J253" si="129">TEXT(I247,"ddd")</f>
        <v>lun</v>
      </c>
      <c r="K247" s="28">
        <v>0.5</v>
      </c>
      <c r="L247" s="41"/>
      <c r="M247" s="41"/>
      <c r="N247" s="41"/>
      <c r="O247" s="32" t="str">
        <f t="shared" si="113"/>
        <v>❌ SIN COMPLETAR</v>
      </c>
      <c r="P247" s="17"/>
      <c r="Q247" s="29">
        <v>46020</v>
      </c>
      <c r="R247" s="30" t="str">
        <f t="shared" ref="R247:R253" si="130">TEXT(Q247,"ddd")</f>
        <v>lun</v>
      </c>
      <c r="S247" s="28">
        <v>0.5</v>
      </c>
      <c r="T247" s="31"/>
      <c r="U247" s="31"/>
      <c r="V247" s="31"/>
      <c r="W247" s="40" t="str">
        <f t="shared" si="119"/>
        <v>❌ SIN COMPLETAR</v>
      </c>
      <c r="Y247" s="29">
        <v>46020</v>
      </c>
      <c r="Z247" s="30" t="str">
        <f t="shared" ref="Z247:Z253" si="131">TEXT(Y247,"ddd")</f>
        <v>lun</v>
      </c>
      <c r="AA247" s="28">
        <v>0.5</v>
      </c>
      <c r="AB247" s="41"/>
      <c r="AC247" s="41"/>
      <c r="AD247" s="41"/>
      <c r="AE247" s="32" t="str">
        <f t="shared" si="114"/>
        <v>❌ SIN COMPLETAR</v>
      </c>
    </row>
    <row r="248" spans="1:31" x14ac:dyDescent="0.3">
      <c r="A248" s="29">
        <v>46020</v>
      </c>
      <c r="B248" s="30" t="str">
        <f t="shared" si="128"/>
        <v>lun</v>
      </c>
      <c r="C248" s="28">
        <v>0.54166666666666696</v>
      </c>
      <c r="D248" s="31"/>
      <c r="E248" s="31"/>
      <c r="F248" s="31"/>
      <c r="G248" s="32" t="str">
        <f>IF(COUNTIF(D248:F248,"?*")=$N$5,"✅ CUBIERTO",
IF(COUNTIF(D248:F248,"?*")&gt;$N$5,"⚠ EXCESO",IF(COUNTIF(D248:F248,"?*")&gt;0,"⚠ FALTANTE",
"❌ SIN COMPLETAR")))</f>
        <v>❌ SIN COMPLETAR</v>
      </c>
      <c r="H248" s="17"/>
      <c r="I248" s="29">
        <v>46020</v>
      </c>
      <c r="J248" s="30" t="str">
        <f t="shared" si="129"/>
        <v>lun</v>
      </c>
      <c r="K248" s="28">
        <v>0.54166666666666696</v>
      </c>
      <c r="L248" s="41"/>
      <c r="M248" s="41"/>
      <c r="N248" s="41"/>
      <c r="O248" s="32" t="str">
        <f t="shared" si="113"/>
        <v>❌ SIN COMPLETAR</v>
      </c>
      <c r="P248" s="17"/>
      <c r="Q248" s="29">
        <v>46020</v>
      </c>
      <c r="R248" s="30" t="str">
        <f t="shared" si="130"/>
        <v>lun</v>
      </c>
      <c r="S248" s="28">
        <v>0.54166666666666696</v>
      </c>
      <c r="T248" s="31"/>
      <c r="U248" s="31"/>
      <c r="V248" s="31"/>
      <c r="W248" s="40" t="str">
        <f t="shared" si="119"/>
        <v>❌ SIN COMPLETAR</v>
      </c>
      <c r="Y248" s="29">
        <v>46020</v>
      </c>
      <c r="Z248" s="30" t="str">
        <f t="shared" si="131"/>
        <v>lun</v>
      </c>
      <c r="AA248" s="28">
        <v>0.54166666666666696</v>
      </c>
      <c r="AB248" s="41"/>
      <c r="AC248" s="41"/>
      <c r="AD248" s="41"/>
      <c r="AE248" s="32" t="str">
        <f t="shared" si="114"/>
        <v>❌ SIN COMPLETAR</v>
      </c>
    </row>
    <row r="249" spans="1:31" x14ac:dyDescent="0.3">
      <c r="A249" s="29">
        <v>46020</v>
      </c>
      <c r="B249" s="30" t="str">
        <f t="shared" si="128"/>
        <v>lun</v>
      </c>
      <c r="C249" s="28">
        <v>0.58333333333333304</v>
      </c>
      <c r="D249" s="31"/>
      <c r="E249" s="31"/>
      <c r="F249" s="31"/>
      <c r="G249" s="32" t="str">
        <f>IF(COUNTIF(D249:F249,"?*")=$N$5,"✅ CUBIERTO",
IF(COUNTIF(D249:F249,"?*")&gt;$N$5,"⚠ EXCESO",IF(COUNTIF(D249:F249,"?*")&gt;0,"⚠ FALTANTE",
"❌ SIN COMPLETAR")))</f>
        <v>❌ SIN COMPLETAR</v>
      </c>
      <c r="H249" s="17"/>
      <c r="I249" s="29">
        <v>46020</v>
      </c>
      <c r="J249" s="30" t="str">
        <f t="shared" si="129"/>
        <v>lun</v>
      </c>
      <c r="K249" s="28">
        <v>0.58333333333333304</v>
      </c>
      <c r="L249" s="41"/>
      <c r="M249" s="41"/>
      <c r="N249" s="41"/>
      <c r="O249" s="32" t="str">
        <f t="shared" si="113"/>
        <v>❌ SIN COMPLETAR</v>
      </c>
      <c r="P249" s="17"/>
      <c r="Q249" s="29">
        <v>46020</v>
      </c>
      <c r="R249" s="30" t="str">
        <f t="shared" si="130"/>
        <v>lun</v>
      </c>
      <c r="S249" s="28">
        <v>0.58333333333333304</v>
      </c>
      <c r="T249" s="31"/>
      <c r="U249" s="31"/>
      <c r="V249" s="31"/>
      <c r="W249" s="40" t="str">
        <f t="shared" si="119"/>
        <v>❌ SIN COMPLETAR</v>
      </c>
      <c r="Y249" s="29">
        <v>46020</v>
      </c>
      <c r="Z249" s="30" t="str">
        <f t="shared" si="131"/>
        <v>lun</v>
      </c>
      <c r="AA249" s="28">
        <v>0.58333333333333304</v>
      </c>
      <c r="AB249" s="41"/>
      <c r="AC249" s="41"/>
      <c r="AD249" s="41"/>
      <c r="AE249" s="32" t="str">
        <f t="shared" si="114"/>
        <v>❌ SIN COMPLETAR</v>
      </c>
    </row>
    <row r="250" spans="1:31" x14ac:dyDescent="0.3">
      <c r="A250" s="29">
        <v>46020</v>
      </c>
      <c r="B250" s="30" t="str">
        <f t="shared" si="128"/>
        <v>lun</v>
      </c>
      <c r="C250" s="28">
        <v>0.625</v>
      </c>
      <c r="D250" s="31"/>
      <c r="E250" s="31"/>
      <c r="F250" s="31"/>
      <c r="G250" s="32" t="str">
        <f>IF(COUNTIF(D250:F250,"?*")=$N$5,"✅ CUBIERTO",
IF(COUNTIF(D250:F250,"?*")&gt;$N$5,"⚠ EXCESO",IF(COUNTIF(D250:F250,"?*")&gt;0,"⚠ FALTANTE",
"❌ SIN COMPLETAR")))</f>
        <v>❌ SIN COMPLETAR</v>
      </c>
      <c r="H250" s="17"/>
      <c r="I250" s="29">
        <v>46020</v>
      </c>
      <c r="J250" s="30" t="str">
        <f t="shared" si="129"/>
        <v>lun</v>
      </c>
      <c r="K250" s="28">
        <v>0.625</v>
      </c>
      <c r="L250" s="41"/>
      <c r="M250" s="41"/>
      <c r="N250" s="41"/>
      <c r="O250" s="32" t="str">
        <f t="shared" si="113"/>
        <v>❌ SIN COMPLETAR</v>
      </c>
      <c r="P250" s="17"/>
      <c r="Q250" s="29">
        <v>46020</v>
      </c>
      <c r="R250" s="30" t="str">
        <f t="shared" si="130"/>
        <v>lun</v>
      </c>
      <c r="S250" s="28">
        <v>0.625</v>
      </c>
      <c r="T250" s="31"/>
      <c r="U250" s="31"/>
      <c r="V250" s="31"/>
      <c r="W250" s="40" t="str">
        <f t="shared" si="119"/>
        <v>❌ SIN COMPLETAR</v>
      </c>
      <c r="Y250" s="29">
        <v>46020</v>
      </c>
      <c r="Z250" s="30" t="str">
        <f t="shared" si="131"/>
        <v>lun</v>
      </c>
      <c r="AA250" s="28">
        <v>0.625</v>
      </c>
      <c r="AB250" s="41"/>
      <c r="AC250" s="41"/>
      <c r="AD250" s="41"/>
      <c r="AE250" s="32" t="str">
        <f t="shared" si="114"/>
        <v>❌ SIN COMPLETAR</v>
      </c>
    </row>
    <row r="251" spans="1:31" x14ac:dyDescent="0.3">
      <c r="A251" s="29">
        <v>46020</v>
      </c>
      <c r="B251" s="30" t="str">
        <f t="shared" si="128"/>
        <v>lun</v>
      </c>
      <c r="C251" s="28">
        <v>0.66666666666666696</v>
      </c>
      <c r="D251" s="31"/>
      <c r="E251" s="31"/>
      <c r="F251" s="31"/>
      <c r="G251" s="32" t="str">
        <f>IF(COUNTIF(D251:F251,"?*")=$N$5,"✅ CUBIERTO",
IF(COUNTIF(D251:F251,"?*")&gt;$N$5,"⚠ EXCESO",IF(COUNTIF(D251:F251,"?*")&gt;0,"⚠ FALTANTE",
"❌ SIN COMPLETAR")))</f>
        <v>❌ SIN COMPLETAR</v>
      </c>
      <c r="H251" s="17"/>
      <c r="I251" s="29">
        <v>46020</v>
      </c>
      <c r="J251" s="30" t="str">
        <f t="shared" si="129"/>
        <v>lun</v>
      </c>
      <c r="K251" s="28">
        <v>0.66666666666666696</v>
      </c>
      <c r="L251" s="41"/>
      <c r="M251" s="41"/>
      <c r="N251" s="41"/>
      <c r="O251" s="32" t="str">
        <f t="shared" si="113"/>
        <v>❌ SIN COMPLETAR</v>
      </c>
      <c r="P251" s="17"/>
      <c r="Q251" s="29">
        <v>46020</v>
      </c>
      <c r="R251" s="30" t="str">
        <f t="shared" si="130"/>
        <v>lun</v>
      </c>
      <c r="S251" s="28">
        <v>0.66666666666666696</v>
      </c>
      <c r="T251" s="31"/>
      <c r="U251" s="31"/>
      <c r="V251" s="31"/>
      <c r="W251" s="40" t="str">
        <f t="shared" si="119"/>
        <v>❌ SIN COMPLETAR</v>
      </c>
      <c r="Y251" s="29">
        <v>46020</v>
      </c>
      <c r="Z251" s="30" t="str">
        <f t="shared" si="131"/>
        <v>lun</v>
      </c>
      <c r="AA251" s="28">
        <v>0.66666666666666696</v>
      </c>
      <c r="AB251" s="41"/>
      <c r="AC251" s="41"/>
      <c r="AD251" s="41"/>
      <c r="AE251" s="32" t="str">
        <f t="shared" si="114"/>
        <v>❌ SIN COMPLETAR</v>
      </c>
    </row>
    <row r="252" spans="1:31" x14ac:dyDescent="0.3">
      <c r="A252" s="29">
        <v>46020</v>
      </c>
      <c r="B252" s="30" t="str">
        <f t="shared" si="128"/>
        <v>lun</v>
      </c>
      <c r="C252" s="28">
        <v>0.70833333333333304</v>
      </c>
      <c r="D252" s="31"/>
      <c r="E252" s="31"/>
      <c r="F252" s="31"/>
      <c r="G252" s="32" t="str">
        <f>IF(COUNTIF(D252:F252,"?*")=$N$5,"✅ CUBIERTO",
IF(COUNTIF(D252:F252,"?*")&gt;$N$5,"⚠ EXCESO",IF(COUNTIF(D252:F252,"?*")&gt;0,"⚠ FALTANTE",
"❌ SIN COMPLETAR")))</f>
        <v>❌ SIN COMPLETAR</v>
      </c>
      <c r="H252" s="17"/>
      <c r="I252" s="29">
        <v>46020</v>
      </c>
      <c r="J252" s="30" t="str">
        <f t="shared" si="129"/>
        <v>lun</v>
      </c>
      <c r="K252" s="28">
        <v>0.70833333333333304</v>
      </c>
      <c r="L252" s="41"/>
      <c r="M252" s="41"/>
      <c r="N252" s="41"/>
      <c r="O252" s="32" t="str">
        <f t="shared" si="113"/>
        <v>❌ SIN COMPLETAR</v>
      </c>
      <c r="P252" s="17"/>
      <c r="Q252" s="29">
        <v>46020</v>
      </c>
      <c r="R252" s="30" t="str">
        <f t="shared" si="130"/>
        <v>lun</v>
      </c>
      <c r="S252" s="28">
        <v>0.70833333333333304</v>
      </c>
      <c r="T252" s="31"/>
      <c r="U252" s="31"/>
      <c r="V252" s="31"/>
      <c r="W252" s="40" t="str">
        <f t="shared" si="119"/>
        <v>❌ SIN COMPLETAR</v>
      </c>
      <c r="Y252" s="29">
        <v>46020</v>
      </c>
      <c r="Z252" s="30" t="str">
        <f t="shared" si="131"/>
        <v>lun</v>
      </c>
      <c r="AA252" s="28">
        <v>0.70833333333333304</v>
      </c>
      <c r="AB252" s="41"/>
      <c r="AC252" s="41"/>
      <c r="AD252" s="41"/>
      <c r="AE252" s="32" t="str">
        <f t="shared" si="114"/>
        <v>❌ SIN COMPLETAR</v>
      </c>
    </row>
    <row r="253" spans="1:31" x14ac:dyDescent="0.3">
      <c r="A253" s="29">
        <v>46020</v>
      </c>
      <c r="B253" s="30" t="str">
        <f t="shared" si="128"/>
        <v>lun</v>
      </c>
      <c r="C253" s="28">
        <v>0.75</v>
      </c>
      <c r="D253" s="31"/>
      <c r="E253" s="31"/>
      <c r="F253" s="31"/>
      <c r="G253" s="32" t="str">
        <f>IF(COUNTIF(D253:F253,"?*")=$N$5,"✅ CUBIERTO",
IF(COUNTIF(D253:F253,"?*")&gt;$N$5,"⚠ EXCESO",IF(COUNTIF(D253:F253,"?*")&gt;0,"⚠ FALTANTE",
"❌ SIN COMPLETAR")))</f>
        <v>❌ SIN COMPLETAR</v>
      </c>
      <c r="H253" s="17"/>
      <c r="I253" s="29">
        <v>46020</v>
      </c>
      <c r="J253" s="30" t="str">
        <f t="shared" si="129"/>
        <v>lun</v>
      </c>
      <c r="K253" s="28">
        <v>0.75</v>
      </c>
      <c r="L253" s="41"/>
      <c r="M253" s="41"/>
      <c r="N253" s="41"/>
      <c r="O253" s="32" t="str">
        <f t="shared" si="113"/>
        <v>❌ SIN COMPLETAR</v>
      </c>
      <c r="P253" s="17"/>
      <c r="Q253" s="29">
        <v>46020</v>
      </c>
      <c r="R253" s="30" t="str">
        <f t="shared" si="130"/>
        <v>lun</v>
      </c>
      <c r="S253" s="28">
        <v>0.75</v>
      </c>
      <c r="T253" s="31"/>
      <c r="U253" s="31"/>
      <c r="V253" s="31"/>
      <c r="W253" s="40" t="s">
        <v>16</v>
      </c>
      <c r="Y253" s="29">
        <v>46020</v>
      </c>
      <c r="Z253" s="30" t="str">
        <f t="shared" si="131"/>
        <v>lun</v>
      </c>
      <c r="AA253" s="28">
        <v>0.75</v>
      </c>
      <c r="AB253" s="41"/>
      <c r="AC253" s="41"/>
      <c r="AD253" s="41"/>
      <c r="AE253" s="32" t="str">
        <f t="shared" si="114"/>
        <v>❌ SIN COMPLETAR</v>
      </c>
    </row>
    <row r="254" spans="1:31" x14ac:dyDescent="0.3">
      <c r="A254" s="29">
        <v>46021</v>
      </c>
      <c r="B254" s="30" t="str">
        <f>TEXT(A254,"ddd")</f>
        <v>mar</v>
      </c>
      <c r="C254" s="28">
        <v>0.45833333333333331</v>
      </c>
      <c r="D254" s="31"/>
      <c r="E254" s="31"/>
      <c r="F254" s="31"/>
      <c r="G254" s="32" t="str">
        <f>IF(COUNTIF(D254:F254,"?*")=$N$5,"✅ CUBIERTO",
IF(COUNTIF(D254:F254,"?*")&gt;$N$5,"⚠ EXCESO",IF(COUNTIF(D254:F254,"?*")&gt;0,"⚠ FALTANTE",
"❌ SIN COMPLETAR")))</f>
        <v>❌ SIN COMPLETAR</v>
      </c>
      <c r="H254" s="17"/>
      <c r="I254" s="29">
        <v>46021</v>
      </c>
      <c r="J254" s="30" t="str">
        <f>TEXT(I254,"ddd")</f>
        <v>mar</v>
      </c>
      <c r="K254" s="28">
        <v>0.45833333333333331</v>
      </c>
      <c r="L254" s="41"/>
      <c r="M254" s="41"/>
      <c r="N254" s="41"/>
      <c r="O254" s="32" t="str">
        <f t="shared" si="113"/>
        <v>❌ SIN COMPLETAR</v>
      </c>
      <c r="P254" s="17"/>
      <c r="Q254" s="29">
        <v>46021</v>
      </c>
      <c r="R254" s="30" t="str">
        <f>TEXT(Q254,"ddd")</f>
        <v>mar</v>
      </c>
      <c r="S254" s="28">
        <v>0.45833333333333331</v>
      </c>
      <c r="T254" s="31"/>
      <c r="U254" s="31"/>
      <c r="V254" s="31"/>
      <c r="W254" s="40" t="s">
        <v>16</v>
      </c>
      <c r="Y254" s="29">
        <v>46021</v>
      </c>
      <c r="Z254" s="30" t="str">
        <f>TEXT(Y254,"ddd")</f>
        <v>mar</v>
      </c>
      <c r="AA254" s="28">
        <v>0.45833333333333331</v>
      </c>
      <c r="AB254" s="41"/>
      <c r="AC254" s="41"/>
      <c r="AD254" s="41"/>
      <c r="AE254" s="32" t="str">
        <f t="shared" si="114"/>
        <v>❌ SIN COMPLETAR</v>
      </c>
    </row>
    <row r="255" spans="1:31" x14ac:dyDescent="0.3">
      <c r="A255" s="29">
        <v>46021</v>
      </c>
      <c r="B255" s="30" t="str">
        <f t="shared" ref="B255:B261" si="132">TEXT(A255,"ddd")</f>
        <v>mar</v>
      </c>
      <c r="C255" s="28">
        <v>0.5</v>
      </c>
      <c r="D255" s="31"/>
      <c r="E255" s="31"/>
      <c r="F255" s="31"/>
      <c r="G255" s="32" t="str">
        <f>IF(COUNTIF(D255:F255,"?*")=$N$5,"✅ CUBIERTO",
IF(COUNTIF(D255:F255,"?*")&gt;$N$5,"⚠ EXCESO",IF(COUNTIF(D255:F255,"?*")&gt;0,"⚠ FALTANTE",
"❌ SIN COMPLETAR")))</f>
        <v>❌ SIN COMPLETAR</v>
      </c>
      <c r="H255" s="17"/>
      <c r="I255" s="29">
        <v>46021</v>
      </c>
      <c r="J255" s="30" t="str">
        <f t="shared" ref="J255:J261" si="133">TEXT(I255,"ddd")</f>
        <v>mar</v>
      </c>
      <c r="K255" s="28">
        <v>0.5</v>
      </c>
      <c r="L255" s="41"/>
      <c r="M255" s="41"/>
      <c r="N255" s="41"/>
      <c r="O255" s="32" t="str">
        <f t="shared" si="113"/>
        <v>❌ SIN COMPLETAR</v>
      </c>
      <c r="P255" s="17"/>
      <c r="Q255" s="29">
        <v>46021</v>
      </c>
      <c r="R255" s="30" t="str">
        <f t="shared" ref="R255:R261" si="134">TEXT(Q255,"ddd")</f>
        <v>mar</v>
      </c>
      <c r="S255" s="28">
        <v>0.5</v>
      </c>
      <c r="T255" s="31"/>
      <c r="U255" s="31"/>
      <c r="V255" s="31"/>
      <c r="W255" s="40" t="str">
        <f t="shared" si="119"/>
        <v>❌ SIN COMPLETAR</v>
      </c>
      <c r="Y255" s="29">
        <v>46021</v>
      </c>
      <c r="Z255" s="30" t="str">
        <f t="shared" ref="Z255:Z261" si="135">TEXT(Y255,"ddd")</f>
        <v>mar</v>
      </c>
      <c r="AA255" s="28">
        <v>0.5</v>
      </c>
      <c r="AB255" s="41"/>
      <c r="AC255" s="41"/>
      <c r="AD255" s="41"/>
      <c r="AE255" s="32" t="str">
        <f t="shared" si="114"/>
        <v>❌ SIN COMPLETAR</v>
      </c>
    </row>
    <row r="256" spans="1:31" x14ac:dyDescent="0.3">
      <c r="A256" s="29">
        <v>46021</v>
      </c>
      <c r="B256" s="30" t="str">
        <f t="shared" si="132"/>
        <v>mar</v>
      </c>
      <c r="C256" s="28">
        <v>0.54166666666666696</v>
      </c>
      <c r="D256" s="31"/>
      <c r="E256" s="31"/>
      <c r="F256" s="31"/>
      <c r="G256" s="32" t="str">
        <f>IF(COUNTIF(D256:F256,"?*")=$N$5,"✅ CUBIERTO",
IF(COUNTIF(D256:F256,"?*")&gt;$N$5,"⚠ EXCESO",IF(COUNTIF(D256:F256,"?*")&gt;0,"⚠ FALTANTE",
"❌ SIN COMPLETAR")))</f>
        <v>❌ SIN COMPLETAR</v>
      </c>
      <c r="H256" s="17"/>
      <c r="I256" s="29">
        <v>46021</v>
      </c>
      <c r="J256" s="30" t="str">
        <f t="shared" si="133"/>
        <v>mar</v>
      </c>
      <c r="K256" s="28">
        <v>0.54166666666666696</v>
      </c>
      <c r="L256" s="41"/>
      <c r="M256" s="41"/>
      <c r="N256" s="41"/>
      <c r="O256" s="32" t="str">
        <f t="shared" si="113"/>
        <v>❌ SIN COMPLETAR</v>
      </c>
      <c r="P256" s="17"/>
      <c r="Q256" s="29">
        <v>46021</v>
      </c>
      <c r="R256" s="30" t="str">
        <f t="shared" si="134"/>
        <v>mar</v>
      </c>
      <c r="S256" s="28">
        <v>0.54166666666666696</v>
      </c>
      <c r="T256" s="31"/>
      <c r="U256" s="31"/>
      <c r="V256" s="31"/>
      <c r="W256" s="40" t="str">
        <f t="shared" si="119"/>
        <v>❌ SIN COMPLETAR</v>
      </c>
      <c r="Y256" s="29">
        <v>46021</v>
      </c>
      <c r="Z256" s="30" t="str">
        <f t="shared" si="135"/>
        <v>mar</v>
      </c>
      <c r="AA256" s="28">
        <v>0.54166666666666696</v>
      </c>
      <c r="AB256" s="41"/>
      <c r="AC256" s="41"/>
      <c r="AD256" s="41"/>
      <c r="AE256" s="32" t="str">
        <f t="shared" si="114"/>
        <v>❌ SIN COMPLETAR</v>
      </c>
    </row>
    <row r="257" spans="1:31" x14ac:dyDescent="0.3">
      <c r="A257" s="29">
        <v>46021</v>
      </c>
      <c r="B257" s="30" t="str">
        <f t="shared" si="132"/>
        <v>mar</v>
      </c>
      <c r="C257" s="28">
        <v>0.58333333333333304</v>
      </c>
      <c r="D257" s="31"/>
      <c r="E257" s="31"/>
      <c r="F257" s="31"/>
      <c r="G257" s="32" t="str">
        <f>IF(COUNTIF(D257:F257,"?*")=$N$5,"✅ CUBIERTO",
IF(COUNTIF(D257:F257,"?*")&gt;$N$5,"⚠ EXCESO",IF(COUNTIF(D257:F257,"?*")&gt;0,"⚠ FALTANTE",
"❌ SIN COMPLETAR")))</f>
        <v>❌ SIN COMPLETAR</v>
      </c>
      <c r="H257" s="17"/>
      <c r="I257" s="29">
        <v>46021</v>
      </c>
      <c r="J257" s="30" t="str">
        <f t="shared" si="133"/>
        <v>mar</v>
      </c>
      <c r="K257" s="28">
        <v>0.58333333333333304</v>
      </c>
      <c r="L257" s="41"/>
      <c r="M257" s="41"/>
      <c r="N257" s="41"/>
      <c r="O257" s="32" t="str">
        <f t="shared" si="113"/>
        <v>❌ SIN COMPLETAR</v>
      </c>
      <c r="P257" s="17"/>
      <c r="Q257" s="29">
        <v>46021</v>
      </c>
      <c r="R257" s="30" t="str">
        <f t="shared" si="134"/>
        <v>mar</v>
      </c>
      <c r="S257" s="28">
        <v>0.58333333333333304</v>
      </c>
      <c r="T257" s="31"/>
      <c r="U257" s="31"/>
      <c r="V257" s="31"/>
      <c r="W257" s="40" t="str">
        <f t="shared" si="119"/>
        <v>❌ SIN COMPLETAR</v>
      </c>
      <c r="Y257" s="29">
        <v>46021</v>
      </c>
      <c r="Z257" s="30" t="str">
        <f t="shared" si="135"/>
        <v>mar</v>
      </c>
      <c r="AA257" s="28">
        <v>0.58333333333333304</v>
      </c>
      <c r="AB257" s="41"/>
      <c r="AC257" s="41"/>
      <c r="AD257" s="41"/>
      <c r="AE257" s="32" t="str">
        <f t="shared" si="114"/>
        <v>❌ SIN COMPLETAR</v>
      </c>
    </row>
    <row r="258" spans="1:31" x14ac:dyDescent="0.3">
      <c r="A258" s="29">
        <v>46021</v>
      </c>
      <c r="B258" s="30" t="str">
        <f t="shared" si="132"/>
        <v>mar</v>
      </c>
      <c r="C258" s="28">
        <v>0.625</v>
      </c>
      <c r="D258" s="31"/>
      <c r="E258" s="31"/>
      <c r="F258" s="31"/>
      <c r="G258" s="32" t="str">
        <f>IF(COUNTIF(D258:F258,"?*")=$N$5,"✅ CUBIERTO",
IF(COUNTIF(D258:F258,"?*")&gt;$N$5,"⚠ EXCESO",IF(COUNTIF(D258:F258,"?*")&gt;0,"⚠ FALTANTE",
"❌ SIN COMPLETAR")))</f>
        <v>❌ SIN COMPLETAR</v>
      </c>
      <c r="H258" s="17"/>
      <c r="I258" s="29">
        <v>46021</v>
      </c>
      <c r="J258" s="30" t="str">
        <f t="shared" si="133"/>
        <v>mar</v>
      </c>
      <c r="K258" s="28">
        <v>0.625</v>
      </c>
      <c r="L258" s="41"/>
      <c r="M258" s="41"/>
      <c r="N258" s="41"/>
      <c r="O258" s="32" t="str">
        <f t="shared" si="113"/>
        <v>❌ SIN COMPLETAR</v>
      </c>
      <c r="P258" s="17"/>
      <c r="Q258" s="29">
        <v>46021</v>
      </c>
      <c r="R258" s="30" t="str">
        <f t="shared" si="134"/>
        <v>mar</v>
      </c>
      <c r="S258" s="28">
        <v>0.625</v>
      </c>
      <c r="T258" s="31"/>
      <c r="U258" s="31"/>
      <c r="V258" s="31"/>
      <c r="W258" s="40" t="str">
        <f t="shared" si="119"/>
        <v>❌ SIN COMPLETAR</v>
      </c>
      <c r="Y258" s="29">
        <v>46021</v>
      </c>
      <c r="Z258" s="30" t="str">
        <f t="shared" si="135"/>
        <v>mar</v>
      </c>
      <c r="AA258" s="28">
        <v>0.625</v>
      </c>
      <c r="AB258" s="41"/>
      <c r="AC258" s="41"/>
      <c r="AD258" s="41"/>
      <c r="AE258" s="32" t="str">
        <f t="shared" si="114"/>
        <v>❌ SIN COMPLETAR</v>
      </c>
    </row>
    <row r="259" spans="1:31" x14ac:dyDescent="0.3">
      <c r="A259" s="29">
        <v>46021</v>
      </c>
      <c r="B259" s="30" t="str">
        <f t="shared" si="132"/>
        <v>mar</v>
      </c>
      <c r="C259" s="28">
        <v>0.66666666666666696</v>
      </c>
      <c r="D259" s="31"/>
      <c r="E259" s="31"/>
      <c r="F259" s="31"/>
      <c r="G259" s="32" t="str">
        <f>IF(COUNTIF(D259:F259,"?*")=$N$5,"✅ CUBIERTO",
IF(COUNTIF(D259:F259,"?*")&gt;$N$5,"⚠ EXCESO",IF(COUNTIF(D259:F259,"?*")&gt;0,"⚠ FALTANTE",
"❌ SIN COMPLETAR")))</f>
        <v>❌ SIN COMPLETAR</v>
      </c>
      <c r="H259" s="17"/>
      <c r="I259" s="29">
        <v>46021</v>
      </c>
      <c r="J259" s="30" t="str">
        <f t="shared" si="133"/>
        <v>mar</v>
      </c>
      <c r="K259" s="28">
        <v>0.66666666666666696</v>
      </c>
      <c r="L259" s="41"/>
      <c r="M259" s="41"/>
      <c r="N259" s="41"/>
      <c r="O259" s="32" t="str">
        <f t="shared" si="113"/>
        <v>❌ SIN COMPLETAR</v>
      </c>
      <c r="P259" s="17"/>
      <c r="Q259" s="29">
        <v>46021</v>
      </c>
      <c r="R259" s="30" t="str">
        <f t="shared" si="134"/>
        <v>mar</v>
      </c>
      <c r="S259" s="28">
        <v>0.66666666666666696</v>
      </c>
      <c r="T259" s="31"/>
      <c r="U259" s="31"/>
      <c r="V259" s="31"/>
      <c r="W259" s="40" t="str">
        <f t="shared" si="119"/>
        <v>❌ SIN COMPLETAR</v>
      </c>
      <c r="Y259" s="29">
        <v>46021</v>
      </c>
      <c r="Z259" s="30" t="str">
        <f t="shared" si="135"/>
        <v>mar</v>
      </c>
      <c r="AA259" s="28">
        <v>0.66666666666666696</v>
      </c>
      <c r="AB259" s="41"/>
      <c r="AC259" s="41"/>
      <c r="AD259" s="41"/>
      <c r="AE259" s="32" t="str">
        <f t="shared" si="114"/>
        <v>❌ SIN COMPLETAR</v>
      </c>
    </row>
    <row r="260" spans="1:31" x14ac:dyDescent="0.3">
      <c r="A260" s="29">
        <v>46021</v>
      </c>
      <c r="B260" s="30" t="str">
        <f t="shared" si="132"/>
        <v>mar</v>
      </c>
      <c r="C260" s="28">
        <v>0.70833333333333304</v>
      </c>
      <c r="D260" s="31"/>
      <c r="E260" s="31"/>
      <c r="F260" s="31"/>
      <c r="G260" s="32" t="str">
        <f>IF(COUNTIF(D260:F260,"?*")=$N$5,"✅ CUBIERTO",
IF(COUNTIF(D260:F260,"?*")&gt;$N$5,"⚠ EXCESO",IF(COUNTIF(D260:F260,"?*")&gt;0,"⚠ FALTANTE",
"❌ SIN COMPLETAR")))</f>
        <v>❌ SIN COMPLETAR</v>
      </c>
      <c r="H260" s="17"/>
      <c r="I260" s="29">
        <v>46021</v>
      </c>
      <c r="J260" s="30" t="str">
        <f t="shared" si="133"/>
        <v>mar</v>
      </c>
      <c r="K260" s="28">
        <v>0.70833333333333304</v>
      </c>
      <c r="L260" s="41"/>
      <c r="M260" s="41"/>
      <c r="N260" s="41"/>
      <c r="O260" s="32" t="str">
        <f t="shared" si="113"/>
        <v>❌ SIN COMPLETAR</v>
      </c>
      <c r="P260" s="17"/>
      <c r="Q260" s="29">
        <v>46021</v>
      </c>
      <c r="R260" s="30" t="str">
        <f t="shared" si="134"/>
        <v>mar</v>
      </c>
      <c r="S260" s="28">
        <v>0.70833333333333304</v>
      </c>
      <c r="T260" s="31"/>
      <c r="U260" s="31"/>
      <c r="V260" s="31"/>
      <c r="W260" s="40" t="str">
        <f t="shared" si="119"/>
        <v>❌ SIN COMPLETAR</v>
      </c>
      <c r="Y260" s="29">
        <v>46021</v>
      </c>
      <c r="Z260" s="30" t="str">
        <f t="shared" si="135"/>
        <v>mar</v>
      </c>
      <c r="AA260" s="28">
        <v>0.70833333333333304</v>
      </c>
      <c r="AB260" s="41"/>
      <c r="AC260" s="41"/>
      <c r="AD260" s="41"/>
      <c r="AE260" s="32" t="str">
        <f t="shared" si="114"/>
        <v>❌ SIN COMPLETAR</v>
      </c>
    </row>
    <row r="261" spans="1:31" x14ac:dyDescent="0.3">
      <c r="A261" s="29">
        <v>46021</v>
      </c>
      <c r="B261" s="30" t="str">
        <f t="shared" si="132"/>
        <v>mar</v>
      </c>
      <c r="C261" s="28">
        <v>0.75</v>
      </c>
      <c r="D261" s="31"/>
      <c r="E261" s="31"/>
      <c r="F261" s="31"/>
      <c r="G261" s="32" t="str">
        <f>IF(COUNTIF(D261:F261,"?*")=$N$5,"✅ CUBIERTO",
IF(COUNTIF(D261:F261,"?*")&gt;$N$5,"⚠ EXCESO",IF(COUNTIF(D261:F261,"?*")&gt;0,"⚠ FALTANTE",
"❌ SIN COMPLETAR")))</f>
        <v>❌ SIN COMPLETAR</v>
      </c>
      <c r="H261" s="17"/>
      <c r="I261" s="29">
        <v>46021</v>
      </c>
      <c r="J261" s="30" t="str">
        <f t="shared" si="133"/>
        <v>mar</v>
      </c>
      <c r="K261" s="28">
        <v>0.75</v>
      </c>
      <c r="L261" s="41"/>
      <c r="M261" s="41"/>
      <c r="N261" s="41"/>
      <c r="O261" s="32" t="str">
        <f t="shared" si="113"/>
        <v>❌ SIN COMPLETAR</v>
      </c>
      <c r="P261" s="17"/>
      <c r="Q261" s="29">
        <v>46021</v>
      </c>
      <c r="R261" s="30" t="str">
        <f t="shared" si="134"/>
        <v>mar</v>
      </c>
      <c r="S261" s="28">
        <v>0.75</v>
      </c>
      <c r="T261" s="31"/>
      <c r="U261" s="31"/>
      <c r="V261" s="31"/>
      <c r="W261" s="40" t="s">
        <v>16</v>
      </c>
      <c r="Y261" s="29">
        <v>46021</v>
      </c>
      <c r="Z261" s="30" t="str">
        <f t="shared" si="135"/>
        <v>mar</v>
      </c>
      <c r="AA261" s="28">
        <v>0.75</v>
      </c>
      <c r="AB261" s="41"/>
      <c r="AC261" s="41"/>
      <c r="AD261" s="41"/>
      <c r="AE261" s="32" t="str">
        <f t="shared" si="114"/>
        <v>❌ SIN COMPLETAR</v>
      </c>
    </row>
    <row r="262" spans="1:31" x14ac:dyDescent="0.3">
      <c r="A262" s="29">
        <v>46022</v>
      </c>
      <c r="B262" s="30" t="str">
        <f>TEXT(A262,"ddd")</f>
        <v>mié</v>
      </c>
      <c r="C262" s="28">
        <v>0.45833333333333331</v>
      </c>
      <c r="D262" s="31"/>
      <c r="E262" s="31"/>
      <c r="F262" s="31"/>
      <c r="G262" s="32" t="str">
        <f>IF(COUNTIF(D262:F262,"?*")=$N$5,"✅ CUBIERTO",
IF(COUNTIF(D262:F262,"?*")&gt;$N$5,"⚠ EXCESO",IF(COUNTIF(D262:F262,"?*")&gt;0,"⚠ FALTANTE",
"❌ SIN COMPLETAR")))</f>
        <v>❌ SIN COMPLETAR</v>
      </c>
      <c r="I262" s="29">
        <v>46022</v>
      </c>
      <c r="J262" s="30" t="str">
        <f>TEXT(I262,"ddd")</f>
        <v>mié</v>
      </c>
      <c r="K262" s="28">
        <v>0.45833333333333331</v>
      </c>
      <c r="L262" s="41"/>
      <c r="M262" s="41"/>
      <c r="N262" s="41"/>
      <c r="O262" s="32" t="str">
        <f t="shared" si="113"/>
        <v>❌ SIN COMPLETAR</v>
      </c>
      <c r="Q262" s="29">
        <v>46022</v>
      </c>
      <c r="R262" s="30" t="str">
        <f>TEXT(Q262,"ddd")</f>
        <v>mié</v>
      </c>
      <c r="S262" s="28">
        <v>0.45833333333333331</v>
      </c>
      <c r="T262" s="41"/>
      <c r="U262" s="41"/>
      <c r="V262" s="41"/>
      <c r="W262" s="40" t="s">
        <v>16</v>
      </c>
      <c r="Y262" s="29">
        <v>46022</v>
      </c>
      <c r="Z262" s="30" t="str">
        <f>TEXT(Y262,"ddd")</f>
        <v>mié</v>
      </c>
      <c r="AA262" s="28">
        <v>0.45833333333333331</v>
      </c>
      <c r="AB262" s="41"/>
      <c r="AC262" s="41"/>
      <c r="AD262" s="41"/>
      <c r="AE262" s="32" t="str">
        <f t="shared" si="114"/>
        <v>❌ SIN COMPLETAR</v>
      </c>
    </row>
    <row r="263" spans="1:31" x14ac:dyDescent="0.3">
      <c r="A263" s="29">
        <v>46022</v>
      </c>
      <c r="B263" s="30" t="str">
        <f t="shared" ref="B263:B269" si="136">TEXT(A263,"ddd")</f>
        <v>mié</v>
      </c>
      <c r="C263" s="28">
        <v>0.5</v>
      </c>
      <c r="D263" s="31"/>
      <c r="E263" s="31"/>
      <c r="F263" s="31"/>
      <c r="G263" s="32" t="str">
        <f>IF(COUNTIF(D263:F263,"?*")=$N$5,"✅ CUBIERTO",
IF(COUNTIF(D263:F263,"?*")&gt;$N$5,"⚠ EXCESO",IF(COUNTIF(D263:F263,"?*")&gt;0,"⚠ FALTANTE",
"❌ SIN COMPLETAR")))</f>
        <v>❌ SIN COMPLETAR</v>
      </c>
      <c r="I263" s="29">
        <v>46022</v>
      </c>
      <c r="J263" s="30" t="str">
        <f t="shared" ref="J263:J269" si="137">TEXT(I263,"ddd")</f>
        <v>mié</v>
      </c>
      <c r="K263" s="28">
        <v>0.5</v>
      </c>
      <c r="L263" s="41"/>
      <c r="M263" s="41"/>
      <c r="N263" s="41"/>
      <c r="O263" s="32" t="str">
        <f t="shared" si="113"/>
        <v>❌ SIN COMPLETAR</v>
      </c>
      <c r="Q263" s="29">
        <v>46022</v>
      </c>
      <c r="R263" s="30" t="str">
        <f t="shared" ref="R263:R269" si="138">TEXT(Q263,"ddd")</f>
        <v>mié</v>
      </c>
      <c r="S263" s="28">
        <v>0.5</v>
      </c>
      <c r="T263" s="41"/>
      <c r="U263" s="41"/>
      <c r="V263" s="41"/>
      <c r="W263" s="40" t="str">
        <f t="shared" si="119"/>
        <v>❌ SIN COMPLETAR</v>
      </c>
      <c r="Y263" s="29">
        <v>46022</v>
      </c>
      <c r="Z263" s="30" t="str">
        <f t="shared" ref="Z263:Z269" si="139">TEXT(Y263,"ddd")</f>
        <v>mié</v>
      </c>
      <c r="AA263" s="28">
        <v>0.5</v>
      </c>
      <c r="AB263" s="41"/>
      <c r="AC263" s="41"/>
      <c r="AD263" s="41"/>
      <c r="AE263" s="32" t="str">
        <f t="shared" si="114"/>
        <v>❌ SIN COMPLETAR</v>
      </c>
    </row>
    <row r="264" spans="1:31" x14ac:dyDescent="0.3">
      <c r="A264" s="29">
        <v>46022</v>
      </c>
      <c r="B264" s="30" t="str">
        <f t="shared" si="136"/>
        <v>mié</v>
      </c>
      <c r="C264" s="28">
        <v>0.54166666666666696</v>
      </c>
      <c r="D264" s="31"/>
      <c r="E264" s="31"/>
      <c r="F264" s="31"/>
      <c r="G264" s="32" t="str">
        <f>IF(COUNTIF(D264:F264,"?*")=$N$5,"✅ CUBIERTO",
IF(COUNTIF(D264:F264,"?*")&gt;$N$5,"⚠ EXCESO",IF(COUNTIF(D264:F264,"?*")&gt;0,"⚠ FALTANTE",
"❌ SIN COMPLETAR")))</f>
        <v>❌ SIN COMPLETAR</v>
      </c>
      <c r="I264" s="29">
        <v>46022</v>
      </c>
      <c r="J264" s="30" t="str">
        <f t="shared" si="137"/>
        <v>mié</v>
      </c>
      <c r="K264" s="28">
        <v>0.54166666666666696</v>
      </c>
      <c r="L264" s="41"/>
      <c r="M264" s="41"/>
      <c r="N264" s="41"/>
      <c r="O264" s="32" t="str">
        <f t="shared" si="113"/>
        <v>❌ SIN COMPLETAR</v>
      </c>
      <c r="Q264" s="29">
        <v>46022</v>
      </c>
      <c r="R264" s="30" t="str">
        <f t="shared" si="138"/>
        <v>mié</v>
      </c>
      <c r="S264" s="28">
        <v>0.54166666666666696</v>
      </c>
      <c r="T264" s="41"/>
      <c r="U264" s="41"/>
      <c r="V264" s="41"/>
      <c r="W264" s="40" t="str">
        <f t="shared" si="119"/>
        <v>❌ SIN COMPLETAR</v>
      </c>
      <c r="Y264" s="29">
        <v>46022</v>
      </c>
      <c r="Z264" s="30" t="str">
        <f t="shared" si="139"/>
        <v>mié</v>
      </c>
      <c r="AA264" s="28">
        <v>0.54166666666666696</v>
      </c>
      <c r="AB264" s="41"/>
      <c r="AC264" s="41"/>
      <c r="AD264" s="41"/>
      <c r="AE264" s="32" t="str">
        <f t="shared" si="114"/>
        <v>❌ SIN COMPLETAR</v>
      </c>
    </row>
    <row r="265" spans="1:31" x14ac:dyDescent="0.3">
      <c r="A265" s="29">
        <v>46022</v>
      </c>
      <c r="B265" s="30" t="str">
        <f t="shared" si="136"/>
        <v>mié</v>
      </c>
      <c r="C265" s="28">
        <v>0.58333333333333304</v>
      </c>
      <c r="D265" s="31"/>
      <c r="E265" s="31"/>
      <c r="F265" s="31"/>
      <c r="G265" s="32" t="str">
        <f>IF(COUNTIF(D265:F265,"?*")=$N$5,"✅ CUBIERTO",
IF(COUNTIF(D265:F265,"?*")&gt;$N$5,"⚠ EXCESO",IF(COUNTIF(D265:F265,"?*")&gt;0,"⚠ FALTANTE",
"❌ SIN COMPLETAR")))</f>
        <v>❌ SIN COMPLETAR</v>
      </c>
      <c r="I265" s="29">
        <v>46022</v>
      </c>
      <c r="J265" s="30" t="str">
        <f t="shared" si="137"/>
        <v>mié</v>
      </c>
      <c r="K265" s="28">
        <v>0.58333333333333304</v>
      </c>
      <c r="L265" s="41"/>
      <c r="M265" s="41"/>
      <c r="N265" s="41"/>
      <c r="O265" s="32" t="str">
        <f t="shared" si="113"/>
        <v>❌ SIN COMPLETAR</v>
      </c>
      <c r="Q265" s="29">
        <v>46022</v>
      </c>
      <c r="R265" s="30" t="str">
        <f t="shared" si="138"/>
        <v>mié</v>
      </c>
      <c r="S265" s="28">
        <v>0.58333333333333304</v>
      </c>
      <c r="T265" s="41"/>
      <c r="U265" s="41"/>
      <c r="V265" s="41"/>
      <c r="W265" s="40" t="str">
        <f t="shared" si="119"/>
        <v>❌ SIN COMPLETAR</v>
      </c>
      <c r="Y265" s="29">
        <v>46022</v>
      </c>
      <c r="Z265" s="30" t="str">
        <f t="shared" si="139"/>
        <v>mié</v>
      </c>
      <c r="AA265" s="28">
        <v>0.58333333333333304</v>
      </c>
      <c r="AB265" s="41"/>
      <c r="AC265" s="41"/>
      <c r="AD265" s="41"/>
      <c r="AE265" s="32" t="str">
        <f t="shared" si="114"/>
        <v>❌ SIN COMPLETAR</v>
      </c>
    </row>
    <row r="266" spans="1:31" x14ac:dyDescent="0.3">
      <c r="A266" s="29">
        <v>46022</v>
      </c>
      <c r="B266" s="30" t="str">
        <f t="shared" si="136"/>
        <v>mié</v>
      </c>
      <c r="C266" s="28">
        <v>0.625</v>
      </c>
      <c r="D266" s="31"/>
      <c r="E266" s="31"/>
      <c r="F266" s="31"/>
      <c r="G266" s="32" t="str">
        <f>IF(COUNTIF(D266:F266,"?*")=$N$5,"✅ CUBIERTO",
IF(COUNTIF(D266:F266,"?*")&gt;$N$5,"⚠ EXCESO",IF(COUNTIF(D266:F266,"?*")&gt;0,"⚠ FALTANTE",
"❌ SIN COMPLETAR")))</f>
        <v>❌ SIN COMPLETAR</v>
      </c>
      <c r="I266" s="29">
        <v>46022</v>
      </c>
      <c r="J266" s="30" t="str">
        <f t="shared" si="137"/>
        <v>mié</v>
      </c>
      <c r="K266" s="28">
        <v>0.625</v>
      </c>
      <c r="L266" s="41"/>
      <c r="M266" s="41"/>
      <c r="N266" s="41"/>
      <c r="O266" s="32" t="str">
        <f t="shared" si="113"/>
        <v>❌ SIN COMPLETAR</v>
      </c>
      <c r="Q266" s="29">
        <v>46022</v>
      </c>
      <c r="R266" s="30" t="str">
        <f t="shared" si="138"/>
        <v>mié</v>
      </c>
      <c r="S266" s="28">
        <v>0.625</v>
      </c>
      <c r="T266" s="41"/>
      <c r="U266" s="41"/>
      <c r="V266" s="41"/>
      <c r="W266" s="40" t="str">
        <f t="shared" si="119"/>
        <v>❌ SIN COMPLETAR</v>
      </c>
      <c r="Y266" s="29">
        <v>46022</v>
      </c>
      <c r="Z266" s="30" t="str">
        <f t="shared" si="139"/>
        <v>mié</v>
      </c>
      <c r="AA266" s="28">
        <v>0.625</v>
      </c>
      <c r="AB266" s="41"/>
      <c r="AC266" s="41"/>
      <c r="AD266" s="41"/>
      <c r="AE266" s="32" t="str">
        <f t="shared" si="114"/>
        <v>❌ SIN COMPLETAR</v>
      </c>
    </row>
    <row r="267" spans="1:31" x14ac:dyDescent="0.3">
      <c r="A267" s="29">
        <v>46022</v>
      </c>
      <c r="B267" s="30" t="str">
        <f t="shared" si="136"/>
        <v>mié</v>
      </c>
      <c r="C267" s="28">
        <v>0.66666666666666696</v>
      </c>
      <c r="D267" s="31"/>
      <c r="E267" s="31"/>
      <c r="F267" s="31"/>
      <c r="G267" s="32" t="str">
        <f>IF(COUNTIF(D267:F267,"?*")=$N$5,"✅ CUBIERTO",
IF(COUNTIF(D267:F267,"?*")&gt;$N$5,"⚠ EXCESO",IF(COUNTIF(D267:F267,"?*")&gt;0,"⚠ FALTANTE",
"❌ SIN COMPLETAR")))</f>
        <v>❌ SIN COMPLETAR</v>
      </c>
      <c r="I267" s="29">
        <v>46022</v>
      </c>
      <c r="J267" s="30" t="str">
        <f t="shared" si="137"/>
        <v>mié</v>
      </c>
      <c r="K267" s="28">
        <v>0.66666666666666696</v>
      </c>
      <c r="L267" s="41"/>
      <c r="M267" s="41"/>
      <c r="N267" s="41"/>
      <c r="O267" s="32" t="str">
        <f t="shared" si="113"/>
        <v>❌ SIN COMPLETAR</v>
      </c>
      <c r="Q267" s="29">
        <v>46022</v>
      </c>
      <c r="R267" s="30" t="str">
        <f t="shared" si="138"/>
        <v>mié</v>
      </c>
      <c r="S267" s="28">
        <v>0.66666666666666696</v>
      </c>
      <c r="T267" s="41"/>
      <c r="U267" s="41"/>
      <c r="V267" s="41"/>
      <c r="W267" s="40" t="str">
        <f t="shared" si="119"/>
        <v>❌ SIN COMPLETAR</v>
      </c>
      <c r="Y267" s="29">
        <v>46022</v>
      </c>
      <c r="Z267" s="30" t="str">
        <f t="shared" si="139"/>
        <v>mié</v>
      </c>
      <c r="AA267" s="28">
        <v>0.66666666666666696</v>
      </c>
      <c r="AB267" s="41"/>
      <c r="AC267" s="41"/>
      <c r="AD267" s="41"/>
      <c r="AE267" s="32" t="str">
        <f t="shared" si="114"/>
        <v>❌ SIN COMPLETAR</v>
      </c>
    </row>
    <row r="268" spans="1:31" x14ac:dyDescent="0.3">
      <c r="A268" s="29">
        <v>46022</v>
      </c>
      <c r="B268" s="30" t="str">
        <f t="shared" si="136"/>
        <v>mié</v>
      </c>
      <c r="C268" s="28">
        <v>0.70833333333333304</v>
      </c>
      <c r="D268" s="31"/>
      <c r="E268" s="31"/>
      <c r="F268" s="31"/>
      <c r="G268" s="32" t="str">
        <f>IF(COUNTIF(D268:F268,"?*")=$N$5,"✅ CUBIERTO",
IF(COUNTIF(D268:F268,"?*")&gt;$N$5,"⚠ EXCESO",IF(COUNTIF(D268:F268,"?*")&gt;0,"⚠ FALTANTE",
"❌ SIN COMPLETAR")))</f>
        <v>❌ SIN COMPLETAR</v>
      </c>
      <c r="I268" s="29">
        <v>46022</v>
      </c>
      <c r="J268" s="30" t="str">
        <f t="shared" si="137"/>
        <v>mié</v>
      </c>
      <c r="K268" s="28">
        <v>0.70833333333333304</v>
      </c>
      <c r="L268" s="41"/>
      <c r="M268" s="41"/>
      <c r="N268" s="41"/>
      <c r="O268" s="32" t="str">
        <f t="shared" si="113"/>
        <v>❌ SIN COMPLETAR</v>
      </c>
      <c r="Q268" s="29">
        <v>46022</v>
      </c>
      <c r="R268" s="30" t="str">
        <f t="shared" si="138"/>
        <v>mié</v>
      </c>
      <c r="S268" s="28">
        <v>0.70833333333333304</v>
      </c>
      <c r="T268" s="41"/>
      <c r="U268" s="41"/>
      <c r="V268" s="41"/>
      <c r="W268" s="40" t="str">
        <f t="shared" si="119"/>
        <v>❌ SIN COMPLETAR</v>
      </c>
      <c r="Y268" s="29">
        <v>46022</v>
      </c>
      <c r="Z268" s="30" t="str">
        <f t="shared" si="139"/>
        <v>mié</v>
      </c>
      <c r="AA268" s="28">
        <v>0.70833333333333304</v>
      </c>
      <c r="AB268" s="41"/>
      <c r="AC268" s="41"/>
      <c r="AD268" s="41"/>
      <c r="AE268" s="32" t="str">
        <f t="shared" si="114"/>
        <v>❌ SIN COMPLETAR</v>
      </c>
    </row>
    <row r="269" spans="1:31" x14ac:dyDescent="0.3">
      <c r="A269" s="29">
        <v>46022</v>
      </c>
      <c r="B269" s="30" t="str">
        <f t="shared" si="136"/>
        <v>mié</v>
      </c>
      <c r="C269" s="28">
        <v>0.75</v>
      </c>
      <c r="D269" s="31"/>
      <c r="E269" s="31"/>
      <c r="F269" s="31"/>
      <c r="G269" s="32" t="str">
        <f>IF(COUNTIF(D269:F269,"?*")=$N$5,"✅ CUBIERTO",
IF(COUNTIF(D269:F269,"?*")&gt;$N$5,"⚠ EXCESO",IF(COUNTIF(D269:F269,"?*")&gt;0,"⚠ FALTANTE",
"❌ SIN COMPLETAR")))</f>
        <v>❌ SIN COMPLETAR</v>
      </c>
      <c r="I269" s="29">
        <v>46022</v>
      </c>
      <c r="J269" s="30" t="str">
        <f t="shared" si="137"/>
        <v>mié</v>
      </c>
      <c r="K269" s="28">
        <v>0.75</v>
      </c>
      <c r="L269" s="41"/>
      <c r="M269" s="41"/>
      <c r="N269" s="41"/>
      <c r="O269" s="32" t="str">
        <f t="shared" si="113"/>
        <v>❌ SIN COMPLETAR</v>
      </c>
      <c r="Q269" s="29">
        <v>46022</v>
      </c>
      <c r="R269" s="30" t="str">
        <f t="shared" si="138"/>
        <v>mié</v>
      </c>
      <c r="S269" s="28">
        <v>0.75</v>
      </c>
      <c r="T269" s="41"/>
      <c r="U269" s="41"/>
      <c r="V269" s="41"/>
      <c r="W269" s="40" t="s">
        <v>16</v>
      </c>
      <c r="Y269" s="29">
        <v>46022</v>
      </c>
      <c r="Z269" s="30" t="str">
        <f t="shared" si="139"/>
        <v>mié</v>
      </c>
      <c r="AA269" s="28">
        <v>0.75</v>
      </c>
      <c r="AB269" s="41"/>
      <c r="AC269" s="41"/>
      <c r="AD269" s="41"/>
      <c r="AE269" s="32" t="str">
        <f t="shared" si="114"/>
        <v>❌ SIN COMPLETAR</v>
      </c>
    </row>
  </sheetData>
  <sheetProtection autoFilter="0"/>
  <dataConsolidate/>
  <mergeCells count="9">
    <mergeCell ref="Y20:AE20"/>
    <mergeCell ref="A20:G20"/>
    <mergeCell ref="I20:O20"/>
    <mergeCell ref="Q20:W20"/>
    <mergeCell ref="A4:A5"/>
    <mergeCell ref="B4:E4"/>
    <mergeCell ref="F4:I4"/>
    <mergeCell ref="J4:J5"/>
    <mergeCell ref="K4:K5"/>
  </mergeCells>
  <conditionalFormatting sqref="J6:J16">
    <cfRule type="cellIs" dxfId="35" priority="52" operator="lessThan">
      <formula>100</formula>
    </cfRule>
    <cfRule type="cellIs" dxfId="34" priority="53" operator="greaterThan">
      <formula>132</formula>
    </cfRule>
  </conditionalFormatting>
  <conditionalFormatting sqref="P5:P7">
    <cfRule type="cellIs" dxfId="33" priority="117" operator="greaterThan">
      <formula>O5</formula>
    </cfRule>
  </conditionalFormatting>
  <conditionalFormatting sqref="P8">
    <cfRule type="cellIs" dxfId="32" priority="43" operator="greaterThan">
      <formula>O8</formula>
    </cfRule>
  </conditionalFormatting>
  <conditionalFormatting sqref="Q5:Q7">
    <cfRule type="dataBar" priority="42">
      <dataBar>
        <cfvo type="num" val="0"/>
        <cfvo type="num" val="1"/>
        <color rgb="FF005363"/>
      </dataBar>
      <extLst>
        <ext xmlns:x14="http://schemas.microsoft.com/office/spreadsheetml/2009/9/main" uri="{B025F937-C7B1-47D3-B67F-A62EFF666E3E}">
          <x14:id>{BE4C0B1E-267E-4D56-8DE8-18DC3AF0B31A}</x14:id>
        </ext>
      </extLst>
    </cfRule>
  </conditionalFormatting>
  <conditionalFormatting sqref="A22:G269">
    <cfRule type="expression" dxfId="31" priority="35">
      <formula>$G22="CERRADO"</formula>
    </cfRule>
    <cfRule type="expression" dxfId="30" priority="36">
      <formula>$A22=$M$12</formula>
    </cfRule>
  </conditionalFormatting>
  <conditionalFormatting sqref="I22:O213 I222:O269 I214:N221">
    <cfRule type="expression" dxfId="29" priority="37">
      <formula>$O22="CERRADO"</formula>
    </cfRule>
    <cfRule type="expression" dxfId="28" priority="38">
      <formula>$I22=$M$12</formula>
    </cfRule>
  </conditionalFormatting>
  <conditionalFormatting sqref="Y22:AE22 Y222:AE269 Y214:AD221 Y24:AE213 Y23:AA23 AC23:AE23">
    <cfRule type="expression" dxfId="27" priority="33">
      <formula>$AE22="CERRADO"</formula>
    </cfRule>
    <cfRule type="expression" dxfId="26" priority="34">
      <formula>$Y22=$M$12</formula>
    </cfRule>
  </conditionalFormatting>
  <conditionalFormatting sqref="Q22:W213 Q222:W269 Q214:V221">
    <cfRule type="expression" dxfId="25" priority="19">
      <formula>$W22="CERRADO"</formula>
    </cfRule>
    <cfRule type="expression" dxfId="24" priority="20">
      <formula>$I22=$M$12</formula>
    </cfRule>
  </conditionalFormatting>
  <conditionalFormatting sqref="O214:O221">
    <cfRule type="expression" dxfId="17" priority="7">
      <formula>$G214="CERRADO"</formula>
    </cfRule>
    <cfRule type="expression" dxfId="16" priority="8">
      <formula>$A214=$M$12</formula>
    </cfRule>
  </conditionalFormatting>
  <conditionalFormatting sqref="W214:W221">
    <cfRule type="expression" dxfId="15" priority="5">
      <formula>$G214="CERRADO"</formula>
    </cfRule>
    <cfRule type="expression" dxfId="14" priority="6">
      <formula>$A214=$M$12</formula>
    </cfRule>
  </conditionalFormatting>
  <conditionalFormatting sqref="AE214:AE221">
    <cfRule type="expression" dxfId="13" priority="3">
      <formula>$G214="CERRADO"</formula>
    </cfRule>
    <cfRule type="expression" dxfId="12" priority="4">
      <formula>$A214=$M$12</formula>
    </cfRule>
  </conditionalFormatting>
  <conditionalFormatting sqref="AB23">
    <cfRule type="expression" dxfId="1" priority="1">
      <formula>$G23="CERRADO"</formula>
    </cfRule>
    <cfRule type="expression" dxfId="0" priority="2">
      <formula>$A23=$M$12</formula>
    </cfRule>
  </conditionalFormatting>
  <dataValidations count="2">
    <dataValidation type="whole" operator="greaterThan" allowBlank="1" showInputMessage="1" showErrorMessage="1" sqref="N5:O8">
      <formula1>0</formula1>
    </dataValidation>
    <dataValidation type="list" allowBlank="1" showInputMessage="1" showErrorMessage="1" sqref="T22:V269 L22:N269 D22:F269 AB22:AD269">
      <formula1>$A$6:$A$16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E4C0B1E-267E-4D56-8DE8-18DC3AF0B31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5363"/>
              <x14:negativeFillColor rgb="FFFF0000"/>
              <x14:negativeBorderColor rgb="FFFF0000"/>
              <x14:axisColor rgb="FF000000"/>
            </x14:dataBar>
          </x14:cfRule>
          <xm:sqref>Q5:Q7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Noviembre</vt:lpstr>
      <vt:lpstr>Diciembre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Valeria Levite</cp:lastModifiedBy>
  <dcterms:created xsi:type="dcterms:W3CDTF">2025-10-16T14:30:29Z</dcterms:created>
  <dcterms:modified xsi:type="dcterms:W3CDTF">2025-10-24T20:31:51Z</dcterms:modified>
</cp:coreProperties>
</file>