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Supervisoras\"/>
    </mc:Choice>
  </mc:AlternateContent>
  <bookViews>
    <workbookView xWindow="0" yWindow="0" windowWidth="19200" windowHeight="693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4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</calcChain>
</file>

<file path=xl/sharedStrings.xml><?xml version="1.0" encoding="utf-8"?>
<sst xmlns="http://schemas.openxmlformats.org/spreadsheetml/2006/main" count="204" uniqueCount="83">
  <si>
    <t>Estructura</t>
  </si>
  <si>
    <t>Tienda</t>
  </si>
  <si>
    <t>AS San Telmo</t>
  </si>
  <si>
    <t>Florida</t>
  </si>
  <si>
    <t>French</t>
  </si>
  <si>
    <t>Güemes</t>
  </si>
  <si>
    <t>Recoleta</t>
  </si>
  <si>
    <t>San Telmo</t>
  </si>
  <si>
    <t>San Telmo 2</t>
  </si>
  <si>
    <t>Legajo</t>
  </si>
  <si>
    <t>Apellido y Nombre</t>
  </si>
  <si>
    <t>Periodo</t>
  </si>
  <si>
    <t>Tienda asignada este mes</t>
  </si>
  <si>
    <t>Horas Totales</t>
  </si>
  <si>
    <t>Carrizo Camila</t>
  </si>
  <si>
    <t>Esposito Candela</t>
  </si>
  <si>
    <t>Lucero San Telmo</t>
  </si>
  <si>
    <t>Bertolo Milagros</t>
  </si>
  <si>
    <t>Lucero French</t>
  </si>
  <si>
    <t>Barajas Barbara</t>
  </si>
  <si>
    <t>Lucero Recoleta</t>
  </si>
  <si>
    <t>De Brito Rocio</t>
  </si>
  <si>
    <t>Lucero Güemes</t>
  </si>
  <si>
    <t>Lara Robbio</t>
  </si>
  <si>
    <t>Viña Sofia</t>
  </si>
  <si>
    <t>Lucero Florida</t>
  </si>
  <si>
    <t>Molina Agustina</t>
  </si>
  <si>
    <t>Kiara Corbalan</t>
  </si>
  <si>
    <t>Martínez Brisa</t>
  </si>
  <si>
    <t>CORONEL Mailen</t>
  </si>
  <si>
    <t>Ruiz de la Torre Maitena</t>
  </si>
  <si>
    <t>Gimenez Candela</t>
  </si>
  <si>
    <t>Imperiale Candela</t>
  </si>
  <si>
    <t>Machuca Araceli</t>
  </si>
  <si>
    <t>Villarruel Candela</t>
  </si>
  <si>
    <t>Balmaceda Luciana</t>
  </si>
  <si>
    <t>Oliva Micaela</t>
  </si>
  <si>
    <t>Mohamad Daila</t>
  </si>
  <si>
    <t>Lucero San Telmo 2</t>
  </si>
  <si>
    <t>Sarapura Rebecca</t>
  </si>
  <si>
    <t>Scholler Chavez Ruth</t>
  </si>
  <si>
    <t>Florencia Aguero</t>
  </si>
  <si>
    <t>Morena Martinez</t>
  </si>
  <si>
    <t>Dettoni Leguizamon Oriana</t>
  </si>
  <si>
    <t>Gonzalez Valentina</t>
  </si>
  <si>
    <t>Fecha ingreso</t>
  </si>
  <si>
    <t>VENDEDOR B - tarifa standard</t>
  </si>
  <si>
    <t>Vendedor B - S Neto</t>
  </si>
  <si>
    <t>Vendedor B - S Bruto</t>
  </si>
  <si>
    <t>Contribuciones + ART</t>
  </si>
  <si>
    <t>COSTO TOTAL</t>
  </si>
  <si>
    <t>VENDEDORA B 88 HS</t>
  </si>
  <si>
    <t>447020.00</t>
  </si>
  <si>
    <t>562,846.63</t>
  </si>
  <si>
    <t>209,556.25</t>
  </si>
  <si>
    <t>772,402.89</t>
  </si>
  <si>
    <t>VENDEDORA B 132 HS</t>
  </si>
  <si>
    <t>668339.00</t>
  </si>
  <si>
    <t>842,078.95</t>
  </si>
  <si>
    <t>312,872.21</t>
  </si>
  <si>
    <t>1,154,951.16</t>
  </si>
  <si>
    <t>Dif plus vacacional 88hs</t>
  </si>
  <si>
    <t>41721.87</t>
  </si>
  <si>
    <t>Dif plus vacacional 132 Hs</t>
  </si>
  <si>
    <t>62378.31</t>
  </si>
  <si>
    <t>Horas máximas</t>
  </si>
  <si>
    <t>Hs Normales (con vacaciones y feriados NO trabajados)</t>
  </si>
  <si>
    <t>Hs Feriados</t>
  </si>
  <si>
    <t>Feriados No trabajados</t>
  </si>
  <si>
    <t>Licencias justificados (en HORAS)</t>
  </si>
  <si>
    <t>Plus vacacional</t>
  </si>
  <si>
    <t>Vacaciones</t>
  </si>
  <si>
    <t>Premios</t>
  </si>
  <si>
    <t>Sueldo Bruto</t>
  </si>
  <si>
    <t>Sueldo Neto</t>
  </si>
  <si>
    <t>Costo total</t>
  </si>
  <si>
    <t>NO</t>
  </si>
  <si>
    <t>4.00</t>
  </si>
  <si>
    <t>8.00</t>
  </si>
  <si>
    <t>12.00</t>
  </si>
  <si>
    <t>16.00</t>
  </si>
  <si>
    <t>TOTAL</t>
  </si>
  <si>
    <t>Valor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</si>
</sst>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6" formatCode="_-&quot;$&quot;\ * #,##0.00_-;\-&quot;$&quot;\ * #,##0.00_-;_-&quot;$&quot;\ * &quot;-&quot;??_-;_-@_-"/>
    <numFmt numFmtId="168" formatCode="_-&quot;$&quot;\ * #,##0_-;\-&quot;$&quot;\ * #,##0_-;_-&quot;$&quot;\ * &quot;-&quot;??_-;_-@_-"/>
    <numFmt numFmtId="17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0" fontId="5" fillId="0" borderId="0"/>
    <xf numFmtId="0" fontId="5" fillId="0" borderId="0"/>
  </cellStyleXfs>
  <cellXfs count="7">
    <xf numFmtId="0" fontId="0" fillId="0" borderId="0" xfId="0"/>
    <xf numFmtId="1" fontId="4" fillId="2" borderId="1" xfId="2" applyNumberFormat="1" applyFont="1" applyFill="1" applyBorder="1"/>
    <xf numFmtId="1" fontId="4" fillId="2" borderId="1" xfId="2" applyNumberFormat="1" applyFont="1" applyFill="1" applyBorder="1" applyAlignment="1">
      <alignment horizontal="center"/>
    </xf>
    <xf numFmtId="0" fontId="2" fillId="0" borderId="0" xfId="0" applyFont="1"/>
    <xf numFmtId="14" fontId="0" fillId="0" borderId="0" xfId="0" applyNumberFormat="1"/>
    <xf numFmtId="178" fontId="0" fillId="0" borderId="0" xfId="0" applyNumberFormat="1"/>
    <xf numFmtId="168" fontId="0" fillId="0" borderId="0" xfId="1" applyNumberFormat="1" applyFont="1"/>
  </cellXfs>
  <cellStyles count="6">
    <cellStyle name="Moneda" xfId="1" builtinId="4"/>
    <cellStyle name="Moneda 2" xfId="3"/>
    <cellStyle name="Normal" xfId="0" builtinId="0"/>
    <cellStyle name="Normal 2" xfId="4"/>
    <cellStyle name="Normal 3" xfId="5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H4" sqref="H4"/>
    </sheetView>
  </sheetViews>
  <sheetFormatPr baseColWidth="10" defaultRowHeight="14.5" x14ac:dyDescent="0.35"/>
  <cols>
    <col min="1" max="1" width="11.26953125" bestFit="1" customWidth="1"/>
    <col min="4" max="4" width="6.08984375" bestFit="1" customWidth="1"/>
    <col min="5" max="5" width="23.6328125" bestFit="1" customWidth="1"/>
    <col min="6" max="6" width="12.1796875" bestFit="1" customWidth="1"/>
    <col min="7" max="7" width="22.26953125" bestFit="1" customWidth="1"/>
    <col min="8" max="8" width="13.6328125" bestFit="1" customWidth="1"/>
    <col min="9" max="9" width="11.54296875" bestFit="1" customWidth="1"/>
    <col min="12" max="12" width="22.36328125" bestFit="1" customWidth="1"/>
  </cols>
  <sheetData>
    <row r="1" spans="1:16" x14ac:dyDescent="0.35">
      <c r="A1" s="3" t="s">
        <v>0</v>
      </c>
    </row>
    <row r="3" spans="1:16" x14ac:dyDescent="0.35">
      <c r="A3" s="1" t="s">
        <v>1</v>
      </c>
      <c r="B3" s="1" t="s">
        <v>0</v>
      </c>
      <c r="D3" t="s">
        <v>9</v>
      </c>
      <c r="E3" t="s">
        <v>10</v>
      </c>
      <c r="F3" t="s">
        <v>45</v>
      </c>
      <c r="G3" t="s">
        <v>12</v>
      </c>
      <c r="H3" t="s">
        <v>65</v>
      </c>
      <c r="I3" t="s">
        <v>82</v>
      </c>
      <c r="K3" t="s">
        <v>46</v>
      </c>
    </row>
    <row r="4" spans="1:16" x14ac:dyDescent="0.35">
      <c r="A4" s="1" t="s">
        <v>2</v>
      </c>
      <c r="B4" s="2">
        <v>4</v>
      </c>
      <c r="D4">
        <v>55</v>
      </c>
      <c r="E4" t="s">
        <v>14</v>
      </c>
      <c r="F4" s="4">
        <v>44414</v>
      </c>
      <c r="G4" t="s">
        <v>2</v>
      </c>
      <c r="I4" s="6">
        <f>VLOOKUP(D4,Hoja2!A1:Q26,17,FALSE)</f>
        <v>7502.7810606060602</v>
      </c>
      <c r="M4" t="s">
        <v>47</v>
      </c>
      <c r="N4" t="s">
        <v>48</v>
      </c>
      <c r="O4" t="s">
        <v>49</v>
      </c>
      <c r="P4" t="s">
        <v>50</v>
      </c>
    </row>
    <row r="5" spans="1:16" x14ac:dyDescent="0.35">
      <c r="A5" s="1" t="s">
        <v>3</v>
      </c>
      <c r="B5" s="2">
        <v>5</v>
      </c>
      <c r="D5">
        <v>103</v>
      </c>
      <c r="E5" t="s">
        <v>15</v>
      </c>
      <c r="F5" s="4">
        <v>44854</v>
      </c>
      <c r="G5" t="s">
        <v>16</v>
      </c>
      <c r="I5" s="6">
        <f>VLOOKUP(D5,Hoja2!A2:Q27,17,FALSE)</f>
        <v>7520.4649242424239</v>
      </c>
      <c r="K5">
        <v>500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</row>
    <row r="6" spans="1:16" x14ac:dyDescent="0.35">
      <c r="A6" s="1" t="s">
        <v>4</v>
      </c>
      <c r="B6" s="2">
        <v>3</v>
      </c>
      <c r="D6">
        <v>120</v>
      </c>
      <c r="E6" t="s">
        <v>17</v>
      </c>
      <c r="F6" s="4">
        <v>45020</v>
      </c>
      <c r="G6" t="s">
        <v>18</v>
      </c>
      <c r="I6" s="6">
        <f>VLOOKUP(D6,Hoja2!A3:Q28,17,FALSE)</f>
        <v>7459.3988709677415</v>
      </c>
      <c r="K6">
        <v>501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</row>
    <row r="7" spans="1:16" x14ac:dyDescent="0.35">
      <c r="A7" s="1" t="s">
        <v>5</v>
      </c>
      <c r="B7" s="2">
        <v>2</v>
      </c>
      <c r="D7">
        <v>126</v>
      </c>
      <c r="E7" t="s">
        <v>19</v>
      </c>
      <c r="F7" s="4">
        <v>45057</v>
      </c>
      <c r="G7" t="s">
        <v>20</v>
      </c>
      <c r="I7" s="6">
        <f>VLOOKUP(D7,Hoja2!A4:Q29,17,FALSE)</f>
        <v>7455.5801587301585</v>
      </c>
    </row>
    <row r="8" spans="1:16" x14ac:dyDescent="0.35">
      <c r="A8" s="1" t="s">
        <v>6</v>
      </c>
      <c r="B8" s="2">
        <v>3</v>
      </c>
      <c r="D8">
        <v>131</v>
      </c>
      <c r="E8" t="s">
        <v>21</v>
      </c>
      <c r="F8" s="4">
        <v>45085</v>
      </c>
      <c r="G8" t="s">
        <v>22</v>
      </c>
      <c r="I8" s="6">
        <f>VLOOKUP(D8,Hoja2!A5:Q30,17,FALSE)</f>
        <v>7068.2976923076922</v>
      </c>
      <c r="L8" t="s">
        <v>61</v>
      </c>
      <c r="M8" t="s">
        <v>62</v>
      </c>
    </row>
    <row r="9" spans="1:16" x14ac:dyDescent="0.35">
      <c r="A9" s="1" t="s">
        <v>7</v>
      </c>
      <c r="B9" s="2">
        <v>4</v>
      </c>
      <c r="D9">
        <v>138</v>
      </c>
      <c r="E9" t="s">
        <v>23</v>
      </c>
      <c r="F9" s="4">
        <v>45139</v>
      </c>
      <c r="G9" t="s">
        <v>16</v>
      </c>
      <c r="I9" s="6">
        <f>VLOOKUP(D9,Hoja2!A6:Q31,17,FALSE)</f>
        <v>7465.8195934959358</v>
      </c>
      <c r="L9" t="s">
        <v>63</v>
      </c>
      <c r="M9" t="s">
        <v>64</v>
      </c>
    </row>
    <row r="10" spans="1:16" x14ac:dyDescent="0.35">
      <c r="A10" s="1" t="s">
        <v>8</v>
      </c>
      <c r="B10" s="2">
        <v>2</v>
      </c>
      <c r="D10">
        <v>139</v>
      </c>
      <c r="E10" t="s">
        <v>24</v>
      </c>
      <c r="F10" s="4">
        <v>45139</v>
      </c>
      <c r="G10" t="s">
        <v>25</v>
      </c>
      <c r="I10" s="6">
        <f>VLOOKUP(D10,Hoja2!A7:Q32,17,FALSE)</f>
        <v>7446.5441732283462</v>
      </c>
    </row>
    <row r="11" spans="1:16" x14ac:dyDescent="0.35">
      <c r="D11">
        <v>143</v>
      </c>
      <c r="E11" t="s">
        <v>26</v>
      </c>
      <c r="F11" s="4">
        <v>45184</v>
      </c>
      <c r="G11" t="s">
        <v>2</v>
      </c>
      <c r="I11" s="6">
        <f>VLOOKUP(D11,Hoja2!A8:Q33,17,FALSE)</f>
        <v>7377.4904032258073</v>
      </c>
    </row>
    <row r="12" spans="1:16" x14ac:dyDescent="0.35">
      <c r="D12">
        <v>151</v>
      </c>
      <c r="E12" t="s">
        <v>27</v>
      </c>
      <c r="F12" s="4">
        <v>45201</v>
      </c>
      <c r="G12" t="s">
        <v>2</v>
      </c>
      <c r="I12" s="6">
        <f>VLOOKUP(D12,Hoja2!A9:Q34,17,FALSE)</f>
        <v>7377.4904032258073</v>
      </c>
    </row>
    <row r="13" spans="1:16" x14ac:dyDescent="0.35">
      <c r="D13">
        <v>161</v>
      </c>
      <c r="E13" t="s">
        <v>28</v>
      </c>
      <c r="F13" s="4">
        <v>45272</v>
      </c>
      <c r="G13" t="s">
        <v>2</v>
      </c>
      <c r="I13" s="6">
        <f>VLOOKUP(D13,Hoja2!A10:Q35,17,FALSE)</f>
        <v>7377.4904032258073</v>
      </c>
    </row>
    <row r="14" spans="1:16" x14ac:dyDescent="0.35">
      <c r="D14">
        <v>165</v>
      </c>
      <c r="E14" t="s">
        <v>29</v>
      </c>
      <c r="F14" s="4">
        <v>45311</v>
      </c>
      <c r="G14" t="s">
        <v>22</v>
      </c>
      <c r="I14" s="6">
        <f>VLOOKUP(D14,Hoja2!A11:Q36,17,FALSE)</f>
        <v>7092.1876562500001</v>
      </c>
    </row>
    <row r="15" spans="1:16" x14ac:dyDescent="0.35">
      <c r="D15">
        <v>170</v>
      </c>
      <c r="E15" t="s">
        <v>30</v>
      </c>
      <c r="F15" s="4">
        <v>45345</v>
      </c>
      <c r="G15" t="s">
        <v>25</v>
      </c>
      <c r="I15" s="6">
        <f>VLOOKUP(D15,Hoja2!A12:Q37,17,FALSE)</f>
        <v>7462.6958399999994</v>
      </c>
    </row>
    <row r="16" spans="1:16" x14ac:dyDescent="0.35">
      <c r="D16">
        <v>171</v>
      </c>
      <c r="E16" t="s">
        <v>31</v>
      </c>
      <c r="F16" s="4">
        <v>45771</v>
      </c>
      <c r="G16" t="s">
        <v>20</v>
      </c>
      <c r="I16" s="6">
        <f>VLOOKUP(D16,Hoja2!A13:Q38,17,FALSE)</f>
        <v>7386.2130000000006</v>
      </c>
    </row>
    <row r="17" spans="4:9" x14ac:dyDescent="0.35">
      <c r="D17">
        <v>173</v>
      </c>
      <c r="E17" t="s">
        <v>32</v>
      </c>
      <c r="F17" s="4">
        <v>45447</v>
      </c>
      <c r="G17" t="s">
        <v>25</v>
      </c>
      <c r="I17" s="6">
        <f>VLOOKUP(D17,Hoja2!A14:Q39,17,FALSE)</f>
        <v>7444.8139393939391</v>
      </c>
    </row>
    <row r="18" spans="4:9" x14ac:dyDescent="0.35">
      <c r="D18">
        <v>174</v>
      </c>
      <c r="E18" t="s">
        <v>33</v>
      </c>
      <c r="F18" s="4">
        <v>45477</v>
      </c>
      <c r="G18" t="s">
        <v>18</v>
      </c>
      <c r="I18" s="6">
        <f>VLOOKUP(D18,Hoja2!A15:Q40,17,FALSE)</f>
        <v>7401.9045833333339</v>
      </c>
    </row>
    <row r="19" spans="4:9" x14ac:dyDescent="0.35">
      <c r="D19">
        <v>184</v>
      </c>
      <c r="E19" t="s">
        <v>34</v>
      </c>
      <c r="F19" s="4">
        <v>45569</v>
      </c>
      <c r="G19" t="s">
        <v>2</v>
      </c>
      <c r="I19" s="6">
        <f>VLOOKUP(D19,Hoja2!A16:Q41,17,FALSE)</f>
        <v>6960.5702272727276</v>
      </c>
    </row>
    <row r="20" spans="4:9" x14ac:dyDescent="0.35">
      <c r="D20">
        <v>186</v>
      </c>
      <c r="E20" t="s">
        <v>35</v>
      </c>
      <c r="F20" s="4">
        <v>45587</v>
      </c>
      <c r="G20" t="s">
        <v>25</v>
      </c>
      <c r="I20" s="6">
        <f>VLOOKUP(D20,Hoja2!A17:Q42,17,FALSE)</f>
        <v>7419.3282399999998</v>
      </c>
    </row>
    <row r="21" spans="4:9" x14ac:dyDescent="0.35">
      <c r="D21">
        <v>189</v>
      </c>
      <c r="E21" t="s">
        <v>36</v>
      </c>
      <c r="F21" s="4">
        <v>45597</v>
      </c>
      <c r="G21" t="s">
        <v>20</v>
      </c>
      <c r="I21" s="6">
        <f>VLOOKUP(D21,Hoja2!A18:Q43,17,FALSE)</f>
        <v>7321.3191200000001</v>
      </c>
    </row>
    <row r="22" spans="4:9" x14ac:dyDescent="0.35">
      <c r="D22">
        <v>190</v>
      </c>
      <c r="E22" t="s">
        <v>37</v>
      </c>
      <c r="F22" s="4">
        <v>45597</v>
      </c>
      <c r="G22" t="s">
        <v>38</v>
      </c>
      <c r="I22" s="6">
        <f>VLOOKUP(D22,Hoja2!A19:Q44,17,FALSE)</f>
        <v>7204.3774242424242</v>
      </c>
    </row>
    <row r="23" spans="4:9" x14ac:dyDescent="0.35">
      <c r="D23">
        <v>192</v>
      </c>
      <c r="E23" t="s">
        <v>39</v>
      </c>
      <c r="F23" s="4">
        <v>45597</v>
      </c>
      <c r="G23" t="s">
        <v>16</v>
      </c>
      <c r="I23" s="6">
        <f>VLOOKUP(D23,Hoja2!A20:Q45,17,FALSE)</f>
        <v>7365.7803278688525</v>
      </c>
    </row>
    <row r="24" spans="4:9" x14ac:dyDescent="0.35">
      <c r="D24">
        <v>194</v>
      </c>
      <c r="E24" t="s">
        <v>40</v>
      </c>
      <c r="F24" s="4">
        <v>45639</v>
      </c>
      <c r="G24" t="s">
        <v>18</v>
      </c>
      <c r="I24" s="6">
        <f>VLOOKUP(D24,Hoja2!A21:Q46,17,FALSE)</f>
        <v>7410.2099166666658</v>
      </c>
    </row>
    <row r="25" spans="4:9" x14ac:dyDescent="0.35">
      <c r="D25">
        <v>205</v>
      </c>
      <c r="E25" t="s">
        <v>41</v>
      </c>
      <c r="F25" s="4">
        <v>45713</v>
      </c>
      <c r="G25" t="s">
        <v>38</v>
      </c>
      <c r="I25" s="6">
        <f>VLOOKUP(D25,Hoja2!A22:Q47,17,FALSE)</f>
        <v>12345.733793103449</v>
      </c>
    </row>
    <row r="26" spans="4:9" x14ac:dyDescent="0.35">
      <c r="D26">
        <v>206</v>
      </c>
      <c r="E26" t="s">
        <v>42</v>
      </c>
      <c r="F26" s="4">
        <v>45713</v>
      </c>
      <c r="G26" t="s">
        <v>16</v>
      </c>
      <c r="I26" s="6">
        <f>VLOOKUP(D26,Hoja2!A23:Q48,17,FALSE)</f>
        <v>7148.97</v>
      </c>
    </row>
    <row r="27" spans="4:9" x14ac:dyDescent="0.35">
      <c r="D27">
        <v>210</v>
      </c>
      <c r="E27" t="s">
        <v>43</v>
      </c>
      <c r="F27" s="4">
        <v>45759</v>
      </c>
      <c r="G27" t="s">
        <v>25</v>
      </c>
      <c r="I27" s="6">
        <f>VLOOKUP(D27,Hoja2!A24:Q49,17,FALSE)</f>
        <v>7145.1630952380956</v>
      </c>
    </row>
    <row r="28" spans="4:9" x14ac:dyDescent="0.35">
      <c r="D28">
        <v>213</v>
      </c>
      <c r="E28" t="s">
        <v>44</v>
      </c>
      <c r="F28" s="4">
        <v>45789</v>
      </c>
      <c r="G28" t="s">
        <v>38</v>
      </c>
      <c r="I28" s="6">
        <f>VLOOKUP(D28,Hoja2!A25:Q50,17,FALSE)</f>
        <v>7105.5939784946231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6" workbookViewId="0">
      <selection activeCell="B23" sqref="B23"/>
    </sheetView>
  </sheetViews>
  <sheetFormatPr baseColWidth="10" defaultRowHeight="14.5" x14ac:dyDescent="0.35"/>
  <cols>
    <col min="2" max="2" width="23.6328125" bestFit="1" customWidth="1"/>
  </cols>
  <sheetData>
    <row r="1" spans="1:17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49</v>
      </c>
      <c r="P1" t="s">
        <v>75</v>
      </c>
      <c r="Q1" t="s">
        <v>82</v>
      </c>
    </row>
    <row r="2" spans="1:17" x14ac:dyDescent="0.35">
      <c r="A2">
        <v>55</v>
      </c>
      <c r="B2" t="s">
        <v>14</v>
      </c>
      <c r="C2" s="4">
        <v>44414</v>
      </c>
      <c r="D2" t="s">
        <v>2</v>
      </c>
      <c r="E2">
        <v>132</v>
      </c>
      <c r="F2">
        <v>126</v>
      </c>
      <c r="G2">
        <v>6</v>
      </c>
      <c r="H2">
        <v>1</v>
      </c>
      <c r="J2" t="s">
        <v>76</v>
      </c>
      <c r="L2">
        <v>17916</v>
      </c>
      <c r="M2">
        <v>942309.32</v>
      </c>
      <c r="N2">
        <v>745721</v>
      </c>
      <c r="O2">
        <v>48057.78</v>
      </c>
      <c r="P2">
        <v>990367.1</v>
      </c>
      <c r="Q2" s="5">
        <f>P2/E2</f>
        <v>7502.7810606060602</v>
      </c>
    </row>
    <row r="3" spans="1:17" x14ac:dyDescent="0.35">
      <c r="A3">
        <v>103</v>
      </c>
      <c r="B3" t="s">
        <v>15</v>
      </c>
      <c r="C3" s="4">
        <v>44854</v>
      </c>
      <c r="D3" t="s">
        <v>16</v>
      </c>
      <c r="E3">
        <v>132</v>
      </c>
      <c r="F3">
        <v>123</v>
      </c>
      <c r="G3">
        <v>5</v>
      </c>
      <c r="H3">
        <v>1</v>
      </c>
      <c r="I3" t="s">
        <v>77</v>
      </c>
      <c r="J3" t="s">
        <v>76</v>
      </c>
      <c r="L3">
        <v>32828</v>
      </c>
      <c r="M3">
        <v>944530.32</v>
      </c>
      <c r="N3">
        <v>747302</v>
      </c>
      <c r="O3">
        <v>48171.05</v>
      </c>
      <c r="P3">
        <v>992701.37</v>
      </c>
      <c r="Q3" s="5">
        <f t="shared" ref="Q3:Q27" si="0">P3/E3</f>
        <v>7520.4649242424239</v>
      </c>
    </row>
    <row r="4" spans="1:17" x14ac:dyDescent="0.35">
      <c r="A4">
        <v>120</v>
      </c>
      <c r="B4" t="s">
        <v>17</v>
      </c>
      <c r="C4" s="4">
        <v>45020</v>
      </c>
      <c r="D4" t="s">
        <v>18</v>
      </c>
      <c r="E4">
        <v>124</v>
      </c>
      <c r="F4">
        <v>120</v>
      </c>
      <c r="G4">
        <v>4</v>
      </c>
      <c r="H4">
        <v>1</v>
      </c>
      <c r="J4" t="s">
        <v>76</v>
      </c>
      <c r="L4">
        <v>27138</v>
      </c>
      <c r="M4">
        <v>880081.31</v>
      </c>
      <c r="N4">
        <v>696487</v>
      </c>
      <c r="O4">
        <v>44884.15</v>
      </c>
      <c r="P4">
        <v>924965.46</v>
      </c>
      <c r="Q4" s="5">
        <f t="shared" si="0"/>
        <v>7459.3988709677415</v>
      </c>
    </row>
    <row r="5" spans="1:17" x14ac:dyDescent="0.35">
      <c r="A5">
        <v>126</v>
      </c>
      <c r="B5" t="s">
        <v>19</v>
      </c>
      <c r="C5" s="4">
        <v>45057</v>
      </c>
      <c r="D5" t="s">
        <v>20</v>
      </c>
      <c r="E5">
        <v>126</v>
      </c>
      <c r="F5">
        <v>122</v>
      </c>
      <c r="G5">
        <v>4</v>
      </c>
      <c r="H5">
        <v>1</v>
      </c>
      <c r="J5" t="s">
        <v>76</v>
      </c>
      <c r="L5">
        <v>27576</v>
      </c>
      <c r="M5">
        <v>893818.36</v>
      </c>
      <c r="N5">
        <v>707350</v>
      </c>
      <c r="O5">
        <v>45584.74</v>
      </c>
      <c r="P5">
        <v>939403.1</v>
      </c>
      <c r="Q5" s="5">
        <f t="shared" si="0"/>
        <v>7455.5801587301585</v>
      </c>
    </row>
    <row r="6" spans="1:17" x14ac:dyDescent="0.35">
      <c r="A6">
        <v>131</v>
      </c>
      <c r="B6" t="s">
        <v>21</v>
      </c>
      <c r="C6" s="4">
        <v>45085</v>
      </c>
      <c r="D6" t="s">
        <v>22</v>
      </c>
      <c r="E6">
        <v>130</v>
      </c>
      <c r="F6">
        <v>130</v>
      </c>
      <c r="H6">
        <v>2</v>
      </c>
      <c r="J6" t="s">
        <v>76</v>
      </c>
      <c r="L6">
        <v>9245</v>
      </c>
      <c r="M6">
        <v>874289.91</v>
      </c>
      <c r="N6">
        <v>692511</v>
      </c>
      <c r="O6">
        <v>44588.79</v>
      </c>
      <c r="P6">
        <v>918878.7</v>
      </c>
      <c r="Q6" s="5">
        <f t="shared" si="0"/>
        <v>7068.2976923076922</v>
      </c>
    </row>
    <row r="7" spans="1:17" x14ac:dyDescent="0.35">
      <c r="A7">
        <v>138</v>
      </c>
      <c r="B7" t="s">
        <v>23</v>
      </c>
      <c r="C7" s="4">
        <v>45139</v>
      </c>
      <c r="D7" t="s">
        <v>16</v>
      </c>
      <c r="E7">
        <v>123</v>
      </c>
      <c r="F7">
        <v>114</v>
      </c>
      <c r="G7">
        <v>5</v>
      </c>
      <c r="H7">
        <v>1</v>
      </c>
      <c r="I7" t="s">
        <v>77</v>
      </c>
      <c r="J7" t="s">
        <v>76</v>
      </c>
      <c r="L7">
        <v>30520</v>
      </c>
      <c r="M7">
        <v>873735.31</v>
      </c>
      <c r="N7">
        <v>691330</v>
      </c>
      <c r="O7">
        <v>44560.5</v>
      </c>
      <c r="P7">
        <v>918295.81</v>
      </c>
      <c r="Q7" s="5">
        <f t="shared" si="0"/>
        <v>7465.8195934959358</v>
      </c>
    </row>
    <row r="8" spans="1:17" x14ac:dyDescent="0.35">
      <c r="A8">
        <v>139</v>
      </c>
      <c r="B8" t="s">
        <v>24</v>
      </c>
      <c r="C8" s="4">
        <v>45139</v>
      </c>
      <c r="D8" t="s">
        <v>25</v>
      </c>
      <c r="E8">
        <v>127</v>
      </c>
      <c r="F8">
        <v>123</v>
      </c>
      <c r="G8">
        <v>4</v>
      </c>
      <c r="H8">
        <v>1</v>
      </c>
      <c r="J8" t="s">
        <v>76</v>
      </c>
      <c r="L8">
        <v>35034</v>
      </c>
      <c r="M8">
        <v>899820.28</v>
      </c>
      <c r="N8">
        <v>711975</v>
      </c>
      <c r="O8">
        <v>45890.83</v>
      </c>
      <c r="P8">
        <v>945711.11</v>
      </c>
      <c r="Q8" s="5">
        <f t="shared" si="0"/>
        <v>7446.5441732283462</v>
      </c>
    </row>
    <row r="9" spans="1:17" x14ac:dyDescent="0.35">
      <c r="A9">
        <v>143</v>
      </c>
      <c r="B9" t="s">
        <v>26</v>
      </c>
      <c r="C9" s="4">
        <v>45184</v>
      </c>
      <c r="D9" t="s">
        <v>2</v>
      </c>
      <c r="E9">
        <v>124</v>
      </c>
      <c r="F9">
        <v>118</v>
      </c>
      <c r="G9">
        <v>6</v>
      </c>
      <c r="H9">
        <v>1</v>
      </c>
      <c r="J9" t="s">
        <v>76</v>
      </c>
      <c r="L9">
        <v>16830</v>
      </c>
      <c r="M9">
        <v>870417.52</v>
      </c>
      <c r="N9">
        <v>688866</v>
      </c>
      <c r="O9">
        <v>44391.29</v>
      </c>
      <c r="P9">
        <v>914808.81</v>
      </c>
      <c r="Q9" s="5">
        <f t="shared" si="0"/>
        <v>7377.4904032258073</v>
      </c>
    </row>
    <row r="10" spans="1:17" x14ac:dyDescent="0.35">
      <c r="A10">
        <v>151</v>
      </c>
      <c r="B10" t="s">
        <v>27</v>
      </c>
      <c r="C10" s="4">
        <v>45201</v>
      </c>
      <c r="D10" t="s">
        <v>2</v>
      </c>
      <c r="E10">
        <v>124</v>
      </c>
      <c r="F10">
        <v>118</v>
      </c>
      <c r="G10">
        <v>6</v>
      </c>
      <c r="H10">
        <v>1</v>
      </c>
      <c r="J10" t="s">
        <v>76</v>
      </c>
      <c r="L10">
        <v>16830</v>
      </c>
      <c r="M10">
        <v>870417.52</v>
      </c>
      <c r="N10">
        <v>688866</v>
      </c>
      <c r="O10">
        <v>44391.29</v>
      </c>
      <c r="P10">
        <v>914808.81</v>
      </c>
      <c r="Q10" s="5">
        <f t="shared" si="0"/>
        <v>7377.4904032258073</v>
      </c>
    </row>
    <row r="11" spans="1:17" x14ac:dyDescent="0.35">
      <c r="A11">
        <v>161</v>
      </c>
      <c r="B11" t="s">
        <v>28</v>
      </c>
      <c r="C11" s="4">
        <v>45272</v>
      </c>
      <c r="D11" t="s">
        <v>2</v>
      </c>
      <c r="E11">
        <v>124</v>
      </c>
      <c r="F11">
        <v>118</v>
      </c>
      <c r="G11">
        <v>6</v>
      </c>
      <c r="H11">
        <v>1</v>
      </c>
      <c r="J11" t="s">
        <v>76</v>
      </c>
      <c r="L11">
        <v>16830</v>
      </c>
      <c r="M11">
        <v>870417.52</v>
      </c>
      <c r="N11">
        <v>688866</v>
      </c>
      <c r="O11">
        <v>44391.29</v>
      </c>
      <c r="P11">
        <v>914808.81</v>
      </c>
      <c r="Q11" s="5">
        <f t="shared" si="0"/>
        <v>7377.4904032258073</v>
      </c>
    </row>
    <row r="12" spans="1:17" x14ac:dyDescent="0.35">
      <c r="A12">
        <v>165</v>
      </c>
      <c r="B12" t="s">
        <v>29</v>
      </c>
      <c r="C12" s="4">
        <v>45311</v>
      </c>
      <c r="D12" t="s">
        <v>22</v>
      </c>
      <c r="E12">
        <v>128</v>
      </c>
      <c r="F12">
        <v>120</v>
      </c>
      <c r="H12">
        <v>2</v>
      </c>
      <c r="I12" t="s">
        <v>78</v>
      </c>
      <c r="J12" t="s">
        <v>76</v>
      </c>
      <c r="L12">
        <v>11605</v>
      </c>
      <c r="M12">
        <v>863748.83</v>
      </c>
      <c r="N12">
        <v>684127</v>
      </c>
      <c r="O12">
        <v>44051.19</v>
      </c>
      <c r="P12">
        <v>907800.02</v>
      </c>
      <c r="Q12" s="5">
        <f t="shared" si="0"/>
        <v>7092.1876562500001</v>
      </c>
    </row>
    <row r="13" spans="1:17" x14ac:dyDescent="0.35">
      <c r="A13">
        <v>170</v>
      </c>
      <c r="B13" t="s">
        <v>30</v>
      </c>
      <c r="C13" s="4">
        <v>45345</v>
      </c>
      <c r="D13" t="s">
        <v>25</v>
      </c>
      <c r="E13">
        <v>125</v>
      </c>
      <c r="F13">
        <v>108</v>
      </c>
      <c r="G13">
        <v>5</v>
      </c>
      <c r="H13">
        <v>1</v>
      </c>
      <c r="I13" t="s">
        <v>79</v>
      </c>
      <c r="J13" t="s">
        <v>76</v>
      </c>
      <c r="L13">
        <v>31172</v>
      </c>
      <c r="M13">
        <v>887570.87</v>
      </c>
      <c r="N13">
        <v>702267</v>
      </c>
      <c r="O13">
        <v>45266.11</v>
      </c>
      <c r="P13">
        <v>932836.98</v>
      </c>
      <c r="Q13" s="5">
        <f t="shared" si="0"/>
        <v>7462.6958399999994</v>
      </c>
    </row>
    <row r="14" spans="1:17" x14ac:dyDescent="0.35">
      <c r="A14">
        <v>171</v>
      </c>
      <c r="B14" t="s">
        <v>31</v>
      </c>
      <c r="C14" s="4">
        <v>45771</v>
      </c>
      <c r="D14" t="s">
        <v>20</v>
      </c>
      <c r="E14">
        <v>120</v>
      </c>
      <c r="F14">
        <v>112</v>
      </c>
      <c r="G14">
        <v>4</v>
      </c>
      <c r="H14">
        <v>1</v>
      </c>
      <c r="I14" t="s">
        <v>77</v>
      </c>
      <c r="J14" t="s">
        <v>76</v>
      </c>
      <c r="L14">
        <v>25388</v>
      </c>
      <c r="M14">
        <v>843335.45</v>
      </c>
      <c r="N14">
        <v>667448</v>
      </c>
      <c r="O14">
        <v>43010.11</v>
      </c>
      <c r="P14">
        <v>886345.56</v>
      </c>
      <c r="Q14" s="5">
        <f t="shared" si="0"/>
        <v>7386.2130000000006</v>
      </c>
    </row>
    <row r="15" spans="1:17" x14ac:dyDescent="0.35">
      <c r="A15">
        <v>173</v>
      </c>
      <c r="B15" t="s">
        <v>32</v>
      </c>
      <c r="C15" s="4">
        <v>45447</v>
      </c>
      <c r="D15" t="s">
        <v>25</v>
      </c>
      <c r="E15">
        <v>132</v>
      </c>
      <c r="F15">
        <v>126</v>
      </c>
      <c r="G15">
        <v>6</v>
      </c>
      <c r="H15">
        <v>1</v>
      </c>
      <c r="J15" t="s">
        <v>76</v>
      </c>
      <c r="L15">
        <v>36413</v>
      </c>
      <c r="M15">
        <v>935028.96</v>
      </c>
      <c r="N15">
        <v>739658</v>
      </c>
      <c r="O15">
        <v>47686.48</v>
      </c>
      <c r="P15">
        <v>982715.44</v>
      </c>
      <c r="Q15" s="5">
        <f t="shared" si="0"/>
        <v>7444.8139393939391</v>
      </c>
    </row>
    <row r="16" spans="1:17" x14ac:dyDescent="0.35">
      <c r="A16">
        <v>174</v>
      </c>
      <c r="B16" t="s">
        <v>33</v>
      </c>
      <c r="C16" s="4">
        <v>45477</v>
      </c>
      <c r="D16" t="s">
        <v>18</v>
      </c>
      <c r="E16">
        <v>120</v>
      </c>
      <c r="F16">
        <v>110</v>
      </c>
      <c r="G16">
        <v>6</v>
      </c>
      <c r="H16">
        <v>1</v>
      </c>
      <c r="I16" t="s">
        <v>77</v>
      </c>
      <c r="J16" t="s">
        <v>76</v>
      </c>
      <c r="L16">
        <v>25388</v>
      </c>
      <c r="M16">
        <v>845127.07</v>
      </c>
      <c r="N16">
        <v>668709</v>
      </c>
      <c r="O16">
        <v>43101.48</v>
      </c>
      <c r="P16">
        <v>888228.55</v>
      </c>
      <c r="Q16" s="5">
        <f t="shared" si="0"/>
        <v>7401.9045833333339</v>
      </c>
    </row>
    <row r="17" spans="1:17" x14ac:dyDescent="0.35">
      <c r="A17">
        <v>184</v>
      </c>
      <c r="B17" t="s">
        <v>34</v>
      </c>
      <c r="C17" s="4">
        <v>45569</v>
      </c>
      <c r="D17" t="s">
        <v>2</v>
      </c>
      <c r="E17">
        <v>88</v>
      </c>
      <c r="H17">
        <v>2</v>
      </c>
      <c r="J17" t="s">
        <v>76</v>
      </c>
      <c r="L17">
        <v>0</v>
      </c>
      <c r="M17">
        <v>582807.02</v>
      </c>
      <c r="N17">
        <v>462011</v>
      </c>
      <c r="O17">
        <v>29723.16</v>
      </c>
      <c r="P17">
        <v>612530.18000000005</v>
      </c>
      <c r="Q17" s="5">
        <f t="shared" si="0"/>
        <v>6960.5702272727276</v>
      </c>
    </row>
    <row r="18" spans="1:17" x14ac:dyDescent="0.35">
      <c r="A18">
        <v>186</v>
      </c>
      <c r="B18" t="s">
        <v>35</v>
      </c>
      <c r="C18" s="4">
        <v>45587</v>
      </c>
      <c r="D18" t="s">
        <v>25</v>
      </c>
      <c r="E18">
        <v>125</v>
      </c>
      <c r="F18">
        <v>120</v>
      </c>
      <c r="G18">
        <v>5</v>
      </c>
      <c r="H18">
        <v>1</v>
      </c>
      <c r="J18" t="s">
        <v>76</v>
      </c>
      <c r="L18">
        <v>34482</v>
      </c>
      <c r="M18">
        <v>882412.97</v>
      </c>
      <c r="N18">
        <v>698137</v>
      </c>
      <c r="O18">
        <v>45003.06</v>
      </c>
      <c r="P18">
        <v>927416.03</v>
      </c>
      <c r="Q18" s="5">
        <f t="shared" si="0"/>
        <v>7419.3282399999998</v>
      </c>
    </row>
    <row r="19" spans="1:17" x14ac:dyDescent="0.35">
      <c r="A19">
        <v>189</v>
      </c>
      <c r="B19" t="s">
        <v>36</v>
      </c>
      <c r="C19" s="4">
        <v>45597</v>
      </c>
      <c r="D19" t="s">
        <v>20</v>
      </c>
      <c r="E19">
        <v>125</v>
      </c>
      <c r="F19">
        <v>121</v>
      </c>
      <c r="G19">
        <v>4</v>
      </c>
      <c r="H19">
        <v>1</v>
      </c>
      <c r="J19" t="s">
        <v>76</v>
      </c>
      <c r="L19">
        <v>28383</v>
      </c>
      <c r="M19">
        <v>870756.32</v>
      </c>
      <c r="N19">
        <v>689103</v>
      </c>
      <c r="O19">
        <v>44408.57</v>
      </c>
      <c r="P19">
        <v>915164.89</v>
      </c>
      <c r="Q19" s="5">
        <f t="shared" si="0"/>
        <v>7321.3191200000001</v>
      </c>
    </row>
    <row r="20" spans="1:17" x14ac:dyDescent="0.35">
      <c r="A20">
        <v>190</v>
      </c>
      <c r="B20" t="s">
        <v>37</v>
      </c>
      <c r="C20" s="4">
        <v>45597</v>
      </c>
      <c r="D20" t="s">
        <v>38</v>
      </c>
      <c r="E20">
        <v>132</v>
      </c>
      <c r="F20">
        <v>127</v>
      </c>
      <c r="G20">
        <v>5</v>
      </c>
      <c r="H20">
        <v>1</v>
      </c>
      <c r="J20" t="s">
        <v>76</v>
      </c>
      <c r="L20">
        <v>13198</v>
      </c>
      <c r="M20">
        <v>904831.42</v>
      </c>
      <c r="N20">
        <v>716255</v>
      </c>
      <c r="O20">
        <v>46146.400000000001</v>
      </c>
      <c r="P20">
        <v>950977.82</v>
      </c>
      <c r="Q20" s="5">
        <f t="shared" si="0"/>
        <v>7204.3774242424242</v>
      </c>
    </row>
    <row r="21" spans="1:17" x14ac:dyDescent="0.35">
      <c r="A21">
        <v>192</v>
      </c>
      <c r="B21" t="s">
        <v>39</v>
      </c>
      <c r="C21" s="4">
        <v>45597</v>
      </c>
      <c r="D21" t="s">
        <v>16</v>
      </c>
      <c r="E21">
        <v>122</v>
      </c>
      <c r="F21">
        <v>101</v>
      </c>
      <c r="G21">
        <v>5</v>
      </c>
      <c r="H21">
        <v>1</v>
      </c>
      <c r="I21" t="s">
        <v>80</v>
      </c>
      <c r="J21" t="s">
        <v>76</v>
      </c>
      <c r="L21">
        <v>27186</v>
      </c>
      <c r="M21">
        <v>855019.22</v>
      </c>
      <c r="N21">
        <v>676588</v>
      </c>
      <c r="O21">
        <v>43605.98</v>
      </c>
      <c r="P21">
        <v>898625.2</v>
      </c>
      <c r="Q21" s="5">
        <f t="shared" si="0"/>
        <v>7365.7803278688525</v>
      </c>
    </row>
    <row r="22" spans="1:17" x14ac:dyDescent="0.35">
      <c r="A22">
        <v>194</v>
      </c>
      <c r="B22" t="s">
        <v>40</v>
      </c>
      <c r="C22" s="4">
        <v>45639</v>
      </c>
      <c r="D22" t="s">
        <v>18</v>
      </c>
      <c r="E22">
        <v>120</v>
      </c>
      <c r="F22">
        <v>114</v>
      </c>
      <c r="G22">
        <v>6</v>
      </c>
      <c r="H22">
        <v>1</v>
      </c>
      <c r="J22" t="s">
        <v>76</v>
      </c>
      <c r="L22">
        <v>26263</v>
      </c>
      <c r="M22">
        <v>846075.35</v>
      </c>
      <c r="N22">
        <v>669444</v>
      </c>
      <c r="O22">
        <v>43149.84</v>
      </c>
      <c r="P22">
        <v>889225.19</v>
      </c>
      <c r="Q22" s="5">
        <f t="shared" si="0"/>
        <v>7410.2099166666658</v>
      </c>
    </row>
    <row r="23" spans="1:17" x14ac:dyDescent="0.35">
      <c r="A23">
        <v>205</v>
      </c>
      <c r="B23" t="s">
        <v>41</v>
      </c>
      <c r="C23" s="4">
        <v>45713</v>
      </c>
      <c r="D23" t="s">
        <v>38</v>
      </c>
      <c r="E23">
        <v>58</v>
      </c>
      <c r="F23">
        <v>58</v>
      </c>
      <c r="J23" t="s">
        <v>76</v>
      </c>
      <c r="L23">
        <v>0</v>
      </c>
      <c r="M23">
        <v>681305.96</v>
      </c>
      <c r="N23">
        <v>560658</v>
      </c>
      <c r="O23">
        <v>34746.6</v>
      </c>
      <c r="P23">
        <v>716052.56</v>
      </c>
      <c r="Q23" s="5">
        <f t="shared" si="0"/>
        <v>12345.733793103449</v>
      </c>
    </row>
    <row r="24" spans="1:17" x14ac:dyDescent="0.35">
      <c r="A24">
        <v>206</v>
      </c>
      <c r="B24" t="s">
        <v>42</v>
      </c>
      <c r="C24" s="4">
        <v>45713</v>
      </c>
      <c r="D24" t="s">
        <v>16</v>
      </c>
      <c r="E24">
        <v>124</v>
      </c>
      <c r="F24">
        <v>119</v>
      </c>
      <c r="G24">
        <v>5</v>
      </c>
      <c r="H24">
        <v>1</v>
      </c>
      <c r="J24" t="s">
        <v>76</v>
      </c>
      <c r="L24">
        <v>4518</v>
      </c>
      <c r="M24">
        <v>843456.02</v>
      </c>
      <c r="N24">
        <v>667839</v>
      </c>
      <c r="O24">
        <v>43016.26</v>
      </c>
      <c r="P24">
        <v>886472.28</v>
      </c>
      <c r="Q24" s="5">
        <f t="shared" si="0"/>
        <v>7148.97</v>
      </c>
    </row>
    <row r="25" spans="1:17" x14ac:dyDescent="0.35">
      <c r="A25">
        <v>210</v>
      </c>
      <c r="B25" t="s">
        <v>43</v>
      </c>
      <c r="C25" s="4">
        <v>45759</v>
      </c>
      <c r="D25" t="s">
        <v>25</v>
      </c>
      <c r="E25">
        <v>126</v>
      </c>
      <c r="F25">
        <v>120</v>
      </c>
      <c r="G25">
        <v>6</v>
      </c>
      <c r="H25">
        <v>1</v>
      </c>
      <c r="J25" t="s">
        <v>76</v>
      </c>
      <c r="L25">
        <v>0</v>
      </c>
      <c r="M25">
        <v>856603.76</v>
      </c>
      <c r="N25">
        <v>678241</v>
      </c>
      <c r="O25">
        <v>43686.79</v>
      </c>
      <c r="P25">
        <v>900290.55</v>
      </c>
      <c r="Q25" s="5">
        <f t="shared" si="0"/>
        <v>7145.1630952380956</v>
      </c>
    </row>
    <row r="26" spans="1:17" x14ac:dyDescent="0.35">
      <c r="A26">
        <v>213</v>
      </c>
      <c r="B26" t="s">
        <v>44</v>
      </c>
      <c r="C26" s="4">
        <v>45789</v>
      </c>
      <c r="D26" t="s">
        <v>38</v>
      </c>
      <c r="E26">
        <v>93</v>
      </c>
      <c r="F26">
        <v>89</v>
      </c>
      <c r="G26">
        <v>4</v>
      </c>
      <c r="H26">
        <v>1</v>
      </c>
      <c r="J26" t="s">
        <v>76</v>
      </c>
      <c r="L26">
        <v>0</v>
      </c>
      <c r="M26">
        <v>628753.80000000005</v>
      </c>
      <c r="N26">
        <v>498151</v>
      </c>
      <c r="O26">
        <v>32066.44</v>
      </c>
      <c r="P26">
        <v>660820.24</v>
      </c>
      <c r="Q26" s="5">
        <f t="shared" si="0"/>
        <v>7105.5939784946231</v>
      </c>
    </row>
    <row r="27" spans="1:17" x14ac:dyDescent="0.35">
      <c r="A27" t="s">
        <v>81</v>
      </c>
      <c r="N27">
        <v>19938037</v>
      </c>
      <c r="Q27" s="5" t="e">
        <f t="shared" si="0"/>
        <v>#DIV/0!</v>
      </c>
    </row>
    <row r="29" spans="1:17" x14ac:dyDescent="0.35">
      <c r="A29" t="s">
        <v>46</v>
      </c>
    </row>
    <row r="30" spans="1:17" x14ac:dyDescent="0.35">
      <c r="C30" t="s">
        <v>47</v>
      </c>
      <c r="D30" t="s">
        <v>48</v>
      </c>
      <c r="E30" t="s">
        <v>49</v>
      </c>
      <c r="F30" t="s">
        <v>50</v>
      </c>
    </row>
    <row r="31" spans="1:17" x14ac:dyDescent="0.35">
      <c r="A31">
        <v>500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</row>
    <row r="32" spans="1:17" x14ac:dyDescent="0.35">
      <c r="A32">
        <v>501</v>
      </c>
      <c r="B32" t="s">
        <v>56</v>
      </c>
      <c r="C32" t="s">
        <v>57</v>
      </c>
      <c r="D32" t="s">
        <v>58</v>
      </c>
      <c r="E32" t="s">
        <v>59</v>
      </c>
      <c r="F32" t="s">
        <v>60</v>
      </c>
    </row>
    <row r="34" spans="2:3" x14ac:dyDescent="0.35">
      <c r="B34" t="s">
        <v>61</v>
      </c>
      <c r="C34" t="s">
        <v>62</v>
      </c>
    </row>
    <row r="35" spans="2:3" x14ac:dyDescent="0.35">
      <c r="B35" t="s">
        <v>63</v>
      </c>
      <c r="C3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2025-06-12T16:13:45Z</dcterms:created>
  <dcterms:modified xsi:type="dcterms:W3CDTF">2025-06-12T16:38:21Z</dcterms:modified>
</cp:coreProperties>
</file>