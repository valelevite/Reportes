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\Documents\Valeria\Supervisoras\"/>
    </mc:Choice>
  </mc:AlternateContent>
  <bookViews>
    <workbookView xWindow="0" yWindow="0" windowWidth="23040" windowHeight="9190" activeTab="1"/>
  </bookViews>
  <sheets>
    <sheet name="Noviembre" sheetId="4" r:id="rId1"/>
    <sheet name="Diciembre" sheetId="10" r:id="rId2"/>
    <sheet name="Aux" sheetId="11" r:id="rId3"/>
  </sheets>
  <functionGroups builtInGroupCount="18"/>
  <definedNames>
    <definedName name="_xlnm._FilterDatabase" localSheetId="1" hidden="1">Diciembre!$A$21:$G$393</definedName>
    <definedName name="_xlnm._FilterDatabase" localSheetId="0" hidden="1">Noviembre!$A$21:$G$381</definedName>
    <definedName name="_xlchart.0" hidden="1">Diciembre!$O$5</definedName>
    <definedName name="_xlchart.1" hidden="1">Diciembre!$S$5:$T$5</definedName>
    <definedName name="_xlchart.2" hidden="1">Diciembre!$S$5:$T$5</definedName>
    <definedName name="_xlchart.3" hidden="1">Diciembre!$Q$6</definedName>
    <definedName name="_xlchart.4" hidden="1">Diciembre!$U$6:$V$6</definedName>
    <definedName name="_xlchart.5" hidden="1">Diciembre!$O$6</definedName>
    <definedName name="_xlchart.6" hidden="1">Diciembre!$S$6:$T$6</definedName>
    <definedName name="_xlchart.7" hidden="1">Diciembre!$O$5</definedName>
    <definedName name="_xlchart.8" hidden="1">Diciembre!$S$5:$T$5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0" l="1"/>
  <c r="B15" i="10"/>
  <c r="B14" i="10"/>
  <c r="B13" i="10"/>
  <c r="B12" i="10"/>
  <c r="B11" i="10"/>
  <c r="B10" i="10"/>
  <c r="B9" i="10"/>
  <c r="B8" i="10"/>
  <c r="B7" i="10"/>
  <c r="B6" i="10"/>
  <c r="C6" i="10"/>
  <c r="D6" i="10"/>
  <c r="E6" i="10"/>
  <c r="C7" i="10"/>
  <c r="D7" i="10"/>
  <c r="E7" i="10"/>
  <c r="C8" i="10"/>
  <c r="D8" i="10"/>
  <c r="E8" i="10"/>
  <c r="C9" i="10"/>
  <c r="D9" i="10"/>
  <c r="E9" i="10"/>
  <c r="C10" i="10"/>
  <c r="D10" i="10"/>
  <c r="E10" i="10"/>
  <c r="C11" i="10"/>
  <c r="D11" i="10"/>
  <c r="E11" i="10"/>
  <c r="C12" i="10"/>
  <c r="D12" i="10"/>
  <c r="E12" i="10"/>
  <c r="C13" i="10"/>
  <c r="D13" i="10"/>
  <c r="E13" i="10"/>
  <c r="C14" i="10"/>
  <c r="D14" i="10"/>
  <c r="E14" i="10"/>
  <c r="C15" i="10"/>
  <c r="D15" i="10"/>
  <c r="E15" i="10"/>
  <c r="C16" i="10"/>
  <c r="D16" i="10"/>
  <c r="E16" i="10"/>
  <c r="E29" i="11"/>
  <c r="E28" i="11"/>
  <c r="E27" i="11"/>
  <c r="E26" i="11"/>
  <c r="D29" i="11"/>
  <c r="D28" i="11"/>
  <c r="D27" i="11"/>
  <c r="D26" i="11"/>
  <c r="C29" i="11"/>
  <c r="C28" i="11"/>
  <c r="C27" i="11"/>
  <c r="C26" i="11"/>
  <c r="D14" i="11"/>
  <c r="A14" i="11"/>
  <c r="E14" i="11" s="1"/>
  <c r="A13" i="11"/>
  <c r="E13" i="11" s="1"/>
  <c r="E12" i="11"/>
  <c r="D12" i="11"/>
  <c r="A12" i="11"/>
  <c r="C12" i="11" s="1"/>
  <c r="A11" i="11"/>
  <c r="E11" i="11" s="1"/>
  <c r="A10" i="11"/>
  <c r="E10" i="11" s="1"/>
  <c r="E9" i="11"/>
  <c r="D9" i="11"/>
  <c r="C9" i="11"/>
  <c r="A9" i="11"/>
  <c r="B9" i="11" s="1"/>
  <c r="A8" i="11"/>
  <c r="E8" i="11" s="1"/>
  <c r="A7" i="11"/>
  <c r="D7" i="11" s="1"/>
  <c r="E6" i="11"/>
  <c r="D6" i="11"/>
  <c r="C6" i="11"/>
  <c r="B6" i="11"/>
  <c r="A6" i="11"/>
  <c r="E5" i="11"/>
  <c r="A5" i="11"/>
  <c r="B5" i="11" s="1"/>
  <c r="D4" i="11"/>
  <c r="B4" i="11"/>
  <c r="A4" i="11"/>
  <c r="C4" i="11" s="1"/>
  <c r="E17" i="10" l="1"/>
  <c r="D17" i="10"/>
  <c r="C17" i="10"/>
  <c r="B17" i="10"/>
  <c r="C7" i="11"/>
  <c r="D10" i="11"/>
  <c r="E4" i="11"/>
  <c r="E7" i="11"/>
  <c r="B11" i="11"/>
  <c r="B14" i="11"/>
  <c r="C11" i="11"/>
  <c r="C14" i="11"/>
  <c r="B12" i="11"/>
  <c r="B8" i="11"/>
  <c r="C8" i="11"/>
  <c r="D11" i="11"/>
  <c r="B13" i="11"/>
  <c r="C5" i="11"/>
  <c r="D8" i="11"/>
  <c r="B10" i="11"/>
  <c r="C13" i="11"/>
  <c r="D5" i="11"/>
  <c r="B7" i="11"/>
  <c r="C10" i="11"/>
  <c r="D13" i="11"/>
  <c r="G16" i="4"/>
  <c r="G15" i="4"/>
  <c r="G14" i="4"/>
  <c r="G13" i="4"/>
  <c r="G12" i="4"/>
  <c r="G11" i="4"/>
  <c r="G10" i="4"/>
  <c r="G9" i="4"/>
  <c r="G8" i="4"/>
  <c r="G7" i="4"/>
  <c r="G6" i="4"/>
  <c r="F16" i="4"/>
  <c r="F15" i="4"/>
  <c r="F14" i="4"/>
  <c r="F13" i="4"/>
  <c r="F12" i="4"/>
  <c r="F11" i="4"/>
  <c r="F10" i="4"/>
  <c r="F9" i="4"/>
  <c r="F8" i="4"/>
  <c r="F7" i="4"/>
  <c r="F6" i="4"/>
  <c r="E16" i="4"/>
  <c r="E15" i="4"/>
  <c r="E14" i="4"/>
  <c r="E13" i="4"/>
  <c r="E12" i="4"/>
  <c r="E11" i="4"/>
  <c r="E10" i="4"/>
  <c r="I10" i="4" s="1"/>
  <c r="E9" i="4"/>
  <c r="E8" i="4"/>
  <c r="E7" i="4"/>
  <c r="E6" i="4"/>
  <c r="D16" i="4"/>
  <c r="D15" i="4"/>
  <c r="D14" i="4"/>
  <c r="D13" i="4"/>
  <c r="D12" i="4"/>
  <c r="D11" i="4"/>
  <c r="D10" i="4"/>
  <c r="D9" i="4"/>
  <c r="D8" i="4"/>
  <c r="D7" i="4"/>
  <c r="D6" i="4"/>
  <c r="C16" i="4"/>
  <c r="C15" i="4"/>
  <c r="C14" i="4"/>
  <c r="C13" i="4"/>
  <c r="C12" i="4"/>
  <c r="C11" i="4"/>
  <c r="C10" i="4"/>
  <c r="C9" i="4"/>
  <c r="C8" i="4"/>
  <c r="C7" i="4"/>
  <c r="C6" i="4"/>
  <c r="B16" i="4"/>
  <c r="B15" i="4"/>
  <c r="B14" i="4"/>
  <c r="B13" i="4"/>
  <c r="B12" i="4"/>
  <c r="B11" i="4"/>
  <c r="B10" i="4"/>
  <c r="B9" i="4"/>
  <c r="B8" i="4"/>
  <c r="B7" i="4"/>
  <c r="B6" i="4"/>
  <c r="K16" i="10"/>
  <c r="K15" i="10"/>
  <c r="K14" i="10"/>
  <c r="K13" i="10"/>
  <c r="K12" i="10"/>
  <c r="K11" i="10"/>
  <c r="K10" i="10"/>
  <c r="K9" i="10"/>
  <c r="K8" i="10"/>
  <c r="K7" i="10"/>
  <c r="K6" i="10"/>
  <c r="J16" i="10"/>
  <c r="J15" i="10"/>
  <c r="J14" i="10"/>
  <c r="J13" i="10"/>
  <c r="J12" i="10"/>
  <c r="J11" i="10"/>
  <c r="J10" i="10"/>
  <c r="J9" i="10"/>
  <c r="J8" i="10"/>
  <c r="J7" i="10"/>
  <c r="J6" i="10"/>
  <c r="I16" i="10"/>
  <c r="I15" i="10"/>
  <c r="I14" i="10"/>
  <c r="I13" i="10"/>
  <c r="I12" i="10"/>
  <c r="I11" i="10"/>
  <c r="I10" i="10"/>
  <c r="I9" i="10"/>
  <c r="I8" i="10"/>
  <c r="I7" i="10"/>
  <c r="I6" i="10"/>
  <c r="H16" i="10"/>
  <c r="G16" i="10"/>
  <c r="F16" i="10"/>
  <c r="H15" i="10"/>
  <c r="G15" i="10"/>
  <c r="F15" i="10"/>
  <c r="H14" i="10"/>
  <c r="G14" i="10"/>
  <c r="F14" i="10"/>
  <c r="H13" i="10"/>
  <c r="G13" i="10"/>
  <c r="F13" i="10"/>
  <c r="H12" i="10"/>
  <c r="G12" i="10"/>
  <c r="F12" i="10"/>
  <c r="H11" i="10"/>
  <c r="G11" i="10"/>
  <c r="F11" i="10"/>
  <c r="H10" i="10"/>
  <c r="G10" i="10"/>
  <c r="F10" i="10"/>
  <c r="H9" i="10"/>
  <c r="G9" i="10"/>
  <c r="F9" i="10"/>
  <c r="H8" i="10"/>
  <c r="G8" i="10"/>
  <c r="F8" i="10"/>
  <c r="H7" i="10"/>
  <c r="G7" i="10"/>
  <c r="F7" i="10"/>
  <c r="H6" i="10"/>
  <c r="G6" i="10"/>
  <c r="F6" i="10"/>
  <c r="I16" i="4" l="1"/>
  <c r="M16" i="10"/>
  <c r="I11" i="4"/>
  <c r="I7" i="4"/>
  <c r="I15" i="4"/>
  <c r="I9" i="4"/>
  <c r="M9" i="10"/>
  <c r="M13" i="10"/>
  <c r="M6" i="10"/>
  <c r="M10" i="10"/>
  <c r="M14" i="10"/>
  <c r="M7" i="10"/>
  <c r="M11" i="10"/>
  <c r="M15" i="10"/>
  <c r="M8" i="10"/>
  <c r="M12" i="10"/>
  <c r="I8" i="4"/>
  <c r="I12" i="4"/>
  <c r="I13" i="4"/>
  <c r="I6" i="4"/>
  <c r="I14" i="4"/>
  <c r="W393" i="10"/>
  <c r="R393" i="10"/>
  <c r="W392" i="10"/>
  <c r="R392" i="10"/>
  <c r="W391" i="10"/>
  <c r="R391" i="10"/>
  <c r="W390" i="10"/>
  <c r="R390" i="10"/>
  <c r="W389" i="10"/>
  <c r="R389" i="10"/>
  <c r="W388" i="10"/>
  <c r="R388" i="10"/>
  <c r="W387" i="10"/>
  <c r="R387" i="10"/>
  <c r="W386" i="10"/>
  <c r="R386" i="10"/>
  <c r="W385" i="10"/>
  <c r="R385" i="10"/>
  <c r="W384" i="10"/>
  <c r="R384" i="10"/>
  <c r="W383" i="10"/>
  <c r="R383" i="10"/>
  <c r="R382" i="10"/>
  <c r="O390" i="10"/>
  <c r="O389" i="10"/>
  <c r="O388" i="10"/>
  <c r="O387" i="10"/>
  <c r="O386" i="10"/>
  <c r="O385" i="10"/>
  <c r="O384" i="10"/>
  <c r="O383" i="10"/>
  <c r="O382" i="10"/>
  <c r="O378" i="10"/>
  <c r="O377" i="10"/>
  <c r="O376" i="10"/>
  <c r="O375" i="10"/>
  <c r="O374" i="10"/>
  <c r="O373" i="10"/>
  <c r="O372" i="10"/>
  <c r="O371" i="10"/>
  <c r="O370" i="10"/>
  <c r="O366" i="10"/>
  <c r="O365" i="10"/>
  <c r="O364" i="10"/>
  <c r="O363" i="10"/>
  <c r="O362" i="10"/>
  <c r="O361" i="10"/>
  <c r="O360" i="10"/>
  <c r="O359" i="10"/>
  <c r="O358" i="10"/>
  <c r="O330" i="10"/>
  <c r="O329" i="10"/>
  <c r="O328" i="10"/>
  <c r="O327" i="10"/>
  <c r="O326" i="10"/>
  <c r="O325" i="10"/>
  <c r="O324" i="10"/>
  <c r="O323" i="10"/>
  <c r="O322" i="10"/>
  <c r="O306" i="10"/>
  <c r="O305" i="10"/>
  <c r="O304" i="10"/>
  <c r="O303" i="10"/>
  <c r="O302" i="10"/>
  <c r="O301" i="10"/>
  <c r="O300" i="10"/>
  <c r="O299" i="10"/>
  <c r="O298" i="10"/>
  <c r="O294" i="10"/>
  <c r="O293" i="10"/>
  <c r="O292" i="10"/>
  <c r="O291" i="10"/>
  <c r="O290" i="10"/>
  <c r="O289" i="10"/>
  <c r="O288" i="10"/>
  <c r="O287" i="10"/>
  <c r="O286" i="10"/>
  <c r="O282" i="10"/>
  <c r="O281" i="10"/>
  <c r="O280" i="10"/>
  <c r="O279" i="10"/>
  <c r="O278" i="10"/>
  <c r="O277" i="10"/>
  <c r="O276" i="10"/>
  <c r="O275" i="10"/>
  <c r="O274" i="10"/>
  <c r="O246" i="10"/>
  <c r="O245" i="10"/>
  <c r="O244" i="10"/>
  <c r="O243" i="10"/>
  <c r="O242" i="10"/>
  <c r="O241" i="10"/>
  <c r="O240" i="10"/>
  <c r="O239" i="10"/>
  <c r="O238" i="10"/>
  <c r="O234" i="10"/>
  <c r="O233" i="10"/>
  <c r="O232" i="10"/>
  <c r="O231" i="10"/>
  <c r="O230" i="10"/>
  <c r="O229" i="10"/>
  <c r="O228" i="10"/>
  <c r="O227" i="10"/>
  <c r="O226" i="10"/>
  <c r="O222" i="10"/>
  <c r="O221" i="10"/>
  <c r="O220" i="10"/>
  <c r="O219" i="10"/>
  <c r="O218" i="10"/>
  <c r="O217" i="10"/>
  <c r="O216" i="10"/>
  <c r="O215" i="10"/>
  <c r="O214" i="10"/>
  <c r="O210" i="10"/>
  <c r="O209" i="10"/>
  <c r="O208" i="10"/>
  <c r="O207" i="10"/>
  <c r="O206" i="10"/>
  <c r="O205" i="10"/>
  <c r="O204" i="10"/>
  <c r="O203" i="10"/>
  <c r="O202" i="10"/>
  <c r="O198" i="10"/>
  <c r="O197" i="10"/>
  <c r="O196" i="10"/>
  <c r="O195" i="10"/>
  <c r="O194" i="10"/>
  <c r="O193" i="10"/>
  <c r="O192" i="10"/>
  <c r="O191" i="10"/>
  <c r="O190" i="10"/>
  <c r="O162" i="10"/>
  <c r="O161" i="10"/>
  <c r="O160" i="10"/>
  <c r="O159" i="10"/>
  <c r="O158" i="10"/>
  <c r="O157" i="10"/>
  <c r="O156" i="10"/>
  <c r="O155" i="10"/>
  <c r="O154" i="10"/>
  <c r="O150" i="10"/>
  <c r="O149" i="10"/>
  <c r="O148" i="10"/>
  <c r="O147" i="10"/>
  <c r="O146" i="10"/>
  <c r="O145" i="10"/>
  <c r="O144" i="10"/>
  <c r="O143" i="10"/>
  <c r="O142" i="10"/>
  <c r="O138" i="10"/>
  <c r="O137" i="10"/>
  <c r="O136" i="10"/>
  <c r="O135" i="10"/>
  <c r="O134" i="10"/>
  <c r="O133" i="10"/>
  <c r="O132" i="10"/>
  <c r="O131" i="10"/>
  <c r="O130" i="10"/>
  <c r="O126" i="10"/>
  <c r="O125" i="10"/>
  <c r="O124" i="10"/>
  <c r="O123" i="10"/>
  <c r="O122" i="10"/>
  <c r="O121" i="10"/>
  <c r="O120" i="10"/>
  <c r="O119" i="10"/>
  <c r="O118" i="10"/>
  <c r="O114" i="10"/>
  <c r="O113" i="10"/>
  <c r="O112" i="10"/>
  <c r="O111" i="10"/>
  <c r="O110" i="10"/>
  <c r="O109" i="10"/>
  <c r="O108" i="10"/>
  <c r="O107" i="10"/>
  <c r="O106" i="10"/>
  <c r="O78" i="10"/>
  <c r="O77" i="10"/>
  <c r="O76" i="10"/>
  <c r="O75" i="10"/>
  <c r="O74" i="10"/>
  <c r="O73" i="10"/>
  <c r="O72" i="10"/>
  <c r="O71" i="10"/>
  <c r="O70" i="10"/>
  <c r="O42" i="10"/>
  <c r="O41" i="10"/>
  <c r="O40" i="10"/>
  <c r="O39" i="10"/>
  <c r="O38" i="10"/>
  <c r="O37" i="10"/>
  <c r="O36" i="10"/>
  <c r="O35" i="10"/>
  <c r="O34" i="10"/>
  <c r="O30" i="10"/>
  <c r="O29" i="10"/>
  <c r="O28" i="10"/>
  <c r="O27" i="10"/>
  <c r="O26" i="10"/>
  <c r="O25" i="10"/>
  <c r="O24" i="10"/>
  <c r="O23" i="10"/>
  <c r="O22" i="10"/>
  <c r="J393" i="10"/>
  <c r="J392" i="10"/>
  <c r="J391" i="10"/>
  <c r="J390" i="10"/>
  <c r="J389" i="10"/>
  <c r="J388" i="10"/>
  <c r="J387" i="10"/>
  <c r="J386" i="10"/>
  <c r="J385" i="10"/>
  <c r="J384" i="10"/>
  <c r="J383" i="10"/>
  <c r="J382" i="10"/>
  <c r="B382" i="10" l="1"/>
  <c r="B393" i="10"/>
  <c r="G392" i="10"/>
  <c r="B392" i="10"/>
  <c r="G391" i="10"/>
  <c r="B391" i="10"/>
  <c r="G390" i="10"/>
  <c r="B390" i="10"/>
  <c r="G389" i="10"/>
  <c r="B389" i="10"/>
  <c r="G388" i="10"/>
  <c r="B388" i="10"/>
  <c r="G387" i="10"/>
  <c r="B387" i="10"/>
  <c r="G386" i="10"/>
  <c r="B386" i="10"/>
  <c r="G385" i="10"/>
  <c r="B385" i="10"/>
  <c r="G384" i="10"/>
  <c r="B384" i="10"/>
  <c r="B383" i="10"/>
  <c r="W381" i="10" l="1"/>
  <c r="R381" i="10"/>
  <c r="J381" i="10"/>
  <c r="B381" i="10"/>
  <c r="W380" i="10"/>
  <c r="R380" i="10"/>
  <c r="J380" i="10"/>
  <c r="G380" i="10"/>
  <c r="B380" i="10"/>
  <c r="W379" i="10"/>
  <c r="R379" i="10"/>
  <c r="J379" i="10"/>
  <c r="G379" i="10"/>
  <c r="B379" i="10"/>
  <c r="W378" i="10"/>
  <c r="R378" i="10"/>
  <c r="J378" i="10"/>
  <c r="G378" i="10"/>
  <c r="B378" i="10"/>
  <c r="W377" i="10"/>
  <c r="R377" i="10"/>
  <c r="J377" i="10"/>
  <c r="G377" i="10"/>
  <c r="B377" i="10"/>
  <c r="W376" i="10"/>
  <c r="R376" i="10"/>
  <c r="J376" i="10"/>
  <c r="G376" i="10"/>
  <c r="B376" i="10"/>
  <c r="W375" i="10"/>
  <c r="R375" i="10"/>
  <c r="J375" i="10"/>
  <c r="G375" i="10"/>
  <c r="B375" i="10"/>
  <c r="W374" i="10"/>
  <c r="R374" i="10"/>
  <c r="J374" i="10"/>
  <c r="G374" i="10"/>
  <c r="B374" i="10"/>
  <c r="W373" i="10"/>
  <c r="R373" i="10"/>
  <c r="J373" i="10"/>
  <c r="G373" i="10"/>
  <c r="B373" i="10"/>
  <c r="W372" i="10"/>
  <c r="R372" i="10"/>
  <c r="J372" i="10"/>
  <c r="G372" i="10"/>
  <c r="B372" i="10"/>
  <c r="W371" i="10"/>
  <c r="R371" i="10"/>
  <c r="J371" i="10"/>
  <c r="B371" i="10"/>
  <c r="R370" i="10"/>
  <c r="J370" i="10"/>
  <c r="B370" i="10"/>
  <c r="W369" i="10"/>
  <c r="R369" i="10"/>
  <c r="J369" i="10"/>
  <c r="B369" i="10"/>
  <c r="W368" i="10"/>
  <c r="R368" i="10"/>
  <c r="J368" i="10"/>
  <c r="G368" i="10"/>
  <c r="B368" i="10"/>
  <c r="W367" i="10"/>
  <c r="R367" i="10"/>
  <c r="J367" i="10"/>
  <c r="G367" i="10"/>
  <c r="B367" i="10"/>
  <c r="W366" i="10"/>
  <c r="R366" i="10"/>
  <c r="J366" i="10"/>
  <c r="G366" i="10"/>
  <c r="B366" i="10"/>
  <c r="W365" i="10"/>
  <c r="R365" i="10"/>
  <c r="J365" i="10"/>
  <c r="G365" i="10"/>
  <c r="B365" i="10"/>
  <c r="W364" i="10"/>
  <c r="R364" i="10"/>
  <c r="J364" i="10"/>
  <c r="G364" i="10"/>
  <c r="B364" i="10"/>
  <c r="W363" i="10"/>
  <c r="R363" i="10"/>
  <c r="J363" i="10"/>
  <c r="G363" i="10"/>
  <c r="B363" i="10"/>
  <c r="W362" i="10"/>
  <c r="R362" i="10"/>
  <c r="J362" i="10"/>
  <c r="G362" i="10"/>
  <c r="B362" i="10"/>
  <c r="W361" i="10"/>
  <c r="R361" i="10"/>
  <c r="J361" i="10"/>
  <c r="G361" i="10"/>
  <c r="B361" i="10"/>
  <c r="W360" i="10"/>
  <c r="R360" i="10"/>
  <c r="J360" i="10"/>
  <c r="G360" i="10"/>
  <c r="B360" i="10"/>
  <c r="W359" i="10"/>
  <c r="R359" i="10"/>
  <c r="J359" i="10"/>
  <c r="B359" i="10"/>
  <c r="R358" i="10"/>
  <c r="J358" i="10"/>
  <c r="B358" i="10"/>
  <c r="W357" i="10"/>
  <c r="R357" i="10"/>
  <c r="J357" i="10"/>
  <c r="B357" i="10"/>
  <c r="W356" i="10"/>
  <c r="R356" i="10"/>
  <c r="J356" i="10"/>
  <c r="G356" i="10"/>
  <c r="B356" i="10"/>
  <c r="W355" i="10"/>
  <c r="R355" i="10"/>
  <c r="J355" i="10"/>
  <c r="G355" i="10"/>
  <c r="B355" i="10"/>
  <c r="W354" i="10"/>
  <c r="R354" i="10"/>
  <c r="J354" i="10"/>
  <c r="G354" i="10"/>
  <c r="B354" i="10"/>
  <c r="W353" i="10"/>
  <c r="R353" i="10"/>
  <c r="J353" i="10"/>
  <c r="G353" i="10"/>
  <c r="B353" i="10"/>
  <c r="W352" i="10"/>
  <c r="R352" i="10"/>
  <c r="J352" i="10"/>
  <c r="G352" i="10"/>
  <c r="B352" i="10"/>
  <c r="W351" i="10"/>
  <c r="R351" i="10"/>
  <c r="J351" i="10"/>
  <c r="G351" i="10"/>
  <c r="B351" i="10"/>
  <c r="W350" i="10"/>
  <c r="R350" i="10"/>
  <c r="J350" i="10"/>
  <c r="G350" i="10"/>
  <c r="B350" i="10"/>
  <c r="W349" i="10"/>
  <c r="R349" i="10"/>
  <c r="J349" i="10"/>
  <c r="G349" i="10"/>
  <c r="B349" i="10"/>
  <c r="W348" i="10"/>
  <c r="R348" i="10"/>
  <c r="J348" i="10"/>
  <c r="G348" i="10"/>
  <c r="B348" i="10"/>
  <c r="W347" i="10"/>
  <c r="R347" i="10"/>
  <c r="J347" i="10"/>
  <c r="B347" i="10"/>
  <c r="R346" i="10"/>
  <c r="J346" i="10"/>
  <c r="B346" i="10"/>
  <c r="W345" i="10"/>
  <c r="R345" i="10"/>
  <c r="J345" i="10"/>
  <c r="B345" i="10"/>
  <c r="W344" i="10"/>
  <c r="R344" i="10"/>
  <c r="J344" i="10"/>
  <c r="G344" i="10"/>
  <c r="B344" i="10"/>
  <c r="W343" i="10"/>
  <c r="R343" i="10"/>
  <c r="J343" i="10"/>
  <c r="G343" i="10"/>
  <c r="B343" i="10"/>
  <c r="W342" i="10"/>
  <c r="R342" i="10"/>
  <c r="J342" i="10"/>
  <c r="G342" i="10"/>
  <c r="B342" i="10"/>
  <c r="W341" i="10"/>
  <c r="R341" i="10"/>
  <c r="J341" i="10"/>
  <c r="G341" i="10"/>
  <c r="B341" i="10"/>
  <c r="W340" i="10"/>
  <c r="R340" i="10"/>
  <c r="J340" i="10"/>
  <c r="G340" i="10"/>
  <c r="B340" i="10"/>
  <c r="W339" i="10"/>
  <c r="R339" i="10"/>
  <c r="J339" i="10"/>
  <c r="G339" i="10"/>
  <c r="B339" i="10"/>
  <c r="W338" i="10"/>
  <c r="R338" i="10"/>
  <c r="J338" i="10"/>
  <c r="G338" i="10"/>
  <c r="B338" i="10"/>
  <c r="W337" i="10"/>
  <c r="R337" i="10"/>
  <c r="J337" i="10"/>
  <c r="G337" i="10"/>
  <c r="B337" i="10"/>
  <c r="W336" i="10"/>
  <c r="R336" i="10"/>
  <c r="J336" i="10"/>
  <c r="G336" i="10"/>
  <c r="B336" i="10"/>
  <c r="W335" i="10"/>
  <c r="R335" i="10"/>
  <c r="J335" i="10"/>
  <c r="B335" i="10"/>
  <c r="R334" i="10"/>
  <c r="J334" i="10"/>
  <c r="B334" i="10"/>
  <c r="W333" i="10"/>
  <c r="R333" i="10"/>
  <c r="J333" i="10"/>
  <c r="B333" i="10"/>
  <c r="W332" i="10"/>
  <c r="R332" i="10"/>
  <c r="J332" i="10"/>
  <c r="G332" i="10"/>
  <c r="B332" i="10"/>
  <c r="W331" i="10"/>
  <c r="R331" i="10"/>
  <c r="J331" i="10"/>
  <c r="G331" i="10"/>
  <c r="B331" i="10"/>
  <c r="W330" i="10"/>
  <c r="R330" i="10"/>
  <c r="J330" i="10"/>
  <c r="G330" i="10"/>
  <c r="B330" i="10"/>
  <c r="W329" i="10"/>
  <c r="R329" i="10"/>
  <c r="J329" i="10"/>
  <c r="G329" i="10"/>
  <c r="B329" i="10"/>
  <c r="W328" i="10"/>
  <c r="R328" i="10"/>
  <c r="J328" i="10"/>
  <c r="G328" i="10"/>
  <c r="B328" i="10"/>
  <c r="W327" i="10"/>
  <c r="R327" i="10"/>
  <c r="J327" i="10"/>
  <c r="G327" i="10"/>
  <c r="B327" i="10"/>
  <c r="W326" i="10"/>
  <c r="R326" i="10"/>
  <c r="J326" i="10"/>
  <c r="G326" i="10"/>
  <c r="B326" i="10"/>
  <c r="W325" i="10"/>
  <c r="R325" i="10"/>
  <c r="J325" i="10"/>
  <c r="G325" i="10"/>
  <c r="B325" i="10"/>
  <c r="W324" i="10"/>
  <c r="R324" i="10"/>
  <c r="J324" i="10"/>
  <c r="G324" i="10"/>
  <c r="B324" i="10"/>
  <c r="W323" i="10"/>
  <c r="R323" i="10"/>
  <c r="J323" i="10"/>
  <c r="B323" i="10"/>
  <c r="R322" i="10"/>
  <c r="J322" i="10"/>
  <c r="B322" i="10"/>
  <c r="R321" i="10"/>
  <c r="J321" i="10"/>
  <c r="B321" i="10"/>
  <c r="R320" i="10"/>
  <c r="J320" i="10"/>
  <c r="B320" i="10"/>
  <c r="R319" i="10"/>
  <c r="J319" i="10"/>
  <c r="B319" i="10"/>
  <c r="R318" i="10"/>
  <c r="J318" i="10"/>
  <c r="B318" i="10"/>
  <c r="R317" i="10"/>
  <c r="J317" i="10"/>
  <c r="B317" i="10"/>
  <c r="R316" i="10"/>
  <c r="J316" i="10"/>
  <c r="B316" i="10"/>
  <c r="R315" i="10"/>
  <c r="J315" i="10"/>
  <c r="B315" i="10"/>
  <c r="R314" i="10"/>
  <c r="J314" i="10"/>
  <c r="B314" i="10"/>
  <c r="R313" i="10"/>
  <c r="J313" i="10"/>
  <c r="B313" i="10"/>
  <c r="R312" i="10"/>
  <c r="J312" i="10"/>
  <c r="B312" i="10"/>
  <c r="R311" i="10"/>
  <c r="J311" i="10"/>
  <c r="B311" i="10"/>
  <c r="R310" i="10"/>
  <c r="J310" i="10"/>
  <c r="B310" i="10"/>
  <c r="W309" i="10"/>
  <c r="R309" i="10"/>
  <c r="J309" i="10"/>
  <c r="B309" i="10"/>
  <c r="W308" i="10"/>
  <c r="R308" i="10"/>
  <c r="J308" i="10"/>
  <c r="G308" i="10"/>
  <c r="B308" i="10"/>
  <c r="W307" i="10"/>
  <c r="R307" i="10"/>
  <c r="J307" i="10"/>
  <c r="G307" i="10"/>
  <c r="B307" i="10"/>
  <c r="W306" i="10"/>
  <c r="R306" i="10"/>
  <c r="J306" i="10"/>
  <c r="G306" i="10"/>
  <c r="B306" i="10"/>
  <c r="W305" i="10"/>
  <c r="R305" i="10"/>
  <c r="J305" i="10"/>
  <c r="G305" i="10"/>
  <c r="B305" i="10"/>
  <c r="W304" i="10"/>
  <c r="R304" i="10"/>
  <c r="J304" i="10"/>
  <c r="G304" i="10"/>
  <c r="B304" i="10"/>
  <c r="W303" i="10"/>
  <c r="R303" i="10"/>
  <c r="J303" i="10"/>
  <c r="G303" i="10"/>
  <c r="B303" i="10"/>
  <c r="W302" i="10"/>
  <c r="R302" i="10"/>
  <c r="J302" i="10"/>
  <c r="G302" i="10"/>
  <c r="B302" i="10"/>
  <c r="W301" i="10"/>
  <c r="R301" i="10"/>
  <c r="J301" i="10"/>
  <c r="G301" i="10"/>
  <c r="B301" i="10"/>
  <c r="W300" i="10"/>
  <c r="R300" i="10"/>
  <c r="J300" i="10"/>
  <c r="G300" i="10"/>
  <c r="B300" i="10"/>
  <c r="W299" i="10"/>
  <c r="R299" i="10"/>
  <c r="J299" i="10"/>
  <c r="B299" i="10"/>
  <c r="R298" i="10"/>
  <c r="J298" i="10"/>
  <c r="B298" i="10"/>
  <c r="W297" i="10"/>
  <c r="R297" i="10"/>
  <c r="J297" i="10"/>
  <c r="B297" i="10"/>
  <c r="W296" i="10"/>
  <c r="R296" i="10"/>
  <c r="J296" i="10"/>
  <c r="G296" i="10"/>
  <c r="B296" i="10"/>
  <c r="W295" i="10"/>
  <c r="R295" i="10"/>
  <c r="J295" i="10"/>
  <c r="G295" i="10"/>
  <c r="B295" i="10"/>
  <c r="W294" i="10"/>
  <c r="R294" i="10"/>
  <c r="J294" i="10"/>
  <c r="G294" i="10"/>
  <c r="B294" i="10"/>
  <c r="W293" i="10"/>
  <c r="R293" i="10"/>
  <c r="J293" i="10"/>
  <c r="G293" i="10"/>
  <c r="B293" i="10"/>
  <c r="W292" i="10"/>
  <c r="R292" i="10"/>
  <c r="J292" i="10"/>
  <c r="G292" i="10"/>
  <c r="B292" i="10"/>
  <c r="W291" i="10"/>
  <c r="R291" i="10"/>
  <c r="J291" i="10"/>
  <c r="G291" i="10"/>
  <c r="B291" i="10"/>
  <c r="W290" i="10"/>
  <c r="R290" i="10"/>
  <c r="J290" i="10"/>
  <c r="G290" i="10"/>
  <c r="B290" i="10"/>
  <c r="W289" i="10"/>
  <c r="R289" i="10"/>
  <c r="J289" i="10"/>
  <c r="G289" i="10"/>
  <c r="B289" i="10"/>
  <c r="W288" i="10"/>
  <c r="R288" i="10"/>
  <c r="J288" i="10"/>
  <c r="G288" i="10"/>
  <c r="B288" i="10"/>
  <c r="W287" i="10"/>
  <c r="R287" i="10"/>
  <c r="J287" i="10"/>
  <c r="B287" i="10"/>
  <c r="R286" i="10"/>
  <c r="J286" i="10"/>
  <c r="B286" i="10"/>
  <c r="W285" i="10"/>
  <c r="R285" i="10"/>
  <c r="J285" i="10"/>
  <c r="B285" i="10"/>
  <c r="W284" i="10"/>
  <c r="R284" i="10"/>
  <c r="J284" i="10"/>
  <c r="G284" i="10"/>
  <c r="B284" i="10"/>
  <c r="W283" i="10"/>
  <c r="R283" i="10"/>
  <c r="J283" i="10"/>
  <c r="G283" i="10"/>
  <c r="B283" i="10"/>
  <c r="W282" i="10"/>
  <c r="R282" i="10"/>
  <c r="J282" i="10"/>
  <c r="G282" i="10"/>
  <c r="B282" i="10"/>
  <c r="W281" i="10"/>
  <c r="R281" i="10"/>
  <c r="J281" i="10"/>
  <c r="G281" i="10"/>
  <c r="B281" i="10"/>
  <c r="W280" i="10"/>
  <c r="R280" i="10"/>
  <c r="J280" i="10"/>
  <c r="G280" i="10"/>
  <c r="B280" i="10"/>
  <c r="W279" i="10"/>
  <c r="R279" i="10"/>
  <c r="J279" i="10"/>
  <c r="G279" i="10"/>
  <c r="B279" i="10"/>
  <c r="W278" i="10"/>
  <c r="R278" i="10"/>
  <c r="J278" i="10"/>
  <c r="G278" i="10"/>
  <c r="B278" i="10"/>
  <c r="W277" i="10"/>
  <c r="R277" i="10"/>
  <c r="J277" i="10"/>
  <c r="G277" i="10"/>
  <c r="B277" i="10"/>
  <c r="W276" i="10"/>
  <c r="R276" i="10"/>
  <c r="J276" i="10"/>
  <c r="G276" i="10"/>
  <c r="B276" i="10"/>
  <c r="W275" i="10"/>
  <c r="R275" i="10"/>
  <c r="J275" i="10"/>
  <c r="B275" i="10"/>
  <c r="R274" i="10"/>
  <c r="J274" i="10"/>
  <c r="B274" i="10"/>
  <c r="W273" i="10"/>
  <c r="R273" i="10"/>
  <c r="J273" i="10"/>
  <c r="B273" i="10"/>
  <c r="W272" i="10"/>
  <c r="R272" i="10"/>
  <c r="J272" i="10"/>
  <c r="G272" i="10"/>
  <c r="B272" i="10"/>
  <c r="W271" i="10"/>
  <c r="R271" i="10"/>
  <c r="J271" i="10"/>
  <c r="G271" i="10"/>
  <c r="B271" i="10"/>
  <c r="W270" i="10"/>
  <c r="R270" i="10"/>
  <c r="J270" i="10"/>
  <c r="G270" i="10"/>
  <c r="B270" i="10"/>
  <c r="W269" i="10"/>
  <c r="R269" i="10"/>
  <c r="J269" i="10"/>
  <c r="G269" i="10"/>
  <c r="B269" i="10"/>
  <c r="W268" i="10"/>
  <c r="R268" i="10"/>
  <c r="J268" i="10"/>
  <c r="G268" i="10"/>
  <c r="B268" i="10"/>
  <c r="W267" i="10"/>
  <c r="R267" i="10"/>
  <c r="J267" i="10"/>
  <c r="G267" i="10"/>
  <c r="B267" i="10"/>
  <c r="W266" i="10"/>
  <c r="R266" i="10"/>
  <c r="J266" i="10"/>
  <c r="G266" i="10"/>
  <c r="B266" i="10"/>
  <c r="W265" i="10"/>
  <c r="R265" i="10"/>
  <c r="J265" i="10"/>
  <c r="G265" i="10"/>
  <c r="B265" i="10"/>
  <c r="W264" i="10"/>
  <c r="R264" i="10"/>
  <c r="J264" i="10"/>
  <c r="G264" i="10"/>
  <c r="B264" i="10"/>
  <c r="W263" i="10"/>
  <c r="R263" i="10"/>
  <c r="J263" i="10"/>
  <c r="B263" i="10"/>
  <c r="R262" i="10"/>
  <c r="J262" i="10"/>
  <c r="B262" i="10"/>
  <c r="W261" i="10"/>
  <c r="R261" i="10"/>
  <c r="J261" i="10"/>
  <c r="B261" i="10"/>
  <c r="W260" i="10"/>
  <c r="R260" i="10"/>
  <c r="J260" i="10"/>
  <c r="G260" i="10"/>
  <c r="B260" i="10"/>
  <c r="W259" i="10"/>
  <c r="R259" i="10"/>
  <c r="J259" i="10"/>
  <c r="G259" i="10"/>
  <c r="B259" i="10"/>
  <c r="W258" i="10"/>
  <c r="R258" i="10"/>
  <c r="J258" i="10"/>
  <c r="G258" i="10"/>
  <c r="B258" i="10"/>
  <c r="W257" i="10"/>
  <c r="R257" i="10"/>
  <c r="J257" i="10"/>
  <c r="G257" i="10"/>
  <c r="B257" i="10"/>
  <c r="W256" i="10"/>
  <c r="R256" i="10"/>
  <c r="J256" i="10"/>
  <c r="G256" i="10"/>
  <c r="B256" i="10"/>
  <c r="W255" i="10"/>
  <c r="R255" i="10"/>
  <c r="J255" i="10"/>
  <c r="G255" i="10"/>
  <c r="B255" i="10"/>
  <c r="W254" i="10"/>
  <c r="R254" i="10"/>
  <c r="J254" i="10"/>
  <c r="G254" i="10"/>
  <c r="B254" i="10"/>
  <c r="W253" i="10"/>
  <c r="R253" i="10"/>
  <c r="J253" i="10"/>
  <c r="G253" i="10"/>
  <c r="B253" i="10"/>
  <c r="W252" i="10"/>
  <c r="R252" i="10"/>
  <c r="J252" i="10"/>
  <c r="G252" i="10"/>
  <c r="B252" i="10"/>
  <c r="W251" i="10"/>
  <c r="R251" i="10"/>
  <c r="J251" i="10"/>
  <c r="B251" i="10"/>
  <c r="R250" i="10"/>
  <c r="J250" i="10"/>
  <c r="B250" i="10"/>
  <c r="W249" i="10"/>
  <c r="R249" i="10"/>
  <c r="J249" i="10"/>
  <c r="B249" i="10"/>
  <c r="W248" i="10"/>
  <c r="R248" i="10"/>
  <c r="J248" i="10"/>
  <c r="G248" i="10"/>
  <c r="B248" i="10"/>
  <c r="W247" i="10"/>
  <c r="R247" i="10"/>
  <c r="J247" i="10"/>
  <c r="G247" i="10"/>
  <c r="B247" i="10"/>
  <c r="W246" i="10"/>
  <c r="R246" i="10"/>
  <c r="J246" i="10"/>
  <c r="G246" i="10"/>
  <c r="B246" i="10"/>
  <c r="W245" i="10"/>
  <c r="R245" i="10"/>
  <c r="J245" i="10"/>
  <c r="G245" i="10"/>
  <c r="B245" i="10"/>
  <c r="W244" i="10"/>
  <c r="R244" i="10"/>
  <c r="J244" i="10"/>
  <c r="G244" i="10"/>
  <c r="B244" i="10"/>
  <c r="W243" i="10"/>
  <c r="R243" i="10"/>
  <c r="J243" i="10"/>
  <c r="G243" i="10"/>
  <c r="B243" i="10"/>
  <c r="W242" i="10"/>
  <c r="R242" i="10"/>
  <c r="J242" i="10"/>
  <c r="G242" i="10"/>
  <c r="B242" i="10"/>
  <c r="W241" i="10"/>
  <c r="R241" i="10"/>
  <c r="J241" i="10"/>
  <c r="G241" i="10"/>
  <c r="B241" i="10"/>
  <c r="W240" i="10"/>
  <c r="R240" i="10"/>
  <c r="J240" i="10"/>
  <c r="G240" i="10"/>
  <c r="B240" i="10"/>
  <c r="W239" i="10"/>
  <c r="R239" i="10"/>
  <c r="J239" i="10"/>
  <c r="B239" i="10"/>
  <c r="R238" i="10"/>
  <c r="J238" i="10"/>
  <c r="B238" i="10"/>
  <c r="W237" i="10"/>
  <c r="R237" i="10"/>
  <c r="J237" i="10"/>
  <c r="B237" i="10"/>
  <c r="W236" i="10"/>
  <c r="R236" i="10"/>
  <c r="J236" i="10"/>
  <c r="G236" i="10"/>
  <c r="B236" i="10"/>
  <c r="W235" i="10"/>
  <c r="R235" i="10"/>
  <c r="J235" i="10"/>
  <c r="G235" i="10"/>
  <c r="B235" i="10"/>
  <c r="W234" i="10"/>
  <c r="R234" i="10"/>
  <c r="J234" i="10"/>
  <c r="G234" i="10"/>
  <c r="B234" i="10"/>
  <c r="W233" i="10"/>
  <c r="R233" i="10"/>
  <c r="J233" i="10"/>
  <c r="G233" i="10"/>
  <c r="B233" i="10"/>
  <c r="W232" i="10"/>
  <c r="R232" i="10"/>
  <c r="J232" i="10"/>
  <c r="G232" i="10"/>
  <c r="B232" i="10"/>
  <c r="W231" i="10"/>
  <c r="R231" i="10"/>
  <c r="J231" i="10"/>
  <c r="G231" i="10"/>
  <c r="B231" i="10"/>
  <c r="W230" i="10"/>
  <c r="R230" i="10"/>
  <c r="J230" i="10"/>
  <c r="G230" i="10"/>
  <c r="B230" i="10"/>
  <c r="W229" i="10"/>
  <c r="R229" i="10"/>
  <c r="J229" i="10"/>
  <c r="G229" i="10"/>
  <c r="B229" i="10"/>
  <c r="W228" i="10"/>
  <c r="R228" i="10"/>
  <c r="J228" i="10"/>
  <c r="G228" i="10"/>
  <c r="B228" i="10"/>
  <c r="W227" i="10"/>
  <c r="R227" i="10"/>
  <c r="J227" i="10"/>
  <c r="B227" i="10"/>
  <c r="R226" i="10"/>
  <c r="J226" i="10"/>
  <c r="B226" i="10"/>
  <c r="W225" i="10"/>
  <c r="R225" i="10"/>
  <c r="J225" i="10"/>
  <c r="B225" i="10"/>
  <c r="W224" i="10"/>
  <c r="R224" i="10"/>
  <c r="J224" i="10"/>
  <c r="G224" i="10"/>
  <c r="B224" i="10"/>
  <c r="W223" i="10"/>
  <c r="R223" i="10"/>
  <c r="J223" i="10"/>
  <c r="G223" i="10"/>
  <c r="B223" i="10"/>
  <c r="W222" i="10"/>
  <c r="R222" i="10"/>
  <c r="J222" i="10"/>
  <c r="G222" i="10"/>
  <c r="B222" i="10"/>
  <c r="W221" i="10"/>
  <c r="R221" i="10"/>
  <c r="J221" i="10"/>
  <c r="G221" i="10"/>
  <c r="B221" i="10"/>
  <c r="W220" i="10"/>
  <c r="R220" i="10"/>
  <c r="J220" i="10"/>
  <c r="G220" i="10"/>
  <c r="B220" i="10"/>
  <c r="W219" i="10"/>
  <c r="R219" i="10"/>
  <c r="J219" i="10"/>
  <c r="G219" i="10"/>
  <c r="B219" i="10"/>
  <c r="W218" i="10"/>
  <c r="R218" i="10"/>
  <c r="J218" i="10"/>
  <c r="G218" i="10"/>
  <c r="B218" i="10"/>
  <c r="W217" i="10"/>
  <c r="R217" i="10"/>
  <c r="J217" i="10"/>
  <c r="G217" i="10"/>
  <c r="B217" i="10"/>
  <c r="W216" i="10"/>
  <c r="R216" i="10"/>
  <c r="J216" i="10"/>
  <c r="G216" i="10"/>
  <c r="B216" i="10"/>
  <c r="W215" i="10"/>
  <c r="R215" i="10"/>
  <c r="J215" i="10"/>
  <c r="B215" i="10"/>
  <c r="R214" i="10"/>
  <c r="J214" i="10"/>
  <c r="B214" i="10"/>
  <c r="W213" i="10"/>
  <c r="R213" i="10"/>
  <c r="J213" i="10"/>
  <c r="B213" i="10"/>
  <c r="W212" i="10"/>
  <c r="R212" i="10"/>
  <c r="J212" i="10"/>
  <c r="G212" i="10"/>
  <c r="B212" i="10"/>
  <c r="W211" i="10"/>
  <c r="R211" i="10"/>
  <c r="J211" i="10"/>
  <c r="G211" i="10"/>
  <c r="B211" i="10"/>
  <c r="W210" i="10"/>
  <c r="R210" i="10"/>
  <c r="J210" i="10"/>
  <c r="G210" i="10"/>
  <c r="B210" i="10"/>
  <c r="W209" i="10"/>
  <c r="R209" i="10"/>
  <c r="J209" i="10"/>
  <c r="G209" i="10"/>
  <c r="B209" i="10"/>
  <c r="W208" i="10"/>
  <c r="R208" i="10"/>
  <c r="J208" i="10"/>
  <c r="G208" i="10"/>
  <c r="B208" i="10"/>
  <c r="W207" i="10"/>
  <c r="R207" i="10"/>
  <c r="J207" i="10"/>
  <c r="G207" i="10"/>
  <c r="B207" i="10"/>
  <c r="W206" i="10"/>
  <c r="R206" i="10"/>
  <c r="J206" i="10"/>
  <c r="G206" i="10"/>
  <c r="B206" i="10"/>
  <c r="W205" i="10"/>
  <c r="R205" i="10"/>
  <c r="J205" i="10"/>
  <c r="G205" i="10"/>
  <c r="B205" i="10"/>
  <c r="W204" i="10"/>
  <c r="R204" i="10"/>
  <c r="J204" i="10"/>
  <c r="G204" i="10"/>
  <c r="B204" i="10"/>
  <c r="W203" i="10"/>
  <c r="R203" i="10"/>
  <c r="J203" i="10"/>
  <c r="B203" i="10"/>
  <c r="R202" i="10"/>
  <c r="J202" i="10"/>
  <c r="B202" i="10"/>
  <c r="W201" i="10"/>
  <c r="R201" i="10"/>
  <c r="J201" i="10"/>
  <c r="B201" i="10"/>
  <c r="W200" i="10"/>
  <c r="R200" i="10"/>
  <c r="J200" i="10"/>
  <c r="G200" i="10"/>
  <c r="B200" i="10"/>
  <c r="W199" i="10"/>
  <c r="R199" i="10"/>
  <c r="J199" i="10"/>
  <c r="G199" i="10"/>
  <c r="B199" i="10"/>
  <c r="W198" i="10"/>
  <c r="R198" i="10"/>
  <c r="J198" i="10"/>
  <c r="G198" i="10"/>
  <c r="B198" i="10"/>
  <c r="W197" i="10"/>
  <c r="R197" i="10"/>
  <c r="J197" i="10"/>
  <c r="G197" i="10"/>
  <c r="B197" i="10"/>
  <c r="W196" i="10"/>
  <c r="R196" i="10"/>
  <c r="J196" i="10"/>
  <c r="G196" i="10"/>
  <c r="B196" i="10"/>
  <c r="W195" i="10"/>
  <c r="R195" i="10"/>
  <c r="J195" i="10"/>
  <c r="G195" i="10"/>
  <c r="B195" i="10"/>
  <c r="W194" i="10"/>
  <c r="R194" i="10"/>
  <c r="J194" i="10"/>
  <c r="G194" i="10"/>
  <c r="B194" i="10"/>
  <c r="W193" i="10"/>
  <c r="R193" i="10"/>
  <c r="J193" i="10"/>
  <c r="G193" i="10"/>
  <c r="B193" i="10"/>
  <c r="W192" i="10"/>
  <c r="R192" i="10"/>
  <c r="J192" i="10"/>
  <c r="G192" i="10"/>
  <c r="B192" i="10"/>
  <c r="W191" i="10"/>
  <c r="R191" i="10"/>
  <c r="J191" i="10"/>
  <c r="B191" i="10"/>
  <c r="R190" i="10"/>
  <c r="J190" i="10"/>
  <c r="B190" i="10"/>
  <c r="W189" i="10"/>
  <c r="R189" i="10"/>
  <c r="J189" i="10"/>
  <c r="B189" i="10"/>
  <c r="W188" i="10"/>
  <c r="R188" i="10"/>
  <c r="J188" i="10"/>
  <c r="G188" i="10"/>
  <c r="B188" i="10"/>
  <c r="W187" i="10"/>
  <c r="R187" i="10"/>
  <c r="J187" i="10"/>
  <c r="G187" i="10"/>
  <c r="B187" i="10"/>
  <c r="W186" i="10"/>
  <c r="R186" i="10"/>
  <c r="J186" i="10"/>
  <c r="G186" i="10"/>
  <c r="B186" i="10"/>
  <c r="W185" i="10"/>
  <c r="R185" i="10"/>
  <c r="J185" i="10"/>
  <c r="G185" i="10"/>
  <c r="B185" i="10"/>
  <c r="W184" i="10"/>
  <c r="R184" i="10"/>
  <c r="J184" i="10"/>
  <c r="G184" i="10"/>
  <c r="B184" i="10"/>
  <c r="W183" i="10"/>
  <c r="R183" i="10"/>
  <c r="J183" i="10"/>
  <c r="G183" i="10"/>
  <c r="B183" i="10"/>
  <c r="W182" i="10"/>
  <c r="R182" i="10"/>
  <c r="J182" i="10"/>
  <c r="G182" i="10"/>
  <c r="B182" i="10"/>
  <c r="W181" i="10"/>
  <c r="R181" i="10"/>
  <c r="J181" i="10"/>
  <c r="G181" i="10"/>
  <c r="B181" i="10"/>
  <c r="W180" i="10"/>
  <c r="R180" i="10"/>
  <c r="J180" i="10"/>
  <c r="G180" i="10"/>
  <c r="B180" i="10"/>
  <c r="W179" i="10"/>
  <c r="R179" i="10"/>
  <c r="J179" i="10"/>
  <c r="B179" i="10"/>
  <c r="R178" i="10"/>
  <c r="J178" i="10"/>
  <c r="B178" i="10"/>
  <c r="W177" i="10"/>
  <c r="R177" i="10"/>
  <c r="J177" i="10"/>
  <c r="B177" i="10"/>
  <c r="W176" i="10"/>
  <c r="R176" i="10"/>
  <c r="J176" i="10"/>
  <c r="G176" i="10"/>
  <c r="B176" i="10"/>
  <c r="W175" i="10"/>
  <c r="R175" i="10"/>
  <c r="J175" i="10"/>
  <c r="G175" i="10"/>
  <c r="B175" i="10"/>
  <c r="W174" i="10"/>
  <c r="R174" i="10"/>
  <c r="J174" i="10"/>
  <c r="G174" i="10"/>
  <c r="B174" i="10"/>
  <c r="W173" i="10"/>
  <c r="R173" i="10"/>
  <c r="J173" i="10"/>
  <c r="G173" i="10"/>
  <c r="B173" i="10"/>
  <c r="W172" i="10"/>
  <c r="R172" i="10"/>
  <c r="J172" i="10"/>
  <c r="G172" i="10"/>
  <c r="B172" i="10"/>
  <c r="W171" i="10"/>
  <c r="R171" i="10"/>
  <c r="J171" i="10"/>
  <c r="G171" i="10"/>
  <c r="B171" i="10"/>
  <c r="W170" i="10"/>
  <c r="R170" i="10"/>
  <c r="J170" i="10"/>
  <c r="G170" i="10"/>
  <c r="B170" i="10"/>
  <c r="W169" i="10"/>
  <c r="R169" i="10"/>
  <c r="J169" i="10"/>
  <c r="G169" i="10"/>
  <c r="B169" i="10"/>
  <c r="W168" i="10"/>
  <c r="R168" i="10"/>
  <c r="J168" i="10"/>
  <c r="G168" i="10"/>
  <c r="B168" i="10"/>
  <c r="W167" i="10"/>
  <c r="R167" i="10"/>
  <c r="J167" i="10"/>
  <c r="B167" i="10"/>
  <c r="R166" i="10"/>
  <c r="J166" i="10"/>
  <c r="B166" i="10"/>
  <c r="W165" i="10"/>
  <c r="R165" i="10"/>
  <c r="J165" i="10"/>
  <c r="B165" i="10"/>
  <c r="W164" i="10"/>
  <c r="R164" i="10"/>
  <c r="J164" i="10"/>
  <c r="G164" i="10"/>
  <c r="B164" i="10"/>
  <c r="W163" i="10"/>
  <c r="R163" i="10"/>
  <c r="J163" i="10"/>
  <c r="G163" i="10"/>
  <c r="B163" i="10"/>
  <c r="W162" i="10"/>
  <c r="R162" i="10"/>
  <c r="J162" i="10"/>
  <c r="G162" i="10"/>
  <c r="B162" i="10"/>
  <c r="W161" i="10"/>
  <c r="R161" i="10"/>
  <c r="J161" i="10"/>
  <c r="G161" i="10"/>
  <c r="B161" i="10"/>
  <c r="W160" i="10"/>
  <c r="R160" i="10"/>
  <c r="J160" i="10"/>
  <c r="G160" i="10"/>
  <c r="B160" i="10"/>
  <c r="W159" i="10"/>
  <c r="R159" i="10"/>
  <c r="J159" i="10"/>
  <c r="G159" i="10"/>
  <c r="B159" i="10"/>
  <c r="W158" i="10"/>
  <c r="R158" i="10"/>
  <c r="J158" i="10"/>
  <c r="G158" i="10"/>
  <c r="B158" i="10"/>
  <c r="W157" i="10"/>
  <c r="R157" i="10"/>
  <c r="J157" i="10"/>
  <c r="G157" i="10"/>
  <c r="B157" i="10"/>
  <c r="W156" i="10"/>
  <c r="R156" i="10"/>
  <c r="J156" i="10"/>
  <c r="G156" i="10"/>
  <c r="B156" i="10"/>
  <c r="W155" i="10"/>
  <c r="R155" i="10"/>
  <c r="J155" i="10"/>
  <c r="B155" i="10"/>
  <c r="R154" i="10"/>
  <c r="J154" i="10"/>
  <c r="B154" i="10"/>
  <c r="W153" i="10"/>
  <c r="R153" i="10"/>
  <c r="J153" i="10"/>
  <c r="B153" i="10"/>
  <c r="W152" i="10"/>
  <c r="R152" i="10"/>
  <c r="J152" i="10"/>
  <c r="G152" i="10"/>
  <c r="B152" i="10"/>
  <c r="W151" i="10"/>
  <c r="R151" i="10"/>
  <c r="J151" i="10"/>
  <c r="G151" i="10"/>
  <c r="B151" i="10"/>
  <c r="W150" i="10"/>
  <c r="R150" i="10"/>
  <c r="J150" i="10"/>
  <c r="G150" i="10"/>
  <c r="B150" i="10"/>
  <c r="W149" i="10"/>
  <c r="R149" i="10"/>
  <c r="J149" i="10"/>
  <c r="G149" i="10"/>
  <c r="B149" i="10"/>
  <c r="W148" i="10"/>
  <c r="R148" i="10"/>
  <c r="J148" i="10"/>
  <c r="G148" i="10"/>
  <c r="B148" i="10"/>
  <c r="W147" i="10"/>
  <c r="R147" i="10"/>
  <c r="J147" i="10"/>
  <c r="G147" i="10"/>
  <c r="B147" i="10"/>
  <c r="W146" i="10"/>
  <c r="R146" i="10"/>
  <c r="J146" i="10"/>
  <c r="G146" i="10"/>
  <c r="B146" i="10"/>
  <c r="W145" i="10"/>
  <c r="R145" i="10"/>
  <c r="J145" i="10"/>
  <c r="G145" i="10"/>
  <c r="B145" i="10"/>
  <c r="W144" i="10"/>
  <c r="R144" i="10"/>
  <c r="J144" i="10"/>
  <c r="G144" i="10"/>
  <c r="B144" i="10"/>
  <c r="W143" i="10"/>
  <c r="R143" i="10"/>
  <c r="J143" i="10"/>
  <c r="B143" i="10"/>
  <c r="R142" i="10"/>
  <c r="J142" i="10"/>
  <c r="B142" i="10"/>
  <c r="W141" i="10"/>
  <c r="R141" i="10"/>
  <c r="J141" i="10"/>
  <c r="B141" i="10"/>
  <c r="W140" i="10"/>
  <c r="R140" i="10"/>
  <c r="J140" i="10"/>
  <c r="G140" i="10"/>
  <c r="B140" i="10"/>
  <c r="W139" i="10"/>
  <c r="R139" i="10"/>
  <c r="J139" i="10"/>
  <c r="G139" i="10"/>
  <c r="B139" i="10"/>
  <c r="W138" i="10"/>
  <c r="R138" i="10"/>
  <c r="J138" i="10"/>
  <c r="G138" i="10"/>
  <c r="B138" i="10"/>
  <c r="W137" i="10"/>
  <c r="R137" i="10"/>
  <c r="J137" i="10"/>
  <c r="G137" i="10"/>
  <c r="B137" i="10"/>
  <c r="W136" i="10"/>
  <c r="R136" i="10"/>
  <c r="J136" i="10"/>
  <c r="G136" i="10"/>
  <c r="B136" i="10"/>
  <c r="W135" i="10"/>
  <c r="R135" i="10"/>
  <c r="J135" i="10"/>
  <c r="G135" i="10"/>
  <c r="B135" i="10"/>
  <c r="W134" i="10"/>
  <c r="R134" i="10"/>
  <c r="J134" i="10"/>
  <c r="G134" i="10"/>
  <c r="B134" i="10"/>
  <c r="W133" i="10"/>
  <c r="R133" i="10"/>
  <c r="J133" i="10"/>
  <c r="G133" i="10"/>
  <c r="B133" i="10"/>
  <c r="W132" i="10"/>
  <c r="R132" i="10"/>
  <c r="J132" i="10"/>
  <c r="G132" i="10"/>
  <c r="B132" i="10"/>
  <c r="W131" i="10"/>
  <c r="R131" i="10"/>
  <c r="J131" i="10"/>
  <c r="B131" i="10"/>
  <c r="R130" i="10"/>
  <c r="J130" i="10"/>
  <c r="B130" i="10"/>
  <c r="W129" i="10"/>
  <c r="R129" i="10"/>
  <c r="J129" i="10"/>
  <c r="B129" i="10"/>
  <c r="W128" i="10"/>
  <c r="R128" i="10"/>
  <c r="J128" i="10"/>
  <c r="G128" i="10"/>
  <c r="B128" i="10"/>
  <c r="W127" i="10"/>
  <c r="R127" i="10"/>
  <c r="J127" i="10"/>
  <c r="G127" i="10"/>
  <c r="B127" i="10"/>
  <c r="W126" i="10"/>
  <c r="R126" i="10"/>
  <c r="J126" i="10"/>
  <c r="G126" i="10"/>
  <c r="B126" i="10"/>
  <c r="W125" i="10"/>
  <c r="R125" i="10"/>
  <c r="J125" i="10"/>
  <c r="G125" i="10"/>
  <c r="B125" i="10"/>
  <c r="W124" i="10"/>
  <c r="R124" i="10"/>
  <c r="J124" i="10"/>
  <c r="G124" i="10"/>
  <c r="B124" i="10"/>
  <c r="W123" i="10"/>
  <c r="R123" i="10"/>
  <c r="J123" i="10"/>
  <c r="G123" i="10"/>
  <c r="B123" i="10"/>
  <c r="W122" i="10"/>
  <c r="R122" i="10"/>
  <c r="J122" i="10"/>
  <c r="G122" i="10"/>
  <c r="B122" i="10"/>
  <c r="W121" i="10"/>
  <c r="R121" i="10"/>
  <c r="J121" i="10"/>
  <c r="G121" i="10"/>
  <c r="B121" i="10"/>
  <c r="W120" i="10"/>
  <c r="R120" i="10"/>
  <c r="J120" i="10"/>
  <c r="G120" i="10"/>
  <c r="B120" i="10"/>
  <c r="W119" i="10"/>
  <c r="R119" i="10"/>
  <c r="J119" i="10"/>
  <c r="B119" i="10"/>
  <c r="R118" i="10"/>
  <c r="J118" i="10"/>
  <c r="B118" i="10"/>
  <c r="W117" i="10"/>
  <c r="R117" i="10"/>
  <c r="J117" i="10"/>
  <c r="B117" i="10"/>
  <c r="W116" i="10"/>
  <c r="R116" i="10"/>
  <c r="J116" i="10"/>
  <c r="G116" i="10"/>
  <c r="B116" i="10"/>
  <c r="W115" i="10"/>
  <c r="R115" i="10"/>
  <c r="J115" i="10"/>
  <c r="G115" i="10"/>
  <c r="B115" i="10"/>
  <c r="W114" i="10"/>
  <c r="R114" i="10"/>
  <c r="J114" i="10"/>
  <c r="G114" i="10"/>
  <c r="B114" i="10"/>
  <c r="W113" i="10"/>
  <c r="R113" i="10"/>
  <c r="J113" i="10"/>
  <c r="G113" i="10"/>
  <c r="B113" i="10"/>
  <c r="W112" i="10"/>
  <c r="R112" i="10"/>
  <c r="J112" i="10"/>
  <c r="G112" i="10"/>
  <c r="B112" i="10"/>
  <c r="W111" i="10"/>
  <c r="R111" i="10"/>
  <c r="J111" i="10"/>
  <c r="G111" i="10"/>
  <c r="B111" i="10"/>
  <c r="W110" i="10"/>
  <c r="R110" i="10"/>
  <c r="J110" i="10"/>
  <c r="G110" i="10"/>
  <c r="B110" i="10"/>
  <c r="W109" i="10"/>
  <c r="R109" i="10"/>
  <c r="J109" i="10"/>
  <c r="G109" i="10"/>
  <c r="B109" i="10"/>
  <c r="W108" i="10"/>
  <c r="R108" i="10"/>
  <c r="J108" i="10"/>
  <c r="G108" i="10"/>
  <c r="B108" i="10"/>
  <c r="W107" i="10"/>
  <c r="R107" i="10"/>
  <c r="J107" i="10"/>
  <c r="B107" i="10"/>
  <c r="R106" i="10"/>
  <c r="J106" i="10"/>
  <c r="B106" i="10"/>
  <c r="W105" i="10"/>
  <c r="R105" i="10"/>
  <c r="J105" i="10"/>
  <c r="B105" i="10"/>
  <c r="W104" i="10"/>
  <c r="R104" i="10"/>
  <c r="J104" i="10"/>
  <c r="G104" i="10"/>
  <c r="B104" i="10"/>
  <c r="W103" i="10"/>
  <c r="R103" i="10"/>
  <c r="J103" i="10"/>
  <c r="G103" i="10"/>
  <c r="B103" i="10"/>
  <c r="W102" i="10"/>
  <c r="R102" i="10"/>
  <c r="J102" i="10"/>
  <c r="G102" i="10"/>
  <c r="B102" i="10"/>
  <c r="W101" i="10"/>
  <c r="R101" i="10"/>
  <c r="J101" i="10"/>
  <c r="G101" i="10"/>
  <c r="B101" i="10"/>
  <c r="W100" i="10"/>
  <c r="R100" i="10"/>
  <c r="J100" i="10"/>
  <c r="G100" i="10"/>
  <c r="B100" i="10"/>
  <c r="W99" i="10"/>
  <c r="R99" i="10"/>
  <c r="J99" i="10"/>
  <c r="G99" i="10"/>
  <c r="B99" i="10"/>
  <c r="W98" i="10"/>
  <c r="R98" i="10"/>
  <c r="J98" i="10"/>
  <c r="G98" i="10"/>
  <c r="B98" i="10"/>
  <c r="W97" i="10"/>
  <c r="R97" i="10"/>
  <c r="J97" i="10"/>
  <c r="G97" i="10"/>
  <c r="B97" i="10"/>
  <c r="W96" i="10"/>
  <c r="R96" i="10"/>
  <c r="J96" i="10"/>
  <c r="G96" i="10"/>
  <c r="B96" i="10"/>
  <c r="W95" i="10"/>
  <c r="R95" i="10"/>
  <c r="J95" i="10"/>
  <c r="B95" i="10"/>
  <c r="R94" i="10"/>
  <c r="J94" i="10"/>
  <c r="B94" i="10"/>
  <c r="W93" i="10"/>
  <c r="R93" i="10"/>
  <c r="J93" i="10"/>
  <c r="B93" i="10"/>
  <c r="W92" i="10"/>
  <c r="R92" i="10"/>
  <c r="J92" i="10"/>
  <c r="G92" i="10"/>
  <c r="B92" i="10"/>
  <c r="W91" i="10"/>
  <c r="R91" i="10"/>
  <c r="J91" i="10"/>
  <c r="G91" i="10"/>
  <c r="B91" i="10"/>
  <c r="W90" i="10"/>
  <c r="R90" i="10"/>
  <c r="J90" i="10"/>
  <c r="G90" i="10"/>
  <c r="B90" i="10"/>
  <c r="W89" i="10"/>
  <c r="R89" i="10"/>
  <c r="J89" i="10"/>
  <c r="G89" i="10"/>
  <c r="B89" i="10"/>
  <c r="W88" i="10"/>
  <c r="R88" i="10"/>
  <c r="J88" i="10"/>
  <c r="G88" i="10"/>
  <c r="B88" i="10"/>
  <c r="W87" i="10"/>
  <c r="R87" i="10"/>
  <c r="J87" i="10"/>
  <c r="G87" i="10"/>
  <c r="B87" i="10"/>
  <c r="W86" i="10"/>
  <c r="R86" i="10"/>
  <c r="J86" i="10"/>
  <c r="G86" i="10"/>
  <c r="B86" i="10"/>
  <c r="W85" i="10"/>
  <c r="R85" i="10"/>
  <c r="J85" i="10"/>
  <c r="G85" i="10"/>
  <c r="B85" i="10"/>
  <c r="W84" i="10"/>
  <c r="R84" i="10"/>
  <c r="J84" i="10"/>
  <c r="G84" i="10"/>
  <c r="B84" i="10"/>
  <c r="W83" i="10"/>
  <c r="R83" i="10"/>
  <c r="J83" i="10"/>
  <c r="B83" i="10"/>
  <c r="R82" i="10"/>
  <c r="J82" i="10"/>
  <c r="B82" i="10"/>
  <c r="W81" i="10"/>
  <c r="R81" i="10"/>
  <c r="J81" i="10"/>
  <c r="B81" i="10"/>
  <c r="W80" i="10"/>
  <c r="R80" i="10"/>
  <c r="J80" i="10"/>
  <c r="G80" i="10"/>
  <c r="B80" i="10"/>
  <c r="W79" i="10"/>
  <c r="R79" i="10"/>
  <c r="J79" i="10"/>
  <c r="G79" i="10"/>
  <c r="B79" i="10"/>
  <c r="W78" i="10"/>
  <c r="R78" i="10"/>
  <c r="J78" i="10"/>
  <c r="G78" i="10"/>
  <c r="B78" i="10"/>
  <c r="W77" i="10"/>
  <c r="R77" i="10"/>
  <c r="J77" i="10"/>
  <c r="G77" i="10"/>
  <c r="B77" i="10"/>
  <c r="W76" i="10"/>
  <c r="R76" i="10"/>
  <c r="J76" i="10"/>
  <c r="G76" i="10"/>
  <c r="B76" i="10"/>
  <c r="W75" i="10"/>
  <c r="R75" i="10"/>
  <c r="J75" i="10"/>
  <c r="G75" i="10"/>
  <c r="B75" i="10"/>
  <c r="W74" i="10"/>
  <c r="R74" i="10"/>
  <c r="J74" i="10"/>
  <c r="G74" i="10"/>
  <c r="B74" i="10"/>
  <c r="W73" i="10"/>
  <c r="R73" i="10"/>
  <c r="J73" i="10"/>
  <c r="G73" i="10"/>
  <c r="B73" i="10"/>
  <c r="W72" i="10"/>
  <c r="R72" i="10"/>
  <c r="J72" i="10"/>
  <c r="G72" i="10"/>
  <c r="B72" i="10"/>
  <c r="W71" i="10"/>
  <c r="R71" i="10"/>
  <c r="J71" i="10"/>
  <c r="B71" i="10"/>
  <c r="R70" i="10"/>
  <c r="J70" i="10"/>
  <c r="B70" i="10"/>
  <c r="W69" i="10"/>
  <c r="R69" i="10"/>
  <c r="J69" i="10"/>
  <c r="B69" i="10"/>
  <c r="W68" i="10"/>
  <c r="R68" i="10"/>
  <c r="J68" i="10"/>
  <c r="G68" i="10"/>
  <c r="B68" i="10"/>
  <c r="W67" i="10"/>
  <c r="R67" i="10"/>
  <c r="J67" i="10"/>
  <c r="G67" i="10"/>
  <c r="B67" i="10"/>
  <c r="W66" i="10"/>
  <c r="R66" i="10"/>
  <c r="O66" i="10"/>
  <c r="J66" i="10"/>
  <c r="G66" i="10"/>
  <c r="B66" i="10"/>
  <c r="W65" i="10"/>
  <c r="R65" i="10"/>
  <c r="O65" i="10"/>
  <c r="J65" i="10"/>
  <c r="G65" i="10"/>
  <c r="B65" i="10"/>
  <c r="W64" i="10"/>
  <c r="R64" i="10"/>
  <c r="O64" i="10"/>
  <c r="J64" i="10"/>
  <c r="G64" i="10"/>
  <c r="B64" i="10"/>
  <c r="W63" i="10"/>
  <c r="R63" i="10"/>
  <c r="O63" i="10"/>
  <c r="J63" i="10"/>
  <c r="G63" i="10"/>
  <c r="B63" i="10"/>
  <c r="W62" i="10"/>
  <c r="R62" i="10"/>
  <c r="O62" i="10"/>
  <c r="J62" i="10"/>
  <c r="G62" i="10"/>
  <c r="B62" i="10"/>
  <c r="W61" i="10"/>
  <c r="R61" i="10"/>
  <c r="O61" i="10"/>
  <c r="J61" i="10"/>
  <c r="G61" i="10"/>
  <c r="B61" i="10"/>
  <c r="W60" i="10"/>
  <c r="R60" i="10"/>
  <c r="O60" i="10"/>
  <c r="J60" i="10"/>
  <c r="G60" i="10"/>
  <c r="B60" i="10"/>
  <c r="W59" i="10"/>
  <c r="R59" i="10"/>
  <c r="O59" i="10"/>
  <c r="J59" i="10"/>
  <c r="B59" i="10"/>
  <c r="R58" i="10"/>
  <c r="O58" i="10"/>
  <c r="J58" i="10"/>
  <c r="B58" i="10"/>
  <c r="W57" i="10"/>
  <c r="R57" i="10"/>
  <c r="J57" i="10"/>
  <c r="B57" i="10"/>
  <c r="W56" i="10"/>
  <c r="R56" i="10"/>
  <c r="J56" i="10"/>
  <c r="G56" i="10"/>
  <c r="B56" i="10"/>
  <c r="W55" i="10"/>
  <c r="R55" i="10"/>
  <c r="J55" i="10"/>
  <c r="G55" i="10"/>
  <c r="B55" i="10"/>
  <c r="W54" i="10"/>
  <c r="R54" i="10"/>
  <c r="O54" i="10"/>
  <c r="J54" i="10"/>
  <c r="G54" i="10"/>
  <c r="B54" i="10"/>
  <c r="W53" i="10"/>
  <c r="R53" i="10"/>
  <c r="O53" i="10"/>
  <c r="J53" i="10"/>
  <c r="G53" i="10"/>
  <c r="B53" i="10"/>
  <c r="W52" i="10"/>
  <c r="R52" i="10"/>
  <c r="O52" i="10"/>
  <c r="J52" i="10"/>
  <c r="G52" i="10"/>
  <c r="B52" i="10"/>
  <c r="W51" i="10"/>
  <c r="R51" i="10"/>
  <c r="O51" i="10"/>
  <c r="J51" i="10"/>
  <c r="G51" i="10"/>
  <c r="B51" i="10"/>
  <c r="W50" i="10"/>
  <c r="R50" i="10"/>
  <c r="O50" i="10"/>
  <c r="J50" i="10"/>
  <c r="G50" i="10"/>
  <c r="B50" i="10"/>
  <c r="W49" i="10"/>
  <c r="R49" i="10"/>
  <c r="O49" i="10"/>
  <c r="J49" i="10"/>
  <c r="G49" i="10"/>
  <c r="B49" i="10"/>
  <c r="W48" i="10"/>
  <c r="R48" i="10"/>
  <c r="O48" i="10"/>
  <c r="J48" i="10"/>
  <c r="G48" i="10"/>
  <c r="B48" i="10"/>
  <c r="W47" i="10"/>
  <c r="R47" i="10"/>
  <c r="O47" i="10"/>
  <c r="J47" i="10"/>
  <c r="B47" i="10"/>
  <c r="R46" i="10"/>
  <c r="O46" i="10"/>
  <c r="J46" i="10"/>
  <c r="B46" i="10"/>
  <c r="W45" i="10"/>
  <c r="R45" i="10"/>
  <c r="J45" i="10"/>
  <c r="B45" i="10"/>
  <c r="W44" i="10"/>
  <c r="R44" i="10"/>
  <c r="J44" i="10"/>
  <c r="G44" i="10"/>
  <c r="B44" i="10"/>
  <c r="W43" i="10"/>
  <c r="R43" i="10"/>
  <c r="J43" i="10"/>
  <c r="G43" i="10"/>
  <c r="B43" i="10"/>
  <c r="W42" i="10"/>
  <c r="R42" i="10"/>
  <c r="J42" i="10"/>
  <c r="G42" i="10"/>
  <c r="B42" i="10"/>
  <c r="W41" i="10"/>
  <c r="R41" i="10"/>
  <c r="J41" i="10"/>
  <c r="G41" i="10"/>
  <c r="B41" i="10"/>
  <c r="W40" i="10"/>
  <c r="R40" i="10"/>
  <c r="J40" i="10"/>
  <c r="G40" i="10"/>
  <c r="B40" i="10"/>
  <c r="W39" i="10"/>
  <c r="R39" i="10"/>
  <c r="J39" i="10"/>
  <c r="G39" i="10"/>
  <c r="B39" i="10"/>
  <c r="W38" i="10"/>
  <c r="R38" i="10"/>
  <c r="J38" i="10"/>
  <c r="G38" i="10"/>
  <c r="B38" i="10"/>
  <c r="W37" i="10"/>
  <c r="R37" i="10"/>
  <c r="J37" i="10"/>
  <c r="G37" i="10"/>
  <c r="B37" i="10"/>
  <c r="W36" i="10"/>
  <c r="R36" i="10"/>
  <c r="J36" i="10"/>
  <c r="G36" i="10"/>
  <c r="B36" i="10"/>
  <c r="W35" i="10"/>
  <c r="R35" i="10"/>
  <c r="J35" i="10"/>
  <c r="B35" i="10"/>
  <c r="R34" i="10"/>
  <c r="J34" i="10"/>
  <c r="B34" i="10"/>
  <c r="W33" i="10"/>
  <c r="R33" i="10"/>
  <c r="J33" i="10"/>
  <c r="B33" i="10"/>
  <c r="W32" i="10"/>
  <c r="R32" i="10"/>
  <c r="J32" i="10"/>
  <c r="G32" i="10"/>
  <c r="B32" i="10"/>
  <c r="W31" i="10"/>
  <c r="R31" i="10"/>
  <c r="J31" i="10"/>
  <c r="G31" i="10"/>
  <c r="B31" i="10"/>
  <c r="W30" i="10"/>
  <c r="R30" i="10"/>
  <c r="J30" i="10"/>
  <c r="G30" i="10"/>
  <c r="B30" i="10"/>
  <c r="W29" i="10"/>
  <c r="R29" i="10"/>
  <c r="J29" i="10"/>
  <c r="G29" i="10"/>
  <c r="B29" i="10"/>
  <c r="W28" i="10"/>
  <c r="R28" i="10"/>
  <c r="J28" i="10"/>
  <c r="G28" i="10"/>
  <c r="B28" i="10"/>
  <c r="W27" i="10"/>
  <c r="R27" i="10"/>
  <c r="J27" i="10"/>
  <c r="G27" i="10"/>
  <c r="B27" i="10"/>
  <c r="W26" i="10"/>
  <c r="R26" i="10"/>
  <c r="J26" i="10"/>
  <c r="G26" i="10"/>
  <c r="B26" i="10"/>
  <c r="W25" i="10"/>
  <c r="R25" i="10"/>
  <c r="J25" i="10"/>
  <c r="G25" i="10"/>
  <c r="B25" i="10"/>
  <c r="W24" i="10"/>
  <c r="R24" i="10"/>
  <c r="J24" i="10"/>
  <c r="G24" i="10"/>
  <c r="B24" i="10"/>
  <c r="W23" i="10"/>
  <c r="R23" i="10"/>
  <c r="J23" i="10"/>
  <c r="B23" i="10"/>
  <c r="R22" i="10"/>
  <c r="J22" i="10"/>
  <c r="B22" i="10"/>
  <c r="M17" i="10"/>
  <c r="H17" i="10" l="1"/>
  <c r="L11" i="10"/>
  <c r="L9" i="10"/>
  <c r="F17" i="10"/>
  <c r="L14" i="10"/>
  <c r="I17" i="10"/>
  <c r="J17" i="10"/>
  <c r="K17" i="10"/>
  <c r="L10" i="10"/>
  <c r="L13" i="10"/>
  <c r="L8" i="10"/>
  <c r="L7" i="10"/>
  <c r="L12" i="10"/>
  <c r="L16" i="10"/>
  <c r="G17" i="10"/>
  <c r="L15" i="10"/>
  <c r="L6" i="10"/>
  <c r="R6" i="10" l="1"/>
  <c r="S6" i="10" s="1"/>
  <c r="T6" i="10" s="1"/>
  <c r="R7" i="10"/>
  <c r="S7" i="10" s="1"/>
  <c r="T7" i="10" s="1"/>
  <c r="R5" i="10"/>
  <c r="S5" i="10" s="1"/>
  <c r="T5" i="10" s="1"/>
  <c r="L17" i="10"/>
  <c r="R191" i="4"/>
  <c r="R190" i="4"/>
  <c r="J191" i="4"/>
  <c r="J190" i="4"/>
  <c r="R370" i="4"/>
  <c r="J370" i="4"/>
  <c r="B370" i="4"/>
  <c r="R358" i="4"/>
  <c r="J358" i="4"/>
  <c r="B358" i="4"/>
  <c r="R346" i="4"/>
  <c r="O346" i="4"/>
  <c r="J346" i="4"/>
  <c r="B346" i="4"/>
  <c r="R334" i="4"/>
  <c r="O334" i="4"/>
  <c r="J334" i="4"/>
  <c r="B334" i="4"/>
  <c r="R322" i="4"/>
  <c r="O322" i="4"/>
  <c r="J322" i="4"/>
  <c r="B322" i="4"/>
  <c r="R310" i="4"/>
  <c r="O310" i="4"/>
  <c r="J310" i="4"/>
  <c r="B310" i="4"/>
  <c r="R298" i="4"/>
  <c r="O298" i="4"/>
  <c r="J298" i="4"/>
  <c r="B298" i="4"/>
  <c r="R286" i="4"/>
  <c r="J286" i="4"/>
  <c r="B286" i="4"/>
  <c r="R274" i="4"/>
  <c r="J274" i="4"/>
  <c r="B274" i="4"/>
  <c r="R262" i="4"/>
  <c r="O262" i="4"/>
  <c r="J262" i="4"/>
  <c r="B262" i="4"/>
  <c r="R250" i="4"/>
  <c r="O250" i="4"/>
  <c r="J250" i="4"/>
  <c r="B250" i="4"/>
  <c r="R238" i="4"/>
  <c r="O238" i="4"/>
  <c r="J238" i="4"/>
  <c r="B238" i="4"/>
  <c r="R226" i="4"/>
  <c r="O226" i="4"/>
  <c r="J226" i="4"/>
  <c r="B226" i="4"/>
  <c r="R214" i="4"/>
  <c r="O214" i="4"/>
  <c r="J214" i="4"/>
  <c r="B214" i="4"/>
  <c r="R202" i="4"/>
  <c r="J202" i="4"/>
  <c r="B202" i="4"/>
  <c r="B190" i="4"/>
  <c r="R178" i="4"/>
  <c r="O178" i="4"/>
  <c r="J178" i="4"/>
  <c r="B178" i="4"/>
  <c r="R166" i="4"/>
  <c r="O166" i="4"/>
  <c r="J166" i="4"/>
  <c r="B166" i="4"/>
  <c r="R154" i="4"/>
  <c r="O154" i="4"/>
  <c r="J154" i="4"/>
  <c r="B154" i="4"/>
  <c r="R142" i="4"/>
  <c r="O142" i="4"/>
  <c r="J142" i="4"/>
  <c r="B142" i="4"/>
  <c r="R130" i="4"/>
  <c r="O130" i="4"/>
  <c r="J130" i="4"/>
  <c r="B130" i="4"/>
  <c r="R118" i="4"/>
  <c r="J118" i="4"/>
  <c r="B118" i="4"/>
  <c r="R106" i="4"/>
  <c r="J106" i="4"/>
  <c r="B106" i="4"/>
  <c r="R94" i="4"/>
  <c r="O94" i="4"/>
  <c r="J94" i="4"/>
  <c r="B94" i="4"/>
  <c r="R82" i="4"/>
  <c r="O82" i="4"/>
  <c r="J82" i="4"/>
  <c r="B82" i="4"/>
  <c r="R70" i="4"/>
  <c r="O70" i="4"/>
  <c r="J70" i="4"/>
  <c r="B70" i="4"/>
  <c r="R58" i="4"/>
  <c r="O58" i="4"/>
  <c r="J58" i="4"/>
  <c r="B58" i="4"/>
  <c r="R46" i="4"/>
  <c r="O46" i="4"/>
  <c r="J46" i="4"/>
  <c r="B46" i="4"/>
  <c r="R34" i="4"/>
  <c r="J34" i="4"/>
  <c r="B34" i="4"/>
  <c r="R22" i="4"/>
  <c r="J22" i="4"/>
  <c r="B22" i="4"/>
  <c r="I17" i="4"/>
  <c r="H6" i="4" l="1"/>
  <c r="F17" i="4"/>
  <c r="G17" i="4"/>
  <c r="E17" i="4"/>
  <c r="D17" i="4"/>
  <c r="C17" i="4"/>
  <c r="W23" i="4"/>
  <c r="W24" i="4"/>
  <c r="W25" i="4"/>
  <c r="W26" i="4"/>
  <c r="W27" i="4"/>
  <c r="W28" i="4"/>
  <c r="W29" i="4"/>
  <c r="W30" i="4"/>
  <c r="W31" i="4"/>
  <c r="W32" i="4"/>
  <c r="W33" i="4"/>
  <c r="W35" i="4"/>
  <c r="W36" i="4"/>
  <c r="W37" i="4"/>
  <c r="W38" i="4"/>
  <c r="W39" i="4"/>
  <c r="W40" i="4"/>
  <c r="W41" i="4"/>
  <c r="W42" i="4"/>
  <c r="W43" i="4"/>
  <c r="W44" i="4"/>
  <c r="W45" i="4"/>
  <c r="W47" i="4"/>
  <c r="W48" i="4"/>
  <c r="W49" i="4"/>
  <c r="W50" i="4"/>
  <c r="W51" i="4"/>
  <c r="W52" i="4"/>
  <c r="W53" i="4"/>
  <c r="W54" i="4"/>
  <c r="W55" i="4"/>
  <c r="W56" i="4"/>
  <c r="W57" i="4"/>
  <c r="W59" i="4"/>
  <c r="W60" i="4"/>
  <c r="W61" i="4"/>
  <c r="W62" i="4"/>
  <c r="W63" i="4"/>
  <c r="W64" i="4"/>
  <c r="W65" i="4"/>
  <c r="W66" i="4"/>
  <c r="W67" i="4"/>
  <c r="W68" i="4"/>
  <c r="W69" i="4"/>
  <c r="W71" i="4"/>
  <c r="W72" i="4"/>
  <c r="W73" i="4"/>
  <c r="W74" i="4"/>
  <c r="W75" i="4"/>
  <c r="W76" i="4"/>
  <c r="W77" i="4"/>
  <c r="W78" i="4"/>
  <c r="W79" i="4"/>
  <c r="W80" i="4"/>
  <c r="W81" i="4"/>
  <c r="W83" i="4"/>
  <c r="W84" i="4"/>
  <c r="W85" i="4"/>
  <c r="W86" i="4"/>
  <c r="W87" i="4"/>
  <c r="W88" i="4"/>
  <c r="W89" i="4"/>
  <c r="W90" i="4"/>
  <c r="W91" i="4"/>
  <c r="W92" i="4"/>
  <c r="W93" i="4"/>
  <c r="W95" i="4"/>
  <c r="W96" i="4"/>
  <c r="W97" i="4"/>
  <c r="W98" i="4"/>
  <c r="W99" i="4"/>
  <c r="W100" i="4"/>
  <c r="W101" i="4"/>
  <c r="W102" i="4"/>
  <c r="W103" i="4"/>
  <c r="W104" i="4"/>
  <c r="W105" i="4"/>
  <c r="W107" i="4"/>
  <c r="W108" i="4"/>
  <c r="W109" i="4"/>
  <c r="W110" i="4"/>
  <c r="W111" i="4"/>
  <c r="W112" i="4"/>
  <c r="W113" i="4"/>
  <c r="W114" i="4"/>
  <c r="W115" i="4"/>
  <c r="W116" i="4"/>
  <c r="W117" i="4"/>
  <c r="W119" i="4"/>
  <c r="W120" i="4"/>
  <c r="W121" i="4"/>
  <c r="W122" i="4"/>
  <c r="W123" i="4"/>
  <c r="W124" i="4"/>
  <c r="W125" i="4"/>
  <c r="W126" i="4"/>
  <c r="W127" i="4"/>
  <c r="W128" i="4"/>
  <c r="W129" i="4"/>
  <c r="W131" i="4"/>
  <c r="W132" i="4"/>
  <c r="W133" i="4"/>
  <c r="W134" i="4"/>
  <c r="W135" i="4"/>
  <c r="W136" i="4"/>
  <c r="W137" i="4"/>
  <c r="W138" i="4"/>
  <c r="W139" i="4"/>
  <c r="W140" i="4"/>
  <c r="W141" i="4"/>
  <c r="W143" i="4"/>
  <c r="W144" i="4"/>
  <c r="W145" i="4"/>
  <c r="W146" i="4"/>
  <c r="W147" i="4"/>
  <c r="W148" i="4"/>
  <c r="W149" i="4"/>
  <c r="W150" i="4"/>
  <c r="W151" i="4"/>
  <c r="W152" i="4"/>
  <c r="W153" i="4"/>
  <c r="W155" i="4"/>
  <c r="W156" i="4"/>
  <c r="W157" i="4"/>
  <c r="W158" i="4"/>
  <c r="W159" i="4"/>
  <c r="W160" i="4"/>
  <c r="W161" i="4"/>
  <c r="W162" i="4"/>
  <c r="W163" i="4"/>
  <c r="W164" i="4"/>
  <c r="W165" i="4"/>
  <c r="W167" i="4"/>
  <c r="W168" i="4"/>
  <c r="W169" i="4"/>
  <c r="W170" i="4"/>
  <c r="W171" i="4"/>
  <c r="W172" i="4"/>
  <c r="W173" i="4"/>
  <c r="W174" i="4"/>
  <c r="W175" i="4"/>
  <c r="W176" i="4"/>
  <c r="W177" i="4"/>
  <c r="W179" i="4"/>
  <c r="W180" i="4"/>
  <c r="W181" i="4"/>
  <c r="W182" i="4"/>
  <c r="W183" i="4"/>
  <c r="W184" i="4"/>
  <c r="W185" i="4"/>
  <c r="W186" i="4"/>
  <c r="W187" i="4"/>
  <c r="W188" i="4"/>
  <c r="W189" i="4"/>
  <c r="W191" i="4"/>
  <c r="W192" i="4"/>
  <c r="W193" i="4"/>
  <c r="W194" i="4"/>
  <c r="W195" i="4"/>
  <c r="W196" i="4"/>
  <c r="W197" i="4"/>
  <c r="W198" i="4"/>
  <c r="W199" i="4"/>
  <c r="W200" i="4"/>
  <c r="W201" i="4"/>
  <c r="W203" i="4"/>
  <c r="W204" i="4"/>
  <c r="W205" i="4"/>
  <c r="W206" i="4"/>
  <c r="W207" i="4"/>
  <c r="W208" i="4"/>
  <c r="W209" i="4"/>
  <c r="W210" i="4"/>
  <c r="W211" i="4"/>
  <c r="W212" i="4"/>
  <c r="W213" i="4"/>
  <c r="W215" i="4"/>
  <c r="W216" i="4"/>
  <c r="W217" i="4"/>
  <c r="W218" i="4"/>
  <c r="W219" i="4"/>
  <c r="W220" i="4"/>
  <c r="W221" i="4"/>
  <c r="W222" i="4"/>
  <c r="W223" i="4"/>
  <c r="W224" i="4"/>
  <c r="W225" i="4"/>
  <c r="W227" i="4"/>
  <c r="W228" i="4"/>
  <c r="W229" i="4"/>
  <c r="W230" i="4"/>
  <c r="W231" i="4"/>
  <c r="W232" i="4"/>
  <c r="W233" i="4"/>
  <c r="W234" i="4"/>
  <c r="W235" i="4"/>
  <c r="W236" i="4"/>
  <c r="W237" i="4"/>
  <c r="W239" i="4"/>
  <c r="W240" i="4"/>
  <c r="W241" i="4"/>
  <c r="W242" i="4"/>
  <c r="W243" i="4"/>
  <c r="W244" i="4"/>
  <c r="W245" i="4"/>
  <c r="W246" i="4"/>
  <c r="W247" i="4"/>
  <c r="W248" i="4"/>
  <c r="W249" i="4"/>
  <c r="W251" i="4"/>
  <c r="W252" i="4"/>
  <c r="W253" i="4"/>
  <c r="W254" i="4"/>
  <c r="W255" i="4"/>
  <c r="W256" i="4"/>
  <c r="W257" i="4"/>
  <c r="W258" i="4"/>
  <c r="W259" i="4"/>
  <c r="W260" i="4"/>
  <c r="W261" i="4"/>
  <c r="W263" i="4"/>
  <c r="W264" i="4"/>
  <c r="W265" i="4"/>
  <c r="W266" i="4"/>
  <c r="W267" i="4"/>
  <c r="W268" i="4"/>
  <c r="W269" i="4"/>
  <c r="W270" i="4"/>
  <c r="W271" i="4"/>
  <c r="W272" i="4"/>
  <c r="W273" i="4"/>
  <c r="W275" i="4"/>
  <c r="W276" i="4"/>
  <c r="W277" i="4"/>
  <c r="W278" i="4"/>
  <c r="W279" i="4"/>
  <c r="W280" i="4"/>
  <c r="W281" i="4"/>
  <c r="W282" i="4"/>
  <c r="W283" i="4"/>
  <c r="W284" i="4"/>
  <c r="W285" i="4"/>
  <c r="W287" i="4"/>
  <c r="W288" i="4"/>
  <c r="W289" i="4"/>
  <c r="W290" i="4"/>
  <c r="W291" i="4"/>
  <c r="W292" i="4"/>
  <c r="W293" i="4"/>
  <c r="W294" i="4"/>
  <c r="W295" i="4"/>
  <c r="W296" i="4"/>
  <c r="W297" i="4"/>
  <c r="W299" i="4"/>
  <c r="W300" i="4"/>
  <c r="W301" i="4"/>
  <c r="W302" i="4"/>
  <c r="W303" i="4"/>
  <c r="W304" i="4"/>
  <c r="W305" i="4"/>
  <c r="W306" i="4"/>
  <c r="W307" i="4"/>
  <c r="W308" i="4"/>
  <c r="W309" i="4"/>
  <c r="W311" i="4"/>
  <c r="W312" i="4"/>
  <c r="W313" i="4"/>
  <c r="W314" i="4"/>
  <c r="W315" i="4"/>
  <c r="W316" i="4"/>
  <c r="W317" i="4"/>
  <c r="W318" i="4"/>
  <c r="W319" i="4"/>
  <c r="W320" i="4"/>
  <c r="W321" i="4"/>
  <c r="W323" i="4"/>
  <c r="W324" i="4"/>
  <c r="W325" i="4"/>
  <c r="W326" i="4"/>
  <c r="W327" i="4"/>
  <c r="W328" i="4"/>
  <c r="W329" i="4"/>
  <c r="W330" i="4"/>
  <c r="W331" i="4"/>
  <c r="W332" i="4"/>
  <c r="W333" i="4"/>
  <c r="W335" i="4"/>
  <c r="W336" i="4"/>
  <c r="W337" i="4"/>
  <c r="W338" i="4"/>
  <c r="W339" i="4"/>
  <c r="W340" i="4"/>
  <c r="W341" i="4"/>
  <c r="W342" i="4"/>
  <c r="W343" i="4"/>
  <c r="W344" i="4"/>
  <c r="W345" i="4"/>
  <c r="W347" i="4"/>
  <c r="W348" i="4"/>
  <c r="W349" i="4"/>
  <c r="W350" i="4"/>
  <c r="W351" i="4"/>
  <c r="W352" i="4"/>
  <c r="W353" i="4"/>
  <c r="W354" i="4"/>
  <c r="W355" i="4"/>
  <c r="W356" i="4"/>
  <c r="W357" i="4"/>
  <c r="W359" i="4"/>
  <c r="W360" i="4"/>
  <c r="W361" i="4"/>
  <c r="W362" i="4"/>
  <c r="W363" i="4"/>
  <c r="W364" i="4"/>
  <c r="W365" i="4"/>
  <c r="W366" i="4"/>
  <c r="W367" i="4"/>
  <c r="W368" i="4"/>
  <c r="W369" i="4"/>
  <c r="W371" i="4"/>
  <c r="W372" i="4"/>
  <c r="W373" i="4"/>
  <c r="W374" i="4"/>
  <c r="W375" i="4"/>
  <c r="W376" i="4"/>
  <c r="W377" i="4"/>
  <c r="W378" i="4"/>
  <c r="W379" i="4"/>
  <c r="W380" i="4"/>
  <c r="W381" i="4"/>
  <c r="O47" i="4"/>
  <c r="O48" i="4"/>
  <c r="O49" i="4"/>
  <c r="O50" i="4"/>
  <c r="O51" i="4"/>
  <c r="O52" i="4"/>
  <c r="O53" i="4"/>
  <c r="O54" i="4"/>
  <c r="O59" i="4"/>
  <c r="O60" i="4"/>
  <c r="O61" i="4"/>
  <c r="O62" i="4"/>
  <c r="O63" i="4"/>
  <c r="O64" i="4"/>
  <c r="O65" i="4"/>
  <c r="O66" i="4"/>
  <c r="O71" i="4"/>
  <c r="O72" i="4"/>
  <c r="O73" i="4"/>
  <c r="O74" i="4"/>
  <c r="O75" i="4"/>
  <c r="O76" i="4"/>
  <c r="O77" i="4"/>
  <c r="O78" i="4"/>
  <c r="O83" i="4"/>
  <c r="O84" i="4"/>
  <c r="O85" i="4"/>
  <c r="O86" i="4"/>
  <c r="O87" i="4"/>
  <c r="O88" i="4"/>
  <c r="O89" i="4"/>
  <c r="O90" i="4"/>
  <c r="O95" i="4"/>
  <c r="O96" i="4"/>
  <c r="O97" i="4"/>
  <c r="O98" i="4"/>
  <c r="O99" i="4"/>
  <c r="O100" i="4"/>
  <c r="O101" i="4"/>
  <c r="O102" i="4"/>
  <c r="O131" i="4"/>
  <c r="O132" i="4"/>
  <c r="O133" i="4"/>
  <c r="O134" i="4"/>
  <c r="O135" i="4"/>
  <c r="O136" i="4"/>
  <c r="O137" i="4"/>
  <c r="O138" i="4"/>
  <c r="O143" i="4"/>
  <c r="O144" i="4"/>
  <c r="O145" i="4"/>
  <c r="O146" i="4"/>
  <c r="O147" i="4"/>
  <c r="O148" i="4"/>
  <c r="O149" i="4"/>
  <c r="O150" i="4"/>
  <c r="O155" i="4"/>
  <c r="O156" i="4"/>
  <c r="O157" i="4"/>
  <c r="O158" i="4"/>
  <c r="O159" i="4"/>
  <c r="O160" i="4"/>
  <c r="O161" i="4"/>
  <c r="O162" i="4"/>
  <c r="O167" i="4"/>
  <c r="O168" i="4"/>
  <c r="O169" i="4"/>
  <c r="O170" i="4"/>
  <c r="O171" i="4"/>
  <c r="O172" i="4"/>
  <c r="O173" i="4"/>
  <c r="O174" i="4"/>
  <c r="O179" i="4"/>
  <c r="O180" i="4"/>
  <c r="O181" i="4"/>
  <c r="O182" i="4"/>
  <c r="O183" i="4"/>
  <c r="O184" i="4"/>
  <c r="O185" i="4"/>
  <c r="O186" i="4"/>
  <c r="O215" i="4"/>
  <c r="O216" i="4"/>
  <c r="O217" i="4"/>
  <c r="O218" i="4"/>
  <c r="O219" i="4"/>
  <c r="O220" i="4"/>
  <c r="O221" i="4"/>
  <c r="O222" i="4"/>
  <c r="O227" i="4"/>
  <c r="O228" i="4"/>
  <c r="O229" i="4"/>
  <c r="O230" i="4"/>
  <c r="O231" i="4"/>
  <c r="O232" i="4"/>
  <c r="O233" i="4"/>
  <c r="O234" i="4"/>
  <c r="O239" i="4"/>
  <c r="O240" i="4"/>
  <c r="O241" i="4"/>
  <c r="O242" i="4"/>
  <c r="O243" i="4"/>
  <c r="O244" i="4"/>
  <c r="O245" i="4"/>
  <c r="O246" i="4"/>
  <c r="O251" i="4"/>
  <c r="O252" i="4"/>
  <c r="O253" i="4"/>
  <c r="O254" i="4"/>
  <c r="O255" i="4"/>
  <c r="O256" i="4"/>
  <c r="O257" i="4"/>
  <c r="O258" i="4"/>
  <c r="O263" i="4"/>
  <c r="O264" i="4"/>
  <c r="O265" i="4"/>
  <c r="O266" i="4"/>
  <c r="O267" i="4"/>
  <c r="O268" i="4"/>
  <c r="O269" i="4"/>
  <c r="O270" i="4"/>
  <c r="O299" i="4"/>
  <c r="O300" i="4"/>
  <c r="O301" i="4"/>
  <c r="O302" i="4"/>
  <c r="O303" i="4"/>
  <c r="O304" i="4"/>
  <c r="O305" i="4"/>
  <c r="O306" i="4"/>
  <c r="O311" i="4"/>
  <c r="O312" i="4"/>
  <c r="O313" i="4"/>
  <c r="O314" i="4"/>
  <c r="O315" i="4"/>
  <c r="O316" i="4"/>
  <c r="O317" i="4"/>
  <c r="O318" i="4"/>
  <c r="O323" i="4"/>
  <c r="O324" i="4"/>
  <c r="O325" i="4"/>
  <c r="O326" i="4"/>
  <c r="O327" i="4"/>
  <c r="O328" i="4"/>
  <c r="O329" i="4"/>
  <c r="O330" i="4"/>
  <c r="O335" i="4"/>
  <c r="O336" i="4"/>
  <c r="O337" i="4"/>
  <c r="O338" i="4"/>
  <c r="O339" i="4"/>
  <c r="O340" i="4"/>
  <c r="O341" i="4"/>
  <c r="O342" i="4"/>
  <c r="O347" i="4"/>
  <c r="O348" i="4"/>
  <c r="O349" i="4"/>
  <c r="O350" i="4"/>
  <c r="O351" i="4"/>
  <c r="O352" i="4"/>
  <c r="O353" i="4"/>
  <c r="O354" i="4"/>
  <c r="G24" i="4"/>
  <c r="G25" i="4"/>
  <c r="G26" i="4"/>
  <c r="G27" i="4"/>
  <c r="G28" i="4"/>
  <c r="G29" i="4"/>
  <c r="G30" i="4"/>
  <c r="G31" i="4"/>
  <c r="G32" i="4"/>
  <c r="G36" i="4"/>
  <c r="G37" i="4"/>
  <c r="G38" i="4"/>
  <c r="G39" i="4"/>
  <c r="G40" i="4"/>
  <c r="G41" i="4"/>
  <c r="G42" i="4"/>
  <c r="G43" i="4"/>
  <c r="G44" i="4"/>
  <c r="G48" i="4"/>
  <c r="G49" i="4"/>
  <c r="G50" i="4"/>
  <c r="G51" i="4"/>
  <c r="G52" i="4"/>
  <c r="G53" i="4"/>
  <c r="G54" i="4"/>
  <c r="G55" i="4"/>
  <c r="G56" i="4"/>
  <c r="G60" i="4"/>
  <c r="G61" i="4"/>
  <c r="G62" i="4"/>
  <c r="G63" i="4"/>
  <c r="G64" i="4"/>
  <c r="G65" i="4"/>
  <c r="G66" i="4"/>
  <c r="G67" i="4"/>
  <c r="G68" i="4"/>
  <c r="G72" i="4"/>
  <c r="G73" i="4"/>
  <c r="G74" i="4"/>
  <c r="G75" i="4"/>
  <c r="G76" i="4"/>
  <c r="G77" i="4"/>
  <c r="G78" i="4"/>
  <c r="G79" i="4"/>
  <c r="G80" i="4"/>
  <c r="G84" i="4"/>
  <c r="G85" i="4"/>
  <c r="G86" i="4"/>
  <c r="G87" i="4"/>
  <c r="G88" i="4"/>
  <c r="G89" i="4"/>
  <c r="G90" i="4"/>
  <c r="G91" i="4"/>
  <c r="G92" i="4"/>
  <c r="G96" i="4"/>
  <c r="G97" i="4"/>
  <c r="G98" i="4"/>
  <c r="G99" i="4"/>
  <c r="G100" i="4"/>
  <c r="G101" i="4"/>
  <c r="G102" i="4"/>
  <c r="G103" i="4"/>
  <c r="G104" i="4"/>
  <c r="G108" i="4"/>
  <c r="G109" i="4"/>
  <c r="G110" i="4"/>
  <c r="G111" i="4"/>
  <c r="G112" i="4"/>
  <c r="G113" i="4"/>
  <c r="G114" i="4"/>
  <c r="G115" i="4"/>
  <c r="G116" i="4"/>
  <c r="G120" i="4"/>
  <c r="G121" i="4"/>
  <c r="G122" i="4"/>
  <c r="G123" i="4"/>
  <c r="G124" i="4"/>
  <c r="G125" i="4"/>
  <c r="G126" i="4"/>
  <c r="G127" i="4"/>
  <c r="G128" i="4"/>
  <c r="G132" i="4"/>
  <c r="G133" i="4"/>
  <c r="G134" i="4"/>
  <c r="G135" i="4"/>
  <c r="G136" i="4"/>
  <c r="G137" i="4"/>
  <c r="G138" i="4"/>
  <c r="G139" i="4"/>
  <c r="G140" i="4"/>
  <c r="G144" i="4"/>
  <c r="G145" i="4"/>
  <c r="G146" i="4"/>
  <c r="G147" i="4"/>
  <c r="G148" i="4"/>
  <c r="G149" i="4"/>
  <c r="G150" i="4"/>
  <c r="G151" i="4"/>
  <c r="G152" i="4"/>
  <c r="G156" i="4"/>
  <c r="G157" i="4"/>
  <c r="G158" i="4"/>
  <c r="G159" i="4"/>
  <c r="G160" i="4"/>
  <c r="G161" i="4"/>
  <c r="G162" i="4"/>
  <c r="G163" i="4"/>
  <c r="G164" i="4"/>
  <c r="G168" i="4"/>
  <c r="G169" i="4"/>
  <c r="G170" i="4"/>
  <c r="G171" i="4"/>
  <c r="G172" i="4"/>
  <c r="G173" i="4"/>
  <c r="G174" i="4"/>
  <c r="G175" i="4"/>
  <c r="G176" i="4"/>
  <c r="G180" i="4"/>
  <c r="G181" i="4"/>
  <c r="G182" i="4"/>
  <c r="G183" i="4"/>
  <c r="G184" i="4"/>
  <c r="G185" i="4"/>
  <c r="G186" i="4"/>
  <c r="G187" i="4"/>
  <c r="G188" i="4"/>
  <c r="G192" i="4"/>
  <c r="G193" i="4"/>
  <c r="G194" i="4"/>
  <c r="G195" i="4"/>
  <c r="G196" i="4"/>
  <c r="G197" i="4"/>
  <c r="G198" i="4"/>
  <c r="G199" i="4"/>
  <c r="G200" i="4"/>
  <c r="G204" i="4"/>
  <c r="G205" i="4"/>
  <c r="G206" i="4"/>
  <c r="G207" i="4"/>
  <c r="G208" i="4"/>
  <c r="G209" i="4"/>
  <c r="G210" i="4"/>
  <c r="G211" i="4"/>
  <c r="G212" i="4"/>
  <c r="G216" i="4"/>
  <c r="G217" i="4"/>
  <c r="G218" i="4"/>
  <c r="G219" i="4"/>
  <c r="G220" i="4"/>
  <c r="G221" i="4"/>
  <c r="G222" i="4"/>
  <c r="G223" i="4"/>
  <c r="G224" i="4"/>
  <c r="G228" i="4"/>
  <c r="G229" i="4"/>
  <c r="G230" i="4"/>
  <c r="G231" i="4"/>
  <c r="G232" i="4"/>
  <c r="G233" i="4"/>
  <c r="G234" i="4"/>
  <c r="G235" i="4"/>
  <c r="G236" i="4"/>
  <c r="G240" i="4"/>
  <c r="G241" i="4"/>
  <c r="G242" i="4"/>
  <c r="G243" i="4"/>
  <c r="G244" i="4"/>
  <c r="G245" i="4"/>
  <c r="G246" i="4"/>
  <c r="G247" i="4"/>
  <c r="G248" i="4"/>
  <c r="G252" i="4"/>
  <c r="G253" i="4"/>
  <c r="G254" i="4"/>
  <c r="G255" i="4"/>
  <c r="G256" i="4"/>
  <c r="G257" i="4"/>
  <c r="G258" i="4"/>
  <c r="G259" i="4"/>
  <c r="G260" i="4"/>
  <c r="G264" i="4"/>
  <c r="G265" i="4"/>
  <c r="G266" i="4"/>
  <c r="G267" i="4"/>
  <c r="G268" i="4"/>
  <c r="G269" i="4"/>
  <c r="G270" i="4"/>
  <c r="G271" i="4"/>
  <c r="G272" i="4"/>
  <c r="G276" i="4"/>
  <c r="G277" i="4"/>
  <c r="G278" i="4"/>
  <c r="G279" i="4"/>
  <c r="G280" i="4"/>
  <c r="G281" i="4"/>
  <c r="G282" i="4"/>
  <c r="G283" i="4"/>
  <c r="G284" i="4"/>
  <c r="G288" i="4"/>
  <c r="G289" i="4"/>
  <c r="G290" i="4"/>
  <c r="G291" i="4"/>
  <c r="G292" i="4"/>
  <c r="G293" i="4"/>
  <c r="G294" i="4"/>
  <c r="G295" i="4"/>
  <c r="G296" i="4"/>
  <c r="G300" i="4"/>
  <c r="G301" i="4"/>
  <c r="G302" i="4"/>
  <c r="G303" i="4"/>
  <c r="G304" i="4"/>
  <c r="G305" i="4"/>
  <c r="G306" i="4"/>
  <c r="G307" i="4"/>
  <c r="G308" i="4"/>
  <c r="G312" i="4"/>
  <c r="G313" i="4"/>
  <c r="G314" i="4"/>
  <c r="G315" i="4"/>
  <c r="G316" i="4"/>
  <c r="G317" i="4"/>
  <c r="G318" i="4"/>
  <c r="G319" i="4"/>
  <c r="G320" i="4"/>
  <c r="G324" i="4"/>
  <c r="G325" i="4"/>
  <c r="G326" i="4"/>
  <c r="G327" i="4"/>
  <c r="G328" i="4"/>
  <c r="G329" i="4"/>
  <c r="G330" i="4"/>
  <c r="G331" i="4"/>
  <c r="G332" i="4"/>
  <c r="G336" i="4"/>
  <c r="G337" i="4"/>
  <c r="G338" i="4"/>
  <c r="G339" i="4"/>
  <c r="G340" i="4"/>
  <c r="G341" i="4"/>
  <c r="G342" i="4"/>
  <c r="G343" i="4"/>
  <c r="G344" i="4"/>
  <c r="G348" i="4"/>
  <c r="G349" i="4"/>
  <c r="G350" i="4"/>
  <c r="G351" i="4"/>
  <c r="G352" i="4"/>
  <c r="G353" i="4"/>
  <c r="G354" i="4"/>
  <c r="G355" i="4"/>
  <c r="G356" i="4"/>
  <c r="G360" i="4"/>
  <c r="G361" i="4"/>
  <c r="G362" i="4"/>
  <c r="G363" i="4"/>
  <c r="G364" i="4"/>
  <c r="G365" i="4"/>
  <c r="G366" i="4"/>
  <c r="G367" i="4"/>
  <c r="G368" i="4"/>
  <c r="G372" i="4"/>
  <c r="G373" i="4"/>
  <c r="G374" i="4"/>
  <c r="G375" i="4"/>
  <c r="G376" i="4"/>
  <c r="G377" i="4"/>
  <c r="G378" i="4"/>
  <c r="G379" i="4"/>
  <c r="G380" i="4"/>
  <c r="J381" i="4"/>
  <c r="J380" i="4"/>
  <c r="J379" i="4"/>
  <c r="J378" i="4"/>
  <c r="J377" i="4"/>
  <c r="J376" i="4"/>
  <c r="J375" i="4"/>
  <c r="J374" i="4"/>
  <c r="J373" i="4"/>
  <c r="J372" i="4"/>
  <c r="J371" i="4"/>
  <c r="J369" i="4"/>
  <c r="J368" i="4"/>
  <c r="J367" i="4"/>
  <c r="J366" i="4"/>
  <c r="J365" i="4"/>
  <c r="J364" i="4"/>
  <c r="J363" i="4"/>
  <c r="J362" i="4"/>
  <c r="J361" i="4"/>
  <c r="J360" i="4"/>
  <c r="J359" i="4"/>
  <c r="J357" i="4"/>
  <c r="J356" i="4"/>
  <c r="J355" i="4"/>
  <c r="J354" i="4"/>
  <c r="J353" i="4"/>
  <c r="J352" i="4"/>
  <c r="J351" i="4"/>
  <c r="J350" i="4"/>
  <c r="J349" i="4"/>
  <c r="J348" i="4"/>
  <c r="J347" i="4"/>
  <c r="J345" i="4"/>
  <c r="J344" i="4"/>
  <c r="J343" i="4"/>
  <c r="J342" i="4"/>
  <c r="J341" i="4"/>
  <c r="J340" i="4"/>
  <c r="J339" i="4"/>
  <c r="J338" i="4"/>
  <c r="J337" i="4"/>
  <c r="J336" i="4"/>
  <c r="J335" i="4"/>
  <c r="J333" i="4"/>
  <c r="J332" i="4"/>
  <c r="J331" i="4"/>
  <c r="J330" i="4"/>
  <c r="J329" i="4"/>
  <c r="J328" i="4"/>
  <c r="J327" i="4"/>
  <c r="J326" i="4"/>
  <c r="J325" i="4"/>
  <c r="J324" i="4"/>
  <c r="J323" i="4"/>
  <c r="J321" i="4"/>
  <c r="J320" i="4"/>
  <c r="J319" i="4"/>
  <c r="J318" i="4"/>
  <c r="J317" i="4"/>
  <c r="J316" i="4"/>
  <c r="J315" i="4"/>
  <c r="J314" i="4"/>
  <c r="J313" i="4"/>
  <c r="J312" i="4"/>
  <c r="J311" i="4"/>
  <c r="J309" i="4"/>
  <c r="J308" i="4"/>
  <c r="J307" i="4"/>
  <c r="J306" i="4"/>
  <c r="J305" i="4"/>
  <c r="J304" i="4"/>
  <c r="J303" i="4"/>
  <c r="J302" i="4"/>
  <c r="J301" i="4"/>
  <c r="J300" i="4"/>
  <c r="J299" i="4"/>
  <c r="J297" i="4"/>
  <c r="J296" i="4"/>
  <c r="J295" i="4"/>
  <c r="J294" i="4"/>
  <c r="J293" i="4"/>
  <c r="J292" i="4"/>
  <c r="J291" i="4"/>
  <c r="J290" i="4"/>
  <c r="J289" i="4"/>
  <c r="J288" i="4"/>
  <c r="J287" i="4"/>
  <c r="J285" i="4"/>
  <c r="J284" i="4"/>
  <c r="J283" i="4"/>
  <c r="J282" i="4"/>
  <c r="J281" i="4"/>
  <c r="J280" i="4"/>
  <c r="J279" i="4"/>
  <c r="J278" i="4"/>
  <c r="J277" i="4"/>
  <c r="J276" i="4"/>
  <c r="J275" i="4"/>
  <c r="J273" i="4"/>
  <c r="J272" i="4"/>
  <c r="J271" i="4"/>
  <c r="J270" i="4"/>
  <c r="J269" i="4"/>
  <c r="J268" i="4"/>
  <c r="J267" i="4"/>
  <c r="J266" i="4"/>
  <c r="J265" i="4"/>
  <c r="J264" i="4"/>
  <c r="J263" i="4"/>
  <c r="J261" i="4"/>
  <c r="J260" i="4"/>
  <c r="J259" i="4"/>
  <c r="J258" i="4"/>
  <c r="J257" i="4"/>
  <c r="J256" i="4"/>
  <c r="J255" i="4"/>
  <c r="J254" i="4"/>
  <c r="J253" i="4"/>
  <c r="J252" i="4"/>
  <c r="J251" i="4"/>
  <c r="J249" i="4"/>
  <c r="J248" i="4"/>
  <c r="J247" i="4"/>
  <c r="J246" i="4"/>
  <c r="J245" i="4"/>
  <c r="J244" i="4"/>
  <c r="J243" i="4"/>
  <c r="J242" i="4"/>
  <c r="J241" i="4"/>
  <c r="J240" i="4"/>
  <c r="J239" i="4"/>
  <c r="J237" i="4"/>
  <c r="J236" i="4"/>
  <c r="J235" i="4"/>
  <c r="J234" i="4"/>
  <c r="J233" i="4"/>
  <c r="J232" i="4"/>
  <c r="J231" i="4"/>
  <c r="J230" i="4"/>
  <c r="J229" i="4"/>
  <c r="J228" i="4"/>
  <c r="J227" i="4"/>
  <c r="J225" i="4"/>
  <c r="J224" i="4"/>
  <c r="J223" i="4"/>
  <c r="J222" i="4"/>
  <c r="J221" i="4"/>
  <c r="J220" i="4"/>
  <c r="J219" i="4"/>
  <c r="J218" i="4"/>
  <c r="J217" i="4"/>
  <c r="J216" i="4"/>
  <c r="J215" i="4"/>
  <c r="J213" i="4"/>
  <c r="J212" i="4"/>
  <c r="J211" i="4"/>
  <c r="J210" i="4"/>
  <c r="J209" i="4"/>
  <c r="J208" i="4"/>
  <c r="J207" i="4"/>
  <c r="J206" i="4"/>
  <c r="J205" i="4"/>
  <c r="J204" i="4"/>
  <c r="J203" i="4"/>
  <c r="J201" i="4"/>
  <c r="J200" i="4"/>
  <c r="J199" i="4"/>
  <c r="J198" i="4"/>
  <c r="J197" i="4"/>
  <c r="J196" i="4"/>
  <c r="J195" i="4"/>
  <c r="J194" i="4"/>
  <c r="J193" i="4"/>
  <c r="J192" i="4"/>
  <c r="J189" i="4"/>
  <c r="J188" i="4"/>
  <c r="J187" i="4"/>
  <c r="J186" i="4"/>
  <c r="J185" i="4"/>
  <c r="J184" i="4"/>
  <c r="J183" i="4"/>
  <c r="J182" i="4"/>
  <c r="J181" i="4"/>
  <c r="J180" i="4"/>
  <c r="J179" i="4"/>
  <c r="J177" i="4"/>
  <c r="J176" i="4"/>
  <c r="J175" i="4"/>
  <c r="J174" i="4"/>
  <c r="J173" i="4"/>
  <c r="J172" i="4"/>
  <c r="J171" i="4"/>
  <c r="J170" i="4"/>
  <c r="J169" i="4"/>
  <c r="J168" i="4"/>
  <c r="J167" i="4"/>
  <c r="J165" i="4"/>
  <c r="J164" i="4"/>
  <c r="J163" i="4"/>
  <c r="J162" i="4"/>
  <c r="J161" i="4"/>
  <c r="J160" i="4"/>
  <c r="J159" i="4"/>
  <c r="J158" i="4"/>
  <c r="J157" i="4"/>
  <c r="J156" i="4"/>
  <c r="J155" i="4"/>
  <c r="J153" i="4"/>
  <c r="J152" i="4"/>
  <c r="J151" i="4"/>
  <c r="J150" i="4"/>
  <c r="J149" i="4"/>
  <c r="J148" i="4"/>
  <c r="J147" i="4"/>
  <c r="J146" i="4"/>
  <c r="J145" i="4"/>
  <c r="J144" i="4"/>
  <c r="J143" i="4"/>
  <c r="J141" i="4"/>
  <c r="J140" i="4"/>
  <c r="J139" i="4"/>
  <c r="J138" i="4"/>
  <c r="J137" i="4"/>
  <c r="J136" i="4"/>
  <c r="J135" i="4"/>
  <c r="J134" i="4"/>
  <c r="J133" i="4"/>
  <c r="J132" i="4"/>
  <c r="J131" i="4"/>
  <c r="J129" i="4"/>
  <c r="J128" i="4"/>
  <c r="J127" i="4"/>
  <c r="J126" i="4"/>
  <c r="J125" i="4"/>
  <c r="J124" i="4"/>
  <c r="J123" i="4"/>
  <c r="J122" i="4"/>
  <c r="J121" i="4"/>
  <c r="J120" i="4"/>
  <c r="J119" i="4"/>
  <c r="J117" i="4"/>
  <c r="J116" i="4"/>
  <c r="J115" i="4"/>
  <c r="J114" i="4"/>
  <c r="J113" i="4"/>
  <c r="J112" i="4"/>
  <c r="J111" i="4"/>
  <c r="J110" i="4"/>
  <c r="J109" i="4"/>
  <c r="J108" i="4"/>
  <c r="J107" i="4"/>
  <c r="J105" i="4"/>
  <c r="J104" i="4"/>
  <c r="J103" i="4"/>
  <c r="J102" i="4"/>
  <c r="J101" i="4"/>
  <c r="J100" i="4"/>
  <c r="J99" i="4"/>
  <c r="J98" i="4"/>
  <c r="J97" i="4"/>
  <c r="J96" i="4"/>
  <c r="J95" i="4"/>
  <c r="J93" i="4"/>
  <c r="J92" i="4"/>
  <c r="J91" i="4"/>
  <c r="J90" i="4"/>
  <c r="J89" i="4"/>
  <c r="J88" i="4"/>
  <c r="J87" i="4"/>
  <c r="J86" i="4"/>
  <c r="J85" i="4"/>
  <c r="J84" i="4"/>
  <c r="J83" i="4"/>
  <c r="J81" i="4"/>
  <c r="J80" i="4"/>
  <c r="J79" i="4"/>
  <c r="J78" i="4"/>
  <c r="J77" i="4"/>
  <c r="J76" i="4"/>
  <c r="J75" i="4"/>
  <c r="J74" i="4"/>
  <c r="J73" i="4"/>
  <c r="J72" i="4"/>
  <c r="J71" i="4"/>
  <c r="J69" i="4"/>
  <c r="J68" i="4"/>
  <c r="J67" i="4"/>
  <c r="J66" i="4"/>
  <c r="J65" i="4"/>
  <c r="J64" i="4"/>
  <c r="J63" i="4"/>
  <c r="J62" i="4"/>
  <c r="J61" i="4"/>
  <c r="J60" i="4"/>
  <c r="J59" i="4"/>
  <c r="J57" i="4"/>
  <c r="J56" i="4"/>
  <c r="J55" i="4"/>
  <c r="J54" i="4"/>
  <c r="J53" i="4"/>
  <c r="J52" i="4"/>
  <c r="J51" i="4"/>
  <c r="J50" i="4"/>
  <c r="J49" i="4"/>
  <c r="J48" i="4"/>
  <c r="J47" i="4"/>
  <c r="J45" i="4"/>
  <c r="J44" i="4"/>
  <c r="J43" i="4"/>
  <c r="J42" i="4"/>
  <c r="J41" i="4"/>
  <c r="J40" i="4"/>
  <c r="J39" i="4"/>
  <c r="J38" i="4"/>
  <c r="J37" i="4"/>
  <c r="J36" i="4"/>
  <c r="J35" i="4"/>
  <c r="J33" i="4"/>
  <c r="J32" i="4"/>
  <c r="J31" i="4"/>
  <c r="J30" i="4"/>
  <c r="J29" i="4"/>
  <c r="J28" i="4"/>
  <c r="J27" i="4"/>
  <c r="J26" i="4"/>
  <c r="J25" i="4"/>
  <c r="J24" i="4"/>
  <c r="J23" i="4"/>
  <c r="B381" i="4"/>
  <c r="B380" i="4"/>
  <c r="B379" i="4"/>
  <c r="B378" i="4"/>
  <c r="B377" i="4"/>
  <c r="B376" i="4"/>
  <c r="B375" i="4"/>
  <c r="B374" i="4"/>
  <c r="B373" i="4"/>
  <c r="B372" i="4"/>
  <c r="B371" i="4"/>
  <c r="B369" i="4"/>
  <c r="B368" i="4"/>
  <c r="B367" i="4"/>
  <c r="B366" i="4"/>
  <c r="B365" i="4"/>
  <c r="B364" i="4"/>
  <c r="B363" i="4"/>
  <c r="B362" i="4"/>
  <c r="B361" i="4"/>
  <c r="B360" i="4"/>
  <c r="B359" i="4"/>
  <c r="B357" i="4"/>
  <c r="B356" i="4"/>
  <c r="B355" i="4"/>
  <c r="B354" i="4"/>
  <c r="B353" i="4"/>
  <c r="B352" i="4"/>
  <c r="B351" i="4"/>
  <c r="B350" i="4"/>
  <c r="B349" i="4"/>
  <c r="B348" i="4"/>
  <c r="B347" i="4"/>
  <c r="B345" i="4"/>
  <c r="B344" i="4"/>
  <c r="B343" i="4"/>
  <c r="B342" i="4"/>
  <c r="B341" i="4"/>
  <c r="B340" i="4"/>
  <c r="B339" i="4"/>
  <c r="B338" i="4"/>
  <c r="B337" i="4"/>
  <c r="B336" i="4"/>
  <c r="B335" i="4"/>
  <c r="B333" i="4"/>
  <c r="B332" i="4"/>
  <c r="B331" i="4"/>
  <c r="B330" i="4"/>
  <c r="B329" i="4"/>
  <c r="B328" i="4"/>
  <c r="B327" i="4"/>
  <c r="B326" i="4"/>
  <c r="B325" i="4"/>
  <c r="B324" i="4"/>
  <c r="B323" i="4"/>
  <c r="B321" i="4"/>
  <c r="B320" i="4"/>
  <c r="B319" i="4"/>
  <c r="B318" i="4"/>
  <c r="B317" i="4"/>
  <c r="B316" i="4"/>
  <c r="B315" i="4"/>
  <c r="B314" i="4"/>
  <c r="B313" i="4"/>
  <c r="B312" i="4"/>
  <c r="B311" i="4"/>
  <c r="B309" i="4"/>
  <c r="B308" i="4"/>
  <c r="B307" i="4"/>
  <c r="B306" i="4"/>
  <c r="B305" i="4"/>
  <c r="B304" i="4"/>
  <c r="B303" i="4"/>
  <c r="B302" i="4"/>
  <c r="B301" i="4"/>
  <c r="B300" i="4"/>
  <c r="B299" i="4"/>
  <c r="B297" i="4"/>
  <c r="B296" i="4"/>
  <c r="B295" i="4"/>
  <c r="B294" i="4"/>
  <c r="B293" i="4"/>
  <c r="B292" i="4"/>
  <c r="B291" i="4"/>
  <c r="B290" i="4"/>
  <c r="B289" i="4"/>
  <c r="B288" i="4"/>
  <c r="B287" i="4"/>
  <c r="B285" i="4"/>
  <c r="B284" i="4"/>
  <c r="B283" i="4"/>
  <c r="B282" i="4"/>
  <c r="B281" i="4"/>
  <c r="B280" i="4"/>
  <c r="B279" i="4"/>
  <c r="B278" i="4"/>
  <c r="B277" i="4"/>
  <c r="B276" i="4"/>
  <c r="B275" i="4"/>
  <c r="B273" i="4"/>
  <c r="B272" i="4"/>
  <c r="B271" i="4"/>
  <c r="B270" i="4"/>
  <c r="B269" i="4"/>
  <c r="B268" i="4"/>
  <c r="B267" i="4"/>
  <c r="B266" i="4"/>
  <c r="B265" i="4"/>
  <c r="B264" i="4"/>
  <c r="B263" i="4"/>
  <c r="B261" i="4"/>
  <c r="B260" i="4"/>
  <c r="B259" i="4"/>
  <c r="B258" i="4"/>
  <c r="B257" i="4"/>
  <c r="B256" i="4"/>
  <c r="B255" i="4"/>
  <c r="B254" i="4"/>
  <c r="B253" i="4"/>
  <c r="B252" i="4"/>
  <c r="B251" i="4"/>
  <c r="B249" i="4"/>
  <c r="B248" i="4"/>
  <c r="B247" i="4"/>
  <c r="B246" i="4"/>
  <c r="B245" i="4"/>
  <c r="B244" i="4"/>
  <c r="B243" i="4"/>
  <c r="B242" i="4"/>
  <c r="B241" i="4"/>
  <c r="B240" i="4"/>
  <c r="B239" i="4"/>
  <c r="B237" i="4"/>
  <c r="B236" i="4"/>
  <c r="B235" i="4"/>
  <c r="B234" i="4"/>
  <c r="B233" i="4"/>
  <c r="B232" i="4"/>
  <c r="B231" i="4"/>
  <c r="B230" i="4"/>
  <c r="B229" i="4"/>
  <c r="B228" i="4"/>
  <c r="B227" i="4"/>
  <c r="B225" i="4"/>
  <c r="B224" i="4"/>
  <c r="B223" i="4"/>
  <c r="B222" i="4"/>
  <c r="B221" i="4"/>
  <c r="B220" i="4"/>
  <c r="B219" i="4"/>
  <c r="B218" i="4"/>
  <c r="B217" i="4"/>
  <c r="B216" i="4"/>
  <c r="B215" i="4"/>
  <c r="B213" i="4"/>
  <c r="B212" i="4"/>
  <c r="B211" i="4"/>
  <c r="B210" i="4"/>
  <c r="B209" i="4"/>
  <c r="B208" i="4"/>
  <c r="B207" i="4"/>
  <c r="B206" i="4"/>
  <c r="B205" i="4"/>
  <c r="B204" i="4"/>
  <c r="B203" i="4"/>
  <c r="B201" i="4"/>
  <c r="B200" i="4"/>
  <c r="B199" i="4"/>
  <c r="B198" i="4"/>
  <c r="B197" i="4"/>
  <c r="B196" i="4"/>
  <c r="B195" i="4"/>
  <c r="B194" i="4"/>
  <c r="B193" i="4"/>
  <c r="B192" i="4"/>
  <c r="B191" i="4"/>
  <c r="B189" i="4"/>
  <c r="B188" i="4"/>
  <c r="B187" i="4"/>
  <c r="B186" i="4"/>
  <c r="B185" i="4"/>
  <c r="B184" i="4"/>
  <c r="B183" i="4"/>
  <c r="B182" i="4"/>
  <c r="B181" i="4"/>
  <c r="B180" i="4"/>
  <c r="B179" i="4"/>
  <c r="B177" i="4"/>
  <c r="B176" i="4"/>
  <c r="B175" i="4"/>
  <c r="B174" i="4"/>
  <c r="B173" i="4"/>
  <c r="B172" i="4"/>
  <c r="B171" i="4"/>
  <c r="B170" i="4"/>
  <c r="B169" i="4"/>
  <c r="B168" i="4"/>
  <c r="B167" i="4"/>
  <c r="B165" i="4"/>
  <c r="B164" i="4"/>
  <c r="B163" i="4"/>
  <c r="B162" i="4"/>
  <c r="B161" i="4"/>
  <c r="B160" i="4"/>
  <c r="B159" i="4"/>
  <c r="B158" i="4"/>
  <c r="B157" i="4"/>
  <c r="B156" i="4"/>
  <c r="B155" i="4"/>
  <c r="B153" i="4"/>
  <c r="B152" i="4"/>
  <c r="B151" i="4"/>
  <c r="B150" i="4"/>
  <c r="B149" i="4"/>
  <c r="B148" i="4"/>
  <c r="B147" i="4"/>
  <c r="B146" i="4"/>
  <c r="B145" i="4"/>
  <c r="B144" i="4"/>
  <c r="B143" i="4"/>
  <c r="B141" i="4"/>
  <c r="B140" i="4"/>
  <c r="B139" i="4"/>
  <c r="B138" i="4"/>
  <c r="B137" i="4"/>
  <c r="B136" i="4"/>
  <c r="B135" i="4"/>
  <c r="B134" i="4"/>
  <c r="B133" i="4"/>
  <c r="B132" i="4"/>
  <c r="B131" i="4"/>
  <c r="B129" i="4"/>
  <c r="B128" i="4"/>
  <c r="B127" i="4"/>
  <c r="B126" i="4"/>
  <c r="B125" i="4"/>
  <c r="B124" i="4"/>
  <c r="B123" i="4"/>
  <c r="B122" i="4"/>
  <c r="B121" i="4"/>
  <c r="B120" i="4"/>
  <c r="B119" i="4"/>
  <c r="B117" i="4"/>
  <c r="B116" i="4"/>
  <c r="B115" i="4"/>
  <c r="B114" i="4"/>
  <c r="B113" i="4"/>
  <c r="B112" i="4"/>
  <c r="B111" i="4"/>
  <c r="B110" i="4"/>
  <c r="B109" i="4"/>
  <c r="B108" i="4"/>
  <c r="B107" i="4"/>
  <c r="B105" i="4"/>
  <c r="B104" i="4"/>
  <c r="B103" i="4"/>
  <c r="B102" i="4"/>
  <c r="B101" i="4"/>
  <c r="B100" i="4"/>
  <c r="B99" i="4"/>
  <c r="B98" i="4"/>
  <c r="B97" i="4"/>
  <c r="B96" i="4"/>
  <c r="B95" i="4"/>
  <c r="B93" i="4"/>
  <c r="B92" i="4"/>
  <c r="B91" i="4"/>
  <c r="B90" i="4"/>
  <c r="B89" i="4"/>
  <c r="B88" i="4"/>
  <c r="B87" i="4"/>
  <c r="B86" i="4"/>
  <c r="B85" i="4"/>
  <c r="B84" i="4"/>
  <c r="B83" i="4"/>
  <c r="B81" i="4"/>
  <c r="B80" i="4"/>
  <c r="B79" i="4"/>
  <c r="B78" i="4"/>
  <c r="B77" i="4"/>
  <c r="B76" i="4"/>
  <c r="B75" i="4"/>
  <c r="B74" i="4"/>
  <c r="B73" i="4"/>
  <c r="B72" i="4"/>
  <c r="B71" i="4"/>
  <c r="B69" i="4"/>
  <c r="B68" i="4"/>
  <c r="B67" i="4"/>
  <c r="B66" i="4"/>
  <c r="B65" i="4"/>
  <c r="B64" i="4"/>
  <c r="B63" i="4"/>
  <c r="B62" i="4"/>
  <c r="B61" i="4"/>
  <c r="B60" i="4"/>
  <c r="B59" i="4"/>
  <c r="B57" i="4"/>
  <c r="B56" i="4"/>
  <c r="B55" i="4"/>
  <c r="B54" i="4"/>
  <c r="B53" i="4"/>
  <c r="B52" i="4"/>
  <c r="B51" i="4"/>
  <c r="B50" i="4"/>
  <c r="B49" i="4"/>
  <c r="B48" i="4"/>
  <c r="B47" i="4"/>
  <c r="B45" i="4"/>
  <c r="B44" i="4"/>
  <c r="B43" i="4"/>
  <c r="B42" i="4"/>
  <c r="B41" i="4"/>
  <c r="B40" i="4"/>
  <c r="B39" i="4"/>
  <c r="B38" i="4"/>
  <c r="B37" i="4"/>
  <c r="B36" i="4"/>
  <c r="B35" i="4"/>
  <c r="B33" i="4"/>
  <c r="B32" i="4"/>
  <c r="B31" i="4"/>
  <c r="B30" i="4"/>
  <c r="B29" i="4"/>
  <c r="B28" i="4"/>
  <c r="B27" i="4"/>
  <c r="B26" i="4"/>
  <c r="B25" i="4"/>
  <c r="B24" i="4"/>
  <c r="B23" i="4"/>
  <c r="H16" i="4"/>
  <c r="H15" i="4"/>
  <c r="H11" i="4"/>
  <c r="H9" i="4"/>
  <c r="H8" i="4"/>
  <c r="H7" i="4"/>
  <c r="V6" i="4" l="1"/>
  <c r="W6" i="4" s="1"/>
  <c r="V7" i="4"/>
  <c r="W7" i="4" s="1"/>
  <c r="B17" i="4"/>
  <c r="V5" i="4" s="1"/>
  <c r="W5" i="4" s="1"/>
  <c r="H12" i="4"/>
  <c r="H10" i="4"/>
  <c r="H14" i="4"/>
  <c r="H13" i="4"/>
  <c r="H17" i="4" l="1"/>
  <c r="R381" i="4"/>
  <c r="R380" i="4"/>
  <c r="R379" i="4"/>
  <c r="R378" i="4"/>
  <c r="R377" i="4"/>
  <c r="R376" i="4"/>
  <c r="R375" i="4"/>
  <c r="R374" i="4"/>
  <c r="R373" i="4"/>
  <c r="R372" i="4"/>
  <c r="R371" i="4"/>
  <c r="R369" i="4"/>
  <c r="R368" i="4"/>
  <c r="R367" i="4"/>
  <c r="R366" i="4"/>
  <c r="R365" i="4"/>
  <c r="R364" i="4"/>
  <c r="R363" i="4"/>
  <c r="R362" i="4"/>
  <c r="R361" i="4"/>
  <c r="R360" i="4"/>
  <c r="R359" i="4"/>
  <c r="R357" i="4"/>
  <c r="R356" i="4"/>
  <c r="R355" i="4"/>
  <c r="R354" i="4"/>
  <c r="R353" i="4"/>
  <c r="R352" i="4"/>
  <c r="R351" i="4"/>
  <c r="R350" i="4"/>
  <c r="R349" i="4"/>
  <c r="R348" i="4"/>
  <c r="R347" i="4"/>
  <c r="R345" i="4"/>
  <c r="R344" i="4"/>
  <c r="R343" i="4"/>
  <c r="R342" i="4"/>
  <c r="R341" i="4"/>
  <c r="R340" i="4"/>
  <c r="R339" i="4"/>
  <c r="R338" i="4"/>
  <c r="R337" i="4"/>
  <c r="R336" i="4"/>
  <c r="R335" i="4"/>
  <c r="R333" i="4"/>
  <c r="R332" i="4"/>
  <c r="R331" i="4"/>
  <c r="R330" i="4"/>
  <c r="R329" i="4"/>
  <c r="R328" i="4"/>
  <c r="R327" i="4"/>
  <c r="R326" i="4"/>
  <c r="R325" i="4"/>
  <c r="R324" i="4"/>
  <c r="R323" i="4"/>
  <c r="R321" i="4"/>
  <c r="R320" i="4"/>
  <c r="R319" i="4"/>
  <c r="R318" i="4"/>
  <c r="R317" i="4"/>
  <c r="R316" i="4"/>
  <c r="R315" i="4"/>
  <c r="R314" i="4"/>
  <c r="R313" i="4"/>
  <c r="R312" i="4"/>
  <c r="R311" i="4"/>
  <c r="R309" i="4"/>
  <c r="R308" i="4"/>
  <c r="R307" i="4"/>
  <c r="R306" i="4"/>
  <c r="R305" i="4"/>
  <c r="R304" i="4"/>
  <c r="R303" i="4"/>
  <c r="R302" i="4"/>
  <c r="R301" i="4"/>
  <c r="R300" i="4"/>
  <c r="R299" i="4"/>
  <c r="R297" i="4"/>
  <c r="R296" i="4"/>
  <c r="R295" i="4"/>
  <c r="R294" i="4"/>
  <c r="R293" i="4"/>
  <c r="R292" i="4"/>
  <c r="R291" i="4"/>
  <c r="R290" i="4"/>
  <c r="R289" i="4"/>
  <c r="R288" i="4"/>
  <c r="R287" i="4"/>
  <c r="R285" i="4"/>
  <c r="R284" i="4"/>
  <c r="R283" i="4"/>
  <c r="R282" i="4"/>
  <c r="R281" i="4"/>
  <c r="R280" i="4"/>
  <c r="R279" i="4"/>
  <c r="R278" i="4"/>
  <c r="R277" i="4"/>
  <c r="R276" i="4"/>
  <c r="R275" i="4"/>
  <c r="R273" i="4"/>
  <c r="R272" i="4"/>
  <c r="R271" i="4"/>
  <c r="R270" i="4"/>
  <c r="R269" i="4"/>
  <c r="R268" i="4"/>
  <c r="R267" i="4"/>
  <c r="R266" i="4"/>
  <c r="R265" i="4"/>
  <c r="R264" i="4"/>
  <c r="R263" i="4"/>
  <c r="R261" i="4"/>
  <c r="R260" i="4"/>
  <c r="R259" i="4"/>
  <c r="R258" i="4"/>
  <c r="R257" i="4"/>
  <c r="R256" i="4"/>
  <c r="R255" i="4"/>
  <c r="R254" i="4"/>
  <c r="R253" i="4"/>
  <c r="R252" i="4"/>
  <c r="R251" i="4"/>
  <c r="R249" i="4"/>
  <c r="R248" i="4"/>
  <c r="R247" i="4"/>
  <c r="R246" i="4"/>
  <c r="R245" i="4"/>
  <c r="R244" i="4"/>
  <c r="R243" i="4"/>
  <c r="R242" i="4"/>
  <c r="R241" i="4"/>
  <c r="R240" i="4"/>
  <c r="R239" i="4"/>
  <c r="R237" i="4"/>
  <c r="R236" i="4"/>
  <c r="R235" i="4"/>
  <c r="R234" i="4"/>
  <c r="R233" i="4"/>
  <c r="R232" i="4"/>
  <c r="R231" i="4"/>
  <c r="R230" i="4"/>
  <c r="R229" i="4"/>
  <c r="R228" i="4"/>
  <c r="R227" i="4"/>
  <c r="R225" i="4"/>
  <c r="R224" i="4"/>
  <c r="R223" i="4"/>
  <c r="R222" i="4"/>
  <c r="R221" i="4"/>
  <c r="R220" i="4"/>
  <c r="R219" i="4"/>
  <c r="R218" i="4"/>
  <c r="R217" i="4"/>
  <c r="R216" i="4"/>
  <c r="R215" i="4"/>
  <c r="R213" i="4"/>
  <c r="R212" i="4"/>
  <c r="R211" i="4"/>
  <c r="R210" i="4"/>
  <c r="R209" i="4"/>
  <c r="R208" i="4"/>
  <c r="R207" i="4"/>
  <c r="R206" i="4"/>
  <c r="R205" i="4"/>
  <c r="R204" i="4"/>
  <c r="R203" i="4"/>
  <c r="R201" i="4"/>
  <c r="R200" i="4"/>
  <c r="R199" i="4"/>
  <c r="R198" i="4"/>
  <c r="R197" i="4"/>
  <c r="R196" i="4"/>
  <c r="R195" i="4"/>
  <c r="R194" i="4"/>
  <c r="R193" i="4"/>
  <c r="R192" i="4"/>
  <c r="R189" i="4"/>
  <c r="R188" i="4"/>
  <c r="R187" i="4"/>
  <c r="R186" i="4"/>
  <c r="R185" i="4"/>
  <c r="R184" i="4"/>
  <c r="R183" i="4"/>
  <c r="R182" i="4"/>
  <c r="R181" i="4"/>
  <c r="R180" i="4"/>
  <c r="R179" i="4"/>
  <c r="R177" i="4"/>
  <c r="R176" i="4"/>
  <c r="R175" i="4"/>
  <c r="R174" i="4"/>
  <c r="R173" i="4"/>
  <c r="R172" i="4"/>
  <c r="R171" i="4"/>
  <c r="R170" i="4"/>
  <c r="R169" i="4"/>
  <c r="R168" i="4"/>
  <c r="R167" i="4"/>
  <c r="R165" i="4"/>
  <c r="R164" i="4"/>
  <c r="R163" i="4"/>
  <c r="R162" i="4"/>
  <c r="R161" i="4"/>
  <c r="R160" i="4"/>
  <c r="R159" i="4"/>
  <c r="R158" i="4"/>
  <c r="R157" i="4"/>
  <c r="R156" i="4"/>
  <c r="R155" i="4"/>
  <c r="R153" i="4"/>
  <c r="R152" i="4"/>
  <c r="R151" i="4"/>
  <c r="R150" i="4"/>
  <c r="R149" i="4"/>
  <c r="R148" i="4"/>
  <c r="R147" i="4"/>
  <c r="R146" i="4"/>
  <c r="R145" i="4"/>
  <c r="R144" i="4"/>
  <c r="R143" i="4"/>
  <c r="R141" i="4"/>
  <c r="R140" i="4"/>
  <c r="R139" i="4"/>
  <c r="R138" i="4"/>
  <c r="R137" i="4"/>
  <c r="R136" i="4"/>
  <c r="R135" i="4"/>
  <c r="R134" i="4"/>
  <c r="R133" i="4"/>
  <c r="R132" i="4"/>
  <c r="R131" i="4"/>
  <c r="R129" i="4"/>
  <c r="R128" i="4"/>
  <c r="R127" i="4"/>
  <c r="R126" i="4"/>
  <c r="R125" i="4"/>
  <c r="R124" i="4"/>
  <c r="R123" i="4"/>
  <c r="R122" i="4"/>
  <c r="R121" i="4"/>
  <c r="R120" i="4"/>
  <c r="R119" i="4"/>
  <c r="R117" i="4"/>
  <c r="R116" i="4"/>
  <c r="R115" i="4"/>
  <c r="R114" i="4"/>
  <c r="R113" i="4"/>
  <c r="R112" i="4"/>
  <c r="R111" i="4"/>
  <c r="R110" i="4"/>
  <c r="R109" i="4"/>
  <c r="R108" i="4"/>
  <c r="R107" i="4"/>
  <c r="R105" i="4"/>
  <c r="R104" i="4"/>
  <c r="R103" i="4"/>
  <c r="R102" i="4"/>
  <c r="R101" i="4"/>
  <c r="R100" i="4"/>
  <c r="R99" i="4"/>
  <c r="R98" i="4"/>
  <c r="R97" i="4"/>
  <c r="R96" i="4"/>
  <c r="R95" i="4"/>
  <c r="R93" i="4"/>
  <c r="R92" i="4"/>
  <c r="R91" i="4"/>
  <c r="R90" i="4"/>
  <c r="R89" i="4"/>
  <c r="R88" i="4"/>
  <c r="R87" i="4"/>
  <c r="R86" i="4"/>
  <c r="R85" i="4"/>
  <c r="R84" i="4"/>
  <c r="R83" i="4"/>
  <c r="R81" i="4"/>
  <c r="R80" i="4"/>
  <c r="R79" i="4"/>
  <c r="R78" i="4"/>
  <c r="R77" i="4"/>
  <c r="R76" i="4"/>
  <c r="R75" i="4"/>
  <c r="R74" i="4"/>
  <c r="R73" i="4"/>
  <c r="R72" i="4"/>
  <c r="R71" i="4"/>
  <c r="R69" i="4"/>
  <c r="R68" i="4"/>
  <c r="R67" i="4"/>
  <c r="R66" i="4"/>
  <c r="R65" i="4"/>
  <c r="R64" i="4"/>
  <c r="R63" i="4"/>
  <c r="R62" i="4"/>
  <c r="R61" i="4"/>
  <c r="R60" i="4"/>
  <c r="R59" i="4"/>
  <c r="R57" i="4"/>
  <c r="R56" i="4"/>
  <c r="R55" i="4"/>
  <c r="R54" i="4"/>
  <c r="R53" i="4"/>
  <c r="R52" i="4"/>
  <c r="R51" i="4"/>
  <c r="R50" i="4"/>
  <c r="R49" i="4"/>
  <c r="R48" i="4"/>
  <c r="R47" i="4"/>
  <c r="R45" i="4"/>
  <c r="R44" i="4"/>
  <c r="R43" i="4"/>
  <c r="R42" i="4"/>
  <c r="R41" i="4"/>
  <c r="R40" i="4"/>
  <c r="R39" i="4"/>
  <c r="R38" i="4"/>
  <c r="R37" i="4"/>
  <c r="R36" i="4"/>
  <c r="R35" i="4"/>
  <c r="R33" i="4"/>
  <c r="R32" i="4"/>
  <c r="R31" i="4"/>
  <c r="R30" i="4"/>
  <c r="R29" i="4"/>
  <c r="R28" i="4"/>
  <c r="R27" i="4"/>
  <c r="R26" i="4"/>
  <c r="R25" i="4"/>
  <c r="R24" i="4"/>
  <c r="R23" i="4"/>
</calcChain>
</file>

<file path=xl/sharedStrings.xml><?xml version="1.0" encoding="utf-8"?>
<sst xmlns="http://schemas.openxmlformats.org/spreadsheetml/2006/main" count="1925" uniqueCount="67">
  <si>
    <t>Tienda</t>
  </si>
  <si>
    <t>Florida</t>
  </si>
  <si>
    <t>Recoleta</t>
  </si>
  <si>
    <t>Sofía</t>
  </si>
  <si>
    <t>Maitena</t>
  </si>
  <si>
    <t>Bárbara</t>
  </si>
  <si>
    <t>Micaela</t>
  </si>
  <si>
    <t>Rocío</t>
  </si>
  <si>
    <t>Vendedora 1</t>
  </si>
  <si>
    <t>Vendedora 2</t>
  </si>
  <si>
    <t>Día</t>
  </si>
  <si>
    <t>Vendedora 3</t>
  </si>
  <si>
    <t>Estado de la hora</t>
  </si>
  <si>
    <t>Día de semana</t>
  </si>
  <si>
    <t>Hora</t>
  </si>
  <si>
    <t>Vendedoras</t>
  </si>
  <si>
    <t>FLORIDA</t>
  </si>
  <si>
    <t>GUEMES</t>
  </si>
  <si>
    <t>RECOLETA</t>
  </si>
  <si>
    <t>FERIADOS</t>
  </si>
  <si>
    <t>Horas totales trabajadas</t>
  </si>
  <si>
    <t>Hora normales</t>
  </si>
  <si>
    <t>Güemes</t>
  </si>
  <si>
    <t>Feriados trabajados</t>
  </si>
  <si>
    <t>[Nueva]</t>
  </si>
  <si>
    <t>HORAS TOTALES POR TIENDA (normales y feriados trabajados)</t>
  </si>
  <si>
    <t>Total horas</t>
  </si>
  <si>
    <t>Giselle</t>
  </si>
  <si>
    <t>Luciana</t>
  </si>
  <si>
    <t>Mailén</t>
  </si>
  <si>
    <t>Candela I.</t>
  </si>
  <si>
    <t>Candela G.</t>
  </si>
  <si>
    <t>CERRADO</t>
  </si>
  <si>
    <t>Total horas trabajadas</t>
  </si>
  <si>
    <t>Máximo de horas permitidas</t>
  </si>
  <si>
    <t>Mínimo de vendedoras por turno</t>
  </si>
  <si>
    <t>EL LUCERO - NOVIEMBRE</t>
  </si>
  <si>
    <t>EL LUCERO - DICIEMBRE</t>
  </si>
  <si>
    <t>RESUMEN - HORAS POR VENDEDORA Y TIENDA</t>
  </si>
  <si>
    <t>Horas de feriados no trabajados</t>
  </si>
  <si>
    <t>% horas asignadas</t>
  </si>
  <si>
    <t>HORAS POR SEMANA</t>
  </si>
  <si>
    <t>Vendedora</t>
  </si>
  <si>
    <t>Semana 1</t>
  </si>
  <si>
    <t>Semana 2</t>
  </si>
  <si>
    <t>Semana 3</t>
  </si>
  <si>
    <t>Semana 4</t>
  </si>
  <si>
    <t>Mínimo</t>
  </si>
  <si>
    <t>Máximo</t>
  </si>
  <si>
    <t>NOVIEMBRE</t>
  </si>
  <si>
    <t>HORAS SEMANALES TRABAJADAS</t>
  </si>
  <si>
    <t>Mes</t>
  </si>
  <si>
    <t>Ventas Reales</t>
  </si>
  <si>
    <t>Dentro Rango</t>
  </si>
  <si>
    <t>Supera Máximo</t>
  </si>
  <si>
    <t>Por Debajo Mínimo</t>
  </si>
  <si>
    <t>Ene</t>
  </si>
  <si>
    <t>Feb</t>
  </si>
  <si>
    <t>Mar</t>
  </si>
  <si>
    <t>Abr</t>
  </si>
  <si>
    <t>min</t>
  </si>
  <si>
    <t>max</t>
  </si>
  <si>
    <t>Semana 1
Del 1 al 7</t>
  </si>
  <si>
    <t>Semana 2
Del 8 al 14</t>
  </si>
  <si>
    <t>Semana 3
Del 15 al 21</t>
  </si>
  <si>
    <t>Semana 4
Del 22 al 28</t>
  </si>
  <si>
    <t>Horas feriados trabajados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</si>
</sst>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536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5363"/>
        <bgColor indexed="64"/>
      </patternFill>
    </fill>
    <fill>
      <patternFill patternType="solid">
        <fgColor theme="0" tint="-0.34998626667073579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005363"/>
      </left>
      <right style="thin">
        <color indexed="64"/>
      </right>
      <top style="thin">
        <color rgb="FF005363"/>
      </top>
      <bottom style="thin">
        <color rgb="FF005363"/>
      </bottom>
      <diagonal/>
    </border>
    <border>
      <left style="thin">
        <color indexed="64"/>
      </left>
      <right style="thin">
        <color indexed="64"/>
      </right>
      <top style="thin">
        <color rgb="FF005363"/>
      </top>
      <bottom style="thin">
        <color rgb="FF005363"/>
      </bottom>
      <diagonal/>
    </border>
    <border>
      <left style="thin">
        <color indexed="64"/>
      </left>
      <right style="thin">
        <color rgb="FF005363"/>
      </right>
      <top style="thin">
        <color rgb="FF005363"/>
      </top>
      <bottom style="thin">
        <color rgb="FF005363"/>
      </bottom>
      <diagonal/>
    </border>
    <border>
      <left style="thin">
        <color rgb="FF005363"/>
      </left>
      <right/>
      <top style="thin">
        <color rgb="FF005363"/>
      </top>
      <bottom style="thin">
        <color rgb="FF005363"/>
      </bottom>
      <diagonal/>
    </border>
    <border>
      <left/>
      <right/>
      <top style="thin">
        <color rgb="FF005363"/>
      </top>
      <bottom style="thin">
        <color rgb="FF005363"/>
      </bottom>
      <diagonal/>
    </border>
    <border>
      <left/>
      <right style="thin">
        <color rgb="FF005363"/>
      </right>
      <top style="thin">
        <color rgb="FF005363"/>
      </top>
      <bottom style="thin">
        <color rgb="FF005363"/>
      </bottom>
      <diagonal/>
    </border>
    <border>
      <left style="thin">
        <color rgb="FF005363"/>
      </left>
      <right/>
      <top style="thin">
        <color rgb="FF005363"/>
      </top>
      <bottom/>
      <diagonal/>
    </border>
    <border>
      <left/>
      <right/>
      <top style="thin">
        <color rgb="FF005363"/>
      </top>
      <bottom/>
      <diagonal/>
    </border>
    <border>
      <left/>
      <right style="thin">
        <color rgb="FF005363"/>
      </right>
      <top style="thin">
        <color rgb="FF005363"/>
      </top>
      <bottom/>
      <diagonal/>
    </border>
    <border>
      <left style="thin">
        <color theme="0" tint="-0.24994659260841701"/>
      </left>
      <right/>
      <top/>
      <bottom/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85">
    <xf numFmtId="0" fontId="0" fillId="0" borderId="0" xfId="0"/>
    <xf numFmtId="0" fontId="0" fillId="0" borderId="0" xfId="0" applyBorder="1"/>
    <xf numFmtId="0" fontId="2" fillId="0" borderId="0" xfId="0" applyFont="1" applyProtection="1"/>
    <xf numFmtId="0" fontId="0" fillId="0" borderId="0" xfId="0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0" fontId="0" fillId="0" borderId="0" xfId="0" applyProtection="1"/>
    <xf numFmtId="0" fontId="0" fillId="0" borderId="0" xfId="0" applyFill="1" applyProtection="1"/>
    <xf numFmtId="0" fontId="0" fillId="0" borderId="0" xfId="0" applyFill="1" applyBorder="1" applyProtection="1"/>
    <xf numFmtId="0" fontId="4" fillId="0" borderId="0" xfId="0" applyFont="1" applyProtection="1"/>
    <xf numFmtId="0" fontId="4" fillId="0" borderId="0" xfId="0" applyFont="1"/>
    <xf numFmtId="0" fontId="0" fillId="0" borderId="4" xfId="0" applyBorder="1" applyProtection="1"/>
    <xf numFmtId="0" fontId="0" fillId="0" borderId="5" xfId="0" applyBorder="1" applyProtection="1"/>
    <xf numFmtId="0" fontId="0" fillId="0" borderId="5" xfId="0" applyBorder="1" applyAlignment="1" applyProtection="1">
      <alignment horizontal="right"/>
    </xf>
    <xf numFmtId="0" fontId="1" fillId="5" borderId="4" xfId="0" applyFont="1" applyFill="1" applyBorder="1" applyProtection="1"/>
    <xf numFmtId="0" fontId="1" fillId="5" borderId="5" xfId="0" applyFont="1" applyFill="1" applyBorder="1" applyProtection="1"/>
    <xf numFmtId="0" fontId="1" fillId="5" borderId="5" xfId="0" applyFont="1" applyFill="1" applyBorder="1" applyAlignment="1" applyProtection="1">
      <alignment horizontal="right"/>
    </xf>
    <xf numFmtId="0" fontId="1" fillId="5" borderId="6" xfId="0" applyFont="1" applyFill="1" applyBorder="1" applyAlignment="1" applyProtection="1">
      <alignment horizontal="right"/>
    </xf>
    <xf numFmtId="0" fontId="1" fillId="5" borderId="6" xfId="0" applyFont="1" applyFill="1" applyBorder="1" applyProtection="1"/>
    <xf numFmtId="0" fontId="0" fillId="0" borderId="11" xfId="0" applyFont="1" applyFill="1" applyBorder="1" applyProtection="1">
      <protection locked="0"/>
    </xf>
    <xf numFmtId="0" fontId="0" fillId="0" borderId="4" xfId="0" applyFill="1" applyBorder="1" applyAlignment="1" applyProtection="1">
      <alignment horizontal="left"/>
    </xf>
    <xf numFmtId="0" fontId="0" fillId="0" borderId="5" xfId="0" applyBorder="1" applyProtection="1">
      <protection locked="0"/>
    </xf>
    <xf numFmtId="0" fontId="1" fillId="6" borderId="3" xfId="0" applyFont="1" applyFill="1" applyBorder="1" applyAlignment="1" applyProtection="1">
      <alignment horizontal="center"/>
    </xf>
    <xf numFmtId="14" fontId="0" fillId="0" borderId="3" xfId="0" applyNumberFormat="1" applyBorder="1" applyAlignment="1" applyProtection="1">
      <alignment horizontal="center"/>
      <protection locked="0"/>
    </xf>
    <xf numFmtId="0" fontId="7" fillId="0" borderId="0" xfId="0" applyFont="1" applyProtection="1"/>
    <xf numFmtId="0" fontId="0" fillId="0" borderId="11" xfId="0" applyFont="1" applyFill="1" applyBorder="1" applyProtection="1"/>
    <xf numFmtId="0" fontId="0" fillId="0" borderId="14" xfId="0" applyFont="1" applyFill="1" applyBorder="1" applyProtection="1"/>
    <xf numFmtId="14" fontId="0" fillId="0" borderId="10" xfId="0" applyNumberFormat="1" applyFont="1" applyFill="1" applyBorder="1" applyProtection="1"/>
    <xf numFmtId="0" fontId="0" fillId="0" borderId="11" xfId="0" applyFont="1" applyFill="1" applyBorder="1" applyAlignment="1" applyProtection="1">
      <alignment horizontal="center"/>
    </xf>
    <xf numFmtId="20" fontId="0" fillId="0" borderId="11" xfId="0" applyNumberFormat="1" applyFont="1" applyFill="1" applyBorder="1" applyAlignment="1" applyProtection="1">
      <alignment horizontal="center"/>
    </xf>
    <xf numFmtId="0" fontId="0" fillId="0" borderId="12" xfId="0" applyFont="1" applyFill="1" applyBorder="1" applyProtection="1"/>
    <xf numFmtId="0" fontId="0" fillId="0" borderId="12" xfId="0" applyNumberFormat="1" applyFont="1" applyFill="1" applyBorder="1" applyProtection="1"/>
    <xf numFmtId="14" fontId="0" fillId="0" borderId="13" xfId="0" applyNumberFormat="1" applyFont="1" applyFill="1" applyBorder="1" applyProtection="1"/>
    <xf numFmtId="0" fontId="0" fillId="0" borderId="14" xfId="0" applyFont="1" applyFill="1" applyBorder="1" applyAlignment="1" applyProtection="1">
      <alignment horizontal="center"/>
    </xf>
    <xf numFmtId="20" fontId="0" fillId="0" borderId="14" xfId="0" applyNumberFormat="1" applyFont="1" applyFill="1" applyBorder="1" applyAlignment="1" applyProtection="1">
      <alignment horizontal="center"/>
    </xf>
    <xf numFmtId="0" fontId="0" fillId="0" borderId="15" xfId="0" applyFont="1" applyFill="1" applyBorder="1" applyProtection="1"/>
    <xf numFmtId="0" fontId="0" fillId="0" borderId="6" xfId="0" applyBorder="1" applyAlignment="1" applyProtection="1">
      <alignment horizontal="right"/>
    </xf>
    <xf numFmtId="0" fontId="1" fillId="5" borderId="5" xfId="0" applyFont="1" applyFill="1" applyBorder="1" applyAlignment="1" applyProtection="1">
      <alignment horizontal="center" vertical="center" wrapText="1"/>
    </xf>
    <xf numFmtId="0" fontId="1" fillId="6" borderId="6" xfId="0" applyFont="1" applyFill="1" applyBorder="1" applyAlignment="1" applyProtection="1">
      <alignment horizontal="center" vertical="center" wrapText="1"/>
    </xf>
    <xf numFmtId="0" fontId="1" fillId="6" borderId="5" xfId="0" applyFont="1" applyFill="1" applyBorder="1" applyAlignment="1" applyProtection="1">
      <alignment horizontal="center" vertical="center" wrapText="1"/>
    </xf>
    <xf numFmtId="0" fontId="1" fillId="5" borderId="4" xfId="0" applyFont="1" applyFill="1" applyBorder="1" applyAlignment="1" applyProtection="1">
      <alignment vertical="center"/>
    </xf>
    <xf numFmtId="0" fontId="1" fillId="5" borderId="4" xfId="0" applyFont="1" applyFill="1" applyBorder="1" applyAlignment="1" applyProtection="1">
      <alignment horizontal="center"/>
    </xf>
    <xf numFmtId="0" fontId="1" fillId="5" borderId="5" xfId="0" applyFont="1" applyFill="1" applyBorder="1" applyAlignment="1" applyProtection="1">
      <alignment horizontal="center"/>
    </xf>
    <xf numFmtId="0" fontId="1" fillId="5" borderId="6" xfId="0" applyFont="1" applyFill="1" applyBorder="1" applyAlignment="1" applyProtection="1">
      <alignment horizontal="center"/>
    </xf>
    <xf numFmtId="9" fontId="0" fillId="0" borderId="6" xfId="1" applyFont="1" applyBorder="1" applyProtection="1"/>
    <xf numFmtId="0" fontId="1" fillId="3" borderId="10" xfId="0" applyFont="1" applyFill="1" applyBorder="1" applyProtection="1"/>
    <xf numFmtId="0" fontId="1" fillId="3" borderId="11" xfId="0" applyFont="1" applyFill="1" applyBorder="1" applyAlignment="1" applyProtection="1">
      <alignment horizontal="center"/>
    </xf>
    <xf numFmtId="0" fontId="1" fillId="4" borderId="11" xfId="0" applyFont="1" applyFill="1" applyBorder="1" applyProtection="1"/>
    <xf numFmtId="0" fontId="1" fillId="3" borderId="12" xfId="0" applyFont="1" applyFill="1" applyBorder="1" applyProtection="1"/>
    <xf numFmtId="0" fontId="0" fillId="0" borderId="0" xfId="0" applyFill="1" applyAlignment="1" applyProtection="1">
      <alignment horizontal="center"/>
    </xf>
    <xf numFmtId="14" fontId="0" fillId="0" borderId="0" xfId="0" applyNumberFormat="1" applyFill="1" applyProtection="1"/>
    <xf numFmtId="20" fontId="0" fillId="0" borderId="0" xfId="0" applyNumberFormat="1" applyFill="1" applyAlignment="1" applyProtection="1">
      <alignment horizontal="center"/>
    </xf>
    <xf numFmtId="0" fontId="0" fillId="0" borderId="0" xfId="0" applyNumberFormat="1" applyFill="1" applyProtection="1"/>
    <xf numFmtId="14" fontId="0" fillId="0" borderId="0" xfId="0" applyNumberFormat="1" applyProtection="1"/>
    <xf numFmtId="20" fontId="0" fillId="0" borderId="0" xfId="0" applyNumberFormat="1" applyAlignment="1" applyProtection="1">
      <alignment horizontal="center"/>
    </xf>
    <xf numFmtId="0" fontId="0" fillId="0" borderId="0" xfId="0" applyNumberFormat="1" applyProtection="1"/>
    <xf numFmtId="14" fontId="0" fillId="0" borderId="0" xfId="0" applyNumberFormat="1" applyFont="1" applyBorder="1" applyProtection="1"/>
    <xf numFmtId="0" fontId="0" fillId="0" borderId="0" xfId="0" applyFont="1" applyBorder="1" applyAlignment="1" applyProtection="1">
      <alignment horizontal="center"/>
    </xf>
    <xf numFmtId="20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Protection="1"/>
    <xf numFmtId="0" fontId="0" fillId="0" borderId="0" xfId="0" applyNumberFormat="1" applyFont="1" applyBorder="1" applyProtection="1"/>
    <xf numFmtId="0" fontId="1" fillId="5" borderId="4" xfId="0" applyFont="1" applyFill="1" applyBorder="1" applyAlignment="1" applyProtection="1">
      <alignment horizontal="right" vertical="center"/>
    </xf>
    <xf numFmtId="0" fontId="5" fillId="2" borderId="1" xfId="0" applyFont="1" applyFill="1" applyBorder="1" applyAlignment="1" applyProtection="1">
      <alignment horizontal="left"/>
    </xf>
    <xf numFmtId="0" fontId="5" fillId="2" borderId="0" xfId="0" applyFont="1" applyFill="1" applyBorder="1" applyAlignment="1" applyProtection="1">
      <alignment horizontal="left"/>
    </xf>
    <xf numFmtId="0" fontId="5" fillId="2" borderId="2" xfId="0" applyFont="1" applyFill="1" applyBorder="1" applyAlignment="1" applyProtection="1">
      <alignment horizontal="left"/>
    </xf>
    <xf numFmtId="0" fontId="6" fillId="2" borderId="7" xfId="0" applyFont="1" applyFill="1" applyBorder="1" applyAlignment="1" applyProtection="1">
      <alignment horizontal="center"/>
    </xf>
    <xf numFmtId="0" fontId="6" fillId="2" borderId="8" xfId="0" applyFont="1" applyFill="1" applyBorder="1" applyAlignment="1" applyProtection="1">
      <alignment horizontal="center"/>
    </xf>
    <xf numFmtId="0" fontId="6" fillId="2" borderId="9" xfId="0" applyFont="1" applyFill="1" applyBorder="1" applyAlignment="1" applyProtection="1">
      <alignment horizontal="center"/>
    </xf>
    <xf numFmtId="0" fontId="6" fillId="2" borderId="10" xfId="0" applyFont="1" applyFill="1" applyBorder="1" applyAlignment="1" applyProtection="1">
      <alignment horizontal="center"/>
    </xf>
    <xf numFmtId="0" fontId="6" fillId="2" borderId="11" xfId="0" applyFont="1" applyFill="1" applyBorder="1" applyAlignment="1" applyProtection="1">
      <alignment horizontal="center"/>
    </xf>
    <xf numFmtId="0" fontId="6" fillId="2" borderId="12" xfId="0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 vertical="center" wrapText="1"/>
    </xf>
    <xf numFmtId="0" fontId="1" fillId="5" borderId="4" xfId="0" applyFont="1" applyFill="1" applyBorder="1" applyAlignment="1" applyProtection="1">
      <alignment horizontal="center"/>
    </xf>
    <xf numFmtId="0" fontId="1" fillId="5" borderId="5" xfId="0" applyFont="1" applyFill="1" applyBorder="1" applyAlignment="1" applyProtection="1">
      <alignment horizontal="center"/>
    </xf>
    <xf numFmtId="0" fontId="1" fillId="5" borderId="6" xfId="0" applyFont="1" applyFill="1" applyBorder="1" applyAlignment="1" applyProtection="1">
      <alignment horizontal="center"/>
    </xf>
    <xf numFmtId="0" fontId="1" fillId="5" borderId="5" xfId="0" applyFont="1" applyFill="1" applyBorder="1" applyAlignment="1" applyProtection="1">
      <alignment horizontal="center" wrapText="1"/>
    </xf>
    <xf numFmtId="0" fontId="1" fillId="5" borderId="16" xfId="0" applyFont="1" applyFill="1" applyBorder="1" applyAlignment="1" applyProtection="1">
      <alignment horizontal="right" vertical="center"/>
    </xf>
    <xf numFmtId="0" fontId="9" fillId="0" borderId="0" xfId="0" applyFont="1"/>
    <xf numFmtId="0" fontId="1" fillId="5" borderId="0" xfId="0" applyFont="1" applyFill="1" applyBorder="1" applyProtection="1"/>
    <xf numFmtId="0" fontId="1" fillId="5" borderId="0" xfId="0" applyFont="1" applyFill="1" applyBorder="1" applyAlignment="1" applyProtection="1">
      <alignment horizontal="center"/>
    </xf>
    <xf numFmtId="0" fontId="1" fillId="5" borderId="0" xfId="0" applyFont="1" applyFill="1" applyBorder="1" applyAlignment="1" applyProtection="1">
      <alignment horizontal="center" wrapText="1"/>
    </xf>
    <xf numFmtId="0" fontId="0" fillId="0" borderId="4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9" fontId="3" fillId="7" borderId="0" xfId="0" applyNumberFormat="1" applyFont="1" applyFill="1" applyProtection="1"/>
  </cellXfs>
  <cellStyles count="2">
    <cellStyle name="Normal" xfId="0" builtinId="0"/>
    <cellStyle name="Porcentaje" xfId="1" builtinId="5"/>
  </cellStyles>
  <dxfs count="83"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6FCAA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6FCAA"/>
        </patternFill>
      </fill>
    </dxf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border outline="0">
        <left style="thin">
          <color rgb="FF5B9BD5"/>
        </left>
        <right style="thin">
          <color rgb="FF5B9BD5"/>
        </right>
        <top style="thin">
          <color rgb="FF5B9BD5"/>
        </top>
        <bottom style="thin">
          <color rgb="FF5B9BD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5" tint="-0.24997711111789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border outline="0">
        <left style="thin">
          <color rgb="FF5B9BD5"/>
        </left>
        <right style="thin">
          <color rgb="FF5B9BD5"/>
        </right>
        <top style="thin">
          <color rgb="FF5B9BD5"/>
        </top>
        <bottom style="thin">
          <color rgb="FF5B9BD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5" tint="-0.249977111117893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rgb="FF00536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border outline="0">
        <left style="thin">
          <color rgb="FF5B9BD5"/>
        </left>
        <right style="thin">
          <color rgb="FF5B9BD5"/>
        </right>
        <top style="thin">
          <color rgb="FF5B9BD5"/>
        </top>
        <bottom style="thin">
          <color rgb="FF5B9BD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0" tint="-0.34998626667073579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rgb="FF00536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rgb="FF005363"/>
        </top>
        <bottom style="thin">
          <color rgb="FF005363"/>
        </bottom>
      </border>
      <protection locked="1" hidden="0"/>
    </dxf>
    <dxf>
      <border outline="0">
        <left style="thin">
          <color theme="4"/>
        </left>
        <right style="thin">
          <color theme="4"/>
        </right>
        <top style="thin">
          <color rgb="FF5B9BD5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5" tint="-0.24997711111789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border outline="0">
        <left style="thin">
          <color theme="4"/>
        </left>
        <right style="thin">
          <color theme="4"/>
        </right>
        <top style="thin">
          <color rgb="FF5B9BD5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5" tint="-0.249977111117893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rgb="FF005363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/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5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/yyyy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rgb="FF005363"/>
        </top>
        <bottom style="thin">
          <color rgb="FF005363"/>
        </bottom>
      </border>
      <protection locked="1" hidden="0"/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0" tint="-0.34998626667073579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rgb="FF005363"/>
        </horizontal>
      </border>
      <protection locked="1" hidden="0"/>
    </dxf>
  </dxfs>
  <tableStyles count="0" defaultTableStyle="TableStyleMedium2" defaultPivotStyle="PivotStyleLight16"/>
  <colors>
    <mruColors>
      <color rgb="FF005363"/>
      <color rgb="FF91B4C9"/>
      <color rgb="FF003F63"/>
      <color rgb="FF005300"/>
      <color rgb="FFFFFFCC"/>
      <color rgb="FFF3FDA9"/>
      <color rgb="FFF6FC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Aux!$B$3</c:f>
              <c:strCache>
                <c:ptCount val="1"/>
                <c:pt idx="0">
                  <c:v>Semana 1</c:v>
                </c:pt>
              </c:strCache>
            </c:strRef>
          </c:tx>
          <c:spPr>
            <a:solidFill>
              <a:srgbClr val="005363"/>
            </a:solid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36000" anchor="b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Aux!$A$4:$A$14</c:f>
              <c:strCache>
                <c:ptCount val="11"/>
                <c:pt idx="0">
                  <c:v>Bárbara</c:v>
                </c:pt>
                <c:pt idx="1">
                  <c:v>Candela G.</c:v>
                </c:pt>
                <c:pt idx="2">
                  <c:v>Candela I.</c:v>
                </c:pt>
                <c:pt idx="3">
                  <c:v>Giselle</c:v>
                </c:pt>
                <c:pt idx="4">
                  <c:v>Luciana</c:v>
                </c:pt>
                <c:pt idx="5">
                  <c:v>Mailén</c:v>
                </c:pt>
                <c:pt idx="6">
                  <c:v>Maitena</c:v>
                </c:pt>
                <c:pt idx="7">
                  <c:v>Micaela</c:v>
                </c:pt>
                <c:pt idx="8">
                  <c:v>Rocío</c:v>
                </c:pt>
                <c:pt idx="9">
                  <c:v>Sofía</c:v>
                </c:pt>
                <c:pt idx="10">
                  <c:v>[Nueva]</c:v>
                </c:pt>
              </c:strCache>
            </c:strRef>
          </c:cat>
          <c:val>
            <c:numRef>
              <c:f>Aux!$B$4:$B$14</c:f>
              <c:numCache>
                <c:formatCode>General</c:formatCode>
                <c:ptCount val="11"/>
                <c:pt idx="0">
                  <c:v>18</c:v>
                </c:pt>
                <c:pt idx="1">
                  <c:v>13</c:v>
                </c:pt>
                <c:pt idx="2">
                  <c:v>28</c:v>
                </c:pt>
                <c:pt idx="3">
                  <c:v>0</c:v>
                </c:pt>
                <c:pt idx="4">
                  <c:v>8</c:v>
                </c:pt>
                <c:pt idx="5">
                  <c:v>28</c:v>
                </c:pt>
                <c:pt idx="6">
                  <c:v>45</c:v>
                </c:pt>
                <c:pt idx="7">
                  <c:v>0</c:v>
                </c:pt>
                <c:pt idx="8">
                  <c:v>26</c:v>
                </c:pt>
                <c:pt idx="9">
                  <c:v>25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A1-4DB2-9A83-E0B46712A27E}"/>
            </c:ext>
          </c:extLst>
        </c:ser>
        <c:ser>
          <c:idx val="1"/>
          <c:order val="1"/>
          <c:tx>
            <c:strRef>
              <c:f>Aux!$C$3</c:f>
              <c:strCache>
                <c:ptCount val="1"/>
                <c:pt idx="0">
                  <c:v>Semana 2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Aux!$A$4:$A$14</c:f>
              <c:strCache>
                <c:ptCount val="11"/>
                <c:pt idx="0">
                  <c:v>Bárbara</c:v>
                </c:pt>
                <c:pt idx="1">
                  <c:v>Candela G.</c:v>
                </c:pt>
                <c:pt idx="2">
                  <c:v>Candela I.</c:v>
                </c:pt>
                <c:pt idx="3">
                  <c:v>Giselle</c:v>
                </c:pt>
                <c:pt idx="4">
                  <c:v>Luciana</c:v>
                </c:pt>
                <c:pt idx="5">
                  <c:v>Mailén</c:v>
                </c:pt>
                <c:pt idx="6">
                  <c:v>Maitena</c:v>
                </c:pt>
                <c:pt idx="7">
                  <c:v>Micaela</c:v>
                </c:pt>
                <c:pt idx="8">
                  <c:v>Rocío</c:v>
                </c:pt>
                <c:pt idx="9">
                  <c:v>Sofía</c:v>
                </c:pt>
                <c:pt idx="10">
                  <c:v>[Nueva]</c:v>
                </c:pt>
              </c:strCache>
            </c:strRef>
          </c:cat>
          <c:val>
            <c:numRef>
              <c:f>Aux!$C$4:$C$14</c:f>
              <c:numCache>
                <c:formatCode>General</c:formatCode>
                <c:ptCount val="11"/>
                <c:pt idx="0">
                  <c:v>0</c:v>
                </c:pt>
                <c:pt idx="1">
                  <c:v>32</c:v>
                </c:pt>
                <c:pt idx="2">
                  <c:v>24</c:v>
                </c:pt>
                <c:pt idx="3">
                  <c:v>0</c:v>
                </c:pt>
                <c:pt idx="4">
                  <c:v>0</c:v>
                </c:pt>
                <c:pt idx="5">
                  <c:v>20</c:v>
                </c:pt>
                <c:pt idx="6">
                  <c:v>25</c:v>
                </c:pt>
                <c:pt idx="7">
                  <c:v>0</c:v>
                </c:pt>
                <c:pt idx="8">
                  <c:v>25</c:v>
                </c:pt>
                <c:pt idx="9">
                  <c:v>24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A1-4DB2-9A83-E0B46712A27E}"/>
            </c:ext>
          </c:extLst>
        </c:ser>
        <c:ser>
          <c:idx val="2"/>
          <c:order val="2"/>
          <c:tx>
            <c:strRef>
              <c:f>Aux!$D$3</c:f>
              <c:strCache>
                <c:ptCount val="1"/>
                <c:pt idx="0">
                  <c:v>Semana 3</c:v>
                </c:pt>
              </c:strCache>
            </c:strRef>
          </c:tx>
          <c:spPr>
            <a:solidFill>
              <a:srgbClr val="91B4C9"/>
            </a:solid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Aux!$A$4:$A$14</c:f>
              <c:strCache>
                <c:ptCount val="11"/>
                <c:pt idx="0">
                  <c:v>Bárbara</c:v>
                </c:pt>
                <c:pt idx="1">
                  <c:v>Candela G.</c:v>
                </c:pt>
                <c:pt idx="2">
                  <c:v>Candela I.</c:v>
                </c:pt>
                <c:pt idx="3">
                  <c:v>Giselle</c:v>
                </c:pt>
                <c:pt idx="4">
                  <c:v>Luciana</c:v>
                </c:pt>
                <c:pt idx="5">
                  <c:v>Mailén</c:v>
                </c:pt>
                <c:pt idx="6">
                  <c:v>Maitena</c:v>
                </c:pt>
                <c:pt idx="7">
                  <c:v>Micaela</c:v>
                </c:pt>
                <c:pt idx="8">
                  <c:v>Rocío</c:v>
                </c:pt>
                <c:pt idx="9">
                  <c:v>Sofía</c:v>
                </c:pt>
                <c:pt idx="10">
                  <c:v>[Nueva]</c:v>
                </c:pt>
              </c:strCache>
            </c:strRef>
          </c:cat>
          <c:val>
            <c:numRef>
              <c:f>Aux!$D$4:$D$14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28</c:v>
                </c:pt>
                <c:pt idx="3">
                  <c:v>0</c:v>
                </c:pt>
                <c:pt idx="4">
                  <c:v>0</c:v>
                </c:pt>
                <c:pt idx="5">
                  <c:v>20</c:v>
                </c:pt>
                <c:pt idx="6">
                  <c:v>29</c:v>
                </c:pt>
                <c:pt idx="7">
                  <c:v>0</c:v>
                </c:pt>
                <c:pt idx="8">
                  <c:v>25</c:v>
                </c:pt>
                <c:pt idx="9">
                  <c:v>30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A1-4DB2-9A83-E0B46712A27E}"/>
            </c:ext>
          </c:extLst>
        </c:ser>
        <c:ser>
          <c:idx val="3"/>
          <c:order val="3"/>
          <c:tx>
            <c:strRef>
              <c:f>Aux!$E$3</c:f>
              <c:strCache>
                <c:ptCount val="1"/>
                <c:pt idx="0">
                  <c:v>Semana 4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Lbls>
            <c:dLbl>
              <c:idx val="2"/>
              <c:layout>
                <c:manualLayout>
                  <c:x val="-4.426720863801749E-17"/>
                  <c:y val="1.31937177126178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A-3DA1-4DB2-9A83-E0B46712A2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Aux!$A$4:$A$14</c:f>
              <c:strCache>
                <c:ptCount val="11"/>
                <c:pt idx="0">
                  <c:v>Bárbara</c:v>
                </c:pt>
                <c:pt idx="1">
                  <c:v>Candela G.</c:v>
                </c:pt>
                <c:pt idx="2">
                  <c:v>Candela I.</c:v>
                </c:pt>
                <c:pt idx="3">
                  <c:v>Giselle</c:v>
                </c:pt>
                <c:pt idx="4">
                  <c:v>Luciana</c:v>
                </c:pt>
                <c:pt idx="5">
                  <c:v>Mailén</c:v>
                </c:pt>
                <c:pt idx="6">
                  <c:v>Maitena</c:v>
                </c:pt>
                <c:pt idx="7">
                  <c:v>Micaela</c:v>
                </c:pt>
                <c:pt idx="8">
                  <c:v>Rocío</c:v>
                </c:pt>
                <c:pt idx="9">
                  <c:v>Sofía</c:v>
                </c:pt>
                <c:pt idx="10">
                  <c:v>[Nueva]</c:v>
                </c:pt>
              </c:strCache>
            </c:strRef>
          </c:cat>
          <c:val>
            <c:numRef>
              <c:f>Aux!$E$4:$E$14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29</c:v>
                </c:pt>
                <c:pt idx="3">
                  <c:v>0</c:v>
                </c:pt>
                <c:pt idx="4">
                  <c:v>0</c:v>
                </c:pt>
                <c:pt idx="5">
                  <c:v>20</c:v>
                </c:pt>
                <c:pt idx="6">
                  <c:v>25</c:v>
                </c:pt>
                <c:pt idx="7">
                  <c:v>0</c:v>
                </c:pt>
                <c:pt idx="8">
                  <c:v>25</c:v>
                </c:pt>
                <c:pt idx="9">
                  <c:v>29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DA1-4DB2-9A83-E0B46712A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00922752"/>
        <c:axId val="100930656"/>
      </c:barChart>
      <c:lineChart>
        <c:grouping val="standard"/>
        <c:varyColors val="0"/>
        <c:ser>
          <c:idx val="4"/>
          <c:order val="4"/>
          <c:tx>
            <c:strRef>
              <c:f>Aux!$F$3</c:f>
              <c:strCache>
                <c:ptCount val="1"/>
                <c:pt idx="0">
                  <c:v>Mínimo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dLbls>
            <c:dLbl>
              <c:idx val="1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3DA1-4DB2-9A83-E0B46712A2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Aux!$A$4:$A$14</c:f>
              <c:strCache>
                <c:ptCount val="11"/>
                <c:pt idx="0">
                  <c:v>Bárbara</c:v>
                </c:pt>
                <c:pt idx="1">
                  <c:v>Candela G.</c:v>
                </c:pt>
                <c:pt idx="2">
                  <c:v>Candela I.</c:v>
                </c:pt>
                <c:pt idx="3">
                  <c:v>Giselle</c:v>
                </c:pt>
                <c:pt idx="4">
                  <c:v>Luciana</c:v>
                </c:pt>
                <c:pt idx="5">
                  <c:v>Mailén</c:v>
                </c:pt>
                <c:pt idx="6">
                  <c:v>Maitena</c:v>
                </c:pt>
                <c:pt idx="7">
                  <c:v>Micaela</c:v>
                </c:pt>
                <c:pt idx="8">
                  <c:v>Rocío</c:v>
                </c:pt>
                <c:pt idx="9">
                  <c:v>Sofía</c:v>
                </c:pt>
                <c:pt idx="10">
                  <c:v>[Nueva]</c:v>
                </c:pt>
              </c:strCache>
            </c:strRef>
          </c:cat>
          <c:val>
            <c:numRef>
              <c:f>Aux!$F$4:$F$14</c:f>
              <c:numCache>
                <c:formatCode>General</c:formatCode>
                <c:ptCount val="1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DA1-4DB2-9A83-E0B46712A27E}"/>
            </c:ext>
          </c:extLst>
        </c:ser>
        <c:ser>
          <c:idx val="5"/>
          <c:order val="5"/>
          <c:tx>
            <c:strRef>
              <c:f>Aux!$G$3</c:f>
              <c:strCache>
                <c:ptCount val="1"/>
                <c:pt idx="0">
                  <c:v>Máximo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3DA1-4DB2-9A83-E0B46712A2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Aux!$A$4:$A$14</c:f>
              <c:strCache>
                <c:ptCount val="11"/>
                <c:pt idx="0">
                  <c:v>Bárbara</c:v>
                </c:pt>
                <c:pt idx="1">
                  <c:v>Candela G.</c:v>
                </c:pt>
                <c:pt idx="2">
                  <c:v>Candela I.</c:v>
                </c:pt>
                <c:pt idx="3">
                  <c:v>Giselle</c:v>
                </c:pt>
                <c:pt idx="4">
                  <c:v>Luciana</c:v>
                </c:pt>
                <c:pt idx="5">
                  <c:v>Mailén</c:v>
                </c:pt>
                <c:pt idx="6">
                  <c:v>Maitena</c:v>
                </c:pt>
                <c:pt idx="7">
                  <c:v>Micaela</c:v>
                </c:pt>
                <c:pt idx="8">
                  <c:v>Rocío</c:v>
                </c:pt>
                <c:pt idx="9">
                  <c:v>Sofía</c:v>
                </c:pt>
                <c:pt idx="10">
                  <c:v>[Nueva]</c:v>
                </c:pt>
              </c:strCache>
            </c:strRef>
          </c:cat>
          <c:val>
            <c:numRef>
              <c:f>Aux!$G$4:$G$14</c:f>
              <c:numCache>
                <c:formatCode>General</c:formatCode>
                <c:ptCount val="1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DA1-4DB2-9A83-E0B46712A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922752"/>
        <c:axId val="100930656"/>
      </c:lineChart>
      <c:catAx>
        <c:axId val="10092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30656"/>
        <c:crosses val="autoZero"/>
        <c:auto val="1"/>
        <c:lblAlgn val="ctr"/>
        <c:lblOffset val="100"/>
        <c:noMultiLvlLbl val="0"/>
      </c:catAx>
      <c:valAx>
        <c:axId val="10093065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2752"/>
        <c:crosses val="autoZero"/>
        <c:crossBetween val="between"/>
      </c:valAx>
      <c:spPr>
        <a:noFill/>
        <a:ln>
          <a:solidFill>
            <a:schemeClr val="accent1"/>
          </a:solidFill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_xlchart.8</cx:f>
      </cx:strDim>
      <cx:numDim type="size">
        <cx:f dir="row">_xlchart.8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1100"/>
            </a:pPr>
            <a:r>
              <a:rPr lang="en-US" sz="1100"/>
              <a:t>Florida</a:t>
            </a:r>
          </a:p>
        </cx:rich>
      </cx:tx>
    </cx:title>
    <cx:plotArea>
      <cx:plotAreaRegion>
        <cx:series layoutId="sunburst" uniqueId="{6EFE4C5E-CBF3-48FE-8FF8-A1459F985C9B}">
          <cx:tx>
            <cx:txData>
              <cx:f>_xlchart.7</cx:f>
              <cx:v>Florida</cx:v>
            </cx:txData>
          </cx:tx>
          <cx:spPr>
            <a:solidFill>
              <a:srgbClr val="005363"/>
            </a:solidFill>
          </cx:spPr>
          <cx:dataPt idx="1">
            <cx:spPr>
              <a:solidFill>
                <a:schemeClr val="bg1">
                  <a:lumMod val="95000"/>
                </a:schemeClr>
              </a:solidFill>
            </cx:spPr>
          </cx:dataPt>
          <cx:dataId val="0"/>
        </cx:series>
      </cx:plotAreaRegion>
    </cx:plotArea>
  </cx:chart>
  <cx:spPr>
    <a:solidFill>
      <a:schemeClr val="bg1"/>
    </a:solidFill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hart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size">
        <cx:f dir="row">_xlchart.6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1100"/>
            </a:pPr>
            <a:r>
              <a:rPr lang="en-US" sz="1100"/>
              <a:t>Güemes</a:t>
            </a:r>
          </a:p>
        </cx:rich>
      </cx:tx>
    </cx:title>
    <cx:plotArea>
      <cx:plotAreaRegion>
        <cx:series layoutId="sunburst" uniqueId="{188E47F7-37E9-4762-8A06-A6D16CF35DEF}">
          <cx:tx>
            <cx:txData>
              <cx:f>_xlchart.5</cx:f>
              <cx:v>Güemes</cx:v>
            </cx:txData>
          </cx:tx>
          <cx:spPr>
            <a:solidFill>
              <a:srgbClr val="005363"/>
            </a:solidFill>
          </cx:spPr>
          <cx:dataPt idx="1">
            <cx:spPr>
              <a:solidFill>
                <a:schemeClr val="bg1"/>
              </a:solidFill>
            </cx:spPr>
          </cx:dataPt>
          <cx:dataId val="0"/>
        </cx:series>
      </cx:plotAreaRegion>
    </cx:plotArea>
  </cx:chart>
  <cx:spPr>
    <a:solidFill>
      <a:schemeClr val="bg1"/>
    </a:solidFill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hart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_xlchart.1</cx:f>
      </cx:strDim>
      <cx:numDim type="size">
        <cx:f dir="row">_xlchart.2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 sz="1100"/>
            </a:pPr>
            <a:r>
              <a:rPr lang="en-US" sz="1100"/>
              <a:t>Recoleta</a:t>
            </a:r>
          </a:p>
        </cx:rich>
      </cx:tx>
    </cx:title>
    <cx:plotArea>
      <cx:plotAreaRegion>
        <cx:series layoutId="sunburst" uniqueId="{6EFE4C5E-CBF3-48FE-8FF8-A1459F985C9B}">
          <cx:tx>
            <cx:txData>
              <cx:f>_xlchart.0</cx:f>
              <cx:v>Florida</cx:v>
            </cx:txData>
          </cx:tx>
          <cx:spPr>
            <a:solidFill>
              <a:srgbClr val="005363"/>
            </a:solidFill>
          </cx:spPr>
          <cx:dataPt idx="0">
            <cx:spPr>
              <a:solidFill>
                <a:schemeClr val="bg1"/>
              </a:solidFill>
            </cx:spPr>
          </cx:dataPt>
          <cx:dataPt idx="1">
            <cx:spPr>
              <a:solidFill>
                <a:srgbClr val="005363"/>
              </a:solidFill>
            </cx:spPr>
          </cx:dataPt>
          <cx:dataId val="0"/>
        </cx:series>
      </cx:plotAreaRegion>
    </cx:plotArea>
  </cx:chart>
  <cx:spPr>
    <a:solidFill>
      <a:schemeClr val="bg1"/>
    </a:solidFill>
    <a:ln>
      <a:noFill/>
    </a:ln>
  </cx:spPr>
  <cx:clrMapOvr bg1="lt1" tx1="dk1" bg2="lt2" tx2="dk2" accent1="accent1" accent2="accent2" accent3="accent3" accent4="accent4" accent5="accent5" accent6="accent6" hlink="hlink" folHlink="folHlink"/>
</cx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Aux!$B$3</c:f>
              <c:strCache>
                <c:ptCount val="1"/>
                <c:pt idx="0">
                  <c:v>Semana 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Aux!$A$4:$A$14</c:f>
              <c:strCache>
                <c:ptCount val="11"/>
                <c:pt idx="0">
                  <c:v>Bárbara</c:v>
                </c:pt>
                <c:pt idx="1">
                  <c:v>Candela G.</c:v>
                </c:pt>
                <c:pt idx="2">
                  <c:v>Candela I.</c:v>
                </c:pt>
                <c:pt idx="3">
                  <c:v>Giselle</c:v>
                </c:pt>
                <c:pt idx="4">
                  <c:v>Luciana</c:v>
                </c:pt>
                <c:pt idx="5">
                  <c:v>Mailén</c:v>
                </c:pt>
                <c:pt idx="6">
                  <c:v>Maitena</c:v>
                </c:pt>
                <c:pt idx="7">
                  <c:v>Micaela</c:v>
                </c:pt>
                <c:pt idx="8">
                  <c:v>Rocío</c:v>
                </c:pt>
                <c:pt idx="9">
                  <c:v>Sofía</c:v>
                </c:pt>
                <c:pt idx="10">
                  <c:v>[Nueva]</c:v>
                </c:pt>
              </c:strCache>
            </c:strRef>
          </c:cat>
          <c:val>
            <c:numRef>
              <c:f>Aux!$B$4:$B$14</c:f>
              <c:numCache>
                <c:formatCode>General</c:formatCode>
                <c:ptCount val="11"/>
                <c:pt idx="0">
                  <c:v>18</c:v>
                </c:pt>
                <c:pt idx="1">
                  <c:v>13</c:v>
                </c:pt>
                <c:pt idx="2">
                  <c:v>28</c:v>
                </c:pt>
                <c:pt idx="3">
                  <c:v>0</c:v>
                </c:pt>
                <c:pt idx="4">
                  <c:v>8</c:v>
                </c:pt>
                <c:pt idx="5">
                  <c:v>28</c:v>
                </c:pt>
                <c:pt idx="6">
                  <c:v>45</c:v>
                </c:pt>
                <c:pt idx="7">
                  <c:v>0</c:v>
                </c:pt>
                <c:pt idx="8">
                  <c:v>26</c:v>
                </c:pt>
                <c:pt idx="9">
                  <c:v>25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76-49DC-A243-3E7FAD7125B8}"/>
            </c:ext>
          </c:extLst>
        </c:ser>
        <c:ser>
          <c:idx val="1"/>
          <c:order val="1"/>
          <c:tx>
            <c:strRef>
              <c:f>Aux!$C$3</c:f>
              <c:strCache>
                <c:ptCount val="1"/>
                <c:pt idx="0">
                  <c:v>Semana 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Aux!$A$4:$A$14</c:f>
              <c:strCache>
                <c:ptCount val="11"/>
                <c:pt idx="0">
                  <c:v>Bárbara</c:v>
                </c:pt>
                <c:pt idx="1">
                  <c:v>Candela G.</c:v>
                </c:pt>
                <c:pt idx="2">
                  <c:v>Candela I.</c:v>
                </c:pt>
                <c:pt idx="3">
                  <c:v>Giselle</c:v>
                </c:pt>
                <c:pt idx="4">
                  <c:v>Luciana</c:v>
                </c:pt>
                <c:pt idx="5">
                  <c:v>Mailén</c:v>
                </c:pt>
                <c:pt idx="6">
                  <c:v>Maitena</c:v>
                </c:pt>
                <c:pt idx="7">
                  <c:v>Micaela</c:v>
                </c:pt>
                <c:pt idx="8">
                  <c:v>Rocío</c:v>
                </c:pt>
                <c:pt idx="9">
                  <c:v>Sofía</c:v>
                </c:pt>
                <c:pt idx="10">
                  <c:v>[Nueva]</c:v>
                </c:pt>
              </c:strCache>
            </c:strRef>
          </c:cat>
          <c:val>
            <c:numRef>
              <c:f>Aux!$C$4:$C$14</c:f>
              <c:numCache>
                <c:formatCode>General</c:formatCode>
                <c:ptCount val="11"/>
                <c:pt idx="0">
                  <c:v>0</c:v>
                </c:pt>
                <c:pt idx="1">
                  <c:v>32</c:v>
                </c:pt>
                <c:pt idx="2">
                  <c:v>24</c:v>
                </c:pt>
                <c:pt idx="3">
                  <c:v>0</c:v>
                </c:pt>
                <c:pt idx="4">
                  <c:v>0</c:v>
                </c:pt>
                <c:pt idx="5">
                  <c:v>20</c:v>
                </c:pt>
                <c:pt idx="6">
                  <c:v>25</c:v>
                </c:pt>
                <c:pt idx="7">
                  <c:v>0</c:v>
                </c:pt>
                <c:pt idx="8">
                  <c:v>25</c:v>
                </c:pt>
                <c:pt idx="9">
                  <c:v>24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76-49DC-A243-3E7FAD7125B8}"/>
            </c:ext>
          </c:extLst>
        </c:ser>
        <c:ser>
          <c:idx val="2"/>
          <c:order val="2"/>
          <c:tx>
            <c:strRef>
              <c:f>Aux!$D$3</c:f>
              <c:strCache>
                <c:ptCount val="1"/>
                <c:pt idx="0">
                  <c:v>Semana 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Aux!$A$4:$A$14</c:f>
              <c:strCache>
                <c:ptCount val="11"/>
                <c:pt idx="0">
                  <c:v>Bárbara</c:v>
                </c:pt>
                <c:pt idx="1">
                  <c:v>Candela G.</c:v>
                </c:pt>
                <c:pt idx="2">
                  <c:v>Candela I.</c:v>
                </c:pt>
                <c:pt idx="3">
                  <c:v>Giselle</c:v>
                </c:pt>
                <c:pt idx="4">
                  <c:v>Luciana</c:v>
                </c:pt>
                <c:pt idx="5">
                  <c:v>Mailén</c:v>
                </c:pt>
                <c:pt idx="6">
                  <c:v>Maitena</c:v>
                </c:pt>
                <c:pt idx="7">
                  <c:v>Micaela</c:v>
                </c:pt>
                <c:pt idx="8">
                  <c:v>Rocío</c:v>
                </c:pt>
                <c:pt idx="9">
                  <c:v>Sofía</c:v>
                </c:pt>
                <c:pt idx="10">
                  <c:v>[Nueva]</c:v>
                </c:pt>
              </c:strCache>
            </c:strRef>
          </c:cat>
          <c:val>
            <c:numRef>
              <c:f>Aux!$D$4:$D$14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28</c:v>
                </c:pt>
                <c:pt idx="3">
                  <c:v>0</c:v>
                </c:pt>
                <c:pt idx="4">
                  <c:v>0</c:v>
                </c:pt>
                <c:pt idx="5">
                  <c:v>20</c:v>
                </c:pt>
                <c:pt idx="6">
                  <c:v>29</c:v>
                </c:pt>
                <c:pt idx="7">
                  <c:v>0</c:v>
                </c:pt>
                <c:pt idx="8">
                  <c:v>25</c:v>
                </c:pt>
                <c:pt idx="9">
                  <c:v>30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6-49DC-A243-3E7FAD7125B8}"/>
            </c:ext>
          </c:extLst>
        </c:ser>
        <c:ser>
          <c:idx val="3"/>
          <c:order val="3"/>
          <c:tx>
            <c:strRef>
              <c:f>Aux!$E$3</c:f>
              <c:strCache>
                <c:ptCount val="1"/>
                <c:pt idx="0">
                  <c:v>Semana 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Aux!$A$4:$A$14</c:f>
              <c:strCache>
                <c:ptCount val="11"/>
                <c:pt idx="0">
                  <c:v>Bárbara</c:v>
                </c:pt>
                <c:pt idx="1">
                  <c:v>Candela G.</c:v>
                </c:pt>
                <c:pt idx="2">
                  <c:v>Candela I.</c:v>
                </c:pt>
                <c:pt idx="3">
                  <c:v>Giselle</c:v>
                </c:pt>
                <c:pt idx="4">
                  <c:v>Luciana</c:v>
                </c:pt>
                <c:pt idx="5">
                  <c:v>Mailén</c:v>
                </c:pt>
                <c:pt idx="6">
                  <c:v>Maitena</c:v>
                </c:pt>
                <c:pt idx="7">
                  <c:v>Micaela</c:v>
                </c:pt>
                <c:pt idx="8">
                  <c:v>Rocío</c:v>
                </c:pt>
                <c:pt idx="9">
                  <c:v>Sofía</c:v>
                </c:pt>
                <c:pt idx="10">
                  <c:v>[Nueva]</c:v>
                </c:pt>
              </c:strCache>
            </c:strRef>
          </c:cat>
          <c:val>
            <c:numRef>
              <c:f>Aux!$E$4:$E$14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29</c:v>
                </c:pt>
                <c:pt idx="3">
                  <c:v>0</c:v>
                </c:pt>
                <c:pt idx="4">
                  <c:v>0</c:v>
                </c:pt>
                <c:pt idx="5">
                  <c:v>20</c:v>
                </c:pt>
                <c:pt idx="6">
                  <c:v>25</c:v>
                </c:pt>
                <c:pt idx="7">
                  <c:v>0</c:v>
                </c:pt>
                <c:pt idx="8">
                  <c:v>25</c:v>
                </c:pt>
                <c:pt idx="9">
                  <c:v>29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76-49DC-A243-3E7FAD712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0922752"/>
        <c:axId val="100930656"/>
      </c:barChart>
      <c:lineChart>
        <c:grouping val="standard"/>
        <c:varyColors val="0"/>
        <c:ser>
          <c:idx val="4"/>
          <c:order val="4"/>
          <c:tx>
            <c:strRef>
              <c:f>Aux!$F$3</c:f>
              <c:strCache>
                <c:ptCount val="1"/>
                <c:pt idx="0">
                  <c:v>Mínimo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1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8-A676-49DC-A243-3E7FAD7125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Aux!$A$4:$A$14</c:f>
              <c:strCache>
                <c:ptCount val="11"/>
                <c:pt idx="0">
                  <c:v>Bárbara</c:v>
                </c:pt>
                <c:pt idx="1">
                  <c:v>Candela G.</c:v>
                </c:pt>
                <c:pt idx="2">
                  <c:v>Candela I.</c:v>
                </c:pt>
                <c:pt idx="3">
                  <c:v>Giselle</c:v>
                </c:pt>
                <c:pt idx="4">
                  <c:v>Luciana</c:v>
                </c:pt>
                <c:pt idx="5">
                  <c:v>Mailén</c:v>
                </c:pt>
                <c:pt idx="6">
                  <c:v>Maitena</c:v>
                </c:pt>
                <c:pt idx="7">
                  <c:v>Micaela</c:v>
                </c:pt>
                <c:pt idx="8">
                  <c:v>Rocío</c:v>
                </c:pt>
                <c:pt idx="9">
                  <c:v>Sofía</c:v>
                </c:pt>
                <c:pt idx="10">
                  <c:v>[Nueva]</c:v>
                </c:pt>
              </c:strCache>
            </c:strRef>
          </c:cat>
          <c:val>
            <c:numRef>
              <c:f>Aux!$F$4:$F$14</c:f>
              <c:numCache>
                <c:formatCode>General</c:formatCode>
                <c:ptCount val="1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76-49DC-A243-3E7FAD7125B8}"/>
            </c:ext>
          </c:extLst>
        </c:ser>
        <c:ser>
          <c:idx val="5"/>
          <c:order val="5"/>
          <c:tx>
            <c:strRef>
              <c:f>Aux!$G$3</c:f>
              <c:strCache>
                <c:ptCount val="1"/>
                <c:pt idx="0">
                  <c:v>Máximo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0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A676-49DC-A243-3E7FAD7125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Aux!$A$4:$A$14</c:f>
              <c:strCache>
                <c:ptCount val="11"/>
                <c:pt idx="0">
                  <c:v>Bárbara</c:v>
                </c:pt>
                <c:pt idx="1">
                  <c:v>Candela G.</c:v>
                </c:pt>
                <c:pt idx="2">
                  <c:v>Candela I.</c:v>
                </c:pt>
                <c:pt idx="3">
                  <c:v>Giselle</c:v>
                </c:pt>
                <c:pt idx="4">
                  <c:v>Luciana</c:v>
                </c:pt>
                <c:pt idx="5">
                  <c:v>Mailén</c:v>
                </c:pt>
                <c:pt idx="6">
                  <c:v>Maitena</c:v>
                </c:pt>
                <c:pt idx="7">
                  <c:v>Micaela</c:v>
                </c:pt>
                <c:pt idx="8">
                  <c:v>Rocío</c:v>
                </c:pt>
                <c:pt idx="9">
                  <c:v>Sofía</c:v>
                </c:pt>
                <c:pt idx="10">
                  <c:v>[Nueva]</c:v>
                </c:pt>
              </c:strCache>
            </c:strRef>
          </c:cat>
          <c:val>
            <c:numRef>
              <c:f>Aux!$G$4:$G$14</c:f>
              <c:numCache>
                <c:formatCode>General</c:formatCode>
                <c:ptCount val="1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76-49DC-A243-3E7FAD712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922752"/>
        <c:axId val="100930656"/>
      </c:lineChart>
      <c:catAx>
        <c:axId val="100922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30656"/>
        <c:crosses val="autoZero"/>
        <c:auto val="1"/>
        <c:lblAlgn val="ctr"/>
        <c:lblOffset val="100"/>
        <c:noMultiLvlLbl val="0"/>
      </c:catAx>
      <c:valAx>
        <c:axId val="1009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Aux!$B$25</c:f>
              <c:strCache>
                <c:ptCount val="1"/>
                <c:pt idx="0">
                  <c:v>Ventas Reales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Aux!$A$26:$A$29</c:f>
              <c:strCache>
                <c:ptCount val="4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</c:strCache>
            </c:strRef>
          </c:cat>
          <c:val>
            <c:numRef>
              <c:f>Aux!$B$26:$B$29</c:f>
              <c:numCache>
                <c:formatCode>General</c:formatCode>
                <c:ptCount val="4"/>
                <c:pt idx="0">
                  <c:v>180</c:v>
                </c:pt>
                <c:pt idx="1">
                  <c:v>210</c:v>
                </c:pt>
                <c:pt idx="2">
                  <c:v>140</c:v>
                </c:pt>
                <c:pt idx="3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57-4834-B5AC-082523E13E9D}"/>
            </c:ext>
          </c:extLst>
        </c:ser>
        <c:ser>
          <c:idx val="1"/>
          <c:order val="1"/>
          <c:tx>
            <c:strRef>
              <c:f>Aux!$C$25</c:f>
              <c:strCache>
                <c:ptCount val="1"/>
                <c:pt idx="0">
                  <c:v>Dentro Rango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Aux!$A$26:$A$29</c:f>
              <c:strCache>
                <c:ptCount val="4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</c:strCache>
            </c:strRef>
          </c:cat>
          <c:val>
            <c:numRef>
              <c:f>Aux!$C$26:$C$29</c:f>
              <c:numCache>
                <c:formatCode>General</c:formatCode>
                <c:ptCount val="4"/>
                <c:pt idx="0">
                  <c:v>180</c:v>
                </c:pt>
                <c:pt idx="1">
                  <c:v>0</c:v>
                </c:pt>
                <c:pt idx="2">
                  <c:v>0</c:v>
                </c:pt>
                <c:pt idx="3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57-4834-B5AC-082523E13E9D}"/>
            </c:ext>
          </c:extLst>
        </c:ser>
        <c:ser>
          <c:idx val="2"/>
          <c:order val="2"/>
          <c:tx>
            <c:strRef>
              <c:f>Aux!$D$25</c:f>
              <c:strCache>
                <c:ptCount val="1"/>
                <c:pt idx="0">
                  <c:v>Supera Máximo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Aux!$A$26:$A$29</c:f>
              <c:strCache>
                <c:ptCount val="4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</c:strCache>
            </c:strRef>
          </c:cat>
          <c:val>
            <c:numRef>
              <c:f>Aux!$D$26:$D$29</c:f>
              <c:numCache>
                <c:formatCode>General</c:formatCode>
                <c:ptCount val="4"/>
                <c:pt idx="0">
                  <c:v>0</c:v>
                </c:pt>
                <c:pt idx="1">
                  <c:v>210</c:v>
                </c:pt>
                <c:pt idx="2">
                  <c:v>140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57-4834-B5AC-082523E13E9D}"/>
            </c:ext>
          </c:extLst>
        </c:ser>
        <c:ser>
          <c:idx val="3"/>
          <c:order val="3"/>
          <c:tx>
            <c:strRef>
              <c:f>Aux!$E$25</c:f>
              <c:strCache>
                <c:ptCount val="1"/>
                <c:pt idx="0">
                  <c:v>Por Debajo Mínimo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Aux!$A$26:$A$29</c:f>
              <c:strCache>
                <c:ptCount val="4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</c:strCache>
            </c:strRef>
          </c:cat>
          <c:val>
            <c:numRef>
              <c:f>Aux!$E$26:$E$29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140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57-4834-B5AC-082523E13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00928992"/>
        <c:axId val="100919424"/>
      </c:barChart>
      <c:catAx>
        <c:axId val="10092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19424"/>
        <c:crosses val="autoZero"/>
        <c:auto val="1"/>
        <c:lblAlgn val="ctr"/>
        <c:lblOffset val="100"/>
        <c:noMultiLvlLbl val="0"/>
      </c:catAx>
      <c:valAx>
        <c:axId val="10091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5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5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50" kern="1200"/>
    <cs:bodyPr wrap="square" lIns="38100" tIns="19050" rIns="38100" bIns="19050" anchor="ctr">
      <a:spAutoFit/>
    </cs:bodyPr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9072</xdr:rowOff>
    </xdr:from>
    <xdr:to>
      <xdr:col>15</xdr:col>
      <xdr:colOff>419553</xdr:colOff>
      <xdr:row>16</xdr:row>
      <xdr:rowOff>145143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748394</xdr:colOff>
      <xdr:row>8</xdr:row>
      <xdr:rowOff>36285</xdr:rowOff>
    </xdr:from>
    <xdr:to>
      <xdr:col>15</xdr:col>
      <xdr:colOff>517071</xdr:colOff>
      <xdr:row>15</xdr:row>
      <xdr:rowOff>27214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2" name="Gráfic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15</xdr:col>
      <xdr:colOff>580571</xdr:colOff>
      <xdr:row>8</xdr:row>
      <xdr:rowOff>36284</xdr:rowOff>
    </xdr:from>
    <xdr:to>
      <xdr:col>17</xdr:col>
      <xdr:colOff>249462</xdr:colOff>
      <xdr:row>15</xdr:row>
      <xdr:rowOff>27213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3" name="Gráfic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17</xdr:col>
      <xdr:colOff>353786</xdr:colOff>
      <xdr:row>8</xdr:row>
      <xdr:rowOff>45357</xdr:rowOff>
    </xdr:from>
    <xdr:to>
      <xdr:col>18</xdr:col>
      <xdr:colOff>902605</xdr:colOff>
      <xdr:row>15</xdr:row>
      <xdr:rowOff>36286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4" name="Gráfico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701674</xdr:colOff>
      <xdr:row>1</xdr:row>
      <xdr:rowOff>9524</xdr:rowOff>
    </xdr:from>
    <xdr:to>
      <xdr:col>14</xdr:col>
      <xdr:colOff>622299</xdr:colOff>
      <xdr:row>18</xdr:row>
      <xdr:rowOff>31749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317500</xdr:colOff>
      <xdr:row>18</xdr:row>
      <xdr:rowOff>174625</xdr:rowOff>
    </xdr:from>
    <xdr:to>
      <xdr:col>11</xdr:col>
      <xdr:colOff>317500</xdr:colOff>
      <xdr:row>33</xdr:row>
      <xdr:rowOff>155575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7" name="TablaFloridaNov" displayName="TablaFloridaNov" ref="A21:G381" totalsRowShown="0" headerRowDxfId="82" dataDxfId="81" tableBorderDxfId="80">
  <autoFilter ref="A21:G381"/>
  <tableColumns count="7">
    <tableColumn id="1" name="Día" dataDxfId="79"/>
    <tableColumn id="2" name="Día de semana" dataDxfId="78">
      <calculatedColumnFormula>TEXT(A22,"ddd")</calculatedColumnFormula>
    </tableColumn>
    <tableColumn id="3" name="Hora" dataDxfId="77"/>
    <tableColumn id="4" name="Vendedora 1" dataDxfId="76"/>
    <tableColumn id="5" name="Vendedora 2" dataDxfId="75"/>
    <tableColumn id="6" name="Vendedora 3" dataDxfId="74"/>
    <tableColumn id="7" name="Estado de la hora" dataDxfId="7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9" name="TablaGuemesNov" displayName="TablaGuemesNov" ref="I21:O381" totalsRowShown="0" headerRowDxfId="72" dataDxfId="71" tableBorderDxfId="70">
  <autoFilter ref="I21:O381"/>
  <tableColumns count="7">
    <tableColumn id="1" name="Día" dataDxfId="69"/>
    <tableColumn id="2" name="Día de semana" dataDxfId="68">
      <calculatedColumnFormula>TEXT(I22,"ddd")</calculatedColumnFormula>
    </tableColumn>
    <tableColumn id="3" name="Hora" dataDxfId="67"/>
    <tableColumn id="4" name="Vendedora 1" dataDxfId="66"/>
    <tableColumn id="5" name="Vendedora 2" dataDxfId="65"/>
    <tableColumn id="6" name="Vendedora 3" dataDxfId="64"/>
    <tableColumn id="7" name="Estado de la hora" dataDxfId="6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0" name="TablaRecoletaNov" displayName="TablaRecoletaNov" ref="Q21:W381" totalsRowShown="0" headerRowDxfId="62" dataDxfId="61" tableBorderDxfId="60">
  <autoFilter ref="Q21:W381"/>
  <tableColumns count="7">
    <tableColumn id="1" name="Día" dataDxfId="59"/>
    <tableColumn id="2" name="Día de semana" dataDxfId="58">
      <calculatedColumnFormula>TEXT(Q22,"ddd")</calculatedColumnFormula>
    </tableColumn>
    <tableColumn id="3" name="Hora" dataDxfId="57"/>
    <tableColumn id="4" name="Vendedora 1" dataDxfId="56"/>
    <tableColumn id="5" name="Vendedora 2" dataDxfId="55"/>
    <tableColumn id="6" name="Vendedora 3" dataDxfId="54"/>
    <tableColumn id="7" name="Estado de la hora" dataDxfId="53">
      <calculatedColumnFormula>IF(COUNTIF(T22:V22,"?*")=$T$7,"✅ CUBIERTO",IF(COUNTIF(T22:V22,"?*")&gt;$T$7,"⚠ EXCESO",
IF(COUNTIF(T22:V22,"?*")&gt;0,"⚠ FALTANTE", "❌ SIN COMPLETAR")))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1" name="TablaFloridaDic" displayName="TablaFloridaDic" ref="A21:G393" totalsRowShown="0" headerRowDxfId="52" dataDxfId="51" tableBorderDxfId="50">
  <autoFilter ref="A21:G393"/>
  <tableColumns count="7">
    <tableColumn id="1" name="Día" dataDxfId="49"/>
    <tableColumn id="2" name="Día de semana" dataDxfId="48">
      <calculatedColumnFormula>TEXT(A22,"ddd")</calculatedColumnFormula>
    </tableColumn>
    <tableColumn id="3" name="Hora" dataDxfId="47"/>
    <tableColumn id="4" name="Vendedora 1" dataDxfId="46"/>
    <tableColumn id="5" name="Vendedora 2" dataDxfId="45"/>
    <tableColumn id="6" name="Vendedora 3" dataDxfId="44"/>
    <tableColumn id="7" name="Estado de la hora" dataDxfId="4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2" name="TablaGuemesDic" displayName="TablaGuemesDic" ref="I21:O393" totalsRowShown="0" headerRowDxfId="42" dataDxfId="41" tableBorderDxfId="40">
  <autoFilter ref="I21:O393"/>
  <tableColumns count="7">
    <tableColumn id="1" name="Día" dataDxfId="39"/>
    <tableColumn id="2" name="Día de semana" dataDxfId="38">
      <calculatedColumnFormula>TEXT(I22,"ddd")</calculatedColumnFormula>
    </tableColumn>
    <tableColumn id="3" name="Hora" dataDxfId="37"/>
    <tableColumn id="4" name="Vendedora 1" dataDxfId="36"/>
    <tableColumn id="5" name="Vendedora 2" dataDxfId="35"/>
    <tableColumn id="6" name="Vendedora 3" dataDxfId="34"/>
    <tableColumn id="7" name="Estado de la hora" dataDxfId="3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3" name="TablaRecoletaDic" displayName="TablaRecoletaDic" ref="Q21:W393" totalsRowShown="0" headerRowDxfId="32" dataDxfId="31" tableBorderDxfId="30">
  <autoFilter ref="Q21:W393"/>
  <tableColumns count="7">
    <tableColumn id="1" name="Día" dataDxfId="29"/>
    <tableColumn id="2" name="Día de semana" dataDxfId="28">
      <calculatedColumnFormula>TEXT(Q22,"ddd")</calculatedColumnFormula>
    </tableColumn>
    <tableColumn id="3" name="Hora" dataDxfId="27"/>
    <tableColumn id="4" name="Vendedora 1" dataDxfId="26"/>
    <tableColumn id="5" name="Vendedora 2" dataDxfId="25"/>
    <tableColumn id="6" name="Vendedora 3" dataDxfId="24"/>
    <tableColumn id="7" name="Estado de la hora" dataDxfId="23">
      <calculatedColumnFormula>IF(COUNTIF(T22:V22,"?*")=$P$7,"✅ CUBIERTO",IF(COUNTIF(T22:V22,"?*")&gt;$P$7,"⚠ EXCESO",
IF(COUNTIF(T22:V22,"?*")&gt;0,"⚠ FALTANTE", "❌ SIN COMPLETAR")))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W426"/>
  <sheetViews>
    <sheetView showGridLines="0" zoomScale="90" zoomScaleNormal="90" workbookViewId="0">
      <selection activeCell="Q12" sqref="Q12"/>
    </sheetView>
  </sheetViews>
  <sheetFormatPr baseColWidth="10" defaultRowHeight="14.5" x14ac:dyDescent="0.35"/>
  <cols>
    <col min="1" max="1" width="13.81640625" style="6" customWidth="1"/>
    <col min="2" max="2" width="15.08984375" style="3" customWidth="1"/>
    <col min="3" max="3" width="11" style="3" customWidth="1"/>
    <col min="4" max="6" width="13.54296875" style="6" customWidth="1"/>
    <col min="7" max="7" width="17.6328125" style="6" bestFit="1" customWidth="1"/>
    <col min="8" max="8" width="15" style="6" customWidth="1"/>
    <col min="9" max="9" width="13.81640625" style="6" customWidth="1"/>
    <col min="10" max="10" width="15.08984375" style="3" customWidth="1"/>
    <col min="11" max="11" width="11" style="3" customWidth="1"/>
    <col min="12" max="14" width="13.54296875" style="6" customWidth="1"/>
    <col min="15" max="15" width="17.6328125" style="6" bestFit="1" customWidth="1"/>
    <col min="16" max="16" width="10.90625" style="6"/>
    <col min="17" max="17" width="13.81640625" style="6" customWidth="1"/>
    <col min="18" max="18" width="15.08984375" style="3" customWidth="1"/>
    <col min="19" max="19" width="11" style="3" customWidth="1"/>
    <col min="20" max="22" width="13.54296875" style="6" customWidth="1"/>
    <col min="23" max="23" width="17.90625" style="6" bestFit="1" customWidth="1"/>
  </cols>
  <sheetData>
    <row r="1" spans="1:23" ht="21" x14ac:dyDescent="0.5">
      <c r="A1" s="62" t="s">
        <v>36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4"/>
    </row>
    <row r="2" spans="1:23" ht="18.5" x14ac:dyDescent="0.45">
      <c r="A2" s="2"/>
      <c r="D2" s="4"/>
      <c r="E2" s="5"/>
      <c r="F2" s="4"/>
      <c r="G2" s="5"/>
      <c r="I2" s="2"/>
      <c r="L2" s="4"/>
      <c r="M2" s="5"/>
      <c r="N2" s="4"/>
      <c r="O2" s="5"/>
      <c r="Q2" s="2"/>
      <c r="T2" s="4"/>
      <c r="U2" s="5"/>
      <c r="V2" s="4"/>
      <c r="W2" s="5"/>
    </row>
    <row r="3" spans="1:23" x14ac:dyDescent="0.35">
      <c r="A3" s="24" t="s">
        <v>38</v>
      </c>
      <c r="B3" s="6"/>
      <c r="C3" s="6"/>
      <c r="J3" s="6"/>
      <c r="K3" s="24" t="s">
        <v>50</v>
      </c>
      <c r="S3" s="24" t="s">
        <v>25</v>
      </c>
    </row>
    <row r="4" spans="1:23" ht="43.5" x14ac:dyDescent="0.35">
      <c r="A4" s="71" t="s">
        <v>15</v>
      </c>
      <c r="B4" s="72" t="s">
        <v>21</v>
      </c>
      <c r="C4" s="73"/>
      <c r="D4" s="74"/>
      <c r="E4" s="72" t="s">
        <v>23</v>
      </c>
      <c r="F4" s="73"/>
      <c r="G4" s="74"/>
      <c r="H4" s="75" t="s">
        <v>20</v>
      </c>
      <c r="I4" s="75" t="s">
        <v>39</v>
      </c>
      <c r="J4" s="6"/>
      <c r="S4" s="40" t="s">
        <v>0</v>
      </c>
      <c r="T4" s="38" t="s">
        <v>35</v>
      </c>
      <c r="U4" s="39" t="s">
        <v>34</v>
      </c>
      <c r="V4" s="37" t="s">
        <v>33</v>
      </c>
      <c r="W4" s="37" t="s">
        <v>40</v>
      </c>
    </row>
    <row r="5" spans="1:23" x14ac:dyDescent="0.35">
      <c r="A5" s="71"/>
      <c r="B5" s="41" t="s">
        <v>1</v>
      </c>
      <c r="C5" s="42" t="s">
        <v>22</v>
      </c>
      <c r="D5" s="43" t="s">
        <v>2</v>
      </c>
      <c r="E5" s="41" t="s">
        <v>1</v>
      </c>
      <c r="F5" s="42" t="s">
        <v>22</v>
      </c>
      <c r="G5" s="43" t="s">
        <v>2</v>
      </c>
      <c r="H5" s="75"/>
      <c r="I5" s="75"/>
      <c r="J5" s="6"/>
      <c r="S5" s="20" t="s">
        <v>1</v>
      </c>
      <c r="T5" s="21">
        <v>2</v>
      </c>
      <c r="U5" s="21">
        <v>558</v>
      </c>
      <c r="V5" s="12">
        <f>B17+E17</f>
        <v>460</v>
      </c>
      <c r="W5" s="44">
        <f>V5/U5</f>
        <v>0.82437275985663083</v>
      </c>
    </row>
    <row r="6" spans="1:23" x14ac:dyDescent="0.35">
      <c r="A6" s="11" t="s">
        <v>5</v>
      </c>
      <c r="B6" s="11">
        <f>SUMPRODUCT((TablaFloridaNov[Vendedora 1]=$A6)+(TablaFloridaNov[Vendedora 2]=$A6)+(TablaFloridaNov[Vendedora 3]=$A6),--(TablaFloridaNov[Día]&lt;&gt;$S$11))</f>
        <v>19</v>
      </c>
      <c r="C6" s="11">
        <f>SUMPRODUCT((TablaGuemesNov[Vendedora 1]=$A6)+(TablaGuemesNov[Vendedora 2]=$A6)+(TablaGuemesNov[Vendedora 3]=$A6),--(TablaGuemesNov[Día]&lt;&gt;$S$11))</f>
        <v>0</v>
      </c>
      <c r="D6" s="11">
        <f>SUMPRODUCT((TablaRecoletaNov[Vendedora 1]=$A6)+(TablaRecoletaNov[Vendedora 2]=$A6)+(TablaRecoletaNov[Vendedora 3]=$A6),--(TablaRecoletaNov[Día]&lt;&gt;$S$11))</f>
        <v>0</v>
      </c>
      <c r="E6" s="11">
        <f>SUMPRODUCT((TablaFloridaNov[Vendedora 1]=$A6)+(TablaFloridaNov[Vendedora 2]=$A6)+(TablaFloridaNov[Vendedora 3]=$A6),--(TablaFloridaNov[Día]=$S$11))</f>
        <v>0</v>
      </c>
      <c r="F6" s="11">
        <f>SUMPRODUCT((TablaGuemesNov[Vendedora 1]=$A6)+(TablaGuemesNov[Vendedora 2]=$A6)+(TablaGuemesNov[Vendedora 3]=$A6),--(TablaGuemesNov[Día]=$S$11))</f>
        <v>0</v>
      </c>
      <c r="G6" s="11">
        <f>SUMPRODUCT((TablaRecoletaNov[Vendedora 1]=$A6)+(TablaRecoletaNov[Vendedora 2]=$A6)+(TablaRecoletaNov[Vendedora 3]=$A6),--(TablaRecoletaNov[Día]=$S$11))</f>
        <v>0</v>
      </c>
      <c r="H6" s="13">
        <f>SUM(B6:G6)</f>
        <v>19</v>
      </c>
      <c r="I6" s="36">
        <f>IF(SUM(E6:G6)=0,4,"")</f>
        <v>4</v>
      </c>
      <c r="J6" s="6"/>
      <c r="S6" s="20" t="s">
        <v>22</v>
      </c>
      <c r="T6" s="21">
        <v>1</v>
      </c>
      <c r="U6" s="21">
        <v>207</v>
      </c>
      <c r="V6" s="12">
        <f>C17+F17</f>
        <v>180</v>
      </c>
      <c r="W6" s="44">
        <f>V6/U6</f>
        <v>0.86956521739130432</v>
      </c>
    </row>
    <row r="7" spans="1:23" x14ac:dyDescent="0.35">
      <c r="A7" s="11" t="s">
        <v>31</v>
      </c>
      <c r="B7" s="11">
        <f>SUMPRODUCT((TablaFloridaNov[Vendedora 1]=$A7)+(TablaFloridaNov[Vendedora 2]=$A7)+(TablaFloridaNov[Vendedora 3]=$A7),--(TablaFloridaNov[Día]&lt;&gt;$S$11))</f>
        <v>63</v>
      </c>
      <c r="C7" s="11">
        <f>SUMPRODUCT((TablaGuemesNov[Vendedora 1]=$A7)+(TablaGuemesNov[Vendedora 2]=$A7)+(TablaGuemesNov[Vendedora 3]=$A7),--(TablaGuemesNov[Día]&lt;&gt;$S$11))</f>
        <v>0</v>
      </c>
      <c r="D7" s="11">
        <f>SUMPRODUCT((TablaRecoletaNov[Vendedora 1]=$A7)+(TablaRecoletaNov[Vendedora 2]=$A7)+(TablaRecoletaNov[Vendedora 3]=$A7),--(TablaRecoletaNov[Día]&lt;&gt;$S$11))</f>
        <v>0</v>
      </c>
      <c r="E7" s="11">
        <f>SUMPRODUCT((TablaFloridaNov[Vendedora 1]=$A7)+(TablaFloridaNov[Vendedora 2]=$A7)+(TablaFloridaNov[Vendedora 3]=$A7),--(TablaFloridaNov[Día]=$S$11))</f>
        <v>0</v>
      </c>
      <c r="F7" s="11">
        <f>SUMPRODUCT((TablaGuemesNov[Vendedora 1]=$A7)+(TablaGuemesNov[Vendedora 2]=$A7)+(TablaGuemesNov[Vendedora 3]=$A7),--(TablaGuemesNov[Día]=$S$11))</f>
        <v>0</v>
      </c>
      <c r="G7" s="11">
        <f>SUMPRODUCT((TablaRecoletaNov[Vendedora 1]=$A7)+(TablaRecoletaNov[Vendedora 2]=$A7)+(TablaRecoletaNov[Vendedora 3]=$A7),--(TablaRecoletaNov[Día]=$S$11))</f>
        <v>0</v>
      </c>
      <c r="H7" s="13">
        <f t="shared" ref="H7:H16" si="0">SUM(B7:G7)</f>
        <v>63</v>
      </c>
      <c r="I7" s="36">
        <f t="shared" ref="I7:I16" si="1">IF(SUM(E7:G7)=0,4,"")</f>
        <v>4</v>
      </c>
      <c r="J7" s="6"/>
      <c r="S7" s="20" t="s">
        <v>2</v>
      </c>
      <c r="T7" s="21">
        <v>1</v>
      </c>
      <c r="U7" s="21">
        <v>341</v>
      </c>
      <c r="V7" s="12">
        <f>D17+G17</f>
        <v>12</v>
      </c>
      <c r="W7" s="44">
        <f>V7/U7</f>
        <v>3.519061583577713E-2</v>
      </c>
    </row>
    <row r="8" spans="1:23" x14ac:dyDescent="0.35">
      <c r="A8" s="11" t="s">
        <v>30</v>
      </c>
      <c r="B8" s="11">
        <f>SUMPRODUCT((TablaFloridaNov[Vendedora 1]=$A8)+(TablaFloridaNov[Vendedora 2]=$A8)+(TablaFloridaNov[Vendedora 3]=$A8),--(TablaFloridaNov[Día]&lt;&gt;$S$11))</f>
        <v>111</v>
      </c>
      <c r="C8" s="11">
        <f>SUMPRODUCT((TablaGuemesNov[Vendedora 1]=$A8)+(TablaGuemesNov[Vendedora 2]=$A8)+(TablaGuemesNov[Vendedora 3]=$A8),--(TablaGuemesNov[Día]&lt;&gt;$S$11))</f>
        <v>0</v>
      </c>
      <c r="D8" s="11">
        <f>SUMPRODUCT((TablaRecoletaNov[Vendedora 1]=$A8)+(TablaRecoletaNov[Vendedora 2]=$A8)+(TablaRecoletaNov[Vendedora 3]=$A8),--(TablaRecoletaNov[Día]&lt;&gt;$S$11))</f>
        <v>0</v>
      </c>
      <c r="E8" s="11">
        <f>SUMPRODUCT((TablaFloridaNov[Vendedora 1]=$A8)+(TablaFloridaNov[Vendedora 2]=$A8)+(TablaFloridaNov[Vendedora 3]=$A8),--(TablaFloridaNov[Día]=$S$11))</f>
        <v>5</v>
      </c>
      <c r="F8" s="11">
        <f>SUMPRODUCT((TablaGuemesNov[Vendedora 1]=$A8)+(TablaGuemesNov[Vendedora 2]=$A8)+(TablaGuemesNov[Vendedora 3]=$A8),--(TablaGuemesNov[Día]=$S$11))</f>
        <v>0</v>
      </c>
      <c r="G8" s="11">
        <f>SUMPRODUCT((TablaRecoletaNov[Vendedora 1]=$A8)+(TablaRecoletaNov[Vendedora 2]=$A8)+(TablaRecoletaNov[Vendedora 3]=$A8),--(TablaRecoletaNov[Día]=$S$11))</f>
        <v>0</v>
      </c>
      <c r="H8" s="13">
        <f t="shared" si="0"/>
        <v>116</v>
      </c>
      <c r="I8" s="36" t="str">
        <f t="shared" si="1"/>
        <v/>
      </c>
      <c r="J8" s="6"/>
      <c r="R8" s="6"/>
      <c r="S8" s="6"/>
    </row>
    <row r="9" spans="1:23" x14ac:dyDescent="0.35">
      <c r="A9" s="11" t="s">
        <v>27</v>
      </c>
      <c r="B9" s="11">
        <f>SUMPRODUCT((TablaFloridaNov[Vendedora 1]=$A9)+(TablaFloridaNov[Vendedora 2]=$A9)+(TablaFloridaNov[Vendedora 3]=$A9),--(TablaFloridaNov[Día]&lt;&gt;$S$11))</f>
        <v>3</v>
      </c>
      <c r="C9" s="11">
        <f>SUMPRODUCT((TablaGuemesNov[Vendedora 1]=$A9)+(TablaGuemesNov[Vendedora 2]=$A9)+(TablaGuemesNov[Vendedora 3]=$A9),--(TablaGuemesNov[Día]&lt;&gt;$S$11))</f>
        <v>0</v>
      </c>
      <c r="D9" s="11">
        <f>SUMPRODUCT((TablaRecoletaNov[Vendedora 1]=$A9)+(TablaRecoletaNov[Vendedora 2]=$A9)+(TablaRecoletaNov[Vendedora 3]=$A9),--(TablaRecoletaNov[Día]&lt;&gt;$S$11))</f>
        <v>0</v>
      </c>
      <c r="E9" s="11">
        <f>SUMPRODUCT((TablaFloridaNov[Vendedora 1]=$A9)+(TablaFloridaNov[Vendedora 2]=$A9)+(TablaFloridaNov[Vendedora 3]=$A9),--(TablaFloridaNov[Día]=$S$11))</f>
        <v>0</v>
      </c>
      <c r="F9" s="11">
        <f>SUMPRODUCT((TablaGuemesNov[Vendedora 1]=$A9)+(TablaGuemesNov[Vendedora 2]=$A9)+(TablaGuemesNov[Vendedora 3]=$A9),--(TablaGuemesNov[Día]=$S$11))</f>
        <v>0</v>
      </c>
      <c r="G9" s="11">
        <f>SUMPRODUCT((TablaRecoletaNov[Vendedora 1]=$A9)+(TablaRecoletaNov[Vendedora 2]=$A9)+(TablaRecoletaNov[Vendedora 3]=$A9),--(TablaRecoletaNov[Día]=$S$11))</f>
        <v>0</v>
      </c>
      <c r="H9" s="13">
        <f t="shared" si="0"/>
        <v>3</v>
      </c>
      <c r="I9" s="36">
        <f t="shared" si="1"/>
        <v>4</v>
      </c>
      <c r="J9" s="6"/>
      <c r="R9" s="6"/>
      <c r="S9" s="6"/>
    </row>
    <row r="10" spans="1:23" x14ac:dyDescent="0.35">
      <c r="A10" s="11" t="s">
        <v>28</v>
      </c>
      <c r="B10" s="11">
        <f>SUMPRODUCT((TablaFloridaNov[Vendedora 1]=$A10)+(TablaFloridaNov[Vendedora 2]=$A10)+(TablaFloridaNov[Vendedora 3]=$A10),--(TablaFloridaNov[Día]&lt;&gt;$S$11))</f>
        <v>8</v>
      </c>
      <c r="C10" s="11">
        <f>SUMPRODUCT((TablaGuemesNov[Vendedora 1]=$A10)+(TablaGuemesNov[Vendedora 2]=$A10)+(TablaGuemesNov[Vendedora 3]=$A10),--(TablaGuemesNov[Día]&lt;&gt;$S$11))</f>
        <v>0</v>
      </c>
      <c r="D10" s="11">
        <f>SUMPRODUCT((TablaRecoletaNov[Vendedora 1]=$A10)+(TablaRecoletaNov[Vendedora 2]=$A10)+(TablaRecoletaNov[Vendedora 3]=$A10),--(TablaRecoletaNov[Día]&lt;&gt;$S$11))</f>
        <v>0</v>
      </c>
      <c r="E10" s="11">
        <f>SUMPRODUCT((TablaFloridaNov[Vendedora 1]=$A10)+(TablaFloridaNov[Vendedora 2]=$A10)+(TablaFloridaNov[Vendedora 3]=$A10),--(TablaFloridaNov[Día]=$S$11))</f>
        <v>0</v>
      </c>
      <c r="F10" s="11">
        <f>SUMPRODUCT((TablaGuemesNov[Vendedora 1]=$A10)+(TablaGuemesNov[Vendedora 2]=$A10)+(TablaGuemesNov[Vendedora 3]=$A10),--(TablaGuemesNov[Día]=$S$11))</f>
        <v>0</v>
      </c>
      <c r="G10" s="11">
        <f>SUMPRODUCT((TablaRecoletaNov[Vendedora 1]=$A10)+(TablaRecoletaNov[Vendedora 2]=$A10)+(TablaRecoletaNov[Vendedora 3]=$A10),--(TablaRecoletaNov[Día]=$S$11))</f>
        <v>0</v>
      </c>
      <c r="H10" s="13">
        <f t="shared" si="0"/>
        <v>8</v>
      </c>
      <c r="I10" s="36">
        <f t="shared" si="1"/>
        <v>4</v>
      </c>
      <c r="J10" s="6"/>
      <c r="R10" s="6"/>
      <c r="S10" s="22" t="s">
        <v>19</v>
      </c>
    </row>
    <row r="11" spans="1:23" x14ac:dyDescent="0.35">
      <c r="A11" s="11" t="s">
        <v>29</v>
      </c>
      <c r="B11" s="11">
        <f>SUMPRODUCT((TablaFloridaNov[Vendedora 1]=$A11)+(TablaFloridaNov[Vendedora 2]=$A11)+(TablaFloridaNov[Vendedora 3]=$A11),--(TablaFloridaNov[Día]&lt;&gt;$S$11))</f>
        <v>8</v>
      </c>
      <c r="C11" s="11">
        <f>SUMPRODUCT((TablaGuemesNov[Vendedora 1]=$A11)+(TablaGuemesNov[Vendedora 2]=$A11)+(TablaGuemesNov[Vendedora 3]=$A11),--(TablaGuemesNov[Día]&lt;&gt;$S$11))</f>
        <v>76</v>
      </c>
      <c r="D11" s="11">
        <f>SUMPRODUCT((TablaRecoletaNov[Vendedora 1]=$A11)+(TablaRecoletaNov[Vendedora 2]=$A11)+(TablaRecoletaNov[Vendedora 3]=$A11),--(TablaRecoletaNov[Día]&lt;&gt;$S$11))</f>
        <v>0</v>
      </c>
      <c r="E11" s="11">
        <f>SUMPRODUCT((TablaFloridaNov[Vendedora 1]=$A11)+(TablaFloridaNov[Vendedora 2]=$A11)+(TablaFloridaNov[Vendedora 3]=$A11),--(TablaFloridaNov[Día]=$S$11))</f>
        <v>0</v>
      </c>
      <c r="F11" s="11">
        <f>SUMPRODUCT((TablaGuemesNov[Vendedora 1]=$A11)+(TablaGuemesNov[Vendedora 2]=$A11)+(TablaGuemesNov[Vendedora 3]=$A11),--(TablaGuemesNov[Día]=$S$11))</f>
        <v>4</v>
      </c>
      <c r="G11" s="11">
        <f>SUMPRODUCT((TablaRecoletaNov[Vendedora 1]=$A11)+(TablaRecoletaNov[Vendedora 2]=$A11)+(TablaRecoletaNov[Vendedora 3]=$A11),--(TablaRecoletaNov[Día]=$S$11))</f>
        <v>0</v>
      </c>
      <c r="H11" s="13">
        <f t="shared" si="0"/>
        <v>88</v>
      </c>
      <c r="I11" s="36" t="str">
        <f t="shared" si="1"/>
        <v/>
      </c>
      <c r="J11" s="6"/>
      <c r="R11" s="6"/>
      <c r="S11" s="23">
        <v>45985</v>
      </c>
    </row>
    <row r="12" spans="1:23" x14ac:dyDescent="0.35">
      <c r="A12" s="11" t="s">
        <v>4</v>
      </c>
      <c r="B12" s="11">
        <f>SUMPRODUCT((TablaFloridaNov[Vendedora 1]=$A12)+(TablaFloridaNov[Vendedora 2]=$A12)+(TablaFloridaNov[Vendedora 3]=$A12),--(TablaFloridaNov[Día]&lt;&gt;$S$11))</f>
        <v>123</v>
      </c>
      <c r="C12" s="11">
        <f>SUMPRODUCT((TablaGuemesNov[Vendedora 1]=$A12)+(TablaGuemesNov[Vendedora 2]=$A12)+(TablaGuemesNov[Vendedora 3]=$A12),--(TablaGuemesNov[Día]&lt;&gt;$S$11))</f>
        <v>0</v>
      </c>
      <c r="D12" s="11">
        <f>SUMPRODUCT((TablaRecoletaNov[Vendedora 1]=$A12)+(TablaRecoletaNov[Vendedora 2]=$A12)+(TablaRecoletaNov[Vendedora 3]=$A12),--(TablaRecoletaNov[Día]&lt;&gt;$S$11))</f>
        <v>12</v>
      </c>
      <c r="E12" s="11">
        <f>SUMPRODUCT((TablaFloridaNov[Vendedora 1]=$A12)+(TablaFloridaNov[Vendedora 2]=$A12)+(TablaFloridaNov[Vendedora 3]=$A12),--(TablaFloridaNov[Día]=$S$11))</f>
        <v>0</v>
      </c>
      <c r="F12" s="11">
        <f>SUMPRODUCT((TablaGuemesNov[Vendedora 1]=$A12)+(TablaGuemesNov[Vendedora 2]=$A12)+(TablaGuemesNov[Vendedora 3]=$A12),--(TablaGuemesNov[Día]=$S$11))</f>
        <v>0</v>
      </c>
      <c r="G12" s="11">
        <f>SUMPRODUCT((TablaRecoletaNov[Vendedora 1]=$A12)+(TablaRecoletaNov[Vendedora 2]=$A12)+(TablaRecoletaNov[Vendedora 3]=$A12),--(TablaRecoletaNov[Día]=$S$11))</f>
        <v>0</v>
      </c>
      <c r="H12" s="13">
        <f t="shared" si="0"/>
        <v>135</v>
      </c>
      <c r="I12" s="36">
        <f t="shared" si="1"/>
        <v>4</v>
      </c>
      <c r="J12" s="6"/>
      <c r="R12" s="6"/>
      <c r="S12" s="6"/>
    </row>
    <row r="13" spans="1:23" x14ac:dyDescent="0.35">
      <c r="A13" s="11" t="s">
        <v>6</v>
      </c>
      <c r="B13" s="11">
        <f>SUMPRODUCT((TablaFloridaNov[Vendedora 1]=$A13)+(TablaFloridaNov[Vendedora 2]=$A13)+(TablaFloridaNov[Vendedora 3]=$A13),--(TablaFloridaNov[Día]&lt;&gt;$S$11))</f>
        <v>0</v>
      </c>
      <c r="C13" s="11">
        <f>SUMPRODUCT((TablaGuemesNov[Vendedora 1]=$A13)+(TablaGuemesNov[Vendedora 2]=$A13)+(TablaGuemesNov[Vendedora 3]=$A13),--(TablaGuemesNov[Día]&lt;&gt;$S$11))</f>
        <v>0</v>
      </c>
      <c r="D13" s="11">
        <f>SUMPRODUCT((TablaRecoletaNov[Vendedora 1]=$A13)+(TablaRecoletaNov[Vendedora 2]=$A13)+(TablaRecoletaNov[Vendedora 3]=$A13),--(TablaRecoletaNov[Día]&lt;&gt;$S$11))</f>
        <v>0</v>
      </c>
      <c r="E13" s="11">
        <f>SUMPRODUCT((TablaFloridaNov[Vendedora 1]=$A13)+(TablaFloridaNov[Vendedora 2]=$A13)+(TablaFloridaNov[Vendedora 3]=$A13),--(TablaFloridaNov[Día]=$S$11))</f>
        <v>0</v>
      </c>
      <c r="F13" s="11">
        <f>SUMPRODUCT((TablaGuemesNov[Vendedora 1]=$A13)+(TablaGuemesNov[Vendedora 2]=$A13)+(TablaGuemesNov[Vendedora 3]=$A13),--(TablaGuemesNov[Día]=$S$11))</f>
        <v>0</v>
      </c>
      <c r="G13" s="11">
        <f>SUMPRODUCT((TablaRecoletaNov[Vendedora 1]=$A13)+(TablaRecoletaNov[Vendedora 2]=$A13)+(TablaRecoletaNov[Vendedora 3]=$A13),--(TablaRecoletaNov[Día]=$S$11))</f>
        <v>0</v>
      </c>
      <c r="H13" s="13">
        <f t="shared" si="0"/>
        <v>0</v>
      </c>
      <c r="I13" s="36">
        <f t="shared" si="1"/>
        <v>4</v>
      </c>
      <c r="J13" s="6"/>
      <c r="R13" s="6"/>
      <c r="S13" s="6"/>
    </row>
    <row r="14" spans="1:23" x14ac:dyDescent="0.35">
      <c r="A14" s="11" t="s">
        <v>7</v>
      </c>
      <c r="B14" s="11">
        <f>SUMPRODUCT((TablaFloridaNov[Vendedora 1]=$A14)+(TablaFloridaNov[Vendedora 2]=$A14)+(TablaFloridaNov[Vendedora 3]=$A14),--(TablaFloridaNov[Día]&lt;&gt;$S$11))</f>
        <v>1</v>
      </c>
      <c r="C14" s="11">
        <f>SUMPRODUCT((TablaGuemesNov[Vendedora 1]=$A14)+(TablaGuemesNov[Vendedora 2]=$A14)+(TablaGuemesNov[Vendedora 3]=$A14),--(TablaGuemesNov[Día]&lt;&gt;$S$11))</f>
        <v>95</v>
      </c>
      <c r="D14" s="11">
        <f>SUMPRODUCT((TablaRecoletaNov[Vendedora 1]=$A14)+(TablaRecoletaNov[Vendedora 2]=$A14)+(TablaRecoletaNov[Vendedora 3]=$A14),--(TablaRecoletaNov[Día]&lt;&gt;$S$11))</f>
        <v>0</v>
      </c>
      <c r="E14" s="11">
        <f>SUMPRODUCT((TablaFloridaNov[Vendedora 1]=$A14)+(TablaFloridaNov[Vendedora 2]=$A14)+(TablaFloridaNov[Vendedora 3]=$A14),--(TablaFloridaNov[Día]=$S$11))</f>
        <v>0</v>
      </c>
      <c r="F14" s="11">
        <f>SUMPRODUCT((TablaGuemesNov[Vendedora 1]=$A14)+(TablaGuemesNov[Vendedora 2]=$A14)+(TablaGuemesNov[Vendedora 3]=$A14),--(TablaGuemesNov[Día]=$S$11))</f>
        <v>5</v>
      </c>
      <c r="G14" s="11">
        <f>SUMPRODUCT((TablaRecoletaNov[Vendedora 1]=$A14)+(TablaRecoletaNov[Vendedora 2]=$A14)+(TablaRecoletaNov[Vendedora 3]=$A14),--(TablaRecoletaNov[Día]=$S$11))</f>
        <v>0</v>
      </c>
      <c r="H14" s="13">
        <f t="shared" si="0"/>
        <v>101</v>
      </c>
      <c r="I14" s="36" t="str">
        <f t="shared" si="1"/>
        <v/>
      </c>
      <c r="J14" s="6"/>
      <c r="R14" s="6"/>
      <c r="S14" s="6"/>
    </row>
    <row r="15" spans="1:23" x14ac:dyDescent="0.35">
      <c r="A15" s="11" t="s">
        <v>3</v>
      </c>
      <c r="B15" s="11">
        <f>SUMPRODUCT((TablaFloridaNov[Vendedora 1]=$A15)+(TablaFloridaNov[Vendedora 2]=$A15)+(TablaFloridaNov[Vendedora 3]=$A15),--(TablaFloridaNov[Día]&lt;&gt;$S$11))</f>
        <v>115</v>
      </c>
      <c r="C15" s="11">
        <f>SUMPRODUCT((TablaGuemesNov[Vendedora 1]=$A15)+(TablaGuemesNov[Vendedora 2]=$A15)+(TablaGuemesNov[Vendedora 3]=$A15),--(TablaGuemesNov[Día]&lt;&gt;$S$11))</f>
        <v>0</v>
      </c>
      <c r="D15" s="11">
        <f>SUMPRODUCT((TablaRecoletaNov[Vendedora 1]=$A15)+(TablaRecoletaNov[Vendedora 2]=$A15)+(TablaRecoletaNov[Vendedora 3]=$A15),--(TablaRecoletaNov[Día]&lt;&gt;$S$11))</f>
        <v>0</v>
      </c>
      <c r="E15" s="11">
        <f>SUMPRODUCT((TablaFloridaNov[Vendedora 1]=$A15)+(TablaFloridaNov[Vendedora 2]=$A15)+(TablaFloridaNov[Vendedora 3]=$A15),--(TablaFloridaNov[Día]=$S$11))</f>
        <v>4</v>
      </c>
      <c r="F15" s="11">
        <f>SUMPRODUCT((TablaGuemesNov[Vendedora 1]=$A15)+(TablaGuemesNov[Vendedora 2]=$A15)+(TablaGuemesNov[Vendedora 3]=$A15),--(TablaGuemesNov[Día]=$S$11))</f>
        <v>0</v>
      </c>
      <c r="G15" s="11">
        <f>SUMPRODUCT((TablaRecoletaNov[Vendedora 1]=$A15)+(TablaRecoletaNov[Vendedora 2]=$A15)+(TablaRecoletaNov[Vendedora 3]=$A15),--(TablaRecoletaNov[Día]=$S$11))</f>
        <v>0</v>
      </c>
      <c r="H15" s="13">
        <f t="shared" si="0"/>
        <v>119</v>
      </c>
      <c r="I15" s="36" t="str">
        <f t="shared" si="1"/>
        <v/>
      </c>
      <c r="J15" s="6"/>
      <c r="R15" s="6"/>
      <c r="S15" s="6"/>
    </row>
    <row r="16" spans="1:23" x14ac:dyDescent="0.35">
      <c r="A16" s="11" t="s">
        <v>24</v>
      </c>
      <c r="B16" s="11">
        <f>SUMPRODUCT((TablaFloridaNov[Vendedora 1]=$A16)+(TablaFloridaNov[Vendedora 2]=$A16)+(TablaFloridaNov[Vendedora 3]=$A16),--(TablaFloridaNov[Día]&lt;&gt;$S$11))</f>
        <v>0</v>
      </c>
      <c r="C16" s="11">
        <f>SUMPRODUCT((TablaGuemesNov[Vendedora 1]=$A16)+(TablaGuemesNov[Vendedora 2]=$A16)+(TablaGuemesNov[Vendedora 3]=$A16),--(TablaGuemesNov[Día]&lt;&gt;$S$11))</f>
        <v>0</v>
      </c>
      <c r="D16" s="11">
        <f>SUMPRODUCT((TablaRecoletaNov[Vendedora 1]=$A16)+(TablaRecoletaNov[Vendedora 2]=$A16)+(TablaRecoletaNov[Vendedora 3]=$A16),--(TablaRecoletaNov[Día]&lt;&gt;$S$11))</f>
        <v>0</v>
      </c>
      <c r="E16" s="11">
        <f>SUMPRODUCT((TablaFloridaNov[Vendedora 1]=$A16)+(TablaFloridaNov[Vendedora 2]=$A16)+(TablaFloridaNov[Vendedora 3]=$A16),--(TablaFloridaNov[Día]=$S$11))</f>
        <v>0</v>
      </c>
      <c r="F16" s="11">
        <f>SUMPRODUCT((TablaGuemesNov[Vendedora 1]=$A16)+(TablaGuemesNov[Vendedora 2]=$A16)+(TablaGuemesNov[Vendedora 3]=$A16),--(TablaGuemesNov[Día]=$S$11))</f>
        <v>0</v>
      </c>
      <c r="G16" s="11">
        <f>SUMPRODUCT((TablaRecoletaNov[Vendedora 1]=$A16)+(TablaRecoletaNov[Vendedora 2]=$A16)+(TablaRecoletaNov[Vendedora 3]=$A16),--(TablaRecoletaNov[Día]=$S$11))</f>
        <v>0</v>
      </c>
      <c r="H16" s="13">
        <f t="shared" si="0"/>
        <v>0</v>
      </c>
      <c r="I16" s="36">
        <f t="shared" si="1"/>
        <v>4</v>
      </c>
      <c r="J16" s="6"/>
      <c r="R16" s="6"/>
      <c r="S16" s="6"/>
    </row>
    <row r="17" spans="1:23" s="1" customFormat="1" x14ac:dyDescent="0.35">
      <c r="A17" s="14" t="s">
        <v>26</v>
      </c>
      <c r="B17" s="14">
        <f>SUM(B6:B16)</f>
        <v>451</v>
      </c>
      <c r="C17" s="15">
        <f t="shared" ref="C17:H17" si="2">SUM(C6:C16)</f>
        <v>171</v>
      </c>
      <c r="D17" s="18">
        <f t="shared" si="2"/>
        <v>12</v>
      </c>
      <c r="E17" s="14">
        <f t="shared" si="2"/>
        <v>9</v>
      </c>
      <c r="F17" s="15">
        <f t="shared" si="2"/>
        <v>9</v>
      </c>
      <c r="G17" s="18">
        <f t="shared" si="2"/>
        <v>0</v>
      </c>
      <c r="H17" s="16">
        <f t="shared" si="2"/>
        <v>652</v>
      </c>
      <c r="I17" s="17">
        <f>SUM(I6:I16)</f>
        <v>28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</row>
    <row r="18" spans="1:23" s="1" customFormat="1" x14ac:dyDescent="0.35">
      <c r="A18" s="8"/>
      <c r="B18" s="4"/>
      <c r="C18" s="4"/>
      <c r="D18" s="4"/>
      <c r="E18" s="4"/>
      <c r="F18" s="4"/>
      <c r="G18" s="4"/>
      <c r="H18" s="5"/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spans="1:23" s="1" customFormat="1" x14ac:dyDescent="0.35">
      <c r="A19" s="4"/>
      <c r="B19" s="4"/>
      <c r="C19" s="4"/>
      <c r="D19" s="4"/>
      <c r="E19" s="4"/>
      <c r="F19" s="4"/>
      <c r="G19" s="4"/>
      <c r="H19" s="5"/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spans="1:23" s="10" customFormat="1" ht="18.5" x14ac:dyDescent="0.45">
      <c r="A20" s="65" t="s">
        <v>16</v>
      </c>
      <c r="B20" s="66"/>
      <c r="C20" s="66"/>
      <c r="D20" s="66"/>
      <c r="E20" s="66"/>
      <c r="F20" s="66"/>
      <c r="G20" s="67"/>
      <c r="H20" s="9"/>
      <c r="I20" s="65" t="s">
        <v>17</v>
      </c>
      <c r="J20" s="66"/>
      <c r="K20" s="66"/>
      <c r="L20" s="66"/>
      <c r="M20" s="66"/>
      <c r="N20" s="66"/>
      <c r="O20" s="67"/>
      <c r="P20" s="9"/>
      <c r="Q20" s="68" t="s">
        <v>18</v>
      </c>
      <c r="R20" s="69"/>
      <c r="S20" s="69"/>
      <c r="T20" s="69"/>
      <c r="U20" s="69"/>
      <c r="V20" s="69"/>
      <c r="W20" s="70"/>
    </row>
    <row r="21" spans="1:23" x14ac:dyDescent="0.35">
      <c r="A21" s="45" t="s">
        <v>10</v>
      </c>
      <c r="B21" s="46" t="s">
        <v>13</v>
      </c>
      <c r="C21" s="46" t="s">
        <v>14</v>
      </c>
      <c r="D21" s="47" t="s">
        <v>8</v>
      </c>
      <c r="E21" s="47" t="s">
        <v>9</v>
      </c>
      <c r="F21" s="47" t="s">
        <v>11</v>
      </c>
      <c r="G21" s="48" t="s">
        <v>12</v>
      </c>
      <c r="I21" s="45" t="s">
        <v>10</v>
      </c>
      <c r="J21" s="46" t="s">
        <v>13</v>
      </c>
      <c r="K21" s="46" t="s">
        <v>14</v>
      </c>
      <c r="L21" s="47" t="s">
        <v>8</v>
      </c>
      <c r="M21" s="47" t="s">
        <v>9</v>
      </c>
      <c r="N21" s="47" t="s">
        <v>11</v>
      </c>
      <c r="O21" s="48" t="s">
        <v>12</v>
      </c>
      <c r="Q21" s="45" t="s">
        <v>10</v>
      </c>
      <c r="R21" s="46" t="s">
        <v>13</v>
      </c>
      <c r="S21" s="46" t="s">
        <v>14</v>
      </c>
      <c r="T21" s="47" t="s">
        <v>8</v>
      </c>
      <c r="U21" s="47" t="s">
        <v>9</v>
      </c>
      <c r="V21" s="47" t="s">
        <v>11</v>
      </c>
      <c r="W21" s="48" t="s">
        <v>12</v>
      </c>
    </row>
    <row r="22" spans="1:23" x14ac:dyDescent="0.35">
      <c r="A22" s="27">
        <v>45962</v>
      </c>
      <c r="B22" s="28" t="str">
        <f>TEXT(A22,"ddd")</f>
        <v>sáb</v>
      </c>
      <c r="C22" s="29">
        <v>0.375</v>
      </c>
      <c r="D22" s="25"/>
      <c r="E22" s="25"/>
      <c r="F22" s="25"/>
      <c r="G22" s="30" t="s">
        <v>32</v>
      </c>
      <c r="H22" s="7"/>
      <c r="I22" s="27">
        <v>45962</v>
      </c>
      <c r="J22" s="28" t="str">
        <f>TEXT(I22,"ddd")</f>
        <v>sáb</v>
      </c>
      <c r="K22" s="29">
        <v>0.375</v>
      </c>
      <c r="L22" s="25"/>
      <c r="M22" s="25"/>
      <c r="N22" s="25"/>
      <c r="O22" s="30" t="s">
        <v>32</v>
      </c>
      <c r="P22" s="7"/>
      <c r="Q22" s="27">
        <v>45962</v>
      </c>
      <c r="R22" s="28" t="str">
        <f>TEXT(Q22,"ddd")</f>
        <v>sáb</v>
      </c>
      <c r="S22" s="29">
        <v>0.375</v>
      </c>
      <c r="T22" s="25"/>
      <c r="U22" s="25"/>
      <c r="V22" s="25"/>
      <c r="W22" s="30" t="s">
        <v>32</v>
      </c>
    </row>
    <row r="23" spans="1:23" x14ac:dyDescent="0.35">
      <c r="A23" s="27">
        <v>45962</v>
      </c>
      <c r="B23" s="28" t="str">
        <f>TEXT(A23,"ddd")</f>
        <v>sáb</v>
      </c>
      <c r="C23" s="29">
        <v>0.41666666666666669</v>
      </c>
      <c r="D23" s="25"/>
      <c r="E23" s="25"/>
      <c r="F23" s="25"/>
      <c r="G23" s="30" t="s">
        <v>32</v>
      </c>
      <c r="H23" s="7"/>
      <c r="I23" s="27">
        <v>45962</v>
      </c>
      <c r="J23" s="28" t="str">
        <f>TEXT(I23,"ddd")</f>
        <v>sáb</v>
      </c>
      <c r="K23" s="29">
        <v>0.41666666666666669</v>
      </c>
      <c r="L23" s="25"/>
      <c r="M23" s="25"/>
      <c r="N23" s="25"/>
      <c r="O23" s="30" t="s">
        <v>32</v>
      </c>
      <c r="P23" s="7"/>
      <c r="Q23" s="27">
        <v>45962</v>
      </c>
      <c r="R23" s="28" t="str">
        <f>TEXT(Q23,"ddd")</f>
        <v>sáb</v>
      </c>
      <c r="S23" s="29">
        <v>0.41666666666666669</v>
      </c>
      <c r="T23" s="19"/>
      <c r="U23" s="19"/>
      <c r="V23" s="19"/>
      <c r="W23" s="30" t="str">
        <f>IF(COUNTIF(T23:V23,"?*")=$T$7,"✅ CUBIERTO",IF(COUNTIF(T23:V23,"?*")&gt;$T$7,"⚠ EXCESO",
IF(COUNTIF(T23:V23,"?*")&gt;0,"⚠ FALTANTE", "❌ SIN COMPLETAR")))</f>
        <v>❌ SIN COMPLETAR</v>
      </c>
    </row>
    <row r="24" spans="1:23" x14ac:dyDescent="0.35">
      <c r="A24" s="27">
        <v>45962</v>
      </c>
      <c r="B24" s="28" t="str">
        <f>TEXT(A24,"ddd")</f>
        <v>sáb</v>
      </c>
      <c r="C24" s="29">
        <v>0.45833333333333331</v>
      </c>
      <c r="D24" s="19"/>
      <c r="E24" s="19" t="s">
        <v>3</v>
      </c>
      <c r="F24" s="19" t="s">
        <v>27</v>
      </c>
      <c r="G24" s="30" t="str">
        <f>IF(COUNTIF(D24:F24,"?*")=$T$5,"✅ CUBIERTO",
IF(COUNTIF(D24:F24,"?*")&gt;$T$5,"⚠ EXCESO",IF(COUNTIF(D24:F24,"?*")&gt;0,"⚠ FALTANTE",
"❌ SIN COMPLETAR")))</f>
        <v>✅ CUBIERTO</v>
      </c>
      <c r="H24" s="7"/>
      <c r="I24" s="27">
        <v>45962</v>
      </c>
      <c r="J24" s="28" t="str">
        <f>TEXT(I24,"ddd")</f>
        <v>sáb</v>
      </c>
      <c r="K24" s="29">
        <v>0.45833333333333331</v>
      </c>
      <c r="L24" s="25"/>
      <c r="M24" s="25"/>
      <c r="N24" s="25"/>
      <c r="O24" s="30" t="s">
        <v>32</v>
      </c>
      <c r="P24" s="7"/>
      <c r="Q24" s="27">
        <v>45962</v>
      </c>
      <c r="R24" s="28" t="str">
        <f>TEXT(Q24,"ddd")</f>
        <v>sáb</v>
      </c>
      <c r="S24" s="29">
        <v>0.45833333333333331</v>
      </c>
      <c r="T24" s="19"/>
      <c r="U24" s="19"/>
      <c r="V24" s="19"/>
      <c r="W24" s="30" t="str">
        <f>IF(COUNTIF(T24:V24,"?*")=$T$7,"✅ CUBIERTO",IF(COUNTIF(T24:V24,"?*")&gt;$T$7,"⚠ EXCESO",
IF(COUNTIF(T24:V24,"?*")&gt;0,"⚠ FALTANTE", "❌ SIN COMPLETAR")))</f>
        <v>❌ SIN COMPLETAR</v>
      </c>
    </row>
    <row r="25" spans="1:23" x14ac:dyDescent="0.35">
      <c r="A25" s="27">
        <v>45962</v>
      </c>
      <c r="B25" s="28" t="str">
        <f t="shared" ref="B25:B33" si="3">TEXT(A25,"ddd")</f>
        <v>sáb</v>
      </c>
      <c r="C25" s="29">
        <v>0.5</v>
      </c>
      <c r="D25" s="19" t="s">
        <v>30</v>
      </c>
      <c r="E25" s="19" t="s">
        <v>3</v>
      </c>
      <c r="F25" s="19"/>
      <c r="G25" s="30" t="str">
        <f>IF(COUNTIF(D25:F25,"?*")=$T$5,"✅ CUBIERTO",
IF(COUNTIF(D25:F25,"?*")&gt;$T$5,"⚠ EXCESO",IF(COUNTIF(D25:F25,"?*")&gt;0,"⚠ FALTANTE",
"❌ SIN COMPLETAR")))</f>
        <v>✅ CUBIERTO</v>
      </c>
      <c r="H25" s="7"/>
      <c r="I25" s="27">
        <v>45962</v>
      </c>
      <c r="J25" s="28" t="str">
        <f t="shared" ref="J25:J33" si="4">TEXT(I25,"ddd")</f>
        <v>sáb</v>
      </c>
      <c r="K25" s="29">
        <v>0.5</v>
      </c>
      <c r="L25" s="25"/>
      <c r="M25" s="25"/>
      <c r="N25" s="25"/>
      <c r="O25" s="30" t="s">
        <v>32</v>
      </c>
      <c r="P25" s="7"/>
      <c r="Q25" s="27">
        <v>45962</v>
      </c>
      <c r="R25" s="28" t="str">
        <f t="shared" ref="R25:R33" si="5">TEXT(Q25,"ddd")</f>
        <v>sáb</v>
      </c>
      <c r="S25" s="29">
        <v>0.5</v>
      </c>
      <c r="T25" s="19"/>
      <c r="U25" s="19"/>
      <c r="V25" s="19"/>
      <c r="W25" s="30" t="str">
        <f>IF(COUNTIF(T25:V25,"?*")=$T$7,"✅ CUBIERTO",IF(COUNTIF(T25:V25,"?*")&gt;$T$7,"⚠ EXCESO",
IF(COUNTIF(T25:V25,"?*")&gt;0,"⚠ FALTANTE", "❌ SIN COMPLETAR")))</f>
        <v>❌ SIN COMPLETAR</v>
      </c>
    </row>
    <row r="26" spans="1:23" x14ac:dyDescent="0.35">
      <c r="A26" s="27">
        <v>45962</v>
      </c>
      <c r="B26" s="28" t="str">
        <f t="shared" si="3"/>
        <v>sáb</v>
      </c>
      <c r="C26" s="29">
        <v>0.54166666666666696</v>
      </c>
      <c r="D26" s="19" t="s">
        <v>30</v>
      </c>
      <c r="E26" s="19" t="s">
        <v>3</v>
      </c>
      <c r="F26" s="19" t="s">
        <v>4</v>
      </c>
      <c r="G26" s="30" t="str">
        <f>IF(COUNTIF(D26:F26,"?*")=$T$5,"✅ CUBIERTO",
IF(COUNTIF(D26:F26,"?*")&gt;$T$5,"⚠ EXCESO",IF(COUNTIF(D26:F26,"?*")&gt;0,"⚠ FALTANTE",
"❌ SIN COMPLETAR")))</f>
        <v>⚠ EXCESO</v>
      </c>
      <c r="H26" s="7"/>
      <c r="I26" s="27">
        <v>45962</v>
      </c>
      <c r="J26" s="28" t="str">
        <f t="shared" si="4"/>
        <v>sáb</v>
      </c>
      <c r="K26" s="29">
        <v>0.54166666666666696</v>
      </c>
      <c r="L26" s="25"/>
      <c r="M26" s="25"/>
      <c r="N26" s="25"/>
      <c r="O26" s="30" t="s">
        <v>32</v>
      </c>
      <c r="P26" s="7"/>
      <c r="Q26" s="27">
        <v>45962</v>
      </c>
      <c r="R26" s="28" t="str">
        <f t="shared" si="5"/>
        <v>sáb</v>
      </c>
      <c r="S26" s="29">
        <v>0.54166666666666696</v>
      </c>
      <c r="T26" s="19"/>
      <c r="U26" s="19"/>
      <c r="V26" s="19"/>
      <c r="W26" s="30" t="str">
        <f>IF(COUNTIF(T26:V26,"?*")=$T$7,"✅ CUBIERTO",IF(COUNTIF(T26:V26,"?*")&gt;$T$7,"⚠ EXCESO",
IF(COUNTIF(T26:V26,"?*")&gt;0,"⚠ FALTANTE", "❌ SIN COMPLETAR")))</f>
        <v>❌ SIN COMPLETAR</v>
      </c>
    </row>
    <row r="27" spans="1:23" x14ac:dyDescent="0.35">
      <c r="A27" s="27">
        <v>45962</v>
      </c>
      <c r="B27" s="28" t="str">
        <f t="shared" si="3"/>
        <v>sáb</v>
      </c>
      <c r="C27" s="29">
        <v>0.58333333333333304</v>
      </c>
      <c r="D27" s="19" t="s">
        <v>30</v>
      </c>
      <c r="E27" s="19" t="s">
        <v>3</v>
      </c>
      <c r="F27" s="19" t="s">
        <v>5</v>
      </c>
      <c r="G27" s="30" t="str">
        <f>IF(COUNTIF(D27:F27,"?*")=$T$5,"✅ CUBIERTO",
IF(COUNTIF(D27:F27,"?*")&gt;$T$5,"⚠ EXCESO",IF(COUNTIF(D27:F27,"?*")&gt;0,"⚠ FALTANTE",
"❌ SIN COMPLETAR")))</f>
        <v>⚠ EXCESO</v>
      </c>
      <c r="H27" s="7"/>
      <c r="I27" s="27">
        <v>45962</v>
      </c>
      <c r="J27" s="28" t="str">
        <f t="shared" si="4"/>
        <v>sáb</v>
      </c>
      <c r="K27" s="29">
        <v>0.58333333333333304</v>
      </c>
      <c r="L27" s="25"/>
      <c r="M27" s="25"/>
      <c r="N27" s="25"/>
      <c r="O27" s="30" t="s">
        <v>32</v>
      </c>
      <c r="P27" s="7"/>
      <c r="Q27" s="27">
        <v>45962</v>
      </c>
      <c r="R27" s="28" t="str">
        <f t="shared" si="5"/>
        <v>sáb</v>
      </c>
      <c r="S27" s="29">
        <v>0.58333333333333304</v>
      </c>
      <c r="T27" s="19"/>
      <c r="U27" s="19"/>
      <c r="V27" s="19"/>
      <c r="W27" s="30" t="str">
        <f>IF(COUNTIF(T27:V27,"?*")=$T$7,"✅ CUBIERTO",IF(COUNTIF(T27:V27,"?*")&gt;$T$7,"⚠ EXCESO",
IF(COUNTIF(T27:V27,"?*")&gt;0,"⚠ FALTANTE", "❌ SIN COMPLETAR")))</f>
        <v>❌ SIN COMPLETAR</v>
      </c>
    </row>
    <row r="28" spans="1:23" x14ac:dyDescent="0.35">
      <c r="A28" s="27">
        <v>45962</v>
      </c>
      <c r="B28" s="28" t="str">
        <f t="shared" si="3"/>
        <v>sáb</v>
      </c>
      <c r="C28" s="29">
        <v>0.625</v>
      </c>
      <c r="D28" s="19" t="s">
        <v>4</v>
      </c>
      <c r="E28" s="19" t="s">
        <v>3</v>
      </c>
      <c r="F28" s="19" t="s">
        <v>27</v>
      </c>
      <c r="G28" s="30" t="str">
        <f>IF(COUNTIF(D28:F28,"?*")=$T$5,"✅ CUBIERTO",
IF(COUNTIF(D28:F28,"?*")&gt;$T$5,"⚠ EXCESO",IF(COUNTIF(D28:F28,"?*")&gt;0,"⚠ FALTANTE",
"❌ SIN COMPLETAR")))</f>
        <v>⚠ EXCESO</v>
      </c>
      <c r="H28" s="7"/>
      <c r="I28" s="27">
        <v>45962</v>
      </c>
      <c r="J28" s="28" t="str">
        <f t="shared" si="4"/>
        <v>sáb</v>
      </c>
      <c r="K28" s="29">
        <v>0.625</v>
      </c>
      <c r="L28" s="25"/>
      <c r="M28" s="25"/>
      <c r="N28" s="25"/>
      <c r="O28" s="30" t="s">
        <v>32</v>
      </c>
      <c r="P28" s="7"/>
      <c r="Q28" s="27">
        <v>45962</v>
      </c>
      <c r="R28" s="28" t="str">
        <f t="shared" si="5"/>
        <v>sáb</v>
      </c>
      <c r="S28" s="29">
        <v>0.625</v>
      </c>
      <c r="T28" s="19"/>
      <c r="U28" s="19"/>
      <c r="V28" s="19"/>
      <c r="W28" s="30" t="str">
        <f>IF(COUNTIF(T28:V28,"?*")=$T$7,"✅ CUBIERTO",IF(COUNTIF(T28:V28,"?*")&gt;$T$7,"⚠ EXCESO",
IF(COUNTIF(T28:V28,"?*")&gt;0,"⚠ FALTANTE", "❌ SIN COMPLETAR")))</f>
        <v>❌ SIN COMPLETAR</v>
      </c>
    </row>
    <row r="29" spans="1:23" x14ac:dyDescent="0.35">
      <c r="A29" s="27">
        <v>45962</v>
      </c>
      <c r="B29" s="28" t="str">
        <f t="shared" si="3"/>
        <v>sáb</v>
      </c>
      <c r="C29" s="29">
        <v>0.66666666666666696</v>
      </c>
      <c r="D29" s="19" t="s">
        <v>4</v>
      </c>
      <c r="E29" s="19" t="s">
        <v>31</v>
      </c>
      <c r="F29" s="19"/>
      <c r="G29" s="30" t="str">
        <f>IF(COUNTIF(D29:F29,"?*")=$T$5,"✅ CUBIERTO",
IF(COUNTIF(D29:F29,"?*")&gt;$T$5,"⚠ EXCESO",IF(COUNTIF(D29:F29,"?*")&gt;0,"⚠ FALTANTE",
"❌ SIN COMPLETAR")))</f>
        <v>✅ CUBIERTO</v>
      </c>
      <c r="H29" s="7"/>
      <c r="I29" s="27">
        <v>45962</v>
      </c>
      <c r="J29" s="28" t="str">
        <f t="shared" si="4"/>
        <v>sáb</v>
      </c>
      <c r="K29" s="29">
        <v>0.66666666666666696</v>
      </c>
      <c r="L29" s="25"/>
      <c r="M29" s="25"/>
      <c r="N29" s="25"/>
      <c r="O29" s="30" t="s">
        <v>32</v>
      </c>
      <c r="P29" s="7"/>
      <c r="Q29" s="27">
        <v>45962</v>
      </c>
      <c r="R29" s="28" t="str">
        <f t="shared" si="5"/>
        <v>sáb</v>
      </c>
      <c r="S29" s="29">
        <v>0.66666666666666696</v>
      </c>
      <c r="T29" s="19"/>
      <c r="U29" s="19"/>
      <c r="V29" s="19"/>
      <c r="W29" s="30" t="str">
        <f>IF(COUNTIF(T29:V29,"?*")=$T$7,"✅ CUBIERTO",IF(COUNTIF(T29:V29,"?*")&gt;$T$7,"⚠ EXCESO",
IF(COUNTIF(T29:V29,"?*")&gt;0,"⚠ FALTANTE", "❌ SIN COMPLETAR")))</f>
        <v>❌ SIN COMPLETAR</v>
      </c>
    </row>
    <row r="30" spans="1:23" x14ac:dyDescent="0.35">
      <c r="A30" s="27">
        <v>45962</v>
      </c>
      <c r="B30" s="28" t="str">
        <f t="shared" si="3"/>
        <v>sáb</v>
      </c>
      <c r="C30" s="29">
        <v>0.70833333333333304</v>
      </c>
      <c r="D30" s="19" t="s">
        <v>4</v>
      </c>
      <c r="E30" s="19" t="s">
        <v>31</v>
      </c>
      <c r="F30" s="19"/>
      <c r="G30" s="30" t="str">
        <f>IF(COUNTIF(D30:F30,"?*")=$T$5,"✅ CUBIERTO",
IF(COUNTIF(D30:F30,"?*")&gt;$T$5,"⚠ EXCESO",IF(COUNTIF(D30:F30,"?*")&gt;0,"⚠ FALTANTE",
"❌ SIN COMPLETAR")))</f>
        <v>✅ CUBIERTO</v>
      </c>
      <c r="H30" s="7"/>
      <c r="I30" s="27">
        <v>45962</v>
      </c>
      <c r="J30" s="28" t="str">
        <f t="shared" si="4"/>
        <v>sáb</v>
      </c>
      <c r="K30" s="29">
        <v>0.70833333333333304</v>
      </c>
      <c r="L30" s="25"/>
      <c r="M30" s="25"/>
      <c r="N30" s="25"/>
      <c r="O30" s="30" t="s">
        <v>32</v>
      </c>
      <c r="P30" s="7"/>
      <c r="Q30" s="27">
        <v>45962</v>
      </c>
      <c r="R30" s="28" t="str">
        <f t="shared" si="5"/>
        <v>sáb</v>
      </c>
      <c r="S30" s="29">
        <v>0.70833333333333304</v>
      </c>
      <c r="T30" s="19"/>
      <c r="U30" s="19"/>
      <c r="V30" s="19"/>
      <c r="W30" s="30" t="str">
        <f>IF(COUNTIF(T30:V30,"?*")=$T$7,"✅ CUBIERTO",IF(COUNTIF(T30:V30,"?*")&gt;$T$7,"⚠ EXCESO",
IF(COUNTIF(T30:V30,"?*")&gt;0,"⚠ FALTANTE", "❌ SIN COMPLETAR")))</f>
        <v>❌ SIN COMPLETAR</v>
      </c>
    </row>
    <row r="31" spans="1:23" x14ac:dyDescent="0.35">
      <c r="A31" s="27">
        <v>45962</v>
      </c>
      <c r="B31" s="28" t="str">
        <f t="shared" si="3"/>
        <v>sáb</v>
      </c>
      <c r="C31" s="29">
        <v>0.75</v>
      </c>
      <c r="D31" s="19" t="s">
        <v>4</v>
      </c>
      <c r="E31" s="19" t="s">
        <v>31</v>
      </c>
      <c r="F31" s="19" t="s">
        <v>27</v>
      </c>
      <c r="G31" s="30" t="str">
        <f>IF(COUNTIF(D31:F31,"?*")=$T$5,"✅ CUBIERTO",
IF(COUNTIF(D31:F31,"?*")&gt;$T$5,"⚠ EXCESO",IF(COUNTIF(D31:F31,"?*")&gt;0,"⚠ FALTANTE",
"❌ SIN COMPLETAR")))</f>
        <v>⚠ EXCESO</v>
      </c>
      <c r="H31" s="7"/>
      <c r="I31" s="27">
        <v>45962</v>
      </c>
      <c r="J31" s="28" t="str">
        <f t="shared" si="4"/>
        <v>sáb</v>
      </c>
      <c r="K31" s="29">
        <v>0.75</v>
      </c>
      <c r="L31" s="25"/>
      <c r="M31" s="25"/>
      <c r="N31" s="25"/>
      <c r="O31" s="30" t="s">
        <v>32</v>
      </c>
      <c r="P31" s="7"/>
      <c r="Q31" s="27">
        <v>45962</v>
      </c>
      <c r="R31" s="28" t="str">
        <f t="shared" si="5"/>
        <v>sáb</v>
      </c>
      <c r="S31" s="29">
        <v>0.75</v>
      </c>
      <c r="T31" s="19"/>
      <c r="U31" s="19"/>
      <c r="V31" s="19"/>
      <c r="W31" s="30" t="str">
        <f>IF(COUNTIF(T31:V31,"?*")=$T$7,"✅ CUBIERTO",IF(COUNTIF(T31:V31,"?*")&gt;$T$7,"⚠ EXCESO",
IF(COUNTIF(T31:V31,"?*")&gt;0,"⚠ FALTANTE", "❌ SIN COMPLETAR")))</f>
        <v>❌ SIN COMPLETAR</v>
      </c>
    </row>
    <row r="32" spans="1:23" x14ac:dyDescent="0.35">
      <c r="A32" s="27">
        <v>45962</v>
      </c>
      <c r="B32" s="28" t="str">
        <f t="shared" si="3"/>
        <v>sáb</v>
      </c>
      <c r="C32" s="29">
        <v>0.79166666666666696</v>
      </c>
      <c r="D32" s="19" t="s">
        <v>4</v>
      </c>
      <c r="E32" s="19" t="s">
        <v>31</v>
      </c>
      <c r="F32" s="19"/>
      <c r="G32" s="30" t="str">
        <f>IF(COUNTIF(D32:F32,"?*")=$T$5,"✅ CUBIERTO",
IF(COUNTIF(D32:F32,"?*")&gt;$T$5,"⚠ EXCESO",IF(COUNTIF(D32:F32,"?*")&gt;0,"⚠ FALTANTE",
"❌ SIN COMPLETAR")))</f>
        <v>✅ CUBIERTO</v>
      </c>
      <c r="H32" s="7"/>
      <c r="I32" s="27">
        <v>45962</v>
      </c>
      <c r="J32" s="28" t="str">
        <f t="shared" si="4"/>
        <v>sáb</v>
      </c>
      <c r="K32" s="29">
        <v>0.79166666666666696</v>
      </c>
      <c r="L32" s="25"/>
      <c r="M32" s="25"/>
      <c r="N32" s="25"/>
      <c r="O32" s="30" t="s">
        <v>32</v>
      </c>
      <c r="P32" s="7"/>
      <c r="Q32" s="27">
        <v>45962</v>
      </c>
      <c r="R32" s="28" t="str">
        <f t="shared" si="5"/>
        <v>sáb</v>
      </c>
      <c r="S32" s="29">
        <v>0.79166666666666696</v>
      </c>
      <c r="T32" s="19"/>
      <c r="U32" s="19"/>
      <c r="V32" s="19"/>
      <c r="W32" s="30" t="str">
        <f>IF(COUNTIF(T32:V32,"?*")=$T$7,"✅ CUBIERTO",IF(COUNTIF(T32:V32,"?*")&gt;$T$7,"⚠ EXCESO",
IF(COUNTIF(T32:V32,"?*")&gt;0,"⚠ FALTANTE", "❌ SIN COMPLETAR")))</f>
        <v>❌ SIN COMPLETAR</v>
      </c>
    </row>
    <row r="33" spans="1:23" x14ac:dyDescent="0.35">
      <c r="A33" s="27">
        <v>45962</v>
      </c>
      <c r="B33" s="28" t="str">
        <f t="shared" si="3"/>
        <v>sáb</v>
      </c>
      <c r="C33" s="29">
        <v>0.83333333333333337</v>
      </c>
      <c r="D33" s="25"/>
      <c r="E33" s="25"/>
      <c r="F33" s="25"/>
      <c r="G33" s="30" t="s">
        <v>32</v>
      </c>
      <c r="H33" s="7"/>
      <c r="I33" s="27">
        <v>45962</v>
      </c>
      <c r="J33" s="28" t="str">
        <f t="shared" si="4"/>
        <v>sáb</v>
      </c>
      <c r="K33" s="29">
        <v>0.83333333333333337</v>
      </c>
      <c r="L33" s="25"/>
      <c r="M33" s="25"/>
      <c r="N33" s="25"/>
      <c r="O33" s="30" t="s">
        <v>32</v>
      </c>
      <c r="P33" s="7"/>
      <c r="Q33" s="27">
        <v>45962</v>
      </c>
      <c r="R33" s="28" t="str">
        <f t="shared" si="5"/>
        <v>sáb</v>
      </c>
      <c r="S33" s="29">
        <v>0.83333333333333337</v>
      </c>
      <c r="T33" s="19"/>
      <c r="U33" s="19"/>
      <c r="V33" s="19"/>
      <c r="W33" s="30" t="str">
        <f>IF(COUNTIF(T33:V33,"?*")=$T$7,"✅ CUBIERTO",IF(COUNTIF(T33:V33,"?*")&gt;$T$7,"⚠ EXCESO",
IF(COUNTIF(T33:V33,"?*")&gt;0,"⚠ FALTANTE", "❌ SIN COMPLETAR")))</f>
        <v>❌ SIN COMPLETAR</v>
      </c>
    </row>
    <row r="34" spans="1:23" x14ac:dyDescent="0.35">
      <c r="A34" s="27">
        <v>45963</v>
      </c>
      <c r="B34" s="28" t="str">
        <f>TEXT(A34,"ddd")</f>
        <v>dom</v>
      </c>
      <c r="C34" s="29">
        <v>0.375</v>
      </c>
      <c r="D34" s="25"/>
      <c r="E34" s="25"/>
      <c r="F34" s="25"/>
      <c r="G34" s="30" t="s">
        <v>32</v>
      </c>
      <c r="H34" s="7"/>
      <c r="I34" s="27">
        <v>45963</v>
      </c>
      <c r="J34" s="28" t="str">
        <f>TEXT(I34,"ddd")</f>
        <v>dom</v>
      </c>
      <c r="K34" s="29">
        <v>0.375</v>
      </c>
      <c r="L34" s="25"/>
      <c r="M34" s="25"/>
      <c r="N34" s="25"/>
      <c r="O34" s="30" t="s">
        <v>32</v>
      </c>
      <c r="P34" s="7"/>
      <c r="Q34" s="27">
        <v>45963</v>
      </c>
      <c r="R34" s="28" t="str">
        <f>TEXT(Q34,"ddd")</f>
        <v>dom</v>
      </c>
      <c r="S34" s="29">
        <v>0.375</v>
      </c>
      <c r="T34" s="25"/>
      <c r="U34" s="25"/>
      <c r="V34" s="25"/>
      <c r="W34" s="30" t="s">
        <v>32</v>
      </c>
    </row>
    <row r="35" spans="1:23" x14ac:dyDescent="0.35">
      <c r="A35" s="27">
        <v>45963</v>
      </c>
      <c r="B35" s="28" t="str">
        <f>TEXT(A35,"ddd")</f>
        <v>dom</v>
      </c>
      <c r="C35" s="29">
        <v>0.41666666666666669</v>
      </c>
      <c r="D35" s="25"/>
      <c r="E35" s="25"/>
      <c r="F35" s="25"/>
      <c r="G35" s="30" t="s">
        <v>32</v>
      </c>
      <c r="H35" s="7"/>
      <c r="I35" s="27">
        <v>45963</v>
      </c>
      <c r="J35" s="28" t="str">
        <f>TEXT(I35,"ddd")</f>
        <v>dom</v>
      </c>
      <c r="K35" s="29">
        <v>0.41666666666666669</v>
      </c>
      <c r="L35" s="25"/>
      <c r="M35" s="25"/>
      <c r="N35" s="25"/>
      <c r="O35" s="30" t="s">
        <v>32</v>
      </c>
      <c r="P35" s="7"/>
      <c r="Q35" s="27">
        <v>45963</v>
      </c>
      <c r="R35" s="28" t="str">
        <f>TEXT(Q35,"ddd")</f>
        <v>dom</v>
      </c>
      <c r="S35" s="29">
        <v>0.41666666666666669</v>
      </c>
      <c r="T35" s="19"/>
      <c r="U35" s="19"/>
      <c r="V35" s="19"/>
      <c r="W35" s="30" t="str">
        <f>IF(COUNTIF(T35:V35,"?*")=$T$7,"✅ CUBIERTO",IF(COUNTIF(T35:V35,"?*")&gt;$T$7,"⚠ EXCESO",
IF(COUNTIF(T35:V35,"?*")&gt;0,"⚠ FALTANTE", "❌ SIN COMPLETAR")))</f>
        <v>❌ SIN COMPLETAR</v>
      </c>
    </row>
    <row r="36" spans="1:23" x14ac:dyDescent="0.35">
      <c r="A36" s="27">
        <v>45963</v>
      </c>
      <c r="B36" s="28" t="str">
        <f>TEXT(A36,"ddd")</f>
        <v>dom</v>
      </c>
      <c r="C36" s="29">
        <v>0.45833333333333331</v>
      </c>
      <c r="D36" s="19" t="s">
        <v>30</v>
      </c>
      <c r="E36" s="19" t="s">
        <v>3</v>
      </c>
      <c r="F36" s="19"/>
      <c r="G36" s="30" t="str">
        <f>IF(COUNTIF(D36:F36,"?*")=$T$5,"✅ CUBIERTO",
IF(COUNTIF(D36:F36,"?*")&gt;$T$5,"⚠ EXCESO",IF(COUNTIF(D36:F36,"?*")&gt;0,"⚠ FALTANTE",
"❌ SIN COMPLETAR")))</f>
        <v>✅ CUBIERTO</v>
      </c>
      <c r="H36" s="7"/>
      <c r="I36" s="27">
        <v>45963</v>
      </c>
      <c r="J36" s="28" t="str">
        <f>TEXT(I36,"ddd")</f>
        <v>dom</v>
      </c>
      <c r="K36" s="29">
        <v>0.45833333333333331</v>
      </c>
      <c r="L36" s="25"/>
      <c r="M36" s="25"/>
      <c r="N36" s="25"/>
      <c r="O36" s="30" t="s">
        <v>32</v>
      </c>
      <c r="P36" s="7"/>
      <c r="Q36" s="27">
        <v>45963</v>
      </c>
      <c r="R36" s="28" t="str">
        <f>TEXT(Q36,"ddd")</f>
        <v>dom</v>
      </c>
      <c r="S36" s="29">
        <v>0.45833333333333331</v>
      </c>
      <c r="T36" s="19"/>
      <c r="U36" s="19"/>
      <c r="V36" s="19"/>
      <c r="W36" s="30" t="str">
        <f>IF(COUNTIF(T36:V36,"?*")=$T$7,"✅ CUBIERTO",IF(COUNTIF(T36:V36,"?*")&gt;$T$7,"⚠ EXCESO",
IF(COUNTIF(T36:V36,"?*")&gt;0,"⚠ FALTANTE", "❌ SIN COMPLETAR")))</f>
        <v>❌ SIN COMPLETAR</v>
      </c>
    </row>
    <row r="37" spans="1:23" x14ac:dyDescent="0.35">
      <c r="A37" s="27">
        <v>45963</v>
      </c>
      <c r="B37" s="28" t="str">
        <f t="shared" ref="B37:B45" si="6">TEXT(A37,"ddd")</f>
        <v>dom</v>
      </c>
      <c r="C37" s="29">
        <v>0.5</v>
      </c>
      <c r="D37" s="19" t="s">
        <v>30</v>
      </c>
      <c r="E37" s="19" t="s">
        <v>3</v>
      </c>
      <c r="F37" s="19"/>
      <c r="G37" s="30" t="str">
        <f>IF(COUNTIF(D37:F37,"?*")=$T$5,"✅ CUBIERTO",
IF(COUNTIF(D37:F37,"?*")&gt;$T$5,"⚠ EXCESO",IF(COUNTIF(D37:F37,"?*")&gt;0,"⚠ FALTANTE",
"❌ SIN COMPLETAR")))</f>
        <v>✅ CUBIERTO</v>
      </c>
      <c r="H37" s="7"/>
      <c r="I37" s="27">
        <v>45963</v>
      </c>
      <c r="J37" s="28" t="str">
        <f t="shared" ref="J37:J45" si="7">TEXT(I37,"ddd")</f>
        <v>dom</v>
      </c>
      <c r="K37" s="29">
        <v>0.5</v>
      </c>
      <c r="L37" s="25"/>
      <c r="M37" s="25"/>
      <c r="N37" s="25"/>
      <c r="O37" s="30" t="s">
        <v>32</v>
      </c>
      <c r="P37" s="7"/>
      <c r="Q37" s="27">
        <v>45963</v>
      </c>
      <c r="R37" s="28" t="str">
        <f t="shared" ref="R37:R45" si="8">TEXT(Q37,"ddd")</f>
        <v>dom</v>
      </c>
      <c r="S37" s="29">
        <v>0.5</v>
      </c>
      <c r="T37" s="19"/>
      <c r="U37" s="19"/>
      <c r="V37" s="19"/>
      <c r="W37" s="30" t="str">
        <f>IF(COUNTIF(T37:V37,"?*")=$T$7,"✅ CUBIERTO",IF(COUNTIF(T37:V37,"?*")&gt;$T$7,"⚠ EXCESO",
IF(COUNTIF(T37:V37,"?*")&gt;0,"⚠ FALTANTE", "❌ SIN COMPLETAR")))</f>
        <v>❌ SIN COMPLETAR</v>
      </c>
    </row>
    <row r="38" spans="1:23" x14ac:dyDescent="0.35">
      <c r="A38" s="27">
        <v>45963</v>
      </c>
      <c r="B38" s="28" t="str">
        <f t="shared" si="6"/>
        <v>dom</v>
      </c>
      <c r="C38" s="29">
        <v>0.54166666666666696</v>
      </c>
      <c r="D38" s="19" t="s">
        <v>30</v>
      </c>
      <c r="E38" s="19" t="s">
        <v>3</v>
      </c>
      <c r="F38" s="19"/>
      <c r="G38" s="30" t="str">
        <f>IF(COUNTIF(D38:F38,"?*")=$T$5,"✅ CUBIERTO",
IF(COUNTIF(D38:F38,"?*")&gt;$T$5,"⚠ EXCESO",IF(COUNTIF(D38:F38,"?*")&gt;0,"⚠ FALTANTE",
"❌ SIN COMPLETAR")))</f>
        <v>✅ CUBIERTO</v>
      </c>
      <c r="H38" s="7"/>
      <c r="I38" s="27">
        <v>45963</v>
      </c>
      <c r="J38" s="28" t="str">
        <f t="shared" si="7"/>
        <v>dom</v>
      </c>
      <c r="K38" s="29">
        <v>0.54166666666666696</v>
      </c>
      <c r="L38" s="25"/>
      <c r="M38" s="25"/>
      <c r="N38" s="25"/>
      <c r="O38" s="30" t="s">
        <v>32</v>
      </c>
      <c r="P38" s="7"/>
      <c r="Q38" s="27">
        <v>45963</v>
      </c>
      <c r="R38" s="28" t="str">
        <f t="shared" si="8"/>
        <v>dom</v>
      </c>
      <c r="S38" s="29">
        <v>0.54166666666666696</v>
      </c>
      <c r="T38" s="19"/>
      <c r="U38" s="19"/>
      <c r="V38" s="19"/>
      <c r="W38" s="30" t="str">
        <f>IF(COUNTIF(T38:V38,"?*")=$T$7,"✅ CUBIERTO",IF(COUNTIF(T38:V38,"?*")&gt;$T$7,"⚠ EXCESO",
IF(COUNTIF(T38:V38,"?*")&gt;0,"⚠ FALTANTE", "❌ SIN COMPLETAR")))</f>
        <v>❌ SIN COMPLETAR</v>
      </c>
    </row>
    <row r="39" spans="1:23" x14ac:dyDescent="0.35">
      <c r="A39" s="27">
        <v>45963</v>
      </c>
      <c r="B39" s="28" t="str">
        <f t="shared" si="6"/>
        <v>dom</v>
      </c>
      <c r="C39" s="29">
        <v>0.58333333333333304</v>
      </c>
      <c r="D39" s="19" t="s">
        <v>30</v>
      </c>
      <c r="E39" s="19" t="s">
        <v>3</v>
      </c>
      <c r="F39" s="19"/>
      <c r="G39" s="30" t="str">
        <f>IF(COUNTIF(D39:F39,"?*")=$T$5,"✅ CUBIERTO",
IF(COUNTIF(D39:F39,"?*")&gt;$T$5,"⚠ EXCESO",IF(COUNTIF(D39:F39,"?*")&gt;0,"⚠ FALTANTE",
"❌ SIN COMPLETAR")))</f>
        <v>✅ CUBIERTO</v>
      </c>
      <c r="H39" s="7"/>
      <c r="I39" s="27">
        <v>45963</v>
      </c>
      <c r="J39" s="28" t="str">
        <f t="shared" si="7"/>
        <v>dom</v>
      </c>
      <c r="K39" s="29">
        <v>0.58333333333333304</v>
      </c>
      <c r="L39" s="25"/>
      <c r="M39" s="25"/>
      <c r="N39" s="25"/>
      <c r="O39" s="30" t="s">
        <v>32</v>
      </c>
      <c r="P39" s="7"/>
      <c r="Q39" s="27">
        <v>45963</v>
      </c>
      <c r="R39" s="28" t="str">
        <f t="shared" si="8"/>
        <v>dom</v>
      </c>
      <c r="S39" s="29">
        <v>0.58333333333333304</v>
      </c>
      <c r="T39" s="19"/>
      <c r="U39" s="19"/>
      <c r="V39" s="19"/>
      <c r="W39" s="30" t="str">
        <f>IF(COUNTIF(T39:V39,"?*")=$T$7,"✅ CUBIERTO",IF(COUNTIF(T39:V39,"?*")&gt;$T$7,"⚠ EXCESO",
IF(COUNTIF(T39:V39,"?*")&gt;0,"⚠ FALTANTE", "❌ SIN COMPLETAR")))</f>
        <v>❌ SIN COMPLETAR</v>
      </c>
    </row>
    <row r="40" spans="1:23" x14ac:dyDescent="0.35">
      <c r="A40" s="27">
        <v>45963</v>
      </c>
      <c r="B40" s="28" t="str">
        <f t="shared" si="6"/>
        <v>dom</v>
      </c>
      <c r="C40" s="29">
        <v>0.625</v>
      </c>
      <c r="D40" s="19" t="s">
        <v>4</v>
      </c>
      <c r="E40" s="19" t="s">
        <v>3</v>
      </c>
      <c r="F40" s="19"/>
      <c r="G40" s="30" t="str">
        <f>IF(COUNTIF(D40:F40,"?*")=$T$5,"✅ CUBIERTO",
IF(COUNTIF(D40:F40,"?*")&gt;$T$5,"⚠ EXCESO",IF(COUNTIF(D40:F40,"?*")&gt;0,"⚠ FALTANTE",
"❌ SIN COMPLETAR")))</f>
        <v>✅ CUBIERTO</v>
      </c>
      <c r="H40" s="7"/>
      <c r="I40" s="27">
        <v>45963</v>
      </c>
      <c r="J40" s="28" t="str">
        <f t="shared" si="7"/>
        <v>dom</v>
      </c>
      <c r="K40" s="29">
        <v>0.625</v>
      </c>
      <c r="L40" s="25"/>
      <c r="M40" s="25"/>
      <c r="N40" s="25"/>
      <c r="O40" s="30" t="s">
        <v>32</v>
      </c>
      <c r="P40" s="7"/>
      <c r="Q40" s="27">
        <v>45963</v>
      </c>
      <c r="R40" s="28" t="str">
        <f t="shared" si="8"/>
        <v>dom</v>
      </c>
      <c r="S40" s="29">
        <v>0.625</v>
      </c>
      <c r="T40" s="19"/>
      <c r="U40" s="19"/>
      <c r="V40" s="19"/>
      <c r="W40" s="30" t="str">
        <f>IF(COUNTIF(T40:V40,"?*")=$T$7,"✅ CUBIERTO",IF(COUNTIF(T40:V40,"?*")&gt;$T$7,"⚠ EXCESO",
IF(COUNTIF(T40:V40,"?*")&gt;0,"⚠ FALTANTE", "❌ SIN COMPLETAR")))</f>
        <v>❌ SIN COMPLETAR</v>
      </c>
    </row>
    <row r="41" spans="1:23" x14ac:dyDescent="0.35">
      <c r="A41" s="27">
        <v>45963</v>
      </c>
      <c r="B41" s="28" t="str">
        <f t="shared" si="6"/>
        <v>dom</v>
      </c>
      <c r="C41" s="29">
        <v>0.66666666666666696</v>
      </c>
      <c r="D41" s="19" t="s">
        <v>4</v>
      </c>
      <c r="E41" s="19" t="s">
        <v>31</v>
      </c>
      <c r="F41" s="19" t="s">
        <v>3</v>
      </c>
      <c r="G41" s="30" t="str">
        <f>IF(COUNTIF(D41:F41,"?*")=$T$5,"✅ CUBIERTO",
IF(COUNTIF(D41:F41,"?*")&gt;$T$5,"⚠ EXCESO",IF(COUNTIF(D41:F41,"?*")&gt;0,"⚠ FALTANTE",
"❌ SIN COMPLETAR")))</f>
        <v>⚠ EXCESO</v>
      </c>
      <c r="H41" s="7"/>
      <c r="I41" s="27">
        <v>45963</v>
      </c>
      <c r="J41" s="28" t="str">
        <f t="shared" si="7"/>
        <v>dom</v>
      </c>
      <c r="K41" s="29">
        <v>0.66666666666666696</v>
      </c>
      <c r="L41" s="25"/>
      <c r="M41" s="25"/>
      <c r="N41" s="25"/>
      <c r="O41" s="30" t="s">
        <v>32</v>
      </c>
      <c r="P41" s="7"/>
      <c r="Q41" s="27">
        <v>45963</v>
      </c>
      <c r="R41" s="28" t="str">
        <f t="shared" si="8"/>
        <v>dom</v>
      </c>
      <c r="S41" s="29">
        <v>0.66666666666666696</v>
      </c>
      <c r="T41" s="19"/>
      <c r="U41" s="19"/>
      <c r="V41" s="19"/>
      <c r="W41" s="30" t="str">
        <f>IF(COUNTIF(T41:V41,"?*")=$T$7,"✅ CUBIERTO",IF(COUNTIF(T41:V41,"?*")&gt;$T$7,"⚠ EXCESO",
IF(COUNTIF(T41:V41,"?*")&gt;0,"⚠ FALTANTE", "❌ SIN COMPLETAR")))</f>
        <v>❌ SIN COMPLETAR</v>
      </c>
    </row>
    <row r="42" spans="1:23" x14ac:dyDescent="0.35">
      <c r="A42" s="27">
        <v>45963</v>
      </c>
      <c r="B42" s="28" t="str">
        <f t="shared" si="6"/>
        <v>dom</v>
      </c>
      <c r="C42" s="29">
        <v>0.70833333333333304</v>
      </c>
      <c r="D42" s="19" t="s">
        <v>4</v>
      </c>
      <c r="E42" s="19" t="s">
        <v>31</v>
      </c>
      <c r="F42" s="19"/>
      <c r="G42" s="30" t="str">
        <f>IF(COUNTIF(D42:F42,"?*")=$T$5,"✅ CUBIERTO",
IF(COUNTIF(D42:F42,"?*")&gt;$T$5,"⚠ EXCESO",IF(COUNTIF(D42:F42,"?*")&gt;0,"⚠ FALTANTE",
"❌ SIN COMPLETAR")))</f>
        <v>✅ CUBIERTO</v>
      </c>
      <c r="H42" s="7"/>
      <c r="I42" s="27">
        <v>45963</v>
      </c>
      <c r="J42" s="28" t="str">
        <f t="shared" si="7"/>
        <v>dom</v>
      </c>
      <c r="K42" s="29">
        <v>0.70833333333333304</v>
      </c>
      <c r="L42" s="25"/>
      <c r="M42" s="25"/>
      <c r="N42" s="25"/>
      <c r="O42" s="30" t="s">
        <v>32</v>
      </c>
      <c r="P42" s="7"/>
      <c r="Q42" s="27">
        <v>45963</v>
      </c>
      <c r="R42" s="28" t="str">
        <f t="shared" si="8"/>
        <v>dom</v>
      </c>
      <c r="S42" s="29">
        <v>0.70833333333333304</v>
      </c>
      <c r="T42" s="19"/>
      <c r="U42" s="19"/>
      <c r="V42" s="19"/>
      <c r="W42" s="30" t="str">
        <f>IF(COUNTIF(T42:V42,"?*")=$T$7,"✅ CUBIERTO",IF(COUNTIF(T42:V42,"?*")&gt;$T$7,"⚠ EXCESO",
IF(COUNTIF(T42:V42,"?*")&gt;0,"⚠ FALTANTE", "❌ SIN COMPLETAR")))</f>
        <v>❌ SIN COMPLETAR</v>
      </c>
    </row>
    <row r="43" spans="1:23" x14ac:dyDescent="0.35">
      <c r="A43" s="27">
        <v>45963</v>
      </c>
      <c r="B43" s="28" t="str">
        <f t="shared" si="6"/>
        <v>dom</v>
      </c>
      <c r="C43" s="29">
        <v>0.75</v>
      </c>
      <c r="D43" s="19" t="s">
        <v>4</v>
      </c>
      <c r="E43" s="19" t="s">
        <v>31</v>
      </c>
      <c r="F43" s="19"/>
      <c r="G43" s="30" t="str">
        <f>IF(COUNTIF(D43:F43,"?*")=$T$5,"✅ CUBIERTO",
IF(COUNTIF(D43:F43,"?*")&gt;$T$5,"⚠ EXCESO",IF(COUNTIF(D43:F43,"?*")&gt;0,"⚠ FALTANTE",
"❌ SIN COMPLETAR")))</f>
        <v>✅ CUBIERTO</v>
      </c>
      <c r="H43" s="7"/>
      <c r="I43" s="27">
        <v>45963</v>
      </c>
      <c r="J43" s="28" t="str">
        <f t="shared" si="7"/>
        <v>dom</v>
      </c>
      <c r="K43" s="29">
        <v>0.75</v>
      </c>
      <c r="L43" s="25"/>
      <c r="M43" s="25"/>
      <c r="N43" s="25"/>
      <c r="O43" s="30" t="s">
        <v>32</v>
      </c>
      <c r="P43" s="7"/>
      <c r="Q43" s="27">
        <v>45963</v>
      </c>
      <c r="R43" s="28" t="str">
        <f t="shared" si="8"/>
        <v>dom</v>
      </c>
      <c r="S43" s="29">
        <v>0.75</v>
      </c>
      <c r="T43" s="19"/>
      <c r="U43" s="19"/>
      <c r="V43" s="19"/>
      <c r="W43" s="30" t="str">
        <f>IF(COUNTIF(T43:V43,"?*")=$T$7,"✅ CUBIERTO",IF(COUNTIF(T43:V43,"?*")&gt;$T$7,"⚠ EXCESO",
IF(COUNTIF(T43:V43,"?*")&gt;0,"⚠ FALTANTE", "❌ SIN COMPLETAR")))</f>
        <v>❌ SIN COMPLETAR</v>
      </c>
    </row>
    <row r="44" spans="1:23" x14ac:dyDescent="0.35">
      <c r="A44" s="27">
        <v>45963</v>
      </c>
      <c r="B44" s="28" t="str">
        <f t="shared" si="6"/>
        <v>dom</v>
      </c>
      <c r="C44" s="29">
        <v>0.79166666666666696</v>
      </c>
      <c r="D44" s="19" t="s">
        <v>4</v>
      </c>
      <c r="E44" s="19" t="s">
        <v>31</v>
      </c>
      <c r="F44" s="19"/>
      <c r="G44" s="30" t="str">
        <f>IF(COUNTIF(D44:F44,"?*")=$T$5,"✅ CUBIERTO",
IF(COUNTIF(D44:F44,"?*")&gt;$T$5,"⚠ EXCESO",IF(COUNTIF(D44:F44,"?*")&gt;0,"⚠ FALTANTE",
"❌ SIN COMPLETAR")))</f>
        <v>✅ CUBIERTO</v>
      </c>
      <c r="H44" s="7"/>
      <c r="I44" s="27">
        <v>45963</v>
      </c>
      <c r="J44" s="28" t="str">
        <f t="shared" si="7"/>
        <v>dom</v>
      </c>
      <c r="K44" s="29">
        <v>0.79166666666666696</v>
      </c>
      <c r="L44" s="25"/>
      <c r="M44" s="25"/>
      <c r="N44" s="25"/>
      <c r="O44" s="30" t="s">
        <v>32</v>
      </c>
      <c r="P44" s="7"/>
      <c r="Q44" s="27">
        <v>45963</v>
      </c>
      <c r="R44" s="28" t="str">
        <f t="shared" si="8"/>
        <v>dom</v>
      </c>
      <c r="S44" s="29">
        <v>0.79166666666666696</v>
      </c>
      <c r="T44" s="19"/>
      <c r="U44" s="19"/>
      <c r="V44" s="19"/>
      <c r="W44" s="30" t="str">
        <f>IF(COUNTIF(T44:V44,"?*")=$T$7,"✅ CUBIERTO",IF(COUNTIF(T44:V44,"?*")&gt;$T$7,"⚠ EXCESO",
IF(COUNTIF(T44:V44,"?*")&gt;0,"⚠ FALTANTE", "❌ SIN COMPLETAR")))</f>
        <v>❌ SIN COMPLETAR</v>
      </c>
    </row>
    <row r="45" spans="1:23" x14ac:dyDescent="0.35">
      <c r="A45" s="27">
        <v>45963</v>
      </c>
      <c r="B45" s="28" t="str">
        <f t="shared" si="6"/>
        <v>dom</v>
      </c>
      <c r="C45" s="29">
        <v>0.83333333333333337</v>
      </c>
      <c r="D45" s="25"/>
      <c r="E45" s="25"/>
      <c r="F45" s="25"/>
      <c r="G45" s="30" t="s">
        <v>32</v>
      </c>
      <c r="H45" s="7"/>
      <c r="I45" s="27">
        <v>45963</v>
      </c>
      <c r="J45" s="28" t="str">
        <f t="shared" si="7"/>
        <v>dom</v>
      </c>
      <c r="K45" s="29">
        <v>0.83333333333333337</v>
      </c>
      <c r="L45" s="25"/>
      <c r="M45" s="25"/>
      <c r="N45" s="25"/>
      <c r="O45" s="30" t="s">
        <v>32</v>
      </c>
      <c r="P45" s="7"/>
      <c r="Q45" s="27">
        <v>45963</v>
      </c>
      <c r="R45" s="28" t="str">
        <f t="shared" si="8"/>
        <v>dom</v>
      </c>
      <c r="S45" s="29">
        <v>0.83333333333333337</v>
      </c>
      <c r="T45" s="19"/>
      <c r="U45" s="19"/>
      <c r="V45" s="19"/>
      <c r="W45" s="30" t="str">
        <f>IF(COUNTIF(T45:V45,"?*")=$T$7,"✅ CUBIERTO",IF(COUNTIF(T45:V45,"?*")&gt;$T$7,"⚠ EXCESO",
IF(COUNTIF(T45:V45,"?*")&gt;0,"⚠ FALTANTE", "❌ SIN COMPLETAR")))</f>
        <v>❌ SIN COMPLETAR</v>
      </c>
    </row>
    <row r="46" spans="1:23" x14ac:dyDescent="0.35">
      <c r="A46" s="27">
        <v>45964</v>
      </c>
      <c r="B46" s="28" t="str">
        <f>TEXT(A46,"ddd")</f>
        <v>lun</v>
      </c>
      <c r="C46" s="29">
        <v>0.375</v>
      </c>
      <c r="D46" s="25"/>
      <c r="E46" s="25"/>
      <c r="F46" s="25"/>
      <c r="G46" s="30" t="s">
        <v>32</v>
      </c>
      <c r="H46" s="7"/>
      <c r="I46" s="27">
        <v>45964</v>
      </c>
      <c r="J46" s="28" t="str">
        <f>TEXT(I46,"ddd")</f>
        <v>lun</v>
      </c>
      <c r="K46" s="29">
        <v>0.375</v>
      </c>
      <c r="L46" s="19" t="s">
        <v>7</v>
      </c>
      <c r="M46" s="19"/>
      <c r="N46" s="19"/>
      <c r="O46" s="31" t="str">
        <f>IF(COUNTIF(L46:N46,"?*")=$T$6,"✅ CUBIERTO",IF(COUNTIF(L46:N46,"?*")&gt;$T$6,"⚠ EXCESO",
IF(COUNTIF(L46:N46,"?*")&gt;0,"⚠ FALTANTE", "❌ SIN COMPLETAR")))</f>
        <v>✅ CUBIERTO</v>
      </c>
      <c r="P46" s="7"/>
      <c r="Q46" s="27">
        <v>45964</v>
      </c>
      <c r="R46" s="28" t="str">
        <f>TEXT(Q46,"ddd")</f>
        <v>lun</v>
      </c>
      <c r="S46" s="29">
        <v>0.375</v>
      </c>
      <c r="T46" s="25"/>
      <c r="U46" s="25"/>
      <c r="V46" s="25"/>
      <c r="W46" s="30" t="s">
        <v>32</v>
      </c>
    </row>
    <row r="47" spans="1:23" x14ac:dyDescent="0.35">
      <c r="A47" s="27">
        <v>45964</v>
      </c>
      <c r="B47" s="28" t="str">
        <f>TEXT(A47,"ddd")</f>
        <v>lun</v>
      </c>
      <c r="C47" s="29">
        <v>0.41666666666666669</v>
      </c>
      <c r="D47" s="25"/>
      <c r="E47" s="25"/>
      <c r="F47" s="25"/>
      <c r="G47" s="30" t="s">
        <v>32</v>
      </c>
      <c r="H47" s="7"/>
      <c r="I47" s="27">
        <v>45964</v>
      </c>
      <c r="J47" s="28" t="str">
        <f>TEXT(I47,"ddd")</f>
        <v>lun</v>
      </c>
      <c r="K47" s="29">
        <v>0.41666666666666669</v>
      </c>
      <c r="L47" s="19" t="s">
        <v>7</v>
      </c>
      <c r="M47" s="19"/>
      <c r="N47" s="19"/>
      <c r="O47" s="31" t="str">
        <f>IF(COUNTIF(L47:N47,"?*")=$T$6,"✅ CUBIERTO",IF(COUNTIF(L47:N47,"?*")&gt;$T$6,"⚠ EXCESO",
IF(COUNTIF(L47:N47,"?*")&gt;0,"⚠ FALTANTE", "❌ SIN COMPLETAR")))</f>
        <v>✅ CUBIERTO</v>
      </c>
      <c r="P47" s="7"/>
      <c r="Q47" s="27">
        <v>45964</v>
      </c>
      <c r="R47" s="28" t="str">
        <f>TEXT(Q47,"ddd")</f>
        <v>lun</v>
      </c>
      <c r="S47" s="29">
        <v>0.41666666666666669</v>
      </c>
      <c r="T47" s="19"/>
      <c r="U47" s="19"/>
      <c r="V47" s="19"/>
      <c r="W47" s="30" t="str">
        <f>IF(COUNTIF(T47:V47,"?*")=$T$7,"✅ CUBIERTO",IF(COUNTIF(T47:V47,"?*")&gt;$T$7,"⚠ EXCESO",
IF(COUNTIF(T47:V47,"?*")&gt;0,"⚠ FALTANTE", "❌ SIN COMPLETAR")))</f>
        <v>❌ SIN COMPLETAR</v>
      </c>
    </row>
    <row r="48" spans="1:23" x14ac:dyDescent="0.35">
      <c r="A48" s="27">
        <v>45964</v>
      </c>
      <c r="B48" s="28" t="str">
        <f>TEXT(A48,"ddd")</f>
        <v>lun</v>
      </c>
      <c r="C48" s="29">
        <v>0.45833333333333331</v>
      </c>
      <c r="D48" s="19" t="s">
        <v>30</v>
      </c>
      <c r="E48" s="19" t="s">
        <v>3</v>
      </c>
      <c r="F48" s="19" t="s">
        <v>28</v>
      </c>
      <c r="G48" s="30" t="str">
        <f>IF(COUNTIF(D48:F48,"?*")=$T$5,"✅ CUBIERTO",
IF(COUNTIF(D48:F48,"?*")&gt;$T$5,"⚠ EXCESO",IF(COUNTIF(D48:F48,"?*")&gt;0,"⚠ FALTANTE",
"❌ SIN COMPLETAR")))</f>
        <v>⚠ EXCESO</v>
      </c>
      <c r="H48" s="7"/>
      <c r="I48" s="27">
        <v>45964</v>
      </c>
      <c r="J48" s="28" t="str">
        <f>TEXT(I48,"ddd")</f>
        <v>lun</v>
      </c>
      <c r="K48" s="29">
        <v>0.45833333333333331</v>
      </c>
      <c r="L48" s="19" t="s">
        <v>7</v>
      </c>
      <c r="M48" s="19"/>
      <c r="N48" s="19"/>
      <c r="O48" s="31" t="str">
        <f>IF(COUNTIF(L48:N48,"?*")=$T$6,"✅ CUBIERTO",IF(COUNTIF(L48:N48,"?*")&gt;$T$6,"⚠ EXCESO",
IF(COUNTIF(L48:N48,"?*")&gt;0,"⚠ FALTANTE", "❌ SIN COMPLETAR")))</f>
        <v>✅ CUBIERTO</v>
      </c>
      <c r="P48" s="7"/>
      <c r="Q48" s="27">
        <v>45964</v>
      </c>
      <c r="R48" s="28" t="str">
        <f>TEXT(Q48,"ddd")</f>
        <v>lun</v>
      </c>
      <c r="S48" s="29">
        <v>0.45833333333333331</v>
      </c>
      <c r="T48" s="19"/>
      <c r="U48" s="19"/>
      <c r="V48" s="19"/>
      <c r="W48" s="30" t="str">
        <f>IF(COUNTIF(T48:V48,"?*")=$T$7,"✅ CUBIERTO",IF(COUNTIF(T48:V48,"?*")&gt;$T$7,"⚠ EXCESO",
IF(COUNTIF(T48:V48,"?*")&gt;0,"⚠ FALTANTE", "❌ SIN COMPLETAR")))</f>
        <v>❌ SIN COMPLETAR</v>
      </c>
    </row>
    <row r="49" spans="1:23" x14ac:dyDescent="0.35">
      <c r="A49" s="27">
        <v>45964</v>
      </c>
      <c r="B49" s="28" t="str">
        <f t="shared" ref="B49:B57" si="9">TEXT(A49,"ddd")</f>
        <v>lun</v>
      </c>
      <c r="C49" s="29">
        <v>0.5</v>
      </c>
      <c r="D49" s="19" t="s">
        <v>30</v>
      </c>
      <c r="E49" s="19" t="s">
        <v>3</v>
      </c>
      <c r="F49" s="19" t="s">
        <v>28</v>
      </c>
      <c r="G49" s="30" t="str">
        <f>IF(COUNTIF(D49:F49,"?*")=$T$5,"✅ CUBIERTO",
IF(COUNTIF(D49:F49,"?*")&gt;$T$5,"⚠ EXCESO",IF(COUNTIF(D49:F49,"?*")&gt;0,"⚠ FALTANTE",
"❌ SIN COMPLETAR")))</f>
        <v>⚠ EXCESO</v>
      </c>
      <c r="H49" s="7"/>
      <c r="I49" s="27">
        <v>45964</v>
      </c>
      <c r="J49" s="28" t="str">
        <f t="shared" ref="J49:J57" si="10">TEXT(I49,"ddd")</f>
        <v>lun</v>
      </c>
      <c r="K49" s="29">
        <v>0.5</v>
      </c>
      <c r="L49" s="19" t="s">
        <v>7</v>
      </c>
      <c r="M49" s="19"/>
      <c r="N49" s="19"/>
      <c r="O49" s="31" t="str">
        <f>IF(COUNTIF(L49:N49,"?*")=$T$6,"✅ CUBIERTO",IF(COUNTIF(L49:N49,"?*")&gt;$T$6,"⚠ EXCESO",
IF(COUNTIF(L49:N49,"?*")&gt;0,"⚠ FALTANTE", "❌ SIN COMPLETAR")))</f>
        <v>✅ CUBIERTO</v>
      </c>
      <c r="P49" s="7"/>
      <c r="Q49" s="27">
        <v>45964</v>
      </c>
      <c r="R49" s="28" t="str">
        <f t="shared" ref="R49:R57" si="11">TEXT(Q49,"ddd")</f>
        <v>lun</v>
      </c>
      <c r="S49" s="29">
        <v>0.5</v>
      </c>
      <c r="T49" s="19"/>
      <c r="U49" s="19"/>
      <c r="V49" s="19"/>
      <c r="W49" s="30" t="str">
        <f>IF(COUNTIF(T49:V49,"?*")=$T$7,"✅ CUBIERTO",IF(COUNTIF(T49:V49,"?*")&gt;$T$7,"⚠ EXCESO",
IF(COUNTIF(T49:V49,"?*")&gt;0,"⚠ FALTANTE", "❌ SIN COMPLETAR")))</f>
        <v>❌ SIN COMPLETAR</v>
      </c>
    </row>
    <row r="50" spans="1:23" x14ac:dyDescent="0.35">
      <c r="A50" s="27">
        <v>45964</v>
      </c>
      <c r="B50" s="28" t="str">
        <f t="shared" si="9"/>
        <v>lun</v>
      </c>
      <c r="C50" s="29">
        <v>0.54166666666666696</v>
      </c>
      <c r="D50" s="19" t="s">
        <v>30</v>
      </c>
      <c r="E50" s="19" t="s">
        <v>3</v>
      </c>
      <c r="F50" s="19" t="s">
        <v>28</v>
      </c>
      <c r="G50" s="30" t="str">
        <f>IF(COUNTIF(D50:F50,"?*")=$T$5,"✅ CUBIERTO",
IF(COUNTIF(D50:F50,"?*")&gt;$T$5,"⚠ EXCESO",IF(COUNTIF(D50:F50,"?*")&gt;0,"⚠ FALTANTE",
"❌ SIN COMPLETAR")))</f>
        <v>⚠ EXCESO</v>
      </c>
      <c r="H50" s="7"/>
      <c r="I50" s="27">
        <v>45964</v>
      </c>
      <c r="J50" s="28" t="str">
        <f t="shared" si="10"/>
        <v>lun</v>
      </c>
      <c r="K50" s="29">
        <v>0.54166666666666696</v>
      </c>
      <c r="L50" s="19" t="s">
        <v>7</v>
      </c>
      <c r="M50" s="19"/>
      <c r="N50" s="19"/>
      <c r="O50" s="31" t="str">
        <f>IF(COUNTIF(L50:N50,"?*")=$T$6,"✅ CUBIERTO",IF(COUNTIF(L50:N50,"?*")&gt;$T$6,"⚠ EXCESO",
IF(COUNTIF(L50:N50,"?*")&gt;0,"⚠ FALTANTE", "❌ SIN COMPLETAR")))</f>
        <v>✅ CUBIERTO</v>
      </c>
      <c r="P50" s="7"/>
      <c r="Q50" s="27">
        <v>45964</v>
      </c>
      <c r="R50" s="28" t="str">
        <f t="shared" si="11"/>
        <v>lun</v>
      </c>
      <c r="S50" s="29">
        <v>0.54166666666666696</v>
      </c>
      <c r="T50" s="19"/>
      <c r="U50" s="19"/>
      <c r="V50" s="19"/>
      <c r="W50" s="30" t="str">
        <f>IF(COUNTIF(T50:V50,"?*")=$T$7,"✅ CUBIERTO",IF(COUNTIF(T50:V50,"?*")&gt;$T$7,"⚠ EXCESO",
IF(COUNTIF(T50:V50,"?*")&gt;0,"⚠ FALTANTE", "❌ SIN COMPLETAR")))</f>
        <v>❌ SIN COMPLETAR</v>
      </c>
    </row>
    <row r="51" spans="1:23" x14ac:dyDescent="0.35">
      <c r="A51" s="27">
        <v>45964</v>
      </c>
      <c r="B51" s="28" t="str">
        <f t="shared" si="9"/>
        <v>lun</v>
      </c>
      <c r="C51" s="29">
        <v>0.58333333333333304</v>
      </c>
      <c r="D51" s="19" t="s">
        <v>30</v>
      </c>
      <c r="E51" s="19" t="s">
        <v>3</v>
      </c>
      <c r="F51" s="19" t="s">
        <v>28</v>
      </c>
      <c r="G51" s="30" t="str">
        <f>IF(COUNTIF(D51:F51,"?*")=$T$5,"✅ CUBIERTO",
IF(COUNTIF(D51:F51,"?*")&gt;$T$5,"⚠ EXCESO",IF(COUNTIF(D51:F51,"?*")&gt;0,"⚠ FALTANTE",
"❌ SIN COMPLETAR")))</f>
        <v>⚠ EXCESO</v>
      </c>
      <c r="H51" s="7"/>
      <c r="I51" s="27">
        <v>45964</v>
      </c>
      <c r="J51" s="28" t="str">
        <f t="shared" si="10"/>
        <v>lun</v>
      </c>
      <c r="K51" s="29">
        <v>0.58333333333333304</v>
      </c>
      <c r="L51" s="19" t="s">
        <v>29</v>
      </c>
      <c r="M51" s="19"/>
      <c r="N51" s="19"/>
      <c r="O51" s="31" t="str">
        <f>IF(COUNTIF(L51:N51,"?*")=$T$6,"✅ CUBIERTO",IF(COUNTIF(L51:N51,"?*")&gt;$T$6,"⚠ EXCESO",
IF(COUNTIF(L51:N51,"?*")&gt;0,"⚠ FALTANTE", "❌ SIN COMPLETAR")))</f>
        <v>✅ CUBIERTO</v>
      </c>
      <c r="P51" s="7"/>
      <c r="Q51" s="27">
        <v>45964</v>
      </c>
      <c r="R51" s="28" t="str">
        <f t="shared" si="11"/>
        <v>lun</v>
      </c>
      <c r="S51" s="29">
        <v>0.58333333333333304</v>
      </c>
      <c r="T51" s="19"/>
      <c r="U51" s="19"/>
      <c r="V51" s="19"/>
      <c r="W51" s="30" t="str">
        <f>IF(COUNTIF(T51:V51,"?*")=$T$7,"✅ CUBIERTO",IF(COUNTIF(T51:V51,"?*")&gt;$T$7,"⚠ EXCESO",
IF(COUNTIF(T51:V51,"?*")&gt;0,"⚠ FALTANTE", "❌ SIN COMPLETAR")))</f>
        <v>❌ SIN COMPLETAR</v>
      </c>
    </row>
    <row r="52" spans="1:23" x14ac:dyDescent="0.35">
      <c r="A52" s="27">
        <v>45964</v>
      </c>
      <c r="B52" s="28" t="str">
        <f t="shared" si="9"/>
        <v>lun</v>
      </c>
      <c r="C52" s="29">
        <v>0.625</v>
      </c>
      <c r="D52" s="19" t="s">
        <v>4</v>
      </c>
      <c r="E52" s="19" t="s">
        <v>3</v>
      </c>
      <c r="F52" s="19" t="s">
        <v>28</v>
      </c>
      <c r="G52" s="30" t="str">
        <f>IF(COUNTIF(D52:F52,"?*")=$T$5,"✅ CUBIERTO",
IF(COUNTIF(D52:F52,"?*")&gt;$T$5,"⚠ EXCESO",IF(COUNTIF(D52:F52,"?*")&gt;0,"⚠ FALTANTE",
"❌ SIN COMPLETAR")))</f>
        <v>⚠ EXCESO</v>
      </c>
      <c r="H52" s="7"/>
      <c r="I52" s="27">
        <v>45964</v>
      </c>
      <c r="J52" s="28" t="str">
        <f t="shared" si="10"/>
        <v>lun</v>
      </c>
      <c r="K52" s="29">
        <v>0.625</v>
      </c>
      <c r="L52" s="19" t="s">
        <v>29</v>
      </c>
      <c r="M52" s="19"/>
      <c r="N52" s="19"/>
      <c r="O52" s="31" t="str">
        <f>IF(COUNTIF(L52:N52,"?*")=$T$6,"✅ CUBIERTO",IF(COUNTIF(L52:N52,"?*")&gt;$T$6,"⚠ EXCESO",
IF(COUNTIF(L52:N52,"?*")&gt;0,"⚠ FALTANTE", "❌ SIN COMPLETAR")))</f>
        <v>✅ CUBIERTO</v>
      </c>
      <c r="P52" s="7"/>
      <c r="Q52" s="27">
        <v>45964</v>
      </c>
      <c r="R52" s="28" t="str">
        <f t="shared" si="11"/>
        <v>lun</v>
      </c>
      <c r="S52" s="29">
        <v>0.625</v>
      </c>
      <c r="T52" s="19"/>
      <c r="U52" s="19"/>
      <c r="V52" s="19"/>
      <c r="W52" s="30" t="str">
        <f>IF(COUNTIF(T52:V52,"?*")=$T$7,"✅ CUBIERTO",IF(COUNTIF(T52:V52,"?*")&gt;$T$7,"⚠ EXCESO",
IF(COUNTIF(T52:V52,"?*")&gt;0,"⚠ FALTANTE", "❌ SIN COMPLETAR")))</f>
        <v>❌ SIN COMPLETAR</v>
      </c>
    </row>
    <row r="53" spans="1:23" x14ac:dyDescent="0.35">
      <c r="A53" s="27">
        <v>45964</v>
      </c>
      <c r="B53" s="28" t="str">
        <f t="shared" si="9"/>
        <v>lun</v>
      </c>
      <c r="C53" s="29">
        <v>0.66666666666666696</v>
      </c>
      <c r="D53" s="19" t="s">
        <v>4</v>
      </c>
      <c r="E53" s="19" t="s">
        <v>31</v>
      </c>
      <c r="F53" s="19" t="s">
        <v>28</v>
      </c>
      <c r="G53" s="30" t="str">
        <f>IF(COUNTIF(D53:F53,"?*")=$T$5,"✅ CUBIERTO",
IF(COUNTIF(D53:F53,"?*")&gt;$T$5,"⚠ EXCESO",IF(COUNTIF(D53:F53,"?*")&gt;0,"⚠ FALTANTE",
"❌ SIN COMPLETAR")))</f>
        <v>⚠ EXCESO</v>
      </c>
      <c r="H53" s="7"/>
      <c r="I53" s="27">
        <v>45964</v>
      </c>
      <c r="J53" s="28" t="str">
        <f t="shared" si="10"/>
        <v>lun</v>
      </c>
      <c r="K53" s="29">
        <v>0.66666666666666696</v>
      </c>
      <c r="L53" s="19" t="s">
        <v>29</v>
      </c>
      <c r="M53" s="19"/>
      <c r="N53" s="19"/>
      <c r="O53" s="31" t="str">
        <f>IF(COUNTIF(L53:N53,"?*")=$T$6,"✅ CUBIERTO",IF(COUNTIF(L53:N53,"?*")&gt;$T$6,"⚠ EXCESO",
IF(COUNTIF(L53:N53,"?*")&gt;0,"⚠ FALTANTE", "❌ SIN COMPLETAR")))</f>
        <v>✅ CUBIERTO</v>
      </c>
      <c r="P53" s="7"/>
      <c r="Q53" s="27">
        <v>45964</v>
      </c>
      <c r="R53" s="28" t="str">
        <f t="shared" si="11"/>
        <v>lun</v>
      </c>
      <c r="S53" s="29">
        <v>0.66666666666666696</v>
      </c>
      <c r="T53" s="19"/>
      <c r="U53" s="19"/>
      <c r="V53" s="19"/>
      <c r="W53" s="30" t="str">
        <f>IF(COUNTIF(T53:V53,"?*")=$T$7,"✅ CUBIERTO",IF(COUNTIF(T53:V53,"?*")&gt;$T$7,"⚠ EXCESO",
IF(COUNTIF(T53:V53,"?*")&gt;0,"⚠ FALTANTE", "❌ SIN COMPLETAR")))</f>
        <v>❌ SIN COMPLETAR</v>
      </c>
    </row>
    <row r="54" spans="1:23" x14ac:dyDescent="0.35">
      <c r="A54" s="27">
        <v>45964</v>
      </c>
      <c r="B54" s="28" t="str">
        <f t="shared" si="9"/>
        <v>lun</v>
      </c>
      <c r="C54" s="29">
        <v>0.70833333333333304</v>
      </c>
      <c r="D54" s="19" t="s">
        <v>4</v>
      </c>
      <c r="E54" s="19" t="s">
        <v>31</v>
      </c>
      <c r="F54" s="19" t="s">
        <v>28</v>
      </c>
      <c r="G54" s="30" t="str">
        <f>IF(COUNTIF(D54:F54,"?*")=$T$5,"✅ CUBIERTO",
IF(COUNTIF(D54:F54,"?*")&gt;$T$5,"⚠ EXCESO",IF(COUNTIF(D54:F54,"?*")&gt;0,"⚠ FALTANTE",
"❌ SIN COMPLETAR")))</f>
        <v>⚠ EXCESO</v>
      </c>
      <c r="H54" s="7"/>
      <c r="I54" s="27">
        <v>45964</v>
      </c>
      <c r="J54" s="28" t="str">
        <f t="shared" si="10"/>
        <v>lun</v>
      </c>
      <c r="K54" s="29">
        <v>0.70833333333333304</v>
      </c>
      <c r="L54" s="19" t="s">
        <v>29</v>
      </c>
      <c r="M54" s="19"/>
      <c r="N54" s="19"/>
      <c r="O54" s="31" t="str">
        <f>IF(COUNTIF(L54:N54,"?*")=$T$6,"✅ CUBIERTO",IF(COUNTIF(L54:N54,"?*")&gt;$T$6,"⚠ EXCESO",
IF(COUNTIF(L54:N54,"?*")&gt;0,"⚠ FALTANTE", "❌ SIN COMPLETAR")))</f>
        <v>✅ CUBIERTO</v>
      </c>
      <c r="P54" s="7"/>
      <c r="Q54" s="27">
        <v>45964</v>
      </c>
      <c r="R54" s="28" t="str">
        <f t="shared" si="11"/>
        <v>lun</v>
      </c>
      <c r="S54" s="29">
        <v>0.70833333333333304</v>
      </c>
      <c r="T54" s="19"/>
      <c r="U54" s="19"/>
      <c r="V54" s="19"/>
      <c r="W54" s="30" t="str">
        <f>IF(COUNTIF(T54:V54,"?*")=$T$7,"✅ CUBIERTO",IF(COUNTIF(T54:V54,"?*")&gt;$T$7,"⚠ EXCESO",
IF(COUNTIF(T54:V54,"?*")&gt;0,"⚠ FALTANTE", "❌ SIN COMPLETAR")))</f>
        <v>❌ SIN COMPLETAR</v>
      </c>
    </row>
    <row r="55" spans="1:23" x14ac:dyDescent="0.35">
      <c r="A55" s="27">
        <v>45964</v>
      </c>
      <c r="B55" s="28" t="str">
        <f t="shared" si="9"/>
        <v>lun</v>
      </c>
      <c r="C55" s="29">
        <v>0.75</v>
      </c>
      <c r="D55" s="19" t="s">
        <v>4</v>
      </c>
      <c r="E55" s="19" t="s">
        <v>31</v>
      </c>
      <c r="F55" s="19" t="s">
        <v>28</v>
      </c>
      <c r="G55" s="30" t="str">
        <f>IF(COUNTIF(D55:F55,"?*")=$T$5,"✅ CUBIERTO",
IF(COUNTIF(D55:F55,"?*")&gt;$T$5,"⚠ EXCESO",IF(COUNTIF(D55:F55,"?*")&gt;0,"⚠ FALTANTE",
"❌ SIN COMPLETAR")))</f>
        <v>⚠ EXCESO</v>
      </c>
      <c r="H55" s="7"/>
      <c r="I55" s="27">
        <v>45964</v>
      </c>
      <c r="J55" s="28" t="str">
        <f t="shared" si="10"/>
        <v>lun</v>
      </c>
      <c r="K55" s="29">
        <v>0.75</v>
      </c>
      <c r="L55" s="25"/>
      <c r="M55" s="25"/>
      <c r="N55" s="25"/>
      <c r="O55" s="31" t="s">
        <v>32</v>
      </c>
      <c r="P55" s="7"/>
      <c r="Q55" s="27">
        <v>45964</v>
      </c>
      <c r="R55" s="28" t="str">
        <f t="shared" si="11"/>
        <v>lun</v>
      </c>
      <c r="S55" s="29">
        <v>0.75</v>
      </c>
      <c r="T55" s="19"/>
      <c r="U55" s="19"/>
      <c r="V55" s="19"/>
      <c r="W55" s="30" t="str">
        <f>IF(COUNTIF(T55:V55,"?*")=$T$7,"✅ CUBIERTO",IF(COUNTIF(T55:V55,"?*")&gt;$T$7,"⚠ EXCESO",
IF(COUNTIF(T55:V55,"?*")&gt;0,"⚠ FALTANTE", "❌ SIN COMPLETAR")))</f>
        <v>❌ SIN COMPLETAR</v>
      </c>
    </row>
    <row r="56" spans="1:23" x14ac:dyDescent="0.35">
      <c r="A56" s="27">
        <v>45964</v>
      </c>
      <c r="B56" s="28" t="str">
        <f t="shared" si="9"/>
        <v>lun</v>
      </c>
      <c r="C56" s="29">
        <v>0.79166666666666696</v>
      </c>
      <c r="D56" s="19" t="s">
        <v>4</v>
      </c>
      <c r="E56" s="19" t="s">
        <v>31</v>
      </c>
      <c r="F56" s="19"/>
      <c r="G56" s="30" t="str">
        <f>IF(COUNTIF(D56:F56,"?*")=$T$5,"✅ CUBIERTO",
IF(COUNTIF(D56:F56,"?*")&gt;$T$5,"⚠ EXCESO",IF(COUNTIF(D56:F56,"?*")&gt;0,"⚠ FALTANTE",
"❌ SIN COMPLETAR")))</f>
        <v>✅ CUBIERTO</v>
      </c>
      <c r="H56" s="7"/>
      <c r="I56" s="27">
        <v>45964</v>
      </c>
      <c r="J56" s="28" t="str">
        <f t="shared" si="10"/>
        <v>lun</v>
      </c>
      <c r="K56" s="29">
        <v>0.79166666666666696</v>
      </c>
      <c r="L56" s="25"/>
      <c r="M56" s="25"/>
      <c r="N56" s="25"/>
      <c r="O56" s="31" t="s">
        <v>32</v>
      </c>
      <c r="P56" s="7"/>
      <c r="Q56" s="27">
        <v>45964</v>
      </c>
      <c r="R56" s="28" t="str">
        <f t="shared" si="11"/>
        <v>lun</v>
      </c>
      <c r="S56" s="29">
        <v>0.79166666666666696</v>
      </c>
      <c r="T56" s="19"/>
      <c r="U56" s="19"/>
      <c r="V56" s="19"/>
      <c r="W56" s="30" t="str">
        <f>IF(COUNTIF(T56:V56,"?*")=$T$7,"✅ CUBIERTO",IF(COUNTIF(T56:V56,"?*")&gt;$T$7,"⚠ EXCESO",
IF(COUNTIF(T56:V56,"?*")&gt;0,"⚠ FALTANTE", "❌ SIN COMPLETAR")))</f>
        <v>❌ SIN COMPLETAR</v>
      </c>
    </row>
    <row r="57" spans="1:23" x14ac:dyDescent="0.35">
      <c r="A57" s="27">
        <v>45964</v>
      </c>
      <c r="B57" s="28" t="str">
        <f t="shared" si="9"/>
        <v>lun</v>
      </c>
      <c r="C57" s="29">
        <v>0.83333333333333337</v>
      </c>
      <c r="D57" s="25"/>
      <c r="E57" s="25"/>
      <c r="F57" s="25"/>
      <c r="G57" s="30" t="s">
        <v>32</v>
      </c>
      <c r="H57" s="7"/>
      <c r="I57" s="27">
        <v>45964</v>
      </c>
      <c r="J57" s="28" t="str">
        <f t="shared" si="10"/>
        <v>lun</v>
      </c>
      <c r="K57" s="29">
        <v>0.83333333333333337</v>
      </c>
      <c r="L57" s="25"/>
      <c r="M57" s="25"/>
      <c r="N57" s="25"/>
      <c r="O57" s="31" t="s">
        <v>32</v>
      </c>
      <c r="P57" s="7"/>
      <c r="Q57" s="27">
        <v>45964</v>
      </c>
      <c r="R57" s="28" t="str">
        <f t="shared" si="11"/>
        <v>lun</v>
      </c>
      <c r="S57" s="29">
        <v>0.83333333333333337</v>
      </c>
      <c r="T57" s="19"/>
      <c r="U57" s="19"/>
      <c r="V57" s="19"/>
      <c r="W57" s="30" t="str">
        <f>IF(COUNTIF(T57:V57,"?*")=$T$7,"✅ CUBIERTO",IF(COUNTIF(T57:V57,"?*")&gt;$T$7,"⚠ EXCESO",
IF(COUNTIF(T57:V57,"?*")&gt;0,"⚠ FALTANTE", "❌ SIN COMPLETAR")))</f>
        <v>❌ SIN COMPLETAR</v>
      </c>
    </row>
    <row r="58" spans="1:23" x14ac:dyDescent="0.35">
      <c r="A58" s="27">
        <v>45965</v>
      </c>
      <c r="B58" s="28" t="str">
        <f>TEXT(A58,"ddd")</f>
        <v>mar</v>
      </c>
      <c r="C58" s="29">
        <v>0.375</v>
      </c>
      <c r="D58" s="25"/>
      <c r="E58" s="25"/>
      <c r="F58" s="25"/>
      <c r="G58" s="30" t="s">
        <v>32</v>
      </c>
      <c r="H58" s="7"/>
      <c r="I58" s="27">
        <v>45965</v>
      </c>
      <c r="J58" s="28" t="str">
        <f>TEXT(I58,"ddd")</f>
        <v>mar</v>
      </c>
      <c r="K58" s="29">
        <v>0.375</v>
      </c>
      <c r="L58" s="19" t="s">
        <v>7</v>
      </c>
      <c r="M58" s="19"/>
      <c r="N58" s="19"/>
      <c r="O58" s="31" t="str">
        <f>IF(COUNTIF(L58:N58,"?*")=$T$6,"✅ CUBIERTO",IF(COUNTIF(L58:N58,"?*")&gt;$T$6,"⚠ EXCESO",
IF(COUNTIF(L58:N58,"?*")&gt;0,"⚠ FALTANTE", "❌ SIN COMPLETAR")))</f>
        <v>✅ CUBIERTO</v>
      </c>
      <c r="P58" s="7"/>
      <c r="Q58" s="27">
        <v>45965</v>
      </c>
      <c r="R58" s="28" t="str">
        <f>TEXT(Q58,"ddd")</f>
        <v>mar</v>
      </c>
      <c r="S58" s="29">
        <v>0.375</v>
      </c>
      <c r="T58" s="25"/>
      <c r="U58" s="25"/>
      <c r="V58" s="25"/>
      <c r="W58" s="30" t="s">
        <v>32</v>
      </c>
    </row>
    <row r="59" spans="1:23" x14ac:dyDescent="0.35">
      <c r="A59" s="27">
        <v>45965</v>
      </c>
      <c r="B59" s="28" t="str">
        <f>TEXT(A59,"ddd")</f>
        <v>mar</v>
      </c>
      <c r="C59" s="29">
        <v>0.41666666666666669</v>
      </c>
      <c r="D59" s="25"/>
      <c r="E59" s="25"/>
      <c r="F59" s="25"/>
      <c r="G59" s="30" t="s">
        <v>32</v>
      </c>
      <c r="H59" s="7"/>
      <c r="I59" s="27">
        <v>45965</v>
      </c>
      <c r="J59" s="28" t="str">
        <f>TEXT(I59,"ddd")</f>
        <v>mar</v>
      </c>
      <c r="K59" s="29">
        <v>0.41666666666666669</v>
      </c>
      <c r="L59" s="19" t="s">
        <v>7</v>
      </c>
      <c r="M59" s="19"/>
      <c r="N59" s="19"/>
      <c r="O59" s="31" t="str">
        <f>IF(COUNTIF(L59:N59,"?*")=$T$6,"✅ CUBIERTO",IF(COUNTIF(L59:N59,"?*")&gt;$T$6,"⚠ EXCESO",
IF(COUNTIF(L59:N59,"?*")&gt;0,"⚠ FALTANTE", "❌ SIN COMPLETAR")))</f>
        <v>✅ CUBIERTO</v>
      </c>
      <c r="P59" s="7"/>
      <c r="Q59" s="27">
        <v>45965</v>
      </c>
      <c r="R59" s="28" t="str">
        <f>TEXT(Q59,"ddd")</f>
        <v>mar</v>
      </c>
      <c r="S59" s="29">
        <v>0.41666666666666669</v>
      </c>
      <c r="T59" s="19"/>
      <c r="U59" s="19"/>
      <c r="V59" s="19"/>
      <c r="W59" s="30" t="str">
        <f>IF(COUNTIF(T59:V59,"?*")=$T$7,"✅ CUBIERTO",IF(COUNTIF(T59:V59,"?*")&gt;$T$7,"⚠ EXCESO",
IF(COUNTIF(T59:V59,"?*")&gt;0,"⚠ FALTANTE", "❌ SIN COMPLETAR")))</f>
        <v>❌ SIN COMPLETAR</v>
      </c>
    </row>
    <row r="60" spans="1:23" x14ac:dyDescent="0.35">
      <c r="A60" s="27">
        <v>45965</v>
      </c>
      <c r="B60" s="28" t="str">
        <f>TEXT(A60,"ddd")</f>
        <v>mar</v>
      </c>
      <c r="C60" s="29">
        <v>0.45833333333333331</v>
      </c>
      <c r="D60" s="19" t="s">
        <v>3</v>
      </c>
      <c r="E60" s="19" t="s">
        <v>31</v>
      </c>
      <c r="F60" s="19" t="s">
        <v>4</v>
      </c>
      <c r="G60" s="30" t="str">
        <f>IF(COUNTIF(D60:F60,"?*")=$T$5,"✅ CUBIERTO",
IF(COUNTIF(D60:F60,"?*")&gt;$T$5,"⚠ EXCESO",IF(COUNTIF(D60:F60,"?*")&gt;0,"⚠ FALTANTE",
"❌ SIN COMPLETAR")))</f>
        <v>⚠ EXCESO</v>
      </c>
      <c r="H60" s="7"/>
      <c r="I60" s="27">
        <v>45965</v>
      </c>
      <c r="J60" s="28" t="str">
        <f>TEXT(I60,"ddd")</f>
        <v>mar</v>
      </c>
      <c r="K60" s="29">
        <v>0.45833333333333331</v>
      </c>
      <c r="L60" s="19" t="s">
        <v>7</v>
      </c>
      <c r="M60" s="19"/>
      <c r="N60" s="19"/>
      <c r="O60" s="31" t="str">
        <f>IF(COUNTIF(L60:N60,"?*")=$T$6,"✅ CUBIERTO",IF(COUNTIF(L60:N60,"?*")&gt;$T$6,"⚠ EXCESO",
IF(COUNTIF(L60:N60,"?*")&gt;0,"⚠ FALTANTE", "❌ SIN COMPLETAR")))</f>
        <v>✅ CUBIERTO</v>
      </c>
      <c r="P60" s="7"/>
      <c r="Q60" s="27">
        <v>45965</v>
      </c>
      <c r="R60" s="28" t="str">
        <f>TEXT(Q60,"ddd")</f>
        <v>mar</v>
      </c>
      <c r="S60" s="29">
        <v>0.45833333333333331</v>
      </c>
      <c r="T60" s="19"/>
      <c r="U60" s="19"/>
      <c r="V60" s="19"/>
      <c r="W60" s="30" t="str">
        <f>IF(COUNTIF(T60:V60,"?*")=$T$7,"✅ CUBIERTO",IF(COUNTIF(T60:V60,"?*")&gt;$T$7,"⚠ EXCESO",
IF(COUNTIF(T60:V60,"?*")&gt;0,"⚠ FALTANTE", "❌ SIN COMPLETAR")))</f>
        <v>❌ SIN COMPLETAR</v>
      </c>
    </row>
    <row r="61" spans="1:23" x14ac:dyDescent="0.35">
      <c r="A61" s="27">
        <v>45965</v>
      </c>
      <c r="B61" s="28" t="str">
        <f t="shared" ref="B61:B69" si="12">TEXT(A61,"ddd")</f>
        <v>mar</v>
      </c>
      <c r="C61" s="29">
        <v>0.5</v>
      </c>
      <c r="D61" s="19" t="s">
        <v>3</v>
      </c>
      <c r="E61" s="19" t="s">
        <v>31</v>
      </c>
      <c r="F61" s="19" t="s">
        <v>4</v>
      </c>
      <c r="G61" s="30" t="str">
        <f>IF(COUNTIF(D61:F61,"?*")=$T$5,"✅ CUBIERTO",
IF(COUNTIF(D61:F61,"?*")&gt;$T$5,"⚠ EXCESO",IF(COUNTIF(D61:F61,"?*")&gt;0,"⚠ FALTANTE",
"❌ SIN COMPLETAR")))</f>
        <v>⚠ EXCESO</v>
      </c>
      <c r="H61" s="7"/>
      <c r="I61" s="27">
        <v>45965</v>
      </c>
      <c r="J61" s="28" t="str">
        <f t="shared" ref="J61:J69" si="13">TEXT(I61,"ddd")</f>
        <v>mar</v>
      </c>
      <c r="K61" s="29">
        <v>0.5</v>
      </c>
      <c r="L61" s="19" t="s">
        <v>7</v>
      </c>
      <c r="M61" s="19"/>
      <c r="N61" s="19"/>
      <c r="O61" s="31" t="str">
        <f>IF(COUNTIF(L61:N61,"?*")=$T$6,"✅ CUBIERTO",IF(COUNTIF(L61:N61,"?*")&gt;$T$6,"⚠ EXCESO",
IF(COUNTIF(L61:N61,"?*")&gt;0,"⚠ FALTANTE", "❌ SIN COMPLETAR")))</f>
        <v>✅ CUBIERTO</v>
      </c>
      <c r="P61" s="7"/>
      <c r="Q61" s="27">
        <v>45965</v>
      </c>
      <c r="R61" s="28" t="str">
        <f t="shared" ref="R61:R69" si="14">TEXT(Q61,"ddd")</f>
        <v>mar</v>
      </c>
      <c r="S61" s="29">
        <v>0.5</v>
      </c>
      <c r="T61" s="19"/>
      <c r="U61" s="19"/>
      <c r="V61" s="19"/>
      <c r="W61" s="30" t="str">
        <f>IF(COUNTIF(T61:V61,"?*")=$T$7,"✅ CUBIERTO",IF(COUNTIF(T61:V61,"?*")&gt;$T$7,"⚠ EXCESO",
IF(COUNTIF(T61:V61,"?*")&gt;0,"⚠ FALTANTE", "❌ SIN COMPLETAR")))</f>
        <v>❌ SIN COMPLETAR</v>
      </c>
    </row>
    <row r="62" spans="1:23" x14ac:dyDescent="0.35">
      <c r="A62" s="27">
        <v>45965</v>
      </c>
      <c r="B62" s="28" t="str">
        <f t="shared" si="12"/>
        <v>mar</v>
      </c>
      <c r="C62" s="29">
        <v>0.54166666666666696</v>
      </c>
      <c r="D62" s="19" t="s">
        <v>3</v>
      </c>
      <c r="E62" s="19" t="s">
        <v>31</v>
      </c>
      <c r="F62" s="19" t="s">
        <v>4</v>
      </c>
      <c r="G62" s="30" t="str">
        <f>IF(COUNTIF(D62:F62,"?*")=$T$5,"✅ CUBIERTO",
IF(COUNTIF(D62:F62,"?*")&gt;$T$5,"⚠ EXCESO",IF(COUNTIF(D62:F62,"?*")&gt;0,"⚠ FALTANTE",
"❌ SIN COMPLETAR")))</f>
        <v>⚠ EXCESO</v>
      </c>
      <c r="H62" s="7"/>
      <c r="I62" s="27">
        <v>45965</v>
      </c>
      <c r="J62" s="28" t="str">
        <f t="shared" si="13"/>
        <v>mar</v>
      </c>
      <c r="K62" s="29">
        <v>0.54166666666666696</v>
      </c>
      <c r="L62" s="19" t="s">
        <v>7</v>
      </c>
      <c r="M62" s="19"/>
      <c r="N62" s="19"/>
      <c r="O62" s="31" t="str">
        <f>IF(COUNTIF(L62:N62,"?*")=$T$6,"✅ CUBIERTO",IF(COUNTIF(L62:N62,"?*")&gt;$T$6,"⚠ EXCESO",
IF(COUNTIF(L62:N62,"?*")&gt;0,"⚠ FALTANTE", "❌ SIN COMPLETAR")))</f>
        <v>✅ CUBIERTO</v>
      </c>
      <c r="P62" s="7"/>
      <c r="Q62" s="27">
        <v>45965</v>
      </c>
      <c r="R62" s="28" t="str">
        <f t="shared" si="14"/>
        <v>mar</v>
      </c>
      <c r="S62" s="29">
        <v>0.54166666666666696</v>
      </c>
      <c r="T62" s="19"/>
      <c r="U62" s="19"/>
      <c r="V62" s="19"/>
      <c r="W62" s="30" t="str">
        <f>IF(COUNTIF(T62:V62,"?*")=$T$7,"✅ CUBIERTO",IF(COUNTIF(T62:V62,"?*")&gt;$T$7,"⚠ EXCESO",
IF(COUNTIF(T62:V62,"?*")&gt;0,"⚠ FALTANTE", "❌ SIN COMPLETAR")))</f>
        <v>❌ SIN COMPLETAR</v>
      </c>
    </row>
    <row r="63" spans="1:23" x14ac:dyDescent="0.35">
      <c r="A63" s="27">
        <v>45965</v>
      </c>
      <c r="B63" s="28" t="str">
        <f t="shared" si="12"/>
        <v>mar</v>
      </c>
      <c r="C63" s="29">
        <v>0.58333333333333304</v>
      </c>
      <c r="D63" s="19" t="s">
        <v>3</v>
      </c>
      <c r="E63" s="19" t="s">
        <v>31</v>
      </c>
      <c r="F63" s="19" t="s">
        <v>4</v>
      </c>
      <c r="G63" s="30" t="str">
        <f>IF(COUNTIF(D63:F63,"?*")=$T$5,"✅ CUBIERTO",
IF(COUNTIF(D63:F63,"?*")&gt;$T$5,"⚠ EXCESO",IF(COUNTIF(D63:F63,"?*")&gt;0,"⚠ FALTANTE",
"❌ SIN COMPLETAR")))</f>
        <v>⚠ EXCESO</v>
      </c>
      <c r="H63" s="7"/>
      <c r="I63" s="27">
        <v>45965</v>
      </c>
      <c r="J63" s="28" t="str">
        <f t="shared" si="13"/>
        <v>mar</v>
      </c>
      <c r="K63" s="29">
        <v>0.58333333333333304</v>
      </c>
      <c r="L63" s="19" t="s">
        <v>29</v>
      </c>
      <c r="M63" s="19"/>
      <c r="N63" s="19"/>
      <c r="O63" s="31" t="str">
        <f>IF(COUNTIF(L63:N63,"?*")=$T$6,"✅ CUBIERTO",IF(COUNTIF(L63:N63,"?*")&gt;$T$6,"⚠ EXCESO",
IF(COUNTIF(L63:N63,"?*")&gt;0,"⚠ FALTANTE", "❌ SIN COMPLETAR")))</f>
        <v>✅ CUBIERTO</v>
      </c>
      <c r="P63" s="7"/>
      <c r="Q63" s="27">
        <v>45965</v>
      </c>
      <c r="R63" s="28" t="str">
        <f t="shared" si="14"/>
        <v>mar</v>
      </c>
      <c r="S63" s="29">
        <v>0.58333333333333304</v>
      </c>
      <c r="T63" s="19"/>
      <c r="U63" s="19"/>
      <c r="V63" s="19"/>
      <c r="W63" s="30" t="str">
        <f>IF(COUNTIF(T63:V63,"?*")=$T$7,"✅ CUBIERTO",IF(COUNTIF(T63:V63,"?*")&gt;$T$7,"⚠ EXCESO",
IF(COUNTIF(T63:V63,"?*")&gt;0,"⚠ FALTANTE", "❌ SIN COMPLETAR")))</f>
        <v>❌ SIN COMPLETAR</v>
      </c>
    </row>
    <row r="64" spans="1:23" x14ac:dyDescent="0.35">
      <c r="A64" s="27">
        <v>45965</v>
      </c>
      <c r="B64" s="28" t="str">
        <f t="shared" si="12"/>
        <v>mar</v>
      </c>
      <c r="C64" s="29">
        <v>0.625</v>
      </c>
      <c r="D64" s="19" t="s">
        <v>3</v>
      </c>
      <c r="E64" s="19" t="s">
        <v>4</v>
      </c>
      <c r="F64" s="19" t="s">
        <v>7</v>
      </c>
      <c r="G64" s="30" t="str">
        <f>IF(COUNTIF(D64:F64,"?*")=$T$5,"✅ CUBIERTO",
IF(COUNTIF(D64:F64,"?*")&gt;$T$5,"⚠ EXCESO",IF(COUNTIF(D64:F64,"?*")&gt;0,"⚠ FALTANTE",
"❌ SIN COMPLETAR")))</f>
        <v>⚠ EXCESO</v>
      </c>
      <c r="H64" s="7"/>
      <c r="I64" s="27">
        <v>45965</v>
      </c>
      <c r="J64" s="28" t="str">
        <f t="shared" si="13"/>
        <v>mar</v>
      </c>
      <c r="K64" s="29">
        <v>0.625</v>
      </c>
      <c r="L64" s="19" t="s">
        <v>29</v>
      </c>
      <c r="M64" s="19"/>
      <c r="N64" s="19"/>
      <c r="O64" s="31" t="str">
        <f>IF(COUNTIF(L64:N64,"?*")=$T$6,"✅ CUBIERTO",IF(COUNTIF(L64:N64,"?*")&gt;$T$6,"⚠ EXCESO",
IF(COUNTIF(L64:N64,"?*")&gt;0,"⚠ FALTANTE", "❌ SIN COMPLETAR")))</f>
        <v>✅ CUBIERTO</v>
      </c>
      <c r="P64" s="7"/>
      <c r="Q64" s="27">
        <v>45965</v>
      </c>
      <c r="R64" s="28" t="str">
        <f t="shared" si="14"/>
        <v>mar</v>
      </c>
      <c r="S64" s="29">
        <v>0.625</v>
      </c>
      <c r="T64" s="19"/>
      <c r="U64" s="19"/>
      <c r="V64" s="19"/>
      <c r="W64" s="30" t="str">
        <f>IF(COUNTIF(T64:V64,"?*")=$T$7,"✅ CUBIERTO",IF(COUNTIF(T64:V64,"?*")&gt;$T$7,"⚠ EXCESO",
IF(COUNTIF(T64:V64,"?*")&gt;0,"⚠ FALTANTE", "❌ SIN COMPLETAR")))</f>
        <v>❌ SIN COMPLETAR</v>
      </c>
    </row>
    <row r="65" spans="1:23" x14ac:dyDescent="0.35">
      <c r="A65" s="27">
        <v>45965</v>
      </c>
      <c r="B65" s="28" t="str">
        <f t="shared" si="12"/>
        <v>mar</v>
      </c>
      <c r="C65" s="29">
        <v>0.66666666666666696</v>
      </c>
      <c r="D65" s="19" t="s">
        <v>30</v>
      </c>
      <c r="E65" s="19"/>
      <c r="F65" s="19"/>
      <c r="G65" s="30" t="str">
        <f>IF(COUNTIF(D65:F65,"?*")=$T$5,"✅ CUBIERTO",
IF(COUNTIF(D65:F65,"?*")&gt;$T$5,"⚠ EXCESO",IF(COUNTIF(D65:F65,"?*")&gt;0,"⚠ FALTANTE",
"❌ SIN COMPLETAR")))</f>
        <v>⚠ FALTANTE</v>
      </c>
      <c r="H65" s="7"/>
      <c r="I65" s="27">
        <v>45965</v>
      </c>
      <c r="J65" s="28" t="str">
        <f t="shared" si="13"/>
        <v>mar</v>
      </c>
      <c r="K65" s="29">
        <v>0.66666666666666696</v>
      </c>
      <c r="L65" s="19" t="s">
        <v>29</v>
      </c>
      <c r="M65" s="19"/>
      <c r="N65" s="19"/>
      <c r="O65" s="31" t="str">
        <f>IF(COUNTIF(L65:N65,"?*")=$T$6,"✅ CUBIERTO",IF(COUNTIF(L65:N65,"?*")&gt;$T$6,"⚠ EXCESO",
IF(COUNTIF(L65:N65,"?*")&gt;0,"⚠ FALTANTE", "❌ SIN COMPLETAR")))</f>
        <v>✅ CUBIERTO</v>
      </c>
      <c r="P65" s="7"/>
      <c r="Q65" s="27">
        <v>45965</v>
      </c>
      <c r="R65" s="28" t="str">
        <f t="shared" si="14"/>
        <v>mar</v>
      </c>
      <c r="S65" s="29">
        <v>0.66666666666666696</v>
      </c>
      <c r="T65" s="19"/>
      <c r="U65" s="19"/>
      <c r="V65" s="19"/>
      <c r="W65" s="30" t="str">
        <f>IF(COUNTIF(T65:V65,"?*")=$T$7,"✅ CUBIERTO",IF(COUNTIF(T65:V65,"?*")&gt;$T$7,"⚠ EXCESO",
IF(COUNTIF(T65:V65,"?*")&gt;0,"⚠ FALTANTE", "❌ SIN COMPLETAR")))</f>
        <v>❌ SIN COMPLETAR</v>
      </c>
    </row>
    <row r="66" spans="1:23" x14ac:dyDescent="0.35">
      <c r="A66" s="27">
        <v>45965</v>
      </c>
      <c r="B66" s="28" t="str">
        <f t="shared" si="12"/>
        <v>mar</v>
      </c>
      <c r="C66" s="29">
        <v>0.70833333333333304</v>
      </c>
      <c r="D66" s="19" t="s">
        <v>30</v>
      </c>
      <c r="E66" s="19" t="s">
        <v>4</v>
      </c>
      <c r="F66" s="19"/>
      <c r="G66" s="30" t="str">
        <f>IF(COUNTIF(D66:F66,"?*")=$T$5,"✅ CUBIERTO",
IF(COUNTIF(D66:F66,"?*")&gt;$T$5,"⚠ EXCESO",IF(COUNTIF(D66:F66,"?*")&gt;0,"⚠ FALTANTE",
"❌ SIN COMPLETAR")))</f>
        <v>✅ CUBIERTO</v>
      </c>
      <c r="H66" s="7"/>
      <c r="I66" s="27">
        <v>45965</v>
      </c>
      <c r="J66" s="28" t="str">
        <f t="shared" si="13"/>
        <v>mar</v>
      </c>
      <c r="K66" s="29">
        <v>0.70833333333333304</v>
      </c>
      <c r="L66" s="19" t="s">
        <v>29</v>
      </c>
      <c r="M66" s="19"/>
      <c r="N66" s="19"/>
      <c r="O66" s="31" t="str">
        <f>IF(COUNTIF(L66:N66,"?*")=$T$6,"✅ CUBIERTO",IF(COUNTIF(L66:N66,"?*")&gt;$T$6,"⚠ EXCESO",
IF(COUNTIF(L66:N66,"?*")&gt;0,"⚠ FALTANTE", "❌ SIN COMPLETAR")))</f>
        <v>✅ CUBIERTO</v>
      </c>
      <c r="P66" s="7"/>
      <c r="Q66" s="27">
        <v>45965</v>
      </c>
      <c r="R66" s="28" t="str">
        <f t="shared" si="14"/>
        <v>mar</v>
      </c>
      <c r="S66" s="29">
        <v>0.70833333333333304</v>
      </c>
      <c r="T66" s="19"/>
      <c r="U66" s="19"/>
      <c r="V66" s="19"/>
      <c r="W66" s="30" t="str">
        <f>IF(COUNTIF(T66:V66,"?*")=$T$7,"✅ CUBIERTO",IF(COUNTIF(T66:V66,"?*")&gt;$T$7,"⚠ EXCESO",
IF(COUNTIF(T66:V66,"?*")&gt;0,"⚠ FALTANTE", "❌ SIN COMPLETAR")))</f>
        <v>❌ SIN COMPLETAR</v>
      </c>
    </row>
    <row r="67" spans="1:23" x14ac:dyDescent="0.35">
      <c r="A67" s="27">
        <v>45965</v>
      </c>
      <c r="B67" s="28" t="str">
        <f t="shared" si="12"/>
        <v>mar</v>
      </c>
      <c r="C67" s="29">
        <v>0.75</v>
      </c>
      <c r="D67" s="19" t="s">
        <v>30</v>
      </c>
      <c r="E67" s="19" t="s">
        <v>4</v>
      </c>
      <c r="F67" s="19"/>
      <c r="G67" s="30" t="str">
        <f>IF(COUNTIF(D67:F67,"?*")=$T$5,"✅ CUBIERTO",
IF(COUNTIF(D67:F67,"?*")&gt;$T$5,"⚠ EXCESO",IF(COUNTIF(D67:F67,"?*")&gt;0,"⚠ FALTANTE",
"❌ SIN COMPLETAR")))</f>
        <v>✅ CUBIERTO</v>
      </c>
      <c r="H67" s="7"/>
      <c r="I67" s="27">
        <v>45965</v>
      </c>
      <c r="J67" s="28" t="str">
        <f t="shared" si="13"/>
        <v>mar</v>
      </c>
      <c r="K67" s="29">
        <v>0.75</v>
      </c>
      <c r="L67" s="25"/>
      <c r="M67" s="25"/>
      <c r="N67" s="25"/>
      <c r="O67" s="31" t="s">
        <v>32</v>
      </c>
      <c r="P67" s="7"/>
      <c r="Q67" s="27">
        <v>45965</v>
      </c>
      <c r="R67" s="28" t="str">
        <f t="shared" si="14"/>
        <v>mar</v>
      </c>
      <c r="S67" s="29">
        <v>0.75</v>
      </c>
      <c r="T67" s="19"/>
      <c r="U67" s="19"/>
      <c r="V67" s="19"/>
      <c r="W67" s="30" t="str">
        <f>IF(COUNTIF(T67:V67,"?*")=$T$7,"✅ CUBIERTO",IF(COUNTIF(T67:V67,"?*")&gt;$T$7,"⚠ EXCESO",
IF(COUNTIF(T67:V67,"?*")&gt;0,"⚠ FALTANTE", "❌ SIN COMPLETAR")))</f>
        <v>❌ SIN COMPLETAR</v>
      </c>
    </row>
    <row r="68" spans="1:23" x14ac:dyDescent="0.35">
      <c r="A68" s="27">
        <v>45965</v>
      </c>
      <c r="B68" s="28" t="str">
        <f t="shared" si="12"/>
        <v>mar</v>
      </c>
      <c r="C68" s="29">
        <v>0.79166666666666696</v>
      </c>
      <c r="D68" s="19" t="s">
        <v>30</v>
      </c>
      <c r="E68" s="19" t="s">
        <v>4</v>
      </c>
      <c r="F68" s="19"/>
      <c r="G68" s="30" t="str">
        <f>IF(COUNTIF(D68:F68,"?*")=$T$5,"✅ CUBIERTO",
IF(COUNTIF(D68:F68,"?*")&gt;$T$5,"⚠ EXCESO",IF(COUNTIF(D68:F68,"?*")&gt;0,"⚠ FALTANTE",
"❌ SIN COMPLETAR")))</f>
        <v>✅ CUBIERTO</v>
      </c>
      <c r="H68" s="7"/>
      <c r="I68" s="27">
        <v>45965</v>
      </c>
      <c r="J68" s="28" t="str">
        <f t="shared" si="13"/>
        <v>mar</v>
      </c>
      <c r="K68" s="29">
        <v>0.79166666666666696</v>
      </c>
      <c r="L68" s="25"/>
      <c r="M68" s="25"/>
      <c r="N68" s="25"/>
      <c r="O68" s="31" t="s">
        <v>32</v>
      </c>
      <c r="P68" s="7"/>
      <c r="Q68" s="27">
        <v>45965</v>
      </c>
      <c r="R68" s="28" t="str">
        <f t="shared" si="14"/>
        <v>mar</v>
      </c>
      <c r="S68" s="29">
        <v>0.79166666666666696</v>
      </c>
      <c r="T68" s="19"/>
      <c r="U68" s="19"/>
      <c r="V68" s="19"/>
      <c r="W68" s="30" t="str">
        <f>IF(COUNTIF(T68:V68,"?*")=$T$7,"✅ CUBIERTO",IF(COUNTIF(T68:V68,"?*")&gt;$T$7,"⚠ EXCESO",
IF(COUNTIF(T68:V68,"?*")&gt;0,"⚠ FALTANTE", "❌ SIN COMPLETAR")))</f>
        <v>❌ SIN COMPLETAR</v>
      </c>
    </row>
    <row r="69" spans="1:23" x14ac:dyDescent="0.35">
      <c r="A69" s="27">
        <v>45965</v>
      </c>
      <c r="B69" s="28" t="str">
        <f t="shared" si="12"/>
        <v>mar</v>
      </c>
      <c r="C69" s="29">
        <v>0.83333333333333337</v>
      </c>
      <c r="D69" s="25"/>
      <c r="E69" s="25"/>
      <c r="F69" s="25"/>
      <c r="G69" s="30" t="s">
        <v>32</v>
      </c>
      <c r="H69" s="7"/>
      <c r="I69" s="27">
        <v>45965</v>
      </c>
      <c r="J69" s="28" t="str">
        <f t="shared" si="13"/>
        <v>mar</v>
      </c>
      <c r="K69" s="29">
        <v>0.83333333333333337</v>
      </c>
      <c r="L69" s="25"/>
      <c r="M69" s="25"/>
      <c r="N69" s="25"/>
      <c r="O69" s="31" t="s">
        <v>32</v>
      </c>
      <c r="P69" s="7"/>
      <c r="Q69" s="27">
        <v>45965</v>
      </c>
      <c r="R69" s="28" t="str">
        <f t="shared" si="14"/>
        <v>mar</v>
      </c>
      <c r="S69" s="29">
        <v>0.83333333333333337</v>
      </c>
      <c r="T69" s="19"/>
      <c r="U69" s="19"/>
      <c r="V69" s="19"/>
      <c r="W69" s="30" t="str">
        <f>IF(COUNTIF(T69:V69,"?*")=$T$7,"✅ CUBIERTO",IF(COUNTIF(T69:V69,"?*")&gt;$T$7,"⚠ EXCESO",
IF(COUNTIF(T69:V69,"?*")&gt;0,"⚠ FALTANTE", "❌ SIN COMPLETAR")))</f>
        <v>❌ SIN COMPLETAR</v>
      </c>
    </row>
    <row r="70" spans="1:23" x14ac:dyDescent="0.35">
      <c r="A70" s="27">
        <v>45966</v>
      </c>
      <c r="B70" s="28" t="str">
        <f>TEXT(A70,"ddd")</f>
        <v>mié</v>
      </c>
      <c r="C70" s="29">
        <v>0.375</v>
      </c>
      <c r="D70" s="25"/>
      <c r="E70" s="25"/>
      <c r="F70" s="25"/>
      <c r="G70" s="30" t="s">
        <v>32</v>
      </c>
      <c r="H70" s="7"/>
      <c r="I70" s="27">
        <v>45966</v>
      </c>
      <c r="J70" s="28" t="str">
        <f>TEXT(I70,"ddd")</f>
        <v>mié</v>
      </c>
      <c r="K70" s="29">
        <v>0.375</v>
      </c>
      <c r="L70" s="19" t="s">
        <v>7</v>
      </c>
      <c r="M70" s="19"/>
      <c r="N70" s="19"/>
      <c r="O70" s="31" t="str">
        <f>IF(COUNTIF(L70:N70,"?*")=$T$6,"✅ CUBIERTO",IF(COUNTIF(L70:N70,"?*")&gt;$T$6,"⚠ EXCESO",
IF(COUNTIF(L70:N70,"?*")&gt;0,"⚠ FALTANTE", "❌ SIN COMPLETAR")))</f>
        <v>✅ CUBIERTO</v>
      </c>
      <c r="P70" s="7"/>
      <c r="Q70" s="27">
        <v>45966</v>
      </c>
      <c r="R70" s="28" t="str">
        <f>TEXT(Q70,"ddd")</f>
        <v>mié</v>
      </c>
      <c r="S70" s="29">
        <v>0.375</v>
      </c>
      <c r="T70" s="25"/>
      <c r="U70" s="25"/>
      <c r="V70" s="25"/>
      <c r="W70" s="30" t="s">
        <v>32</v>
      </c>
    </row>
    <row r="71" spans="1:23" x14ac:dyDescent="0.35">
      <c r="A71" s="27">
        <v>45966</v>
      </c>
      <c r="B71" s="28" t="str">
        <f>TEXT(A71,"ddd")</f>
        <v>mié</v>
      </c>
      <c r="C71" s="29">
        <v>0.41666666666666669</v>
      </c>
      <c r="D71" s="25"/>
      <c r="E71" s="25"/>
      <c r="F71" s="25"/>
      <c r="G71" s="30" t="s">
        <v>32</v>
      </c>
      <c r="H71" s="7"/>
      <c r="I71" s="27">
        <v>45966</v>
      </c>
      <c r="J71" s="28" t="str">
        <f>TEXT(I71,"ddd")</f>
        <v>mié</v>
      </c>
      <c r="K71" s="29">
        <v>0.41666666666666669</v>
      </c>
      <c r="L71" s="19" t="s">
        <v>7</v>
      </c>
      <c r="M71" s="19"/>
      <c r="N71" s="19"/>
      <c r="O71" s="31" t="str">
        <f>IF(COUNTIF(L71:N71,"?*")=$T$6,"✅ CUBIERTO",IF(COUNTIF(L71:N71,"?*")&gt;$T$6,"⚠ EXCESO",
IF(COUNTIF(L71:N71,"?*")&gt;0,"⚠ FALTANTE", "❌ SIN COMPLETAR")))</f>
        <v>✅ CUBIERTO</v>
      </c>
      <c r="P71" s="7"/>
      <c r="Q71" s="27">
        <v>45966</v>
      </c>
      <c r="R71" s="28" t="str">
        <f>TEXT(Q71,"ddd")</f>
        <v>mié</v>
      </c>
      <c r="S71" s="29">
        <v>0.41666666666666669</v>
      </c>
      <c r="T71" s="19" t="s">
        <v>4</v>
      </c>
      <c r="U71" s="19"/>
      <c r="V71" s="19"/>
      <c r="W71" s="30" t="str">
        <f>IF(COUNTIF(T71:V71,"?*")=$T$7,"✅ CUBIERTO",IF(COUNTIF(T71:V71,"?*")&gt;$T$7,"⚠ EXCESO",
IF(COUNTIF(T71:V71,"?*")&gt;0,"⚠ FALTANTE", "❌ SIN COMPLETAR")))</f>
        <v>✅ CUBIERTO</v>
      </c>
    </row>
    <row r="72" spans="1:23" x14ac:dyDescent="0.35">
      <c r="A72" s="27">
        <v>45966</v>
      </c>
      <c r="B72" s="28" t="str">
        <f>TEXT(A72,"ddd")</f>
        <v>mié</v>
      </c>
      <c r="C72" s="29">
        <v>0.45833333333333331</v>
      </c>
      <c r="D72" s="19" t="s">
        <v>3</v>
      </c>
      <c r="E72" s="19" t="s">
        <v>5</v>
      </c>
      <c r="F72" s="19"/>
      <c r="G72" s="30" t="str">
        <f>IF(COUNTIF(D72:F72,"?*")=$T$5,"✅ CUBIERTO",
IF(COUNTIF(D72:F72,"?*")&gt;$T$5,"⚠ EXCESO",IF(COUNTIF(D72:F72,"?*")&gt;0,"⚠ FALTANTE",
"❌ SIN COMPLETAR")))</f>
        <v>✅ CUBIERTO</v>
      </c>
      <c r="H72" s="7"/>
      <c r="I72" s="27">
        <v>45966</v>
      </c>
      <c r="J72" s="28" t="str">
        <f>TEXT(I72,"ddd")</f>
        <v>mié</v>
      </c>
      <c r="K72" s="29">
        <v>0.45833333333333331</v>
      </c>
      <c r="L72" s="19" t="s">
        <v>7</v>
      </c>
      <c r="M72" s="19"/>
      <c r="N72" s="19"/>
      <c r="O72" s="31" t="str">
        <f>IF(COUNTIF(L72:N72,"?*")=$T$6,"✅ CUBIERTO",IF(COUNTIF(L72:N72,"?*")&gt;$T$6,"⚠ EXCESO",
IF(COUNTIF(L72:N72,"?*")&gt;0,"⚠ FALTANTE", "❌ SIN COMPLETAR")))</f>
        <v>✅ CUBIERTO</v>
      </c>
      <c r="P72" s="7"/>
      <c r="Q72" s="27">
        <v>45966</v>
      </c>
      <c r="R72" s="28" t="str">
        <f>TEXT(Q72,"ddd")</f>
        <v>mié</v>
      </c>
      <c r="S72" s="29">
        <v>0.45833333333333331</v>
      </c>
      <c r="T72" s="19" t="s">
        <v>4</v>
      </c>
      <c r="U72" s="19"/>
      <c r="V72" s="19"/>
      <c r="W72" s="30" t="str">
        <f>IF(COUNTIF(T72:V72,"?*")=$T$7,"✅ CUBIERTO",IF(COUNTIF(T72:V72,"?*")&gt;$T$7,"⚠ EXCESO",
IF(COUNTIF(T72:V72,"?*")&gt;0,"⚠ FALTANTE", "❌ SIN COMPLETAR")))</f>
        <v>✅ CUBIERTO</v>
      </c>
    </row>
    <row r="73" spans="1:23" x14ac:dyDescent="0.35">
      <c r="A73" s="27">
        <v>45966</v>
      </c>
      <c r="B73" s="28" t="str">
        <f t="shared" ref="B73:B81" si="15">TEXT(A73,"ddd")</f>
        <v>mié</v>
      </c>
      <c r="C73" s="29">
        <v>0.5</v>
      </c>
      <c r="D73" s="19" t="s">
        <v>3</v>
      </c>
      <c r="E73" s="19" t="s">
        <v>5</v>
      </c>
      <c r="F73" s="19"/>
      <c r="G73" s="30" t="str">
        <f>IF(COUNTIF(D73:F73,"?*")=$T$5,"✅ CUBIERTO",
IF(COUNTIF(D73:F73,"?*")&gt;$T$5,"⚠ EXCESO",IF(COUNTIF(D73:F73,"?*")&gt;0,"⚠ FALTANTE",
"❌ SIN COMPLETAR")))</f>
        <v>✅ CUBIERTO</v>
      </c>
      <c r="H73" s="7"/>
      <c r="I73" s="27">
        <v>45966</v>
      </c>
      <c r="J73" s="28" t="str">
        <f t="shared" ref="J73:J81" si="16">TEXT(I73,"ddd")</f>
        <v>mié</v>
      </c>
      <c r="K73" s="29">
        <v>0.5</v>
      </c>
      <c r="L73" s="19" t="s">
        <v>7</v>
      </c>
      <c r="M73" s="19"/>
      <c r="N73" s="19"/>
      <c r="O73" s="31" t="str">
        <f>IF(COUNTIF(L73:N73,"?*")=$T$6,"✅ CUBIERTO",IF(COUNTIF(L73:N73,"?*")&gt;$T$6,"⚠ EXCESO",
IF(COUNTIF(L73:N73,"?*")&gt;0,"⚠ FALTANTE", "❌ SIN COMPLETAR")))</f>
        <v>✅ CUBIERTO</v>
      </c>
      <c r="P73" s="7"/>
      <c r="Q73" s="27">
        <v>45966</v>
      </c>
      <c r="R73" s="28" t="str">
        <f t="shared" ref="R73:R81" si="17">TEXT(Q73,"ddd")</f>
        <v>mié</v>
      </c>
      <c r="S73" s="29">
        <v>0.5</v>
      </c>
      <c r="T73" s="19" t="s">
        <v>4</v>
      </c>
      <c r="U73" s="19"/>
      <c r="V73" s="19"/>
      <c r="W73" s="30" t="str">
        <f>IF(COUNTIF(T73:V73,"?*")=$T$7,"✅ CUBIERTO",IF(COUNTIF(T73:V73,"?*")&gt;$T$7,"⚠ EXCESO",
IF(COUNTIF(T73:V73,"?*")&gt;0,"⚠ FALTANTE", "❌ SIN COMPLETAR")))</f>
        <v>✅ CUBIERTO</v>
      </c>
    </row>
    <row r="74" spans="1:23" x14ac:dyDescent="0.35">
      <c r="A74" s="27">
        <v>45966</v>
      </c>
      <c r="B74" s="28" t="str">
        <f t="shared" si="15"/>
        <v>mié</v>
      </c>
      <c r="C74" s="29">
        <v>0.54166666666666696</v>
      </c>
      <c r="D74" s="19" t="s">
        <v>3</v>
      </c>
      <c r="E74" s="19" t="s">
        <v>5</v>
      </c>
      <c r="F74" s="19"/>
      <c r="G74" s="30" t="str">
        <f>IF(COUNTIF(D74:F74,"?*")=$T$5,"✅ CUBIERTO",
IF(COUNTIF(D74:F74,"?*")&gt;$T$5,"⚠ EXCESO",IF(COUNTIF(D74:F74,"?*")&gt;0,"⚠ FALTANTE",
"❌ SIN COMPLETAR")))</f>
        <v>✅ CUBIERTO</v>
      </c>
      <c r="H74" s="7"/>
      <c r="I74" s="27">
        <v>45966</v>
      </c>
      <c r="J74" s="28" t="str">
        <f t="shared" si="16"/>
        <v>mié</v>
      </c>
      <c r="K74" s="29">
        <v>0.54166666666666696</v>
      </c>
      <c r="L74" s="19" t="s">
        <v>7</v>
      </c>
      <c r="M74" s="19"/>
      <c r="N74" s="19"/>
      <c r="O74" s="31" t="str">
        <f>IF(COUNTIF(L74:N74,"?*")=$T$6,"✅ CUBIERTO",IF(COUNTIF(L74:N74,"?*")&gt;$T$6,"⚠ EXCESO",
IF(COUNTIF(L74:N74,"?*")&gt;0,"⚠ FALTANTE", "❌ SIN COMPLETAR")))</f>
        <v>✅ CUBIERTO</v>
      </c>
      <c r="P74" s="7"/>
      <c r="Q74" s="27">
        <v>45966</v>
      </c>
      <c r="R74" s="28" t="str">
        <f t="shared" si="17"/>
        <v>mié</v>
      </c>
      <c r="S74" s="29">
        <v>0.54166666666666696</v>
      </c>
      <c r="T74" s="19" t="s">
        <v>4</v>
      </c>
      <c r="U74" s="19"/>
      <c r="V74" s="19"/>
      <c r="W74" s="30" t="str">
        <f>IF(COUNTIF(T74:V74,"?*")=$T$7,"✅ CUBIERTO",IF(COUNTIF(T74:V74,"?*")&gt;$T$7,"⚠ EXCESO",
IF(COUNTIF(T74:V74,"?*")&gt;0,"⚠ FALTANTE", "❌ SIN COMPLETAR")))</f>
        <v>✅ CUBIERTO</v>
      </c>
    </row>
    <row r="75" spans="1:23" x14ac:dyDescent="0.35">
      <c r="A75" s="27">
        <v>45966</v>
      </c>
      <c r="B75" s="28" t="str">
        <f t="shared" si="15"/>
        <v>mié</v>
      </c>
      <c r="C75" s="29">
        <v>0.58333333333333304</v>
      </c>
      <c r="D75" s="19" t="s">
        <v>3</v>
      </c>
      <c r="E75" s="19" t="s">
        <v>5</v>
      </c>
      <c r="F75" s="19"/>
      <c r="G75" s="30" t="str">
        <f>IF(COUNTIF(D75:F75,"?*")=$T$5,"✅ CUBIERTO",
IF(COUNTIF(D75:F75,"?*")&gt;$T$5,"⚠ EXCESO",IF(COUNTIF(D75:F75,"?*")&gt;0,"⚠ FALTANTE",
"❌ SIN COMPLETAR")))</f>
        <v>✅ CUBIERTO</v>
      </c>
      <c r="H75" s="7"/>
      <c r="I75" s="27">
        <v>45966</v>
      </c>
      <c r="J75" s="28" t="str">
        <f t="shared" si="16"/>
        <v>mié</v>
      </c>
      <c r="K75" s="29">
        <v>0.58333333333333304</v>
      </c>
      <c r="L75" s="19" t="s">
        <v>29</v>
      </c>
      <c r="M75" s="19"/>
      <c r="N75" s="19"/>
      <c r="O75" s="31" t="str">
        <f>IF(COUNTIF(L75:N75,"?*")=$T$6,"✅ CUBIERTO",IF(COUNTIF(L75:N75,"?*")&gt;$T$6,"⚠ EXCESO",
IF(COUNTIF(L75:N75,"?*")&gt;0,"⚠ FALTANTE", "❌ SIN COMPLETAR")))</f>
        <v>✅ CUBIERTO</v>
      </c>
      <c r="P75" s="7"/>
      <c r="Q75" s="27">
        <v>45966</v>
      </c>
      <c r="R75" s="28" t="str">
        <f t="shared" si="17"/>
        <v>mié</v>
      </c>
      <c r="S75" s="29">
        <v>0.58333333333333304</v>
      </c>
      <c r="T75" s="19"/>
      <c r="U75" s="19"/>
      <c r="V75" s="19"/>
      <c r="W75" s="30" t="str">
        <f>IF(COUNTIF(T75:V75,"?*")=$T$7,"✅ CUBIERTO",IF(COUNTIF(T75:V75,"?*")&gt;$T$7,"⚠ EXCESO",
IF(COUNTIF(T75:V75,"?*")&gt;0,"⚠ FALTANTE", "❌ SIN COMPLETAR")))</f>
        <v>❌ SIN COMPLETAR</v>
      </c>
    </row>
    <row r="76" spans="1:23" x14ac:dyDescent="0.35">
      <c r="A76" s="27">
        <v>45966</v>
      </c>
      <c r="B76" s="28" t="str">
        <f t="shared" si="15"/>
        <v>mié</v>
      </c>
      <c r="C76" s="29">
        <v>0.625</v>
      </c>
      <c r="D76" s="19" t="s">
        <v>3</v>
      </c>
      <c r="E76" s="19" t="s">
        <v>4</v>
      </c>
      <c r="F76" s="19"/>
      <c r="G76" s="30" t="str">
        <f>IF(COUNTIF(D76:F76,"?*")=$T$5,"✅ CUBIERTO",
IF(COUNTIF(D76:F76,"?*")&gt;$T$5,"⚠ EXCESO",IF(COUNTIF(D76:F76,"?*")&gt;0,"⚠ FALTANTE",
"❌ SIN COMPLETAR")))</f>
        <v>✅ CUBIERTO</v>
      </c>
      <c r="H76" s="7"/>
      <c r="I76" s="27">
        <v>45966</v>
      </c>
      <c r="J76" s="28" t="str">
        <f t="shared" si="16"/>
        <v>mié</v>
      </c>
      <c r="K76" s="29">
        <v>0.625</v>
      </c>
      <c r="L76" s="19" t="s">
        <v>29</v>
      </c>
      <c r="M76" s="19"/>
      <c r="N76" s="19"/>
      <c r="O76" s="31" t="str">
        <f>IF(COUNTIF(L76:N76,"?*")=$T$6,"✅ CUBIERTO",IF(COUNTIF(L76:N76,"?*")&gt;$T$6,"⚠ EXCESO",
IF(COUNTIF(L76:N76,"?*")&gt;0,"⚠ FALTANTE", "❌ SIN COMPLETAR")))</f>
        <v>✅ CUBIERTO</v>
      </c>
      <c r="P76" s="7"/>
      <c r="Q76" s="27">
        <v>45966</v>
      </c>
      <c r="R76" s="28" t="str">
        <f t="shared" si="17"/>
        <v>mié</v>
      </c>
      <c r="S76" s="29">
        <v>0.625</v>
      </c>
      <c r="T76" s="19"/>
      <c r="U76" s="19"/>
      <c r="V76" s="19"/>
      <c r="W76" s="30" t="str">
        <f>IF(COUNTIF(T76:V76,"?*")=$T$7,"✅ CUBIERTO",IF(COUNTIF(T76:V76,"?*")&gt;$T$7,"⚠ EXCESO",
IF(COUNTIF(T76:V76,"?*")&gt;0,"⚠ FALTANTE", "❌ SIN COMPLETAR")))</f>
        <v>❌ SIN COMPLETAR</v>
      </c>
    </row>
    <row r="77" spans="1:23" x14ac:dyDescent="0.35">
      <c r="A77" s="27">
        <v>45966</v>
      </c>
      <c r="B77" s="28" t="str">
        <f t="shared" si="15"/>
        <v>mié</v>
      </c>
      <c r="C77" s="29">
        <v>0.66666666666666696</v>
      </c>
      <c r="D77" s="19" t="s">
        <v>30</v>
      </c>
      <c r="E77" s="19" t="s">
        <v>4</v>
      </c>
      <c r="F77" s="19"/>
      <c r="G77" s="30" t="str">
        <f>IF(COUNTIF(D77:F77,"?*")=$T$5,"✅ CUBIERTO",
IF(COUNTIF(D77:F77,"?*")&gt;$T$5,"⚠ EXCESO",IF(COUNTIF(D77:F77,"?*")&gt;0,"⚠ FALTANTE",
"❌ SIN COMPLETAR")))</f>
        <v>✅ CUBIERTO</v>
      </c>
      <c r="H77" s="7"/>
      <c r="I77" s="27">
        <v>45966</v>
      </c>
      <c r="J77" s="28" t="str">
        <f t="shared" si="16"/>
        <v>mié</v>
      </c>
      <c r="K77" s="29">
        <v>0.66666666666666696</v>
      </c>
      <c r="L77" s="19" t="s">
        <v>29</v>
      </c>
      <c r="M77" s="19"/>
      <c r="N77" s="19"/>
      <c r="O77" s="31" t="str">
        <f>IF(COUNTIF(L77:N77,"?*")=$T$6,"✅ CUBIERTO",IF(COUNTIF(L77:N77,"?*")&gt;$T$6,"⚠ EXCESO",
IF(COUNTIF(L77:N77,"?*")&gt;0,"⚠ FALTANTE", "❌ SIN COMPLETAR")))</f>
        <v>✅ CUBIERTO</v>
      </c>
      <c r="P77" s="7"/>
      <c r="Q77" s="27">
        <v>45966</v>
      </c>
      <c r="R77" s="28" t="str">
        <f t="shared" si="17"/>
        <v>mié</v>
      </c>
      <c r="S77" s="29">
        <v>0.66666666666666696</v>
      </c>
      <c r="T77" s="19"/>
      <c r="U77" s="19"/>
      <c r="V77" s="19"/>
      <c r="W77" s="30" t="str">
        <f>IF(COUNTIF(T77:V77,"?*")=$T$7,"✅ CUBIERTO",IF(COUNTIF(T77:V77,"?*")&gt;$T$7,"⚠ EXCESO",
IF(COUNTIF(T77:V77,"?*")&gt;0,"⚠ FALTANTE", "❌ SIN COMPLETAR")))</f>
        <v>❌ SIN COMPLETAR</v>
      </c>
    </row>
    <row r="78" spans="1:23" x14ac:dyDescent="0.35">
      <c r="A78" s="27">
        <v>45966</v>
      </c>
      <c r="B78" s="28" t="str">
        <f t="shared" si="15"/>
        <v>mié</v>
      </c>
      <c r="C78" s="29">
        <v>0.70833333333333304</v>
      </c>
      <c r="D78" s="19" t="s">
        <v>30</v>
      </c>
      <c r="E78" s="19" t="s">
        <v>4</v>
      </c>
      <c r="F78" s="19"/>
      <c r="G78" s="30" t="str">
        <f>IF(COUNTIF(D78:F78,"?*")=$T$5,"✅ CUBIERTO",
IF(COUNTIF(D78:F78,"?*")&gt;$T$5,"⚠ EXCESO",IF(COUNTIF(D78:F78,"?*")&gt;0,"⚠ FALTANTE",
"❌ SIN COMPLETAR")))</f>
        <v>✅ CUBIERTO</v>
      </c>
      <c r="H78" s="7"/>
      <c r="I78" s="27">
        <v>45966</v>
      </c>
      <c r="J78" s="28" t="str">
        <f t="shared" si="16"/>
        <v>mié</v>
      </c>
      <c r="K78" s="29">
        <v>0.70833333333333304</v>
      </c>
      <c r="L78" s="19" t="s">
        <v>29</v>
      </c>
      <c r="M78" s="19"/>
      <c r="N78" s="19"/>
      <c r="O78" s="31" t="str">
        <f>IF(COUNTIF(L78:N78,"?*")=$T$6,"✅ CUBIERTO",IF(COUNTIF(L78:N78,"?*")&gt;$T$6,"⚠ EXCESO",
IF(COUNTIF(L78:N78,"?*")&gt;0,"⚠ FALTANTE", "❌ SIN COMPLETAR")))</f>
        <v>✅ CUBIERTO</v>
      </c>
      <c r="P78" s="7"/>
      <c r="Q78" s="27">
        <v>45966</v>
      </c>
      <c r="R78" s="28" t="str">
        <f t="shared" si="17"/>
        <v>mié</v>
      </c>
      <c r="S78" s="29">
        <v>0.70833333333333304</v>
      </c>
      <c r="T78" s="19"/>
      <c r="U78" s="19"/>
      <c r="V78" s="19"/>
      <c r="W78" s="30" t="str">
        <f>IF(COUNTIF(T78:V78,"?*")=$T$7,"✅ CUBIERTO",IF(COUNTIF(T78:V78,"?*")&gt;$T$7,"⚠ EXCESO",
IF(COUNTIF(T78:V78,"?*")&gt;0,"⚠ FALTANTE", "❌ SIN COMPLETAR")))</f>
        <v>❌ SIN COMPLETAR</v>
      </c>
    </row>
    <row r="79" spans="1:23" x14ac:dyDescent="0.35">
      <c r="A79" s="27">
        <v>45966</v>
      </c>
      <c r="B79" s="28" t="str">
        <f t="shared" si="15"/>
        <v>mié</v>
      </c>
      <c r="C79" s="29">
        <v>0.75</v>
      </c>
      <c r="D79" s="19" t="s">
        <v>30</v>
      </c>
      <c r="E79" s="19" t="s">
        <v>4</v>
      </c>
      <c r="F79" s="19"/>
      <c r="G79" s="30" t="str">
        <f>IF(COUNTIF(D79:F79,"?*")=$T$5,"✅ CUBIERTO",
IF(COUNTIF(D79:F79,"?*")&gt;$T$5,"⚠ EXCESO",IF(COUNTIF(D79:F79,"?*")&gt;0,"⚠ FALTANTE",
"❌ SIN COMPLETAR")))</f>
        <v>✅ CUBIERTO</v>
      </c>
      <c r="H79" s="7"/>
      <c r="I79" s="27">
        <v>45966</v>
      </c>
      <c r="J79" s="28" t="str">
        <f t="shared" si="16"/>
        <v>mié</v>
      </c>
      <c r="K79" s="29">
        <v>0.75</v>
      </c>
      <c r="L79" s="25"/>
      <c r="M79" s="25"/>
      <c r="N79" s="25"/>
      <c r="O79" s="31" t="s">
        <v>32</v>
      </c>
      <c r="P79" s="7"/>
      <c r="Q79" s="27">
        <v>45966</v>
      </c>
      <c r="R79" s="28" t="str">
        <f t="shared" si="17"/>
        <v>mié</v>
      </c>
      <c r="S79" s="29">
        <v>0.75</v>
      </c>
      <c r="T79" s="19"/>
      <c r="U79" s="19"/>
      <c r="V79" s="19"/>
      <c r="W79" s="30" t="str">
        <f>IF(COUNTIF(T79:V79,"?*")=$T$7,"✅ CUBIERTO",IF(COUNTIF(T79:V79,"?*")&gt;$T$7,"⚠ EXCESO",
IF(COUNTIF(T79:V79,"?*")&gt;0,"⚠ FALTANTE", "❌ SIN COMPLETAR")))</f>
        <v>❌ SIN COMPLETAR</v>
      </c>
    </row>
    <row r="80" spans="1:23" x14ac:dyDescent="0.35">
      <c r="A80" s="27">
        <v>45966</v>
      </c>
      <c r="B80" s="28" t="str">
        <f t="shared" si="15"/>
        <v>mié</v>
      </c>
      <c r="C80" s="29">
        <v>0.79166666666666696</v>
      </c>
      <c r="D80" s="19" t="s">
        <v>30</v>
      </c>
      <c r="E80" s="19" t="s">
        <v>4</v>
      </c>
      <c r="F80" s="19"/>
      <c r="G80" s="30" t="str">
        <f>IF(COUNTIF(D80:F80,"?*")=$T$5,"✅ CUBIERTO",
IF(COUNTIF(D80:F80,"?*")&gt;$T$5,"⚠ EXCESO",IF(COUNTIF(D80:F80,"?*")&gt;0,"⚠ FALTANTE",
"❌ SIN COMPLETAR")))</f>
        <v>✅ CUBIERTO</v>
      </c>
      <c r="H80" s="7"/>
      <c r="I80" s="27">
        <v>45966</v>
      </c>
      <c r="J80" s="28" t="str">
        <f t="shared" si="16"/>
        <v>mié</v>
      </c>
      <c r="K80" s="29">
        <v>0.79166666666666696</v>
      </c>
      <c r="L80" s="25"/>
      <c r="M80" s="25"/>
      <c r="N80" s="25"/>
      <c r="O80" s="31" t="s">
        <v>32</v>
      </c>
      <c r="P80" s="7"/>
      <c r="Q80" s="27">
        <v>45966</v>
      </c>
      <c r="R80" s="28" t="str">
        <f t="shared" si="17"/>
        <v>mié</v>
      </c>
      <c r="S80" s="29">
        <v>0.79166666666666696</v>
      </c>
      <c r="T80" s="19"/>
      <c r="U80" s="19"/>
      <c r="V80" s="19"/>
      <c r="W80" s="30" t="str">
        <f>IF(COUNTIF(T80:V80,"?*")=$T$7,"✅ CUBIERTO",IF(COUNTIF(T80:V80,"?*")&gt;$T$7,"⚠ EXCESO",
IF(COUNTIF(T80:V80,"?*")&gt;0,"⚠ FALTANTE", "❌ SIN COMPLETAR")))</f>
        <v>❌ SIN COMPLETAR</v>
      </c>
    </row>
    <row r="81" spans="1:23" x14ac:dyDescent="0.35">
      <c r="A81" s="27">
        <v>45966</v>
      </c>
      <c r="B81" s="28" t="str">
        <f t="shared" si="15"/>
        <v>mié</v>
      </c>
      <c r="C81" s="29">
        <v>0.83333333333333337</v>
      </c>
      <c r="D81" s="25"/>
      <c r="E81" s="25"/>
      <c r="F81" s="25"/>
      <c r="G81" s="30" t="s">
        <v>32</v>
      </c>
      <c r="H81" s="7"/>
      <c r="I81" s="27">
        <v>45966</v>
      </c>
      <c r="J81" s="28" t="str">
        <f t="shared" si="16"/>
        <v>mié</v>
      </c>
      <c r="K81" s="29">
        <v>0.83333333333333337</v>
      </c>
      <c r="L81" s="25"/>
      <c r="M81" s="25"/>
      <c r="N81" s="25"/>
      <c r="O81" s="31" t="s">
        <v>32</v>
      </c>
      <c r="P81" s="7"/>
      <c r="Q81" s="27">
        <v>45966</v>
      </c>
      <c r="R81" s="28" t="str">
        <f t="shared" si="17"/>
        <v>mié</v>
      </c>
      <c r="S81" s="29">
        <v>0.83333333333333337</v>
      </c>
      <c r="T81" s="19"/>
      <c r="U81" s="19"/>
      <c r="V81" s="19"/>
      <c r="W81" s="30" t="str">
        <f>IF(COUNTIF(T81:V81,"?*")=$T$7,"✅ CUBIERTO",IF(COUNTIF(T81:V81,"?*")&gt;$T$7,"⚠ EXCESO",
IF(COUNTIF(T81:V81,"?*")&gt;0,"⚠ FALTANTE", "❌ SIN COMPLETAR")))</f>
        <v>❌ SIN COMPLETAR</v>
      </c>
    </row>
    <row r="82" spans="1:23" x14ac:dyDescent="0.35">
      <c r="A82" s="27">
        <v>45967</v>
      </c>
      <c r="B82" s="28" t="str">
        <f>TEXT(A82,"ddd")</f>
        <v>jue</v>
      </c>
      <c r="C82" s="29">
        <v>0.375</v>
      </c>
      <c r="D82" s="25"/>
      <c r="E82" s="25"/>
      <c r="F82" s="25"/>
      <c r="G82" s="30" t="s">
        <v>32</v>
      </c>
      <c r="H82" s="7"/>
      <c r="I82" s="27">
        <v>45967</v>
      </c>
      <c r="J82" s="28" t="str">
        <f>TEXT(I82,"ddd")</f>
        <v>jue</v>
      </c>
      <c r="K82" s="29">
        <v>0.375</v>
      </c>
      <c r="L82" s="19" t="s">
        <v>7</v>
      </c>
      <c r="M82" s="19"/>
      <c r="N82" s="19"/>
      <c r="O82" s="31" t="str">
        <f>IF(COUNTIF(L82:N82,"?*")=$T$6,"✅ CUBIERTO",IF(COUNTIF(L82:N82,"?*")&gt;$T$6,"⚠ EXCESO",
IF(COUNTIF(L82:N82,"?*")&gt;0,"⚠ FALTANTE", "❌ SIN COMPLETAR")))</f>
        <v>✅ CUBIERTO</v>
      </c>
      <c r="P82" s="7"/>
      <c r="Q82" s="27">
        <v>45967</v>
      </c>
      <c r="R82" s="28" t="str">
        <f>TEXT(Q82,"ddd")</f>
        <v>jue</v>
      </c>
      <c r="S82" s="29">
        <v>0.375</v>
      </c>
      <c r="T82" s="25"/>
      <c r="U82" s="25"/>
      <c r="V82" s="25"/>
      <c r="W82" s="30" t="s">
        <v>32</v>
      </c>
    </row>
    <row r="83" spans="1:23" x14ac:dyDescent="0.35">
      <c r="A83" s="27">
        <v>45967</v>
      </c>
      <c r="B83" s="28" t="str">
        <f>TEXT(A83,"ddd")</f>
        <v>jue</v>
      </c>
      <c r="C83" s="29">
        <v>0.41666666666666669</v>
      </c>
      <c r="D83" s="25"/>
      <c r="E83" s="25"/>
      <c r="F83" s="25"/>
      <c r="G83" s="30" t="s">
        <v>32</v>
      </c>
      <c r="H83" s="7"/>
      <c r="I83" s="27">
        <v>45967</v>
      </c>
      <c r="J83" s="28" t="str">
        <f>TEXT(I83,"ddd")</f>
        <v>jue</v>
      </c>
      <c r="K83" s="29">
        <v>0.41666666666666669</v>
      </c>
      <c r="L83" s="19" t="s">
        <v>7</v>
      </c>
      <c r="M83" s="19"/>
      <c r="N83" s="19"/>
      <c r="O83" s="31" t="str">
        <f>IF(COUNTIF(L83:N83,"?*")=$T$6,"✅ CUBIERTO",IF(COUNTIF(L83:N83,"?*")&gt;$T$6,"⚠ EXCESO",
IF(COUNTIF(L83:N83,"?*")&gt;0,"⚠ FALTANTE", "❌ SIN COMPLETAR")))</f>
        <v>✅ CUBIERTO</v>
      </c>
      <c r="P83" s="7"/>
      <c r="Q83" s="27">
        <v>45967</v>
      </c>
      <c r="R83" s="28" t="str">
        <f>TEXT(Q83,"ddd")</f>
        <v>jue</v>
      </c>
      <c r="S83" s="29">
        <v>0.41666666666666669</v>
      </c>
      <c r="T83" s="19" t="s">
        <v>4</v>
      </c>
      <c r="U83" s="19"/>
      <c r="V83" s="19"/>
      <c r="W83" s="30" t="str">
        <f>IF(COUNTIF(T83:V83,"?*")=$T$7,"✅ CUBIERTO",IF(COUNTIF(T83:V83,"?*")&gt;$T$7,"⚠ EXCESO",
IF(COUNTIF(T83:V83,"?*")&gt;0,"⚠ FALTANTE", "❌ SIN COMPLETAR")))</f>
        <v>✅ CUBIERTO</v>
      </c>
    </row>
    <row r="84" spans="1:23" x14ac:dyDescent="0.35">
      <c r="A84" s="27">
        <v>45967</v>
      </c>
      <c r="B84" s="28" t="str">
        <f>TEXT(A84,"ddd")</f>
        <v>jue</v>
      </c>
      <c r="C84" s="29">
        <v>0.45833333333333331</v>
      </c>
      <c r="D84" s="19" t="s">
        <v>3</v>
      </c>
      <c r="E84" s="19" t="s">
        <v>5</v>
      </c>
      <c r="F84" s="19"/>
      <c r="G84" s="30" t="str">
        <f>IF(COUNTIF(D84:F84,"?*")=$T$5,"✅ CUBIERTO",
IF(COUNTIF(D84:F84,"?*")&gt;$T$5,"⚠ EXCESO",IF(COUNTIF(D84:F84,"?*")&gt;0,"⚠ FALTANTE",
"❌ SIN COMPLETAR")))</f>
        <v>✅ CUBIERTO</v>
      </c>
      <c r="H84" s="7"/>
      <c r="I84" s="27">
        <v>45967</v>
      </c>
      <c r="J84" s="28" t="str">
        <f>TEXT(I84,"ddd")</f>
        <v>jue</v>
      </c>
      <c r="K84" s="29">
        <v>0.45833333333333331</v>
      </c>
      <c r="L84" s="19" t="s">
        <v>7</v>
      </c>
      <c r="M84" s="19"/>
      <c r="N84" s="19"/>
      <c r="O84" s="31" t="str">
        <f>IF(COUNTIF(L84:N84,"?*")=$T$6,"✅ CUBIERTO",IF(COUNTIF(L84:N84,"?*")&gt;$T$6,"⚠ EXCESO",
IF(COUNTIF(L84:N84,"?*")&gt;0,"⚠ FALTANTE", "❌ SIN COMPLETAR")))</f>
        <v>✅ CUBIERTO</v>
      </c>
      <c r="P84" s="7"/>
      <c r="Q84" s="27">
        <v>45967</v>
      </c>
      <c r="R84" s="28" t="str">
        <f>TEXT(Q84,"ddd")</f>
        <v>jue</v>
      </c>
      <c r="S84" s="29">
        <v>0.45833333333333331</v>
      </c>
      <c r="T84" s="19" t="s">
        <v>4</v>
      </c>
      <c r="U84" s="19"/>
      <c r="V84" s="19"/>
      <c r="W84" s="30" t="str">
        <f>IF(COUNTIF(T84:V84,"?*")=$T$7,"✅ CUBIERTO",IF(COUNTIF(T84:V84,"?*")&gt;$T$7,"⚠ EXCESO",
IF(COUNTIF(T84:V84,"?*")&gt;0,"⚠ FALTANTE", "❌ SIN COMPLETAR")))</f>
        <v>✅ CUBIERTO</v>
      </c>
    </row>
    <row r="85" spans="1:23" x14ac:dyDescent="0.35">
      <c r="A85" s="27">
        <v>45967</v>
      </c>
      <c r="B85" s="28" t="str">
        <f t="shared" ref="B85:B93" si="18">TEXT(A85,"ddd")</f>
        <v>jue</v>
      </c>
      <c r="C85" s="29">
        <v>0.5</v>
      </c>
      <c r="D85" s="19" t="s">
        <v>3</v>
      </c>
      <c r="E85" s="19" t="s">
        <v>5</v>
      </c>
      <c r="F85" s="19"/>
      <c r="G85" s="30" t="str">
        <f>IF(COUNTIF(D85:F85,"?*")=$T$5,"✅ CUBIERTO",
IF(COUNTIF(D85:F85,"?*")&gt;$T$5,"⚠ EXCESO",IF(COUNTIF(D85:F85,"?*")&gt;0,"⚠ FALTANTE",
"❌ SIN COMPLETAR")))</f>
        <v>✅ CUBIERTO</v>
      </c>
      <c r="H85" s="7"/>
      <c r="I85" s="27">
        <v>45967</v>
      </c>
      <c r="J85" s="28" t="str">
        <f t="shared" ref="J85:J93" si="19">TEXT(I85,"ddd")</f>
        <v>jue</v>
      </c>
      <c r="K85" s="29">
        <v>0.5</v>
      </c>
      <c r="L85" s="19" t="s">
        <v>7</v>
      </c>
      <c r="M85" s="19"/>
      <c r="N85" s="19"/>
      <c r="O85" s="31" t="str">
        <f>IF(COUNTIF(L85:N85,"?*")=$T$6,"✅ CUBIERTO",IF(COUNTIF(L85:N85,"?*")&gt;$T$6,"⚠ EXCESO",
IF(COUNTIF(L85:N85,"?*")&gt;0,"⚠ FALTANTE", "❌ SIN COMPLETAR")))</f>
        <v>✅ CUBIERTO</v>
      </c>
      <c r="P85" s="7"/>
      <c r="Q85" s="27">
        <v>45967</v>
      </c>
      <c r="R85" s="28" t="str">
        <f t="shared" ref="R85:R93" si="20">TEXT(Q85,"ddd")</f>
        <v>jue</v>
      </c>
      <c r="S85" s="29">
        <v>0.5</v>
      </c>
      <c r="T85" s="19" t="s">
        <v>4</v>
      </c>
      <c r="U85" s="19"/>
      <c r="V85" s="19"/>
      <c r="W85" s="30" t="str">
        <f>IF(COUNTIF(T85:V85,"?*")=$T$7,"✅ CUBIERTO",IF(COUNTIF(T85:V85,"?*")&gt;$T$7,"⚠ EXCESO",
IF(COUNTIF(T85:V85,"?*")&gt;0,"⚠ FALTANTE", "❌ SIN COMPLETAR")))</f>
        <v>✅ CUBIERTO</v>
      </c>
    </row>
    <row r="86" spans="1:23" x14ac:dyDescent="0.35">
      <c r="A86" s="27">
        <v>45967</v>
      </c>
      <c r="B86" s="28" t="str">
        <f t="shared" si="18"/>
        <v>jue</v>
      </c>
      <c r="C86" s="29">
        <v>0.54166666666666696</v>
      </c>
      <c r="D86" s="19" t="s">
        <v>3</v>
      </c>
      <c r="E86" s="19" t="s">
        <v>5</v>
      </c>
      <c r="F86" s="19"/>
      <c r="G86" s="30" t="str">
        <f>IF(COUNTIF(D86:F86,"?*")=$T$5,"✅ CUBIERTO",
IF(COUNTIF(D86:F86,"?*")&gt;$T$5,"⚠ EXCESO",IF(COUNTIF(D86:F86,"?*")&gt;0,"⚠ FALTANTE",
"❌ SIN COMPLETAR")))</f>
        <v>✅ CUBIERTO</v>
      </c>
      <c r="H86" s="7"/>
      <c r="I86" s="27">
        <v>45967</v>
      </c>
      <c r="J86" s="28" t="str">
        <f t="shared" si="19"/>
        <v>jue</v>
      </c>
      <c r="K86" s="29">
        <v>0.54166666666666696</v>
      </c>
      <c r="L86" s="19" t="s">
        <v>7</v>
      </c>
      <c r="M86" s="19"/>
      <c r="N86" s="19"/>
      <c r="O86" s="31" t="str">
        <f>IF(COUNTIF(L86:N86,"?*")=$T$6,"✅ CUBIERTO",IF(COUNTIF(L86:N86,"?*")&gt;$T$6,"⚠ EXCESO",
IF(COUNTIF(L86:N86,"?*")&gt;0,"⚠ FALTANTE", "❌ SIN COMPLETAR")))</f>
        <v>✅ CUBIERTO</v>
      </c>
      <c r="P86" s="7"/>
      <c r="Q86" s="27">
        <v>45967</v>
      </c>
      <c r="R86" s="28" t="str">
        <f t="shared" si="20"/>
        <v>jue</v>
      </c>
      <c r="S86" s="29">
        <v>0.54166666666666696</v>
      </c>
      <c r="T86" s="19" t="s">
        <v>4</v>
      </c>
      <c r="U86" s="19"/>
      <c r="V86" s="19"/>
      <c r="W86" s="30" t="str">
        <f>IF(COUNTIF(T86:V86,"?*")=$T$7,"✅ CUBIERTO",IF(COUNTIF(T86:V86,"?*")&gt;$T$7,"⚠ EXCESO",
IF(COUNTIF(T86:V86,"?*")&gt;0,"⚠ FALTANTE", "❌ SIN COMPLETAR")))</f>
        <v>✅ CUBIERTO</v>
      </c>
    </row>
    <row r="87" spans="1:23" x14ac:dyDescent="0.35">
      <c r="A87" s="27">
        <v>45967</v>
      </c>
      <c r="B87" s="28" t="str">
        <f t="shared" si="18"/>
        <v>jue</v>
      </c>
      <c r="C87" s="29">
        <v>0.58333333333333304</v>
      </c>
      <c r="D87" s="19" t="s">
        <v>3</v>
      </c>
      <c r="E87" s="19" t="s">
        <v>5</v>
      </c>
      <c r="F87" s="19"/>
      <c r="G87" s="30" t="str">
        <f>IF(COUNTIF(D87:F87,"?*")=$T$5,"✅ CUBIERTO",
IF(COUNTIF(D87:F87,"?*")&gt;$T$5,"⚠ EXCESO",IF(COUNTIF(D87:F87,"?*")&gt;0,"⚠ FALTANTE",
"❌ SIN COMPLETAR")))</f>
        <v>✅ CUBIERTO</v>
      </c>
      <c r="H87" s="7"/>
      <c r="I87" s="27">
        <v>45967</v>
      </c>
      <c r="J87" s="28" t="str">
        <f t="shared" si="19"/>
        <v>jue</v>
      </c>
      <c r="K87" s="29">
        <v>0.58333333333333304</v>
      </c>
      <c r="L87" s="19" t="s">
        <v>29</v>
      </c>
      <c r="M87" s="19"/>
      <c r="N87" s="19"/>
      <c r="O87" s="31" t="str">
        <f>IF(COUNTIF(L87:N87,"?*")=$T$6,"✅ CUBIERTO",IF(COUNTIF(L87:N87,"?*")&gt;$T$6,"⚠ EXCESO",
IF(COUNTIF(L87:N87,"?*")&gt;0,"⚠ FALTANTE", "❌ SIN COMPLETAR")))</f>
        <v>✅ CUBIERTO</v>
      </c>
      <c r="P87" s="7"/>
      <c r="Q87" s="27">
        <v>45967</v>
      </c>
      <c r="R87" s="28" t="str">
        <f t="shared" si="20"/>
        <v>jue</v>
      </c>
      <c r="S87" s="29">
        <v>0.58333333333333304</v>
      </c>
      <c r="T87" s="19"/>
      <c r="U87" s="19"/>
      <c r="V87" s="19"/>
      <c r="W87" s="30" t="str">
        <f>IF(COUNTIF(T87:V87,"?*")=$T$7,"✅ CUBIERTO",IF(COUNTIF(T87:V87,"?*")&gt;$T$7,"⚠ EXCESO",
IF(COUNTIF(T87:V87,"?*")&gt;0,"⚠ FALTANTE", "❌ SIN COMPLETAR")))</f>
        <v>❌ SIN COMPLETAR</v>
      </c>
    </row>
    <row r="88" spans="1:23" x14ac:dyDescent="0.35">
      <c r="A88" s="27">
        <v>45967</v>
      </c>
      <c r="B88" s="28" t="str">
        <f t="shared" si="18"/>
        <v>jue</v>
      </c>
      <c r="C88" s="29">
        <v>0.625</v>
      </c>
      <c r="D88" s="19" t="s">
        <v>3</v>
      </c>
      <c r="E88" s="19" t="s">
        <v>4</v>
      </c>
      <c r="F88" s="19"/>
      <c r="G88" s="30" t="str">
        <f>IF(COUNTIF(D88:F88,"?*")=$T$5,"✅ CUBIERTO",
IF(COUNTIF(D88:F88,"?*")&gt;$T$5,"⚠ EXCESO",IF(COUNTIF(D88:F88,"?*")&gt;0,"⚠ FALTANTE",
"❌ SIN COMPLETAR")))</f>
        <v>✅ CUBIERTO</v>
      </c>
      <c r="H88" s="7"/>
      <c r="I88" s="27">
        <v>45967</v>
      </c>
      <c r="J88" s="28" t="str">
        <f t="shared" si="19"/>
        <v>jue</v>
      </c>
      <c r="K88" s="29">
        <v>0.625</v>
      </c>
      <c r="L88" s="19" t="s">
        <v>29</v>
      </c>
      <c r="M88" s="19"/>
      <c r="N88" s="19"/>
      <c r="O88" s="31" t="str">
        <f>IF(COUNTIF(L88:N88,"?*")=$T$6,"✅ CUBIERTO",IF(COUNTIF(L88:N88,"?*")&gt;$T$6,"⚠ EXCESO",
IF(COUNTIF(L88:N88,"?*")&gt;0,"⚠ FALTANTE", "❌ SIN COMPLETAR")))</f>
        <v>✅ CUBIERTO</v>
      </c>
      <c r="P88" s="7"/>
      <c r="Q88" s="27">
        <v>45967</v>
      </c>
      <c r="R88" s="28" t="str">
        <f t="shared" si="20"/>
        <v>jue</v>
      </c>
      <c r="S88" s="29">
        <v>0.625</v>
      </c>
      <c r="T88" s="19"/>
      <c r="U88" s="19"/>
      <c r="V88" s="19"/>
      <c r="W88" s="30" t="str">
        <f>IF(COUNTIF(T88:V88,"?*")=$T$7,"✅ CUBIERTO",IF(COUNTIF(T88:V88,"?*")&gt;$T$7,"⚠ EXCESO",
IF(COUNTIF(T88:V88,"?*")&gt;0,"⚠ FALTANTE", "❌ SIN COMPLETAR")))</f>
        <v>❌ SIN COMPLETAR</v>
      </c>
    </row>
    <row r="89" spans="1:23" x14ac:dyDescent="0.35">
      <c r="A89" s="27">
        <v>45967</v>
      </c>
      <c r="B89" s="28" t="str">
        <f t="shared" si="18"/>
        <v>jue</v>
      </c>
      <c r="C89" s="29">
        <v>0.66666666666666696</v>
      </c>
      <c r="D89" s="19" t="s">
        <v>30</v>
      </c>
      <c r="E89" s="19" t="s">
        <v>4</v>
      </c>
      <c r="F89" s="19"/>
      <c r="G89" s="30" t="str">
        <f>IF(COUNTIF(D89:F89,"?*")=$T$5,"✅ CUBIERTO",
IF(COUNTIF(D89:F89,"?*")&gt;$T$5,"⚠ EXCESO",IF(COUNTIF(D89:F89,"?*")&gt;0,"⚠ FALTANTE",
"❌ SIN COMPLETAR")))</f>
        <v>✅ CUBIERTO</v>
      </c>
      <c r="H89" s="7"/>
      <c r="I89" s="27">
        <v>45967</v>
      </c>
      <c r="J89" s="28" t="str">
        <f t="shared" si="19"/>
        <v>jue</v>
      </c>
      <c r="K89" s="29">
        <v>0.66666666666666696</v>
      </c>
      <c r="L89" s="19" t="s">
        <v>29</v>
      </c>
      <c r="M89" s="19"/>
      <c r="N89" s="19"/>
      <c r="O89" s="31" t="str">
        <f>IF(COUNTIF(L89:N89,"?*")=$T$6,"✅ CUBIERTO",IF(COUNTIF(L89:N89,"?*")&gt;$T$6,"⚠ EXCESO",
IF(COUNTIF(L89:N89,"?*")&gt;0,"⚠ FALTANTE", "❌ SIN COMPLETAR")))</f>
        <v>✅ CUBIERTO</v>
      </c>
      <c r="P89" s="7"/>
      <c r="Q89" s="27">
        <v>45967</v>
      </c>
      <c r="R89" s="28" t="str">
        <f t="shared" si="20"/>
        <v>jue</v>
      </c>
      <c r="S89" s="29">
        <v>0.66666666666666696</v>
      </c>
      <c r="T89" s="19"/>
      <c r="U89" s="19"/>
      <c r="V89" s="19"/>
      <c r="W89" s="30" t="str">
        <f>IF(COUNTIF(T89:V89,"?*")=$T$7,"✅ CUBIERTO",IF(COUNTIF(T89:V89,"?*")&gt;$T$7,"⚠ EXCESO",
IF(COUNTIF(T89:V89,"?*")&gt;0,"⚠ FALTANTE", "❌ SIN COMPLETAR")))</f>
        <v>❌ SIN COMPLETAR</v>
      </c>
    </row>
    <row r="90" spans="1:23" x14ac:dyDescent="0.35">
      <c r="A90" s="27">
        <v>45967</v>
      </c>
      <c r="B90" s="28" t="str">
        <f t="shared" si="18"/>
        <v>jue</v>
      </c>
      <c r="C90" s="29">
        <v>0.70833333333333304</v>
      </c>
      <c r="D90" s="19" t="s">
        <v>30</v>
      </c>
      <c r="E90" s="19" t="s">
        <v>4</v>
      </c>
      <c r="F90" s="19"/>
      <c r="G90" s="30" t="str">
        <f>IF(COUNTIF(D90:F90,"?*")=$T$5,"✅ CUBIERTO",
IF(COUNTIF(D90:F90,"?*")&gt;$T$5,"⚠ EXCESO",IF(COUNTIF(D90:F90,"?*")&gt;0,"⚠ FALTANTE",
"❌ SIN COMPLETAR")))</f>
        <v>✅ CUBIERTO</v>
      </c>
      <c r="H90" s="7"/>
      <c r="I90" s="27">
        <v>45967</v>
      </c>
      <c r="J90" s="28" t="str">
        <f t="shared" si="19"/>
        <v>jue</v>
      </c>
      <c r="K90" s="29">
        <v>0.70833333333333304</v>
      </c>
      <c r="L90" s="19" t="s">
        <v>29</v>
      </c>
      <c r="M90" s="19"/>
      <c r="N90" s="19"/>
      <c r="O90" s="31" t="str">
        <f>IF(COUNTIF(L90:N90,"?*")=$T$6,"✅ CUBIERTO",IF(COUNTIF(L90:N90,"?*")&gt;$T$6,"⚠ EXCESO",
IF(COUNTIF(L90:N90,"?*")&gt;0,"⚠ FALTANTE", "❌ SIN COMPLETAR")))</f>
        <v>✅ CUBIERTO</v>
      </c>
      <c r="P90" s="7"/>
      <c r="Q90" s="27">
        <v>45967</v>
      </c>
      <c r="R90" s="28" t="str">
        <f t="shared" si="20"/>
        <v>jue</v>
      </c>
      <c r="S90" s="29">
        <v>0.70833333333333304</v>
      </c>
      <c r="T90" s="19"/>
      <c r="U90" s="19"/>
      <c r="V90" s="19"/>
      <c r="W90" s="30" t="str">
        <f>IF(COUNTIF(T90:V90,"?*")=$T$7,"✅ CUBIERTO",IF(COUNTIF(T90:V90,"?*")&gt;$T$7,"⚠ EXCESO",
IF(COUNTIF(T90:V90,"?*")&gt;0,"⚠ FALTANTE", "❌ SIN COMPLETAR")))</f>
        <v>❌ SIN COMPLETAR</v>
      </c>
    </row>
    <row r="91" spans="1:23" x14ac:dyDescent="0.35">
      <c r="A91" s="27">
        <v>45967</v>
      </c>
      <c r="B91" s="28" t="str">
        <f t="shared" si="18"/>
        <v>jue</v>
      </c>
      <c r="C91" s="29">
        <v>0.75</v>
      </c>
      <c r="D91" s="19" t="s">
        <v>30</v>
      </c>
      <c r="E91" s="19" t="s">
        <v>4</v>
      </c>
      <c r="F91" s="19"/>
      <c r="G91" s="30" t="str">
        <f>IF(COUNTIF(D91:F91,"?*")=$T$5,"✅ CUBIERTO",
IF(COUNTIF(D91:F91,"?*")&gt;$T$5,"⚠ EXCESO",IF(COUNTIF(D91:F91,"?*")&gt;0,"⚠ FALTANTE",
"❌ SIN COMPLETAR")))</f>
        <v>✅ CUBIERTO</v>
      </c>
      <c r="H91" s="7"/>
      <c r="I91" s="27">
        <v>45967</v>
      </c>
      <c r="J91" s="28" t="str">
        <f t="shared" si="19"/>
        <v>jue</v>
      </c>
      <c r="K91" s="29">
        <v>0.75</v>
      </c>
      <c r="L91" s="25"/>
      <c r="M91" s="25"/>
      <c r="N91" s="25"/>
      <c r="O91" s="31" t="s">
        <v>32</v>
      </c>
      <c r="P91" s="7"/>
      <c r="Q91" s="27">
        <v>45967</v>
      </c>
      <c r="R91" s="28" t="str">
        <f t="shared" si="20"/>
        <v>jue</v>
      </c>
      <c r="S91" s="29">
        <v>0.75</v>
      </c>
      <c r="T91" s="19"/>
      <c r="U91" s="19"/>
      <c r="V91" s="19"/>
      <c r="W91" s="30" t="str">
        <f>IF(COUNTIF(T91:V91,"?*")=$T$7,"✅ CUBIERTO",IF(COUNTIF(T91:V91,"?*")&gt;$T$7,"⚠ EXCESO",
IF(COUNTIF(T91:V91,"?*")&gt;0,"⚠ FALTANTE", "❌ SIN COMPLETAR")))</f>
        <v>❌ SIN COMPLETAR</v>
      </c>
    </row>
    <row r="92" spans="1:23" x14ac:dyDescent="0.35">
      <c r="A92" s="27">
        <v>45967</v>
      </c>
      <c r="B92" s="28" t="str">
        <f t="shared" si="18"/>
        <v>jue</v>
      </c>
      <c r="C92" s="29">
        <v>0.79166666666666696</v>
      </c>
      <c r="D92" s="19" t="s">
        <v>30</v>
      </c>
      <c r="E92" s="19" t="s">
        <v>4</v>
      </c>
      <c r="F92" s="19"/>
      <c r="G92" s="30" t="str">
        <f>IF(COUNTIF(D92:F92,"?*")=$T$5,"✅ CUBIERTO",
IF(COUNTIF(D92:F92,"?*")&gt;$T$5,"⚠ EXCESO",IF(COUNTIF(D92:F92,"?*")&gt;0,"⚠ FALTANTE",
"❌ SIN COMPLETAR")))</f>
        <v>✅ CUBIERTO</v>
      </c>
      <c r="H92" s="7"/>
      <c r="I92" s="27">
        <v>45967</v>
      </c>
      <c r="J92" s="28" t="str">
        <f t="shared" si="19"/>
        <v>jue</v>
      </c>
      <c r="K92" s="29">
        <v>0.79166666666666696</v>
      </c>
      <c r="L92" s="25"/>
      <c r="M92" s="25"/>
      <c r="N92" s="25"/>
      <c r="O92" s="31" t="s">
        <v>32</v>
      </c>
      <c r="P92" s="7"/>
      <c r="Q92" s="27">
        <v>45967</v>
      </c>
      <c r="R92" s="28" t="str">
        <f t="shared" si="20"/>
        <v>jue</v>
      </c>
      <c r="S92" s="29">
        <v>0.79166666666666696</v>
      </c>
      <c r="T92" s="19"/>
      <c r="U92" s="19"/>
      <c r="V92" s="19"/>
      <c r="W92" s="30" t="str">
        <f>IF(COUNTIF(T92:V92,"?*")=$T$7,"✅ CUBIERTO",IF(COUNTIF(T92:V92,"?*")&gt;$T$7,"⚠ EXCESO",
IF(COUNTIF(T92:V92,"?*")&gt;0,"⚠ FALTANTE", "❌ SIN COMPLETAR")))</f>
        <v>❌ SIN COMPLETAR</v>
      </c>
    </row>
    <row r="93" spans="1:23" x14ac:dyDescent="0.35">
      <c r="A93" s="27">
        <v>45967</v>
      </c>
      <c r="B93" s="28" t="str">
        <f t="shared" si="18"/>
        <v>jue</v>
      </c>
      <c r="C93" s="29">
        <v>0.83333333333333337</v>
      </c>
      <c r="D93" s="25"/>
      <c r="E93" s="25"/>
      <c r="F93" s="25"/>
      <c r="G93" s="30" t="s">
        <v>32</v>
      </c>
      <c r="H93" s="7"/>
      <c r="I93" s="27">
        <v>45967</v>
      </c>
      <c r="J93" s="28" t="str">
        <f t="shared" si="19"/>
        <v>jue</v>
      </c>
      <c r="K93" s="29">
        <v>0.83333333333333337</v>
      </c>
      <c r="L93" s="25"/>
      <c r="M93" s="25"/>
      <c r="N93" s="25"/>
      <c r="O93" s="31" t="s">
        <v>32</v>
      </c>
      <c r="P93" s="7"/>
      <c r="Q93" s="27">
        <v>45967</v>
      </c>
      <c r="R93" s="28" t="str">
        <f t="shared" si="20"/>
        <v>jue</v>
      </c>
      <c r="S93" s="29">
        <v>0.83333333333333337</v>
      </c>
      <c r="T93" s="19"/>
      <c r="U93" s="19"/>
      <c r="V93" s="19"/>
      <c r="W93" s="30" t="str">
        <f>IF(COUNTIF(T93:V93,"?*")=$T$7,"✅ CUBIERTO",IF(COUNTIF(T93:V93,"?*")&gt;$T$7,"⚠ EXCESO",
IF(COUNTIF(T93:V93,"?*")&gt;0,"⚠ FALTANTE", "❌ SIN COMPLETAR")))</f>
        <v>❌ SIN COMPLETAR</v>
      </c>
    </row>
    <row r="94" spans="1:23" x14ac:dyDescent="0.35">
      <c r="A94" s="27">
        <v>45968</v>
      </c>
      <c r="B94" s="28" t="str">
        <f>TEXT(A94,"ddd")</f>
        <v>vie</v>
      </c>
      <c r="C94" s="29">
        <v>0.375</v>
      </c>
      <c r="D94" s="25"/>
      <c r="E94" s="25"/>
      <c r="F94" s="25"/>
      <c r="G94" s="30" t="s">
        <v>32</v>
      </c>
      <c r="H94" s="7"/>
      <c r="I94" s="27">
        <v>45968</v>
      </c>
      <c r="J94" s="28" t="str">
        <f>TEXT(I94,"ddd")</f>
        <v>vie</v>
      </c>
      <c r="K94" s="29">
        <v>0.375</v>
      </c>
      <c r="L94" s="19" t="s">
        <v>7</v>
      </c>
      <c r="M94" s="19"/>
      <c r="N94" s="19"/>
      <c r="O94" s="31" t="str">
        <f>IF(COUNTIF(L94:N94,"?*")=$T$6,"✅ CUBIERTO",IF(COUNTIF(L94:N94,"?*")&gt;$T$6,"⚠ EXCESO",
IF(COUNTIF(L94:N94,"?*")&gt;0,"⚠ FALTANTE", "❌ SIN COMPLETAR")))</f>
        <v>✅ CUBIERTO</v>
      </c>
      <c r="P94" s="7"/>
      <c r="Q94" s="27">
        <v>45968</v>
      </c>
      <c r="R94" s="28" t="str">
        <f>TEXT(Q94,"ddd")</f>
        <v>vie</v>
      </c>
      <c r="S94" s="29">
        <v>0.375</v>
      </c>
      <c r="T94" s="25"/>
      <c r="U94" s="25"/>
      <c r="V94" s="25"/>
      <c r="W94" s="30" t="s">
        <v>32</v>
      </c>
    </row>
    <row r="95" spans="1:23" x14ac:dyDescent="0.35">
      <c r="A95" s="27">
        <v>45968</v>
      </c>
      <c r="B95" s="28" t="str">
        <f>TEXT(A95,"ddd")</f>
        <v>vie</v>
      </c>
      <c r="C95" s="29">
        <v>0.41666666666666669</v>
      </c>
      <c r="D95" s="25"/>
      <c r="E95" s="25"/>
      <c r="F95" s="25"/>
      <c r="G95" s="30" t="s">
        <v>32</v>
      </c>
      <c r="H95" s="7"/>
      <c r="I95" s="27">
        <v>45968</v>
      </c>
      <c r="J95" s="28" t="str">
        <f>TEXT(I95,"ddd")</f>
        <v>vie</v>
      </c>
      <c r="K95" s="29">
        <v>0.41666666666666669</v>
      </c>
      <c r="L95" s="19" t="s">
        <v>7</v>
      </c>
      <c r="M95" s="19"/>
      <c r="N95" s="19"/>
      <c r="O95" s="31" t="str">
        <f>IF(COUNTIF(L95:N95,"?*")=$T$6,"✅ CUBIERTO",IF(COUNTIF(L95:N95,"?*")&gt;$T$6,"⚠ EXCESO",
IF(COUNTIF(L95:N95,"?*")&gt;0,"⚠ FALTANTE", "❌ SIN COMPLETAR")))</f>
        <v>✅ CUBIERTO</v>
      </c>
      <c r="P95" s="7"/>
      <c r="Q95" s="27">
        <v>45968</v>
      </c>
      <c r="R95" s="28" t="str">
        <f>TEXT(Q95,"ddd")</f>
        <v>vie</v>
      </c>
      <c r="S95" s="29">
        <v>0.41666666666666669</v>
      </c>
      <c r="T95" s="19" t="s">
        <v>4</v>
      </c>
      <c r="U95" s="19"/>
      <c r="V95" s="19"/>
      <c r="W95" s="30" t="str">
        <f>IF(COUNTIF(T95:V95,"?*")=$T$7,"✅ CUBIERTO",IF(COUNTIF(T95:V95,"?*")&gt;$T$7,"⚠ EXCESO",
IF(COUNTIF(T95:V95,"?*")&gt;0,"⚠ FALTANTE", "❌ SIN COMPLETAR")))</f>
        <v>✅ CUBIERTO</v>
      </c>
    </row>
    <row r="96" spans="1:23" x14ac:dyDescent="0.35">
      <c r="A96" s="27">
        <v>45968</v>
      </c>
      <c r="B96" s="28" t="str">
        <f>TEXT(A96,"ddd")</f>
        <v>vie</v>
      </c>
      <c r="C96" s="29">
        <v>0.45833333333333331</v>
      </c>
      <c r="D96" s="19" t="s">
        <v>3</v>
      </c>
      <c r="E96" s="19" t="s">
        <v>5</v>
      </c>
      <c r="F96" s="19"/>
      <c r="G96" s="30" t="str">
        <f>IF(COUNTIF(D96:F96,"?*")=$T$5,"✅ CUBIERTO",
IF(COUNTIF(D96:F96,"?*")&gt;$T$5,"⚠ EXCESO",IF(COUNTIF(D96:F96,"?*")&gt;0,"⚠ FALTANTE",
"❌ SIN COMPLETAR")))</f>
        <v>✅ CUBIERTO</v>
      </c>
      <c r="H96" s="7"/>
      <c r="I96" s="27">
        <v>45968</v>
      </c>
      <c r="J96" s="28" t="str">
        <f>TEXT(I96,"ddd")</f>
        <v>vie</v>
      </c>
      <c r="K96" s="29">
        <v>0.45833333333333331</v>
      </c>
      <c r="L96" s="19" t="s">
        <v>7</v>
      </c>
      <c r="M96" s="19"/>
      <c r="N96" s="19"/>
      <c r="O96" s="31" t="str">
        <f>IF(COUNTIF(L96:N96,"?*")=$T$6,"✅ CUBIERTO",IF(COUNTIF(L96:N96,"?*")&gt;$T$6,"⚠ EXCESO",
IF(COUNTIF(L96:N96,"?*")&gt;0,"⚠ FALTANTE", "❌ SIN COMPLETAR")))</f>
        <v>✅ CUBIERTO</v>
      </c>
      <c r="P96" s="7"/>
      <c r="Q96" s="27">
        <v>45968</v>
      </c>
      <c r="R96" s="28" t="str">
        <f>TEXT(Q96,"ddd")</f>
        <v>vie</v>
      </c>
      <c r="S96" s="29">
        <v>0.45833333333333331</v>
      </c>
      <c r="T96" s="19" t="s">
        <v>4</v>
      </c>
      <c r="U96" s="19"/>
      <c r="V96" s="19"/>
      <c r="W96" s="30" t="str">
        <f>IF(COUNTIF(T96:V96,"?*")=$T$7,"✅ CUBIERTO",IF(COUNTIF(T96:V96,"?*")&gt;$T$7,"⚠ EXCESO",
IF(COUNTIF(T96:V96,"?*")&gt;0,"⚠ FALTANTE", "❌ SIN COMPLETAR")))</f>
        <v>✅ CUBIERTO</v>
      </c>
    </row>
    <row r="97" spans="1:23" x14ac:dyDescent="0.35">
      <c r="A97" s="27">
        <v>45968</v>
      </c>
      <c r="B97" s="28" t="str">
        <f t="shared" ref="B97:B105" si="21">TEXT(A97,"ddd")</f>
        <v>vie</v>
      </c>
      <c r="C97" s="29">
        <v>0.5</v>
      </c>
      <c r="D97" s="19" t="s">
        <v>3</v>
      </c>
      <c r="E97" s="19" t="s">
        <v>5</v>
      </c>
      <c r="F97" s="19"/>
      <c r="G97" s="30" t="str">
        <f>IF(COUNTIF(D97:F97,"?*")=$T$5,"✅ CUBIERTO",
IF(COUNTIF(D97:F97,"?*")&gt;$T$5,"⚠ EXCESO",IF(COUNTIF(D97:F97,"?*")&gt;0,"⚠ FALTANTE",
"❌ SIN COMPLETAR")))</f>
        <v>✅ CUBIERTO</v>
      </c>
      <c r="H97" s="7"/>
      <c r="I97" s="27">
        <v>45968</v>
      </c>
      <c r="J97" s="28" t="str">
        <f t="shared" ref="J97:J105" si="22">TEXT(I97,"ddd")</f>
        <v>vie</v>
      </c>
      <c r="K97" s="29">
        <v>0.5</v>
      </c>
      <c r="L97" s="19" t="s">
        <v>7</v>
      </c>
      <c r="M97" s="19"/>
      <c r="N97" s="19"/>
      <c r="O97" s="31" t="str">
        <f>IF(COUNTIF(L97:N97,"?*")=$T$6,"✅ CUBIERTO",IF(COUNTIF(L97:N97,"?*")&gt;$T$6,"⚠ EXCESO",
IF(COUNTIF(L97:N97,"?*")&gt;0,"⚠ FALTANTE", "❌ SIN COMPLETAR")))</f>
        <v>✅ CUBIERTO</v>
      </c>
      <c r="P97" s="7"/>
      <c r="Q97" s="27">
        <v>45968</v>
      </c>
      <c r="R97" s="28" t="str">
        <f t="shared" ref="R97:R105" si="23">TEXT(Q97,"ddd")</f>
        <v>vie</v>
      </c>
      <c r="S97" s="29">
        <v>0.5</v>
      </c>
      <c r="T97" s="19" t="s">
        <v>4</v>
      </c>
      <c r="U97" s="19"/>
      <c r="V97" s="19"/>
      <c r="W97" s="30" t="str">
        <f>IF(COUNTIF(T97:V97,"?*")=$T$7,"✅ CUBIERTO",IF(COUNTIF(T97:V97,"?*")&gt;$T$7,"⚠ EXCESO",
IF(COUNTIF(T97:V97,"?*")&gt;0,"⚠ FALTANTE", "❌ SIN COMPLETAR")))</f>
        <v>✅ CUBIERTO</v>
      </c>
    </row>
    <row r="98" spans="1:23" x14ac:dyDescent="0.35">
      <c r="A98" s="27">
        <v>45968</v>
      </c>
      <c r="B98" s="28" t="str">
        <f t="shared" si="21"/>
        <v>vie</v>
      </c>
      <c r="C98" s="29">
        <v>0.54166666666666696</v>
      </c>
      <c r="D98" s="19" t="s">
        <v>3</v>
      </c>
      <c r="E98" s="19" t="s">
        <v>5</v>
      </c>
      <c r="F98" s="19"/>
      <c r="G98" s="30" t="str">
        <f>IF(COUNTIF(D98:F98,"?*")=$T$5,"✅ CUBIERTO",
IF(COUNTIF(D98:F98,"?*")&gt;$T$5,"⚠ EXCESO",IF(COUNTIF(D98:F98,"?*")&gt;0,"⚠ FALTANTE",
"❌ SIN COMPLETAR")))</f>
        <v>✅ CUBIERTO</v>
      </c>
      <c r="H98" s="7"/>
      <c r="I98" s="27">
        <v>45968</v>
      </c>
      <c r="J98" s="28" t="str">
        <f t="shared" si="22"/>
        <v>vie</v>
      </c>
      <c r="K98" s="29">
        <v>0.54166666666666696</v>
      </c>
      <c r="L98" s="19" t="s">
        <v>7</v>
      </c>
      <c r="M98" s="19"/>
      <c r="N98" s="19"/>
      <c r="O98" s="31" t="str">
        <f>IF(COUNTIF(L98:N98,"?*")=$T$6,"✅ CUBIERTO",IF(COUNTIF(L98:N98,"?*")&gt;$T$6,"⚠ EXCESO",
IF(COUNTIF(L98:N98,"?*")&gt;0,"⚠ FALTANTE", "❌ SIN COMPLETAR")))</f>
        <v>✅ CUBIERTO</v>
      </c>
      <c r="P98" s="7"/>
      <c r="Q98" s="27">
        <v>45968</v>
      </c>
      <c r="R98" s="28" t="str">
        <f t="shared" si="23"/>
        <v>vie</v>
      </c>
      <c r="S98" s="29">
        <v>0.54166666666666696</v>
      </c>
      <c r="T98" s="19" t="s">
        <v>4</v>
      </c>
      <c r="U98" s="19"/>
      <c r="V98" s="19"/>
      <c r="W98" s="30" t="str">
        <f>IF(COUNTIF(T98:V98,"?*")=$T$7,"✅ CUBIERTO",IF(COUNTIF(T98:V98,"?*")&gt;$T$7,"⚠ EXCESO",
IF(COUNTIF(T98:V98,"?*")&gt;0,"⚠ FALTANTE", "❌ SIN COMPLETAR")))</f>
        <v>✅ CUBIERTO</v>
      </c>
    </row>
    <row r="99" spans="1:23" x14ac:dyDescent="0.35">
      <c r="A99" s="27">
        <v>45968</v>
      </c>
      <c r="B99" s="28" t="str">
        <f t="shared" si="21"/>
        <v>vie</v>
      </c>
      <c r="C99" s="29">
        <v>0.58333333333333304</v>
      </c>
      <c r="D99" s="19" t="s">
        <v>3</v>
      </c>
      <c r="E99" s="19" t="s">
        <v>5</v>
      </c>
      <c r="F99" s="19"/>
      <c r="G99" s="30" t="str">
        <f>IF(COUNTIF(D99:F99,"?*")=$T$5,"✅ CUBIERTO",
IF(COUNTIF(D99:F99,"?*")&gt;$T$5,"⚠ EXCESO",IF(COUNTIF(D99:F99,"?*")&gt;0,"⚠ FALTANTE",
"❌ SIN COMPLETAR")))</f>
        <v>✅ CUBIERTO</v>
      </c>
      <c r="H99" s="7"/>
      <c r="I99" s="27">
        <v>45968</v>
      </c>
      <c r="J99" s="28" t="str">
        <f t="shared" si="22"/>
        <v>vie</v>
      </c>
      <c r="K99" s="29">
        <v>0.58333333333333304</v>
      </c>
      <c r="L99" s="19" t="s">
        <v>29</v>
      </c>
      <c r="M99" s="19"/>
      <c r="N99" s="19"/>
      <c r="O99" s="31" t="str">
        <f>IF(COUNTIF(L99:N99,"?*")=$T$6,"✅ CUBIERTO",IF(COUNTIF(L99:N99,"?*")&gt;$T$6,"⚠ EXCESO",
IF(COUNTIF(L99:N99,"?*")&gt;0,"⚠ FALTANTE", "❌ SIN COMPLETAR")))</f>
        <v>✅ CUBIERTO</v>
      </c>
      <c r="P99" s="7"/>
      <c r="Q99" s="27">
        <v>45968</v>
      </c>
      <c r="R99" s="28" t="str">
        <f t="shared" si="23"/>
        <v>vie</v>
      </c>
      <c r="S99" s="29">
        <v>0.58333333333333304</v>
      </c>
      <c r="T99" s="19"/>
      <c r="U99" s="19"/>
      <c r="V99" s="19"/>
      <c r="W99" s="30" t="str">
        <f>IF(COUNTIF(T99:V99,"?*")=$T$7,"✅ CUBIERTO",IF(COUNTIF(T99:V99,"?*")&gt;$T$7,"⚠ EXCESO",
IF(COUNTIF(T99:V99,"?*")&gt;0,"⚠ FALTANTE", "❌ SIN COMPLETAR")))</f>
        <v>❌ SIN COMPLETAR</v>
      </c>
    </row>
    <row r="100" spans="1:23" x14ac:dyDescent="0.35">
      <c r="A100" s="27">
        <v>45968</v>
      </c>
      <c r="B100" s="28" t="str">
        <f t="shared" si="21"/>
        <v>vie</v>
      </c>
      <c r="C100" s="29">
        <v>0.625</v>
      </c>
      <c r="D100" s="19" t="s">
        <v>3</v>
      </c>
      <c r="E100" s="19" t="s">
        <v>5</v>
      </c>
      <c r="F100" s="19"/>
      <c r="G100" s="30" t="str">
        <f>IF(COUNTIF(D100:F100,"?*")=$T$5,"✅ CUBIERTO",
IF(COUNTIF(D100:F100,"?*")&gt;$T$5,"⚠ EXCESO",IF(COUNTIF(D100:F100,"?*")&gt;0,"⚠ FALTANTE",
"❌ SIN COMPLETAR")))</f>
        <v>✅ CUBIERTO</v>
      </c>
      <c r="H100" s="7"/>
      <c r="I100" s="27">
        <v>45968</v>
      </c>
      <c r="J100" s="28" t="str">
        <f t="shared" si="22"/>
        <v>vie</v>
      </c>
      <c r="K100" s="29">
        <v>0.625</v>
      </c>
      <c r="L100" s="19" t="s">
        <v>29</v>
      </c>
      <c r="M100" s="19"/>
      <c r="N100" s="19"/>
      <c r="O100" s="31" t="str">
        <f>IF(COUNTIF(L100:N100,"?*")=$T$6,"✅ CUBIERTO",IF(COUNTIF(L100:N100,"?*")&gt;$T$6,"⚠ EXCESO",
IF(COUNTIF(L100:N100,"?*")&gt;0,"⚠ FALTANTE", "❌ SIN COMPLETAR")))</f>
        <v>✅ CUBIERTO</v>
      </c>
      <c r="P100" s="7"/>
      <c r="Q100" s="27">
        <v>45968</v>
      </c>
      <c r="R100" s="28" t="str">
        <f t="shared" si="23"/>
        <v>vie</v>
      </c>
      <c r="S100" s="29">
        <v>0.625</v>
      </c>
      <c r="T100" s="19"/>
      <c r="U100" s="19"/>
      <c r="V100" s="19"/>
      <c r="W100" s="30" t="str">
        <f>IF(COUNTIF(T100:V100,"?*")=$T$7,"✅ CUBIERTO",IF(COUNTIF(T100:V100,"?*")&gt;$T$7,"⚠ EXCESO",
IF(COUNTIF(T100:V100,"?*")&gt;0,"⚠ FALTANTE", "❌ SIN COMPLETAR")))</f>
        <v>❌ SIN COMPLETAR</v>
      </c>
    </row>
    <row r="101" spans="1:23" x14ac:dyDescent="0.35">
      <c r="A101" s="27">
        <v>45968</v>
      </c>
      <c r="B101" s="28" t="str">
        <f t="shared" si="21"/>
        <v>vie</v>
      </c>
      <c r="C101" s="29">
        <v>0.66666666666666696</v>
      </c>
      <c r="D101" s="19" t="s">
        <v>30</v>
      </c>
      <c r="E101" s="19"/>
      <c r="F101" s="19"/>
      <c r="G101" s="30" t="str">
        <f>IF(COUNTIF(D101:F101,"?*")=$T$5,"✅ CUBIERTO",
IF(COUNTIF(D101:F101,"?*")&gt;$T$5,"⚠ EXCESO",IF(COUNTIF(D101:F101,"?*")&gt;0,"⚠ FALTANTE",
"❌ SIN COMPLETAR")))</f>
        <v>⚠ FALTANTE</v>
      </c>
      <c r="H101" s="7"/>
      <c r="I101" s="27">
        <v>45968</v>
      </c>
      <c r="J101" s="28" t="str">
        <f t="shared" si="22"/>
        <v>vie</v>
      </c>
      <c r="K101" s="29">
        <v>0.66666666666666696</v>
      </c>
      <c r="L101" s="19" t="s">
        <v>29</v>
      </c>
      <c r="M101" s="19"/>
      <c r="N101" s="19"/>
      <c r="O101" s="31" t="str">
        <f>IF(COUNTIF(L101:N101,"?*")=$T$6,"✅ CUBIERTO",IF(COUNTIF(L101:N101,"?*")&gt;$T$6,"⚠ EXCESO",
IF(COUNTIF(L101:N101,"?*")&gt;0,"⚠ FALTANTE", "❌ SIN COMPLETAR")))</f>
        <v>✅ CUBIERTO</v>
      </c>
      <c r="P101" s="7"/>
      <c r="Q101" s="27">
        <v>45968</v>
      </c>
      <c r="R101" s="28" t="str">
        <f t="shared" si="23"/>
        <v>vie</v>
      </c>
      <c r="S101" s="29">
        <v>0.66666666666666696</v>
      </c>
      <c r="T101" s="19"/>
      <c r="U101" s="19"/>
      <c r="V101" s="19"/>
      <c r="W101" s="30" t="str">
        <f>IF(COUNTIF(T101:V101,"?*")=$T$7,"✅ CUBIERTO",IF(COUNTIF(T101:V101,"?*")&gt;$T$7,"⚠ EXCESO",
IF(COUNTIF(T101:V101,"?*")&gt;0,"⚠ FALTANTE", "❌ SIN COMPLETAR")))</f>
        <v>❌ SIN COMPLETAR</v>
      </c>
    </row>
    <row r="102" spans="1:23" x14ac:dyDescent="0.35">
      <c r="A102" s="27">
        <v>45968</v>
      </c>
      <c r="B102" s="28" t="str">
        <f t="shared" si="21"/>
        <v>vie</v>
      </c>
      <c r="C102" s="29">
        <v>0.70833333333333304</v>
      </c>
      <c r="D102" s="19" t="s">
        <v>30</v>
      </c>
      <c r="E102" s="19"/>
      <c r="F102" s="19"/>
      <c r="G102" s="30" t="str">
        <f>IF(COUNTIF(D102:F102,"?*")=$T$5,"✅ CUBIERTO",
IF(COUNTIF(D102:F102,"?*")&gt;$T$5,"⚠ EXCESO",IF(COUNTIF(D102:F102,"?*")&gt;0,"⚠ FALTANTE",
"❌ SIN COMPLETAR")))</f>
        <v>⚠ FALTANTE</v>
      </c>
      <c r="H102" s="7"/>
      <c r="I102" s="27">
        <v>45968</v>
      </c>
      <c r="J102" s="28" t="str">
        <f t="shared" si="22"/>
        <v>vie</v>
      </c>
      <c r="K102" s="29">
        <v>0.70833333333333304</v>
      </c>
      <c r="L102" s="19" t="s">
        <v>29</v>
      </c>
      <c r="M102" s="19"/>
      <c r="N102" s="19"/>
      <c r="O102" s="31" t="str">
        <f>IF(COUNTIF(L102:N102,"?*")=$T$6,"✅ CUBIERTO",IF(COUNTIF(L102:N102,"?*")&gt;$T$6,"⚠ EXCESO",
IF(COUNTIF(L102:N102,"?*")&gt;0,"⚠ FALTANTE", "❌ SIN COMPLETAR")))</f>
        <v>✅ CUBIERTO</v>
      </c>
      <c r="P102" s="7"/>
      <c r="Q102" s="27">
        <v>45968</v>
      </c>
      <c r="R102" s="28" t="str">
        <f t="shared" si="23"/>
        <v>vie</v>
      </c>
      <c r="S102" s="29">
        <v>0.70833333333333304</v>
      </c>
      <c r="T102" s="19"/>
      <c r="U102" s="19"/>
      <c r="V102" s="19"/>
      <c r="W102" s="30" t="str">
        <f>IF(COUNTIF(T102:V102,"?*")=$T$7,"✅ CUBIERTO",IF(COUNTIF(T102:V102,"?*")&gt;$T$7,"⚠ EXCESO",
IF(COUNTIF(T102:V102,"?*")&gt;0,"⚠ FALTANTE", "❌ SIN COMPLETAR")))</f>
        <v>❌ SIN COMPLETAR</v>
      </c>
    </row>
    <row r="103" spans="1:23" x14ac:dyDescent="0.35">
      <c r="A103" s="27">
        <v>45968</v>
      </c>
      <c r="B103" s="28" t="str">
        <f t="shared" si="21"/>
        <v>vie</v>
      </c>
      <c r="C103" s="29">
        <v>0.75</v>
      </c>
      <c r="D103" s="19" t="s">
        <v>30</v>
      </c>
      <c r="E103" s="19"/>
      <c r="F103" s="19"/>
      <c r="G103" s="30" t="str">
        <f>IF(COUNTIF(D103:F103,"?*")=$T$5,"✅ CUBIERTO",
IF(COUNTIF(D103:F103,"?*")&gt;$T$5,"⚠ EXCESO",IF(COUNTIF(D103:F103,"?*")&gt;0,"⚠ FALTANTE",
"❌ SIN COMPLETAR")))</f>
        <v>⚠ FALTANTE</v>
      </c>
      <c r="H103" s="7"/>
      <c r="I103" s="27">
        <v>45968</v>
      </c>
      <c r="J103" s="28" t="str">
        <f t="shared" si="22"/>
        <v>vie</v>
      </c>
      <c r="K103" s="29">
        <v>0.75</v>
      </c>
      <c r="L103" s="25"/>
      <c r="M103" s="25"/>
      <c r="N103" s="25"/>
      <c r="O103" s="31" t="s">
        <v>32</v>
      </c>
      <c r="P103" s="7"/>
      <c r="Q103" s="27">
        <v>45968</v>
      </c>
      <c r="R103" s="28" t="str">
        <f t="shared" si="23"/>
        <v>vie</v>
      </c>
      <c r="S103" s="29">
        <v>0.75</v>
      </c>
      <c r="T103" s="19"/>
      <c r="U103" s="19"/>
      <c r="V103" s="19"/>
      <c r="W103" s="30" t="str">
        <f>IF(COUNTIF(T103:V103,"?*")=$T$7,"✅ CUBIERTO",IF(COUNTIF(T103:V103,"?*")&gt;$T$7,"⚠ EXCESO",
IF(COUNTIF(T103:V103,"?*")&gt;0,"⚠ FALTANTE", "❌ SIN COMPLETAR")))</f>
        <v>❌ SIN COMPLETAR</v>
      </c>
    </row>
    <row r="104" spans="1:23" x14ac:dyDescent="0.35">
      <c r="A104" s="27">
        <v>45968</v>
      </c>
      <c r="B104" s="28" t="str">
        <f t="shared" si="21"/>
        <v>vie</v>
      </c>
      <c r="C104" s="29">
        <v>0.79166666666666696</v>
      </c>
      <c r="D104" s="19" t="s">
        <v>30</v>
      </c>
      <c r="E104" s="19"/>
      <c r="F104" s="19"/>
      <c r="G104" s="30" t="str">
        <f>IF(COUNTIF(D104:F104,"?*")=$T$5,"✅ CUBIERTO",
IF(COUNTIF(D104:F104,"?*")&gt;$T$5,"⚠ EXCESO",IF(COUNTIF(D104:F104,"?*")&gt;0,"⚠ FALTANTE",
"❌ SIN COMPLETAR")))</f>
        <v>⚠ FALTANTE</v>
      </c>
      <c r="H104" s="7"/>
      <c r="I104" s="27">
        <v>45968</v>
      </c>
      <c r="J104" s="28" t="str">
        <f t="shared" si="22"/>
        <v>vie</v>
      </c>
      <c r="K104" s="29">
        <v>0.79166666666666696</v>
      </c>
      <c r="L104" s="25"/>
      <c r="M104" s="25"/>
      <c r="N104" s="25"/>
      <c r="O104" s="31" t="s">
        <v>32</v>
      </c>
      <c r="P104" s="7"/>
      <c r="Q104" s="27">
        <v>45968</v>
      </c>
      <c r="R104" s="28" t="str">
        <f t="shared" si="23"/>
        <v>vie</v>
      </c>
      <c r="S104" s="29">
        <v>0.79166666666666696</v>
      </c>
      <c r="T104" s="19"/>
      <c r="U104" s="19"/>
      <c r="V104" s="19"/>
      <c r="W104" s="30" t="str">
        <f>IF(COUNTIF(T104:V104,"?*")=$T$7,"✅ CUBIERTO",IF(COUNTIF(T104:V104,"?*")&gt;$T$7,"⚠ EXCESO",
IF(COUNTIF(T104:V104,"?*")&gt;0,"⚠ FALTANTE", "❌ SIN COMPLETAR")))</f>
        <v>❌ SIN COMPLETAR</v>
      </c>
    </row>
    <row r="105" spans="1:23" x14ac:dyDescent="0.35">
      <c r="A105" s="27">
        <v>45968</v>
      </c>
      <c r="B105" s="28" t="str">
        <f t="shared" si="21"/>
        <v>vie</v>
      </c>
      <c r="C105" s="29">
        <v>0.83333333333333337</v>
      </c>
      <c r="D105" s="25"/>
      <c r="E105" s="25"/>
      <c r="F105" s="25"/>
      <c r="G105" s="30" t="s">
        <v>32</v>
      </c>
      <c r="H105" s="7"/>
      <c r="I105" s="27">
        <v>45968</v>
      </c>
      <c r="J105" s="28" t="str">
        <f t="shared" si="22"/>
        <v>vie</v>
      </c>
      <c r="K105" s="29">
        <v>0.83333333333333337</v>
      </c>
      <c r="L105" s="25"/>
      <c r="M105" s="25"/>
      <c r="N105" s="25"/>
      <c r="O105" s="31" t="s">
        <v>32</v>
      </c>
      <c r="P105" s="7"/>
      <c r="Q105" s="27">
        <v>45968</v>
      </c>
      <c r="R105" s="28" t="str">
        <f t="shared" si="23"/>
        <v>vie</v>
      </c>
      <c r="S105" s="29">
        <v>0.83333333333333337</v>
      </c>
      <c r="T105" s="19"/>
      <c r="U105" s="19"/>
      <c r="V105" s="19"/>
      <c r="W105" s="30" t="str">
        <f>IF(COUNTIF(T105:V105,"?*")=$T$7,"✅ CUBIERTO",IF(COUNTIF(T105:V105,"?*")&gt;$T$7,"⚠ EXCESO",
IF(COUNTIF(T105:V105,"?*")&gt;0,"⚠ FALTANTE", "❌ SIN COMPLETAR")))</f>
        <v>❌ SIN COMPLETAR</v>
      </c>
    </row>
    <row r="106" spans="1:23" x14ac:dyDescent="0.35">
      <c r="A106" s="27">
        <v>45969</v>
      </c>
      <c r="B106" s="28" t="str">
        <f>TEXT(A106,"ddd")</f>
        <v>sáb</v>
      </c>
      <c r="C106" s="29">
        <v>0.375</v>
      </c>
      <c r="D106" s="25"/>
      <c r="E106" s="25"/>
      <c r="F106" s="25"/>
      <c r="G106" s="30" t="s">
        <v>32</v>
      </c>
      <c r="H106" s="7"/>
      <c r="I106" s="27">
        <v>45969</v>
      </c>
      <c r="J106" s="28" t="str">
        <f>TEXT(I106,"ddd")</f>
        <v>sáb</v>
      </c>
      <c r="K106" s="29">
        <v>0.375</v>
      </c>
      <c r="L106" s="25"/>
      <c r="M106" s="25"/>
      <c r="N106" s="25"/>
      <c r="O106" s="30" t="s">
        <v>32</v>
      </c>
      <c r="P106" s="7"/>
      <c r="Q106" s="27">
        <v>45969</v>
      </c>
      <c r="R106" s="28" t="str">
        <f>TEXT(Q106,"ddd")</f>
        <v>sáb</v>
      </c>
      <c r="S106" s="29">
        <v>0.375</v>
      </c>
      <c r="T106" s="25"/>
      <c r="U106" s="25"/>
      <c r="V106" s="25"/>
      <c r="W106" s="30" t="s">
        <v>32</v>
      </c>
    </row>
    <row r="107" spans="1:23" x14ac:dyDescent="0.35">
      <c r="A107" s="27">
        <v>45969</v>
      </c>
      <c r="B107" s="28" t="str">
        <f>TEXT(A107,"ddd")</f>
        <v>sáb</v>
      </c>
      <c r="C107" s="29">
        <v>0.41666666666666669</v>
      </c>
      <c r="D107" s="25"/>
      <c r="E107" s="25"/>
      <c r="F107" s="25"/>
      <c r="G107" s="30" t="s">
        <v>32</v>
      </c>
      <c r="H107" s="7"/>
      <c r="I107" s="27">
        <v>45969</v>
      </c>
      <c r="J107" s="28" t="str">
        <f>TEXT(I107,"ddd")</f>
        <v>sáb</v>
      </c>
      <c r="K107" s="29">
        <v>0.41666666666666669</v>
      </c>
      <c r="L107" s="25"/>
      <c r="M107" s="25"/>
      <c r="N107" s="25"/>
      <c r="O107" s="30" t="s">
        <v>32</v>
      </c>
      <c r="P107" s="7"/>
      <c r="Q107" s="27">
        <v>45969</v>
      </c>
      <c r="R107" s="28" t="str">
        <f>TEXT(Q107,"ddd")</f>
        <v>sáb</v>
      </c>
      <c r="S107" s="29">
        <v>0.41666666666666669</v>
      </c>
      <c r="T107" s="19"/>
      <c r="U107" s="19"/>
      <c r="V107" s="19"/>
      <c r="W107" s="30" t="str">
        <f>IF(COUNTIF(T107:V107,"?*")=$T$7,"✅ CUBIERTO",IF(COUNTIF(T107:V107,"?*")&gt;$T$7,"⚠ EXCESO",
IF(COUNTIF(T107:V107,"?*")&gt;0,"⚠ FALTANTE", "❌ SIN COMPLETAR")))</f>
        <v>❌ SIN COMPLETAR</v>
      </c>
    </row>
    <row r="108" spans="1:23" x14ac:dyDescent="0.35">
      <c r="A108" s="27">
        <v>45969</v>
      </c>
      <c r="B108" s="28" t="str">
        <f>TEXT(A108,"ddd")</f>
        <v>sáb</v>
      </c>
      <c r="C108" s="29">
        <v>0.45833333333333331</v>
      </c>
      <c r="D108" s="19" t="s">
        <v>4</v>
      </c>
      <c r="E108" s="19" t="s">
        <v>5</v>
      </c>
      <c r="F108" s="19"/>
      <c r="G108" s="30" t="str">
        <f>IF(COUNTIF(D108:F108,"?*")=$T$5,"✅ CUBIERTO",
IF(COUNTIF(D108:F108,"?*")&gt;$T$5,"⚠ EXCESO",IF(COUNTIF(D108:F108,"?*")&gt;0,"⚠ FALTANTE",
"❌ SIN COMPLETAR")))</f>
        <v>✅ CUBIERTO</v>
      </c>
      <c r="H108" s="7"/>
      <c r="I108" s="27">
        <v>45969</v>
      </c>
      <c r="J108" s="28" t="str">
        <f>TEXT(I108,"ddd")</f>
        <v>sáb</v>
      </c>
      <c r="K108" s="29">
        <v>0.45833333333333331</v>
      </c>
      <c r="L108" s="25"/>
      <c r="M108" s="25"/>
      <c r="N108" s="25"/>
      <c r="O108" s="30" t="s">
        <v>32</v>
      </c>
      <c r="P108" s="7"/>
      <c r="Q108" s="27">
        <v>45969</v>
      </c>
      <c r="R108" s="28" t="str">
        <f>TEXT(Q108,"ddd")</f>
        <v>sáb</v>
      </c>
      <c r="S108" s="29">
        <v>0.45833333333333331</v>
      </c>
      <c r="T108" s="19"/>
      <c r="U108" s="19"/>
      <c r="V108" s="19"/>
      <c r="W108" s="30" t="str">
        <f>IF(COUNTIF(T108:V108,"?*")=$T$7,"✅ CUBIERTO",IF(COUNTIF(T108:V108,"?*")&gt;$T$7,"⚠ EXCESO",
IF(COUNTIF(T108:V108,"?*")&gt;0,"⚠ FALTANTE", "❌ SIN COMPLETAR")))</f>
        <v>❌ SIN COMPLETAR</v>
      </c>
    </row>
    <row r="109" spans="1:23" x14ac:dyDescent="0.35">
      <c r="A109" s="27">
        <v>45969</v>
      </c>
      <c r="B109" s="28" t="str">
        <f t="shared" ref="B109:B117" si="24">TEXT(A109,"ddd")</f>
        <v>sáb</v>
      </c>
      <c r="C109" s="29">
        <v>0.5</v>
      </c>
      <c r="D109" s="19" t="s">
        <v>4</v>
      </c>
      <c r="E109" s="19" t="s">
        <v>5</v>
      </c>
      <c r="F109" s="19"/>
      <c r="G109" s="30" t="str">
        <f>IF(COUNTIF(D109:F109,"?*")=$T$5,"✅ CUBIERTO",
IF(COUNTIF(D109:F109,"?*")&gt;$T$5,"⚠ EXCESO",IF(COUNTIF(D109:F109,"?*")&gt;0,"⚠ FALTANTE",
"❌ SIN COMPLETAR")))</f>
        <v>✅ CUBIERTO</v>
      </c>
      <c r="H109" s="7"/>
      <c r="I109" s="27">
        <v>45969</v>
      </c>
      <c r="J109" s="28" t="str">
        <f t="shared" ref="J109:J117" si="25">TEXT(I109,"ddd")</f>
        <v>sáb</v>
      </c>
      <c r="K109" s="29">
        <v>0.5</v>
      </c>
      <c r="L109" s="25"/>
      <c r="M109" s="25"/>
      <c r="N109" s="25"/>
      <c r="O109" s="30" t="s">
        <v>32</v>
      </c>
      <c r="P109" s="7"/>
      <c r="Q109" s="27">
        <v>45969</v>
      </c>
      <c r="R109" s="28" t="str">
        <f t="shared" ref="R109:R117" si="26">TEXT(Q109,"ddd")</f>
        <v>sáb</v>
      </c>
      <c r="S109" s="29">
        <v>0.5</v>
      </c>
      <c r="T109" s="19"/>
      <c r="U109" s="19"/>
      <c r="V109" s="19"/>
      <c r="W109" s="30" t="str">
        <f>IF(COUNTIF(T109:V109,"?*")=$T$7,"✅ CUBIERTO",IF(COUNTIF(T109:V109,"?*")&gt;$T$7,"⚠ EXCESO",
IF(COUNTIF(T109:V109,"?*")&gt;0,"⚠ FALTANTE", "❌ SIN COMPLETAR")))</f>
        <v>❌ SIN COMPLETAR</v>
      </c>
    </row>
    <row r="110" spans="1:23" x14ac:dyDescent="0.35">
      <c r="A110" s="27">
        <v>45969</v>
      </c>
      <c r="B110" s="28" t="str">
        <f t="shared" si="24"/>
        <v>sáb</v>
      </c>
      <c r="C110" s="29">
        <v>0.54166666666666696</v>
      </c>
      <c r="D110" s="19" t="s">
        <v>4</v>
      </c>
      <c r="E110" s="19" t="s">
        <v>5</v>
      </c>
      <c r="F110" s="19"/>
      <c r="G110" s="30" t="str">
        <f>IF(COUNTIF(D110:F110,"?*")=$T$5,"✅ CUBIERTO",
IF(COUNTIF(D110:F110,"?*")&gt;$T$5,"⚠ EXCESO",IF(COUNTIF(D110:F110,"?*")&gt;0,"⚠ FALTANTE",
"❌ SIN COMPLETAR")))</f>
        <v>✅ CUBIERTO</v>
      </c>
      <c r="H110" s="7"/>
      <c r="I110" s="27">
        <v>45969</v>
      </c>
      <c r="J110" s="28" t="str">
        <f t="shared" si="25"/>
        <v>sáb</v>
      </c>
      <c r="K110" s="29">
        <v>0.54166666666666696</v>
      </c>
      <c r="L110" s="25"/>
      <c r="M110" s="25"/>
      <c r="N110" s="25"/>
      <c r="O110" s="30" t="s">
        <v>32</v>
      </c>
      <c r="P110" s="7"/>
      <c r="Q110" s="27">
        <v>45969</v>
      </c>
      <c r="R110" s="28" t="str">
        <f t="shared" si="26"/>
        <v>sáb</v>
      </c>
      <c r="S110" s="29">
        <v>0.54166666666666696</v>
      </c>
      <c r="T110" s="19"/>
      <c r="U110" s="19"/>
      <c r="V110" s="19"/>
      <c r="W110" s="30" t="str">
        <f>IF(COUNTIF(T110:V110,"?*")=$T$7,"✅ CUBIERTO",IF(COUNTIF(T110:V110,"?*")&gt;$T$7,"⚠ EXCESO",
IF(COUNTIF(T110:V110,"?*")&gt;0,"⚠ FALTANTE", "❌ SIN COMPLETAR")))</f>
        <v>❌ SIN COMPLETAR</v>
      </c>
    </row>
    <row r="111" spans="1:23" x14ac:dyDescent="0.35">
      <c r="A111" s="27">
        <v>45969</v>
      </c>
      <c r="B111" s="28" t="str">
        <f t="shared" si="24"/>
        <v>sáb</v>
      </c>
      <c r="C111" s="29">
        <v>0.58333333333333304</v>
      </c>
      <c r="D111" s="19" t="s">
        <v>4</v>
      </c>
      <c r="E111" s="19" t="s">
        <v>5</v>
      </c>
      <c r="F111" s="19"/>
      <c r="G111" s="30" t="str">
        <f>IF(COUNTIF(D111:F111,"?*")=$T$5,"✅ CUBIERTO",
IF(COUNTIF(D111:F111,"?*")&gt;$T$5,"⚠ EXCESO",IF(COUNTIF(D111:F111,"?*")&gt;0,"⚠ FALTANTE",
"❌ SIN COMPLETAR")))</f>
        <v>✅ CUBIERTO</v>
      </c>
      <c r="H111" s="7"/>
      <c r="I111" s="27">
        <v>45969</v>
      </c>
      <c r="J111" s="28" t="str">
        <f t="shared" si="25"/>
        <v>sáb</v>
      </c>
      <c r="K111" s="29">
        <v>0.58333333333333304</v>
      </c>
      <c r="L111" s="25"/>
      <c r="M111" s="25"/>
      <c r="N111" s="25"/>
      <c r="O111" s="30" t="s">
        <v>32</v>
      </c>
      <c r="P111" s="7"/>
      <c r="Q111" s="27">
        <v>45969</v>
      </c>
      <c r="R111" s="28" t="str">
        <f t="shared" si="26"/>
        <v>sáb</v>
      </c>
      <c r="S111" s="29">
        <v>0.58333333333333304</v>
      </c>
      <c r="T111" s="19"/>
      <c r="U111" s="19"/>
      <c r="V111" s="19"/>
      <c r="W111" s="30" t="str">
        <f>IF(COUNTIF(T111:V111,"?*")=$T$7,"✅ CUBIERTO",IF(COUNTIF(T111:V111,"?*")&gt;$T$7,"⚠ EXCESO",
IF(COUNTIF(T111:V111,"?*")&gt;0,"⚠ FALTANTE", "❌ SIN COMPLETAR")))</f>
        <v>❌ SIN COMPLETAR</v>
      </c>
    </row>
    <row r="112" spans="1:23" x14ac:dyDescent="0.35">
      <c r="A112" s="27">
        <v>45969</v>
      </c>
      <c r="B112" s="28" t="str">
        <f t="shared" si="24"/>
        <v>sáb</v>
      </c>
      <c r="C112" s="29">
        <v>0.625</v>
      </c>
      <c r="D112" s="19" t="s">
        <v>4</v>
      </c>
      <c r="E112" s="19" t="s">
        <v>5</v>
      </c>
      <c r="F112" s="19"/>
      <c r="G112" s="30" t="str">
        <f>IF(COUNTIF(D112:F112,"?*")=$T$5,"✅ CUBIERTO",
IF(COUNTIF(D112:F112,"?*")&gt;$T$5,"⚠ EXCESO",IF(COUNTIF(D112:F112,"?*")&gt;0,"⚠ FALTANTE",
"❌ SIN COMPLETAR")))</f>
        <v>✅ CUBIERTO</v>
      </c>
      <c r="H112" s="7"/>
      <c r="I112" s="27">
        <v>45969</v>
      </c>
      <c r="J112" s="28" t="str">
        <f t="shared" si="25"/>
        <v>sáb</v>
      </c>
      <c r="K112" s="29">
        <v>0.625</v>
      </c>
      <c r="L112" s="25"/>
      <c r="M112" s="25"/>
      <c r="N112" s="25"/>
      <c r="O112" s="30" t="s">
        <v>32</v>
      </c>
      <c r="P112" s="7"/>
      <c r="Q112" s="27">
        <v>45969</v>
      </c>
      <c r="R112" s="28" t="str">
        <f t="shared" si="26"/>
        <v>sáb</v>
      </c>
      <c r="S112" s="29">
        <v>0.625</v>
      </c>
      <c r="T112" s="19"/>
      <c r="U112" s="19"/>
      <c r="V112" s="19"/>
      <c r="W112" s="30" t="str">
        <f>IF(COUNTIF(T112:V112,"?*")=$T$7,"✅ CUBIERTO",IF(COUNTIF(T112:V112,"?*")&gt;$T$7,"⚠ EXCESO",
IF(COUNTIF(T112:V112,"?*")&gt;0,"⚠ FALTANTE", "❌ SIN COMPLETAR")))</f>
        <v>❌ SIN COMPLETAR</v>
      </c>
    </row>
    <row r="113" spans="1:23" x14ac:dyDescent="0.35">
      <c r="A113" s="27">
        <v>45969</v>
      </c>
      <c r="B113" s="28" t="str">
        <f t="shared" si="24"/>
        <v>sáb</v>
      </c>
      <c r="C113" s="29">
        <v>0.66666666666666696</v>
      </c>
      <c r="D113" s="19" t="s">
        <v>30</v>
      </c>
      <c r="E113" s="19" t="s">
        <v>29</v>
      </c>
      <c r="F113" s="19"/>
      <c r="G113" s="30" t="str">
        <f>IF(COUNTIF(D113:F113,"?*")=$T$5,"✅ CUBIERTO",
IF(COUNTIF(D113:F113,"?*")&gt;$T$5,"⚠ EXCESO",IF(COUNTIF(D113:F113,"?*")&gt;0,"⚠ FALTANTE",
"❌ SIN COMPLETAR")))</f>
        <v>✅ CUBIERTO</v>
      </c>
      <c r="H113" s="7"/>
      <c r="I113" s="27">
        <v>45969</v>
      </c>
      <c r="J113" s="28" t="str">
        <f t="shared" si="25"/>
        <v>sáb</v>
      </c>
      <c r="K113" s="29">
        <v>0.66666666666666696</v>
      </c>
      <c r="L113" s="25"/>
      <c r="M113" s="25"/>
      <c r="N113" s="25"/>
      <c r="O113" s="30" t="s">
        <v>32</v>
      </c>
      <c r="P113" s="7"/>
      <c r="Q113" s="27">
        <v>45969</v>
      </c>
      <c r="R113" s="28" t="str">
        <f t="shared" si="26"/>
        <v>sáb</v>
      </c>
      <c r="S113" s="29">
        <v>0.66666666666666696</v>
      </c>
      <c r="T113" s="19"/>
      <c r="U113" s="19"/>
      <c r="V113" s="19"/>
      <c r="W113" s="30" t="str">
        <f>IF(COUNTIF(T113:V113,"?*")=$T$7,"✅ CUBIERTO",IF(COUNTIF(T113:V113,"?*")&gt;$T$7,"⚠ EXCESO",
IF(COUNTIF(T113:V113,"?*")&gt;0,"⚠ FALTANTE", "❌ SIN COMPLETAR")))</f>
        <v>❌ SIN COMPLETAR</v>
      </c>
    </row>
    <row r="114" spans="1:23" x14ac:dyDescent="0.35">
      <c r="A114" s="27">
        <v>45969</v>
      </c>
      <c r="B114" s="28" t="str">
        <f t="shared" si="24"/>
        <v>sáb</v>
      </c>
      <c r="C114" s="29">
        <v>0.70833333333333304</v>
      </c>
      <c r="D114" s="19" t="s">
        <v>30</v>
      </c>
      <c r="E114" s="19" t="s">
        <v>29</v>
      </c>
      <c r="F114" s="19"/>
      <c r="G114" s="30" t="str">
        <f>IF(COUNTIF(D114:F114,"?*")=$T$5,"✅ CUBIERTO",
IF(COUNTIF(D114:F114,"?*")&gt;$T$5,"⚠ EXCESO",IF(COUNTIF(D114:F114,"?*")&gt;0,"⚠ FALTANTE",
"❌ SIN COMPLETAR")))</f>
        <v>✅ CUBIERTO</v>
      </c>
      <c r="H114" s="7"/>
      <c r="I114" s="27">
        <v>45969</v>
      </c>
      <c r="J114" s="28" t="str">
        <f t="shared" si="25"/>
        <v>sáb</v>
      </c>
      <c r="K114" s="29">
        <v>0.70833333333333304</v>
      </c>
      <c r="L114" s="25"/>
      <c r="M114" s="25"/>
      <c r="N114" s="25"/>
      <c r="O114" s="30" t="s">
        <v>32</v>
      </c>
      <c r="P114" s="7"/>
      <c r="Q114" s="27">
        <v>45969</v>
      </c>
      <c r="R114" s="28" t="str">
        <f t="shared" si="26"/>
        <v>sáb</v>
      </c>
      <c r="S114" s="29">
        <v>0.70833333333333304</v>
      </c>
      <c r="T114" s="19"/>
      <c r="U114" s="19"/>
      <c r="V114" s="19"/>
      <c r="W114" s="30" t="str">
        <f>IF(COUNTIF(T114:V114,"?*")=$T$7,"✅ CUBIERTO",IF(COUNTIF(T114:V114,"?*")&gt;$T$7,"⚠ EXCESO",
IF(COUNTIF(T114:V114,"?*")&gt;0,"⚠ FALTANTE", "❌ SIN COMPLETAR")))</f>
        <v>❌ SIN COMPLETAR</v>
      </c>
    </row>
    <row r="115" spans="1:23" x14ac:dyDescent="0.35">
      <c r="A115" s="27">
        <v>45969</v>
      </c>
      <c r="B115" s="28" t="str">
        <f t="shared" si="24"/>
        <v>sáb</v>
      </c>
      <c r="C115" s="29">
        <v>0.75</v>
      </c>
      <c r="D115" s="19" t="s">
        <v>30</v>
      </c>
      <c r="E115" s="19" t="s">
        <v>29</v>
      </c>
      <c r="F115" s="19"/>
      <c r="G115" s="30" t="str">
        <f>IF(COUNTIF(D115:F115,"?*")=$T$5,"✅ CUBIERTO",
IF(COUNTIF(D115:F115,"?*")&gt;$T$5,"⚠ EXCESO",IF(COUNTIF(D115:F115,"?*")&gt;0,"⚠ FALTANTE",
"❌ SIN COMPLETAR")))</f>
        <v>✅ CUBIERTO</v>
      </c>
      <c r="H115" s="7"/>
      <c r="I115" s="27">
        <v>45969</v>
      </c>
      <c r="J115" s="28" t="str">
        <f t="shared" si="25"/>
        <v>sáb</v>
      </c>
      <c r="K115" s="29">
        <v>0.75</v>
      </c>
      <c r="L115" s="25"/>
      <c r="M115" s="25"/>
      <c r="N115" s="25"/>
      <c r="O115" s="30" t="s">
        <v>32</v>
      </c>
      <c r="P115" s="7"/>
      <c r="Q115" s="27">
        <v>45969</v>
      </c>
      <c r="R115" s="28" t="str">
        <f t="shared" si="26"/>
        <v>sáb</v>
      </c>
      <c r="S115" s="29">
        <v>0.75</v>
      </c>
      <c r="T115" s="19"/>
      <c r="U115" s="19"/>
      <c r="V115" s="19"/>
      <c r="W115" s="30" t="str">
        <f>IF(COUNTIF(T115:V115,"?*")=$T$7,"✅ CUBIERTO",IF(COUNTIF(T115:V115,"?*")&gt;$T$7,"⚠ EXCESO",
IF(COUNTIF(T115:V115,"?*")&gt;0,"⚠ FALTANTE", "❌ SIN COMPLETAR")))</f>
        <v>❌ SIN COMPLETAR</v>
      </c>
    </row>
    <row r="116" spans="1:23" x14ac:dyDescent="0.35">
      <c r="A116" s="27">
        <v>45969</v>
      </c>
      <c r="B116" s="28" t="str">
        <f t="shared" si="24"/>
        <v>sáb</v>
      </c>
      <c r="C116" s="29">
        <v>0.79166666666666696</v>
      </c>
      <c r="D116" s="19" t="s">
        <v>30</v>
      </c>
      <c r="E116" s="19" t="s">
        <v>29</v>
      </c>
      <c r="F116" s="19"/>
      <c r="G116" s="30" t="str">
        <f>IF(COUNTIF(D116:F116,"?*")=$T$5,"✅ CUBIERTO",
IF(COUNTIF(D116:F116,"?*")&gt;$T$5,"⚠ EXCESO",IF(COUNTIF(D116:F116,"?*")&gt;0,"⚠ FALTANTE",
"❌ SIN COMPLETAR")))</f>
        <v>✅ CUBIERTO</v>
      </c>
      <c r="H116" s="7"/>
      <c r="I116" s="27">
        <v>45969</v>
      </c>
      <c r="J116" s="28" t="str">
        <f t="shared" si="25"/>
        <v>sáb</v>
      </c>
      <c r="K116" s="29">
        <v>0.79166666666666696</v>
      </c>
      <c r="L116" s="25"/>
      <c r="M116" s="25"/>
      <c r="N116" s="25"/>
      <c r="O116" s="30" t="s">
        <v>32</v>
      </c>
      <c r="P116" s="7"/>
      <c r="Q116" s="27">
        <v>45969</v>
      </c>
      <c r="R116" s="28" t="str">
        <f t="shared" si="26"/>
        <v>sáb</v>
      </c>
      <c r="S116" s="29">
        <v>0.79166666666666696</v>
      </c>
      <c r="T116" s="19"/>
      <c r="U116" s="19"/>
      <c r="V116" s="19"/>
      <c r="W116" s="30" t="str">
        <f>IF(COUNTIF(T116:V116,"?*")=$T$7,"✅ CUBIERTO",IF(COUNTIF(T116:V116,"?*")&gt;$T$7,"⚠ EXCESO",
IF(COUNTIF(T116:V116,"?*")&gt;0,"⚠ FALTANTE", "❌ SIN COMPLETAR")))</f>
        <v>❌ SIN COMPLETAR</v>
      </c>
    </row>
    <row r="117" spans="1:23" x14ac:dyDescent="0.35">
      <c r="A117" s="27">
        <v>45969</v>
      </c>
      <c r="B117" s="28" t="str">
        <f t="shared" si="24"/>
        <v>sáb</v>
      </c>
      <c r="C117" s="29">
        <v>0.83333333333333337</v>
      </c>
      <c r="D117" s="25"/>
      <c r="E117" s="25"/>
      <c r="F117" s="25"/>
      <c r="G117" s="30" t="s">
        <v>32</v>
      </c>
      <c r="H117" s="7"/>
      <c r="I117" s="27">
        <v>45969</v>
      </c>
      <c r="J117" s="28" t="str">
        <f t="shared" si="25"/>
        <v>sáb</v>
      </c>
      <c r="K117" s="29">
        <v>0.83333333333333337</v>
      </c>
      <c r="L117" s="25"/>
      <c r="M117" s="25"/>
      <c r="N117" s="25"/>
      <c r="O117" s="30" t="s">
        <v>32</v>
      </c>
      <c r="P117" s="7"/>
      <c r="Q117" s="27">
        <v>45969</v>
      </c>
      <c r="R117" s="28" t="str">
        <f t="shared" si="26"/>
        <v>sáb</v>
      </c>
      <c r="S117" s="29">
        <v>0.83333333333333337</v>
      </c>
      <c r="T117" s="19"/>
      <c r="U117" s="19"/>
      <c r="V117" s="19"/>
      <c r="W117" s="30" t="str">
        <f>IF(COUNTIF(T117:V117,"?*")=$T$7,"✅ CUBIERTO",IF(COUNTIF(T117:V117,"?*")&gt;$T$7,"⚠ EXCESO",
IF(COUNTIF(T117:V117,"?*")&gt;0,"⚠ FALTANTE", "❌ SIN COMPLETAR")))</f>
        <v>❌ SIN COMPLETAR</v>
      </c>
    </row>
    <row r="118" spans="1:23" x14ac:dyDescent="0.35">
      <c r="A118" s="27">
        <v>45970</v>
      </c>
      <c r="B118" s="28" t="str">
        <f>TEXT(A118,"ddd")</f>
        <v>dom</v>
      </c>
      <c r="C118" s="29">
        <v>0.375</v>
      </c>
      <c r="D118" s="25"/>
      <c r="E118" s="25"/>
      <c r="F118" s="25"/>
      <c r="G118" s="30" t="s">
        <v>32</v>
      </c>
      <c r="H118" s="7"/>
      <c r="I118" s="27">
        <v>45970</v>
      </c>
      <c r="J118" s="28" t="str">
        <f>TEXT(I118,"ddd")</f>
        <v>dom</v>
      </c>
      <c r="K118" s="29">
        <v>0.375</v>
      </c>
      <c r="L118" s="25"/>
      <c r="M118" s="25"/>
      <c r="N118" s="25"/>
      <c r="O118" s="30" t="s">
        <v>32</v>
      </c>
      <c r="P118" s="7"/>
      <c r="Q118" s="27">
        <v>45970</v>
      </c>
      <c r="R118" s="28" t="str">
        <f>TEXT(Q118,"ddd")</f>
        <v>dom</v>
      </c>
      <c r="S118" s="29">
        <v>0.375</v>
      </c>
      <c r="T118" s="25"/>
      <c r="U118" s="25"/>
      <c r="V118" s="25"/>
      <c r="W118" s="30" t="s">
        <v>32</v>
      </c>
    </row>
    <row r="119" spans="1:23" x14ac:dyDescent="0.35">
      <c r="A119" s="27">
        <v>45970</v>
      </c>
      <c r="B119" s="28" t="str">
        <f>TEXT(A119,"ddd")</f>
        <v>dom</v>
      </c>
      <c r="C119" s="29">
        <v>0.41666666666666669</v>
      </c>
      <c r="D119" s="25"/>
      <c r="E119" s="25"/>
      <c r="F119" s="25"/>
      <c r="G119" s="30" t="s">
        <v>32</v>
      </c>
      <c r="H119" s="7"/>
      <c r="I119" s="27">
        <v>45970</v>
      </c>
      <c r="J119" s="28" t="str">
        <f>TEXT(I119,"ddd")</f>
        <v>dom</v>
      </c>
      <c r="K119" s="29">
        <v>0.41666666666666669</v>
      </c>
      <c r="L119" s="25"/>
      <c r="M119" s="25"/>
      <c r="N119" s="25"/>
      <c r="O119" s="30" t="s">
        <v>32</v>
      </c>
      <c r="P119" s="7"/>
      <c r="Q119" s="27">
        <v>45970</v>
      </c>
      <c r="R119" s="28" t="str">
        <f>TEXT(Q119,"ddd")</f>
        <v>dom</v>
      </c>
      <c r="S119" s="29">
        <v>0.41666666666666669</v>
      </c>
      <c r="T119" s="19"/>
      <c r="U119" s="19"/>
      <c r="V119" s="19"/>
      <c r="W119" s="30" t="str">
        <f>IF(COUNTIF(T119:V119,"?*")=$T$7,"✅ CUBIERTO",IF(COUNTIF(T119:V119,"?*")&gt;$T$7,"⚠ EXCESO",
IF(COUNTIF(T119:V119,"?*")&gt;0,"⚠ FALTANTE", "❌ SIN COMPLETAR")))</f>
        <v>❌ SIN COMPLETAR</v>
      </c>
    </row>
    <row r="120" spans="1:23" x14ac:dyDescent="0.35">
      <c r="A120" s="27">
        <v>45970</v>
      </c>
      <c r="B120" s="28" t="str">
        <f>TEXT(A120,"ddd")</f>
        <v>dom</v>
      </c>
      <c r="C120" s="29">
        <v>0.45833333333333331</v>
      </c>
      <c r="D120" s="19" t="s">
        <v>4</v>
      </c>
      <c r="E120" s="19" t="s">
        <v>31</v>
      </c>
      <c r="F120" s="19"/>
      <c r="G120" s="30" t="str">
        <f>IF(COUNTIF(D120:F120,"?*")=$T$5,"✅ CUBIERTO",
IF(COUNTIF(D120:F120,"?*")&gt;$T$5,"⚠ EXCESO",IF(COUNTIF(D120:F120,"?*")&gt;0,"⚠ FALTANTE",
"❌ SIN COMPLETAR")))</f>
        <v>✅ CUBIERTO</v>
      </c>
      <c r="H120" s="7"/>
      <c r="I120" s="27">
        <v>45970</v>
      </c>
      <c r="J120" s="28" t="str">
        <f>TEXT(I120,"ddd")</f>
        <v>dom</v>
      </c>
      <c r="K120" s="29">
        <v>0.45833333333333331</v>
      </c>
      <c r="L120" s="25"/>
      <c r="M120" s="25"/>
      <c r="N120" s="25"/>
      <c r="O120" s="30" t="s">
        <v>32</v>
      </c>
      <c r="P120" s="7"/>
      <c r="Q120" s="27">
        <v>45970</v>
      </c>
      <c r="R120" s="28" t="str">
        <f>TEXT(Q120,"ddd")</f>
        <v>dom</v>
      </c>
      <c r="S120" s="29">
        <v>0.45833333333333331</v>
      </c>
      <c r="T120" s="19"/>
      <c r="U120" s="19"/>
      <c r="V120" s="19"/>
      <c r="W120" s="30" t="str">
        <f>IF(COUNTIF(T120:V120,"?*")=$T$7,"✅ CUBIERTO",IF(COUNTIF(T120:V120,"?*")&gt;$T$7,"⚠ EXCESO",
IF(COUNTIF(T120:V120,"?*")&gt;0,"⚠ FALTANTE", "❌ SIN COMPLETAR")))</f>
        <v>❌ SIN COMPLETAR</v>
      </c>
    </row>
    <row r="121" spans="1:23" x14ac:dyDescent="0.35">
      <c r="A121" s="27">
        <v>45970</v>
      </c>
      <c r="B121" s="28" t="str">
        <f t="shared" ref="B121:B129" si="27">TEXT(A121,"ddd")</f>
        <v>dom</v>
      </c>
      <c r="C121" s="29">
        <v>0.5</v>
      </c>
      <c r="D121" s="19" t="s">
        <v>4</v>
      </c>
      <c r="E121" s="19" t="s">
        <v>31</v>
      </c>
      <c r="F121" s="19"/>
      <c r="G121" s="30" t="str">
        <f>IF(COUNTIF(D121:F121,"?*")=$T$5,"✅ CUBIERTO",
IF(COUNTIF(D121:F121,"?*")&gt;$T$5,"⚠ EXCESO",IF(COUNTIF(D121:F121,"?*")&gt;0,"⚠ FALTANTE",
"❌ SIN COMPLETAR")))</f>
        <v>✅ CUBIERTO</v>
      </c>
      <c r="H121" s="7"/>
      <c r="I121" s="27">
        <v>45970</v>
      </c>
      <c r="J121" s="28" t="str">
        <f t="shared" ref="J121:J129" si="28">TEXT(I121,"ddd")</f>
        <v>dom</v>
      </c>
      <c r="K121" s="29">
        <v>0.5</v>
      </c>
      <c r="L121" s="25"/>
      <c r="M121" s="25"/>
      <c r="N121" s="25"/>
      <c r="O121" s="30" t="s">
        <v>32</v>
      </c>
      <c r="P121" s="7"/>
      <c r="Q121" s="27">
        <v>45970</v>
      </c>
      <c r="R121" s="28" t="str">
        <f t="shared" ref="R121:R129" si="29">TEXT(Q121,"ddd")</f>
        <v>dom</v>
      </c>
      <c r="S121" s="29">
        <v>0.5</v>
      </c>
      <c r="T121" s="19"/>
      <c r="U121" s="19"/>
      <c r="V121" s="19"/>
      <c r="W121" s="30" t="str">
        <f>IF(COUNTIF(T121:V121,"?*")=$T$7,"✅ CUBIERTO",IF(COUNTIF(T121:V121,"?*")&gt;$T$7,"⚠ EXCESO",
IF(COUNTIF(T121:V121,"?*")&gt;0,"⚠ FALTANTE", "❌ SIN COMPLETAR")))</f>
        <v>❌ SIN COMPLETAR</v>
      </c>
    </row>
    <row r="122" spans="1:23" x14ac:dyDescent="0.35">
      <c r="A122" s="27">
        <v>45970</v>
      </c>
      <c r="B122" s="28" t="str">
        <f t="shared" si="27"/>
        <v>dom</v>
      </c>
      <c r="C122" s="29">
        <v>0.54166666666666696</v>
      </c>
      <c r="D122" s="19" t="s">
        <v>4</v>
      </c>
      <c r="E122" s="19" t="s">
        <v>31</v>
      </c>
      <c r="F122" s="19"/>
      <c r="G122" s="30" t="str">
        <f>IF(COUNTIF(D122:F122,"?*")=$T$5,"✅ CUBIERTO",
IF(COUNTIF(D122:F122,"?*")&gt;$T$5,"⚠ EXCESO",IF(COUNTIF(D122:F122,"?*")&gt;0,"⚠ FALTANTE",
"❌ SIN COMPLETAR")))</f>
        <v>✅ CUBIERTO</v>
      </c>
      <c r="H122" s="7"/>
      <c r="I122" s="27">
        <v>45970</v>
      </c>
      <c r="J122" s="28" t="str">
        <f t="shared" si="28"/>
        <v>dom</v>
      </c>
      <c r="K122" s="29">
        <v>0.54166666666666696</v>
      </c>
      <c r="L122" s="25"/>
      <c r="M122" s="25"/>
      <c r="N122" s="25"/>
      <c r="O122" s="30" t="s">
        <v>32</v>
      </c>
      <c r="P122" s="7"/>
      <c r="Q122" s="27">
        <v>45970</v>
      </c>
      <c r="R122" s="28" t="str">
        <f t="shared" si="29"/>
        <v>dom</v>
      </c>
      <c r="S122" s="29">
        <v>0.54166666666666696</v>
      </c>
      <c r="T122" s="19"/>
      <c r="U122" s="19"/>
      <c r="V122" s="19"/>
      <c r="W122" s="30" t="str">
        <f>IF(COUNTIF(T122:V122,"?*")=$T$7,"✅ CUBIERTO",IF(COUNTIF(T122:V122,"?*")&gt;$T$7,"⚠ EXCESO",
IF(COUNTIF(T122:V122,"?*")&gt;0,"⚠ FALTANTE", "❌ SIN COMPLETAR")))</f>
        <v>❌ SIN COMPLETAR</v>
      </c>
    </row>
    <row r="123" spans="1:23" x14ac:dyDescent="0.35">
      <c r="A123" s="27">
        <v>45970</v>
      </c>
      <c r="B123" s="28" t="str">
        <f t="shared" si="27"/>
        <v>dom</v>
      </c>
      <c r="C123" s="29">
        <v>0.58333333333333304</v>
      </c>
      <c r="D123" s="19" t="s">
        <v>4</v>
      </c>
      <c r="E123" s="19" t="s">
        <v>31</v>
      </c>
      <c r="F123" s="19"/>
      <c r="G123" s="30" t="str">
        <f>IF(COUNTIF(D123:F123,"?*")=$T$5,"✅ CUBIERTO",
IF(COUNTIF(D123:F123,"?*")&gt;$T$5,"⚠ EXCESO",IF(COUNTIF(D123:F123,"?*")&gt;0,"⚠ FALTANTE",
"❌ SIN COMPLETAR")))</f>
        <v>✅ CUBIERTO</v>
      </c>
      <c r="H123" s="7"/>
      <c r="I123" s="27">
        <v>45970</v>
      </c>
      <c r="J123" s="28" t="str">
        <f t="shared" si="28"/>
        <v>dom</v>
      </c>
      <c r="K123" s="29">
        <v>0.58333333333333304</v>
      </c>
      <c r="L123" s="25"/>
      <c r="M123" s="25"/>
      <c r="N123" s="25"/>
      <c r="O123" s="30" t="s">
        <v>32</v>
      </c>
      <c r="P123" s="7"/>
      <c r="Q123" s="27">
        <v>45970</v>
      </c>
      <c r="R123" s="28" t="str">
        <f t="shared" si="29"/>
        <v>dom</v>
      </c>
      <c r="S123" s="29">
        <v>0.58333333333333304</v>
      </c>
      <c r="T123" s="19"/>
      <c r="U123" s="19"/>
      <c r="V123" s="19"/>
      <c r="W123" s="30" t="str">
        <f>IF(COUNTIF(T123:V123,"?*")=$T$7,"✅ CUBIERTO",IF(COUNTIF(T123:V123,"?*")&gt;$T$7,"⚠ EXCESO",
IF(COUNTIF(T123:V123,"?*")&gt;0,"⚠ FALTANTE", "❌ SIN COMPLETAR")))</f>
        <v>❌ SIN COMPLETAR</v>
      </c>
    </row>
    <row r="124" spans="1:23" x14ac:dyDescent="0.35">
      <c r="A124" s="27">
        <v>45970</v>
      </c>
      <c r="B124" s="28" t="str">
        <f t="shared" si="27"/>
        <v>dom</v>
      </c>
      <c r="C124" s="29">
        <v>0.625</v>
      </c>
      <c r="D124" s="19" t="s">
        <v>4</v>
      </c>
      <c r="E124" s="19" t="s">
        <v>31</v>
      </c>
      <c r="F124" s="19"/>
      <c r="G124" s="30" t="str">
        <f>IF(COUNTIF(D124:F124,"?*")=$T$5,"✅ CUBIERTO",
IF(COUNTIF(D124:F124,"?*")&gt;$T$5,"⚠ EXCESO",IF(COUNTIF(D124:F124,"?*")&gt;0,"⚠ FALTANTE",
"❌ SIN COMPLETAR")))</f>
        <v>✅ CUBIERTO</v>
      </c>
      <c r="H124" s="7"/>
      <c r="I124" s="27">
        <v>45970</v>
      </c>
      <c r="J124" s="28" t="str">
        <f t="shared" si="28"/>
        <v>dom</v>
      </c>
      <c r="K124" s="29">
        <v>0.625</v>
      </c>
      <c r="L124" s="25"/>
      <c r="M124" s="25"/>
      <c r="N124" s="25"/>
      <c r="O124" s="30" t="s">
        <v>32</v>
      </c>
      <c r="P124" s="7"/>
      <c r="Q124" s="27">
        <v>45970</v>
      </c>
      <c r="R124" s="28" t="str">
        <f t="shared" si="29"/>
        <v>dom</v>
      </c>
      <c r="S124" s="29">
        <v>0.625</v>
      </c>
      <c r="T124" s="19"/>
      <c r="U124" s="19"/>
      <c r="V124" s="19"/>
      <c r="W124" s="30" t="str">
        <f>IF(COUNTIF(T124:V124,"?*")=$T$7,"✅ CUBIERTO",IF(COUNTIF(T124:V124,"?*")&gt;$T$7,"⚠ EXCESO",
IF(COUNTIF(T124:V124,"?*")&gt;0,"⚠ FALTANTE", "❌ SIN COMPLETAR")))</f>
        <v>❌ SIN COMPLETAR</v>
      </c>
    </row>
    <row r="125" spans="1:23" x14ac:dyDescent="0.35">
      <c r="A125" s="27">
        <v>45970</v>
      </c>
      <c r="B125" s="28" t="str">
        <f t="shared" si="27"/>
        <v>dom</v>
      </c>
      <c r="C125" s="29">
        <v>0.66666666666666696</v>
      </c>
      <c r="D125" s="19" t="s">
        <v>30</v>
      </c>
      <c r="E125" s="19" t="s">
        <v>29</v>
      </c>
      <c r="F125" s="19"/>
      <c r="G125" s="30" t="str">
        <f>IF(COUNTIF(D125:F125,"?*")=$T$5,"✅ CUBIERTO",
IF(COUNTIF(D125:F125,"?*")&gt;$T$5,"⚠ EXCESO",IF(COUNTIF(D125:F125,"?*")&gt;0,"⚠ FALTANTE",
"❌ SIN COMPLETAR")))</f>
        <v>✅ CUBIERTO</v>
      </c>
      <c r="H125" s="7"/>
      <c r="I125" s="27">
        <v>45970</v>
      </c>
      <c r="J125" s="28" t="str">
        <f t="shared" si="28"/>
        <v>dom</v>
      </c>
      <c r="K125" s="29">
        <v>0.66666666666666696</v>
      </c>
      <c r="L125" s="25"/>
      <c r="M125" s="25"/>
      <c r="N125" s="25"/>
      <c r="O125" s="30" t="s">
        <v>32</v>
      </c>
      <c r="P125" s="7"/>
      <c r="Q125" s="27">
        <v>45970</v>
      </c>
      <c r="R125" s="28" t="str">
        <f t="shared" si="29"/>
        <v>dom</v>
      </c>
      <c r="S125" s="29">
        <v>0.66666666666666696</v>
      </c>
      <c r="T125" s="19"/>
      <c r="U125" s="19"/>
      <c r="V125" s="19"/>
      <c r="W125" s="30" t="str">
        <f>IF(COUNTIF(T125:V125,"?*")=$T$7,"✅ CUBIERTO",IF(COUNTIF(T125:V125,"?*")&gt;$T$7,"⚠ EXCESO",
IF(COUNTIF(T125:V125,"?*")&gt;0,"⚠ FALTANTE", "❌ SIN COMPLETAR")))</f>
        <v>❌ SIN COMPLETAR</v>
      </c>
    </row>
    <row r="126" spans="1:23" x14ac:dyDescent="0.35">
      <c r="A126" s="27">
        <v>45970</v>
      </c>
      <c r="B126" s="28" t="str">
        <f t="shared" si="27"/>
        <v>dom</v>
      </c>
      <c r="C126" s="29">
        <v>0.70833333333333304</v>
      </c>
      <c r="D126" s="19" t="s">
        <v>30</v>
      </c>
      <c r="E126" s="19" t="s">
        <v>29</v>
      </c>
      <c r="F126" s="19"/>
      <c r="G126" s="30" t="str">
        <f>IF(COUNTIF(D126:F126,"?*")=$T$5,"✅ CUBIERTO",
IF(COUNTIF(D126:F126,"?*")&gt;$T$5,"⚠ EXCESO",IF(COUNTIF(D126:F126,"?*")&gt;0,"⚠ FALTANTE",
"❌ SIN COMPLETAR")))</f>
        <v>✅ CUBIERTO</v>
      </c>
      <c r="H126" s="7"/>
      <c r="I126" s="27">
        <v>45970</v>
      </c>
      <c r="J126" s="28" t="str">
        <f t="shared" si="28"/>
        <v>dom</v>
      </c>
      <c r="K126" s="29">
        <v>0.70833333333333304</v>
      </c>
      <c r="L126" s="25"/>
      <c r="M126" s="25"/>
      <c r="N126" s="25"/>
      <c r="O126" s="30" t="s">
        <v>32</v>
      </c>
      <c r="P126" s="7"/>
      <c r="Q126" s="27">
        <v>45970</v>
      </c>
      <c r="R126" s="28" t="str">
        <f t="shared" si="29"/>
        <v>dom</v>
      </c>
      <c r="S126" s="29">
        <v>0.70833333333333304</v>
      </c>
      <c r="T126" s="19"/>
      <c r="U126" s="19"/>
      <c r="V126" s="19"/>
      <c r="W126" s="30" t="str">
        <f>IF(COUNTIF(T126:V126,"?*")=$T$7,"✅ CUBIERTO",IF(COUNTIF(T126:V126,"?*")&gt;$T$7,"⚠ EXCESO",
IF(COUNTIF(T126:V126,"?*")&gt;0,"⚠ FALTANTE", "❌ SIN COMPLETAR")))</f>
        <v>❌ SIN COMPLETAR</v>
      </c>
    </row>
    <row r="127" spans="1:23" x14ac:dyDescent="0.35">
      <c r="A127" s="27">
        <v>45970</v>
      </c>
      <c r="B127" s="28" t="str">
        <f t="shared" si="27"/>
        <v>dom</v>
      </c>
      <c r="C127" s="29">
        <v>0.75</v>
      </c>
      <c r="D127" s="19" t="s">
        <v>30</v>
      </c>
      <c r="E127" s="19" t="s">
        <v>29</v>
      </c>
      <c r="F127" s="19"/>
      <c r="G127" s="30" t="str">
        <f>IF(COUNTIF(D127:F127,"?*")=$T$5,"✅ CUBIERTO",
IF(COUNTIF(D127:F127,"?*")&gt;$T$5,"⚠ EXCESO",IF(COUNTIF(D127:F127,"?*")&gt;0,"⚠ FALTANTE",
"❌ SIN COMPLETAR")))</f>
        <v>✅ CUBIERTO</v>
      </c>
      <c r="H127" s="7"/>
      <c r="I127" s="27">
        <v>45970</v>
      </c>
      <c r="J127" s="28" t="str">
        <f t="shared" si="28"/>
        <v>dom</v>
      </c>
      <c r="K127" s="29">
        <v>0.75</v>
      </c>
      <c r="L127" s="25"/>
      <c r="M127" s="25"/>
      <c r="N127" s="25"/>
      <c r="O127" s="30" t="s">
        <v>32</v>
      </c>
      <c r="P127" s="7"/>
      <c r="Q127" s="27">
        <v>45970</v>
      </c>
      <c r="R127" s="28" t="str">
        <f t="shared" si="29"/>
        <v>dom</v>
      </c>
      <c r="S127" s="29">
        <v>0.75</v>
      </c>
      <c r="T127" s="19"/>
      <c r="U127" s="19"/>
      <c r="V127" s="19"/>
      <c r="W127" s="30" t="str">
        <f>IF(COUNTIF(T127:V127,"?*")=$T$7,"✅ CUBIERTO",IF(COUNTIF(T127:V127,"?*")&gt;$T$7,"⚠ EXCESO",
IF(COUNTIF(T127:V127,"?*")&gt;0,"⚠ FALTANTE", "❌ SIN COMPLETAR")))</f>
        <v>❌ SIN COMPLETAR</v>
      </c>
    </row>
    <row r="128" spans="1:23" x14ac:dyDescent="0.35">
      <c r="A128" s="27">
        <v>45970</v>
      </c>
      <c r="B128" s="28" t="str">
        <f t="shared" si="27"/>
        <v>dom</v>
      </c>
      <c r="C128" s="29">
        <v>0.79166666666666696</v>
      </c>
      <c r="D128" s="19" t="s">
        <v>30</v>
      </c>
      <c r="E128" s="19" t="s">
        <v>29</v>
      </c>
      <c r="F128" s="19"/>
      <c r="G128" s="30" t="str">
        <f>IF(COUNTIF(D128:F128,"?*")=$T$5,"✅ CUBIERTO",
IF(COUNTIF(D128:F128,"?*")&gt;$T$5,"⚠ EXCESO",IF(COUNTIF(D128:F128,"?*")&gt;0,"⚠ FALTANTE",
"❌ SIN COMPLETAR")))</f>
        <v>✅ CUBIERTO</v>
      </c>
      <c r="H128" s="7"/>
      <c r="I128" s="27">
        <v>45970</v>
      </c>
      <c r="J128" s="28" t="str">
        <f t="shared" si="28"/>
        <v>dom</v>
      </c>
      <c r="K128" s="29">
        <v>0.79166666666666696</v>
      </c>
      <c r="L128" s="25"/>
      <c r="M128" s="25"/>
      <c r="N128" s="25"/>
      <c r="O128" s="30" t="s">
        <v>32</v>
      </c>
      <c r="P128" s="7"/>
      <c r="Q128" s="27">
        <v>45970</v>
      </c>
      <c r="R128" s="28" t="str">
        <f t="shared" si="29"/>
        <v>dom</v>
      </c>
      <c r="S128" s="29">
        <v>0.79166666666666696</v>
      </c>
      <c r="T128" s="19"/>
      <c r="U128" s="19"/>
      <c r="V128" s="19"/>
      <c r="W128" s="30" t="str">
        <f>IF(COUNTIF(T128:V128,"?*")=$T$7,"✅ CUBIERTO",IF(COUNTIF(T128:V128,"?*")&gt;$T$7,"⚠ EXCESO",
IF(COUNTIF(T128:V128,"?*")&gt;0,"⚠ FALTANTE", "❌ SIN COMPLETAR")))</f>
        <v>❌ SIN COMPLETAR</v>
      </c>
    </row>
    <row r="129" spans="1:23" x14ac:dyDescent="0.35">
      <c r="A129" s="27">
        <v>45970</v>
      </c>
      <c r="B129" s="28" t="str">
        <f t="shared" si="27"/>
        <v>dom</v>
      </c>
      <c r="C129" s="29">
        <v>0.83333333333333337</v>
      </c>
      <c r="D129" s="25"/>
      <c r="E129" s="25"/>
      <c r="F129" s="25"/>
      <c r="G129" s="30" t="s">
        <v>32</v>
      </c>
      <c r="H129" s="7"/>
      <c r="I129" s="27">
        <v>45970</v>
      </c>
      <c r="J129" s="28" t="str">
        <f t="shared" si="28"/>
        <v>dom</v>
      </c>
      <c r="K129" s="29">
        <v>0.83333333333333337</v>
      </c>
      <c r="L129" s="25"/>
      <c r="M129" s="25"/>
      <c r="N129" s="25"/>
      <c r="O129" s="30" t="s">
        <v>32</v>
      </c>
      <c r="P129" s="7"/>
      <c r="Q129" s="27">
        <v>45970</v>
      </c>
      <c r="R129" s="28" t="str">
        <f t="shared" si="29"/>
        <v>dom</v>
      </c>
      <c r="S129" s="29">
        <v>0.83333333333333337</v>
      </c>
      <c r="T129" s="19"/>
      <c r="U129" s="19"/>
      <c r="V129" s="19"/>
      <c r="W129" s="30" t="str">
        <f>IF(COUNTIF(T129:V129,"?*")=$T$7,"✅ CUBIERTO",IF(COUNTIF(T129:V129,"?*")&gt;$T$7,"⚠ EXCESO",
IF(COUNTIF(T129:V129,"?*")&gt;0,"⚠ FALTANTE", "❌ SIN COMPLETAR")))</f>
        <v>❌ SIN COMPLETAR</v>
      </c>
    </row>
    <row r="130" spans="1:23" x14ac:dyDescent="0.35">
      <c r="A130" s="27">
        <v>45971</v>
      </c>
      <c r="B130" s="28" t="str">
        <f>TEXT(A130,"ddd")</f>
        <v>lun</v>
      </c>
      <c r="C130" s="29">
        <v>0.375</v>
      </c>
      <c r="D130" s="25"/>
      <c r="E130" s="25"/>
      <c r="F130" s="25"/>
      <c r="G130" s="30" t="s">
        <v>32</v>
      </c>
      <c r="H130" s="7"/>
      <c r="I130" s="27">
        <v>45971</v>
      </c>
      <c r="J130" s="28" t="str">
        <f>TEXT(I130,"ddd")</f>
        <v>lun</v>
      </c>
      <c r="K130" s="29">
        <v>0.375</v>
      </c>
      <c r="L130" s="19" t="s">
        <v>7</v>
      </c>
      <c r="M130" s="19"/>
      <c r="N130" s="19"/>
      <c r="O130" s="31" t="str">
        <f>IF(COUNTIF(L130:N130,"?*")=$T$6,"✅ CUBIERTO",IF(COUNTIF(L130:N130,"?*")&gt;$T$6,"⚠ EXCESO",
IF(COUNTIF(L130:N130,"?*")&gt;0,"⚠ FALTANTE", "❌ SIN COMPLETAR")))</f>
        <v>✅ CUBIERTO</v>
      </c>
      <c r="P130" s="7"/>
      <c r="Q130" s="27">
        <v>45971</v>
      </c>
      <c r="R130" s="28" t="str">
        <f>TEXT(Q130,"ddd")</f>
        <v>lun</v>
      </c>
      <c r="S130" s="29">
        <v>0.375</v>
      </c>
      <c r="T130" s="25"/>
      <c r="U130" s="25"/>
      <c r="V130" s="25"/>
      <c r="W130" s="30" t="s">
        <v>32</v>
      </c>
    </row>
    <row r="131" spans="1:23" x14ac:dyDescent="0.35">
      <c r="A131" s="27">
        <v>45971</v>
      </c>
      <c r="B131" s="28" t="str">
        <f>TEXT(A131,"ddd")</f>
        <v>lun</v>
      </c>
      <c r="C131" s="29">
        <v>0.41666666666666669</v>
      </c>
      <c r="D131" s="25"/>
      <c r="E131" s="25"/>
      <c r="F131" s="25"/>
      <c r="G131" s="30" t="s">
        <v>32</v>
      </c>
      <c r="H131" s="7"/>
      <c r="I131" s="27">
        <v>45971</v>
      </c>
      <c r="J131" s="28" t="str">
        <f>TEXT(I131,"ddd")</f>
        <v>lun</v>
      </c>
      <c r="K131" s="29">
        <v>0.41666666666666669</v>
      </c>
      <c r="L131" s="19" t="s">
        <v>7</v>
      </c>
      <c r="M131" s="19"/>
      <c r="N131" s="19"/>
      <c r="O131" s="31" t="str">
        <f>IF(COUNTIF(L131:N131,"?*")=$T$6,"✅ CUBIERTO",IF(COUNTIF(L131:N131,"?*")&gt;$T$6,"⚠ EXCESO",
IF(COUNTIF(L131:N131,"?*")&gt;0,"⚠ FALTANTE", "❌ SIN COMPLETAR")))</f>
        <v>✅ CUBIERTO</v>
      </c>
      <c r="P131" s="7"/>
      <c r="Q131" s="27">
        <v>45971</v>
      </c>
      <c r="R131" s="28" t="str">
        <f>TEXT(Q131,"ddd")</f>
        <v>lun</v>
      </c>
      <c r="S131" s="29">
        <v>0.41666666666666669</v>
      </c>
      <c r="T131" s="19"/>
      <c r="U131" s="19"/>
      <c r="V131" s="19"/>
      <c r="W131" s="30" t="str">
        <f>IF(COUNTIF(T131:V131,"?*")=$T$7,"✅ CUBIERTO",IF(COUNTIF(T131:V131,"?*")&gt;$T$7,"⚠ EXCESO",
IF(COUNTIF(T131:V131,"?*")&gt;0,"⚠ FALTANTE", "❌ SIN COMPLETAR")))</f>
        <v>❌ SIN COMPLETAR</v>
      </c>
    </row>
    <row r="132" spans="1:23" x14ac:dyDescent="0.35">
      <c r="A132" s="27">
        <v>45971</v>
      </c>
      <c r="B132" s="28" t="str">
        <f>TEXT(A132,"ddd")</f>
        <v>lun</v>
      </c>
      <c r="C132" s="29">
        <v>0.45833333333333331</v>
      </c>
      <c r="D132" s="19" t="s">
        <v>4</v>
      </c>
      <c r="E132" s="19" t="s">
        <v>31</v>
      </c>
      <c r="F132" s="19"/>
      <c r="G132" s="30" t="str">
        <f>IF(COUNTIF(D132:F132,"?*")=$T$5,"✅ CUBIERTO",
IF(COUNTIF(D132:F132,"?*")&gt;$T$5,"⚠ EXCESO",IF(COUNTIF(D132:F132,"?*")&gt;0,"⚠ FALTANTE",
"❌ SIN COMPLETAR")))</f>
        <v>✅ CUBIERTO</v>
      </c>
      <c r="H132" s="7"/>
      <c r="I132" s="27">
        <v>45971</v>
      </c>
      <c r="J132" s="28" t="str">
        <f>TEXT(I132,"ddd")</f>
        <v>lun</v>
      </c>
      <c r="K132" s="29">
        <v>0.45833333333333331</v>
      </c>
      <c r="L132" s="19" t="s">
        <v>7</v>
      </c>
      <c r="M132" s="19"/>
      <c r="N132" s="19"/>
      <c r="O132" s="31" t="str">
        <f>IF(COUNTIF(L132:N132,"?*")=$T$6,"✅ CUBIERTO",IF(COUNTIF(L132:N132,"?*")&gt;$T$6,"⚠ EXCESO",
IF(COUNTIF(L132:N132,"?*")&gt;0,"⚠ FALTANTE", "❌ SIN COMPLETAR")))</f>
        <v>✅ CUBIERTO</v>
      </c>
      <c r="P132" s="7"/>
      <c r="Q132" s="27">
        <v>45971</v>
      </c>
      <c r="R132" s="28" t="str">
        <f>TEXT(Q132,"ddd")</f>
        <v>lun</v>
      </c>
      <c r="S132" s="29">
        <v>0.45833333333333331</v>
      </c>
      <c r="T132" s="19"/>
      <c r="U132" s="19"/>
      <c r="V132" s="19"/>
      <c r="W132" s="30" t="str">
        <f>IF(COUNTIF(T132:V132,"?*")=$T$7,"✅ CUBIERTO",IF(COUNTIF(T132:V132,"?*")&gt;$T$7,"⚠ EXCESO",
IF(COUNTIF(T132:V132,"?*")&gt;0,"⚠ FALTANTE", "❌ SIN COMPLETAR")))</f>
        <v>❌ SIN COMPLETAR</v>
      </c>
    </row>
    <row r="133" spans="1:23" x14ac:dyDescent="0.35">
      <c r="A133" s="27">
        <v>45971</v>
      </c>
      <c r="B133" s="28" t="str">
        <f t="shared" ref="B133:B141" si="30">TEXT(A133,"ddd")</f>
        <v>lun</v>
      </c>
      <c r="C133" s="29">
        <v>0.5</v>
      </c>
      <c r="D133" s="19" t="s">
        <v>4</v>
      </c>
      <c r="E133" s="19" t="s">
        <v>31</v>
      </c>
      <c r="F133" s="19"/>
      <c r="G133" s="30" t="str">
        <f>IF(COUNTIF(D133:F133,"?*")=$T$5,"✅ CUBIERTO",
IF(COUNTIF(D133:F133,"?*")&gt;$T$5,"⚠ EXCESO",IF(COUNTIF(D133:F133,"?*")&gt;0,"⚠ FALTANTE",
"❌ SIN COMPLETAR")))</f>
        <v>✅ CUBIERTO</v>
      </c>
      <c r="H133" s="7"/>
      <c r="I133" s="27">
        <v>45971</v>
      </c>
      <c r="J133" s="28" t="str">
        <f t="shared" ref="J133:J141" si="31">TEXT(I133,"ddd")</f>
        <v>lun</v>
      </c>
      <c r="K133" s="29">
        <v>0.5</v>
      </c>
      <c r="L133" s="19" t="s">
        <v>7</v>
      </c>
      <c r="M133" s="19"/>
      <c r="N133" s="19"/>
      <c r="O133" s="31" t="str">
        <f>IF(COUNTIF(L133:N133,"?*")=$T$6,"✅ CUBIERTO",IF(COUNTIF(L133:N133,"?*")&gt;$T$6,"⚠ EXCESO",
IF(COUNTIF(L133:N133,"?*")&gt;0,"⚠ FALTANTE", "❌ SIN COMPLETAR")))</f>
        <v>✅ CUBIERTO</v>
      </c>
      <c r="P133" s="7"/>
      <c r="Q133" s="27">
        <v>45971</v>
      </c>
      <c r="R133" s="28" t="str">
        <f t="shared" ref="R133:R141" si="32">TEXT(Q133,"ddd")</f>
        <v>lun</v>
      </c>
      <c r="S133" s="29">
        <v>0.5</v>
      </c>
      <c r="T133" s="19"/>
      <c r="U133" s="19"/>
      <c r="V133" s="19"/>
      <c r="W133" s="30" t="str">
        <f>IF(COUNTIF(T133:V133,"?*")=$T$7,"✅ CUBIERTO",IF(COUNTIF(T133:V133,"?*")&gt;$T$7,"⚠ EXCESO",
IF(COUNTIF(T133:V133,"?*")&gt;0,"⚠ FALTANTE", "❌ SIN COMPLETAR")))</f>
        <v>❌ SIN COMPLETAR</v>
      </c>
    </row>
    <row r="134" spans="1:23" x14ac:dyDescent="0.35">
      <c r="A134" s="27">
        <v>45971</v>
      </c>
      <c r="B134" s="28" t="str">
        <f t="shared" si="30"/>
        <v>lun</v>
      </c>
      <c r="C134" s="29">
        <v>0.54166666666666696</v>
      </c>
      <c r="D134" s="19" t="s">
        <v>4</v>
      </c>
      <c r="E134" s="19" t="s">
        <v>31</v>
      </c>
      <c r="F134" s="19"/>
      <c r="G134" s="30" t="str">
        <f>IF(COUNTIF(D134:F134,"?*")=$T$5,"✅ CUBIERTO",
IF(COUNTIF(D134:F134,"?*")&gt;$T$5,"⚠ EXCESO",IF(COUNTIF(D134:F134,"?*")&gt;0,"⚠ FALTANTE",
"❌ SIN COMPLETAR")))</f>
        <v>✅ CUBIERTO</v>
      </c>
      <c r="H134" s="7"/>
      <c r="I134" s="27">
        <v>45971</v>
      </c>
      <c r="J134" s="28" t="str">
        <f t="shared" si="31"/>
        <v>lun</v>
      </c>
      <c r="K134" s="29">
        <v>0.54166666666666696</v>
      </c>
      <c r="L134" s="19" t="s">
        <v>7</v>
      </c>
      <c r="M134" s="19"/>
      <c r="N134" s="19"/>
      <c r="O134" s="31" t="str">
        <f>IF(COUNTIF(L134:N134,"?*")=$T$6,"✅ CUBIERTO",IF(COUNTIF(L134:N134,"?*")&gt;$T$6,"⚠ EXCESO",
IF(COUNTIF(L134:N134,"?*")&gt;0,"⚠ FALTANTE", "❌ SIN COMPLETAR")))</f>
        <v>✅ CUBIERTO</v>
      </c>
      <c r="P134" s="7"/>
      <c r="Q134" s="27">
        <v>45971</v>
      </c>
      <c r="R134" s="28" t="str">
        <f t="shared" si="32"/>
        <v>lun</v>
      </c>
      <c r="S134" s="29">
        <v>0.54166666666666696</v>
      </c>
      <c r="T134" s="19"/>
      <c r="U134" s="19"/>
      <c r="V134" s="19"/>
      <c r="W134" s="30" t="str">
        <f>IF(COUNTIF(T134:V134,"?*")=$T$7,"✅ CUBIERTO",IF(COUNTIF(T134:V134,"?*")&gt;$T$7,"⚠ EXCESO",
IF(COUNTIF(T134:V134,"?*")&gt;0,"⚠ FALTANTE", "❌ SIN COMPLETAR")))</f>
        <v>❌ SIN COMPLETAR</v>
      </c>
    </row>
    <row r="135" spans="1:23" x14ac:dyDescent="0.35">
      <c r="A135" s="27">
        <v>45971</v>
      </c>
      <c r="B135" s="28" t="str">
        <f t="shared" si="30"/>
        <v>lun</v>
      </c>
      <c r="C135" s="29">
        <v>0.58333333333333304</v>
      </c>
      <c r="D135" s="19" t="s">
        <v>4</v>
      </c>
      <c r="E135" s="19" t="s">
        <v>31</v>
      </c>
      <c r="F135" s="19"/>
      <c r="G135" s="30" t="str">
        <f>IF(COUNTIF(D135:F135,"?*")=$T$5,"✅ CUBIERTO",
IF(COUNTIF(D135:F135,"?*")&gt;$T$5,"⚠ EXCESO",IF(COUNTIF(D135:F135,"?*")&gt;0,"⚠ FALTANTE",
"❌ SIN COMPLETAR")))</f>
        <v>✅ CUBIERTO</v>
      </c>
      <c r="H135" s="7"/>
      <c r="I135" s="27">
        <v>45971</v>
      </c>
      <c r="J135" s="28" t="str">
        <f t="shared" si="31"/>
        <v>lun</v>
      </c>
      <c r="K135" s="29">
        <v>0.58333333333333304</v>
      </c>
      <c r="L135" s="19" t="s">
        <v>29</v>
      </c>
      <c r="M135" s="19"/>
      <c r="N135" s="19"/>
      <c r="O135" s="31" t="str">
        <f>IF(COUNTIF(L135:N135,"?*")=$T$6,"✅ CUBIERTO",IF(COUNTIF(L135:N135,"?*")&gt;$T$6,"⚠ EXCESO",
IF(COUNTIF(L135:N135,"?*")&gt;0,"⚠ FALTANTE", "❌ SIN COMPLETAR")))</f>
        <v>✅ CUBIERTO</v>
      </c>
      <c r="P135" s="7"/>
      <c r="Q135" s="27">
        <v>45971</v>
      </c>
      <c r="R135" s="28" t="str">
        <f t="shared" si="32"/>
        <v>lun</v>
      </c>
      <c r="S135" s="29">
        <v>0.58333333333333304</v>
      </c>
      <c r="T135" s="19"/>
      <c r="U135" s="19"/>
      <c r="V135" s="19"/>
      <c r="W135" s="30" t="str">
        <f>IF(COUNTIF(T135:V135,"?*")=$T$7,"✅ CUBIERTO",IF(COUNTIF(T135:V135,"?*")&gt;$T$7,"⚠ EXCESO",
IF(COUNTIF(T135:V135,"?*")&gt;0,"⚠ FALTANTE", "❌ SIN COMPLETAR")))</f>
        <v>❌ SIN COMPLETAR</v>
      </c>
    </row>
    <row r="136" spans="1:23" x14ac:dyDescent="0.35">
      <c r="A136" s="27">
        <v>45971</v>
      </c>
      <c r="B136" s="28" t="str">
        <f t="shared" si="30"/>
        <v>lun</v>
      </c>
      <c r="C136" s="29">
        <v>0.625</v>
      </c>
      <c r="D136" s="19" t="s">
        <v>4</v>
      </c>
      <c r="E136" s="19" t="s">
        <v>31</v>
      </c>
      <c r="F136" s="19"/>
      <c r="G136" s="30" t="str">
        <f>IF(COUNTIF(D136:F136,"?*")=$T$5,"✅ CUBIERTO",
IF(COUNTIF(D136:F136,"?*")&gt;$T$5,"⚠ EXCESO",IF(COUNTIF(D136:F136,"?*")&gt;0,"⚠ FALTANTE",
"❌ SIN COMPLETAR")))</f>
        <v>✅ CUBIERTO</v>
      </c>
      <c r="H136" s="7"/>
      <c r="I136" s="27">
        <v>45971</v>
      </c>
      <c r="J136" s="28" t="str">
        <f t="shared" si="31"/>
        <v>lun</v>
      </c>
      <c r="K136" s="29">
        <v>0.625</v>
      </c>
      <c r="L136" s="19" t="s">
        <v>29</v>
      </c>
      <c r="M136" s="19"/>
      <c r="N136" s="19"/>
      <c r="O136" s="31" t="str">
        <f>IF(COUNTIF(L136:N136,"?*")=$T$6,"✅ CUBIERTO",IF(COUNTIF(L136:N136,"?*")&gt;$T$6,"⚠ EXCESO",
IF(COUNTIF(L136:N136,"?*")&gt;0,"⚠ FALTANTE", "❌ SIN COMPLETAR")))</f>
        <v>✅ CUBIERTO</v>
      </c>
      <c r="P136" s="7"/>
      <c r="Q136" s="27">
        <v>45971</v>
      </c>
      <c r="R136" s="28" t="str">
        <f t="shared" si="32"/>
        <v>lun</v>
      </c>
      <c r="S136" s="29">
        <v>0.625</v>
      </c>
      <c r="T136" s="19"/>
      <c r="U136" s="19"/>
      <c r="V136" s="19"/>
      <c r="W136" s="30" t="str">
        <f>IF(COUNTIF(T136:V136,"?*")=$T$7,"✅ CUBIERTO",IF(COUNTIF(T136:V136,"?*")&gt;$T$7,"⚠ EXCESO",
IF(COUNTIF(T136:V136,"?*")&gt;0,"⚠ FALTANTE", "❌ SIN COMPLETAR")))</f>
        <v>❌ SIN COMPLETAR</v>
      </c>
    </row>
    <row r="137" spans="1:23" x14ac:dyDescent="0.35">
      <c r="A137" s="27">
        <v>45971</v>
      </c>
      <c r="B137" s="28" t="str">
        <f t="shared" si="30"/>
        <v>lun</v>
      </c>
      <c r="C137" s="29">
        <v>0.66666666666666696</v>
      </c>
      <c r="D137" s="19" t="s">
        <v>30</v>
      </c>
      <c r="E137" s="19"/>
      <c r="F137" s="19"/>
      <c r="G137" s="30" t="str">
        <f>IF(COUNTIF(D137:F137,"?*")=$T$5,"✅ CUBIERTO",
IF(COUNTIF(D137:F137,"?*")&gt;$T$5,"⚠ EXCESO",IF(COUNTIF(D137:F137,"?*")&gt;0,"⚠ FALTANTE",
"❌ SIN COMPLETAR")))</f>
        <v>⚠ FALTANTE</v>
      </c>
      <c r="H137" s="7"/>
      <c r="I137" s="27">
        <v>45971</v>
      </c>
      <c r="J137" s="28" t="str">
        <f t="shared" si="31"/>
        <v>lun</v>
      </c>
      <c r="K137" s="29">
        <v>0.66666666666666696</v>
      </c>
      <c r="L137" s="19" t="s">
        <v>29</v>
      </c>
      <c r="M137" s="19"/>
      <c r="N137" s="19"/>
      <c r="O137" s="31" t="str">
        <f>IF(COUNTIF(L137:N137,"?*")=$T$6,"✅ CUBIERTO",IF(COUNTIF(L137:N137,"?*")&gt;$T$6,"⚠ EXCESO",
IF(COUNTIF(L137:N137,"?*")&gt;0,"⚠ FALTANTE", "❌ SIN COMPLETAR")))</f>
        <v>✅ CUBIERTO</v>
      </c>
      <c r="P137" s="7"/>
      <c r="Q137" s="27">
        <v>45971</v>
      </c>
      <c r="R137" s="28" t="str">
        <f t="shared" si="32"/>
        <v>lun</v>
      </c>
      <c r="S137" s="29">
        <v>0.66666666666666696</v>
      </c>
      <c r="T137" s="19"/>
      <c r="U137" s="19"/>
      <c r="V137" s="19"/>
      <c r="W137" s="30" t="str">
        <f>IF(COUNTIF(T137:V137,"?*")=$T$7,"✅ CUBIERTO",IF(COUNTIF(T137:V137,"?*")&gt;$T$7,"⚠ EXCESO",
IF(COUNTIF(T137:V137,"?*")&gt;0,"⚠ FALTANTE", "❌ SIN COMPLETAR")))</f>
        <v>❌ SIN COMPLETAR</v>
      </c>
    </row>
    <row r="138" spans="1:23" x14ac:dyDescent="0.35">
      <c r="A138" s="27">
        <v>45971</v>
      </c>
      <c r="B138" s="28" t="str">
        <f t="shared" si="30"/>
        <v>lun</v>
      </c>
      <c r="C138" s="29">
        <v>0.70833333333333304</v>
      </c>
      <c r="D138" s="19" t="s">
        <v>30</v>
      </c>
      <c r="E138" s="19"/>
      <c r="F138" s="19"/>
      <c r="G138" s="30" t="str">
        <f>IF(COUNTIF(D138:F138,"?*")=$T$5,"✅ CUBIERTO",
IF(COUNTIF(D138:F138,"?*")&gt;$T$5,"⚠ EXCESO",IF(COUNTIF(D138:F138,"?*")&gt;0,"⚠ FALTANTE",
"❌ SIN COMPLETAR")))</f>
        <v>⚠ FALTANTE</v>
      </c>
      <c r="H138" s="7"/>
      <c r="I138" s="27">
        <v>45971</v>
      </c>
      <c r="J138" s="28" t="str">
        <f t="shared" si="31"/>
        <v>lun</v>
      </c>
      <c r="K138" s="29">
        <v>0.70833333333333304</v>
      </c>
      <c r="L138" s="19" t="s">
        <v>29</v>
      </c>
      <c r="M138" s="19"/>
      <c r="N138" s="19"/>
      <c r="O138" s="31" t="str">
        <f>IF(COUNTIF(L138:N138,"?*")=$T$6,"✅ CUBIERTO",IF(COUNTIF(L138:N138,"?*")&gt;$T$6,"⚠ EXCESO",
IF(COUNTIF(L138:N138,"?*")&gt;0,"⚠ FALTANTE", "❌ SIN COMPLETAR")))</f>
        <v>✅ CUBIERTO</v>
      </c>
      <c r="P138" s="7"/>
      <c r="Q138" s="27">
        <v>45971</v>
      </c>
      <c r="R138" s="28" t="str">
        <f t="shared" si="32"/>
        <v>lun</v>
      </c>
      <c r="S138" s="29">
        <v>0.70833333333333304</v>
      </c>
      <c r="T138" s="19"/>
      <c r="U138" s="19"/>
      <c r="V138" s="19"/>
      <c r="W138" s="30" t="str">
        <f>IF(COUNTIF(T138:V138,"?*")=$T$7,"✅ CUBIERTO",IF(COUNTIF(T138:V138,"?*")&gt;$T$7,"⚠ EXCESO",
IF(COUNTIF(T138:V138,"?*")&gt;0,"⚠ FALTANTE", "❌ SIN COMPLETAR")))</f>
        <v>❌ SIN COMPLETAR</v>
      </c>
    </row>
    <row r="139" spans="1:23" x14ac:dyDescent="0.35">
      <c r="A139" s="27">
        <v>45971</v>
      </c>
      <c r="B139" s="28" t="str">
        <f t="shared" si="30"/>
        <v>lun</v>
      </c>
      <c r="C139" s="29">
        <v>0.75</v>
      </c>
      <c r="D139" s="19" t="s">
        <v>30</v>
      </c>
      <c r="E139" s="19"/>
      <c r="F139" s="19"/>
      <c r="G139" s="30" t="str">
        <f>IF(COUNTIF(D139:F139,"?*")=$T$5,"✅ CUBIERTO",
IF(COUNTIF(D139:F139,"?*")&gt;$T$5,"⚠ EXCESO",IF(COUNTIF(D139:F139,"?*")&gt;0,"⚠ FALTANTE",
"❌ SIN COMPLETAR")))</f>
        <v>⚠ FALTANTE</v>
      </c>
      <c r="H139" s="7"/>
      <c r="I139" s="27">
        <v>45971</v>
      </c>
      <c r="J139" s="28" t="str">
        <f t="shared" si="31"/>
        <v>lun</v>
      </c>
      <c r="K139" s="29">
        <v>0.75</v>
      </c>
      <c r="L139" s="25"/>
      <c r="M139" s="25"/>
      <c r="N139" s="25"/>
      <c r="O139" s="31" t="s">
        <v>32</v>
      </c>
      <c r="P139" s="7"/>
      <c r="Q139" s="27">
        <v>45971</v>
      </c>
      <c r="R139" s="28" t="str">
        <f t="shared" si="32"/>
        <v>lun</v>
      </c>
      <c r="S139" s="29">
        <v>0.75</v>
      </c>
      <c r="T139" s="19"/>
      <c r="U139" s="19"/>
      <c r="V139" s="19"/>
      <c r="W139" s="30" t="str">
        <f>IF(COUNTIF(T139:V139,"?*")=$T$7,"✅ CUBIERTO",IF(COUNTIF(T139:V139,"?*")&gt;$T$7,"⚠ EXCESO",
IF(COUNTIF(T139:V139,"?*")&gt;0,"⚠ FALTANTE", "❌ SIN COMPLETAR")))</f>
        <v>❌ SIN COMPLETAR</v>
      </c>
    </row>
    <row r="140" spans="1:23" x14ac:dyDescent="0.35">
      <c r="A140" s="27">
        <v>45971</v>
      </c>
      <c r="B140" s="28" t="str">
        <f t="shared" si="30"/>
        <v>lun</v>
      </c>
      <c r="C140" s="29">
        <v>0.79166666666666696</v>
      </c>
      <c r="D140" s="19" t="s">
        <v>30</v>
      </c>
      <c r="E140" s="19"/>
      <c r="F140" s="19"/>
      <c r="G140" s="30" t="str">
        <f>IF(COUNTIF(D140:F140,"?*")=$T$5,"✅ CUBIERTO",
IF(COUNTIF(D140:F140,"?*")&gt;$T$5,"⚠ EXCESO",IF(COUNTIF(D140:F140,"?*")&gt;0,"⚠ FALTANTE",
"❌ SIN COMPLETAR")))</f>
        <v>⚠ FALTANTE</v>
      </c>
      <c r="H140" s="7"/>
      <c r="I140" s="27">
        <v>45971</v>
      </c>
      <c r="J140" s="28" t="str">
        <f t="shared" si="31"/>
        <v>lun</v>
      </c>
      <c r="K140" s="29">
        <v>0.79166666666666696</v>
      </c>
      <c r="L140" s="25"/>
      <c r="M140" s="25"/>
      <c r="N140" s="25"/>
      <c r="O140" s="31" t="s">
        <v>32</v>
      </c>
      <c r="P140" s="7"/>
      <c r="Q140" s="27">
        <v>45971</v>
      </c>
      <c r="R140" s="28" t="str">
        <f t="shared" si="32"/>
        <v>lun</v>
      </c>
      <c r="S140" s="29">
        <v>0.79166666666666696</v>
      </c>
      <c r="T140" s="19"/>
      <c r="U140" s="19"/>
      <c r="V140" s="19"/>
      <c r="W140" s="30" t="str">
        <f>IF(COUNTIF(T140:V140,"?*")=$T$7,"✅ CUBIERTO",IF(COUNTIF(T140:V140,"?*")&gt;$T$7,"⚠ EXCESO",
IF(COUNTIF(T140:V140,"?*")&gt;0,"⚠ FALTANTE", "❌ SIN COMPLETAR")))</f>
        <v>❌ SIN COMPLETAR</v>
      </c>
    </row>
    <row r="141" spans="1:23" x14ac:dyDescent="0.35">
      <c r="A141" s="27">
        <v>45971</v>
      </c>
      <c r="B141" s="28" t="str">
        <f t="shared" si="30"/>
        <v>lun</v>
      </c>
      <c r="C141" s="29">
        <v>0.83333333333333337</v>
      </c>
      <c r="D141" s="25"/>
      <c r="E141" s="25"/>
      <c r="F141" s="25"/>
      <c r="G141" s="30" t="s">
        <v>32</v>
      </c>
      <c r="H141" s="7"/>
      <c r="I141" s="27">
        <v>45971</v>
      </c>
      <c r="J141" s="28" t="str">
        <f t="shared" si="31"/>
        <v>lun</v>
      </c>
      <c r="K141" s="29">
        <v>0.83333333333333337</v>
      </c>
      <c r="L141" s="25"/>
      <c r="M141" s="25"/>
      <c r="N141" s="25"/>
      <c r="O141" s="31" t="s">
        <v>32</v>
      </c>
      <c r="P141" s="7"/>
      <c r="Q141" s="27">
        <v>45971</v>
      </c>
      <c r="R141" s="28" t="str">
        <f t="shared" si="32"/>
        <v>lun</v>
      </c>
      <c r="S141" s="29">
        <v>0.83333333333333337</v>
      </c>
      <c r="T141" s="19"/>
      <c r="U141" s="19"/>
      <c r="V141" s="19"/>
      <c r="W141" s="30" t="str">
        <f>IF(COUNTIF(T141:V141,"?*")=$T$7,"✅ CUBIERTO",IF(COUNTIF(T141:V141,"?*")&gt;$T$7,"⚠ EXCESO",
IF(COUNTIF(T141:V141,"?*")&gt;0,"⚠ FALTANTE", "❌ SIN COMPLETAR")))</f>
        <v>❌ SIN COMPLETAR</v>
      </c>
    </row>
    <row r="142" spans="1:23" x14ac:dyDescent="0.35">
      <c r="A142" s="27">
        <v>45972</v>
      </c>
      <c r="B142" s="28" t="str">
        <f>TEXT(A142,"ddd")</f>
        <v>mar</v>
      </c>
      <c r="C142" s="29">
        <v>0.375</v>
      </c>
      <c r="D142" s="25"/>
      <c r="E142" s="25"/>
      <c r="F142" s="25"/>
      <c r="G142" s="30" t="s">
        <v>32</v>
      </c>
      <c r="H142" s="7"/>
      <c r="I142" s="27">
        <v>45972</v>
      </c>
      <c r="J142" s="28" t="str">
        <f>TEXT(I142,"ddd")</f>
        <v>mar</v>
      </c>
      <c r="K142" s="29">
        <v>0.375</v>
      </c>
      <c r="L142" s="19" t="s">
        <v>7</v>
      </c>
      <c r="M142" s="19"/>
      <c r="N142" s="19"/>
      <c r="O142" s="31" t="str">
        <f>IF(COUNTIF(L142:N142,"?*")=$T$6,"✅ CUBIERTO",IF(COUNTIF(L142:N142,"?*")&gt;$T$6,"⚠ EXCESO",
IF(COUNTIF(L142:N142,"?*")&gt;0,"⚠ FALTANTE", "❌ SIN COMPLETAR")))</f>
        <v>✅ CUBIERTO</v>
      </c>
      <c r="P142" s="7"/>
      <c r="Q142" s="27">
        <v>45972</v>
      </c>
      <c r="R142" s="28" t="str">
        <f>TEXT(Q142,"ddd")</f>
        <v>mar</v>
      </c>
      <c r="S142" s="29">
        <v>0.375</v>
      </c>
      <c r="T142" s="25"/>
      <c r="U142" s="25"/>
      <c r="V142" s="25"/>
      <c r="W142" s="30" t="s">
        <v>32</v>
      </c>
    </row>
    <row r="143" spans="1:23" x14ac:dyDescent="0.35">
      <c r="A143" s="27">
        <v>45972</v>
      </c>
      <c r="B143" s="28" t="str">
        <f>TEXT(A143,"ddd")</f>
        <v>mar</v>
      </c>
      <c r="C143" s="29">
        <v>0.41666666666666669</v>
      </c>
      <c r="D143" s="25"/>
      <c r="E143" s="25"/>
      <c r="F143" s="25"/>
      <c r="G143" s="30" t="s">
        <v>32</v>
      </c>
      <c r="H143" s="7"/>
      <c r="I143" s="27">
        <v>45972</v>
      </c>
      <c r="J143" s="28" t="str">
        <f>TEXT(I143,"ddd")</f>
        <v>mar</v>
      </c>
      <c r="K143" s="29">
        <v>0.41666666666666669</v>
      </c>
      <c r="L143" s="19" t="s">
        <v>7</v>
      </c>
      <c r="M143" s="19"/>
      <c r="N143" s="19"/>
      <c r="O143" s="31" t="str">
        <f>IF(COUNTIF(L143:N143,"?*")=$T$6,"✅ CUBIERTO",IF(COUNTIF(L143:N143,"?*")&gt;$T$6,"⚠ EXCESO",
IF(COUNTIF(L143:N143,"?*")&gt;0,"⚠ FALTANTE", "❌ SIN COMPLETAR")))</f>
        <v>✅ CUBIERTO</v>
      </c>
      <c r="P143" s="7"/>
      <c r="Q143" s="27">
        <v>45972</v>
      </c>
      <c r="R143" s="28" t="str">
        <f>TEXT(Q143,"ddd")</f>
        <v>mar</v>
      </c>
      <c r="S143" s="29">
        <v>0.41666666666666669</v>
      </c>
      <c r="T143" s="19"/>
      <c r="U143" s="19"/>
      <c r="V143" s="19"/>
      <c r="W143" s="30" t="str">
        <f>IF(COUNTIF(T143:V143,"?*")=$T$7,"✅ CUBIERTO",IF(COUNTIF(T143:V143,"?*")&gt;$T$7,"⚠ EXCESO",
IF(COUNTIF(T143:V143,"?*")&gt;0,"⚠ FALTANTE", "❌ SIN COMPLETAR")))</f>
        <v>❌ SIN COMPLETAR</v>
      </c>
    </row>
    <row r="144" spans="1:23" x14ac:dyDescent="0.35">
      <c r="A144" s="27">
        <v>45972</v>
      </c>
      <c r="B144" s="28" t="str">
        <f>TEXT(A144,"ddd")</f>
        <v>mar</v>
      </c>
      <c r="C144" s="29">
        <v>0.45833333333333331</v>
      </c>
      <c r="D144" s="19" t="s">
        <v>4</v>
      </c>
      <c r="E144" s="19" t="s">
        <v>31</v>
      </c>
      <c r="F144" s="19"/>
      <c r="G144" s="30" t="str">
        <f>IF(COUNTIF(D144:F144,"?*")=$T$5,"✅ CUBIERTO",
IF(COUNTIF(D144:F144,"?*")&gt;$T$5,"⚠ EXCESO",IF(COUNTIF(D144:F144,"?*")&gt;0,"⚠ FALTANTE",
"❌ SIN COMPLETAR")))</f>
        <v>✅ CUBIERTO</v>
      </c>
      <c r="H144" s="7"/>
      <c r="I144" s="27">
        <v>45972</v>
      </c>
      <c r="J144" s="28" t="str">
        <f>TEXT(I144,"ddd")</f>
        <v>mar</v>
      </c>
      <c r="K144" s="29">
        <v>0.45833333333333331</v>
      </c>
      <c r="L144" s="19" t="s">
        <v>7</v>
      </c>
      <c r="M144" s="19"/>
      <c r="N144" s="19"/>
      <c r="O144" s="31" t="str">
        <f>IF(COUNTIF(L144:N144,"?*")=$T$6,"✅ CUBIERTO",IF(COUNTIF(L144:N144,"?*")&gt;$T$6,"⚠ EXCESO",
IF(COUNTIF(L144:N144,"?*")&gt;0,"⚠ FALTANTE", "❌ SIN COMPLETAR")))</f>
        <v>✅ CUBIERTO</v>
      </c>
      <c r="P144" s="7"/>
      <c r="Q144" s="27">
        <v>45972</v>
      </c>
      <c r="R144" s="28" t="str">
        <f>TEXT(Q144,"ddd")</f>
        <v>mar</v>
      </c>
      <c r="S144" s="29">
        <v>0.45833333333333331</v>
      </c>
      <c r="T144" s="19"/>
      <c r="U144" s="19"/>
      <c r="V144" s="19"/>
      <c r="W144" s="30" t="str">
        <f>IF(COUNTIF(T144:V144,"?*")=$T$7,"✅ CUBIERTO",IF(COUNTIF(T144:V144,"?*")&gt;$T$7,"⚠ EXCESO",
IF(COUNTIF(T144:V144,"?*")&gt;0,"⚠ FALTANTE", "❌ SIN COMPLETAR")))</f>
        <v>❌ SIN COMPLETAR</v>
      </c>
    </row>
    <row r="145" spans="1:23" x14ac:dyDescent="0.35">
      <c r="A145" s="27">
        <v>45972</v>
      </c>
      <c r="B145" s="28" t="str">
        <f t="shared" ref="B145:B153" si="33">TEXT(A145,"ddd")</f>
        <v>mar</v>
      </c>
      <c r="C145" s="29">
        <v>0.5</v>
      </c>
      <c r="D145" s="19" t="s">
        <v>4</v>
      </c>
      <c r="E145" s="19" t="s">
        <v>31</v>
      </c>
      <c r="F145" s="19"/>
      <c r="G145" s="30" t="str">
        <f>IF(COUNTIF(D145:F145,"?*")=$T$5,"✅ CUBIERTO",
IF(COUNTIF(D145:F145,"?*")&gt;$T$5,"⚠ EXCESO",IF(COUNTIF(D145:F145,"?*")&gt;0,"⚠ FALTANTE",
"❌ SIN COMPLETAR")))</f>
        <v>✅ CUBIERTO</v>
      </c>
      <c r="H145" s="7"/>
      <c r="I145" s="27">
        <v>45972</v>
      </c>
      <c r="J145" s="28" t="str">
        <f t="shared" ref="J145:J153" si="34">TEXT(I145,"ddd")</f>
        <v>mar</v>
      </c>
      <c r="K145" s="29">
        <v>0.5</v>
      </c>
      <c r="L145" s="19" t="s">
        <v>7</v>
      </c>
      <c r="M145" s="19"/>
      <c r="N145" s="19"/>
      <c r="O145" s="31" t="str">
        <f>IF(COUNTIF(L145:N145,"?*")=$T$6,"✅ CUBIERTO",IF(COUNTIF(L145:N145,"?*")&gt;$T$6,"⚠ EXCESO",
IF(COUNTIF(L145:N145,"?*")&gt;0,"⚠ FALTANTE", "❌ SIN COMPLETAR")))</f>
        <v>✅ CUBIERTO</v>
      </c>
      <c r="P145" s="7"/>
      <c r="Q145" s="27">
        <v>45972</v>
      </c>
      <c r="R145" s="28" t="str">
        <f t="shared" ref="R145:R153" si="35">TEXT(Q145,"ddd")</f>
        <v>mar</v>
      </c>
      <c r="S145" s="29">
        <v>0.5</v>
      </c>
      <c r="T145" s="19"/>
      <c r="U145" s="19"/>
      <c r="V145" s="19"/>
      <c r="W145" s="30" t="str">
        <f>IF(COUNTIF(T145:V145,"?*")=$T$7,"✅ CUBIERTO",IF(COUNTIF(T145:V145,"?*")&gt;$T$7,"⚠ EXCESO",
IF(COUNTIF(T145:V145,"?*")&gt;0,"⚠ FALTANTE", "❌ SIN COMPLETAR")))</f>
        <v>❌ SIN COMPLETAR</v>
      </c>
    </row>
    <row r="146" spans="1:23" x14ac:dyDescent="0.35">
      <c r="A146" s="27">
        <v>45972</v>
      </c>
      <c r="B146" s="28" t="str">
        <f t="shared" si="33"/>
        <v>mar</v>
      </c>
      <c r="C146" s="29">
        <v>0.54166666666666696</v>
      </c>
      <c r="D146" s="19" t="s">
        <v>4</v>
      </c>
      <c r="E146" s="19" t="s">
        <v>31</v>
      </c>
      <c r="F146" s="19"/>
      <c r="G146" s="30" t="str">
        <f>IF(COUNTIF(D146:F146,"?*")=$T$5,"✅ CUBIERTO",
IF(COUNTIF(D146:F146,"?*")&gt;$T$5,"⚠ EXCESO",IF(COUNTIF(D146:F146,"?*")&gt;0,"⚠ FALTANTE",
"❌ SIN COMPLETAR")))</f>
        <v>✅ CUBIERTO</v>
      </c>
      <c r="H146" s="7"/>
      <c r="I146" s="27">
        <v>45972</v>
      </c>
      <c r="J146" s="28" t="str">
        <f t="shared" si="34"/>
        <v>mar</v>
      </c>
      <c r="K146" s="29">
        <v>0.54166666666666696</v>
      </c>
      <c r="L146" s="19" t="s">
        <v>7</v>
      </c>
      <c r="M146" s="19"/>
      <c r="N146" s="19"/>
      <c r="O146" s="31" t="str">
        <f>IF(COUNTIF(L146:N146,"?*")=$T$6,"✅ CUBIERTO",IF(COUNTIF(L146:N146,"?*")&gt;$T$6,"⚠ EXCESO",
IF(COUNTIF(L146:N146,"?*")&gt;0,"⚠ FALTANTE", "❌ SIN COMPLETAR")))</f>
        <v>✅ CUBIERTO</v>
      </c>
      <c r="P146" s="7"/>
      <c r="Q146" s="27">
        <v>45972</v>
      </c>
      <c r="R146" s="28" t="str">
        <f t="shared" si="35"/>
        <v>mar</v>
      </c>
      <c r="S146" s="29">
        <v>0.54166666666666696</v>
      </c>
      <c r="T146" s="19"/>
      <c r="U146" s="19"/>
      <c r="V146" s="19"/>
      <c r="W146" s="30" t="str">
        <f>IF(COUNTIF(T146:V146,"?*")=$T$7,"✅ CUBIERTO",IF(COUNTIF(T146:V146,"?*")&gt;$T$7,"⚠ EXCESO",
IF(COUNTIF(T146:V146,"?*")&gt;0,"⚠ FALTANTE", "❌ SIN COMPLETAR")))</f>
        <v>❌ SIN COMPLETAR</v>
      </c>
    </row>
    <row r="147" spans="1:23" x14ac:dyDescent="0.35">
      <c r="A147" s="27">
        <v>45972</v>
      </c>
      <c r="B147" s="28" t="str">
        <f t="shared" si="33"/>
        <v>mar</v>
      </c>
      <c r="C147" s="29">
        <v>0.58333333333333304</v>
      </c>
      <c r="D147" s="19" t="s">
        <v>4</v>
      </c>
      <c r="E147" s="19" t="s">
        <v>31</v>
      </c>
      <c r="F147" s="19"/>
      <c r="G147" s="30" t="str">
        <f>IF(COUNTIF(D147:F147,"?*")=$T$5,"✅ CUBIERTO",
IF(COUNTIF(D147:F147,"?*")&gt;$T$5,"⚠ EXCESO",IF(COUNTIF(D147:F147,"?*")&gt;0,"⚠ FALTANTE",
"❌ SIN COMPLETAR")))</f>
        <v>✅ CUBIERTO</v>
      </c>
      <c r="H147" s="7"/>
      <c r="I147" s="27">
        <v>45972</v>
      </c>
      <c r="J147" s="28" t="str">
        <f t="shared" si="34"/>
        <v>mar</v>
      </c>
      <c r="K147" s="29">
        <v>0.58333333333333304</v>
      </c>
      <c r="L147" s="19" t="s">
        <v>29</v>
      </c>
      <c r="M147" s="19"/>
      <c r="N147" s="19"/>
      <c r="O147" s="31" t="str">
        <f>IF(COUNTIF(L147:N147,"?*")=$T$6,"✅ CUBIERTO",IF(COUNTIF(L147:N147,"?*")&gt;$T$6,"⚠ EXCESO",
IF(COUNTIF(L147:N147,"?*")&gt;0,"⚠ FALTANTE", "❌ SIN COMPLETAR")))</f>
        <v>✅ CUBIERTO</v>
      </c>
      <c r="P147" s="7"/>
      <c r="Q147" s="27">
        <v>45972</v>
      </c>
      <c r="R147" s="28" t="str">
        <f t="shared" si="35"/>
        <v>mar</v>
      </c>
      <c r="S147" s="29">
        <v>0.58333333333333304</v>
      </c>
      <c r="T147" s="19"/>
      <c r="U147" s="19"/>
      <c r="V147" s="19"/>
      <c r="W147" s="30" t="str">
        <f>IF(COUNTIF(T147:V147,"?*")=$T$7,"✅ CUBIERTO",IF(COUNTIF(T147:V147,"?*")&gt;$T$7,"⚠ EXCESO",
IF(COUNTIF(T147:V147,"?*")&gt;0,"⚠ FALTANTE", "❌ SIN COMPLETAR")))</f>
        <v>❌ SIN COMPLETAR</v>
      </c>
    </row>
    <row r="148" spans="1:23" x14ac:dyDescent="0.35">
      <c r="A148" s="27">
        <v>45972</v>
      </c>
      <c r="B148" s="28" t="str">
        <f t="shared" si="33"/>
        <v>mar</v>
      </c>
      <c r="C148" s="29">
        <v>0.625</v>
      </c>
      <c r="D148" s="19" t="s">
        <v>4</v>
      </c>
      <c r="E148" s="19" t="s">
        <v>31</v>
      </c>
      <c r="F148" s="19"/>
      <c r="G148" s="30" t="str">
        <f>IF(COUNTIF(D148:F148,"?*")=$T$5,"✅ CUBIERTO",
IF(COUNTIF(D148:F148,"?*")&gt;$T$5,"⚠ EXCESO",IF(COUNTIF(D148:F148,"?*")&gt;0,"⚠ FALTANTE",
"❌ SIN COMPLETAR")))</f>
        <v>✅ CUBIERTO</v>
      </c>
      <c r="H148" s="7"/>
      <c r="I148" s="27">
        <v>45972</v>
      </c>
      <c r="J148" s="28" t="str">
        <f t="shared" si="34"/>
        <v>mar</v>
      </c>
      <c r="K148" s="29">
        <v>0.625</v>
      </c>
      <c r="L148" s="19" t="s">
        <v>29</v>
      </c>
      <c r="M148" s="19"/>
      <c r="N148" s="19"/>
      <c r="O148" s="31" t="str">
        <f>IF(COUNTIF(L148:N148,"?*")=$T$6,"✅ CUBIERTO",IF(COUNTIF(L148:N148,"?*")&gt;$T$6,"⚠ EXCESO",
IF(COUNTIF(L148:N148,"?*")&gt;0,"⚠ FALTANTE", "❌ SIN COMPLETAR")))</f>
        <v>✅ CUBIERTO</v>
      </c>
      <c r="P148" s="7"/>
      <c r="Q148" s="27">
        <v>45972</v>
      </c>
      <c r="R148" s="28" t="str">
        <f t="shared" si="35"/>
        <v>mar</v>
      </c>
      <c r="S148" s="29">
        <v>0.625</v>
      </c>
      <c r="T148" s="19"/>
      <c r="U148" s="19"/>
      <c r="V148" s="19"/>
      <c r="W148" s="30" t="str">
        <f>IF(COUNTIF(T148:V148,"?*")=$T$7,"✅ CUBIERTO",IF(COUNTIF(T148:V148,"?*")&gt;$T$7,"⚠ EXCESO",
IF(COUNTIF(T148:V148,"?*")&gt;0,"⚠ FALTANTE", "❌ SIN COMPLETAR")))</f>
        <v>❌ SIN COMPLETAR</v>
      </c>
    </row>
    <row r="149" spans="1:23" x14ac:dyDescent="0.35">
      <c r="A149" s="27">
        <v>45972</v>
      </c>
      <c r="B149" s="28" t="str">
        <f t="shared" si="33"/>
        <v>mar</v>
      </c>
      <c r="C149" s="29">
        <v>0.66666666666666696</v>
      </c>
      <c r="D149" s="19" t="s">
        <v>30</v>
      </c>
      <c r="E149" s="19"/>
      <c r="F149" s="19"/>
      <c r="G149" s="30" t="str">
        <f>IF(COUNTIF(D149:F149,"?*")=$T$5,"✅ CUBIERTO",
IF(COUNTIF(D149:F149,"?*")&gt;$T$5,"⚠ EXCESO",IF(COUNTIF(D149:F149,"?*")&gt;0,"⚠ FALTANTE",
"❌ SIN COMPLETAR")))</f>
        <v>⚠ FALTANTE</v>
      </c>
      <c r="H149" s="7"/>
      <c r="I149" s="27">
        <v>45972</v>
      </c>
      <c r="J149" s="28" t="str">
        <f t="shared" si="34"/>
        <v>mar</v>
      </c>
      <c r="K149" s="29">
        <v>0.66666666666666696</v>
      </c>
      <c r="L149" s="19" t="s">
        <v>29</v>
      </c>
      <c r="M149" s="19"/>
      <c r="N149" s="19"/>
      <c r="O149" s="31" t="str">
        <f>IF(COUNTIF(L149:N149,"?*")=$T$6,"✅ CUBIERTO",IF(COUNTIF(L149:N149,"?*")&gt;$T$6,"⚠ EXCESO",
IF(COUNTIF(L149:N149,"?*")&gt;0,"⚠ FALTANTE", "❌ SIN COMPLETAR")))</f>
        <v>✅ CUBIERTO</v>
      </c>
      <c r="P149" s="7"/>
      <c r="Q149" s="27">
        <v>45972</v>
      </c>
      <c r="R149" s="28" t="str">
        <f t="shared" si="35"/>
        <v>mar</v>
      </c>
      <c r="S149" s="29">
        <v>0.66666666666666696</v>
      </c>
      <c r="T149" s="19"/>
      <c r="U149" s="19"/>
      <c r="V149" s="19"/>
      <c r="W149" s="30" t="str">
        <f>IF(COUNTIF(T149:V149,"?*")=$T$7,"✅ CUBIERTO",IF(COUNTIF(T149:V149,"?*")&gt;$T$7,"⚠ EXCESO",
IF(COUNTIF(T149:V149,"?*")&gt;0,"⚠ FALTANTE", "❌ SIN COMPLETAR")))</f>
        <v>❌ SIN COMPLETAR</v>
      </c>
    </row>
    <row r="150" spans="1:23" x14ac:dyDescent="0.35">
      <c r="A150" s="27">
        <v>45972</v>
      </c>
      <c r="B150" s="28" t="str">
        <f t="shared" si="33"/>
        <v>mar</v>
      </c>
      <c r="C150" s="29">
        <v>0.70833333333333304</v>
      </c>
      <c r="D150" s="19" t="s">
        <v>30</v>
      </c>
      <c r="E150" s="19"/>
      <c r="F150" s="19"/>
      <c r="G150" s="30" t="str">
        <f>IF(COUNTIF(D150:F150,"?*")=$T$5,"✅ CUBIERTO",
IF(COUNTIF(D150:F150,"?*")&gt;$T$5,"⚠ EXCESO",IF(COUNTIF(D150:F150,"?*")&gt;0,"⚠ FALTANTE",
"❌ SIN COMPLETAR")))</f>
        <v>⚠ FALTANTE</v>
      </c>
      <c r="H150" s="7"/>
      <c r="I150" s="27">
        <v>45972</v>
      </c>
      <c r="J150" s="28" t="str">
        <f t="shared" si="34"/>
        <v>mar</v>
      </c>
      <c r="K150" s="29">
        <v>0.70833333333333304</v>
      </c>
      <c r="L150" s="19" t="s">
        <v>29</v>
      </c>
      <c r="M150" s="19"/>
      <c r="N150" s="19"/>
      <c r="O150" s="31" t="str">
        <f>IF(COUNTIF(L150:N150,"?*")=$T$6,"✅ CUBIERTO",IF(COUNTIF(L150:N150,"?*")&gt;$T$6,"⚠ EXCESO",
IF(COUNTIF(L150:N150,"?*")&gt;0,"⚠ FALTANTE", "❌ SIN COMPLETAR")))</f>
        <v>✅ CUBIERTO</v>
      </c>
      <c r="P150" s="7"/>
      <c r="Q150" s="27">
        <v>45972</v>
      </c>
      <c r="R150" s="28" t="str">
        <f t="shared" si="35"/>
        <v>mar</v>
      </c>
      <c r="S150" s="29">
        <v>0.70833333333333304</v>
      </c>
      <c r="T150" s="19"/>
      <c r="U150" s="19"/>
      <c r="V150" s="19"/>
      <c r="W150" s="30" t="str">
        <f>IF(COUNTIF(T150:V150,"?*")=$T$7,"✅ CUBIERTO",IF(COUNTIF(T150:V150,"?*")&gt;$T$7,"⚠ EXCESO",
IF(COUNTIF(T150:V150,"?*")&gt;0,"⚠ FALTANTE", "❌ SIN COMPLETAR")))</f>
        <v>❌ SIN COMPLETAR</v>
      </c>
    </row>
    <row r="151" spans="1:23" x14ac:dyDescent="0.35">
      <c r="A151" s="27">
        <v>45972</v>
      </c>
      <c r="B151" s="28" t="str">
        <f t="shared" si="33"/>
        <v>mar</v>
      </c>
      <c r="C151" s="29">
        <v>0.75</v>
      </c>
      <c r="D151" s="19" t="s">
        <v>30</v>
      </c>
      <c r="E151" s="19"/>
      <c r="F151" s="19"/>
      <c r="G151" s="30" t="str">
        <f>IF(COUNTIF(D151:F151,"?*")=$T$5,"✅ CUBIERTO",
IF(COUNTIF(D151:F151,"?*")&gt;$T$5,"⚠ EXCESO",IF(COUNTIF(D151:F151,"?*")&gt;0,"⚠ FALTANTE",
"❌ SIN COMPLETAR")))</f>
        <v>⚠ FALTANTE</v>
      </c>
      <c r="H151" s="7"/>
      <c r="I151" s="27">
        <v>45972</v>
      </c>
      <c r="J151" s="28" t="str">
        <f t="shared" si="34"/>
        <v>mar</v>
      </c>
      <c r="K151" s="29">
        <v>0.75</v>
      </c>
      <c r="L151" s="25"/>
      <c r="M151" s="25"/>
      <c r="N151" s="25"/>
      <c r="O151" s="31" t="s">
        <v>32</v>
      </c>
      <c r="P151" s="7"/>
      <c r="Q151" s="27">
        <v>45972</v>
      </c>
      <c r="R151" s="28" t="str">
        <f t="shared" si="35"/>
        <v>mar</v>
      </c>
      <c r="S151" s="29">
        <v>0.75</v>
      </c>
      <c r="T151" s="19"/>
      <c r="U151" s="19"/>
      <c r="V151" s="19"/>
      <c r="W151" s="30" t="str">
        <f>IF(COUNTIF(T151:V151,"?*")=$T$7,"✅ CUBIERTO",IF(COUNTIF(T151:V151,"?*")&gt;$T$7,"⚠ EXCESO",
IF(COUNTIF(T151:V151,"?*")&gt;0,"⚠ FALTANTE", "❌ SIN COMPLETAR")))</f>
        <v>❌ SIN COMPLETAR</v>
      </c>
    </row>
    <row r="152" spans="1:23" x14ac:dyDescent="0.35">
      <c r="A152" s="27">
        <v>45972</v>
      </c>
      <c r="B152" s="28" t="str">
        <f t="shared" si="33"/>
        <v>mar</v>
      </c>
      <c r="C152" s="29">
        <v>0.79166666666666696</v>
      </c>
      <c r="D152" s="19" t="s">
        <v>30</v>
      </c>
      <c r="E152" s="19"/>
      <c r="F152" s="19"/>
      <c r="G152" s="30" t="str">
        <f>IF(COUNTIF(D152:F152,"?*")=$T$5,"✅ CUBIERTO",
IF(COUNTIF(D152:F152,"?*")&gt;$T$5,"⚠ EXCESO",IF(COUNTIF(D152:F152,"?*")&gt;0,"⚠ FALTANTE",
"❌ SIN COMPLETAR")))</f>
        <v>⚠ FALTANTE</v>
      </c>
      <c r="H152" s="7"/>
      <c r="I152" s="27">
        <v>45972</v>
      </c>
      <c r="J152" s="28" t="str">
        <f t="shared" si="34"/>
        <v>mar</v>
      </c>
      <c r="K152" s="29">
        <v>0.79166666666666696</v>
      </c>
      <c r="L152" s="25"/>
      <c r="M152" s="25"/>
      <c r="N152" s="25"/>
      <c r="O152" s="31" t="s">
        <v>32</v>
      </c>
      <c r="P152" s="7"/>
      <c r="Q152" s="27">
        <v>45972</v>
      </c>
      <c r="R152" s="28" t="str">
        <f t="shared" si="35"/>
        <v>mar</v>
      </c>
      <c r="S152" s="29">
        <v>0.79166666666666696</v>
      </c>
      <c r="T152" s="19"/>
      <c r="U152" s="19"/>
      <c r="V152" s="19"/>
      <c r="W152" s="30" t="str">
        <f>IF(COUNTIF(T152:V152,"?*")=$T$7,"✅ CUBIERTO",IF(COUNTIF(T152:V152,"?*")&gt;$T$7,"⚠ EXCESO",
IF(COUNTIF(T152:V152,"?*")&gt;0,"⚠ FALTANTE", "❌ SIN COMPLETAR")))</f>
        <v>❌ SIN COMPLETAR</v>
      </c>
    </row>
    <row r="153" spans="1:23" x14ac:dyDescent="0.35">
      <c r="A153" s="27">
        <v>45972</v>
      </c>
      <c r="B153" s="28" t="str">
        <f t="shared" si="33"/>
        <v>mar</v>
      </c>
      <c r="C153" s="29">
        <v>0.83333333333333337</v>
      </c>
      <c r="D153" s="25"/>
      <c r="E153" s="25"/>
      <c r="F153" s="25"/>
      <c r="G153" s="30" t="s">
        <v>32</v>
      </c>
      <c r="H153" s="7"/>
      <c r="I153" s="27">
        <v>45972</v>
      </c>
      <c r="J153" s="28" t="str">
        <f t="shared" si="34"/>
        <v>mar</v>
      </c>
      <c r="K153" s="29">
        <v>0.83333333333333337</v>
      </c>
      <c r="L153" s="25"/>
      <c r="M153" s="25"/>
      <c r="N153" s="25"/>
      <c r="O153" s="31" t="s">
        <v>32</v>
      </c>
      <c r="P153" s="7"/>
      <c r="Q153" s="27">
        <v>45972</v>
      </c>
      <c r="R153" s="28" t="str">
        <f t="shared" si="35"/>
        <v>mar</v>
      </c>
      <c r="S153" s="29">
        <v>0.83333333333333337</v>
      </c>
      <c r="T153" s="19"/>
      <c r="U153" s="19"/>
      <c r="V153" s="19"/>
      <c r="W153" s="30" t="str">
        <f>IF(COUNTIF(T153:V153,"?*")=$T$7,"✅ CUBIERTO",IF(COUNTIF(T153:V153,"?*")&gt;$T$7,"⚠ EXCESO",
IF(COUNTIF(T153:V153,"?*")&gt;0,"⚠ FALTANTE", "❌ SIN COMPLETAR")))</f>
        <v>❌ SIN COMPLETAR</v>
      </c>
    </row>
    <row r="154" spans="1:23" x14ac:dyDescent="0.35">
      <c r="A154" s="27">
        <v>45973</v>
      </c>
      <c r="B154" s="28" t="str">
        <f>TEXT(A154,"ddd")</f>
        <v>mié</v>
      </c>
      <c r="C154" s="29">
        <v>0.375</v>
      </c>
      <c r="D154" s="25"/>
      <c r="E154" s="25"/>
      <c r="F154" s="25"/>
      <c r="G154" s="30" t="s">
        <v>32</v>
      </c>
      <c r="H154" s="7"/>
      <c r="I154" s="27">
        <v>45973</v>
      </c>
      <c r="J154" s="28" t="str">
        <f>TEXT(I154,"ddd")</f>
        <v>mié</v>
      </c>
      <c r="K154" s="29">
        <v>0.375</v>
      </c>
      <c r="L154" s="19" t="s">
        <v>7</v>
      </c>
      <c r="M154" s="19"/>
      <c r="N154" s="19"/>
      <c r="O154" s="31" t="str">
        <f>IF(COUNTIF(L154:N154,"?*")=$T$6,"✅ CUBIERTO",IF(COUNTIF(L154:N154,"?*")&gt;$T$6,"⚠ EXCESO",
IF(COUNTIF(L154:N154,"?*")&gt;0,"⚠ FALTANTE", "❌ SIN COMPLETAR")))</f>
        <v>✅ CUBIERTO</v>
      </c>
      <c r="P154" s="7"/>
      <c r="Q154" s="27">
        <v>45973</v>
      </c>
      <c r="R154" s="28" t="str">
        <f>TEXT(Q154,"ddd")</f>
        <v>mié</v>
      </c>
      <c r="S154" s="29">
        <v>0.375</v>
      </c>
      <c r="T154" s="25"/>
      <c r="U154" s="25"/>
      <c r="V154" s="25"/>
      <c r="W154" s="30" t="s">
        <v>32</v>
      </c>
    </row>
    <row r="155" spans="1:23" x14ac:dyDescent="0.35">
      <c r="A155" s="27">
        <v>45973</v>
      </c>
      <c r="B155" s="28" t="str">
        <f>TEXT(A155,"ddd")</f>
        <v>mié</v>
      </c>
      <c r="C155" s="29">
        <v>0.41666666666666669</v>
      </c>
      <c r="D155" s="25"/>
      <c r="E155" s="25"/>
      <c r="F155" s="25"/>
      <c r="G155" s="30" t="s">
        <v>32</v>
      </c>
      <c r="H155" s="7"/>
      <c r="I155" s="27">
        <v>45973</v>
      </c>
      <c r="J155" s="28" t="str">
        <f>TEXT(I155,"ddd")</f>
        <v>mié</v>
      </c>
      <c r="K155" s="29">
        <v>0.41666666666666669</v>
      </c>
      <c r="L155" s="19" t="s">
        <v>7</v>
      </c>
      <c r="M155" s="19"/>
      <c r="N155" s="19"/>
      <c r="O155" s="31" t="str">
        <f>IF(COUNTIF(L155:N155,"?*")=$T$6,"✅ CUBIERTO",IF(COUNTIF(L155:N155,"?*")&gt;$T$6,"⚠ EXCESO",
IF(COUNTIF(L155:N155,"?*")&gt;0,"⚠ FALTANTE", "❌ SIN COMPLETAR")))</f>
        <v>✅ CUBIERTO</v>
      </c>
      <c r="P155" s="7"/>
      <c r="Q155" s="27">
        <v>45973</v>
      </c>
      <c r="R155" s="28" t="str">
        <f>TEXT(Q155,"ddd")</f>
        <v>mié</v>
      </c>
      <c r="S155" s="29">
        <v>0.41666666666666669</v>
      </c>
      <c r="T155" s="19"/>
      <c r="U155" s="19"/>
      <c r="V155" s="19"/>
      <c r="W155" s="30" t="str">
        <f>IF(COUNTIF(T155:V155,"?*")=$T$7,"✅ CUBIERTO",IF(COUNTIF(T155:V155,"?*")&gt;$T$7,"⚠ EXCESO",
IF(COUNTIF(T155:V155,"?*")&gt;0,"⚠ FALTANTE", "❌ SIN COMPLETAR")))</f>
        <v>❌ SIN COMPLETAR</v>
      </c>
    </row>
    <row r="156" spans="1:23" x14ac:dyDescent="0.35">
      <c r="A156" s="27">
        <v>45973</v>
      </c>
      <c r="B156" s="28" t="str">
        <f>TEXT(A156,"ddd")</f>
        <v>mié</v>
      </c>
      <c r="C156" s="29">
        <v>0.45833333333333331</v>
      </c>
      <c r="D156" s="19" t="s">
        <v>3</v>
      </c>
      <c r="E156" s="19" t="s">
        <v>31</v>
      </c>
      <c r="F156" s="19"/>
      <c r="G156" s="30" t="str">
        <f>IF(COUNTIF(D156:F156,"?*")=$T$5,"✅ CUBIERTO",
IF(COUNTIF(D156:F156,"?*")&gt;$T$5,"⚠ EXCESO",IF(COUNTIF(D156:F156,"?*")&gt;0,"⚠ FALTANTE",
"❌ SIN COMPLETAR")))</f>
        <v>✅ CUBIERTO</v>
      </c>
      <c r="H156" s="7"/>
      <c r="I156" s="27">
        <v>45973</v>
      </c>
      <c r="J156" s="28" t="str">
        <f>TEXT(I156,"ddd")</f>
        <v>mié</v>
      </c>
      <c r="K156" s="29">
        <v>0.45833333333333331</v>
      </c>
      <c r="L156" s="19" t="s">
        <v>7</v>
      </c>
      <c r="M156" s="19"/>
      <c r="N156" s="19"/>
      <c r="O156" s="31" t="str">
        <f>IF(COUNTIF(L156:N156,"?*")=$T$6,"✅ CUBIERTO",IF(COUNTIF(L156:N156,"?*")&gt;$T$6,"⚠ EXCESO",
IF(COUNTIF(L156:N156,"?*")&gt;0,"⚠ FALTANTE", "❌ SIN COMPLETAR")))</f>
        <v>✅ CUBIERTO</v>
      </c>
      <c r="P156" s="7"/>
      <c r="Q156" s="27">
        <v>45973</v>
      </c>
      <c r="R156" s="28" t="str">
        <f>TEXT(Q156,"ddd")</f>
        <v>mié</v>
      </c>
      <c r="S156" s="29">
        <v>0.45833333333333331</v>
      </c>
      <c r="T156" s="19"/>
      <c r="U156" s="19"/>
      <c r="V156" s="19"/>
      <c r="W156" s="30" t="str">
        <f>IF(COUNTIF(T156:V156,"?*")=$T$7,"✅ CUBIERTO",IF(COUNTIF(T156:V156,"?*")&gt;$T$7,"⚠ EXCESO",
IF(COUNTIF(T156:V156,"?*")&gt;0,"⚠ FALTANTE", "❌ SIN COMPLETAR")))</f>
        <v>❌ SIN COMPLETAR</v>
      </c>
    </row>
    <row r="157" spans="1:23" x14ac:dyDescent="0.35">
      <c r="A157" s="27">
        <v>45973</v>
      </c>
      <c r="B157" s="28" t="str">
        <f t="shared" ref="B157:B165" si="36">TEXT(A157,"ddd")</f>
        <v>mié</v>
      </c>
      <c r="C157" s="29">
        <v>0.5</v>
      </c>
      <c r="D157" s="19" t="s">
        <v>3</v>
      </c>
      <c r="E157" s="19" t="s">
        <v>31</v>
      </c>
      <c r="F157" s="19"/>
      <c r="G157" s="30" t="str">
        <f>IF(COUNTIF(D157:F157,"?*")=$T$5,"✅ CUBIERTO",
IF(COUNTIF(D157:F157,"?*")&gt;$T$5,"⚠ EXCESO",IF(COUNTIF(D157:F157,"?*")&gt;0,"⚠ FALTANTE",
"❌ SIN COMPLETAR")))</f>
        <v>✅ CUBIERTO</v>
      </c>
      <c r="H157" s="7"/>
      <c r="I157" s="27">
        <v>45973</v>
      </c>
      <c r="J157" s="28" t="str">
        <f t="shared" ref="J157:J165" si="37">TEXT(I157,"ddd")</f>
        <v>mié</v>
      </c>
      <c r="K157" s="29">
        <v>0.5</v>
      </c>
      <c r="L157" s="19" t="s">
        <v>7</v>
      </c>
      <c r="M157" s="19"/>
      <c r="N157" s="19"/>
      <c r="O157" s="31" t="str">
        <f>IF(COUNTIF(L157:N157,"?*")=$T$6,"✅ CUBIERTO",IF(COUNTIF(L157:N157,"?*")&gt;$T$6,"⚠ EXCESO",
IF(COUNTIF(L157:N157,"?*")&gt;0,"⚠ FALTANTE", "❌ SIN COMPLETAR")))</f>
        <v>✅ CUBIERTO</v>
      </c>
      <c r="P157" s="7"/>
      <c r="Q157" s="27">
        <v>45973</v>
      </c>
      <c r="R157" s="28" t="str">
        <f t="shared" ref="R157:R165" si="38">TEXT(Q157,"ddd")</f>
        <v>mié</v>
      </c>
      <c r="S157" s="29">
        <v>0.5</v>
      </c>
      <c r="T157" s="19"/>
      <c r="U157" s="19"/>
      <c r="V157" s="19"/>
      <c r="W157" s="30" t="str">
        <f>IF(COUNTIF(T157:V157,"?*")=$T$7,"✅ CUBIERTO",IF(COUNTIF(T157:V157,"?*")&gt;$T$7,"⚠ EXCESO",
IF(COUNTIF(T157:V157,"?*")&gt;0,"⚠ FALTANTE", "❌ SIN COMPLETAR")))</f>
        <v>❌ SIN COMPLETAR</v>
      </c>
    </row>
    <row r="158" spans="1:23" x14ac:dyDescent="0.35">
      <c r="A158" s="27">
        <v>45973</v>
      </c>
      <c r="B158" s="28" t="str">
        <f t="shared" si="36"/>
        <v>mié</v>
      </c>
      <c r="C158" s="29">
        <v>0.54166666666666696</v>
      </c>
      <c r="D158" s="19" t="s">
        <v>3</v>
      </c>
      <c r="E158" s="19" t="s">
        <v>31</v>
      </c>
      <c r="F158" s="19"/>
      <c r="G158" s="30" t="str">
        <f>IF(COUNTIF(D158:F158,"?*")=$T$5,"✅ CUBIERTO",
IF(COUNTIF(D158:F158,"?*")&gt;$T$5,"⚠ EXCESO",IF(COUNTIF(D158:F158,"?*")&gt;0,"⚠ FALTANTE",
"❌ SIN COMPLETAR")))</f>
        <v>✅ CUBIERTO</v>
      </c>
      <c r="H158" s="7"/>
      <c r="I158" s="27">
        <v>45973</v>
      </c>
      <c r="J158" s="28" t="str">
        <f t="shared" si="37"/>
        <v>mié</v>
      </c>
      <c r="K158" s="29">
        <v>0.54166666666666696</v>
      </c>
      <c r="L158" s="19" t="s">
        <v>7</v>
      </c>
      <c r="M158" s="19"/>
      <c r="N158" s="19"/>
      <c r="O158" s="31" t="str">
        <f>IF(COUNTIF(L158:N158,"?*")=$T$6,"✅ CUBIERTO",IF(COUNTIF(L158:N158,"?*")&gt;$T$6,"⚠ EXCESO",
IF(COUNTIF(L158:N158,"?*")&gt;0,"⚠ FALTANTE", "❌ SIN COMPLETAR")))</f>
        <v>✅ CUBIERTO</v>
      </c>
      <c r="P158" s="7"/>
      <c r="Q158" s="27">
        <v>45973</v>
      </c>
      <c r="R158" s="28" t="str">
        <f t="shared" si="38"/>
        <v>mié</v>
      </c>
      <c r="S158" s="29">
        <v>0.54166666666666696</v>
      </c>
      <c r="T158" s="19"/>
      <c r="U158" s="19"/>
      <c r="V158" s="19"/>
      <c r="W158" s="30" t="str">
        <f>IF(COUNTIF(T158:V158,"?*")=$T$7,"✅ CUBIERTO",IF(COUNTIF(T158:V158,"?*")&gt;$T$7,"⚠ EXCESO",
IF(COUNTIF(T158:V158,"?*")&gt;0,"⚠ FALTANTE", "❌ SIN COMPLETAR")))</f>
        <v>❌ SIN COMPLETAR</v>
      </c>
    </row>
    <row r="159" spans="1:23" x14ac:dyDescent="0.35">
      <c r="A159" s="27">
        <v>45973</v>
      </c>
      <c r="B159" s="28" t="str">
        <f t="shared" si="36"/>
        <v>mié</v>
      </c>
      <c r="C159" s="29">
        <v>0.58333333333333304</v>
      </c>
      <c r="D159" s="19" t="s">
        <v>3</v>
      </c>
      <c r="E159" s="19" t="s">
        <v>31</v>
      </c>
      <c r="F159" s="19"/>
      <c r="G159" s="30" t="str">
        <f>IF(COUNTIF(D159:F159,"?*")=$T$5,"✅ CUBIERTO",
IF(COUNTIF(D159:F159,"?*")&gt;$T$5,"⚠ EXCESO",IF(COUNTIF(D159:F159,"?*")&gt;0,"⚠ FALTANTE",
"❌ SIN COMPLETAR")))</f>
        <v>✅ CUBIERTO</v>
      </c>
      <c r="H159" s="7"/>
      <c r="I159" s="27">
        <v>45973</v>
      </c>
      <c r="J159" s="28" t="str">
        <f t="shared" si="37"/>
        <v>mié</v>
      </c>
      <c r="K159" s="29">
        <v>0.58333333333333304</v>
      </c>
      <c r="L159" s="19" t="s">
        <v>29</v>
      </c>
      <c r="M159" s="19"/>
      <c r="N159" s="19"/>
      <c r="O159" s="31" t="str">
        <f>IF(COUNTIF(L159:N159,"?*")=$T$6,"✅ CUBIERTO",IF(COUNTIF(L159:N159,"?*")&gt;$T$6,"⚠ EXCESO",
IF(COUNTIF(L159:N159,"?*")&gt;0,"⚠ FALTANTE", "❌ SIN COMPLETAR")))</f>
        <v>✅ CUBIERTO</v>
      </c>
      <c r="P159" s="7"/>
      <c r="Q159" s="27">
        <v>45973</v>
      </c>
      <c r="R159" s="28" t="str">
        <f t="shared" si="38"/>
        <v>mié</v>
      </c>
      <c r="S159" s="29">
        <v>0.58333333333333304</v>
      </c>
      <c r="T159" s="19"/>
      <c r="U159" s="19"/>
      <c r="V159" s="19"/>
      <c r="W159" s="30" t="str">
        <f>IF(COUNTIF(T159:V159,"?*")=$T$7,"✅ CUBIERTO",IF(COUNTIF(T159:V159,"?*")&gt;$T$7,"⚠ EXCESO",
IF(COUNTIF(T159:V159,"?*")&gt;0,"⚠ FALTANTE", "❌ SIN COMPLETAR")))</f>
        <v>❌ SIN COMPLETAR</v>
      </c>
    </row>
    <row r="160" spans="1:23" x14ac:dyDescent="0.35">
      <c r="A160" s="27">
        <v>45973</v>
      </c>
      <c r="B160" s="28" t="str">
        <f t="shared" si="36"/>
        <v>mié</v>
      </c>
      <c r="C160" s="29">
        <v>0.625</v>
      </c>
      <c r="D160" s="19" t="s">
        <v>3</v>
      </c>
      <c r="E160" s="19" t="s">
        <v>31</v>
      </c>
      <c r="F160" s="19"/>
      <c r="G160" s="30" t="str">
        <f>IF(COUNTIF(D160:F160,"?*")=$T$5,"✅ CUBIERTO",
IF(COUNTIF(D160:F160,"?*")&gt;$T$5,"⚠ EXCESO",IF(COUNTIF(D160:F160,"?*")&gt;0,"⚠ FALTANTE",
"❌ SIN COMPLETAR")))</f>
        <v>✅ CUBIERTO</v>
      </c>
      <c r="H160" s="7"/>
      <c r="I160" s="27">
        <v>45973</v>
      </c>
      <c r="J160" s="28" t="str">
        <f t="shared" si="37"/>
        <v>mié</v>
      </c>
      <c r="K160" s="29">
        <v>0.625</v>
      </c>
      <c r="L160" s="19" t="s">
        <v>29</v>
      </c>
      <c r="M160" s="19"/>
      <c r="N160" s="19"/>
      <c r="O160" s="31" t="str">
        <f>IF(COUNTIF(L160:N160,"?*")=$T$6,"✅ CUBIERTO",IF(COUNTIF(L160:N160,"?*")&gt;$T$6,"⚠ EXCESO",
IF(COUNTIF(L160:N160,"?*")&gt;0,"⚠ FALTANTE", "❌ SIN COMPLETAR")))</f>
        <v>✅ CUBIERTO</v>
      </c>
      <c r="P160" s="7"/>
      <c r="Q160" s="27">
        <v>45973</v>
      </c>
      <c r="R160" s="28" t="str">
        <f t="shared" si="38"/>
        <v>mié</v>
      </c>
      <c r="S160" s="29">
        <v>0.625</v>
      </c>
      <c r="T160" s="19"/>
      <c r="U160" s="19"/>
      <c r="V160" s="19"/>
      <c r="W160" s="30" t="str">
        <f>IF(COUNTIF(T160:V160,"?*")=$T$7,"✅ CUBIERTO",IF(COUNTIF(T160:V160,"?*")&gt;$T$7,"⚠ EXCESO",
IF(COUNTIF(T160:V160,"?*")&gt;0,"⚠ FALTANTE", "❌ SIN COMPLETAR")))</f>
        <v>❌ SIN COMPLETAR</v>
      </c>
    </row>
    <row r="161" spans="1:23" x14ac:dyDescent="0.35">
      <c r="A161" s="27">
        <v>45973</v>
      </c>
      <c r="B161" s="28" t="str">
        <f t="shared" si="36"/>
        <v>mié</v>
      </c>
      <c r="C161" s="29">
        <v>0.66666666666666696</v>
      </c>
      <c r="D161" s="19" t="s">
        <v>30</v>
      </c>
      <c r="E161" s="19"/>
      <c r="F161" s="19"/>
      <c r="G161" s="30" t="str">
        <f>IF(COUNTIF(D161:F161,"?*")=$T$5,"✅ CUBIERTO",
IF(COUNTIF(D161:F161,"?*")&gt;$T$5,"⚠ EXCESO",IF(COUNTIF(D161:F161,"?*")&gt;0,"⚠ FALTANTE",
"❌ SIN COMPLETAR")))</f>
        <v>⚠ FALTANTE</v>
      </c>
      <c r="H161" s="7"/>
      <c r="I161" s="27">
        <v>45973</v>
      </c>
      <c r="J161" s="28" t="str">
        <f t="shared" si="37"/>
        <v>mié</v>
      </c>
      <c r="K161" s="29">
        <v>0.66666666666666696</v>
      </c>
      <c r="L161" s="19" t="s">
        <v>29</v>
      </c>
      <c r="M161" s="19"/>
      <c r="N161" s="19"/>
      <c r="O161" s="31" t="str">
        <f>IF(COUNTIF(L161:N161,"?*")=$T$6,"✅ CUBIERTO",IF(COUNTIF(L161:N161,"?*")&gt;$T$6,"⚠ EXCESO",
IF(COUNTIF(L161:N161,"?*")&gt;0,"⚠ FALTANTE", "❌ SIN COMPLETAR")))</f>
        <v>✅ CUBIERTO</v>
      </c>
      <c r="P161" s="7"/>
      <c r="Q161" s="27">
        <v>45973</v>
      </c>
      <c r="R161" s="28" t="str">
        <f t="shared" si="38"/>
        <v>mié</v>
      </c>
      <c r="S161" s="29">
        <v>0.66666666666666696</v>
      </c>
      <c r="T161" s="19"/>
      <c r="U161" s="19"/>
      <c r="V161" s="19"/>
      <c r="W161" s="30" t="str">
        <f>IF(COUNTIF(T161:V161,"?*")=$T$7,"✅ CUBIERTO",IF(COUNTIF(T161:V161,"?*")&gt;$T$7,"⚠ EXCESO",
IF(COUNTIF(T161:V161,"?*")&gt;0,"⚠ FALTANTE", "❌ SIN COMPLETAR")))</f>
        <v>❌ SIN COMPLETAR</v>
      </c>
    </row>
    <row r="162" spans="1:23" x14ac:dyDescent="0.35">
      <c r="A162" s="27">
        <v>45973</v>
      </c>
      <c r="B162" s="28" t="str">
        <f t="shared" si="36"/>
        <v>mié</v>
      </c>
      <c r="C162" s="29">
        <v>0.70833333333333304</v>
      </c>
      <c r="D162" s="19" t="s">
        <v>30</v>
      </c>
      <c r="E162" s="19"/>
      <c r="F162" s="19"/>
      <c r="G162" s="30" t="str">
        <f>IF(COUNTIF(D162:F162,"?*")=$T$5,"✅ CUBIERTO",
IF(COUNTIF(D162:F162,"?*")&gt;$T$5,"⚠ EXCESO",IF(COUNTIF(D162:F162,"?*")&gt;0,"⚠ FALTANTE",
"❌ SIN COMPLETAR")))</f>
        <v>⚠ FALTANTE</v>
      </c>
      <c r="H162" s="7"/>
      <c r="I162" s="27">
        <v>45973</v>
      </c>
      <c r="J162" s="28" t="str">
        <f t="shared" si="37"/>
        <v>mié</v>
      </c>
      <c r="K162" s="29">
        <v>0.70833333333333304</v>
      </c>
      <c r="L162" s="19" t="s">
        <v>29</v>
      </c>
      <c r="M162" s="19"/>
      <c r="N162" s="19"/>
      <c r="O162" s="31" t="str">
        <f>IF(COUNTIF(L162:N162,"?*")=$T$6,"✅ CUBIERTO",IF(COUNTIF(L162:N162,"?*")&gt;$T$6,"⚠ EXCESO",
IF(COUNTIF(L162:N162,"?*")&gt;0,"⚠ FALTANTE", "❌ SIN COMPLETAR")))</f>
        <v>✅ CUBIERTO</v>
      </c>
      <c r="P162" s="7"/>
      <c r="Q162" s="27">
        <v>45973</v>
      </c>
      <c r="R162" s="28" t="str">
        <f t="shared" si="38"/>
        <v>mié</v>
      </c>
      <c r="S162" s="29">
        <v>0.70833333333333304</v>
      </c>
      <c r="T162" s="19"/>
      <c r="U162" s="19"/>
      <c r="V162" s="19"/>
      <c r="W162" s="30" t="str">
        <f>IF(COUNTIF(T162:V162,"?*")=$T$7,"✅ CUBIERTO",IF(COUNTIF(T162:V162,"?*")&gt;$T$7,"⚠ EXCESO",
IF(COUNTIF(T162:V162,"?*")&gt;0,"⚠ FALTANTE", "❌ SIN COMPLETAR")))</f>
        <v>❌ SIN COMPLETAR</v>
      </c>
    </row>
    <row r="163" spans="1:23" x14ac:dyDescent="0.35">
      <c r="A163" s="27">
        <v>45973</v>
      </c>
      <c r="B163" s="28" t="str">
        <f t="shared" si="36"/>
        <v>mié</v>
      </c>
      <c r="C163" s="29">
        <v>0.75</v>
      </c>
      <c r="D163" s="19" t="s">
        <v>30</v>
      </c>
      <c r="E163" s="19"/>
      <c r="F163" s="19"/>
      <c r="G163" s="30" t="str">
        <f>IF(COUNTIF(D163:F163,"?*")=$T$5,"✅ CUBIERTO",
IF(COUNTIF(D163:F163,"?*")&gt;$T$5,"⚠ EXCESO",IF(COUNTIF(D163:F163,"?*")&gt;0,"⚠ FALTANTE",
"❌ SIN COMPLETAR")))</f>
        <v>⚠ FALTANTE</v>
      </c>
      <c r="H163" s="7"/>
      <c r="I163" s="27">
        <v>45973</v>
      </c>
      <c r="J163" s="28" t="str">
        <f t="shared" si="37"/>
        <v>mié</v>
      </c>
      <c r="K163" s="29">
        <v>0.75</v>
      </c>
      <c r="L163" s="25"/>
      <c r="M163" s="25"/>
      <c r="N163" s="25"/>
      <c r="O163" s="31" t="s">
        <v>32</v>
      </c>
      <c r="P163" s="7"/>
      <c r="Q163" s="27">
        <v>45973</v>
      </c>
      <c r="R163" s="28" t="str">
        <f t="shared" si="38"/>
        <v>mié</v>
      </c>
      <c r="S163" s="29">
        <v>0.75</v>
      </c>
      <c r="T163" s="19"/>
      <c r="U163" s="19"/>
      <c r="V163" s="19"/>
      <c r="W163" s="30" t="str">
        <f>IF(COUNTIF(T163:V163,"?*")=$T$7,"✅ CUBIERTO",IF(COUNTIF(T163:V163,"?*")&gt;$T$7,"⚠ EXCESO",
IF(COUNTIF(T163:V163,"?*")&gt;0,"⚠ FALTANTE", "❌ SIN COMPLETAR")))</f>
        <v>❌ SIN COMPLETAR</v>
      </c>
    </row>
    <row r="164" spans="1:23" x14ac:dyDescent="0.35">
      <c r="A164" s="27">
        <v>45973</v>
      </c>
      <c r="B164" s="28" t="str">
        <f t="shared" si="36"/>
        <v>mié</v>
      </c>
      <c r="C164" s="29">
        <v>0.79166666666666696</v>
      </c>
      <c r="D164" s="19" t="s">
        <v>30</v>
      </c>
      <c r="E164" s="19"/>
      <c r="F164" s="19"/>
      <c r="G164" s="30" t="str">
        <f>IF(COUNTIF(D164:F164,"?*")=$T$5,"✅ CUBIERTO",
IF(COUNTIF(D164:F164,"?*")&gt;$T$5,"⚠ EXCESO",IF(COUNTIF(D164:F164,"?*")&gt;0,"⚠ FALTANTE",
"❌ SIN COMPLETAR")))</f>
        <v>⚠ FALTANTE</v>
      </c>
      <c r="H164" s="7"/>
      <c r="I164" s="27">
        <v>45973</v>
      </c>
      <c r="J164" s="28" t="str">
        <f t="shared" si="37"/>
        <v>mié</v>
      </c>
      <c r="K164" s="29">
        <v>0.79166666666666696</v>
      </c>
      <c r="L164" s="25"/>
      <c r="M164" s="25"/>
      <c r="N164" s="25"/>
      <c r="O164" s="31" t="s">
        <v>32</v>
      </c>
      <c r="P164" s="7"/>
      <c r="Q164" s="27">
        <v>45973</v>
      </c>
      <c r="R164" s="28" t="str">
        <f t="shared" si="38"/>
        <v>mié</v>
      </c>
      <c r="S164" s="29">
        <v>0.79166666666666696</v>
      </c>
      <c r="T164" s="19"/>
      <c r="U164" s="19"/>
      <c r="V164" s="19"/>
      <c r="W164" s="30" t="str">
        <f>IF(COUNTIF(T164:V164,"?*")=$T$7,"✅ CUBIERTO",IF(COUNTIF(T164:V164,"?*")&gt;$T$7,"⚠ EXCESO",
IF(COUNTIF(T164:V164,"?*")&gt;0,"⚠ FALTANTE", "❌ SIN COMPLETAR")))</f>
        <v>❌ SIN COMPLETAR</v>
      </c>
    </row>
    <row r="165" spans="1:23" x14ac:dyDescent="0.35">
      <c r="A165" s="27">
        <v>45973</v>
      </c>
      <c r="B165" s="28" t="str">
        <f t="shared" si="36"/>
        <v>mié</v>
      </c>
      <c r="C165" s="29">
        <v>0.83333333333333337</v>
      </c>
      <c r="D165" s="25"/>
      <c r="E165" s="25"/>
      <c r="F165" s="25"/>
      <c r="G165" s="30" t="s">
        <v>32</v>
      </c>
      <c r="H165" s="7"/>
      <c r="I165" s="27">
        <v>45973</v>
      </c>
      <c r="J165" s="28" t="str">
        <f t="shared" si="37"/>
        <v>mié</v>
      </c>
      <c r="K165" s="29">
        <v>0.83333333333333337</v>
      </c>
      <c r="L165" s="25"/>
      <c r="M165" s="25"/>
      <c r="N165" s="25"/>
      <c r="O165" s="31" t="s">
        <v>32</v>
      </c>
      <c r="P165" s="7"/>
      <c r="Q165" s="27">
        <v>45973</v>
      </c>
      <c r="R165" s="28" t="str">
        <f t="shared" si="38"/>
        <v>mié</v>
      </c>
      <c r="S165" s="29">
        <v>0.83333333333333337</v>
      </c>
      <c r="T165" s="19"/>
      <c r="U165" s="19"/>
      <c r="V165" s="19"/>
      <c r="W165" s="30" t="str">
        <f>IF(COUNTIF(T165:V165,"?*")=$T$7,"✅ CUBIERTO",IF(COUNTIF(T165:V165,"?*")&gt;$T$7,"⚠ EXCESO",
IF(COUNTIF(T165:V165,"?*")&gt;0,"⚠ FALTANTE", "❌ SIN COMPLETAR")))</f>
        <v>❌ SIN COMPLETAR</v>
      </c>
    </row>
    <row r="166" spans="1:23" x14ac:dyDescent="0.35">
      <c r="A166" s="27">
        <v>45974</v>
      </c>
      <c r="B166" s="28" t="str">
        <f>TEXT(A166,"ddd")</f>
        <v>jue</v>
      </c>
      <c r="C166" s="29">
        <v>0.375</v>
      </c>
      <c r="D166" s="25"/>
      <c r="E166" s="25"/>
      <c r="F166" s="25"/>
      <c r="G166" s="30" t="s">
        <v>32</v>
      </c>
      <c r="H166" s="7"/>
      <c r="I166" s="27">
        <v>45974</v>
      </c>
      <c r="J166" s="28" t="str">
        <f>TEXT(I166,"ddd")</f>
        <v>jue</v>
      </c>
      <c r="K166" s="29">
        <v>0.375</v>
      </c>
      <c r="L166" s="19" t="s">
        <v>7</v>
      </c>
      <c r="M166" s="19"/>
      <c r="N166" s="19"/>
      <c r="O166" s="31" t="str">
        <f>IF(COUNTIF(L166:N166,"?*")=$T$6,"✅ CUBIERTO",IF(COUNTIF(L166:N166,"?*")&gt;$T$6,"⚠ EXCESO",
IF(COUNTIF(L166:N166,"?*")&gt;0,"⚠ FALTANTE", "❌ SIN COMPLETAR")))</f>
        <v>✅ CUBIERTO</v>
      </c>
      <c r="P166" s="7"/>
      <c r="Q166" s="27">
        <v>45974</v>
      </c>
      <c r="R166" s="28" t="str">
        <f>TEXT(Q166,"ddd")</f>
        <v>jue</v>
      </c>
      <c r="S166" s="29">
        <v>0.375</v>
      </c>
      <c r="T166" s="25"/>
      <c r="U166" s="25"/>
      <c r="V166" s="25"/>
      <c r="W166" s="30" t="s">
        <v>32</v>
      </c>
    </row>
    <row r="167" spans="1:23" x14ac:dyDescent="0.35">
      <c r="A167" s="27">
        <v>45974</v>
      </c>
      <c r="B167" s="28" t="str">
        <f>TEXT(A167,"ddd")</f>
        <v>jue</v>
      </c>
      <c r="C167" s="29">
        <v>0.41666666666666669</v>
      </c>
      <c r="D167" s="25"/>
      <c r="E167" s="25"/>
      <c r="F167" s="25"/>
      <c r="G167" s="30" t="s">
        <v>32</v>
      </c>
      <c r="H167" s="7"/>
      <c r="I167" s="27">
        <v>45974</v>
      </c>
      <c r="J167" s="28" t="str">
        <f>TEXT(I167,"ddd")</f>
        <v>jue</v>
      </c>
      <c r="K167" s="29">
        <v>0.41666666666666669</v>
      </c>
      <c r="L167" s="19" t="s">
        <v>7</v>
      </c>
      <c r="M167" s="19"/>
      <c r="N167" s="19"/>
      <c r="O167" s="31" t="str">
        <f>IF(COUNTIF(L167:N167,"?*")=$T$6,"✅ CUBIERTO",IF(COUNTIF(L167:N167,"?*")&gt;$T$6,"⚠ EXCESO",
IF(COUNTIF(L167:N167,"?*")&gt;0,"⚠ FALTANTE", "❌ SIN COMPLETAR")))</f>
        <v>✅ CUBIERTO</v>
      </c>
      <c r="P167" s="7"/>
      <c r="Q167" s="27">
        <v>45974</v>
      </c>
      <c r="R167" s="28" t="str">
        <f>TEXT(Q167,"ddd")</f>
        <v>jue</v>
      </c>
      <c r="S167" s="29">
        <v>0.41666666666666669</v>
      </c>
      <c r="T167" s="19"/>
      <c r="U167" s="19"/>
      <c r="V167" s="19"/>
      <c r="W167" s="30" t="str">
        <f>IF(COUNTIF(T167:V167,"?*")=$T$7,"✅ CUBIERTO",IF(COUNTIF(T167:V167,"?*")&gt;$T$7,"⚠ EXCESO",
IF(COUNTIF(T167:V167,"?*")&gt;0,"⚠ FALTANTE", "❌ SIN COMPLETAR")))</f>
        <v>❌ SIN COMPLETAR</v>
      </c>
    </row>
    <row r="168" spans="1:23" x14ac:dyDescent="0.35">
      <c r="A168" s="27">
        <v>45974</v>
      </c>
      <c r="B168" s="28" t="str">
        <f>TEXT(A168,"ddd")</f>
        <v>jue</v>
      </c>
      <c r="C168" s="29">
        <v>0.45833333333333331</v>
      </c>
      <c r="D168" s="19" t="s">
        <v>3</v>
      </c>
      <c r="E168" s="19" t="s">
        <v>4</v>
      </c>
      <c r="F168" s="19"/>
      <c r="G168" s="30" t="str">
        <f>IF(COUNTIF(D168:F168,"?*")=$T$5,"✅ CUBIERTO",
IF(COUNTIF(D168:F168,"?*")&gt;$T$5,"⚠ EXCESO",IF(COUNTIF(D168:F168,"?*")&gt;0,"⚠ FALTANTE",
"❌ SIN COMPLETAR")))</f>
        <v>✅ CUBIERTO</v>
      </c>
      <c r="H168" s="7"/>
      <c r="I168" s="27">
        <v>45974</v>
      </c>
      <c r="J168" s="28" t="str">
        <f>TEXT(I168,"ddd")</f>
        <v>jue</v>
      </c>
      <c r="K168" s="29">
        <v>0.45833333333333331</v>
      </c>
      <c r="L168" s="19" t="s">
        <v>7</v>
      </c>
      <c r="M168" s="19"/>
      <c r="N168" s="19"/>
      <c r="O168" s="31" t="str">
        <f>IF(COUNTIF(L168:N168,"?*")=$T$6,"✅ CUBIERTO",IF(COUNTIF(L168:N168,"?*")&gt;$T$6,"⚠ EXCESO",
IF(COUNTIF(L168:N168,"?*")&gt;0,"⚠ FALTANTE", "❌ SIN COMPLETAR")))</f>
        <v>✅ CUBIERTO</v>
      </c>
      <c r="P168" s="7"/>
      <c r="Q168" s="27">
        <v>45974</v>
      </c>
      <c r="R168" s="28" t="str">
        <f>TEXT(Q168,"ddd")</f>
        <v>jue</v>
      </c>
      <c r="S168" s="29">
        <v>0.45833333333333331</v>
      </c>
      <c r="T168" s="19"/>
      <c r="U168" s="19"/>
      <c r="V168" s="19"/>
      <c r="W168" s="30" t="str">
        <f>IF(COUNTIF(T168:V168,"?*")=$T$7,"✅ CUBIERTO",IF(COUNTIF(T168:V168,"?*")&gt;$T$7,"⚠ EXCESO",
IF(COUNTIF(T168:V168,"?*")&gt;0,"⚠ FALTANTE", "❌ SIN COMPLETAR")))</f>
        <v>❌ SIN COMPLETAR</v>
      </c>
    </row>
    <row r="169" spans="1:23" x14ac:dyDescent="0.35">
      <c r="A169" s="27">
        <v>45974</v>
      </c>
      <c r="B169" s="28" t="str">
        <f t="shared" ref="B169:B177" si="39">TEXT(A169,"ddd")</f>
        <v>jue</v>
      </c>
      <c r="C169" s="29">
        <v>0.5</v>
      </c>
      <c r="D169" s="19" t="s">
        <v>3</v>
      </c>
      <c r="E169" s="19" t="s">
        <v>4</v>
      </c>
      <c r="F169" s="19"/>
      <c r="G169" s="30" t="str">
        <f>IF(COUNTIF(D169:F169,"?*")=$T$5,"✅ CUBIERTO",
IF(COUNTIF(D169:F169,"?*")&gt;$T$5,"⚠ EXCESO",IF(COUNTIF(D169:F169,"?*")&gt;0,"⚠ FALTANTE",
"❌ SIN COMPLETAR")))</f>
        <v>✅ CUBIERTO</v>
      </c>
      <c r="H169" s="7"/>
      <c r="I169" s="27">
        <v>45974</v>
      </c>
      <c r="J169" s="28" t="str">
        <f t="shared" ref="J169:J177" si="40">TEXT(I169,"ddd")</f>
        <v>jue</v>
      </c>
      <c r="K169" s="29">
        <v>0.5</v>
      </c>
      <c r="L169" s="19" t="s">
        <v>7</v>
      </c>
      <c r="M169" s="19"/>
      <c r="N169" s="19"/>
      <c r="O169" s="31" t="str">
        <f>IF(COUNTIF(L169:N169,"?*")=$T$6,"✅ CUBIERTO",IF(COUNTIF(L169:N169,"?*")&gt;$T$6,"⚠ EXCESO",
IF(COUNTIF(L169:N169,"?*")&gt;0,"⚠ FALTANTE", "❌ SIN COMPLETAR")))</f>
        <v>✅ CUBIERTO</v>
      </c>
      <c r="P169" s="7"/>
      <c r="Q169" s="27">
        <v>45974</v>
      </c>
      <c r="R169" s="28" t="str">
        <f t="shared" ref="R169:R177" si="41">TEXT(Q169,"ddd")</f>
        <v>jue</v>
      </c>
      <c r="S169" s="29">
        <v>0.5</v>
      </c>
      <c r="T169" s="19"/>
      <c r="U169" s="19"/>
      <c r="V169" s="19"/>
      <c r="W169" s="30" t="str">
        <f>IF(COUNTIF(T169:V169,"?*")=$T$7,"✅ CUBIERTO",IF(COUNTIF(T169:V169,"?*")&gt;$T$7,"⚠ EXCESO",
IF(COUNTIF(T169:V169,"?*")&gt;0,"⚠ FALTANTE", "❌ SIN COMPLETAR")))</f>
        <v>❌ SIN COMPLETAR</v>
      </c>
    </row>
    <row r="170" spans="1:23" x14ac:dyDescent="0.35">
      <c r="A170" s="27">
        <v>45974</v>
      </c>
      <c r="B170" s="28" t="str">
        <f t="shared" si="39"/>
        <v>jue</v>
      </c>
      <c r="C170" s="29">
        <v>0.54166666666666696</v>
      </c>
      <c r="D170" s="19" t="s">
        <v>3</v>
      </c>
      <c r="E170" s="19" t="s">
        <v>4</v>
      </c>
      <c r="F170" s="19"/>
      <c r="G170" s="30" t="str">
        <f>IF(COUNTIF(D170:F170,"?*")=$T$5,"✅ CUBIERTO",
IF(COUNTIF(D170:F170,"?*")&gt;$T$5,"⚠ EXCESO",IF(COUNTIF(D170:F170,"?*")&gt;0,"⚠ FALTANTE",
"❌ SIN COMPLETAR")))</f>
        <v>✅ CUBIERTO</v>
      </c>
      <c r="H170" s="7"/>
      <c r="I170" s="27">
        <v>45974</v>
      </c>
      <c r="J170" s="28" t="str">
        <f t="shared" si="40"/>
        <v>jue</v>
      </c>
      <c r="K170" s="29">
        <v>0.54166666666666696</v>
      </c>
      <c r="L170" s="19" t="s">
        <v>7</v>
      </c>
      <c r="M170" s="19"/>
      <c r="N170" s="19"/>
      <c r="O170" s="31" t="str">
        <f>IF(COUNTIF(L170:N170,"?*")=$T$6,"✅ CUBIERTO",IF(COUNTIF(L170:N170,"?*")&gt;$T$6,"⚠ EXCESO",
IF(COUNTIF(L170:N170,"?*")&gt;0,"⚠ FALTANTE", "❌ SIN COMPLETAR")))</f>
        <v>✅ CUBIERTO</v>
      </c>
      <c r="P170" s="7"/>
      <c r="Q170" s="27">
        <v>45974</v>
      </c>
      <c r="R170" s="28" t="str">
        <f t="shared" si="41"/>
        <v>jue</v>
      </c>
      <c r="S170" s="29">
        <v>0.54166666666666696</v>
      </c>
      <c r="T170" s="19"/>
      <c r="U170" s="19"/>
      <c r="V170" s="19"/>
      <c r="W170" s="30" t="str">
        <f>IF(COUNTIF(T170:V170,"?*")=$T$7,"✅ CUBIERTO",IF(COUNTIF(T170:V170,"?*")&gt;$T$7,"⚠ EXCESO",
IF(COUNTIF(T170:V170,"?*")&gt;0,"⚠ FALTANTE", "❌ SIN COMPLETAR")))</f>
        <v>❌ SIN COMPLETAR</v>
      </c>
    </row>
    <row r="171" spans="1:23" x14ac:dyDescent="0.35">
      <c r="A171" s="27">
        <v>45974</v>
      </c>
      <c r="B171" s="28" t="str">
        <f t="shared" si="39"/>
        <v>jue</v>
      </c>
      <c r="C171" s="29">
        <v>0.58333333333333304</v>
      </c>
      <c r="D171" s="19" t="s">
        <v>3</v>
      </c>
      <c r="E171" s="19" t="s">
        <v>4</v>
      </c>
      <c r="F171" s="19"/>
      <c r="G171" s="30" t="str">
        <f>IF(COUNTIF(D171:F171,"?*")=$T$5,"✅ CUBIERTO",
IF(COUNTIF(D171:F171,"?*")&gt;$T$5,"⚠ EXCESO",IF(COUNTIF(D171:F171,"?*")&gt;0,"⚠ FALTANTE",
"❌ SIN COMPLETAR")))</f>
        <v>✅ CUBIERTO</v>
      </c>
      <c r="H171" s="7"/>
      <c r="I171" s="27">
        <v>45974</v>
      </c>
      <c r="J171" s="28" t="str">
        <f t="shared" si="40"/>
        <v>jue</v>
      </c>
      <c r="K171" s="29">
        <v>0.58333333333333304</v>
      </c>
      <c r="L171" s="19" t="s">
        <v>29</v>
      </c>
      <c r="M171" s="19"/>
      <c r="N171" s="19"/>
      <c r="O171" s="31" t="str">
        <f>IF(COUNTIF(L171:N171,"?*")=$T$6,"✅ CUBIERTO",IF(COUNTIF(L171:N171,"?*")&gt;$T$6,"⚠ EXCESO",
IF(COUNTIF(L171:N171,"?*")&gt;0,"⚠ FALTANTE", "❌ SIN COMPLETAR")))</f>
        <v>✅ CUBIERTO</v>
      </c>
      <c r="P171" s="7"/>
      <c r="Q171" s="27">
        <v>45974</v>
      </c>
      <c r="R171" s="28" t="str">
        <f t="shared" si="41"/>
        <v>jue</v>
      </c>
      <c r="S171" s="29">
        <v>0.58333333333333304</v>
      </c>
      <c r="T171" s="19"/>
      <c r="U171" s="19"/>
      <c r="V171" s="19"/>
      <c r="W171" s="30" t="str">
        <f>IF(COUNTIF(T171:V171,"?*")=$T$7,"✅ CUBIERTO",IF(COUNTIF(T171:V171,"?*")&gt;$T$7,"⚠ EXCESO",
IF(COUNTIF(T171:V171,"?*")&gt;0,"⚠ FALTANTE", "❌ SIN COMPLETAR")))</f>
        <v>❌ SIN COMPLETAR</v>
      </c>
    </row>
    <row r="172" spans="1:23" x14ac:dyDescent="0.35">
      <c r="A172" s="27">
        <v>45974</v>
      </c>
      <c r="B172" s="28" t="str">
        <f t="shared" si="39"/>
        <v>jue</v>
      </c>
      <c r="C172" s="29">
        <v>0.625</v>
      </c>
      <c r="D172" s="19" t="s">
        <v>3</v>
      </c>
      <c r="E172" s="19" t="s">
        <v>4</v>
      </c>
      <c r="F172" s="19"/>
      <c r="G172" s="30" t="str">
        <f>IF(COUNTIF(D172:F172,"?*")=$T$5,"✅ CUBIERTO",
IF(COUNTIF(D172:F172,"?*")&gt;$T$5,"⚠ EXCESO",IF(COUNTIF(D172:F172,"?*")&gt;0,"⚠ FALTANTE",
"❌ SIN COMPLETAR")))</f>
        <v>✅ CUBIERTO</v>
      </c>
      <c r="H172" s="7"/>
      <c r="I172" s="27">
        <v>45974</v>
      </c>
      <c r="J172" s="28" t="str">
        <f t="shared" si="40"/>
        <v>jue</v>
      </c>
      <c r="K172" s="29">
        <v>0.625</v>
      </c>
      <c r="L172" s="19" t="s">
        <v>29</v>
      </c>
      <c r="M172" s="19"/>
      <c r="N172" s="19"/>
      <c r="O172" s="31" t="str">
        <f>IF(COUNTIF(L172:N172,"?*")=$T$6,"✅ CUBIERTO",IF(COUNTIF(L172:N172,"?*")&gt;$T$6,"⚠ EXCESO",
IF(COUNTIF(L172:N172,"?*")&gt;0,"⚠ FALTANTE", "❌ SIN COMPLETAR")))</f>
        <v>✅ CUBIERTO</v>
      </c>
      <c r="P172" s="7"/>
      <c r="Q172" s="27">
        <v>45974</v>
      </c>
      <c r="R172" s="28" t="str">
        <f t="shared" si="41"/>
        <v>jue</v>
      </c>
      <c r="S172" s="29">
        <v>0.625</v>
      </c>
      <c r="T172" s="19"/>
      <c r="U172" s="19"/>
      <c r="V172" s="19"/>
      <c r="W172" s="30" t="str">
        <f>IF(COUNTIF(T172:V172,"?*")=$T$7,"✅ CUBIERTO",IF(COUNTIF(T172:V172,"?*")&gt;$T$7,"⚠ EXCESO",
IF(COUNTIF(T172:V172,"?*")&gt;0,"⚠ FALTANTE", "❌ SIN COMPLETAR")))</f>
        <v>❌ SIN COMPLETAR</v>
      </c>
    </row>
    <row r="173" spans="1:23" x14ac:dyDescent="0.35">
      <c r="A173" s="27">
        <v>45974</v>
      </c>
      <c r="B173" s="28" t="str">
        <f t="shared" si="39"/>
        <v>jue</v>
      </c>
      <c r="C173" s="29">
        <v>0.66666666666666696</v>
      </c>
      <c r="D173" s="19" t="s">
        <v>30</v>
      </c>
      <c r="E173" s="19" t="s">
        <v>31</v>
      </c>
      <c r="F173" s="19"/>
      <c r="G173" s="30" t="str">
        <f>IF(COUNTIF(D173:F173,"?*")=$T$5,"✅ CUBIERTO",
IF(COUNTIF(D173:F173,"?*")&gt;$T$5,"⚠ EXCESO",IF(COUNTIF(D173:F173,"?*")&gt;0,"⚠ FALTANTE",
"❌ SIN COMPLETAR")))</f>
        <v>✅ CUBIERTO</v>
      </c>
      <c r="H173" s="7"/>
      <c r="I173" s="27">
        <v>45974</v>
      </c>
      <c r="J173" s="28" t="str">
        <f t="shared" si="40"/>
        <v>jue</v>
      </c>
      <c r="K173" s="29">
        <v>0.66666666666666696</v>
      </c>
      <c r="L173" s="19" t="s">
        <v>29</v>
      </c>
      <c r="M173" s="19"/>
      <c r="N173" s="19"/>
      <c r="O173" s="31" t="str">
        <f>IF(COUNTIF(L173:N173,"?*")=$T$6,"✅ CUBIERTO",IF(COUNTIF(L173:N173,"?*")&gt;$T$6,"⚠ EXCESO",
IF(COUNTIF(L173:N173,"?*")&gt;0,"⚠ FALTANTE", "❌ SIN COMPLETAR")))</f>
        <v>✅ CUBIERTO</v>
      </c>
      <c r="P173" s="7"/>
      <c r="Q173" s="27">
        <v>45974</v>
      </c>
      <c r="R173" s="28" t="str">
        <f t="shared" si="41"/>
        <v>jue</v>
      </c>
      <c r="S173" s="29">
        <v>0.66666666666666696</v>
      </c>
      <c r="T173" s="19"/>
      <c r="U173" s="19"/>
      <c r="V173" s="19"/>
      <c r="W173" s="30" t="str">
        <f>IF(COUNTIF(T173:V173,"?*")=$T$7,"✅ CUBIERTO",IF(COUNTIF(T173:V173,"?*")&gt;$T$7,"⚠ EXCESO",
IF(COUNTIF(T173:V173,"?*")&gt;0,"⚠ FALTANTE", "❌ SIN COMPLETAR")))</f>
        <v>❌ SIN COMPLETAR</v>
      </c>
    </row>
    <row r="174" spans="1:23" x14ac:dyDescent="0.35">
      <c r="A174" s="27">
        <v>45974</v>
      </c>
      <c r="B174" s="28" t="str">
        <f t="shared" si="39"/>
        <v>jue</v>
      </c>
      <c r="C174" s="29">
        <v>0.70833333333333304</v>
      </c>
      <c r="D174" s="19" t="s">
        <v>30</v>
      </c>
      <c r="E174" s="19" t="s">
        <v>31</v>
      </c>
      <c r="F174" s="19"/>
      <c r="G174" s="30" t="str">
        <f>IF(COUNTIF(D174:F174,"?*")=$T$5,"✅ CUBIERTO",
IF(COUNTIF(D174:F174,"?*")&gt;$T$5,"⚠ EXCESO",IF(COUNTIF(D174:F174,"?*")&gt;0,"⚠ FALTANTE",
"❌ SIN COMPLETAR")))</f>
        <v>✅ CUBIERTO</v>
      </c>
      <c r="H174" s="7"/>
      <c r="I174" s="27">
        <v>45974</v>
      </c>
      <c r="J174" s="28" t="str">
        <f t="shared" si="40"/>
        <v>jue</v>
      </c>
      <c r="K174" s="29">
        <v>0.70833333333333304</v>
      </c>
      <c r="L174" s="19" t="s">
        <v>29</v>
      </c>
      <c r="M174" s="19"/>
      <c r="N174" s="19"/>
      <c r="O174" s="31" t="str">
        <f>IF(COUNTIF(L174:N174,"?*")=$T$6,"✅ CUBIERTO",IF(COUNTIF(L174:N174,"?*")&gt;$T$6,"⚠ EXCESO",
IF(COUNTIF(L174:N174,"?*")&gt;0,"⚠ FALTANTE", "❌ SIN COMPLETAR")))</f>
        <v>✅ CUBIERTO</v>
      </c>
      <c r="P174" s="7"/>
      <c r="Q174" s="27">
        <v>45974</v>
      </c>
      <c r="R174" s="28" t="str">
        <f t="shared" si="41"/>
        <v>jue</v>
      </c>
      <c r="S174" s="29">
        <v>0.70833333333333304</v>
      </c>
      <c r="T174" s="19"/>
      <c r="U174" s="19"/>
      <c r="V174" s="19"/>
      <c r="W174" s="30" t="str">
        <f>IF(COUNTIF(T174:V174,"?*")=$T$7,"✅ CUBIERTO",IF(COUNTIF(T174:V174,"?*")&gt;$T$7,"⚠ EXCESO",
IF(COUNTIF(T174:V174,"?*")&gt;0,"⚠ FALTANTE", "❌ SIN COMPLETAR")))</f>
        <v>❌ SIN COMPLETAR</v>
      </c>
    </row>
    <row r="175" spans="1:23" x14ac:dyDescent="0.35">
      <c r="A175" s="27">
        <v>45974</v>
      </c>
      <c r="B175" s="28" t="str">
        <f t="shared" si="39"/>
        <v>jue</v>
      </c>
      <c r="C175" s="29">
        <v>0.75</v>
      </c>
      <c r="D175" s="19" t="s">
        <v>30</v>
      </c>
      <c r="E175" s="19" t="s">
        <v>31</v>
      </c>
      <c r="F175" s="19"/>
      <c r="G175" s="30" t="str">
        <f>IF(COUNTIF(D175:F175,"?*")=$T$5,"✅ CUBIERTO",
IF(COUNTIF(D175:F175,"?*")&gt;$T$5,"⚠ EXCESO",IF(COUNTIF(D175:F175,"?*")&gt;0,"⚠ FALTANTE",
"❌ SIN COMPLETAR")))</f>
        <v>✅ CUBIERTO</v>
      </c>
      <c r="H175" s="7"/>
      <c r="I175" s="27">
        <v>45974</v>
      </c>
      <c r="J175" s="28" t="str">
        <f t="shared" si="40"/>
        <v>jue</v>
      </c>
      <c r="K175" s="29">
        <v>0.75</v>
      </c>
      <c r="L175" s="25"/>
      <c r="M175" s="25"/>
      <c r="N175" s="25"/>
      <c r="O175" s="31" t="s">
        <v>32</v>
      </c>
      <c r="P175" s="7"/>
      <c r="Q175" s="27">
        <v>45974</v>
      </c>
      <c r="R175" s="28" t="str">
        <f t="shared" si="41"/>
        <v>jue</v>
      </c>
      <c r="S175" s="29">
        <v>0.75</v>
      </c>
      <c r="T175" s="19"/>
      <c r="U175" s="19"/>
      <c r="V175" s="19"/>
      <c r="W175" s="30" t="str">
        <f>IF(COUNTIF(T175:V175,"?*")=$T$7,"✅ CUBIERTO",IF(COUNTIF(T175:V175,"?*")&gt;$T$7,"⚠ EXCESO",
IF(COUNTIF(T175:V175,"?*")&gt;0,"⚠ FALTANTE", "❌ SIN COMPLETAR")))</f>
        <v>❌ SIN COMPLETAR</v>
      </c>
    </row>
    <row r="176" spans="1:23" x14ac:dyDescent="0.35">
      <c r="A176" s="27">
        <v>45974</v>
      </c>
      <c r="B176" s="28" t="str">
        <f t="shared" si="39"/>
        <v>jue</v>
      </c>
      <c r="C176" s="29">
        <v>0.79166666666666696</v>
      </c>
      <c r="D176" s="19" t="s">
        <v>30</v>
      </c>
      <c r="E176" s="19" t="s">
        <v>31</v>
      </c>
      <c r="F176" s="19"/>
      <c r="G176" s="30" t="str">
        <f>IF(COUNTIF(D176:F176,"?*")=$T$5,"✅ CUBIERTO",
IF(COUNTIF(D176:F176,"?*")&gt;$T$5,"⚠ EXCESO",IF(COUNTIF(D176:F176,"?*")&gt;0,"⚠ FALTANTE",
"❌ SIN COMPLETAR")))</f>
        <v>✅ CUBIERTO</v>
      </c>
      <c r="H176" s="7"/>
      <c r="I176" s="27">
        <v>45974</v>
      </c>
      <c r="J176" s="28" t="str">
        <f t="shared" si="40"/>
        <v>jue</v>
      </c>
      <c r="K176" s="29">
        <v>0.79166666666666696</v>
      </c>
      <c r="L176" s="25"/>
      <c r="M176" s="25"/>
      <c r="N176" s="25"/>
      <c r="O176" s="31" t="s">
        <v>32</v>
      </c>
      <c r="P176" s="7"/>
      <c r="Q176" s="27">
        <v>45974</v>
      </c>
      <c r="R176" s="28" t="str">
        <f t="shared" si="41"/>
        <v>jue</v>
      </c>
      <c r="S176" s="29">
        <v>0.79166666666666696</v>
      </c>
      <c r="T176" s="19"/>
      <c r="U176" s="19"/>
      <c r="V176" s="19"/>
      <c r="W176" s="30" t="str">
        <f>IF(COUNTIF(T176:V176,"?*")=$T$7,"✅ CUBIERTO",IF(COUNTIF(T176:V176,"?*")&gt;$T$7,"⚠ EXCESO",
IF(COUNTIF(T176:V176,"?*")&gt;0,"⚠ FALTANTE", "❌ SIN COMPLETAR")))</f>
        <v>❌ SIN COMPLETAR</v>
      </c>
    </row>
    <row r="177" spans="1:23" x14ac:dyDescent="0.35">
      <c r="A177" s="27">
        <v>45974</v>
      </c>
      <c r="B177" s="28" t="str">
        <f t="shared" si="39"/>
        <v>jue</v>
      </c>
      <c r="C177" s="29">
        <v>0.83333333333333337</v>
      </c>
      <c r="D177" s="25"/>
      <c r="E177" s="25"/>
      <c r="F177" s="25"/>
      <c r="G177" s="30" t="s">
        <v>32</v>
      </c>
      <c r="H177" s="7"/>
      <c r="I177" s="27">
        <v>45974</v>
      </c>
      <c r="J177" s="28" t="str">
        <f t="shared" si="40"/>
        <v>jue</v>
      </c>
      <c r="K177" s="29">
        <v>0.83333333333333337</v>
      </c>
      <c r="L177" s="25"/>
      <c r="M177" s="25"/>
      <c r="N177" s="25"/>
      <c r="O177" s="31" t="s">
        <v>32</v>
      </c>
      <c r="P177" s="7"/>
      <c r="Q177" s="27">
        <v>45974</v>
      </c>
      <c r="R177" s="28" t="str">
        <f t="shared" si="41"/>
        <v>jue</v>
      </c>
      <c r="S177" s="29">
        <v>0.83333333333333337</v>
      </c>
      <c r="T177" s="19"/>
      <c r="U177" s="19"/>
      <c r="V177" s="19"/>
      <c r="W177" s="30" t="str">
        <f>IF(COUNTIF(T177:V177,"?*")=$T$7,"✅ CUBIERTO",IF(COUNTIF(T177:V177,"?*")&gt;$T$7,"⚠ EXCESO",
IF(COUNTIF(T177:V177,"?*")&gt;0,"⚠ FALTANTE", "❌ SIN COMPLETAR")))</f>
        <v>❌ SIN COMPLETAR</v>
      </c>
    </row>
    <row r="178" spans="1:23" x14ac:dyDescent="0.35">
      <c r="A178" s="27">
        <v>45975</v>
      </c>
      <c r="B178" s="28" t="str">
        <f>TEXT(A178,"ddd")</f>
        <v>vie</v>
      </c>
      <c r="C178" s="29">
        <v>0.375</v>
      </c>
      <c r="D178" s="25"/>
      <c r="E178" s="25"/>
      <c r="F178" s="25"/>
      <c r="G178" s="30" t="s">
        <v>32</v>
      </c>
      <c r="H178" s="7"/>
      <c r="I178" s="27">
        <v>45975</v>
      </c>
      <c r="J178" s="28" t="str">
        <f>TEXT(I178,"ddd")</f>
        <v>vie</v>
      </c>
      <c r="K178" s="29">
        <v>0.375</v>
      </c>
      <c r="L178" s="19" t="s">
        <v>7</v>
      </c>
      <c r="M178" s="19"/>
      <c r="N178" s="19"/>
      <c r="O178" s="31" t="str">
        <f>IF(COUNTIF(L178:N178,"?*")=$T$6,"✅ CUBIERTO",IF(COUNTIF(L178:N178,"?*")&gt;$T$6,"⚠ EXCESO",
IF(COUNTIF(L178:N178,"?*")&gt;0,"⚠ FALTANTE", "❌ SIN COMPLETAR")))</f>
        <v>✅ CUBIERTO</v>
      </c>
      <c r="P178" s="7"/>
      <c r="Q178" s="27">
        <v>45975</v>
      </c>
      <c r="R178" s="28" t="str">
        <f>TEXT(Q178,"ddd")</f>
        <v>vie</v>
      </c>
      <c r="S178" s="29">
        <v>0.375</v>
      </c>
      <c r="T178" s="25"/>
      <c r="U178" s="25"/>
      <c r="V178" s="25"/>
      <c r="W178" s="30" t="s">
        <v>32</v>
      </c>
    </row>
    <row r="179" spans="1:23" x14ac:dyDescent="0.35">
      <c r="A179" s="27">
        <v>45975</v>
      </c>
      <c r="B179" s="28" t="str">
        <f>TEXT(A179,"ddd")</f>
        <v>vie</v>
      </c>
      <c r="C179" s="29">
        <v>0.41666666666666669</v>
      </c>
      <c r="D179" s="25"/>
      <c r="E179" s="25"/>
      <c r="F179" s="25"/>
      <c r="G179" s="30" t="s">
        <v>32</v>
      </c>
      <c r="H179" s="7"/>
      <c r="I179" s="27">
        <v>45975</v>
      </c>
      <c r="J179" s="28" t="str">
        <f>TEXT(I179,"ddd")</f>
        <v>vie</v>
      </c>
      <c r="K179" s="29">
        <v>0.41666666666666669</v>
      </c>
      <c r="L179" s="19" t="s">
        <v>7</v>
      </c>
      <c r="M179" s="19"/>
      <c r="N179" s="19"/>
      <c r="O179" s="31" t="str">
        <f>IF(COUNTIF(L179:N179,"?*")=$T$6,"✅ CUBIERTO",IF(COUNTIF(L179:N179,"?*")&gt;$T$6,"⚠ EXCESO",
IF(COUNTIF(L179:N179,"?*")&gt;0,"⚠ FALTANTE", "❌ SIN COMPLETAR")))</f>
        <v>✅ CUBIERTO</v>
      </c>
      <c r="P179" s="7"/>
      <c r="Q179" s="27">
        <v>45975</v>
      </c>
      <c r="R179" s="28" t="str">
        <f>TEXT(Q179,"ddd")</f>
        <v>vie</v>
      </c>
      <c r="S179" s="29">
        <v>0.41666666666666669</v>
      </c>
      <c r="T179" s="19"/>
      <c r="U179" s="19"/>
      <c r="V179" s="19"/>
      <c r="W179" s="30" t="str">
        <f>IF(COUNTIF(T179:V179,"?*")=$T$7,"✅ CUBIERTO",IF(COUNTIF(T179:V179,"?*")&gt;$T$7,"⚠ EXCESO",
IF(COUNTIF(T179:V179,"?*")&gt;0,"⚠ FALTANTE", "❌ SIN COMPLETAR")))</f>
        <v>❌ SIN COMPLETAR</v>
      </c>
    </row>
    <row r="180" spans="1:23" x14ac:dyDescent="0.35">
      <c r="A180" s="27">
        <v>45975</v>
      </c>
      <c r="B180" s="28" t="str">
        <f>TEXT(A180,"ddd")</f>
        <v>vie</v>
      </c>
      <c r="C180" s="29">
        <v>0.45833333333333331</v>
      </c>
      <c r="D180" s="19" t="s">
        <v>31</v>
      </c>
      <c r="E180" s="19"/>
      <c r="F180" s="19"/>
      <c r="G180" s="30" t="str">
        <f>IF(COUNTIF(D180:F180,"?*")=$T$5,"✅ CUBIERTO",
IF(COUNTIF(D180:F180,"?*")&gt;$T$5,"⚠ EXCESO",IF(COUNTIF(D180:F180,"?*")&gt;0,"⚠ FALTANTE",
"❌ SIN COMPLETAR")))</f>
        <v>⚠ FALTANTE</v>
      </c>
      <c r="H180" s="7"/>
      <c r="I180" s="27">
        <v>45975</v>
      </c>
      <c r="J180" s="28" t="str">
        <f>TEXT(I180,"ddd")</f>
        <v>vie</v>
      </c>
      <c r="K180" s="29">
        <v>0.45833333333333331</v>
      </c>
      <c r="L180" s="19" t="s">
        <v>7</v>
      </c>
      <c r="M180" s="19"/>
      <c r="N180" s="19"/>
      <c r="O180" s="31" t="str">
        <f>IF(COUNTIF(L180:N180,"?*")=$T$6,"✅ CUBIERTO",IF(COUNTIF(L180:N180,"?*")&gt;$T$6,"⚠ EXCESO",
IF(COUNTIF(L180:N180,"?*")&gt;0,"⚠ FALTANTE", "❌ SIN COMPLETAR")))</f>
        <v>✅ CUBIERTO</v>
      </c>
      <c r="P180" s="7"/>
      <c r="Q180" s="27">
        <v>45975</v>
      </c>
      <c r="R180" s="28" t="str">
        <f>TEXT(Q180,"ddd")</f>
        <v>vie</v>
      </c>
      <c r="S180" s="29">
        <v>0.45833333333333331</v>
      </c>
      <c r="T180" s="19"/>
      <c r="U180" s="19"/>
      <c r="V180" s="19"/>
      <c r="W180" s="30" t="str">
        <f>IF(COUNTIF(T180:V180,"?*")=$T$7,"✅ CUBIERTO",IF(COUNTIF(T180:V180,"?*")&gt;$T$7,"⚠ EXCESO",
IF(COUNTIF(T180:V180,"?*")&gt;0,"⚠ FALTANTE", "❌ SIN COMPLETAR")))</f>
        <v>❌ SIN COMPLETAR</v>
      </c>
    </row>
    <row r="181" spans="1:23" x14ac:dyDescent="0.35">
      <c r="A181" s="27">
        <v>45975</v>
      </c>
      <c r="B181" s="28" t="str">
        <f t="shared" ref="B181:B191" si="42">TEXT(A181,"ddd")</f>
        <v>vie</v>
      </c>
      <c r="C181" s="29">
        <v>0.5</v>
      </c>
      <c r="D181" s="19" t="s">
        <v>31</v>
      </c>
      <c r="E181" s="19"/>
      <c r="F181" s="19"/>
      <c r="G181" s="30" t="str">
        <f>IF(COUNTIF(D181:F181,"?*")=$T$5,"✅ CUBIERTO",
IF(COUNTIF(D181:F181,"?*")&gt;$T$5,"⚠ EXCESO",IF(COUNTIF(D181:F181,"?*")&gt;0,"⚠ FALTANTE",
"❌ SIN COMPLETAR")))</f>
        <v>⚠ FALTANTE</v>
      </c>
      <c r="H181" s="7"/>
      <c r="I181" s="27">
        <v>45975</v>
      </c>
      <c r="J181" s="28" t="str">
        <f t="shared" ref="J181:J191" si="43">TEXT(I181,"ddd")</f>
        <v>vie</v>
      </c>
      <c r="K181" s="29">
        <v>0.5</v>
      </c>
      <c r="L181" s="19" t="s">
        <v>7</v>
      </c>
      <c r="M181" s="19"/>
      <c r="N181" s="19"/>
      <c r="O181" s="31" t="str">
        <f>IF(COUNTIF(L181:N181,"?*")=$T$6,"✅ CUBIERTO",IF(COUNTIF(L181:N181,"?*")&gt;$T$6,"⚠ EXCESO",
IF(COUNTIF(L181:N181,"?*")&gt;0,"⚠ FALTANTE", "❌ SIN COMPLETAR")))</f>
        <v>✅ CUBIERTO</v>
      </c>
      <c r="P181" s="7"/>
      <c r="Q181" s="27">
        <v>45975</v>
      </c>
      <c r="R181" s="28" t="str">
        <f t="shared" ref="R181:R191" si="44">TEXT(Q181,"ddd")</f>
        <v>vie</v>
      </c>
      <c r="S181" s="29">
        <v>0.5</v>
      </c>
      <c r="T181" s="19"/>
      <c r="U181" s="19"/>
      <c r="V181" s="19"/>
      <c r="W181" s="30" t="str">
        <f>IF(COUNTIF(T181:V181,"?*")=$T$7,"✅ CUBIERTO",IF(COUNTIF(T181:V181,"?*")&gt;$T$7,"⚠ EXCESO",
IF(COUNTIF(T181:V181,"?*")&gt;0,"⚠ FALTANTE", "❌ SIN COMPLETAR")))</f>
        <v>❌ SIN COMPLETAR</v>
      </c>
    </row>
    <row r="182" spans="1:23" x14ac:dyDescent="0.35">
      <c r="A182" s="27">
        <v>45975</v>
      </c>
      <c r="B182" s="28" t="str">
        <f t="shared" si="42"/>
        <v>vie</v>
      </c>
      <c r="C182" s="29">
        <v>0.54166666666666696</v>
      </c>
      <c r="D182" s="19" t="s">
        <v>31</v>
      </c>
      <c r="E182" s="19"/>
      <c r="F182" s="19"/>
      <c r="G182" s="30" t="str">
        <f>IF(COUNTIF(D182:F182,"?*")=$T$5,"✅ CUBIERTO",
IF(COUNTIF(D182:F182,"?*")&gt;$T$5,"⚠ EXCESO",IF(COUNTIF(D182:F182,"?*")&gt;0,"⚠ FALTANTE",
"❌ SIN COMPLETAR")))</f>
        <v>⚠ FALTANTE</v>
      </c>
      <c r="H182" s="7"/>
      <c r="I182" s="27">
        <v>45975</v>
      </c>
      <c r="J182" s="28" t="str">
        <f t="shared" si="43"/>
        <v>vie</v>
      </c>
      <c r="K182" s="29">
        <v>0.54166666666666696</v>
      </c>
      <c r="L182" s="19" t="s">
        <v>7</v>
      </c>
      <c r="M182" s="19"/>
      <c r="N182" s="19"/>
      <c r="O182" s="31" t="str">
        <f>IF(COUNTIF(L182:N182,"?*")=$T$6,"✅ CUBIERTO",IF(COUNTIF(L182:N182,"?*")&gt;$T$6,"⚠ EXCESO",
IF(COUNTIF(L182:N182,"?*")&gt;0,"⚠ FALTANTE", "❌ SIN COMPLETAR")))</f>
        <v>✅ CUBIERTO</v>
      </c>
      <c r="P182" s="7"/>
      <c r="Q182" s="27">
        <v>45975</v>
      </c>
      <c r="R182" s="28" t="str">
        <f t="shared" si="44"/>
        <v>vie</v>
      </c>
      <c r="S182" s="29">
        <v>0.54166666666666696</v>
      </c>
      <c r="T182" s="19"/>
      <c r="U182" s="19"/>
      <c r="V182" s="19"/>
      <c r="W182" s="30" t="str">
        <f>IF(COUNTIF(T182:V182,"?*")=$T$7,"✅ CUBIERTO",IF(COUNTIF(T182:V182,"?*")&gt;$T$7,"⚠ EXCESO",
IF(COUNTIF(T182:V182,"?*")&gt;0,"⚠ FALTANTE", "❌ SIN COMPLETAR")))</f>
        <v>❌ SIN COMPLETAR</v>
      </c>
    </row>
    <row r="183" spans="1:23" x14ac:dyDescent="0.35">
      <c r="A183" s="27">
        <v>45975</v>
      </c>
      <c r="B183" s="28" t="str">
        <f t="shared" si="42"/>
        <v>vie</v>
      </c>
      <c r="C183" s="29">
        <v>0.58333333333333304</v>
      </c>
      <c r="D183" s="19" t="s">
        <v>31</v>
      </c>
      <c r="E183" s="19"/>
      <c r="F183" s="19"/>
      <c r="G183" s="30" t="str">
        <f>IF(COUNTIF(D183:F183,"?*")=$T$5,"✅ CUBIERTO",
IF(COUNTIF(D183:F183,"?*")&gt;$T$5,"⚠ EXCESO",IF(COUNTIF(D183:F183,"?*")&gt;0,"⚠ FALTANTE",
"❌ SIN COMPLETAR")))</f>
        <v>⚠ FALTANTE</v>
      </c>
      <c r="H183" s="7"/>
      <c r="I183" s="27">
        <v>45975</v>
      </c>
      <c r="J183" s="28" t="str">
        <f t="shared" si="43"/>
        <v>vie</v>
      </c>
      <c r="K183" s="29">
        <v>0.58333333333333304</v>
      </c>
      <c r="L183" s="19" t="s">
        <v>29</v>
      </c>
      <c r="M183" s="19"/>
      <c r="N183" s="19"/>
      <c r="O183" s="31" t="str">
        <f>IF(COUNTIF(L183:N183,"?*")=$T$6,"✅ CUBIERTO",IF(COUNTIF(L183:N183,"?*")&gt;$T$6,"⚠ EXCESO",
IF(COUNTIF(L183:N183,"?*")&gt;0,"⚠ FALTANTE", "❌ SIN COMPLETAR")))</f>
        <v>✅ CUBIERTO</v>
      </c>
      <c r="P183" s="7"/>
      <c r="Q183" s="27">
        <v>45975</v>
      </c>
      <c r="R183" s="28" t="str">
        <f t="shared" si="44"/>
        <v>vie</v>
      </c>
      <c r="S183" s="29">
        <v>0.58333333333333304</v>
      </c>
      <c r="T183" s="19"/>
      <c r="U183" s="19"/>
      <c r="V183" s="19"/>
      <c r="W183" s="30" t="str">
        <f>IF(COUNTIF(T183:V183,"?*")=$T$7,"✅ CUBIERTO",IF(COUNTIF(T183:V183,"?*")&gt;$T$7,"⚠ EXCESO",
IF(COUNTIF(T183:V183,"?*")&gt;0,"⚠ FALTANTE", "❌ SIN COMPLETAR")))</f>
        <v>❌ SIN COMPLETAR</v>
      </c>
    </row>
    <row r="184" spans="1:23" x14ac:dyDescent="0.35">
      <c r="A184" s="27">
        <v>45975</v>
      </c>
      <c r="B184" s="28" t="str">
        <f t="shared" si="42"/>
        <v>vie</v>
      </c>
      <c r="C184" s="29">
        <v>0.625</v>
      </c>
      <c r="D184" s="19" t="s">
        <v>31</v>
      </c>
      <c r="E184" s="19"/>
      <c r="F184" s="19"/>
      <c r="G184" s="30" t="str">
        <f>IF(COUNTIF(D184:F184,"?*")=$T$5,"✅ CUBIERTO",
IF(COUNTIF(D184:F184,"?*")&gt;$T$5,"⚠ EXCESO",IF(COUNTIF(D184:F184,"?*")&gt;0,"⚠ FALTANTE",
"❌ SIN COMPLETAR")))</f>
        <v>⚠ FALTANTE</v>
      </c>
      <c r="H184" s="7"/>
      <c r="I184" s="27">
        <v>45975</v>
      </c>
      <c r="J184" s="28" t="str">
        <f t="shared" si="43"/>
        <v>vie</v>
      </c>
      <c r="K184" s="29">
        <v>0.625</v>
      </c>
      <c r="L184" s="19" t="s">
        <v>29</v>
      </c>
      <c r="M184" s="19"/>
      <c r="N184" s="19"/>
      <c r="O184" s="31" t="str">
        <f>IF(COUNTIF(L184:N184,"?*")=$T$6,"✅ CUBIERTO",IF(COUNTIF(L184:N184,"?*")&gt;$T$6,"⚠ EXCESO",
IF(COUNTIF(L184:N184,"?*")&gt;0,"⚠ FALTANTE", "❌ SIN COMPLETAR")))</f>
        <v>✅ CUBIERTO</v>
      </c>
      <c r="P184" s="7"/>
      <c r="Q184" s="27">
        <v>45975</v>
      </c>
      <c r="R184" s="28" t="str">
        <f t="shared" si="44"/>
        <v>vie</v>
      </c>
      <c r="S184" s="29">
        <v>0.625</v>
      </c>
      <c r="T184" s="19"/>
      <c r="U184" s="19"/>
      <c r="V184" s="19"/>
      <c r="W184" s="30" t="str">
        <f>IF(COUNTIF(T184:V184,"?*")=$T$7,"✅ CUBIERTO",IF(COUNTIF(T184:V184,"?*")&gt;$T$7,"⚠ EXCESO",
IF(COUNTIF(T184:V184,"?*")&gt;0,"⚠ FALTANTE", "❌ SIN COMPLETAR")))</f>
        <v>❌ SIN COMPLETAR</v>
      </c>
    </row>
    <row r="185" spans="1:23" x14ac:dyDescent="0.35">
      <c r="A185" s="27">
        <v>45975</v>
      </c>
      <c r="B185" s="28" t="str">
        <f t="shared" si="42"/>
        <v>vie</v>
      </c>
      <c r="C185" s="29">
        <v>0.66666666666666696</v>
      </c>
      <c r="D185" s="19" t="s">
        <v>3</v>
      </c>
      <c r="E185" s="19"/>
      <c r="F185" s="19"/>
      <c r="G185" s="30" t="str">
        <f>IF(COUNTIF(D185:F185,"?*")=$T$5,"✅ CUBIERTO",
IF(COUNTIF(D185:F185,"?*")&gt;$T$5,"⚠ EXCESO",IF(COUNTIF(D185:F185,"?*")&gt;0,"⚠ FALTANTE",
"❌ SIN COMPLETAR")))</f>
        <v>⚠ FALTANTE</v>
      </c>
      <c r="H185" s="7"/>
      <c r="I185" s="27">
        <v>45975</v>
      </c>
      <c r="J185" s="28" t="str">
        <f t="shared" si="43"/>
        <v>vie</v>
      </c>
      <c r="K185" s="29">
        <v>0.66666666666666696</v>
      </c>
      <c r="L185" s="19" t="s">
        <v>29</v>
      </c>
      <c r="M185" s="19"/>
      <c r="N185" s="19"/>
      <c r="O185" s="31" t="str">
        <f>IF(COUNTIF(L185:N185,"?*")=$T$6,"✅ CUBIERTO",IF(COUNTIF(L185:N185,"?*")&gt;$T$6,"⚠ EXCESO",
IF(COUNTIF(L185:N185,"?*")&gt;0,"⚠ FALTANTE", "❌ SIN COMPLETAR")))</f>
        <v>✅ CUBIERTO</v>
      </c>
      <c r="P185" s="7"/>
      <c r="Q185" s="27">
        <v>45975</v>
      </c>
      <c r="R185" s="28" t="str">
        <f t="shared" si="44"/>
        <v>vie</v>
      </c>
      <c r="S185" s="29">
        <v>0.66666666666666696</v>
      </c>
      <c r="T185" s="19"/>
      <c r="U185" s="19"/>
      <c r="V185" s="19"/>
      <c r="W185" s="30" t="str">
        <f>IF(COUNTIF(T185:V185,"?*")=$T$7,"✅ CUBIERTO",IF(COUNTIF(T185:V185,"?*")&gt;$T$7,"⚠ EXCESO",
IF(COUNTIF(T185:V185,"?*")&gt;0,"⚠ FALTANTE", "❌ SIN COMPLETAR")))</f>
        <v>❌ SIN COMPLETAR</v>
      </c>
    </row>
    <row r="186" spans="1:23" x14ac:dyDescent="0.35">
      <c r="A186" s="27">
        <v>45975</v>
      </c>
      <c r="B186" s="28" t="str">
        <f t="shared" si="42"/>
        <v>vie</v>
      </c>
      <c r="C186" s="29">
        <v>0.70833333333333304</v>
      </c>
      <c r="D186" s="19" t="s">
        <v>3</v>
      </c>
      <c r="E186" s="19"/>
      <c r="F186" s="19"/>
      <c r="G186" s="30" t="str">
        <f>IF(COUNTIF(D186:F186,"?*")=$T$5,"✅ CUBIERTO",
IF(COUNTIF(D186:F186,"?*")&gt;$T$5,"⚠ EXCESO",IF(COUNTIF(D186:F186,"?*")&gt;0,"⚠ FALTANTE",
"❌ SIN COMPLETAR")))</f>
        <v>⚠ FALTANTE</v>
      </c>
      <c r="H186" s="7"/>
      <c r="I186" s="27">
        <v>45975</v>
      </c>
      <c r="J186" s="28" t="str">
        <f t="shared" si="43"/>
        <v>vie</v>
      </c>
      <c r="K186" s="29">
        <v>0.70833333333333304</v>
      </c>
      <c r="L186" s="19" t="s">
        <v>29</v>
      </c>
      <c r="M186" s="19"/>
      <c r="N186" s="19"/>
      <c r="O186" s="31" t="str">
        <f>IF(COUNTIF(L186:N186,"?*")=$T$6,"✅ CUBIERTO",IF(COUNTIF(L186:N186,"?*")&gt;$T$6,"⚠ EXCESO",
IF(COUNTIF(L186:N186,"?*")&gt;0,"⚠ FALTANTE", "❌ SIN COMPLETAR")))</f>
        <v>✅ CUBIERTO</v>
      </c>
      <c r="P186" s="7"/>
      <c r="Q186" s="27">
        <v>45975</v>
      </c>
      <c r="R186" s="28" t="str">
        <f t="shared" si="44"/>
        <v>vie</v>
      </c>
      <c r="S186" s="29">
        <v>0.70833333333333304</v>
      </c>
      <c r="T186" s="19"/>
      <c r="U186" s="19"/>
      <c r="V186" s="19"/>
      <c r="W186" s="30" t="str">
        <f>IF(COUNTIF(T186:V186,"?*")=$T$7,"✅ CUBIERTO",IF(COUNTIF(T186:V186,"?*")&gt;$T$7,"⚠ EXCESO",
IF(COUNTIF(T186:V186,"?*")&gt;0,"⚠ FALTANTE", "❌ SIN COMPLETAR")))</f>
        <v>❌ SIN COMPLETAR</v>
      </c>
    </row>
    <row r="187" spans="1:23" x14ac:dyDescent="0.35">
      <c r="A187" s="27">
        <v>45975</v>
      </c>
      <c r="B187" s="28" t="str">
        <f t="shared" si="42"/>
        <v>vie</v>
      </c>
      <c r="C187" s="29">
        <v>0.75</v>
      </c>
      <c r="D187" s="19" t="s">
        <v>3</v>
      </c>
      <c r="E187" s="19"/>
      <c r="F187" s="19"/>
      <c r="G187" s="30" t="str">
        <f>IF(COUNTIF(D187:F187,"?*")=$T$5,"✅ CUBIERTO",
IF(COUNTIF(D187:F187,"?*")&gt;$T$5,"⚠ EXCESO",IF(COUNTIF(D187:F187,"?*")&gt;0,"⚠ FALTANTE",
"❌ SIN COMPLETAR")))</f>
        <v>⚠ FALTANTE</v>
      </c>
      <c r="H187" s="7"/>
      <c r="I187" s="27">
        <v>45975</v>
      </c>
      <c r="J187" s="28" t="str">
        <f t="shared" si="43"/>
        <v>vie</v>
      </c>
      <c r="K187" s="29">
        <v>0.75</v>
      </c>
      <c r="L187" s="25"/>
      <c r="M187" s="25"/>
      <c r="N187" s="25"/>
      <c r="O187" s="31" t="s">
        <v>32</v>
      </c>
      <c r="P187" s="7"/>
      <c r="Q187" s="27">
        <v>45975</v>
      </c>
      <c r="R187" s="28" t="str">
        <f t="shared" si="44"/>
        <v>vie</v>
      </c>
      <c r="S187" s="29">
        <v>0.75</v>
      </c>
      <c r="T187" s="19"/>
      <c r="U187" s="19"/>
      <c r="V187" s="19"/>
      <c r="W187" s="30" t="str">
        <f>IF(COUNTIF(T187:V187,"?*")=$T$7,"✅ CUBIERTO",IF(COUNTIF(T187:V187,"?*")&gt;$T$7,"⚠ EXCESO",
IF(COUNTIF(T187:V187,"?*")&gt;0,"⚠ FALTANTE", "❌ SIN COMPLETAR")))</f>
        <v>❌ SIN COMPLETAR</v>
      </c>
    </row>
    <row r="188" spans="1:23" x14ac:dyDescent="0.35">
      <c r="A188" s="27">
        <v>45975</v>
      </c>
      <c r="B188" s="28" t="str">
        <f t="shared" si="42"/>
        <v>vie</v>
      </c>
      <c r="C188" s="29">
        <v>0.79166666666666696</v>
      </c>
      <c r="D188" s="19" t="s">
        <v>3</v>
      </c>
      <c r="E188" s="19"/>
      <c r="F188" s="19"/>
      <c r="G188" s="30" t="str">
        <f>IF(COUNTIF(D188:F188,"?*")=$T$5,"✅ CUBIERTO",
IF(COUNTIF(D188:F188,"?*")&gt;$T$5,"⚠ EXCESO",IF(COUNTIF(D188:F188,"?*")&gt;0,"⚠ FALTANTE",
"❌ SIN COMPLETAR")))</f>
        <v>⚠ FALTANTE</v>
      </c>
      <c r="H188" s="7"/>
      <c r="I188" s="27">
        <v>45975</v>
      </c>
      <c r="J188" s="28" t="str">
        <f t="shared" si="43"/>
        <v>vie</v>
      </c>
      <c r="K188" s="29">
        <v>0.79166666666666696</v>
      </c>
      <c r="L188" s="25"/>
      <c r="M188" s="25"/>
      <c r="N188" s="25"/>
      <c r="O188" s="31" t="s">
        <v>32</v>
      </c>
      <c r="P188" s="7"/>
      <c r="Q188" s="27">
        <v>45975</v>
      </c>
      <c r="R188" s="28" t="str">
        <f t="shared" si="44"/>
        <v>vie</v>
      </c>
      <c r="S188" s="29">
        <v>0.79166666666666696</v>
      </c>
      <c r="T188" s="19"/>
      <c r="U188" s="19"/>
      <c r="V188" s="19"/>
      <c r="W188" s="30" t="str">
        <f>IF(COUNTIF(T188:V188,"?*")=$T$7,"✅ CUBIERTO",IF(COUNTIF(T188:V188,"?*")&gt;$T$7,"⚠ EXCESO",
IF(COUNTIF(T188:V188,"?*")&gt;0,"⚠ FALTANTE", "❌ SIN COMPLETAR")))</f>
        <v>❌ SIN COMPLETAR</v>
      </c>
    </row>
    <row r="189" spans="1:23" x14ac:dyDescent="0.35">
      <c r="A189" s="27">
        <v>45975</v>
      </c>
      <c r="B189" s="28" t="str">
        <f t="shared" si="42"/>
        <v>vie</v>
      </c>
      <c r="C189" s="29">
        <v>0.83333333333333337</v>
      </c>
      <c r="D189" s="25"/>
      <c r="E189" s="25"/>
      <c r="F189" s="25"/>
      <c r="G189" s="30" t="s">
        <v>32</v>
      </c>
      <c r="H189" s="7"/>
      <c r="I189" s="27">
        <v>45975</v>
      </c>
      <c r="J189" s="28" t="str">
        <f t="shared" si="43"/>
        <v>vie</v>
      </c>
      <c r="K189" s="29">
        <v>0.83333333333333337</v>
      </c>
      <c r="L189" s="25"/>
      <c r="M189" s="25"/>
      <c r="N189" s="25"/>
      <c r="O189" s="31" t="s">
        <v>32</v>
      </c>
      <c r="P189" s="7"/>
      <c r="Q189" s="27">
        <v>45975</v>
      </c>
      <c r="R189" s="28" t="str">
        <f t="shared" si="44"/>
        <v>vie</v>
      </c>
      <c r="S189" s="29">
        <v>0.83333333333333337</v>
      </c>
      <c r="T189" s="19"/>
      <c r="U189" s="19"/>
      <c r="V189" s="19"/>
      <c r="W189" s="30" t="str">
        <f>IF(COUNTIF(T189:V189,"?*")=$T$7,"✅ CUBIERTO",IF(COUNTIF(T189:V189,"?*")&gt;$T$7,"⚠ EXCESO",
IF(COUNTIF(T189:V189,"?*")&gt;0,"⚠ FALTANTE", "❌ SIN COMPLETAR")))</f>
        <v>❌ SIN COMPLETAR</v>
      </c>
    </row>
    <row r="190" spans="1:23" x14ac:dyDescent="0.35">
      <c r="A190" s="27">
        <v>45976</v>
      </c>
      <c r="B190" s="28" t="str">
        <f t="shared" ref="B190" si="45">TEXT(A190,"ddd")</f>
        <v>sáb</v>
      </c>
      <c r="C190" s="29">
        <v>0.375</v>
      </c>
      <c r="D190" s="25"/>
      <c r="E190" s="25"/>
      <c r="F190" s="25"/>
      <c r="G190" s="30" t="s">
        <v>32</v>
      </c>
      <c r="H190" s="7"/>
      <c r="I190" s="27">
        <v>45976</v>
      </c>
      <c r="J190" s="28" t="str">
        <f t="shared" si="43"/>
        <v>sáb</v>
      </c>
      <c r="K190" s="29">
        <v>0.375</v>
      </c>
      <c r="L190" s="25"/>
      <c r="M190" s="25"/>
      <c r="N190" s="25"/>
      <c r="O190" s="30" t="s">
        <v>32</v>
      </c>
      <c r="P190" s="7"/>
      <c r="Q190" s="27">
        <v>45976</v>
      </c>
      <c r="R190" s="28" t="str">
        <f t="shared" si="44"/>
        <v>sáb</v>
      </c>
      <c r="S190" s="29">
        <v>0.375</v>
      </c>
      <c r="T190" s="25"/>
      <c r="U190" s="25"/>
      <c r="V190" s="25"/>
      <c r="W190" s="30" t="s">
        <v>32</v>
      </c>
    </row>
    <row r="191" spans="1:23" x14ac:dyDescent="0.35">
      <c r="A191" s="27">
        <v>45976</v>
      </c>
      <c r="B191" s="28" t="str">
        <f t="shared" si="42"/>
        <v>sáb</v>
      </c>
      <c r="C191" s="29">
        <v>0.41666666666666669</v>
      </c>
      <c r="D191" s="25"/>
      <c r="E191" s="25"/>
      <c r="F191" s="25"/>
      <c r="G191" s="30" t="s">
        <v>32</v>
      </c>
      <c r="H191" s="7"/>
      <c r="I191" s="27">
        <v>45976</v>
      </c>
      <c r="J191" s="28" t="str">
        <f t="shared" si="43"/>
        <v>sáb</v>
      </c>
      <c r="K191" s="29">
        <v>0.41666666666666669</v>
      </c>
      <c r="L191" s="25"/>
      <c r="M191" s="25"/>
      <c r="N191" s="25"/>
      <c r="O191" s="30" t="s">
        <v>32</v>
      </c>
      <c r="P191" s="7"/>
      <c r="Q191" s="27">
        <v>45976</v>
      </c>
      <c r="R191" s="28" t="str">
        <f t="shared" si="44"/>
        <v>sáb</v>
      </c>
      <c r="S191" s="29">
        <v>0.41666666666666669</v>
      </c>
      <c r="T191" s="19"/>
      <c r="U191" s="19"/>
      <c r="V191" s="19"/>
      <c r="W191" s="30" t="str">
        <f>IF(COUNTIF(T191:V191,"?*")=$T$7,"✅ CUBIERTO",IF(COUNTIF(T191:V191,"?*")&gt;$T$7,"⚠ EXCESO",
IF(COUNTIF(T191:V191,"?*")&gt;0,"⚠ FALTANTE", "❌ SIN COMPLETAR")))</f>
        <v>❌ SIN COMPLETAR</v>
      </c>
    </row>
    <row r="192" spans="1:23" x14ac:dyDescent="0.35">
      <c r="A192" s="27">
        <v>45976</v>
      </c>
      <c r="B192" s="28" t="str">
        <f>TEXT(A192,"ddd")</f>
        <v>sáb</v>
      </c>
      <c r="C192" s="29">
        <v>0.45833333333333331</v>
      </c>
      <c r="D192" s="19" t="s">
        <v>3</v>
      </c>
      <c r="E192" s="19" t="s">
        <v>4</v>
      </c>
      <c r="F192" s="19"/>
      <c r="G192" s="30" t="str">
        <f>IF(COUNTIF(D192:F192,"?*")=$T$5,"✅ CUBIERTO",
IF(COUNTIF(D192:F192,"?*")&gt;$T$5,"⚠ EXCESO",IF(COUNTIF(D192:F192,"?*")&gt;0,"⚠ FALTANTE",
"❌ SIN COMPLETAR")))</f>
        <v>✅ CUBIERTO</v>
      </c>
      <c r="H192" s="7"/>
      <c r="I192" s="27">
        <v>45976</v>
      </c>
      <c r="J192" s="28" t="str">
        <f>TEXT(I192,"ddd")</f>
        <v>sáb</v>
      </c>
      <c r="K192" s="29">
        <v>0.45833333333333331</v>
      </c>
      <c r="L192" s="25"/>
      <c r="M192" s="25"/>
      <c r="N192" s="25"/>
      <c r="O192" s="30" t="s">
        <v>32</v>
      </c>
      <c r="P192" s="7"/>
      <c r="Q192" s="27">
        <v>45976</v>
      </c>
      <c r="R192" s="28" t="str">
        <f>TEXT(Q192,"ddd")</f>
        <v>sáb</v>
      </c>
      <c r="S192" s="29">
        <v>0.45833333333333331</v>
      </c>
      <c r="T192" s="19"/>
      <c r="U192" s="19"/>
      <c r="V192" s="19"/>
      <c r="W192" s="30" t="str">
        <f>IF(COUNTIF(T192:V192,"?*")=$T$7,"✅ CUBIERTO",IF(COUNTIF(T192:V192,"?*")&gt;$T$7,"⚠ EXCESO",
IF(COUNTIF(T192:V192,"?*")&gt;0,"⚠ FALTANTE", "❌ SIN COMPLETAR")))</f>
        <v>❌ SIN COMPLETAR</v>
      </c>
    </row>
    <row r="193" spans="1:23" x14ac:dyDescent="0.35">
      <c r="A193" s="27">
        <v>45976</v>
      </c>
      <c r="B193" s="28" t="str">
        <f t="shared" ref="B193:B201" si="46">TEXT(A193,"ddd")</f>
        <v>sáb</v>
      </c>
      <c r="C193" s="29">
        <v>0.5</v>
      </c>
      <c r="D193" s="19" t="s">
        <v>3</v>
      </c>
      <c r="E193" s="19" t="s">
        <v>4</v>
      </c>
      <c r="F193" s="19"/>
      <c r="G193" s="30" t="str">
        <f>IF(COUNTIF(D193:F193,"?*")=$T$5,"✅ CUBIERTO",
IF(COUNTIF(D193:F193,"?*")&gt;$T$5,"⚠ EXCESO",IF(COUNTIF(D193:F193,"?*")&gt;0,"⚠ FALTANTE",
"❌ SIN COMPLETAR")))</f>
        <v>✅ CUBIERTO</v>
      </c>
      <c r="H193" s="7"/>
      <c r="I193" s="27">
        <v>45976</v>
      </c>
      <c r="J193" s="28" t="str">
        <f t="shared" ref="J193:J201" si="47">TEXT(I193,"ddd")</f>
        <v>sáb</v>
      </c>
      <c r="K193" s="29">
        <v>0.5</v>
      </c>
      <c r="L193" s="25"/>
      <c r="M193" s="25"/>
      <c r="N193" s="25"/>
      <c r="O193" s="30" t="s">
        <v>32</v>
      </c>
      <c r="P193" s="7"/>
      <c r="Q193" s="27">
        <v>45976</v>
      </c>
      <c r="R193" s="28" t="str">
        <f t="shared" ref="R193:R201" si="48">TEXT(Q193,"ddd")</f>
        <v>sáb</v>
      </c>
      <c r="S193" s="29">
        <v>0.5</v>
      </c>
      <c r="T193" s="19"/>
      <c r="U193" s="19"/>
      <c r="V193" s="19"/>
      <c r="W193" s="30" t="str">
        <f>IF(COUNTIF(T193:V193,"?*")=$T$7,"✅ CUBIERTO",IF(COUNTIF(T193:V193,"?*")&gt;$T$7,"⚠ EXCESO",
IF(COUNTIF(T193:V193,"?*")&gt;0,"⚠ FALTANTE", "❌ SIN COMPLETAR")))</f>
        <v>❌ SIN COMPLETAR</v>
      </c>
    </row>
    <row r="194" spans="1:23" x14ac:dyDescent="0.35">
      <c r="A194" s="27">
        <v>45976</v>
      </c>
      <c r="B194" s="28" t="str">
        <f t="shared" si="46"/>
        <v>sáb</v>
      </c>
      <c r="C194" s="29">
        <v>0.54166666666666696</v>
      </c>
      <c r="D194" s="19" t="s">
        <v>3</v>
      </c>
      <c r="E194" s="19" t="s">
        <v>4</v>
      </c>
      <c r="F194" s="19"/>
      <c r="G194" s="30" t="str">
        <f>IF(COUNTIF(D194:F194,"?*")=$T$5,"✅ CUBIERTO",
IF(COUNTIF(D194:F194,"?*")&gt;$T$5,"⚠ EXCESO",IF(COUNTIF(D194:F194,"?*")&gt;0,"⚠ FALTANTE",
"❌ SIN COMPLETAR")))</f>
        <v>✅ CUBIERTO</v>
      </c>
      <c r="H194" s="7"/>
      <c r="I194" s="27">
        <v>45976</v>
      </c>
      <c r="J194" s="28" t="str">
        <f t="shared" si="47"/>
        <v>sáb</v>
      </c>
      <c r="K194" s="29">
        <v>0.54166666666666696</v>
      </c>
      <c r="L194" s="25"/>
      <c r="M194" s="25"/>
      <c r="N194" s="25"/>
      <c r="O194" s="30" t="s">
        <v>32</v>
      </c>
      <c r="P194" s="7"/>
      <c r="Q194" s="27">
        <v>45976</v>
      </c>
      <c r="R194" s="28" t="str">
        <f t="shared" si="48"/>
        <v>sáb</v>
      </c>
      <c r="S194" s="29">
        <v>0.54166666666666696</v>
      </c>
      <c r="T194" s="19"/>
      <c r="U194" s="19"/>
      <c r="V194" s="19"/>
      <c r="W194" s="30" t="str">
        <f>IF(COUNTIF(T194:V194,"?*")=$T$7,"✅ CUBIERTO",IF(COUNTIF(T194:V194,"?*")&gt;$T$7,"⚠ EXCESO",
IF(COUNTIF(T194:V194,"?*")&gt;0,"⚠ FALTANTE", "❌ SIN COMPLETAR")))</f>
        <v>❌ SIN COMPLETAR</v>
      </c>
    </row>
    <row r="195" spans="1:23" x14ac:dyDescent="0.35">
      <c r="A195" s="27">
        <v>45976</v>
      </c>
      <c r="B195" s="28" t="str">
        <f t="shared" si="46"/>
        <v>sáb</v>
      </c>
      <c r="C195" s="29">
        <v>0.58333333333333304</v>
      </c>
      <c r="D195" s="19" t="s">
        <v>3</v>
      </c>
      <c r="E195" s="19" t="s">
        <v>4</v>
      </c>
      <c r="F195" s="19"/>
      <c r="G195" s="30" t="str">
        <f>IF(COUNTIF(D195:F195,"?*")=$T$5,"✅ CUBIERTO",
IF(COUNTIF(D195:F195,"?*")&gt;$T$5,"⚠ EXCESO",IF(COUNTIF(D195:F195,"?*")&gt;0,"⚠ FALTANTE",
"❌ SIN COMPLETAR")))</f>
        <v>✅ CUBIERTO</v>
      </c>
      <c r="H195" s="7"/>
      <c r="I195" s="27">
        <v>45976</v>
      </c>
      <c r="J195" s="28" t="str">
        <f t="shared" si="47"/>
        <v>sáb</v>
      </c>
      <c r="K195" s="29">
        <v>0.58333333333333304</v>
      </c>
      <c r="L195" s="25"/>
      <c r="M195" s="25"/>
      <c r="N195" s="25"/>
      <c r="O195" s="30" t="s">
        <v>32</v>
      </c>
      <c r="P195" s="7"/>
      <c r="Q195" s="27">
        <v>45976</v>
      </c>
      <c r="R195" s="28" t="str">
        <f t="shared" si="48"/>
        <v>sáb</v>
      </c>
      <c r="S195" s="29">
        <v>0.58333333333333304</v>
      </c>
      <c r="T195" s="19"/>
      <c r="U195" s="19"/>
      <c r="V195" s="19"/>
      <c r="W195" s="30" t="str">
        <f>IF(COUNTIF(T195:V195,"?*")=$T$7,"✅ CUBIERTO",IF(COUNTIF(T195:V195,"?*")&gt;$T$7,"⚠ EXCESO",
IF(COUNTIF(T195:V195,"?*")&gt;0,"⚠ FALTANTE", "❌ SIN COMPLETAR")))</f>
        <v>❌ SIN COMPLETAR</v>
      </c>
    </row>
    <row r="196" spans="1:23" x14ac:dyDescent="0.35">
      <c r="A196" s="27">
        <v>45976</v>
      </c>
      <c r="B196" s="28" t="str">
        <f t="shared" si="46"/>
        <v>sáb</v>
      </c>
      <c r="C196" s="29">
        <v>0.625</v>
      </c>
      <c r="D196" s="19" t="s">
        <v>3</v>
      </c>
      <c r="E196" s="19" t="s">
        <v>4</v>
      </c>
      <c r="F196" s="19"/>
      <c r="G196" s="30" t="str">
        <f>IF(COUNTIF(D196:F196,"?*")=$T$5,"✅ CUBIERTO",
IF(COUNTIF(D196:F196,"?*")&gt;$T$5,"⚠ EXCESO",IF(COUNTIF(D196:F196,"?*")&gt;0,"⚠ FALTANTE",
"❌ SIN COMPLETAR")))</f>
        <v>✅ CUBIERTO</v>
      </c>
      <c r="H196" s="7"/>
      <c r="I196" s="27">
        <v>45976</v>
      </c>
      <c r="J196" s="28" t="str">
        <f t="shared" si="47"/>
        <v>sáb</v>
      </c>
      <c r="K196" s="29">
        <v>0.625</v>
      </c>
      <c r="L196" s="25"/>
      <c r="M196" s="25"/>
      <c r="N196" s="25"/>
      <c r="O196" s="30" t="s">
        <v>32</v>
      </c>
      <c r="P196" s="7"/>
      <c r="Q196" s="27">
        <v>45976</v>
      </c>
      <c r="R196" s="28" t="str">
        <f t="shared" si="48"/>
        <v>sáb</v>
      </c>
      <c r="S196" s="29">
        <v>0.625</v>
      </c>
      <c r="T196" s="19"/>
      <c r="U196" s="19"/>
      <c r="V196" s="19"/>
      <c r="W196" s="30" t="str">
        <f>IF(COUNTIF(T196:V196,"?*")=$T$7,"✅ CUBIERTO",IF(COUNTIF(T196:V196,"?*")&gt;$T$7,"⚠ EXCESO",
IF(COUNTIF(T196:V196,"?*")&gt;0,"⚠ FALTANTE", "❌ SIN COMPLETAR")))</f>
        <v>❌ SIN COMPLETAR</v>
      </c>
    </row>
    <row r="197" spans="1:23" x14ac:dyDescent="0.35">
      <c r="A197" s="27">
        <v>45976</v>
      </c>
      <c r="B197" s="28" t="str">
        <f t="shared" si="46"/>
        <v>sáb</v>
      </c>
      <c r="C197" s="29">
        <v>0.66666666666666696</v>
      </c>
      <c r="D197" s="19" t="s">
        <v>30</v>
      </c>
      <c r="E197" s="19" t="s">
        <v>31</v>
      </c>
      <c r="F197" s="19"/>
      <c r="G197" s="30" t="str">
        <f>IF(COUNTIF(D197:F197,"?*")=$T$5,"✅ CUBIERTO",
IF(COUNTIF(D197:F197,"?*")&gt;$T$5,"⚠ EXCESO",IF(COUNTIF(D197:F197,"?*")&gt;0,"⚠ FALTANTE",
"❌ SIN COMPLETAR")))</f>
        <v>✅ CUBIERTO</v>
      </c>
      <c r="H197" s="7"/>
      <c r="I197" s="27">
        <v>45976</v>
      </c>
      <c r="J197" s="28" t="str">
        <f t="shared" si="47"/>
        <v>sáb</v>
      </c>
      <c r="K197" s="29">
        <v>0.66666666666666696</v>
      </c>
      <c r="L197" s="25"/>
      <c r="M197" s="25"/>
      <c r="N197" s="25"/>
      <c r="O197" s="30" t="s">
        <v>32</v>
      </c>
      <c r="P197" s="7"/>
      <c r="Q197" s="27">
        <v>45976</v>
      </c>
      <c r="R197" s="28" t="str">
        <f t="shared" si="48"/>
        <v>sáb</v>
      </c>
      <c r="S197" s="29">
        <v>0.66666666666666696</v>
      </c>
      <c r="T197" s="19"/>
      <c r="U197" s="19"/>
      <c r="V197" s="19"/>
      <c r="W197" s="30" t="str">
        <f>IF(COUNTIF(T197:V197,"?*")=$T$7,"✅ CUBIERTO",IF(COUNTIF(T197:V197,"?*")&gt;$T$7,"⚠ EXCESO",
IF(COUNTIF(T197:V197,"?*")&gt;0,"⚠ FALTANTE", "❌ SIN COMPLETAR")))</f>
        <v>❌ SIN COMPLETAR</v>
      </c>
    </row>
    <row r="198" spans="1:23" x14ac:dyDescent="0.35">
      <c r="A198" s="27">
        <v>45976</v>
      </c>
      <c r="B198" s="28" t="str">
        <f t="shared" si="46"/>
        <v>sáb</v>
      </c>
      <c r="C198" s="29">
        <v>0.70833333333333304</v>
      </c>
      <c r="D198" s="19" t="s">
        <v>30</v>
      </c>
      <c r="E198" s="19" t="s">
        <v>31</v>
      </c>
      <c r="F198" s="19"/>
      <c r="G198" s="30" t="str">
        <f>IF(COUNTIF(D198:F198,"?*")=$T$5,"✅ CUBIERTO",
IF(COUNTIF(D198:F198,"?*")&gt;$T$5,"⚠ EXCESO",IF(COUNTIF(D198:F198,"?*")&gt;0,"⚠ FALTANTE",
"❌ SIN COMPLETAR")))</f>
        <v>✅ CUBIERTO</v>
      </c>
      <c r="H198" s="7"/>
      <c r="I198" s="27">
        <v>45976</v>
      </c>
      <c r="J198" s="28" t="str">
        <f t="shared" si="47"/>
        <v>sáb</v>
      </c>
      <c r="K198" s="29">
        <v>0.70833333333333304</v>
      </c>
      <c r="L198" s="25"/>
      <c r="M198" s="25"/>
      <c r="N198" s="25"/>
      <c r="O198" s="30" t="s">
        <v>32</v>
      </c>
      <c r="P198" s="7"/>
      <c r="Q198" s="27">
        <v>45976</v>
      </c>
      <c r="R198" s="28" t="str">
        <f t="shared" si="48"/>
        <v>sáb</v>
      </c>
      <c r="S198" s="29">
        <v>0.70833333333333304</v>
      </c>
      <c r="T198" s="19"/>
      <c r="U198" s="19"/>
      <c r="V198" s="19"/>
      <c r="W198" s="30" t="str">
        <f>IF(COUNTIF(T198:V198,"?*")=$T$7,"✅ CUBIERTO",IF(COUNTIF(T198:V198,"?*")&gt;$T$7,"⚠ EXCESO",
IF(COUNTIF(T198:V198,"?*")&gt;0,"⚠ FALTANTE", "❌ SIN COMPLETAR")))</f>
        <v>❌ SIN COMPLETAR</v>
      </c>
    </row>
    <row r="199" spans="1:23" x14ac:dyDescent="0.35">
      <c r="A199" s="27">
        <v>45976</v>
      </c>
      <c r="B199" s="28" t="str">
        <f t="shared" si="46"/>
        <v>sáb</v>
      </c>
      <c r="C199" s="29">
        <v>0.75</v>
      </c>
      <c r="D199" s="19" t="s">
        <v>30</v>
      </c>
      <c r="E199" s="19" t="s">
        <v>31</v>
      </c>
      <c r="F199" s="19"/>
      <c r="G199" s="30" t="str">
        <f>IF(COUNTIF(D199:F199,"?*")=$T$5,"✅ CUBIERTO",
IF(COUNTIF(D199:F199,"?*")&gt;$T$5,"⚠ EXCESO",IF(COUNTIF(D199:F199,"?*")&gt;0,"⚠ FALTANTE",
"❌ SIN COMPLETAR")))</f>
        <v>✅ CUBIERTO</v>
      </c>
      <c r="H199" s="7"/>
      <c r="I199" s="27">
        <v>45976</v>
      </c>
      <c r="J199" s="28" t="str">
        <f t="shared" si="47"/>
        <v>sáb</v>
      </c>
      <c r="K199" s="29">
        <v>0.75</v>
      </c>
      <c r="L199" s="25"/>
      <c r="M199" s="25"/>
      <c r="N199" s="25"/>
      <c r="O199" s="30" t="s">
        <v>32</v>
      </c>
      <c r="P199" s="7"/>
      <c r="Q199" s="27">
        <v>45976</v>
      </c>
      <c r="R199" s="28" t="str">
        <f t="shared" si="48"/>
        <v>sáb</v>
      </c>
      <c r="S199" s="29">
        <v>0.75</v>
      </c>
      <c r="T199" s="19"/>
      <c r="U199" s="19"/>
      <c r="V199" s="19"/>
      <c r="W199" s="30" t="str">
        <f>IF(COUNTIF(T199:V199,"?*")=$T$7,"✅ CUBIERTO",IF(COUNTIF(T199:V199,"?*")&gt;$T$7,"⚠ EXCESO",
IF(COUNTIF(T199:V199,"?*")&gt;0,"⚠ FALTANTE", "❌ SIN COMPLETAR")))</f>
        <v>❌ SIN COMPLETAR</v>
      </c>
    </row>
    <row r="200" spans="1:23" x14ac:dyDescent="0.35">
      <c r="A200" s="27">
        <v>45976</v>
      </c>
      <c r="B200" s="28" t="str">
        <f t="shared" si="46"/>
        <v>sáb</v>
      </c>
      <c r="C200" s="29">
        <v>0.79166666666666696</v>
      </c>
      <c r="D200" s="19" t="s">
        <v>30</v>
      </c>
      <c r="E200" s="19" t="s">
        <v>31</v>
      </c>
      <c r="F200" s="19"/>
      <c r="G200" s="30" t="str">
        <f>IF(COUNTIF(D200:F200,"?*")=$T$5,"✅ CUBIERTO",
IF(COUNTIF(D200:F200,"?*")&gt;$T$5,"⚠ EXCESO",IF(COUNTIF(D200:F200,"?*")&gt;0,"⚠ FALTANTE",
"❌ SIN COMPLETAR")))</f>
        <v>✅ CUBIERTO</v>
      </c>
      <c r="H200" s="7"/>
      <c r="I200" s="27">
        <v>45976</v>
      </c>
      <c r="J200" s="28" t="str">
        <f t="shared" si="47"/>
        <v>sáb</v>
      </c>
      <c r="K200" s="29">
        <v>0.79166666666666696</v>
      </c>
      <c r="L200" s="25"/>
      <c r="M200" s="25"/>
      <c r="N200" s="25"/>
      <c r="O200" s="30" t="s">
        <v>32</v>
      </c>
      <c r="P200" s="7"/>
      <c r="Q200" s="27">
        <v>45976</v>
      </c>
      <c r="R200" s="28" t="str">
        <f t="shared" si="48"/>
        <v>sáb</v>
      </c>
      <c r="S200" s="29">
        <v>0.79166666666666696</v>
      </c>
      <c r="T200" s="19"/>
      <c r="U200" s="19"/>
      <c r="V200" s="19"/>
      <c r="W200" s="30" t="str">
        <f>IF(COUNTIF(T200:V200,"?*")=$T$7,"✅ CUBIERTO",IF(COUNTIF(T200:V200,"?*")&gt;$T$7,"⚠ EXCESO",
IF(COUNTIF(T200:V200,"?*")&gt;0,"⚠ FALTANTE", "❌ SIN COMPLETAR")))</f>
        <v>❌ SIN COMPLETAR</v>
      </c>
    </row>
    <row r="201" spans="1:23" x14ac:dyDescent="0.35">
      <c r="A201" s="27">
        <v>45976</v>
      </c>
      <c r="B201" s="28" t="str">
        <f t="shared" si="46"/>
        <v>sáb</v>
      </c>
      <c r="C201" s="29">
        <v>0.83333333333333337</v>
      </c>
      <c r="D201" s="25"/>
      <c r="E201" s="25"/>
      <c r="F201" s="25"/>
      <c r="G201" s="30" t="s">
        <v>32</v>
      </c>
      <c r="H201" s="7"/>
      <c r="I201" s="27">
        <v>45976</v>
      </c>
      <c r="J201" s="28" t="str">
        <f t="shared" si="47"/>
        <v>sáb</v>
      </c>
      <c r="K201" s="29">
        <v>0.83333333333333337</v>
      </c>
      <c r="L201" s="25"/>
      <c r="M201" s="25"/>
      <c r="N201" s="25"/>
      <c r="O201" s="30" t="s">
        <v>32</v>
      </c>
      <c r="P201" s="7"/>
      <c r="Q201" s="27">
        <v>45976</v>
      </c>
      <c r="R201" s="28" t="str">
        <f t="shared" si="48"/>
        <v>sáb</v>
      </c>
      <c r="S201" s="29">
        <v>0.83333333333333337</v>
      </c>
      <c r="T201" s="19"/>
      <c r="U201" s="19"/>
      <c r="V201" s="19"/>
      <c r="W201" s="30" t="str">
        <f>IF(COUNTIF(T201:V201,"?*")=$T$7,"✅ CUBIERTO",IF(COUNTIF(T201:V201,"?*")&gt;$T$7,"⚠ EXCESO",
IF(COUNTIF(T201:V201,"?*")&gt;0,"⚠ FALTANTE", "❌ SIN COMPLETAR")))</f>
        <v>❌ SIN COMPLETAR</v>
      </c>
    </row>
    <row r="202" spans="1:23" x14ac:dyDescent="0.35">
      <c r="A202" s="27">
        <v>45977</v>
      </c>
      <c r="B202" s="28" t="str">
        <f>TEXT(A202,"ddd")</f>
        <v>dom</v>
      </c>
      <c r="C202" s="29">
        <v>0.375</v>
      </c>
      <c r="D202" s="25"/>
      <c r="E202" s="25"/>
      <c r="F202" s="25"/>
      <c r="G202" s="30" t="s">
        <v>32</v>
      </c>
      <c r="H202" s="7"/>
      <c r="I202" s="27">
        <v>45977</v>
      </c>
      <c r="J202" s="28" t="str">
        <f>TEXT(I202,"ddd")</f>
        <v>dom</v>
      </c>
      <c r="K202" s="29">
        <v>0.375</v>
      </c>
      <c r="L202" s="25"/>
      <c r="M202" s="25"/>
      <c r="N202" s="25"/>
      <c r="O202" s="30" t="s">
        <v>32</v>
      </c>
      <c r="P202" s="7"/>
      <c r="Q202" s="27">
        <v>45977</v>
      </c>
      <c r="R202" s="28" t="str">
        <f>TEXT(Q202,"ddd")</f>
        <v>dom</v>
      </c>
      <c r="S202" s="29">
        <v>0.375</v>
      </c>
      <c r="T202" s="25"/>
      <c r="U202" s="25"/>
      <c r="V202" s="25"/>
      <c r="W202" s="30" t="s">
        <v>32</v>
      </c>
    </row>
    <row r="203" spans="1:23" x14ac:dyDescent="0.35">
      <c r="A203" s="27">
        <v>45977</v>
      </c>
      <c r="B203" s="28" t="str">
        <f>TEXT(A203,"ddd")</f>
        <v>dom</v>
      </c>
      <c r="C203" s="29">
        <v>0.41666666666666669</v>
      </c>
      <c r="D203" s="25"/>
      <c r="E203" s="25"/>
      <c r="F203" s="25"/>
      <c r="G203" s="30" t="s">
        <v>32</v>
      </c>
      <c r="H203" s="7"/>
      <c r="I203" s="27">
        <v>45977</v>
      </c>
      <c r="J203" s="28" t="str">
        <f>TEXT(I203,"ddd")</f>
        <v>dom</v>
      </c>
      <c r="K203" s="29">
        <v>0.41666666666666669</v>
      </c>
      <c r="L203" s="25"/>
      <c r="M203" s="25"/>
      <c r="N203" s="25"/>
      <c r="O203" s="30" t="s">
        <v>32</v>
      </c>
      <c r="P203" s="7"/>
      <c r="Q203" s="27">
        <v>45977</v>
      </c>
      <c r="R203" s="28" t="str">
        <f>TEXT(Q203,"ddd")</f>
        <v>dom</v>
      </c>
      <c r="S203" s="29">
        <v>0.41666666666666669</v>
      </c>
      <c r="T203" s="19"/>
      <c r="U203" s="19"/>
      <c r="V203" s="19"/>
      <c r="W203" s="30" t="str">
        <f>IF(COUNTIF(T203:V203,"?*")=$T$7,"✅ CUBIERTO",IF(COUNTIF(T203:V203,"?*")&gt;$T$7,"⚠ EXCESO",
IF(COUNTIF(T203:V203,"?*")&gt;0,"⚠ FALTANTE", "❌ SIN COMPLETAR")))</f>
        <v>❌ SIN COMPLETAR</v>
      </c>
    </row>
    <row r="204" spans="1:23" x14ac:dyDescent="0.35">
      <c r="A204" s="27">
        <v>45977</v>
      </c>
      <c r="B204" s="28" t="str">
        <f>TEXT(A204,"ddd")</f>
        <v>dom</v>
      </c>
      <c r="C204" s="29">
        <v>0.45833333333333331</v>
      </c>
      <c r="D204" s="19" t="s">
        <v>3</v>
      </c>
      <c r="E204" s="19" t="s">
        <v>4</v>
      </c>
      <c r="F204" s="19"/>
      <c r="G204" s="30" t="str">
        <f>IF(COUNTIF(D204:F204,"?*")=$T$5,"✅ CUBIERTO",
IF(COUNTIF(D204:F204,"?*")&gt;$T$5,"⚠ EXCESO",IF(COUNTIF(D204:F204,"?*")&gt;0,"⚠ FALTANTE",
"❌ SIN COMPLETAR")))</f>
        <v>✅ CUBIERTO</v>
      </c>
      <c r="H204" s="7"/>
      <c r="I204" s="27">
        <v>45977</v>
      </c>
      <c r="J204" s="28" t="str">
        <f>TEXT(I204,"ddd")</f>
        <v>dom</v>
      </c>
      <c r="K204" s="29">
        <v>0.45833333333333331</v>
      </c>
      <c r="L204" s="25"/>
      <c r="M204" s="25"/>
      <c r="N204" s="25"/>
      <c r="O204" s="30" t="s">
        <v>32</v>
      </c>
      <c r="P204" s="7"/>
      <c r="Q204" s="27">
        <v>45977</v>
      </c>
      <c r="R204" s="28" t="str">
        <f>TEXT(Q204,"ddd")</f>
        <v>dom</v>
      </c>
      <c r="S204" s="29">
        <v>0.45833333333333331</v>
      </c>
      <c r="T204" s="19"/>
      <c r="U204" s="19"/>
      <c r="V204" s="19"/>
      <c r="W204" s="30" t="str">
        <f>IF(COUNTIF(T204:V204,"?*")=$T$7,"✅ CUBIERTO",IF(COUNTIF(T204:V204,"?*")&gt;$T$7,"⚠ EXCESO",
IF(COUNTIF(T204:V204,"?*")&gt;0,"⚠ FALTANTE", "❌ SIN COMPLETAR")))</f>
        <v>❌ SIN COMPLETAR</v>
      </c>
    </row>
    <row r="205" spans="1:23" x14ac:dyDescent="0.35">
      <c r="A205" s="27">
        <v>45977</v>
      </c>
      <c r="B205" s="28" t="str">
        <f t="shared" ref="B205:B213" si="49">TEXT(A205,"ddd")</f>
        <v>dom</v>
      </c>
      <c r="C205" s="29">
        <v>0.5</v>
      </c>
      <c r="D205" s="19" t="s">
        <v>3</v>
      </c>
      <c r="E205" s="19" t="s">
        <v>4</v>
      </c>
      <c r="F205" s="19"/>
      <c r="G205" s="30" t="str">
        <f>IF(COUNTIF(D205:F205,"?*")=$T$5,"✅ CUBIERTO",
IF(COUNTIF(D205:F205,"?*")&gt;$T$5,"⚠ EXCESO",IF(COUNTIF(D205:F205,"?*")&gt;0,"⚠ FALTANTE",
"❌ SIN COMPLETAR")))</f>
        <v>✅ CUBIERTO</v>
      </c>
      <c r="H205" s="7"/>
      <c r="I205" s="27">
        <v>45977</v>
      </c>
      <c r="J205" s="28" t="str">
        <f t="shared" ref="J205:J213" si="50">TEXT(I205,"ddd")</f>
        <v>dom</v>
      </c>
      <c r="K205" s="29">
        <v>0.5</v>
      </c>
      <c r="L205" s="25"/>
      <c r="M205" s="25"/>
      <c r="N205" s="25"/>
      <c r="O205" s="30" t="s">
        <v>32</v>
      </c>
      <c r="P205" s="7"/>
      <c r="Q205" s="27">
        <v>45977</v>
      </c>
      <c r="R205" s="28" t="str">
        <f t="shared" ref="R205:R213" si="51">TEXT(Q205,"ddd")</f>
        <v>dom</v>
      </c>
      <c r="S205" s="29">
        <v>0.5</v>
      </c>
      <c r="T205" s="19"/>
      <c r="U205" s="19"/>
      <c r="V205" s="19"/>
      <c r="W205" s="30" t="str">
        <f>IF(COUNTIF(T205:V205,"?*")=$T$7,"✅ CUBIERTO",IF(COUNTIF(T205:V205,"?*")&gt;$T$7,"⚠ EXCESO",
IF(COUNTIF(T205:V205,"?*")&gt;0,"⚠ FALTANTE", "❌ SIN COMPLETAR")))</f>
        <v>❌ SIN COMPLETAR</v>
      </c>
    </row>
    <row r="206" spans="1:23" x14ac:dyDescent="0.35">
      <c r="A206" s="27">
        <v>45977</v>
      </c>
      <c r="B206" s="28" t="str">
        <f t="shared" si="49"/>
        <v>dom</v>
      </c>
      <c r="C206" s="29">
        <v>0.54166666666666696</v>
      </c>
      <c r="D206" s="19" t="s">
        <v>3</v>
      </c>
      <c r="E206" s="19" t="s">
        <v>4</v>
      </c>
      <c r="F206" s="19"/>
      <c r="G206" s="30" t="str">
        <f>IF(COUNTIF(D206:F206,"?*")=$T$5,"✅ CUBIERTO",
IF(COUNTIF(D206:F206,"?*")&gt;$T$5,"⚠ EXCESO",IF(COUNTIF(D206:F206,"?*")&gt;0,"⚠ FALTANTE",
"❌ SIN COMPLETAR")))</f>
        <v>✅ CUBIERTO</v>
      </c>
      <c r="H206" s="7"/>
      <c r="I206" s="27">
        <v>45977</v>
      </c>
      <c r="J206" s="28" t="str">
        <f t="shared" si="50"/>
        <v>dom</v>
      </c>
      <c r="K206" s="29">
        <v>0.54166666666666696</v>
      </c>
      <c r="L206" s="25"/>
      <c r="M206" s="25"/>
      <c r="N206" s="25"/>
      <c r="O206" s="30" t="s">
        <v>32</v>
      </c>
      <c r="P206" s="7"/>
      <c r="Q206" s="27">
        <v>45977</v>
      </c>
      <c r="R206" s="28" t="str">
        <f t="shared" si="51"/>
        <v>dom</v>
      </c>
      <c r="S206" s="29">
        <v>0.54166666666666696</v>
      </c>
      <c r="T206" s="19"/>
      <c r="U206" s="19"/>
      <c r="V206" s="19"/>
      <c r="W206" s="30" t="str">
        <f>IF(COUNTIF(T206:V206,"?*")=$T$7,"✅ CUBIERTO",IF(COUNTIF(T206:V206,"?*")&gt;$T$7,"⚠ EXCESO",
IF(COUNTIF(T206:V206,"?*")&gt;0,"⚠ FALTANTE", "❌ SIN COMPLETAR")))</f>
        <v>❌ SIN COMPLETAR</v>
      </c>
    </row>
    <row r="207" spans="1:23" x14ac:dyDescent="0.35">
      <c r="A207" s="27">
        <v>45977</v>
      </c>
      <c r="B207" s="28" t="str">
        <f t="shared" si="49"/>
        <v>dom</v>
      </c>
      <c r="C207" s="29">
        <v>0.58333333333333304</v>
      </c>
      <c r="D207" s="19" t="s">
        <v>3</v>
      </c>
      <c r="E207" s="19" t="s">
        <v>4</v>
      </c>
      <c r="F207" s="19"/>
      <c r="G207" s="30" t="str">
        <f>IF(COUNTIF(D207:F207,"?*")=$T$5,"✅ CUBIERTO",
IF(COUNTIF(D207:F207,"?*")&gt;$T$5,"⚠ EXCESO",IF(COUNTIF(D207:F207,"?*")&gt;0,"⚠ FALTANTE",
"❌ SIN COMPLETAR")))</f>
        <v>✅ CUBIERTO</v>
      </c>
      <c r="H207" s="7"/>
      <c r="I207" s="27">
        <v>45977</v>
      </c>
      <c r="J207" s="28" t="str">
        <f t="shared" si="50"/>
        <v>dom</v>
      </c>
      <c r="K207" s="29">
        <v>0.58333333333333304</v>
      </c>
      <c r="L207" s="25"/>
      <c r="M207" s="25"/>
      <c r="N207" s="25"/>
      <c r="O207" s="30" t="s">
        <v>32</v>
      </c>
      <c r="P207" s="7"/>
      <c r="Q207" s="27">
        <v>45977</v>
      </c>
      <c r="R207" s="28" t="str">
        <f t="shared" si="51"/>
        <v>dom</v>
      </c>
      <c r="S207" s="29">
        <v>0.58333333333333304</v>
      </c>
      <c r="T207" s="19"/>
      <c r="U207" s="19"/>
      <c r="V207" s="19"/>
      <c r="W207" s="30" t="str">
        <f>IF(COUNTIF(T207:V207,"?*")=$T$7,"✅ CUBIERTO",IF(COUNTIF(T207:V207,"?*")&gt;$T$7,"⚠ EXCESO",
IF(COUNTIF(T207:V207,"?*")&gt;0,"⚠ FALTANTE", "❌ SIN COMPLETAR")))</f>
        <v>❌ SIN COMPLETAR</v>
      </c>
    </row>
    <row r="208" spans="1:23" x14ac:dyDescent="0.35">
      <c r="A208" s="27">
        <v>45977</v>
      </c>
      <c r="B208" s="28" t="str">
        <f t="shared" si="49"/>
        <v>dom</v>
      </c>
      <c r="C208" s="29">
        <v>0.625</v>
      </c>
      <c r="D208" s="19" t="s">
        <v>3</v>
      </c>
      <c r="E208" s="19" t="s">
        <v>4</v>
      </c>
      <c r="F208" s="19"/>
      <c r="G208" s="30" t="str">
        <f>IF(COUNTIF(D208:F208,"?*")=$T$5,"✅ CUBIERTO",
IF(COUNTIF(D208:F208,"?*")&gt;$T$5,"⚠ EXCESO",IF(COUNTIF(D208:F208,"?*")&gt;0,"⚠ FALTANTE",
"❌ SIN COMPLETAR")))</f>
        <v>✅ CUBIERTO</v>
      </c>
      <c r="H208" s="7"/>
      <c r="I208" s="27">
        <v>45977</v>
      </c>
      <c r="J208" s="28" t="str">
        <f t="shared" si="50"/>
        <v>dom</v>
      </c>
      <c r="K208" s="29">
        <v>0.625</v>
      </c>
      <c r="L208" s="25"/>
      <c r="M208" s="25"/>
      <c r="N208" s="25"/>
      <c r="O208" s="30" t="s">
        <v>32</v>
      </c>
      <c r="P208" s="7"/>
      <c r="Q208" s="27">
        <v>45977</v>
      </c>
      <c r="R208" s="28" t="str">
        <f t="shared" si="51"/>
        <v>dom</v>
      </c>
      <c r="S208" s="29">
        <v>0.625</v>
      </c>
      <c r="T208" s="19"/>
      <c r="U208" s="19"/>
      <c r="V208" s="19"/>
      <c r="W208" s="30" t="str">
        <f>IF(COUNTIF(T208:V208,"?*")=$T$7,"✅ CUBIERTO",IF(COUNTIF(T208:V208,"?*")&gt;$T$7,"⚠ EXCESO",
IF(COUNTIF(T208:V208,"?*")&gt;0,"⚠ FALTANTE", "❌ SIN COMPLETAR")))</f>
        <v>❌ SIN COMPLETAR</v>
      </c>
    </row>
    <row r="209" spans="1:23" x14ac:dyDescent="0.35">
      <c r="A209" s="27">
        <v>45977</v>
      </c>
      <c r="B209" s="28" t="str">
        <f t="shared" si="49"/>
        <v>dom</v>
      </c>
      <c r="C209" s="29">
        <v>0.66666666666666696</v>
      </c>
      <c r="D209" s="19" t="s">
        <v>30</v>
      </c>
      <c r="E209" s="19" t="s">
        <v>31</v>
      </c>
      <c r="F209" s="19"/>
      <c r="G209" s="30" t="str">
        <f>IF(COUNTIF(D209:F209,"?*")=$T$5,"✅ CUBIERTO",
IF(COUNTIF(D209:F209,"?*")&gt;$T$5,"⚠ EXCESO",IF(COUNTIF(D209:F209,"?*")&gt;0,"⚠ FALTANTE",
"❌ SIN COMPLETAR")))</f>
        <v>✅ CUBIERTO</v>
      </c>
      <c r="H209" s="7"/>
      <c r="I209" s="27">
        <v>45977</v>
      </c>
      <c r="J209" s="28" t="str">
        <f t="shared" si="50"/>
        <v>dom</v>
      </c>
      <c r="K209" s="29">
        <v>0.66666666666666696</v>
      </c>
      <c r="L209" s="25"/>
      <c r="M209" s="25"/>
      <c r="N209" s="25"/>
      <c r="O209" s="30" t="s">
        <v>32</v>
      </c>
      <c r="P209" s="7"/>
      <c r="Q209" s="27">
        <v>45977</v>
      </c>
      <c r="R209" s="28" t="str">
        <f t="shared" si="51"/>
        <v>dom</v>
      </c>
      <c r="S209" s="29">
        <v>0.66666666666666696</v>
      </c>
      <c r="T209" s="19"/>
      <c r="U209" s="19"/>
      <c r="V209" s="19"/>
      <c r="W209" s="30" t="str">
        <f>IF(COUNTIF(T209:V209,"?*")=$T$7,"✅ CUBIERTO",IF(COUNTIF(T209:V209,"?*")&gt;$T$7,"⚠ EXCESO",
IF(COUNTIF(T209:V209,"?*")&gt;0,"⚠ FALTANTE", "❌ SIN COMPLETAR")))</f>
        <v>❌ SIN COMPLETAR</v>
      </c>
    </row>
    <row r="210" spans="1:23" x14ac:dyDescent="0.35">
      <c r="A210" s="27">
        <v>45977</v>
      </c>
      <c r="B210" s="28" t="str">
        <f t="shared" si="49"/>
        <v>dom</v>
      </c>
      <c r="C210" s="29">
        <v>0.70833333333333304</v>
      </c>
      <c r="D210" s="19" t="s">
        <v>30</v>
      </c>
      <c r="E210" s="19" t="s">
        <v>31</v>
      </c>
      <c r="F210" s="19"/>
      <c r="G210" s="30" t="str">
        <f>IF(COUNTIF(D210:F210,"?*")=$T$5,"✅ CUBIERTO",
IF(COUNTIF(D210:F210,"?*")&gt;$T$5,"⚠ EXCESO",IF(COUNTIF(D210:F210,"?*")&gt;0,"⚠ FALTANTE",
"❌ SIN COMPLETAR")))</f>
        <v>✅ CUBIERTO</v>
      </c>
      <c r="H210" s="7"/>
      <c r="I210" s="27">
        <v>45977</v>
      </c>
      <c r="J210" s="28" t="str">
        <f t="shared" si="50"/>
        <v>dom</v>
      </c>
      <c r="K210" s="29">
        <v>0.70833333333333304</v>
      </c>
      <c r="L210" s="25"/>
      <c r="M210" s="25"/>
      <c r="N210" s="25"/>
      <c r="O210" s="30" t="s">
        <v>32</v>
      </c>
      <c r="P210" s="7"/>
      <c r="Q210" s="27">
        <v>45977</v>
      </c>
      <c r="R210" s="28" t="str">
        <f t="shared" si="51"/>
        <v>dom</v>
      </c>
      <c r="S210" s="29">
        <v>0.70833333333333304</v>
      </c>
      <c r="T210" s="19"/>
      <c r="U210" s="19"/>
      <c r="V210" s="19"/>
      <c r="W210" s="30" t="str">
        <f>IF(COUNTIF(T210:V210,"?*")=$T$7,"✅ CUBIERTO",IF(COUNTIF(T210:V210,"?*")&gt;$T$7,"⚠ EXCESO",
IF(COUNTIF(T210:V210,"?*")&gt;0,"⚠ FALTANTE", "❌ SIN COMPLETAR")))</f>
        <v>❌ SIN COMPLETAR</v>
      </c>
    </row>
    <row r="211" spans="1:23" x14ac:dyDescent="0.35">
      <c r="A211" s="27">
        <v>45977</v>
      </c>
      <c r="B211" s="28" t="str">
        <f t="shared" si="49"/>
        <v>dom</v>
      </c>
      <c r="C211" s="29">
        <v>0.75</v>
      </c>
      <c r="D211" s="19" t="s">
        <v>30</v>
      </c>
      <c r="E211" s="19" t="s">
        <v>31</v>
      </c>
      <c r="F211" s="19"/>
      <c r="G211" s="30" t="str">
        <f>IF(COUNTIF(D211:F211,"?*")=$T$5,"✅ CUBIERTO",
IF(COUNTIF(D211:F211,"?*")&gt;$T$5,"⚠ EXCESO",IF(COUNTIF(D211:F211,"?*")&gt;0,"⚠ FALTANTE",
"❌ SIN COMPLETAR")))</f>
        <v>✅ CUBIERTO</v>
      </c>
      <c r="H211" s="7"/>
      <c r="I211" s="27">
        <v>45977</v>
      </c>
      <c r="J211" s="28" t="str">
        <f t="shared" si="50"/>
        <v>dom</v>
      </c>
      <c r="K211" s="29">
        <v>0.75</v>
      </c>
      <c r="L211" s="25"/>
      <c r="M211" s="25"/>
      <c r="N211" s="25"/>
      <c r="O211" s="30" t="s">
        <v>32</v>
      </c>
      <c r="P211" s="7"/>
      <c r="Q211" s="27">
        <v>45977</v>
      </c>
      <c r="R211" s="28" t="str">
        <f t="shared" si="51"/>
        <v>dom</v>
      </c>
      <c r="S211" s="29">
        <v>0.75</v>
      </c>
      <c r="T211" s="19"/>
      <c r="U211" s="19"/>
      <c r="V211" s="19"/>
      <c r="W211" s="30" t="str">
        <f>IF(COUNTIF(T211:V211,"?*")=$T$7,"✅ CUBIERTO",IF(COUNTIF(T211:V211,"?*")&gt;$T$7,"⚠ EXCESO",
IF(COUNTIF(T211:V211,"?*")&gt;0,"⚠ FALTANTE", "❌ SIN COMPLETAR")))</f>
        <v>❌ SIN COMPLETAR</v>
      </c>
    </row>
    <row r="212" spans="1:23" x14ac:dyDescent="0.35">
      <c r="A212" s="27">
        <v>45977</v>
      </c>
      <c r="B212" s="28" t="str">
        <f t="shared" si="49"/>
        <v>dom</v>
      </c>
      <c r="C212" s="29">
        <v>0.79166666666666696</v>
      </c>
      <c r="D212" s="19" t="s">
        <v>30</v>
      </c>
      <c r="E212" s="19" t="s">
        <v>31</v>
      </c>
      <c r="F212" s="19"/>
      <c r="G212" s="30" t="str">
        <f>IF(COUNTIF(D212:F212,"?*")=$T$5,"✅ CUBIERTO",
IF(COUNTIF(D212:F212,"?*")&gt;$T$5,"⚠ EXCESO",IF(COUNTIF(D212:F212,"?*")&gt;0,"⚠ FALTANTE",
"❌ SIN COMPLETAR")))</f>
        <v>✅ CUBIERTO</v>
      </c>
      <c r="H212" s="7"/>
      <c r="I212" s="27">
        <v>45977</v>
      </c>
      <c r="J212" s="28" t="str">
        <f t="shared" si="50"/>
        <v>dom</v>
      </c>
      <c r="K212" s="29">
        <v>0.79166666666666696</v>
      </c>
      <c r="L212" s="25"/>
      <c r="M212" s="25"/>
      <c r="N212" s="25"/>
      <c r="O212" s="30" t="s">
        <v>32</v>
      </c>
      <c r="P212" s="7"/>
      <c r="Q212" s="27">
        <v>45977</v>
      </c>
      <c r="R212" s="28" t="str">
        <f t="shared" si="51"/>
        <v>dom</v>
      </c>
      <c r="S212" s="29">
        <v>0.79166666666666696</v>
      </c>
      <c r="T212" s="19"/>
      <c r="U212" s="19"/>
      <c r="V212" s="19"/>
      <c r="W212" s="30" t="str">
        <f>IF(COUNTIF(T212:V212,"?*")=$T$7,"✅ CUBIERTO",IF(COUNTIF(T212:V212,"?*")&gt;$T$7,"⚠ EXCESO",
IF(COUNTIF(T212:V212,"?*")&gt;0,"⚠ FALTANTE", "❌ SIN COMPLETAR")))</f>
        <v>❌ SIN COMPLETAR</v>
      </c>
    </row>
    <row r="213" spans="1:23" x14ac:dyDescent="0.35">
      <c r="A213" s="27">
        <v>45977</v>
      </c>
      <c r="B213" s="28" t="str">
        <f t="shared" si="49"/>
        <v>dom</v>
      </c>
      <c r="C213" s="29">
        <v>0.83333333333333337</v>
      </c>
      <c r="D213" s="25"/>
      <c r="E213" s="25"/>
      <c r="F213" s="25"/>
      <c r="G213" s="30" t="s">
        <v>32</v>
      </c>
      <c r="H213" s="7"/>
      <c r="I213" s="27">
        <v>45977</v>
      </c>
      <c r="J213" s="28" t="str">
        <f t="shared" si="50"/>
        <v>dom</v>
      </c>
      <c r="K213" s="29">
        <v>0.83333333333333337</v>
      </c>
      <c r="L213" s="25"/>
      <c r="M213" s="25"/>
      <c r="N213" s="25"/>
      <c r="O213" s="30" t="s">
        <v>32</v>
      </c>
      <c r="P213" s="7"/>
      <c r="Q213" s="27">
        <v>45977</v>
      </c>
      <c r="R213" s="28" t="str">
        <f t="shared" si="51"/>
        <v>dom</v>
      </c>
      <c r="S213" s="29">
        <v>0.83333333333333337</v>
      </c>
      <c r="T213" s="19"/>
      <c r="U213" s="19"/>
      <c r="V213" s="19"/>
      <c r="W213" s="30" t="str">
        <f>IF(COUNTIF(T213:V213,"?*")=$T$7,"✅ CUBIERTO",IF(COUNTIF(T213:V213,"?*")&gt;$T$7,"⚠ EXCESO",
IF(COUNTIF(T213:V213,"?*")&gt;0,"⚠ FALTANTE", "❌ SIN COMPLETAR")))</f>
        <v>❌ SIN COMPLETAR</v>
      </c>
    </row>
    <row r="214" spans="1:23" x14ac:dyDescent="0.35">
      <c r="A214" s="27">
        <v>45978</v>
      </c>
      <c r="B214" s="28" t="str">
        <f>TEXT(A214,"ddd")</f>
        <v>lun</v>
      </c>
      <c r="C214" s="29">
        <v>0.375</v>
      </c>
      <c r="D214" s="25"/>
      <c r="E214" s="25"/>
      <c r="F214" s="25"/>
      <c r="G214" s="30" t="s">
        <v>32</v>
      </c>
      <c r="H214" s="7"/>
      <c r="I214" s="27">
        <v>45978</v>
      </c>
      <c r="J214" s="28" t="str">
        <f>TEXT(I214,"ddd")</f>
        <v>lun</v>
      </c>
      <c r="K214" s="29">
        <v>0.375</v>
      </c>
      <c r="L214" s="19" t="s">
        <v>7</v>
      </c>
      <c r="M214" s="19"/>
      <c r="N214" s="19"/>
      <c r="O214" s="31" t="str">
        <f>IF(COUNTIF(L214:N214,"?*")=$T$6,"✅ CUBIERTO",IF(COUNTIF(L214:N214,"?*")&gt;$T$6,"⚠ EXCESO",
IF(COUNTIF(L214:N214,"?*")&gt;0,"⚠ FALTANTE", "❌ SIN COMPLETAR")))</f>
        <v>✅ CUBIERTO</v>
      </c>
      <c r="P214" s="7"/>
      <c r="Q214" s="27">
        <v>45978</v>
      </c>
      <c r="R214" s="28" t="str">
        <f>TEXT(Q214,"ddd")</f>
        <v>lun</v>
      </c>
      <c r="S214" s="29">
        <v>0.375</v>
      </c>
      <c r="T214" s="25"/>
      <c r="U214" s="25"/>
      <c r="V214" s="25"/>
      <c r="W214" s="30" t="s">
        <v>32</v>
      </c>
    </row>
    <row r="215" spans="1:23" x14ac:dyDescent="0.35">
      <c r="A215" s="27">
        <v>45978</v>
      </c>
      <c r="B215" s="28" t="str">
        <f>TEXT(A215,"ddd")</f>
        <v>lun</v>
      </c>
      <c r="C215" s="29">
        <v>0.41666666666666669</v>
      </c>
      <c r="D215" s="25"/>
      <c r="E215" s="25"/>
      <c r="F215" s="25"/>
      <c r="G215" s="30" t="s">
        <v>32</v>
      </c>
      <c r="H215" s="7"/>
      <c r="I215" s="27">
        <v>45978</v>
      </c>
      <c r="J215" s="28" t="str">
        <f>TEXT(I215,"ddd")</f>
        <v>lun</v>
      </c>
      <c r="K215" s="29">
        <v>0.41666666666666669</v>
      </c>
      <c r="L215" s="19" t="s">
        <v>7</v>
      </c>
      <c r="M215" s="19"/>
      <c r="N215" s="19"/>
      <c r="O215" s="31" t="str">
        <f>IF(COUNTIF(L215:N215,"?*")=$T$6,"✅ CUBIERTO",IF(COUNTIF(L215:N215,"?*")&gt;$T$6,"⚠ EXCESO",
IF(COUNTIF(L215:N215,"?*")&gt;0,"⚠ FALTANTE", "❌ SIN COMPLETAR")))</f>
        <v>✅ CUBIERTO</v>
      </c>
      <c r="P215" s="7"/>
      <c r="Q215" s="27">
        <v>45978</v>
      </c>
      <c r="R215" s="28" t="str">
        <f>TEXT(Q215,"ddd")</f>
        <v>lun</v>
      </c>
      <c r="S215" s="29">
        <v>0.41666666666666669</v>
      </c>
      <c r="T215" s="19"/>
      <c r="U215" s="19"/>
      <c r="V215" s="19"/>
      <c r="W215" s="30" t="str">
        <f>IF(COUNTIF(T215:V215,"?*")=$T$7,"✅ CUBIERTO",IF(COUNTIF(T215:V215,"?*")&gt;$T$7,"⚠ EXCESO",
IF(COUNTIF(T215:V215,"?*")&gt;0,"⚠ FALTANTE", "❌ SIN COMPLETAR")))</f>
        <v>❌ SIN COMPLETAR</v>
      </c>
    </row>
    <row r="216" spans="1:23" x14ac:dyDescent="0.35">
      <c r="A216" s="27">
        <v>45978</v>
      </c>
      <c r="B216" s="28" t="str">
        <f>TEXT(A216,"ddd")</f>
        <v>lun</v>
      </c>
      <c r="C216" s="29">
        <v>0.45833333333333331</v>
      </c>
      <c r="D216" s="19" t="s">
        <v>3</v>
      </c>
      <c r="E216" s="19" t="s">
        <v>4</v>
      </c>
      <c r="F216" s="19"/>
      <c r="G216" s="30" t="str">
        <f>IF(COUNTIF(D216:F216,"?*")=$T$5,"✅ CUBIERTO",
IF(COUNTIF(D216:F216,"?*")&gt;$T$5,"⚠ EXCESO",IF(COUNTIF(D216:F216,"?*")&gt;0,"⚠ FALTANTE",
"❌ SIN COMPLETAR")))</f>
        <v>✅ CUBIERTO</v>
      </c>
      <c r="H216" s="7"/>
      <c r="I216" s="27">
        <v>45978</v>
      </c>
      <c r="J216" s="28" t="str">
        <f>TEXT(I216,"ddd")</f>
        <v>lun</v>
      </c>
      <c r="K216" s="29">
        <v>0.45833333333333331</v>
      </c>
      <c r="L216" s="19" t="s">
        <v>7</v>
      </c>
      <c r="M216" s="19"/>
      <c r="N216" s="19"/>
      <c r="O216" s="31" t="str">
        <f>IF(COUNTIF(L216:N216,"?*")=$T$6,"✅ CUBIERTO",IF(COUNTIF(L216:N216,"?*")&gt;$T$6,"⚠ EXCESO",
IF(COUNTIF(L216:N216,"?*")&gt;0,"⚠ FALTANTE", "❌ SIN COMPLETAR")))</f>
        <v>✅ CUBIERTO</v>
      </c>
      <c r="P216" s="7"/>
      <c r="Q216" s="27">
        <v>45978</v>
      </c>
      <c r="R216" s="28" t="str">
        <f>TEXT(Q216,"ddd")</f>
        <v>lun</v>
      </c>
      <c r="S216" s="29">
        <v>0.45833333333333331</v>
      </c>
      <c r="T216" s="19"/>
      <c r="U216" s="19"/>
      <c r="V216" s="19"/>
      <c r="W216" s="30" t="str">
        <f>IF(COUNTIF(T216:V216,"?*")=$T$7,"✅ CUBIERTO",IF(COUNTIF(T216:V216,"?*")&gt;$T$7,"⚠ EXCESO",
IF(COUNTIF(T216:V216,"?*")&gt;0,"⚠ FALTANTE", "❌ SIN COMPLETAR")))</f>
        <v>❌ SIN COMPLETAR</v>
      </c>
    </row>
    <row r="217" spans="1:23" x14ac:dyDescent="0.35">
      <c r="A217" s="27">
        <v>45978</v>
      </c>
      <c r="B217" s="28" t="str">
        <f t="shared" ref="B217:B225" si="52">TEXT(A217,"ddd")</f>
        <v>lun</v>
      </c>
      <c r="C217" s="29">
        <v>0.5</v>
      </c>
      <c r="D217" s="19" t="s">
        <v>3</v>
      </c>
      <c r="E217" s="19" t="s">
        <v>4</v>
      </c>
      <c r="F217" s="19"/>
      <c r="G217" s="30" t="str">
        <f>IF(COUNTIF(D217:F217,"?*")=$T$5,"✅ CUBIERTO",
IF(COUNTIF(D217:F217,"?*")&gt;$T$5,"⚠ EXCESO",IF(COUNTIF(D217:F217,"?*")&gt;0,"⚠ FALTANTE",
"❌ SIN COMPLETAR")))</f>
        <v>✅ CUBIERTO</v>
      </c>
      <c r="H217" s="7"/>
      <c r="I217" s="27">
        <v>45978</v>
      </c>
      <c r="J217" s="28" t="str">
        <f t="shared" ref="J217:J225" si="53">TEXT(I217,"ddd")</f>
        <v>lun</v>
      </c>
      <c r="K217" s="29">
        <v>0.5</v>
      </c>
      <c r="L217" s="19" t="s">
        <v>7</v>
      </c>
      <c r="M217" s="19"/>
      <c r="N217" s="19"/>
      <c r="O217" s="31" t="str">
        <f>IF(COUNTIF(L217:N217,"?*")=$T$6,"✅ CUBIERTO",IF(COUNTIF(L217:N217,"?*")&gt;$T$6,"⚠ EXCESO",
IF(COUNTIF(L217:N217,"?*")&gt;0,"⚠ FALTANTE", "❌ SIN COMPLETAR")))</f>
        <v>✅ CUBIERTO</v>
      </c>
      <c r="P217" s="7"/>
      <c r="Q217" s="27">
        <v>45978</v>
      </c>
      <c r="R217" s="28" t="str">
        <f t="shared" ref="R217:R225" si="54">TEXT(Q217,"ddd")</f>
        <v>lun</v>
      </c>
      <c r="S217" s="29">
        <v>0.5</v>
      </c>
      <c r="T217" s="19"/>
      <c r="U217" s="19"/>
      <c r="V217" s="19"/>
      <c r="W217" s="30" t="str">
        <f>IF(COUNTIF(T217:V217,"?*")=$T$7,"✅ CUBIERTO",IF(COUNTIF(T217:V217,"?*")&gt;$T$7,"⚠ EXCESO",
IF(COUNTIF(T217:V217,"?*")&gt;0,"⚠ FALTANTE", "❌ SIN COMPLETAR")))</f>
        <v>❌ SIN COMPLETAR</v>
      </c>
    </row>
    <row r="218" spans="1:23" x14ac:dyDescent="0.35">
      <c r="A218" s="27">
        <v>45978</v>
      </c>
      <c r="B218" s="28" t="str">
        <f t="shared" si="52"/>
        <v>lun</v>
      </c>
      <c r="C218" s="29">
        <v>0.54166666666666696</v>
      </c>
      <c r="D218" s="19" t="s">
        <v>3</v>
      </c>
      <c r="E218" s="19" t="s">
        <v>4</v>
      </c>
      <c r="F218" s="19"/>
      <c r="G218" s="30" t="str">
        <f>IF(COUNTIF(D218:F218,"?*")=$T$5,"✅ CUBIERTO",
IF(COUNTIF(D218:F218,"?*")&gt;$T$5,"⚠ EXCESO",IF(COUNTIF(D218:F218,"?*")&gt;0,"⚠ FALTANTE",
"❌ SIN COMPLETAR")))</f>
        <v>✅ CUBIERTO</v>
      </c>
      <c r="H218" s="7"/>
      <c r="I218" s="27">
        <v>45978</v>
      </c>
      <c r="J218" s="28" t="str">
        <f t="shared" si="53"/>
        <v>lun</v>
      </c>
      <c r="K218" s="29">
        <v>0.54166666666666696</v>
      </c>
      <c r="L218" s="19" t="s">
        <v>7</v>
      </c>
      <c r="M218" s="19"/>
      <c r="N218" s="19"/>
      <c r="O218" s="31" t="str">
        <f>IF(COUNTIF(L218:N218,"?*")=$T$6,"✅ CUBIERTO",IF(COUNTIF(L218:N218,"?*")&gt;$T$6,"⚠ EXCESO",
IF(COUNTIF(L218:N218,"?*")&gt;0,"⚠ FALTANTE", "❌ SIN COMPLETAR")))</f>
        <v>✅ CUBIERTO</v>
      </c>
      <c r="P218" s="7"/>
      <c r="Q218" s="27">
        <v>45978</v>
      </c>
      <c r="R218" s="28" t="str">
        <f t="shared" si="54"/>
        <v>lun</v>
      </c>
      <c r="S218" s="29">
        <v>0.54166666666666696</v>
      </c>
      <c r="T218" s="19"/>
      <c r="U218" s="19"/>
      <c r="V218" s="19"/>
      <c r="W218" s="30" t="str">
        <f>IF(COUNTIF(T218:V218,"?*")=$T$7,"✅ CUBIERTO",IF(COUNTIF(T218:V218,"?*")&gt;$T$7,"⚠ EXCESO",
IF(COUNTIF(T218:V218,"?*")&gt;0,"⚠ FALTANTE", "❌ SIN COMPLETAR")))</f>
        <v>❌ SIN COMPLETAR</v>
      </c>
    </row>
    <row r="219" spans="1:23" x14ac:dyDescent="0.35">
      <c r="A219" s="27">
        <v>45978</v>
      </c>
      <c r="B219" s="28" t="str">
        <f t="shared" si="52"/>
        <v>lun</v>
      </c>
      <c r="C219" s="29">
        <v>0.58333333333333304</v>
      </c>
      <c r="D219" s="19" t="s">
        <v>3</v>
      </c>
      <c r="E219" s="19" t="s">
        <v>4</v>
      </c>
      <c r="F219" s="19"/>
      <c r="G219" s="30" t="str">
        <f>IF(COUNTIF(D219:F219,"?*")=$T$5,"✅ CUBIERTO",
IF(COUNTIF(D219:F219,"?*")&gt;$T$5,"⚠ EXCESO",IF(COUNTIF(D219:F219,"?*")&gt;0,"⚠ FALTANTE",
"❌ SIN COMPLETAR")))</f>
        <v>✅ CUBIERTO</v>
      </c>
      <c r="H219" s="7"/>
      <c r="I219" s="27">
        <v>45978</v>
      </c>
      <c r="J219" s="28" t="str">
        <f t="shared" si="53"/>
        <v>lun</v>
      </c>
      <c r="K219" s="29">
        <v>0.58333333333333304</v>
      </c>
      <c r="L219" s="19" t="s">
        <v>29</v>
      </c>
      <c r="M219" s="19"/>
      <c r="N219" s="19"/>
      <c r="O219" s="31" t="str">
        <f>IF(COUNTIF(L219:N219,"?*")=$T$6,"✅ CUBIERTO",IF(COUNTIF(L219:N219,"?*")&gt;$T$6,"⚠ EXCESO",
IF(COUNTIF(L219:N219,"?*")&gt;0,"⚠ FALTANTE", "❌ SIN COMPLETAR")))</f>
        <v>✅ CUBIERTO</v>
      </c>
      <c r="P219" s="7"/>
      <c r="Q219" s="27">
        <v>45978</v>
      </c>
      <c r="R219" s="28" t="str">
        <f t="shared" si="54"/>
        <v>lun</v>
      </c>
      <c r="S219" s="29">
        <v>0.58333333333333304</v>
      </c>
      <c r="T219" s="19"/>
      <c r="U219" s="19"/>
      <c r="V219" s="19"/>
      <c r="W219" s="30" t="str">
        <f>IF(COUNTIF(T219:V219,"?*")=$T$7,"✅ CUBIERTO",IF(COUNTIF(T219:V219,"?*")&gt;$T$7,"⚠ EXCESO",
IF(COUNTIF(T219:V219,"?*")&gt;0,"⚠ FALTANTE", "❌ SIN COMPLETAR")))</f>
        <v>❌ SIN COMPLETAR</v>
      </c>
    </row>
    <row r="220" spans="1:23" x14ac:dyDescent="0.35">
      <c r="A220" s="27">
        <v>45978</v>
      </c>
      <c r="B220" s="28" t="str">
        <f t="shared" si="52"/>
        <v>lun</v>
      </c>
      <c r="C220" s="29">
        <v>0.625</v>
      </c>
      <c r="D220" s="19" t="s">
        <v>3</v>
      </c>
      <c r="E220" s="19" t="s">
        <v>4</v>
      </c>
      <c r="F220" s="19"/>
      <c r="G220" s="30" t="str">
        <f>IF(COUNTIF(D220:F220,"?*")=$T$5,"✅ CUBIERTO",
IF(COUNTIF(D220:F220,"?*")&gt;$T$5,"⚠ EXCESO",IF(COUNTIF(D220:F220,"?*")&gt;0,"⚠ FALTANTE",
"❌ SIN COMPLETAR")))</f>
        <v>✅ CUBIERTO</v>
      </c>
      <c r="H220" s="7"/>
      <c r="I220" s="27">
        <v>45978</v>
      </c>
      <c r="J220" s="28" t="str">
        <f t="shared" si="53"/>
        <v>lun</v>
      </c>
      <c r="K220" s="29">
        <v>0.625</v>
      </c>
      <c r="L220" s="19" t="s">
        <v>29</v>
      </c>
      <c r="M220" s="19"/>
      <c r="N220" s="19"/>
      <c r="O220" s="31" t="str">
        <f>IF(COUNTIF(L220:N220,"?*")=$T$6,"✅ CUBIERTO",IF(COUNTIF(L220:N220,"?*")&gt;$T$6,"⚠ EXCESO",
IF(COUNTIF(L220:N220,"?*")&gt;0,"⚠ FALTANTE", "❌ SIN COMPLETAR")))</f>
        <v>✅ CUBIERTO</v>
      </c>
      <c r="P220" s="7"/>
      <c r="Q220" s="27">
        <v>45978</v>
      </c>
      <c r="R220" s="28" t="str">
        <f t="shared" si="54"/>
        <v>lun</v>
      </c>
      <c r="S220" s="29">
        <v>0.625</v>
      </c>
      <c r="T220" s="19"/>
      <c r="U220" s="19"/>
      <c r="V220" s="19"/>
      <c r="W220" s="30" t="str">
        <f>IF(COUNTIF(T220:V220,"?*")=$T$7,"✅ CUBIERTO",IF(COUNTIF(T220:V220,"?*")&gt;$T$7,"⚠ EXCESO",
IF(COUNTIF(T220:V220,"?*")&gt;0,"⚠ FALTANTE", "❌ SIN COMPLETAR")))</f>
        <v>❌ SIN COMPLETAR</v>
      </c>
    </row>
    <row r="221" spans="1:23" x14ac:dyDescent="0.35">
      <c r="A221" s="27">
        <v>45978</v>
      </c>
      <c r="B221" s="28" t="str">
        <f t="shared" si="52"/>
        <v>lun</v>
      </c>
      <c r="C221" s="29">
        <v>0.66666666666666696</v>
      </c>
      <c r="D221" s="19" t="s">
        <v>30</v>
      </c>
      <c r="E221" s="19"/>
      <c r="F221" s="19"/>
      <c r="G221" s="30" t="str">
        <f>IF(COUNTIF(D221:F221,"?*")=$T$5,"✅ CUBIERTO",
IF(COUNTIF(D221:F221,"?*")&gt;$T$5,"⚠ EXCESO",IF(COUNTIF(D221:F221,"?*")&gt;0,"⚠ FALTANTE",
"❌ SIN COMPLETAR")))</f>
        <v>⚠ FALTANTE</v>
      </c>
      <c r="H221" s="7"/>
      <c r="I221" s="27">
        <v>45978</v>
      </c>
      <c r="J221" s="28" t="str">
        <f t="shared" si="53"/>
        <v>lun</v>
      </c>
      <c r="K221" s="29">
        <v>0.66666666666666696</v>
      </c>
      <c r="L221" s="19" t="s">
        <v>29</v>
      </c>
      <c r="M221" s="19"/>
      <c r="N221" s="19"/>
      <c r="O221" s="31" t="str">
        <f>IF(COUNTIF(L221:N221,"?*")=$T$6,"✅ CUBIERTO",IF(COUNTIF(L221:N221,"?*")&gt;$T$6,"⚠ EXCESO",
IF(COUNTIF(L221:N221,"?*")&gt;0,"⚠ FALTANTE", "❌ SIN COMPLETAR")))</f>
        <v>✅ CUBIERTO</v>
      </c>
      <c r="P221" s="7"/>
      <c r="Q221" s="27">
        <v>45978</v>
      </c>
      <c r="R221" s="28" t="str">
        <f t="shared" si="54"/>
        <v>lun</v>
      </c>
      <c r="S221" s="29">
        <v>0.66666666666666696</v>
      </c>
      <c r="T221" s="19"/>
      <c r="U221" s="19"/>
      <c r="V221" s="19"/>
      <c r="W221" s="30" t="str">
        <f>IF(COUNTIF(T221:V221,"?*")=$T$7,"✅ CUBIERTO",IF(COUNTIF(T221:V221,"?*")&gt;$T$7,"⚠ EXCESO",
IF(COUNTIF(T221:V221,"?*")&gt;0,"⚠ FALTANTE", "❌ SIN COMPLETAR")))</f>
        <v>❌ SIN COMPLETAR</v>
      </c>
    </row>
    <row r="222" spans="1:23" x14ac:dyDescent="0.35">
      <c r="A222" s="27">
        <v>45978</v>
      </c>
      <c r="B222" s="28" t="str">
        <f t="shared" si="52"/>
        <v>lun</v>
      </c>
      <c r="C222" s="29">
        <v>0.70833333333333304</v>
      </c>
      <c r="D222" s="19" t="s">
        <v>30</v>
      </c>
      <c r="E222" s="19"/>
      <c r="F222" s="19"/>
      <c r="G222" s="30" t="str">
        <f>IF(COUNTIF(D222:F222,"?*")=$T$5,"✅ CUBIERTO",
IF(COUNTIF(D222:F222,"?*")&gt;$T$5,"⚠ EXCESO",IF(COUNTIF(D222:F222,"?*")&gt;0,"⚠ FALTANTE",
"❌ SIN COMPLETAR")))</f>
        <v>⚠ FALTANTE</v>
      </c>
      <c r="H222" s="7"/>
      <c r="I222" s="27">
        <v>45978</v>
      </c>
      <c r="J222" s="28" t="str">
        <f t="shared" si="53"/>
        <v>lun</v>
      </c>
      <c r="K222" s="29">
        <v>0.70833333333333304</v>
      </c>
      <c r="L222" s="19" t="s">
        <v>29</v>
      </c>
      <c r="M222" s="19"/>
      <c r="N222" s="19"/>
      <c r="O222" s="31" t="str">
        <f>IF(COUNTIF(L222:N222,"?*")=$T$6,"✅ CUBIERTO",IF(COUNTIF(L222:N222,"?*")&gt;$T$6,"⚠ EXCESO",
IF(COUNTIF(L222:N222,"?*")&gt;0,"⚠ FALTANTE", "❌ SIN COMPLETAR")))</f>
        <v>✅ CUBIERTO</v>
      </c>
      <c r="P222" s="7"/>
      <c r="Q222" s="27">
        <v>45978</v>
      </c>
      <c r="R222" s="28" t="str">
        <f t="shared" si="54"/>
        <v>lun</v>
      </c>
      <c r="S222" s="29">
        <v>0.70833333333333304</v>
      </c>
      <c r="T222" s="19"/>
      <c r="U222" s="19"/>
      <c r="V222" s="19"/>
      <c r="W222" s="30" t="str">
        <f>IF(COUNTIF(T222:V222,"?*")=$T$7,"✅ CUBIERTO",IF(COUNTIF(T222:V222,"?*")&gt;$T$7,"⚠ EXCESO",
IF(COUNTIF(T222:V222,"?*")&gt;0,"⚠ FALTANTE", "❌ SIN COMPLETAR")))</f>
        <v>❌ SIN COMPLETAR</v>
      </c>
    </row>
    <row r="223" spans="1:23" x14ac:dyDescent="0.35">
      <c r="A223" s="27">
        <v>45978</v>
      </c>
      <c r="B223" s="28" t="str">
        <f t="shared" si="52"/>
        <v>lun</v>
      </c>
      <c r="C223" s="29">
        <v>0.75</v>
      </c>
      <c r="D223" s="19" t="s">
        <v>30</v>
      </c>
      <c r="E223" s="19"/>
      <c r="F223" s="19"/>
      <c r="G223" s="30" t="str">
        <f>IF(COUNTIF(D223:F223,"?*")=$T$5,"✅ CUBIERTO",
IF(COUNTIF(D223:F223,"?*")&gt;$T$5,"⚠ EXCESO",IF(COUNTIF(D223:F223,"?*")&gt;0,"⚠ FALTANTE",
"❌ SIN COMPLETAR")))</f>
        <v>⚠ FALTANTE</v>
      </c>
      <c r="H223" s="7"/>
      <c r="I223" s="27">
        <v>45978</v>
      </c>
      <c r="J223" s="28" t="str">
        <f t="shared" si="53"/>
        <v>lun</v>
      </c>
      <c r="K223" s="29">
        <v>0.75</v>
      </c>
      <c r="L223" s="25"/>
      <c r="M223" s="25"/>
      <c r="N223" s="25"/>
      <c r="O223" s="31" t="s">
        <v>32</v>
      </c>
      <c r="P223" s="7"/>
      <c r="Q223" s="27">
        <v>45978</v>
      </c>
      <c r="R223" s="28" t="str">
        <f t="shared" si="54"/>
        <v>lun</v>
      </c>
      <c r="S223" s="29">
        <v>0.75</v>
      </c>
      <c r="T223" s="19"/>
      <c r="U223" s="19"/>
      <c r="V223" s="19"/>
      <c r="W223" s="30" t="str">
        <f>IF(COUNTIF(T223:V223,"?*")=$T$7,"✅ CUBIERTO",IF(COUNTIF(T223:V223,"?*")&gt;$T$7,"⚠ EXCESO",
IF(COUNTIF(T223:V223,"?*")&gt;0,"⚠ FALTANTE", "❌ SIN COMPLETAR")))</f>
        <v>❌ SIN COMPLETAR</v>
      </c>
    </row>
    <row r="224" spans="1:23" x14ac:dyDescent="0.35">
      <c r="A224" s="27">
        <v>45978</v>
      </c>
      <c r="B224" s="28" t="str">
        <f t="shared" si="52"/>
        <v>lun</v>
      </c>
      <c r="C224" s="29">
        <v>0.79166666666666696</v>
      </c>
      <c r="D224" s="19" t="s">
        <v>30</v>
      </c>
      <c r="E224" s="19"/>
      <c r="F224" s="19"/>
      <c r="G224" s="30" t="str">
        <f>IF(COUNTIF(D224:F224,"?*")=$T$5,"✅ CUBIERTO",
IF(COUNTIF(D224:F224,"?*")&gt;$T$5,"⚠ EXCESO",IF(COUNTIF(D224:F224,"?*")&gt;0,"⚠ FALTANTE",
"❌ SIN COMPLETAR")))</f>
        <v>⚠ FALTANTE</v>
      </c>
      <c r="H224" s="7"/>
      <c r="I224" s="27">
        <v>45978</v>
      </c>
      <c r="J224" s="28" t="str">
        <f t="shared" si="53"/>
        <v>lun</v>
      </c>
      <c r="K224" s="29">
        <v>0.79166666666666696</v>
      </c>
      <c r="L224" s="25"/>
      <c r="M224" s="25"/>
      <c r="N224" s="25"/>
      <c r="O224" s="31" t="s">
        <v>32</v>
      </c>
      <c r="P224" s="7"/>
      <c r="Q224" s="27">
        <v>45978</v>
      </c>
      <c r="R224" s="28" t="str">
        <f t="shared" si="54"/>
        <v>lun</v>
      </c>
      <c r="S224" s="29">
        <v>0.79166666666666696</v>
      </c>
      <c r="T224" s="19"/>
      <c r="U224" s="19"/>
      <c r="V224" s="19"/>
      <c r="W224" s="30" t="str">
        <f>IF(COUNTIF(T224:V224,"?*")=$T$7,"✅ CUBIERTO",IF(COUNTIF(T224:V224,"?*")&gt;$T$7,"⚠ EXCESO",
IF(COUNTIF(T224:V224,"?*")&gt;0,"⚠ FALTANTE", "❌ SIN COMPLETAR")))</f>
        <v>❌ SIN COMPLETAR</v>
      </c>
    </row>
    <row r="225" spans="1:23" x14ac:dyDescent="0.35">
      <c r="A225" s="27">
        <v>45978</v>
      </c>
      <c r="B225" s="28" t="str">
        <f t="shared" si="52"/>
        <v>lun</v>
      </c>
      <c r="C225" s="29">
        <v>0.83333333333333337</v>
      </c>
      <c r="D225" s="25"/>
      <c r="E225" s="25"/>
      <c r="F225" s="25"/>
      <c r="G225" s="30" t="s">
        <v>32</v>
      </c>
      <c r="H225" s="7"/>
      <c r="I225" s="27">
        <v>45978</v>
      </c>
      <c r="J225" s="28" t="str">
        <f t="shared" si="53"/>
        <v>lun</v>
      </c>
      <c r="K225" s="29">
        <v>0.83333333333333337</v>
      </c>
      <c r="L225" s="25"/>
      <c r="M225" s="25"/>
      <c r="N225" s="25"/>
      <c r="O225" s="31" t="s">
        <v>32</v>
      </c>
      <c r="P225" s="7"/>
      <c r="Q225" s="27">
        <v>45978</v>
      </c>
      <c r="R225" s="28" t="str">
        <f t="shared" si="54"/>
        <v>lun</v>
      </c>
      <c r="S225" s="29">
        <v>0.83333333333333337</v>
      </c>
      <c r="T225" s="19"/>
      <c r="U225" s="19"/>
      <c r="V225" s="19"/>
      <c r="W225" s="30" t="str">
        <f>IF(COUNTIF(T225:V225,"?*")=$T$7,"✅ CUBIERTO",IF(COUNTIF(T225:V225,"?*")&gt;$T$7,"⚠ EXCESO",
IF(COUNTIF(T225:V225,"?*")&gt;0,"⚠ FALTANTE", "❌ SIN COMPLETAR")))</f>
        <v>❌ SIN COMPLETAR</v>
      </c>
    </row>
    <row r="226" spans="1:23" x14ac:dyDescent="0.35">
      <c r="A226" s="27">
        <v>45979</v>
      </c>
      <c r="B226" s="28" t="str">
        <f>TEXT(A226,"ddd")</f>
        <v>mar</v>
      </c>
      <c r="C226" s="29">
        <v>0.375</v>
      </c>
      <c r="D226" s="25"/>
      <c r="E226" s="25"/>
      <c r="F226" s="25"/>
      <c r="G226" s="30" t="s">
        <v>32</v>
      </c>
      <c r="H226" s="7"/>
      <c r="I226" s="27">
        <v>45979</v>
      </c>
      <c r="J226" s="28" t="str">
        <f>TEXT(I226,"ddd")</f>
        <v>mar</v>
      </c>
      <c r="K226" s="29">
        <v>0.375</v>
      </c>
      <c r="L226" s="19" t="s">
        <v>7</v>
      </c>
      <c r="M226" s="19"/>
      <c r="N226" s="19"/>
      <c r="O226" s="31" t="str">
        <f>IF(COUNTIF(L226:N226,"?*")=$T$6,"✅ CUBIERTO",IF(COUNTIF(L226:N226,"?*")&gt;$T$6,"⚠ EXCESO",
IF(COUNTIF(L226:N226,"?*")&gt;0,"⚠ FALTANTE", "❌ SIN COMPLETAR")))</f>
        <v>✅ CUBIERTO</v>
      </c>
      <c r="P226" s="7"/>
      <c r="Q226" s="27">
        <v>45979</v>
      </c>
      <c r="R226" s="28" t="str">
        <f>TEXT(Q226,"ddd")</f>
        <v>mar</v>
      </c>
      <c r="S226" s="29">
        <v>0.375</v>
      </c>
      <c r="T226" s="25"/>
      <c r="U226" s="25"/>
      <c r="V226" s="25"/>
      <c r="W226" s="30" t="s">
        <v>32</v>
      </c>
    </row>
    <row r="227" spans="1:23" x14ac:dyDescent="0.35">
      <c r="A227" s="27">
        <v>45979</v>
      </c>
      <c r="B227" s="28" t="str">
        <f>TEXT(A227,"ddd")</f>
        <v>mar</v>
      </c>
      <c r="C227" s="29">
        <v>0.41666666666666669</v>
      </c>
      <c r="D227" s="25"/>
      <c r="E227" s="25"/>
      <c r="F227" s="25"/>
      <c r="G227" s="30" t="s">
        <v>32</v>
      </c>
      <c r="H227" s="7"/>
      <c r="I227" s="27">
        <v>45979</v>
      </c>
      <c r="J227" s="28" t="str">
        <f>TEXT(I227,"ddd")</f>
        <v>mar</v>
      </c>
      <c r="K227" s="29">
        <v>0.41666666666666669</v>
      </c>
      <c r="L227" s="19" t="s">
        <v>7</v>
      </c>
      <c r="M227" s="19"/>
      <c r="N227" s="19"/>
      <c r="O227" s="31" t="str">
        <f>IF(COUNTIF(L227:N227,"?*")=$T$6,"✅ CUBIERTO",IF(COUNTIF(L227:N227,"?*")&gt;$T$6,"⚠ EXCESO",
IF(COUNTIF(L227:N227,"?*")&gt;0,"⚠ FALTANTE", "❌ SIN COMPLETAR")))</f>
        <v>✅ CUBIERTO</v>
      </c>
      <c r="P227" s="7"/>
      <c r="Q227" s="27">
        <v>45979</v>
      </c>
      <c r="R227" s="28" t="str">
        <f>TEXT(Q227,"ddd")</f>
        <v>mar</v>
      </c>
      <c r="S227" s="29">
        <v>0.41666666666666669</v>
      </c>
      <c r="T227" s="19"/>
      <c r="U227" s="19"/>
      <c r="V227" s="19"/>
      <c r="W227" s="30" t="str">
        <f>IF(COUNTIF(T227:V227,"?*")=$T$7,"✅ CUBIERTO",IF(COUNTIF(T227:V227,"?*")&gt;$T$7,"⚠ EXCESO",
IF(COUNTIF(T227:V227,"?*")&gt;0,"⚠ FALTANTE", "❌ SIN COMPLETAR")))</f>
        <v>❌ SIN COMPLETAR</v>
      </c>
    </row>
    <row r="228" spans="1:23" x14ac:dyDescent="0.35">
      <c r="A228" s="27">
        <v>45979</v>
      </c>
      <c r="B228" s="28" t="str">
        <f>TEXT(A228,"ddd")</f>
        <v>mar</v>
      </c>
      <c r="C228" s="29">
        <v>0.45833333333333331</v>
      </c>
      <c r="D228" s="19" t="s">
        <v>3</v>
      </c>
      <c r="E228" s="19" t="s">
        <v>4</v>
      </c>
      <c r="F228" s="19"/>
      <c r="G228" s="30" t="str">
        <f>IF(COUNTIF(D228:F228,"?*")=$T$5,"✅ CUBIERTO",
IF(COUNTIF(D228:F228,"?*")&gt;$T$5,"⚠ EXCESO",IF(COUNTIF(D228:F228,"?*")&gt;0,"⚠ FALTANTE",
"❌ SIN COMPLETAR")))</f>
        <v>✅ CUBIERTO</v>
      </c>
      <c r="H228" s="7"/>
      <c r="I228" s="27">
        <v>45979</v>
      </c>
      <c r="J228" s="28" t="str">
        <f>TEXT(I228,"ddd")</f>
        <v>mar</v>
      </c>
      <c r="K228" s="29">
        <v>0.45833333333333331</v>
      </c>
      <c r="L228" s="19" t="s">
        <v>7</v>
      </c>
      <c r="M228" s="19"/>
      <c r="N228" s="19"/>
      <c r="O228" s="31" t="str">
        <f>IF(COUNTIF(L228:N228,"?*")=$T$6,"✅ CUBIERTO",IF(COUNTIF(L228:N228,"?*")&gt;$T$6,"⚠ EXCESO",
IF(COUNTIF(L228:N228,"?*")&gt;0,"⚠ FALTANTE", "❌ SIN COMPLETAR")))</f>
        <v>✅ CUBIERTO</v>
      </c>
      <c r="P228" s="7"/>
      <c r="Q228" s="27">
        <v>45979</v>
      </c>
      <c r="R228" s="28" t="str">
        <f>TEXT(Q228,"ddd")</f>
        <v>mar</v>
      </c>
      <c r="S228" s="29">
        <v>0.45833333333333331</v>
      </c>
      <c r="T228" s="19"/>
      <c r="U228" s="19"/>
      <c r="V228" s="19"/>
      <c r="W228" s="30" t="str">
        <f>IF(COUNTIF(T228:V228,"?*")=$T$7,"✅ CUBIERTO",IF(COUNTIF(T228:V228,"?*")&gt;$T$7,"⚠ EXCESO",
IF(COUNTIF(T228:V228,"?*")&gt;0,"⚠ FALTANTE", "❌ SIN COMPLETAR")))</f>
        <v>❌ SIN COMPLETAR</v>
      </c>
    </row>
    <row r="229" spans="1:23" x14ac:dyDescent="0.35">
      <c r="A229" s="27">
        <v>45979</v>
      </c>
      <c r="B229" s="28" t="str">
        <f t="shared" ref="B229:B237" si="55">TEXT(A229,"ddd")</f>
        <v>mar</v>
      </c>
      <c r="C229" s="29">
        <v>0.5</v>
      </c>
      <c r="D229" s="19" t="s">
        <v>3</v>
      </c>
      <c r="E229" s="19" t="s">
        <v>4</v>
      </c>
      <c r="F229" s="19"/>
      <c r="G229" s="30" t="str">
        <f>IF(COUNTIF(D229:F229,"?*")=$T$5,"✅ CUBIERTO",
IF(COUNTIF(D229:F229,"?*")&gt;$T$5,"⚠ EXCESO",IF(COUNTIF(D229:F229,"?*")&gt;0,"⚠ FALTANTE",
"❌ SIN COMPLETAR")))</f>
        <v>✅ CUBIERTO</v>
      </c>
      <c r="H229" s="7"/>
      <c r="I229" s="27">
        <v>45979</v>
      </c>
      <c r="J229" s="28" t="str">
        <f t="shared" ref="J229:J237" si="56">TEXT(I229,"ddd")</f>
        <v>mar</v>
      </c>
      <c r="K229" s="29">
        <v>0.5</v>
      </c>
      <c r="L229" s="19" t="s">
        <v>7</v>
      </c>
      <c r="M229" s="19"/>
      <c r="N229" s="19"/>
      <c r="O229" s="31" t="str">
        <f>IF(COUNTIF(L229:N229,"?*")=$T$6,"✅ CUBIERTO",IF(COUNTIF(L229:N229,"?*")&gt;$T$6,"⚠ EXCESO",
IF(COUNTIF(L229:N229,"?*")&gt;0,"⚠ FALTANTE", "❌ SIN COMPLETAR")))</f>
        <v>✅ CUBIERTO</v>
      </c>
      <c r="P229" s="7"/>
      <c r="Q229" s="27">
        <v>45979</v>
      </c>
      <c r="R229" s="28" t="str">
        <f t="shared" ref="R229:R237" si="57">TEXT(Q229,"ddd")</f>
        <v>mar</v>
      </c>
      <c r="S229" s="29">
        <v>0.5</v>
      </c>
      <c r="T229" s="19"/>
      <c r="U229" s="19"/>
      <c r="V229" s="19"/>
      <c r="W229" s="30" t="str">
        <f>IF(COUNTIF(T229:V229,"?*")=$T$7,"✅ CUBIERTO",IF(COUNTIF(T229:V229,"?*")&gt;$T$7,"⚠ EXCESO",
IF(COUNTIF(T229:V229,"?*")&gt;0,"⚠ FALTANTE", "❌ SIN COMPLETAR")))</f>
        <v>❌ SIN COMPLETAR</v>
      </c>
    </row>
    <row r="230" spans="1:23" x14ac:dyDescent="0.35">
      <c r="A230" s="27">
        <v>45979</v>
      </c>
      <c r="B230" s="28" t="str">
        <f t="shared" si="55"/>
        <v>mar</v>
      </c>
      <c r="C230" s="29">
        <v>0.54166666666666696</v>
      </c>
      <c r="D230" s="19" t="s">
        <v>3</v>
      </c>
      <c r="E230" s="19" t="s">
        <v>4</v>
      </c>
      <c r="F230" s="19"/>
      <c r="G230" s="30" t="str">
        <f>IF(COUNTIF(D230:F230,"?*")=$T$5,"✅ CUBIERTO",
IF(COUNTIF(D230:F230,"?*")&gt;$T$5,"⚠ EXCESO",IF(COUNTIF(D230:F230,"?*")&gt;0,"⚠ FALTANTE",
"❌ SIN COMPLETAR")))</f>
        <v>✅ CUBIERTO</v>
      </c>
      <c r="H230" s="7"/>
      <c r="I230" s="27">
        <v>45979</v>
      </c>
      <c r="J230" s="28" t="str">
        <f t="shared" si="56"/>
        <v>mar</v>
      </c>
      <c r="K230" s="29">
        <v>0.54166666666666696</v>
      </c>
      <c r="L230" s="19" t="s">
        <v>7</v>
      </c>
      <c r="M230" s="19"/>
      <c r="N230" s="19"/>
      <c r="O230" s="31" t="str">
        <f>IF(COUNTIF(L230:N230,"?*")=$T$6,"✅ CUBIERTO",IF(COUNTIF(L230:N230,"?*")&gt;$T$6,"⚠ EXCESO",
IF(COUNTIF(L230:N230,"?*")&gt;0,"⚠ FALTANTE", "❌ SIN COMPLETAR")))</f>
        <v>✅ CUBIERTO</v>
      </c>
      <c r="P230" s="7"/>
      <c r="Q230" s="27">
        <v>45979</v>
      </c>
      <c r="R230" s="28" t="str">
        <f t="shared" si="57"/>
        <v>mar</v>
      </c>
      <c r="S230" s="29">
        <v>0.54166666666666696</v>
      </c>
      <c r="T230" s="19"/>
      <c r="U230" s="19"/>
      <c r="V230" s="19"/>
      <c r="W230" s="30" t="str">
        <f>IF(COUNTIF(T230:V230,"?*")=$T$7,"✅ CUBIERTO",IF(COUNTIF(T230:V230,"?*")&gt;$T$7,"⚠ EXCESO",
IF(COUNTIF(T230:V230,"?*")&gt;0,"⚠ FALTANTE", "❌ SIN COMPLETAR")))</f>
        <v>❌ SIN COMPLETAR</v>
      </c>
    </row>
    <row r="231" spans="1:23" x14ac:dyDescent="0.35">
      <c r="A231" s="27">
        <v>45979</v>
      </c>
      <c r="B231" s="28" t="str">
        <f t="shared" si="55"/>
        <v>mar</v>
      </c>
      <c r="C231" s="29">
        <v>0.58333333333333304</v>
      </c>
      <c r="D231" s="19" t="s">
        <v>3</v>
      </c>
      <c r="E231" s="19" t="s">
        <v>4</v>
      </c>
      <c r="F231" s="19"/>
      <c r="G231" s="30" t="str">
        <f>IF(COUNTIF(D231:F231,"?*")=$T$5,"✅ CUBIERTO",
IF(COUNTIF(D231:F231,"?*")&gt;$T$5,"⚠ EXCESO",IF(COUNTIF(D231:F231,"?*")&gt;0,"⚠ FALTANTE",
"❌ SIN COMPLETAR")))</f>
        <v>✅ CUBIERTO</v>
      </c>
      <c r="H231" s="7"/>
      <c r="I231" s="27">
        <v>45979</v>
      </c>
      <c r="J231" s="28" t="str">
        <f t="shared" si="56"/>
        <v>mar</v>
      </c>
      <c r="K231" s="29">
        <v>0.58333333333333304</v>
      </c>
      <c r="L231" s="19" t="s">
        <v>29</v>
      </c>
      <c r="M231" s="19"/>
      <c r="N231" s="19"/>
      <c r="O231" s="31" t="str">
        <f>IF(COUNTIF(L231:N231,"?*")=$T$6,"✅ CUBIERTO",IF(COUNTIF(L231:N231,"?*")&gt;$T$6,"⚠ EXCESO",
IF(COUNTIF(L231:N231,"?*")&gt;0,"⚠ FALTANTE", "❌ SIN COMPLETAR")))</f>
        <v>✅ CUBIERTO</v>
      </c>
      <c r="P231" s="7"/>
      <c r="Q231" s="27">
        <v>45979</v>
      </c>
      <c r="R231" s="28" t="str">
        <f t="shared" si="57"/>
        <v>mar</v>
      </c>
      <c r="S231" s="29">
        <v>0.58333333333333304</v>
      </c>
      <c r="T231" s="19"/>
      <c r="U231" s="19"/>
      <c r="V231" s="19"/>
      <c r="W231" s="30" t="str">
        <f>IF(COUNTIF(T231:V231,"?*")=$T$7,"✅ CUBIERTO",IF(COUNTIF(T231:V231,"?*")&gt;$T$7,"⚠ EXCESO",
IF(COUNTIF(T231:V231,"?*")&gt;0,"⚠ FALTANTE", "❌ SIN COMPLETAR")))</f>
        <v>❌ SIN COMPLETAR</v>
      </c>
    </row>
    <row r="232" spans="1:23" x14ac:dyDescent="0.35">
      <c r="A232" s="27">
        <v>45979</v>
      </c>
      <c r="B232" s="28" t="str">
        <f t="shared" si="55"/>
        <v>mar</v>
      </c>
      <c r="C232" s="29">
        <v>0.625</v>
      </c>
      <c r="D232" s="19" t="s">
        <v>3</v>
      </c>
      <c r="E232" s="19" t="s">
        <v>4</v>
      </c>
      <c r="F232" s="19"/>
      <c r="G232" s="30" t="str">
        <f>IF(COUNTIF(D232:F232,"?*")=$T$5,"✅ CUBIERTO",
IF(COUNTIF(D232:F232,"?*")&gt;$T$5,"⚠ EXCESO",IF(COUNTIF(D232:F232,"?*")&gt;0,"⚠ FALTANTE",
"❌ SIN COMPLETAR")))</f>
        <v>✅ CUBIERTO</v>
      </c>
      <c r="H232" s="7"/>
      <c r="I232" s="27">
        <v>45979</v>
      </c>
      <c r="J232" s="28" t="str">
        <f t="shared" si="56"/>
        <v>mar</v>
      </c>
      <c r="K232" s="29">
        <v>0.625</v>
      </c>
      <c r="L232" s="19" t="s">
        <v>29</v>
      </c>
      <c r="M232" s="19"/>
      <c r="N232" s="19"/>
      <c r="O232" s="31" t="str">
        <f>IF(COUNTIF(L232:N232,"?*")=$T$6,"✅ CUBIERTO",IF(COUNTIF(L232:N232,"?*")&gt;$T$6,"⚠ EXCESO",
IF(COUNTIF(L232:N232,"?*")&gt;0,"⚠ FALTANTE", "❌ SIN COMPLETAR")))</f>
        <v>✅ CUBIERTO</v>
      </c>
      <c r="P232" s="7"/>
      <c r="Q232" s="27">
        <v>45979</v>
      </c>
      <c r="R232" s="28" t="str">
        <f t="shared" si="57"/>
        <v>mar</v>
      </c>
      <c r="S232" s="29">
        <v>0.625</v>
      </c>
      <c r="T232" s="19"/>
      <c r="U232" s="19"/>
      <c r="V232" s="19"/>
      <c r="W232" s="30" t="str">
        <f>IF(COUNTIF(T232:V232,"?*")=$T$7,"✅ CUBIERTO",IF(COUNTIF(T232:V232,"?*")&gt;$T$7,"⚠ EXCESO",
IF(COUNTIF(T232:V232,"?*")&gt;0,"⚠ FALTANTE", "❌ SIN COMPLETAR")))</f>
        <v>❌ SIN COMPLETAR</v>
      </c>
    </row>
    <row r="233" spans="1:23" x14ac:dyDescent="0.35">
      <c r="A233" s="27">
        <v>45979</v>
      </c>
      <c r="B233" s="28" t="str">
        <f t="shared" si="55"/>
        <v>mar</v>
      </c>
      <c r="C233" s="29">
        <v>0.66666666666666696</v>
      </c>
      <c r="D233" s="19" t="s">
        <v>30</v>
      </c>
      <c r="E233" s="19"/>
      <c r="F233" s="19"/>
      <c r="G233" s="30" t="str">
        <f>IF(COUNTIF(D233:F233,"?*")=$T$5,"✅ CUBIERTO",
IF(COUNTIF(D233:F233,"?*")&gt;$T$5,"⚠ EXCESO",IF(COUNTIF(D233:F233,"?*")&gt;0,"⚠ FALTANTE",
"❌ SIN COMPLETAR")))</f>
        <v>⚠ FALTANTE</v>
      </c>
      <c r="H233" s="7"/>
      <c r="I233" s="27">
        <v>45979</v>
      </c>
      <c r="J233" s="28" t="str">
        <f t="shared" si="56"/>
        <v>mar</v>
      </c>
      <c r="K233" s="29">
        <v>0.66666666666666696</v>
      </c>
      <c r="L233" s="19" t="s">
        <v>29</v>
      </c>
      <c r="M233" s="19"/>
      <c r="N233" s="19"/>
      <c r="O233" s="31" t="str">
        <f>IF(COUNTIF(L233:N233,"?*")=$T$6,"✅ CUBIERTO",IF(COUNTIF(L233:N233,"?*")&gt;$T$6,"⚠ EXCESO",
IF(COUNTIF(L233:N233,"?*")&gt;0,"⚠ FALTANTE", "❌ SIN COMPLETAR")))</f>
        <v>✅ CUBIERTO</v>
      </c>
      <c r="P233" s="7"/>
      <c r="Q233" s="27">
        <v>45979</v>
      </c>
      <c r="R233" s="28" t="str">
        <f t="shared" si="57"/>
        <v>mar</v>
      </c>
      <c r="S233" s="29">
        <v>0.66666666666666696</v>
      </c>
      <c r="T233" s="19"/>
      <c r="U233" s="19"/>
      <c r="V233" s="19"/>
      <c r="W233" s="30" t="str">
        <f>IF(COUNTIF(T233:V233,"?*")=$T$7,"✅ CUBIERTO",IF(COUNTIF(T233:V233,"?*")&gt;$T$7,"⚠ EXCESO",
IF(COUNTIF(T233:V233,"?*")&gt;0,"⚠ FALTANTE", "❌ SIN COMPLETAR")))</f>
        <v>❌ SIN COMPLETAR</v>
      </c>
    </row>
    <row r="234" spans="1:23" x14ac:dyDescent="0.35">
      <c r="A234" s="27">
        <v>45979</v>
      </c>
      <c r="B234" s="28" t="str">
        <f t="shared" si="55"/>
        <v>mar</v>
      </c>
      <c r="C234" s="29">
        <v>0.70833333333333304</v>
      </c>
      <c r="D234" s="19" t="s">
        <v>30</v>
      </c>
      <c r="E234" s="19"/>
      <c r="F234" s="19"/>
      <c r="G234" s="30" t="str">
        <f>IF(COUNTIF(D234:F234,"?*")=$T$5,"✅ CUBIERTO",
IF(COUNTIF(D234:F234,"?*")&gt;$T$5,"⚠ EXCESO",IF(COUNTIF(D234:F234,"?*")&gt;0,"⚠ FALTANTE",
"❌ SIN COMPLETAR")))</f>
        <v>⚠ FALTANTE</v>
      </c>
      <c r="H234" s="7"/>
      <c r="I234" s="27">
        <v>45979</v>
      </c>
      <c r="J234" s="28" t="str">
        <f t="shared" si="56"/>
        <v>mar</v>
      </c>
      <c r="K234" s="29">
        <v>0.70833333333333304</v>
      </c>
      <c r="L234" s="19" t="s">
        <v>29</v>
      </c>
      <c r="M234" s="19"/>
      <c r="N234" s="19"/>
      <c r="O234" s="31" t="str">
        <f>IF(COUNTIF(L234:N234,"?*")=$T$6,"✅ CUBIERTO",IF(COUNTIF(L234:N234,"?*")&gt;$T$6,"⚠ EXCESO",
IF(COUNTIF(L234:N234,"?*")&gt;0,"⚠ FALTANTE", "❌ SIN COMPLETAR")))</f>
        <v>✅ CUBIERTO</v>
      </c>
      <c r="P234" s="7"/>
      <c r="Q234" s="27">
        <v>45979</v>
      </c>
      <c r="R234" s="28" t="str">
        <f t="shared" si="57"/>
        <v>mar</v>
      </c>
      <c r="S234" s="29">
        <v>0.70833333333333304</v>
      </c>
      <c r="T234" s="19"/>
      <c r="U234" s="19"/>
      <c r="V234" s="19"/>
      <c r="W234" s="30" t="str">
        <f>IF(COUNTIF(T234:V234,"?*")=$T$7,"✅ CUBIERTO",IF(COUNTIF(T234:V234,"?*")&gt;$T$7,"⚠ EXCESO",
IF(COUNTIF(T234:V234,"?*")&gt;0,"⚠ FALTANTE", "❌ SIN COMPLETAR")))</f>
        <v>❌ SIN COMPLETAR</v>
      </c>
    </row>
    <row r="235" spans="1:23" x14ac:dyDescent="0.35">
      <c r="A235" s="27">
        <v>45979</v>
      </c>
      <c r="B235" s="28" t="str">
        <f t="shared" si="55"/>
        <v>mar</v>
      </c>
      <c r="C235" s="29">
        <v>0.75</v>
      </c>
      <c r="D235" s="19" t="s">
        <v>30</v>
      </c>
      <c r="E235" s="19"/>
      <c r="F235" s="19"/>
      <c r="G235" s="30" t="str">
        <f>IF(COUNTIF(D235:F235,"?*")=$T$5,"✅ CUBIERTO",
IF(COUNTIF(D235:F235,"?*")&gt;$T$5,"⚠ EXCESO",IF(COUNTIF(D235:F235,"?*")&gt;0,"⚠ FALTANTE",
"❌ SIN COMPLETAR")))</f>
        <v>⚠ FALTANTE</v>
      </c>
      <c r="H235" s="7"/>
      <c r="I235" s="27">
        <v>45979</v>
      </c>
      <c r="J235" s="28" t="str">
        <f t="shared" si="56"/>
        <v>mar</v>
      </c>
      <c r="K235" s="29">
        <v>0.75</v>
      </c>
      <c r="L235" s="25"/>
      <c r="M235" s="25"/>
      <c r="N235" s="25"/>
      <c r="O235" s="31" t="s">
        <v>32</v>
      </c>
      <c r="P235" s="7"/>
      <c r="Q235" s="27">
        <v>45979</v>
      </c>
      <c r="R235" s="28" t="str">
        <f t="shared" si="57"/>
        <v>mar</v>
      </c>
      <c r="S235" s="29">
        <v>0.75</v>
      </c>
      <c r="T235" s="19"/>
      <c r="U235" s="19"/>
      <c r="V235" s="19"/>
      <c r="W235" s="30" t="str">
        <f>IF(COUNTIF(T235:V235,"?*")=$T$7,"✅ CUBIERTO",IF(COUNTIF(T235:V235,"?*")&gt;$T$7,"⚠ EXCESO",
IF(COUNTIF(T235:V235,"?*")&gt;0,"⚠ FALTANTE", "❌ SIN COMPLETAR")))</f>
        <v>❌ SIN COMPLETAR</v>
      </c>
    </row>
    <row r="236" spans="1:23" x14ac:dyDescent="0.35">
      <c r="A236" s="27">
        <v>45979</v>
      </c>
      <c r="B236" s="28" t="str">
        <f t="shared" si="55"/>
        <v>mar</v>
      </c>
      <c r="C236" s="29">
        <v>0.79166666666666696</v>
      </c>
      <c r="D236" s="19" t="s">
        <v>30</v>
      </c>
      <c r="E236" s="19"/>
      <c r="F236" s="19"/>
      <c r="G236" s="30" t="str">
        <f>IF(COUNTIF(D236:F236,"?*")=$T$5,"✅ CUBIERTO",
IF(COUNTIF(D236:F236,"?*")&gt;$T$5,"⚠ EXCESO",IF(COUNTIF(D236:F236,"?*")&gt;0,"⚠ FALTANTE",
"❌ SIN COMPLETAR")))</f>
        <v>⚠ FALTANTE</v>
      </c>
      <c r="H236" s="7"/>
      <c r="I236" s="27">
        <v>45979</v>
      </c>
      <c r="J236" s="28" t="str">
        <f t="shared" si="56"/>
        <v>mar</v>
      </c>
      <c r="K236" s="29">
        <v>0.79166666666666696</v>
      </c>
      <c r="L236" s="25"/>
      <c r="M236" s="25"/>
      <c r="N236" s="25"/>
      <c r="O236" s="31" t="s">
        <v>32</v>
      </c>
      <c r="P236" s="7"/>
      <c r="Q236" s="27">
        <v>45979</v>
      </c>
      <c r="R236" s="28" t="str">
        <f t="shared" si="57"/>
        <v>mar</v>
      </c>
      <c r="S236" s="29">
        <v>0.79166666666666696</v>
      </c>
      <c r="T236" s="19"/>
      <c r="U236" s="19"/>
      <c r="V236" s="19"/>
      <c r="W236" s="30" t="str">
        <f>IF(COUNTIF(T236:V236,"?*")=$T$7,"✅ CUBIERTO",IF(COUNTIF(T236:V236,"?*")&gt;$T$7,"⚠ EXCESO",
IF(COUNTIF(T236:V236,"?*")&gt;0,"⚠ FALTANTE", "❌ SIN COMPLETAR")))</f>
        <v>❌ SIN COMPLETAR</v>
      </c>
    </row>
    <row r="237" spans="1:23" x14ac:dyDescent="0.35">
      <c r="A237" s="27">
        <v>45979</v>
      </c>
      <c r="B237" s="28" t="str">
        <f t="shared" si="55"/>
        <v>mar</v>
      </c>
      <c r="C237" s="29">
        <v>0.83333333333333337</v>
      </c>
      <c r="D237" s="25"/>
      <c r="E237" s="25"/>
      <c r="F237" s="25"/>
      <c r="G237" s="30" t="s">
        <v>32</v>
      </c>
      <c r="H237" s="7"/>
      <c r="I237" s="27">
        <v>45979</v>
      </c>
      <c r="J237" s="28" t="str">
        <f t="shared" si="56"/>
        <v>mar</v>
      </c>
      <c r="K237" s="29">
        <v>0.83333333333333337</v>
      </c>
      <c r="L237" s="25"/>
      <c r="M237" s="25"/>
      <c r="N237" s="25"/>
      <c r="O237" s="31" t="s">
        <v>32</v>
      </c>
      <c r="P237" s="7"/>
      <c r="Q237" s="27">
        <v>45979</v>
      </c>
      <c r="R237" s="28" t="str">
        <f t="shared" si="57"/>
        <v>mar</v>
      </c>
      <c r="S237" s="29">
        <v>0.83333333333333337</v>
      </c>
      <c r="T237" s="19"/>
      <c r="U237" s="19"/>
      <c r="V237" s="19"/>
      <c r="W237" s="30" t="str">
        <f>IF(COUNTIF(T237:V237,"?*")=$T$7,"✅ CUBIERTO",IF(COUNTIF(T237:V237,"?*")&gt;$T$7,"⚠ EXCESO",
IF(COUNTIF(T237:V237,"?*")&gt;0,"⚠ FALTANTE", "❌ SIN COMPLETAR")))</f>
        <v>❌ SIN COMPLETAR</v>
      </c>
    </row>
    <row r="238" spans="1:23" x14ac:dyDescent="0.35">
      <c r="A238" s="27">
        <v>45980</v>
      </c>
      <c r="B238" s="28" t="str">
        <f>TEXT(A238,"ddd")</f>
        <v>mié</v>
      </c>
      <c r="C238" s="29">
        <v>0.375</v>
      </c>
      <c r="D238" s="25"/>
      <c r="E238" s="25"/>
      <c r="F238" s="25"/>
      <c r="G238" s="30" t="s">
        <v>32</v>
      </c>
      <c r="H238" s="7"/>
      <c r="I238" s="27">
        <v>45980</v>
      </c>
      <c r="J238" s="28" t="str">
        <f>TEXT(I238,"ddd")</f>
        <v>mié</v>
      </c>
      <c r="K238" s="29">
        <v>0.375</v>
      </c>
      <c r="L238" s="19" t="s">
        <v>7</v>
      </c>
      <c r="M238" s="19"/>
      <c r="N238" s="19"/>
      <c r="O238" s="31" t="str">
        <f>IF(COUNTIF(L238:N238,"?*")=$T$6,"✅ CUBIERTO",IF(COUNTIF(L238:N238,"?*")&gt;$T$6,"⚠ EXCESO",
IF(COUNTIF(L238:N238,"?*")&gt;0,"⚠ FALTANTE", "❌ SIN COMPLETAR")))</f>
        <v>✅ CUBIERTO</v>
      </c>
      <c r="P238" s="7"/>
      <c r="Q238" s="27">
        <v>45980</v>
      </c>
      <c r="R238" s="28" t="str">
        <f>TEXT(Q238,"ddd")</f>
        <v>mié</v>
      </c>
      <c r="S238" s="29">
        <v>0.375</v>
      </c>
      <c r="T238" s="25"/>
      <c r="U238" s="25"/>
      <c r="V238" s="25"/>
      <c r="W238" s="30" t="s">
        <v>32</v>
      </c>
    </row>
    <row r="239" spans="1:23" x14ac:dyDescent="0.35">
      <c r="A239" s="27">
        <v>45980</v>
      </c>
      <c r="B239" s="28" t="str">
        <f>TEXT(A239,"ddd")</f>
        <v>mié</v>
      </c>
      <c r="C239" s="29">
        <v>0.41666666666666669</v>
      </c>
      <c r="D239" s="25"/>
      <c r="E239" s="25"/>
      <c r="F239" s="25"/>
      <c r="G239" s="30" t="s">
        <v>32</v>
      </c>
      <c r="H239" s="7"/>
      <c r="I239" s="27">
        <v>45980</v>
      </c>
      <c r="J239" s="28" t="str">
        <f>TEXT(I239,"ddd")</f>
        <v>mié</v>
      </c>
      <c r="K239" s="29">
        <v>0.41666666666666669</v>
      </c>
      <c r="L239" s="19" t="s">
        <v>7</v>
      </c>
      <c r="M239" s="19"/>
      <c r="N239" s="19"/>
      <c r="O239" s="31" t="str">
        <f>IF(COUNTIF(L239:N239,"?*")=$T$6,"✅ CUBIERTO",IF(COUNTIF(L239:N239,"?*")&gt;$T$6,"⚠ EXCESO",
IF(COUNTIF(L239:N239,"?*")&gt;0,"⚠ FALTANTE", "❌ SIN COMPLETAR")))</f>
        <v>✅ CUBIERTO</v>
      </c>
      <c r="P239" s="7"/>
      <c r="Q239" s="27">
        <v>45980</v>
      </c>
      <c r="R239" s="28" t="str">
        <f>TEXT(Q239,"ddd")</f>
        <v>mié</v>
      </c>
      <c r="S239" s="29">
        <v>0.41666666666666669</v>
      </c>
      <c r="T239" s="19"/>
      <c r="U239" s="19"/>
      <c r="V239" s="19"/>
      <c r="W239" s="30" t="str">
        <f>IF(COUNTIF(T239:V239,"?*")=$T$7,"✅ CUBIERTO",IF(COUNTIF(T239:V239,"?*")&gt;$T$7,"⚠ EXCESO",
IF(COUNTIF(T239:V239,"?*")&gt;0,"⚠ FALTANTE", "❌ SIN COMPLETAR")))</f>
        <v>❌ SIN COMPLETAR</v>
      </c>
    </row>
    <row r="240" spans="1:23" x14ac:dyDescent="0.35">
      <c r="A240" s="27">
        <v>45980</v>
      </c>
      <c r="B240" s="28" t="str">
        <f>TEXT(A240,"ddd")</f>
        <v>mié</v>
      </c>
      <c r="C240" s="29">
        <v>0.45833333333333331</v>
      </c>
      <c r="D240" s="19" t="s">
        <v>3</v>
      </c>
      <c r="E240" s="19" t="s">
        <v>4</v>
      </c>
      <c r="F240" s="19"/>
      <c r="G240" s="30" t="str">
        <f>IF(COUNTIF(D240:F240,"?*")=$T$5,"✅ CUBIERTO",
IF(COUNTIF(D240:F240,"?*")&gt;$T$5,"⚠ EXCESO",IF(COUNTIF(D240:F240,"?*")&gt;0,"⚠ FALTANTE",
"❌ SIN COMPLETAR")))</f>
        <v>✅ CUBIERTO</v>
      </c>
      <c r="H240" s="7"/>
      <c r="I240" s="27">
        <v>45980</v>
      </c>
      <c r="J240" s="28" t="str">
        <f>TEXT(I240,"ddd")</f>
        <v>mié</v>
      </c>
      <c r="K240" s="29">
        <v>0.45833333333333331</v>
      </c>
      <c r="L240" s="19" t="s">
        <v>7</v>
      </c>
      <c r="M240" s="19"/>
      <c r="N240" s="19"/>
      <c r="O240" s="31" t="str">
        <f>IF(COUNTIF(L240:N240,"?*")=$T$6,"✅ CUBIERTO",IF(COUNTIF(L240:N240,"?*")&gt;$T$6,"⚠ EXCESO",
IF(COUNTIF(L240:N240,"?*")&gt;0,"⚠ FALTANTE", "❌ SIN COMPLETAR")))</f>
        <v>✅ CUBIERTO</v>
      </c>
      <c r="P240" s="7"/>
      <c r="Q240" s="27">
        <v>45980</v>
      </c>
      <c r="R240" s="28" t="str">
        <f>TEXT(Q240,"ddd")</f>
        <v>mié</v>
      </c>
      <c r="S240" s="29">
        <v>0.45833333333333331</v>
      </c>
      <c r="T240" s="19"/>
      <c r="U240" s="19"/>
      <c r="V240" s="19"/>
      <c r="W240" s="30" t="str">
        <f>IF(COUNTIF(T240:V240,"?*")=$T$7,"✅ CUBIERTO",IF(COUNTIF(T240:V240,"?*")&gt;$T$7,"⚠ EXCESO",
IF(COUNTIF(T240:V240,"?*")&gt;0,"⚠ FALTANTE", "❌ SIN COMPLETAR")))</f>
        <v>❌ SIN COMPLETAR</v>
      </c>
    </row>
    <row r="241" spans="1:23" x14ac:dyDescent="0.35">
      <c r="A241" s="27">
        <v>45980</v>
      </c>
      <c r="B241" s="28" t="str">
        <f t="shared" ref="B241:B249" si="58">TEXT(A241,"ddd")</f>
        <v>mié</v>
      </c>
      <c r="C241" s="29">
        <v>0.5</v>
      </c>
      <c r="D241" s="19" t="s">
        <v>3</v>
      </c>
      <c r="E241" s="19" t="s">
        <v>4</v>
      </c>
      <c r="F241" s="19"/>
      <c r="G241" s="30" t="str">
        <f>IF(COUNTIF(D241:F241,"?*")=$T$5,"✅ CUBIERTO",
IF(COUNTIF(D241:F241,"?*")&gt;$T$5,"⚠ EXCESO",IF(COUNTIF(D241:F241,"?*")&gt;0,"⚠ FALTANTE",
"❌ SIN COMPLETAR")))</f>
        <v>✅ CUBIERTO</v>
      </c>
      <c r="H241" s="7"/>
      <c r="I241" s="27">
        <v>45980</v>
      </c>
      <c r="J241" s="28" t="str">
        <f t="shared" ref="J241:J249" si="59">TEXT(I241,"ddd")</f>
        <v>mié</v>
      </c>
      <c r="K241" s="29">
        <v>0.5</v>
      </c>
      <c r="L241" s="19" t="s">
        <v>7</v>
      </c>
      <c r="M241" s="19"/>
      <c r="N241" s="19"/>
      <c r="O241" s="31" t="str">
        <f>IF(COUNTIF(L241:N241,"?*")=$T$6,"✅ CUBIERTO",IF(COUNTIF(L241:N241,"?*")&gt;$T$6,"⚠ EXCESO",
IF(COUNTIF(L241:N241,"?*")&gt;0,"⚠ FALTANTE", "❌ SIN COMPLETAR")))</f>
        <v>✅ CUBIERTO</v>
      </c>
      <c r="P241" s="7"/>
      <c r="Q241" s="27">
        <v>45980</v>
      </c>
      <c r="R241" s="28" t="str">
        <f t="shared" ref="R241:R249" si="60">TEXT(Q241,"ddd")</f>
        <v>mié</v>
      </c>
      <c r="S241" s="29">
        <v>0.5</v>
      </c>
      <c r="T241" s="19"/>
      <c r="U241" s="19"/>
      <c r="V241" s="19"/>
      <c r="W241" s="30" t="str">
        <f>IF(COUNTIF(T241:V241,"?*")=$T$7,"✅ CUBIERTO",IF(COUNTIF(T241:V241,"?*")&gt;$T$7,"⚠ EXCESO",
IF(COUNTIF(T241:V241,"?*")&gt;0,"⚠ FALTANTE", "❌ SIN COMPLETAR")))</f>
        <v>❌ SIN COMPLETAR</v>
      </c>
    </row>
    <row r="242" spans="1:23" x14ac:dyDescent="0.35">
      <c r="A242" s="27">
        <v>45980</v>
      </c>
      <c r="B242" s="28" t="str">
        <f t="shared" si="58"/>
        <v>mié</v>
      </c>
      <c r="C242" s="29">
        <v>0.54166666666666696</v>
      </c>
      <c r="D242" s="19" t="s">
        <v>3</v>
      </c>
      <c r="E242" s="19" t="s">
        <v>4</v>
      </c>
      <c r="F242" s="19"/>
      <c r="G242" s="30" t="str">
        <f>IF(COUNTIF(D242:F242,"?*")=$T$5,"✅ CUBIERTO",
IF(COUNTIF(D242:F242,"?*")&gt;$T$5,"⚠ EXCESO",IF(COUNTIF(D242:F242,"?*")&gt;0,"⚠ FALTANTE",
"❌ SIN COMPLETAR")))</f>
        <v>✅ CUBIERTO</v>
      </c>
      <c r="H242" s="7"/>
      <c r="I242" s="27">
        <v>45980</v>
      </c>
      <c r="J242" s="28" t="str">
        <f t="shared" si="59"/>
        <v>mié</v>
      </c>
      <c r="K242" s="29">
        <v>0.54166666666666696</v>
      </c>
      <c r="L242" s="19" t="s">
        <v>7</v>
      </c>
      <c r="M242" s="19"/>
      <c r="N242" s="19"/>
      <c r="O242" s="31" t="str">
        <f>IF(COUNTIF(L242:N242,"?*")=$T$6,"✅ CUBIERTO",IF(COUNTIF(L242:N242,"?*")&gt;$T$6,"⚠ EXCESO",
IF(COUNTIF(L242:N242,"?*")&gt;0,"⚠ FALTANTE", "❌ SIN COMPLETAR")))</f>
        <v>✅ CUBIERTO</v>
      </c>
      <c r="P242" s="7"/>
      <c r="Q242" s="27">
        <v>45980</v>
      </c>
      <c r="R242" s="28" t="str">
        <f t="shared" si="60"/>
        <v>mié</v>
      </c>
      <c r="S242" s="29">
        <v>0.54166666666666696</v>
      </c>
      <c r="T242" s="19"/>
      <c r="U242" s="19"/>
      <c r="V242" s="19"/>
      <c r="W242" s="30" t="str">
        <f>IF(COUNTIF(T242:V242,"?*")=$T$7,"✅ CUBIERTO",IF(COUNTIF(T242:V242,"?*")&gt;$T$7,"⚠ EXCESO",
IF(COUNTIF(T242:V242,"?*")&gt;0,"⚠ FALTANTE", "❌ SIN COMPLETAR")))</f>
        <v>❌ SIN COMPLETAR</v>
      </c>
    </row>
    <row r="243" spans="1:23" x14ac:dyDescent="0.35">
      <c r="A243" s="27">
        <v>45980</v>
      </c>
      <c r="B243" s="28" t="str">
        <f t="shared" si="58"/>
        <v>mié</v>
      </c>
      <c r="C243" s="29">
        <v>0.58333333333333304</v>
      </c>
      <c r="D243" s="19" t="s">
        <v>3</v>
      </c>
      <c r="E243" s="19" t="s">
        <v>4</v>
      </c>
      <c r="F243" s="19"/>
      <c r="G243" s="30" t="str">
        <f>IF(COUNTIF(D243:F243,"?*")=$T$5,"✅ CUBIERTO",
IF(COUNTIF(D243:F243,"?*")&gt;$T$5,"⚠ EXCESO",IF(COUNTIF(D243:F243,"?*")&gt;0,"⚠ FALTANTE",
"❌ SIN COMPLETAR")))</f>
        <v>✅ CUBIERTO</v>
      </c>
      <c r="H243" s="7"/>
      <c r="I243" s="27">
        <v>45980</v>
      </c>
      <c r="J243" s="28" t="str">
        <f t="shared" si="59"/>
        <v>mié</v>
      </c>
      <c r="K243" s="29">
        <v>0.58333333333333304</v>
      </c>
      <c r="L243" s="19" t="s">
        <v>29</v>
      </c>
      <c r="M243" s="19"/>
      <c r="N243" s="19"/>
      <c r="O243" s="31" t="str">
        <f>IF(COUNTIF(L243:N243,"?*")=$T$6,"✅ CUBIERTO",IF(COUNTIF(L243:N243,"?*")&gt;$T$6,"⚠ EXCESO",
IF(COUNTIF(L243:N243,"?*")&gt;0,"⚠ FALTANTE", "❌ SIN COMPLETAR")))</f>
        <v>✅ CUBIERTO</v>
      </c>
      <c r="P243" s="7"/>
      <c r="Q243" s="27">
        <v>45980</v>
      </c>
      <c r="R243" s="28" t="str">
        <f t="shared" si="60"/>
        <v>mié</v>
      </c>
      <c r="S243" s="29">
        <v>0.58333333333333304</v>
      </c>
      <c r="T243" s="19"/>
      <c r="U243" s="19"/>
      <c r="V243" s="19"/>
      <c r="W243" s="30" t="str">
        <f>IF(COUNTIF(T243:V243,"?*")=$T$7,"✅ CUBIERTO",IF(COUNTIF(T243:V243,"?*")&gt;$T$7,"⚠ EXCESO",
IF(COUNTIF(T243:V243,"?*")&gt;0,"⚠ FALTANTE", "❌ SIN COMPLETAR")))</f>
        <v>❌ SIN COMPLETAR</v>
      </c>
    </row>
    <row r="244" spans="1:23" x14ac:dyDescent="0.35">
      <c r="A244" s="27">
        <v>45980</v>
      </c>
      <c r="B244" s="28" t="str">
        <f t="shared" si="58"/>
        <v>mié</v>
      </c>
      <c r="C244" s="29">
        <v>0.625</v>
      </c>
      <c r="D244" s="19" t="s">
        <v>3</v>
      </c>
      <c r="E244" s="19" t="s">
        <v>4</v>
      </c>
      <c r="F244" s="19"/>
      <c r="G244" s="30" t="str">
        <f>IF(COUNTIF(D244:F244,"?*")=$T$5,"✅ CUBIERTO",
IF(COUNTIF(D244:F244,"?*")&gt;$T$5,"⚠ EXCESO",IF(COUNTIF(D244:F244,"?*")&gt;0,"⚠ FALTANTE",
"❌ SIN COMPLETAR")))</f>
        <v>✅ CUBIERTO</v>
      </c>
      <c r="H244" s="7"/>
      <c r="I244" s="27">
        <v>45980</v>
      </c>
      <c r="J244" s="28" t="str">
        <f t="shared" si="59"/>
        <v>mié</v>
      </c>
      <c r="K244" s="29">
        <v>0.625</v>
      </c>
      <c r="L244" s="19" t="s">
        <v>29</v>
      </c>
      <c r="M244" s="19"/>
      <c r="N244" s="19"/>
      <c r="O244" s="31" t="str">
        <f>IF(COUNTIF(L244:N244,"?*")=$T$6,"✅ CUBIERTO",IF(COUNTIF(L244:N244,"?*")&gt;$T$6,"⚠ EXCESO",
IF(COUNTIF(L244:N244,"?*")&gt;0,"⚠ FALTANTE", "❌ SIN COMPLETAR")))</f>
        <v>✅ CUBIERTO</v>
      </c>
      <c r="P244" s="7"/>
      <c r="Q244" s="27">
        <v>45980</v>
      </c>
      <c r="R244" s="28" t="str">
        <f t="shared" si="60"/>
        <v>mié</v>
      </c>
      <c r="S244" s="29">
        <v>0.625</v>
      </c>
      <c r="T244" s="19"/>
      <c r="U244" s="19"/>
      <c r="V244" s="19"/>
      <c r="W244" s="30" t="str">
        <f>IF(COUNTIF(T244:V244,"?*")=$T$7,"✅ CUBIERTO",IF(COUNTIF(T244:V244,"?*")&gt;$T$7,"⚠ EXCESO",
IF(COUNTIF(T244:V244,"?*")&gt;0,"⚠ FALTANTE", "❌ SIN COMPLETAR")))</f>
        <v>❌ SIN COMPLETAR</v>
      </c>
    </row>
    <row r="245" spans="1:23" x14ac:dyDescent="0.35">
      <c r="A245" s="27">
        <v>45980</v>
      </c>
      <c r="B245" s="28" t="str">
        <f t="shared" si="58"/>
        <v>mié</v>
      </c>
      <c r="C245" s="29">
        <v>0.66666666666666696</v>
      </c>
      <c r="D245" s="19" t="s">
        <v>30</v>
      </c>
      <c r="E245" s="19"/>
      <c r="F245" s="19"/>
      <c r="G245" s="30" t="str">
        <f>IF(COUNTIF(D245:F245,"?*")=$T$5,"✅ CUBIERTO",
IF(COUNTIF(D245:F245,"?*")&gt;$T$5,"⚠ EXCESO",IF(COUNTIF(D245:F245,"?*")&gt;0,"⚠ FALTANTE",
"❌ SIN COMPLETAR")))</f>
        <v>⚠ FALTANTE</v>
      </c>
      <c r="H245" s="7"/>
      <c r="I245" s="27">
        <v>45980</v>
      </c>
      <c r="J245" s="28" t="str">
        <f t="shared" si="59"/>
        <v>mié</v>
      </c>
      <c r="K245" s="29">
        <v>0.66666666666666696</v>
      </c>
      <c r="L245" s="19" t="s">
        <v>29</v>
      </c>
      <c r="M245" s="19"/>
      <c r="N245" s="19"/>
      <c r="O245" s="31" t="str">
        <f>IF(COUNTIF(L245:N245,"?*")=$T$6,"✅ CUBIERTO",IF(COUNTIF(L245:N245,"?*")&gt;$T$6,"⚠ EXCESO",
IF(COUNTIF(L245:N245,"?*")&gt;0,"⚠ FALTANTE", "❌ SIN COMPLETAR")))</f>
        <v>✅ CUBIERTO</v>
      </c>
      <c r="P245" s="7"/>
      <c r="Q245" s="27">
        <v>45980</v>
      </c>
      <c r="R245" s="28" t="str">
        <f t="shared" si="60"/>
        <v>mié</v>
      </c>
      <c r="S245" s="29">
        <v>0.66666666666666696</v>
      </c>
      <c r="T245" s="19"/>
      <c r="U245" s="19"/>
      <c r="V245" s="19"/>
      <c r="W245" s="30" t="str">
        <f>IF(COUNTIF(T245:V245,"?*")=$T$7,"✅ CUBIERTO",IF(COUNTIF(T245:V245,"?*")&gt;$T$7,"⚠ EXCESO",
IF(COUNTIF(T245:V245,"?*")&gt;0,"⚠ FALTANTE", "❌ SIN COMPLETAR")))</f>
        <v>❌ SIN COMPLETAR</v>
      </c>
    </row>
    <row r="246" spans="1:23" x14ac:dyDescent="0.35">
      <c r="A246" s="27">
        <v>45980</v>
      </c>
      <c r="B246" s="28" t="str">
        <f t="shared" si="58"/>
        <v>mié</v>
      </c>
      <c r="C246" s="29">
        <v>0.70833333333333304</v>
      </c>
      <c r="D246" s="19" t="s">
        <v>30</v>
      </c>
      <c r="E246" s="19"/>
      <c r="F246" s="19"/>
      <c r="G246" s="30" t="str">
        <f>IF(COUNTIF(D246:F246,"?*")=$T$5,"✅ CUBIERTO",
IF(COUNTIF(D246:F246,"?*")&gt;$T$5,"⚠ EXCESO",IF(COUNTIF(D246:F246,"?*")&gt;0,"⚠ FALTANTE",
"❌ SIN COMPLETAR")))</f>
        <v>⚠ FALTANTE</v>
      </c>
      <c r="H246" s="7"/>
      <c r="I246" s="27">
        <v>45980</v>
      </c>
      <c r="J246" s="28" t="str">
        <f t="shared" si="59"/>
        <v>mié</v>
      </c>
      <c r="K246" s="29">
        <v>0.70833333333333304</v>
      </c>
      <c r="L246" s="19" t="s">
        <v>29</v>
      </c>
      <c r="M246" s="19"/>
      <c r="N246" s="19"/>
      <c r="O246" s="31" t="str">
        <f>IF(COUNTIF(L246:N246,"?*")=$T$6,"✅ CUBIERTO",IF(COUNTIF(L246:N246,"?*")&gt;$T$6,"⚠ EXCESO",
IF(COUNTIF(L246:N246,"?*")&gt;0,"⚠ FALTANTE", "❌ SIN COMPLETAR")))</f>
        <v>✅ CUBIERTO</v>
      </c>
      <c r="P246" s="7"/>
      <c r="Q246" s="27">
        <v>45980</v>
      </c>
      <c r="R246" s="28" t="str">
        <f t="shared" si="60"/>
        <v>mié</v>
      </c>
      <c r="S246" s="29">
        <v>0.70833333333333304</v>
      </c>
      <c r="T246" s="19"/>
      <c r="U246" s="19"/>
      <c r="V246" s="19"/>
      <c r="W246" s="30" t="str">
        <f>IF(COUNTIF(T246:V246,"?*")=$T$7,"✅ CUBIERTO",IF(COUNTIF(T246:V246,"?*")&gt;$T$7,"⚠ EXCESO",
IF(COUNTIF(T246:V246,"?*")&gt;0,"⚠ FALTANTE", "❌ SIN COMPLETAR")))</f>
        <v>❌ SIN COMPLETAR</v>
      </c>
    </row>
    <row r="247" spans="1:23" x14ac:dyDescent="0.35">
      <c r="A247" s="27">
        <v>45980</v>
      </c>
      <c r="B247" s="28" t="str">
        <f t="shared" si="58"/>
        <v>mié</v>
      </c>
      <c r="C247" s="29">
        <v>0.75</v>
      </c>
      <c r="D247" s="19" t="s">
        <v>30</v>
      </c>
      <c r="E247" s="19"/>
      <c r="F247" s="19"/>
      <c r="G247" s="30" t="str">
        <f>IF(COUNTIF(D247:F247,"?*")=$T$5,"✅ CUBIERTO",
IF(COUNTIF(D247:F247,"?*")&gt;$T$5,"⚠ EXCESO",IF(COUNTIF(D247:F247,"?*")&gt;0,"⚠ FALTANTE",
"❌ SIN COMPLETAR")))</f>
        <v>⚠ FALTANTE</v>
      </c>
      <c r="H247" s="7"/>
      <c r="I247" s="27">
        <v>45980</v>
      </c>
      <c r="J247" s="28" t="str">
        <f t="shared" si="59"/>
        <v>mié</v>
      </c>
      <c r="K247" s="29">
        <v>0.75</v>
      </c>
      <c r="L247" s="25"/>
      <c r="M247" s="25"/>
      <c r="N247" s="25"/>
      <c r="O247" s="31" t="s">
        <v>32</v>
      </c>
      <c r="P247" s="7"/>
      <c r="Q247" s="27">
        <v>45980</v>
      </c>
      <c r="R247" s="28" t="str">
        <f t="shared" si="60"/>
        <v>mié</v>
      </c>
      <c r="S247" s="29">
        <v>0.75</v>
      </c>
      <c r="T247" s="19"/>
      <c r="U247" s="19"/>
      <c r="V247" s="19"/>
      <c r="W247" s="30" t="str">
        <f>IF(COUNTIF(T247:V247,"?*")=$T$7,"✅ CUBIERTO",IF(COUNTIF(T247:V247,"?*")&gt;$T$7,"⚠ EXCESO",
IF(COUNTIF(T247:V247,"?*")&gt;0,"⚠ FALTANTE", "❌ SIN COMPLETAR")))</f>
        <v>❌ SIN COMPLETAR</v>
      </c>
    </row>
    <row r="248" spans="1:23" x14ac:dyDescent="0.35">
      <c r="A248" s="27">
        <v>45980</v>
      </c>
      <c r="B248" s="28" t="str">
        <f t="shared" si="58"/>
        <v>mié</v>
      </c>
      <c r="C248" s="29">
        <v>0.79166666666666696</v>
      </c>
      <c r="D248" s="19" t="s">
        <v>30</v>
      </c>
      <c r="E248" s="19"/>
      <c r="F248" s="19"/>
      <c r="G248" s="30" t="str">
        <f>IF(COUNTIF(D248:F248,"?*")=$T$5,"✅ CUBIERTO",
IF(COUNTIF(D248:F248,"?*")&gt;$T$5,"⚠ EXCESO",IF(COUNTIF(D248:F248,"?*")&gt;0,"⚠ FALTANTE",
"❌ SIN COMPLETAR")))</f>
        <v>⚠ FALTANTE</v>
      </c>
      <c r="H248" s="7"/>
      <c r="I248" s="27">
        <v>45980</v>
      </c>
      <c r="J248" s="28" t="str">
        <f t="shared" si="59"/>
        <v>mié</v>
      </c>
      <c r="K248" s="29">
        <v>0.79166666666666696</v>
      </c>
      <c r="L248" s="25"/>
      <c r="M248" s="25"/>
      <c r="N248" s="25"/>
      <c r="O248" s="31" t="s">
        <v>32</v>
      </c>
      <c r="P248" s="7"/>
      <c r="Q248" s="27">
        <v>45980</v>
      </c>
      <c r="R248" s="28" t="str">
        <f t="shared" si="60"/>
        <v>mié</v>
      </c>
      <c r="S248" s="29">
        <v>0.79166666666666696</v>
      </c>
      <c r="T248" s="19"/>
      <c r="U248" s="19"/>
      <c r="V248" s="19"/>
      <c r="W248" s="30" t="str">
        <f>IF(COUNTIF(T248:V248,"?*")=$T$7,"✅ CUBIERTO",IF(COUNTIF(T248:V248,"?*")&gt;$T$7,"⚠ EXCESO",
IF(COUNTIF(T248:V248,"?*")&gt;0,"⚠ FALTANTE", "❌ SIN COMPLETAR")))</f>
        <v>❌ SIN COMPLETAR</v>
      </c>
    </row>
    <row r="249" spans="1:23" x14ac:dyDescent="0.35">
      <c r="A249" s="27">
        <v>45980</v>
      </c>
      <c r="B249" s="28" t="str">
        <f t="shared" si="58"/>
        <v>mié</v>
      </c>
      <c r="C249" s="29">
        <v>0.83333333333333337</v>
      </c>
      <c r="D249" s="25"/>
      <c r="E249" s="25"/>
      <c r="F249" s="25"/>
      <c r="G249" s="30" t="s">
        <v>32</v>
      </c>
      <c r="H249" s="7"/>
      <c r="I249" s="27">
        <v>45980</v>
      </c>
      <c r="J249" s="28" t="str">
        <f t="shared" si="59"/>
        <v>mié</v>
      </c>
      <c r="K249" s="29">
        <v>0.83333333333333337</v>
      </c>
      <c r="L249" s="25"/>
      <c r="M249" s="25"/>
      <c r="N249" s="25"/>
      <c r="O249" s="31" t="s">
        <v>32</v>
      </c>
      <c r="P249" s="7"/>
      <c r="Q249" s="27">
        <v>45980</v>
      </c>
      <c r="R249" s="28" t="str">
        <f t="shared" si="60"/>
        <v>mié</v>
      </c>
      <c r="S249" s="29">
        <v>0.83333333333333337</v>
      </c>
      <c r="T249" s="19"/>
      <c r="U249" s="19"/>
      <c r="V249" s="19"/>
      <c r="W249" s="30" t="str">
        <f>IF(COUNTIF(T249:V249,"?*")=$T$7,"✅ CUBIERTO",IF(COUNTIF(T249:V249,"?*")&gt;$T$7,"⚠ EXCESO",
IF(COUNTIF(T249:V249,"?*")&gt;0,"⚠ FALTANTE", "❌ SIN COMPLETAR")))</f>
        <v>❌ SIN COMPLETAR</v>
      </c>
    </row>
    <row r="250" spans="1:23" x14ac:dyDescent="0.35">
      <c r="A250" s="27">
        <v>45981</v>
      </c>
      <c r="B250" s="28" t="str">
        <f>TEXT(A250,"ddd")</f>
        <v>jue</v>
      </c>
      <c r="C250" s="29">
        <v>0.375</v>
      </c>
      <c r="D250" s="25"/>
      <c r="E250" s="25"/>
      <c r="F250" s="25"/>
      <c r="G250" s="30" t="s">
        <v>32</v>
      </c>
      <c r="H250" s="7"/>
      <c r="I250" s="27">
        <v>45981</v>
      </c>
      <c r="J250" s="28" t="str">
        <f>TEXT(I250,"ddd")</f>
        <v>jue</v>
      </c>
      <c r="K250" s="29">
        <v>0.375</v>
      </c>
      <c r="L250" s="19" t="s">
        <v>7</v>
      </c>
      <c r="M250" s="19"/>
      <c r="N250" s="19"/>
      <c r="O250" s="31" t="str">
        <f>IF(COUNTIF(L250:N250,"?*")=$T$6,"✅ CUBIERTO",IF(COUNTIF(L250:N250,"?*")&gt;$T$6,"⚠ EXCESO",
IF(COUNTIF(L250:N250,"?*")&gt;0,"⚠ FALTANTE", "❌ SIN COMPLETAR")))</f>
        <v>✅ CUBIERTO</v>
      </c>
      <c r="P250" s="7"/>
      <c r="Q250" s="27">
        <v>45981</v>
      </c>
      <c r="R250" s="28" t="str">
        <f>TEXT(Q250,"ddd")</f>
        <v>jue</v>
      </c>
      <c r="S250" s="29">
        <v>0.375</v>
      </c>
      <c r="T250" s="25"/>
      <c r="U250" s="25"/>
      <c r="V250" s="25"/>
      <c r="W250" s="30" t="s">
        <v>32</v>
      </c>
    </row>
    <row r="251" spans="1:23" x14ac:dyDescent="0.35">
      <c r="A251" s="27">
        <v>45981</v>
      </c>
      <c r="B251" s="28" t="str">
        <f>TEXT(A251,"ddd")</f>
        <v>jue</v>
      </c>
      <c r="C251" s="29">
        <v>0.41666666666666669</v>
      </c>
      <c r="D251" s="25"/>
      <c r="E251" s="25"/>
      <c r="F251" s="25"/>
      <c r="G251" s="30" t="s">
        <v>32</v>
      </c>
      <c r="H251" s="7"/>
      <c r="I251" s="27">
        <v>45981</v>
      </c>
      <c r="J251" s="28" t="str">
        <f>TEXT(I251,"ddd")</f>
        <v>jue</v>
      </c>
      <c r="K251" s="29">
        <v>0.41666666666666669</v>
      </c>
      <c r="L251" s="19" t="s">
        <v>7</v>
      </c>
      <c r="M251" s="19"/>
      <c r="N251" s="19"/>
      <c r="O251" s="31" t="str">
        <f>IF(COUNTIF(L251:N251,"?*")=$T$6,"✅ CUBIERTO",IF(COUNTIF(L251:N251,"?*")&gt;$T$6,"⚠ EXCESO",
IF(COUNTIF(L251:N251,"?*")&gt;0,"⚠ FALTANTE", "❌ SIN COMPLETAR")))</f>
        <v>✅ CUBIERTO</v>
      </c>
      <c r="P251" s="7"/>
      <c r="Q251" s="27">
        <v>45981</v>
      </c>
      <c r="R251" s="28" t="str">
        <f>TEXT(Q251,"ddd")</f>
        <v>jue</v>
      </c>
      <c r="S251" s="29">
        <v>0.41666666666666669</v>
      </c>
      <c r="T251" s="19"/>
      <c r="U251" s="19"/>
      <c r="V251" s="19"/>
      <c r="W251" s="30" t="str">
        <f>IF(COUNTIF(T251:V251,"?*")=$T$7,"✅ CUBIERTO",IF(COUNTIF(T251:V251,"?*")&gt;$T$7,"⚠ EXCESO",
IF(COUNTIF(T251:V251,"?*")&gt;0,"⚠ FALTANTE", "❌ SIN COMPLETAR")))</f>
        <v>❌ SIN COMPLETAR</v>
      </c>
    </row>
    <row r="252" spans="1:23" x14ac:dyDescent="0.35">
      <c r="A252" s="27">
        <v>45981</v>
      </c>
      <c r="B252" s="28" t="str">
        <f>TEXT(A252,"ddd")</f>
        <v>jue</v>
      </c>
      <c r="C252" s="29">
        <v>0.45833333333333331</v>
      </c>
      <c r="D252" s="19" t="s">
        <v>3</v>
      </c>
      <c r="E252" s="19" t="s">
        <v>4</v>
      </c>
      <c r="F252" s="19"/>
      <c r="G252" s="30" t="str">
        <f>IF(COUNTIF(D252:F252,"?*")=$T$5,"✅ CUBIERTO",
IF(COUNTIF(D252:F252,"?*")&gt;$T$5,"⚠ EXCESO",IF(COUNTIF(D252:F252,"?*")&gt;0,"⚠ FALTANTE",
"❌ SIN COMPLETAR")))</f>
        <v>✅ CUBIERTO</v>
      </c>
      <c r="H252" s="7"/>
      <c r="I252" s="27">
        <v>45981</v>
      </c>
      <c r="J252" s="28" t="str">
        <f>TEXT(I252,"ddd")</f>
        <v>jue</v>
      </c>
      <c r="K252" s="29">
        <v>0.45833333333333331</v>
      </c>
      <c r="L252" s="19" t="s">
        <v>7</v>
      </c>
      <c r="M252" s="19"/>
      <c r="N252" s="19"/>
      <c r="O252" s="31" t="str">
        <f>IF(COUNTIF(L252:N252,"?*")=$T$6,"✅ CUBIERTO",IF(COUNTIF(L252:N252,"?*")&gt;$T$6,"⚠ EXCESO",
IF(COUNTIF(L252:N252,"?*")&gt;0,"⚠ FALTANTE", "❌ SIN COMPLETAR")))</f>
        <v>✅ CUBIERTO</v>
      </c>
      <c r="P252" s="7"/>
      <c r="Q252" s="27">
        <v>45981</v>
      </c>
      <c r="R252" s="28" t="str">
        <f>TEXT(Q252,"ddd")</f>
        <v>jue</v>
      </c>
      <c r="S252" s="29">
        <v>0.45833333333333331</v>
      </c>
      <c r="T252" s="19"/>
      <c r="U252" s="19"/>
      <c r="V252" s="19"/>
      <c r="W252" s="30" t="str">
        <f>IF(COUNTIF(T252:V252,"?*")=$T$7,"✅ CUBIERTO",IF(COUNTIF(T252:V252,"?*")&gt;$T$7,"⚠ EXCESO",
IF(COUNTIF(T252:V252,"?*")&gt;0,"⚠ FALTANTE", "❌ SIN COMPLETAR")))</f>
        <v>❌ SIN COMPLETAR</v>
      </c>
    </row>
    <row r="253" spans="1:23" x14ac:dyDescent="0.35">
      <c r="A253" s="27">
        <v>45981</v>
      </c>
      <c r="B253" s="28" t="str">
        <f t="shared" ref="B253:B261" si="61">TEXT(A253,"ddd")</f>
        <v>jue</v>
      </c>
      <c r="C253" s="29">
        <v>0.5</v>
      </c>
      <c r="D253" s="19" t="s">
        <v>3</v>
      </c>
      <c r="E253" s="19" t="s">
        <v>4</v>
      </c>
      <c r="F253" s="19"/>
      <c r="G253" s="30" t="str">
        <f>IF(COUNTIF(D253:F253,"?*")=$T$5,"✅ CUBIERTO",
IF(COUNTIF(D253:F253,"?*")&gt;$T$5,"⚠ EXCESO",IF(COUNTIF(D253:F253,"?*")&gt;0,"⚠ FALTANTE",
"❌ SIN COMPLETAR")))</f>
        <v>✅ CUBIERTO</v>
      </c>
      <c r="H253" s="7"/>
      <c r="I253" s="27">
        <v>45981</v>
      </c>
      <c r="J253" s="28" t="str">
        <f t="shared" ref="J253:J261" si="62">TEXT(I253,"ddd")</f>
        <v>jue</v>
      </c>
      <c r="K253" s="29">
        <v>0.5</v>
      </c>
      <c r="L253" s="19" t="s">
        <v>7</v>
      </c>
      <c r="M253" s="19"/>
      <c r="N253" s="19"/>
      <c r="O253" s="31" t="str">
        <f>IF(COUNTIF(L253:N253,"?*")=$T$6,"✅ CUBIERTO",IF(COUNTIF(L253:N253,"?*")&gt;$T$6,"⚠ EXCESO",
IF(COUNTIF(L253:N253,"?*")&gt;0,"⚠ FALTANTE", "❌ SIN COMPLETAR")))</f>
        <v>✅ CUBIERTO</v>
      </c>
      <c r="P253" s="7"/>
      <c r="Q253" s="27">
        <v>45981</v>
      </c>
      <c r="R253" s="28" t="str">
        <f t="shared" ref="R253:R261" si="63">TEXT(Q253,"ddd")</f>
        <v>jue</v>
      </c>
      <c r="S253" s="29">
        <v>0.5</v>
      </c>
      <c r="T253" s="19"/>
      <c r="U253" s="19"/>
      <c r="V253" s="19"/>
      <c r="W253" s="30" t="str">
        <f>IF(COUNTIF(T253:V253,"?*")=$T$7,"✅ CUBIERTO",IF(COUNTIF(T253:V253,"?*")&gt;$T$7,"⚠ EXCESO",
IF(COUNTIF(T253:V253,"?*")&gt;0,"⚠ FALTANTE", "❌ SIN COMPLETAR")))</f>
        <v>❌ SIN COMPLETAR</v>
      </c>
    </row>
    <row r="254" spans="1:23" x14ac:dyDescent="0.35">
      <c r="A254" s="27">
        <v>45981</v>
      </c>
      <c r="B254" s="28" t="str">
        <f t="shared" si="61"/>
        <v>jue</v>
      </c>
      <c r="C254" s="29">
        <v>0.54166666666666696</v>
      </c>
      <c r="D254" s="19" t="s">
        <v>3</v>
      </c>
      <c r="E254" s="19" t="s">
        <v>4</v>
      </c>
      <c r="F254" s="19"/>
      <c r="G254" s="30" t="str">
        <f>IF(COUNTIF(D254:F254,"?*")=$T$5,"✅ CUBIERTO",
IF(COUNTIF(D254:F254,"?*")&gt;$T$5,"⚠ EXCESO",IF(COUNTIF(D254:F254,"?*")&gt;0,"⚠ FALTANTE",
"❌ SIN COMPLETAR")))</f>
        <v>✅ CUBIERTO</v>
      </c>
      <c r="H254" s="7"/>
      <c r="I254" s="27">
        <v>45981</v>
      </c>
      <c r="J254" s="28" t="str">
        <f t="shared" si="62"/>
        <v>jue</v>
      </c>
      <c r="K254" s="29">
        <v>0.54166666666666696</v>
      </c>
      <c r="L254" s="19" t="s">
        <v>7</v>
      </c>
      <c r="M254" s="19"/>
      <c r="N254" s="19"/>
      <c r="O254" s="31" t="str">
        <f>IF(COUNTIF(L254:N254,"?*")=$T$6,"✅ CUBIERTO",IF(COUNTIF(L254:N254,"?*")&gt;$T$6,"⚠ EXCESO",
IF(COUNTIF(L254:N254,"?*")&gt;0,"⚠ FALTANTE", "❌ SIN COMPLETAR")))</f>
        <v>✅ CUBIERTO</v>
      </c>
      <c r="P254" s="7"/>
      <c r="Q254" s="27">
        <v>45981</v>
      </c>
      <c r="R254" s="28" t="str">
        <f t="shared" si="63"/>
        <v>jue</v>
      </c>
      <c r="S254" s="29">
        <v>0.54166666666666696</v>
      </c>
      <c r="T254" s="19"/>
      <c r="U254" s="19"/>
      <c r="V254" s="19"/>
      <c r="W254" s="30" t="str">
        <f>IF(COUNTIF(T254:V254,"?*")=$T$7,"✅ CUBIERTO",IF(COUNTIF(T254:V254,"?*")&gt;$T$7,"⚠ EXCESO",
IF(COUNTIF(T254:V254,"?*")&gt;0,"⚠ FALTANTE", "❌ SIN COMPLETAR")))</f>
        <v>❌ SIN COMPLETAR</v>
      </c>
    </row>
    <row r="255" spans="1:23" x14ac:dyDescent="0.35">
      <c r="A255" s="27">
        <v>45981</v>
      </c>
      <c r="B255" s="28" t="str">
        <f t="shared" si="61"/>
        <v>jue</v>
      </c>
      <c r="C255" s="29">
        <v>0.58333333333333304</v>
      </c>
      <c r="D255" s="19" t="s">
        <v>3</v>
      </c>
      <c r="E255" s="19" t="s">
        <v>4</v>
      </c>
      <c r="F255" s="19"/>
      <c r="G255" s="30" t="str">
        <f>IF(COUNTIF(D255:F255,"?*")=$T$5,"✅ CUBIERTO",
IF(COUNTIF(D255:F255,"?*")&gt;$T$5,"⚠ EXCESO",IF(COUNTIF(D255:F255,"?*")&gt;0,"⚠ FALTANTE",
"❌ SIN COMPLETAR")))</f>
        <v>✅ CUBIERTO</v>
      </c>
      <c r="H255" s="7"/>
      <c r="I255" s="27">
        <v>45981</v>
      </c>
      <c r="J255" s="28" t="str">
        <f t="shared" si="62"/>
        <v>jue</v>
      </c>
      <c r="K255" s="29">
        <v>0.58333333333333304</v>
      </c>
      <c r="L255" s="19" t="s">
        <v>29</v>
      </c>
      <c r="M255" s="19"/>
      <c r="N255" s="19"/>
      <c r="O255" s="31" t="str">
        <f>IF(COUNTIF(L255:N255,"?*")=$T$6,"✅ CUBIERTO",IF(COUNTIF(L255:N255,"?*")&gt;$T$6,"⚠ EXCESO",
IF(COUNTIF(L255:N255,"?*")&gt;0,"⚠ FALTANTE", "❌ SIN COMPLETAR")))</f>
        <v>✅ CUBIERTO</v>
      </c>
      <c r="P255" s="7"/>
      <c r="Q255" s="27">
        <v>45981</v>
      </c>
      <c r="R255" s="28" t="str">
        <f t="shared" si="63"/>
        <v>jue</v>
      </c>
      <c r="S255" s="29">
        <v>0.58333333333333304</v>
      </c>
      <c r="T255" s="19"/>
      <c r="U255" s="19"/>
      <c r="V255" s="19"/>
      <c r="W255" s="30" t="str">
        <f>IF(COUNTIF(T255:V255,"?*")=$T$7,"✅ CUBIERTO",IF(COUNTIF(T255:V255,"?*")&gt;$T$7,"⚠ EXCESO",
IF(COUNTIF(T255:V255,"?*")&gt;0,"⚠ FALTANTE", "❌ SIN COMPLETAR")))</f>
        <v>❌ SIN COMPLETAR</v>
      </c>
    </row>
    <row r="256" spans="1:23" x14ac:dyDescent="0.35">
      <c r="A256" s="27">
        <v>45981</v>
      </c>
      <c r="B256" s="28" t="str">
        <f t="shared" si="61"/>
        <v>jue</v>
      </c>
      <c r="C256" s="29">
        <v>0.625</v>
      </c>
      <c r="D256" s="19" t="s">
        <v>3</v>
      </c>
      <c r="E256" s="19" t="s">
        <v>31</v>
      </c>
      <c r="F256" s="19"/>
      <c r="G256" s="30" t="str">
        <f>IF(COUNTIF(D256:F256,"?*")=$T$5,"✅ CUBIERTO",
IF(COUNTIF(D256:F256,"?*")&gt;$T$5,"⚠ EXCESO",IF(COUNTIF(D256:F256,"?*")&gt;0,"⚠ FALTANTE",
"❌ SIN COMPLETAR")))</f>
        <v>✅ CUBIERTO</v>
      </c>
      <c r="H256" s="7"/>
      <c r="I256" s="27">
        <v>45981</v>
      </c>
      <c r="J256" s="28" t="str">
        <f t="shared" si="62"/>
        <v>jue</v>
      </c>
      <c r="K256" s="29">
        <v>0.625</v>
      </c>
      <c r="L256" s="19" t="s">
        <v>29</v>
      </c>
      <c r="M256" s="19"/>
      <c r="N256" s="19"/>
      <c r="O256" s="31" t="str">
        <f>IF(COUNTIF(L256:N256,"?*")=$T$6,"✅ CUBIERTO",IF(COUNTIF(L256:N256,"?*")&gt;$T$6,"⚠ EXCESO",
IF(COUNTIF(L256:N256,"?*")&gt;0,"⚠ FALTANTE", "❌ SIN COMPLETAR")))</f>
        <v>✅ CUBIERTO</v>
      </c>
      <c r="P256" s="7"/>
      <c r="Q256" s="27">
        <v>45981</v>
      </c>
      <c r="R256" s="28" t="str">
        <f t="shared" si="63"/>
        <v>jue</v>
      </c>
      <c r="S256" s="29">
        <v>0.625</v>
      </c>
      <c r="T256" s="19"/>
      <c r="U256" s="19"/>
      <c r="V256" s="19"/>
      <c r="W256" s="30" t="str">
        <f>IF(COUNTIF(T256:V256,"?*")=$T$7,"✅ CUBIERTO",IF(COUNTIF(T256:V256,"?*")&gt;$T$7,"⚠ EXCESO",
IF(COUNTIF(T256:V256,"?*")&gt;0,"⚠ FALTANTE", "❌ SIN COMPLETAR")))</f>
        <v>❌ SIN COMPLETAR</v>
      </c>
    </row>
    <row r="257" spans="1:23" x14ac:dyDescent="0.35">
      <c r="A257" s="27">
        <v>45981</v>
      </c>
      <c r="B257" s="28" t="str">
        <f t="shared" si="61"/>
        <v>jue</v>
      </c>
      <c r="C257" s="29">
        <v>0.66666666666666696</v>
      </c>
      <c r="D257" s="19" t="s">
        <v>30</v>
      </c>
      <c r="E257" s="19" t="s">
        <v>31</v>
      </c>
      <c r="F257" s="19"/>
      <c r="G257" s="30" t="str">
        <f>IF(COUNTIF(D257:F257,"?*")=$T$5,"✅ CUBIERTO",
IF(COUNTIF(D257:F257,"?*")&gt;$T$5,"⚠ EXCESO",IF(COUNTIF(D257:F257,"?*")&gt;0,"⚠ FALTANTE",
"❌ SIN COMPLETAR")))</f>
        <v>✅ CUBIERTO</v>
      </c>
      <c r="H257" s="7"/>
      <c r="I257" s="27">
        <v>45981</v>
      </c>
      <c r="J257" s="28" t="str">
        <f t="shared" si="62"/>
        <v>jue</v>
      </c>
      <c r="K257" s="29">
        <v>0.66666666666666696</v>
      </c>
      <c r="L257" s="19" t="s">
        <v>29</v>
      </c>
      <c r="M257" s="19"/>
      <c r="N257" s="19"/>
      <c r="O257" s="31" t="str">
        <f>IF(COUNTIF(L257:N257,"?*")=$T$6,"✅ CUBIERTO",IF(COUNTIF(L257:N257,"?*")&gt;$T$6,"⚠ EXCESO",
IF(COUNTIF(L257:N257,"?*")&gt;0,"⚠ FALTANTE", "❌ SIN COMPLETAR")))</f>
        <v>✅ CUBIERTO</v>
      </c>
      <c r="P257" s="7"/>
      <c r="Q257" s="27">
        <v>45981</v>
      </c>
      <c r="R257" s="28" t="str">
        <f t="shared" si="63"/>
        <v>jue</v>
      </c>
      <c r="S257" s="29">
        <v>0.66666666666666696</v>
      </c>
      <c r="T257" s="19"/>
      <c r="U257" s="19"/>
      <c r="V257" s="19"/>
      <c r="W257" s="30" t="str">
        <f>IF(COUNTIF(T257:V257,"?*")=$T$7,"✅ CUBIERTO",IF(COUNTIF(T257:V257,"?*")&gt;$T$7,"⚠ EXCESO",
IF(COUNTIF(T257:V257,"?*")&gt;0,"⚠ FALTANTE", "❌ SIN COMPLETAR")))</f>
        <v>❌ SIN COMPLETAR</v>
      </c>
    </row>
    <row r="258" spans="1:23" x14ac:dyDescent="0.35">
      <c r="A258" s="27">
        <v>45981</v>
      </c>
      <c r="B258" s="28" t="str">
        <f t="shared" si="61"/>
        <v>jue</v>
      </c>
      <c r="C258" s="29">
        <v>0.70833333333333304</v>
      </c>
      <c r="D258" s="19" t="s">
        <v>30</v>
      </c>
      <c r="E258" s="19" t="s">
        <v>31</v>
      </c>
      <c r="F258" s="19"/>
      <c r="G258" s="30" t="str">
        <f>IF(COUNTIF(D258:F258,"?*")=$T$5,"✅ CUBIERTO",
IF(COUNTIF(D258:F258,"?*")&gt;$T$5,"⚠ EXCESO",IF(COUNTIF(D258:F258,"?*")&gt;0,"⚠ FALTANTE",
"❌ SIN COMPLETAR")))</f>
        <v>✅ CUBIERTO</v>
      </c>
      <c r="H258" s="7"/>
      <c r="I258" s="27">
        <v>45981</v>
      </c>
      <c r="J258" s="28" t="str">
        <f t="shared" si="62"/>
        <v>jue</v>
      </c>
      <c r="K258" s="29">
        <v>0.70833333333333304</v>
      </c>
      <c r="L258" s="19" t="s">
        <v>29</v>
      </c>
      <c r="M258" s="19"/>
      <c r="N258" s="19"/>
      <c r="O258" s="31" t="str">
        <f>IF(COUNTIF(L258:N258,"?*")=$T$6,"✅ CUBIERTO",IF(COUNTIF(L258:N258,"?*")&gt;$T$6,"⚠ EXCESO",
IF(COUNTIF(L258:N258,"?*")&gt;0,"⚠ FALTANTE", "❌ SIN COMPLETAR")))</f>
        <v>✅ CUBIERTO</v>
      </c>
      <c r="P258" s="7"/>
      <c r="Q258" s="27">
        <v>45981</v>
      </c>
      <c r="R258" s="28" t="str">
        <f t="shared" si="63"/>
        <v>jue</v>
      </c>
      <c r="S258" s="29">
        <v>0.70833333333333304</v>
      </c>
      <c r="T258" s="19"/>
      <c r="U258" s="19"/>
      <c r="V258" s="19"/>
      <c r="W258" s="30" t="str">
        <f>IF(COUNTIF(T258:V258,"?*")=$T$7,"✅ CUBIERTO",IF(COUNTIF(T258:V258,"?*")&gt;$T$7,"⚠ EXCESO",
IF(COUNTIF(T258:V258,"?*")&gt;0,"⚠ FALTANTE", "❌ SIN COMPLETAR")))</f>
        <v>❌ SIN COMPLETAR</v>
      </c>
    </row>
    <row r="259" spans="1:23" x14ac:dyDescent="0.35">
      <c r="A259" s="27">
        <v>45981</v>
      </c>
      <c r="B259" s="28" t="str">
        <f t="shared" si="61"/>
        <v>jue</v>
      </c>
      <c r="C259" s="29">
        <v>0.75</v>
      </c>
      <c r="D259" s="19" t="s">
        <v>30</v>
      </c>
      <c r="E259" s="19" t="s">
        <v>31</v>
      </c>
      <c r="F259" s="19"/>
      <c r="G259" s="30" t="str">
        <f>IF(COUNTIF(D259:F259,"?*")=$T$5,"✅ CUBIERTO",
IF(COUNTIF(D259:F259,"?*")&gt;$T$5,"⚠ EXCESO",IF(COUNTIF(D259:F259,"?*")&gt;0,"⚠ FALTANTE",
"❌ SIN COMPLETAR")))</f>
        <v>✅ CUBIERTO</v>
      </c>
      <c r="H259" s="7"/>
      <c r="I259" s="27">
        <v>45981</v>
      </c>
      <c r="J259" s="28" t="str">
        <f t="shared" si="62"/>
        <v>jue</v>
      </c>
      <c r="K259" s="29">
        <v>0.75</v>
      </c>
      <c r="L259" s="25"/>
      <c r="M259" s="25"/>
      <c r="N259" s="25"/>
      <c r="O259" s="31" t="s">
        <v>32</v>
      </c>
      <c r="P259" s="7"/>
      <c r="Q259" s="27">
        <v>45981</v>
      </c>
      <c r="R259" s="28" t="str">
        <f t="shared" si="63"/>
        <v>jue</v>
      </c>
      <c r="S259" s="29">
        <v>0.75</v>
      </c>
      <c r="T259" s="19"/>
      <c r="U259" s="19"/>
      <c r="V259" s="19"/>
      <c r="W259" s="30" t="str">
        <f>IF(COUNTIF(T259:V259,"?*")=$T$7,"✅ CUBIERTO",IF(COUNTIF(T259:V259,"?*")&gt;$T$7,"⚠ EXCESO",
IF(COUNTIF(T259:V259,"?*")&gt;0,"⚠ FALTANTE", "❌ SIN COMPLETAR")))</f>
        <v>❌ SIN COMPLETAR</v>
      </c>
    </row>
    <row r="260" spans="1:23" x14ac:dyDescent="0.35">
      <c r="A260" s="27">
        <v>45981</v>
      </c>
      <c r="B260" s="28" t="str">
        <f t="shared" si="61"/>
        <v>jue</v>
      </c>
      <c r="C260" s="29">
        <v>0.79166666666666696</v>
      </c>
      <c r="D260" s="19" t="s">
        <v>30</v>
      </c>
      <c r="E260" s="19" t="s">
        <v>31</v>
      </c>
      <c r="F260" s="19"/>
      <c r="G260" s="30" t="str">
        <f>IF(COUNTIF(D260:F260,"?*")=$T$5,"✅ CUBIERTO",
IF(COUNTIF(D260:F260,"?*")&gt;$T$5,"⚠ EXCESO",IF(COUNTIF(D260:F260,"?*")&gt;0,"⚠ FALTANTE",
"❌ SIN COMPLETAR")))</f>
        <v>✅ CUBIERTO</v>
      </c>
      <c r="H260" s="7"/>
      <c r="I260" s="27">
        <v>45981</v>
      </c>
      <c r="J260" s="28" t="str">
        <f t="shared" si="62"/>
        <v>jue</v>
      </c>
      <c r="K260" s="29">
        <v>0.79166666666666696</v>
      </c>
      <c r="L260" s="25"/>
      <c r="M260" s="25"/>
      <c r="N260" s="25"/>
      <c r="O260" s="31" t="s">
        <v>32</v>
      </c>
      <c r="P260" s="7"/>
      <c r="Q260" s="27">
        <v>45981</v>
      </c>
      <c r="R260" s="28" t="str">
        <f t="shared" si="63"/>
        <v>jue</v>
      </c>
      <c r="S260" s="29">
        <v>0.79166666666666696</v>
      </c>
      <c r="T260" s="19"/>
      <c r="U260" s="19"/>
      <c r="V260" s="19"/>
      <c r="W260" s="30" t="str">
        <f>IF(COUNTIF(T260:V260,"?*")=$T$7,"✅ CUBIERTO",IF(COUNTIF(T260:V260,"?*")&gt;$T$7,"⚠ EXCESO",
IF(COUNTIF(T260:V260,"?*")&gt;0,"⚠ FALTANTE", "❌ SIN COMPLETAR")))</f>
        <v>❌ SIN COMPLETAR</v>
      </c>
    </row>
    <row r="261" spans="1:23" x14ac:dyDescent="0.35">
      <c r="A261" s="27">
        <v>45981</v>
      </c>
      <c r="B261" s="28" t="str">
        <f t="shared" si="61"/>
        <v>jue</v>
      </c>
      <c r="C261" s="29">
        <v>0.83333333333333337</v>
      </c>
      <c r="D261" s="25"/>
      <c r="E261" s="25"/>
      <c r="F261" s="25"/>
      <c r="G261" s="30" t="s">
        <v>32</v>
      </c>
      <c r="H261" s="7"/>
      <c r="I261" s="27">
        <v>45981</v>
      </c>
      <c r="J261" s="28" t="str">
        <f t="shared" si="62"/>
        <v>jue</v>
      </c>
      <c r="K261" s="29">
        <v>0.83333333333333337</v>
      </c>
      <c r="L261" s="25"/>
      <c r="M261" s="25"/>
      <c r="N261" s="25"/>
      <c r="O261" s="31" t="s">
        <v>32</v>
      </c>
      <c r="P261" s="7"/>
      <c r="Q261" s="27">
        <v>45981</v>
      </c>
      <c r="R261" s="28" t="str">
        <f t="shared" si="63"/>
        <v>jue</v>
      </c>
      <c r="S261" s="29">
        <v>0.83333333333333337</v>
      </c>
      <c r="T261" s="19"/>
      <c r="U261" s="19"/>
      <c r="V261" s="19"/>
      <c r="W261" s="30" t="str">
        <f>IF(COUNTIF(T261:V261,"?*")=$T$7,"✅ CUBIERTO",IF(COUNTIF(T261:V261,"?*")&gt;$T$7,"⚠ EXCESO",
IF(COUNTIF(T261:V261,"?*")&gt;0,"⚠ FALTANTE", "❌ SIN COMPLETAR")))</f>
        <v>❌ SIN COMPLETAR</v>
      </c>
    </row>
    <row r="262" spans="1:23" x14ac:dyDescent="0.35">
      <c r="A262" s="27">
        <v>45982</v>
      </c>
      <c r="B262" s="28" t="str">
        <f>TEXT(A262,"ddd")</f>
        <v>vie</v>
      </c>
      <c r="C262" s="29">
        <v>0.375</v>
      </c>
      <c r="D262" s="25"/>
      <c r="E262" s="25"/>
      <c r="F262" s="25"/>
      <c r="G262" s="30" t="s">
        <v>32</v>
      </c>
      <c r="H262" s="7"/>
      <c r="I262" s="27">
        <v>45982</v>
      </c>
      <c r="J262" s="28" t="str">
        <f>TEXT(I262,"ddd")</f>
        <v>vie</v>
      </c>
      <c r="K262" s="29">
        <v>0.375</v>
      </c>
      <c r="L262" s="19" t="s">
        <v>7</v>
      </c>
      <c r="M262" s="19"/>
      <c r="N262" s="19"/>
      <c r="O262" s="31" t="str">
        <f>IF(COUNTIF(L262:N262,"?*")=$T$6,"✅ CUBIERTO",IF(COUNTIF(L262:N262,"?*")&gt;$T$6,"⚠ EXCESO",
IF(COUNTIF(L262:N262,"?*")&gt;0,"⚠ FALTANTE", "❌ SIN COMPLETAR")))</f>
        <v>✅ CUBIERTO</v>
      </c>
      <c r="P262" s="7"/>
      <c r="Q262" s="27">
        <v>45982</v>
      </c>
      <c r="R262" s="28" t="str">
        <f>TEXT(Q262,"ddd")</f>
        <v>vie</v>
      </c>
      <c r="S262" s="29">
        <v>0.375</v>
      </c>
      <c r="T262" s="25"/>
      <c r="U262" s="25"/>
      <c r="V262" s="25"/>
      <c r="W262" s="30" t="s">
        <v>32</v>
      </c>
    </row>
    <row r="263" spans="1:23" x14ac:dyDescent="0.35">
      <c r="A263" s="27">
        <v>45982</v>
      </c>
      <c r="B263" s="28" t="str">
        <f>TEXT(A263,"ddd")</f>
        <v>vie</v>
      </c>
      <c r="C263" s="29">
        <v>0.41666666666666669</v>
      </c>
      <c r="D263" s="25"/>
      <c r="E263" s="25"/>
      <c r="F263" s="25"/>
      <c r="G263" s="30" t="s">
        <v>32</v>
      </c>
      <c r="H263" s="7"/>
      <c r="I263" s="27">
        <v>45982</v>
      </c>
      <c r="J263" s="28" t="str">
        <f>TEXT(I263,"ddd")</f>
        <v>vie</v>
      </c>
      <c r="K263" s="29">
        <v>0.41666666666666669</v>
      </c>
      <c r="L263" s="19" t="s">
        <v>7</v>
      </c>
      <c r="M263" s="19"/>
      <c r="N263" s="19"/>
      <c r="O263" s="31" t="str">
        <f>IF(COUNTIF(L263:N263,"?*")=$T$6,"✅ CUBIERTO",IF(COUNTIF(L263:N263,"?*")&gt;$T$6,"⚠ EXCESO",
IF(COUNTIF(L263:N263,"?*")&gt;0,"⚠ FALTANTE", "❌ SIN COMPLETAR")))</f>
        <v>✅ CUBIERTO</v>
      </c>
      <c r="P263" s="7"/>
      <c r="Q263" s="27">
        <v>45982</v>
      </c>
      <c r="R263" s="28" t="str">
        <f>TEXT(Q263,"ddd")</f>
        <v>vie</v>
      </c>
      <c r="S263" s="29">
        <v>0.41666666666666669</v>
      </c>
      <c r="T263" s="19"/>
      <c r="U263" s="19"/>
      <c r="V263" s="19"/>
      <c r="W263" s="30" t="str">
        <f>IF(COUNTIF(T263:V263,"?*")=$T$7,"✅ CUBIERTO",IF(COUNTIF(T263:V263,"?*")&gt;$T$7,"⚠ EXCESO",
IF(COUNTIF(T263:V263,"?*")&gt;0,"⚠ FALTANTE", "❌ SIN COMPLETAR")))</f>
        <v>❌ SIN COMPLETAR</v>
      </c>
    </row>
    <row r="264" spans="1:23" x14ac:dyDescent="0.35">
      <c r="A264" s="27">
        <v>45982</v>
      </c>
      <c r="B264" s="28" t="str">
        <f>TEXT(A264,"ddd")</f>
        <v>vie</v>
      </c>
      <c r="C264" s="29">
        <v>0.45833333333333331</v>
      </c>
      <c r="D264" s="19" t="s">
        <v>3</v>
      </c>
      <c r="E264" s="19" t="s">
        <v>4</v>
      </c>
      <c r="F264" s="19"/>
      <c r="G264" s="30" t="str">
        <f>IF(COUNTIF(D264:F264,"?*")=$T$5,"✅ CUBIERTO",
IF(COUNTIF(D264:F264,"?*")&gt;$T$5,"⚠ EXCESO",IF(COUNTIF(D264:F264,"?*")&gt;0,"⚠ FALTANTE",
"❌ SIN COMPLETAR")))</f>
        <v>✅ CUBIERTO</v>
      </c>
      <c r="H264" s="7"/>
      <c r="I264" s="27">
        <v>45982</v>
      </c>
      <c r="J264" s="28" t="str">
        <f>TEXT(I264,"ddd")</f>
        <v>vie</v>
      </c>
      <c r="K264" s="29">
        <v>0.45833333333333331</v>
      </c>
      <c r="L264" s="19" t="s">
        <v>7</v>
      </c>
      <c r="M264" s="19"/>
      <c r="N264" s="19"/>
      <c r="O264" s="31" t="str">
        <f>IF(COUNTIF(L264:N264,"?*")=$T$6,"✅ CUBIERTO",IF(COUNTIF(L264:N264,"?*")&gt;$T$6,"⚠ EXCESO",
IF(COUNTIF(L264:N264,"?*")&gt;0,"⚠ FALTANTE", "❌ SIN COMPLETAR")))</f>
        <v>✅ CUBIERTO</v>
      </c>
      <c r="P264" s="7"/>
      <c r="Q264" s="27">
        <v>45982</v>
      </c>
      <c r="R264" s="28" t="str">
        <f>TEXT(Q264,"ddd")</f>
        <v>vie</v>
      </c>
      <c r="S264" s="29">
        <v>0.45833333333333331</v>
      </c>
      <c r="T264" s="19"/>
      <c r="U264" s="19"/>
      <c r="V264" s="19"/>
      <c r="W264" s="30" t="str">
        <f>IF(COUNTIF(T264:V264,"?*")=$T$7,"✅ CUBIERTO",IF(COUNTIF(T264:V264,"?*")&gt;$T$7,"⚠ EXCESO",
IF(COUNTIF(T264:V264,"?*")&gt;0,"⚠ FALTANTE", "❌ SIN COMPLETAR")))</f>
        <v>❌ SIN COMPLETAR</v>
      </c>
    </row>
    <row r="265" spans="1:23" x14ac:dyDescent="0.35">
      <c r="A265" s="27">
        <v>45982</v>
      </c>
      <c r="B265" s="28" t="str">
        <f t="shared" ref="B265:B273" si="64">TEXT(A265,"ddd")</f>
        <v>vie</v>
      </c>
      <c r="C265" s="29">
        <v>0.5</v>
      </c>
      <c r="D265" s="19" t="s">
        <v>3</v>
      </c>
      <c r="E265" s="19" t="s">
        <v>4</v>
      </c>
      <c r="F265" s="19"/>
      <c r="G265" s="30" t="str">
        <f>IF(COUNTIF(D265:F265,"?*")=$T$5,"✅ CUBIERTO",
IF(COUNTIF(D265:F265,"?*")&gt;$T$5,"⚠ EXCESO",IF(COUNTIF(D265:F265,"?*")&gt;0,"⚠ FALTANTE",
"❌ SIN COMPLETAR")))</f>
        <v>✅ CUBIERTO</v>
      </c>
      <c r="H265" s="7"/>
      <c r="I265" s="27">
        <v>45982</v>
      </c>
      <c r="J265" s="28" t="str">
        <f t="shared" ref="J265:J273" si="65">TEXT(I265,"ddd")</f>
        <v>vie</v>
      </c>
      <c r="K265" s="29">
        <v>0.5</v>
      </c>
      <c r="L265" s="19" t="s">
        <v>7</v>
      </c>
      <c r="M265" s="19"/>
      <c r="N265" s="19"/>
      <c r="O265" s="31" t="str">
        <f>IF(COUNTIF(L265:N265,"?*")=$T$6,"✅ CUBIERTO",IF(COUNTIF(L265:N265,"?*")&gt;$T$6,"⚠ EXCESO",
IF(COUNTIF(L265:N265,"?*")&gt;0,"⚠ FALTANTE", "❌ SIN COMPLETAR")))</f>
        <v>✅ CUBIERTO</v>
      </c>
      <c r="P265" s="7"/>
      <c r="Q265" s="27">
        <v>45982</v>
      </c>
      <c r="R265" s="28" t="str">
        <f t="shared" ref="R265:R273" si="66">TEXT(Q265,"ddd")</f>
        <v>vie</v>
      </c>
      <c r="S265" s="29">
        <v>0.5</v>
      </c>
      <c r="T265" s="19"/>
      <c r="U265" s="19"/>
      <c r="V265" s="19"/>
      <c r="W265" s="30" t="str">
        <f>IF(COUNTIF(T265:V265,"?*")=$T$7,"✅ CUBIERTO",IF(COUNTIF(T265:V265,"?*")&gt;$T$7,"⚠ EXCESO",
IF(COUNTIF(T265:V265,"?*")&gt;0,"⚠ FALTANTE", "❌ SIN COMPLETAR")))</f>
        <v>❌ SIN COMPLETAR</v>
      </c>
    </row>
    <row r="266" spans="1:23" x14ac:dyDescent="0.35">
      <c r="A266" s="27">
        <v>45982</v>
      </c>
      <c r="B266" s="28" t="str">
        <f t="shared" si="64"/>
        <v>vie</v>
      </c>
      <c r="C266" s="29">
        <v>0.54166666666666696</v>
      </c>
      <c r="D266" s="19" t="s">
        <v>3</v>
      </c>
      <c r="E266" s="19" t="s">
        <v>4</v>
      </c>
      <c r="F266" s="19"/>
      <c r="G266" s="30" t="str">
        <f>IF(COUNTIF(D266:F266,"?*")=$T$5,"✅ CUBIERTO",
IF(COUNTIF(D266:F266,"?*")&gt;$T$5,"⚠ EXCESO",IF(COUNTIF(D266:F266,"?*")&gt;0,"⚠ FALTANTE",
"❌ SIN COMPLETAR")))</f>
        <v>✅ CUBIERTO</v>
      </c>
      <c r="H266" s="7"/>
      <c r="I266" s="27">
        <v>45982</v>
      </c>
      <c r="J266" s="28" t="str">
        <f t="shared" si="65"/>
        <v>vie</v>
      </c>
      <c r="K266" s="29">
        <v>0.54166666666666696</v>
      </c>
      <c r="L266" s="19" t="s">
        <v>7</v>
      </c>
      <c r="M266" s="19"/>
      <c r="N266" s="19"/>
      <c r="O266" s="31" t="str">
        <f>IF(COUNTIF(L266:N266,"?*")=$T$6,"✅ CUBIERTO",IF(COUNTIF(L266:N266,"?*")&gt;$T$6,"⚠ EXCESO",
IF(COUNTIF(L266:N266,"?*")&gt;0,"⚠ FALTANTE", "❌ SIN COMPLETAR")))</f>
        <v>✅ CUBIERTO</v>
      </c>
      <c r="P266" s="7"/>
      <c r="Q266" s="27">
        <v>45982</v>
      </c>
      <c r="R266" s="28" t="str">
        <f t="shared" si="66"/>
        <v>vie</v>
      </c>
      <c r="S266" s="29">
        <v>0.54166666666666696</v>
      </c>
      <c r="T266" s="19"/>
      <c r="U266" s="19"/>
      <c r="V266" s="19"/>
      <c r="W266" s="30" t="str">
        <f>IF(COUNTIF(T266:V266,"?*")=$T$7,"✅ CUBIERTO",IF(COUNTIF(T266:V266,"?*")&gt;$T$7,"⚠ EXCESO",
IF(COUNTIF(T266:V266,"?*")&gt;0,"⚠ FALTANTE", "❌ SIN COMPLETAR")))</f>
        <v>❌ SIN COMPLETAR</v>
      </c>
    </row>
    <row r="267" spans="1:23" x14ac:dyDescent="0.35">
      <c r="A267" s="27">
        <v>45982</v>
      </c>
      <c r="B267" s="28" t="str">
        <f t="shared" si="64"/>
        <v>vie</v>
      </c>
      <c r="C267" s="29">
        <v>0.58333333333333304</v>
      </c>
      <c r="D267" s="19" t="s">
        <v>3</v>
      </c>
      <c r="E267" s="19" t="s">
        <v>4</v>
      </c>
      <c r="F267" s="19"/>
      <c r="G267" s="30" t="str">
        <f>IF(COUNTIF(D267:F267,"?*")=$T$5,"✅ CUBIERTO",
IF(COUNTIF(D267:F267,"?*")&gt;$T$5,"⚠ EXCESO",IF(COUNTIF(D267:F267,"?*")&gt;0,"⚠ FALTANTE",
"❌ SIN COMPLETAR")))</f>
        <v>✅ CUBIERTO</v>
      </c>
      <c r="H267" s="7"/>
      <c r="I267" s="27">
        <v>45982</v>
      </c>
      <c r="J267" s="28" t="str">
        <f t="shared" si="65"/>
        <v>vie</v>
      </c>
      <c r="K267" s="29">
        <v>0.58333333333333304</v>
      </c>
      <c r="L267" s="19" t="s">
        <v>29</v>
      </c>
      <c r="M267" s="19"/>
      <c r="N267" s="19"/>
      <c r="O267" s="31" t="str">
        <f>IF(COUNTIF(L267:N267,"?*")=$T$6,"✅ CUBIERTO",IF(COUNTIF(L267:N267,"?*")&gt;$T$6,"⚠ EXCESO",
IF(COUNTIF(L267:N267,"?*")&gt;0,"⚠ FALTANTE", "❌ SIN COMPLETAR")))</f>
        <v>✅ CUBIERTO</v>
      </c>
      <c r="P267" s="7"/>
      <c r="Q267" s="27">
        <v>45982</v>
      </c>
      <c r="R267" s="28" t="str">
        <f t="shared" si="66"/>
        <v>vie</v>
      </c>
      <c r="S267" s="29">
        <v>0.58333333333333304</v>
      </c>
      <c r="T267" s="19"/>
      <c r="U267" s="19"/>
      <c r="V267" s="19"/>
      <c r="W267" s="30" t="str">
        <f>IF(COUNTIF(T267:V267,"?*")=$T$7,"✅ CUBIERTO",IF(COUNTIF(T267:V267,"?*")&gt;$T$7,"⚠ EXCESO",
IF(COUNTIF(T267:V267,"?*")&gt;0,"⚠ FALTANTE", "❌ SIN COMPLETAR")))</f>
        <v>❌ SIN COMPLETAR</v>
      </c>
    </row>
    <row r="268" spans="1:23" x14ac:dyDescent="0.35">
      <c r="A268" s="27">
        <v>45982</v>
      </c>
      <c r="B268" s="28" t="str">
        <f t="shared" si="64"/>
        <v>vie</v>
      </c>
      <c r="C268" s="29">
        <v>0.625</v>
      </c>
      <c r="D268" s="19" t="s">
        <v>3</v>
      </c>
      <c r="E268" s="19" t="s">
        <v>4</v>
      </c>
      <c r="F268" s="19"/>
      <c r="G268" s="30" t="str">
        <f>IF(COUNTIF(D268:F268,"?*")=$T$5,"✅ CUBIERTO",
IF(COUNTIF(D268:F268,"?*")&gt;$T$5,"⚠ EXCESO",IF(COUNTIF(D268:F268,"?*")&gt;0,"⚠ FALTANTE",
"❌ SIN COMPLETAR")))</f>
        <v>✅ CUBIERTO</v>
      </c>
      <c r="H268" s="7"/>
      <c r="I268" s="27">
        <v>45982</v>
      </c>
      <c r="J268" s="28" t="str">
        <f t="shared" si="65"/>
        <v>vie</v>
      </c>
      <c r="K268" s="29">
        <v>0.625</v>
      </c>
      <c r="L268" s="19" t="s">
        <v>29</v>
      </c>
      <c r="M268" s="19"/>
      <c r="N268" s="19"/>
      <c r="O268" s="31" t="str">
        <f>IF(COUNTIF(L268:N268,"?*")=$T$6,"✅ CUBIERTO",IF(COUNTIF(L268:N268,"?*")&gt;$T$6,"⚠ EXCESO",
IF(COUNTIF(L268:N268,"?*")&gt;0,"⚠ FALTANTE", "❌ SIN COMPLETAR")))</f>
        <v>✅ CUBIERTO</v>
      </c>
      <c r="P268" s="7"/>
      <c r="Q268" s="27">
        <v>45982</v>
      </c>
      <c r="R268" s="28" t="str">
        <f t="shared" si="66"/>
        <v>vie</v>
      </c>
      <c r="S268" s="29">
        <v>0.625</v>
      </c>
      <c r="T268" s="19"/>
      <c r="U268" s="19"/>
      <c r="V268" s="19"/>
      <c r="W268" s="30" t="str">
        <f>IF(COUNTIF(T268:V268,"?*")=$T$7,"✅ CUBIERTO",IF(COUNTIF(T268:V268,"?*")&gt;$T$7,"⚠ EXCESO",
IF(COUNTIF(T268:V268,"?*")&gt;0,"⚠ FALTANTE", "❌ SIN COMPLETAR")))</f>
        <v>❌ SIN COMPLETAR</v>
      </c>
    </row>
    <row r="269" spans="1:23" x14ac:dyDescent="0.35">
      <c r="A269" s="27">
        <v>45982</v>
      </c>
      <c r="B269" s="28" t="str">
        <f t="shared" si="64"/>
        <v>vie</v>
      </c>
      <c r="C269" s="29">
        <v>0.66666666666666696</v>
      </c>
      <c r="D269" s="19" t="s">
        <v>30</v>
      </c>
      <c r="E269" s="19"/>
      <c r="F269" s="19"/>
      <c r="G269" s="30" t="str">
        <f>IF(COUNTIF(D269:F269,"?*")=$T$5,"✅ CUBIERTO",
IF(COUNTIF(D269:F269,"?*")&gt;$T$5,"⚠ EXCESO",IF(COUNTIF(D269:F269,"?*")&gt;0,"⚠ FALTANTE",
"❌ SIN COMPLETAR")))</f>
        <v>⚠ FALTANTE</v>
      </c>
      <c r="H269" s="7"/>
      <c r="I269" s="27">
        <v>45982</v>
      </c>
      <c r="J269" s="28" t="str">
        <f t="shared" si="65"/>
        <v>vie</v>
      </c>
      <c r="K269" s="29">
        <v>0.66666666666666696</v>
      </c>
      <c r="L269" s="19" t="s">
        <v>29</v>
      </c>
      <c r="M269" s="19"/>
      <c r="N269" s="19"/>
      <c r="O269" s="31" t="str">
        <f>IF(COUNTIF(L269:N269,"?*")=$T$6,"✅ CUBIERTO",IF(COUNTIF(L269:N269,"?*")&gt;$T$6,"⚠ EXCESO",
IF(COUNTIF(L269:N269,"?*")&gt;0,"⚠ FALTANTE", "❌ SIN COMPLETAR")))</f>
        <v>✅ CUBIERTO</v>
      </c>
      <c r="P269" s="7"/>
      <c r="Q269" s="27">
        <v>45982</v>
      </c>
      <c r="R269" s="28" t="str">
        <f t="shared" si="66"/>
        <v>vie</v>
      </c>
      <c r="S269" s="29">
        <v>0.66666666666666696</v>
      </c>
      <c r="T269" s="19"/>
      <c r="U269" s="19"/>
      <c r="V269" s="19"/>
      <c r="W269" s="30" t="str">
        <f>IF(COUNTIF(T269:V269,"?*")=$T$7,"✅ CUBIERTO",IF(COUNTIF(T269:V269,"?*")&gt;$T$7,"⚠ EXCESO",
IF(COUNTIF(T269:V269,"?*")&gt;0,"⚠ FALTANTE", "❌ SIN COMPLETAR")))</f>
        <v>❌ SIN COMPLETAR</v>
      </c>
    </row>
    <row r="270" spans="1:23" x14ac:dyDescent="0.35">
      <c r="A270" s="27">
        <v>45982</v>
      </c>
      <c r="B270" s="28" t="str">
        <f t="shared" si="64"/>
        <v>vie</v>
      </c>
      <c r="C270" s="29">
        <v>0.70833333333333304</v>
      </c>
      <c r="D270" s="19" t="s">
        <v>30</v>
      </c>
      <c r="E270" s="19"/>
      <c r="F270" s="19"/>
      <c r="G270" s="30" t="str">
        <f>IF(COUNTIF(D270:F270,"?*")=$T$5,"✅ CUBIERTO",
IF(COUNTIF(D270:F270,"?*")&gt;$T$5,"⚠ EXCESO",IF(COUNTIF(D270:F270,"?*")&gt;0,"⚠ FALTANTE",
"❌ SIN COMPLETAR")))</f>
        <v>⚠ FALTANTE</v>
      </c>
      <c r="H270" s="7"/>
      <c r="I270" s="27">
        <v>45982</v>
      </c>
      <c r="J270" s="28" t="str">
        <f t="shared" si="65"/>
        <v>vie</v>
      </c>
      <c r="K270" s="29">
        <v>0.70833333333333304</v>
      </c>
      <c r="L270" s="19" t="s">
        <v>29</v>
      </c>
      <c r="M270" s="19"/>
      <c r="N270" s="19"/>
      <c r="O270" s="31" t="str">
        <f>IF(COUNTIF(L270:N270,"?*")=$T$6,"✅ CUBIERTO",IF(COUNTIF(L270:N270,"?*")&gt;$T$6,"⚠ EXCESO",
IF(COUNTIF(L270:N270,"?*")&gt;0,"⚠ FALTANTE", "❌ SIN COMPLETAR")))</f>
        <v>✅ CUBIERTO</v>
      </c>
      <c r="P270" s="7"/>
      <c r="Q270" s="27">
        <v>45982</v>
      </c>
      <c r="R270" s="28" t="str">
        <f t="shared" si="66"/>
        <v>vie</v>
      </c>
      <c r="S270" s="29">
        <v>0.70833333333333304</v>
      </c>
      <c r="T270" s="19"/>
      <c r="U270" s="19"/>
      <c r="V270" s="19"/>
      <c r="W270" s="30" t="str">
        <f>IF(COUNTIF(T270:V270,"?*")=$T$7,"✅ CUBIERTO",IF(COUNTIF(T270:V270,"?*")&gt;$T$7,"⚠ EXCESO",
IF(COUNTIF(T270:V270,"?*")&gt;0,"⚠ FALTANTE", "❌ SIN COMPLETAR")))</f>
        <v>❌ SIN COMPLETAR</v>
      </c>
    </row>
    <row r="271" spans="1:23" x14ac:dyDescent="0.35">
      <c r="A271" s="27">
        <v>45982</v>
      </c>
      <c r="B271" s="28" t="str">
        <f t="shared" si="64"/>
        <v>vie</v>
      </c>
      <c r="C271" s="29">
        <v>0.75</v>
      </c>
      <c r="D271" s="19" t="s">
        <v>30</v>
      </c>
      <c r="E271" s="19"/>
      <c r="F271" s="19"/>
      <c r="G271" s="30" t="str">
        <f>IF(COUNTIF(D271:F271,"?*")=$T$5,"✅ CUBIERTO",
IF(COUNTIF(D271:F271,"?*")&gt;$T$5,"⚠ EXCESO",IF(COUNTIF(D271:F271,"?*")&gt;0,"⚠ FALTANTE",
"❌ SIN COMPLETAR")))</f>
        <v>⚠ FALTANTE</v>
      </c>
      <c r="H271" s="7"/>
      <c r="I271" s="27">
        <v>45982</v>
      </c>
      <c r="J271" s="28" t="str">
        <f t="shared" si="65"/>
        <v>vie</v>
      </c>
      <c r="K271" s="29">
        <v>0.75</v>
      </c>
      <c r="L271" s="25"/>
      <c r="M271" s="25"/>
      <c r="N271" s="25"/>
      <c r="O271" s="31" t="s">
        <v>32</v>
      </c>
      <c r="P271" s="7"/>
      <c r="Q271" s="27">
        <v>45982</v>
      </c>
      <c r="R271" s="28" t="str">
        <f t="shared" si="66"/>
        <v>vie</v>
      </c>
      <c r="S271" s="29">
        <v>0.75</v>
      </c>
      <c r="T271" s="19"/>
      <c r="U271" s="19"/>
      <c r="V271" s="19"/>
      <c r="W271" s="30" t="str">
        <f>IF(COUNTIF(T271:V271,"?*")=$T$7,"✅ CUBIERTO",IF(COUNTIF(T271:V271,"?*")&gt;$T$7,"⚠ EXCESO",
IF(COUNTIF(T271:V271,"?*")&gt;0,"⚠ FALTANTE", "❌ SIN COMPLETAR")))</f>
        <v>❌ SIN COMPLETAR</v>
      </c>
    </row>
    <row r="272" spans="1:23" x14ac:dyDescent="0.35">
      <c r="A272" s="27">
        <v>45982</v>
      </c>
      <c r="B272" s="28" t="str">
        <f t="shared" si="64"/>
        <v>vie</v>
      </c>
      <c r="C272" s="29">
        <v>0.79166666666666696</v>
      </c>
      <c r="D272" s="19" t="s">
        <v>30</v>
      </c>
      <c r="E272" s="19"/>
      <c r="F272" s="19"/>
      <c r="G272" s="30" t="str">
        <f>IF(COUNTIF(D272:F272,"?*")=$T$5,"✅ CUBIERTO",
IF(COUNTIF(D272:F272,"?*")&gt;$T$5,"⚠ EXCESO",IF(COUNTIF(D272:F272,"?*")&gt;0,"⚠ FALTANTE",
"❌ SIN COMPLETAR")))</f>
        <v>⚠ FALTANTE</v>
      </c>
      <c r="H272" s="7"/>
      <c r="I272" s="27">
        <v>45982</v>
      </c>
      <c r="J272" s="28" t="str">
        <f t="shared" si="65"/>
        <v>vie</v>
      </c>
      <c r="K272" s="29">
        <v>0.79166666666666696</v>
      </c>
      <c r="L272" s="25"/>
      <c r="M272" s="25"/>
      <c r="N272" s="25"/>
      <c r="O272" s="31" t="s">
        <v>32</v>
      </c>
      <c r="P272" s="7"/>
      <c r="Q272" s="27">
        <v>45982</v>
      </c>
      <c r="R272" s="28" t="str">
        <f t="shared" si="66"/>
        <v>vie</v>
      </c>
      <c r="S272" s="29">
        <v>0.79166666666666696</v>
      </c>
      <c r="T272" s="19"/>
      <c r="U272" s="19"/>
      <c r="V272" s="19"/>
      <c r="W272" s="30" t="str">
        <f>IF(COUNTIF(T272:V272,"?*")=$T$7,"✅ CUBIERTO",IF(COUNTIF(T272:V272,"?*")&gt;$T$7,"⚠ EXCESO",
IF(COUNTIF(T272:V272,"?*")&gt;0,"⚠ FALTANTE", "❌ SIN COMPLETAR")))</f>
        <v>❌ SIN COMPLETAR</v>
      </c>
    </row>
    <row r="273" spans="1:23" x14ac:dyDescent="0.35">
      <c r="A273" s="27">
        <v>45982</v>
      </c>
      <c r="B273" s="28" t="str">
        <f t="shared" si="64"/>
        <v>vie</v>
      </c>
      <c r="C273" s="29">
        <v>0.83333333333333337</v>
      </c>
      <c r="D273" s="25"/>
      <c r="E273" s="25"/>
      <c r="F273" s="25"/>
      <c r="G273" s="30" t="s">
        <v>32</v>
      </c>
      <c r="H273" s="7"/>
      <c r="I273" s="27">
        <v>45982</v>
      </c>
      <c r="J273" s="28" t="str">
        <f t="shared" si="65"/>
        <v>vie</v>
      </c>
      <c r="K273" s="29">
        <v>0.83333333333333337</v>
      </c>
      <c r="L273" s="25"/>
      <c r="M273" s="25"/>
      <c r="N273" s="25"/>
      <c r="O273" s="31" t="s">
        <v>32</v>
      </c>
      <c r="P273" s="7"/>
      <c r="Q273" s="27">
        <v>45982</v>
      </c>
      <c r="R273" s="28" t="str">
        <f t="shared" si="66"/>
        <v>vie</v>
      </c>
      <c r="S273" s="29">
        <v>0.83333333333333337</v>
      </c>
      <c r="T273" s="19"/>
      <c r="U273" s="19"/>
      <c r="V273" s="19"/>
      <c r="W273" s="30" t="str">
        <f>IF(COUNTIF(T273:V273,"?*")=$T$7,"✅ CUBIERTO",IF(COUNTIF(T273:V273,"?*")&gt;$T$7,"⚠ EXCESO",
IF(COUNTIF(T273:V273,"?*")&gt;0,"⚠ FALTANTE", "❌ SIN COMPLETAR")))</f>
        <v>❌ SIN COMPLETAR</v>
      </c>
    </row>
    <row r="274" spans="1:23" x14ac:dyDescent="0.35">
      <c r="A274" s="27">
        <v>45983</v>
      </c>
      <c r="B274" s="28" t="str">
        <f>TEXT(A274,"ddd")</f>
        <v>sáb</v>
      </c>
      <c r="C274" s="29">
        <v>0.375</v>
      </c>
      <c r="D274" s="25"/>
      <c r="E274" s="25"/>
      <c r="F274" s="25"/>
      <c r="G274" s="30" t="s">
        <v>32</v>
      </c>
      <c r="H274" s="7"/>
      <c r="I274" s="27">
        <v>45983</v>
      </c>
      <c r="J274" s="28" t="str">
        <f>TEXT(I274,"ddd")</f>
        <v>sáb</v>
      </c>
      <c r="K274" s="29">
        <v>0.375</v>
      </c>
      <c r="L274" s="25"/>
      <c r="M274" s="25"/>
      <c r="N274" s="25"/>
      <c r="O274" s="30" t="s">
        <v>32</v>
      </c>
      <c r="P274" s="7"/>
      <c r="Q274" s="27">
        <v>45983</v>
      </c>
      <c r="R274" s="28" t="str">
        <f>TEXT(Q274,"ddd")</f>
        <v>sáb</v>
      </c>
      <c r="S274" s="29">
        <v>0.375</v>
      </c>
      <c r="T274" s="25"/>
      <c r="U274" s="25"/>
      <c r="V274" s="25"/>
      <c r="W274" s="30" t="s">
        <v>32</v>
      </c>
    </row>
    <row r="275" spans="1:23" x14ac:dyDescent="0.35">
      <c r="A275" s="27">
        <v>45983</v>
      </c>
      <c r="B275" s="28" t="str">
        <f>TEXT(A275,"ddd")</f>
        <v>sáb</v>
      </c>
      <c r="C275" s="29">
        <v>0.41666666666666669</v>
      </c>
      <c r="D275" s="25"/>
      <c r="E275" s="25"/>
      <c r="F275" s="25"/>
      <c r="G275" s="30" t="s">
        <v>32</v>
      </c>
      <c r="H275" s="7"/>
      <c r="I275" s="27">
        <v>45983</v>
      </c>
      <c r="J275" s="28" t="str">
        <f>TEXT(I275,"ddd")</f>
        <v>sáb</v>
      </c>
      <c r="K275" s="29">
        <v>0.41666666666666669</v>
      </c>
      <c r="L275" s="25"/>
      <c r="M275" s="25"/>
      <c r="N275" s="25"/>
      <c r="O275" s="30" t="s">
        <v>32</v>
      </c>
      <c r="P275" s="7"/>
      <c r="Q275" s="27">
        <v>45983</v>
      </c>
      <c r="R275" s="28" t="str">
        <f>TEXT(Q275,"ddd")</f>
        <v>sáb</v>
      </c>
      <c r="S275" s="29">
        <v>0.41666666666666669</v>
      </c>
      <c r="T275" s="19"/>
      <c r="U275" s="19"/>
      <c r="V275" s="19"/>
      <c r="W275" s="30" t="str">
        <f>IF(COUNTIF(T275:V275,"?*")=$T$7,"✅ CUBIERTO",IF(COUNTIF(T275:V275,"?*")&gt;$T$7,"⚠ EXCESO",
IF(COUNTIF(T275:V275,"?*")&gt;0,"⚠ FALTANTE", "❌ SIN COMPLETAR")))</f>
        <v>❌ SIN COMPLETAR</v>
      </c>
    </row>
    <row r="276" spans="1:23" x14ac:dyDescent="0.35">
      <c r="A276" s="27">
        <v>45983</v>
      </c>
      <c r="B276" s="28" t="str">
        <f>TEXT(A276,"ddd")</f>
        <v>sáb</v>
      </c>
      <c r="C276" s="29">
        <v>0.45833333333333331</v>
      </c>
      <c r="D276" s="19" t="s">
        <v>31</v>
      </c>
      <c r="E276" s="19"/>
      <c r="F276" s="19"/>
      <c r="G276" s="30" t="str">
        <f>IF(COUNTIF(D276:F276,"?*")=$T$5,"✅ CUBIERTO",
IF(COUNTIF(D276:F276,"?*")&gt;$T$5,"⚠ EXCESO",IF(COUNTIF(D276:F276,"?*")&gt;0,"⚠ FALTANTE",
"❌ SIN COMPLETAR")))</f>
        <v>⚠ FALTANTE</v>
      </c>
      <c r="H276" s="7"/>
      <c r="I276" s="27">
        <v>45983</v>
      </c>
      <c r="J276" s="28" t="str">
        <f>TEXT(I276,"ddd")</f>
        <v>sáb</v>
      </c>
      <c r="K276" s="29">
        <v>0.45833333333333331</v>
      </c>
      <c r="L276" s="25"/>
      <c r="M276" s="25"/>
      <c r="N276" s="25"/>
      <c r="O276" s="30" t="s">
        <v>32</v>
      </c>
      <c r="P276" s="7"/>
      <c r="Q276" s="27">
        <v>45983</v>
      </c>
      <c r="R276" s="28" t="str">
        <f>TEXT(Q276,"ddd")</f>
        <v>sáb</v>
      </c>
      <c r="S276" s="29">
        <v>0.45833333333333331</v>
      </c>
      <c r="T276" s="19"/>
      <c r="U276" s="19"/>
      <c r="V276" s="19"/>
      <c r="W276" s="30" t="str">
        <f>IF(COUNTIF(T276:V276,"?*")=$T$7,"✅ CUBIERTO",IF(COUNTIF(T276:V276,"?*")&gt;$T$7,"⚠ EXCESO",
IF(COUNTIF(T276:V276,"?*")&gt;0,"⚠ FALTANTE", "❌ SIN COMPLETAR")))</f>
        <v>❌ SIN COMPLETAR</v>
      </c>
    </row>
    <row r="277" spans="1:23" x14ac:dyDescent="0.35">
      <c r="A277" s="27">
        <v>45983</v>
      </c>
      <c r="B277" s="28" t="str">
        <f t="shared" ref="B277:B288" si="67">TEXT(A277,"ddd")</f>
        <v>sáb</v>
      </c>
      <c r="C277" s="29">
        <v>0.5</v>
      </c>
      <c r="D277" s="19" t="s">
        <v>31</v>
      </c>
      <c r="E277" s="19"/>
      <c r="F277" s="19"/>
      <c r="G277" s="30" t="str">
        <f>IF(COUNTIF(D277:F277,"?*")=$T$5,"✅ CUBIERTO",
IF(COUNTIF(D277:F277,"?*")&gt;$T$5,"⚠ EXCESO",IF(COUNTIF(D277:F277,"?*")&gt;0,"⚠ FALTANTE",
"❌ SIN COMPLETAR")))</f>
        <v>⚠ FALTANTE</v>
      </c>
      <c r="H277" s="7"/>
      <c r="I277" s="27">
        <v>45983</v>
      </c>
      <c r="J277" s="28" t="str">
        <f t="shared" ref="J277:J288" si="68">TEXT(I277,"ddd")</f>
        <v>sáb</v>
      </c>
      <c r="K277" s="29">
        <v>0.5</v>
      </c>
      <c r="L277" s="25"/>
      <c r="M277" s="25"/>
      <c r="N277" s="25"/>
      <c r="O277" s="30" t="s">
        <v>32</v>
      </c>
      <c r="P277" s="7"/>
      <c r="Q277" s="27">
        <v>45983</v>
      </c>
      <c r="R277" s="28" t="str">
        <f t="shared" ref="R277:R288" si="69">TEXT(Q277,"ddd")</f>
        <v>sáb</v>
      </c>
      <c r="S277" s="29">
        <v>0.5</v>
      </c>
      <c r="T277" s="19"/>
      <c r="U277" s="19"/>
      <c r="V277" s="19"/>
      <c r="W277" s="30" t="str">
        <f>IF(COUNTIF(T277:V277,"?*")=$T$7,"✅ CUBIERTO",IF(COUNTIF(T277:V277,"?*")&gt;$T$7,"⚠ EXCESO",
IF(COUNTIF(T277:V277,"?*")&gt;0,"⚠ FALTANTE", "❌ SIN COMPLETAR")))</f>
        <v>❌ SIN COMPLETAR</v>
      </c>
    </row>
    <row r="278" spans="1:23" x14ac:dyDescent="0.35">
      <c r="A278" s="27">
        <v>45983</v>
      </c>
      <c r="B278" s="28" t="str">
        <f t="shared" si="67"/>
        <v>sáb</v>
      </c>
      <c r="C278" s="29">
        <v>0.54166666666666696</v>
      </c>
      <c r="D278" s="19" t="s">
        <v>31</v>
      </c>
      <c r="E278" s="19"/>
      <c r="F278" s="19"/>
      <c r="G278" s="30" t="str">
        <f>IF(COUNTIF(D278:F278,"?*")=$T$5,"✅ CUBIERTO",
IF(COUNTIF(D278:F278,"?*")&gt;$T$5,"⚠ EXCESO",IF(COUNTIF(D278:F278,"?*")&gt;0,"⚠ FALTANTE",
"❌ SIN COMPLETAR")))</f>
        <v>⚠ FALTANTE</v>
      </c>
      <c r="H278" s="7"/>
      <c r="I278" s="27">
        <v>45983</v>
      </c>
      <c r="J278" s="28" t="str">
        <f t="shared" si="68"/>
        <v>sáb</v>
      </c>
      <c r="K278" s="29">
        <v>0.54166666666666696</v>
      </c>
      <c r="L278" s="25"/>
      <c r="M278" s="25"/>
      <c r="N278" s="25"/>
      <c r="O278" s="30" t="s">
        <v>32</v>
      </c>
      <c r="P278" s="7"/>
      <c r="Q278" s="27">
        <v>45983</v>
      </c>
      <c r="R278" s="28" t="str">
        <f t="shared" si="69"/>
        <v>sáb</v>
      </c>
      <c r="S278" s="29">
        <v>0.54166666666666696</v>
      </c>
      <c r="T278" s="19"/>
      <c r="U278" s="19"/>
      <c r="V278" s="19"/>
      <c r="W278" s="30" t="str">
        <f>IF(COUNTIF(T278:V278,"?*")=$T$7,"✅ CUBIERTO",IF(COUNTIF(T278:V278,"?*")&gt;$T$7,"⚠ EXCESO",
IF(COUNTIF(T278:V278,"?*")&gt;0,"⚠ FALTANTE", "❌ SIN COMPLETAR")))</f>
        <v>❌ SIN COMPLETAR</v>
      </c>
    </row>
    <row r="279" spans="1:23" x14ac:dyDescent="0.35">
      <c r="A279" s="27">
        <v>45983</v>
      </c>
      <c r="B279" s="28" t="str">
        <f t="shared" si="67"/>
        <v>sáb</v>
      </c>
      <c r="C279" s="29">
        <v>0.58333333333333304</v>
      </c>
      <c r="D279" s="19" t="s">
        <v>31</v>
      </c>
      <c r="E279" s="19"/>
      <c r="F279" s="19"/>
      <c r="G279" s="30" t="str">
        <f>IF(COUNTIF(D279:F279,"?*")=$T$5,"✅ CUBIERTO",
IF(COUNTIF(D279:F279,"?*")&gt;$T$5,"⚠ EXCESO",IF(COUNTIF(D279:F279,"?*")&gt;0,"⚠ FALTANTE",
"❌ SIN COMPLETAR")))</f>
        <v>⚠ FALTANTE</v>
      </c>
      <c r="H279" s="7"/>
      <c r="I279" s="27">
        <v>45983</v>
      </c>
      <c r="J279" s="28" t="str">
        <f t="shared" si="68"/>
        <v>sáb</v>
      </c>
      <c r="K279" s="29">
        <v>0.58333333333333304</v>
      </c>
      <c r="L279" s="25"/>
      <c r="M279" s="25"/>
      <c r="N279" s="25"/>
      <c r="O279" s="30" t="s">
        <v>32</v>
      </c>
      <c r="P279" s="7"/>
      <c r="Q279" s="27">
        <v>45983</v>
      </c>
      <c r="R279" s="28" t="str">
        <f t="shared" si="69"/>
        <v>sáb</v>
      </c>
      <c r="S279" s="29">
        <v>0.58333333333333304</v>
      </c>
      <c r="T279" s="19"/>
      <c r="U279" s="19"/>
      <c r="V279" s="19"/>
      <c r="W279" s="30" t="str">
        <f>IF(COUNTIF(T279:V279,"?*")=$T$7,"✅ CUBIERTO",IF(COUNTIF(T279:V279,"?*")&gt;$T$7,"⚠ EXCESO",
IF(COUNTIF(T279:V279,"?*")&gt;0,"⚠ FALTANTE", "❌ SIN COMPLETAR")))</f>
        <v>❌ SIN COMPLETAR</v>
      </c>
    </row>
    <row r="280" spans="1:23" x14ac:dyDescent="0.35">
      <c r="A280" s="27">
        <v>45983</v>
      </c>
      <c r="B280" s="28" t="str">
        <f t="shared" si="67"/>
        <v>sáb</v>
      </c>
      <c r="C280" s="29">
        <v>0.625</v>
      </c>
      <c r="D280" s="19" t="s">
        <v>31</v>
      </c>
      <c r="E280" s="19"/>
      <c r="F280" s="19"/>
      <c r="G280" s="30" t="str">
        <f>IF(COUNTIF(D280:F280,"?*")=$T$5,"✅ CUBIERTO",
IF(COUNTIF(D280:F280,"?*")&gt;$T$5,"⚠ EXCESO",IF(COUNTIF(D280:F280,"?*")&gt;0,"⚠ FALTANTE",
"❌ SIN COMPLETAR")))</f>
        <v>⚠ FALTANTE</v>
      </c>
      <c r="H280" s="7"/>
      <c r="I280" s="27">
        <v>45983</v>
      </c>
      <c r="J280" s="28" t="str">
        <f t="shared" si="68"/>
        <v>sáb</v>
      </c>
      <c r="K280" s="29">
        <v>0.625</v>
      </c>
      <c r="L280" s="25"/>
      <c r="M280" s="25"/>
      <c r="N280" s="25"/>
      <c r="O280" s="30" t="s">
        <v>32</v>
      </c>
      <c r="P280" s="7"/>
      <c r="Q280" s="27">
        <v>45983</v>
      </c>
      <c r="R280" s="28" t="str">
        <f t="shared" si="69"/>
        <v>sáb</v>
      </c>
      <c r="S280" s="29">
        <v>0.625</v>
      </c>
      <c r="T280" s="19"/>
      <c r="U280" s="19"/>
      <c r="V280" s="19"/>
      <c r="W280" s="30" t="str">
        <f>IF(COUNTIF(T280:V280,"?*")=$T$7,"✅ CUBIERTO",IF(COUNTIF(T280:V280,"?*")&gt;$T$7,"⚠ EXCESO",
IF(COUNTIF(T280:V280,"?*")&gt;0,"⚠ FALTANTE", "❌ SIN COMPLETAR")))</f>
        <v>❌ SIN COMPLETAR</v>
      </c>
    </row>
    <row r="281" spans="1:23" x14ac:dyDescent="0.35">
      <c r="A281" s="27">
        <v>45983</v>
      </c>
      <c r="B281" s="28" t="str">
        <f t="shared" si="67"/>
        <v>sáb</v>
      </c>
      <c r="C281" s="29">
        <v>0.66666666666666696</v>
      </c>
      <c r="D281" s="19" t="s">
        <v>30</v>
      </c>
      <c r="E281" s="19"/>
      <c r="F281" s="19"/>
      <c r="G281" s="30" t="str">
        <f>IF(COUNTIF(D281:F281,"?*")=$T$5,"✅ CUBIERTO",
IF(COUNTIF(D281:F281,"?*")&gt;$T$5,"⚠ EXCESO",IF(COUNTIF(D281:F281,"?*")&gt;0,"⚠ FALTANTE",
"❌ SIN COMPLETAR")))</f>
        <v>⚠ FALTANTE</v>
      </c>
      <c r="H281" s="7"/>
      <c r="I281" s="27">
        <v>45983</v>
      </c>
      <c r="J281" s="28" t="str">
        <f t="shared" si="68"/>
        <v>sáb</v>
      </c>
      <c r="K281" s="29">
        <v>0.66666666666666696</v>
      </c>
      <c r="L281" s="25"/>
      <c r="M281" s="25"/>
      <c r="N281" s="25"/>
      <c r="O281" s="30" t="s">
        <v>32</v>
      </c>
      <c r="P281" s="7"/>
      <c r="Q281" s="27">
        <v>45983</v>
      </c>
      <c r="R281" s="28" t="str">
        <f t="shared" si="69"/>
        <v>sáb</v>
      </c>
      <c r="S281" s="29">
        <v>0.66666666666666696</v>
      </c>
      <c r="T281" s="19"/>
      <c r="U281" s="19"/>
      <c r="V281" s="19"/>
      <c r="W281" s="30" t="str">
        <f>IF(COUNTIF(T281:V281,"?*")=$T$7,"✅ CUBIERTO",IF(COUNTIF(T281:V281,"?*")&gt;$T$7,"⚠ EXCESO",
IF(COUNTIF(T281:V281,"?*")&gt;0,"⚠ FALTANTE", "❌ SIN COMPLETAR")))</f>
        <v>❌ SIN COMPLETAR</v>
      </c>
    </row>
    <row r="282" spans="1:23" x14ac:dyDescent="0.35">
      <c r="A282" s="27">
        <v>45983</v>
      </c>
      <c r="B282" s="28" t="str">
        <f t="shared" si="67"/>
        <v>sáb</v>
      </c>
      <c r="C282" s="29">
        <v>0.70833333333333304</v>
      </c>
      <c r="D282" s="19" t="s">
        <v>30</v>
      </c>
      <c r="E282" s="19"/>
      <c r="F282" s="19"/>
      <c r="G282" s="30" t="str">
        <f>IF(COUNTIF(D282:F282,"?*")=$T$5,"✅ CUBIERTO",
IF(COUNTIF(D282:F282,"?*")&gt;$T$5,"⚠ EXCESO",IF(COUNTIF(D282:F282,"?*")&gt;0,"⚠ FALTANTE",
"❌ SIN COMPLETAR")))</f>
        <v>⚠ FALTANTE</v>
      </c>
      <c r="H282" s="7"/>
      <c r="I282" s="27">
        <v>45983</v>
      </c>
      <c r="J282" s="28" t="str">
        <f t="shared" si="68"/>
        <v>sáb</v>
      </c>
      <c r="K282" s="29">
        <v>0.70833333333333304</v>
      </c>
      <c r="L282" s="25"/>
      <c r="M282" s="25"/>
      <c r="N282" s="25"/>
      <c r="O282" s="30" t="s">
        <v>32</v>
      </c>
      <c r="P282" s="7"/>
      <c r="Q282" s="27">
        <v>45983</v>
      </c>
      <c r="R282" s="28" t="str">
        <f t="shared" si="69"/>
        <v>sáb</v>
      </c>
      <c r="S282" s="29">
        <v>0.70833333333333304</v>
      </c>
      <c r="T282" s="19"/>
      <c r="U282" s="19"/>
      <c r="V282" s="19"/>
      <c r="W282" s="30" t="str">
        <f>IF(COUNTIF(T282:V282,"?*")=$T$7,"✅ CUBIERTO",IF(COUNTIF(T282:V282,"?*")&gt;$T$7,"⚠ EXCESO",
IF(COUNTIF(T282:V282,"?*")&gt;0,"⚠ FALTANTE", "❌ SIN COMPLETAR")))</f>
        <v>❌ SIN COMPLETAR</v>
      </c>
    </row>
    <row r="283" spans="1:23" x14ac:dyDescent="0.35">
      <c r="A283" s="27">
        <v>45983</v>
      </c>
      <c r="B283" s="28" t="str">
        <f t="shared" si="67"/>
        <v>sáb</v>
      </c>
      <c r="C283" s="29">
        <v>0.75</v>
      </c>
      <c r="D283" s="19" t="s">
        <v>30</v>
      </c>
      <c r="E283" s="19"/>
      <c r="F283" s="19"/>
      <c r="G283" s="30" t="str">
        <f>IF(COUNTIF(D283:F283,"?*")=$T$5,"✅ CUBIERTO",
IF(COUNTIF(D283:F283,"?*")&gt;$T$5,"⚠ EXCESO",IF(COUNTIF(D283:F283,"?*")&gt;0,"⚠ FALTANTE",
"❌ SIN COMPLETAR")))</f>
        <v>⚠ FALTANTE</v>
      </c>
      <c r="H283" s="7"/>
      <c r="I283" s="27">
        <v>45983</v>
      </c>
      <c r="J283" s="28" t="str">
        <f t="shared" si="68"/>
        <v>sáb</v>
      </c>
      <c r="K283" s="29">
        <v>0.75</v>
      </c>
      <c r="L283" s="25"/>
      <c r="M283" s="25"/>
      <c r="N283" s="25"/>
      <c r="O283" s="30" t="s">
        <v>32</v>
      </c>
      <c r="P283" s="7"/>
      <c r="Q283" s="27">
        <v>45983</v>
      </c>
      <c r="R283" s="28" t="str">
        <f t="shared" si="69"/>
        <v>sáb</v>
      </c>
      <c r="S283" s="29">
        <v>0.75</v>
      </c>
      <c r="T283" s="19"/>
      <c r="U283" s="19"/>
      <c r="V283" s="19"/>
      <c r="W283" s="30" t="str">
        <f>IF(COUNTIF(T283:V283,"?*")=$T$7,"✅ CUBIERTO",IF(COUNTIF(T283:V283,"?*")&gt;$T$7,"⚠ EXCESO",
IF(COUNTIF(T283:V283,"?*")&gt;0,"⚠ FALTANTE", "❌ SIN COMPLETAR")))</f>
        <v>❌ SIN COMPLETAR</v>
      </c>
    </row>
    <row r="284" spans="1:23" x14ac:dyDescent="0.35">
      <c r="A284" s="27">
        <v>45983</v>
      </c>
      <c r="B284" s="28" t="str">
        <f t="shared" si="67"/>
        <v>sáb</v>
      </c>
      <c r="C284" s="29">
        <v>0.79166666666666696</v>
      </c>
      <c r="D284" s="19" t="s">
        <v>30</v>
      </c>
      <c r="E284" s="19"/>
      <c r="F284" s="19"/>
      <c r="G284" s="30" t="str">
        <f>IF(COUNTIF(D284:F284,"?*")=$T$5,"✅ CUBIERTO",
IF(COUNTIF(D284:F284,"?*")&gt;$T$5,"⚠ EXCESO",IF(COUNTIF(D284:F284,"?*")&gt;0,"⚠ FALTANTE",
"❌ SIN COMPLETAR")))</f>
        <v>⚠ FALTANTE</v>
      </c>
      <c r="H284" s="7"/>
      <c r="I284" s="27">
        <v>45983</v>
      </c>
      <c r="J284" s="28" t="str">
        <f t="shared" si="68"/>
        <v>sáb</v>
      </c>
      <c r="K284" s="29">
        <v>0.79166666666666696</v>
      </c>
      <c r="L284" s="25"/>
      <c r="M284" s="25"/>
      <c r="N284" s="25"/>
      <c r="O284" s="30" t="s">
        <v>32</v>
      </c>
      <c r="P284" s="7"/>
      <c r="Q284" s="27">
        <v>45983</v>
      </c>
      <c r="R284" s="28" t="str">
        <f t="shared" si="69"/>
        <v>sáb</v>
      </c>
      <c r="S284" s="29">
        <v>0.79166666666666696</v>
      </c>
      <c r="T284" s="19"/>
      <c r="U284" s="19"/>
      <c r="V284" s="19"/>
      <c r="W284" s="30" t="str">
        <f>IF(COUNTIF(T284:V284,"?*")=$T$7,"✅ CUBIERTO",IF(COUNTIF(T284:V284,"?*")&gt;$T$7,"⚠ EXCESO",
IF(COUNTIF(T284:V284,"?*")&gt;0,"⚠ FALTANTE", "❌ SIN COMPLETAR")))</f>
        <v>❌ SIN COMPLETAR</v>
      </c>
    </row>
    <row r="285" spans="1:23" x14ac:dyDescent="0.35">
      <c r="A285" s="27">
        <v>45983</v>
      </c>
      <c r="B285" s="28" t="str">
        <f t="shared" si="67"/>
        <v>sáb</v>
      </c>
      <c r="C285" s="29">
        <v>0.83333333333333337</v>
      </c>
      <c r="D285" s="25"/>
      <c r="E285" s="25"/>
      <c r="F285" s="25"/>
      <c r="G285" s="30" t="s">
        <v>32</v>
      </c>
      <c r="H285" s="7"/>
      <c r="I285" s="27">
        <v>45983</v>
      </c>
      <c r="J285" s="28" t="str">
        <f t="shared" si="68"/>
        <v>sáb</v>
      </c>
      <c r="K285" s="29">
        <v>0.83333333333333337</v>
      </c>
      <c r="L285" s="25"/>
      <c r="M285" s="25"/>
      <c r="N285" s="25"/>
      <c r="O285" s="30" t="s">
        <v>32</v>
      </c>
      <c r="P285" s="7"/>
      <c r="Q285" s="27">
        <v>45983</v>
      </c>
      <c r="R285" s="28" t="str">
        <f t="shared" si="69"/>
        <v>sáb</v>
      </c>
      <c r="S285" s="29">
        <v>0.83333333333333337</v>
      </c>
      <c r="T285" s="19"/>
      <c r="U285" s="19"/>
      <c r="V285" s="19"/>
      <c r="W285" s="30" t="str">
        <f>IF(COUNTIF(T285:V285,"?*")=$T$7,"✅ CUBIERTO",IF(COUNTIF(T285:V285,"?*")&gt;$T$7,"⚠ EXCESO",
IF(COUNTIF(T285:V285,"?*")&gt;0,"⚠ FALTANTE", "❌ SIN COMPLETAR")))</f>
        <v>❌ SIN COMPLETAR</v>
      </c>
    </row>
    <row r="286" spans="1:23" x14ac:dyDescent="0.35">
      <c r="A286" s="27">
        <v>45984</v>
      </c>
      <c r="B286" s="28" t="str">
        <f t="shared" ref="B286" si="70">TEXT(A286,"ddd")</f>
        <v>dom</v>
      </c>
      <c r="C286" s="29">
        <v>0.375</v>
      </c>
      <c r="D286" s="25"/>
      <c r="E286" s="25"/>
      <c r="F286" s="25"/>
      <c r="G286" s="30" t="s">
        <v>32</v>
      </c>
      <c r="H286" s="7"/>
      <c r="I286" s="27">
        <v>45984</v>
      </c>
      <c r="J286" s="28" t="str">
        <f t="shared" ref="J286" si="71">TEXT(I286,"ddd")</f>
        <v>dom</v>
      </c>
      <c r="K286" s="29">
        <v>0.375</v>
      </c>
      <c r="L286" s="25"/>
      <c r="M286" s="25"/>
      <c r="N286" s="25"/>
      <c r="O286" s="30" t="s">
        <v>32</v>
      </c>
      <c r="P286" s="7"/>
      <c r="Q286" s="27">
        <v>45984</v>
      </c>
      <c r="R286" s="28" t="str">
        <f t="shared" ref="R286" si="72">TEXT(Q286,"ddd")</f>
        <v>dom</v>
      </c>
      <c r="S286" s="29">
        <v>0.375</v>
      </c>
      <c r="T286" s="25"/>
      <c r="U286" s="25"/>
      <c r="V286" s="25"/>
      <c r="W286" s="30" t="s">
        <v>32</v>
      </c>
    </row>
    <row r="287" spans="1:23" x14ac:dyDescent="0.35">
      <c r="A287" s="27">
        <v>45984</v>
      </c>
      <c r="B287" s="28" t="str">
        <f t="shared" si="67"/>
        <v>dom</v>
      </c>
      <c r="C287" s="29">
        <v>0.41666666666666669</v>
      </c>
      <c r="D287" s="25"/>
      <c r="E287" s="25"/>
      <c r="F287" s="25"/>
      <c r="G287" s="30" t="s">
        <v>32</v>
      </c>
      <c r="H287" s="7"/>
      <c r="I287" s="27">
        <v>45984</v>
      </c>
      <c r="J287" s="28" t="str">
        <f t="shared" si="68"/>
        <v>dom</v>
      </c>
      <c r="K287" s="29">
        <v>0.41666666666666669</v>
      </c>
      <c r="L287" s="25"/>
      <c r="M287" s="25"/>
      <c r="N287" s="25"/>
      <c r="O287" s="30" t="s">
        <v>32</v>
      </c>
      <c r="P287" s="7"/>
      <c r="Q287" s="27">
        <v>45984</v>
      </c>
      <c r="R287" s="28" t="str">
        <f t="shared" si="69"/>
        <v>dom</v>
      </c>
      <c r="S287" s="29">
        <v>0.41666666666666669</v>
      </c>
      <c r="T287" s="19"/>
      <c r="U287" s="19"/>
      <c r="V287" s="19"/>
      <c r="W287" s="30" t="str">
        <f>IF(COUNTIF(T287:V287,"?*")=$T$7,"✅ CUBIERTO",IF(COUNTIF(T287:V287,"?*")&gt;$T$7,"⚠ EXCESO",
IF(COUNTIF(T287:V287,"?*")&gt;0,"⚠ FALTANTE", "❌ SIN COMPLETAR")))</f>
        <v>❌ SIN COMPLETAR</v>
      </c>
    </row>
    <row r="288" spans="1:23" x14ac:dyDescent="0.35">
      <c r="A288" s="27">
        <v>45984</v>
      </c>
      <c r="B288" s="28" t="str">
        <f t="shared" si="67"/>
        <v>dom</v>
      </c>
      <c r="C288" s="29">
        <v>0.45833333333333331</v>
      </c>
      <c r="D288" s="19" t="s">
        <v>3</v>
      </c>
      <c r="E288" s="19" t="s">
        <v>4</v>
      </c>
      <c r="F288" s="19"/>
      <c r="G288" s="30" t="str">
        <f>IF(COUNTIF(D288:F288,"?*")=$T$5,"✅ CUBIERTO",
IF(COUNTIF(D288:F288,"?*")&gt;$T$5,"⚠ EXCESO",IF(COUNTIF(D288:F288,"?*")&gt;0,"⚠ FALTANTE",
"❌ SIN COMPLETAR")))</f>
        <v>✅ CUBIERTO</v>
      </c>
      <c r="H288" s="7"/>
      <c r="I288" s="27">
        <v>45984</v>
      </c>
      <c r="J288" s="28" t="str">
        <f t="shared" si="68"/>
        <v>dom</v>
      </c>
      <c r="K288" s="29">
        <v>0.45833333333333331</v>
      </c>
      <c r="L288" s="25"/>
      <c r="M288" s="25"/>
      <c r="N288" s="25"/>
      <c r="O288" s="30" t="s">
        <v>32</v>
      </c>
      <c r="P288" s="7"/>
      <c r="Q288" s="27">
        <v>45984</v>
      </c>
      <c r="R288" s="28" t="str">
        <f t="shared" si="69"/>
        <v>dom</v>
      </c>
      <c r="S288" s="29">
        <v>0.45833333333333331</v>
      </c>
      <c r="T288" s="19"/>
      <c r="U288" s="19"/>
      <c r="V288" s="19"/>
      <c r="W288" s="30" t="str">
        <f>IF(COUNTIF(T288:V288,"?*")=$T$7,"✅ CUBIERTO",IF(COUNTIF(T288:V288,"?*")&gt;$T$7,"⚠ EXCESO",
IF(COUNTIF(T288:V288,"?*")&gt;0,"⚠ FALTANTE", "❌ SIN COMPLETAR")))</f>
        <v>❌ SIN COMPLETAR</v>
      </c>
    </row>
    <row r="289" spans="1:23" x14ac:dyDescent="0.35">
      <c r="A289" s="27">
        <v>45984</v>
      </c>
      <c r="B289" s="28" t="str">
        <f>TEXT(A289,"ddd")</f>
        <v>dom</v>
      </c>
      <c r="C289" s="29">
        <v>0.5</v>
      </c>
      <c r="D289" s="19" t="s">
        <v>3</v>
      </c>
      <c r="E289" s="19" t="s">
        <v>4</v>
      </c>
      <c r="F289" s="19"/>
      <c r="G289" s="30" t="str">
        <f>IF(COUNTIF(D289:F289,"?*")=$T$5,"✅ CUBIERTO",
IF(COUNTIF(D289:F289,"?*")&gt;$T$5,"⚠ EXCESO",IF(COUNTIF(D289:F289,"?*")&gt;0,"⚠ FALTANTE",
"❌ SIN COMPLETAR")))</f>
        <v>✅ CUBIERTO</v>
      </c>
      <c r="H289" s="7"/>
      <c r="I289" s="27">
        <v>45984</v>
      </c>
      <c r="J289" s="28" t="str">
        <f>TEXT(I289,"ddd")</f>
        <v>dom</v>
      </c>
      <c r="K289" s="29">
        <v>0.5</v>
      </c>
      <c r="L289" s="25"/>
      <c r="M289" s="25"/>
      <c r="N289" s="25"/>
      <c r="O289" s="30" t="s">
        <v>32</v>
      </c>
      <c r="P289" s="7"/>
      <c r="Q289" s="27">
        <v>45984</v>
      </c>
      <c r="R289" s="28" t="str">
        <f>TEXT(Q289,"ddd")</f>
        <v>dom</v>
      </c>
      <c r="S289" s="29">
        <v>0.5</v>
      </c>
      <c r="T289" s="19"/>
      <c r="U289" s="19"/>
      <c r="V289" s="19"/>
      <c r="W289" s="30" t="str">
        <f>IF(COUNTIF(T289:V289,"?*")=$T$7,"✅ CUBIERTO",IF(COUNTIF(T289:V289,"?*")&gt;$T$7,"⚠ EXCESO",
IF(COUNTIF(T289:V289,"?*")&gt;0,"⚠ FALTANTE", "❌ SIN COMPLETAR")))</f>
        <v>❌ SIN COMPLETAR</v>
      </c>
    </row>
    <row r="290" spans="1:23" x14ac:dyDescent="0.35">
      <c r="A290" s="27">
        <v>45984</v>
      </c>
      <c r="B290" s="28" t="str">
        <f t="shared" ref="B290:B297" si="73">TEXT(A290,"ddd")</f>
        <v>dom</v>
      </c>
      <c r="C290" s="29">
        <v>0.54166666666666696</v>
      </c>
      <c r="D290" s="19" t="s">
        <v>3</v>
      </c>
      <c r="E290" s="19" t="s">
        <v>4</v>
      </c>
      <c r="F290" s="19"/>
      <c r="G290" s="30" t="str">
        <f>IF(COUNTIF(D290:F290,"?*")=$T$5,"✅ CUBIERTO",
IF(COUNTIF(D290:F290,"?*")&gt;$T$5,"⚠ EXCESO",IF(COUNTIF(D290:F290,"?*")&gt;0,"⚠ FALTANTE",
"❌ SIN COMPLETAR")))</f>
        <v>✅ CUBIERTO</v>
      </c>
      <c r="H290" s="7"/>
      <c r="I290" s="27">
        <v>45984</v>
      </c>
      <c r="J290" s="28" t="str">
        <f t="shared" ref="J290:J297" si="74">TEXT(I290,"ddd")</f>
        <v>dom</v>
      </c>
      <c r="K290" s="29">
        <v>0.54166666666666696</v>
      </c>
      <c r="L290" s="25"/>
      <c r="M290" s="25"/>
      <c r="N290" s="25"/>
      <c r="O290" s="30" t="s">
        <v>32</v>
      </c>
      <c r="P290" s="7"/>
      <c r="Q290" s="27">
        <v>45984</v>
      </c>
      <c r="R290" s="28" t="str">
        <f t="shared" ref="R290:R297" si="75">TEXT(Q290,"ddd")</f>
        <v>dom</v>
      </c>
      <c r="S290" s="29">
        <v>0.54166666666666696</v>
      </c>
      <c r="T290" s="19"/>
      <c r="U290" s="19"/>
      <c r="V290" s="19"/>
      <c r="W290" s="30" t="str">
        <f>IF(COUNTIF(T290:V290,"?*")=$T$7,"✅ CUBIERTO",IF(COUNTIF(T290:V290,"?*")&gt;$T$7,"⚠ EXCESO",
IF(COUNTIF(T290:V290,"?*")&gt;0,"⚠ FALTANTE", "❌ SIN COMPLETAR")))</f>
        <v>❌ SIN COMPLETAR</v>
      </c>
    </row>
    <row r="291" spans="1:23" x14ac:dyDescent="0.35">
      <c r="A291" s="27">
        <v>45984</v>
      </c>
      <c r="B291" s="28" t="str">
        <f t="shared" si="73"/>
        <v>dom</v>
      </c>
      <c r="C291" s="29">
        <v>0.58333333333333304</v>
      </c>
      <c r="D291" s="19" t="s">
        <v>3</v>
      </c>
      <c r="E291" s="19" t="s">
        <v>4</v>
      </c>
      <c r="F291" s="19"/>
      <c r="G291" s="30" t="str">
        <f>IF(COUNTIF(D291:F291,"?*")=$T$5,"✅ CUBIERTO",
IF(COUNTIF(D291:F291,"?*")&gt;$T$5,"⚠ EXCESO",IF(COUNTIF(D291:F291,"?*")&gt;0,"⚠ FALTANTE",
"❌ SIN COMPLETAR")))</f>
        <v>✅ CUBIERTO</v>
      </c>
      <c r="H291" s="7"/>
      <c r="I291" s="27">
        <v>45984</v>
      </c>
      <c r="J291" s="28" t="str">
        <f t="shared" si="74"/>
        <v>dom</v>
      </c>
      <c r="K291" s="29">
        <v>0.58333333333333304</v>
      </c>
      <c r="L291" s="25"/>
      <c r="M291" s="25"/>
      <c r="N291" s="25"/>
      <c r="O291" s="30" t="s">
        <v>32</v>
      </c>
      <c r="P291" s="7"/>
      <c r="Q291" s="27">
        <v>45984</v>
      </c>
      <c r="R291" s="28" t="str">
        <f t="shared" si="75"/>
        <v>dom</v>
      </c>
      <c r="S291" s="29">
        <v>0.58333333333333304</v>
      </c>
      <c r="T291" s="19"/>
      <c r="U291" s="19"/>
      <c r="V291" s="19"/>
      <c r="W291" s="30" t="str">
        <f>IF(COUNTIF(T291:V291,"?*")=$T$7,"✅ CUBIERTO",IF(COUNTIF(T291:V291,"?*")&gt;$T$7,"⚠ EXCESO",
IF(COUNTIF(T291:V291,"?*")&gt;0,"⚠ FALTANTE", "❌ SIN COMPLETAR")))</f>
        <v>❌ SIN COMPLETAR</v>
      </c>
    </row>
    <row r="292" spans="1:23" x14ac:dyDescent="0.35">
      <c r="A292" s="27">
        <v>45984</v>
      </c>
      <c r="B292" s="28" t="str">
        <f t="shared" si="73"/>
        <v>dom</v>
      </c>
      <c r="C292" s="29">
        <v>0.625</v>
      </c>
      <c r="D292" s="19" t="s">
        <v>3</v>
      </c>
      <c r="E292" s="19" t="s">
        <v>4</v>
      </c>
      <c r="F292" s="19"/>
      <c r="G292" s="30" t="str">
        <f>IF(COUNTIF(D292:F292,"?*")=$T$5,"✅ CUBIERTO",
IF(COUNTIF(D292:F292,"?*")&gt;$T$5,"⚠ EXCESO",IF(COUNTIF(D292:F292,"?*")&gt;0,"⚠ FALTANTE",
"❌ SIN COMPLETAR")))</f>
        <v>✅ CUBIERTO</v>
      </c>
      <c r="H292" s="7"/>
      <c r="I292" s="27">
        <v>45984</v>
      </c>
      <c r="J292" s="28" t="str">
        <f t="shared" si="74"/>
        <v>dom</v>
      </c>
      <c r="K292" s="29">
        <v>0.625</v>
      </c>
      <c r="L292" s="25"/>
      <c r="M292" s="25"/>
      <c r="N292" s="25"/>
      <c r="O292" s="30" t="s">
        <v>32</v>
      </c>
      <c r="P292" s="7"/>
      <c r="Q292" s="27">
        <v>45984</v>
      </c>
      <c r="R292" s="28" t="str">
        <f t="shared" si="75"/>
        <v>dom</v>
      </c>
      <c r="S292" s="29">
        <v>0.625</v>
      </c>
      <c r="T292" s="19"/>
      <c r="U292" s="19"/>
      <c r="V292" s="19"/>
      <c r="W292" s="30" t="str">
        <f>IF(COUNTIF(T292:V292,"?*")=$T$7,"✅ CUBIERTO",IF(COUNTIF(T292:V292,"?*")&gt;$T$7,"⚠ EXCESO",
IF(COUNTIF(T292:V292,"?*")&gt;0,"⚠ FALTANTE", "❌ SIN COMPLETAR")))</f>
        <v>❌ SIN COMPLETAR</v>
      </c>
    </row>
    <row r="293" spans="1:23" x14ac:dyDescent="0.35">
      <c r="A293" s="27">
        <v>45984</v>
      </c>
      <c r="B293" s="28" t="str">
        <f t="shared" si="73"/>
        <v>dom</v>
      </c>
      <c r="C293" s="29">
        <v>0.66666666666666696</v>
      </c>
      <c r="D293" s="19" t="s">
        <v>30</v>
      </c>
      <c r="E293" s="19"/>
      <c r="F293" s="19"/>
      <c r="G293" s="30" t="str">
        <f>IF(COUNTIF(D293:F293,"?*")=$T$5,"✅ CUBIERTO",
IF(COUNTIF(D293:F293,"?*")&gt;$T$5,"⚠ EXCESO",IF(COUNTIF(D293:F293,"?*")&gt;0,"⚠ FALTANTE",
"❌ SIN COMPLETAR")))</f>
        <v>⚠ FALTANTE</v>
      </c>
      <c r="H293" s="7"/>
      <c r="I293" s="27">
        <v>45984</v>
      </c>
      <c r="J293" s="28" t="str">
        <f t="shared" si="74"/>
        <v>dom</v>
      </c>
      <c r="K293" s="29">
        <v>0.66666666666666696</v>
      </c>
      <c r="L293" s="25"/>
      <c r="M293" s="25"/>
      <c r="N293" s="25"/>
      <c r="O293" s="30" t="s">
        <v>32</v>
      </c>
      <c r="P293" s="7"/>
      <c r="Q293" s="27">
        <v>45984</v>
      </c>
      <c r="R293" s="28" t="str">
        <f t="shared" si="75"/>
        <v>dom</v>
      </c>
      <c r="S293" s="29">
        <v>0.66666666666666696</v>
      </c>
      <c r="T293" s="19"/>
      <c r="U293" s="19"/>
      <c r="V293" s="19"/>
      <c r="W293" s="30" t="str">
        <f>IF(COUNTIF(T293:V293,"?*")=$T$7,"✅ CUBIERTO",IF(COUNTIF(T293:V293,"?*")&gt;$T$7,"⚠ EXCESO",
IF(COUNTIF(T293:V293,"?*")&gt;0,"⚠ FALTANTE", "❌ SIN COMPLETAR")))</f>
        <v>❌ SIN COMPLETAR</v>
      </c>
    </row>
    <row r="294" spans="1:23" x14ac:dyDescent="0.35">
      <c r="A294" s="27">
        <v>45984</v>
      </c>
      <c r="B294" s="28" t="str">
        <f t="shared" si="73"/>
        <v>dom</v>
      </c>
      <c r="C294" s="29">
        <v>0.70833333333333304</v>
      </c>
      <c r="D294" s="19" t="s">
        <v>30</v>
      </c>
      <c r="E294" s="19"/>
      <c r="F294" s="19"/>
      <c r="G294" s="30" t="str">
        <f>IF(COUNTIF(D294:F294,"?*")=$T$5,"✅ CUBIERTO",
IF(COUNTIF(D294:F294,"?*")&gt;$T$5,"⚠ EXCESO",IF(COUNTIF(D294:F294,"?*")&gt;0,"⚠ FALTANTE",
"❌ SIN COMPLETAR")))</f>
        <v>⚠ FALTANTE</v>
      </c>
      <c r="H294" s="7"/>
      <c r="I294" s="27">
        <v>45984</v>
      </c>
      <c r="J294" s="28" t="str">
        <f t="shared" si="74"/>
        <v>dom</v>
      </c>
      <c r="K294" s="29">
        <v>0.70833333333333304</v>
      </c>
      <c r="L294" s="25"/>
      <c r="M294" s="25"/>
      <c r="N294" s="25"/>
      <c r="O294" s="30" t="s">
        <v>32</v>
      </c>
      <c r="P294" s="7"/>
      <c r="Q294" s="27">
        <v>45984</v>
      </c>
      <c r="R294" s="28" t="str">
        <f t="shared" si="75"/>
        <v>dom</v>
      </c>
      <c r="S294" s="29">
        <v>0.70833333333333304</v>
      </c>
      <c r="T294" s="19"/>
      <c r="U294" s="19"/>
      <c r="V294" s="19"/>
      <c r="W294" s="30" t="str">
        <f>IF(COUNTIF(T294:V294,"?*")=$T$7,"✅ CUBIERTO",IF(COUNTIF(T294:V294,"?*")&gt;$T$7,"⚠ EXCESO",
IF(COUNTIF(T294:V294,"?*")&gt;0,"⚠ FALTANTE", "❌ SIN COMPLETAR")))</f>
        <v>❌ SIN COMPLETAR</v>
      </c>
    </row>
    <row r="295" spans="1:23" x14ac:dyDescent="0.35">
      <c r="A295" s="27">
        <v>45984</v>
      </c>
      <c r="B295" s="28" t="str">
        <f t="shared" si="73"/>
        <v>dom</v>
      </c>
      <c r="C295" s="29">
        <v>0.75</v>
      </c>
      <c r="D295" s="19" t="s">
        <v>30</v>
      </c>
      <c r="E295" s="19"/>
      <c r="F295" s="19"/>
      <c r="G295" s="30" t="str">
        <f>IF(COUNTIF(D295:F295,"?*")=$T$5,"✅ CUBIERTO",
IF(COUNTIF(D295:F295,"?*")&gt;$T$5,"⚠ EXCESO",IF(COUNTIF(D295:F295,"?*")&gt;0,"⚠ FALTANTE",
"❌ SIN COMPLETAR")))</f>
        <v>⚠ FALTANTE</v>
      </c>
      <c r="H295" s="7"/>
      <c r="I295" s="27">
        <v>45984</v>
      </c>
      <c r="J295" s="28" t="str">
        <f t="shared" si="74"/>
        <v>dom</v>
      </c>
      <c r="K295" s="29">
        <v>0.75</v>
      </c>
      <c r="L295" s="25"/>
      <c r="M295" s="25"/>
      <c r="N295" s="25"/>
      <c r="O295" s="30" t="s">
        <v>32</v>
      </c>
      <c r="P295" s="7"/>
      <c r="Q295" s="27">
        <v>45984</v>
      </c>
      <c r="R295" s="28" t="str">
        <f t="shared" si="75"/>
        <v>dom</v>
      </c>
      <c r="S295" s="29">
        <v>0.75</v>
      </c>
      <c r="T295" s="19"/>
      <c r="U295" s="19"/>
      <c r="V295" s="19"/>
      <c r="W295" s="30" t="str">
        <f>IF(COUNTIF(T295:V295,"?*")=$T$7,"✅ CUBIERTO",IF(COUNTIF(T295:V295,"?*")&gt;$T$7,"⚠ EXCESO",
IF(COUNTIF(T295:V295,"?*")&gt;0,"⚠ FALTANTE", "❌ SIN COMPLETAR")))</f>
        <v>❌ SIN COMPLETAR</v>
      </c>
    </row>
    <row r="296" spans="1:23" x14ac:dyDescent="0.35">
      <c r="A296" s="27">
        <v>45984</v>
      </c>
      <c r="B296" s="28" t="str">
        <f t="shared" si="73"/>
        <v>dom</v>
      </c>
      <c r="C296" s="29">
        <v>0.79166666666666696</v>
      </c>
      <c r="D296" s="19" t="s">
        <v>30</v>
      </c>
      <c r="E296" s="19"/>
      <c r="F296" s="19"/>
      <c r="G296" s="30" t="str">
        <f>IF(COUNTIF(D296:F296,"?*")=$T$5,"✅ CUBIERTO",
IF(COUNTIF(D296:F296,"?*")&gt;$T$5,"⚠ EXCESO",IF(COUNTIF(D296:F296,"?*")&gt;0,"⚠ FALTANTE",
"❌ SIN COMPLETAR")))</f>
        <v>⚠ FALTANTE</v>
      </c>
      <c r="H296" s="7"/>
      <c r="I296" s="27">
        <v>45984</v>
      </c>
      <c r="J296" s="28" t="str">
        <f t="shared" si="74"/>
        <v>dom</v>
      </c>
      <c r="K296" s="29">
        <v>0.79166666666666696</v>
      </c>
      <c r="L296" s="25"/>
      <c r="M296" s="25"/>
      <c r="N296" s="25"/>
      <c r="O296" s="30" t="s">
        <v>32</v>
      </c>
      <c r="P296" s="7"/>
      <c r="Q296" s="27">
        <v>45984</v>
      </c>
      <c r="R296" s="28" t="str">
        <f t="shared" si="75"/>
        <v>dom</v>
      </c>
      <c r="S296" s="29">
        <v>0.79166666666666696</v>
      </c>
      <c r="T296" s="19"/>
      <c r="U296" s="19"/>
      <c r="V296" s="19"/>
      <c r="W296" s="30" t="str">
        <f>IF(COUNTIF(T296:V296,"?*")=$T$7,"✅ CUBIERTO",IF(COUNTIF(T296:V296,"?*")&gt;$T$7,"⚠ EXCESO",
IF(COUNTIF(T296:V296,"?*")&gt;0,"⚠ FALTANTE", "❌ SIN COMPLETAR")))</f>
        <v>❌ SIN COMPLETAR</v>
      </c>
    </row>
    <row r="297" spans="1:23" x14ac:dyDescent="0.35">
      <c r="A297" s="27">
        <v>45984</v>
      </c>
      <c r="B297" s="28" t="str">
        <f t="shared" si="73"/>
        <v>dom</v>
      </c>
      <c r="C297" s="29">
        <v>0.83333333333333337</v>
      </c>
      <c r="D297" s="25"/>
      <c r="E297" s="25"/>
      <c r="F297" s="25"/>
      <c r="G297" s="30" t="s">
        <v>32</v>
      </c>
      <c r="H297" s="7"/>
      <c r="I297" s="27">
        <v>45984</v>
      </c>
      <c r="J297" s="28" t="str">
        <f t="shared" si="74"/>
        <v>dom</v>
      </c>
      <c r="K297" s="29">
        <v>0.83333333333333337</v>
      </c>
      <c r="L297" s="25"/>
      <c r="M297" s="25"/>
      <c r="N297" s="25"/>
      <c r="O297" s="30" t="s">
        <v>32</v>
      </c>
      <c r="P297" s="7"/>
      <c r="Q297" s="27">
        <v>45984</v>
      </c>
      <c r="R297" s="28" t="str">
        <f t="shared" si="75"/>
        <v>dom</v>
      </c>
      <c r="S297" s="29">
        <v>0.83333333333333337</v>
      </c>
      <c r="T297" s="19"/>
      <c r="U297" s="19"/>
      <c r="V297" s="19"/>
      <c r="W297" s="30" t="str">
        <f>IF(COUNTIF(T297:V297,"?*")=$T$7,"✅ CUBIERTO",IF(COUNTIF(T297:V297,"?*")&gt;$T$7,"⚠ EXCESO",
IF(COUNTIF(T297:V297,"?*")&gt;0,"⚠ FALTANTE", "❌ SIN COMPLETAR")))</f>
        <v>❌ SIN COMPLETAR</v>
      </c>
    </row>
    <row r="298" spans="1:23" x14ac:dyDescent="0.35">
      <c r="A298" s="27">
        <v>45985</v>
      </c>
      <c r="B298" s="28" t="str">
        <f>TEXT(A298,"ddd")</f>
        <v>lun</v>
      </c>
      <c r="C298" s="29">
        <v>0.375</v>
      </c>
      <c r="D298" s="25"/>
      <c r="E298" s="25"/>
      <c r="F298" s="25"/>
      <c r="G298" s="30" t="s">
        <v>32</v>
      </c>
      <c r="H298" s="7"/>
      <c r="I298" s="27">
        <v>45985</v>
      </c>
      <c r="J298" s="28" t="str">
        <f>TEXT(I298,"ddd")</f>
        <v>lun</v>
      </c>
      <c r="K298" s="29">
        <v>0.375</v>
      </c>
      <c r="L298" s="19" t="s">
        <v>7</v>
      </c>
      <c r="M298" s="19"/>
      <c r="N298" s="19"/>
      <c r="O298" s="31" t="str">
        <f>IF(COUNTIF(L298:N298,"?*")=$T$6,"✅ CUBIERTO",IF(COUNTIF(L298:N298,"?*")&gt;$T$6,"⚠ EXCESO",
IF(COUNTIF(L298:N298,"?*")&gt;0,"⚠ FALTANTE", "❌ SIN COMPLETAR")))</f>
        <v>✅ CUBIERTO</v>
      </c>
      <c r="P298" s="7"/>
      <c r="Q298" s="27">
        <v>45985</v>
      </c>
      <c r="R298" s="28" t="str">
        <f>TEXT(Q298,"ddd")</f>
        <v>lun</v>
      </c>
      <c r="S298" s="29">
        <v>0.375</v>
      </c>
      <c r="T298" s="25"/>
      <c r="U298" s="25"/>
      <c r="V298" s="25"/>
      <c r="W298" s="30" t="s">
        <v>32</v>
      </c>
    </row>
    <row r="299" spans="1:23" x14ac:dyDescent="0.35">
      <c r="A299" s="27">
        <v>45985</v>
      </c>
      <c r="B299" s="28" t="str">
        <f>TEXT(A299,"ddd")</f>
        <v>lun</v>
      </c>
      <c r="C299" s="29">
        <v>0.41666666666666669</v>
      </c>
      <c r="D299" s="25"/>
      <c r="E299" s="25"/>
      <c r="F299" s="25"/>
      <c r="G299" s="30" t="s">
        <v>32</v>
      </c>
      <c r="H299" s="7"/>
      <c r="I299" s="27">
        <v>45985</v>
      </c>
      <c r="J299" s="28" t="str">
        <f>TEXT(I299,"ddd")</f>
        <v>lun</v>
      </c>
      <c r="K299" s="29">
        <v>0.41666666666666669</v>
      </c>
      <c r="L299" s="19" t="s">
        <v>7</v>
      </c>
      <c r="M299" s="19"/>
      <c r="N299" s="19"/>
      <c r="O299" s="31" t="str">
        <f>IF(COUNTIF(L299:N299,"?*")=$T$6,"✅ CUBIERTO",IF(COUNTIF(L299:N299,"?*")&gt;$T$6,"⚠ EXCESO",
IF(COUNTIF(L299:N299,"?*")&gt;0,"⚠ FALTANTE", "❌ SIN COMPLETAR")))</f>
        <v>✅ CUBIERTO</v>
      </c>
      <c r="P299" s="7"/>
      <c r="Q299" s="27">
        <v>45985</v>
      </c>
      <c r="R299" s="28" t="str">
        <f>TEXT(Q299,"ddd")</f>
        <v>lun</v>
      </c>
      <c r="S299" s="29">
        <v>0.41666666666666669</v>
      </c>
      <c r="T299" s="19"/>
      <c r="U299" s="19"/>
      <c r="V299" s="19"/>
      <c r="W299" s="30" t="str">
        <f>IF(COUNTIF(T299:V299,"?*")=$T$7,"✅ CUBIERTO",IF(COUNTIF(T299:V299,"?*")&gt;$T$7,"⚠ EXCESO",
IF(COUNTIF(T299:V299,"?*")&gt;0,"⚠ FALTANTE", "❌ SIN COMPLETAR")))</f>
        <v>❌ SIN COMPLETAR</v>
      </c>
    </row>
    <row r="300" spans="1:23" x14ac:dyDescent="0.35">
      <c r="A300" s="27">
        <v>45985</v>
      </c>
      <c r="B300" s="28" t="str">
        <f>TEXT(A300,"ddd")</f>
        <v>lun</v>
      </c>
      <c r="C300" s="29">
        <v>0.45833333333333331</v>
      </c>
      <c r="D300" s="19" t="s">
        <v>3</v>
      </c>
      <c r="E300" s="19"/>
      <c r="F300" s="19"/>
      <c r="G300" s="30" t="str">
        <f>IF(COUNTIF(D300:F300,"?*")=$T$5,"✅ CUBIERTO",
IF(COUNTIF(D300:F300,"?*")&gt;$T$5,"⚠ EXCESO",IF(COUNTIF(D300:F300,"?*")&gt;0,"⚠ FALTANTE",
"❌ SIN COMPLETAR")))</f>
        <v>⚠ FALTANTE</v>
      </c>
      <c r="H300" s="7"/>
      <c r="I300" s="27">
        <v>45985</v>
      </c>
      <c r="J300" s="28" t="str">
        <f>TEXT(I300,"ddd")</f>
        <v>lun</v>
      </c>
      <c r="K300" s="29">
        <v>0.45833333333333331</v>
      </c>
      <c r="L300" s="19" t="s">
        <v>7</v>
      </c>
      <c r="M300" s="19"/>
      <c r="N300" s="19"/>
      <c r="O300" s="31" t="str">
        <f>IF(COUNTIF(L300:N300,"?*")=$T$6,"✅ CUBIERTO",IF(COUNTIF(L300:N300,"?*")&gt;$T$6,"⚠ EXCESO",
IF(COUNTIF(L300:N300,"?*")&gt;0,"⚠ FALTANTE", "❌ SIN COMPLETAR")))</f>
        <v>✅ CUBIERTO</v>
      </c>
      <c r="P300" s="7"/>
      <c r="Q300" s="27">
        <v>45985</v>
      </c>
      <c r="R300" s="28" t="str">
        <f>TEXT(Q300,"ddd")</f>
        <v>lun</v>
      </c>
      <c r="S300" s="29">
        <v>0.45833333333333331</v>
      </c>
      <c r="T300" s="19"/>
      <c r="U300" s="19"/>
      <c r="V300" s="19"/>
      <c r="W300" s="30" t="str">
        <f>IF(COUNTIF(T300:V300,"?*")=$T$7,"✅ CUBIERTO",IF(COUNTIF(T300:V300,"?*")&gt;$T$7,"⚠ EXCESO",
IF(COUNTIF(T300:V300,"?*")&gt;0,"⚠ FALTANTE", "❌ SIN COMPLETAR")))</f>
        <v>❌ SIN COMPLETAR</v>
      </c>
    </row>
    <row r="301" spans="1:23" x14ac:dyDescent="0.35">
      <c r="A301" s="27">
        <v>45985</v>
      </c>
      <c r="B301" s="28" t="str">
        <f t="shared" ref="B301:B309" si="76">TEXT(A301,"ddd")</f>
        <v>lun</v>
      </c>
      <c r="C301" s="29">
        <v>0.5</v>
      </c>
      <c r="D301" s="19" t="s">
        <v>3</v>
      </c>
      <c r="E301" s="19"/>
      <c r="F301" s="19"/>
      <c r="G301" s="30" t="str">
        <f>IF(COUNTIF(D301:F301,"?*")=$T$5,"✅ CUBIERTO",
IF(COUNTIF(D301:F301,"?*")&gt;$T$5,"⚠ EXCESO",IF(COUNTIF(D301:F301,"?*")&gt;0,"⚠ FALTANTE",
"❌ SIN COMPLETAR")))</f>
        <v>⚠ FALTANTE</v>
      </c>
      <c r="H301" s="7"/>
      <c r="I301" s="27">
        <v>45985</v>
      </c>
      <c r="J301" s="28" t="str">
        <f t="shared" ref="J301:J309" si="77">TEXT(I301,"ddd")</f>
        <v>lun</v>
      </c>
      <c r="K301" s="29">
        <v>0.5</v>
      </c>
      <c r="L301" s="19" t="s">
        <v>7</v>
      </c>
      <c r="M301" s="19"/>
      <c r="N301" s="19"/>
      <c r="O301" s="31" t="str">
        <f>IF(COUNTIF(L301:N301,"?*")=$T$6,"✅ CUBIERTO",IF(COUNTIF(L301:N301,"?*")&gt;$T$6,"⚠ EXCESO",
IF(COUNTIF(L301:N301,"?*")&gt;0,"⚠ FALTANTE", "❌ SIN COMPLETAR")))</f>
        <v>✅ CUBIERTO</v>
      </c>
      <c r="P301" s="7"/>
      <c r="Q301" s="27">
        <v>45985</v>
      </c>
      <c r="R301" s="28" t="str">
        <f t="shared" ref="R301:R309" si="78">TEXT(Q301,"ddd")</f>
        <v>lun</v>
      </c>
      <c r="S301" s="29">
        <v>0.5</v>
      </c>
      <c r="T301" s="19"/>
      <c r="U301" s="19"/>
      <c r="V301" s="19"/>
      <c r="W301" s="30" t="str">
        <f>IF(COUNTIF(T301:V301,"?*")=$T$7,"✅ CUBIERTO",IF(COUNTIF(T301:V301,"?*")&gt;$T$7,"⚠ EXCESO",
IF(COUNTIF(T301:V301,"?*")&gt;0,"⚠ FALTANTE", "❌ SIN COMPLETAR")))</f>
        <v>❌ SIN COMPLETAR</v>
      </c>
    </row>
    <row r="302" spans="1:23" x14ac:dyDescent="0.35">
      <c r="A302" s="27">
        <v>45985</v>
      </c>
      <c r="B302" s="28" t="str">
        <f t="shared" si="76"/>
        <v>lun</v>
      </c>
      <c r="C302" s="29">
        <v>0.54166666666666696</v>
      </c>
      <c r="D302" s="19" t="s">
        <v>3</v>
      </c>
      <c r="E302" s="19"/>
      <c r="F302" s="19"/>
      <c r="G302" s="30" t="str">
        <f>IF(COUNTIF(D302:F302,"?*")=$T$5,"✅ CUBIERTO",
IF(COUNTIF(D302:F302,"?*")&gt;$T$5,"⚠ EXCESO",IF(COUNTIF(D302:F302,"?*")&gt;0,"⚠ FALTANTE",
"❌ SIN COMPLETAR")))</f>
        <v>⚠ FALTANTE</v>
      </c>
      <c r="H302" s="7"/>
      <c r="I302" s="27">
        <v>45985</v>
      </c>
      <c r="J302" s="28" t="str">
        <f t="shared" si="77"/>
        <v>lun</v>
      </c>
      <c r="K302" s="29">
        <v>0.54166666666666696</v>
      </c>
      <c r="L302" s="19" t="s">
        <v>7</v>
      </c>
      <c r="M302" s="19"/>
      <c r="N302" s="19"/>
      <c r="O302" s="31" t="str">
        <f>IF(COUNTIF(L302:N302,"?*")=$T$6,"✅ CUBIERTO",IF(COUNTIF(L302:N302,"?*")&gt;$T$6,"⚠ EXCESO",
IF(COUNTIF(L302:N302,"?*")&gt;0,"⚠ FALTANTE", "❌ SIN COMPLETAR")))</f>
        <v>✅ CUBIERTO</v>
      </c>
      <c r="P302" s="7"/>
      <c r="Q302" s="27">
        <v>45985</v>
      </c>
      <c r="R302" s="28" t="str">
        <f t="shared" si="78"/>
        <v>lun</v>
      </c>
      <c r="S302" s="29">
        <v>0.54166666666666696</v>
      </c>
      <c r="T302" s="19"/>
      <c r="U302" s="19"/>
      <c r="V302" s="19"/>
      <c r="W302" s="30" t="str">
        <f>IF(COUNTIF(T302:V302,"?*")=$T$7,"✅ CUBIERTO",IF(COUNTIF(T302:V302,"?*")&gt;$T$7,"⚠ EXCESO",
IF(COUNTIF(T302:V302,"?*")&gt;0,"⚠ FALTANTE", "❌ SIN COMPLETAR")))</f>
        <v>❌ SIN COMPLETAR</v>
      </c>
    </row>
    <row r="303" spans="1:23" x14ac:dyDescent="0.35">
      <c r="A303" s="27">
        <v>45985</v>
      </c>
      <c r="B303" s="28" t="str">
        <f t="shared" si="76"/>
        <v>lun</v>
      </c>
      <c r="C303" s="29">
        <v>0.58333333333333304</v>
      </c>
      <c r="D303" s="19" t="s">
        <v>3</v>
      </c>
      <c r="E303" s="19"/>
      <c r="F303" s="19"/>
      <c r="G303" s="30" t="str">
        <f>IF(COUNTIF(D303:F303,"?*")=$T$5,"✅ CUBIERTO",
IF(COUNTIF(D303:F303,"?*")&gt;$T$5,"⚠ EXCESO",IF(COUNTIF(D303:F303,"?*")&gt;0,"⚠ FALTANTE",
"❌ SIN COMPLETAR")))</f>
        <v>⚠ FALTANTE</v>
      </c>
      <c r="H303" s="7"/>
      <c r="I303" s="27">
        <v>45985</v>
      </c>
      <c r="J303" s="28" t="str">
        <f t="shared" si="77"/>
        <v>lun</v>
      </c>
      <c r="K303" s="29">
        <v>0.58333333333333304</v>
      </c>
      <c r="L303" s="19" t="s">
        <v>29</v>
      </c>
      <c r="M303" s="19"/>
      <c r="N303" s="19"/>
      <c r="O303" s="31" t="str">
        <f>IF(COUNTIF(L303:N303,"?*")=$T$6,"✅ CUBIERTO",IF(COUNTIF(L303:N303,"?*")&gt;$T$6,"⚠ EXCESO",
IF(COUNTIF(L303:N303,"?*")&gt;0,"⚠ FALTANTE", "❌ SIN COMPLETAR")))</f>
        <v>✅ CUBIERTO</v>
      </c>
      <c r="P303" s="7"/>
      <c r="Q303" s="27">
        <v>45985</v>
      </c>
      <c r="R303" s="28" t="str">
        <f t="shared" si="78"/>
        <v>lun</v>
      </c>
      <c r="S303" s="29">
        <v>0.58333333333333304</v>
      </c>
      <c r="T303" s="19"/>
      <c r="U303" s="19"/>
      <c r="V303" s="19"/>
      <c r="W303" s="30" t="str">
        <f>IF(COUNTIF(T303:V303,"?*")=$T$7,"✅ CUBIERTO",IF(COUNTIF(T303:V303,"?*")&gt;$T$7,"⚠ EXCESO",
IF(COUNTIF(T303:V303,"?*")&gt;0,"⚠ FALTANTE", "❌ SIN COMPLETAR")))</f>
        <v>❌ SIN COMPLETAR</v>
      </c>
    </row>
    <row r="304" spans="1:23" x14ac:dyDescent="0.35">
      <c r="A304" s="27">
        <v>45985</v>
      </c>
      <c r="B304" s="28" t="str">
        <f t="shared" si="76"/>
        <v>lun</v>
      </c>
      <c r="C304" s="29">
        <v>0.625</v>
      </c>
      <c r="D304" s="19" t="s">
        <v>30</v>
      </c>
      <c r="E304" s="19"/>
      <c r="F304" s="19"/>
      <c r="G304" s="30" t="str">
        <f>IF(COUNTIF(D304:F304,"?*")=$T$5,"✅ CUBIERTO",
IF(COUNTIF(D304:F304,"?*")&gt;$T$5,"⚠ EXCESO",IF(COUNTIF(D304:F304,"?*")&gt;0,"⚠ FALTANTE",
"❌ SIN COMPLETAR")))</f>
        <v>⚠ FALTANTE</v>
      </c>
      <c r="H304" s="7"/>
      <c r="I304" s="27">
        <v>45985</v>
      </c>
      <c r="J304" s="28" t="str">
        <f t="shared" si="77"/>
        <v>lun</v>
      </c>
      <c r="K304" s="29">
        <v>0.625</v>
      </c>
      <c r="L304" s="19" t="s">
        <v>29</v>
      </c>
      <c r="M304" s="19"/>
      <c r="N304" s="19"/>
      <c r="O304" s="31" t="str">
        <f>IF(COUNTIF(L304:N304,"?*")=$T$6,"✅ CUBIERTO",IF(COUNTIF(L304:N304,"?*")&gt;$T$6,"⚠ EXCESO",
IF(COUNTIF(L304:N304,"?*")&gt;0,"⚠ FALTANTE", "❌ SIN COMPLETAR")))</f>
        <v>✅ CUBIERTO</v>
      </c>
      <c r="P304" s="7"/>
      <c r="Q304" s="27">
        <v>45985</v>
      </c>
      <c r="R304" s="28" t="str">
        <f t="shared" si="78"/>
        <v>lun</v>
      </c>
      <c r="S304" s="29">
        <v>0.625</v>
      </c>
      <c r="T304" s="19"/>
      <c r="U304" s="19"/>
      <c r="V304" s="19"/>
      <c r="W304" s="30" t="str">
        <f>IF(COUNTIF(T304:V304,"?*")=$T$7,"✅ CUBIERTO",IF(COUNTIF(T304:V304,"?*")&gt;$T$7,"⚠ EXCESO",
IF(COUNTIF(T304:V304,"?*")&gt;0,"⚠ FALTANTE", "❌ SIN COMPLETAR")))</f>
        <v>❌ SIN COMPLETAR</v>
      </c>
    </row>
    <row r="305" spans="1:23" x14ac:dyDescent="0.35">
      <c r="A305" s="27">
        <v>45985</v>
      </c>
      <c r="B305" s="28" t="str">
        <f t="shared" si="76"/>
        <v>lun</v>
      </c>
      <c r="C305" s="29">
        <v>0.66666666666666696</v>
      </c>
      <c r="D305" s="19" t="s">
        <v>30</v>
      </c>
      <c r="E305" s="19"/>
      <c r="F305" s="19"/>
      <c r="G305" s="30" t="str">
        <f>IF(COUNTIF(D305:F305,"?*")=$T$5,"✅ CUBIERTO",
IF(COUNTIF(D305:F305,"?*")&gt;$T$5,"⚠ EXCESO",IF(COUNTIF(D305:F305,"?*")&gt;0,"⚠ FALTANTE",
"❌ SIN COMPLETAR")))</f>
        <v>⚠ FALTANTE</v>
      </c>
      <c r="H305" s="7"/>
      <c r="I305" s="27">
        <v>45985</v>
      </c>
      <c r="J305" s="28" t="str">
        <f t="shared" si="77"/>
        <v>lun</v>
      </c>
      <c r="K305" s="29">
        <v>0.66666666666666696</v>
      </c>
      <c r="L305" s="19" t="s">
        <v>29</v>
      </c>
      <c r="M305" s="19"/>
      <c r="N305" s="19"/>
      <c r="O305" s="31" t="str">
        <f>IF(COUNTIF(L305:N305,"?*")=$T$6,"✅ CUBIERTO",IF(COUNTIF(L305:N305,"?*")&gt;$T$6,"⚠ EXCESO",
IF(COUNTIF(L305:N305,"?*")&gt;0,"⚠ FALTANTE", "❌ SIN COMPLETAR")))</f>
        <v>✅ CUBIERTO</v>
      </c>
      <c r="P305" s="7"/>
      <c r="Q305" s="27">
        <v>45985</v>
      </c>
      <c r="R305" s="28" t="str">
        <f t="shared" si="78"/>
        <v>lun</v>
      </c>
      <c r="S305" s="29">
        <v>0.66666666666666696</v>
      </c>
      <c r="T305" s="19"/>
      <c r="U305" s="19"/>
      <c r="V305" s="19"/>
      <c r="W305" s="30" t="str">
        <f>IF(COUNTIF(T305:V305,"?*")=$T$7,"✅ CUBIERTO",IF(COUNTIF(T305:V305,"?*")&gt;$T$7,"⚠ EXCESO",
IF(COUNTIF(T305:V305,"?*")&gt;0,"⚠ FALTANTE", "❌ SIN COMPLETAR")))</f>
        <v>❌ SIN COMPLETAR</v>
      </c>
    </row>
    <row r="306" spans="1:23" x14ac:dyDescent="0.35">
      <c r="A306" s="27">
        <v>45985</v>
      </c>
      <c r="B306" s="28" t="str">
        <f t="shared" si="76"/>
        <v>lun</v>
      </c>
      <c r="C306" s="29">
        <v>0.70833333333333304</v>
      </c>
      <c r="D306" s="19" t="s">
        <v>30</v>
      </c>
      <c r="E306" s="19"/>
      <c r="F306" s="19"/>
      <c r="G306" s="30" t="str">
        <f>IF(COUNTIF(D306:F306,"?*")=$T$5,"✅ CUBIERTO",
IF(COUNTIF(D306:F306,"?*")&gt;$T$5,"⚠ EXCESO",IF(COUNTIF(D306:F306,"?*")&gt;0,"⚠ FALTANTE",
"❌ SIN COMPLETAR")))</f>
        <v>⚠ FALTANTE</v>
      </c>
      <c r="H306" s="7"/>
      <c r="I306" s="27">
        <v>45985</v>
      </c>
      <c r="J306" s="28" t="str">
        <f t="shared" si="77"/>
        <v>lun</v>
      </c>
      <c r="K306" s="29">
        <v>0.70833333333333304</v>
      </c>
      <c r="L306" s="19" t="s">
        <v>29</v>
      </c>
      <c r="M306" s="19"/>
      <c r="N306" s="19"/>
      <c r="O306" s="31" t="str">
        <f>IF(COUNTIF(L306:N306,"?*")=$T$6,"✅ CUBIERTO",IF(COUNTIF(L306:N306,"?*")&gt;$T$6,"⚠ EXCESO",
IF(COUNTIF(L306:N306,"?*")&gt;0,"⚠ FALTANTE", "❌ SIN COMPLETAR")))</f>
        <v>✅ CUBIERTO</v>
      </c>
      <c r="P306" s="7"/>
      <c r="Q306" s="27">
        <v>45985</v>
      </c>
      <c r="R306" s="28" t="str">
        <f t="shared" si="78"/>
        <v>lun</v>
      </c>
      <c r="S306" s="29">
        <v>0.70833333333333304</v>
      </c>
      <c r="T306" s="19"/>
      <c r="U306" s="19"/>
      <c r="V306" s="19"/>
      <c r="W306" s="30" t="str">
        <f>IF(COUNTIF(T306:V306,"?*")=$T$7,"✅ CUBIERTO",IF(COUNTIF(T306:V306,"?*")&gt;$T$7,"⚠ EXCESO",
IF(COUNTIF(T306:V306,"?*")&gt;0,"⚠ FALTANTE", "❌ SIN COMPLETAR")))</f>
        <v>❌ SIN COMPLETAR</v>
      </c>
    </row>
    <row r="307" spans="1:23" x14ac:dyDescent="0.35">
      <c r="A307" s="27">
        <v>45985</v>
      </c>
      <c r="B307" s="28" t="str">
        <f t="shared" si="76"/>
        <v>lun</v>
      </c>
      <c r="C307" s="29">
        <v>0.75</v>
      </c>
      <c r="D307" s="19" t="s">
        <v>30</v>
      </c>
      <c r="E307" s="19"/>
      <c r="F307" s="19"/>
      <c r="G307" s="30" t="str">
        <f>IF(COUNTIF(D307:F307,"?*")=$T$5,"✅ CUBIERTO",
IF(COUNTIF(D307:F307,"?*")&gt;$T$5,"⚠ EXCESO",IF(COUNTIF(D307:F307,"?*")&gt;0,"⚠ FALTANTE",
"❌ SIN COMPLETAR")))</f>
        <v>⚠ FALTANTE</v>
      </c>
      <c r="H307" s="7"/>
      <c r="I307" s="27">
        <v>45985</v>
      </c>
      <c r="J307" s="28" t="str">
        <f t="shared" si="77"/>
        <v>lun</v>
      </c>
      <c r="K307" s="29">
        <v>0.75</v>
      </c>
      <c r="L307" s="25"/>
      <c r="M307" s="25"/>
      <c r="N307" s="25"/>
      <c r="O307" s="31" t="s">
        <v>32</v>
      </c>
      <c r="P307" s="7"/>
      <c r="Q307" s="27">
        <v>45985</v>
      </c>
      <c r="R307" s="28" t="str">
        <f t="shared" si="78"/>
        <v>lun</v>
      </c>
      <c r="S307" s="29">
        <v>0.75</v>
      </c>
      <c r="T307" s="19"/>
      <c r="U307" s="19"/>
      <c r="V307" s="19"/>
      <c r="W307" s="30" t="str">
        <f>IF(COUNTIF(T307:V307,"?*")=$T$7,"✅ CUBIERTO",IF(COUNTIF(T307:V307,"?*")&gt;$T$7,"⚠ EXCESO",
IF(COUNTIF(T307:V307,"?*")&gt;0,"⚠ FALTANTE", "❌ SIN COMPLETAR")))</f>
        <v>❌ SIN COMPLETAR</v>
      </c>
    </row>
    <row r="308" spans="1:23" x14ac:dyDescent="0.35">
      <c r="A308" s="27">
        <v>45985</v>
      </c>
      <c r="B308" s="28" t="str">
        <f t="shared" si="76"/>
        <v>lun</v>
      </c>
      <c r="C308" s="29">
        <v>0.79166666666666696</v>
      </c>
      <c r="D308" s="19" t="s">
        <v>30</v>
      </c>
      <c r="E308" s="19"/>
      <c r="F308" s="19"/>
      <c r="G308" s="30" t="str">
        <f>IF(COUNTIF(D308:F308,"?*")=$T$5,"✅ CUBIERTO",
IF(COUNTIF(D308:F308,"?*")&gt;$T$5,"⚠ EXCESO",IF(COUNTIF(D308:F308,"?*")&gt;0,"⚠ FALTANTE",
"❌ SIN COMPLETAR")))</f>
        <v>⚠ FALTANTE</v>
      </c>
      <c r="H308" s="7"/>
      <c r="I308" s="27">
        <v>45985</v>
      </c>
      <c r="J308" s="28" t="str">
        <f t="shared" si="77"/>
        <v>lun</v>
      </c>
      <c r="K308" s="29">
        <v>0.79166666666666696</v>
      </c>
      <c r="L308" s="25"/>
      <c r="M308" s="25"/>
      <c r="N308" s="25"/>
      <c r="O308" s="31" t="s">
        <v>32</v>
      </c>
      <c r="P308" s="7"/>
      <c r="Q308" s="27">
        <v>45985</v>
      </c>
      <c r="R308" s="28" t="str">
        <f t="shared" si="78"/>
        <v>lun</v>
      </c>
      <c r="S308" s="29">
        <v>0.79166666666666696</v>
      </c>
      <c r="T308" s="19"/>
      <c r="U308" s="19"/>
      <c r="V308" s="19"/>
      <c r="W308" s="30" t="str">
        <f>IF(COUNTIF(T308:V308,"?*")=$T$7,"✅ CUBIERTO",IF(COUNTIF(T308:V308,"?*")&gt;$T$7,"⚠ EXCESO",
IF(COUNTIF(T308:V308,"?*")&gt;0,"⚠ FALTANTE", "❌ SIN COMPLETAR")))</f>
        <v>❌ SIN COMPLETAR</v>
      </c>
    </row>
    <row r="309" spans="1:23" x14ac:dyDescent="0.35">
      <c r="A309" s="27">
        <v>45985</v>
      </c>
      <c r="B309" s="28" t="str">
        <f t="shared" si="76"/>
        <v>lun</v>
      </c>
      <c r="C309" s="29">
        <v>0.83333333333333337</v>
      </c>
      <c r="D309" s="25"/>
      <c r="E309" s="25"/>
      <c r="F309" s="25"/>
      <c r="G309" s="30" t="s">
        <v>32</v>
      </c>
      <c r="H309" s="7"/>
      <c r="I309" s="27">
        <v>45985</v>
      </c>
      <c r="J309" s="28" t="str">
        <f t="shared" si="77"/>
        <v>lun</v>
      </c>
      <c r="K309" s="29">
        <v>0.83333333333333337</v>
      </c>
      <c r="L309" s="25"/>
      <c r="M309" s="25"/>
      <c r="N309" s="25"/>
      <c r="O309" s="31" t="s">
        <v>32</v>
      </c>
      <c r="P309" s="7"/>
      <c r="Q309" s="27">
        <v>45985</v>
      </c>
      <c r="R309" s="28" t="str">
        <f t="shared" si="78"/>
        <v>lun</v>
      </c>
      <c r="S309" s="29">
        <v>0.83333333333333337</v>
      </c>
      <c r="T309" s="19"/>
      <c r="U309" s="19"/>
      <c r="V309" s="19"/>
      <c r="W309" s="30" t="str">
        <f>IF(COUNTIF(T309:V309,"?*")=$T$7,"✅ CUBIERTO",IF(COUNTIF(T309:V309,"?*")&gt;$T$7,"⚠ EXCESO",
IF(COUNTIF(T309:V309,"?*")&gt;0,"⚠ FALTANTE", "❌ SIN COMPLETAR")))</f>
        <v>❌ SIN COMPLETAR</v>
      </c>
    </row>
    <row r="310" spans="1:23" x14ac:dyDescent="0.35">
      <c r="A310" s="27">
        <v>45986</v>
      </c>
      <c r="B310" s="28" t="str">
        <f>TEXT(A310,"ddd")</f>
        <v>mar</v>
      </c>
      <c r="C310" s="29">
        <v>0.375</v>
      </c>
      <c r="D310" s="25"/>
      <c r="E310" s="25"/>
      <c r="F310" s="25"/>
      <c r="G310" s="30" t="s">
        <v>32</v>
      </c>
      <c r="H310" s="7"/>
      <c r="I310" s="27">
        <v>45986</v>
      </c>
      <c r="J310" s="28" t="str">
        <f>TEXT(I310,"ddd")</f>
        <v>mar</v>
      </c>
      <c r="K310" s="29">
        <v>0.375</v>
      </c>
      <c r="L310" s="19" t="s">
        <v>7</v>
      </c>
      <c r="M310" s="19"/>
      <c r="N310" s="19"/>
      <c r="O310" s="31" t="str">
        <f>IF(COUNTIF(L310:N310,"?*")=$T$6,"✅ CUBIERTO",IF(COUNTIF(L310:N310,"?*")&gt;$T$6,"⚠ EXCESO",
IF(COUNTIF(L310:N310,"?*")&gt;0,"⚠ FALTANTE", "❌ SIN COMPLETAR")))</f>
        <v>✅ CUBIERTO</v>
      </c>
      <c r="P310" s="7"/>
      <c r="Q310" s="27">
        <v>45986</v>
      </c>
      <c r="R310" s="28" t="str">
        <f>TEXT(Q310,"ddd")</f>
        <v>mar</v>
      </c>
      <c r="S310" s="29">
        <v>0.375</v>
      </c>
      <c r="T310" s="25"/>
      <c r="U310" s="25"/>
      <c r="V310" s="25"/>
      <c r="W310" s="30" t="s">
        <v>32</v>
      </c>
    </row>
    <row r="311" spans="1:23" x14ac:dyDescent="0.35">
      <c r="A311" s="27">
        <v>45986</v>
      </c>
      <c r="B311" s="28" t="str">
        <f>TEXT(A311,"ddd")</f>
        <v>mar</v>
      </c>
      <c r="C311" s="29">
        <v>0.41666666666666669</v>
      </c>
      <c r="D311" s="25"/>
      <c r="E311" s="25"/>
      <c r="F311" s="25"/>
      <c r="G311" s="30" t="s">
        <v>32</v>
      </c>
      <c r="H311" s="7"/>
      <c r="I311" s="27">
        <v>45986</v>
      </c>
      <c r="J311" s="28" t="str">
        <f>TEXT(I311,"ddd")</f>
        <v>mar</v>
      </c>
      <c r="K311" s="29">
        <v>0.41666666666666669</v>
      </c>
      <c r="L311" s="19" t="s">
        <v>7</v>
      </c>
      <c r="M311" s="19"/>
      <c r="N311" s="19"/>
      <c r="O311" s="31" t="str">
        <f>IF(COUNTIF(L311:N311,"?*")=$T$6,"✅ CUBIERTO",IF(COUNTIF(L311:N311,"?*")&gt;$T$6,"⚠ EXCESO",
IF(COUNTIF(L311:N311,"?*")&gt;0,"⚠ FALTANTE", "❌ SIN COMPLETAR")))</f>
        <v>✅ CUBIERTO</v>
      </c>
      <c r="P311" s="7"/>
      <c r="Q311" s="27">
        <v>45986</v>
      </c>
      <c r="R311" s="28" t="str">
        <f>TEXT(Q311,"ddd")</f>
        <v>mar</v>
      </c>
      <c r="S311" s="29">
        <v>0.41666666666666669</v>
      </c>
      <c r="T311" s="19"/>
      <c r="U311" s="19"/>
      <c r="V311" s="19"/>
      <c r="W311" s="30" t="str">
        <f>IF(COUNTIF(T311:V311,"?*")=$T$7,"✅ CUBIERTO",IF(COUNTIF(T311:V311,"?*")&gt;$T$7,"⚠ EXCESO",
IF(COUNTIF(T311:V311,"?*")&gt;0,"⚠ FALTANTE", "❌ SIN COMPLETAR")))</f>
        <v>❌ SIN COMPLETAR</v>
      </c>
    </row>
    <row r="312" spans="1:23" x14ac:dyDescent="0.35">
      <c r="A312" s="27">
        <v>45986</v>
      </c>
      <c r="B312" s="28" t="str">
        <f>TEXT(A312,"ddd")</f>
        <v>mar</v>
      </c>
      <c r="C312" s="29">
        <v>0.45833333333333331</v>
      </c>
      <c r="D312" s="19" t="s">
        <v>30</v>
      </c>
      <c r="E312" s="19"/>
      <c r="F312" s="19"/>
      <c r="G312" s="30" t="str">
        <f>IF(COUNTIF(D312:F312,"?*")=$T$5,"✅ CUBIERTO",
IF(COUNTIF(D312:F312,"?*")&gt;$T$5,"⚠ EXCESO",IF(COUNTIF(D312:F312,"?*")&gt;0,"⚠ FALTANTE",
"❌ SIN COMPLETAR")))</f>
        <v>⚠ FALTANTE</v>
      </c>
      <c r="H312" s="7"/>
      <c r="I312" s="27">
        <v>45986</v>
      </c>
      <c r="J312" s="28" t="str">
        <f>TEXT(I312,"ddd")</f>
        <v>mar</v>
      </c>
      <c r="K312" s="29">
        <v>0.45833333333333331</v>
      </c>
      <c r="L312" s="19" t="s">
        <v>7</v>
      </c>
      <c r="M312" s="19"/>
      <c r="N312" s="19"/>
      <c r="O312" s="31" t="str">
        <f>IF(COUNTIF(L312:N312,"?*")=$T$6,"✅ CUBIERTO",IF(COUNTIF(L312:N312,"?*")&gt;$T$6,"⚠ EXCESO",
IF(COUNTIF(L312:N312,"?*")&gt;0,"⚠ FALTANTE", "❌ SIN COMPLETAR")))</f>
        <v>✅ CUBIERTO</v>
      </c>
      <c r="P312" s="7"/>
      <c r="Q312" s="27">
        <v>45986</v>
      </c>
      <c r="R312" s="28" t="str">
        <f>TEXT(Q312,"ddd")</f>
        <v>mar</v>
      </c>
      <c r="S312" s="29">
        <v>0.45833333333333331</v>
      </c>
      <c r="T312" s="19"/>
      <c r="U312" s="19"/>
      <c r="V312" s="19"/>
      <c r="W312" s="30" t="str">
        <f>IF(COUNTIF(T312:V312,"?*")=$T$7,"✅ CUBIERTO",IF(COUNTIF(T312:V312,"?*")&gt;$T$7,"⚠ EXCESO",
IF(COUNTIF(T312:V312,"?*")&gt;0,"⚠ FALTANTE", "❌ SIN COMPLETAR")))</f>
        <v>❌ SIN COMPLETAR</v>
      </c>
    </row>
    <row r="313" spans="1:23" x14ac:dyDescent="0.35">
      <c r="A313" s="27">
        <v>45986</v>
      </c>
      <c r="B313" s="28" t="str">
        <f t="shared" ref="B313:B321" si="79">TEXT(A313,"ddd")</f>
        <v>mar</v>
      </c>
      <c r="C313" s="29">
        <v>0.5</v>
      </c>
      <c r="D313" s="19" t="s">
        <v>30</v>
      </c>
      <c r="E313" s="19"/>
      <c r="F313" s="19"/>
      <c r="G313" s="30" t="str">
        <f>IF(COUNTIF(D313:F313,"?*")=$T$5,"✅ CUBIERTO",
IF(COUNTIF(D313:F313,"?*")&gt;$T$5,"⚠ EXCESO",IF(COUNTIF(D313:F313,"?*")&gt;0,"⚠ FALTANTE",
"❌ SIN COMPLETAR")))</f>
        <v>⚠ FALTANTE</v>
      </c>
      <c r="H313" s="7"/>
      <c r="I313" s="27">
        <v>45986</v>
      </c>
      <c r="J313" s="28" t="str">
        <f t="shared" ref="J313:J321" si="80">TEXT(I313,"ddd")</f>
        <v>mar</v>
      </c>
      <c r="K313" s="29">
        <v>0.5</v>
      </c>
      <c r="L313" s="19" t="s">
        <v>7</v>
      </c>
      <c r="M313" s="19"/>
      <c r="N313" s="19"/>
      <c r="O313" s="31" t="str">
        <f>IF(COUNTIF(L313:N313,"?*")=$T$6,"✅ CUBIERTO",IF(COUNTIF(L313:N313,"?*")&gt;$T$6,"⚠ EXCESO",
IF(COUNTIF(L313:N313,"?*")&gt;0,"⚠ FALTANTE", "❌ SIN COMPLETAR")))</f>
        <v>✅ CUBIERTO</v>
      </c>
      <c r="P313" s="7"/>
      <c r="Q313" s="27">
        <v>45986</v>
      </c>
      <c r="R313" s="28" t="str">
        <f t="shared" ref="R313:R321" si="81">TEXT(Q313,"ddd")</f>
        <v>mar</v>
      </c>
      <c r="S313" s="29">
        <v>0.5</v>
      </c>
      <c r="T313" s="19"/>
      <c r="U313" s="19"/>
      <c r="V313" s="19"/>
      <c r="W313" s="30" t="str">
        <f>IF(COUNTIF(T313:V313,"?*")=$T$7,"✅ CUBIERTO",IF(COUNTIF(T313:V313,"?*")&gt;$T$7,"⚠ EXCESO",
IF(COUNTIF(T313:V313,"?*")&gt;0,"⚠ FALTANTE", "❌ SIN COMPLETAR")))</f>
        <v>❌ SIN COMPLETAR</v>
      </c>
    </row>
    <row r="314" spans="1:23" x14ac:dyDescent="0.35">
      <c r="A314" s="27">
        <v>45986</v>
      </c>
      <c r="B314" s="28" t="str">
        <f t="shared" si="79"/>
        <v>mar</v>
      </c>
      <c r="C314" s="29">
        <v>0.54166666666666696</v>
      </c>
      <c r="D314" s="19" t="s">
        <v>30</v>
      </c>
      <c r="E314" s="19"/>
      <c r="F314" s="19"/>
      <c r="G314" s="30" t="str">
        <f>IF(COUNTIF(D314:F314,"?*")=$T$5,"✅ CUBIERTO",
IF(COUNTIF(D314:F314,"?*")&gt;$T$5,"⚠ EXCESO",IF(COUNTIF(D314:F314,"?*")&gt;0,"⚠ FALTANTE",
"❌ SIN COMPLETAR")))</f>
        <v>⚠ FALTANTE</v>
      </c>
      <c r="H314" s="7"/>
      <c r="I314" s="27">
        <v>45986</v>
      </c>
      <c r="J314" s="28" t="str">
        <f t="shared" si="80"/>
        <v>mar</v>
      </c>
      <c r="K314" s="29">
        <v>0.54166666666666696</v>
      </c>
      <c r="L314" s="19" t="s">
        <v>7</v>
      </c>
      <c r="M314" s="19"/>
      <c r="N314" s="19"/>
      <c r="O314" s="31" t="str">
        <f>IF(COUNTIF(L314:N314,"?*")=$T$6,"✅ CUBIERTO",IF(COUNTIF(L314:N314,"?*")&gt;$T$6,"⚠ EXCESO",
IF(COUNTIF(L314:N314,"?*")&gt;0,"⚠ FALTANTE", "❌ SIN COMPLETAR")))</f>
        <v>✅ CUBIERTO</v>
      </c>
      <c r="P314" s="7"/>
      <c r="Q314" s="27">
        <v>45986</v>
      </c>
      <c r="R314" s="28" t="str">
        <f t="shared" si="81"/>
        <v>mar</v>
      </c>
      <c r="S314" s="29">
        <v>0.54166666666666696</v>
      </c>
      <c r="T314" s="19"/>
      <c r="U314" s="19"/>
      <c r="V314" s="19"/>
      <c r="W314" s="30" t="str">
        <f>IF(COUNTIF(T314:V314,"?*")=$T$7,"✅ CUBIERTO",IF(COUNTIF(T314:V314,"?*")&gt;$T$7,"⚠ EXCESO",
IF(COUNTIF(T314:V314,"?*")&gt;0,"⚠ FALTANTE", "❌ SIN COMPLETAR")))</f>
        <v>❌ SIN COMPLETAR</v>
      </c>
    </row>
    <row r="315" spans="1:23" x14ac:dyDescent="0.35">
      <c r="A315" s="27">
        <v>45986</v>
      </c>
      <c r="B315" s="28" t="str">
        <f t="shared" si="79"/>
        <v>mar</v>
      </c>
      <c r="C315" s="29">
        <v>0.58333333333333304</v>
      </c>
      <c r="D315" s="19" t="s">
        <v>30</v>
      </c>
      <c r="E315" s="19"/>
      <c r="F315" s="19"/>
      <c r="G315" s="30" t="str">
        <f>IF(COUNTIF(D315:F315,"?*")=$T$5,"✅ CUBIERTO",
IF(COUNTIF(D315:F315,"?*")&gt;$T$5,"⚠ EXCESO",IF(COUNTIF(D315:F315,"?*")&gt;0,"⚠ FALTANTE",
"❌ SIN COMPLETAR")))</f>
        <v>⚠ FALTANTE</v>
      </c>
      <c r="H315" s="7"/>
      <c r="I315" s="27">
        <v>45986</v>
      </c>
      <c r="J315" s="28" t="str">
        <f t="shared" si="80"/>
        <v>mar</v>
      </c>
      <c r="K315" s="29">
        <v>0.58333333333333304</v>
      </c>
      <c r="L315" s="19" t="s">
        <v>29</v>
      </c>
      <c r="M315" s="19"/>
      <c r="N315" s="19"/>
      <c r="O315" s="31" t="str">
        <f>IF(COUNTIF(L315:N315,"?*")=$T$6,"✅ CUBIERTO",IF(COUNTIF(L315:N315,"?*")&gt;$T$6,"⚠ EXCESO",
IF(COUNTIF(L315:N315,"?*")&gt;0,"⚠ FALTANTE", "❌ SIN COMPLETAR")))</f>
        <v>✅ CUBIERTO</v>
      </c>
      <c r="P315" s="7"/>
      <c r="Q315" s="27">
        <v>45986</v>
      </c>
      <c r="R315" s="28" t="str">
        <f t="shared" si="81"/>
        <v>mar</v>
      </c>
      <c r="S315" s="29">
        <v>0.58333333333333304</v>
      </c>
      <c r="T315" s="19"/>
      <c r="U315" s="19"/>
      <c r="V315" s="19"/>
      <c r="W315" s="30" t="str">
        <f>IF(COUNTIF(T315:V315,"?*")=$T$7,"✅ CUBIERTO",IF(COUNTIF(T315:V315,"?*")&gt;$T$7,"⚠ EXCESO",
IF(COUNTIF(T315:V315,"?*")&gt;0,"⚠ FALTANTE", "❌ SIN COMPLETAR")))</f>
        <v>❌ SIN COMPLETAR</v>
      </c>
    </row>
    <row r="316" spans="1:23" x14ac:dyDescent="0.35">
      <c r="A316" s="27">
        <v>45986</v>
      </c>
      <c r="B316" s="28" t="str">
        <f t="shared" si="79"/>
        <v>mar</v>
      </c>
      <c r="C316" s="29">
        <v>0.625</v>
      </c>
      <c r="D316" s="19"/>
      <c r="E316" s="19"/>
      <c r="F316" s="19"/>
      <c r="G316" s="30" t="str">
        <f>IF(COUNTIF(D316:F316,"?*")=$T$5,"✅ CUBIERTO",
IF(COUNTIF(D316:F316,"?*")&gt;$T$5,"⚠ EXCESO",IF(COUNTIF(D316:F316,"?*")&gt;0,"⚠ FALTANTE",
"❌ SIN COMPLETAR")))</f>
        <v>❌ SIN COMPLETAR</v>
      </c>
      <c r="H316" s="7"/>
      <c r="I316" s="27">
        <v>45986</v>
      </c>
      <c r="J316" s="28" t="str">
        <f t="shared" si="80"/>
        <v>mar</v>
      </c>
      <c r="K316" s="29">
        <v>0.625</v>
      </c>
      <c r="L316" s="19" t="s">
        <v>29</v>
      </c>
      <c r="M316" s="19"/>
      <c r="N316" s="19"/>
      <c r="O316" s="31" t="str">
        <f>IF(COUNTIF(L316:N316,"?*")=$T$6,"✅ CUBIERTO",IF(COUNTIF(L316:N316,"?*")&gt;$T$6,"⚠ EXCESO",
IF(COUNTIF(L316:N316,"?*")&gt;0,"⚠ FALTANTE", "❌ SIN COMPLETAR")))</f>
        <v>✅ CUBIERTO</v>
      </c>
      <c r="P316" s="7"/>
      <c r="Q316" s="27">
        <v>45986</v>
      </c>
      <c r="R316" s="28" t="str">
        <f t="shared" si="81"/>
        <v>mar</v>
      </c>
      <c r="S316" s="29">
        <v>0.625</v>
      </c>
      <c r="T316" s="19"/>
      <c r="U316" s="19"/>
      <c r="V316" s="19"/>
      <c r="W316" s="30" t="str">
        <f>IF(COUNTIF(T316:V316,"?*")=$T$7,"✅ CUBIERTO",IF(COUNTIF(T316:V316,"?*")&gt;$T$7,"⚠ EXCESO",
IF(COUNTIF(T316:V316,"?*")&gt;0,"⚠ FALTANTE", "❌ SIN COMPLETAR")))</f>
        <v>❌ SIN COMPLETAR</v>
      </c>
    </row>
    <row r="317" spans="1:23" x14ac:dyDescent="0.35">
      <c r="A317" s="27">
        <v>45986</v>
      </c>
      <c r="B317" s="28" t="str">
        <f t="shared" si="79"/>
        <v>mar</v>
      </c>
      <c r="C317" s="29">
        <v>0.66666666666666696</v>
      </c>
      <c r="D317" s="19"/>
      <c r="E317" s="19"/>
      <c r="F317" s="19"/>
      <c r="G317" s="31" t="str">
        <f>IF(COUNTIF(D317:F317,"?*")=$T$5,"✅ CUBIERTO",
IF(COUNTIF(D317:F317,"?*")&gt;$T$5,"⚠ EXCESO",IF(COUNTIF(D317:F317,"?*")&gt;0,"⚠ FALTANTE",
"❌ SIN COMPLETAR")))</f>
        <v>❌ SIN COMPLETAR</v>
      </c>
      <c r="H317" s="7"/>
      <c r="I317" s="27">
        <v>45986</v>
      </c>
      <c r="J317" s="28" t="str">
        <f t="shared" si="80"/>
        <v>mar</v>
      </c>
      <c r="K317" s="29">
        <v>0.66666666666666696</v>
      </c>
      <c r="L317" s="19" t="s">
        <v>29</v>
      </c>
      <c r="M317" s="19"/>
      <c r="N317" s="19"/>
      <c r="O317" s="31" t="str">
        <f>IF(COUNTIF(L317:N317,"?*")=$T$6,"✅ CUBIERTO",IF(COUNTIF(L317:N317,"?*")&gt;$T$6,"⚠ EXCESO",
IF(COUNTIF(L317:N317,"?*")&gt;0,"⚠ FALTANTE", "❌ SIN COMPLETAR")))</f>
        <v>✅ CUBIERTO</v>
      </c>
      <c r="P317" s="7"/>
      <c r="Q317" s="27">
        <v>45986</v>
      </c>
      <c r="R317" s="28" t="str">
        <f t="shared" si="81"/>
        <v>mar</v>
      </c>
      <c r="S317" s="29">
        <v>0.66666666666666696</v>
      </c>
      <c r="T317" s="19"/>
      <c r="U317" s="19"/>
      <c r="V317" s="19"/>
      <c r="W317" s="30" t="str">
        <f>IF(COUNTIF(T317:V317,"?*")=$T$7,"✅ CUBIERTO",IF(COUNTIF(T317:V317,"?*")&gt;$T$7,"⚠ EXCESO",
IF(COUNTIF(T317:V317,"?*")&gt;0,"⚠ FALTANTE", "❌ SIN COMPLETAR")))</f>
        <v>❌ SIN COMPLETAR</v>
      </c>
    </row>
    <row r="318" spans="1:23" x14ac:dyDescent="0.35">
      <c r="A318" s="27">
        <v>45986</v>
      </c>
      <c r="B318" s="28" t="str">
        <f t="shared" si="79"/>
        <v>mar</v>
      </c>
      <c r="C318" s="29">
        <v>0.70833333333333304</v>
      </c>
      <c r="D318" s="19"/>
      <c r="E318" s="19"/>
      <c r="F318" s="19"/>
      <c r="G318" s="31" t="str">
        <f>IF(COUNTIF(D318:F318,"?*")=$T$5,"✅ CUBIERTO",
IF(COUNTIF(D318:F318,"?*")&gt;$T$5,"⚠ EXCESO",IF(COUNTIF(D318:F318,"?*")&gt;0,"⚠ FALTANTE",
"❌ SIN COMPLETAR")))</f>
        <v>❌ SIN COMPLETAR</v>
      </c>
      <c r="H318" s="7"/>
      <c r="I318" s="27">
        <v>45986</v>
      </c>
      <c r="J318" s="28" t="str">
        <f t="shared" si="80"/>
        <v>mar</v>
      </c>
      <c r="K318" s="29">
        <v>0.70833333333333304</v>
      </c>
      <c r="L318" s="19" t="s">
        <v>29</v>
      </c>
      <c r="M318" s="19"/>
      <c r="N318" s="19"/>
      <c r="O318" s="31" t="str">
        <f>IF(COUNTIF(L318:N318,"?*")=$T$6,"✅ CUBIERTO",IF(COUNTIF(L318:N318,"?*")&gt;$T$6,"⚠ EXCESO",
IF(COUNTIF(L318:N318,"?*")&gt;0,"⚠ FALTANTE", "❌ SIN COMPLETAR")))</f>
        <v>✅ CUBIERTO</v>
      </c>
      <c r="P318" s="7"/>
      <c r="Q318" s="27">
        <v>45986</v>
      </c>
      <c r="R318" s="28" t="str">
        <f t="shared" si="81"/>
        <v>mar</v>
      </c>
      <c r="S318" s="29">
        <v>0.70833333333333304</v>
      </c>
      <c r="T318" s="19"/>
      <c r="U318" s="19"/>
      <c r="V318" s="19"/>
      <c r="W318" s="30" t="str">
        <f>IF(COUNTIF(T318:V318,"?*")=$T$7,"✅ CUBIERTO",IF(COUNTIF(T318:V318,"?*")&gt;$T$7,"⚠ EXCESO",
IF(COUNTIF(T318:V318,"?*")&gt;0,"⚠ FALTANTE", "❌ SIN COMPLETAR")))</f>
        <v>❌ SIN COMPLETAR</v>
      </c>
    </row>
    <row r="319" spans="1:23" x14ac:dyDescent="0.35">
      <c r="A319" s="27">
        <v>45986</v>
      </c>
      <c r="B319" s="28" t="str">
        <f t="shared" si="79"/>
        <v>mar</v>
      </c>
      <c r="C319" s="29">
        <v>0.75</v>
      </c>
      <c r="D319" s="19"/>
      <c r="E319" s="19"/>
      <c r="F319" s="19"/>
      <c r="G319" s="31" t="str">
        <f>IF(COUNTIF(D319:F319,"?*")=$T$5,"✅ CUBIERTO",
IF(COUNTIF(D319:F319,"?*")&gt;$T$5,"⚠ EXCESO",IF(COUNTIF(D319:F319,"?*")&gt;0,"⚠ FALTANTE",
"❌ SIN COMPLETAR")))</f>
        <v>❌ SIN COMPLETAR</v>
      </c>
      <c r="H319" s="7"/>
      <c r="I319" s="27">
        <v>45986</v>
      </c>
      <c r="J319" s="28" t="str">
        <f t="shared" si="80"/>
        <v>mar</v>
      </c>
      <c r="K319" s="29">
        <v>0.75</v>
      </c>
      <c r="L319" s="25"/>
      <c r="M319" s="25"/>
      <c r="N319" s="25"/>
      <c r="O319" s="31" t="s">
        <v>32</v>
      </c>
      <c r="P319" s="7"/>
      <c r="Q319" s="27">
        <v>45986</v>
      </c>
      <c r="R319" s="28" t="str">
        <f t="shared" si="81"/>
        <v>mar</v>
      </c>
      <c r="S319" s="29">
        <v>0.75</v>
      </c>
      <c r="T319" s="19"/>
      <c r="U319" s="19"/>
      <c r="V319" s="19"/>
      <c r="W319" s="30" t="str">
        <f>IF(COUNTIF(T319:V319,"?*")=$T$7,"✅ CUBIERTO",IF(COUNTIF(T319:V319,"?*")&gt;$T$7,"⚠ EXCESO",
IF(COUNTIF(T319:V319,"?*")&gt;0,"⚠ FALTANTE", "❌ SIN COMPLETAR")))</f>
        <v>❌ SIN COMPLETAR</v>
      </c>
    </row>
    <row r="320" spans="1:23" x14ac:dyDescent="0.35">
      <c r="A320" s="27">
        <v>45986</v>
      </c>
      <c r="B320" s="28" t="str">
        <f t="shared" si="79"/>
        <v>mar</v>
      </c>
      <c r="C320" s="29">
        <v>0.79166666666666696</v>
      </c>
      <c r="D320" s="19"/>
      <c r="E320" s="19"/>
      <c r="F320" s="19"/>
      <c r="G320" s="31" t="str">
        <f>IF(COUNTIF(D320:F320,"?*")=$T$5,"✅ CUBIERTO",
IF(COUNTIF(D320:F320,"?*")&gt;$T$5,"⚠ EXCESO",IF(COUNTIF(D320:F320,"?*")&gt;0,"⚠ FALTANTE",
"❌ SIN COMPLETAR")))</f>
        <v>❌ SIN COMPLETAR</v>
      </c>
      <c r="H320" s="7"/>
      <c r="I320" s="27">
        <v>45986</v>
      </c>
      <c r="J320" s="28" t="str">
        <f t="shared" si="80"/>
        <v>mar</v>
      </c>
      <c r="K320" s="29">
        <v>0.79166666666666696</v>
      </c>
      <c r="L320" s="25"/>
      <c r="M320" s="25"/>
      <c r="N320" s="25"/>
      <c r="O320" s="31" t="s">
        <v>32</v>
      </c>
      <c r="P320" s="7"/>
      <c r="Q320" s="27">
        <v>45986</v>
      </c>
      <c r="R320" s="28" t="str">
        <f t="shared" si="81"/>
        <v>mar</v>
      </c>
      <c r="S320" s="29">
        <v>0.79166666666666696</v>
      </c>
      <c r="T320" s="19"/>
      <c r="U320" s="19"/>
      <c r="V320" s="19"/>
      <c r="W320" s="30" t="str">
        <f>IF(COUNTIF(T320:V320,"?*")=$T$7,"✅ CUBIERTO",IF(COUNTIF(T320:V320,"?*")&gt;$T$7,"⚠ EXCESO",
IF(COUNTIF(T320:V320,"?*")&gt;0,"⚠ FALTANTE", "❌ SIN COMPLETAR")))</f>
        <v>❌ SIN COMPLETAR</v>
      </c>
    </row>
    <row r="321" spans="1:23" x14ac:dyDescent="0.35">
      <c r="A321" s="27">
        <v>45986</v>
      </c>
      <c r="B321" s="28" t="str">
        <f t="shared" si="79"/>
        <v>mar</v>
      </c>
      <c r="C321" s="29">
        <v>0.83333333333333337</v>
      </c>
      <c r="D321" s="25"/>
      <c r="E321" s="25"/>
      <c r="F321" s="25"/>
      <c r="G321" s="30" t="s">
        <v>32</v>
      </c>
      <c r="H321" s="7"/>
      <c r="I321" s="27">
        <v>45986</v>
      </c>
      <c r="J321" s="28" t="str">
        <f t="shared" si="80"/>
        <v>mar</v>
      </c>
      <c r="K321" s="29">
        <v>0.83333333333333337</v>
      </c>
      <c r="L321" s="25"/>
      <c r="M321" s="25"/>
      <c r="N321" s="25"/>
      <c r="O321" s="31" t="s">
        <v>32</v>
      </c>
      <c r="P321" s="7"/>
      <c r="Q321" s="27">
        <v>45986</v>
      </c>
      <c r="R321" s="28" t="str">
        <f t="shared" si="81"/>
        <v>mar</v>
      </c>
      <c r="S321" s="29">
        <v>0.83333333333333337</v>
      </c>
      <c r="T321" s="19"/>
      <c r="U321" s="19"/>
      <c r="V321" s="19"/>
      <c r="W321" s="30" t="str">
        <f>IF(COUNTIF(T321:V321,"?*")=$T$7,"✅ CUBIERTO",IF(COUNTIF(T321:V321,"?*")&gt;$T$7,"⚠ EXCESO",
IF(COUNTIF(T321:V321,"?*")&gt;0,"⚠ FALTANTE", "❌ SIN COMPLETAR")))</f>
        <v>❌ SIN COMPLETAR</v>
      </c>
    </row>
    <row r="322" spans="1:23" x14ac:dyDescent="0.35">
      <c r="A322" s="27">
        <v>45987</v>
      </c>
      <c r="B322" s="28" t="str">
        <f>TEXT(A322,"ddd")</f>
        <v>mié</v>
      </c>
      <c r="C322" s="29">
        <v>0.375</v>
      </c>
      <c r="D322" s="25"/>
      <c r="E322" s="25"/>
      <c r="F322" s="25"/>
      <c r="G322" s="30" t="s">
        <v>32</v>
      </c>
      <c r="H322" s="7"/>
      <c r="I322" s="27">
        <v>45987</v>
      </c>
      <c r="J322" s="28" t="str">
        <f>TEXT(I322,"ddd")</f>
        <v>mié</v>
      </c>
      <c r="K322" s="29">
        <v>0.375</v>
      </c>
      <c r="L322" s="19" t="s">
        <v>7</v>
      </c>
      <c r="M322" s="19"/>
      <c r="N322" s="19"/>
      <c r="O322" s="31" t="str">
        <f>IF(COUNTIF(L322:N322,"?*")=$T$6,"✅ CUBIERTO",IF(COUNTIF(L322:N322,"?*")&gt;$T$6,"⚠ EXCESO",
IF(COUNTIF(L322:N322,"?*")&gt;0,"⚠ FALTANTE", "❌ SIN COMPLETAR")))</f>
        <v>✅ CUBIERTO</v>
      </c>
      <c r="P322" s="7"/>
      <c r="Q322" s="27">
        <v>45987</v>
      </c>
      <c r="R322" s="28" t="str">
        <f>TEXT(Q322,"ddd")</f>
        <v>mié</v>
      </c>
      <c r="S322" s="29">
        <v>0.375</v>
      </c>
      <c r="T322" s="25"/>
      <c r="U322" s="25"/>
      <c r="V322" s="25"/>
      <c r="W322" s="30" t="s">
        <v>32</v>
      </c>
    </row>
    <row r="323" spans="1:23" x14ac:dyDescent="0.35">
      <c r="A323" s="27">
        <v>45987</v>
      </c>
      <c r="B323" s="28" t="str">
        <f>TEXT(A323,"ddd")</f>
        <v>mié</v>
      </c>
      <c r="C323" s="29">
        <v>0.41666666666666669</v>
      </c>
      <c r="D323" s="25"/>
      <c r="E323" s="25"/>
      <c r="F323" s="25"/>
      <c r="G323" s="30" t="s">
        <v>32</v>
      </c>
      <c r="H323" s="7"/>
      <c r="I323" s="27">
        <v>45987</v>
      </c>
      <c r="J323" s="28" t="str">
        <f>TEXT(I323,"ddd")</f>
        <v>mié</v>
      </c>
      <c r="K323" s="29">
        <v>0.41666666666666669</v>
      </c>
      <c r="L323" s="19" t="s">
        <v>7</v>
      </c>
      <c r="M323" s="19"/>
      <c r="N323" s="19"/>
      <c r="O323" s="31" t="str">
        <f>IF(COUNTIF(L323:N323,"?*")=$T$6,"✅ CUBIERTO",IF(COUNTIF(L323:N323,"?*")&gt;$T$6,"⚠ EXCESO",
IF(COUNTIF(L323:N323,"?*")&gt;0,"⚠ FALTANTE", "❌ SIN COMPLETAR")))</f>
        <v>✅ CUBIERTO</v>
      </c>
      <c r="P323" s="7"/>
      <c r="Q323" s="27">
        <v>45987</v>
      </c>
      <c r="R323" s="28" t="str">
        <f>TEXT(Q323,"ddd")</f>
        <v>mié</v>
      </c>
      <c r="S323" s="29">
        <v>0.41666666666666669</v>
      </c>
      <c r="T323" s="19"/>
      <c r="U323" s="19"/>
      <c r="V323" s="19"/>
      <c r="W323" s="30" t="str">
        <f>IF(COUNTIF(T323:V323,"?*")=$T$7,"✅ CUBIERTO",IF(COUNTIF(T323:V323,"?*")&gt;$T$7,"⚠ EXCESO",
IF(COUNTIF(T323:V323,"?*")&gt;0,"⚠ FALTANTE", "❌ SIN COMPLETAR")))</f>
        <v>❌ SIN COMPLETAR</v>
      </c>
    </row>
    <row r="324" spans="1:23" x14ac:dyDescent="0.35">
      <c r="A324" s="27">
        <v>45987</v>
      </c>
      <c r="B324" s="28" t="str">
        <f>TEXT(A324,"ddd")</f>
        <v>mié</v>
      </c>
      <c r="C324" s="29">
        <v>0.45833333333333331</v>
      </c>
      <c r="D324" s="19" t="s">
        <v>3</v>
      </c>
      <c r="E324" s="19" t="s">
        <v>4</v>
      </c>
      <c r="F324" s="19"/>
      <c r="G324" s="31" t="str">
        <f>IF(COUNTIF(D324:F324,"?*")=$T$5,"✅ CUBIERTO",
IF(COUNTIF(D324:F324,"?*")&gt;$T$5,"⚠ EXCESO",IF(COUNTIF(D324:F324,"?*")&gt;0,"⚠ FALTANTE",
"❌ SIN COMPLETAR")))</f>
        <v>✅ CUBIERTO</v>
      </c>
      <c r="H324" s="7"/>
      <c r="I324" s="27">
        <v>45987</v>
      </c>
      <c r="J324" s="28" t="str">
        <f>TEXT(I324,"ddd")</f>
        <v>mié</v>
      </c>
      <c r="K324" s="29">
        <v>0.45833333333333331</v>
      </c>
      <c r="L324" s="19" t="s">
        <v>7</v>
      </c>
      <c r="M324" s="19"/>
      <c r="N324" s="19"/>
      <c r="O324" s="31" t="str">
        <f>IF(COUNTIF(L324:N324,"?*")=$T$6,"✅ CUBIERTO",IF(COUNTIF(L324:N324,"?*")&gt;$T$6,"⚠ EXCESO",
IF(COUNTIF(L324:N324,"?*")&gt;0,"⚠ FALTANTE", "❌ SIN COMPLETAR")))</f>
        <v>✅ CUBIERTO</v>
      </c>
      <c r="P324" s="7"/>
      <c r="Q324" s="27">
        <v>45987</v>
      </c>
      <c r="R324" s="28" t="str">
        <f>TEXT(Q324,"ddd")</f>
        <v>mié</v>
      </c>
      <c r="S324" s="29">
        <v>0.45833333333333331</v>
      </c>
      <c r="T324" s="19"/>
      <c r="U324" s="19"/>
      <c r="V324" s="19"/>
      <c r="W324" s="30" t="str">
        <f>IF(COUNTIF(T324:V324,"?*")=$T$7,"✅ CUBIERTO",IF(COUNTIF(T324:V324,"?*")&gt;$T$7,"⚠ EXCESO",
IF(COUNTIF(T324:V324,"?*")&gt;0,"⚠ FALTANTE", "❌ SIN COMPLETAR")))</f>
        <v>❌ SIN COMPLETAR</v>
      </c>
    </row>
    <row r="325" spans="1:23" x14ac:dyDescent="0.35">
      <c r="A325" s="27">
        <v>45987</v>
      </c>
      <c r="B325" s="28" t="str">
        <f t="shared" ref="B325:B333" si="82">TEXT(A325,"ddd")</f>
        <v>mié</v>
      </c>
      <c r="C325" s="29">
        <v>0.5</v>
      </c>
      <c r="D325" s="19" t="s">
        <v>3</v>
      </c>
      <c r="E325" s="19" t="s">
        <v>4</v>
      </c>
      <c r="F325" s="19"/>
      <c r="G325" s="31" t="str">
        <f>IF(COUNTIF(D325:F325,"?*")=$T$5,"✅ CUBIERTO",
IF(COUNTIF(D325:F325,"?*")&gt;$T$5,"⚠ EXCESO",IF(COUNTIF(D325:F325,"?*")&gt;0,"⚠ FALTANTE",
"❌ SIN COMPLETAR")))</f>
        <v>✅ CUBIERTO</v>
      </c>
      <c r="H325" s="7"/>
      <c r="I325" s="27">
        <v>45987</v>
      </c>
      <c r="J325" s="28" t="str">
        <f t="shared" ref="J325:J333" si="83">TEXT(I325,"ddd")</f>
        <v>mié</v>
      </c>
      <c r="K325" s="29">
        <v>0.5</v>
      </c>
      <c r="L325" s="19" t="s">
        <v>7</v>
      </c>
      <c r="M325" s="19"/>
      <c r="N325" s="19"/>
      <c r="O325" s="31" t="str">
        <f>IF(COUNTIF(L325:N325,"?*")=$T$6,"✅ CUBIERTO",IF(COUNTIF(L325:N325,"?*")&gt;$T$6,"⚠ EXCESO",
IF(COUNTIF(L325:N325,"?*")&gt;0,"⚠ FALTANTE", "❌ SIN COMPLETAR")))</f>
        <v>✅ CUBIERTO</v>
      </c>
      <c r="P325" s="7"/>
      <c r="Q325" s="27">
        <v>45987</v>
      </c>
      <c r="R325" s="28" t="str">
        <f t="shared" ref="R325:R333" si="84">TEXT(Q325,"ddd")</f>
        <v>mié</v>
      </c>
      <c r="S325" s="29">
        <v>0.5</v>
      </c>
      <c r="T325" s="19"/>
      <c r="U325" s="19"/>
      <c r="V325" s="19"/>
      <c r="W325" s="30" t="str">
        <f>IF(COUNTIF(T325:V325,"?*")=$T$7,"✅ CUBIERTO",IF(COUNTIF(T325:V325,"?*")&gt;$T$7,"⚠ EXCESO",
IF(COUNTIF(T325:V325,"?*")&gt;0,"⚠ FALTANTE", "❌ SIN COMPLETAR")))</f>
        <v>❌ SIN COMPLETAR</v>
      </c>
    </row>
    <row r="326" spans="1:23" x14ac:dyDescent="0.35">
      <c r="A326" s="27">
        <v>45987</v>
      </c>
      <c r="B326" s="28" t="str">
        <f t="shared" si="82"/>
        <v>mié</v>
      </c>
      <c r="C326" s="29">
        <v>0.54166666666666696</v>
      </c>
      <c r="D326" s="19" t="s">
        <v>3</v>
      </c>
      <c r="E326" s="19" t="s">
        <v>4</v>
      </c>
      <c r="F326" s="19"/>
      <c r="G326" s="31" t="str">
        <f>IF(COUNTIF(D326:F326,"?*")=$T$5,"✅ CUBIERTO",
IF(COUNTIF(D326:F326,"?*")&gt;$T$5,"⚠ EXCESO",IF(COUNTIF(D326:F326,"?*")&gt;0,"⚠ FALTANTE",
"❌ SIN COMPLETAR")))</f>
        <v>✅ CUBIERTO</v>
      </c>
      <c r="H326" s="7"/>
      <c r="I326" s="27">
        <v>45987</v>
      </c>
      <c r="J326" s="28" t="str">
        <f t="shared" si="83"/>
        <v>mié</v>
      </c>
      <c r="K326" s="29">
        <v>0.54166666666666696</v>
      </c>
      <c r="L326" s="19" t="s">
        <v>7</v>
      </c>
      <c r="M326" s="19"/>
      <c r="N326" s="19"/>
      <c r="O326" s="31" t="str">
        <f>IF(COUNTIF(L326:N326,"?*")=$T$6,"✅ CUBIERTO",IF(COUNTIF(L326:N326,"?*")&gt;$T$6,"⚠ EXCESO",
IF(COUNTIF(L326:N326,"?*")&gt;0,"⚠ FALTANTE", "❌ SIN COMPLETAR")))</f>
        <v>✅ CUBIERTO</v>
      </c>
      <c r="P326" s="7"/>
      <c r="Q326" s="27">
        <v>45987</v>
      </c>
      <c r="R326" s="28" t="str">
        <f t="shared" si="84"/>
        <v>mié</v>
      </c>
      <c r="S326" s="29">
        <v>0.54166666666666696</v>
      </c>
      <c r="T326" s="19"/>
      <c r="U326" s="19"/>
      <c r="V326" s="19"/>
      <c r="W326" s="30" t="str">
        <f>IF(COUNTIF(T326:V326,"?*")=$T$7,"✅ CUBIERTO",IF(COUNTIF(T326:V326,"?*")&gt;$T$7,"⚠ EXCESO",
IF(COUNTIF(T326:V326,"?*")&gt;0,"⚠ FALTANTE", "❌ SIN COMPLETAR")))</f>
        <v>❌ SIN COMPLETAR</v>
      </c>
    </row>
    <row r="327" spans="1:23" x14ac:dyDescent="0.35">
      <c r="A327" s="27">
        <v>45987</v>
      </c>
      <c r="B327" s="28" t="str">
        <f t="shared" si="82"/>
        <v>mié</v>
      </c>
      <c r="C327" s="29">
        <v>0.58333333333333304</v>
      </c>
      <c r="D327" s="19" t="s">
        <v>3</v>
      </c>
      <c r="E327" s="19" t="s">
        <v>4</v>
      </c>
      <c r="F327" s="19"/>
      <c r="G327" s="31" t="str">
        <f>IF(COUNTIF(D327:F327,"?*")=$T$5,"✅ CUBIERTO",
IF(COUNTIF(D327:F327,"?*")&gt;$T$5,"⚠ EXCESO",IF(COUNTIF(D327:F327,"?*")&gt;0,"⚠ FALTANTE",
"❌ SIN COMPLETAR")))</f>
        <v>✅ CUBIERTO</v>
      </c>
      <c r="H327" s="7"/>
      <c r="I327" s="27">
        <v>45987</v>
      </c>
      <c r="J327" s="28" t="str">
        <f t="shared" si="83"/>
        <v>mié</v>
      </c>
      <c r="K327" s="29">
        <v>0.58333333333333304</v>
      </c>
      <c r="L327" s="19" t="s">
        <v>29</v>
      </c>
      <c r="M327" s="19"/>
      <c r="N327" s="19"/>
      <c r="O327" s="31" t="str">
        <f>IF(COUNTIF(L327:N327,"?*")=$T$6,"✅ CUBIERTO",IF(COUNTIF(L327:N327,"?*")&gt;$T$6,"⚠ EXCESO",
IF(COUNTIF(L327:N327,"?*")&gt;0,"⚠ FALTANTE", "❌ SIN COMPLETAR")))</f>
        <v>✅ CUBIERTO</v>
      </c>
      <c r="P327" s="7"/>
      <c r="Q327" s="27">
        <v>45987</v>
      </c>
      <c r="R327" s="28" t="str">
        <f t="shared" si="84"/>
        <v>mié</v>
      </c>
      <c r="S327" s="29">
        <v>0.58333333333333304</v>
      </c>
      <c r="T327" s="19"/>
      <c r="U327" s="19"/>
      <c r="V327" s="19"/>
      <c r="W327" s="30" t="str">
        <f>IF(COUNTIF(T327:V327,"?*")=$T$7,"✅ CUBIERTO",IF(COUNTIF(T327:V327,"?*")&gt;$T$7,"⚠ EXCESO",
IF(COUNTIF(T327:V327,"?*")&gt;0,"⚠ FALTANTE", "❌ SIN COMPLETAR")))</f>
        <v>❌ SIN COMPLETAR</v>
      </c>
    </row>
    <row r="328" spans="1:23" x14ac:dyDescent="0.35">
      <c r="A328" s="27">
        <v>45987</v>
      </c>
      <c r="B328" s="28" t="str">
        <f t="shared" si="82"/>
        <v>mié</v>
      </c>
      <c r="C328" s="29">
        <v>0.625</v>
      </c>
      <c r="D328" s="19" t="s">
        <v>3</v>
      </c>
      <c r="E328" s="19" t="s">
        <v>4</v>
      </c>
      <c r="F328" s="19"/>
      <c r="G328" s="31" t="str">
        <f>IF(COUNTIF(D328:F328,"?*")=$T$5,"✅ CUBIERTO",
IF(COUNTIF(D328:F328,"?*")&gt;$T$5,"⚠ EXCESO",IF(COUNTIF(D328:F328,"?*")&gt;0,"⚠ FALTANTE",
"❌ SIN COMPLETAR")))</f>
        <v>✅ CUBIERTO</v>
      </c>
      <c r="H328" s="7"/>
      <c r="I328" s="27">
        <v>45987</v>
      </c>
      <c r="J328" s="28" t="str">
        <f t="shared" si="83"/>
        <v>mié</v>
      </c>
      <c r="K328" s="29">
        <v>0.625</v>
      </c>
      <c r="L328" s="19" t="s">
        <v>29</v>
      </c>
      <c r="M328" s="19"/>
      <c r="N328" s="19"/>
      <c r="O328" s="31" t="str">
        <f>IF(COUNTIF(L328:N328,"?*")=$T$6,"✅ CUBIERTO",IF(COUNTIF(L328:N328,"?*")&gt;$T$6,"⚠ EXCESO",
IF(COUNTIF(L328:N328,"?*")&gt;0,"⚠ FALTANTE", "❌ SIN COMPLETAR")))</f>
        <v>✅ CUBIERTO</v>
      </c>
      <c r="P328" s="7"/>
      <c r="Q328" s="27">
        <v>45987</v>
      </c>
      <c r="R328" s="28" t="str">
        <f t="shared" si="84"/>
        <v>mié</v>
      </c>
      <c r="S328" s="29">
        <v>0.625</v>
      </c>
      <c r="T328" s="19"/>
      <c r="U328" s="19"/>
      <c r="V328" s="19"/>
      <c r="W328" s="30" t="str">
        <f>IF(COUNTIF(T328:V328,"?*")=$T$7,"✅ CUBIERTO",IF(COUNTIF(T328:V328,"?*")&gt;$T$7,"⚠ EXCESO",
IF(COUNTIF(T328:V328,"?*")&gt;0,"⚠ FALTANTE", "❌ SIN COMPLETAR")))</f>
        <v>❌ SIN COMPLETAR</v>
      </c>
    </row>
    <row r="329" spans="1:23" x14ac:dyDescent="0.35">
      <c r="A329" s="27">
        <v>45987</v>
      </c>
      <c r="B329" s="28" t="str">
        <f t="shared" si="82"/>
        <v>mié</v>
      </c>
      <c r="C329" s="29">
        <v>0.66666666666666696</v>
      </c>
      <c r="D329" s="19" t="s">
        <v>30</v>
      </c>
      <c r="E329" s="19"/>
      <c r="F329" s="19"/>
      <c r="G329" s="31" t="str">
        <f>IF(COUNTIF(D329:F329,"?*")=$T$5,"✅ CUBIERTO",
IF(COUNTIF(D329:F329,"?*")&gt;$T$5,"⚠ EXCESO",IF(COUNTIF(D329:F329,"?*")&gt;0,"⚠ FALTANTE",
"❌ SIN COMPLETAR")))</f>
        <v>⚠ FALTANTE</v>
      </c>
      <c r="H329" s="7"/>
      <c r="I329" s="27">
        <v>45987</v>
      </c>
      <c r="J329" s="28" t="str">
        <f t="shared" si="83"/>
        <v>mié</v>
      </c>
      <c r="K329" s="29">
        <v>0.66666666666666696</v>
      </c>
      <c r="L329" s="19" t="s">
        <v>29</v>
      </c>
      <c r="M329" s="19"/>
      <c r="N329" s="19"/>
      <c r="O329" s="31" t="str">
        <f>IF(COUNTIF(L329:N329,"?*")=$T$6,"✅ CUBIERTO",IF(COUNTIF(L329:N329,"?*")&gt;$T$6,"⚠ EXCESO",
IF(COUNTIF(L329:N329,"?*")&gt;0,"⚠ FALTANTE", "❌ SIN COMPLETAR")))</f>
        <v>✅ CUBIERTO</v>
      </c>
      <c r="P329" s="7"/>
      <c r="Q329" s="27">
        <v>45987</v>
      </c>
      <c r="R329" s="28" t="str">
        <f t="shared" si="84"/>
        <v>mié</v>
      </c>
      <c r="S329" s="29">
        <v>0.66666666666666696</v>
      </c>
      <c r="T329" s="19"/>
      <c r="U329" s="19"/>
      <c r="V329" s="19"/>
      <c r="W329" s="30" t="str">
        <f>IF(COUNTIF(T329:V329,"?*")=$T$7,"✅ CUBIERTO",IF(COUNTIF(T329:V329,"?*")&gt;$T$7,"⚠ EXCESO",
IF(COUNTIF(T329:V329,"?*")&gt;0,"⚠ FALTANTE", "❌ SIN COMPLETAR")))</f>
        <v>❌ SIN COMPLETAR</v>
      </c>
    </row>
    <row r="330" spans="1:23" x14ac:dyDescent="0.35">
      <c r="A330" s="27">
        <v>45987</v>
      </c>
      <c r="B330" s="28" t="str">
        <f t="shared" si="82"/>
        <v>mié</v>
      </c>
      <c r="C330" s="29">
        <v>0.70833333333333304</v>
      </c>
      <c r="D330" s="19" t="s">
        <v>30</v>
      </c>
      <c r="E330" s="19"/>
      <c r="F330" s="19"/>
      <c r="G330" s="31" t="str">
        <f>IF(COUNTIF(D330:F330,"?*")=$T$5,"✅ CUBIERTO",
IF(COUNTIF(D330:F330,"?*")&gt;$T$5,"⚠ EXCESO",IF(COUNTIF(D330:F330,"?*")&gt;0,"⚠ FALTANTE",
"❌ SIN COMPLETAR")))</f>
        <v>⚠ FALTANTE</v>
      </c>
      <c r="H330" s="7"/>
      <c r="I330" s="27">
        <v>45987</v>
      </c>
      <c r="J330" s="28" t="str">
        <f t="shared" si="83"/>
        <v>mié</v>
      </c>
      <c r="K330" s="29">
        <v>0.70833333333333304</v>
      </c>
      <c r="L330" s="19" t="s">
        <v>29</v>
      </c>
      <c r="M330" s="19"/>
      <c r="N330" s="19"/>
      <c r="O330" s="31" t="str">
        <f>IF(COUNTIF(L330:N330,"?*")=$T$6,"✅ CUBIERTO",IF(COUNTIF(L330:N330,"?*")&gt;$T$6,"⚠ EXCESO",
IF(COUNTIF(L330:N330,"?*")&gt;0,"⚠ FALTANTE", "❌ SIN COMPLETAR")))</f>
        <v>✅ CUBIERTO</v>
      </c>
      <c r="P330" s="7"/>
      <c r="Q330" s="27">
        <v>45987</v>
      </c>
      <c r="R330" s="28" t="str">
        <f t="shared" si="84"/>
        <v>mié</v>
      </c>
      <c r="S330" s="29">
        <v>0.70833333333333304</v>
      </c>
      <c r="T330" s="19"/>
      <c r="U330" s="19"/>
      <c r="V330" s="19"/>
      <c r="W330" s="30" t="str">
        <f>IF(COUNTIF(T330:V330,"?*")=$T$7,"✅ CUBIERTO",IF(COUNTIF(T330:V330,"?*")&gt;$T$7,"⚠ EXCESO",
IF(COUNTIF(T330:V330,"?*")&gt;0,"⚠ FALTANTE", "❌ SIN COMPLETAR")))</f>
        <v>❌ SIN COMPLETAR</v>
      </c>
    </row>
    <row r="331" spans="1:23" x14ac:dyDescent="0.35">
      <c r="A331" s="27">
        <v>45987</v>
      </c>
      <c r="B331" s="28" t="str">
        <f t="shared" si="82"/>
        <v>mié</v>
      </c>
      <c r="C331" s="29">
        <v>0.75</v>
      </c>
      <c r="D331" s="19" t="s">
        <v>30</v>
      </c>
      <c r="E331" s="19"/>
      <c r="F331" s="19"/>
      <c r="G331" s="31" t="str">
        <f>IF(COUNTIF(D331:F331,"?*")=$T$5,"✅ CUBIERTO",
IF(COUNTIF(D331:F331,"?*")&gt;$T$5,"⚠ EXCESO",IF(COUNTIF(D331:F331,"?*")&gt;0,"⚠ FALTANTE",
"❌ SIN COMPLETAR")))</f>
        <v>⚠ FALTANTE</v>
      </c>
      <c r="H331" s="7"/>
      <c r="I331" s="27">
        <v>45987</v>
      </c>
      <c r="J331" s="28" t="str">
        <f t="shared" si="83"/>
        <v>mié</v>
      </c>
      <c r="K331" s="29">
        <v>0.75</v>
      </c>
      <c r="L331" s="25"/>
      <c r="M331" s="25"/>
      <c r="N331" s="25"/>
      <c r="O331" s="31" t="s">
        <v>32</v>
      </c>
      <c r="P331" s="7"/>
      <c r="Q331" s="27">
        <v>45987</v>
      </c>
      <c r="R331" s="28" t="str">
        <f t="shared" si="84"/>
        <v>mié</v>
      </c>
      <c r="S331" s="29">
        <v>0.75</v>
      </c>
      <c r="T331" s="19"/>
      <c r="U331" s="19"/>
      <c r="V331" s="19"/>
      <c r="W331" s="30" t="str">
        <f>IF(COUNTIF(T331:V331,"?*")=$T$7,"✅ CUBIERTO",IF(COUNTIF(T331:V331,"?*")&gt;$T$7,"⚠ EXCESO",
IF(COUNTIF(T331:V331,"?*")&gt;0,"⚠ FALTANTE", "❌ SIN COMPLETAR")))</f>
        <v>❌ SIN COMPLETAR</v>
      </c>
    </row>
    <row r="332" spans="1:23" x14ac:dyDescent="0.35">
      <c r="A332" s="27">
        <v>45987</v>
      </c>
      <c r="B332" s="28" t="str">
        <f t="shared" si="82"/>
        <v>mié</v>
      </c>
      <c r="C332" s="29">
        <v>0.79166666666666696</v>
      </c>
      <c r="D332" s="19" t="s">
        <v>30</v>
      </c>
      <c r="E332" s="19"/>
      <c r="F332" s="19"/>
      <c r="G332" s="31" t="str">
        <f>IF(COUNTIF(D332:F332,"?*")=$T$5,"✅ CUBIERTO",
IF(COUNTIF(D332:F332,"?*")&gt;$T$5,"⚠ EXCESO",IF(COUNTIF(D332:F332,"?*")&gt;0,"⚠ FALTANTE",
"❌ SIN COMPLETAR")))</f>
        <v>⚠ FALTANTE</v>
      </c>
      <c r="H332" s="7"/>
      <c r="I332" s="27">
        <v>45987</v>
      </c>
      <c r="J332" s="28" t="str">
        <f t="shared" si="83"/>
        <v>mié</v>
      </c>
      <c r="K332" s="29">
        <v>0.79166666666666696</v>
      </c>
      <c r="L332" s="25"/>
      <c r="M332" s="25"/>
      <c r="N332" s="25"/>
      <c r="O332" s="31" t="s">
        <v>32</v>
      </c>
      <c r="P332" s="7"/>
      <c r="Q332" s="27">
        <v>45987</v>
      </c>
      <c r="R332" s="28" t="str">
        <f t="shared" si="84"/>
        <v>mié</v>
      </c>
      <c r="S332" s="29">
        <v>0.79166666666666696</v>
      </c>
      <c r="T332" s="19"/>
      <c r="U332" s="19"/>
      <c r="V332" s="19"/>
      <c r="W332" s="30" t="str">
        <f>IF(COUNTIF(T332:V332,"?*")=$T$7,"✅ CUBIERTO",IF(COUNTIF(T332:V332,"?*")&gt;$T$7,"⚠ EXCESO",
IF(COUNTIF(T332:V332,"?*")&gt;0,"⚠ FALTANTE", "❌ SIN COMPLETAR")))</f>
        <v>❌ SIN COMPLETAR</v>
      </c>
    </row>
    <row r="333" spans="1:23" x14ac:dyDescent="0.35">
      <c r="A333" s="27">
        <v>45987</v>
      </c>
      <c r="B333" s="28" t="str">
        <f t="shared" si="82"/>
        <v>mié</v>
      </c>
      <c r="C333" s="29">
        <v>0.83333333333333337</v>
      </c>
      <c r="D333" s="25"/>
      <c r="E333" s="25"/>
      <c r="F333" s="25"/>
      <c r="G333" s="30" t="s">
        <v>32</v>
      </c>
      <c r="H333" s="7"/>
      <c r="I333" s="27">
        <v>45987</v>
      </c>
      <c r="J333" s="28" t="str">
        <f t="shared" si="83"/>
        <v>mié</v>
      </c>
      <c r="K333" s="29">
        <v>0.83333333333333337</v>
      </c>
      <c r="L333" s="25"/>
      <c r="M333" s="25"/>
      <c r="N333" s="25"/>
      <c r="O333" s="31" t="s">
        <v>32</v>
      </c>
      <c r="P333" s="7"/>
      <c r="Q333" s="27">
        <v>45987</v>
      </c>
      <c r="R333" s="28" t="str">
        <f t="shared" si="84"/>
        <v>mié</v>
      </c>
      <c r="S333" s="29">
        <v>0.83333333333333337</v>
      </c>
      <c r="T333" s="19"/>
      <c r="U333" s="19"/>
      <c r="V333" s="19"/>
      <c r="W333" s="30" t="str">
        <f>IF(COUNTIF(T333:V333,"?*")=$T$7,"✅ CUBIERTO",IF(COUNTIF(T333:V333,"?*")&gt;$T$7,"⚠ EXCESO",
IF(COUNTIF(T333:V333,"?*")&gt;0,"⚠ FALTANTE", "❌ SIN COMPLETAR")))</f>
        <v>❌ SIN COMPLETAR</v>
      </c>
    </row>
    <row r="334" spans="1:23" x14ac:dyDescent="0.35">
      <c r="A334" s="27">
        <v>45988</v>
      </c>
      <c r="B334" s="28" t="str">
        <f>TEXT(A334,"ddd")</f>
        <v>jue</v>
      </c>
      <c r="C334" s="29">
        <v>0.375</v>
      </c>
      <c r="D334" s="25"/>
      <c r="E334" s="25"/>
      <c r="F334" s="25"/>
      <c r="G334" s="30" t="s">
        <v>32</v>
      </c>
      <c r="H334" s="7"/>
      <c r="I334" s="27">
        <v>45988</v>
      </c>
      <c r="J334" s="28" t="str">
        <f>TEXT(I334,"ddd")</f>
        <v>jue</v>
      </c>
      <c r="K334" s="29">
        <v>0.375</v>
      </c>
      <c r="L334" s="19" t="s">
        <v>7</v>
      </c>
      <c r="M334" s="19"/>
      <c r="N334" s="19"/>
      <c r="O334" s="31" t="str">
        <f>IF(COUNTIF(L334:N334,"?*")=$T$6,"✅ CUBIERTO",IF(COUNTIF(L334:N334,"?*")&gt;$T$6,"⚠ EXCESO",
IF(COUNTIF(L334:N334,"?*")&gt;0,"⚠ FALTANTE", "❌ SIN COMPLETAR")))</f>
        <v>✅ CUBIERTO</v>
      </c>
      <c r="P334" s="7"/>
      <c r="Q334" s="27">
        <v>45988</v>
      </c>
      <c r="R334" s="28" t="str">
        <f>TEXT(Q334,"ddd")</f>
        <v>jue</v>
      </c>
      <c r="S334" s="29">
        <v>0.375</v>
      </c>
      <c r="T334" s="25"/>
      <c r="U334" s="25"/>
      <c r="V334" s="25"/>
      <c r="W334" s="30" t="s">
        <v>32</v>
      </c>
    </row>
    <row r="335" spans="1:23" x14ac:dyDescent="0.35">
      <c r="A335" s="27">
        <v>45988</v>
      </c>
      <c r="B335" s="28" t="str">
        <f>TEXT(A335,"ddd")</f>
        <v>jue</v>
      </c>
      <c r="C335" s="29">
        <v>0.41666666666666669</v>
      </c>
      <c r="D335" s="25"/>
      <c r="E335" s="25"/>
      <c r="F335" s="25"/>
      <c r="G335" s="30" t="s">
        <v>32</v>
      </c>
      <c r="H335" s="7"/>
      <c r="I335" s="27">
        <v>45988</v>
      </c>
      <c r="J335" s="28" t="str">
        <f>TEXT(I335,"ddd")</f>
        <v>jue</v>
      </c>
      <c r="K335" s="29">
        <v>0.41666666666666669</v>
      </c>
      <c r="L335" s="19" t="s">
        <v>7</v>
      </c>
      <c r="M335" s="19"/>
      <c r="N335" s="19"/>
      <c r="O335" s="31" t="str">
        <f>IF(COUNTIF(L335:N335,"?*")=$T$6,"✅ CUBIERTO",IF(COUNTIF(L335:N335,"?*")&gt;$T$6,"⚠ EXCESO",
IF(COUNTIF(L335:N335,"?*")&gt;0,"⚠ FALTANTE", "❌ SIN COMPLETAR")))</f>
        <v>✅ CUBIERTO</v>
      </c>
      <c r="P335" s="7"/>
      <c r="Q335" s="27">
        <v>45988</v>
      </c>
      <c r="R335" s="28" t="str">
        <f>TEXT(Q335,"ddd")</f>
        <v>jue</v>
      </c>
      <c r="S335" s="29">
        <v>0.41666666666666669</v>
      </c>
      <c r="T335" s="19"/>
      <c r="U335" s="19"/>
      <c r="V335" s="19"/>
      <c r="W335" s="30" t="str">
        <f>IF(COUNTIF(T335:V335,"?*")=$T$7,"✅ CUBIERTO",IF(COUNTIF(T335:V335,"?*")&gt;$T$7,"⚠ EXCESO",
IF(COUNTIF(T335:V335,"?*")&gt;0,"⚠ FALTANTE", "❌ SIN COMPLETAR")))</f>
        <v>❌ SIN COMPLETAR</v>
      </c>
    </row>
    <row r="336" spans="1:23" x14ac:dyDescent="0.35">
      <c r="A336" s="27">
        <v>45988</v>
      </c>
      <c r="B336" s="28" t="str">
        <f>TEXT(A336,"ddd")</f>
        <v>jue</v>
      </c>
      <c r="C336" s="29">
        <v>0.45833333333333331</v>
      </c>
      <c r="D336" s="19" t="s">
        <v>3</v>
      </c>
      <c r="E336" s="19" t="s">
        <v>4</v>
      </c>
      <c r="F336" s="19"/>
      <c r="G336" s="31" t="str">
        <f>IF(COUNTIF(D336:F336,"?*")=$T$5,"✅ CUBIERTO",
IF(COUNTIF(D336:F336,"?*")&gt;$T$5,"⚠ EXCESO",IF(COUNTIF(D336:F336,"?*")&gt;0,"⚠ FALTANTE",
"❌ SIN COMPLETAR")))</f>
        <v>✅ CUBIERTO</v>
      </c>
      <c r="H336" s="7"/>
      <c r="I336" s="27">
        <v>45988</v>
      </c>
      <c r="J336" s="28" t="str">
        <f>TEXT(I336,"ddd")</f>
        <v>jue</v>
      </c>
      <c r="K336" s="29">
        <v>0.45833333333333331</v>
      </c>
      <c r="L336" s="19" t="s">
        <v>7</v>
      </c>
      <c r="M336" s="19"/>
      <c r="N336" s="19"/>
      <c r="O336" s="31" t="str">
        <f>IF(COUNTIF(L336:N336,"?*")=$T$6,"✅ CUBIERTO",IF(COUNTIF(L336:N336,"?*")&gt;$T$6,"⚠ EXCESO",
IF(COUNTIF(L336:N336,"?*")&gt;0,"⚠ FALTANTE", "❌ SIN COMPLETAR")))</f>
        <v>✅ CUBIERTO</v>
      </c>
      <c r="P336" s="7"/>
      <c r="Q336" s="27">
        <v>45988</v>
      </c>
      <c r="R336" s="28" t="str">
        <f>TEXT(Q336,"ddd")</f>
        <v>jue</v>
      </c>
      <c r="S336" s="29">
        <v>0.45833333333333331</v>
      </c>
      <c r="T336" s="19"/>
      <c r="U336" s="19"/>
      <c r="V336" s="19"/>
      <c r="W336" s="30" t="str">
        <f>IF(COUNTIF(T336:V336,"?*")=$T$7,"✅ CUBIERTO",IF(COUNTIF(T336:V336,"?*")&gt;$T$7,"⚠ EXCESO",
IF(COUNTIF(T336:V336,"?*")&gt;0,"⚠ FALTANTE", "❌ SIN COMPLETAR")))</f>
        <v>❌ SIN COMPLETAR</v>
      </c>
    </row>
    <row r="337" spans="1:23" x14ac:dyDescent="0.35">
      <c r="A337" s="27">
        <v>45988</v>
      </c>
      <c r="B337" s="28" t="str">
        <f t="shared" ref="B337:B345" si="85">TEXT(A337,"ddd")</f>
        <v>jue</v>
      </c>
      <c r="C337" s="29">
        <v>0.5</v>
      </c>
      <c r="D337" s="19" t="s">
        <v>3</v>
      </c>
      <c r="E337" s="19" t="s">
        <v>4</v>
      </c>
      <c r="F337" s="19"/>
      <c r="G337" s="31" t="str">
        <f>IF(COUNTIF(D337:F337,"?*")=$T$5,"✅ CUBIERTO",
IF(COUNTIF(D337:F337,"?*")&gt;$T$5,"⚠ EXCESO",IF(COUNTIF(D337:F337,"?*")&gt;0,"⚠ FALTANTE",
"❌ SIN COMPLETAR")))</f>
        <v>✅ CUBIERTO</v>
      </c>
      <c r="H337" s="7"/>
      <c r="I337" s="27">
        <v>45988</v>
      </c>
      <c r="J337" s="28" t="str">
        <f t="shared" ref="J337:J345" si="86">TEXT(I337,"ddd")</f>
        <v>jue</v>
      </c>
      <c r="K337" s="29">
        <v>0.5</v>
      </c>
      <c r="L337" s="19" t="s">
        <v>7</v>
      </c>
      <c r="M337" s="19"/>
      <c r="N337" s="19"/>
      <c r="O337" s="31" t="str">
        <f>IF(COUNTIF(L337:N337,"?*")=$T$6,"✅ CUBIERTO",IF(COUNTIF(L337:N337,"?*")&gt;$T$6,"⚠ EXCESO",
IF(COUNTIF(L337:N337,"?*")&gt;0,"⚠ FALTANTE", "❌ SIN COMPLETAR")))</f>
        <v>✅ CUBIERTO</v>
      </c>
      <c r="P337" s="7"/>
      <c r="Q337" s="27">
        <v>45988</v>
      </c>
      <c r="R337" s="28" t="str">
        <f t="shared" ref="R337:R345" si="87">TEXT(Q337,"ddd")</f>
        <v>jue</v>
      </c>
      <c r="S337" s="29">
        <v>0.5</v>
      </c>
      <c r="T337" s="19"/>
      <c r="U337" s="19"/>
      <c r="V337" s="19"/>
      <c r="W337" s="30" t="str">
        <f>IF(COUNTIF(T337:V337,"?*")=$T$7,"✅ CUBIERTO",IF(COUNTIF(T337:V337,"?*")&gt;$T$7,"⚠ EXCESO",
IF(COUNTIF(T337:V337,"?*")&gt;0,"⚠ FALTANTE", "❌ SIN COMPLETAR")))</f>
        <v>❌ SIN COMPLETAR</v>
      </c>
    </row>
    <row r="338" spans="1:23" x14ac:dyDescent="0.35">
      <c r="A338" s="27">
        <v>45988</v>
      </c>
      <c r="B338" s="28" t="str">
        <f t="shared" si="85"/>
        <v>jue</v>
      </c>
      <c r="C338" s="29">
        <v>0.54166666666666696</v>
      </c>
      <c r="D338" s="19" t="s">
        <v>3</v>
      </c>
      <c r="E338" s="19" t="s">
        <v>4</v>
      </c>
      <c r="F338" s="19"/>
      <c r="G338" s="31" t="str">
        <f>IF(COUNTIF(D338:F338,"?*")=$T$5,"✅ CUBIERTO",
IF(COUNTIF(D338:F338,"?*")&gt;$T$5,"⚠ EXCESO",IF(COUNTIF(D338:F338,"?*")&gt;0,"⚠ FALTANTE",
"❌ SIN COMPLETAR")))</f>
        <v>✅ CUBIERTO</v>
      </c>
      <c r="H338" s="7"/>
      <c r="I338" s="27">
        <v>45988</v>
      </c>
      <c r="J338" s="28" t="str">
        <f t="shared" si="86"/>
        <v>jue</v>
      </c>
      <c r="K338" s="29">
        <v>0.54166666666666696</v>
      </c>
      <c r="L338" s="19" t="s">
        <v>7</v>
      </c>
      <c r="M338" s="19"/>
      <c r="N338" s="19"/>
      <c r="O338" s="31" t="str">
        <f>IF(COUNTIF(L338:N338,"?*")=$T$6,"✅ CUBIERTO",IF(COUNTIF(L338:N338,"?*")&gt;$T$6,"⚠ EXCESO",
IF(COUNTIF(L338:N338,"?*")&gt;0,"⚠ FALTANTE", "❌ SIN COMPLETAR")))</f>
        <v>✅ CUBIERTO</v>
      </c>
      <c r="P338" s="7"/>
      <c r="Q338" s="27">
        <v>45988</v>
      </c>
      <c r="R338" s="28" t="str">
        <f t="shared" si="87"/>
        <v>jue</v>
      </c>
      <c r="S338" s="29">
        <v>0.54166666666666696</v>
      </c>
      <c r="T338" s="19"/>
      <c r="U338" s="19"/>
      <c r="V338" s="19"/>
      <c r="W338" s="30" t="str">
        <f>IF(COUNTIF(T338:V338,"?*")=$T$7,"✅ CUBIERTO",IF(COUNTIF(T338:V338,"?*")&gt;$T$7,"⚠ EXCESO",
IF(COUNTIF(T338:V338,"?*")&gt;0,"⚠ FALTANTE", "❌ SIN COMPLETAR")))</f>
        <v>❌ SIN COMPLETAR</v>
      </c>
    </row>
    <row r="339" spans="1:23" x14ac:dyDescent="0.35">
      <c r="A339" s="27">
        <v>45988</v>
      </c>
      <c r="B339" s="28" t="str">
        <f t="shared" si="85"/>
        <v>jue</v>
      </c>
      <c r="C339" s="29">
        <v>0.58333333333333304</v>
      </c>
      <c r="D339" s="19" t="s">
        <v>3</v>
      </c>
      <c r="E339" s="19" t="s">
        <v>4</v>
      </c>
      <c r="F339" s="19"/>
      <c r="G339" s="31" t="str">
        <f>IF(COUNTIF(D339:F339,"?*")=$T$5,"✅ CUBIERTO",
IF(COUNTIF(D339:F339,"?*")&gt;$T$5,"⚠ EXCESO",IF(COUNTIF(D339:F339,"?*")&gt;0,"⚠ FALTANTE",
"❌ SIN COMPLETAR")))</f>
        <v>✅ CUBIERTO</v>
      </c>
      <c r="H339" s="7"/>
      <c r="I339" s="27">
        <v>45988</v>
      </c>
      <c r="J339" s="28" t="str">
        <f t="shared" si="86"/>
        <v>jue</v>
      </c>
      <c r="K339" s="29">
        <v>0.58333333333333304</v>
      </c>
      <c r="L339" s="19" t="s">
        <v>29</v>
      </c>
      <c r="M339" s="19"/>
      <c r="N339" s="19"/>
      <c r="O339" s="31" t="str">
        <f>IF(COUNTIF(L339:N339,"?*")=$T$6,"✅ CUBIERTO",IF(COUNTIF(L339:N339,"?*")&gt;$T$6,"⚠ EXCESO",
IF(COUNTIF(L339:N339,"?*")&gt;0,"⚠ FALTANTE", "❌ SIN COMPLETAR")))</f>
        <v>✅ CUBIERTO</v>
      </c>
      <c r="P339" s="7"/>
      <c r="Q339" s="27">
        <v>45988</v>
      </c>
      <c r="R339" s="28" t="str">
        <f t="shared" si="87"/>
        <v>jue</v>
      </c>
      <c r="S339" s="29">
        <v>0.58333333333333304</v>
      </c>
      <c r="T339" s="19"/>
      <c r="U339" s="19"/>
      <c r="V339" s="19"/>
      <c r="W339" s="30" t="str">
        <f>IF(COUNTIF(T339:V339,"?*")=$T$7,"✅ CUBIERTO",IF(COUNTIF(T339:V339,"?*")&gt;$T$7,"⚠ EXCESO",
IF(COUNTIF(T339:V339,"?*")&gt;0,"⚠ FALTANTE", "❌ SIN COMPLETAR")))</f>
        <v>❌ SIN COMPLETAR</v>
      </c>
    </row>
    <row r="340" spans="1:23" x14ac:dyDescent="0.35">
      <c r="A340" s="27">
        <v>45988</v>
      </c>
      <c r="B340" s="28" t="str">
        <f t="shared" si="85"/>
        <v>jue</v>
      </c>
      <c r="C340" s="29">
        <v>0.625</v>
      </c>
      <c r="D340" s="19" t="s">
        <v>3</v>
      </c>
      <c r="E340" s="19" t="s">
        <v>4</v>
      </c>
      <c r="F340" s="19"/>
      <c r="G340" s="31" t="str">
        <f>IF(COUNTIF(D340:F340,"?*")=$T$5,"✅ CUBIERTO",
IF(COUNTIF(D340:F340,"?*")&gt;$T$5,"⚠ EXCESO",IF(COUNTIF(D340:F340,"?*")&gt;0,"⚠ FALTANTE",
"❌ SIN COMPLETAR")))</f>
        <v>✅ CUBIERTO</v>
      </c>
      <c r="H340" s="7"/>
      <c r="I340" s="27">
        <v>45988</v>
      </c>
      <c r="J340" s="28" t="str">
        <f t="shared" si="86"/>
        <v>jue</v>
      </c>
      <c r="K340" s="29">
        <v>0.625</v>
      </c>
      <c r="L340" s="19" t="s">
        <v>29</v>
      </c>
      <c r="M340" s="19"/>
      <c r="N340" s="19"/>
      <c r="O340" s="31" t="str">
        <f>IF(COUNTIF(L340:N340,"?*")=$T$6,"✅ CUBIERTO",IF(COUNTIF(L340:N340,"?*")&gt;$T$6,"⚠ EXCESO",
IF(COUNTIF(L340:N340,"?*")&gt;0,"⚠ FALTANTE", "❌ SIN COMPLETAR")))</f>
        <v>✅ CUBIERTO</v>
      </c>
      <c r="P340" s="7"/>
      <c r="Q340" s="27">
        <v>45988</v>
      </c>
      <c r="R340" s="28" t="str">
        <f t="shared" si="87"/>
        <v>jue</v>
      </c>
      <c r="S340" s="29">
        <v>0.625</v>
      </c>
      <c r="T340" s="19"/>
      <c r="U340" s="19"/>
      <c r="V340" s="19"/>
      <c r="W340" s="30" t="str">
        <f>IF(COUNTIF(T340:V340,"?*")=$T$7,"✅ CUBIERTO",IF(COUNTIF(T340:V340,"?*")&gt;$T$7,"⚠ EXCESO",
IF(COUNTIF(T340:V340,"?*")&gt;0,"⚠ FALTANTE", "❌ SIN COMPLETAR")))</f>
        <v>❌ SIN COMPLETAR</v>
      </c>
    </row>
    <row r="341" spans="1:23" x14ac:dyDescent="0.35">
      <c r="A341" s="27">
        <v>45988</v>
      </c>
      <c r="B341" s="28" t="str">
        <f t="shared" si="85"/>
        <v>jue</v>
      </c>
      <c r="C341" s="29">
        <v>0.66666666666666696</v>
      </c>
      <c r="D341" s="19" t="s">
        <v>30</v>
      </c>
      <c r="E341" s="19"/>
      <c r="F341" s="19"/>
      <c r="G341" s="31" t="str">
        <f>IF(COUNTIF(D341:F341,"?*")=$T$5,"✅ CUBIERTO",
IF(COUNTIF(D341:F341,"?*")&gt;$T$5,"⚠ EXCESO",IF(COUNTIF(D341:F341,"?*")&gt;0,"⚠ FALTANTE",
"❌ SIN COMPLETAR")))</f>
        <v>⚠ FALTANTE</v>
      </c>
      <c r="H341" s="7"/>
      <c r="I341" s="27">
        <v>45988</v>
      </c>
      <c r="J341" s="28" t="str">
        <f t="shared" si="86"/>
        <v>jue</v>
      </c>
      <c r="K341" s="29">
        <v>0.66666666666666696</v>
      </c>
      <c r="L341" s="19" t="s">
        <v>29</v>
      </c>
      <c r="M341" s="19"/>
      <c r="N341" s="19"/>
      <c r="O341" s="31" t="str">
        <f>IF(COUNTIF(L341:N341,"?*")=$T$6,"✅ CUBIERTO",IF(COUNTIF(L341:N341,"?*")&gt;$T$6,"⚠ EXCESO",
IF(COUNTIF(L341:N341,"?*")&gt;0,"⚠ FALTANTE", "❌ SIN COMPLETAR")))</f>
        <v>✅ CUBIERTO</v>
      </c>
      <c r="P341" s="7"/>
      <c r="Q341" s="27">
        <v>45988</v>
      </c>
      <c r="R341" s="28" t="str">
        <f t="shared" si="87"/>
        <v>jue</v>
      </c>
      <c r="S341" s="29">
        <v>0.66666666666666696</v>
      </c>
      <c r="T341" s="19"/>
      <c r="U341" s="19"/>
      <c r="V341" s="19"/>
      <c r="W341" s="30" t="str">
        <f>IF(COUNTIF(T341:V341,"?*")=$T$7,"✅ CUBIERTO",IF(COUNTIF(T341:V341,"?*")&gt;$T$7,"⚠ EXCESO",
IF(COUNTIF(T341:V341,"?*")&gt;0,"⚠ FALTANTE", "❌ SIN COMPLETAR")))</f>
        <v>❌ SIN COMPLETAR</v>
      </c>
    </row>
    <row r="342" spans="1:23" x14ac:dyDescent="0.35">
      <c r="A342" s="27">
        <v>45988</v>
      </c>
      <c r="B342" s="28" t="str">
        <f t="shared" si="85"/>
        <v>jue</v>
      </c>
      <c r="C342" s="29">
        <v>0.70833333333333304</v>
      </c>
      <c r="D342" s="19" t="s">
        <v>30</v>
      </c>
      <c r="E342" s="19"/>
      <c r="F342" s="19"/>
      <c r="G342" s="31" t="str">
        <f>IF(COUNTIF(D342:F342,"?*")=$T$5,"✅ CUBIERTO",
IF(COUNTIF(D342:F342,"?*")&gt;$T$5,"⚠ EXCESO",IF(COUNTIF(D342:F342,"?*")&gt;0,"⚠ FALTANTE",
"❌ SIN COMPLETAR")))</f>
        <v>⚠ FALTANTE</v>
      </c>
      <c r="H342" s="7"/>
      <c r="I342" s="27">
        <v>45988</v>
      </c>
      <c r="J342" s="28" t="str">
        <f t="shared" si="86"/>
        <v>jue</v>
      </c>
      <c r="K342" s="29">
        <v>0.70833333333333304</v>
      </c>
      <c r="L342" s="19" t="s">
        <v>29</v>
      </c>
      <c r="M342" s="19"/>
      <c r="N342" s="19"/>
      <c r="O342" s="31" t="str">
        <f>IF(COUNTIF(L342:N342,"?*")=$T$6,"✅ CUBIERTO",IF(COUNTIF(L342:N342,"?*")&gt;$T$6,"⚠ EXCESO",
IF(COUNTIF(L342:N342,"?*")&gt;0,"⚠ FALTANTE", "❌ SIN COMPLETAR")))</f>
        <v>✅ CUBIERTO</v>
      </c>
      <c r="P342" s="7"/>
      <c r="Q342" s="27">
        <v>45988</v>
      </c>
      <c r="R342" s="28" t="str">
        <f t="shared" si="87"/>
        <v>jue</v>
      </c>
      <c r="S342" s="29">
        <v>0.70833333333333304</v>
      </c>
      <c r="T342" s="19"/>
      <c r="U342" s="19"/>
      <c r="V342" s="19"/>
      <c r="W342" s="30" t="str">
        <f>IF(COUNTIF(T342:V342,"?*")=$T$7,"✅ CUBIERTO",IF(COUNTIF(T342:V342,"?*")&gt;$T$7,"⚠ EXCESO",
IF(COUNTIF(T342:V342,"?*")&gt;0,"⚠ FALTANTE", "❌ SIN COMPLETAR")))</f>
        <v>❌ SIN COMPLETAR</v>
      </c>
    </row>
    <row r="343" spans="1:23" x14ac:dyDescent="0.35">
      <c r="A343" s="27">
        <v>45988</v>
      </c>
      <c r="B343" s="28" t="str">
        <f t="shared" si="85"/>
        <v>jue</v>
      </c>
      <c r="C343" s="29">
        <v>0.75</v>
      </c>
      <c r="D343" s="19" t="s">
        <v>30</v>
      </c>
      <c r="E343" s="19"/>
      <c r="F343" s="19"/>
      <c r="G343" s="31" t="str">
        <f>IF(COUNTIF(D343:F343,"?*")=$T$5,"✅ CUBIERTO",
IF(COUNTIF(D343:F343,"?*")&gt;$T$5,"⚠ EXCESO",IF(COUNTIF(D343:F343,"?*")&gt;0,"⚠ FALTANTE",
"❌ SIN COMPLETAR")))</f>
        <v>⚠ FALTANTE</v>
      </c>
      <c r="H343" s="7"/>
      <c r="I343" s="27">
        <v>45988</v>
      </c>
      <c r="J343" s="28" t="str">
        <f t="shared" si="86"/>
        <v>jue</v>
      </c>
      <c r="K343" s="29">
        <v>0.75</v>
      </c>
      <c r="L343" s="25"/>
      <c r="M343" s="25"/>
      <c r="N343" s="25"/>
      <c r="O343" s="31" t="s">
        <v>32</v>
      </c>
      <c r="P343" s="7"/>
      <c r="Q343" s="27">
        <v>45988</v>
      </c>
      <c r="R343" s="28" t="str">
        <f t="shared" si="87"/>
        <v>jue</v>
      </c>
      <c r="S343" s="29">
        <v>0.75</v>
      </c>
      <c r="T343" s="19"/>
      <c r="U343" s="19"/>
      <c r="V343" s="19"/>
      <c r="W343" s="30" t="str">
        <f>IF(COUNTIF(T343:V343,"?*")=$T$7,"✅ CUBIERTO",IF(COUNTIF(T343:V343,"?*")&gt;$T$7,"⚠ EXCESO",
IF(COUNTIF(T343:V343,"?*")&gt;0,"⚠ FALTANTE", "❌ SIN COMPLETAR")))</f>
        <v>❌ SIN COMPLETAR</v>
      </c>
    </row>
    <row r="344" spans="1:23" x14ac:dyDescent="0.35">
      <c r="A344" s="27">
        <v>45988</v>
      </c>
      <c r="B344" s="28" t="str">
        <f t="shared" si="85"/>
        <v>jue</v>
      </c>
      <c r="C344" s="29">
        <v>0.79166666666666696</v>
      </c>
      <c r="D344" s="19" t="s">
        <v>30</v>
      </c>
      <c r="E344" s="19"/>
      <c r="F344" s="19"/>
      <c r="G344" s="31" t="str">
        <f>IF(COUNTIF(D344:F344,"?*")=$T$5,"✅ CUBIERTO",
IF(COUNTIF(D344:F344,"?*")&gt;$T$5,"⚠ EXCESO",IF(COUNTIF(D344:F344,"?*")&gt;0,"⚠ FALTANTE",
"❌ SIN COMPLETAR")))</f>
        <v>⚠ FALTANTE</v>
      </c>
      <c r="H344" s="7"/>
      <c r="I344" s="27">
        <v>45988</v>
      </c>
      <c r="J344" s="28" t="str">
        <f t="shared" si="86"/>
        <v>jue</v>
      </c>
      <c r="K344" s="29">
        <v>0.79166666666666696</v>
      </c>
      <c r="L344" s="25"/>
      <c r="M344" s="25"/>
      <c r="N344" s="25"/>
      <c r="O344" s="31" t="s">
        <v>32</v>
      </c>
      <c r="P344" s="7"/>
      <c r="Q344" s="27">
        <v>45988</v>
      </c>
      <c r="R344" s="28" t="str">
        <f t="shared" si="87"/>
        <v>jue</v>
      </c>
      <c r="S344" s="29">
        <v>0.79166666666666696</v>
      </c>
      <c r="T344" s="19"/>
      <c r="U344" s="19"/>
      <c r="V344" s="19"/>
      <c r="W344" s="30" t="str">
        <f>IF(COUNTIF(T344:V344,"?*")=$T$7,"✅ CUBIERTO",IF(COUNTIF(T344:V344,"?*")&gt;$T$7,"⚠ EXCESO",
IF(COUNTIF(T344:V344,"?*")&gt;0,"⚠ FALTANTE", "❌ SIN COMPLETAR")))</f>
        <v>❌ SIN COMPLETAR</v>
      </c>
    </row>
    <row r="345" spans="1:23" x14ac:dyDescent="0.35">
      <c r="A345" s="27">
        <v>45988</v>
      </c>
      <c r="B345" s="28" t="str">
        <f t="shared" si="85"/>
        <v>jue</v>
      </c>
      <c r="C345" s="29">
        <v>0.83333333333333337</v>
      </c>
      <c r="D345" s="25"/>
      <c r="E345" s="25"/>
      <c r="F345" s="25"/>
      <c r="G345" s="30" t="s">
        <v>32</v>
      </c>
      <c r="H345" s="7"/>
      <c r="I345" s="27">
        <v>45988</v>
      </c>
      <c r="J345" s="28" t="str">
        <f t="shared" si="86"/>
        <v>jue</v>
      </c>
      <c r="K345" s="29">
        <v>0.83333333333333337</v>
      </c>
      <c r="L345" s="25"/>
      <c r="M345" s="25"/>
      <c r="N345" s="25"/>
      <c r="O345" s="31" t="s">
        <v>32</v>
      </c>
      <c r="P345" s="7"/>
      <c r="Q345" s="27">
        <v>45988</v>
      </c>
      <c r="R345" s="28" t="str">
        <f t="shared" si="87"/>
        <v>jue</v>
      </c>
      <c r="S345" s="29">
        <v>0.83333333333333337</v>
      </c>
      <c r="T345" s="19"/>
      <c r="U345" s="19"/>
      <c r="V345" s="19"/>
      <c r="W345" s="30" t="str">
        <f>IF(COUNTIF(T345:V345,"?*")=$T$7,"✅ CUBIERTO",IF(COUNTIF(T345:V345,"?*")&gt;$T$7,"⚠ EXCESO",
IF(COUNTIF(T345:V345,"?*")&gt;0,"⚠ FALTANTE", "❌ SIN COMPLETAR")))</f>
        <v>❌ SIN COMPLETAR</v>
      </c>
    </row>
    <row r="346" spans="1:23" x14ac:dyDescent="0.35">
      <c r="A346" s="27">
        <v>45989</v>
      </c>
      <c r="B346" s="28" t="str">
        <f>TEXT(A346,"ddd")</f>
        <v>vie</v>
      </c>
      <c r="C346" s="29">
        <v>0.375</v>
      </c>
      <c r="D346" s="25"/>
      <c r="E346" s="25"/>
      <c r="F346" s="25"/>
      <c r="G346" s="30" t="s">
        <v>32</v>
      </c>
      <c r="H346" s="7"/>
      <c r="I346" s="27">
        <v>45989</v>
      </c>
      <c r="J346" s="28" t="str">
        <f>TEXT(I346,"ddd")</f>
        <v>vie</v>
      </c>
      <c r="K346" s="29">
        <v>0.375</v>
      </c>
      <c r="L346" s="19" t="s">
        <v>7</v>
      </c>
      <c r="M346" s="19"/>
      <c r="N346" s="19"/>
      <c r="O346" s="31" t="str">
        <f>IF(COUNTIF(L346:N346,"?*")=$T$6,"✅ CUBIERTO",IF(COUNTIF(L346:N346,"?*")&gt;$T$6,"⚠ EXCESO",
IF(COUNTIF(L346:N346,"?*")&gt;0,"⚠ FALTANTE", "❌ SIN COMPLETAR")))</f>
        <v>✅ CUBIERTO</v>
      </c>
      <c r="P346" s="7"/>
      <c r="Q346" s="27">
        <v>45989</v>
      </c>
      <c r="R346" s="28" t="str">
        <f>TEXT(Q346,"ddd")</f>
        <v>vie</v>
      </c>
      <c r="S346" s="29">
        <v>0.375</v>
      </c>
      <c r="T346" s="25"/>
      <c r="U346" s="25"/>
      <c r="V346" s="25"/>
      <c r="W346" s="30" t="s">
        <v>32</v>
      </c>
    </row>
    <row r="347" spans="1:23" x14ac:dyDescent="0.35">
      <c r="A347" s="27">
        <v>45989</v>
      </c>
      <c r="B347" s="28" t="str">
        <f>TEXT(A347,"ddd")</f>
        <v>vie</v>
      </c>
      <c r="C347" s="29">
        <v>0.41666666666666669</v>
      </c>
      <c r="D347" s="25"/>
      <c r="E347" s="25"/>
      <c r="F347" s="25"/>
      <c r="G347" s="30" t="s">
        <v>32</v>
      </c>
      <c r="H347" s="7"/>
      <c r="I347" s="27">
        <v>45989</v>
      </c>
      <c r="J347" s="28" t="str">
        <f>TEXT(I347,"ddd")</f>
        <v>vie</v>
      </c>
      <c r="K347" s="29">
        <v>0.41666666666666669</v>
      </c>
      <c r="L347" s="19" t="s">
        <v>7</v>
      </c>
      <c r="M347" s="19"/>
      <c r="N347" s="19"/>
      <c r="O347" s="31" t="str">
        <f>IF(COUNTIF(L347:N347,"?*")=$T$6,"✅ CUBIERTO",IF(COUNTIF(L347:N347,"?*")&gt;$T$6,"⚠ EXCESO",
IF(COUNTIF(L347:N347,"?*")&gt;0,"⚠ FALTANTE", "❌ SIN COMPLETAR")))</f>
        <v>✅ CUBIERTO</v>
      </c>
      <c r="P347" s="7"/>
      <c r="Q347" s="27">
        <v>45989</v>
      </c>
      <c r="R347" s="28" t="str">
        <f>TEXT(Q347,"ddd")</f>
        <v>vie</v>
      </c>
      <c r="S347" s="29">
        <v>0.41666666666666669</v>
      </c>
      <c r="T347" s="19"/>
      <c r="U347" s="19"/>
      <c r="V347" s="19"/>
      <c r="W347" s="30" t="str">
        <f>IF(COUNTIF(T347:V347,"?*")=$T$7,"✅ CUBIERTO",IF(COUNTIF(T347:V347,"?*")&gt;$T$7,"⚠ EXCESO",
IF(COUNTIF(T347:V347,"?*")&gt;0,"⚠ FALTANTE", "❌ SIN COMPLETAR")))</f>
        <v>❌ SIN COMPLETAR</v>
      </c>
    </row>
    <row r="348" spans="1:23" x14ac:dyDescent="0.35">
      <c r="A348" s="27">
        <v>45989</v>
      </c>
      <c r="B348" s="28" t="str">
        <f>TEXT(A348,"ddd")</f>
        <v>vie</v>
      </c>
      <c r="C348" s="29">
        <v>0.45833333333333331</v>
      </c>
      <c r="D348" s="19" t="s">
        <v>3</v>
      </c>
      <c r="E348" s="19" t="s">
        <v>4</v>
      </c>
      <c r="F348" s="19"/>
      <c r="G348" s="31" t="str">
        <f>IF(COUNTIF(D348:F348,"?*")=$T$5,"✅ CUBIERTO",
IF(COUNTIF(D348:F348,"?*")&gt;$T$5,"⚠ EXCESO",IF(COUNTIF(D348:F348,"?*")&gt;0,"⚠ FALTANTE",
"❌ SIN COMPLETAR")))</f>
        <v>✅ CUBIERTO</v>
      </c>
      <c r="H348" s="7"/>
      <c r="I348" s="27">
        <v>45989</v>
      </c>
      <c r="J348" s="28" t="str">
        <f>TEXT(I348,"ddd")</f>
        <v>vie</v>
      </c>
      <c r="K348" s="29">
        <v>0.45833333333333331</v>
      </c>
      <c r="L348" s="19" t="s">
        <v>7</v>
      </c>
      <c r="M348" s="19"/>
      <c r="N348" s="19"/>
      <c r="O348" s="31" t="str">
        <f>IF(COUNTIF(L348:N348,"?*")=$T$6,"✅ CUBIERTO",IF(COUNTIF(L348:N348,"?*")&gt;$T$6,"⚠ EXCESO",
IF(COUNTIF(L348:N348,"?*")&gt;0,"⚠ FALTANTE", "❌ SIN COMPLETAR")))</f>
        <v>✅ CUBIERTO</v>
      </c>
      <c r="P348" s="7"/>
      <c r="Q348" s="27">
        <v>45989</v>
      </c>
      <c r="R348" s="28" t="str">
        <f>TEXT(Q348,"ddd")</f>
        <v>vie</v>
      </c>
      <c r="S348" s="29">
        <v>0.45833333333333331</v>
      </c>
      <c r="T348" s="19"/>
      <c r="U348" s="19"/>
      <c r="V348" s="19"/>
      <c r="W348" s="30" t="str">
        <f>IF(COUNTIF(T348:V348,"?*")=$T$7,"✅ CUBIERTO",IF(COUNTIF(T348:V348,"?*")&gt;$T$7,"⚠ EXCESO",
IF(COUNTIF(T348:V348,"?*")&gt;0,"⚠ FALTANTE", "❌ SIN COMPLETAR")))</f>
        <v>❌ SIN COMPLETAR</v>
      </c>
    </row>
    <row r="349" spans="1:23" x14ac:dyDescent="0.35">
      <c r="A349" s="27">
        <v>45989</v>
      </c>
      <c r="B349" s="28" t="str">
        <f t="shared" ref="B349:B357" si="88">TEXT(A349,"ddd")</f>
        <v>vie</v>
      </c>
      <c r="C349" s="29">
        <v>0.5</v>
      </c>
      <c r="D349" s="19" t="s">
        <v>3</v>
      </c>
      <c r="E349" s="19" t="s">
        <v>4</v>
      </c>
      <c r="F349" s="19"/>
      <c r="G349" s="31" t="str">
        <f>IF(COUNTIF(D349:F349,"?*")=$T$5,"✅ CUBIERTO",
IF(COUNTIF(D349:F349,"?*")&gt;$T$5,"⚠ EXCESO",IF(COUNTIF(D349:F349,"?*")&gt;0,"⚠ FALTANTE",
"❌ SIN COMPLETAR")))</f>
        <v>✅ CUBIERTO</v>
      </c>
      <c r="H349" s="7"/>
      <c r="I349" s="27">
        <v>45989</v>
      </c>
      <c r="J349" s="28" t="str">
        <f t="shared" ref="J349:J357" si="89">TEXT(I349,"ddd")</f>
        <v>vie</v>
      </c>
      <c r="K349" s="29">
        <v>0.5</v>
      </c>
      <c r="L349" s="19" t="s">
        <v>7</v>
      </c>
      <c r="M349" s="19"/>
      <c r="N349" s="19"/>
      <c r="O349" s="31" t="str">
        <f>IF(COUNTIF(L349:N349,"?*")=$T$6,"✅ CUBIERTO",IF(COUNTIF(L349:N349,"?*")&gt;$T$6,"⚠ EXCESO",
IF(COUNTIF(L349:N349,"?*")&gt;0,"⚠ FALTANTE", "❌ SIN COMPLETAR")))</f>
        <v>✅ CUBIERTO</v>
      </c>
      <c r="P349" s="7"/>
      <c r="Q349" s="27">
        <v>45989</v>
      </c>
      <c r="R349" s="28" t="str">
        <f t="shared" ref="R349:R357" si="90">TEXT(Q349,"ddd")</f>
        <v>vie</v>
      </c>
      <c r="S349" s="29">
        <v>0.5</v>
      </c>
      <c r="T349" s="19"/>
      <c r="U349" s="19"/>
      <c r="V349" s="19"/>
      <c r="W349" s="30" t="str">
        <f>IF(COUNTIF(T349:V349,"?*")=$T$7,"✅ CUBIERTO",IF(COUNTIF(T349:V349,"?*")&gt;$T$7,"⚠ EXCESO",
IF(COUNTIF(T349:V349,"?*")&gt;0,"⚠ FALTANTE", "❌ SIN COMPLETAR")))</f>
        <v>❌ SIN COMPLETAR</v>
      </c>
    </row>
    <row r="350" spans="1:23" x14ac:dyDescent="0.35">
      <c r="A350" s="27">
        <v>45989</v>
      </c>
      <c r="B350" s="28" t="str">
        <f t="shared" si="88"/>
        <v>vie</v>
      </c>
      <c r="C350" s="29">
        <v>0.54166666666666696</v>
      </c>
      <c r="D350" s="19" t="s">
        <v>3</v>
      </c>
      <c r="E350" s="19" t="s">
        <v>4</v>
      </c>
      <c r="F350" s="19"/>
      <c r="G350" s="31" t="str">
        <f>IF(COUNTIF(D350:F350,"?*")=$T$5,"✅ CUBIERTO",
IF(COUNTIF(D350:F350,"?*")&gt;$T$5,"⚠ EXCESO",IF(COUNTIF(D350:F350,"?*")&gt;0,"⚠ FALTANTE",
"❌ SIN COMPLETAR")))</f>
        <v>✅ CUBIERTO</v>
      </c>
      <c r="H350" s="7"/>
      <c r="I350" s="27">
        <v>45989</v>
      </c>
      <c r="J350" s="28" t="str">
        <f t="shared" si="89"/>
        <v>vie</v>
      </c>
      <c r="K350" s="29">
        <v>0.54166666666666696</v>
      </c>
      <c r="L350" s="19" t="s">
        <v>7</v>
      </c>
      <c r="M350" s="19"/>
      <c r="N350" s="19"/>
      <c r="O350" s="31" t="str">
        <f>IF(COUNTIF(L350:N350,"?*")=$T$6,"✅ CUBIERTO",IF(COUNTIF(L350:N350,"?*")&gt;$T$6,"⚠ EXCESO",
IF(COUNTIF(L350:N350,"?*")&gt;0,"⚠ FALTANTE", "❌ SIN COMPLETAR")))</f>
        <v>✅ CUBIERTO</v>
      </c>
      <c r="P350" s="7"/>
      <c r="Q350" s="27">
        <v>45989</v>
      </c>
      <c r="R350" s="28" t="str">
        <f t="shared" si="90"/>
        <v>vie</v>
      </c>
      <c r="S350" s="29">
        <v>0.54166666666666696</v>
      </c>
      <c r="T350" s="19"/>
      <c r="U350" s="19"/>
      <c r="V350" s="19"/>
      <c r="W350" s="30" t="str">
        <f>IF(COUNTIF(T350:V350,"?*")=$T$7,"✅ CUBIERTO",IF(COUNTIF(T350:V350,"?*")&gt;$T$7,"⚠ EXCESO",
IF(COUNTIF(T350:V350,"?*")&gt;0,"⚠ FALTANTE", "❌ SIN COMPLETAR")))</f>
        <v>❌ SIN COMPLETAR</v>
      </c>
    </row>
    <row r="351" spans="1:23" x14ac:dyDescent="0.35">
      <c r="A351" s="27">
        <v>45989</v>
      </c>
      <c r="B351" s="28" t="str">
        <f t="shared" si="88"/>
        <v>vie</v>
      </c>
      <c r="C351" s="29">
        <v>0.58333333333333304</v>
      </c>
      <c r="D351" s="19" t="s">
        <v>3</v>
      </c>
      <c r="E351" s="19" t="s">
        <v>4</v>
      </c>
      <c r="F351" s="19"/>
      <c r="G351" s="31" t="str">
        <f>IF(COUNTIF(D351:F351,"?*")=$T$5,"✅ CUBIERTO",
IF(COUNTIF(D351:F351,"?*")&gt;$T$5,"⚠ EXCESO",IF(COUNTIF(D351:F351,"?*")&gt;0,"⚠ FALTANTE",
"❌ SIN COMPLETAR")))</f>
        <v>✅ CUBIERTO</v>
      </c>
      <c r="H351" s="7"/>
      <c r="I351" s="27">
        <v>45989</v>
      </c>
      <c r="J351" s="28" t="str">
        <f t="shared" si="89"/>
        <v>vie</v>
      </c>
      <c r="K351" s="29">
        <v>0.58333333333333304</v>
      </c>
      <c r="L351" s="19" t="s">
        <v>29</v>
      </c>
      <c r="M351" s="19"/>
      <c r="N351" s="19"/>
      <c r="O351" s="31" t="str">
        <f>IF(COUNTIF(L351:N351,"?*")=$T$6,"✅ CUBIERTO",IF(COUNTIF(L351:N351,"?*")&gt;$T$6,"⚠ EXCESO",
IF(COUNTIF(L351:N351,"?*")&gt;0,"⚠ FALTANTE", "❌ SIN COMPLETAR")))</f>
        <v>✅ CUBIERTO</v>
      </c>
      <c r="P351" s="7"/>
      <c r="Q351" s="27">
        <v>45989</v>
      </c>
      <c r="R351" s="28" t="str">
        <f t="shared" si="90"/>
        <v>vie</v>
      </c>
      <c r="S351" s="29">
        <v>0.58333333333333304</v>
      </c>
      <c r="T351" s="19"/>
      <c r="U351" s="19"/>
      <c r="V351" s="19"/>
      <c r="W351" s="30" t="str">
        <f>IF(COUNTIF(T351:V351,"?*")=$T$7,"✅ CUBIERTO",IF(COUNTIF(T351:V351,"?*")&gt;$T$7,"⚠ EXCESO",
IF(COUNTIF(T351:V351,"?*")&gt;0,"⚠ FALTANTE", "❌ SIN COMPLETAR")))</f>
        <v>❌ SIN COMPLETAR</v>
      </c>
    </row>
    <row r="352" spans="1:23" x14ac:dyDescent="0.35">
      <c r="A352" s="27">
        <v>45989</v>
      </c>
      <c r="B352" s="28" t="str">
        <f t="shared" si="88"/>
        <v>vie</v>
      </c>
      <c r="C352" s="29">
        <v>0.625</v>
      </c>
      <c r="D352" s="19" t="s">
        <v>3</v>
      </c>
      <c r="E352" s="19" t="s">
        <v>4</v>
      </c>
      <c r="F352" s="19"/>
      <c r="G352" s="31" t="str">
        <f>IF(COUNTIF(D352:F352,"?*")=$T$5,"✅ CUBIERTO",
IF(COUNTIF(D352:F352,"?*")&gt;$T$5,"⚠ EXCESO",IF(COUNTIF(D352:F352,"?*")&gt;0,"⚠ FALTANTE",
"❌ SIN COMPLETAR")))</f>
        <v>✅ CUBIERTO</v>
      </c>
      <c r="H352" s="7"/>
      <c r="I352" s="27">
        <v>45989</v>
      </c>
      <c r="J352" s="28" t="str">
        <f t="shared" si="89"/>
        <v>vie</v>
      </c>
      <c r="K352" s="29">
        <v>0.625</v>
      </c>
      <c r="L352" s="19" t="s">
        <v>29</v>
      </c>
      <c r="M352" s="19"/>
      <c r="N352" s="19"/>
      <c r="O352" s="31" t="str">
        <f>IF(COUNTIF(L352:N352,"?*")=$T$6,"✅ CUBIERTO",IF(COUNTIF(L352:N352,"?*")&gt;$T$6,"⚠ EXCESO",
IF(COUNTIF(L352:N352,"?*")&gt;0,"⚠ FALTANTE", "❌ SIN COMPLETAR")))</f>
        <v>✅ CUBIERTO</v>
      </c>
      <c r="P352" s="7"/>
      <c r="Q352" s="27">
        <v>45989</v>
      </c>
      <c r="R352" s="28" t="str">
        <f t="shared" si="90"/>
        <v>vie</v>
      </c>
      <c r="S352" s="29">
        <v>0.625</v>
      </c>
      <c r="T352" s="19"/>
      <c r="U352" s="19"/>
      <c r="V352" s="19"/>
      <c r="W352" s="30" t="str">
        <f>IF(COUNTIF(T352:V352,"?*")=$T$7,"✅ CUBIERTO",IF(COUNTIF(T352:V352,"?*")&gt;$T$7,"⚠ EXCESO",
IF(COUNTIF(T352:V352,"?*")&gt;0,"⚠ FALTANTE", "❌ SIN COMPLETAR")))</f>
        <v>❌ SIN COMPLETAR</v>
      </c>
    </row>
    <row r="353" spans="1:23" x14ac:dyDescent="0.35">
      <c r="A353" s="27">
        <v>45989</v>
      </c>
      <c r="B353" s="28" t="str">
        <f t="shared" si="88"/>
        <v>vie</v>
      </c>
      <c r="C353" s="29">
        <v>0.66666666666666696</v>
      </c>
      <c r="D353" s="19" t="s">
        <v>30</v>
      </c>
      <c r="E353" s="19"/>
      <c r="F353" s="19"/>
      <c r="G353" s="31" t="str">
        <f>IF(COUNTIF(D353:F353,"?*")=$T$5,"✅ CUBIERTO",
IF(COUNTIF(D353:F353,"?*")&gt;$T$5,"⚠ EXCESO",IF(COUNTIF(D353:F353,"?*")&gt;0,"⚠ FALTANTE",
"❌ SIN COMPLETAR")))</f>
        <v>⚠ FALTANTE</v>
      </c>
      <c r="H353" s="7"/>
      <c r="I353" s="27">
        <v>45989</v>
      </c>
      <c r="J353" s="28" t="str">
        <f t="shared" si="89"/>
        <v>vie</v>
      </c>
      <c r="K353" s="29">
        <v>0.66666666666666696</v>
      </c>
      <c r="L353" s="19" t="s">
        <v>29</v>
      </c>
      <c r="M353" s="19"/>
      <c r="N353" s="19"/>
      <c r="O353" s="31" t="str">
        <f>IF(COUNTIF(L353:N353,"?*")=$T$6,"✅ CUBIERTO",IF(COUNTIF(L353:N353,"?*")&gt;$T$6,"⚠ EXCESO",
IF(COUNTIF(L353:N353,"?*")&gt;0,"⚠ FALTANTE", "❌ SIN COMPLETAR")))</f>
        <v>✅ CUBIERTO</v>
      </c>
      <c r="P353" s="7"/>
      <c r="Q353" s="27">
        <v>45989</v>
      </c>
      <c r="R353" s="28" t="str">
        <f t="shared" si="90"/>
        <v>vie</v>
      </c>
      <c r="S353" s="29">
        <v>0.66666666666666696</v>
      </c>
      <c r="T353" s="19"/>
      <c r="U353" s="19"/>
      <c r="V353" s="19"/>
      <c r="W353" s="30" t="str">
        <f>IF(COUNTIF(T353:V353,"?*")=$T$7,"✅ CUBIERTO",IF(COUNTIF(T353:V353,"?*")&gt;$T$7,"⚠ EXCESO",
IF(COUNTIF(T353:V353,"?*")&gt;0,"⚠ FALTANTE", "❌ SIN COMPLETAR")))</f>
        <v>❌ SIN COMPLETAR</v>
      </c>
    </row>
    <row r="354" spans="1:23" x14ac:dyDescent="0.35">
      <c r="A354" s="27">
        <v>45989</v>
      </c>
      <c r="B354" s="28" t="str">
        <f t="shared" si="88"/>
        <v>vie</v>
      </c>
      <c r="C354" s="29">
        <v>0.70833333333333304</v>
      </c>
      <c r="D354" s="19" t="s">
        <v>30</v>
      </c>
      <c r="E354" s="19"/>
      <c r="F354" s="19"/>
      <c r="G354" s="31" t="str">
        <f>IF(COUNTIF(D354:F354,"?*")=$T$5,"✅ CUBIERTO",
IF(COUNTIF(D354:F354,"?*")&gt;$T$5,"⚠ EXCESO",IF(COUNTIF(D354:F354,"?*")&gt;0,"⚠ FALTANTE",
"❌ SIN COMPLETAR")))</f>
        <v>⚠ FALTANTE</v>
      </c>
      <c r="H354" s="7"/>
      <c r="I354" s="27">
        <v>45989</v>
      </c>
      <c r="J354" s="28" t="str">
        <f t="shared" si="89"/>
        <v>vie</v>
      </c>
      <c r="K354" s="29">
        <v>0.70833333333333304</v>
      </c>
      <c r="L354" s="19" t="s">
        <v>29</v>
      </c>
      <c r="M354" s="19"/>
      <c r="N354" s="19"/>
      <c r="O354" s="31" t="str">
        <f>IF(COUNTIF(L354:N354,"?*")=$T$6,"✅ CUBIERTO",IF(COUNTIF(L354:N354,"?*")&gt;$T$6,"⚠ EXCESO",
IF(COUNTIF(L354:N354,"?*")&gt;0,"⚠ FALTANTE", "❌ SIN COMPLETAR")))</f>
        <v>✅ CUBIERTO</v>
      </c>
      <c r="P354" s="7"/>
      <c r="Q354" s="27">
        <v>45989</v>
      </c>
      <c r="R354" s="28" t="str">
        <f t="shared" si="90"/>
        <v>vie</v>
      </c>
      <c r="S354" s="29">
        <v>0.70833333333333304</v>
      </c>
      <c r="T354" s="19"/>
      <c r="U354" s="19"/>
      <c r="V354" s="19"/>
      <c r="W354" s="30" t="str">
        <f>IF(COUNTIF(T354:V354,"?*")=$T$7,"✅ CUBIERTO",IF(COUNTIF(T354:V354,"?*")&gt;$T$7,"⚠ EXCESO",
IF(COUNTIF(T354:V354,"?*")&gt;0,"⚠ FALTANTE", "❌ SIN COMPLETAR")))</f>
        <v>❌ SIN COMPLETAR</v>
      </c>
    </row>
    <row r="355" spans="1:23" x14ac:dyDescent="0.35">
      <c r="A355" s="27">
        <v>45989</v>
      </c>
      <c r="B355" s="28" t="str">
        <f t="shared" si="88"/>
        <v>vie</v>
      </c>
      <c r="C355" s="29">
        <v>0.75</v>
      </c>
      <c r="D355" s="19" t="s">
        <v>30</v>
      </c>
      <c r="E355" s="19"/>
      <c r="F355" s="19"/>
      <c r="G355" s="31" t="str">
        <f>IF(COUNTIF(D355:F355,"?*")=$T$5,"✅ CUBIERTO",
IF(COUNTIF(D355:F355,"?*")&gt;$T$5,"⚠ EXCESO",IF(COUNTIF(D355:F355,"?*")&gt;0,"⚠ FALTANTE",
"❌ SIN COMPLETAR")))</f>
        <v>⚠ FALTANTE</v>
      </c>
      <c r="H355" s="7"/>
      <c r="I355" s="27">
        <v>45989</v>
      </c>
      <c r="J355" s="28" t="str">
        <f t="shared" si="89"/>
        <v>vie</v>
      </c>
      <c r="K355" s="29">
        <v>0.75</v>
      </c>
      <c r="L355" s="25"/>
      <c r="M355" s="25"/>
      <c r="N355" s="25"/>
      <c r="O355" s="31" t="s">
        <v>32</v>
      </c>
      <c r="P355" s="7"/>
      <c r="Q355" s="27">
        <v>45989</v>
      </c>
      <c r="R355" s="28" t="str">
        <f t="shared" si="90"/>
        <v>vie</v>
      </c>
      <c r="S355" s="29">
        <v>0.75</v>
      </c>
      <c r="T355" s="19"/>
      <c r="U355" s="19"/>
      <c r="V355" s="19"/>
      <c r="W355" s="30" t="str">
        <f>IF(COUNTIF(T355:V355,"?*")=$T$7,"✅ CUBIERTO",IF(COUNTIF(T355:V355,"?*")&gt;$T$7,"⚠ EXCESO",
IF(COUNTIF(T355:V355,"?*")&gt;0,"⚠ FALTANTE", "❌ SIN COMPLETAR")))</f>
        <v>❌ SIN COMPLETAR</v>
      </c>
    </row>
    <row r="356" spans="1:23" x14ac:dyDescent="0.35">
      <c r="A356" s="27">
        <v>45989</v>
      </c>
      <c r="B356" s="28" t="str">
        <f t="shared" si="88"/>
        <v>vie</v>
      </c>
      <c r="C356" s="29">
        <v>0.79166666666666696</v>
      </c>
      <c r="D356" s="19" t="s">
        <v>30</v>
      </c>
      <c r="E356" s="19"/>
      <c r="F356" s="19"/>
      <c r="G356" s="31" t="str">
        <f>IF(COUNTIF(D356:F356,"?*")=$T$5,"✅ CUBIERTO",
IF(COUNTIF(D356:F356,"?*")&gt;$T$5,"⚠ EXCESO",IF(COUNTIF(D356:F356,"?*")&gt;0,"⚠ FALTANTE",
"❌ SIN COMPLETAR")))</f>
        <v>⚠ FALTANTE</v>
      </c>
      <c r="H356" s="7"/>
      <c r="I356" s="27">
        <v>45989</v>
      </c>
      <c r="J356" s="28" t="str">
        <f t="shared" si="89"/>
        <v>vie</v>
      </c>
      <c r="K356" s="29">
        <v>0.79166666666666696</v>
      </c>
      <c r="L356" s="25"/>
      <c r="M356" s="25"/>
      <c r="N356" s="25"/>
      <c r="O356" s="31" t="s">
        <v>32</v>
      </c>
      <c r="P356" s="7"/>
      <c r="Q356" s="27">
        <v>45989</v>
      </c>
      <c r="R356" s="28" t="str">
        <f t="shared" si="90"/>
        <v>vie</v>
      </c>
      <c r="S356" s="29">
        <v>0.79166666666666696</v>
      </c>
      <c r="T356" s="19"/>
      <c r="U356" s="19"/>
      <c r="V356" s="19"/>
      <c r="W356" s="30" t="str">
        <f>IF(COUNTIF(T356:V356,"?*")=$T$7,"✅ CUBIERTO",IF(COUNTIF(T356:V356,"?*")&gt;$T$7,"⚠ EXCESO",
IF(COUNTIF(T356:V356,"?*")&gt;0,"⚠ FALTANTE", "❌ SIN COMPLETAR")))</f>
        <v>❌ SIN COMPLETAR</v>
      </c>
    </row>
    <row r="357" spans="1:23" x14ac:dyDescent="0.35">
      <c r="A357" s="27">
        <v>45989</v>
      </c>
      <c r="B357" s="28" t="str">
        <f t="shared" si="88"/>
        <v>vie</v>
      </c>
      <c r="C357" s="29">
        <v>0.83333333333333337</v>
      </c>
      <c r="D357" s="25"/>
      <c r="E357" s="25"/>
      <c r="F357" s="25"/>
      <c r="G357" s="30" t="s">
        <v>32</v>
      </c>
      <c r="H357" s="7"/>
      <c r="I357" s="27">
        <v>45989</v>
      </c>
      <c r="J357" s="28" t="str">
        <f t="shared" si="89"/>
        <v>vie</v>
      </c>
      <c r="K357" s="29">
        <v>0.83333333333333337</v>
      </c>
      <c r="L357" s="25"/>
      <c r="M357" s="25"/>
      <c r="N357" s="25"/>
      <c r="O357" s="31" t="s">
        <v>32</v>
      </c>
      <c r="P357" s="7"/>
      <c r="Q357" s="27">
        <v>45989</v>
      </c>
      <c r="R357" s="28" t="str">
        <f t="shared" si="90"/>
        <v>vie</v>
      </c>
      <c r="S357" s="29">
        <v>0.83333333333333337</v>
      </c>
      <c r="T357" s="19"/>
      <c r="U357" s="19"/>
      <c r="V357" s="19"/>
      <c r="W357" s="30" t="str">
        <f>IF(COUNTIF(T357:V357,"?*")=$T$7,"✅ CUBIERTO",IF(COUNTIF(T357:V357,"?*")&gt;$T$7,"⚠ EXCESO",
IF(COUNTIF(T357:V357,"?*")&gt;0,"⚠ FALTANTE", "❌ SIN COMPLETAR")))</f>
        <v>❌ SIN COMPLETAR</v>
      </c>
    </row>
    <row r="358" spans="1:23" x14ac:dyDescent="0.35">
      <c r="A358" s="27">
        <v>45990</v>
      </c>
      <c r="B358" s="28" t="str">
        <f>TEXT(A358,"ddd")</f>
        <v>sáb</v>
      </c>
      <c r="C358" s="29">
        <v>0.375</v>
      </c>
      <c r="D358" s="25"/>
      <c r="E358" s="25"/>
      <c r="F358" s="25"/>
      <c r="G358" s="30" t="s">
        <v>32</v>
      </c>
      <c r="H358" s="7"/>
      <c r="I358" s="27">
        <v>45990</v>
      </c>
      <c r="J358" s="28" t="str">
        <f>TEXT(I358,"ddd")</f>
        <v>sáb</v>
      </c>
      <c r="K358" s="29">
        <v>0.375</v>
      </c>
      <c r="L358" s="25"/>
      <c r="M358" s="25"/>
      <c r="N358" s="25"/>
      <c r="O358" s="30" t="s">
        <v>32</v>
      </c>
      <c r="P358" s="7"/>
      <c r="Q358" s="27">
        <v>45990</v>
      </c>
      <c r="R358" s="28" t="str">
        <f>TEXT(Q358,"ddd")</f>
        <v>sáb</v>
      </c>
      <c r="S358" s="29">
        <v>0.375</v>
      </c>
      <c r="T358" s="25"/>
      <c r="U358" s="25"/>
      <c r="V358" s="25"/>
      <c r="W358" s="30" t="s">
        <v>32</v>
      </c>
    </row>
    <row r="359" spans="1:23" x14ac:dyDescent="0.35">
      <c r="A359" s="27">
        <v>45990</v>
      </c>
      <c r="B359" s="28" t="str">
        <f>TEXT(A359,"ddd")</f>
        <v>sáb</v>
      </c>
      <c r="C359" s="29">
        <v>0.41666666666666669</v>
      </c>
      <c r="D359" s="25"/>
      <c r="E359" s="25"/>
      <c r="F359" s="25"/>
      <c r="G359" s="30" t="s">
        <v>32</v>
      </c>
      <c r="H359" s="7"/>
      <c r="I359" s="27">
        <v>45990</v>
      </c>
      <c r="J359" s="28" t="str">
        <f>TEXT(I359,"ddd")</f>
        <v>sáb</v>
      </c>
      <c r="K359" s="29">
        <v>0.41666666666666669</v>
      </c>
      <c r="L359" s="25"/>
      <c r="M359" s="25"/>
      <c r="N359" s="25"/>
      <c r="O359" s="30" t="s">
        <v>32</v>
      </c>
      <c r="P359" s="7"/>
      <c r="Q359" s="27">
        <v>45990</v>
      </c>
      <c r="R359" s="28" t="str">
        <f>TEXT(Q359,"ddd")</f>
        <v>sáb</v>
      </c>
      <c r="S359" s="29">
        <v>0.41666666666666669</v>
      </c>
      <c r="T359" s="19"/>
      <c r="U359" s="19"/>
      <c r="V359" s="19"/>
      <c r="W359" s="30" t="str">
        <f>IF(COUNTIF(T359:V359,"?*")=$T$7,"✅ CUBIERTO",IF(COUNTIF(T359:V359,"?*")&gt;$T$7,"⚠ EXCESO",
IF(COUNTIF(T359:V359,"?*")&gt;0,"⚠ FALTANTE", "❌ SIN COMPLETAR")))</f>
        <v>❌ SIN COMPLETAR</v>
      </c>
    </row>
    <row r="360" spans="1:23" x14ac:dyDescent="0.35">
      <c r="A360" s="27">
        <v>45990</v>
      </c>
      <c r="B360" s="28" t="str">
        <f>TEXT(A360,"ddd")</f>
        <v>sáb</v>
      </c>
      <c r="C360" s="29">
        <v>0.45833333333333331</v>
      </c>
      <c r="D360" s="19" t="s">
        <v>3</v>
      </c>
      <c r="E360" s="19" t="s">
        <v>4</v>
      </c>
      <c r="F360" s="19"/>
      <c r="G360" s="31" t="str">
        <f>IF(COUNTIF(D360:F360,"?*")=$T$5,"✅ CUBIERTO",
IF(COUNTIF(D360:F360,"?*")&gt;$T$5,"⚠ EXCESO",IF(COUNTIF(D360:F360,"?*")&gt;0,"⚠ FALTANTE",
"❌ SIN COMPLETAR")))</f>
        <v>✅ CUBIERTO</v>
      </c>
      <c r="H360" s="7"/>
      <c r="I360" s="27">
        <v>45990</v>
      </c>
      <c r="J360" s="28" t="str">
        <f>TEXT(I360,"ddd")</f>
        <v>sáb</v>
      </c>
      <c r="K360" s="29">
        <v>0.45833333333333331</v>
      </c>
      <c r="L360" s="25"/>
      <c r="M360" s="25"/>
      <c r="N360" s="25"/>
      <c r="O360" s="30" t="s">
        <v>32</v>
      </c>
      <c r="P360" s="7"/>
      <c r="Q360" s="27">
        <v>45990</v>
      </c>
      <c r="R360" s="28" t="str">
        <f>TEXT(Q360,"ddd")</f>
        <v>sáb</v>
      </c>
      <c r="S360" s="29">
        <v>0.45833333333333331</v>
      </c>
      <c r="T360" s="19"/>
      <c r="U360" s="19"/>
      <c r="V360" s="19"/>
      <c r="W360" s="30" t="str">
        <f>IF(COUNTIF(T360:V360,"?*")=$T$7,"✅ CUBIERTO",IF(COUNTIF(T360:V360,"?*")&gt;$T$7,"⚠ EXCESO",
IF(COUNTIF(T360:V360,"?*")&gt;0,"⚠ FALTANTE", "❌ SIN COMPLETAR")))</f>
        <v>❌ SIN COMPLETAR</v>
      </c>
    </row>
    <row r="361" spans="1:23" x14ac:dyDescent="0.35">
      <c r="A361" s="27">
        <v>45990</v>
      </c>
      <c r="B361" s="28" t="str">
        <f t="shared" ref="B361:B369" si="91">TEXT(A361,"ddd")</f>
        <v>sáb</v>
      </c>
      <c r="C361" s="29">
        <v>0.5</v>
      </c>
      <c r="D361" s="19" t="s">
        <v>3</v>
      </c>
      <c r="E361" s="19" t="s">
        <v>4</v>
      </c>
      <c r="F361" s="19"/>
      <c r="G361" s="31" t="str">
        <f>IF(COUNTIF(D361:F361,"?*")=$T$5,"✅ CUBIERTO",
IF(COUNTIF(D361:F361,"?*")&gt;$T$5,"⚠ EXCESO",IF(COUNTIF(D361:F361,"?*")&gt;0,"⚠ FALTANTE",
"❌ SIN COMPLETAR")))</f>
        <v>✅ CUBIERTO</v>
      </c>
      <c r="H361" s="7"/>
      <c r="I361" s="27">
        <v>45990</v>
      </c>
      <c r="J361" s="28" t="str">
        <f t="shared" ref="J361:J369" si="92">TEXT(I361,"ddd")</f>
        <v>sáb</v>
      </c>
      <c r="K361" s="29">
        <v>0.5</v>
      </c>
      <c r="L361" s="25"/>
      <c r="M361" s="25"/>
      <c r="N361" s="25"/>
      <c r="O361" s="30" t="s">
        <v>32</v>
      </c>
      <c r="P361" s="7"/>
      <c r="Q361" s="27">
        <v>45990</v>
      </c>
      <c r="R361" s="28" t="str">
        <f t="shared" ref="R361:R369" si="93">TEXT(Q361,"ddd")</f>
        <v>sáb</v>
      </c>
      <c r="S361" s="29">
        <v>0.5</v>
      </c>
      <c r="T361" s="19"/>
      <c r="U361" s="19"/>
      <c r="V361" s="19"/>
      <c r="W361" s="30" t="str">
        <f>IF(COUNTIF(T361:V361,"?*")=$T$7,"✅ CUBIERTO",IF(COUNTIF(T361:V361,"?*")&gt;$T$7,"⚠ EXCESO",
IF(COUNTIF(T361:V361,"?*")&gt;0,"⚠ FALTANTE", "❌ SIN COMPLETAR")))</f>
        <v>❌ SIN COMPLETAR</v>
      </c>
    </row>
    <row r="362" spans="1:23" x14ac:dyDescent="0.35">
      <c r="A362" s="27">
        <v>45990</v>
      </c>
      <c r="B362" s="28" t="str">
        <f t="shared" si="91"/>
        <v>sáb</v>
      </c>
      <c r="C362" s="29">
        <v>0.54166666666666696</v>
      </c>
      <c r="D362" s="19" t="s">
        <v>3</v>
      </c>
      <c r="E362" s="19" t="s">
        <v>4</v>
      </c>
      <c r="F362" s="19"/>
      <c r="G362" s="31" t="str">
        <f>IF(COUNTIF(D362:F362,"?*")=$T$5,"✅ CUBIERTO",
IF(COUNTIF(D362:F362,"?*")&gt;$T$5,"⚠ EXCESO",IF(COUNTIF(D362:F362,"?*")&gt;0,"⚠ FALTANTE",
"❌ SIN COMPLETAR")))</f>
        <v>✅ CUBIERTO</v>
      </c>
      <c r="H362" s="7"/>
      <c r="I362" s="27">
        <v>45990</v>
      </c>
      <c r="J362" s="28" t="str">
        <f t="shared" si="92"/>
        <v>sáb</v>
      </c>
      <c r="K362" s="29">
        <v>0.54166666666666696</v>
      </c>
      <c r="L362" s="25"/>
      <c r="M362" s="25"/>
      <c r="N362" s="25"/>
      <c r="O362" s="30" t="s">
        <v>32</v>
      </c>
      <c r="P362" s="7"/>
      <c r="Q362" s="27">
        <v>45990</v>
      </c>
      <c r="R362" s="28" t="str">
        <f t="shared" si="93"/>
        <v>sáb</v>
      </c>
      <c r="S362" s="29">
        <v>0.54166666666666696</v>
      </c>
      <c r="T362" s="19"/>
      <c r="U362" s="19"/>
      <c r="V362" s="19"/>
      <c r="W362" s="30" t="str">
        <f>IF(COUNTIF(T362:V362,"?*")=$T$7,"✅ CUBIERTO",IF(COUNTIF(T362:V362,"?*")&gt;$T$7,"⚠ EXCESO",
IF(COUNTIF(T362:V362,"?*")&gt;0,"⚠ FALTANTE", "❌ SIN COMPLETAR")))</f>
        <v>❌ SIN COMPLETAR</v>
      </c>
    </row>
    <row r="363" spans="1:23" x14ac:dyDescent="0.35">
      <c r="A363" s="27">
        <v>45990</v>
      </c>
      <c r="B363" s="28" t="str">
        <f t="shared" si="91"/>
        <v>sáb</v>
      </c>
      <c r="C363" s="29">
        <v>0.58333333333333304</v>
      </c>
      <c r="D363" s="19" t="s">
        <v>3</v>
      </c>
      <c r="E363" s="19" t="s">
        <v>4</v>
      </c>
      <c r="F363" s="19"/>
      <c r="G363" s="31" t="str">
        <f>IF(COUNTIF(D363:F363,"?*")=$T$5,"✅ CUBIERTO",
IF(COUNTIF(D363:F363,"?*")&gt;$T$5,"⚠ EXCESO",IF(COUNTIF(D363:F363,"?*")&gt;0,"⚠ FALTANTE",
"❌ SIN COMPLETAR")))</f>
        <v>✅ CUBIERTO</v>
      </c>
      <c r="H363" s="7"/>
      <c r="I363" s="27">
        <v>45990</v>
      </c>
      <c r="J363" s="28" t="str">
        <f t="shared" si="92"/>
        <v>sáb</v>
      </c>
      <c r="K363" s="29">
        <v>0.58333333333333304</v>
      </c>
      <c r="L363" s="25"/>
      <c r="M363" s="25"/>
      <c r="N363" s="25"/>
      <c r="O363" s="30" t="s">
        <v>32</v>
      </c>
      <c r="P363" s="7"/>
      <c r="Q363" s="27">
        <v>45990</v>
      </c>
      <c r="R363" s="28" t="str">
        <f t="shared" si="93"/>
        <v>sáb</v>
      </c>
      <c r="S363" s="29">
        <v>0.58333333333333304</v>
      </c>
      <c r="T363" s="19"/>
      <c r="U363" s="19"/>
      <c r="V363" s="19"/>
      <c r="W363" s="30" t="str">
        <f>IF(COUNTIF(T363:V363,"?*")=$T$7,"✅ CUBIERTO",IF(COUNTIF(T363:V363,"?*")&gt;$T$7,"⚠ EXCESO",
IF(COUNTIF(T363:V363,"?*")&gt;0,"⚠ FALTANTE", "❌ SIN COMPLETAR")))</f>
        <v>❌ SIN COMPLETAR</v>
      </c>
    </row>
    <row r="364" spans="1:23" x14ac:dyDescent="0.35">
      <c r="A364" s="27">
        <v>45990</v>
      </c>
      <c r="B364" s="28" t="str">
        <f t="shared" si="91"/>
        <v>sáb</v>
      </c>
      <c r="C364" s="29">
        <v>0.625</v>
      </c>
      <c r="D364" s="19" t="s">
        <v>3</v>
      </c>
      <c r="E364" s="19" t="s">
        <v>4</v>
      </c>
      <c r="F364" s="19"/>
      <c r="G364" s="31" t="str">
        <f>IF(COUNTIF(D364:F364,"?*")=$T$5,"✅ CUBIERTO",
IF(COUNTIF(D364:F364,"?*")&gt;$T$5,"⚠ EXCESO",IF(COUNTIF(D364:F364,"?*")&gt;0,"⚠ FALTANTE",
"❌ SIN COMPLETAR")))</f>
        <v>✅ CUBIERTO</v>
      </c>
      <c r="H364" s="7"/>
      <c r="I364" s="27">
        <v>45990</v>
      </c>
      <c r="J364" s="28" t="str">
        <f t="shared" si="92"/>
        <v>sáb</v>
      </c>
      <c r="K364" s="29">
        <v>0.625</v>
      </c>
      <c r="L364" s="25"/>
      <c r="M364" s="25"/>
      <c r="N364" s="25"/>
      <c r="O364" s="30" t="s">
        <v>32</v>
      </c>
      <c r="P364" s="7"/>
      <c r="Q364" s="27">
        <v>45990</v>
      </c>
      <c r="R364" s="28" t="str">
        <f t="shared" si="93"/>
        <v>sáb</v>
      </c>
      <c r="S364" s="29">
        <v>0.625</v>
      </c>
      <c r="T364" s="19"/>
      <c r="U364" s="19"/>
      <c r="V364" s="19"/>
      <c r="W364" s="30" t="str">
        <f>IF(COUNTIF(T364:V364,"?*")=$T$7,"✅ CUBIERTO",IF(COUNTIF(T364:V364,"?*")&gt;$T$7,"⚠ EXCESO",
IF(COUNTIF(T364:V364,"?*")&gt;0,"⚠ FALTANTE", "❌ SIN COMPLETAR")))</f>
        <v>❌ SIN COMPLETAR</v>
      </c>
    </row>
    <row r="365" spans="1:23" x14ac:dyDescent="0.35">
      <c r="A365" s="27">
        <v>45990</v>
      </c>
      <c r="B365" s="28" t="str">
        <f t="shared" si="91"/>
        <v>sáb</v>
      </c>
      <c r="C365" s="29">
        <v>0.66666666666666696</v>
      </c>
      <c r="D365" s="19" t="s">
        <v>30</v>
      </c>
      <c r="E365" s="19"/>
      <c r="F365" s="19"/>
      <c r="G365" s="31" t="str">
        <f>IF(COUNTIF(D365:F365,"?*")=$T$5,"✅ CUBIERTO",
IF(COUNTIF(D365:F365,"?*")&gt;$T$5,"⚠ EXCESO",IF(COUNTIF(D365:F365,"?*")&gt;0,"⚠ FALTANTE",
"❌ SIN COMPLETAR")))</f>
        <v>⚠ FALTANTE</v>
      </c>
      <c r="H365" s="7"/>
      <c r="I365" s="27">
        <v>45990</v>
      </c>
      <c r="J365" s="28" t="str">
        <f t="shared" si="92"/>
        <v>sáb</v>
      </c>
      <c r="K365" s="29">
        <v>0.66666666666666696</v>
      </c>
      <c r="L365" s="25"/>
      <c r="M365" s="25"/>
      <c r="N365" s="25"/>
      <c r="O365" s="30" t="s">
        <v>32</v>
      </c>
      <c r="P365" s="7"/>
      <c r="Q365" s="27">
        <v>45990</v>
      </c>
      <c r="R365" s="28" t="str">
        <f t="shared" si="93"/>
        <v>sáb</v>
      </c>
      <c r="S365" s="29">
        <v>0.66666666666666696</v>
      </c>
      <c r="T365" s="19"/>
      <c r="U365" s="19"/>
      <c r="V365" s="19"/>
      <c r="W365" s="30" t="str">
        <f>IF(COUNTIF(T365:V365,"?*")=$T$7,"✅ CUBIERTO",IF(COUNTIF(T365:V365,"?*")&gt;$T$7,"⚠ EXCESO",
IF(COUNTIF(T365:V365,"?*")&gt;0,"⚠ FALTANTE", "❌ SIN COMPLETAR")))</f>
        <v>❌ SIN COMPLETAR</v>
      </c>
    </row>
    <row r="366" spans="1:23" x14ac:dyDescent="0.35">
      <c r="A366" s="27">
        <v>45990</v>
      </c>
      <c r="B366" s="28" t="str">
        <f t="shared" si="91"/>
        <v>sáb</v>
      </c>
      <c r="C366" s="29">
        <v>0.70833333333333304</v>
      </c>
      <c r="D366" s="19" t="s">
        <v>30</v>
      </c>
      <c r="E366" s="19"/>
      <c r="F366" s="19"/>
      <c r="G366" s="31" t="str">
        <f>IF(COUNTIF(D366:F366,"?*")=$T$5,"✅ CUBIERTO",
IF(COUNTIF(D366:F366,"?*")&gt;$T$5,"⚠ EXCESO",IF(COUNTIF(D366:F366,"?*")&gt;0,"⚠ FALTANTE",
"❌ SIN COMPLETAR")))</f>
        <v>⚠ FALTANTE</v>
      </c>
      <c r="H366" s="7"/>
      <c r="I366" s="27">
        <v>45990</v>
      </c>
      <c r="J366" s="28" t="str">
        <f t="shared" si="92"/>
        <v>sáb</v>
      </c>
      <c r="K366" s="29">
        <v>0.70833333333333304</v>
      </c>
      <c r="L366" s="25"/>
      <c r="M366" s="25"/>
      <c r="N366" s="25"/>
      <c r="O366" s="30" t="s">
        <v>32</v>
      </c>
      <c r="P366" s="7"/>
      <c r="Q366" s="27">
        <v>45990</v>
      </c>
      <c r="R366" s="28" t="str">
        <f t="shared" si="93"/>
        <v>sáb</v>
      </c>
      <c r="S366" s="29">
        <v>0.70833333333333304</v>
      </c>
      <c r="T366" s="19"/>
      <c r="U366" s="19"/>
      <c r="V366" s="19"/>
      <c r="W366" s="30" t="str">
        <f>IF(COUNTIF(T366:V366,"?*")=$T$7,"✅ CUBIERTO",IF(COUNTIF(T366:V366,"?*")&gt;$T$7,"⚠ EXCESO",
IF(COUNTIF(T366:V366,"?*")&gt;0,"⚠ FALTANTE", "❌ SIN COMPLETAR")))</f>
        <v>❌ SIN COMPLETAR</v>
      </c>
    </row>
    <row r="367" spans="1:23" x14ac:dyDescent="0.35">
      <c r="A367" s="27">
        <v>45990</v>
      </c>
      <c r="B367" s="28" t="str">
        <f t="shared" si="91"/>
        <v>sáb</v>
      </c>
      <c r="C367" s="29">
        <v>0.75</v>
      </c>
      <c r="D367" s="19" t="s">
        <v>30</v>
      </c>
      <c r="E367" s="19"/>
      <c r="F367" s="19"/>
      <c r="G367" s="31" t="str">
        <f>IF(COUNTIF(D367:F367,"?*")=$T$5,"✅ CUBIERTO",
IF(COUNTIF(D367:F367,"?*")&gt;$T$5,"⚠ EXCESO",IF(COUNTIF(D367:F367,"?*")&gt;0,"⚠ FALTANTE",
"❌ SIN COMPLETAR")))</f>
        <v>⚠ FALTANTE</v>
      </c>
      <c r="H367" s="7"/>
      <c r="I367" s="27">
        <v>45990</v>
      </c>
      <c r="J367" s="28" t="str">
        <f t="shared" si="92"/>
        <v>sáb</v>
      </c>
      <c r="K367" s="29">
        <v>0.75</v>
      </c>
      <c r="L367" s="25"/>
      <c r="M367" s="25"/>
      <c r="N367" s="25"/>
      <c r="O367" s="30" t="s">
        <v>32</v>
      </c>
      <c r="P367" s="7"/>
      <c r="Q367" s="27">
        <v>45990</v>
      </c>
      <c r="R367" s="28" t="str">
        <f t="shared" si="93"/>
        <v>sáb</v>
      </c>
      <c r="S367" s="29">
        <v>0.75</v>
      </c>
      <c r="T367" s="19"/>
      <c r="U367" s="19"/>
      <c r="V367" s="19"/>
      <c r="W367" s="30" t="str">
        <f>IF(COUNTIF(T367:V367,"?*")=$T$7,"✅ CUBIERTO",IF(COUNTIF(T367:V367,"?*")&gt;$T$7,"⚠ EXCESO",
IF(COUNTIF(T367:V367,"?*")&gt;0,"⚠ FALTANTE", "❌ SIN COMPLETAR")))</f>
        <v>❌ SIN COMPLETAR</v>
      </c>
    </row>
    <row r="368" spans="1:23" x14ac:dyDescent="0.35">
      <c r="A368" s="27">
        <v>45990</v>
      </c>
      <c r="B368" s="28" t="str">
        <f t="shared" si="91"/>
        <v>sáb</v>
      </c>
      <c r="C368" s="29">
        <v>0.79166666666666696</v>
      </c>
      <c r="D368" s="19" t="s">
        <v>30</v>
      </c>
      <c r="E368" s="19"/>
      <c r="F368" s="19"/>
      <c r="G368" s="31" t="str">
        <f>IF(COUNTIF(D368:F368,"?*")=$T$5,"✅ CUBIERTO",
IF(COUNTIF(D368:F368,"?*")&gt;$T$5,"⚠ EXCESO",IF(COUNTIF(D368:F368,"?*")&gt;0,"⚠ FALTANTE",
"❌ SIN COMPLETAR")))</f>
        <v>⚠ FALTANTE</v>
      </c>
      <c r="H368" s="7"/>
      <c r="I368" s="27">
        <v>45990</v>
      </c>
      <c r="J368" s="28" t="str">
        <f t="shared" si="92"/>
        <v>sáb</v>
      </c>
      <c r="K368" s="29">
        <v>0.79166666666666696</v>
      </c>
      <c r="L368" s="25"/>
      <c r="M368" s="25"/>
      <c r="N368" s="25"/>
      <c r="O368" s="30" t="s">
        <v>32</v>
      </c>
      <c r="P368" s="7"/>
      <c r="Q368" s="27">
        <v>45990</v>
      </c>
      <c r="R368" s="28" t="str">
        <f t="shared" si="93"/>
        <v>sáb</v>
      </c>
      <c r="S368" s="29">
        <v>0.79166666666666696</v>
      </c>
      <c r="T368" s="19"/>
      <c r="U368" s="19"/>
      <c r="V368" s="19"/>
      <c r="W368" s="30" t="str">
        <f>IF(COUNTIF(T368:V368,"?*")=$T$7,"✅ CUBIERTO",IF(COUNTIF(T368:V368,"?*")&gt;$T$7,"⚠ EXCESO",
IF(COUNTIF(T368:V368,"?*")&gt;0,"⚠ FALTANTE", "❌ SIN COMPLETAR")))</f>
        <v>❌ SIN COMPLETAR</v>
      </c>
    </row>
    <row r="369" spans="1:23" x14ac:dyDescent="0.35">
      <c r="A369" s="27">
        <v>45990</v>
      </c>
      <c r="B369" s="28" t="str">
        <f t="shared" si="91"/>
        <v>sáb</v>
      </c>
      <c r="C369" s="29">
        <v>0.83333333333333337</v>
      </c>
      <c r="D369" s="25"/>
      <c r="E369" s="25"/>
      <c r="F369" s="25"/>
      <c r="G369" s="30" t="s">
        <v>32</v>
      </c>
      <c r="H369" s="7"/>
      <c r="I369" s="27">
        <v>45990</v>
      </c>
      <c r="J369" s="28" t="str">
        <f t="shared" si="92"/>
        <v>sáb</v>
      </c>
      <c r="K369" s="29">
        <v>0.83333333333333337</v>
      </c>
      <c r="L369" s="25"/>
      <c r="M369" s="25"/>
      <c r="N369" s="25"/>
      <c r="O369" s="30" t="s">
        <v>32</v>
      </c>
      <c r="P369" s="7"/>
      <c r="Q369" s="27">
        <v>45990</v>
      </c>
      <c r="R369" s="28" t="str">
        <f t="shared" si="93"/>
        <v>sáb</v>
      </c>
      <c r="S369" s="29">
        <v>0.83333333333333337</v>
      </c>
      <c r="T369" s="19"/>
      <c r="U369" s="19"/>
      <c r="V369" s="19"/>
      <c r="W369" s="30" t="str">
        <f>IF(COUNTIF(T369:V369,"?*")=$T$7,"✅ CUBIERTO",IF(COUNTIF(T369:V369,"?*")&gt;$T$7,"⚠ EXCESO",
IF(COUNTIF(T369:V369,"?*")&gt;0,"⚠ FALTANTE", "❌ SIN COMPLETAR")))</f>
        <v>❌ SIN COMPLETAR</v>
      </c>
    </row>
    <row r="370" spans="1:23" x14ac:dyDescent="0.35">
      <c r="A370" s="27">
        <v>45991</v>
      </c>
      <c r="B370" s="28" t="str">
        <f>TEXT(A370,"ddd")</f>
        <v>dom</v>
      </c>
      <c r="C370" s="29">
        <v>0.375</v>
      </c>
      <c r="D370" s="25"/>
      <c r="E370" s="25"/>
      <c r="F370" s="25"/>
      <c r="G370" s="30" t="s">
        <v>32</v>
      </c>
      <c r="H370" s="7"/>
      <c r="I370" s="27">
        <v>45991</v>
      </c>
      <c r="J370" s="28" t="str">
        <f>TEXT(I370,"ddd")</f>
        <v>dom</v>
      </c>
      <c r="K370" s="29">
        <v>0.375</v>
      </c>
      <c r="L370" s="25"/>
      <c r="M370" s="25"/>
      <c r="N370" s="25"/>
      <c r="O370" s="30" t="s">
        <v>32</v>
      </c>
      <c r="P370" s="7"/>
      <c r="Q370" s="27">
        <v>45991</v>
      </c>
      <c r="R370" s="28" t="str">
        <f>TEXT(Q370,"ddd")</f>
        <v>dom</v>
      </c>
      <c r="S370" s="29">
        <v>0.375</v>
      </c>
      <c r="T370" s="25"/>
      <c r="U370" s="25"/>
      <c r="V370" s="25"/>
      <c r="W370" s="30" t="s">
        <v>32</v>
      </c>
    </row>
    <row r="371" spans="1:23" x14ac:dyDescent="0.35">
      <c r="A371" s="27">
        <v>45991</v>
      </c>
      <c r="B371" s="28" t="str">
        <f>TEXT(A371,"ddd")</f>
        <v>dom</v>
      </c>
      <c r="C371" s="29">
        <v>0.41666666666666669</v>
      </c>
      <c r="D371" s="25"/>
      <c r="E371" s="25"/>
      <c r="F371" s="25"/>
      <c r="G371" s="30" t="s">
        <v>32</v>
      </c>
      <c r="H371" s="7"/>
      <c r="I371" s="27">
        <v>45991</v>
      </c>
      <c r="J371" s="28" t="str">
        <f>TEXT(I371,"ddd")</f>
        <v>dom</v>
      </c>
      <c r="K371" s="29">
        <v>0.41666666666666669</v>
      </c>
      <c r="L371" s="25"/>
      <c r="M371" s="25"/>
      <c r="N371" s="25"/>
      <c r="O371" s="30" t="s">
        <v>32</v>
      </c>
      <c r="P371" s="7"/>
      <c r="Q371" s="27">
        <v>45991</v>
      </c>
      <c r="R371" s="28" t="str">
        <f>TEXT(Q371,"ddd")</f>
        <v>dom</v>
      </c>
      <c r="S371" s="29">
        <v>0.41666666666666669</v>
      </c>
      <c r="T371" s="19"/>
      <c r="U371" s="19"/>
      <c r="V371" s="19"/>
      <c r="W371" s="30" t="str">
        <f>IF(COUNTIF(T371:V371,"?*")=$T$7,"✅ CUBIERTO",IF(COUNTIF(T371:V371,"?*")&gt;$T$7,"⚠ EXCESO",
IF(COUNTIF(T371:V371,"?*")&gt;0,"⚠ FALTANTE", "❌ SIN COMPLETAR")))</f>
        <v>❌ SIN COMPLETAR</v>
      </c>
    </row>
    <row r="372" spans="1:23" x14ac:dyDescent="0.35">
      <c r="A372" s="27">
        <v>45991</v>
      </c>
      <c r="B372" s="28" t="str">
        <f>TEXT(A372,"ddd")</f>
        <v>dom</v>
      </c>
      <c r="C372" s="29">
        <v>0.45833333333333331</v>
      </c>
      <c r="D372" s="19" t="s">
        <v>3</v>
      </c>
      <c r="E372" s="19" t="s">
        <v>4</v>
      </c>
      <c r="F372" s="19"/>
      <c r="G372" s="31" t="str">
        <f>IF(COUNTIF(D372:F372,"?*")=$T$5,"✅ CUBIERTO",
IF(COUNTIF(D372:F372,"?*")&gt;$T$5,"⚠ EXCESO",IF(COUNTIF(D372:F372,"?*")&gt;0,"⚠ FALTANTE",
"❌ SIN COMPLETAR")))</f>
        <v>✅ CUBIERTO</v>
      </c>
      <c r="H372" s="7"/>
      <c r="I372" s="27">
        <v>45991</v>
      </c>
      <c r="J372" s="28" t="str">
        <f>TEXT(I372,"ddd")</f>
        <v>dom</v>
      </c>
      <c r="K372" s="29">
        <v>0.45833333333333331</v>
      </c>
      <c r="L372" s="25"/>
      <c r="M372" s="25"/>
      <c r="N372" s="25"/>
      <c r="O372" s="30" t="s">
        <v>32</v>
      </c>
      <c r="P372" s="7"/>
      <c r="Q372" s="27">
        <v>45991</v>
      </c>
      <c r="R372" s="28" t="str">
        <f>TEXT(Q372,"ddd")</f>
        <v>dom</v>
      </c>
      <c r="S372" s="29">
        <v>0.45833333333333331</v>
      </c>
      <c r="T372" s="19"/>
      <c r="U372" s="19"/>
      <c r="V372" s="19"/>
      <c r="W372" s="30" t="str">
        <f>IF(COUNTIF(T372:V372,"?*")=$T$7,"✅ CUBIERTO",IF(COUNTIF(T372:V372,"?*")&gt;$T$7,"⚠ EXCESO",
IF(COUNTIF(T372:V372,"?*")&gt;0,"⚠ FALTANTE", "❌ SIN COMPLETAR")))</f>
        <v>❌ SIN COMPLETAR</v>
      </c>
    </row>
    <row r="373" spans="1:23" x14ac:dyDescent="0.35">
      <c r="A373" s="27">
        <v>45991</v>
      </c>
      <c r="B373" s="28" t="str">
        <f t="shared" ref="B373:B381" si="94">TEXT(A373,"ddd")</f>
        <v>dom</v>
      </c>
      <c r="C373" s="29">
        <v>0.5</v>
      </c>
      <c r="D373" s="19" t="s">
        <v>3</v>
      </c>
      <c r="E373" s="19" t="s">
        <v>4</v>
      </c>
      <c r="F373" s="19"/>
      <c r="G373" s="31" t="str">
        <f>IF(COUNTIF(D373:F373,"?*")=$T$5,"✅ CUBIERTO",
IF(COUNTIF(D373:F373,"?*")&gt;$T$5,"⚠ EXCESO",IF(COUNTIF(D373:F373,"?*")&gt;0,"⚠ FALTANTE",
"❌ SIN COMPLETAR")))</f>
        <v>✅ CUBIERTO</v>
      </c>
      <c r="H373" s="7"/>
      <c r="I373" s="27">
        <v>45991</v>
      </c>
      <c r="J373" s="28" t="str">
        <f t="shared" ref="J373:J381" si="95">TEXT(I373,"ddd")</f>
        <v>dom</v>
      </c>
      <c r="K373" s="29">
        <v>0.5</v>
      </c>
      <c r="L373" s="25"/>
      <c r="M373" s="25"/>
      <c r="N373" s="25"/>
      <c r="O373" s="30" t="s">
        <v>32</v>
      </c>
      <c r="P373" s="7"/>
      <c r="Q373" s="27">
        <v>45991</v>
      </c>
      <c r="R373" s="28" t="str">
        <f t="shared" ref="R373:R381" si="96">TEXT(Q373,"ddd")</f>
        <v>dom</v>
      </c>
      <c r="S373" s="29">
        <v>0.5</v>
      </c>
      <c r="T373" s="19"/>
      <c r="U373" s="19"/>
      <c r="V373" s="19"/>
      <c r="W373" s="30" t="str">
        <f>IF(COUNTIF(T373:V373,"?*")=$T$7,"✅ CUBIERTO",IF(COUNTIF(T373:V373,"?*")&gt;$T$7,"⚠ EXCESO",
IF(COUNTIF(T373:V373,"?*")&gt;0,"⚠ FALTANTE", "❌ SIN COMPLETAR")))</f>
        <v>❌ SIN COMPLETAR</v>
      </c>
    </row>
    <row r="374" spans="1:23" x14ac:dyDescent="0.35">
      <c r="A374" s="27">
        <v>45991</v>
      </c>
      <c r="B374" s="28" t="str">
        <f t="shared" si="94"/>
        <v>dom</v>
      </c>
      <c r="C374" s="29">
        <v>0.54166666666666696</v>
      </c>
      <c r="D374" s="19" t="s">
        <v>3</v>
      </c>
      <c r="E374" s="19" t="s">
        <v>4</v>
      </c>
      <c r="F374" s="19"/>
      <c r="G374" s="31" t="str">
        <f>IF(COUNTIF(D374:F374,"?*")=$T$5,"✅ CUBIERTO",
IF(COUNTIF(D374:F374,"?*")&gt;$T$5,"⚠ EXCESO",IF(COUNTIF(D374:F374,"?*")&gt;0,"⚠ FALTANTE",
"❌ SIN COMPLETAR")))</f>
        <v>✅ CUBIERTO</v>
      </c>
      <c r="H374" s="7"/>
      <c r="I374" s="27">
        <v>45991</v>
      </c>
      <c r="J374" s="28" t="str">
        <f t="shared" si="95"/>
        <v>dom</v>
      </c>
      <c r="K374" s="29">
        <v>0.54166666666666696</v>
      </c>
      <c r="L374" s="25"/>
      <c r="M374" s="25"/>
      <c r="N374" s="25"/>
      <c r="O374" s="30" t="s">
        <v>32</v>
      </c>
      <c r="P374" s="7"/>
      <c r="Q374" s="27">
        <v>45991</v>
      </c>
      <c r="R374" s="28" t="str">
        <f t="shared" si="96"/>
        <v>dom</v>
      </c>
      <c r="S374" s="29">
        <v>0.54166666666666696</v>
      </c>
      <c r="T374" s="19"/>
      <c r="U374" s="19"/>
      <c r="V374" s="19"/>
      <c r="W374" s="30" t="str">
        <f>IF(COUNTIF(T374:V374,"?*")=$T$7,"✅ CUBIERTO",IF(COUNTIF(T374:V374,"?*")&gt;$T$7,"⚠ EXCESO",
IF(COUNTIF(T374:V374,"?*")&gt;0,"⚠ FALTANTE", "❌ SIN COMPLETAR")))</f>
        <v>❌ SIN COMPLETAR</v>
      </c>
    </row>
    <row r="375" spans="1:23" x14ac:dyDescent="0.35">
      <c r="A375" s="27">
        <v>45991</v>
      </c>
      <c r="B375" s="28" t="str">
        <f t="shared" si="94"/>
        <v>dom</v>
      </c>
      <c r="C375" s="29">
        <v>0.58333333333333304</v>
      </c>
      <c r="D375" s="19" t="s">
        <v>3</v>
      </c>
      <c r="E375" s="19" t="s">
        <v>4</v>
      </c>
      <c r="F375" s="19"/>
      <c r="G375" s="31" t="str">
        <f>IF(COUNTIF(D375:F375,"?*")=$T$5,"✅ CUBIERTO",
IF(COUNTIF(D375:F375,"?*")&gt;$T$5,"⚠ EXCESO",IF(COUNTIF(D375:F375,"?*")&gt;0,"⚠ FALTANTE",
"❌ SIN COMPLETAR")))</f>
        <v>✅ CUBIERTO</v>
      </c>
      <c r="H375" s="7"/>
      <c r="I375" s="27">
        <v>45991</v>
      </c>
      <c r="J375" s="28" t="str">
        <f t="shared" si="95"/>
        <v>dom</v>
      </c>
      <c r="K375" s="29">
        <v>0.58333333333333304</v>
      </c>
      <c r="L375" s="25"/>
      <c r="M375" s="25"/>
      <c r="N375" s="25"/>
      <c r="O375" s="30" t="s">
        <v>32</v>
      </c>
      <c r="P375" s="7"/>
      <c r="Q375" s="27">
        <v>45991</v>
      </c>
      <c r="R375" s="28" t="str">
        <f t="shared" si="96"/>
        <v>dom</v>
      </c>
      <c r="S375" s="29">
        <v>0.58333333333333304</v>
      </c>
      <c r="T375" s="19"/>
      <c r="U375" s="19"/>
      <c r="V375" s="19"/>
      <c r="W375" s="30" t="str">
        <f>IF(COUNTIF(T375:V375,"?*")=$T$7,"✅ CUBIERTO",IF(COUNTIF(T375:V375,"?*")&gt;$T$7,"⚠ EXCESO",
IF(COUNTIF(T375:V375,"?*")&gt;0,"⚠ FALTANTE", "❌ SIN COMPLETAR")))</f>
        <v>❌ SIN COMPLETAR</v>
      </c>
    </row>
    <row r="376" spans="1:23" x14ac:dyDescent="0.35">
      <c r="A376" s="27">
        <v>45991</v>
      </c>
      <c r="B376" s="28" t="str">
        <f t="shared" si="94"/>
        <v>dom</v>
      </c>
      <c r="C376" s="29">
        <v>0.625</v>
      </c>
      <c r="D376" s="19" t="s">
        <v>3</v>
      </c>
      <c r="E376" s="19" t="s">
        <v>4</v>
      </c>
      <c r="F376" s="19"/>
      <c r="G376" s="31" t="str">
        <f>IF(COUNTIF(D376:F376,"?*")=$T$5,"✅ CUBIERTO",
IF(COUNTIF(D376:F376,"?*")&gt;$T$5,"⚠ EXCESO",IF(COUNTIF(D376:F376,"?*")&gt;0,"⚠ FALTANTE",
"❌ SIN COMPLETAR")))</f>
        <v>✅ CUBIERTO</v>
      </c>
      <c r="H376" s="7"/>
      <c r="I376" s="27">
        <v>45991</v>
      </c>
      <c r="J376" s="28" t="str">
        <f t="shared" si="95"/>
        <v>dom</v>
      </c>
      <c r="K376" s="29">
        <v>0.625</v>
      </c>
      <c r="L376" s="25"/>
      <c r="M376" s="25"/>
      <c r="N376" s="25"/>
      <c r="O376" s="30" t="s">
        <v>32</v>
      </c>
      <c r="P376" s="7"/>
      <c r="Q376" s="27">
        <v>45991</v>
      </c>
      <c r="R376" s="28" t="str">
        <f t="shared" si="96"/>
        <v>dom</v>
      </c>
      <c r="S376" s="29">
        <v>0.625</v>
      </c>
      <c r="T376" s="19"/>
      <c r="U376" s="19"/>
      <c r="V376" s="19"/>
      <c r="W376" s="30" t="str">
        <f>IF(COUNTIF(T376:V376,"?*")=$T$7,"✅ CUBIERTO",IF(COUNTIF(T376:V376,"?*")&gt;$T$7,"⚠ EXCESO",
IF(COUNTIF(T376:V376,"?*")&gt;0,"⚠ FALTANTE", "❌ SIN COMPLETAR")))</f>
        <v>❌ SIN COMPLETAR</v>
      </c>
    </row>
    <row r="377" spans="1:23" x14ac:dyDescent="0.35">
      <c r="A377" s="27">
        <v>45991</v>
      </c>
      <c r="B377" s="28" t="str">
        <f t="shared" si="94"/>
        <v>dom</v>
      </c>
      <c r="C377" s="29">
        <v>0.66666666666666696</v>
      </c>
      <c r="D377" s="19" t="s">
        <v>30</v>
      </c>
      <c r="E377" s="19"/>
      <c r="F377" s="19"/>
      <c r="G377" s="31" t="str">
        <f>IF(COUNTIF(D377:F377,"?*")=$T$5,"✅ CUBIERTO",
IF(COUNTIF(D377:F377,"?*")&gt;$T$5,"⚠ EXCESO",IF(COUNTIF(D377:F377,"?*")&gt;0,"⚠ FALTANTE",
"❌ SIN COMPLETAR")))</f>
        <v>⚠ FALTANTE</v>
      </c>
      <c r="H377" s="7"/>
      <c r="I377" s="27">
        <v>45991</v>
      </c>
      <c r="J377" s="28" t="str">
        <f t="shared" si="95"/>
        <v>dom</v>
      </c>
      <c r="K377" s="29">
        <v>0.66666666666666696</v>
      </c>
      <c r="L377" s="25"/>
      <c r="M377" s="25"/>
      <c r="N377" s="25"/>
      <c r="O377" s="30" t="s">
        <v>32</v>
      </c>
      <c r="P377" s="7"/>
      <c r="Q377" s="27">
        <v>45991</v>
      </c>
      <c r="R377" s="28" t="str">
        <f t="shared" si="96"/>
        <v>dom</v>
      </c>
      <c r="S377" s="29">
        <v>0.66666666666666696</v>
      </c>
      <c r="T377" s="19"/>
      <c r="U377" s="19"/>
      <c r="V377" s="19"/>
      <c r="W377" s="30" t="str">
        <f>IF(COUNTIF(T377:V377,"?*")=$T$7,"✅ CUBIERTO",IF(COUNTIF(T377:V377,"?*")&gt;$T$7,"⚠ EXCESO",
IF(COUNTIF(T377:V377,"?*")&gt;0,"⚠ FALTANTE", "❌ SIN COMPLETAR")))</f>
        <v>❌ SIN COMPLETAR</v>
      </c>
    </row>
    <row r="378" spans="1:23" x14ac:dyDescent="0.35">
      <c r="A378" s="27">
        <v>45991</v>
      </c>
      <c r="B378" s="28" t="str">
        <f t="shared" si="94"/>
        <v>dom</v>
      </c>
      <c r="C378" s="29">
        <v>0.70833333333333304</v>
      </c>
      <c r="D378" s="19" t="s">
        <v>30</v>
      </c>
      <c r="E378" s="19"/>
      <c r="F378" s="19"/>
      <c r="G378" s="31" t="str">
        <f>IF(COUNTIF(D378:F378,"?*")=$T$5,"✅ CUBIERTO",
IF(COUNTIF(D378:F378,"?*")&gt;$T$5,"⚠ EXCESO",IF(COUNTIF(D378:F378,"?*")&gt;0,"⚠ FALTANTE",
"❌ SIN COMPLETAR")))</f>
        <v>⚠ FALTANTE</v>
      </c>
      <c r="H378" s="7"/>
      <c r="I378" s="27">
        <v>45991</v>
      </c>
      <c r="J378" s="28" t="str">
        <f t="shared" si="95"/>
        <v>dom</v>
      </c>
      <c r="K378" s="29">
        <v>0.70833333333333304</v>
      </c>
      <c r="L378" s="25"/>
      <c r="M378" s="25"/>
      <c r="N378" s="25"/>
      <c r="O378" s="30" t="s">
        <v>32</v>
      </c>
      <c r="P378" s="7"/>
      <c r="Q378" s="27">
        <v>45991</v>
      </c>
      <c r="R378" s="28" t="str">
        <f t="shared" si="96"/>
        <v>dom</v>
      </c>
      <c r="S378" s="29">
        <v>0.70833333333333304</v>
      </c>
      <c r="T378" s="19"/>
      <c r="U378" s="19"/>
      <c r="V378" s="19"/>
      <c r="W378" s="30" t="str">
        <f>IF(COUNTIF(T378:V378,"?*")=$T$7,"✅ CUBIERTO",IF(COUNTIF(T378:V378,"?*")&gt;$T$7,"⚠ EXCESO",
IF(COUNTIF(T378:V378,"?*")&gt;0,"⚠ FALTANTE", "❌ SIN COMPLETAR")))</f>
        <v>❌ SIN COMPLETAR</v>
      </c>
    </row>
    <row r="379" spans="1:23" x14ac:dyDescent="0.35">
      <c r="A379" s="27">
        <v>45991</v>
      </c>
      <c r="B379" s="28" t="str">
        <f t="shared" si="94"/>
        <v>dom</v>
      </c>
      <c r="C379" s="29">
        <v>0.75</v>
      </c>
      <c r="D379" s="19" t="s">
        <v>30</v>
      </c>
      <c r="E379" s="19"/>
      <c r="F379" s="19"/>
      <c r="G379" s="31" t="str">
        <f>IF(COUNTIF(D379:F379,"?*")=$T$5,"✅ CUBIERTO",
IF(COUNTIF(D379:F379,"?*")&gt;$T$5,"⚠ EXCESO",IF(COUNTIF(D379:F379,"?*")&gt;0,"⚠ FALTANTE",
"❌ SIN COMPLETAR")))</f>
        <v>⚠ FALTANTE</v>
      </c>
      <c r="H379" s="7"/>
      <c r="I379" s="27">
        <v>45991</v>
      </c>
      <c r="J379" s="28" t="str">
        <f t="shared" si="95"/>
        <v>dom</v>
      </c>
      <c r="K379" s="29">
        <v>0.75</v>
      </c>
      <c r="L379" s="25"/>
      <c r="M379" s="25"/>
      <c r="N379" s="25"/>
      <c r="O379" s="30" t="s">
        <v>32</v>
      </c>
      <c r="P379" s="7"/>
      <c r="Q379" s="27">
        <v>45991</v>
      </c>
      <c r="R379" s="28" t="str">
        <f t="shared" si="96"/>
        <v>dom</v>
      </c>
      <c r="S379" s="29">
        <v>0.75</v>
      </c>
      <c r="T379" s="19"/>
      <c r="U379" s="19"/>
      <c r="V379" s="19"/>
      <c r="W379" s="30" t="str">
        <f>IF(COUNTIF(T379:V379,"?*")=$T$7,"✅ CUBIERTO",IF(COUNTIF(T379:V379,"?*")&gt;$T$7,"⚠ EXCESO",
IF(COUNTIF(T379:V379,"?*")&gt;0,"⚠ FALTANTE", "❌ SIN COMPLETAR")))</f>
        <v>❌ SIN COMPLETAR</v>
      </c>
    </row>
    <row r="380" spans="1:23" x14ac:dyDescent="0.35">
      <c r="A380" s="27">
        <v>45991</v>
      </c>
      <c r="B380" s="28" t="str">
        <f t="shared" si="94"/>
        <v>dom</v>
      </c>
      <c r="C380" s="29">
        <v>0.79166666666666696</v>
      </c>
      <c r="D380" s="19" t="s">
        <v>30</v>
      </c>
      <c r="E380" s="19"/>
      <c r="F380" s="19"/>
      <c r="G380" s="31" t="str">
        <f>IF(COUNTIF(D380:F380,"?*")=$T$5,"✅ CUBIERTO",
IF(COUNTIF(D380:F380,"?*")&gt;$T$5,"⚠ EXCESO",IF(COUNTIF(D380:F380,"?*")&gt;0,"⚠ FALTANTE",
"❌ SIN COMPLETAR")))</f>
        <v>⚠ FALTANTE</v>
      </c>
      <c r="H380" s="7"/>
      <c r="I380" s="27">
        <v>45991</v>
      </c>
      <c r="J380" s="28" t="str">
        <f t="shared" si="95"/>
        <v>dom</v>
      </c>
      <c r="K380" s="29">
        <v>0.79166666666666696</v>
      </c>
      <c r="L380" s="25"/>
      <c r="M380" s="25"/>
      <c r="N380" s="25"/>
      <c r="O380" s="30" t="s">
        <v>32</v>
      </c>
      <c r="P380" s="7"/>
      <c r="Q380" s="27">
        <v>45991</v>
      </c>
      <c r="R380" s="28" t="str">
        <f t="shared" si="96"/>
        <v>dom</v>
      </c>
      <c r="S380" s="29">
        <v>0.79166666666666696</v>
      </c>
      <c r="T380" s="19"/>
      <c r="U380" s="19"/>
      <c r="V380" s="19"/>
      <c r="W380" s="30" t="str">
        <f>IF(COUNTIF(T380:V380,"?*")=$T$7,"✅ CUBIERTO",IF(COUNTIF(T380:V380,"?*")&gt;$T$7,"⚠ EXCESO",
IF(COUNTIF(T380:V380,"?*")&gt;0,"⚠ FALTANTE", "❌ SIN COMPLETAR")))</f>
        <v>❌ SIN COMPLETAR</v>
      </c>
    </row>
    <row r="381" spans="1:23" x14ac:dyDescent="0.35">
      <c r="A381" s="27">
        <v>45991</v>
      </c>
      <c r="B381" s="28" t="str">
        <f t="shared" si="94"/>
        <v>dom</v>
      </c>
      <c r="C381" s="29">
        <v>0.83333333333333337</v>
      </c>
      <c r="D381" s="25"/>
      <c r="E381" s="25"/>
      <c r="F381" s="25"/>
      <c r="G381" s="30" t="s">
        <v>32</v>
      </c>
      <c r="H381" s="7"/>
      <c r="I381" s="27">
        <v>45991</v>
      </c>
      <c r="J381" s="28" t="str">
        <f t="shared" si="95"/>
        <v>dom</v>
      </c>
      <c r="K381" s="29">
        <v>0.83333333333333337</v>
      </c>
      <c r="L381" s="25"/>
      <c r="M381" s="25"/>
      <c r="N381" s="25"/>
      <c r="O381" s="30" t="s">
        <v>32</v>
      </c>
      <c r="P381" s="7"/>
      <c r="Q381" s="27">
        <v>45991</v>
      </c>
      <c r="R381" s="28" t="str">
        <f t="shared" si="96"/>
        <v>dom</v>
      </c>
      <c r="S381" s="29">
        <v>0.83333333333333337</v>
      </c>
      <c r="T381" s="19"/>
      <c r="U381" s="19"/>
      <c r="V381" s="19"/>
      <c r="W381" s="30" t="str">
        <f>IF(COUNTIF(T381:V381,"?*")=$T$7,"✅ CUBIERTO",IF(COUNTIF(T381:V381,"?*")&gt;$T$7,"⚠ EXCESO",
IF(COUNTIF(T381:V381,"?*")&gt;0,"⚠ FALTANTE", "❌ SIN COMPLETAR")))</f>
        <v>❌ SIN COMPLETAR</v>
      </c>
    </row>
    <row r="382" spans="1:23" x14ac:dyDescent="0.35">
      <c r="A382" s="7"/>
      <c r="B382" s="49"/>
      <c r="C382" s="49"/>
      <c r="D382" s="7"/>
      <c r="E382" s="7"/>
      <c r="F382" s="7"/>
      <c r="G382" s="7"/>
      <c r="H382" s="7"/>
      <c r="I382" s="50"/>
      <c r="J382" s="49"/>
      <c r="K382" s="51"/>
      <c r="L382" s="7"/>
      <c r="M382" s="7"/>
      <c r="N382" s="7"/>
      <c r="O382" s="52"/>
      <c r="P382" s="7"/>
      <c r="Q382" s="50"/>
      <c r="R382" s="49"/>
      <c r="S382" s="51"/>
      <c r="T382" s="7"/>
      <c r="U382" s="7"/>
      <c r="V382" s="7"/>
      <c r="W382" s="7"/>
    </row>
    <row r="383" spans="1:23" x14ac:dyDescent="0.35">
      <c r="A383" s="7"/>
      <c r="B383" s="49"/>
      <c r="C383" s="49"/>
      <c r="D383" s="7"/>
      <c r="E383" s="7"/>
      <c r="F383" s="7"/>
      <c r="G383" s="7"/>
      <c r="H383" s="7"/>
      <c r="I383" s="50"/>
      <c r="J383" s="49"/>
      <c r="K383" s="51"/>
      <c r="L383" s="7"/>
      <c r="M383" s="7"/>
      <c r="N383" s="7"/>
      <c r="O383" s="52"/>
      <c r="P383" s="7"/>
      <c r="Q383" s="50"/>
      <c r="R383" s="49"/>
      <c r="S383" s="51"/>
      <c r="T383" s="7"/>
      <c r="U383" s="7"/>
      <c r="V383" s="7"/>
      <c r="W383" s="7"/>
    </row>
    <row r="384" spans="1:23" x14ac:dyDescent="0.35">
      <c r="A384" s="7"/>
      <c r="B384" s="49"/>
      <c r="C384" s="49"/>
      <c r="D384" s="7"/>
      <c r="E384" s="7"/>
      <c r="F384" s="7"/>
      <c r="G384" s="7"/>
      <c r="H384" s="7"/>
      <c r="I384" s="50"/>
      <c r="J384" s="49"/>
      <c r="K384" s="51"/>
      <c r="L384" s="7"/>
      <c r="M384" s="7"/>
      <c r="N384" s="7"/>
      <c r="O384" s="52"/>
      <c r="P384" s="7"/>
      <c r="Q384" s="50"/>
      <c r="R384" s="49"/>
      <c r="S384" s="51"/>
      <c r="T384" s="7"/>
      <c r="U384" s="7"/>
      <c r="V384" s="7"/>
      <c r="W384" s="7"/>
    </row>
    <row r="385" spans="1:23" x14ac:dyDescent="0.35">
      <c r="A385" s="7"/>
      <c r="B385" s="49"/>
      <c r="C385" s="49"/>
      <c r="D385" s="7"/>
      <c r="E385" s="7"/>
      <c r="F385" s="7"/>
      <c r="G385" s="7"/>
      <c r="H385" s="7"/>
      <c r="I385" s="50"/>
      <c r="J385" s="49"/>
      <c r="K385" s="51"/>
      <c r="L385" s="7"/>
      <c r="M385" s="7"/>
      <c r="N385" s="7"/>
      <c r="O385" s="52"/>
      <c r="P385" s="7"/>
      <c r="Q385" s="50"/>
      <c r="R385" s="49"/>
      <c r="S385" s="51"/>
      <c r="T385" s="7"/>
      <c r="U385" s="7"/>
      <c r="V385" s="7"/>
      <c r="W385" s="7"/>
    </row>
    <row r="386" spans="1:23" x14ac:dyDescent="0.35">
      <c r="I386" s="53"/>
      <c r="K386" s="54"/>
      <c r="O386" s="55"/>
      <c r="Q386" s="53"/>
      <c r="S386" s="54"/>
    </row>
    <row r="387" spans="1:23" x14ac:dyDescent="0.35">
      <c r="I387" s="53"/>
      <c r="K387" s="54"/>
      <c r="O387" s="55"/>
      <c r="Q387" s="53"/>
      <c r="S387" s="54"/>
    </row>
    <row r="388" spans="1:23" x14ac:dyDescent="0.35">
      <c r="I388" s="53"/>
      <c r="K388" s="54"/>
      <c r="O388" s="55"/>
      <c r="Q388" s="53"/>
      <c r="S388" s="54"/>
    </row>
    <row r="389" spans="1:23" x14ac:dyDescent="0.35">
      <c r="I389" s="53"/>
      <c r="K389" s="54"/>
      <c r="O389" s="55"/>
      <c r="Q389" s="53"/>
      <c r="S389" s="54"/>
    </row>
    <row r="390" spans="1:23" x14ac:dyDescent="0.35">
      <c r="I390" s="53"/>
      <c r="K390" s="54"/>
      <c r="O390" s="55"/>
      <c r="Q390" s="53"/>
      <c r="S390" s="54"/>
    </row>
    <row r="391" spans="1:23" x14ac:dyDescent="0.35">
      <c r="I391" s="53"/>
      <c r="K391" s="54"/>
      <c r="O391" s="55"/>
      <c r="Q391" s="53"/>
      <c r="S391" s="54"/>
    </row>
    <row r="392" spans="1:23" x14ac:dyDescent="0.35">
      <c r="I392" s="53"/>
      <c r="K392" s="54"/>
      <c r="O392" s="55"/>
    </row>
    <row r="393" spans="1:23" x14ac:dyDescent="0.35">
      <c r="I393" s="53"/>
      <c r="K393" s="54"/>
      <c r="O393" s="55"/>
    </row>
    <row r="394" spans="1:23" x14ac:dyDescent="0.35">
      <c r="I394" s="53"/>
      <c r="K394" s="54"/>
      <c r="O394" s="55"/>
    </row>
    <row r="395" spans="1:23" x14ac:dyDescent="0.35">
      <c r="I395" s="53"/>
      <c r="K395" s="54"/>
      <c r="O395" s="55"/>
    </row>
    <row r="396" spans="1:23" x14ac:dyDescent="0.35">
      <c r="I396" s="53"/>
      <c r="K396" s="54"/>
      <c r="O396" s="55"/>
    </row>
    <row r="397" spans="1:23" x14ac:dyDescent="0.35">
      <c r="I397" s="53"/>
      <c r="K397" s="54"/>
      <c r="O397" s="55"/>
    </row>
    <row r="398" spans="1:23" x14ac:dyDescent="0.35">
      <c r="I398" s="53"/>
      <c r="K398" s="54"/>
      <c r="O398" s="55"/>
    </row>
    <row r="399" spans="1:23" x14ac:dyDescent="0.35">
      <c r="I399" s="53"/>
      <c r="K399" s="54"/>
      <c r="O399" s="55"/>
    </row>
    <row r="400" spans="1:23" x14ac:dyDescent="0.35">
      <c r="I400" s="53"/>
      <c r="K400" s="54"/>
      <c r="O400" s="55"/>
    </row>
    <row r="401" spans="9:15" x14ac:dyDescent="0.35">
      <c r="I401" s="53"/>
      <c r="K401" s="54"/>
      <c r="O401" s="55"/>
    </row>
    <row r="402" spans="9:15" x14ac:dyDescent="0.35">
      <c r="I402" s="53"/>
      <c r="K402" s="54"/>
      <c r="O402" s="55"/>
    </row>
    <row r="403" spans="9:15" x14ac:dyDescent="0.35">
      <c r="I403" s="53"/>
      <c r="K403" s="54"/>
      <c r="O403" s="55"/>
    </row>
    <row r="404" spans="9:15" x14ac:dyDescent="0.35">
      <c r="I404" s="53"/>
      <c r="K404" s="54"/>
      <c r="O404" s="55"/>
    </row>
    <row r="405" spans="9:15" x14ac:dyDescent="0.35">
      <c r="I405" s="53"/>
      <c r="K405" s="54"/>
      <c r="O405" s="55"/>
    </row>
    <row r="406" spans="9:15" x14ac:dyDescent="0.35">
      <c r="I406" s="53"/>
      <c r="K406" s="54"/>
      <c r="O406" s="55"/>
    </row>
    <row r="407" spans="9:15" x14ac:dyDescent="0.35">
      <c r="I407" s="53"/>
      <c r="K407" s="54"/>
      <c r="O407" s="55"/>
    </row>
    <row r="408" spans="9:15" x14ac:dyDescent="0.35">
      <c r="I408" s="53"/>
      <c r="K408" s="54"/>
      <c r="O408" s="55"/>
    </row>
    <row r="409" spans="9:15" x14ac:dyDescent="0.35">
      <c r="I409" s="53"/>
      <c r="K409" s="54"/>
      <c r="O409" s="55"/>
    </row>
    <row r="410" spans="9:15" x14ac:dyDescent="0.35">
      <c r="I410" s="53"/>
      <c r="K410" s="54"/>
      <c r="O410" s="55"/>
    </row>
    <row r="411" spans="9:15" x14ac:dyDescent="0.35">
      <c r="I411" s="53"/>
      <c r="K411" s="54"/>
      <c r="O411" s="55"/>
    </row>
    <row r="412" spans="9:15" x14ac:dyDescent="0.35">
      <c r="I412" s="53"/>
      <c r="K412" s="54"/>
      <c r="O412" s="55"/>
    </row>
    <row r="413" spans="9:15" x14ac:dyDescent="0.35">
      <c r="I413" s="53"/>
      <c r="K413" s="54"/>
      <c r="O413" s="55"/>
    </row>
    <row r="414" spans="9:15" x14ac:dyDescent="0.35">
      <c r="I414" s="53"/>
      <c r="K414" s="54"/>
      <c r="O414" s="55"/>
    </row>
    <row r="415" spans="9:15" x14ac:dyDescent="0.35">
      <c r="I415" s="53"/>
      <c r="K415" s="54"/>
      <c r="O415" s="55"/>
    </row>
    <row r="416" spans="9:15" x14ac:dyDescent="0.35">
      <c r="I416" s="53"/>
      <c r="K416" s="54"/>
      <c r="O416" s="55"/>
    </row>
    <row r="417" spans="9:15" x14ac:dyDescent="0.35">
      <c r="I417" s="53"/>
      <c r="K417" s="54"/>
      <c r="O417" s="55"/>
    </row>
    <row r="418" spans="9:15" x14ac:dyDescent="0.35">
      <c r="I418" s="53"/>
      <c r="K418" s="54"/>
    </row>
    <row r="419" spans="9:15" x14ac:dyDescent="0.35">
      <c r="I419" s="53"/>
      <c r="K419" s="54"/>
    </row>
    <row r="420" spans="9:15" x14ac:dyDescent="0.35">
      <c r="I420" s="53"/>
      <c r="K420" s="54"/>
    </row>
    <row r="421" spans="9:15" x14ac:dyDescent="0.35">
      <c r="I421" s="53"/>
      <c r="K421" s="54"/>
    </row>
    <row r="422" spans="9:15" x14ac:dyDescent="0.35">
      <c r="I422" s="53"/>
      <c r="K422" s="54"/>
    </row>
    <row r="423" spans="9:15" x14ac:dyDescent="0.35">
      <c r="I423" s="53"/>
      <c r="K423" s="54"/>
    </row>
    <row r="424" spans="9:15" x14ac:dyDescent="0.35">
      <c r="I424" s="53"/>
      <c r="K424" s="54"/>
    </row>
    <row r="425" spans="9:15" x14ac:dyDescent="0.35">
      <c r="I425" s="53"/>
      <c r="K425" s="54"/>
    </row>
    <row r="426" spans="9:15" x14ac:dyDescent="0.35">
      <c r="I426" s="53"/>
      <c r="K426" s="54"/>
    </row>
  </sheetData>
  <sheetProtection autoFilter="0"/>
  <sortState ref="A6:A15">
    <sortCondition ref="A6"/>
  </sortState>
  <dataConsolidate/>
  <mergeCells count="9">
    <mergeCell ref="A1:W1"/>
    <mergeCell ref="A20:G20"/>
    <mergeCell ref="I20:O20"/>
    <mergeCell ref="Q20:W20"/>
    <mergeCell ref="A4:A5"/>
    <mergeCell ref="B4:D4"/>
    <mergeCell ref="E4:G4"/>
    <mergeCell ref="H4:H5"/>
    <mergeCell ref="I4:I5"/>
  </mergeCells>
  <conditionalFormatting sqref="H6:H16">
    <cfRule type="cellIs" dxfId="22" priority="7" operator="between">
      <formula>100</formula>
      <formula>132</formula>
    </cfRule>
    <cfRule type="cellIs" dxfId="21" priority="33" operator="lessThan">
      <formula>100</formula>
    </cfRule>
    <cfRule type="cellIs" dxfId="20" priority="34" operator="greaterThan">
      <formula>132</formula>
    </cfRule>
  </conditionalFormatting>
  <conditionalFormatting sqref="V5:V7">
    <cfRule type="cellIs" dxfId="19" priority="12" operator="greaterThan">
      <formula>U5</formula>
    </cfRule>
  </conditionalFormatting>
  <conditionalFormatting sqref="W5:W7">
    <cfRule type="dataBar" priority="11">
      <dataBar>
        <cfvo type="min"/>
        <cfvo type="max"/>
        <color rgb="FF005363"/>
      </dataBar>
      <extLst>
        <ext xmlns:x14="http://schemas.microsoft.com/office/spreadsheetml/2009/9/main" uri="{B025F937-C7B1-47D3-B67F-A62EFF666E3E}">
          <x14:id>{380DE647-3F91-4128-A7FB-D9ABC3223A69}</x14:id>
        </ext>
      </extLst>
    </cfRule>
  </conditionalFormatting>
  <conditionalFormatting sqref="A22:G381">
    <cfRule type="expression" dxfId="18" priority="66">
      <formula>$G22="CERRADO"</formula>
    </cfRule>
    <cfRule type="expression" dxfId="17" priority="67">
      <formula>$A22=$S$11</formula>
    </cfRule>
  </conditionalFormatting>
  <conditionalFormatting sqref="I22:O381">
    <cfRule type="expression" dxfId="16" priority="68">
      <formula>$O22="CERRADO"</formula>
    </cfRule>
    <cfRule type="expression" dxfId="15" priority="69">
      <formula>$I22=$S$11</formula>
    </cfRule>
  </conditionalFormatting>
  <conditionalFormatting sqref="Q22:W381">
    <cfRule type="expression" dxfId="14" priority="70">
      <formula>$W22="CERRADO"</formula>
    </cfRule>
    <cfRule type="expression" dxfId="13" priority="71">
      <formula>$Q22=$S$11</formula>
    </cfRule>
  </conditionalFormatting>
  <dataValidations count="3">
    <dataValidation type="list" allowBlank="1" showInputMessage="1" showErrorMessage="1" sqref="L382:N399">
      <formula1>$I$5:$I$14</formula1>
    </dataValidation>
    <dataValidation type="list" allowBlank="1" showInputMessage="1" showErrorMessage="1" sqref="D22:F381 L22:N381 T22:V381">
      <formula1>$A$6:$A$16</formula1>
    </dataValidation>
    <dataValidation type="whole" operator="greaterThan" allowBlank="1" showInputMessage="1" showErrorMessage="1" sqref="T5:U7">
      <formula1>0</formula1>
    </dataValidation>
  </dataValidations>
  <pageMargins left="0.7" right="0.7" top="0.75" bottom="0.75" header="0.3" footer="0.3"/>
  <pageSetup orientation="portrait" r:id="rId1"/>
  <ignoredErrors>
    <ignoredError sqref="W22:W370" calculatedColumn="1"/>
  </ignoredErrors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80DE647-3F91-4128-A7FB-D9ABC3223A69}">
            <x14:dataBar minLength="0" maxLength="100" border="1" negativeBarBorderColorSameAsPositive="0">
              <x14:cfvo type="autoMin"/>
              <x14:cfvo type="autoMax"/>
              <x14:borderColor rgb="FF005363"/>
              <x14:negativeFillColor rgb="FFFF0000"/>
              <x14:negativeBorderColor rgb="FFFF0000"/>
              <x14:axisColor rgb="FF000000"/>
            </x14:dataBar>
          </x14:cfRule>
          <xm:sqref>W5:W7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426"/>
  <sheetViews>
    <sheetView showGridLines="0" tabSelected="1" topLeftCell="A2" zoomScale="70" zoomScaleNormal="70" workbookViewId="0">
      <selection activeCell="G24" sqref="G24"/>
    </sheetView>
  </sheetViews>
  <sheetFormatPr baseColWidth="10" defaultRowHeight="14.5" x14ac:dyDescent="0.35"/>
  <cols>
    <col min="1" max="1" width="13.81640625" style="6" customWidth="1"/>
    <col min="2" max="2" width="15.08984375" style="3" customWidth="1"/>
    <col min="3" max="3" width="11" style="3" customWidth="1"/>
    <col min="4" max="6" width="13.54296875" style="6" customWidth="1"/>
    <col min="7" max="7" width="17.90625" style="6" bestFit="1" customWidth="1"/>
    <col min="8" max="8" width="15" style="6" customWidth="1"/>
    <col min="9" max="9" width="13.81640625" style="6" customWidth="1"/>
    <col min="10" max="10" width="15.08984375" style="3" customWidth="1"/>
    <col min="11" max="11" width="11" style="3" customWidth="1"/>
    <col min="12" max="14" width="13.54296875" style="6" customWidth="1"/>
    <col min="15" max="15" width="17.6328125" style="6" bestFit="1" customWidth="1"/>
    <col min="16" max="16" width="10.90625" style="6"/>
    <col min="17" max="17" width="13.81640625" style="6" customWidth="1"/>
    <col min="18" max="18" width="15.08984375" style="3" customWidth="1"/>
    <col min="19" max="19" width="11" style="3" customWidth="1"/>
    <col min="20" max="22" width="13.54296875" style="6" customWidth="1"/>
    <col min="23" max="23" width="25.81640625" style="6" bestFit="1" customWidth="1"/>
  </cols>
  <sheetData>
    <row r="1" spans="1:23" ht="21" x14ac:dyDescent="0.5">
      <c r="A1" s="62" t="s">
        <v>37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4"/>
    </row>
    <row r="2" spans="1:23" ht="18.5" x14ac:dyDescent="0.45">
      <c r="A2" s="2"/>
      <c r="D2" s="4"/>
      <c r="E2" s="5"/>
      <c r="F2" s="4"/>
      <c r="G2" s="5"/>
      <c r="I2" s="2"/>
      <c r="L2" s="4"/>
      <c r="M2" s="5"/>
      <c r="N2" s="4"/>
      <c r="O2" s="5"/>
      <c r="Q2" s="2"/>
      <c r="T2" s="4"/>
      <c r="U2" s="5"/>
      <c r="V2" s="4"/>
      <c r="W2" s="5"/>
    </row>
    <row r="3" spans="1:23" x14ac:dyDescent="0.35">
      <c r="A3" s="24" t="s">
        <v>38</v>
      </c>
      <c r="B3" s="6"/>
      <c r="C3" s="6"/>
      <c r="J3" s="6"/>
      <c r="O3" s="24" t="s">
        <v>25</v>
      </c>
      <c r="R3" s="6"/>
      <c r="S3" s="6"/>
    </row>
    <row r="4" spans="1:23" ht="43.5" x14ac:dyDescent="0.35">
      <c r="A4" s="71" t="s">
        <v>15</v>
      </c>
      <c r="B4" s="80" t="s">
        <v>62</v>
      </c>
      <c r="C4" s="80" t="s">
        <v>63</v>
      </c>
      <c r="D4" s="80" t="s">
        <v>64</v>
      </c>
      <c r="E4" s="80" t="s">
        <v>65</v>
      </c>
      <c r="F4" s="72" t="s">
        <v>21</v>
      </c>
      <c r="G4" s="73"/>
      <c r="H4" s="74"/>
      <c r="I4" s="72" t="s">
        <v>66</v>
      </c>
      <c r="J4" s="73"/>
      <c r="K4" s="74"/>
      <c r="L4" s="75" t="s">
        <v>20</v>
      </c>
      <c r="M4" s="75" t="s">
        <v>39</v>
      </c>
      <c r="O4" s="40" t="s">
        <v>0</v>
      </c>
      <c r="P4" s="38" t="s">
        <v>35</v>
      </c>
      <c r="Q4" s="39" t="s">
        <v>34</v>
      </c>
      <c r="R4" s="37" t="s">
        <v>33</v>
      </c>
      <c r="S4" s="37" t="s">
        <v>40</v>
      </c>
    </row>
    <row r="5" spans="1:23" ht="14.5" customHeight="1" x14ac:dyDescent="0.35">
      <c r="A5" s="71"/>
      <c r="B5" s="79"/>
      <c r="C5" s="79"/>
      <c r="D5" s="79"/>
      <c r="E5" s="79"/>
      <c r="F5" s="41" t="s">
        <v>1</v>
      </c>
      <c r="G5" s="42" t="s">
        <v>22</v>
      </c>
      <c r="H5" s="43" t="s">
        <v>2</v>
      </c>
      <c r="I5" s="41" t="s">
        <v>1</v>
      </c>
      <c r="J5" s="42" t="s">
        <v>22</v>
      </c>
      <c r="K5" s="43" t="s">
        <v>2</v>
      </c>
      <c r="L5" s="75"/>
      <c r="M5" s="75"/>
      <c r="O5" s="20" t="s">
        <v>1</v>
      </c>
      <c r="P5" s="21">
        <v>2</v>
      </c>
      <c r="Q5" s="21">
        <v>558</v>
      </c>
      <c r="R5" s="12">
        <f>F17+I17</f>
        <v>459</v>
      </c>
      <c r="S5" s="44">
        <f>R5/Q5</f>
        <v>0.82258064516129037</v>
      </c>
      <c r="T5" s="84">
        <f>1-S5</f>
        <v>0.17741935483870963</v>
      </c>
      <c r="W5" s="22" t="s">
        <v>19</v>
      </c>
    </row>
    <row r="6" spans="1:23" x14ac:dyDescent="0.35">
      <c r="A6" s="11" t="s">
        <v>5</v>
      </c>
      <c r="B6" s="81">
        <f>SUMPRODUCT(($D$22:$F$105=$A6)+($L$22:$N$105=$A6)+($T$22:$V$105=$A6))</f>
        <v>20</v>
      </c>
      <c r="C6" s="82">
        <f>SUMPRODUCT(($D$106:$F$189=$A6)+($L$106:$N$189=$A6)+($T$106:$V$189=$A6))</f>
        <v>5</v>
      </c>
      <c r="D6" s="82">
        <f>SUMPRODUCT(($D$190:$F$273=$A6)+($L$190:$N$273=$A6)+($T$190:$V$273=$A6))</f>
        <v>0</v>
      </c>
      <c r="E6" s="83">
        <f>SUMPRODUCT(($D$274:$F$357=$A6)+($L$274:$N$357=$A6)+($T$274:$V$357=$A6))</f>
        <v>0</v>
      </c>
      <c r="F6" s="11">
        <f>SUMPRODUCT((TablaFloridaDic[Vendedora 1]=$A6)+(TablaFloridaDic[Vendedora 2]=$A6)+(TablaFloridaDic[Vendedora 3]=$A6),--(TablaFloridaDic[Día]&lt;&gt;$W$6))</f>
        <v>14</v>
      </c>
      <c r="G6" s="11">
        <f>SUMPRODUCT((TablaGuemesDic[Vendedora 1]=$A6)+(TablaGuemesDic[Vendedora 2]=$A6)+(TablaGuemesDic[Vendedora 3]=$A6),--(TablaGuemesDic[Día]&lt;&gt;$W$6))</f>
        <v>0</v>
      </c>
      <c r="H6" s="11">
        <f>SUMPRODUCT((TablaRecoletaDic[Vendedora 1]=$A6)+(TablaRecoletaDic[Vendedora 2]=$A6)+(TablaRecoletaDic[Vendedora 3]=$A6),--(TablaRecoletaDic[Día]&lt;&gt;$W$6))</f>
        <v>6</v>
      </c>
      <c r="I6" s="11">
        <f>SUMPRODUCT((TablaFloridaDic[Vendedora 1]=$A6)+(TablaFloridaDic[Vendedora 2]=$A6)+(TablaFloridaDic[Vendedora 3]=$A6),--(TablaFloridaDic[Día]=$W$6))</f>
        <v>5</v>
      </c>
      <c r="J6" s="11">
        <f>SUMPRODUCT((TablaGuemesDic[Vendedora 1]=$A6)+(TablaGuemesDic[Vendedora 2]=$A6)+(TablaGuemesDic[Vendedora 3]=$A6),--(TablaGuemesDic[Día]=$W$6))</f>
        <v>0</v>
      </c>
      <c r="K6" s="11">
        <f>SUMPRODUCT((TablaRecoletaDic[Vendedora 1]=$A6)+(TablaRecoletaDic[Vendedora 2]=$A6)+(TablaRecoletaDic[Vendedora 3]=$A6),--(TablaRecoletaDic[Día]=$W$6))</f>
        <v>0</v>
      </c>
      <c r="L6" s="13">
        <f>SUM(F6:K6)</f>
        <v>25</v>
      </c>
      <c r="M6" s="36">
        <f t="shared" ref="M6" si="0">IF(SUM(I6:K6)=0,8,4)</f>
        <v>4</v>
      </c>
      <c r="O6" s="20" t="s">
        <v>22</v>
      </c>
      <c r="P6" s="21">
        <v>1</v>
      </c>
      <c r="Q6" s="21">
        <v>207</v>
      </c>
      <c r="R6" s="12">
        <f>G17+J17</f>
        <v>9</v>
      </c>
      <c r="S6" s="44">
        <f t="shared" ref="S6:S7" si="1">R6/Q6</f>
        <v>4.3478260869565216E-2</v>
      </c>
      <c r="T6" s="84">
        <f>1-S6</f>
        <v>0.95652173913043481</v>
      </c>
      <c r="W6" s="23">
        <v>45999</v>
      </c>
    </row>
    <row r="7" spans="1:23" x14ac:dyDescent="0.35">
      <c r="A7" s="11" t="s">
        <v>31</v>
      </c>
      <c r="B7" s="81">
        <f t="shared" ref="B7:J16" si="2">SUMPRODUCT(($D$22:$F$105=$A7)+($L$22:$N$105=$A7)+($T$22:$V$105=$A7))</f>
        <v>21</v>
      </c>
      <c r="C7" s="82">
        <f t="shared" ref="C7:K16" si="3">SUMPRODUCT(($D$106:$F$189=$A7)+($L$106:$N$189=$A7)+($T$106:$V$189=$A7))</f>
        <v>25</v>
      </c>
      <c r="D7" s="82">
        <f t="shared" ref="D7:L16" si="4">SUMPRODUCT(($D$190:$F$273=$A7)+($L$190:$N$273=$A7)+($T$190:$V$273=$A7))</f>
        <v>8</v>
      </c>
      <c r="E7" s="83">
        <f t="shared" ref="E7:M16" si="5">SUMPRODUCT(($D$274:$F$357=$A7)+($L$274:$N$357=$A7)+($T$274:$V$357=$A7))</f>
        <v>0</v>
      </c>
      <c r="F7" s="11">
        <f>SUMPRODUCT((TablaFloridaDic[Vendedora 1]=$A7)+(TablaFloridaDic[Vendedora 2]=$A7)+(TablaFloridaDic[Vendedora 3]=$A7),--(TablaFloridaDic[Día]&lt;&gt;$W$6))</f>
        <v>49</v>
      </c>
      <c r="G7" s="11">
        <f>SUMPRODUCT((TablaGuemesDic[Vendedora 1]=$A7)+(TablaGuemesDic[Vendedora 2]=$A7)+(TablaGuemesDic[Vendedora 3]=$A7),--(TablaGuemesDic[Día]&lt;&gt;$W$6))</f>
        <v>0</v>
      </c>
      <c r="H7" s="11">
        <f>SUMPRODUCT((TablaRecoletaDic[Vendedora 1]=$A7)+(TablaRecoletaDic[Vendedora 2]=$A7)+(TablaRecoletaDic[Vendedora 3]=$A7),--(TablaRecoletaDic[Día]&lt;&gt;$W$6))</f>
        <v>5</v>
      </c>
      <c r="I7" s="11">
        <f>SUMPRODUCT((TablaFloridaDic[Vendedora 1]=$A7)+(TablaFloridaDic[Vendedora 2]=$A7)+(TablaFloridaDic[Vendedora 3]=$A7),--(TablaFloridaDic[Día]=$W$6))</f>
        <v>0</v>
      </c>
      <c r="J7" s="11">
        <f>SUMPRODUCT((TablaGuemesDic[Vendedora 1]=$A7)+(TablaGuemesDic[Vendedora 2]=$A7)+(TablaGuemesDic[Vendedora 3]=$A7),--(TablaGuemesDic[Día]=$W$6))</f>
        <v>0</v>
      </c>
      <c r="K7" s="11">
        <f>SUMPRODUCT((TablaRecoletaDic[Vendedora 1]=$A7)+(TablaRecoletaDic[Vendedora 2]=$A7)+(TablaRecoletaDic[Vendedora 3]=$A7),--(TablaRecoletaDic[Día]=$W$6))</f>
        <v>0</v>
      </c>
      <c r="L7" s="13">
        <f t="shared" ref="L7:L16" si="6">SUM(F7:K7)</f>
        <v>54</v>
      </c>
      <c r="M7" s="36">
        <f>IF(SUM(I7:K7)=0,8,4)</f>
        <v>8</v>
      </c>
      <c r="O7" s="20" t="s">
        <v>2</v>
      </c>
      <c r="P7" s="21">
        <v>1</v>
      </c>
      <c r="Q7" s="21">
        <v>341</v>
      </c>
      <c r="R7" s="12">
        <f>H17+K17</f>
        <v>44</v>
      </c>
      <c r="S7" s="44">
        <f t="shared" si="1"/>
        <v>0.12903225806451613</v>
      </c>
      <c r="T7" s="84">
        <f>1-S7</f>
        <v>0.87096774193548387</v>
      </c>
    </row>
    <row r="8" spans="1:23" x14ac:dyDescent="0.35">
      <c r="A8" s="11" t="s">
        <v>30</v>
      </c>
      <c r="B8" s="81">
        <f t="shared" si="2"/>
        <v>28</v>
      </c>
      <c r="C8" s="82">
        <f t="shared" si="3"/>
        <v>24</v>
      </c>
      <c r="D8" s="82">
        <f t="shared" si="4"/>
        <v>28</v>
      </c>
      <c r="E8" s="83">
        <f t="shared" si="5"/>
        <v>25</v>
      </c>
      <c r="F8" s="11">
        <f>SUMPRODUCT((TablaFloridaDic[Vendedora 1]=$A8)+(TablaFloridaDic[Vendedora 2]=$A8)+(TablaFloridaDic[Vendedora 3]=$A8),--(TablaFloridaDic[Día]&lt;&gt;$W$6))</f>
        <v>113</v>
      </c>
      <c r="G8" s="11">
        <f>SUMPRODUCT((TablaGuemesDic[Vendedora 1]=$A8)+(TablaGuemesDic[Vendedora 2]=$A8)+(TablaGuemesDic[Vendedora 3]=$A8),--(TablaGuemesDic[Día]&lt;&gt;$W$6))</f>
        <v>0</v>
      </c>
      <c r="H8" s="11">
        <f>SUMPRODUCT((TablaRecoletaDic[Vendedora 1]=$A8)+(TablaRecoletaDic[Vendedora 2]=$A8)+(TablaRecoletaDic[Vendedora 3]=$A8),--(TablaRecoletaDic[Día]&lt;&gt;$W$6))</f>
        <v>0</v>
      </c>
      <c r="I8" s="11">
        <f>SUMPRODUCT((TablaFloridaDic[Vendedora 1]=$A8)+(TablaFloridaDic[Vendedora 2]=$A8)+(TablaFloridaDic[Vendedora 3]=$A8),--(TablaFloridaDic[Día]=$W$6))</f>
        <v>4</v>
      </c>
      <c r="J8" s="11">
        <f>SUMPRODUCT((TablaGuemesDic[Vendedora 1]=$A8)+(TablaGuemesDic[Vendedora 2]=$A8)+(TablaGuemesDic[Vendedora 3]=$A8),--(TablaGuemesDic[Día]=$W$6))</f>
        <v>0</v>
      </c>
      <c r="K8" s="11">
        <f>SUMPRODUCT((TablaRecoletaDic[Vendedora 1]=$A8)+(TablaRecoletaDic[Vendedora 2]=$A8)+(TablaRecoletaDic[Vendedora 3]=$A8),--(TablaRecoletaDic[Día]=$W$6))</f>
        <v>0</v>
      </c>
      <c r="L8" s="13">
        <f t="shared" si="6"/>
        <v>117</v>
      </c>
      <c r="M8" s="36">
        <f t="shared" ref="M8:M16" si="7">IF(SUM(I8:K8)=0,8,4)</f>
        <v>4</v>
      </c>
      <c r="O8" s="3"/>
      <c r="R8" s="6"/>
      <c r="S8" s="6"/>
    </row>
    <row r="9" spans="1:23" x14ac:dyDescent="0.35">
      <c r="A9" s="11" t="s">
        <v>27</v>
      </c>
      <c r="B9" s="81">
        <f t="shared" si="2"/>
        <v>1</v>
      </c>
      <c r="C9" s="82">
        <f t="shared" si="3"/>
        <v>0</v>
      </c>
      <c r="D9" s="82">
        <f t="shared" si="4"/>
        <v>0</v>
      </c>
      <c r="E9" s="83">
        <f t="shared" si="5"/>
        <v>0</v>
      </c>
      <c r="F9" s="11">
        <f>SUMPRODUCT((TablaFloridaDic[Vendedora 1]=$A9)+(TablaFloridaDic[Vendedora 2]=$A9)+(TablaFloridaDic[Vendedora 3]=$A9),--(TablaFloridaDic[Día]&lt;&gt;$W$6))</f>
        <v>1</v>
      </c>
      <c r="G9" s="11">
        <f>SUMPRODUCT((TablaGuemesDic[Vendedora 1]=$A9)+(TablaGuemesDic[Vendedora 2]=$A9)+(TablaGuemesDic[Vendedora 3]=$A9),--(TablaGuemesDic[Día]&lt;&gt;$W$6))</f>
        <v>0</v>
      </c>
      <c r="H9" s="11">
        <f>SUMPRODUCT((TablaRecoletaDic[Vendedora 1]=$A9)+(TablaRecoletaDic[Vendedora 2]=$A9)+(TablaRecoletaDic[Vendedora 3]=$A9),--(TablaRecoletaDic[Día]&lt;&gt;$W$6))</f>
        <v>0</v>
      </c>
      <c r="I9" s="11">
        <f>SUMPRODUCT((TablaFloridaDic[Vendedora 1]=$A9)+(TablaFloridaDic[Vendedora 2]=$A9)+(TablaFloridaDic[Vendedora 3]=$A9),--(TablaFloridaDic[Día]=$W$6))</f>
        <v>0</v>
      </c>
      <c r="J9" s="11">
        <f>SUMPRODUCT((TablaGuemesDic[Vendedora 1]=$A9)+(TablaGuemesDic[Vendedora 2]=$A9)+(TablaGuemesDic[Vendedora 3]=$A9),--(TablaGuemesDic[Día]=$W$6))</f>
        <v>0</v>
      </c>
      <c r="K9" s="11">
        <f>SUMPRODUCT((TablaRecoletaDic[Vendedora 1]=$A9)+(TablaRecoletaDic[Vendedora 2]=$A9)+(TablaRecoletaDic[Vendedora 3]=$A9),--(TablaRecoletaDic[Día]=$W$6))</f>
        <v>0</v>
      </c>
      <c r="L9" s="13">
        <f t="shared" si="6"/>
        <v>1</v>
      </c>
      <c r="M9" s="36">
        <f t="shared" si="7"/>
        <v>8</v>
      </c>
      <c r="O9" s="3"/>
      <c r="R9" s="6"/>
      <c r="S9" s="6"/>
    </row>
    <row r="10" spans="1:23" x14ac:dyDescent="0.35">
      <c r="A10" s="11" t="s">
        <v>28</v>
      </c>
      <c r="B10" s="81">
        <f t="shared" si="2"/>
        <v>20</v>
      </c>
      <c r="C10" s="82">
        <f t="shared" si="3"/>
        <v>0</v>
      </c>
      <c r="D10" s="82">
        <f t="shared" si="4"/>
        <v>0</v>
      </c>
      <c r="E10" s="83">
        <f t="shared" si="5"/>
        <v>0</v>
      </c>
      <c r="F10" s="11">
        <f>SUMPRODUCT((TablaFloridaDic[Vendedora 1]=$A10)+(TablaFloridaDic[Vendedora 2]=$A10)+(TablaFloridaDic[Vendedora 3]=$A10),--(TablaFloridaDic[Día]&lt;&gt;$W$6))</f>
        <v>8</v>
      </c>
      <c r="G10" s="11">
        <f>SUMPRODUCT((TablaGuemesDic[Vendedora 1]=$A10)+(TablaGuemesDic[Vendedora 2]=$A10)+(TablaGuemesDic[Vendedora 3]=$A10),--(TablaGuemesDic[Día]&lt;&gt;$W$6))</f>
        <v>0</v>
      </c>
      <c r="H10" s="11">
        <f>SUMPRODUCT((TablaRecoletaDic[Vendedora 1]=$A10)+(TablaRecoletaDic[Vendedora 2]=$A10)+(TablaRecoletaDic[Vendedora 3]=$A10),--(TablaRecoletaDic[Día]&lt;&gt;$W$6))</f>
        <v>12</v>
      </c>
      <c r="I10" s="11">
        <f>SUMPRODUCT((TablaFloridaDic[Vendedora 1]=$A10)+(TablaFloridaDic[Vendedora 2]=$A10)+(TablaFloridaDic[Vendedora 3]=$A10),--(TablaFloridaDic[Día]=$W$6))</f>
        <v>0</v>
      </c>
      <c r="J10" s="11">
        <f>SUMPRODUCT((TablaGuemesDic[Vendedora 1]=$A10)+(TablaGuemesDic[Vendedora 2]=$A10)+(TablaGuemesDic[Vendedora 3]=$A10),--(TablaGuemesDic[Día]=$W$6))</f>
        <v>0</v>
      </c>
      <c r="K10" s="11">
        <f>SUMPRODUCT((TablaRecoletaDic[Vendedora 1]=$A10)+(TablaRecoletaDic[Vendedora 2]=$A10)+(TablaRecoletaDic[Vendedora 3]=$A10),--(TablaRecoletaDic[Día]=$W$6))</f>
        <v>0</v>
      </c>
      <c r="L10" s="13">
        <f t="shared" si="6"/>
        <v>20</v>
      </c>
      <c r="M10" s="36">
        <f t="shared" si="7"/>
        <v>8</v>
      </c>
      <c r="R10" s="6"/>
      <c r="S10" s="6"/>
    </row>
    <row r="11" spans="1:23" x14ac:dyDescent="0.35">
      <c r="A11" s="11" t="s">
        <v>29</v>
      </c>
      <c r="B11" s="81">
        <f t="shared" si="2"/>
        <v>13</v>
      </c>
      <c r="C11" s="82">
        <f t="shared" si="3"/>
        <v>16</v>
      </c>
      <c r="D11" s="82">
        <f t="shared" si="4"/>
        <v>0</v>
      </c>
      <c r="E11" s="83">
        <f t="shared" si="5"/>
        <v>0</v>
      </c>
      <c r="F11" s="11">
        <f>SUMPRODUCT((TablaFloridaDic[Vendedora 1]=$A11)+(TablaFloridaDic[Vendedora 2]=$A11)+(TablaFloridaDic[Vendedora 3]=$A11),--(TablaFloridaDic[Día]&lt;&gt;$W$6))</f>
        <v>16</v>
      </c>
      <c r="G11" s="11">
        <f>SUMPRODUCT((TablaGuemesDic[Vendedora 1]=$A11)+(TablaGuemesDic[Vendedora 2]=$A11)+(TablaGuemesDic[Vendedora 3]=$A11),--(TablaGuemesDic[Día]&lt;&gt;$W$6))</f>
        <v>9</v>
      </c>
      <c r="H11" s="11">
        <f>SUMPRODUCT((TablaRecoletaDic[Vendedora 1]=$A11)+(TablaRecoletaDic[Vendedora 2]=$A11)+(TablaRecoletaDic[Vendedora 3]=$A11),--(TablaRecoletaDic[Día]&lt;&gt;$W$6))</f>
        <v>0</v>
      </c>
      <c r="I11" s="11">
        <f>SUMPRODUCT((TablaFloridaDic[Vendedora 1]=$A11)+(TablaFloridaDic[Vendedora 2]=$A11)+(TablaFloridaDic[Vendedora 3]=$A11),--(TablaFloridaDic[Día]=$W$6))</f>
        <v>4</v>
      </c>
      <c r="J11" s="11">
        <f>SUMPRODUCT((TablaGuemesDic[Vendedora 1]=$A11)+(TablaGuemesDic[Vendedora 2]=$A11)+(TablaGuemesDic[Vendedora 3]=$A11),--(TablaGuemesDic[Día]=$W$6))</f>
        <v>0</v>
      </c>
      <c r="K11" s="11">
        <f>SUMPRODUCT((TablaRecoletaDic[Vendedora 1]=$A11)+(TablaRecoletaDic[Vendedora 2]=$A11)+(TablaRecoletaDic[Vendedora 3]=$A11),--(TablaRecoletaDic[Día]=$W$6))</f>
        <v>0</v>
      </c>
      <c r="L11" s="13">
        <f t="shared" si="6"/>
        <v>29</v>
      </c>
      <c r="M11" s="36">
        <f t="shared" si="7"/>
        <v>4</v>
      </c>
      <c r="R11" s="6"/>
      <c r="S11" s="6"/>
    </row>
    <row r="12" spans="1:23" x14ac:dyDescent="0.35">
      <c r="A12" s="11" t="s">
        <v>4</v>
      </c>
      <c r="B12" s="81">
        <f t="shared" si="2"/>
        <v>31</v>
      </c>
      <c r="C12" s="82">
        <f t="shared" si="3"/>
        <v>25</v>
      </c>
      <c r="D12" s="82">
        <f t="shared" si="4"/>
        <v>35</v>
      </c>
      <c r="E12" s="83">
        <f t="shared" si="5"/>
        <v>20</v>
      </c>
      <c r="F12" s="11">
        <f>SUMPRODUCT((TablaFloridaDic[Vendedora 1]=$A12)+(TablaFloridaDic[Vendedora 2]=$A12)+(TablaFloridaDic[Vendedora 3]=$A12),--(TablaFloridaDic[Día]&lt;&gt;$W$6))</f>
        <v>121</v>
      </c>
      <c r="G12" s="11">
        <f>SUMPRODUCT((TablaGuemesDic[Vendedora 1]=$A12)+(TablaGuemesDic[Vendedora 2]=$A12)+(TablaGuemesDic[Vendedora 3]=$A12),--(TablaGuemesDic[Día]&lt;&gt;$W$6))</f>
        <v>0</v>
      </c>
      <c r="H12" s="11">
        <f>SUMPRODUCT((TablaRecoletaDic[Vendedora 1]=$A12)+(TablaRecoletaDic[Vendedora 2]=$A12)+(TablaRecoletaDic[Vendedora 3]=$A12),--(TablaRecoletaDic[Día]&lt;&gt;$W$6))</f>
        <v>0</v>
      </c>
      <c r="I12" s="11">
        <f>SUMPRODUCT((TablaFloridaDic[Vendedora 1]=$A12)+(TablaFloridaDic[Vendedora 2]=$A12)+(TablaFloridaDic[Vendedora 3]=$A12),--(TablaFloridaDic[Día]=$W$6))</f>
        <v>5</v>
      </c>
      <c r="J12" s="11">
        <f>SUMPRODUCT((TablaGuemesDic[Vendedora 1]=$A12)+(TablaGuemesDic[Vendedora 2]=$A12)+(TablaGuemesDic[Vendedora 3]=$A12),--(TablaGuemesDic[Día]=$W$6))</f>
        <v>0</v>
      </c>
      <c r="K12" s="11">
        <f>SUMPRODUCT((TablaRecoletaDic[Vendedora 1]=$A12)+(TablaRecoletaDic[Vendedora 2]=$A12)+(TablaRecoletaDic[Vendedora 3]=$A12),--(TablaRecoletaDic[Día]=$W$6))</f>
        <v>0</v>
      </c>
      <c r="L12" s="13">
        <f t="shared" si="6"/>
        <v>126</v>
      </c>
      <c r="M12" s="36">
        <f t="shared" si="7"/>
        <v>4</v>
      </c>
      <c r="R12" s="6"/>
      <c r="S12" s="6"/>
    </row>
    <row r="13" spans="1:23" x14ac:dyDescent="0.35">
      <c r="A13" s="11" t="s">
        <v>6</v>
      </c>
      <c r="B13" s="81">
        <f t="shared" si="2"/>
        <v>15</v>
      </c>
      <c r="C13" s="82">
        <f t="shared" si="3"/>
        <v>0</v>
      </c>
      <c r="D13" s="82">
        <f t="shared" si="4"/>
        <v>0</v>
      </c>
      <c r="E13" s="83">
        <f t="shared" si="5"/>
        <v>0</v>
      </c>
      <c r="F13" s="11">
        <f>SUMPRODUCT((TablaFloridaDic[Vendedora 1]=$A13)+(TablaFloridaDic[Vendedora 2]=$A13)+(TablaFloridaDic[Vendedora 3]=$A13),--(TablaFloridaDic[Día]&lt;&gt;$W$6))</f>
        <v>0</v>
      </c>
      <c r="G13" s="11">
        <f>SUMPRODUCT((TablaGuemesDic[Vendedora 1]=$A13)+(TablaGuemesDic[Vendedora 2]=$A13)+(TablaGuemesDic[Vendedora 3]=$A13),--(TablaGuemesDic[Día]&lt;&gt;$W$6))</f>
        <v>0</v>
      </c>
      <c r="H13" s="11">
        <f>SUMPRODUCT((TablaRecoletaDic[Vendedora 1]=$A13)+(TablaRecoletaDic[Vendedora 2]=$A13)+(TablaRecoletaDic[Vendedora 3]=$A13),--(TablaRecoletaDic[Día]&lt;&gt;$W$6))</f>
        <v>15</v>
      </c>
      <c r="I13" s="11">
        <f>SUMPRODUCT((TablaFloridaDic[Vendedora 1]=$A13)+(TablaFloridaDic[Vendedora 2]=$A13)+(TablaFloridaDic[Vendedora 3]=$A13),--(TablaFloridaDic[Día]=$W$6))</f>
        <v>0</v>
      </c>
      <c r="J13" s="11">
        <f>SUMPRODUCT((TablaGuemesDic[Vendedora 1]=$A13)+(TablaGuemesDic[Vendedora 2]=$A13)+(TablaGuemesDic[Vendedora 3]=$A13),--(TablaGuemesDic[Día]=$W$6))</f>
        <v>0</v>
      </c>
      <c r="K13" s="11">
        <f>SUMPRODUCT((TablaRecoletaDic[Vendedora 1]=$A13)+(TablaRecoletaDic[Vendedora 2]=$A13)+(TablaRecoletaDic[Vendedora 3]=$A13),--(TablaRecoletaDic[Día]=$W$6))</f>
        <v>0</v>
      </c>
      <c r="L13" s="13">
        <f t="shared" si="6"/>
        <v>15</v>
      </c>
      <c r="M13" s="36">
        <f t="shared" si="7"/>
        <v>8</v>
      </c>
      <c r="R13" s="6"/>
      <c r="S13" s="6"/>
    </row>
    <row r="14" spans="1:23" x14ac:dyDescent="0.35">
      <c r="A14" s="11" t="s">
        <v>7</v>
      </c>
      <c r="B14" s="81">
        <f t="shared" si="2"/>
        <v>6</v>
      </c>
      <c r="C14" s="82">
        <f t="shared" si="3"/>
        <v>0</v>
      </c>
      <c r="D14" s="82">
        <f t="shared" si="4"/>
        <v>0</v>
      </c>
      <c r="E14" s="83">
        <f t="shared" si="5"/>
        <v>0</v>
      </c>
      <c r="F14" s="11">
        <f>SUMPRODUCT((TablaFloridaDic[Vendedora 1]=$A14)+(TablaFloridaDic[Vendedora 2]=$A14)+(TablaFloridaDic[Vendedora 3]=$A14),--(TablaFloridaDic[Día]&lt;&gt;$W$6))</f>
        <v>0</v>
      </c>
      <c r="G14" s="11">
        <f>SUMPRODUCT((TablaGuemesDic[Vendedora 1]=$A14)+(TablaGuemesDic[Vendedora 2]=$A14)+(TablaGuemesDic[Vendedora 3]=$A14),--(TablaGuemesDic[Día]&lt;&gt;$W$6))</f>
        <v>0</v>
      </c>
      <c r="H14" s="11">
        <f>SUMPRODUCT((TablaRecoletaDic[Vendedora 1]=$A14)+(TablaRecoletaDic[Vendedora 2]=$A14)+(TablaRecoletaDic[Vendedora 3]=$A14),--(TablaRecoletaDic[Día]&lt;&gt;$W$6))</f>
        <v>6</v>
      </c>
      <c r="I14" s="11">
        <f>SUMPRODUCT((TablaFloridaDic[Vendedora 1]=$A14)+(TablaFloridaDic[Vendedora 2]=$A14)+(TablaFloridaDic[Vendedora 3]=$A14),--(TablaFloridaDic[Día]=$W$6))</f>
        <v>0</v>
      </c>
      <c r="J14" s="11">
        <f>SUMPRODUCT((TablaGuemesDic[Vendedora 1]=$A14)+(TablaGuemesDic[Vendedora 2]=$A14)+(TablaGuemesDic[Vendedora 3]=$A14),--(TablaGuemesDic[Día]=$W$6))</f>
        <v>0</v>
      </c>
      <c r="K14" s="11">
        <f>SUMPRODUCT((TablaRecoletaDic[Vendedora 1]=$A14)+(TablaRecoletaDic[Vendedora 2]=$A14)+(TablaRecoletaDic[Vendedora 3]=$A14),--(TablaRecoletaDic[Día]=$W$6))</f>
        <v>0</v>
      </c>
      <c r="L14" s="13">
        <f t="shared" si="6"/>
        <v>6</v>
      </c>
      <c r="M14" s="36">
        <f t="shared" si="7"/>
        <v>8</v>
      </c>
      <c r="R14" s="6"/>
      <c r="S14" s="6"/>
    </row>
    <row r="15" spans="1:23" x14ac:dyDescent="0.35">
      <c r="A15" s="11" t="s">
        <v>3</v>
      </c>
      <c r="B15" s="81">
        <f t="shared" si="2"/>
        <v>35</v>
      </c>
      <c r="C15" s="82">
        <f t="shared" si="3"/>
        <v>10</v>
      </c>
      <c r="D15" s="82">
        <f t="shared" si="4"/>
        <v>35</v>
      </c>
      <c r="E15" s="83">
        <f t="shared" si="5"/>
        <v>24</v>
      </c>
      <c r="F15" s="11">
        <f>SUMPRODUCT((TablaFloridaDic[Vendedora 1]=$A15)+(TablaFloridaDic[Vendedora 2]=$A15)+(TablaFloridaDic[Vendedora 3]=$A15),--(TablaFloridaDic[Día]&lt;&gt;$W$6))</f>
        <v>119</v>
      </c>
      <c r="G15" s="11">
        <f>SUMPRODUCT((TablaGuemesDic[Vendedora 1]=$A15)+(TablaGuemesDic[Vendedora 2]=$A15)+(TablaGuemesDic[Vendedora 3]=$A15),--(TablaGuemesDic[Día]&lt;&gt;$W$6))</f>
        <v>0</v>
      </c>
      <c r="H15" s="11">
        <f>SUMPRODUCT((TablaRecoletaDic[Vendedora 1]=$A15)+(TablaRecoletaDic[Vendedora 2]=$A15)+(TablaRecoletaDic[Vendedora 3]=$A15),--(TablaRecoletaDic[Día]&lt;&gt;$W$6))</f>
        <v>0</v>
      </c>
      <c r="I15" s="11">
        <f>SUMPRODUCT((TablaFloridaDic[Vendedora 1]=$A15)+(TablaFloridaDic[Vendedora 2]=$A15)+(TablaFloridaDic[Vendedora 3]=$A15),--(TablaFloridaDic[Día]=$W$6))</f>
        <v>0</v>
      </c>
      <c r="J15" s="11">
        <f>SUMPRODUCT((TablaGuemesDic[Vendedora 1]=$A15)+(TablaGuemesDic[Vendedora 2]=$A15)+(TablaGuemesDic[Vendedora 3]=$A15),--(TablaGuemesDic[Día]=$W$6))</f>
        <v>0</v>
      </c>
      <c r="K15" s="11">
        <f>SUMPRODUCT((TablaRecoletaDic[Vendedora 1]=$A15)+(TablaRecoletaDic[Vendedora 2]=$A15)+(TablaRecoletaDic[Vendedora 3]=$A15),--(TablaRecoletaDic[Día]=$W$6))</f>
        <v>0</v>
      </c>
      <c r="L15" s="13">
        <f t="shared" si="6"/>
        <v>119</v>
      </c>
      <c r="M15" s="36">
        <f t="shared" si="7"/>
        <v>8</v>
      </c>
      <c r="R15" s="6"/>
      <c r="S15" s="6"/>
    </row>
    <row r="16" spans="1:23" x14ac:dyDescent="0.35">
      <c r="A16" s="11" t="s">
        <v>24</v>
      </c>
      <c r="B16" s="81">
        <f t="shared" si="2"/>
        <v>0</v>
      </c>
      <c r="C16" s="82">
        <f t="shared" si="3"/>
        <v>0</v>
      </c>
      <c r="D16" s="82">
        <f t="shared" si="4"/>
        <v>0</v>
      </c>
      <c r="E16" s="83">
        <f t="shared" si="5"/>
        <v>0</v>
      </c>
      <c r="F16" s="11">
        <f>SUMPRODUCT((TablaFloridaDic[Vendedora 1]=$A16)+(TablaFloridaDic[Vendedora 2]=$A16)+(TablaFloridaDic[Vendedora 3]=$A16),--(TablaFloridaDic[Día]&lt;&gt;$W$6))</f>
        <v>0</v>
      </c>
      <c r="G16" s="11">
        <f>SUMPRODUCT((TablaGuemesDic[Vendedora 1]=$A16)+(TablaGuemesDic[Vendedora 2]=$A16)+(TablaGuemesDic[Vendedora 3]=$A16),--(TablaGuemesDic[Día]&lt;&gt;$W$6))</f>
        <v>0</v>
      </c>
      <c r="H16" s="11">
        <f>SUMPRODUCT((TablaRecoletaDic[Vendedora 1]=$A16)+(TablaRecoletaDic[Vendedora 2]=$A16)+(TablaRecoletaDic[Vendedora 3]=$A16),--(TablaRecoletaDic[Día]&lt;&gt;$W$6))</f>
        <v>0</v>
      </c>
      <c r="I16" s="11">
        <f>SUMPRODUCT((TablaFloridaDic[Vendedora 1]=$A16)+(TablaFloridaDic[Vendedora 2]=$A16)+(TablaFloridaDic[Vendedora 3]=$A16),--(TablaFloridaDic[Día]=$W$6))</f>
        <v>0</v>
      </c>
      <c r="J16" s="11">
        <f>SUMPRODUCT((TablaGuemesDic[Vendedora 1]=$A16)+(TablaGuemesDic[Vendedora 2]=$A16)+(TablaGuemesDic[Vendedora 3]=$A16),--(TablaGuemesDic[Día]=$W$6))</f>
        <v>0</v>
      </c>
      <c r="K16" s="11">
        <f>SUMPRODUCT((TablaRecoletaDic[Vendedora 1]=$A16)+(TablaRecoletaDic[Vendedora 2]=$A16)+(TablaRecoletaDic[Vendedora 3]=$A16),--(TablaRecoletaDic[Día]=$W$6))</f>
        <v>0</v>
      </c>
      <c r="L16" s="13">
        <f t="shared" si="6"/>
        <v>0</v>
      </c>
      <c r="M16" s="36">
        <f t="shared" si="7"/>
        <v>8</v>
      </c>
      <c r="R16" s="6"/>
      <c r="S16" s="6"/>
    </row>
    <row r="17" spans="1:23" s="1" customFormat="1" x14ac:dyDescent="0.35">
      <c r="A17" s="14" t="s">
        <v>26</v>
      </c>
      <c r="B17" s="78">
        <f>SUM(B6:B16)</f>
        <v>190</v>
      </c>
      <c r="C17" s="78">
        <f>SUM(C6:C16)</f>
        <v>105</v>
      </c>
      <c r="D17" s="78">
        <f>SUM(D6:D16)</f>
        <v>106</v>
      </c>
      <c r="E17" s="78">
        <f>SUM(E6:E16)</f>
        <v>69</v>
      </c>
      <c r="F17" s="14">
        <f>SUM(F6:F16)</f>
        <v>441</v>
      </c>
      <c r="G17" s="15">
        <f t="shared" ref="G17:L17" si="8">SUM(G6:G16)</f>
        <v>9</v>
      </c>
      <c r="H17" s="18">
        <f t="shared" si="8"/>
        <v>44</v>
      </c>
      <c r="I17" s="14">
        <f t="shared" si="8"/>
        <v>18</v>
      </c>
      <c r="J17" s="15">
        <f t="shared" si="8"/>
        <v>0</v>
      </c>
      <c r="K17" s="18">
        <f t="shared" si="8"/>
        <v>0</v>
      </c>
      <c r="L17" s="16">
        <f t="shared" si="8"/>
        <v>512</v>
      </c>
      <c r="M17" s="17">
        <f>SUM(M6:M16)</f>
        <v>72</v>
      </c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 s="1" customFormat="1" x14ac:dyDescent="0.35">
      <c r="A18" s="8"/>
      <c r="B18" s="4"/>
      <c r="C18" s="4"/>
      <c r="D18" s="4"/>
      <c r="E18" s="4"/>
      <c r="F18" s="4"/>
      <c r="G18" s="4"/>
      <c r="H18" s="5"/>
      <c r="I18" s="5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</row>
    <row r="19" spans="1:23" s="1" customFormat="1" x14ac:dyDescent="0.35">
      <c r="A19" s="4"/>
      <c r="B19" s="4"/>
      <c r="C19" s="4"/>
      <c r="D19" s="4"/>
      <c r="E19" s="4"/>
      <c r="F19" s="4"/>
      <c r="G19" s="4"/>
      <c r="H19" s="5"/>
      <c r="I19" s="5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</row>
    <row r="20" spans="1:23" s="10" customFormat="1" ht="18.5" x14ac:dyDescent="0.45">
      <c r="A20" s="65" t="s">
        <v>16</v>
      </c>
      <c r="B20" s="66"/>
      <c r="C20" s="66"/>
      <c r="D20" s="66"/>
      <c r="E20" s="66"/>
      <c r="F20" s="66"/>
      <c r="G20" s="67"/>
      <c r="H20" s="9"/>
      <c r="I20" s="65" t="s">
        <v>17</v>
      </c>
      <c r="J20" s="66"/>
      <c r="K20" s="66"/>
      <c r="L20" s="66"/>
      <c r="M20" s="66"/>
      <c r="N20" s="66"/>
      <c r="O20" s="67"/>
      <c r="P20" s="9"/>
      <c r="Q20" s="68" t="s">
        <v>18</v>
      </c>
      <c r="R20" s="69"/>
      <c r="S20" s="69"/>
      <c r="T20" s="69"/>
      <c r="U20" s="69"/>
      <c r="V20" s="69"/>
      <c r="W20" s="70"/>
    </row>
    <row r="21" spans="1:23" x14ac:dyDescent="0.35">
      <c r="A21" s="45" t="s">
        <v>10</v>
      </c>
      <c r="B21" s="46" t="s">
        <v>13</v>
      </c>
      <c r="C21" s="46" t="s">
        <v>14</v>
      </c>
      <c r="D21" s="47" t="s">
        <v>8</v>
      </c>
      <c r="E21" s="47" t="s">
        <v>9</v>
      </c>
      <c r="F21" s="47" t="s">
        <v>11</v>
      </c>
      <c r="G21" s="48" t="s">
        <v>12</v>
      </c>
      <c r="I21" s="45" t="s">
        <v>10</v>
      </c>
      <c r="J21" s="46" t="s">
        <v>13</v>
      </c>
      <c r="K21" s="46" t="s">
        <v>14</v>
      </c>
      <c r="L21" s="47" t="s">
        <v>8</v>
      </c>
      <c r="M21" s="47" t="s">
        <v>9</v>
      </c>
      <c r="N21" s="47" t="s">
        <v>11</v>
      </c>
      <c r="O21" s="48" t="s">
        <v>12</v>
      </c>
      <c r="Q21" s="45" t="s">
        <v>10</v>
      </c>
      <c r="R21" s="46" t="s">
        <v>13</v>
      </c>
      <c r="S21" s="46" t="s">
        <v>14</v>
      </c>
      <c r="T21" s="47" t="s">
        <v>8</v>
      </c>
      <c r="U21" s="47" t="s">
        <v>9</v>
      </c>
      <c r="V21" s="47" t="s">
        <v>11</v>
      </c>
      <c r="W21" s="48" t="s">
        <v>12</v>
      </c>
    </row>
    <row r="22" spans="1:23" x14ac:dyDescent="0.35">
      <c r="A22" s="27">
        <v>45992</v>
      </c>
      <c r="B22" s="28" t="str">
        <f>TEXT(A22,"ddd")</f>
        <v>lun</v>
      </c>
      <c r="C22" s="29">
        <v>0.375</v>
      </c>
      <c r="D22" s="25"/>
      <c r="E22" s="25"/>
      <c r="F22" s="25"/>
      <c r="G22" s="30" t="s">
        <v>32</v>
      </c>
      <c r="I22" s="27">
        <v>45992</v>
      </c>
      <c r="J22" s="28" t="str">
        <f>TEXT(I22,"ddd")</f>
        <v>lun</v>
      </c>
      <c r="K22" s="29">
        <v>0.375</v>
      </c>
      <c r="L22" s="19" t="s">
        <v>29</v>
      </c>
      <c r="M22" s="19"/>
      <c r="N22" s="19"/>
      <c r="O22" s="31" t="str">
        <f>IF(COUNTIF(L22:N22,"?*")=$P$6,"✅ CUBIERTO",IF(COUNTIF(L22:N22,"?*")&gt;$P$6,"⚠ EXCESO",
IF(COUNTIF(L22:N22,"?*")&gt;0,"⚠ FALTANTE", "❌ SIN COMPLETAR")))</f>
        <v>✅ CUBIERTO</v>
      </c>
      <c r="Q22" s="27">
        <v>45992</v>
      </c>
      <c r="R22" s="28" t="str">
        <f>TEXT(Q22,"ddd")</f>
        <v>lun</v>
      </c>
      <c r="S22" s="29">
        <v>0.375</v>
      </c>
      <c r="T22" s="25"/>
      <c r="U22" s="25"/>
      <c r="V22" s="25"/>
      <c r="W22" s="30" t="s">
        <v>32</v>
      </c>
    </row>
    <row r="23" spans="1:23" x14ac:dyDescent="0.35">
      <c r="A23" s="27">
        <v>45992</v>
      </c>
      <c r="B23" s="28" t="str">
        <f>TEXT(A23,"ddd")</f>
        <v>lun</v>
      </c>
      <c r="C23" s="29">
        <v>0.41666666666666669</v>
      </c>
      <c r="D23" s="25"/>
      <c r="E23" s="25"/>
      <c r="F23" s="25"/>
      <c r="G23" s="30" t="s">
        <v>32</v>
      </c>
      <c r="I23" s="27">
        <v>45992</v>
      </c>
      <c r="J23" s="28" t="str">
        <f>TEXT(I23,"ddd")</f>
        <v>lun</v>
      </c>
      <c r="K23" s="29">
        <v>0.41666666666666669</v>
      </c>
      <c r="L23" s="19" t="s">
        <v>29</v>
      </c>
      <c r="M23" s="19"/>
      <c r="N23" s="19"/>
      <c r="O23" s="31" t="str">
        <f>IF(COUNTIF(L23:N23,"?*")=$P$6,"✅ CUBIERTO",IF(COUNTIF(L23:N23,"?*")&gt;$P$6,"⚠ EXCESO",
IF(COUNTIF(L23:N23,"?*")&gt;0,"⚠ FALTANTE", "❌ SIN COMPLETAR")))</f>
        <v>✅ CUBIERTO</v>
      </c>
      <c r="Q23" s="27">
        <v>45992</v>
      </c>
      <c r="R23" s="28" t="str">
        <f>TEXT(Q23,"ddd")</f>
        <v>lun</v>
      </c>
      <c r="S23" s="29">
        <v>0.41666666666666669</v>
      </c>
      <c r="T23" s="19" t="s">
        <v>6</v>
      </c>
      <c r="U23" s="19"/>
      <c r="V23" s="19"/>
      <c r="W23" s="30" t="str">
        <f>IF(COUNTIF(T23:V23,"?*")=$P$7,"✅ CUBIERTO",IF(COUNTIF(T23:V23,"?*")&gt;$P$7,"⚠ EXCESO",
IF(COUNTIF(T23:V23,"?*")&gt;0,"⚠ FALTANTE", "❌ SIN COMPLETAR")))</f>
        <v>✅ CUBIERTO</v>
      </c>
    </row>
    <row r="24" spans="1:23" x14ac:dyDescent="0.35">
      <c r="A24" s="27">
        <v>45992</v>
      </c>
      <c r="B24" s="28" t="str">
        <f>TEXT(A24,"ddd")</f>
        <v>lun</v>
      </c>
      <c r="C24" s="29">
        <v>0.45833333333333331</v>
      </c>
      <c r="D24" s="19" t="s">
        <v>30</v>
      </c>
      <c r="E24" s="19" t="s">
        <v>3</v>
      </c>
      <c r="F24" s="19"/>
      <c r="G24" s="30" t="str">
        <f>IF(COUNTIF(D24:F24,"?*")=$P$5,"✅ CUBIERTO",
IF(COUNTIF(D24:F24,"?*")&gt;$P$5,"⚠ EXCESO",IF(COUNTIF(D24:F24,"?*")&gt;0,"⚠ FALTANTE",
"❌ SIN COMPLETAR")))</f>
        <v>✅ CUBIERTO</v>
      </c>
      <c r="I24" s="27">
        <v>45992</v>
      </c>
      <c r="J24" s="28" t="str">
        <f>TEXT(I24,"ddd")</f>
        <v>lun</v>
      </c>
      <c r="K24" s="29">
        <v>0.45833333333333331</v>
      </c>
      <c r="L24" s="19" t="s">
        <v>29</v>
      </c>
      <c r="M24" s="19"/>
      <c r="N24" s="19"/>
      <c r="O24" s="31" t="str">
        <f>IF(COUNTIF(L24:N24,"?*")=$P$6,"✅ CUBIERTO",IF(COUNTIF(L24:N24,"?*")&gt;$P$6,"⚠ EXCESO",
IF(COUNTIF(L24:N24,"?*")&gt;0,"⚠ FALTANTE", "❌ SIN COMPLETAR")))</f>
        <v>✅ CUBIERTO</v>
      </c>
      <c r="Q24" s="27">
        <v>45992</v>
      </c>
      <c r="R24" s="28" t="str">
        <f>TEXT(Q24,"ddd")</f>
        <v>lun</v>
      </c>
      <c r="S24" s="29">
        <v>0.45833333333333331</v>
      </c>
      <c r="T24" s="19" t="s">
        <v>6</v>
      </c>
      <c r="U24" s="19"/>
      <c r="V24" s="19"/>
      <c r="W24" s="30" t="str">
        <f>IF(COUNTIF(T24:V24,"?*")=$P$7,"✅ CUBIERTO",IF(COUNTIF(T24:V24,"?*")&gt;$P$7,"⚠ EXCESO",
IF(COUNTIF(T24:V24,"?*")&gt;0,"⚠ FALTANTE", "❌ SIN COMPLETAR")))</f>
        <v>✅ CUBIERTO</v>
      </c>
    </row>
    <row r="25" spans="1:23" x14ac:dyDescent="0.35">
      <c r="A25" s="27">
        <v>45992</v>
      </c>
      <c r="B25" s="28" t="str">
        <f t="shared" ref="B25:B33" si="9">TEXT(A25,"ddd")</f>
        <v>lun</v>
      </c>
      <c r="C25" s="29">
        <v>0.5</v>
      </c>
      <c r="D25" s="19" t="s">
        <v>30</v>
      </c>
      <c r="E25" s="19" t="s">
        <v>3</v>
      </c>
      <c r="F25" s="19"/>
      <c r="G25" s="30" t="str">
        <f>IF(COUNTIF(D25:F25,"?*")=$P$5,"✅ CUBIERTO",
IF(COUNTIF(D25:F25,"?*")&gt;$P$5,"⚠ EXCESO",IF(COUNTIF(D25:F25,"?*")&gt;0,"⚠ FALTANTE",
"❌ SIN COMPLETAR")))</f>
        <v>✅ CUBIERTO</v>
      </c>
      <c r="I25" s="27">
        <v>45992</v>
      </c>
      <c r="J25" s="28" t="str">
        <f t="shared" ref="J25:J33" si="10">TEXT(I25,"ddd")</f>
        <v>lun</v>
      </c>
      <c r="K25" s="29">
        <v>0.5</v>
      </c>
      <c r="L25" s="19" t="s">
        <v>29</v>
      </c>
      <c r="M25" s="19"/>
      <c r="N25" s="19"/>
      <c r="O25" s="31" t="str">
        <f>IF(COUNTIF(L25:N25,"?*")=$P$6,"✅ CUBIERTO",IF(COUNTIF(L25:N25,"?*")&gt;$P$6,"⚠ EXCESO",
IF(COUNTIF(L25:N25,"?*")&gt;0,"⚠ FALTANTE", "❌ SIN COMPLETAR")))</f>
        <v>✅ CUBIERTO</v>
      </c>
      <c r="Q25" s="27">
        <v>45992</v>
      </c>
      <c r="R25" s="28" t="str">
        <f t="shared" ref="R25:R33" si="11">TEXT(Q25,"ddd")</f>
        <v>lun</v>
      </c>
      <c r="S25" s="29">
        <v>0.5</v>
      </c>
      <c r="T25" s="19" t="s">
        <v>6</v>
      </c>
      <c r="U25" s="19"/>
      <c r="V25" s="19"/>
      <c r="W25" s="30" t="str">
        <f>IF(COUNTIF(T25:V25,"?*")=$P$7,"✅ CUBIERTO",IF(COUNTIF(T25:V25,"?*")&gt;$P$7,"⚠ EXCESO",
IF(COUNTIF(T25:V25,"?*")&gt;0,"⚠ FALTANTE", "❌ SIN COMPLETAR")))</f>
        <v>✅ CUBIERTO</v>
      </c>
    </row>
    <row r="26" spans="1:23" x14ac:dyDescent="0.35">
      <c r="A26" s="27">
        <v>45992</v>
      </c>
      <c r="B26" s="28" t="str">
        <f t="shared" si="9"/>
        <v>lun</v>
      </c>
      <c r="C26" s="29">
        <v>0.54166666666666696</v>
      </c>
      <c r="D26" s="19" t="s">
        <v>30</v>
      </c>
      <c r="E26" s="19" t="s">
        <v>3</v>
      </c>
      <c r="F26" s="19" t="s">
        <v>4</v>
      </c>
      <c r="G26" s="30" t="str">
        <f>IF(COUNTIF(D26:F26,"?*")=$P$5,"✅ CUBIERTO",
IF(COUNTIF(D26:F26,"?*")&gt;$P$5,"⚠ EXCESO",IF(COUNTIF(D26:F26,"?*")&gt;0,"⚠ FALTANTE",
"❌ SIN COMPLETAR")))</f>
        <v>⚠ EXCESO</v>
      </c>
      <c r="I26" s="27">
        <v>45992</v>
      </c>
      <c r="J26" s="28" t="str">
        <f t="shared" si="10"/>
        <v>lun</v>
      </c>
      <c r="K26" s="29">
        <v>0.54166666666666696</v>
      </c>
      <c r="L26" s="19" t="s">
        <v>29</v>
      </c>
      <c r="M26" s="19"/>
      <c r="N26" s="19"/>
      <c r="O26" s="31" t="str">
        <f>IF(COUNTIF(L26:N26,"?*")=$P$6,"✅ CUBIERTO",IF(COUNTIF(L26:N26,"?*")&gt;$P$6,"⚠ EXCESO",
IF(COUNTIF(L26:N26,"?*")&gt;0,"⚠ FALTANTE", "❌ SIN COMPLETAR")))</f>
        <v>✅ CUBIERTO</v>
      </c>
      <c r="Q26" s="27">
        <v>45992</v>
      </c>
      <c r="R26" s="28" t="str">
        <f t="shared" si="11"/>
        <v>lun</v>
      </c>
      <c r="S26" s="29">
        <v>0.54166666666666696</v>
      </c>
      <c r="T26" s="19" t="s">
        <v>6</v>
      </c>
      <c r="U26" s="19"/>
      <c r="V26" s="19"/>
      <c r="W26" s="30" t="str">
        <f>IF(COUNTIF(T26:V26,"?*")=$P$7,"✅ CUBIERTO",IF(COUNTIF(T26:V26,"?*")&gt;$P$7,"⚠ EXCESO",
IF(COUNTIF(T26:V26,"?*")&gt;0,"⚠ FALTANTE", "❌ SIN COMPLETAR")))</f>
        <v>✅ CUBIERTO</v>
      </c>
    </row>
    <row r="27" spans="1:23" x14ac:dyDescent="0.35">
      <c r="A27" s="27">
        <v>45992</v>
      </c>
      <c r="B27" s="28" t="str">
        <f t="shared" si="9"/>
        <v>lun</v>
      </c>
      <c r="C27" s="29">
        <v>0.58333333333333304</v>
      </c>
      <c r="D27" s="19" t="s">
        <v>30</v>
      </c>
      <c r="E27" s="19" t="s">
        <v>3</v>
      </c>
      <c r="F27" s="19" t="s">
        <v>5</v>
      </c>
      <c r="G27" s="30" t="str">
        <f>IF(COUNTIF(D27:F27,"?*")=$P$5,"✅ CUBIERTO",
IF(COUNTIF(D27:F27,"?*")&gt;$P$5,"⚠ EXCESO",IF(COUNTIF(D27:F27,"?*")&gt;0,"⚠ FALTANTE",
"❌ SIN COMPLETAR")))</f>
        <v>⚠ EXCESO</v>
      </c>
      <c r="I27" s="27">
        <v>45992</v>
      </c>
      <c r="J27" s="28" t="str">
        <f t="shared" si="10"/>
        <v>lun</v>
      </c>
      <c r="K27" s="29">
        <v>0.58333333333333304</v>
      </c>
      <c r="L27" s="19" t="s">
        <v>29</v>
      </c>
      <c r="M27" s="19"/>
      <c r="N27" s="19"/>
      <c r="O27" s="31" t="str">
        <f>IF(COUNTIF(L27:N27,"?*")=$P$6,"✅ CUBIERTO",IF(COUNTIF(L27:N27,"?*")&gt;$P$6,"⚠ EXCESO",
IF(COUNTIF(L27:N27,"?*")&gt;0,"⚠ FALTANTE", "❌ SIN COMPLETAR")))</f>
        <v>✅ CUBIERTO</v>
      </c>
      <c r="Q27" s="27">
        <v>45992</v>
      </c>
      <c r="R27" s="28" t="str">
        <f t="shared" si="11"/>
        <v>lun</v>
      </c>
      <c r="S27" s="29">
        <v>0.58333333333333304</v>
      </c>
      <c r="T27" s="19" t="s">
        <v>6</v>
      </c>
      <c r="U27" s="19"/>
      <c r="V27" s="19"/>
      <c r="W27" s="30" t="str">
        <f>IF(COUNTIF(T27:V27,"?*")=$P$7,"✅ CUBIERTO",IF(COUNTIF(T27:V27,"?*")&gt;$P$7,"⚠ EXCESO",
IF(COUNTIF(T27:V27,"?*")&gt;0,"⚠ FALTANTE", "❌ SIN COMPLETAR")))</f>
        <v>✅ CUBIERTO</v>
      </c>
    </row>
    <row r="28" spans="1:23" x14ac:dyDescent="0.35">
      <c r="A28" s="27">
        <v>45992</v>
      </c>
      <c r="B28" s="28" t="str">
        <f t="shared" si="9"/>
        <v>lun</v>
      </c>
      <c r="C28" s="29">
        <v>0.625</v>
      </c>
      <c r="D28" s="19" t="s">
        <v>4</v>
      </c>
      <c r="E28" s="19" t="s">
        <v>3</v>
      </c>
      <c r="F28" s="19" t="s">
        <v>27</v>
      </c>
      <c r="G28" s="30" t="str">
        <f>IF(COUNTIF(D28:F28,"?*")=$P$5,"✅ CUBIERTO",
IF(COUNTIF(D28:F28,"?*")&gt;$P$5,"⚠ EXCESO",IF(COUNTIF(D28:F28,"?*")&gt;0,"⚠ FALTANTE",
"❌ SIN COMPLETAR")))</f>
        <v>⚠ EXCESO</v>
      </c>
      <c r="I28" s="27">
        <v>45992</v>
      </c>
      <c r="J28" s="28" t="str">
        <f t="shared" si="10"/>
        <v>lun</v>
      </c>
      <c r="K28" s="29">
        <v>0.625</v>
      </c>
      <c r="L28" s="19" t="s">
        <v>29</v>
      </c>
      <c r="M28" s="19"/>
      <c r="N28" s="19"/>
      <c r="O28" s="31" t="str">
        <f>IF(COUNTIF(L28:N28,"?*")=$P$6,"✅ CUBIERTO",IF(COUNTIF(L28:N28,"?*")&gt;$P$6,"⚠ EXCESO",
IF(COUNTIF(L28:N28,"?*")&gt;0,"⚠ FALTANTE", "❌ SIN COMPLETAR")))</f>
        <v>✅ CUBIERTO</v>
      </c>
      <c r="Q28" s="27">
        <v>45992</v>
      </c>
      <c r="R28" s="28" t="str">
        <f t="shared" si="11"/>
        <v>lun</v>
      </c>
      <c r="S28" s="29">
        <v>0.625</v>
      </c>
      <c r="T28" s="19" t="s">
        <v>28</v>
      </c>
      <c r="U28" s="19"/>
      <c r="V28" s="19"/>
      <c r="W28" s="30" t="str">
        <f>IF(COUNTIF(T28:V28,"?*")=$P$7,"✅ CUBIERTO",IF(COUNTIF(T28:V28,"?*")&gt;$P$7,"⚠ EXCESO",
IF(COUNTIF(T28:V28,"?*")&gt;0,"⚠ FALTANTE", "❌ SIN COMPLETAR")))</f>
        <v>✅ CUBIERTO</v>
      </c>
    </row>
    <row r="29" spans="1:23" x14ac:dyDescent="0.35">
      <c r="A29" s="27">
        <v>45992</v>
      </c>
      <c r="B29" s="28" t="str">
        <f t="shared" si="9"/>
        <v>lun</v>
      </c>
      <c r="C29" s="29">
        <v>0.66666666666666696</v>
      </c>
      <c r="D29" s="19" t="s">
        <v>4</v>
      </c>
      <c r="E29" s="19" t="s">
        <v>31</v>
      </c>
      <c r="F29" s="19"/>
      <c r="G29" s="30" t="str">
        <f>IF(COUNTIF(D29:F29,"?*")=$P$5,"✅ CUBIERTO",
IF(COUNTIF(D29:F29,"?*")&gt;$P$5,"⚠ EXCESO",IF(COUNTIF(D29:F29,"?*")&gt;0,"⚠ FALTANTE",
"❌ SIN COMPLETAR")))</f>
        <v>✅ CUBIERTO</v>
      </c>
      <c r="I29" s="27">
        <v>45992</v>
      </c>
      <c r="J29" s="28" t="str">
        <f t="shared" si="10"/>
        <v>lun</v>
      </c>
      <c r="K29" s="29">
        <v>0.66666666666666696</v>
      </c>
      <c r="L29" s="19" t="s">
        <v>29</v>
      </c>
      <c r="M29" s="19"/>
      <c r="N29" s="19"/>
      <c r="O29" s="31" t="str">
        <f>IF(COUNTIF(L29:N29,"?*")=$P$6,"✅ CUBIERTO",IF(COUNTIF(L29:N29,"?*")&gt;$P$6,"⚠ EXCESO",
IF(COUNTIF(L29:N29,"?*")&gt;0,"⚠ FALTANTE", "❌ SIN COMPLETAR")))</f>
        <v>✅ CUBIERTO</v>
      </c>
      <c r="Q29" s="27">
        <v>45992</v>
      </c>
      <c r="R29" s="28" t="str">
        <f t="shared" si="11"/>
        <v>lun</v>
      </c>
      <c r="S29" s="29">
        <v>0.66666666666666696</v>
      </c>
      <c r="T29" s="19" t="s">
        <v>28</v>
      </c>
      <c r="U29" s="19"/>
      <c r="V29" s="19"/>
      <c r="W29" s="30" t="str">
        <f>IF(COUNTIF(T29:V29,"?*")=$P$7,"✅ CUBIERTO",IF(COUNTIF(T29:V29,"?*")&gt;$P$7,"⚠ EXCESO",
IF(COUNTIF(T29:V29,"?*")&gt;0,"⚠ FALTANTE", "❌ SIN COMPLETAR")))</f>
        <v>✅ CUBIERTO</v>
      </c>
    </row>
    <row r="30" spans="1:23" x14ac:dyDescent="0.35">
      <c r="A30" s="27">
        <v>45992</v>
      </c>
      <c r="B30" s="28" t="str">
        <f t="shared" si="9"/>
        <v>lun</v>
      </c>
      <c r="C30" s="29">
        <v>0.70833333333333304</v>
      </c>
      <c r="D30" s="19" t="s">
        <v>4</v>
      </c>
      <c r="E30" s="19" t="s">
        <v>31</v>
      </c>
      <c r="F30" s="19"/>
      <c r="G30" s="30" t="str">
        <f>IF(COUNTIF(D30:F30,"?*")=$P$5,"✅ CUBIERTO",
IF(COUNTIF(D30:F30,"?*")&gt;$P$5,"⚠ EXCESO",IF(COUNTIF(D30:F30,"?*")&gt;0,"⚠ FALTANTE",
"❌ SIN COMPLETAR")))</f>
        <v>✅ CUBIERTO</v>
      </c>
      <c r="I30" s="27">
        <v>45992</v>
      </c>
      <c r="J30" s="28" t="str">
        <f t="shared" si="10"/>
        <v>lun</v>
      </c>
      <c r="K30" s="29">
        <v>0.70833333333333304</v>
      </c>
      <c r="L30" s="19" t="s">
        <v>29</v>
      </c>
      <c r="M30" s="19"/>
      <c r="N30" s="19"/>
      <c r="O30" s="31" t="str">
        <f>IF(COUNTIF(L30:N30,"?*")=$P$6,"✅ CUBIERTO",IF(COUNTIF(L30:N30,"?*")&gt;$P$6,"⚠ EXCESO",
IF(COUNTIF(L30:N30,"?*")&gt;0,"⚠ FALTANTE", "❌ SIN COMPLETAR")))</f>
        <v>✅ CUBIERTO</v>
      </c>
      <c r="Q30" s="27">
        <v>45992</v>
      </c>
      <c r="R30" s="28" t="str">
        <f t="shared" si="11"/>
        <v>lun</v>
      </c>
      <c r="S30" s="29">
        <v>0.70833333333333304</v>
      </c>
      <c r="T30" s="19" t="s">
        <v>28</v>
      </c>
      <c r="U30" s="19"/>
      <c r="V30" s="19"/>
      <c r="W30" s="30" t="str">
        <f>IF(COUNTIF(T30:V30,"?*")=$P$7,"✅ CUBIERTO",IF(COUNTIF(T30:V30,"?*")&gt;$P$7,"⚠ EXCESO",
IF(COUNTIF(T30:V30,"?*")&gt;0,"⚠ FALTANTE", "❌ SIN COMPLETAR")))</f>
        <v>✅ CUBIERTO</v>
      </c>
    </row>
    <row r="31" spans="1:23" x14ac:dyDescent="0.35">
      <c r="A31" s="27">
        <v>45992</v>
      </c>
      <c r="B31" s="28" t="str">
        <f t="shared" si="9"/>
        <v>lun</v>
      </c>
      <c r="C31" s="29">
        <v>0.75</v>
      </c>
      <c r="D31" s="19" t="s">
        <v>4</v>
      </c>
      <c r="E31" s="19" t="s">
        <v>31</v>
      </c>
      <c r="F31" s="19"/>
      <c r="G31" s="30" t="str">
        <f>IF(COUNTIF(D31:F31,"?*")=$P$5,"✅ CUBIERTO",
IF(COUNTIF(D31:F31,"?*")&gt;$P$5,"⚠ EXCESO",IF(COUNTIF(D31:F31,"?*")&gt;0,"⚠ FALTANTE",
"❌ SIN COMPLETAR")))</f>
        <v>✅ CUBIERTO</v>
      </c>
      <c r="I31" s="27">
        <v>45992</v>
      </c>
      <c r="J31" s="28" t="str">
        <f t="shared" si="10"/>
        <v>lun</v>
      </c>
      <c r="K31" s="29">
        <v>0.75</v>
      </c>
      <c r="L31" s="25"/>
      <c r="M31" s="25"/>
      <c r="N31" s="25"/>
      <c r="O31" s="31" t="s">
        <v>32</v>
      </c>
      <c r="Q31" s="27">
        <v>45992</v>
      </c>
      <c r="R31" s="28" t="str">
        <f t="shared" si="11"/>
        <v>lun</v>
      </c>
      <c r="S31" s="29">
        <v>0.75</v>
      </c>
      <c r="T31" s="19" t="s">
        <v>28</v>
      </c>
      <c r="U31" s="19"/>
      <c r="V31" s="19"/>
      <c r="W31" s="30" t="str">
        <f>IF(COUNTIF(T31:V31,"?*")=$P$7,"✅ CUBIERTO",IF(COUNTIF(T31:V31,"?*")&gt;$P$7,"⚠ EXCESO",
IF(COUNTIF(T31:V31,"?*")&gt;0,"⚠ FALTANTE", "❌ SIN COMPLETAR")))</f>
        <v>✅ CUBIERTO</v>
      </c>
    </row>
    <row r="32" spans="1:23" x14ac:dyDescent="0.35">
      <c r="A32" s="27">
        <v>45992</v>
      </c>
      <c r="B32" s="28" t="str">
        <f t="shared" si="9"/>
        <v>lun</v>
      </c>
      <c r="C32" s="29">
        <v>0.79166666666666696</v>
      </c>
      <c r="D32" s="19" t="s">
        <v>4</v>
      </c>
      <c r="E32" s="19" t="s">
        <v>31</v>
      </c>
      <c r="F32" s="19"/>
      <c r="G32" s="30" t="str">
        <f>IF(COUNTIF(D32:F32,"?*")=$P$5,"✅ CUBIERTO",
IF(COUNTIF(D32:F32,"?*")&gt;$P$5,"⚠ EXCESO",IF(COUNTIF(D32:F32,"?*")&gt;0,"⚠ FALTANTE",
"❌ SIN COMPLETAR")))</f>
        <v>✅ CUBIERTO</v>
      </c>
      <c r="I32" s="27">
        <v>45992</v>
      </c>
      <c r="J32" s="28" t="str">
        <f t="shared" si="10"/>
        <v>lun</v>
      </c>
      <c r="K32" s="29">
        <v>0.79166666666666696</v>
      </c>
      <c r="L32" s="25"/>
      <c r="M32" s="25"/>
      <c r="N32" s="25"/>
      <c r="O32" s="31" t="s">
        <v>32</v>
      </c>
      <c r="Q32" s="27">
        <v>45992</v>
      </c>
      <c r="R32" s="28" t="str">
        <f t="shared" si="11"/>
        <v>lun</v>
      </c>
      <c r="S32" s="29">
        <v>0.79166666666666696</v>
      </c>
      <c r="T32" s="19" t="s">
        <v>28</v>
      </c>
      <c r="U32" s="19"/>
      <c r="V32" s="19"/>
      <c r="W32" s="30" t="str">
        <f>IF(COUNTIF(T32:V32,"?*")=$P$7,"✅ CUBIERTO",IF(COUNTIF(T32:V32,"?*")&gt;$P$7,"⚠ EXCESO",
IF(COUNTIF(T32:V32,"?*")&gt;0,"⚠ FALTANTE", "❌ SIN COMPLETAR")))</f>
        <v>✅ CUBIERTO</v>
      </c>
    </row>
    <row r="33" spans="1:23" x14ac:dyDescent="0.35">
      <c r="A33" s="27">
        <v>45992</v>
      </c>
      <c r="B33" s="28" t="str">
        <f t="shared" si="9"/>
        <v>lun</v>
      </c>
      <c r="C33" s="29">
        <v>0.83333333333333337</v>
      </c>
      <c r="D33" s="25"/>
      <c r="E33" s="25"/>
      <c r="F33" s="25"/>
      <c r="G33" s="30" t="s">
        <v>32</v>
      </c>
      <c r="I33" s="27">
        <v>45992</v>
      </c>
      <c r="J33" s="28" t="str">
        <f t="shared" si="10"/>
        <v>lun</v>
      </c>
      <c r="K33" s="29">
        <v>0.83333333333333337</v>
      </c>
      <c r="L33" s="25"/>
      <c r="M33" s="25"/>
      <c r="N33" s="25"/>
      <c r="O33" s="31" t="s">
        <v>32</v>
      </c>
      <c r="Q33" s="27">
        <v>45992</v>
      </c>
      <c r="R33" s="28" t="str">
        <f t="shared" si="11"/>
        <v>lun</v>
      </c>
      <c r="S33" s="29">
        <v>0.83333333333333337</v>
      </c>
      <c r="T33" s="19" t="s">
        <v>28</v>
      </c>
      <c r="U33" s="19"/>
      <c r="V33" s="19"/>
      <c r="W33" s="30" t="str">
        <f>IF(COUNTIF(T33:V33,"?*")=$P$7,"✅ CUBIERTO",IF(COUNTIF(T33:V33,"?*")&gt;$P$7,"⚠ EXCESO",
IF(COUNTIF(T33:V33,"?*")&gt;0,"⚠ FALTANTE", "❌ SIN COMPLETAR")))</f>
        <v>✅ CUBIERTO</v>
      </c>
    </row>
    <row r="34" spans="1:23" x14ac:dyDescent="0.35">
      <c r="A34" s="27">
        <v>45993</v>
      </c>
      <c r="B34" s="28" t="str">
        <f>TEXT(A34,"ddd")</f>
        <v>mar</v>
      </c>
      <c r="C34" s="29">
        <v>0.375</v>
      </c>
      <c r="D34" s="25"/>
      <c r="E34" s="25"/>
      <c r="F34" s="25"/>
      <c r="G34" s="30" t="s">
        <v>32</v>
      </c>
      <c r="I34" s="27">
        <v>45993</v>
      </c>
      <c r="J34" s="28" t="str">
        <f>TEXT(I34,"ddd")</f>
        <v>mar</v>
      </c>
      <c r="K34" s="29">
        <v>0.375</v>
      </c>
      <c r="L34" s="19"/>
      <c r="M34" s="19"/>
      <c r="N34" s="19"/>
      <c r="O34" s="31" t="str">
        <f>IF(COUNTIF(L34:N34,"?*")=$P$6,"✅ CUBIERTO",IF(COUNTIF(L34:N34,"?*")&gt;$P$6,"⚠ EXCESO",
IF(COUNTIF(L34:N34,"?*")&gt;0,"⚠ FALTANTE", "❌ SIN COMPLETAR")))</f>
        <v>❌ SIN COMPLETAR</v>
      </c>
      <c r="Q34" s="27">
        <v>45993</v>
      </c>
      <c r="R34" s="28" t="str">
        <f>TEXT(Q34,"ddd")</f>
        <v>mar</v>
      </c>
      <c r="S34" s="29">
        <v>0.375</v>
      </c>
      <c r="T34" s="25"/>
      <c r="U34" s="25"/>
      <c r="V34" s="25"/>
      <c r="W34" s="30" t="s">
        <v>32</v>
      </c>
    </row>
    <row r="35" spans="1:23" x14ac:dyDescent="0.35">
      <c r="A35" s="27">
        <v>45993</v>
      </c>
      <c r="B35" s="28" t="str">
        <f>TEXT(A35,"ddd")</f>
        <v>mar</v>
      </c>
      <c r="C35" s="29">
        <v>0.41666666666666669</v>
      </c>
      <c r="D35" s="25"/>
      <c r="E35" s="25"/>
      <c r="F35" s="25"/>
      <c r="G35" s="30" t="s">
        <v>32</v>
      </c>
      <c r="I35" s="27">
        <v>45993</v>
      </c>
      <c r="J35" s="28" t="str">
        <f>TEXT(I35,"ddd")</f>
        <v>mar</v>
      </c>
      <c r="K35" s="29">
        <v>0.41666666666666669</v>
      </c>
      <c r="L35" s="19"/>
      <c r="M35" s="19"/>
      <c r="N35" s="19"/>
      <c r="O35" s="31" t="str">
        <f>IF(COUNTIF(L35:N35,"?*")=$P$6,"✅ CUBIERTO",IF(COUNTIF(L35:N35,"?*")&gt;$P$6,"⚠ EXCESO",
IF(COUNTIF(L35:N35,"?*")&gt;0,"⚠ FALTANTE", "❌ SIN COMPLETAR")))</f>
        <v>❌ SIN COMPLETAR</v>
      </c>
      <c r="Q35" s="27">
        <v>45993</v>
      </c>
      <c r="R35" s="28" t="str">
        <f>TEXT(Q35,"ddd")</f>
        <v>mar</v>
      </c>
      <c r="S35" s="29">
        <v>0.41666666666666669</v>
      </c>
      <c r="T35" s="19" t="s">
        <v>6</v>
      </c>
      <c r="U35" s="19"/>
      <c r="V35" s="19"/>
      <c r="W35" s="30" t="str">
        <f>IF(COUNTIF(T35:V35,"?*")=$P$7,"✅ CUBIERTO",IF(COUNTIF(T35:V35,"?*")&gt;$P$7,"⚠ EXCESO",
IF(COUNTIF(T35:V35,"?*")&gt;0,"⚠ FALTANTE", "❌ SIN COMPLETAR")))</f>
        <v>✅ CUBIERTO</v>
      </c>
    </row>
    <row r="36" spans="1:23" x14ac:dyDescent="0.35">
      <c r="A36" s="27">
        <v>45993</v>
      </c>
      <c r="B36" s="28" t="str">
        <f>TEXT(A36,"ddd")</f>
        <v>mar</v>
      </c>
      <c r="C36" s="29">
        <v>0.45833333333333331</v>
      </c>
      <c r="D36" s="19" t="s">
        <v>30</v>
      </c>
      <c r="E36" s="19" t="s">
        <v>3</v>
      </c>
      <c r="F36" s="19"/>
      <c r="G36" s="30" t="str">
        <f>IF(COUNTIF(D36:F36,"?*")=$P$5,"✅ CUBIERTO",
IF(COUNTIF(D36:F36,"?*")&gt;$P$5,"⚠ EXCESO",IF(COUNTIF(D36:F36,"?*")&gt;0,"⚠ FALTANTE",
"❌ SIN COMPLETAR")))</f>
        <v>✅ CUBIERTO</v>
      </c>
      <c r="I36" s="27">
        <v>45993</v>
      </c>
      <c r="J36" s="28" t="str">
        <f>TEXT(I36,"ddd")</f>
        <v>mar</v>
      </c>
      <c r="K36" s="29">
        <v>0.45833333333333331</v>
      </c>
      <c r="L36" s="19"/>
      <c r="M36" s="19"/>
      <c r="N36" s="19"/>
      <c r="O36" s="31" t="str">
        <f>IF(COUNTIF(L36:N36,"?*")=$P$6,"✅ CUBIERTO",IF(COUNTIF(L36:N36,"?*")&gt;$P$6,"⚠ EXCESO",
IF(COUNTIF(L36:N36,"?*")&gt;0,"⚠ FALTANTE", "❌ SIN COMPLETAR")))</f>
        <v>❌ SIN COMPLETAR</v>
      </c>
      <c r="Q36" s="27">
        <v>45993</v>
      </c>
      <c r="R36" s="28" t="str">
        <f>TEXT(Q36,"ddd")</f>
        <v>mar</v>
      </c>
      <c r="S36" s="29">
        <v>0.45833333333333331</v>
      </c>
      <c r="T36" s="19" t="s">
        <v>6</v>
      </c>
      <c r="U36" s="19"/>
      <c r="V36" s="19"/>
      <c r="W36" s="30" t="str">
        <f>IF(COUNTIF(T36:V36,"?*")=$P$7,"✅ CUBIERTO",IF(COUNTIF(T36:V36,"?*")&gt;$P$7,"⚠ EXCESO",
IF(COUNTIF(T36:V36,"?*")&gt;0,"⚠ FALTANTE", "❌ SIN COMPLETAR")))</f>
        <v>✅ CUBIERTO</v>
      </c>
    </row>
    <row r="37" spans="1:23" x14ac:dyDescent="0.35">
      <c r="A37" s="27">
        <v>45993</v>
      </c>
      <c r="B37" s="28" t="str">
        <f t="shared" ref="B37:B45" si="12">TEXT(A37,"ddd")</f>
        <v>mar</v>
      </c>
      <c r="C37" s="29">
        <v>0.5</v>
      </c>
      <c r="D37" s="19" t="s">
        <v>30</v>
      </c>
      <c r="E37" s="19" t="s">
        <v>3</v>
      </c>
      <c r="F37" s="19"/>
      <c r="G37" s="30" t="str">
        <f>IF(COUNTIF(D37:F37,"?*")=$P$5,"✅ CUBIERTO",
IF(COUNTIF(D37:F37,"?*")&gt;$P$5,"⚠ EXCESO",IF(COUNTIF(D37:F37,"?*")&gt;0,"⚠ FALTANTE",
"❌ SIN COMPLETAR")))</f>
        <v>✅ CUBIERTO</v>
      </c>
      <c r="I37" s="27">
        <v>45993</v>
      </c>
      <c r="J37" s="28" t="str">
        <f t="shared" ref="J37:J45" si="13">TEXT(I37,"ddd")</f>
        <v>mar</v>
      </c>
      <c r="K37" s="29">
        <v>0.5</v>
      </c>
      <c r="L37" s="19"/>
      <c r="M37" s="19"/>
      <c r="N37" s="19"/>
      <c r="O37" s="31" t="str">
        <f>IF(COUNTIF(L37:N37,"?*")=$P$6,"✅ CUBIERTO",IF(COUNTIF(L37:N37,"?*")&gt;$P$6,"⚠ EXCESO",
IF(COUNTIF(L37:N37,"?*")&gt;0,"⚠ FALTANTE", "❌ SIN COMPLETAR")))</f>
        <v>❌ SIN COMPLETAR</v>
      </c>
      <c r="Q37" s="27">
        <v>45993</v>
      </c>
      <c r="R37" s="28" t="str">
        <f t="shared" ref="R37:R45" si="14">TEXT(Q37,"ddd")</f>
        <v>mar</v>
      </c>
      <c r="S37" s="29">
        <v>0.5</v>
      </c>
      <c r="T37" s="19" t="s">
        <v>6</v>
      </c>
      <c r="U37" s="19"/>
      <c r="V37" s="19"/>
      <c r="W37" s="30" t="str">
        <f>IF(COUNTIF(T37:V37,"?*")=$P$7,"✅ CUBIERTO",IF(COUNTIF(T37:V37,"?*")&gt;$P$7,"⚠ EXCESO",
IF(COUNTIF(T37:V37,"?*")&gt;0,"⚠ FALTANTE", "❌ SIN COMPLETAR")))</f>
        <v>✅ CUBIERTO</v>
      </c>
    </row>
    <row r="38" spans="1:23" x14ac:dyDescent="0.35">
      <c r="A38" s="27">
        <v>45993</v>
      </c>
      <c r="B38" s="28" t="str">
        <f t="shared" si="12"/>
        <v>mar</v>
      </c>
      <c r="C38" s="29">
        <v>0.54166666666666696</v>
      </c>
      <c r="D38" s="19" t="s">
        <v>30</v>
      </c>
      <c r="E38" s="19" t="s">
        <v>3</v>
      </c>
      <c r="F38" s="19"/>
      <c r="G38" s="30" t="str">
        <f>IF(COUNTIF(D38:F38,"?*")=$P$5,"✅ CUBIERTO",
IF(COUNTIF(D38:F38,"?*")&gt;$P$5,"⚠ EXCESO",IF(COUNTIF(D38:F38,"?*")&gt;0,"⚠ FALTANTE",
"❌ SIN COMPLETAR")))</f>
        <v>✅ CUBIERTO</v>
      </c>
      <c r="I38" s="27">
        <v>45993</v>
      </c>
      <c r="J38" s="28" t="str">
        <f t="shared" si="13"/>
        <v>mar</v>
      </c>
      <c r="K38" s="29">
        <v>0.54166666666666696</v>
      </c>
      <c r="L38" s="19"/>
      <c r="M38" s="19"/>
      <c r="N38" s="19"/>
      <c r="O38" s="31" t="str">
        <f>IF(COUNTIF(L38:N38,"?*")=$P$6,"✅ CUBIERTO",IF(COUNTIF(L38:N38,"?*")&gt;$P$6,"⚠ EXCESO",
IF(COUNTIF(L38:N38,"?*")&gt;0,"⚠ FALTANTE", "❌ SIN COMPLETAR")))</f>
        <v>❌ SIN COMPLETAR</v>
      </c>
      <c r="Q38" s="27">
        <v>45993</v>
      </c>
      <c r="R38" s="28" t="str">
        <f t="shared" si="14"/>
        <v>mar</v>
      </c>
      <c r="S38" s="29">
        <v>0.54166666666666696</v>
      </c>
      <c r="T38" s="19" t="s">
        <v>6</v>
      </c>
      <c r="U38" s="19"/>
      <c r="V38" s="19"/>
      <c r="W38" s="30" t="str">
        <f>IF(COUNTIF(T38:V38,"?*")=$P$7,"✅ CUBIERTO",IF(COUNTIF(T38:V38,"?*")&gt;$P$7,"⚠ EXCESO",
IF(COUNTIF(T38:V38,"?*")&gt;0,"⚠ FALTANTE", "❌ SIN COMPLETAR")))</f>
        <v>✅ CUBIERTO</v>
      </c>
    </row>
    <row r="39" spans="1:23" x14ac:dyDescent="0.35">
      <c r="A39" s="27">
        <v>45993</v>
      </c>
      <c r="B39" s="28" t="str">
        <f t="shared" si="12"/>
        <v>mar</v>
      </c>
      <c r="C39" s="29">
        <v>0.58333333333333304</v>
      </c>
      <c r="D39" s="19" t="s">
        <v>30</v>
      </c>
      <c r="E39" s="19" t="s">
        <v>3</v>
      </c>
      <c r="F39" s="19"/>
      <c r="G39" s="30" t="str">
        <f>IF(COUNTIF(D39:F39,"?*")=$P$5,"✅ CUBIERTO",
IF(COUNTIF(D39:F39,"?*")&gt;$P$5,"⚠ EXCESO",IF(COUNTIF(D39:F39,"?*")&gt;0,"⚠ FALTANTE",
"❌ SIN COMPLETAR")))</f>
        <v>✅ CUBIERTO</v>
      </c>
      <c r="I39" s="27">
        <v>45993</v>
      </c>
      <c r="J39" s="28" t="str">
        <f t="shared" si="13"/>
        <v>mar</v>
      </c>
      <c r="K39" s="29">
        <v>0.58333333333333304</v>
      </c>
      <c r="L39" s="19"/>
      <c r="M39" s="19"/>
      <c r="N39" s="19"/>
      <c r="O39" s="31" t="str">
        <f>IF(COUNTIF(L39:N39,"?*")=$P$6,"✅ CUBIERTO",IF(COUNTIF(L39:N39,"?*")&gt;$P$6,"⚠ EXCESO",
IF(COUNTIF(L39:N39,"?*")&gt;0,"⚠ FALTANTE", "❌ SIN COMPLETAR")))</f>
        <v>❌ SIN COMPLETAR</v>
      </c>
      <c r="Q39" s="27">
        <v>45993</v>
      </c>
      <c r="R39" s="28" t="str">
        <f t="shared" si="14"/>
        <v>mar</v>
      </c>
      <c r="S39" s="29">
        <v>0.58333333333333304</v>
      </c>
      <c r="T39" s="19" t="s">
        <v>6</v>
      </c>
      <c r="U39" s="19"/>
      <c r="V39" s="19"/>
      <c r="W39" s="30" t="str">
        <f>IF(COUNTIF(T39:V39,"?*")=$P$7,"✅ CUBIERTO",IF(COUNTIF(T39:V39,"?*")&gt;$P$7,"⚠ EXCESO",
IF(COUNTIF(T39:V39,"?*")&gt;0,"⚠ FALTANTE", "❌ SIN COMPLETAR")))</f>
        <v>✅ CUBIERTO</v>
      </c>
    </row>
    <row r="40" spans="1:23" x14ac:dyDescent="0.35">
      <c r="A40" s="27">
        <v>45993</v>
      </c>
      <c r="B40" s="28" t="str">
        <f t="shared" si="12"/>
        <v>mar</v>
      </c>
      <c r="C40" s="29">
        <v>0.625</v>
      </c>
      <c r="D40" s="19" t="s">
        <v>4</v>
      </c>
      <c r="E40" s="19" t="s">
        <v>3</v>
      </c>
      <c r="F40" s="19"/>
      <c r="G40" s="30" t="str">
        <f>IF(COUNTIF(D40:F40,"?*")=$P$5,"✅ CUBIERTO",
IF(COUNTIF(D40:F40,"?*")&gt;$P$5,"⚠ EXCESO",IF(COUNTIF(D40:F40,"?*")&gt;0,"⚠ FALTANTE",
"❌ SIN COMPLETAR")))</f>
        <v>✅ CUBIERTO</v>
      </c>
      <c r="I40" s="27">
        <v>45993</v>
      </c>
      <c r="J40" s="28" t="str">
        <f t="shared" si="13"/>
        <v>mar</v>
      </c>
      <c r="K40" s="29">
        <v>0.625</v>
      </c>
      <c r="L40" s="19"/>
      <c r="M40" s="19"/>
      <c r="N40" s="19"/>
      <c r="O40" s="31" t="str">
        <f>IF(COUNTIF(L40:N40,"?*")=$P$6,"✅ CUBIERTO",IF(COUNTIF(L40:N40,"?*")&gt;$P$6,"⚠ EXCESO",
IF(COUNTIF(L40:N40,"?*")&gt;0,"⚠ FALTANTE", "❌ SIN COMPLETAR")))</f>
        <v>❌ SIN COMPLETAR</v>
      </c>
      <c r="Q40" s="27">
        <v>45993</v>
      </c>
      <c r="R40" s="28" t="str">
        <f t="shared" si="14"/>
        <v>mar</v>
      </c>
      <c r="S40" s="29">
        <v>0.625</v>
      </c>
      <c r="T40" s="19" t="s">
        <v>28</v>
      </c>
      <c r="U40" s="19"/>
      <c r="V40" s="19"/>
      <c r="W40" s="30" t="str">
        <f>IF(COUNTIF(T40:V40,"?*")=$P$7,"✅ CUBIERTO",IF(COUNTIF(T40:V40,"?*")&gt;$P$7,"⚠ EXCESO",
IF(COUNTIF(T40:V40,"?*")&gt;0,"⚠ FALTANTE", "❌ SIN COMPLETAR")))</f>
        <v>✅ CUBIERTO</v>
      </c>
    </row>
    <row r="41" spans="1:23" x14ac:dyDescent="0.35">
      <c r="A41" s="27">
        <v>45993</v>
      </c>
      <c r="B41" s="28" t="str">
        <f t="shared" si="12"/>
        <v>mar</v>
      </c>
      <c r="C41" s="29">
        <v>0.66666666666666696</v>
      </c>
      <c r="D41" s="19" t="s">
        <v>4</v>
      </c>
      <c r="E41" s="19" t="s">
        <v>31</v>
      </c>
      <c r="F41" s="19"/>
      <c r="G41" s="30" t="str">
        <f>IF(COUNTIF(D41:F41,"?*")=$P$5,"✅ CUBIERTO",
IF(COUNTIF(D41:F41,"?*")&gt;$P$5,"⚠ EXCESO",IF(COUNTIF(D41:F41,"?*")&gt;0,"⚠ FALTANTE",
"❌ SIN COMPLETAR")))</f>
        <v>✅ CUBIERTO</v>
      </c>
      <c r="I41" s="27">
        <v>45993</v>
      </c>
      <c r="J41" s="28" t="str">
        <f t="shared" si="13"/>
        <v>mar</v>
      </c>
      <c r="K41" s="29">
        <v>0.66666666666666696</v>
      </c>
      <c r="L41" s="19"/>
      <c r="M41" s="19"/>
      <c r="N41" s="19"/>
      <c r="O41" s="31" t="str">
        <f>IF(COUNTIF(L41:N41,"?*")=$P$6,"✅ CUBIERTO",IF(COUNTIF(L41:N41,"?*")&gt;$P$6,"⚠ EXCESO",
IF(COUNTIF(L41:N41,"?*")&gt;0,"⚠ FALTANTE", "❌ SIN COMPLETAR")))</f>
        <v>❌ SIN COMPLETAR</v>
      </c>
      <c r="Q41" s="27">
        <v>45993</v>
      </c>
      <c r="R41" s="28" t="str">
        <f t="shared" si="14"/>
        <v>mar</v>
      </c>
      <c r="S41" s="29">
        <v>0.66666666666666696</v>
      </c>
      <c r="T41" s="19" t="s">
        <v>28</v>
      </c>
      <c r="U41" s="19"/>
      <c r="V41" s="19"/>
      <c r="W41" s="30" t="str">
        <f>IF(COUNTIF(T41:V41,"?*")=$P$7,"✅ CUBIERTO",IF(COUNTIF(T41:V41,"?*")&gt;$P$7,"⚠ EXCESO",
IF(COUNTIF(T41:V41,"?*")&gt;0,"⚠ FALTANTE", "❌ SIN COMPLETAR")))</f>
        <v>✅ CUBIERTO</v>
      </c>
    </row>
    <row r="42" spans="1:23" x14ac:dyDescent="0.35">
      <c r="A42" s="27">
        <v>45993</v>
      </c>
      <c r="B42" s="28" t="str">
        <f t="shared" si="12"/>
        <v>mar</v>
      </c>
      <c r="C42" s="29">
        <v>0.70833333333333304</v>
      </c>
      <c r="D42" s="19" t="s">
        <v>4</v>
      </c>
      <c r="E42" s="19" t="s">
        <v>31</v>
      </c>
      <c r="F42" s="19"/>
      <c r="G42" s="30" t="str">
        <f>IF(COUNTIF(D42:F42,"?*")=$P$5,"✅ CUBIERTO",
IF(COUNTIF(D42:F42,"?*")&gt;$P$5,"⚠ EXCESO",IF(COUNTIF(D42:F42,"?*")&gt;0,"⚠ FALTANTE",
"❌ SIN COMPLETAR")))</f>
        <v>✅ CUBIERTO</v>
      </c>
      <c r="I42" s="27">
        <v>45993</v>
      </c>
      <c r="J42" s="28" t="str">
        <f t="shared" si="13"/>
        <v>mar</v>
      </c>
      <c r="K42" s="29">
        <v>0.70833333333333304</v>
      </c>
      <c r="L42" s="19"/>
      <c r="M42" s="19"/>
      <c r="N42" s="19"/>
      <c r="O42" s="31" t="str">
        <f>IF(COUNTIF(L42:N42,"?*")=$P$6,"✅ CUBIERTO",IF(COUNTIF(L42:N42,"?*")&gt;$P$6,"⚠ EXCESO",
IF(COUNTIF(L42:N42,"?*")&gt;0,"⚠ FALTANTE", "❌ SIN COMPLETAR")))</f>
        <v>❌ SIN COMPLETAR</v>
      </c>
      <c r="Q42" s="27">
        <v>45993</v>
      </c>
      <c r="R42" s="28" t="str">
        <f t="shared" si="14"/>
        <v>mar</v>
      </c>
      <c r="S42" s="29">
        <v>0.70833333333333304</v>
      </c>
      <c r="T42" s="19" t="s">
        <v>28</v>
      </c>
      <c r="U42" s="19"/>
      <c r="V42" s="19"/>
      <c r="W42" s="30" t="str">
        <f>IF(COUNTIF(T42:V42,"?*")=$P$7,"✅ CUBIERTO",IF(COUNTIF(T42:V42,"?*")&gt;$P$7,"⚠ EXCESO",
IF(COUNTIF(T42:V42,"?*")&gt;0,"⚠ FALTANTE", "❌ SIN COMPLETAR")))</f>
        <v>✅ CUBIERTO</v>
      </c>
    </row>
    <row r="43" spans="1:23" x14ac:dyDescent="0.35">
      <c r="A43" s="27">
        <v>45993</v>
      </c>
      <c r="B43" s="28" t="str">
        <f t="shared" si="12"/>
        <v>mar</v>
      </c>
      <c r="C43" s="29">
        <v>0.75</v>
      </c>
      <c r="D43" s="19" t="s">
        <v>4</v>
      </c>
      <c r="E43" s="19" t="s">
        <v>31</v>
      </c>
      <c r="F43" s="19"/>
      <c r="G43" s="30" t="str">
        <f>IF(COUNTIF(D43:F43,"?*")=$P$5,"✅ CUBIERTO",
IF(COUNTIF(D43:F43,"?*")&gt;$P$5,"⚠ EXCESO",IF(COUNTIF(D43:F43,"?*")&gt;0,"⚠ FALTANTE",
"❌ SIN COMPLETAR")))</f>
        <v>✅ CUBIERTO</v>
      </c>
      <c r="I43" s="27">
        <v>45993</v>
      </c>
      <c r="J43" s="28" t="str">
        <f t="shared" si="13"/>
        <v>mar</v>
      </c>
      <c r="K43" s="29">
        <v>0.75</v>
      </c>
      <c r="L43" s="25"/>
      <c r="M43" s="25"/>
      <c r="N43" s="25"/>
      <c r="O43" s="31" t="s">
        <v>32</v>
      </c>
      <c r="Q43" s="27">
        <v>45993</v>
      </c>
      <c r="R43" s="28" t="str">
        <f t="shared" si="14"/>
        <v>mar</v>
      </c>
      <c r="S43" s="29">
        <v>0.75</v>
      </c>
      <c r="T43" s="19" t="s">
        <v>28</v>
      </c>
      <c r="U43" s="19"/>
      <c r="V43" s="19"/>
      <c r="W43" s="30" t="str">
        <f>IF(COUNTIF(T43:V43,"?*")=$P$7,"✅ CUBIERTO",IF(COUNTIF(T43:V43,"?*")&gt;$P$7,"⚠ EXCESO",
IF(COUNTIF(T43:V43,"?*")&gt;0,"⚠ FALTANTE", "❌ SIN COMPLETAR")))</f>
        <v>✅ CUBIERTO</v>
      </c>
    </row>
    <row r="44" spans="1:23" x14ac:dyDescent="0.35">
      <c r="A44" s="27">
        <v>45993</v>
      </c>
      <c r="B44" s="28" t="str">
        <f t="shared" si="12"/>
        <v>mar</v>
      </c>
      <c r="C44" s="29">
        <v>0.79166666666666696</v>
      </c>
      <c r="D44" s="19" t="s">
        <v>4</v>
      </c>
      <c r="E44" s="19" t="s">
        <v>31</v>
      </c>
      <c r="F44" s="19"/>
      <c r="G44" s="30" t="str">
        <f>IF(COUNTIF(D44:F44,"?*")=$P$5,"✅ CUBIERTO",
IF(COUNTIF(D44:F44,"?*")&gt;$P$5,"⚠ EXCESO",IF(COUNTIF(D44:F44,"?*")&gt;0,"⚠ FALTANTE",
"❌ SIN COMPLETAR")))</f>
        <v>✅ CUBIERTO</v>
      </c>
      <c r="I44" s="27">
        <v>45993</v>
      </c>
      <c r="J44" s="28" t="str">
        <f t="shared" si="13"/>
        <v>mar</v>
      </c>
      <c r="K44" s="29">
        <v>0.79166666666666696</v>
      </c>
      <c r="L44" s="25"/>
      <c r="M44" s="25"/>
      <c r="N44" s="25"/>
      <c r="O44" s="31" t="s">
        <v>32</v>
      </c>
      <c r="Q44" s="27">
        <v>45993</v>
      </c>
      <c r="R44" s="28" t="str">
        <f t="shared" si="14"/>
        <v>mar</v>
      </c>
      <c r="S44" s="29">
        <v>0.79166666666666696</v>
      </c>
      <c r="T44" s="19" t="s">
        <v>28</v>
      </c>
      <c r="U44" s="19"/>
      <c r="V44" s="19"/>
      <c r="W44" s="30" t="str">
        <f>IF(COUNTIF(T44:V44,"?*")=$P$7,"✅ CUBIERTO",IF(COUNTIF(T44:V44,"?*")&gt;$P$7,"⚠ EXCESO",
IF(COUNTIF(T44:V44,"?*")&gt;0,"⚠ FALTANTE", "❌ SIN COMPLETAR")))</f>
        <v>✅ CUBIERTO</v>
      </c>
    </row>
    <row r="45" spans="1:23" x14ac:dyDescent="0.35">
      <c r="A45" s="27">
        <v>45993</v>
      </c>
      <c r="B45" s="28" t="str">
        <f t="shared" si="12"/>
        <v>mar</v>
      </c>
      <c r="C45" s="29">
        <v>0.83333333333333337</v>
      </c>
      <c r="D45" s="25"/>
      <c r="E45" s="25"/>
      <c r="F45" s="25"/>
      <c r="G45" s="30" t="s">
        <v>32</v>
      </c>
      <c r="I45" s="27">
        <v>45993</v>
      </c>
      <c r="J45" s="28" t="str">
        <f t="shared" si="13"/>
        <v>mar</v>
      </c>
      <c r="K45" s="29">
        <v>0.83333333333333337</v>
      </c>
      <c r="L45" s="25"/>
      <c r="M45" s="25"/>
      <c r="N45" s="25"/>
      <c r="O45" s="31" t="s">
        <v>32</v>
      </c>
      <c r="Q45" s="27">
        <v>45993</v>
      </c>
      <c r="R45" s="28" t="str">
        <f t="shared" si="14"/>
        <v>mar</v>
      </c>
      <c r="S45" s="29">
        <v>0.83333333333333337</v>
      </c>
      <c r="T45" s="19" t="s">
        <v>28</v>
      </c>
      <c r="U45" s="19"/>
      <c r="V45" s="19"/>
      <c r="W45" s="30" t="str">
        <f>IF(COUNTIF(T45:V45,"?*")=$P$7,"✅ CUBIERTO",IF(COUNTIF(T45:V45,"?*")&gt;$P$7,"⚠ EXCESO",
IF(COUNTIF(T45:V45,"?*")&gt;0,"⚠ FALTANTE", "❌ SIN COMPLETAR")))</f>
        <v>✅ CUBIERTO</v>
      </c>
    </row>
    <row r="46" spans="1:23" x14ac:dyDescent="0.35">
      <c r="A46" s="27">
        <v>45994</v>
      </c>
      <c r="B46" s="28" t="str">
        <f>TEXT(A46,"ddd")</f>
        <v>mié</v>
      </c>
      <c r="C46" s="29">
        <v>0.375</v>
      </c>
      <c r="D46" s="25"/>
      <c r="E46" s="25"/>
      <c r="F46" s="25"/>
      <c r="G46" s="30" t="s">
        <v>32</v>
      </c>
      <c r="I46" s="27">
        <v>45994</v>
      </c>
      <c r="J46" s="28" t="str">
        <f>TEXT(I46,"ddd")</f>
        <v>mié</v>
      </c>
      <c r="K46" s="29">
        <v>0.375</v>
      </c>
      <c r="L46" s="19"/>
      <c r="M46" s="19"/>
      <c r="N46" s="19"/>
      <c r="O46" s="31" t="str">
        <f>IF(COUNTIF(L46:N46,"?*")=$P$6,"✅ CUBIERTO",IF(COUNTIF(L46:N46,"?*")&gt;$P$6,"⚠ EXCESO",
IF(COUNTIF(L46:N46,"?*")&gt;0,"⚠ FALTANTE", "❌ SIN COMPLETAR")))</f>
        <v>❌ SIN COMPLETAR</v>
      </c>
      <c r="Q46" s="27">
        <v>45994</v>
      </c>
      <c r="R46" s="28" t="str">
        <f>TEXT(Q46,"ddd")</f>
        <v>mié</v>
      </c>
      <c r="S46" s="29">
        <v>0.375</v>
      </c>
      <c r="T46" s="25"/>
      <c r="U46" s="25"/>
      <c r="V46" s="25"/>
      <c r="W46" s="30" t="s">
        <v>32</v>
      </c>
    </row>
    <row r="47" spans="1:23" x14ac:dyDescent="0.35">
      <c r="A47" s="27">
        <v>45994</v>
      </c>
      <c r="B47" s="28" t="str">
        <f>TEXT(A47,"ddd")</f>
        <v>mié</v>
      </c>
      <c r="C47" s="29">
        <v>0.41666666666666669</v>
      </c>
      <c r="D47" s="25"/>
      <c r="E47" s="25"/>
      <c r="F47" s="25"/>
      <c r="G47" s="30" t="s">
        <v>32</v>
      </c>
      <c r="I47" s="27">
        <v>45994</v>
      </c>
      <c r="J47" s="28" t="str">
        <f>TEXT(I47,"ddd")</f>
        <v>mié</v>
      </c>
      <c r="K47" s="29">
        <v>0.41666666666666669</v>
      </c>
      <c r="L47" s="19"/>
      <c r="M47" s="19"/>
      <c r="N47" s="19"/>
      <c r="O47" s="31" t="str">
        <f>IF(COUNTIF(L47:N47,"?*")=$P$6,"✅ CUBIERTO",IF(COUNTIF(L47:N47,"?*")&gt;$P$6,"⚠ EXCESO",
IF(COUNTIF(L47:N47,"?*")&gt;0,"⚠ FALTANTE", "❌ SIN COMPLETAR")))</f>
        <v>❌ SIN COMPLETAR</v>
      </c>
      <c r="Q47" s="27">
        <v>45994</v>
      </c>
      <c r="R47" s="28" t="str">
        <f>TEXT(Q47,"ddd")</f>
        <v>mié</v>
      </c>
      <c r="S47" s="29">
        <v>0.41666666666666669</v>
      </c>
      <c r="T47" s="19" t="s">
        <v>6</v>
      </c>
      <c r="U47" s="19"/>
      <c r="V47" s="19"/>
      <c r="W47" s="30" t="str">
        <f>IF(COUNTIF(T47:V47,"?*")=$P$7,"✅ CUBIERTO",IF(COUNTIF(T47:V47,"?*")&gt;$P$7,"⚠ EXCESO",
IF(COUNTIF(T47:V47,"?*")&gt;0,"⚠ FALTANTE", "❌ SIN COMPLETAR")))</f>
        <v>✅ CUBIERTO</v>
      </c>
    </row>
    <row r="48" spans="1:23" x14ac:dyDescent="0.35">
      <c r="A48" s="27">
        <v>45994</v>
      </c>
      <c r="B48" s="28" t="str">
        <f>TEXT(A48,"ddd")</f>
        <v>mié</v>
      </c>
      <c r="C48" s="29">
        <v>0.45833333333333331</v>
      </c>
      <c r="D48" s="19" t="s">
        <v>30</v>
      </c>
      <c r="E48" s="19" t="s">
        <v>3</v>
      </c>
      <c r="F48" s="19" t="s">
        <v>28</v>
      </c>
      <c r="G48" s="30" t="str">
        <f>IF(COUNTIF(D48:F48,"?*")=$P$5,"✅ CUBIERTO",
IF(COUNTIF(D48:F48,"?*")&gt;$P$5,"⚠ EXCESO",IF(COUNTIF(D48:F48,"?*")&gt;0,"⚠ FALTANTE",
"❌ SIN COMPLETAR")))</f>
        <v>⚠ EXCESO</v>
      </c>
      <c r="I48" s="27">
        <v>45994</v>
      </c>
      <c r="J48" s="28" t="str">
        <f>TEXT(I48,"ddd")</f>
        <v>mié</v>
      </c>
      <c r="K48" s="29">
        <v>0.45833333333333331</v>
      </c>
      <c r="L48" s="19"/>
      <c r="M48" s="19"/>
      <c r="N48" s="19"/>
      <c r="O48" s="31" t="str">
        <f>IF(COUNTIF(L48:N48,"?*")=$P$6,"✅ CUBIERTO",IF(COUNTIF(L48:N48,"?*")&gt;$P$6,"⚠ EXCESO",
IF(COUNTIF(L48:N48,"?*")&gt;0,"⚠ FALTANTE", "❌ SIN COMPLETAR")))</f>
        <v>❌ SIN COMPLETAR</v>
      </c>
      <c r="Q48" s="27">
        <v>45994</v>
      </c>
      <c r="R48" s="28" t="str">
        <f>TEXT(Q48,"ddd")</f>
        <v>mié</v>
      </c>
      <c r="S48" s="29">
        <v>0.45833333333333331</v>
      </c>
      <c r="T48" s="19" t="s">
        <v>6</v>
      </c>
      <c r="U48" s="19"/>
      <c r="V48" s="19"/>
      <c r="W48" s="30" t="str">
        <f>IF(COUNTIF(T48:V48,"?*")=$P$7,"✅ CUBIERTO",IF(COUNTIF(T48:V48,"?*")&gt;$P$7,"⚠ EXCESO",
IF(COUNTIF(T48:V48,"?*")&gt;0,"⚠ FALTANTE", "❌ SIN COMPLETAR")))</f>
        <v>✅ CUBIERTO</v>
      </c>
    </row>
    <row r="49" spans="1:23" x14ac:dyDescent="0.35">
      <c r="A49" s="27">
        <v>45994</v>
      </c>
      <c r="B49" s="28" t="str">
        <f t="shared" ref="B49:B57" si="15">TEXT(A49,"ddd")</f>
        <v>mié</v>
      </c>
      <c r="C49" s="29">
        <v>0.5</v>
      </c>
      <c r="D49" s="19" t="s">
        <v>30</v>
      </c>
      <c r="E49" s="19" t="s">
        <v>3</v>
      </c>
      <c r="F49" s="19" t="s">
        <v>28</v>
      </c>
      <c r="G49" s="30" t="str">
        <f>IF(COUNTIF(D49:F49,"?*")=$P$5,"✅ CUBIERTO",
IF(COUNTIF(D49:F49,"?*")&gt;$P$5,"⚠ EXCESO",IF(COUNTIF(D49:F49,"?*")&gt;0,"⚠ FALTANTE",
"❌ SIN COMPLETAR")))</f>
        <v>⚠ EXCESO</v>
      </c>
      <c r="I49" s="27">
        <v>45994</v>
      </c>
      <c r="J49" s="28" t="str">
        <f t="shared" ref="J49:J57" si="16">TEXT(I49,"ddd")</f>
        <v>mié</v>
      </c>
      <c r="K49" s="29">
        <v>0.5</v>
      </c>
      <c r="L49" s="19"/>
      <c r="M49" s="19"/>
      <c r="N49" s="19"/>
      <c r="O49" s="31" t="str">
        <f>IF(COUNTIF(L49:N49,"?*")=$P$6,"✅ CUBIERTO",IF(COUNTIF(L49:N49,"?*")&gt;$P$6,"⚠ EXCESO",
IF(COUNTIF(L49:N49,"?*")&gt;0,"⚠ FALTANTE", "❌ SIN COMPLETAR")))</f>
        <v>❌ SIN COMPLETAR</v>
      </c>
      <c r="Q49" s="27">
        <v>45994</v>
      </c>
      <c r="R49" s="28" t="str">
        <f t="shared" ref="R49:R57" si="17">TEXT(Q49,"ddd")</f>
        <v>mié</v>
      </c>
      <c r="S49" s="29">
        <v>0.5</v>
      </c>
      <c r="T49" s="19" t="s">
        <v>6</v>
      </c>
      <c r="U49" s="19"/>
      <c r="V49" s="19"/>
      <c r="W49" s="30" t="str">
        <f>IF(COUNTIF(T49:V49,"?*")=$P$7,"✅ CUBIERTO",IF(COUNTIF(T49:V49,"?*")&gt;$P$7,"⚠ EXCESO",
IF(COUNTIF(T49:V49,"?*")&gt;0,"⚠ FALTANTE", "❌ SIN COMPLETAR")))</f>
        <v>✅ CUBIERTO</v>
      </c>
    </row>
    <row r="50" spans="1:23" x14ac:dyDescent="0.35">
      <c r="A50" s="27">
        <v>45994</v>
      </c>
      <c r="B50" s="28" t="str">
        <f t="shared" si="15"/>
        <v>mié</v>
      </c>
      <c r="C50" s="29">
        <v>0.54166666666666696</v>
      </c>
      <c r="D50" s="19" t="s">
        <v>30</v>
      </c>
      <c r="E50" s="19" t="s">
        <v>3</v>
      </c>
      <c r="F50" s="19" t="s">
        <v>28</v>
      </c>
      <c r="G50" s="30" t="str">
        <f>IF(COUNTIF(D50:F50,"?*")=$P$5,"✅ CUBIERTO",
IF(COUNTIF(D50:F50,"?*")&gt;$P$5,"⚠ EXCESO",IF(COUNTIF(D50:F50,"?*")&gt;0,"⚠ FALTANTE",
"❌ SIN COMPLETAR")))</f>
        <v>⚠ EXCESO</v>
      </c>
      <c r="I50" s="27">
        <v>45994</v>
      </c>
      <c r="J50" s="28" t="str">
        <f t="shared" si="16"/>
        <v>mié</v>
      </c>
      <c r="K50" s="29">
        <v>0.54166666666666696</v>
      </c>
      <c r="L50" s="19"/>
      <c r="M50" s="19"/>
      <c r="N50" s="19"/>
      <c r="O50" s="31" t="str">
        <f>IF(COUNTIF(L50:N50,"?*")=$P$6,"✅ CUBIERTO",IF(COUNTIF(L50:N50,"?*")&gt;$P$6,"⚠ EXCESO",
IF(COUNTIF(L50:N50,"?*")&gt;0,"⚠ FALTANTE", "❌ SIN COMPLETAR")))</f>
        <v>❌ SIN COMPLETAR</v>
      </c>
      <c r="Q50" s="27">
        <v>45994</v>
      </c>
      <c r="R50" s="28" t="str">
        <f t="shared" si="17"/>
        <v>mié</v>
      </c>
      <c r="S50" s="29">
        <v>0.54166666666666696</v>
      </c>
      <c r="T50" s="19" t="s">
        <v>6</v>
      </c>
      <c r="U50" s="19"/>
      <c r="V50" s="19"/>
      <c r="W50" s="30" t="str">
        <f>IF(COUNTIF(T50:V50,"?*")=$P$7,"✅ CUBIERTO",IF(COUNTIF(T50:V50,"?*")&gt;$P$7,"⚠ EXCESO",
IF(COUNTIF(T50:V50,"?*")&gt;0,"⚠ FALTANTE", "❌ SIN COMPLETAR")))</f>
        <v>✅ CUBIERTO</v>
      </c>
    </row>
    <row r="51" spans="1:23" x14ac:dyDescent="0.35">
      <c r="A51" s="27">
        <v>45994</v>
      </c>
      <c r="B51" s="28" t="str">
        <f t="shared" si="15"/>
        <v>mié</v>
      </c>
      <c r="C51" s="29">
        <v>0.58333333333333304</v>
      </c>
      <c r="D51" s="19" t="s">
        <v>30</v>
      </c>
      <c r="E51" s="19" t="s">
        <v>3</v>
      </c>
      <c r="F51" s="19" t="s">
        <v>28</v>
      </c>
      <c r="G51" s="30" t="str">
        <f>IF(COUNTIF(D51:F51,"?*")=$P$5,"✅ CUBIERTO",
IF(COUNTIF(D51:F51,"?*")&gt;$P$5,"⚠ EXCESO",IF(COUNTIF(D51:F51,"?*")&gt;0,"⚠ FALTANTE",
"❌ SIN COMPLETAR")))</f>
        <v>⚠ EXCESO</v>
      </c>
      <c r="I51" s="27">
        <v>45994</v>
      </c>
      <c r="J51" s="28" t="str">
        <f t="shared" si="16"/>
        <v>mié</v>
      </c>
      <c r="K51" s="29">
        <v>0.58333333333333304</v>
      </c>
      <c r="L51" s="19"/>
      <c r="M51" s="19"/>
      <c r="N51" s="19"/>
      <c r="O51" s="31" t="str">
        <f>IF(COUNTIF(L51:N51,"?*")=$P$6,"✅ CUBIERTO",IF(COUNTIF(L51:N51,"?*")&gt;$P$6,"⚠ EXCESO",
IF(COUNTIF(L51:N51,"?*")&gt;0,"⚠ FALTANTE", "❌ SIN COMPLETAR")))</f>
        <v>❌ SIN COMPLETAR</v>
      </c>
      <c r="Q51" s="27">
        <v>45994</v>
      </c>
      <c r="R51" s="28" t="str">
        <f t="shared" si="17"/>
        <v>mié</v>
      </c>
      <c r="S51" s="29">
        <v>0.58333333333333304</v>
      </c>
      <c r="T51" s="19" t="s">
        <v>6</v>
      </c>
      <c r="U51" s="19"/>
      <c r="V51" s="19"/>
      <c r="W51" s="30" t="str">
        <f>IF(COUNTIF(T51:V51,"?*")=$P$7,"✅ CUBIERTO",IF(COUNTIF(T51:V51,"?*")&gt;$P$7,"⚠ EXCESO",
IF(COUNTIF(T51:V51,"?*")&gt;0,"⚠ FALTANTE", "❌ SIN COMPLETAR")))</f>
        <v>✅ CUBIERTO</v>
      </c>
    </row>
    <row r="52" spans="1:23" x14ac:dyDescent="0.35">
      <c r="A52" s="27">
        <v>45994</v>
      </c>
      <c r="B52" s="28" t="str">
        <f t="shared" si="15"/>
        <v>mié</v>
      </c>
      <c r="C52" s="29">
        <v>0.625</v>
      </c>
      <c r="D52" s="19" t="s">
        <v>4</v>
      </c>
      <c r="E52" s="19" t="s">
        <v>3</v>
      </c>
      <c r="F52" s="19" t="s">
        <v>28</v>
      </c>
      <c r="G52" s="30" t="str">
        <f>IF(COUNTIF(D52:F52,"?*")=$P$5,"✅ CUBIERTO",
IF(COUNTIF(D52:F52,"?*")&gt;$P$5,"⚠ EXCESO",IF(COUNTIF(D52:F52,"?*")&gt;0,"⚠ FALTANTE",
"❌ SIN COMPLETAR")))</f>
        <v>⚠ EXCESO</v>
      </c>
      <c r="I52" s="27">
        <v>45994</v>
      </c>
      <c r="J52" s="28" t="str">
        <f t="shared" si="16"/>
        <v>mié</v>
      </c>
      <c r="K52" s="29">
        <v>0.625</v>
      </c>
      <c r="L52" s="19"/>
      <c r="M52" s="19"/>
      <c r="N52" s="19"/>
      <c r="O52" s="31" t="str">
        <f>IF(COUNTIF(L52:N52,"?*")=$P$6,"✅ CUBIERTO",IF(COUNTIF(L52:N52,"?*")&gt;$P$6,"⚠ EXCESO",
IF(COUNTIF(L52:N52,"?*")&gt;0,"⚠ FALTANTE", "❌ SIN COMPLETAR")))</f>
        <v>❌ SIN COMPLETAR</v>
      </c>
      <c r="Q52" s="27">
        <v>45994</v>
      </c>
      <c r="R52" s="28" t="str">
        <f t="shared" si="17"/>
        <v>mié</v>
      </c>
      <c r="S52" s="29">
        <v>0.625</v>
      </c>
      <c r="T52" s="19" t="s">
        <v>5</v>
      </c>
      <c r="U52" s="19"/>
      <c r="V52" s="19"/>
      <c r="W52" s="30" t="str">
        <f>IF(COUNTIF(T52:V52,"?*")=$P$7,"✅ CUBIERTO",IF(COUNTIF(T52:V52,"?*")&gt;$P$7,"⚠ EXCESO",
IF(COUNTIF(T52:V52,"?*")&gt;0,"⚠ FALTANTE", "❌ SIN COMPLETAR")))</f>
        <v>✅ CUBIERTO</v>
      </c>
    </row>
    <row r="53" spans="1:23" x14ac:dyDescent="0.35">
      <c r="A53" s="27">
        <v>45994</v>
      </c>
      <c r="B53" s="28" t="str">
        <f t="shared" si="15"/>
        <v>mié</v>
      </c>
      <c r="C53" s="29">
        <v>0.66666666666666696</v>
      </c>
      <c r="D53" s="19" t="s">
        <v>4</v>
      </c>
      <c r="E53" s="19" t="s">
        <v>31</v>
      </c>
      <c r="F53" s="19" t="s">
        <v>28</v>
      </c>
      <c r="G53" s="30" t="str">
        <f>IF(COUNTIF(D53:F53,"?*")=$P$5,"✅ CUBIERTO",
IF(COUNTIF(D53:F53,"?*")&gt;$P$5,"⚠ EXCESO",IF(COUNTIF(D53:F53,"?*")&gt;0,"⚠ FALTANTE",
"❌ SIN COMPLETAR")))</f>
        <v>⚠ EXCESO</v>
      </c>
      <c r="I53" s="27">
        <v>45994</v>
      </c>
      <c r="J53" s="28" t="str">
        <f t="shared" si="16"/>
        <v>mié</v>
      </c>
      <c r="K53" s="29">
        <v>0.66666666666666696</v>
      </c>
      <c r="L53" s="19"/>
      <c r="M53" s="19"/>
      <c r="N53" s="19"/>
      <c r="O53" s="31" t="str">
        <f>IF(COUNTIF(L53:N53,"?*")=$P$6,"✅ CUBIERTO",IF(COUNTIF(L53:N53,"?*")&gt;$P$6,"⚠ EXCESO",
IF(COUNTIF(L53:N53,"?*")&gt;0,"⚠ FALTANTE", "❌ SIN COMPLETAR")))</f>
        <v>❌ SIN COMPLETAR</v>
      </c>
      <c r="Q53" s="27">
        <v>45994</v>
      </c>
      <c r="R53" s="28" t="str">
        <f t="shared" si="17"/>
        <v>mié</v>
      </c>
      <c r="S53" s="29">
        <v>0.66666666666666696</v>
      </c>
      <c r="T53" s="19" t="s">
        <v>5</v>
      </c>
      <c r="U53" s="19"/>
      <c r="V53" s="19"/>
      <c r="W53" s="30" t="str">
        <f>IF(COUNTIF(T53:V53,"?*")=$P$7,"✅ CUBIERTO",IF(COUNTIF(T53:V53,"?*")&gt;$P$7,"⚠ EXCESO",
IF(COUNTIF(T53:V53,"?*")&gt;0,"⚠ FALTANTE", "❌ SIN COMPLETAR")))</f>
        <v>✅ CUBIERTO</v>
      </c>
    </row>
    <row r="54" spans="1:23" x14ac:dyDescent="0.35">
      <c r="A54" s="27">
        <v>45994</v>
      </c>
      <c r="B54" s="28" t="str">
        <f t="shared" si="15"/>
        <v>mié</v>
      </c>
      <c r="C54" s="29">
        <v>0.70833333333333304</v>
      </c>
      <c r="D54" s="19" t="s">
        <v>4</v>
      </c>
      <c r="E54" s="19" t="s">
        <v>31</v>
      </c>
      <c r="F54" s="19" t="s">
        <v>28</v>
      </c>
      <c r="G54" s="30" t="str">
        <f>IF(COUNTIF(D54:F54,"?*")=$P$5,"✅ CUBIERTO",
IF(COUNTIF(D54:F54,"?*")&gt;$P$5,"⚠ EXCESO",IF(COUNTIF(D54:F54,"?*")&gt;0,"⚠ FALTANTE",
"❌ SIN COMPLETAR")))</f>
        <v>⚠ EXCESO</v>
      </c>
      <c r="I54" s="27">
        <v>45994</v>
      </c>
      <c r="J54" s="28" t="str">
        <f t="shared" si="16"/>
        <v>mié</v>
      </c>
      <c r="K54" s="29">
        <v>0.70833333333333304</v>
      </c>
      <c r="L54" s="19"/>
      <c r="M54" s="19"/>
      <c r="N54" s="19"/>
      <c r="O54" s="31" t="str">
        <f>IF(COUNTIF(L54:N54,"?*")=$P$6,"✅ CUBIERTO",IF(COUNTIF(L54:N54,"?*")&gt;$P$6,"⚠ EXCESO",
IF(COUNTIF(L54:N54,"?*")&gt;0,"⚠ FALTANTE", "❌ SIN COMPLETAR")))</f>
        <v>❌ SIN COMPLETAR</v>
      </c>
      <c r="Q54" s="27">
        <v>45994</v>
      </c>
      <c r="R54" s="28" t="str">
        <f t="shared" si="17"/>
        <v>mié</v>
      </c>
      <c r="S54" s="29">
        <v>0.70833333333333304</v>
      </c>
      <c r="T54" s="19" t="s">
        <v>5</v>
      </c>
      <c r="U54" s="19"/>
      <c r="V54" s="19"/>
      <c r="W54" s="30" t="str">
        <f>IF(COUNTIF(T54:V54,"?*")=$P$7,"✅ CUBIERTO",IF(COUNTIF(T54:V54,"?*")&gt;$P$7,"⚠ EXCESO",
IF(COUNTIF(T54:V54,"?*")&gt;0,"⚠ FALTANTE", "❌ SIN COMPLETAR")))</f>
        <v>✅ CUBIERTO</v>
      </c>
    </row>
    <row r="55" spans="1:23" x14ac:dyDescent="0.35">
      <c r="A55" s="27">
        <v>45994</v>
      </c>
      <c r="B55" s="28" t="str">
        <f t="shared" si="15"/>
        <v>mié</v>
      </c>
      <c r="C55" s="29">
        <v>0.75</v>
      </c>
      <c r="D55" s="19" t="s">
        <v>4</v>
      </c>
      <c r="E55" s="19" t="s">
        <v>31</v>
      </c>
      <c r="F55" s="19" t="s">
        <v>28</v>
      </c>
      <c r="G55" s="30" t="str">
        <f>IF(COUNTIF(D55:F55,"?*")=$P$5,"✅ CUBIERTO",
IF(COUNTIF(D55:F55,"?*")&gt;$P$5,"⚠ EXCESO",IF(COUNTIF(D55:F55,"?*")&gt;0,"⚠ FALTANTE",
"❌ SIN COMPLETAR")))</f>
        <v>⚠ EXCESO</v>
      </c>
      <c r="I55" s="27">
        <v>45994</v>
      </c>
      <c r="J55" s="28" t="str">
        <f t="shared" si="16"/>
        <v>mié</v>
      </c>
      <c r="K55" s="29">
        <v>0.75</v>
      </c>
      <c r="L55" s="25"/>
      <c r="M55" s="25"/>
      <c r="N55" s="25"/>
      <c r="O55" s="31" t="s">
        <v>32</v>
      </c>
      <c r="Q55" s="27">
        <v>45994</v>
      </c>
      <c r="R55" s="28" t="str">
        <f t="shared" si="17"/>
        <v>mié</v>
      </c>
      <c r="S55" s="29">
        <v>0.75</v>
      </c>
      <c r="T55" s="19" t="s">
        <v>5</v>
      </c>
      <c r="U55" s="19"/>
      <c r="V55" s="19"/>
      <c r="W55" s="30" t="str">
        <f>IF(COUNTIF(T55:V55,"?*")=$P$7,"✅ CUBIERTO",IF(COUNTIF(T55:V55,"?*")&gt;$P$7,"⚠ EXCESO",
IF(COUNTIF(T55:V55,"?*")&gt;0,"⚠ FALTANTE", "❌ SIN COMPLETAR")))</f>
        <v>✅ CUBIERTO</v>
      </c>
    </row>
    <row r="56" spans="1:23" x14ac:dyDescent="0.35">
      <c r="A56" s="27">
        <v>45994</v>
      </c>
      <c r="B56" s="28" t="str">
        <f t="shared" si="15"/>
        <v>mié</v>
      </c>
      <c r="C56" s="29">
        <v>0.79166666666666696</v>
      </c>
      <c r="D56" s="19" t="s">
        <v>4</v>
      </c>
      <c r="E56" s="19" t="s">
        <v>31</v>
      </c>
      <c r="F56" s="19"/>
      <c r="G56" s="30" t="str">
        <f>IF(COUNTIF(D56:F56,"?*")=$P$5,"✅ CUBIERTO",
IF(COUNTIF(D56:F56,"?*")&gt;$P$5,"⚠ EXCESO",IF(COUNTIF(D56:F56,"?*")&gt;0,"⚠ FALTANTE",
"❌ SIN COMPLETAR")))</f>
        <v>✅ CUBIERTO</v>
      </c>
      <c r="I56" s="27">
        <v>45994</v>
      </c>
      <c r="J56" s="28" t="str">
        <f t="shared" si="16"/>
        <v>mié</v>
      </c>
      <c r="K56" s="29">
        <v>0.79166666666666696</v>
      </c>
      <c r="L56" s="25"/>
      <c r="M56" s="25"/>
      <c r="N56" s="25"/>
      <c r="O56" s="31" t="s">
        <v>32</v>
      </c>
      <c r="Q56" s="27">
        <v>45994</v>
      </c>
      <c r="R56" s="28" t="str">
        <f t="shared" si="17"/>
        <v>mié</v>
      </c>
      <c r="S56" s="29">
        <v>0.79166666666666696</v>
      </c>
      <c r="T56" s="19" t="s">
        <v>5</v>
      </c>
      <c r="U56" s="19"/>
      <c r="V56" s="19"/>
      <c r="W56" s="30" t="str">
        <f>IF(COUNTIF(T56:V56,"?*")=$P$7,"✅ CUBIERTO",IF(COUNTIF(T56:V56,"?*")&gt;$P$7,"⚠ EXCESO",
IF(COUNTIF(T56:V56,"?*")&gt;0,"⚠ FALTANTE", "❌ SIN COMPLETAR")))</f>
        <v>✅ CUBIERTO</v>
      </c>
    </row>
    <row r="57" spans="1:23" x14ac:dyDescent="0.35">
      <c r="A57" s="27">
        <v>45994</v>
      </c>
      <c r="B57" s="28" t="str">
        <f t="shared" si="15"/>
        <v>mié</v>
      </c>
      <c r="C57" s="29">
        <v>0.83333333333333337</v>
      </c>
      <c r="D57" s="25"/>
      <c r="E57" s="25"/>
      <c r="F57" s="25"/>
      <c r="G57" s="30" t="s">
        <v>32</v>
      </c>
      <c r="I57" s="27">
        <v>45994</v>
      </c>
      <c r="J57" s="28" t="str">
        <f t="shared" si="16"/>
        <v>mié</v>
      </c>
      <c r="K57" s="29">
        <v>0.83333333333333337</v>
      </c>
      <c r="L57" s="25"/>
      <c r="M57" s="25"/>
      <c r="N57" s="25"/>
      <c r="O57" s="31" t="s">
        <v>32</v>
      </c>
      <c r="Q57" s="27">
        <v>45994</v>
      </c>
      <c r="R57" s="28" t="str">
        <f t="shared" si="17"/>
        <v>mié</v>
      </c>
      <c r="S57" s="29">
        <v>0.83333333333333337</v>
      </c>
      <c r="T57" s="19" t="s">
        <v>5</v>
      </c>
      <c r="U57" s="19"/>
      <c r="V57" s="19"/>
      <c r="W57" s="30" t="str">
        <f>IF(COUNTIF(T57:V57,"?*")=$P$7,"✅ CUBIERTO",IF(COUNTIF(T57:V57,"?*")&gt;$P$7,"⚠ EXCESO",
IF(COUNTIF(T57:V57,"?*")&gt;0,"⚠ FALTANTE", "❌ SIN COMPLETAR")))</f>
        <v>✅ CUBIERTO</v>
      </c>
    </row>
    <row r="58" spans="1:23" x14ac:dyDescent="0.35">
      <c r="A58" s="27">
        <v>45995</v>
      </c>
      <c r="B58" s="28" t="str">
        <f>TEXT(A58,"ddd")</f>
        <v>jue</v>
      </c>
      <c r="C58" s="29">
        <v>0.375</v>
      </c>
      <c r="D58" s="25"/>
      <c r="E58" s="25"/>
      <c r="F58" s="25"/>
      <c r="G58" s="30" t="s">
        <v>32</v>
      </c>
      <c r="I58" s="27">
        <v>45995</v>
      </c>
      <c r="J58" s="28" t="str">
        <f>TEXT(I58,"ddd")</f>
        <v>jue</v>
      </c>
      <c r="K58" s="29">
        <v>0.375</v>
      </c>
      <c r="L58" s="19"/>
      <c r="M58" s="19"/>
      <c r="N58" s="19"/>
      <c r="O58" s="31" t="str">
        <f>IF(COUNTIF(L58:N58,"?*")=$P$6,"✅ CUBIERTO",IF(COUNTIF(L58:N58,"?*")&gt;$P$6,"⚠ EXCESO",
IF(COUNTIF(L58:N58,"?*")&gt;0,"⚠ FALTANTE", "❌ SIN COMPLETAR")))</f>
        <v>❌ SIN COMPLETAR</v>
      </c>
      <c r="Q58" s="27">
        <v>45995</v>
      </c>
      <c r="R58" s="28" t="str">
        <f>TEXT(Q58,"ddd")</f>
        <v>jue</v>
      </c>
      <c r="S58" s="29">
        <v>0.375</v>
      </c>
      <c r="T58" s="25"/>
      <c r="U58" s="25"/>
      <c r="V58" s="25"/>
      <c r="W58" s="30" t="s">
        <v>32</v>
      </c>
    </row>
    <row r="59" spans="1:23" x14ac:dyDescent="0.35">
      <c r="A59" s="27">
        <v>45995</v>
      </c>
      <c r="B59" s="28" t="str">
        <f>TEXT(A59,"ddd")</f>
        <v>jue</v>
      </c>
      <c r="C59" s="29">
        <v>0.41666666666666669</v>
      </c>
      <c r="D59" s="25"/>
      <c r="E59" s="25"/>
      <c r="F59" s="25"/>
      <c r="G59" s="30" t="s">
        <v>32</v>
      </c>
      <c r="I59" s="27">
        <v>45995</v>
      </c>
      <c r="J59" s="28" t="str">
        <f>TEXT(I59,"ddd")</f>
        <v>jue</v>
      </c>
      <c r="K59" s="29">
        <v>0.41666666666666669</v>
      </c>
      <c r="L59" s="19"/>
      <c r="M59" s="19"/>
      <c r="N59" s="19"/>
      <c r="O59" s="31" t="str">
        <f>IF(COUNTIF(L59:N59,"?*")=$P$6,"✅ CUBIERTO",IF(COUNTIF(L59:N59,"?*")&gt;$P$6,"⚠ EXCESO",
IF(COUNTIF(L59:N59,"?*")&gt;0,"⚠ FALTANTE", "❌ SIN COMPLETAR")))</f>
        <v>❌ SIN COMPLETAR</v>
      </c>
      <c r="Q59" s="27">
        <v>45995</v>
      </c>
      <c r="R59" s="28" t="str">
        <f>TEXT(Q59,"ddd")</f>
        <v>jue</v>
      </c>
      <c r="S59" s="29">
        <v>0.41666666666666669</v>
      </c>
      <c r="T59" s="19" t="s">
        <v>7</v>
      </c>
      <c r="U59" s="19"/>
      <c r="V59" s="19"/>
      <c r="W59" s="30" t="str">
        <f>IF(COUNTIF(T59:V59,"?*")=$P$7,"✅ CUBIERTO",IF(COUNTIF(T59:V59,"?*")&gt;$P$7,"⚠ EXCESO",
IF(COUNTIF(T59:V59,"?*")&gt;0,"⚠ FALTANTE", "❌ SIN COMPLETAR")))</f>
        <v>✅ CUBIERTO</v>
      </c>
    </row>
    <row r="60" spans="1:23" x14ac:dyDescent="0.35">
      <c r="A60" s="27">
        <v>45995</v>
      </c>
      <c r="B60" s="28" t="str">
        <f>TEXT(A60,"ddd")</f>
        <v>jue</v>
      </c>
      <c r="C60" s="29">
        <v>0.45833333333333331</v>
      </c>
      <c r="D60" s="19" t="s">
        <v>3</v>
      </c>
      <c r="E60" s="19" t="s">
        <v>31</v>
      </c>
      <c r="F60" s="19"/>
      <c r="G60" s="30" t="str">
        <f>IF(COUNTIF(D60:F60,"?*")=$P$5,"✅ CUBIERTO",
IF(COUNTIF(D60:F60,"?*")&gt;$P$5,"⚠ EXCESO",IF(COUNTIF(D60:F60,"?*")&gt;0,"⚠ FALTANTE",
"❌ SIN COMPLETAR")))</f>
        <v>✅ CUBIERTO</v>
      </c>
      <c r="I60" s="27">
        <v>45995</v>
      </c>
      <c r="J60" s="28" t="str">
        <f>TEXT(I60,"ddd")</f>
        <v>jue</v>
      </c>
      <c r="K60" s="29">
        <v>0.45833333333333331</v>
      </c>
      <c r="L60" s="19"/>
      <c r="M60" s="19"/>
      <c r="N60" s="19"/>
      <c r="O60" s="31" t="str">
        <f>IF(COUNTIF(L60:N60,"?*")=$P$6,"✅ CUBIERTO",IF(COUNTIF(L60:N60,"?*")&gt;$P$6,"⚠ EXCESO",
IF(COUNTIF(L60:N60,"?*")&gt;0,"⚠ FALTANTE", "❌ SIN COMPLETAR")))</f>
        <v>❌ SIN COMPLETAR</v>
      </c>
      <c r="Q60" s="27">
        <v>45995</v>
      </c>
      <c r="R60" s="28" t="str">
        <f>TEXT(Q60,"ddd")</f>
        <v>jue</v>
      </c>
      <c r="S60" s="29">
        <v>0.45833333333333331</v>
      </c>
      <c r="T60" s="19" t="s">
        <v>7</v>
      </c>
      <c r="U60" s="19"/>
      <c r="V60" s="19"/>
      <c r="W60" s="30" t="str">
        <f>IF(COUNTIF(T60:V60,"?*")=$P$7,"✅ CUBIERTO",IF(COUNTIF(T60:V60,"?*")&gt;$P$7,"⚠ EXCESO",
IF(COUNTIF(T60:V60,"?*")&gt;0,"⚠ FALTANTE", "❌ SIN COMPLETAR")))</f>
        <v>✅ CUBIERTO</v>
      </c>
    </row>
    <row r="61" spans="1:23" x14ac:dyDescent="0.35">
      <c r="A61" s="27">
        <v>45995</v>
      </c>
      <c r="B61" s="28" t="str">
        <f t="shared" ref="B61:B69" si="18">TEXT(A61,"ddd")</f>
        <v>jue</v>
      </c>
      <c r="C61" s="29">
        <v>0.5</v>
      </c>
      <c r="D61" s="19" t="s">
        <v>3</v>
      </c>
      <c r="E61" s="19" t="s">
        <v>31</v>
      </c>
      <c r="F61" s="19"/>
      <c r="G61" s="30" t="str">
        <f>IF(COUNTIF(D61:F61,"?*")=$P$5,"✅ CUBIERTO",
IF(COUNTIF(D61:F61,"?*")&gt;$P$5,"⚠ EXCESO",IF(COUNTIF(D61:F61,"?*")&gt;0,"⚠ FALTANTE",
"❌ SIN COMPLETAR")))</f>
        <v>✅ CUBIERTO</v>
      </c>
      <c r="I61" s="27">
        <v>45995</v>
      </c>
      <c r="J61" s="28" t="str">
        <f t="shared" ref="J61:J69" si="19">TEXT(I61,"ddd")</f>
        <v>jue</v>
      </c>
      <c r="K61" s="29">
        <v>0.5</v>
      </c>
      <c r="L61" s="19"/>
      <c r="M61" s="19"/>
      <c r="N61" s="19"/>
      <c r="O61" s="31" t="str">
        <f>IF(COUNTIF(L61:N61,"?*")=$P$6,"✅ CUBIERTO",IF(COUNTIF(L61:N61,"?*")&gt;$P$6,"⚠ EXCESO",
IF(COUNTIF(L61:N61,"?*")&gt;0,"⚠ FALTANTE", "❌ SIN COMPLETAR")))</f>
        <v>❌ SIN COMPLETAR</v>
      </c>
      <c r="Q61" s="27">
        <v>45995</v>
      </c>
      <c r="R61" s="28" t="str">
        <f t="shared" ref="R61:R69" si="20">TEXT(Q61,"ddd")</f>
        <v>jue</v>
      </c>
      <c r="S61" s="29">
        <v>0.5</v>
      </c>
      <c r="T61" s="19" t="s">
        <v>7</v>
      </c>
      <c r="U61" s="19"/>
      <c r="V61" s="19"/>
      <c r="W61" s="30" t="str">
        <f>IF(COUNTIF(T61:V61,"?*")=$P$7,"✅ CUBIERTO",IF(COUNTIF(T61:V61,"?*")&gt;$P$7,"⚠ EXCESO",
IF(COUNTIF(T61:V61,"?*")&gt;0,"⚠ FALTANTE", "❌ SIN COMPLETAR")))</f>
        <v>✅ CUBIERTO</v>
      </c>
    </row>
    <row r="62" spans="1:23" x14ac:dyDescent="0.35">
      <c r="A62" s="27">
        <v>45995</v>
      </c>
      <c r="B62" s="28" t="str">
        <f t="shared" si="18"/>
        <v>jue</v>
      </c>
      <c r="C62" s="29">
        <v>0.54166666666666696</v>
      </c>
      <c r="D62" s="19" t="s">
        <v>3</v>
      </c>
      <c r="E62" s="19" t="s">
        <v>31</v>
      </c>
      <c r="F62" s="19"/>
      <c r="G62" s="30" t="str">
        <f>IF(COUNTIF(D62:F62,"?*")=$P$5,"✅ CUBIERTO",
IF(COUNTIF(D62:F62,"?*")&gt;$P$5,"⚠ EXCESO",IF(COUNTIF(D62:F62,"?*")&gt;0,"⚠ FALTANTE",
"❌ SIN COMPLETAR")))</f>
        <v>✅ CUBIERTO</v>
      </c>
      <c r="I62" s="27">
        <v>45995</v>
      </c>
      <c r="J62" s="28" t="str">
        <f t="shared" si="19"/>
        <v>jue</v>
      </c>
      <c r="K62" s="29">
        <v>0.54166666666666696</v>
      </c>
      <c r="L62" s="19"/>
      <c r="M62" s="19"/>
      <c r="N62" s="19"/>
      <c r="O62" s="31" t="str">
        <f>IF(COUNTIF(L62:N62,"?*")=$P$6,"✅ CUBIERTO",IF(COUNTIF(L62:N62,"?*")&gt;$P$6,"⚠ EXCESO",
IF(COUNTIF(L62:N62,"?*")&gt;0,"⚠ FALTANTE", "❌ SIN COMPLETAR")))</f>
        <v>❌ SIN COMPLETAR</v>
      </c>
      <c r="Q62" s="27">
        <v>45995</v>
      </c>
      <c r="R62" s="28" t="str">
        <f t="shared" si="20"/>
        <v>jue</v>
      </c>
      <c r="S62" s="29">
        <v>0.54166666666666696</v>
      </c>
      <c r="T62" s="19" t="s">
        <v>7</v>
      </c>
      <c r="U62" s="19"/>
      <c r="V62" s="19"/>
      <c r="W62" s="30" t="str">
        <f>IF(COUNTIF(T62:V62,"?*")=$P$7,"✅ CUBIERTO",IF(COUNTIF(T62:V62,"?*")&gt;$P$7,"⚠ EXCESO",
IF(COUNTIF(T62:V62,"?*")&gt;0,"⚠ FALTANTE", "❌ SIN COMPLETAR")))</f>
        <v>✅ CUBIERTO</v>
      </c>
    </row>
    <row r="63" spans="1:23" x14ac:dyDescent="0.35">
      <c r="A63" s="27">
        <v>45995</v>
      </c>
      <c r="B63" s="28" t="str">
        <f t="shared" si="18"/>
        <v>jue</v>
      </c>
      <c r="C63" s="29">
        <v>0.58333333333333304</v>
      </c>
      <c r="D63" s="19" t="s">
        <v>3</v>
      </c>
      <c r="E63" s="19" t="s">
        <v>31</v>
      </c>
      <c r="F63" s="19"/>
      <c r="G63" s="30" t="str">
        <f>IF(COUNTIF(D63:F63,"?*")=$P$5,"✅ CUBIERTO",
IF(COUNTIF(D63:F63,"?*")&gt;$P$5,"⚠ EXCESO",IF(COUNTIF(D63:F63,"?*")&gt;0,"⚠ FALTANTE",
"❌ SIN COMPLETAR")))</f>
        <v>✅ CUBIERTO</v>
      </c>
      <c r="I63" s="27">
        <v>45995</v>
      </c>
      <c r="J63" s="28" t="str">
        <f t="shared" si="19"/>
        <v>jue</v>
      </c>
      <c r="K63" s="29">
        <v>0.58333333333333304</v>
      </c>
      <c r="L63" s="19"/>
      <c r="M63" s="19"/>
      <c r="N63" s="19"/>
      <c r="O63" s="31" t="str">
        <f>IF(COUNTIF(L63:N63,"?*")=$P$6,"✅ CUBIERTO",IF(COUNTIF(L63:N63,"?*")&gt;$P$6,"⚠ EXCESO",
IF(COUNTIF(L63:N63,"?*")&gt;0,"⚠ FALTANTE", "❌ SIN COMPLETAR")))</f>
        <v>❌ SIN COMPLETAR</v>
      </c>
      <c r="Q63" s="27">
        <v>45995</v>
      </c>
      <c r="R63" s="28" t="str">
        <f t="shared" si="20"/>
        <v>jue</v>
      </c>
      <c r="S63" s="29">
        <v>0.58333333333333304</v>
      </c>
      <c r="T63" s="19" t="s">
        <v>7</v>
      </c>
      <c r="U63" s="19"/>
      <c r="V63" s="19"/>
      <c r="W63" s="30" t="str">
        <f>IF(COUNTIF(T63:V63,"?*")=$P$7,"✅ CUBIERTO",IF(COUNTIF(T63:V63,"?*")&gt;$P$7,"⚠ EXCESO",
IF(COUNTIF(T63:V63,"?*")&gt;0,"⚠ FALTANTE", "❌ SIN COMPLETAR")))</f>
        <v>✅ CUBIERTO</v>
      </c>
    </row>
    <row r="64" spans="1:23" x14ac:dyDescent="0.35">
      <c r="A64" s="27">
        <v>45995</v>
      </c>
      <c r="B64" s="28" t="str">
        <f t="shared" si="18"/>
        <v>jue</v>
      </c>
      <c r="C64" s="29">
        <v>0.625</v>
      </c>
      <c r="D64" s="19" t="s">
        <v>3</v>
      </c>
      <c r="E64" s="19" t="s">
        <v>4</v>
      </c>
      <c r="F64" s="19"/>
      <c r="G64" s="30" t="str">
        <f>IF(COUNTIF(D64:F64,"?*")=$P$5,"✅ CUBIERTO",
IF(COUNTIF(D64:F64,"?*")&gt;$P$5,"⚠ EXCESO",IF(COUNTIF(D64:F64,"?*")&gt;0,"⚠ FALTANTE",
"❌ SIN COMPLETAR")))</f>
        <v>✅ CUBIERTO</v>
      </c>
      <c r="I64" s="27">
        <v>45995</v>
      </c>
      <c r="J64" s="28" t="str">
        <f t="shared" si="19"/>
        <v>jue</v>
      </c>
      <c r="K64" s="29">
        <v>0.625</v>
      </c>
      <c r="L64" s="19"/>
      <c r="M64" s="19"/>
      <c r="N64" s="19"/>
      <c r="O64" s="31" t="str">
        <f>IF(COUNTIF(L64:N64,"?*")=$P$6,"✅ CUBIERTO",IF(COUNTIF(L64:N64,"?*")&gt;$P$6,"⚠ EXCESO",
IF(COUNTIF(L64:N64,"?*")&gt;0,"⚠ FALTANTE", "❌ SIN COMPLETAR")))</f>
        <v>❌ SIN COMPLETAR</v>
      </c>
      <c r="Q64" s="27">
        <v>45995</v>
      </c>
      <c r="R64" s="28" t="str">
        <f t="shared" si="20"/>
        <v>jue</v>
      </c>
      <c r="S64" s="29">
        <v>0.625</v>
      </c>
      <c r="T64" s="19" t="s">
        <v>7</v>
      </c>
      <c r="U64" s="19"/>
      <c r="V64" s="19"/>
      <c r="W64" s="30" t="str">
        <f>IF(COUNTIF(T64:V64,"?*")=$P$7,"✅ CUBIERTO",IF(COUNTIF(T64:V64,"?*")&gt;$P$7,"⚠ EXCESO",
IF(COUNTIF(T64:V64,"?*")&gt;0,"⚠ FALTANTE", "❌ SIN COMPLETAR")))</f>
        <v>✅ CUBIERTO</v>
      </c>
    </row>
    <row r="65" spans="1:23" x14ac:dyDescent="0.35">
      <c r="A65" s="27">
        <v>45995</v>
      </c>
      <c r="B65" s="28" t="str">
        <f t="shared" si="18"/>
        <v>jue</v>
      </c>
      <c r="C65" s="29">
        <v>0.66666666666666696</v>
      </c>
      <c r="D65" s="19" t="s">
        <v>30</v>
      </c>
      <c r="E65" s="19" t="s">
        <v>4</v>
      </c>
      <c r="F65" s="19"/>
      <c r="G65" s="30" t="str">
        <f>IF(COUNTIF(D65:F65,"?*")=$P$5,"✅ CUBIERTO",
IF(COUNTIF(D65:F65,"?*")&gt;$P$5,"⚠ EXCESO",IF(COUNTIF(D65:F65,"?*")&gt;0,"⚠ FALTANTE",
"❌ SIN COMPLETAR")))</f>
        <v>✅ CUBIERTO</v>
      </c>
      <c r="I65" s="27">
        <v>45995</v>
      </c>
      <c r="J65" s="28" t="str">
        <f t="shared" si="19"/>
        <v>jue</v>
      </c>
      <c r="K65" s="29">
        <v>0.66666666666666696</v>
      </c>
      <c r="L65" s="19"/>
      <c r="M65" s="19"/>
      <c r="N65" s="19"/>
      <c r="O65" s="31" t="str">
        <f>IF(COUNTIF(L65:N65,"?*")=$P$6,"✅ CUBIERTO",IF(COUNTIF(L65:N65,"?*")&gt;$P$6,"⚠ EXCESO",
IF(COUNTIF(L65:N65,"?*")&gt;0,"⚠ FALTANTE", "❌ SIN COMPLETAR")))</f>
        <v>❌ SIN COMPLETAR</v>
      </c>
      <c r="Q65" s="27">
        <v>45995</v>
      </c>
      <c r="R65" s="28" t="str">
        <f t="shared" si="20"/>
        <v>jue</v>
      </c>
      <c r="S65" s="29">
        <v>0.66666666666666696</v>
      </c>
      <c r="T65" s="19" t="s">
        <v>31</v>
      </c>
      <c r="U65" s="19"/>
      <c r="V65" s="19"/>
      <c r="W65" s="30" t="str">
        <f>IF(COUNTIF(T65:V65,"?*")=$P$7,"✅ CUBIERTO",IF(COUNTIF(T65:V65,"?*")&gt;$P$7,"⚠ EXCESO",
IF(COUNTIF(T65:V65,"?*")&gt;0,"⚠ FALTANTE", "❌ SIN COMPLETAR")))</f>
        <v>✅ CUBIERTO</v>
      </c>
    </row>
    <row r="66" spans="1:23" x14ac:dyDescent="0.35">
      <c r="A66" s="27">
        <v>45995</v>
      </c>
      <c r="B66" s="28" t="str">
        <f t="shared" si="18"/>
        <v>jue</v>
      </c>
      <c r="C66" s="29">
        <v>0.70833333333333304</v>
      </c>
      <c r="D66" s="19" t="s">
        <v>30</v>
      </c>
      <c r="E66" s="19" t="s">
        <v>4</v>
      </c>
      <c r="F66" s="19"/>
      <c r="G66" s="30" t="str">
        <f>IF(COUNTIF(D66:F66,"?*")=$P$5,"✅ CUBIERTO",
IF(COUNTIF(D66:F66,"?*")&gt;$P$5,"⚠ EXCESO",IF(COUNTIF(D66:F66,"?*")&gt;0,"⚠ FALTANTE",
"❌ SIN COMPLETAR")))</f>
        <v>✅ CUBIERTO</v>
      </c>
      <c r="I66" s="27">
        <v>45995</v>
      </c>
      <c r="J66" s="28" t="str">
        <f t="shared" si="19"/>
        <v>jue</v>
      </c>
      <c r="K66" s="29">
        <v>0.70833333333333304</v>
      </c>
      <c r="L66" s="19"/>
      <c r="M66" s="19"/>
      <c r="N66" s="19"/>
      <c r="O66" s="31" t="str">
        <f>IF(COUNTIF(L66:N66,"?*")=$P$6,"✅ CUBIERTO",IF(COUNTIF(L66:N66,"?*")&gt;$P$6,"⚠ EXCESO",
IF(COUNTIF(L66:N66,"?*")&gt;0,"⚠ FALTANTE", "❌ SIN COMPLETAR")))</f>
        <v>❌ SIN COMPLETAR</v>
      </c>
      <c r="Q66" s="27">
        <v>45995</v>
      </c>
      <c r="R66" s="28" t="str">
        <f t="shared" si="20"/>
        <v>jue</v>
      </c>
      <c r="S66" s="29">
        <v>0.70833333333333304</v>
      </c>
      <c r="T66" s="19" t="s">
        <v>31</v>
      </c>
      <c r="U66" s="19"/>
      <c r="V66" s="19"/>
      <c r="W66" s="30" t="str">
        <f>IF(COUNTIF(T66:V66,"?*")=$P$7,"✅ CUBIERTO",IF(COUNTIF(T66:V66,"?*")&gt;$P$7,"⚠ EXCESO",
IF(COUNTIF(T66:V66,"?*")&gt;0,"⚠ FALTANTE", "❌ SIN COMPLETAR")))</f>
        <v>✅ CUBIERTO</v>
      </c>
    </row>
    <row r="67" spans="1:23" x14ac:dyDescent="0.35">
      <c r="A67" s="27">
        <v>45995</v>
      </c>
      <c r="B67" s="28" t="str">
        <f t="shared" si="18"/>
        <v>jue</v>
      </c>
      <c r="C67" s="29">
        <v>0.75</v>
      </c>
      <c r="D67" s="19" t="s">
        <v>30</v>
      </c>
      <c r="E67" s="19" t="s">
        <v>4</v>
      </c>
      <c r="F67" s="19"/>
      <c r="G67" s="30" t="str">
        <f>IF(COUNTIF(D67:F67,"?*")=$P$5,"✅ CUBIERTO",
IF(COUNTIF(D67:F67,"?*")&gt;$P$5,"⚠ EXCESO",IF(COUNTIF(D67:F67,"?*")&gt;0,"⚠ FALTANTE",
"❌ SIN COMPLETAR")))</f>
        <v>✅ CUBIERTO</v>
      </c>
      <c r="I67" s="27">
        <v>45995</v>
      </c>
      <c r="J67" s="28" t="str">
        <f t="shared" si="19"/>
        <v>jue</v>
      </c>
      <c r="K67" s="29">
        <v>0.75</v>
      </c>
      <c r="L67" s="25"/>
      <c r="M67" s="25"/>
      <c r="N67" s="25"/>
      <c r="O67" s="31" t="s">
        <v>32</v>
      </c>
      <c r="Q67" s="27">
        <v>45995</v>
      </c>
      <c r="R67" s="28" t="str">
        <f t="shared" si="20"/>
        <v>jue</v>
      </c>
      <c r="S67" s="29">
        <v>0.75</v>
      </c>
      <c r="T67" s="19" t="s">
        <v>31</v>
      </c>
      <c r="U67" s="19"/>
      <c r="V67" s="19"/>
      <c r="W67" s="30" t="str">
        <f>IF(COUNTIF(T67:V67,"?*")=$P$7,"✅ CUBIERTO",IF(COUNTIF(T67:V67,"?*")&gt;$P$7,"⚠ EXCESO",
IF(COUNTIF(T67:V67,"?*")&gt;0,"⚠ FALTANTE", "❌ SIN COMPLETAR")))</f>
        <v>✅ CUBIERTO</v>
      </c>
    </row>
    <row r="68" spans="1:23" x14ac:dyDescent="0.35">
      <c r="A68" s="27">
        <v>45995</v>
      </c>
      <c r="B68" s="28" t="str">
        <f t="shared" si="18"/>
        <v>jue</v>
      </c>
      <c r="C68" s="29">
        <v>0.79166666666666696</v>
      </c>
      <c r="D68" s="19" t="s">
        <v>30</v>
      </c>
      <c r="E68" s="19" t="s">
        <v>4</v>
      </c>
      <c r="F68" s="19"/>
      <c r="G68" s="30" t="str">
        <f>IF(COUNTIF(D68:F68,"?*")=$P$5,"✅ CUBIERTO",
IF(COUNTIF(D68:F68,"?*")&gt;$P$5,"⚠ EXCESO",IF(COUNTIF(D68:F68,"?*")&gt;0,"⚠ FALTANTE",
"❌ SIN COMPLETAR")))</f>
        <v>✅ CUBIERTO</v>
      </c>
      <c r="I68" s="27">
        <v>45995</v>
      </c>
      <c r="J68" s="28" t="str">
        <f t="shared" si="19"/>
        <v>jue</v>
      </c>
      <c r="K68" s="29">
        <v>0.79166666666666696</v>
      </c>
      <c r="L68" s="25"/>
      <c r="M68" s="25"/>
      <c r="N68" s="25"/>
      <c r="O68" s="31" t="s">
        <v>32</v>
      </c>
      <c r="Q68" s="27">
        <v>45995</v>
      </c>
      <c r="R68" s="28" t="str">
        <f t="shared" si="20"/>
        <v>jue</v>
      </c>
      <c r="S68" s="29">
        <v>0.79166666666666696</v>
      </c>
      <c r="T68" s="19" t="s">
        <v>31</v>
      </c>
      <c r="U68" s="19"/>
      <c r="V68" s="19"/>
      <c r="W68" s="30" t="str">
        <f>IF(COUNTIF(T68:V68,"?*")=$P$7,"✅ CUBIERTO",IF(COUNTIF(T68:V68,"?*")&gt;$P$7,"⚠ EXCESO",
IF(COUNTIF(T68:V68,"?*")&gt;0,"⚠ FALTANTE", "❌ SIN COMPLETAR")))</f>
        <v>✅ CUBIERTO</v>
      </c>
    </row>
    <row r="69" spans="1:23" x14ac:dyDescent="0.35">
      <c r="A69" s="27">
        <v>45995</v>
      </c>
      <c r="B69" s="28" t="str">
        <f t="shared" si="18"/>
        <v>jue</v>
      </c>
      <c r="C69" s="29">
        <v>0.83333333333333337</v>
      </c>
      <c r="D69" s="25"/>
      <c r="E69" s="25"/>
      <c r="F69" s="25"/>
      <c r="G69" s="30" t="s">
        <v>32</v>
      </c>
      <c r="I69" s="27">
        <v>45995</v>
      </c>
      <c r="J69" s="28" t="str">
        <f t="shared" si="19"/>
        <v>jue</v>
      </c>
      <c r="K69" s="29">
        <v>0.83333333333333337</v>
      </c>
      <c r="L69" s="25"/>
      <c r="M69" s="25"/>
      <c r="N69" s="25"/>
      <c r="O69" s="31" t="s">
        <v>32</v>
      </c>
      <c r="Q69" s="27">
        <v>45995</v>
      </c>
      <c r="R69" s="28" t="str">
        <f t="shared" si="20"/>
        <v>jue</v>
      </c>
      <c r="S69" s="29">
        <v>0.83333333333333337</v>
      </c>
      <c r="T69" s="19" t="s">
        <v>31</v>
      </c>
      <c r="U69" s="19"/>
      <c r="V69" s="19"/>
      <c r="W69" s="30" t="str">
        <f>IF(COUNTIF(T69:V69,"?*")=$P$7,"✅ CUBIERTO",IF(COUNTIF(T69:V69,"?*")&gt;$P$7,"⚠ EXCESO",
IF(COUNTIF(T69:V69,"?*")&gt;0,"⚠ FALTANTE", "❌ SIN COMPLETAR")))</f>
        <v>✅ CUBIERTO</v>
      </c>
    </row>
    <row r="70" spans="1:23" x14ac:dyDescent="0.35">
      <c r="A70" s="27">
        <v>45996</v>
      </c>
      <c r="B70" s="28" t="str">
        <f>TEXT(A70,"ddd")</f>
        <v>vie</v>
      </c>
      <c r="C70" s="29">
        <v>0.375</v>
      </c>
      <c r="D70" s="25"/>
      <c r="E70" s="25"/>
      <c r="F70" s="25"/>
      <c r="G70" s="30" t="s">
        <v>32</v>
      </c>
      <c r="I70" s="27">
        <v>45996</v>
      </c>
      <c r="J70" s="28" t="str">
        <f>TEXT(I70,"ddd")</f>
        <v>vie</v>
      </c>
      <c r="K70" s="29">
        <v>0.375</v>
      </c>
      <c r="L70" s="19"/>
      <c r="M70" s="19"/>
      <c r="N70" s="19"/>
      <c r="O70" s="31" t="str">
        <f>IF(COUNTIF(L70:N70,"?*")=$P$6,"✅ CUBIERTO",IF(COUNTIF(L70:N70,"?*")&gt;$P$6,"⚠ EXCESO",
IF(COUNTIF(L70:N70,"?*")&gt;0,"⚠ FALTANTE", "❌ SIN COMPLETAR")))</f>
        <v>❌ SIN COMPLETAR</v>
      </c>
      <c r="Q70" s="27">
        <v>45996</v>
      </c>
      <c r="R70" s="28" t="str">
        <f>TEXT(Q70,"ddd")</f>
        <v>vie</v>
      </c>
      <c r="S70" s="29">
        <v>0.375</v>
      </c>
      <c r="T70" s="25"/>
      <c r="U70" s="25"/>
      <c r="V70" s="25"/>
      <c r="W70" s="30" t="s">
        <v>32</v>
      </c>
    </row>
    <row r="71" spans="1:23" x14ac:dyDescent="0.35">
      <c r="A71" s="27">
        <v>45996</v>
      </c>
      <c r="B71" s="28" t="str">
        <f>TEXT(A71,"ddd")</f>
        <v>vie</v>
      </c>
      <c r="C71" s="29">
        <v>0.41666666666666669</v>
      </c>
      <c r="D71" s="25"/>
      <c r="E71" s="25"/>
      <c r="F71" s="25"/>
      <c r="G71" s="30" t="s">
        <v>32</v>
      </c>
      <c r="I71" s="27">
        <v>45996</v>
      </c>
      <c r="J71" s="28" t="str">
        <f>TEXT(I71,"ddd")</f>
        <v>vie</v>
      </c>
      <c r="K71" s="29">
        <v>0.41666666666666669</v>
      </c>
      <c r="L71" s="19"/>
      <c r="M71" s="19"/>
      <c r="N71" s="19"/>
      <c r="O71" s="31" t="str">
        <f>IF(COUNTIF(L71:N71,"?*")=$P$6,"✅ CUBIERTO",IF(COUNTIF(L71:N71,"?*")&gt;$P$6,"⚠ EXCESO",
IF(COUNTIF(L71:N71,"?*")&gt;0,"⚠ FALTANTE", "❌ SIN COMPLETAR")))</f>
        <v>❌ SIN COMPLETAR</v>
      </c>
      <c r="Q71" s="27">
        <v>45996</v>
      </c>
      <c r="R71" s="28" t="str">
        <f>TEXT(Q71,"ddd")</f>
        <v>vie</v>
      </c>
      <c r="S71" s="29">
        <v>0.41666666666666669</v>
      </c>
      <c r="T71" s="19"/>
      <c r="U71" s="19"/>
      <c r="V71" s="19"/>
      <c r="W71" s="30" t="str">
        <f>IF(COUNTIF(T71:V71,"?*")=$P$7,"✅ CUBIERTO",IF(COUNTIF(T71:V71,"?*")&gt;$P$7,"⚠ EXCESO",
IF(COUNTIF(T71:V71,"?*")&gt;0,"⚠ FALTANTE", "❌ SIN COMPLETAR")))</f>
        <v>❌ SIN COMPLETAR</v>
      </c>
    </row>
    <row r="72" spans="1:23" x14ac:dyDescent="0.35">
      <c r="A72" s="27">
        <v>45996</v>
      </c>
      <c r="B72" s="28" t="str">
        <f>TEXT(A72,"ddd")</f>
        <v>vie</v>
      </c>
      <c r="C72" s="29">
        <v>0.45833333333333331</v>
      </c>
      <c r="D72" s="19" t="s">
        <v>3</v>
      </c>
      <c r="E72" s="19" t="s">
        <v>5</v>
      </c>
      <c r="F72" s="19"/>
      <c r="G72" s="30" t="str">
        <f>IF(COUNTIF(D72:F72,"?*")=$P$5,"✅ CUBIERTO",
IF(COUNTIF(D72:F72,"?*")&gt;$P$5,"⚠ EXCESO",IF(COUNTIF(D72:F72,"?*")&gt;0,"⚠ FALTANTE",
"❌ SIN COMPLETAR")))</f>
        <v>✅ CUBIERTO</v>
      </c>
      <c r="I72" s="27">
        <v>45996</v>
      </c>
      <c r="J72" s="28" t="str">
        <f>TEXT(I72,"ddd")</f>
        <v>vie</v>
      </c>
      <c r="K72" s="29">
        <v>0.45833333333333331</v>
      </c>
      <c r="L72" s="19"/>
      <c r="M72" s="19"/>
      <c r="N72" s="19"/>
      <c r="O72" s="31" t="str">
        <f>IF(COUNTIF(L72:N72,"?*")=$P$6,"✅ CUBIERTO",IF(COUNTIF(L72:N72,"?*")&gt;$P$6,"⚠ EXCESO",
IF(COUNTIF(L72:N72,"?*")&gt;0,"⚠ FALTANTE", "❌ SIN COMPLETAR")))</f>
        <v>❌ SIN COMPLETAR</v>
      </c>
      <c r="Q72" s="27">
        <v>45996</v>
      </c>
      <c r="R72" s="28" t="str">
        <f>TEXT(Q72,"ddd")</f>
        <v>vie</v>
      </c>
      <c r="S72" s="29">
        <v>0.45833333333333331</v>
      </c>
      <c r="T72" s="19"/>
      <c r="U72" s="19"/>
      <c r="V72" s="19"/>
      <c r="W72" s="30" t="str">
        <f>IF(COUNTIF(T72:V72,"?*")=$P$7,"✅ CUBIERTO",IF(COUNTIF(T72:V72,"?*")&gt;$P$7,"⚠ EXCESO",
IF(COUNTIF(T72:V72,"?*")&gt;0,"⚠ FALTANTE", "❌ SIN COMPLETAR")))</f>
        <v>❌ SIN COMPLETAR</v>
      </c>
    </row>
    <row r="73" spans="1:23" x14ac:dyDescent="0.35">
      <c r="A73" s="27">
        <v>45996</v>
      </c>
      <c r="B73" s="28" t="str">
        <f t="shared" ref="B73:B81" si="21">TEXT(A73,"ddd")</f>
        <v>vie</v>
      </c>
      <c r="C73" s="29">
        <v>0.5</v>
      </c>
      <c r="D73" s="19" t="s">
        <v>3</v>
      </c>
      <c r="E73" s="19" t="s">
        <v>5</v>
      </c>
      <c r="F73" s="19"/>
      <c r="G73" s="30" t="str">
        <f>IF(COUNTIF(D73:F73,"?*")=$P$5,"✅ CUBIERTO",
IF(COUNTIF(D73:F73,"?*")&gt;$P$5,"⚠ EXCESO",IF(COUNTIF(D73:F73,"?*")&gt;0,"⚠ FALTANTE",
"❌ SIN COMPLETAR")))</f>
        <v>✅ CUBIERTO</v>
      </c>
      <c r="I73" s="27">
        <v>45996</v>
      </c>
      <c r="J73" s="28" t="str">
        <f t="shared" ref="J73:J81" si="22">TEXT(I73,"ddd")</f>
        <v>vie</v>
      </c>
      <c r="K73" s="29">
        <v>0.5</v>
      </c>
      <c r="L73" s="19"/>
      <c r="M73" s="19"/>
      <c r="N73" s="19"/>
      <c r="O73" s="31" t="str">
        <f>IF(COUNTIF(L73:N73,"?*")=$P$6,"✅ CUBIERTO",IF(COUNTIF(L73:N73,"?*")&gt;$P$6,"⚠ EXCESO",
IF(COUNTIF(L73:N73,"?*")&gt;0,"⚠ FALTANTE", "❌ SIN COMPLETAR")))</f>
        <v>❌ SIN COMPLETAR</v>
      </c>
      <c r="Q73" s="27">
        <v>45996</v>
      </c>
      <c r="R73" s="28" t="str">
        <f t="shared" ref="R73:R81" si="23">TEXT(Q73,"ddd")</f>
        <v>vie</v>
      </c>
      <c r="S73" s="29">
        <v>0.5</v>
      </c>
      <c r="T73" s="19"/>
      <c r="U73" s="19"/>
      <c r="V73" s="19"/>
      <c r="W73" s="30" t="str">
        <f>IF(COUNTIF(T73:V73,"?*")=$P$7,"✅ CUBIERTO",IF(COUNTIF(T73:V73,"?*")&gt;$P$7,"⚠ EXCESO",
IF(COUNTIF(T73:V73,"?*")&gt;0,"⚠ FALTANTE", "❌ SIN COMPLETAR")))</f>
        <v>❌ SIN COMPLETAR</v>
      </c>
    </row>
    <row r="74" spans="1:23" x14ac:dyDescent="0.35">
      <c r="A74" s="27">
        <v>45996</v>
      </c>
      <c r="B74" s="28" t="str">
        <f t="shared" si="21"/>
        <v>vie</v>
      </c>
      <c r="C74" s="29">
        <v>0.54166666666666696</v>
      </c>
      <c r="D74" s="19" t="s">
        <v>3</v>
      </c>
      <c r="E74" s="19" t="s">
        <v>5</v>
      </c>
      <c r="F74" s="19"/>
      <c r="G74" s="30" t="str">
        <f>IF(COUNTIF(D74:F74,"?*")=$P$5,"✅ CUBIERTO",
IF(COUNTIF(D74:F74,"?*")&gt;$P$5,"⚠ EXCESO",IF(COUNTIF(D74:F74,"?*")&gt;0,"⚠ FALTANTE",
"❌ SIN COMPLETAR")))</f>
        <v>✅ CUBIERTO</v>
      </c>
      <c r="I74" s="27">
        <v>45996</v>
      </c>
      <c r="J74" s="28" t="str">
        <f t="shared" si="22"/>
        <v>vie</v>
      </c>
      <c r="K74" s="29">
        <v>0.54166666666666696</v>
      </c>
      <c r="L74" s="19"/>
      <c r="M74" s="19"/>
      <c r="N74" s="19"/>
      <c r="O74" s="31" t="str">
        <f>IF(COUNTIF(L74:N74,"?*")=$P$6,"✅ CUBIERTO",IF(COUNTIF(L74:N74,"?*")&gt;$P$6,"⚠ EXCESO",
IF(COUNTIF(L74:N74,"?*")&gt;0,"⚠ FALTANTE", "❌ SIN COMPLETAR")))</f>
        <v>❌ SIN COMPLETAR</v>
      </c>
      <c r="Q74" s="27">
        <v>45996</v>
      </c>
      <c r="R74" s="28" t="str">
        <f t="shared" si="23"/>
        <v>vie</v>
      </c>
      <c r="S74" s="29">
        <v>0.54166666666666696</v>
      </c>
      <c r="T74" s="19"/>
      <c r="U74" s="19"/>
      <c r="V74" s="19"/>
      <c r="W74" s="30" t="str">
        <f>IF(COUNTIF(T74:V74,"?*")=$P$7,"✅ CUBIERTO",IF(COUNTIF(T74:V74,"?*")&gt;$P$7,"⚠ EXCESO",
IF(COUNTIF(T74:V74,"?*")&gt;0,"⚠ FALTANTE", "❌ SIN COMPLETAR")))</f>
        <v>❌ SIN COMPLETAR</v>
      </c>
    </row>
    <row r="75" spans="1:23" x14ac:dyDescent="0.35">
      <c r="A75" s="27">
        <v>45996</v>
      </c>
      <c r="B75" s="28" t="str">
        <f t="shared" si="21"/>
        <v>vie</v>
      </c>
      <c r="C75" s="29">
        <v>0.58333333333333304</v>
      </c>
      <c r="D75" s="19" t="s">
        <v>3</v>
      </c>
      <c r="E75" s="19" t="s">
        <v>5</v>
      </c>
      <c r="F75" s="19"/>
      <c r="G75" s="30" t="str">
        <f>IF(COUNTIF(D75:F75,"?*")=$P$5,"✅ CUBIERTO",
IF(COUNTIF(D75:F75,"?*")&gt;$P$5,"⚠ EXCESO",IF(COUNTIF(D75:F75,"?*")&gt;0,"⚠ FALTANTE",
"❌ SIN COMPLETAR")))</f>
        <v>✅ CUBIERTO</v>
      </c>
      <c r="I75" s="27">
        <v>45996</v>
      </c>
      <c r="J75" s="28" t="str">
        <f t="shared" si="22"/>
        <v>vie</v>
      </c>
      <c r="K75" s="29">
        <v>0.58333333333333304</v>
      </c>
      <c r="L75" s="19"/>
      <c r="M75" s="19"/>
      <c r="N75" s="19"/>
      <c r="O75" s="31" t="str">
        <f>IF(COUNTIF(L75:N75,"?*")=$P$6,"✅ CUBIERTO",IF(COUNTIF(L75:N75,"?*")&gt;$P$6,"⚠ EXCESO",
IF(COUNTIF(L75:N75,"?*")&gt;0,"⚠ FALTANTE", "❌ SIN COMPLETAR")))</f>
        <v>❌ SIN COMPLETAR</v>
      </c>
      <c r="Q75" s="27">
        <v>45996</v>
      </c>
      <c r="R75" s="28" t="str">
        <f t="shared" si="23"/>
        <v>vie</v>
      </c>
      <c r="S75" s="29">
        <v>0.58333333333333304</v>
      </c>
      <c r="T75" s="19"/>
      <c r="U75" s="19"/>
      <c r="V75" s="19"/>
      <c r="W75" s="30" t="str">
        <f>IF(COUNTIF(T75:V75,"?*")=$P$7,"✅ CUBIERTO",IF(COUNTIF(T75:V75,"?*")&gt;$P$7,"⚠ EXCESO",
IF(COUNTIF(T75:V75,"?*")&gt;0,"⚠ FALTANTE", "❌ SIN COMPLETAR")))</f>
        <v>❌ SIN COMPLETAR</v>
      </c>
    </row>
    <row r="76" spans="1:23" x14ac:dyDescent="0.35">
      <c r="A76" s="27">
        <v>45996</v>
      </c>
      <c r="B76" s="28" t="str">
        <f t="shared" si="21"/>
        <v>vie</v>
      </c>
      <c r="C76" s="29">
        <v>0.625</v>
      </c>
      <c r="D76" s="19" t="s">
        <v>3</v>
      </c>
      <c r="E76" s="19" t="s">
        <v>4</v>
      </c>
      <c r="F76" s="19"/>
      <c r="G76" s="30" t="str">
        <f>IF(COUNTIF(D76:F76,"?*")=$P$5,"✅ CUBIERTO",
IF(COUNTIF(D76:F76,"?*")&gt;$P$5,"⚠ EXCESO",IF(COUNTIF(D76:F76,"?*")&gt;0,"⚠ FALTANTE",
"❌ SIN COMPLETAR")))</f>
        <v>✅ CUBIERTO</v>
      </c>
      <c r="I76" s="27">
        <v>45996</v>
      </c>
      <c r="J76" s="28" t="str">
        <f t="shared" si="22"/>
        <v>vie</v>
      </c>
      <c r="K76" s="29">
        <v>0.625</v>
      </c>
      <c r="L76" s="19"/>
      <c r="M76" s="19"/>
      <c r="N76" s="19"/>
      <c r="O76" s="31" t="str">
        <f>IF(COUNTIF(L76:N76,"?*")=$P$6,"✅ CUBIERTO",IF(COUNTIF(L76:N76,"?*")&gt;$P$6,"⚠ EXCESO",
IF(COUNTIF(L76:N76,"?*")&gt;0,"⚠ FALTANTE", "❌ SIN COMPLETAR")))</f>
        <v>❌ SIN COMPLETAR</v>
      </c>
      <c r="Q76" s="27">
        <v>45996</v>
      </c>
      <c r="R76" s="28" t="str">
        <f t="shared" si="23"/>
        <v>vie</v>
      </c>
      <c r="S76" s="29">
        <v>0.625</v>
      </c>
      <c r="T76" s="19"/>
      <c r="U76" s="19"/>
      <c r="V76" s="19"/>
      <c r="W76" s="30" t="str">
        <f>IF(COUNTIF(T76:V76,"?*")=$P$7,"✅ CUBIERTO",IF(COUNTIF(T76:V76,"?*")&gt;$P$7,"⚠ EXCESO",
IF(COUNTIF(T76:V76,"?*")&gt;0,"⚠ FALTANTE", "❌ SIN COMPLETAR")))</f>
        <v>❌ SIN COMPLETAR</v>
      </c>
    </row>
    <row r="77" spans="1:23" x14ac:dyDescent="0.35">
      <c r="A77" s="27">
        <v>45996</v>
      </c>
      <c r="B77" s="28" t="str">
        <f t="shared" si="21"/>
        <v>vie</v>
      </c>
      <c r="C77" s="29">
        <v>0.66666666666666696</v>
      </c>
      <c r="D77" s="19" t="s">
        <v>30</v>
      </c>
      <c r="E77" s="19" t="s">
        <v>4</v>
      </c>
      <c r="F77" s="19"/>
      <c r="G77" s="30" t="str">
        <f>IF(COUNTIF(D77:F77,"?*")=$P$5,"✅ CUBIERTO",
IF(COUNTIF(D77:F77,"?*")&gt;$P$5,"⚠ EXCESO",IF(COUNTIF(D77:F77,"?*")&gt;0,"⚠ FALTANTE",
"❌ SIN COMPLETAR")))</f>
        <v>✅ CUBIERTO</v>
      </c>
      <c r="I77" s="27">
        <v>45996</v>
      </c>
      <c r="J77" s="28" t="str">
        <f t="shared" si="22"/>
        <v>vie</v>
      </c>
      <c r="K77" s="29">
        <v>0.66666666666666696</v>
      </c>
      <c r="L77" s="19"/>
      <c r="M77" s="19"/>
      <c r="N77" s="19"/>
      <c r="O77" s="31" t="str">
        <f>IF(COUNTIF(L77:N77,"?*")=$P$6,"✅ CUBIERTO",IF(COUNTIF(L77:N77,"?*")&gt;$P$6,"⚠ EXCESO",
IF(COUNTIF(L77:N77,"?*")&gt;0,"⚠ FALTANTE", "❌ SIN COMPLETAR")))</f>
        <v>❌ SIN COMPLETAR</v>
      </c>
      <c r="Q77" s="27">
        <v>45996</v>
      </c>
      <c r="R77" s="28" t="str">
        <f t="shared" si="23"/>
        <v>vie</v>
      </c>
      <c r="S77" s="29">
        <v>0.66666666666666696</v>
      </c>
      <c r="T77" s="19"/>
      <c r="U77" s="19"/>
      <c r="V77" s="19"/>
      <c r="W77" s="30" t="str">
        <f>IF(COUNTIF(T77:V77,"?*")=$P$7,"✅ CUBIERTO",IF(COUNTIF(T77:V77,"?*")&gt;$P$7,"⚠ EXCESO",
IF(COUNTIF(T77:V77,"?*")&gt;0,"⚠ FALTANTE", "❌ SIN COMPLETAR")))</f>
        <v>❌ SIN COMPLETAR</v>
      </c>
    </row>
    <row r="78" spans="1:23" x14ac:dyDescent="0.35">
      <c r="A78" s="27">
        <v>45996</v>
      </c>
      <c r="B78" s="28" t="str">
        <f t="shared" si="21"/>
        <v>vie</v>
      </c>
      <c r="C78" s="29">
        <v>0.70833333333333304</v>
      </c>
      <c r="D78" s="19" t="s">
        <v>30</v>
      </c>
      <c r="E78" s="19" t="s">
        <v>4</v>
      </c>
      <c r="F78" s="19"/>
      <c r="G78" s="30" t="str">
        <f>IF(COUNTIF(D78:F78,"?*")=$P$5,"✅ CUBIERTO",
IF(COUNTIF(D78:F78,"?*")&gt;$P$5,"⚠ EXCESO",IF(COUNTIF(D78:F78,"?*")&gt;0,"⚠ FALTANTE",
"❌ SIN COMPLETAR")))</f>
        <v>✅ CUBIERTO</v>
      </c>
      <c r="I78" s="27">
        <v>45996</v>
      </c>
      <c r="J78" s="28" t="str">
        <f t="shared" si="22"/>
        <v>vie</v>
      </c>
      <c r="K78" s="29">
        <v>0.70833333333333304</v>
      </c>
      <c r="L78" s="19"/>
      <c r="M78" s="19"/>
      <c r="N78" s="19"/>
      <c r="O78" s="31" t="str">
        <f>IF(COUNTIF(L78:N78,"?*")=$P$6,"✅ CUBIERTO",IF(COUNTIF(L78:N78,"?*")&gt;$P$6,"⚠ EXCESO",
IF(COUNTIF(L78:N78,"?*")&gt;0,"⚠ FALTANTE", "❌ SIN COMPLETAR")))</f>
        <v>❌ SIN COMPLETAR</v>
      </c>
      <c r="Q78" s="27">
        <v>45996</v>
      </c>
      <c r="R78" s="28" t="str">
        <f t="shared" si="23"/>
        <v>vie</v>
      </c>
      <c r="S78" s="29">
        <v>0.70833333333333304</v>
      </c>
      <c r="T78" s="19"/>
      <c r="U78" s="19"/>
      <c r="V78" s="19"/>
      <c r="W78" s="30" t="str">
        <f>IF(COUNTIF(T78:V78,"?*")=$P$7,"✅ CUBIERTO",IF(COUNTIF(T78:V78,"?*")&gt;$P$7,"⚠ EXCESO",
IF(COUNTIF(T78:V78,"?*")&gt;0,"⚠ FALTANTE", "❌ SIN COMPLETAR")))</f>
        <v>❌ SIN COMPLETAR</v>
      </c>
    </row>
    <row r="79" spans="1:23" x14ac:dyDescent="0.35">
      <c r="A79" s="27">
        <v>45996</v>
      </c>
      <c r="B79" s="28" t="str">
        <f t="shared" si="21"/>
        <v>vie</v>
      </c>
      <c r="C79" s="29">
        <v>0.75</v>
      </c>
      <c r="D79" s="19" t="s">
        <v>30</v>
      </c>
      <c r="E79" s="19" t="s">
        <v>4</v>
      </c>
      <c r="F79" s="19"/>
      <c r="G79" s="30" t="str">
        <f>IF(COUNTIF(D79:F79,"?*")=$P$5,"✅ CUBIERTO",
IF(COUNTIF(D79:F79,"?*")&gt;$P$5,"⚠ EXCESO",IF(COUNTIF(D79:F79,"?*")&gt;0,"⚠ FALTANTE",
"❌ SIN COMPLETAR")))</f>
        <v>✅ CUBIERTO</v>
      </c>
      <c r="I79" s="27">
        <v>45996</v>
      </c>
      <c r="J79" s="28" t="str">
        <f t="shared" si="22"/>
        <v>vie</v>
      </c>
      <c r="K79" s="29">
        <v>0.75</v>
      </c>
      <c r="L79" s="25"/>
      <c r="M79" s="25"/>
      <c r="N79" s="25"/>
      <c r="O79" s="31" t="s">
        <v>32</v>
      </c>
      <c r="Q79" s="27">
        <v>45996</v>
      </c>
      <c r="R79" s="28" t="str">
        <f t="shared" si="23"/>
        <v>vie</v>
      </c>
      <c r="S79" s="29">
        <v>0.75</v>
      </c>
      <c r="T79" s="19"/>
      <c r="U79" s="19"/>
      <c r="V79" s="19"/>
      <c r="W79" s="30" t="str">
        <f>IF(COUNTIF(T79:V79,"?*")=$P$7,"✅ CUBIERTO",IF(COUNTIF(T79:V79,"?*")&gt;$P$7,"⚠ EXCESO",
IF(COUNTIF(T79:V79,"?*")&gt;0,"⚠ FALTANTE", "❌ SIN COMPLETAR")))</f>
        <v>❌ SIN COMPLETAR</v>
      </c>
    </row>
    <row r="80" spans="1:23" x14ac:dyDescent="0.35">
      <c r="A80" s="27">
        <v>45996</v>
      </c>
      <c r="B80" s="28" t="str">
        <f t="shared" si="21"/>
        <v>vie</v>
      </c>
      <c r="C80" s="29">
        <v>0.79166666666666696</v>
      </c>
      <c r="D80" s="19" t="s">
        <v>30</v>
      </c>
      <c r="E80" s="19" t="s">
        <v>4</v>
      </c>
      <c r="F80" s="19"/>
      <c r="G80" s="30" t="str">
        <f>IF(COUNTIF(D80:F80,"?*")=$P$5,"✅ CUBIERTO",
IF(COUNTIF(D80:F80,"?*")&gt;$P$5,"⚠ EXCESO",IF(COUNTIF(D80:F80,"?*")&gt;0,"⚠ FALTANTE",
"❌ SIN COMPLETAR")))</f>
        <v>✅ CUBIERTO</v>
      </c>
      <c r="I80" s="27">
        <v>45996</v>
      </c>
      <c r="J80" s="28" t="str">
        <f t="shared" si="22"/>
        <v>vie</v>
      </c>
      <c r="K80" s="29">
        <v>0.79166666666666696</v>
      </c>
      <c r="L80" s="25"/>
      <c r="M80" s="25"/>
      <c r="N80" s="25"/>
      <c r="O80" s="31" t="s">
        <v>32</v>
      </c>
      <c r="Q80" s="27">
        <v>45996</v>
      </c>
      <c r="R80" s="28" t="str">
        <f t="shared" si="23"/>
        <v>vie</v>
      </c>
      <c r="S80" s="29">
        <v>0.79166666666666696</v>
      </c>
      <c r="T80" s="19"/>
      <c r="U80" s="19"/>
      <c r="V80" s="19"/>
      <c r="W80" s="30" t="str">
        <f>IF(COUNTIF(T80:V80,"?*")=$P$7,"✅ CUBIERTO",IF(COUNTIF(T80:V80,"?*")&gt;$P$7,"⚠ EXCESO",
IF(COUNTIF(T80:V80,"?*")&gt;0,"⚠ FALTANTE", "❌ SIN COMPLETAR")))</f>
        <v>❌ SIN COMPLETAR</v>
      </c>
    </row>
    <row r="81" spans="1:23" x14ac:dyDescent="0.35">
      <c r="A81" s="27">
        <v>45996</v>
      </c>
      <c r="B81" s="28" t="str">
        <f t="shared" si="21"/>
        <v>vie</v>
      </c>
      <c r="C81" s="29">
        <v>0.83333333333333337</v>
      </c>
      <c r="D81" s="25"/>
      <c r="E81" s="25"/>
      <c r="F81" s="25"/>
      <c r="G81" s="30" t="s">
        <v>32</v>
      </c>
      <c r="I81" s="27">
        <v>45996</v>
      </c>
      <c r="J81" s="28" t="str">
        <f t="shared" si="22"/>
        <v>vie</v>
      </c>
      <c r="K81" s="29">
        <v>0.83333333333333337</v>
      </c>
      <c r="L81" s="25"/>
      <c r="M81" s="25"/>
      <c r="N81" s="25"/>
      <c r="O81" s="31" t="s">
        <v>32</v>
      </c>
      <c r="Q81" s="27">
        <v>45996</v>
      </c>
      <c r="R81" s="28" t="str">
        <f t="shared" si="23"/>
        <v>vie</v>
      </c>
      <c r="S81" s="29">
        <v>0.83333333333333337</v>
      </c>
      <c r="T81" s="19"/>
      <c r="U81" s="19"/>
      <c r="V81" s="19"/>
      <c r="W81" s="30" t="str">
        <f>IF(COUNTIF(T81:V81,"?*")=$P$7,"✅ CUBIERTO",IF(COUNTIF(T81:V81,"?*")&gt;$P$7,"⚠ EXCESO",
IF(COUNTIF(T81:V81,"?*")&gt;0,"⚠ FALTANTE", "❌ SIN COMPLETAR")))</f>
        <v>❌ SIN COMPLETAR</v>
      </c>
    </row>
    <row r="82" spans="1:23" x14ac:dyDescent="0.35">
      <c r="A82" s="27">
        <v>45997</v>
      </c>
      <c r="B82" s="28" t="str">
        <f>TEXT(A82,"ddd")</f>
        <v>sáb</v>
      </c>
      <c r="C82" s="29">
        <v>0.375</v>
      </c>
      <c r="D82" s="25"/>
      <c r="E82" s="25"/>
      <c r="F82" s="25"/>
      <c r="G82" s="30" t="s">
        <v>32</v>
      </c>
      <c r="I82" s="27">
        <v>45997</v>
      </c>
      <c r="J82" s="28" t="str">
        <f>TEXT(I82,"ddd")</f>
        <v>sáb</v>
      </c>
      <c r="K82" s="29">
        <v>0.375</v>
      </c>
      <c r="L82" s="25"/>
      <c r="M82" s="25"/>
      <c r="N82" s="25"/>
      <c r="O82" s="31" t="s">
        <v>32</v>
      </c>
      <c r="Q82" s="27">
        <v>45997</v>
      </c>
      <c r="R82" s="28" t="str">
        <f>TEXT(Q82,"ddd")</f>
        <v>sáb</v>
      </c>
      <c r="S82" s="29">
        <v>0.375</v>
      </c>
      <c r="T82" s="25"/>
      <c r="U82" s="25"/>
      <c r="V82" s="25"/>
      <c r="W82" s="30" t="s">
        <v>32</v>
      </c>
    </row>
    <row r="83" spans="1:23" x14ac:dyDescent="0.35">
      <c r="A83" s="27">
        <v>45997</v>
      </c>
      <c r="B83" s="28" t="str">
        <f>TEXT(A83,"ddd")</f>
        <v>sáb</v>
      </c>
      <c r="C83" s="29">
        <v>0.41666666666666669</v>
      </c>
      <c r="D83" s="25"/>
      <c r="E83" s="25"/>
      <c r="F83" s="25"/>
      <c r="G83" s="30" t="s">
        <v>32</v>
      </c>
      <c r="I83" s="27">
        <v>45997</v>
      </c>
      <c r="J83" s="28" t="str">
        <f>TEXT(I83,"ddd")</f>
        <v>sáb</v>
      </c>
      <c r="K83" s="29">
        <v>0.41666666666666669</v>
      </c>
      <c r="L83" s="25"/>
      <c r="M83" s="25"/>
      <c r="N83" s="25"/>
      <c r="O83" s="31" t="s">
        <v>32</v>
      </c>
      <c r="Q83" s="27">
        <v>45997</v>
      </c>
      <c r="R83" s="28" t="str">
        <f>TEXT(Q83,"ddd")</f>
        <v>sáb</v>
      </c>
      <c r="S83" s="29">
        <v>0.41666666666666669</v>
      </c>
      <c r="T83" s="19"/>
      <c r="U83" s="19"/>
      <c r="V83" s="19"/>
      <c r="W83" s="30" t="str">
        <f>IF(COUNTIF(T83:V83,"?*")=$P$7,"✅ CUBIERTO",IF(COUNTIF(T83:V83,"?*")&gt;$P$7,"⚠ EXCESO",
IF(COUNTIF(T83:V83,"?*")&gt;0,"⚠ FALTANTE", "❌ SIN COMPLETAR")))</f>
        <v>❌ SIN COMPLETAR</v>
      </c>
    </row>
    <row r="84" spans="1:23" x14ac:dyDescent="0.35">
      <c r="A84" s="27">
        <v>45997</v>
      </c>
      <c r="B84" s="28" t="str">
        <f>TEXT(A84,"ddd")</f>
        <v>sáb</v>
      </c>
      <c r="C84" s="29">
        <v>0.45833333333333331</v>
      </c>
      <c r="D84" s="19" t="s">
        <v>3</v>
      </c>
      <c r="E84" s="19" t="s">
        <v>5</v>
      </c>
      <c r="F84" s="19"/>
      <c r="G84" s="30" t="str">
        <f>IF(COUNTIF(D84:F84,"?*")=$P$5,"✅ CUBIERTO",
IF(COUNTIF(D84:F84,"?*")&gt;$P$5,"⚠ EXCESO",IF(COUNTIF(D84:F84,"?*")&gt;0,"⚠ FALTANTE",
"❌ SIN COMPLETAR")))</f>
        <v>✅ CUBIERTO</v>
      </c>
      <c r="I84" s="27">
        <v>45997</v>
      </c>
      <c r="J84" s="28" t="str">
        <f>TEXT(I84,"ddd")</f>
        <v>sáb</v>
      </c>
      <c r="K84" s="29">
        <v>0.45833333333333331</v>
      </c>
      <c r="L84" s="25"/>
      <c r="M84" s="25"/>
      <c r="N84" s="25"/>
      <c r="O84" s="31" t="s">
        <v>32</v>
      </c>
      <c r="Q84" s="27">
        <v>45997</v>
      </c>
      <c r="R84" s="28" t="str">
        <f>TEXT(Q84,"ddd")</f>
        <v>sáb</v>
      </c>
      <c r="S84" s="29">
        <v>0.45833333333333331</v>
      </c>
      <c r="T84" s="19"/>
      <c r="U84" s="19"/>
      <c r="V84" s="19"/>
      <c r="W84" s="30" t="str">
        <f>IF(COUNTIF(T84:V84,"?*")=$P$7,"✅ CUBIERTO",IF(COUNTIF(T84:V84,"?*")&gt;$P$7,"⚠ EXCESO",
IF(COUNTIF(T84:V84,"?*")&gt;0,"⚠ FALTANTE", "❌ SIN COMPLETAR")))</f>
        <v>❌ SIN COMPLETAR</v>
      </c>
    </row>
    <row r="85" spans="1:23" x14ac:dyDescent="0.35">
      <c r="A85" s="27">
        <v>45997</v>
      </c>
      <c r="B85" s="28" t="str">
        <f t="shared" ref="B85:B93" si="24">TEXT(A85,"ddd")</f>
        <v>sáb</v>
      </c>
      <c r="C85" s="29">
        <v>0.5</v>
      </c>
      <c r="D85" s="19" t="s">
        <v>3</v>
      </c>
      <c r="E85" s="19" t="s">
        <v>5</v>
      </c>
      <c r="F85" s="19"/>
      <c r="G85" s="30" t="str">
        <f>IF(COUNTIF(D85:F85,"?*")=$P$5,"✅ CUBIERTO",
IF(COUNTIF(D85:F85,"?*")&gt;$P$5,"⚠ EXCESO",IF(COUNTIF(D85:F85,"?*")&gt;0,"⚠ FALTANTE",
"❌ SIN COMPLETAR")))</f>
        <v>✅ CUBIERTO</v>
      </c>
      <c r="I85" s="27">
        <v>45997</v>
      </c>
      <c r="J85" s="28" t="str">
        <f t="shared" ref="J85:J93" si="25">TEXT(I85,"ddd")</f>
        <v>sáb</v>
      </c>
      <c r="K85" s="29">
        <v>0.5</v>
      </c>
      <c r="L85" s="25"/>
      <c r="M85" s="25"/>
      <c r="N85" s="25"/>
      <c r="O85" s="31" t="s">
        <v>32</v>
      </c>
      <c r="Q85" s="27">
        <v>45997</v>
      </c>
      <c r="R85" s="28" t="str">
        <f t="shared" ref="R85:R93" si="26">TEXT(Q85,"ddd")</f>
        <v>sáb</v>
      </c>
      <c r="S85" s="29">
        <v>0.5</v>
      </c>
      <c r="T85" s="19"/>
      <c r="U85" s="19"/>
      <c r="V85" s="19"/>
      <c r="W85" s="30" t="str">
        <f>IF(COUNTIF(T85:V85,"?*")=$P$7,"✅ CUBIERTO",IF(COUNTIF(T85:V85,"?*")&gt;$P$7,"⚠ EXCESO",
IF(COUNTIF(T85:V85,"?*")&gt;0,"⚠ FALTANTE", "❌ SIN COMPLETAR")))</f>
        <v>❌ SIN COMPLETAR</v>
      </c>
    </row>
    <row r="86" spans="1:23" x14ac:dyDescent="0.35">
      <c r="A86" s="27">
        <v>45997</v>
      </c>
      <c r="B86" s="28" t="str">
        <f t="shared" si="24"/>
        <v>sáb</v>
      </c>
      <c r="C86" s="29">
        <v>0.54166666666666696</v>
      </c>
      <c r="D86" s="19" t="s">
        <v>3</v>
      </c>
      <c r="E86" s="19" t="s">
        <v>5</v>
      </c>
      <c r="F86" s="19"/>
      <c r="G86" s="30" t="str">
        <f>IF(COUNTIF(D86:F86,"?*")=$P$5,"✅ CUBIERTO",
IF(COUNTIF(D86:F86,"?*")&gt;$P$5,"⚠ EXCESO",IF(COUNTIF(D86:F86,"?*")&gt;0,"⚠ FALTANTE",
"❌ SIN COMPLETAR")))</f>
        <v>✅ CUBIERTO</v>
      </c>
      <c r="I86" s="27">
        <v>45997</v>
      </c>
      <c r="J86" s="28" t="str">
        <f t="shared" si="25"/>
        <v>sáb</v>
      </c>
      <c r="K86" s="29">
        <v>0.54166666666666696</v>
      </c>
      <c r="L86" s="25"/>
      <c r="M86" s="25"/>
      <c r="N86" s="25"/>
      <c r="O86" s="31" t="s">
        <v>32</v>
      </c>
      <c r="Q86" s="27">
        <v>45997</v>
      </c>
      <c r="R86" s="28" t="str">
        <f t="shared" si="26"/>
        <v>sáb</v>
      </c>
      <c r="S86" s="29">
        <v>0.54166666666666696</v>
      </c>
      <c r="T86" s="19"/>
      <c r="U86" s="19"/>
      <c r="V86" s="19"/>
      <c r="W86" s="30" t="str">
        <f>IF(COUNTIF(T86:V86,"?*")=$P$7,"✅ CUBIERTO",IF(COUNTIF(T86:V86,"?*")&gt;$P$7,"⚠ EXCESO",
IF(COUNTIF(T86:V86,"?*")&gt;0,"⚠ FALTANTE", "❌ SIN COMPLETAR")))</f>
        <v>❌ SIN COMPLETAR</v>
      </c>
    </row>
    <row r="87" spans="1:23" x14ac:dyDescent="0.35">
      <c r="A87" s="27">
        <v>45997</v>
      </c>
      <c r="B87" s="28" t="str">
        <f t="shared" si="24"/>
        <v>sáb</v>
      </c>
      <c r="C87" s="29">
        <v>0.58333333333333304</v>
      </c>
      <c r="D87" s="19" t="s">
        <v>3</v>
      </c>
      <c r="E87" s="19" t="s">
        <v>5</v>
      </c>
      <c r="F87" s="19"/>
      <c r="G87" s="30" t="str">
        <f>IF(COUNTIF(D87:F87,"?*")=$P$5,"✅ CUBIERTO",
IF(COUNTIF(D87:F87,"?*")&gt;$P$5,"⚠ EXCESO",IF(COUNTIF(D87:F87,"?*")&gt;0,"⚠ FALTANTE",
"❌ SIN COMPLETAR")))</f>
        <v>✅ CUBIERTO</v>
      </c>
      <c r="I87" s="27">
        <v>45997</v>
      </c>
      <c r="J87" s="28" t="str">
        <f t="shared" si="25"/>
        <v>sáb</v>
      </c>
      <c r="K87" s="29">
        <v>0.58333333333333304</v>
      </c>
      <c r="L87" s="25"/>
      <c r="M87" s="25"/>
      <c r="N87" s="25"/>
      <c r="O87" s="31" t="s">
        <v>32</v>
      </c>
      <c r="Q87" s="27">
        <v>45997</v>
      </c>
      <c r="R87" s="28" t="str">
        <f t="shared" si="26"/>
        <v>sáb</v>
      </c>
      <c r="S87" s="29">
        <v>0.58333333333333304</v>
      </c>
      <c r="T87" s="19"/>
      <c r="U87" s="19"/>
      <c r="V87" s="19"/>
      <c r="W87" s="30" t="str">
        <f>IF(COUNTIF(T87:V87,"?*")=$P$7,"✅ CUBIERTO",IF(COUNTIF(T87:V87,"?*")&gt;$P$7,"⚠ EXCESO",
IF(COUNTIF(T87:V87,"?*")&gt;0,"⚠ FALTANTE", "❌ SIN COMPLETAR")))</f>
        <v>❌ SIN COMPLETAR</v>
      </c>
    </row>
    <row r="88" spans="1:23" x14ac:dyDescent="0.35">
      <c r="A88" s="27">
        <v>45997</v>
      </c>
      <c r="B88" s="28" t="str">
        <f t="shared" si="24"/>
        <v>sáb</v>
      </c>
      <c r="C88" s="29">
        <v>0.625</v>
      </c>
      <c r="D88" s="19" t="s">
        <v>3</v>
      </c>
      <c r="E88" s="19" t="s">
        <v>4</v>
      </c>
      <c r="F88" s="19"/>
      <c r="G88" s="30" t="str">
        <f>IF(COUNTIF(D88:F88,"?*")=$P$5,"✅ CUBIERTO",
IF(COUNTIF(D88:F88,"?*")&gt;$P$5,"⚠ EXCESO",IF(COUNTIF(D88:F88,"?*")&gt;0,"⚠ FALTANTE",
"❌ SIN COMPLETAR")))</f>
        <v>✅ CUBIERTO</v>
      </c>
      <c r="I88" s="27">
        <v>45997</v>
      </c>
      <c r="J88" s="28" t="str">
        <f t="shared" si="25"/>
        <v>sáb</v>
      </c>
      <c r="K88" s="29">
        <v>0.625</v>
      </c>
      <c r="L88" s="25"/>
      <c r="M88" s="25"/>
      <c r="N88" s="25"/>
      <c r="O88" s="31" t="s">
        <v>32</v>
      </c>
      <c r="Q88" s="27">
        <v>45997</v>
      </c>
      <c r="R88" s="28" t="str">
        <f t="shared" si="26"/>
        <v>sáb</v>
      </c>
      <c r="S88" s="29">
        <v>0.625</v>
      </c>
      <c r="T88" s="19"/>
      <c r="U88" s="19"/>
      <c r="V88" s="19"/>
      <c r="W88" s="30" t="str">
        <f>IF(COUNTIF(T88:V88,"?*")=$P$7,"✅ CUBIERTO",IF(COUNTIF(T88:V88,"?*")&gt;$P$7,"⚠ EXCESO",
IF(COUNTIF(T88:V88,"?*")&gt;0,"⚠ FALTANTE", "❌ SIN COMPLETAR")))</f>
        <v>❌ SIN COMPLETAR</v>
      </c>
    </row>
    <row r="89" spans="1:23" x14ac:dyDescent="0.35">
      <c r="A89" s="27">
        <v>45997</v>
      </c>
      <c r="B89" s="28" t="str">
        <f t="shared" si="24"/>
        <v>sáb</v>
      </c>
      <c r="C89" s="29">
        <v>0.66666666666666696</v>
      </c>
      <c r="D89" s="19" t="s">
        <v>30</v>
      </c>
      <c r="E89" s="19" t="s">
        <v>4</v>
      </c>
      <c r="F89" s="19"/>
      <c r="G89" s="30" t="str">
        <f>IF(COUNTIF(D89:F89,"?*")=$P$5,"✅ CUBIERTO",
IF(COUNTIF(D89:F89,"?*")&gt;$P$5,"⚠ EXCESO",IF(COUNTIF(D89:F89,"?*")&gt;0,"⚠ FALTANTE",
"❌ SIN COMPLETAR")))</f>
        <v>✅ CUBIERTO</v>
      </c>
      <c r="I89" s="27">
        <v>45997</v>
      </c>
      <c r="J89" s="28" t="str">
        <f t="shared" si="25"/>
        <v>sáb</v>
      </c>
      <c r="K89" s="29">
        <v>0.66666666666666696</v>
      </c>
      <c r="L89" s="25"/>
      <c r="M89" s="25"/>
      <c r="N89" s="25"/>
      <c r="O89" s="31" t="s">
        <v>32</v>
      </c>
      <c r="Q89" s="27">
        <v>45997</v>
      </c>
      <c r="R89" s="28" t="str">
        <f t="shared" si="26"/>
        <v>sáb</v>
      </c>
      <c r="S89" s="29">
        <v>0.66666666666666696</v>
      </c>
      <c r="T89" s="19"/>
      <c r="U89" s="19"/>
      <c r="V89" s="19"/>
      <c r="W89" s="30" t="str">
        <f>IF(COUNTIF(T89:V89,"?*")=$P$7,"✅ CUBIERTO",IF(COUNTIF(T89:V89,"?*")&gt;$P$7,"⚠ EXCESO",
IF(COUNTIF(T89:V89,"?*")&gt;0,"⚠ FALTANTE", "❌ SIN COMPLETAR")))</f>
        <v>❌ SIN COMPLETAR</v>
      </c>
    </row>
    <row r="90" spans="1:23" x14ac:dyDescent="0.35">
      <c r="A90" s="27">
        <v>45997</v>
      </c>
      <c r="B90" s="28" t="str">
        <f t="shared" si="24"/>
        <v>sáb</v>
      </c>
      <c r="C90" s="29">
        <v>0.70833333333333304</v>
      </c>
      <c r="D90" s="19" t="s">
        <v>30</v>
      </c>
      <c r="E90" s="19" t="s">
        <v>4</v>
      </c>
      <c r="F90" s="19"/>
      <c r="G90" s="30" t="str">
        <f>IF(COUNTIF(D90:F90,"?*")=$P$5,"✅ CUBIERTO",
IF(COUNTIF(D90:F90,"?*")&gt;$P$5,"⚠ EXCESO",IF(COUNTIF(D90:F90,"?*")&gt;0,"⚠ FALTANTE",
"❌ SIN COMPLETAR")))</f>
        <v>✅ CUBIERTO</v>
      </c>
      <c r="I90" s="27">
        <v>45997</v>
      </c>
      <c r="J90" s="28" t="str">
        <f t="shared" si="25"/>
        <v>sáb</v>
      </c>
      <c r="K90" s="29">
        <v>0.70833333333333304</v>
      </c>
      <c r="L90" s="25"/>
      <c r="M90" s="25"/>
      <c r="N90" s="25"/>
      <c r="O90" s="31" t="s">
        <v>32</v>
      </c>
      <c r="Q90" s="27">
        <v>45997</v>
      </c>
      <c r="R90" s="28" t="str">
        <f t="shared" si="26"/>
        <v>sáb</v>
      </c>
      <c r="S90" s="29">
        <v>0.70833333333333304</v>
      </c>
      <c r="T90" s="19"/>
      <c r="U90" s="19"/>
      <c r="V90" s="19"/>
      <c r="W90" s="30" t="str">
        <f>IF(COUNTIF(T90:V90,"?*")=$P$7,"✅ CUBIERTO",IF(COUNTIF(T90:V90,"?*")&gt;$P$7,"⚠ EXCESO",
IF(COUNTIF(T90:V90,"?*")&gt;0,"⚠ FALTANTE", "❌ SIN COMPLETAR")))</f>
        <v>❌ SIN COMPLETAR</v>
      </c>
    </row>
    <row r="91" spans="1:23" x14ac:dyDescent="0.35">
      <c r="A91" s="27">
        <v>45997</v>
      </c>
      <c r="B91" s="28" t="str">
        <f t="shared" si="24"/>
        <v>sáb</v>
      </c>
      <c r="C91" s="29">
        <v>0.75</v>
      </c>
      <c r="D91" s="19" t="s">
        <v>30</v>
      </c>
      <c r="E91" s="19" t="s">
        <v>4</v>
      </c>
      <c r="F91" s="19"/>
      <c r="G91" s="30" t="str">
        <f>IF(COUNTIF(D91:F91,"?*")=$P$5,"✅ CUBIERTO",
IF(COUNTIF(D91:F91,"?*")&gt;$P$5,"⚠ EXCESO",IF(COUNTIF(D91:F91,"?*")&gt;0,"⚠ FALTANTE",
"❌ SIN COMPLETAR")))</f>
        <v>✅ CUBIERTO</v>
      </c>
      <c r="I91" s="27">
        <v>45997</v>
      </c>
      <c r="J91" s="28" t="str">
        <f t="shared" si="25"/>
        <v>sáb</v>
      </c>
      <c r="K91" s="29">
        <v>0.75</v>
      </c>
      <c r="L91" s="25"/>
      <c r="M91" s="25"/>
      <c r="N91" s="25"/>
      <c r="O91" s="31" t="s">
        <v>32</v>
      </c>
      <c r="Q91" s="27">
        <v>45997</v>
      </c>
      <c r="R91" s="28" t="str">
        <f t="shared" si="26"/>
        <v>sáb</v>
      </c>
      <c r="S91" s="29">
        <v>0.75</v>
      </c>
      <c r="T91" s="19"/>
      <c r="U91" s="19"/>
      <c r="V91" s="19"/>
      <c r="W91" s="30" t="str">
        <f>IF(COUNTIF(T91:V91,"?*")=$P$7,"✅ CUBIERTO",IF(COUNTIF(T91:V91,"?*")&gt;$P$7,"⚠ EXCESO",
IF(COUNTIF(T91:V91,"?*")&gt;0,"⚠ FALTANTE", "❌ SIN COMPLETAR")))</f>
        <v>❌ SIN COMPLETAR</v>
      </c>
    </row>
    <row r="92" spans="1:23" x14ac:dyDescent="0.35">
      <c r="A92" s="27">
        <v>45997</v>
      </c>
      <c r="B92" s="28" t="str">
        <f t="shared" si="24"/>
        <v>sáb</v>
      </c>
      <c r="C92" s="29">
        <v>0.79166666666666696</v>
      </c>
      <c r="D92" s="19" t="s">
        <v>30</v>
      </c>
      <c r="E92" s="19" t="s">
        <v>4</v>
      </c>
      <c r="F92" s="19"/>
      <c r="G92" s="30" t="str">
        <f>IF(COUNTIF(D92:F92,"?*")=$P$5,"✅ CUBIERTO",
IF(COUNTIF(D92:F92,"?*")&gt;$P$5,"⚠ EXCESO",IF(COUNTIF(D92:F92,"?*")&gt;0,"⚠ FALTANTE",
"❌ SIN COMPLETAR")))</f>
        <v>✅ CUBIERTO</v>
      </c>
      <c r="I92" s="27">
        <v>45997</v>
      </c>
      <c r="J92" s="28" t="str">
        <f t="shared" si="25"/>
        <v>sáb</v>
      </c>
      <c r="K92" s="29">
        <v>0.79166666666666696</v>
      </c>
      <c r="L92" s="25"/>
      <c r="M92" s="25"/>
      <c r="N92" s="25"/>
      <c r="O92" s="31" t="s">
        <v>32</v>
      </c>
      <c r="Q92" s="27">
        <v>45997</v>
      </c>
      <c r="R92" s="28" t="str">
        <f t="shared" si="26"/>
        <v>sáb</v>
      </c>
      <c r="S92" s="29">
        <v>0.79166666666666696</v>
      </c>
      <c r="T92" s="19"/>
      <c r="U92" s="19"/>
      <c r="V92" s="19"/>
      <c r="W92" s="30" t="str">
        <f>IF(COUNTIF(T92:V92,"?*")=$P$7,"✅ CUBIERTO",IF(COUNTIF(T92:V92,"?*")&gt;$P$7,"⚠ EXCESO",
IF(COUNTIF(T92:V92,"?*")&gt;0,"⚠ FALTANTE", "❌ SIN COMPLETAR")))</f>
        <v>❌ SIN COMPLETAR</v>
      </c>
    </row>
    <row r="93" spans="1:23" x14ac:dyDescent="0.35">
      <c r="A93" s="27">
        <v>45997</v>
      </c>
      <c r="B93" s="28" t="str">
        <f t="shared" si="24"/>
        <v>sáb</v>
      </c>
      <c r="C93" s="29">
        <v>0.83333333333333337</v>
      </c>
      <c r="D93" s="25"/>
      <c r="E93" s="25"/>
      <c r="F93" s="25"/>
      <c r="G93" s="30" t="s">
        <v>32</v>
      </c>
      <c r="I93" s="27">
        <v>45997</v>
      </c>
      <c r="J93" s="28" t="str">
        <f t="shared" si="25"/>
        <v>sáb</v>
      </c>
      <c r="K93" s="29">
        <v>0.83333333333333337</v>
      </c>
      <c r="L93" s="25"/>
      <c r="M93" s="25"/>
      <c r="N93" s="25"/>
      <c r="O93" s="31" t="s">
        <v>32</v>
      </c>
      <c r="Q93" s="27">
        <v>45997</v>
      </c>
      <c r="R93" s="28" t="str">
        <f t="shared" si="26"/>
        <v>sáb</v>
      </c>
      <c r="S93" s="29">
        <v>0.83333333333333337</v>
      </c>
      <c r="T93" s="19"/>
      <c r="U93" s="19"/>
      <c r="V93" s="19"/>
      <c r="W93" s="30" t="str">
        <f>IF(COUNTIF(T93:V93,"?*")=$P$7,"✅ CUBIERTO",IF(COUNTIF(T93:V93,"?*")&gt;$P$7,"⚠ EXCESO",
IF(COUNTIF(T93:V93,"?*")&gt;0,"⚠ FALTANTE", "❌ SIN COMPLETAR")))</f>
        <v>❌ SIN COMPLETAR</v>
      </c>
    </row>
    <row r="94" spans="1:23" x14ac:dyDescent="0.35">
      <c r="A94" s="27">
        <v>45998</v>
      </c>
      <c r="B94" s="28" t="str">
        <f>TEXT(A94,"ddd")</f>
        <v>dom</v>
      </c>
      <c r="C94" s="29">
        <v>0.375</v>
      </c>
      <c r="D94" s="25"/>
      <c r="E94" s="25"/>
      <c r="F94" s="25"/>
      <c r="G94" s="30" t="s">
        <v>32</v>
      </c>
      <c r="I94" s="27">
        <v>45998</v>
      </c>
      <c r="J94" s="28" t="str">
        <f>TEXT(I94,"ddd")</f>
        <v>dom</v>
      </c>
      <c r="K94" s="29">
        <v>0.375</v>
      </c>
      <c r="L94" s="25"/>
      <c r="M94" s="25"/>
      <c r="N94" s="25"/>
      <c r="O94" s="31" t="s">
        <v>32</v>
      </c>
      <c r="Q94" s="27">
        <v>45998</v>
      </c>
      <c r="R94" s="28" t="str">
        <f>TEXT(Q94,"ddd")</f>
        <v>dom</v>
      </c>
      <c r="S94" s="29">
        <v>0.375</v>
      </c>
      <c r="T94" s="25"/>
      <c r="U94" s="25"/>
      <c r="V94" s="25"/>
      <c r="W94" s="30" t="s">
        <v>32</v>
      </c>
    </row>
    <row r="95" spans="1:23" x14ac:dyDescent="0.35">
      <c r="A95" s="27">
        <v>45998</v>
      </c>
      <c r="B95" s="28" t="str">
        <f>TEXT(A95,"ddd")</f>
        <v>dom</v>
      </c>
      <c r="C95" s="29">
        <v>0.41666666666666669</v>
      </c>
      <c r="D95" s="25"/>
      <c r="E95" s="25"/>
      <c r="F95" s="25"/>
      <c r="G95" s="30" t="s">
        <v>32</v>
      </c>
      <c r="I95" s="27">
        <v>45998</v>
      </c>
      <c r="J95" s="28" t="str">
        <f>TEXT(I95,"ddd")</f>
        <v>dom</v>
      </c>
      <c r="K95" s="29">
        <v>0.41666666666666669</v>
      </c>
      <c r="L95" s="25"/>
      <c r="M95" s="25"/>
      <c r="N95" s="25"/>
      <c r="O95" s="31" t="s">
        <v>32</v>
      </c>
      <c r="Q95" s="27">
        <v>45998</v>
      </c>
      <c r="R95" s="28" t="str">
        <f>TEXT(Q95,"ddd")</f>
        <v>dom</v>
      </c>
      <c r="S95" s="29">
        <v>0.41666666666666669</v>
      </c>
      <c r="T95" s="19"/>
      <c r="U95" s="19"/>
      <c r="V95" s="19"/>
      <c r="W95" s="30" t="str">
        <f>IF(COUNTIF(T95:V95,"?*")=$P$7,"✅ CUBIERTO",IF(COUNTIF(T95:V95,"?*")&gt;$P$7,"⚠ EXCESO",
IF(COUNTIF(T95:V95,"?*")&gt;0,"⚠ FALTANTE", "❌ SIN COMPLETAR")))</f>
        <v>❌ SIN COMPLETAR</v>
      </c>
    </row>
    <row r="96" spans="1:23" x14ac:dyDescent="0.35">
      <c r="A96" s="27">
        <v>45998</v>
      </c>
      <c r="B96" s="28" t="str">
        <f>TEXT(A96,"ddd")</f>
        <v>dom</v>
      </c>
      <c r="C96" s="29">
        <v>0.45833333333333331</v>
      </c>
      <c r="D96" s="19" t="s">
        <v>3</v>
      </c>
      <c r="E96" s="19" t="s">
        <v>5</v>
      </c>
      <c r="F96" s="19"/>
      <c r="G96" s="30" t="str">
        <f>IF(COUNTIF(D96:F96,"?*")=$P$5,"✅ CUBIERTO",
IF(COUNTIF(D96:F96,"?*")&gt;$P$5,"⚠ EXCESO",IF(COUNTIF(D96:F96,"?*")&gt;0,"⚠ FALTANTE",
"❌ SIN COMPLETAR")))</f>
        <v>✅ CUBIERTO</v>
      </c>
      <c r="I96" s="27">
        <v>45998</v>
      </c>
      <c r="J96" s="28" t="str">
        <f>TEXT(I96,"ddd")</f>
        <v>dom</v>
      </c>
      <c r="K96" s="29">
        <v>0.45833333333333331</v>
      </c>
      <c r="L96" s="25"/>
      <c r="M96" s="25"/>
      <c r="N96" s="25"/>
      <c r="O96" s="31" t="s">
        <v>32</v>
      </c>
      <c r="Q96" s="27">
        <v>45998</v>
      </c>
      <c r="R96" s="28" t="str">
        <f>TEXT(Q96,"ddd")</f>
        <v>dom</v>
      </c>
      <c r="S96" s="29">
        <v>0.45833333333333331</v>
      </c>
      <c r="T96" s="19"/>
      <c r="U96" s="19"/>
      <c r="V96" s="19"/>
      <c r="W96" s="30" t="str">
        <f>IF(COUNTIF(T96:V96,"?*")=$P$7,"✅ CUBIERTO",IF(COUNTIF(T96:V96,"?*")&gt;$P$7,"⚠ EXCESO",
IF(COUNTIF(T96:V96,"?*")&gt;0,"⚠ FALTANTE", "❌ SIN COMPLETAR")))</f>
        <v>❌ SIN COMPLETAR</v>
      </c>
    </row>
    <row r="97" spans="1:23" x14ac:dyDescent="0.35">
      <c r="A97" s="27">
        <v>45998</v>
      </c>
      <c r="B97" s="28" t="str">
        <f t="shared" ref="B97:B105" si="27">TEXT(A97,"ddd")</f>
        <v>dom</v>
      </c>
      <c r="C97" s="29">
        <v>0.5</v>
      </c>
      <c r="D97" s="19" t="s">
        <v>3</v>
      </c>
      <c r="E97" s="19" t="s">
        <v>5</v>
      </c>
      <c r="F97" s="19"/>
      <c r="G97" s="30" t="str">
        <f>IF(COUNTIF(D97:F97,"?*")=$P$5,"✅ CUBIERTO",
IF(COUNTIF(D97:F97,"?*")&gt;$P$5,"⚠ EXCESO",IF(COUNTIF(D97:F97,"?*")&gt;0,"⚠ FALTANTE",
"❌ SIN COMPLETAR")))</f>
        <v>✅ CUBIERTO</v>
      </c>
      <c r="I97" s="27">
        <v>45998</v>
      </c>
      <c r="J97" s="28" t="str">
        <f t="shared" ref="J97:J105" si="28">TEXT(I97,"ddd")</f>
        <v>dom</v>
      </c>
      <c r="K97" s="29">
        <v>0.5</v>
      </c>
      <c r="L97" s="25"/>
      <c r="M97" s="25"/>
      <c r="N97" s="25"/>
      <c r="O97" s="31" t="s">
        <v>32</v>
      </c>
      <c r="Q97" s="27">
        <v>45998</v>
      </c>
      <c r="R97" s="28" t="str">
        <f t="shared" ref="R97:R105" si="29">TEXT(Q97,"ddd")</f>
        <v>dom</v>
      </c>
      <c r="S97" s="29">
        <v>0.5</v>
      </c>
      <c r="T97" s="19"/>
      <c r="U97" s="19"/>
      <c r="V97" s="19"/>
      <c r="W97" s="30" t="str">
        <f>IF(COUNTIF(T97:V97,"?*")=$P$7,"✅ CUBIERTO",IF(COUNTIF(T97:V97,"?*")&gt;$P$7,"⚠ EXCESO",
IF(COUNTIF(T97:V97,"?*")&gt;0,"⚠ FALTANTE", "❌ SIN COMPLETAR")))</f>
        <v>❌ SIN COMPLETAR</v>
      </c>
    </row>
    <row r="98" spans="1:23" x14ac:dyDescent="0.35">
      <c r="A98" s="27">
        <v>45998</v>
      </c>
      <c r="B98" s="28" t="str">
        <f t="shared" si="27"/>
        <v>dom</v>
      </c>
      <c r="C98" s="29">
        <v>0.54166666666666696</v>
      </c>
      <c r="D98" s="19" t="s">
        <v>3</v>
      </c>
      <c r="E98" s="19" t="s">
        <v>5</v>
      </c>
      <c r="F98" s="19"/>
      <c r="G98" s="30" t="str">
        <f>IF(COUNTIF(D98:F98,"?*")=$P$5,"✅ CUBIERTO",
IF(COUNTIF(D98:F98,"?*")&gt;$P$5,"⚠ EXCESO",IF(COUNTIF(D98:F98,"?*")&gt;0,"⚠ FALTANTE",
"❌ SIN COMPLETAR")))</f>
        <v>✅ CUBIERTO</v>
      </c>
      <c r="I98" s="27">
        <v>45998</v>
      </c>
      <c r="J98" s="28" t="str">
        <f t="shared" si="28"/>
        <v>dom</v>
      </c>
      <c r="K98" s="29">
        <v>0.54166666666666696</v>
      </c>
      <c r="L98" s="25"/>
      <c r="M98" s="25"/>
      <c r="N98" s="25"/>
      <c r="O98" s="31" t="s">
        <v>32</v>
      </c>
      <c r="Q98" s="27">
        <v>45998</v>
      </c>
      <c r="R98" s="28" t="str">
        <f t="shared" si="29"/>
        <v>dom</v>
      </c>
      <c r="S98" s="29">
        <v>0.54166666666666696</v>
      </c>
      <c r="T98" s="19"/>
      <c r="U98" s="19"/>
      <c r="V98" s="19"/>
      <c r="W98" s="30" t="str">
        <f>IF(COUNTIF(T98:V98,"?*")=$P$7,"✅ CUBIERTO",IF(COUNTIF(T98:V98,"?*")&gt;$P$7,"⚠ EXCESO",
IF(COUNTIF(T98:V98,"?*")&gt;0,"⚠ FALTANTE", "❌ SIN COMPLETAR")))</f>
        <v>❌ SIN COMPLETAR</v>
      </c>
    </row>
    <row r="99" spans="1:23" x14ac:dyDescent="0.35">
      <c r="A99" s="27">
        <v>45998</v>
      </c>
      <c r="B99" s="28" t="str">
        <f t="shared" si="27"/>
        <v>dom</v>
      </c>
      <c r="C99" s="29">
        <v>0.58333333333333304</v>
      </c>
      <c r="D99" s="19" t="s">
        <v>3</v>
      </c>
      <c r="E99" s="19" t="s">
        <v>5</v>
      </c>
      <c r="F99" s="19"/>
      <c r="G99" s="30" t="str">
        <f>IF(COUNTIF(D99:F99,"?*")=$P$5,"✅ CUBIERTO",
IF(COUNTIF(D99:F99,"?*")&gt;$P$5,"⚠ EXCESO",IF(COUNTIF(D99:F99,"?*")&gt;0,"⚠ FALTANTE",
"❌ SIN COMPLETAR")))</f>
        <v>✅ CUBIERTO</v>
      </c>
      <c r="I99" s="27">
        <v>45998</v>
      </c>
      <c r="J99" s="28" t="str">
        <f t="shared" si="28"/>
        <v>dom</v>
      </c>
      <c r="K99" s="29">
        <v>0.58333333333333304</v>
      </c>
      <c r="L99" s="25"/>
      <c r="M99" s="25"/>
      <c r="N99" s="25"/>
      <c r="O99" s="31" t="s">
        <v>32</v>
      </c>
      <c r="Q99" s="27">
        <v>45998</v>
      </c>
      <c r="R99" s="28" t="str">
        <f t="shared" si="29"/>
        <v>dom</v>
      </c>
      <c r="S99" s="29">
        <v>0.58333333333333304</v>
      </c>
      <c r="T99" s="19"/>
      <c r="U99" s="19"/>
      <c r="V99" s="19"/>
      <c r="W99" s="30" t="str">
        <f>IF(COUNTIF(T99:V99,"?*")=$P$7,"✅ CUBIERTO",IF(COUNTIF(T99:V99,"?*")&gt;$P$7,"⚠ EXCESO",
IF(COUNTIF(T99:V99,"?*")&gt;0,"⚠ FALTANTE", "❌ SIN COMPLETAR")))</f>
        <v>❌ SIN COMPLETAR</v>
      </c>
    </row>
    <row r="100" spans="1:23" x14ac:dyDescent="0.35">
      <c r="A100" s="27">
        <v>45998</v>
      </c>
      <c r="B100" s="28" t="str">
        <f t="shared" si="27"/>
        <v>dom</v>
      </c>
      <c r="C100" s="29">
        <v>0.625</v>
      </c>
      <c r="D100" s="19" t="s">
        <v>3</v>
      </c>
      <c r="E100" s="19" t="s">
        <v>5</v>
      </c>
      <c r="F100" s="19"/>
      <c r="G100" s="30" t="str">
        <f>IF(COUNTIF(D100:F100,"?*")=$P$5,"✅ CUBIERTO",
IF(COUNTIF(D100:F100,"?*")&gt;$P$5,"⚠ EXCESO",IF(COUNTIF(D100:F100,"?*")&gt;0,"⚠ FALTANTE",
"❌ SIN COMPLETAR")))</f>
        <v>✅ CUBIERTO</v>
      </c>
      <c r="I100" s="27">
        <v>45998</v>
      </c>
      <c r="J100" s="28" t="str">
        <f t="shared" si="28"/>
        <v>dom</v>
      </c>
      <c r="K100" s="29">
        <v>0.625</v>
      </c>
      <c r="L100" s="25"/>
      <c r="M100" s="25"/>
      <c r="N100" s="25"/>
      <c r="O100" s="31" t="s">
        <v>32</v>
      </c>
      <c r="Q100" s="27">
        <v>45998</v>
      </c>
      <c r="R100" s="28" t="str">
        <f t="shared" si="29"/>
        <v>dom</v>
      </c>
      <c r="S100" s="29">
        <v>0.625</v>
      </c>
      <c r="T100" s="19"/>
      <c r="U100" s="19"/>
      <c r="V100" s="19"/>
      <c r="W100" s="30" t="str">
        <f>IF(COUNTIF(T100:V100,"?*")=$P$7,"✅ CUBIERTO",IF(COUNTIF(T100:V100,"?*")&gt;$P$7,"⚠ EXCESO",
IF(COUNTIF(T100:V100,"?*")&gt;0,"⚠ FALTANTE", "❌ SIN COMPLETAR")))</f>
        <v>❌ SIN COMPLETAR</v>
      </c>
    </row>
    <row r="101" spans="1:23" x14ac:dyDescent="0.35">
      <c r="A101" s="27">
        <v>45998</v>
      </c>
      <c r="B101" s="28" t="str">
        <f t="shared" si="27"/>
        <v>dom</v>
      </c>
      <c r="C101" s="29">
        <v>0.66666666666666696</v>
      </c>
      <c r="D101" s="19" t="s">
        <v>30</v>
      </c>
      <c r="E101" s="19" t="s">
        <v>29</v>
      </c>
      <c r="F101" s="19"/>
      <c r="G101" s="30" t="str">
        <f>IF(COUNTIF(D101:F101,"?*")=$P$5,"✅ CUBIERTO",
IF(COUNTIF(D101:F101,"?*")&gt;$P$5,"⚠ EXCESO",IF(COUNTIF(D101:F101,"?*")&gt;0,"⚠ FALTANTE",
"❌ SIN COMPLETAR")))</f>
        <v>✅ CUBIERTO</v>
      </c>
      <c r="I101" s="27">
        <v>45998</v>
      </c>
      <c r="J101" s="28" t="str">
        <f t="shared" si="28"/>
        <v>dom</v>
      </c>
      <c r="K101" s="29">
        <v>0.66666666666666696</v>
      </c>
      <c r="L101" s="25"/>
      <c r="M101" s="25"/>
      <c r="N101" s="25"/>
      <c r="O101" s="31" t="s">
        <v>32</v>
      </c>
      <c r="Q101" s="27">
        <v>45998</v>
      </c>
      <c r="R101" s="28" t="str">
        <f t="shared" si="29"/>
        <v>dom</v>
      </c>
      <c r="S101" s="29">
        <v>0.66666666666666696</v>
      </c>
      <c r="T101" s="19"/>
      <c r="U101" s="19"/>
      <c r="V101" s="19"/>
      <c r="W101" s="30" t="str">
        <f>IF(COUNTIF(T101:V101,"?*")=$P$7,"✅ CUBIERTO",IF(COUNTIF(T101:V101,"?*")&gt;$P$7,"⚠ EXCESO",
IF(COUNTIF(T101:V101,"?*")&gt;0,"⚠ FALTANTE", "❌ SIN COMPLETAR")))</f>
        <v>❌ SIN COMPLETAR</v>
      </c>
    </row>
    <row r="102" spans="1:23" x14ac:dyDescent="0.35">
      <c r="A102" s="27">
        <v>45998</v>
      </c>
      <c r="B102" s="28" t="str">
        <f t="shared" si="27"/>
        <v>dom</v>
      </c>
      <c r="C102" s="29">
        <v>0.70833333333333304</v>
      </c>
      <c r="D102" s="19" t="s">
        <v>30</v>
      </c>
      <c r="E102" s="19" t="s">
        <v>29</v>
      </c>
      <c r="F102" s="19"/>
      <c r="G102" s="30" t="str">
        <f>IF(COUNTIF(D102:F102,"?*")=$P$5,"✅ CUBIERTO",
IF(COUNTIF(D102:F102,"?*")&gt;$P$5,"⚠ EXCESO",IF(COUNTIF(D102:F102,"?*")&gt;0,"⚠ FALTANTE",
"❌ SIN COMPLETAR")))</f>
        <v>✅ CUBIERTO</v>
      </c>
      <c r="I102" s="27">
        <v>45998</v>
      </c>
      <c r="J102" s="28" t="str">
        <f t="shared" si="28"/>
        <v>dom</v>
      </c>
      <c r="K102" s="29">
        <v>0.70833333333333304</v>
      </c>
      <c r="L102" s="25"/>
      <c r="M102" s="25"/>
      <c r="N102" s="25"/>
      <c r="O102" s="31" t="s">
        <v>32</v>
      </c>
      <c r="Q102" s="27">
        <v>45998</v>
      </c>
      <c r="R102" s="28" t="str">
        <f t="shared" si="29"/>
        <v>dom</v>
      </c>
      <c r="S102" s="29">
        <v>0.70833333333333304</v>
      </c>
      <c r="T102" s="19"/>
      <c r="U102" s="19"/>
      <c r="V102" s="19"/>
      <c r="W102" s="30" t="str">
        <f>IF(COUNTIF(T102:V102,"?*")=$P$7,"✅ CUBIERTO",IF(COUNTIF(T102:V102,"?*")&gt;$P$7,"⚠ EXCESO",
IF(COUNTIF(T102:V102,"?*")&gt;0,"⚠ FALTANTE", "❌ SIN COMPLETAR")))</f>
        <v>❌ SIN COMPLETAR</v>
      </c>
    </row>
    <row r="103" spans="1:23" x14ac:dyDescent="0.35">
      <c r="A103" s="27">
        <v>45998</v>
      </c>
      <c r="B103" s="28" t="str">
        <f t="shared" si="27"/>
        <v>dom</v>
      </c>
      <c r="C103" s="29">
        <v>0.75</v>
      </c>
      <c r="D103" s="19" t="s">
        <v>30</v>
      </c>
      <c r="E103" s="19" t="s">
        <v>29</v>
      </c>
      <c r="F103" s="19"/>
      <c r="G103" s="30" t="str">
        <f>IF(COUNTIF(D103:F103,"?*")=$P$5,"✅ CUBIERTO",
IF(COUNTIF(D103:F103,"?*")&gt;$P$5,"⚠ EXCESO",IF(COUNTIF(D103:F103,"?*")&gt;0,"⚠ FALTANTE",
"❌ SIN COMPLETAR")))</f>
        <v>✅ CUBIERTO</v>
      </c>
      <c r="I103" s="27">
        <v>45998</v>
      </c>
      <c r="J103" s="28" t="str">
        <f t="shared" si="28"/>
        <v>dom</v>
      </c>
      <c r="K103" s="29">
        <v>0.75</v>
      </c>
      <c r="L103" s="25"/>
      <c r="M103" s="25"/>
      <c r="N103" s="25"/>
      <c r="O103" s="31" t="s">
        <v>32</v>
      </c>
      <c r="Q103" s="27">
        <v>45998</v>
      </c>
      <c r="R103" s="28" t="str">
        <f t="shared" si="29"/>
        <v>dom</v>
      </c>
      <c r="S103" s="29">
        <v>0.75</v>
      </c>
      <c r="T103" s="19"/>
      <c r="U103" s="19"/>
      <c r="V103" s="19"/>
      <c r="W103" s="30" t="str">
        <f>IF(COUNTIF(T103:V103,"?*")=$P$7,"✅ CUBIERTO",IF(COUNTIF(T103:V103,"?*")&gt;$P$7,"⚠ EXCESO",
IF(COUNTIF(T103:V103,"?*")&gt;0,"⚠ FALTANTE", "❌ SIN COMPLETAR")))</f>
        <v>❌ SIN COMPLETAR</v>
      </c>
    </row>
    <row r="104" spans="1:23" x14ac:dyDescent="0.35">
      <c r="A104" s="27">
        <v>45998</v>
      </c>
      <c r="B104" s="28" t="str">
        <f t="shared" si="27"/>
        <v>dom</v>
      </c>
      <c r="C104" s="29">
        <v>0.79166666666666696</v>
      </c>
      <c r="D104" s="19" t="s">
        <v>30</v>
      </c>
      <c r="E104" s="19" t="s">
        <v>29</v>
      </c>
      <c r="F104" s="19"/>
      <c r="G104" s="30" t="str">
        <f>IF(COUNTIF(D104:F104,"?*")=$P$5,"✅ CUBIERTO",
IF(COUNTIF(D104:F104,"?*")&gt;$P$5,"⚠ EXCESO",IF(COUNTIF(D104:F104,"?*")&gt;0,"⚠ FALTANTE",
"❌ SIN COMPLETAR")))</f>
        <v>✅ CUBIERTO</v>
      </c>
      <c r="I104" s="27">
        <v>45998</v>
      </c>
      <c r="J104" s="28" t="str">
        <f t="shared" si="28"/>
        <v>dom</v>
      </c>
      <c r="K104" s="29">
        <v>0.79166666666666696</v>
      </c>
      <c r="L104" s="25"/>
      <c r="M104" s="25"/>
      <c r="N104" s="25"/>
      <c r="O104" s="31" t="s">
        <v>32</v>
      </c>
      <c r="Q104" s="27">
        <v>45998</v>
      </c>
      <c r="R104" s="28" t="str">
        <f t="shared" si="29"/>
        <v>dom</v>
      </c>
      <c r="S104" s="29">
        <v>0.79166666666666696</v>
      </c>
      <c r="T104" s="19"/>
      <c r="U104" s="19"/>
      <c r="V104" s="19"/>
      <c r="W104" s="30" t="str">
        <f>IF(COUNTIF(T104:V104,"?*")=$P$7,"✅ CUBIERTO",IF(COUNTIF(T104:V104,"?*")&gt;$P$7,"⚠ EXCESO",
IF(COUNTIF(T104:V104,"?*")&gt;0,"⚠ FALTANTE", "❌ SIN COMPLETAR")))</f>
        <v>❌ SIN COMPLETAR</v>
      </c>
    </row>
    <row r="105" spans="1:23" x14ac:dyDescent="0.35">
      <c r="A105" s="27">
        <v>45998</v>
      </c>
      <c r="B105" s="28" t="str">
        <f t="shared" si="27"/>
        <v>dom</v>
      </c>
      <c r="C105" s="29">
        <v>0.83333333333333337</v>
      </c>
      <c r="D105" s="25"/>
      <c r="E105" s="25"/>
      <c r="F105" s="25"/>
      <c r="G105" s="30" t="s">
        <v>32</v>
      </c>
      <c r="I105" s="27">
        <v>45998</v>
      </c>
      <c r="J105" s="28" t="str">
        <f t="shared" si="28"/>
        <v>dom</v>
      </c>
      <c r="K105" s="29">
        <v>0.83333333333333337</v>
      </c>
      <c r="L105" s="25"/>
      <c r="M105" s="25"/>
      <c r="N105" s="25"/>
      <c r="O105" s="31" t="s">
        <v>32</v>
      </c>
      <c r="Q105" s="27">
        <v>45998</v>
      </c>
      <c r="R105" s="28" t="str">
        <f t="shared" si="29"/>
        <v>dom</v>
      </c>
      <c r="S105" s="29">
        <v>0.83333333333333337</v>
      </c>
      <c r="T105" s="19"/>
      <c r="U105" s="19"/>
      <c r="V105" s="19"/>
      <c r="W105" s="30" t="str">
        <f>IF(COUNTIF(T105:V105,"?*")=$P$7,"✅ CUBIERTO",IF(COUNTIF(T105:V105,"?*")&gt;$P$7,"⚠ EXCESO",
IF(COUNTIF(T105:V105,"?*")&gt;0,"⚠ FALTANTE", "❌ SIN COMPLETAR")))</f>
        <v>❌ SIN COMPLETAR</v>
      </c>
    </row>
    <row r="106" spans="1:23" x14ac:dyDescent="0.35">
      <c r="A106" s="27">
        <v>45999</v>
      </c>
      <c r="B106" s="28" t="str">
        <f>TEXT(A106,"ddd")</f>
        <v>lun</v>
      </c>
      <c r="C106" s="29">
        <v>0.375</v>
      </c>
      <c r="D106" s="25"/>
      <c r="E106" s="25"/>
      <c r="F106" s="25"/>
      <c r="G106" s="30" t="s">
        <v>32</v>
      </c>
      <c r="I106" s="27">
        <v>45999</v>
      </c>
      <c r="J106" s="28" t="str">
        <f>TEXT(I106,"ddd")</f>
        <v>lun</v>
      </c>
      <c r="K106" s="29">
        <v>0.375</v>
      </c>
      <c r="L106" s="19"/>
      <c r="M106" s="19"/>
      <c r="N106" s="19"/>
      <c r="O106" s="31" t="str">
        <f>IF(COUNTIF(L106:N106,"?*")=$P$6,"✅ CUBIERTO",IF(COUNTIF(L106:N106,"?*")&gt;$P$6,"⚠ EXCESO",
IF(COUNTIF(L106:N106,"?*")&gt;0,"⚠ FALTANTE", "❌ SIN COMPLETAR")))</f>
        <v>❌ SIN COMPLETAR</v>
      </c>
      <c r="Q106" s="27">
        <v>45999</v>
      </c>
      <c r="R106" s="28" t="str">
        <f>TEXT(Q106,"ddd")</f>
        <v>lun</v>
      </c>
      <c r="S106" s="29">
        <v>0.375</v>
      </c>
      <c r="T106" s="25"/>
      <c r="U106" s="25"/>
      <c r="V106" s="25"/>
      <c r="W106" s="30" t="s">
        <v>32</v>
      </c>
    </row>
    <row r="107" spans="1:23" x14ac:dyDescent="0.35">
      <c r="A107" s="27">
        <v>45999</v>
      </c>
      <c r="B107" s="28" t="str">
        <f>TEXT(A107,"ddd")</f>
        <v>lun</v>
      </c>
      <c r="C107" s="29">
        <v>0.41666666666666669</v>
      </c>
      <c r="D107" s="25"/>
      <c r="E107" s="25"/>
      <c r="F107" s="25"/>
      <c r="G107" s="30" t="s">
        <v>32</v>
      </c>
      <c r="I107" s="27">
        <v>45999</v>
      </c>
      <c r="J107" s="28" t="str">
        <f>TEXT(I107,"ddd")</f>
        <v>lun</v>
      </c>
      <c r="K107" s="29">
        <v>0.41666666666666669</v>
      </c>
      <c r="L107" s="19"/>
      <c r="M107" s="19"/>
      <c r="N107" s="19"/>
      <c r="O107" s="31" t="str">
        <f>IF(COUNTIF(L107:N107,"?*")=$P$6,"✅ CUBIERTO",IF(COUNTIF(L107:N107,"?*")&gt;$P$6,"⚠ EXCESO",
IF(COUNTIF(L107:N107,"?*")&gt;0,"⚠ FALTANTE", "❌ SIN COMPLETAR")))</f>
        <v>❌ SIN COMPLETAR</v>
      </c>
      <c r="Q107" s="27">
        <v>45999</v>
      </c>
      <c r="R107" s="28" t="str">
        <f>TEXT(Q107,"ddd")</f>
        <v>lun</v>
      </c>
      <c r="S107" s="29">
        <v>0.41666666666666669</v>
      </c>
      <c r="T107" s="19"/>
      <c r="U107" s="19"/>
      <c r="V107" s="19"/>
      <c r="W107" s="30" t="str">
        <f>IF(COUNTIF(T107:V107,"?*")=$P$7,"✅ CUBIERTO",IF(COUNTIF(T107:V107,"?*")&gt;$P$7,"⚠ EXCESO",
IF(COUNTIF(T107:V107,"?*")&gt;0,"⚠ FALTANTE", "❌ SIN COMPLETAR")))</f>
        <v>❌ SIN COMPLETAR</v>
      </c>
    </row>
    <row r="108" spans="1:23" x14ac:dyDescent="0.35">
      <c r="A108" s="27">
        <v>45999</v>
      </c>
      <c r="B108" s="28" t="str">
        <f>TEXT(A108,"ddd")</f>
        <v>lun</v>
      </c>
      <c r="C108" s="29">
        <v>0.45833333333333331</v>
      </c>
      <c r="D108" s="19" t="s">
        <v>4</v>
      </c>
      <c r="E108" s="19" t="s">
        <v>5</v>
      </c>
      <c r="F108" s="19"/>
      <c r="G108" s="30" t="str">
        <f>IF(COUNTIF(D108:F108,"?*")=$P$5,"✅ CUBIERTO",
IF(COUNTIF(D108:F108,"?*")&gt;$P$5,"⚠ EXCESO",IF(COUNTIF(D108:F108,"?*")&gt;0,"⚠ FALTANTE",
"❌ SIN COMPLETAR")))</f>
        <v>✅ CUBIERTO</v>
      </c>
      <c r="I108" s="27">
        <v>45999</v>
      </c>
      <c r="J108" s="28" t="str">
        <f>TEXT(I108,"ddd")</f>
        <v>lun</v>
      </c>
      <c r="K108" s="29">
        <v>0.45833333333333331</v>
      </c>
      <c r="L108" s="19"/>
      <c r="M108" s="19"/>
      <c r="N108" s="19"/>
      <c r="O108" s="31" t="str">
        <f>IF(COUNTIF(L108:N108,"?*")=$P$6,"✅ CUBIERTO",IF(COUNTIF(L108:N108,"?*")&gt;$P$6,"⚠ EXCESO",
IF(COUNTIF(L108:N108,"?*")&gt;0,"⚠ FALTANTE", "❌ SIN COMPLETAR")))</f>
        <v>❌ SIN COMPLETAR</v>
      </c>
      <c r="Q108" s="27">
        <v>45999</v>
      </c>
      <c r="R108" s="28" t="str">
        <f>TEXT(Q108,"ddd")</f>
        <v>lun</v>
      </c>
      <c r="S108" s="29">
        <v>0.45833333333333331</v>
      </c>
      <c r="T108" s="19"/>
      <c r="U108" s="19"/>
      <c r="V108" s="19"/>
      <c r="W108" s="30" t="str">
        <f>IF(COUNTIF(T108:V108,"?*")=$P$7,"✅ CUBIERTO",IF(COUNTIF(T108:V108,"?*")&gt;$P$7,"⚠ EXCESO",
IF(COUNTIF(T108:V108,"?*")&gt;0,"⚠ FALTANTE", "❌ SIN COMPLETAR")))</f>
        <v>❌ SIN COMPLETAR</v>
      </c>
    </row>
    <row r="109" spans="1:23" x14ac:dyDescent="0.35">
      <c r="A109" s="27">
        <v>45999</v>
      </c>
      <c r="B109" s="28" t="str">
        <f t="shared" ref="B109:B117" si="30">TEXT(A109,"ddd")</f>
        <v>lun</v>
      </c>
      <c r="C109" s="29">
        <v>0.5</v>
      </c>
      <c r="D109" s="19" t="s">
        <v>4</v>
      </c>
      <c r="E109" s="19" t="s">
        <v>5</v>
      </c>
      <c r="F109" s="19"/>
      <c r="G109" s="30" t="str">
        <f>IF(COUNTIF(D109:F109,"?*")=$P$5,"✅ CUBIERTO",
IF(COUNTIF(D109:F109,"?*")&gt;$P$5,"⚠ EXCESO",IF(COUNTIF(D109:F109,"?*")&gt;0,"⚠ FALTANTE",
"❌ SIN COMPLETAR")))</f>
        <v>✅ CUBIERTO</v>
      </c>
      <c r="I109" s="27">
        <v>45999</v>
      </c>
      <c r="J109" s="28" t="str">
        <f t="shared" ref="J109:J117" si="31">TEXT(I109,"ddd")</f>
        <v>lun</v>
      </c>
      <c r="K109" s="29">
        <v>0.5</v>
      </c>
      <c r="L109" s="19"/>
      <c r="M109" s="19"/>
      <c r="N109" s="19"/>
      <c r="O109" s="31" t="str">
        <f>IF(COUNTIF(L109:N109,"?*")=$P$6,"✅ CUBIERTO",IF(COUNTIF(L109:N109,"?*")&gt;$P$6,"⚠ EXCESO",
IF(COUNTIF(L109:N109,"?*")&gt;0,"⚠ FALTANTE", "❌ SIN COMPLETAR")))</f>
        <v>❌ SIN COMPLETAR</v>
      </c>
      <c r="Q109" s="27">
        <v>45999</v>
      </c>
      <c r="R109" s="28" t="str">
        <f t="shared" ref="R109:R117" si="32">TEXT(Q109,"ddd")</f>
        <v>lun</v>
      </c>
      <c r="S109" s="29">
        <v>0.5</v>
      </c>
      <c r="T109" s="19"/>
      <c r="U109" s="19"/>
      <c r="V109" s="19"/>
      <c r="W109" s="30" t="str">
        <f>IF(COUNTIF(T109:V109,"?*")=$P$7,"✅ CUBIERTO",IF(COUNTIF(T109:V109,"?*")&gt;$P$7,"⚠ EXCESO",
IF(COUNTIF(T109:V109,"?*")&gt;0,"⚠ FALTANTE", "❌ SIN COMPLETAR")))</f>
        <v>❌ SIN COMPLETAR</v>
      </c>
    </row>
    <row r="110" spans="1:23" x14ac:dyDescent="0.35">
      <c r="A110" s="27">
        <v>45999</v>
      </c>
      <c r="B110" s="28" t="str">
        <f t="shared" si="30"/>
        <v>lun</v>
      </c>
      <c r="C110" s="29">
        <v>0.54166666666666696</v>
      </c>
      <c r="D110" s="19" t="s">
        <v>4</v>
      </c>
      <c r="E110" s="19" t="s">
        <v>5</v>
      </c>
      <c r="F110" s="19"/>
      <c r="G110" s="30" t="str">
        <f>IF(COUNTIF(D110:F110,"?*")=$P$5,"✅ CUBIERTO",
IF(COUNTIF(D110:F110,"?*")&gt;$P$5,"⚠ EXCESO",IF(COUNTIF(D110:F110,"?*")&gt;0,"⚠ FALTANTE",
"❌ SIN COMPLETAR")))</f>
        <v>✅ CUBIERTO</v>
      </c>
      <c r="I110" s="27">
        <v>45999</v>
      </c>
      <c r="J110" s="28" t="str">
        <f t="shared" si="31"/>
        <v>lun</v>
      </c>
      <c r="K110" s="29">
        <v>0.54166666666666696</v>
      </c>
      <c r="L110" s="19"/>
      <c r="M110" s="19"/>
      <c r="N110" s="19"/>
      <c r="O110" s="31" t="str">
        <f>IF(COUNTIF(L110:N110,"?*")=$P$6,"✅ CUBIERTO",IF(COUNTIF(L110:N110,"?*")&gt;$P$6,"⚠ EXCESO",
IF(COUNTIF(L110:N110,"?*")&gt;0,"⚠ FALTANTE", "❌ SIN COMPLETAR")))</f>
        <v>❌ SIN COMPLETAR</v>
      </c>
      <c r="Q110" s="27">
        <v>45999</v>
      </c>
      <c r="R110" s="28" t="str">
        <f t="shared" si="32"/>
        <v>lun</v>
      </c>
      <c r="S110" s="29">
        <v>0.54166666666666696</v>
      </c>
      <c r="T110" s="19"/>
      <c r="U110" s="19"/>
      <c r="V110" s="19"/>
      <c r="W110" s="30" t="str">
        <f>IF(COUNTIF(T110:V110,"?*")=$P$7,"✅ CUBIERTO",IF(COUNTIF(T110:V110,"?*")&gt;$P$7,"⚠ EXCESO",
IF(COUNTIF(T110:V110,"?*")&gt;0,"⚠ FALTANTE", "❌ SIN COMPLETAR")))</f>
        <v>❌ SIN COMPLETAR</v>
      </c>
    </row>
    <row r="111" spans="1:23" x14ac:dyDescent="0.35">
      <c r="A111" s="27">
        <v>45999</v>
      </c>
      <c r="B111" s="28" t="str">
        <f t="shared" si="30"/>
        <v>lun</v>
      </c>
      <c r="C111" s="29">
        <v>0.58333333333333304</v>
      </c>
      <c r="D111" s="19" t="s">
        <v>4</v>
      </c>
      <c r="E111" s="19" t="s">
        <v>5</v>
      </c>
      <c r="F111" s="19"/>
      <c r="G111" s="30" t="str">
        <f>IF(COUNTIF(D111:F111,"?*")=$P$5,"✅ CUBIERTO",
IF(COUNTIF(D111:F111,"?*")&gt;$P$5,"⚠ EXCESO",IF(COUNTIF(D111:F111,"?*")&gt;0,"⚠ FALTANTE",
"❌ SIN COMPLETAR")))</f>
        <v>✅ CUBIERTO</v>
      </c>
      <c r="I111" s="27">
        <v>45999</v>
      </c>
      <c r="J111" s="28" t="str">
        <f t="shared" si="31"/>
        <v>lun</v>
      </c>
      <c r="K111" s="29">
        <v>0.58333333333333304</v>
      </c>
      <c r="L111" s="19"/>
      <c r="M111" s="19"/>
      <c r="N111" s="19"/>
      <c r="O111" s="31" t="str">
        <f>IF(COUNTIF(L111:N111,"?*")=$P$6,"✅ CUBIERTO",IF(COUNTIF(L111:N111,"?*")&gt;$P$6,"⚠ EXCESO",
IF(COUNTIF(L111:N111,"?*")&gt;0,"⚠ FALTANTE", "❌ SIN COMPLETAR")))</f>
        <v>❌ SIN COMPLETAR</v>
      </c>
      <c r="Q111" s="27">
        <v>45999</v>
      </c>
      <c r="R111" s="28" t="str">
        <f t="shared" si="32"/>
        <v>lun</v>
      </c>
      <c r="S111" s="29">
        <v>0.58333333333333304</v>
      </c>
      <c r="T111" s="19"/>
      <c r="U111" s="19"/>
      <c r="V111" s="19"/>
      <c r="W111" s="30" t="str">
        <f>IF(COUNTIF(T111:V111,"?*")=$P$7,"✅ CUBIERTO",IF(COUNTIF(T111:V111,"?*")&gt;$P$7,"⚠ EXCESO",
IF(COUNTIF(T111:V111,"?*")&gt;0,"⚠ FALTANTE", "❌ SIN COMPLETAR")))</f>
        <v>❌ SIN COMPLETAR</v>
      </c>
    </row>
    <row r="112" spans="1:23" x14ac:dyDescent="0.35">
      <c r="A112" s="27">
        <v>45999</v>
      </c>
      <c r="B112" s="28" t="str">
        <f t="shared" si="30"/>
        <v>lun</v>
      </c>
      <c r="C112" s="29">
        <v>0.625</v>
      </c>
      <c r="D112" s="19" t="s">
        <v>4</v>
      </c>
      <c r="E112" s="19" t="s">
        <v>5</v>
      </c>
      <c r="F112" s="19"/>
      <c r="G112" s="30" t="str">
        <f>IF(COUNTIF(D112:F112,"?*")=$P$5,"✅ CUBIERTO",
IF(COUNTIF(D112:F112,"?*")&gt;$P$5,"⚠ EXCESO",IF(COUNTIF(D112:F112,"?*")&gt;0,"⚠ FALTANTE",
"❌ SIN COMPLETAR")))</f>
        <v>✅ CUBIERTO</v>
      </c>
      <c r="I112" s="27">
        <v>45999</v>
      </c>
      <c r="J112" s="28" t="str">
        <f t="shared" si="31"/>
        <v>lun</v>
      </c>
      <c r="K112" s="29">
        <v>0.625</v>
      </c>
      <c r="L112" s="19"/>
      <c r="M112" s="19"/>
      <c r="N112" s="19"/>
      <c r="O112" s="31" t="str">
        <f>IF(COUNTIF(L112:N112,"?*")=$P$6,"✅ CUBIERTO",IF(COUNTIF(L112:N112,"?*")&gt;$P$6,"⚠ EXCESO",
IF(COUNTIF(L112:N112,"?*")&gt;0,"⚠ FALTANTE", "❌ SIN COMPLETAR")))</f>
        <v>❌ SIN COMPLETAR</v>
      </c>
      <c r="Q112" s="27">
        <v>45999</v>
      </c>
      <c r="R112" s="28" t="str">
        <f t="shared" si="32"/>
        <v>lun</v>
      </c>
      <c r="S112" s="29">
        <v>0.625</v>
      </c>
      <c r="T112" s="19"/>
      <c r="U112" s="19"/>
      <c r="V112" s="19"/>
      <c r="W112" s="30" t="str">
        <f>IF(COUNTIF(T112:V112,"?*")=$P$7,"✅ CUBIERTO",IF(COUNTIF(T112:V112,"?*")&gt;$P$7,"⚠ EXCESO",
IF(COUNTIF(T112:V112,"?*")&gt;0,"⚠ FALTANTE", "❌ SIN COMPLETAR")))</f>
        <v>❌ SIN COMPLETAR</v>
      </c>
    </row>
    <row r="113" spans="1:23" x14ac:dyDescent="0.35">
      <c r="A113" s="27">
        <v>45999</v>
      </c>
      <c r="B113" s="28" t="str">
        <f t="shared" si="30"/>
        <v>lun</v>
      </c>
      <c r="C113" s="29">
        <v>0.66666666666666696</v>
      </c>
      <c r="D113" s="19" t="s">
        <v>30</v>
      </c>
      <c r="E113" s="19" t="s">
        <v>29</v>
      </c>
      <c r="F113" s="19"/>
      <c r="G113" s="30" t="str">
        <f>IF(COUNTIF(D113:F113,"?*")=$P$5,"✅ CUBIERTO",
IF(COUNTIF(D113:F113,"?*")&gt;$P$5,"⚠ EXCESO",IF(COUNTIF(D113:F113,"?*")&gt;0,"⚠ FALTANTE",
"❌ SIN COMPLETAR")))</f>
        <v>✅ CUBIERTO</v>
      </c>
      <c r="I113" s="27">
        <v>45999</v>
      </c>
      <c r="J113" s="28" t="str">
        <f t="shared" si="31"/>
        <v>lun</v>
      </c>
      <c r="K113" s="29">
        <v>0.66666666666666696</v>
      </c>
      <c r="L113" s="19"/>
      <c r="M113" s="19"/>
      <c r="N113" s="19"/>
      <c r="O113" s="31" t="str">
        <f>IF(COUNTIF(L113:N113,"?*")=$P$6,"✅ CUBIERTO",IF(COUNTIF(L113:N113,"?*")&gt;$P$6,"⚠ EXCESO",
IF(COUNTIF(L113:N113,"?*")&gt;0,"⚠ FALTANTE", "❌ SIN COMPLETAR")))</f>
        <v>❌ SIN COMPLETAR</v>
      </c>
      <c r="Q113" s="27">
        <v>45999</v>
      </c>
      <c r="R113" s="28" t="str">
        <f t="shared" si="32"/>
        <v>lun</v>
      </c>
      <c r="S113" s="29">
        <v>0.66666666666666696</v>
      </c>
      <c r="T113" s="19"/>
      <c r="U113" s="19"/>
      <c r="V113" s="19"/>
      <c r="W113" s="30" t="str">
        <f>IF(COUNTIF(T113:V113,"?*")=$P$7,"✅ CUBIERTO",IF(COUNTIF(T113:V113,"?*")&gt;$P$7,"⚠ EXCESO",
IF(COUNTIF(T113:V113,"?*")&gt;0,"⚠ FALTANTE", "❌ SIN COMPLETAR")))</f>
        <v>❌ SIN COMPLETAR</v>
      </c>
    </row>
    <row r="114" spans="1:23" x14ac:dyDescent="0.35">
      <c r="A114" s="27">
        <v>45999</v>
      </c>
      <c r="B114" s="28" t="str">
        <f t="shared" si="30"/>
        <v>lun</v>
      </c>
      <c r="C114" s="29">
        <v>0.70833333333333304</v>
      </c>
      <c r="D114" s="19" t="s">
        <v>30</v>
      </c>
      <c r="E114" s="19" t="s">
        <v>29</v>
      </c>
      <c r="F114" s="19"/>
      <c r="G114" s="30" t="str">
        <f>IF(COUNTIF(D114:F114,"?*")=$P$5,"✅ CUBIERTO",
IF(COUNTIF(D114:F114,"?*")&gt;$P$5,"⚠ EXCESO",IF(COUNTIF(D114:F114,"?*")&gt;0,"⚠ FALTANTE",
"❌ SIN COMPLETAR")))</f>
        <v>✅ CUBIERTO</v>
      </c>
      <c r="I114" s="27">
        <v>45999</v>
      </c>
      <c r="J114" s="28" t="str">
        <f t="shared" si="31"/>
        <v>lun</v>
      </c>
      <c r="K114" s="29">
        <v>0.70833333333333304</v>
      </c>
      <c r="L114" s="19"/>
      <c r="M114" s="19"/>
      <c r="N114" s="19"/>
      <c r="O114" s="31" t="str">
        <f>IF(COUNTIF(L114:N114,"?*")=$P$6,"✅ CUBIERTO",IF(COUNTIF(L114:N114,"?*")&gt;$P$6,"⚠ EXCESO",
IF(COUNTIF(L114:N114,"?*")&gt;0,"⚠ FALTANTE", "❌ SIN COMPLETAR")))</f>
        <v>❌ SIN COMPLETAR</v>
      </c>
      <c r="Q114" s="27">
        <v>45999</v>
      </c>
      <c r="R114" s="28" t="str">
        <f t="shared" si="32"/>
        <v>lun</v>
      </c>
      <c r="S114" s="29">
        <v>0.70833333333333304</v>
      </c>
      <c r="T114" s="19"/>
      <c r="U114" s="19"/>
      <c r="V114" s="19"/>
      <c r="W114" s="30" t="str">
        <f>IF(COUNTIF(T114:V114,"?*")=$P$7,"✅ CUBIERTO",IF(COUNTIF(T114:V114,"?*")&gt;$P$7,"⚠ EXCESO",
IF(COUNTIF(T114:V114,"?*")&gt;0,"⚠ FALTANTE", "❌ SIN COMPLETAR")))</f>
        <v>❌ SIN COMPLETAR</v>
      </c>
    </row>
    <row r="115" spans="1:23" x14ac:dyDescent="0.35">
      <c r="A115" s="27">
        <v>45999</v>
      </c>
      <c r="B115" s="28" t="str">
        <f t="shared" si="30"/>
        <v>lun</v>
      </c>
      <c r="C115" s="29">
        <v>0.75</v>
      </c>
      <c r="D115" s="19" t="s">
        <v>30</v>
      </c>
      <c r="E115" s="19" t="s">
        <v>29</v>
      </c>
      <c r="F115" s="19"/>
      <c r="G115" s="30" t="str">
        <f>IF(COUNTIF(D115:F115,"?*")=$P$5,"✅ CUBIERTO",
IF(COUNTIF(D115:F115,"?*")&gt;$P$5,"⚠ EXCESO",IF(COUNTIF(D115:F115,"?*")&gt;0,"⚠ FALTANTE",
"❌ SIN COMPLETAR")))</f>
        <v>✅ CUBIERTO</v>
      </c>
      <c r="I115" s="27">
        <v>45999</v>
      </c>
      <c r="J115" s="28" t="str">
        <f t="shared" si="31"/>
        <v>lun</v>
      </c>
      <c r="K115" s="29">
        <v>0.75</v>
      </c>
      <c r="L115" s="25"/>
      <c r="M115" s="25"/>
      <c r="N115" s="25"/>
      <c r="O115" s="31" t="s">
        <v>32</v>
      </c>
      <c r="Q115" s="27">
        <v>45999</v>
      </c>
      <c r="R115" s="28" t="str">
        <f t="shared" si="32"/>
        <v>lun</v>
      </c>
      <c r="S115" s="29">
        <v>0.75</v>
      </c>
      <c r="T115" s="19"/>
      <c r="U115" s="19"/>
      <c r="V115" s="19"/>
      <c r="W115" s="30" t="str">
        <f>IF(COUNTIF(T115:V115,"?*")=$P$7,"✅ CUBIERTO",IF(COUNTIF(T115:V115,"?*")&gt;$P$7,"⚠ EXCESO",
IF(COUNTIF(T115:V115,"?*")&gt;0,"⚠ FALTANTE", "❌ SIN COMPLETAR")))</f>
        <v>❌ SIN COMPLETAR</v>
      </c>
    </row>
    <row r="116" spans="1:23" x14ac:dyDescent="0.35">
      <c r="A116" s="27">
        <v>45999</v>
      </c>
      <c r="B116" s="28" t="str">
        <f t="shared" si="30"/>
        <v>lun</v>
      </c>
      <c r="C116" s="29">
        <v>0.79166666666666696</v>
      </c>
      <c r="D116" s="19" t="s">
        <v>30</v>
      </c>
      <c r="E116" s="19" t="s">
        <v>29</v>
      </c>
      <c r="F116" s="19"/>
      <c r="G116" s="30" t="str">
        <f>IF(COUNTIF(D116:F116,"?*")=$P$5,"✅ CUBIERTO",
IF(COUNTIF(D116:F116,"?*")&gt;$P$5,"⚠ EXCESO",IF(COUNTIF(D116:F116,"?*")&gt;0,"⚠ FALTANTE",
"❌ SIN COMPLETAR")))</f>
        <v>✅ CUBIERTO</v>
      </c>
      <c r="I116" s="27">
        <v>45999</v>
      </c>
      <c r="J116" s="28" t="str">
        <f t="shared" si="31"/>
        <v>lun</v>
      </c>
      <c r="K116" s="29">
        <v>0.79166666666666696</v>
      </c>
      <c r="L116" s="25"/>
      <c r="M116" s="25"/>
      <c r="N116" s="25"/>
      <c r="O116" s="31" t="s">
        <v>32</v>
      </c>
      <c r="Q116" s="27">
        <v>45999</v>
      </c>
      <c r="R116" s="28" t="str">
        <f t="shared" si="32"/>
        <v>lun</v>
      </c>
      <c r="S116" s="29">
        <v>0.79166666666666696</v>
      </c>
      <c r="T116" s="19"/>
      <c r="U116" s="19"/>
      <c r="V116" s="19"/>
      <c r="W116" s="30" t="str">
        <f>IF(COUNTIF(T116:V116,"?*")=$P$7,"✅ CUBIERTO",IF(COUNTIF(T116:V116,"?*")&gt;$P$7,"⚠ EXCESO",
IF(COUNTIF(T116:V116,"?*")&gt;0,"⚠ FALTANTE", "❌ SIN COMPLETAR")))</f>
        <v>❌ SIN COMPLETAR</v>
      </c>
    </row>
    <row r="117" spans="1:23" x14ac:dyDescent="0.35">
      <c r="A117" s="27">
        <v>45999</v>
      </c>
      <c r="B117" s="28" t="str">
        <f t="shared" si="30"/>
        <v>lun</v>
      </c>
      <c r="C117" s="29">
        <v>0.83333333333333337</v>
      </c>
      <c r="D117" s="25"/>
      <c r="E117" s="25"/>
      <c r="F117" s="25"/>
      <c r="G117" s="30" t="s">
        <v>32</v>
      </c>
      <c r="I117" s="27">
        <v>45999</v>
      </c>
      <c r="J117" s="28" t="str">
        <f t="shared" si="31"/>
        <v>lun</v>
      </c>
      <c r="K117" s="29">
        <v>0.83333333333333337</v>
      </c>
      <c r="L117" s="25"/>
      <c r="M117" s="25"/>
      <c r="N117" s="25"/>
      <c r="O117" s="31" t="s">
        <v>32</v>
      </c>
      <c r="Q117" s="27">
        <v>45999</v>
      </c>
      <c r="R117" s="28" t="str">
        <f t="shared" si="32"/>
        <v>lun</v>
      </c>
      <c r="S117" s="29">
        <v>0.83333333333333337</v>
      </c>
      <c r="T117" s="19"/>
      <c r="U117" s="19"/>
      <c r="V117" s="19"/>
      <c r="W117" s="30" t="str">
        <f>IF(COUNTIF(T117:V117,"?*")=$P$7,"✅ CUBIERTO",IF(COUNTIF(T117:V117,"?*")&gt;$P$7,"⚠ EXCESO",
IF(COUNTIF(T117:V117,"?*")&gt;0,"⚠ FALTANTE", "❌ SIN COMPLETAR")))</f>
        <v>❌ SIN COMPLETAR</v>
      </c>
    </row>
    <row r="118" spans="1:23" x14ac:dyDescent="0.35">
      <c r="A118" s="27">
        <v>46000</v>
      </c>
      <c r="B118" s="28" t="str">
        <f>TEXT(A118,"ddd")</f>
        <v>mar</v>
      </c>
      <c r="C118" s="29">
        <v>0.375</v>
      </c>
      <c r="D118" s="25"/>
      <c r="E118" s="25"/>
      <c r="F118" s="25"/>
      <c r="G118" s="30" t="s">
        <v>32</v>
      </c>
      <c r="I118" s="27">
        <v>46000</v>
      </c>
      <c r="J118" s="28" t="str">
        <f>TEXT(I118,"ddd")</f>
        <v>mar</v>
      </c>
      <c r="K118" s="29">
        <v>0.375</v>
      </c>
      <c r="L118" s="19"/>
      <c r="M118" s="19"/>
      <c r="N118" s="19"/>
      <c r="O118" s="31" t="str">
        <f>IF(COUNTIF(L118:N118,"?*")=$P$6,"✅ CUBIERTO",IF(COUNTIF(L118:N118,"?*")&gt;$P$6,"⚠ EXCESO",
IF(COUNTIF(L118:N118,"?*")&gt;0,"⚠ FALTANTE", "❌ SIN COMPLETAR")))</f>
        <v>❌ SIN COMPLETAR</v>
      </c>
      <c r="Q118" s="27">
        <v>46000</v>
      </c>
      <c r="R118" s="28" t="str">
        <f>TEXT(Q118,"ddd")</f>
        <v>mar</v>
      </c>
      <c r="S118" s="29">
        <v>0.375</v>
      </c>
      <c r="T118" s="25"/>
      <c r="U118" s="25"/>
      <c r="V118" s="25"/>
      <c r="W118" s="30" t="s">
        <v>32</v>
      </c>
    </row>
    <row r="119" spans="1:23" x14ac:dyDescent="0.35">
      <c r="A119" s="27">
        <v>46000</v>
      </c>
      <c r="B119" s="28" t="str">
        <f>TEXT(A119,"ddd")</f>
        <v>mar</v>
      </c>
      <c r="C119" s="29">
        <v>0.41666666666666669</v>
      </c>
      <c r="D119" s="25"/>
      <c r="E119" s="25"/>
      <c r="F119" s="25"/>
      <c r="G119" s="30" t="s">
        <v>32</v>
      </c>
      <c r="I119" s="27">
        <v>46000</v>
      </c>
      <c r="J119" s="28" t="str">
        <f>TEXT(I119,"ddd")</f>
        <v>mar</v>
      </c>
      <c r="K119" s="29">
        <v>0.41666666666666669</v>
      </c>
      <c r="L119" s="19"/>
      <c r="M119" s="19"/>
      <c r="N119" s="19"/>
      <c r="O119" s="31" t="str">
        <f>IF(COUNTIF(L119:N119,"?*")=$P$6,"✅ CUBIERTO",IF(COUNTIF(L119:N119,"?*")&gt;$P$6,"⚠ EXCESO",
IF(COUNTIF(L119:N119,"?*")&gt;0,"⚠ FALTANTE", "❌ SIN COMPLETAR")))</f>
        <v>❌ SIN COMPLETAR</v>
      </c>
      <c r="Q119" s="27">
        <v>46000</v>
      </c>
      <c r="R119" s="28" t="str">
        <f>TEXT(Q119,"ddd")</f>
        <v>mar</v>
      </c>
      <c r="S119" s="29">
        <v>0.41666666666666669</v>
      </c>
      <c r="T119" s="19"/>
      <c r="U119" s="19"/>
      <c r="V119" s="19"/>
      <c r="W119" s="30" t="str">
        <f>IF(COUNTIF(T119:V119,"?*")=$P$7,"✅ CUBIERTO",IF(COUNTIF(T119:V119,"?*")&gt;$P$7,"⚠ EXCESO",
IF(COUNTIF(T119:V119,"?*")&gt;0,"⚠ FALTANTE", "❌ SIN COMPLETAR")))</f>
        <v>❌ SIN COMPLETAR</v>
      </c>
    </row>
    <row r="120" spans="1:23" x14ac:dyDescent="0.35">
      <c r="A120" s="27">
        <v>46000</v>
      </c>
      <c r="B120" s="28" t="str">
        <f>TEXT(A120,"ddd")</f>
        <v>mar</v>
      </c>
      <c r="C120" s="29">
        <v>0.45833333333333331</v>
      </c>
      <c r="D120" s="19" t="s">
        <v>4</v>
      </c>
      <c r="E120" s="19" t="s">
        <v>31</v>
      </c>
      <c r="F120" s="19"/>
      <c r="G120" s="30" t="str">
        <f>IF(COUNTIF(D120:F120,"?*")=$P$5,"✅ CUBIERTO",
IF(COUNTIF(D120:F120,"?*")&gt;$P$5,"⚠ EXCESO",IF(COUNTIF(D120:F120,"?*")&gt;0,"⚠ FALTANTE",
"❌ SIN COMPLETAR")))</f>
        <v>✅ CUBIERTO</v>
      </c>
      <c r="I120" s="27">
        <v>46000</v>
      </c>
      <c r="J120" s="28" t="str">
        <f>TEXT(I120,"ddd")</f>
        <v>mar</v>
      </c>
      <c r="K120" s="29">
        <v>0.45833333333333331</v>
      </c>
      <c r="L120" s="19"/>
      <c r="M120" s="19"/>
      <c r="N120" s="19"/>
      <c r="O120" s="31" t="str">
        <f>IF(COUNTIF(L120:N120,"?*")=$P$6,"✅ CUBIERTO",IF(COUNTIF(L120:N120,"?*")&gt;$P$6,"⚠ EXCESO",
IF(COUNTIF(L120:N120,"?*")&gt;0,"⚠ FALTANTE", "❌ SIN COMPLETAR")))</f>
        <v>❌ SIN COMPLETAR</v>
      </c>
      <c r="Q120" s="27">
        <v>46000</v>
      </c>
      <c r="R120" s="28" t="str">
        <f>TEXT(Q120,"ddd")</f>
        <v>mar</v>
      </c>
      <c r="S120" s="29">
        <v>0.45833333333333331</v>
      </c>
      <c r="T120" s="19"/>
      <c r="U120" s="19"/>
      <c r="V120" s="19"/>
      <c r="W120" s="30" t="str">
        <f>IF(COUNTIF(T120:V120,"?*")=$P$7,"✅ CUBIERTO",IF(COUNTIF(T120:V120,"?*")&gt;$P$7,"⚠ EXCESO",
IF(COUNTIF(T120:V120,"?*")&gt;0,"⚠ FALTANTE", "❌ SIN COMPLETAR")))</f>
        <v>❌ SIN COMPLETAR</v>
      </c>
    </row>
    <row r="121" spans="1:23" x14ac:dyDescent="0.35">
      <c r="A121" s="27">
        <v>46000</v>
      </c>
      <c r="B121" s="28" t="str">
        <f t="shared" ref="B121:B129" si="33">TEXT(A121,"ddd")</f>
        <v>mar</v>
      </c>
      <c r="C121" s="29">
        <v>0.5</v>
      </c>
      <c r="D121" s="19" t="s">
        <v>4</v>
      </c>
      <c r="E121" s="19" t="s">
        <v>31</v>
      </c>
      <c r="F121" s="19"/>
      <c r="G121" s="30" t="str">
        <f>IF(COUNTIF(D121:F121,"?*")=$P$5,"✅ CUBIERTO",
IF(COUNTIF(D121:F121,"?*")&gt;$P$5,"⚠ EXCESO",IF(COUNTIF(D121:F121,"?*")&gt;0,"⚠ FALTANTE",
"❌ SIN COMPLETAR")))</f>
        <v>✅ CUBIERTO</v>
      </c>
      <c r="I121" s="27">
        <v>46000</v>
      </c>
      <c r="J121" s="28" t="str">
        <f t="shared" ref="J121:J129" si="34">TEXT(I121,"ddd")</f>
        <v>mar</v>
      </c>
      <c r="K121" s="29">
        <v>0.5</v>
      </c>
      <c r="L121" s="19"/>
      <c r="M121" s="19"/>
      <c r="N121" s="19"/>
      <c r="O121" s="31" t="str">
        <f>IF(COUNTIF(L121:N121,"?*")=$P$6,"✅ CUBIERTO",IF(COUNTIF(L121:N121,"?*")&gt;$P$6,"⚠ EXCESO",
IF(COUNTIF(L121:N121,"?*")&gt;0,"⚠ FALTANTE", "❌ SIN COMPLETAR")))</f>
        <v>❌ SIN COMPLETAR</v>
      </c>
      <c r="Q121" s="27">
        <v>46000</v>
      </c>
      <c r="R121" s="28" t="str">
        <f t="shared" ref="R121:R129" si="35">TEXT(Q121,"ddd")</f>
        <v>mar</v>
      </c>
      <c r="S121" s="29">
        <v>0.5</v>
      </c>
      <c r="T121" s="19"/>
      <c r="U121" s="19"/>
      <c r="V121" s="19"/>
      <c r="W121" s="30" t="str">
        <f>IF(COUNTIF(T121:V121,"?*")=$P$7,"✅ CUBIERTO",IF(COUNTIF(T121:V121,"?*")&gt;$P$7,"⚠ EXCESO",
IF(COUNTIF(T121:V121,"?*")&gt;0,"⚠ FALTANTE", "❌ SIN COMPLETAR")))</f>
        <v>❌ SIN COMPLETAR</v>
      </c>
    </row>
    <row r="122" spans="1:23" x14ac:dyDescent="0.35">
      <c r="A122" s="27">
        <v>46000</v>
      </c>
      <c r="B122" s="28" t="str">
        <f t="shared" si="33"/>
        <v>mar</v>
      </c>
      <c r="C122" s="29">
        <v>0.54166666666666696</v>
      </c>
      <c r="D122" s="19" t="s">
        <v>4</v>
      </c>
      <c r="E122" s="19" t="s">
        <v>31</v>
      </c>
      <c r="F122" s="19"/>
      <c r="G122" s="30" t="str">
        <f>IF(COUNTIF(D122:F122,"?*")=$P$5,"✅ CUBIERTO",
IF(COUNTIF(D122:F122,"?*")&gt;$P$5,"⚠ EXCESO",IF(COUNTIF(D122:F122,"?*")&gt;0,"⚠ FALTANTE",
"❌ SIN COMPLETAR")))</f>
        <v>✅ CUBIERTO</v>
      </c>
      <c r="I122" s="27">
        <v>46000</v>
      </c>
      <c r="J122" s="28" t="str">
        <f t="shared" si="34"/>
        <v>mar</v>
      </c>
      <c r="K122" s="29">
        <v>0.54166666666666696</v>
      </c>
      <c r="L122" s="19"/>
      <c r="M122" s="19"/>
      <c r="N122" s="19"/>
      <c r="O122" s="31" t="str">
        <f>IF(COUNTIF(L122:N122,"?*")=$P$6,"✅ CUBIERTO",IF(COUNTIF(L122:N122,"?*")&gt;$P$6,"⚠ EXCESO",
IF(COUNTIF(L122:N122,"?*")&gt;0,"⚠ FALTANTE", "❌ SIN COMPLETAR")))</f>
        <v>❌ SIN COMPLETAR</v>
      </c>
      <c r="Q122" s="27">
        <v>46000</v>
      </c>
      <c r="R122" s="28" t="str">
        <f t="shared" si="35"/>
        <v>mar</v>
      </c>
      <c r="S122" s="29">
        <v>0.54166666666666696</v>
      </c>
      <c r="T122" s="19"/>
      <c r="U122" s="19"/>
      <c r="V122" s="19"/>
      <c r="W122" s="30" t="str">
        <f>IF(COUNTIF(T122:V122,"?*")=$P$7,"✅ CUBIERTO",IF(COUNTIF(T122:V122,"?*")&gt;$P$7,"⚠ EXCESO",
IF(COUNTIF(T122:V122,"?*")&gt;0,"⚠ FALTANTE", "❌ SIN COMPLETAR")))</f>
        <v>❌ SIN COMPLETAR</v>
      </c>
    </row>
    <row r="123" spans="1:23" x14ac:dyDescent="0.35">
      <c r="A123" s="27">
        <v>46000</v>
      </c>
      <c r="B123" s="28" t="str">
        <f t="shared" si="33"/>
        <v>mar</v>
      </c>
      <c r="C123" s="29">
        <v>0.58333333333333304</v>
      </c>
      <c r="D123" s="19" t="s">
        <v>4</v>
      </c>
      <c r="E123" s="19" t="s">
        <v>31</v>
      </c>
      <c r="F123" s="19"/>
      <c r="G123" s="30" t="str">
        <f>IF(COUNTIF(D123:F123,"?*")=$P$5,"✅ CUBIERTO",
IF(COUNTIF(D123:F123,"?*")&gt;$P$5,"⚠ EXCESO",IF(COUNTIF(D123:F123,"?*")&gt;0,"⚠ FALTANTE",
"❌ SIN COMPLETAR")))</f>
        <v>✅ CUBIERTO</v>
      </c>
      <c r="I123" s="27">
        <v>46000</v>
      </c>
      <c r="J123" s="28" t="str">
        <f t="shared" si="34"/>
        <v>mar</v>
      </c>
      <c r="K123" s="29">
        <v>0.58333333333333304</v>
      </c>
      <c r="L123" s="19"/>
      <c r="M123" s="19"/>
      <c r="N123" s="19"/>
      <c r="O123" s="31" t="str">
        <f>IF(COUNTIF(L123:N123,"?*")=$P$6,"✅ CUBIERTO",IF(COUNTIF(L123:N123,"?*")&gt;$P$6,"⚠ EXCESO",
IF(COUNTIF(L123:N123,"?*")&gt;0,"⚠ FALTANTE", "❌ SIN COMPLETAR")))</f>
        <v>❌ SIN COMPLETAR</v>
      </c>
      <c r="Q123" s="27">
        <v>46000</v>
      </c>
      <c r="R123" s="28" t="str">
        <f t="shared" si="35"/>
        <v>mar</v>
      </c>
      <c r="S123" s="29">
        <v>0.58333333333333304</v>
      </c>
      <c r="T123" s="19"/>
      <c r="U123" s="19"/>
      <c r="V123" s="19"/>
      <c r="W123" s="30" t="str">
        <f>IF(COUNTIF(T123:V123,"?*")=$P$7,"✅ CUBIERTO",IF(COUNTIF(T123:V123,"?*")&gt;$P$7,"⚠ EXCESO",
IF(COUNTIF(T123:V123,"?*")&gt;0,"⚠ FALTANTE", "❌ SIN COMPLETAR")))</f>
        <v>❌ SIN COMPLETAR</v>
      </c>
    </row>
    <row r="124" spans="1:23" x14ac:dyDescent="0.35">
      <c r="A124" s="27">
        <v>46000</v>
      </c>
      <c r="B124" s="28" t="str">
        <f t="shared" si="33"/>
        <v>mar</v>
      </c>
      <c r="C124" s="29">
        <v>0.625</v>
      </c>
      <c r="D124" s="19" t="s">
        <v>4</v>
      </c>
      <c r="E124" s="19" t="s">
        <v>31</v>
      </c>
      <c r="F124" s="19"/>
      <c r="G124" s="30" t="str">
        <f>IF(COUNTIF(D124:F124,"?*")=$P$5,"✅ CUBIERTO",
IF(COUNTIF(D124:F124,"?*")&gt;$P$5,"⚠ EXCESO",IF(COUNTIF(D124:F124,"?*")&gt;0,"⚠ FALTANTE",
"❌ SIN COMPLETAR")))</f>
        <v>✅ CUBIERTO</v>
      </c>
      <c r="I124" s="27">
        <v>46000</v>
      </c>
      <c r="J124" s="28" t="str">
        <f t="shared" si="34"/>
        <v>mar</v>
      </c>
      <c r="K124" s="29">
        <v>0.625</v>
      </c>
      <c r="L124" s="19"/>
      <c r="M124" s="19"/>
      <c r="N124" s="19"/>
      <c r="O124" s="31" t="str">
        <f>IF(COUNTIF(L124:N124,"?*")=$P$6,"✅ CUBIERTO",IF(COUNTIF(L124:N124,"?*")&gt;$P$6,"⚠ EXCESO",
IF(COUNTIF(L124:N124,"?*")&gt;0,"⚠ FALTANTE", "❌ SIN COMPLETAR")))</f>
        <v>❌ SIN COMPLETAR</v>
      </c>
      <c r="Q124" s="27">
        <v>46000</v>
      </c>
      <c r="R124" s="28" t="str">
        <f t="shared" si="35"/>
        <v>mar</v>
      </c>
      <c r="S124" s="29">
        <v>0.625</v>
      </c>
      <c r="T124" s="19"/>
      <c r="U124" s="19"/>
      <c r="V124" s="19"/>
      <c r="W124" s="30" t="str">
        <f>IF(COUNTIF(T124:V124,"?*")=$P$7,"✅ CUBIERTO",IF(COUNTIF(T124:V124,"?*")&gt;$P$7,"⚠ EXCESO",
IF(COUNTIF(T124:V124,"?*")&gt;0,"⚠ FALTANTE", "❌ SIN COMPLETAR")))</f>
        <v>❌ SIN COMPLETAR</v>
      </c>
    </row>
    <row r="125" spans="1:23" x14ac:dyDescent="0.35">
      <c r="A125" s="27">
        <v>46000</v>
      </c>
      <c r="B125" s="28" t="str">
        <f t="shared" si="33"/>
        <v>mar</v>
      </c>
      <c r="C125" s="29">
        <v>0.66666666666666696</v>
      </c>
      <c r="D125" s="19" t="s">
        <v>30</v>
      </c>
      <c r="E125" s="19" t="s">
        <v>29</v>
      </c>
      <c r="F125" s="19"/>
      <c r="G125" s="30" t="str">
        <f>IF(COUNTIF(D125:F125,"?*")=$P$5,"✅ CUBIERTO",
IF(COUNTIF(D125:F125,"?*")&gt;$P$5,"⚠ EXCESO",IF(COUNTIF(D125:F125,"?*")&gt;0,"⚠ FALTANTE",
"❌ SIN COMPLETAR")))</f>
        <v>✅ CUBIERTO</v>
      </c>
      <c r="I125" s="27">
        <v>46000</v>
      </c>
      <c r="J125" s="28" t="str">
        <f t="shared" si="34"/>
        <v>mar</v>
      </c>
      <c r="K125" s="29">
        <v>0.66666666666666696</v>
      </c>
      <c r="L125" s="19"/>
      <c r="M125" s="19"/>
      <c r="N125" s="19"/>
      <c r="O125" s="31" t="str">
        <f>IF(COUNTIF(L125:N125,"?*")=$P$6,"✅ CUBIERTO",IF(COUNTIF(L125:N125,"?*")&gt;$P$6,"⚠ EXCESO",
IF(COUNTIF(L125:N125,"?*")&gt;0,"⚠ FALTANTE", "❌ SIN COMPLETAR")))</f>
        <v>❌ SIN COMPLETAR</v>
      </c>
      <c r="Q125" s="27">
        <v>46000</v>
      </c>
      <c r="R125" s="28" t="str">
        <f t="shared" si="35"/>
        <v>mar</v>
      </c>
      <c r="S125" s="29">
        <v>0.66666666666666696</v>
      </c>
      <c r="T125" s="19"/>
      <c r="U125" s="19"/>
      <c r="V125" s="19"/>
      <c r="W125" s="30" t="str">
        <f>IF(COUNTIF(T125:V125,"?*")=$P$7,"✅ CUBIERTO",IF(COUNTIF(T125:V125,"?*")&gt;$P$7,"⚠ EXCESO",
IF(COUNTIF(T125:V125,"?*")&gt;0,"⚠ FALTANTE", "❌ SIN COMPLETAR")))</f>
        <v>❌ SIN COMPLETAR</v>
      </c>
    </row>
    <row r="126" spans="1:23" x14ac:dyDescent="0.35">
      <c r="A126" s="27">
        <v>46000</v>
      </c>
      <c r="B126" s="28" t="str">
        <f t="shared" si="33"/>
        <v>mar</v>
      </c>
      <c r="C126" s="29">
        <v>0.70833333333333304</v>
      </c>
      <c r="D126" s="19" t="s">
        <v>30</v>
      </c>
      <c r="E126" s="19" t="s">
        <v>29</v>
      </c>
      <c r="F126" s="19"/>
      <c r="G126" s="30" t="str">
        <f>IF(COUNTIF(D126:F126,"?*")=$P$5,"✅ CUBIERTO",
IF(COUNTIF(D126:F126,"?*")&gt;$P$5,"⚠ EXCESO",IF(COUNTIF(D126:F126,"?*")&gt;0,"⚠ FALTANTE",
"❌ SIN COMPLETAR")))</f>
        <v>✅ CUBIERTO</v>
      </c>
      <c r="I126" s="27">
        <v>46000</v>
      </c>
      <c r="J126" s="28" t="str">
        <f t="shared" si="34"/>
        <v>mar</v>
      </c>
      <c r="K126" s="29">
        <v>0.70833333333333304</v>
      </c>
      <c r="L126" s="19"/>
      <c r="M126" s="19"/>
      <c r="N126" s="19"/>
      <c r="O126" s="31" t="str">
        <f>IF(COUNTIF(L126:N126,"?*")=$P$6,"✅ CUBIERTO",IF(COUNTIF(L126:N126,"?*")&gt;$P$6,"⚠ EXCESO",
IF(COUNTIF(L126:N126,"?*")&gt;0,"⚠ FALTANTE", "❌ SIN COMPLETAR")))</f>
        <v>❌ SIN COMPLETAR</v>
      </c>
      <c r="Q126" s="27">
        <v>46000</v>
      </c>
      <c r="R126" s="28" t="str">
        <f t="shared" si="35"/>
        <v>mar</v>
      </c>
      <c r="S126" s="29">
        <v>0.70833333333333304</v>
      </c>
      <c r="T126" s="19"/>
      <c r="U126" s="19"/>
      <c r="V126" s="19"/>
      <c r="W126" s="30" t="str">
        <f>IF(COUNTIF(T126:V126,"?*")=$P$7,"✅ CUBIERTO",IF(COUNTIF(T126:V126,"?*")&gt;$P$7,"⚠ EXCESO",
IF(COUNTIF(T126:V126,"?*")&gt;0,"⚠ FALTANTE", "❌ SIN COMPLETAR")))</f>
        <v>❌ SIN COMPLETAR</v>
      </c>
    </row>
    <row r="127" spans="1:23" x14ac:dyDescent="0.35">
      <c r="A127" s="27">
        <v>46000</v>
      </c>
      <c r="B127" s="28" t="str">
        <f t="shared" si="33"/>
        <v>mar</v>
      </c>
      <c r="C127" s="29">
        <v>0.75</v>
      </c>
      <c r="D127" s="19" t="s">
        <v>30</v>
      </c>
      <c r="E127" s="19" t="s">
        <v>29</v>
      </c>
      <c r="F127" s="19"/>
      <c r="G127" s="30" t="str">
        <f>IF(COUNTIF(D127:F127,"?*")=$P$5,"✅ CUBIERTO",
IF(COUNTIF(D127:F127,"?*")&gt;$P$5,"⚠ EXCESO",IF(COUNTIF(D127:F127,"?*")&gt;0,"⚠ FALTANTE",
"❌ SIN COMPLETAR")))</f>
        <v>✅ CUBIERTO</v>
      </c>
      <c r="I127" s="27">
        <v>46000</v>
      </c>
      <c r="J127" s="28" t="str">
        <f t="shared" si="34"/>
        <v>mar</v>
      </c>
      <c r="K127" s="29">
        <v>0.75</v>
      </c>
      <c r="L127" s="25"/>
      <c r="M127" s="25"/>
      <c r="N127" s="25"/>
      <c r="O127" s="31" t="s">
        <v>32</v>
      </c>
      <c r="Q127" s="27">
        <v>46000</v>
      </c>
      <c r="R127" s="28" t="str">
        <f t="shared" si="35"/>
        <v>mar</v>
      </c>
      <c r="S127" s="29">
        <v>0.75</v>
      </c>
      <c r="T127" s="19"/>
      <c r="U127" s="19"/>
      <c r="V127" s="19"/>
      <c r="W127" s="30" t="str">
        <f>IF(COUNTIF(T127:V127,"?*")=$P$7,"✅ CUBIERTO",IF(COUNTIF(T127:V127,"?*")&gt;$P$7,"⚠ EXCESO",
IF(COUNTIF(T127:V127,"?*")&gt;0,"⚠ FALTANTE", "❌ SIN COMPLETAR")))</f>
        <v>❌ SIN COMPLETAR</v>
      </c>
    </row>
    <row r="128" spans="1:23" x14ac:dyDescent="0.35">
      <c r="A128" s="27">
        <v>46000</v>
      </c>
      <c r="B128" s="28" t="str">
        <f t="shared" si="33"/>
        <v>mar</v>
      </c>
      <c r="C128" s="29">
        <v>0.79166666666666696</v>
      </c>
      <c r="D128" s="19" t="s">
        <v>30</v>
      </c>
      <c r="E128" s="19" t="s">
        <v>29</v>
      </c>
      <c r="F128" s="19"/>
      <c r="G128" s="30" t="str">
        <f>IF(COUNTIF(D128:F128,"?*")=$P$5,"✅ CUBIERTO",
IF(COUNTIF(D128:F128,"?*")&gt;$P$5,"⚠ EXCESO",IF(COUNTIF(D128:F128,"?*")&gt;0,"⚠ FALTANTE",
"❌ SIN COMPLETAR")))</f>
        <v>✅ CUBIERTO</v>
      </c>
      <c r="I128" s="27">
        <v>46000</v>
      </c>
      <c r="J128" s="28" t="str">
        <f t="shared" si="34"/>
        <v>mar</v>
      </c>
      <c r="K128" s="29">
        <v>0.79166666666666696</v>
      </c>
      <c r="L128" s="25"/>
      <c r="M128" s="25"/>
      <c r="N128" s="25"/>
      <c r="O128" s="31" t="s">
        <v>32</v>
      </c>
      <c r="Q128" s="27">
        <v>46000</v>
      </c>
      <c r="R128" s="28" t="str">
        <f t="shared" si="35"/>
        <v>mar</v>
      </c>
      <c r="S128" s="29">
        <v>0.79166666666666696</v>
      </c>
      <c r="T128" s="19"/>
      <c r="U128" s="19"/>
      <c r="V128" s="19"/>
      <c r="W128" s="30" t="str">
        <f>IF(COUNTIF(T128:V128,"?*")=$P$7,"✅ CUBIERTO",IF(COUNTIF(T128:V128,"?*")&gt;$P$7,"⚠ EXCESO",
IF(COUNTIF(T128:V128,"?*")&gt;0,"⚠ FALTANTE", "❌ SIN COMPLETAR")))</f>
        <v>❌ SIN COMPLETAR</v>
      </c>
    </row>
    <row r="129" spans="1:23" x14ac:dyDescent="0.35">
      <c r="A129" s="27">
        <v>46000</v>
      </c>
      <c r="B129" s="28" t="str">
        <f t="shared" si="33"/>
        <v>mar</v>
      </c>
      <c r="C129" s="29">
        <v>0.83333333333333337</v>
      </c>
      <c r="D129" s="25"/>
      <c r="E129" s="25"/>
      <c r="F129" s="25"/>
      <c r="G129" s="30" t="s">
        <v>32</v>
      </c>
      <c r="I129" s="27">
        <v>46000</v>
      </c>
      <c r="J129" s="28" t="str">
        <f t="shared" si="34"/>
        <v>mar</v>
      </c>
      <c r="K129" s="29">
        <v>0.83333333333333337</v>
      </c>
      <c r="L129" s="25"/>
      <c r="M129" s="25"/>
      <c r="N129" s="25"/>
      <c r="O129" s="31" t="s">
        <v>32</v>
      </c>
      <c r="Q129" s="27">
        <v>46000</v>
      </c>
      <c r="R129" s="28" t="str">
        <f t="shared" si="35"/>
        <v>mar</v>
      </c>
      <c r="S129" s="29">
        <v>0.83333333333333337</v>
      </c>
      <c r="T129" s="19"/>
      <c r="U129" s="19"/>
      <c r="V129" s="19"/>
      <c r="W129" s="30" t="str">
        <f>IF(COUNTIF(T129:V129,"?*")=$P$7,"✅ CUBIERTO",IF(COUNTIF(T129:V129,"?*")&gt;$P$7,"⚠ EXCESO",
IF(COUNTIF(T129:V129,"?*")&gt;0,"⚠ FALTANTE", "❌ SIN COMPLETAR")))</f>
        <v>❌ SIN COMPLETAR</v>
      </c>
    </row>
    <row r="130" spans="1:23" x14ac:dyDescent="0.35">
      <c r="A130" s="27">
        <v>46001</v>
      </c>
      <c r="B130" s="28" t="str">
        <f>TEXT(A130,"ddd")</f>
        <v>mié</v>
      </c>
      <c r="C130" s="29">
        <v>0.375</v>
      </c>
      <c r="D130" s="25"/>
      <c r="E130" s="25"/>
      <c r="F130" s="25"/>
      <c r="G130" s="30" t="s">
        <v>32</v>
      </c>
      <c r="I130" s="27">
        <v>46001</v>
      </c>
      <c r="J130" s="28" t="str">
        <f>TEXT(I130,"ddd")</f>
        <v>mié</v>
      </c>
      <c r="K130" s="29">
        <v>0.375</v>
      </c>
      <c r="L130" s="19"/>
      <c r="M130" s="19"/>
      <c r="N130" s="19"/>
      <c r="O130" s="31" t="str">
        <f>IF(COUNTIF(L130:N130,"?*")=$P$6,"✅ CUBIERTO",IF(COUNTIF(L130:N130,"?*")&gt;$P$6,"⚠ EXCESO",
IF(COUNTIF(L130:N130,"?*")&gt;0,"⚠ FALTANTE", "❌ SIN COMPLETAR")))</f>
        <v>❌ SIN COMPLETAR</v>
      </c>
      <c r="Q130" s="27">
        <v>46001</v>
      </c>
      <c r="R130" s="28" t="str">
        <f>TEXT(Q130,"ddd")</f>
        <v>mié</v>
      </c>
      <c r="S130" s="29">
        <v>0.375</v>
      </c>
      <c r="T130" s="25"/>
      <c r="U130" s="25"/>
      <c r="V130" s="25"/>
      <c r="W130" s="30" t="s">
        <v>32</v>
      </c>
    </row>
    <row r="131" spans="1:23" x14ac:dyDescent="0.35">
      <c r="A131" s="27">
        <v>46001</v>
      </c>
      <c r="B131" s="28" t="str">
        <f>TEXT(A131,"ddd")</f>
        <v>mié</v>
      </c>
      <c r="C131" s="29">
        <v>0.41666666666666669</v>
      </c>
      <c r="D131" s="25"/>
      <c r="E131" s="25"/>
      <c r="F131" s="25"/>
      <c r="G131" s="30" t="s">
        <v>32</v>
      </c>
      <c r="I131" s="27">
        <v>46001</v>
      </c>
      <c r="J131" s="28" t="str">
        <f>TEXT(I131,"ddd")</f>
        <v>mié</v>
      </c>
      <c r="K131" s="29">
        <v>0.41666666666666669</v>
      </c>
      <c r="L131" s="19"/>
      <c r="M131" s="19"/>
      <c r="N131" s="19"/>
      <c r="O131" s="31" t="str">
        <f>IF(COUNTIF(L131:N131,"?*")=$P$6,"✅ CUBIERTO",IF(COUNTIF(L131:N131,"?*")&gt;$P$6,"⚠ EXCESO",
IF(COUNTIF(L131:N131,"?*")&gt;0,"⚠ FALTANTE", "❌ SIN COMPLETAR")))</f>
        <v>❌ SIN COMPLETAR</v>
      </c>
      <c r="Q131" s="27">
        <v>46001</v>
      </c>
      <c r="R131" s="28" t="str">
        <f>TEXT(Q131,"ddd")</f>
        <v>mié</v>
      </c>
      <c r="S131" s="29">
        <v>0.41666666666666669</v>
      </c>
      <c r="T131" s="19"/>
      <c r="U131" s="19"/>
      <c r="V131" s="19"/>
      <c r="W131" s="30" t="str">
        <f>IF(COUNTIF(T131:V131,"?*")=$P$7,"✅ CUBIERTO",IF(COUNTIF(T131:V131,"?*")&gt;$P$7,"⚠ EXCESO",
IF(COUNTIF(T131:V131,"?*")&gt;0,"⚠ FALTANTE", "❌ SIN COMPLETAR")))</f>
        <v>❌ SIN COMPLETAR</v>
      </c>
    </row>
    <row r="132" spans="1:23" x14ac:dyDescent="0.35">
      <c r="A132" s="27">
        <v>46001</v>
      </c>
      <c r="B132" s="28" t="str">
        <f>TEXT(A132,"ddd")</f>
        <v>mié</v>
      </c>
      <c r="C132" s="29">
        <v>0.45833333333333331</v>
      </c>
      <c r="D132" s="19" t="s">
        <v>4</v>
      </c>
      <c r="E132" s="19" t="s">
        <v>31</v>
      </c>
      <c r="F132" s="19"/>
      <c r="G132" s="30" t="str">
        <f>IF(COUNTIF(D132:F132,"?*")=$P$5,"✅ CUBIERTO",
IF(COUNTIF(D132:F132,"?*")&gt;$P$5,"⚠ EXCESO",IF(COUNTIF(D132:F132,"?*")&gt;0,"⚠ FALTANTE",
"❌ SIN COMPLETAR")))</f>
        <v>✅ CUBIERTO</v>
      </c>
      <c r="I132" s="27">
        <v>46001</v>
      </c>
      <c r="J132" s="28" t="str">
        <f>TEXT(I132,"ddd")</f>
        <v>mié</v>
      </c>
      <c r="K132" s="29">
        <v>0.45833333333333331</v>
      </c>
      <c r="L132" s="19"/>
      <c r="M132" s="19"/>
      <c r="N132" s="19"/>
      <c r="O132" s="31" t="str">
        <f>IF(COUNTIF(L132:N132,"?*")=$P$6,"✅ CUBIERTO",IF(COUNTIF(L132:N132,"?*")&gt;$P$6,"⚠ EXCESO",
IF(COUNTIF(L132:N132,"?*")&gt;0,"⚠ FALTANTE", "❌ SIN COMPLETAR")))</f>
        <v>❌ SIN COMPLETAR</v>
      </c>
      <c r="Q132" s="27">
        <v>46001</v>
      </c>
      <c r="R132" s="28" t="str">
        <f>TEXT(Q132,"ddd")</f>
        <v>mié</v>
      </c>
      <c r="S132" s="29">
        <v>0.45833333333333331</v>
      </c>
      <c r="T132" s="19"/>
      <c r="U132" s="19"/>
      <c r="V132" s="19"/>
      <c r="W132" s="30" t="str">
        <f>IF(COUNTIF(T132:V132,"?*")=$P$7,"✅ CUBIERTO",IF(COUNTIF(T132:V132,"?*")&gt;$P$7,"⚠ EXCESO",
IF(COUNTIF(T132:V132,"?*")&gt;0,"⚠ FALTANTE", "❌ SIN COMPLETAR")))</f>
        <v>❌ SIN COMPLETAR</v>
      </c>
    </row>
    <row r="133" spans="1:23" x14ac:dyDescent="0.35">
      <c r="A133" s="27">
        <v>46001</v>
      </c>
      <c r="B133" s="28" t="str">
        <f t="shared" ref="B133:B141" si="36">TEXT(A133,"ddd")</f>
        <v>mié</v>
      </c>
      <c r="C133" s="29">
        <v>0.5</v>
      </c>
      <c r="D133" s="19" t="s">
        <v>4</v>
      </c>
      <c r="E133" s="19" t="s">
        <v>31</v>
      </c>
      <c r="F133" s="19"/>
      <c r="G133" s="30" t="str">
        <f>IF(COUNTIF(D133:F133,"?*")=$P$5,"✅ CUBIERTO",
IF(COUNTIF(D133:F133,"?*")&gt;$P$5,"⚠ EXCESO",IF(COUNTIF(D133:F133,"?*")&gt;0,"⚠ FALTANTE",
"❌ SIN COMPLETAR")))</f>
        <v>✅ CUBIERTO</v>
      </c>
      <c r="I133" s="27">
        <v>46001</v>
      </c>
      <c r="J133" s="28" t="str">
        <f t="shared" ref="J133:J141" si="37">TEXT(I133,"ddd")</f>
        <v>mié</v>
      </c>
      <c r="K133" s="29">
        <v>0.5</v>
      </c>
      <c r="L133" s="19"/>
      <c r="M133" s="19"/>
      <c r="N133" s="19"/>
      <c r="O133" s="31" t="str">
        <f>IF(COUNTIF(L133:N133,"?*")=$P$6,"✅ CUBIERTO",IF(COUNTIF(L133:N133,"?*")&gt;$P$6,"⚠ EXCESO",
IF(COUNTIF(L133:N133,"?*")&gt;0,"⚠ FALTANTE", "❌ SIN COMPLETAR")))</f>
        <v>❌ SIN COMPLETAR</v>
      </c>
      <c r="Q133" s="27">
        <v>46001</v>
      </c>
      <c r="R133" s="28" t="str">
        <f t="shared" ref="R133:R141" si="38">TEXT(Q133,"ddd")</f>
        <v>mié</v>
      </c>
      <c r="S133" s="29">
        <v>0.5</v>
      </c>
      <c r="T133" s="19"/>
      <c r="U133" s="19"/>
      <c r="V133" s="19"/>
      <c r="W133" s="30" t="str">
        <f>IF(COUNTIF(T133:V133,"?*")=$P$7,"✅ CUBIERTO",IF(COUNTIF(T133:V133,"?*")&gt;$P$7,"⚠ EXCESO",
IF(COUNTIF(T133:V133,"?*")&gt;0,"⚠ FALTANTE", "❌ SIN COMPLETAR")))</f>
        <v>❌ SIN COMPLETAR</v>
      </c>
    </row>
    <row r="134" spans="1:23" x14ac:dyDescent="0.35">
      <c r="A134" s="27">
        <v>46001</v>
      </c>
      <c r="B134" s="28" t="str">
        <f t="shared" si="36"/>
        <v>mié</v>
      </c>
      <c r="C134" s="29">
        <v>0.54166666666666696</v>
      </c>
      <c r="D134" s="19" t="s">
        <v>4</v>
      </c>
      <c r="E134" s="19" t="s">
        <v>31</v>
      </c>
      <c r="F134" s="19"/>
      <c r="G134" s="30" t="str">
        <f>IF(COUNTIF(D134:F134,"?*")=$P$5,"✅ CUBIERTO",
IF(COUNTIF(D134:F134,"?*")&gt;$P$5,"⚠ EXCESO",IF(COUNTIF(D134:F134,"?*")&gt;0,"⚠ FALTANTE",
"❌ SIN COMPLETAR")))</f>
        <v>✅ CUBIERTO</v>
      </c>
      <c r="I134" s="27">
        <v>46001</v>
      </c>
      <c r="J134" s="28" t="str">
        <f t="shared" si="37"/>
        <v>mié</v>
      </c>
      <c r="K134" s="29">
        <v>0.54166666666666696</v>
      </c>
      <c r="L134" s="19"/>
      <c r="M134" s="19"/>
      <c r="N134" s="19"/>
      <c r="O134" s="31" t="str">
        <f>IF(COUNTIF(L134:N134,"?*")=$P$6,"✅ CUBIERTO",IF(COUNTIF(L134:N134,"?*")&gt;$P$6,"⚠ EXCESO",
IF(COUNTIF(L134:N134,"?*")&gt;0,"⚠ FALTANTE", "❌ SIN COMPLETAR")))</f>
        <v>❌ SIN COMPLETAR</v>
      </c>
      <c r="Q134" s="27">
        <v>46001</v>
      </c>
      <c r="R134" s="28" t="str">
        <f t="shared" si="38"/>
        <v>mié</v>
      </c>
      <c r="S134" s="29">
        <v>0.54166666666666696</v>
      </c>
      <c r="T134" s="19"/>
      <c r="U134" s="19"/>
      <c r="V134" s="19"/>
      <c r="W134" s="30" t="str">
        <f>IF(COUNTIF(T134:V134,"?*")=$P$7,"✅ CUBIERTO",IF(COUNTIF(T134:V134,"?*")&gt;$P$7,"⚠ EXCESO",
IF(COUNTIF(T134:V134,"?*")&gt;0,"⚠ FALTANTE", "❌ SIN COMPLETAR")))</f>
        <v>❌ SIN COMPLETAR</v>
      </c>
    </row>
    <row r="135" spans="1:23" x14ac:dyDescent="0.35">
      <c r="A135" s="27">
        <v>46001</v>
      </c>
      <c r="B135" s="28" t="str">
        <f t="shared" si="36"/>
        <v>mié</v>
      </c>
      <c r="C135" s="29">
        <v>0.58333333333333304</v>
      </c>
      <c r="D135" s="19" t="s">
        <v>4</v>
      </c>
      <c r="E135" s="19" t="s">
        <v>31</v>
      </c>
      <c r="F135" s="19"/>
      <c r="G135" s="30" t="str">
        <f>IF(COUNTIF(D135:F135,"?*")=$P$5,"✅ CUBIERTO",
IF(COUNTIF(D135:F135,"?*")&gt;$P$5,"⚠ EXCESO",IF(COUNTIF(D135:F135,"?*")&gt;0,"⚠ FALTANTE",
"❌ SIN COMPLETAR")))</f>
        <v>✅ CUBIERTO</v>
      </c>
      <c r="I135" s="27">
        <v>46001</v>
      </c>
      <c r="J135" s="28" t="str">
        <f t="shared" si="37"/>
        <v>mié</v>
      </c>
      <c r="K135" s="29">
        <v>0.58333333333333304</v>
      </c>
      <c r="L135" s="19"/>
      <c r="M135" s="19"/>
      <c r="N135" s="19"/>
      <c r="O135" s="31" t="str">
        <f>IF(COUNTIF(L135:N135,"?*")=$P$6,"✅ CUBIERTO",IF(COUNTIF(L135:N135,"?*")&gt;$P$6,"⚠ EXCESO",
IF(COUNTIF(L135:N135,"?*")&gt;0,"⚠ FALTANTE", "❌ SIN COMPLETAR")))</f>
        <v>❌ SIN COMPLETAR</v>
      </c>
      <c r="Q135" s="27">
        <v>46001</v>
      </c>
      <c r="R135" s="28" t="str">
        <f t="shared" si="38"/>
        <v>mié</v>
      </c>
      <c r="S135" s="29">
        <v>0.58333333333333304</v>
      </c>
      <c r="T135" s="19"/>
      <c r="U135" s="19"/>
      <c r="V135" s="19"/>
      <c r="W135" s="30" t="str">
        <f>IF(COUNTIF(T135:V135,"?*")=$P$7,"✅ CUBIERTO",IF(COUNTIF(T135:V135,"?*")&gt;$P$7,"⚠ EXCESO",
IF(COUNTIF(T135:V135,"?*")&gt;0,"⚠ FALTANTE", "❌ SIN COMPLETAR")))</f>
        <v>❌ SIN COMPLETAR</v>
      </c>
    </row>
    <row r="136" spans="1:23" x14ac:dyDescent="0.35">
      <c r="A136" s="27">
        <v>46001</v>
      </c>
      <c r="B136" s="28" t="str">
        <f t="shared" si="36"/>
        <v>mié</v>
      </c>
      <c r="C136" s="29">
        <v>0.625</v>
      </c>
      <c r="D136" s="19" t="s">
        <v>4</v>
      </c>
      <c r="E136" s="19" t="s">
        <v>31</v>
      </c>
      <c r="F136" s="19"/>
      <c r="G136" s="30" t="str">
        <f>IF(COUNTIF(D136:F136,"?*")=$P$5,"✅ CUBIERTO",
IF(COUNTIF(D136:F136,"?*")&gt;$P$5,"⚠ EXCESO",IF(COUNTIF(D136:F136,"?*")&gt;0,"⚠ FALTANTE",
"❌ SIN COMPLETAR")))</f>
        <v>✅ CUBIERTO</v>
      </c>
      <c r="I136" s="27">
        <v>46001</v>
      </c>
      <c r="J136" s="28" t="str">
        <f t="shared" si="37"/>
        <v>mié</v>
      </c>
      <c r="K136" s="29">
        <v>0.625</v>
      </c>
      <c r="L136" s="19"/>
      <c r="M136" s="19"/>
      <c r="N136" s="19"/>
      <c r="O136" s="31" t="str">
        <f>IF(COUNTIF(L136:N136,"?*")=$P$6,"✅ CUBIERTO",IF(COUNTIF(L136:N136,"?*")&gt;$P$6,"⚠ EXCESO",
IF(COUNTIF(L136:N136,"?*")&gt;0,"⚠ FALTANTE", "❌ SIN COMPLETAR")))</f>
        <v>❌ SIN COMPLETAR</v>
      </c>
      <c r="Q136" s="27">
        <v>46001</v>
      </c>
      <c r="R136" s="28" t="str">
        <f t="shared" si="38"/>
        <v>mié</v>
      </c>
      <c r="S136" s="29">
        <v>0.625</v>
      </c>
      <c r="T136" s="19"/>
      <c r="U136" s="19"/>
      <c r="V136" s="19"/>
      <c r="W136" s="30" t="str">
        <f>IF(COUNTIF(T136:V136,"?*")=$P$7,"✅ CUBIERTO",IF(COUNTIF(T136:V136,"?*")&gt;$P$7,"⚠ EXCESO",
IF(COUNTIF(T136:V136,"?*")&gt;0,"⚠ FALTANTE", "❌ SIN COMPLETAR")))</f>
        <v>❌ SIN COMPLETAR</v>
      </c>
    </row>
    <row r="137" spans="1:23" x14ac:dyDescent="0.35">
      <c r="A137" s="27">
        <v>46001</v>
      </c>
      <c r="B137" s="28" t="str">
        <f t="shared" si="36"/>
        <v>mié</v>
      </c>
      <c r="C137" s="29">
        <v>0.66666666666666696</v>
      </c>
      <c r="D137" s="19" t="s">
        <v>30</v>
      </c>
      <c r="E137" s="19" t="s">
        <v>29</v>
      </c>
      <c r="F137" s="19"/>
      <c r="G137" s="30" t="str">
        <f>IF(COUNTIF(D137:F137,"?*")=$P$5,"✅ CUBIERTO",
IF(COUNTIF(D137:F137,"?*")&gt;$P$5,"⚠ EXCESO",IF(COUNTIF(D137:F137,"?*")&gt;0,"⚠ FALTANTE",
"❌ SIN COMPLETAR")))</f>
        <v>✅ CUBIERTO</v>
      </c>
      <c r="I137" s="27">
        <v>46001</v>
      </c>
      <c r="J137" s="28" t="str">
        <f t="shared" si="37"/>
        <v>mié</v>
      </c>
      <c r="K137" s="29">
        <v>0.66666666666666696</v>
      </c>
      <c r="L137" s="19"/>
      <c r="M137" s="19"/>
      <c r="N137" s="19"/>
      <c r="O137" s="31" t="str">
        <f>IF(COUNTIF(L137:N137,"?*")=$P$6,"✅ CUBIERTO",IF(COUNTIF(L137:N137,"?*")&gt;$P$6,"⚠ EXCESO",
IF(COUNTIF(L137:N137,"?*")&gt;0,"⚠ FALTANTE", "❌ SIN COMPLETAR")))</f>
        <v>❌ SIN COMPLETAR</v>
      </c>
      <c r="Q137" s="27">
        <v>46001</v>
      </c>
      <c r="R137" s="28" t="str">
        <f t="shared" si="38"/>
        <v>mié</v>
      </c>
      <c r="S137" s="29">
        <v>0.66666666666666696</v>
      </c>
      <c r="T137" s="19"/>
      <c r="U137" s="19"/>
      <c r="V137" s="19"/>
      <c r="W137" s="30" t="str">
        <f>IF(COUNTIF(T137:V137,"?*")=$P$7,"✅ CUBIERTO",IF(COUNTIF(T137:V137,"?*")&gt;$P$7,"⚠ EXCESO",
IF(COUNTIF(T137:V137,"?*")&gt;0,"⚠ FALTANTE", "❌ SIN COMPLETAR")))</f>
        <v>❌ SIN COMPLETAR</v>
      </c>
    </row>
    <row r="138" spans="1:23" x14ac:dyDescent="0.35">
      <c r="A138" s="27">
        <v>46001</v>
      </c>
      <c r="B138" s="28" t="str">
        <f t="shared" si="36"/>
        <v>mié</v>
      </c>
      <c r="C138" s="29">
        <v>0.70833333333333304</v>
      </c>
      <c r="D138" s="19" t="s">
        <v>30</v>
      </c>
      <c r="E138" s="19" t="s">
        <v>29</v>
      </c>
      <c r="F138" s="19"/>
      <c r="G138" s="30" t="str">
        <f>IF(COUNTIF(D138:F138,"?*")=$P$5,"✅ CUBIERTO",
IF(COUNTIF(D138:F138,"?*")&gt;$P$5,"⚠ EXCESO",IF(COUNTIF(D138:F138,"?*")&gt;0,"⚠ FALTANTE",
"❌ SIN COMPLETAR")))</f>
        <v>✅ CUBIERTO</v>
      </c>
      <c r="I138" s="27">
        <v>46001</v>
      </c>
      <c r="J138" s="28" t="str">
        <f t="shared" si="37"/>
        <v>mié</v>
      </c>
      <c r="K138" s="29">
        <v>0.70833333333333304</v>
      </c>
      <c r="L138" s="19"/>
      <c r="M138" s="19"/>
      <c r="N138" s="19"/>
      <c r="O138" s="31" t="str">
        <f>IF(COUNTIF(L138:N138,"?*")=$P$6,"✅ CUBIERTO",IF(COUNTIF(L138:N138,"?*")&gt;$P$6,"⚠ EXCESO",
IF(COUNTIF(L138:N138,"?*")&gt;0,"⚠ FALTANTE", "❌ SIN COMPLETAR")))</f>
        <v>❌ SIN COMPLETAR</v>
      </c>
      <c r="Q138" s="27">
        <v>46001</v>
      </c>
      <c r="R138" s="28" t="str">
        <f t="shared" si="38"/>
        <v>mié</v>
      </c>
      <c r="S138" s="29">
        <v>0.70833333333333304</v>
      </c>
      <c r="T138" s="19"/>
      <c r="U138" s="19"/>
      <c r="V138" s="19"/>
      <c r="W138" s="30" t="str">
        <f>IF(COUNTIF(T138:V138,"?*")=$P$7,"✅ CUBIERTO",IF(COUNTIF(T138:V138,"?*")&gt;$P$7,"⚠ EXCESO",
IF(COUNTIF(T138:V138,"?*")&gt;0,"⚠ FALTANTE", "❌ SIN COMPLETAR")))</f>
        <v>❌ SIN COMPLETAR</v>
      </c>
    </row>
    <row r="139" spans="1:23" x14ac:dyDescent="0.35">
      <c r="A139" s="27">
        <v>46001</v>
      </c>
      <c r="B139" s="28" t="str">
        <f t="shared" si="36"/>
        <v>mié</v>
      </c>
      <c r="C139" s="29">
        <v>0.75</v>
      </c>
      <c r="D139" s="19" t="s">
        <v>30</v>
      </c>
      <c r="E139" s="19" t="s">
        <v>29</v>
      </c>
      <c r="F139" s="19"/>
      <c r="G139" s="30" t="str">
        <f>IF(COUNTIF(D139:F139,"?*")=$P$5,"✅ CUBIERTO",
IF(COUNTIF(D139:F139,"?*")&gt;$P$5,"⚠ EXCESO",IF(COUNTIF(D139:F139,"?*")&gt;0,"⚠ FALTANTE",
"❌ SIN COMPLETAR")))</f>
        <v>✅ CUBIERTO</v>
      </c>
      <c r="I139" s="27">
        <v>46001</v>
      </c>
      <c r="J139" s="28" t="str">
        <f t="shared" si="37"/>
        <v>mié</v>
      </c>
      <c r="K139" s="29">
        <v>0.75</v>
      </c>
      <c r="L139" s="25"/>
      <c r="M139" s="25"/>
      <c r="N139" s="25"/>
      <c r="O139" s="31" t="s">
        <v>32</v>
      </c>
      <c r="Q139" s="27">
        <v>46001</v>
      </c>
      <c r="R139" s="28" t="str">
        <f t="shared" si="38"/>
        <v>mié</v>
      </c>
      <c r="S139" s="29">
        <v>0.75</v>
      </c>
      <c r="T139" s="19"/>
      <c r="U139" s="19"/>
      <c r="V139" s="19"/>
      <c r="W139" s="30" t="str">
        <f>IF(COUNTIF(T139:V139,"?*")=$P$7,"✅ CUBIERTO",IF(COUNTIF(T139:V139,"?*")&gt;$P$7,"⚠ EXCESO",
IF(COUNTIF(T139:V139,"?*")&gt;0,"⚠ FALTANTE", "❌ SIN COMPLETAR")))</f>
        <v>❌ SIN COMPLETAR</v>
      </c>
    </row>
    <row r="140" spans="1:23" x14ac:dyDescent="0.35">
      <c r="A140" s="27">
        <v>46001</v>
      </c>
      <c r="B140" s="28" t="str">
        <f t="shared" si="36"/>
        <v>mié</v>
      </c>
      <c r="C140" s="29">
        <v>0.79166666666666696</v>
      </c>
      <c r="D140" s="19" t="s">
        <v>30</v>
      </c>
      <c r="E140" s="19" t="s">
        <v>29</v>
      </c>
      <c r="F140" s="19"/>
      <c r="G140" s="30" t="str">
        <f>IF(COUNTIF(D140:F140,"?*")=$P$5,"✅ CUBIERTO",
IF(COUNTIF(D140:F140,"?*")&gt;$P$5,"⚠ EXCESO",IF(COUNTIF(D140:F140,"?*")&gt;0,"⚠ FALTANTE",
"❌ SIN COMPLETAR")))</f>
        <v>✅ CUBIERTO</v>
      </c>
      <c r="I140" s="27">
        <v>46001</v>
      </c>
      <c r="J140" s="28" t="str">
        <f t="shared" si="37"/>
        <v>mié</v>
      </c>
      <c r="K140" s="29">
        <v>0.79166666666666696</v>
      </c>
      <c r="L140" s="25"/>
      <c r="M140" s="25"/>
      <c r="N140" s="25"/>
      <c r="O140" s="31" t="s">
        <v>32</v>
      </c>
      <c r="Q140" s="27">
        <v>46001</v>
      </c>
      <c r="R140" s="28" t="str">
        <f t="shared" si="38"/>
        <v>mié</v>
      </c>
      <c r="S140" s="29">
        <v>0.79166666666666696</v>
      </c>
      <c r="T140" s="19"/>
      <c r="U140" s="19"/>
      <c r="V140" s="19"/>
      <c r="W140" s="30" t="str">
        <f>IF(COUNTIF(T140:V140,"?*")=$P$7,"✅ CUBIERTO",IF(COUNTIF(T140:V140,"?*")&gt;$P$7,"⚠ EXCESO",
IF(COUNTIF(T140:V140,"?*")&gt;0,"⚠ FALTANTE", "❌ SIN COMPLETAR")))</f>
        <v>❌ SIN COMPLETAR</v>
      </c>
    </row>
    <row r="141" spans="1:23" x14ac:dyDescent="0.35">
      <c r="A141" s="27">
        <v>46001</v>
      </c>
      <c r="B141" s="28" t="str">
        <f t="shared" si="36"/>
        <v>mié</v>
      </c>
      <c r="C141" s="29">
        <v>0.83333333333333337</v>
      </c>
      <c r="D141" s="25"/>
      <c r="E141" s="25"/>
      <c r="F141" s="25"/>
      <c r="G141" s="30" t="s">
        <v>32</v>
      </c>
      <c r="I141" s="27">
        <v>46001</v>
      </c>
      <c r="J141" s="28" t="str">
        <f t="shared" si="37"/>
        <v>mié</v>
      </c>
      <c r="K141" s="29">
        <v>0.83333333333333337</v>
      </c>
      <c r="L141" s="25"/>
      <c r="M141" s="25"/>
      <c r="N141" s="25"/>
      <c r="O141" s="31" t="s">
        <v>32</v>
      </c>
      <c r="Q141" s="27">
        <v>46001</v>
      </c>
      <c r="R141" s="28" t="str">
        <f t="shared" si="38"/>
        <v>mié</v>
      </c>
      <c r="S141" s="29">
        <v>0.83333333333333337</v>
      </c>
      <c r="T141" s="19"/>
      <c r="U141" s="19"/>
      <c r="V141" s="19"/>
      <c r="W141" s="30" t="str">
        <f>IF(COUNTIF(T141:V141,"?*")=$P$7,"✅ CUBIERTO",IF(COUNTIF(T141:V141,"?*")&gt;$P$7,"⚠ EXCESO",
IF(COUNTIF(T141:V141,"?*")&gt;0,"⚠ FALTANTE", "❌ SIN COMPLETAR")))</f>
        <v>❌ SIN COMPLETAR</v>
      </c>
    </row>
    <row r="142" spans="1:23" x14ac:dyDescent="0.35">
      <c r="A142" s="27">
        <v>46002</v>
      </c>
      <c r="B142" s="28" t="str">
        <f>TEXT(A142,"ddd")</f>
        <v>jue</v>
      </c>
      <c r="C142" s="29">
        <v>0.375</v>
      </c>
      <c r="D142" s="25"/>
      <c r="E142" s="25"/>
      <c r="F142" s="25"/>
      <c r="G142" s="30" t="s">
        <v>32</v>
      </c>
      <c r="I142" s="27">
        <v>46002</v>
      </c>
      <c r="J142" s="28" t="str">
        <f>TEXT(I142,"ddd")</f>
        <v>jue</v>
      </c>
      <c r="K142" s="29">
        <v>0.375</v>
      </c>
      <c r="L142" s="19"/>
      <c r="M142" s="19"/>
      <c r="N142" s="19"/>
      <c r="O142" s="31" t="str">
        <f>IF(COUNTIF(L142:N142,"?*")=$P$6,"✅ CUBIERTO",IF(COUNTIF(L142:N142,"?*")&gt;$P$6,"⚠ EXCESO",
IF(COUNTIF(L142:N142,"?*")&gt;0,"⚠ FALTANTE", "❌ SIN COMPLETAR")))</f>
        <v>❌ SIN COMPLETAR</v>
      </c>
      <c r="Q142" s="27">
        <v>46002</v>
      </c>
      <c r="R142" s="28" t="str">
        <f>TEXT(Q142,"ddd")</f>
        <v>jue</v>
      </c>
      <c r="S142" s="29">
        <v>0.375</v>
      </c>
      <c r="T142" s="25"/>
      <c r="U142" s="25"/>
      <c r="V142" s="25"/>
      <c r="W142" s="30" t="s">
        <v>32</v>
      </c>
    </row>
    <row r="143" spans="1:23" x14ac:dyDescent="0.35">
      <c r="A143" s="27">
        <v>46002</v>
      </c>
      <c r="B143" s="28" t="str">
        <f>TEXT(A143,"ddd")</f>
        <v>jue</v>
      </c>
      <c r="C143" s="29">
        <v>0.41666666666666669</v>
      </c>
      <c r="D143" s="25"/>
      <c r="E143" s="25"/>
      <c r="F143" s="25"/>
      <c r="G143" s="30" t="s">
        <v>32</v>
      </c>
      <c r="I143" s="27">
        <v>46002</v>
      </c>
      <c r="J143" s="28" t="str">
        <f>TEXT(I143,"ddd")</f>
        <v>jue</v>
      </c>
      <c r="K143" s="29">
        <v>0.41666666666666669</v>
      </c>
      <c r="L143" s="19"/>
      <c r="M143" s="19"/>
      <c r="N143" s="19"/>
      <c r="O143" s="31" t="str">
        <f>IF(COUNTIF(L143:N143,"?*")=$P$6,"✅ CUBIERTO",IF(COUNTIF(L143:N143,"?*")&gt;$P$6,"⚠ EXCESO",
IF(COUNTIF(L143:N143,"?*")&gt;0,"⚠ FALTANTE", "❌ SIN COMPLETAR")))</f>
        <v>❌ SIN COMPLETAR</v>
      </c>
      <c r="Q143" s="27">
        <v>46002</v>
      </c>
      <c r="R143" s="28" t="str">
        <f>TEXT(Q143,"ddd")</f>
        <v>jue</v>
      </c>
      <c r="S143" s="29">
        <v>0.41666666666666669</v>
      </c>
      <c r="T143" s="19"/>
      <c r="U143" s="19"/>
      <c r="V143" s="19"/>
      <c r="W143" s="30" t="str">
        <f>IF(COUNTIF(T143:V143,"?*")=$P$7,"✅ CUBIERTO",IF(COUNTIF(T143:V143,"?*")&gt;$P$7,"⚠ EXCESO",
IF(COUNTIF(T143:V143,"?*")&gt;0,"⚠ FALTANTE", "❌ SIN COMPLETAR")))</f>
        <v>❌ SIN COMPLETAR</v>
      </c>
    </row>
    <row r="144" spans="1:23" x14ac:dyDescent="0.35">
      <c r="A144" s="27">
        <v>46002</v>
      </c>
      <c r="B144" s="28" t="str">
        <f>TEXT(A144,"ddd")</f>
        <v>jue</v>
      </c>
      <c r="C144" s="29">
        <v>0.45833333333333331</v>
      </c>
      <c r="D144" s="19" t="s">
        <v>4</v>
      </c>
      <c r="E144" s="19" t="s">
        <v>31</v>
      </c>
      <c r="F144" s="19"/>
      <c r="G144" s="30" t="str">
        <f>IF(COUNTIF(D144:F144,"?*")=$P$5,"✅ CUBIERTO",
IF(COUNTIF(D144:F144,"?*")&gt;$P$5,"⚠ EXCESO",IF(COUNTIF(D144:F144,"?*")&gt;0,"⚠ FALTANTE",
"❌ SIN COMPLETAR")))</f>
        <v>✅ CUBIERTO</v>
      </c>
      <c r="I144" s="27">
        <v>46002</v>
      </c>
      <c r="J144" s="28" t="str">
        <f>TEXT(I144,"ddd")</f>
        <v>jue</v>
      </c>
      <c r="K144" s="29">
        <v>0.45833333333333331</v>
      </c>
      <c r="L144" s="19"/>
      <c r="M144" s="19"/>
      <c r="N144" s="19"/>
      <c r="O144" s="31" t="str">
        <f>IF(COUNTIF(L144:N144,"?*")=$P$6,"✅ CUBIERTO",IF(COUNTIF(L144:N144,"?*")&gt;$P$6,"⚠ EXCESO",
IF(COUNTIF(L144:N144,"?*")&gt;0,"⚠ FALTANTE", "❌ SIN COMPLETAR")))</f>
        <v>❌ SIN COMPLETAR</v>
      </c>
      <c r="Q144" s="27">
        <v>46002</v>
      </c>
      <c r="R144" s="28" t="str">
        <f>TEXT(Q144,"ddd")</f>
        <v>jue</v>
      </c>
      <c r="S144" s="29">
        <v>0.45833333333333331</v>
      </c>
      <c r="T144" s="19"/>
      <c r="U144" s="19"/>
      <c r="V144" s="19"/>
      <c r="W144" s="30" t="str">
        <f>IF(COUNTIF(T144:V144,"?*")=$P$7,"✅ CUBIERTO",IF(COUNTIF(T144:V144,"?*")&gt;$P$7,"⚠ EXCESO",
IF(COUNTIF(T144:V144,"?*")&gt;0,"⚠ FALTANTE", "❌ SIN COMPLETAR")))</f>
        <v>❌ SIN COMPLETAR</v>
      </c>
    </row>
    <row r="145" spans="1:23" x14ac:dyDescent="0.35">
      <c r="A145" s="27">
        <v>46002</v>
      </c>
      <c r="B145" s="28" t="str">
        <f t="shared" ref="B145:B153" si="39">TEXT(A145,"ddd")</f>
        <v>jue</v>
      </c>
      <c r="C145" s="29">
        <v>0.5</v>
      </c>
      <c r="D145" s="19" t="s">
        <v>4</v>
      </c>
      <c r="E145" s="19" t="s">
        <v>31</v>
      </c>
      <c r="F145" s="19"/>
      <c r="G145" s="30" t="str">
        <f>IF(COUNTIF(D145:F145,"?*")=$P$5,"✅ CUBIERTO",
IF(COUNTIF(D145:F145,"?*")&gt;$P$5,"⚠ EXCESO",IF(COUNTIF(D145:F145,"?*")&gt;0,"⚠ FALTANTE",
"❌ SIN COMPLETAR")))</f>
        <v>✅ CUBIERTO</v>
      </c>
      <c r="I145" s="27">
        <v>46002</v>
      </c>
      <c r="J145" s="28" t="str">
        <f t="shared" ref="J145:J153" si="40">TEXT(I145,"ddd")</f>
        <v>jue</v>
      </c>
      <c r="K145" s="29">
        <v>0.5</v>
      </c>
      <c r="L145" s="19"/>
      <c r="M145" s="19"/>
      <c r="N145" s="19"/>
      <c r="O145" s="31" t="str">
        <f>IF(COUNTIF(L145:N145,"?*")=$P$6,"✅ CUBIERTO",IF(COUNTIF(L145:N145,"?*")&gt;$P$6,"⚠ EXCESO",
IF(COUNTIF(L145:N145,"?*")&gt;0,"⚠ FALTANTE", "❌ SIN COMPLETAR")))</f>
        <v>❌ SIN COMPLETAR</v>
      </c>
      <c r="Q145" s="27">
        <v>46002</v>
      </c>
      <c r="R145" s="28" t="str">
        <f t="shared" ref="R145:R153" si="41">TEXT(Q145,"ddd")</f>
        <v>jue</v>
      </c>
      <c r="S145" s="29">
        <v>0.5</v>
      </c>
      <c r="T145" s="19"/>
      <c r="U145" s="19"/>
      <c r="V145" s="19"/>
      <c r="W145" s="30" t="str">
        <f>IF(COUNTIF(T145:V145,"?*")=$P$7,"✅ CUBIERTO",IF(COUNTIF(T145:V145,"?*")&gt;$P$7,"⚠ EXCESO",
IF(COUNTIF(T145:V145,"?*")&gt;0,"⚠ FALTANTE", "❌ SIN COMPLETAR")))</f>
        <v>❌ SIN COMPLETAR</v>
      </c>
    </row>
    <row r="146" spans="1:23" x14ac:dyDescent="0.35">
      <c r="A146" s="27">
        <v>46002</v>
      </c>
      <c r="B146" s="28" t="str">
        <f t="shared" si="39"/>
        <v>jue</v>
      </c>
      <c r="C146" s="29">
        <v>0.54166666666666696</v>
      </c>
      <c r="D146" s="19" t="s">
        <v>4</v>
      </c>
      <c r="E146" s="19" t="s">
        <v>31</v>
      </c>
      <c r="F146" s="19"/>
      <c r="G146" s="30" t="str">
        <f>IF(COUNTIF(D146:F146,"?*")=$P$5,"✅ CUBIERTO",
IF(COUNTIF(D146:F146,"?*")&gt;$P$5,"⚠ EXCESO",IF(COUNTIF(D146:F146,"?*")&gt;0,"⚠ FALTANTE",
"❌ SIN COMPLETAR")))</f>
        <v>✅ CUBIERTO</v>
      </c>
      <c r="I146" s="27">
        <v>46002</v>
      </c>
      <c r="J146" s="28" t="str">
        <f t="shared" si="40"/>
        <v>jue</v>
      </c>
      <c r="K146" s="29">
        <v>0.54166666666666696</v>
      </c>
      <c r="L146" s="19"/>
      <c r="M146" s="19"/>
      <c r="N146" s="19"/>
      <c r="O146" s="31" t="str">
        <f>IF(COUNTIF(L146:N146,"?*")=$P$6,"✅ CUBIERTO",IF(COUNTIF(L146:N146,"?*")&gt;$P$6,"⚠ EXCESO",
IF(COUNTIF(L146:N146,"?*")&gt;0,"⚠ FALTANTE", "❌ SIN COMPLETAR")))</f>
        <v>❌ SIN COMPLETAR</v>
      </c>
      <c r="Q146" s="27">
        <v>46002</v>
      </c>
      <c r="R146" s="28" t="str">
        <f t="shared" si="41"/>
        <v>jue</v>
      </c>
      <c r="S146" s="29">
        <v>0.54166666666666696</v>
      </c>
      <c r="T146" s="19"/>
      <c r="U146" s="19"/>
      <c r="V146" s="19"/>
      <c r="W146" s="30" t="str">
        <f>IF(COUNTIF(T146:V146,"?*")=$P$7,"✅ CUBIERTO",IF(COUNTIF(T146:V146,"?*")&gt;$P$7,"⚠ EXCESO",
IF(COUNTIF(T146:V146,"?*")&gt;0,"⚠ FALTANTE", "❌ SIN COMPLETAR")))</f>
        <v>❌ SIN COMPLETAR</v>
      </c>
    </row>
    <row r="147" spans="1:23" x14ac:dyDescent="0.35">
      <c r="A147" s="27">
        <v>46002</v>
      </c>
      <c r="B147" s="28" t="str">
        <f t="shared" si="39"/>
        <v>jue</v>
      </c>
      <c r="C147" s="29">
        <v>0.58333333333333304</v>
      </c>
      <c r="D147" s="19" t="s">
        <v>4</v>
      </c>
      <c r="E147" s="19" t="s">
        <v>31</v>
      </c>
      <c r="F147" s="19"/>
      <c r="G147" s="30" t="str">
        <f>IF(COUNTIF(D147:F147,"?*")=$P$5,"✅ CUBIERTO",
IF(COUNTIF(D147:F147,"?*")&gt;$P$5,"⚠ EXCESO",IF(COUNTIF(D147:F147,"?*")&gt;0,"⚠ FALTANTE",
"❌ SIN COMPLETAR")))</f>
        <v>✅ CUBIERTO</v>
      </c>
      <c r="I147" s="27">
        <v>46002</v>
      </c>
      <c r="J147" s="28" t="str">
        <f t="shared" si="40"/>
        <v>jue</v>
      </c>
      <c r="K147" s="29">
        <v>0.58333333333333304</v>
      </c>
      <c r="L147" s="19"/>
      <c r="M147" s="19"/>
      <c r="N147" s="19"/>
      <c r="O147" s="31" t="str">
        <f>IF(COUNTIF(L147:N147,"?*")=$P$6,"✅ CUBIERTO",IF(COUNTIF(L147:N147,"?*")&gt;$P$6,"⚠ EXCESO",
IF(COUNTIF(L147:N147,"?*")&gt;0,"⚠ FALTANTE", "❌ SIN COMPLETAR")))</f>
        <v>❌ SIN COMPLETAR</v>
      </c>
      <c r="Q147" s="27">
        <v>46002</v>
      </c>
      <c r="R147" s="28" t="str">
        <f t="shared" si="41"/>
        <v>jue</v>
      </c>
      <c r="S147" s="29">
        <v>0.58333333333333304</v>
      </c>
      <c r="T147" s="19"/>
      <c r="U147" s="19"/>
      <c r="V147" s="19"/>
      <c r="W147" s="30" t="str">
        <f>IF(COUNTIF(T147:V147,"?*")=$P$7,"✅ CUBIERTO",IF(COUNTIF(T147:V147,"?*")&gt;$P$7,"⚠ EXCESO",
IF(COUNTIF(T147:V147,"?*")&gt;0,"⚠ FALTANTE", "❌ SIN COMPLETAR")))</f>
        <v>❌ SIN COMPLETAR</v>
      </c>
    </row>
    <row r="148" spans="1:23" x14ac:dyDescent="0.35">
      <c r="A148" s="27">
        <v>46002</v>
      </c>
      <c r="B148" s="28" t="str">
        <f t="shared" si="39"/>
        <v>jue</v>
      </c>
      <c r="C148" s="29">
        <v>0.625</v>
      </c>
      <c r="D148" s="19" t="s">
        <v>4</v>
      </c>
      <c r="E148" s="19" t="s">
        <v>31</v>
      </c>
      <c r="F148" s="19"/>
      <c r="G148" s="30" t="str">
        <f>IF(COUNTIF(D148:F148,"?*")=$P$5,"✅ CUBIERTO",
IF(COUNTIF(D148:F148,"?*")&gt;$P$5,"⚠ EXCESO",IF(COUNTIF(D148:F148,"?*")&gt;0,"⚠ FALTANTE",
"❌ SIN COMPLETAR")))</f>
        <v>✅ CUBIERTO</v>
      </c>
      <c r="I148" s="27">
        <v>46002</v>
      </c>
      <c r="J148" s="28" t="str">
        <f t="shared" si="40"/>
        <v>jue</v>
      </c>
      <c r="K148" s="29">
        <v>0.625</v>
      </c>
      <c r="L148" s="19"/>
      <c r="M148" s="19"/>
      <c r="N148" s="19"/>
      <c r="O148" s="31" t="str">
        <f>IF(COUNTIF(L148:N148,"?*")=$P$6,"✅ CUBIERTO",IF(COUNTIF(L148:N148,"?*")&gt;$P$6,"⚠ EXCESO",
IF(COUNTIF(L148:N148,"?*")&gt;0,"⚠ FALTANTE", "❌ SIN COMPLETAR")))</f>
        <v>❌ SIN COMPLETAR</v>
      </c>
      <c r="Q148" s="27">
        <v>46002</v>
      </c>
      <c r="R148" s="28" t="str">
        <f t="shared" si="41"/>
        <v>jue</v>
      </c>
      <c r="S148" s="29">
        <v>0.625</v>
      </c>
      <c r="T148" s="19"/>
      <c r="U148" s="19"/>
      <c r="V148" s="19"/>
      <c r="W148" s="30" t="str">
        <f>IF(COUNTIF(T148:V148,"?*")=$P$7,"✅ CUBIERTO",IF(COUNTIF(T148:V148,"?*")&gt;$P$7,"⚠ EXCESO",
IF(COUNTIF(T148:V148,"?*")&gt;0,"⚠ FALTANTE", "❌ SIN COMPLETAR")))</f>
        <v>❌ SIN COMPLETAR</v>
      </c>
    </row>
    <row r="149" spans="1:23" x14ac:dyDescent="0.35">
      <c r="A149" s="27">
        <v>46002</v>
      </c>
      <c r="B149" s="28" t="str">
        <f t="shared" si="39"/>
        <v>jue</v>
      </c>
      <c r="C149" s="29">
        <v>0.66666666666666696</v>
      </c>
      <c r="D149" s="19" t="s">
        <v>30</v>
      </c>
      <c r="E149" s="19" t="s">
        <v>29</v>
      </c>
      <c r="F149" s="19"/>
      <c r="G149" s="30" t="str">
        <f>IF(COUNTIF(D149:F149,"?*")=$P$5,"✅ CUBIERTO",
IF(COUNTIF(D149:F149,"?*")&gt;$P$5,"⚠ EXCESO",IF(COUNTIF(D149:F149,"?*")&gt;0,"⚠ FALTANTE",
"❌ SIN COMPLETAR")))</f>
        <v>✅ CUBIERTO</v>
      </c>
      <c r="I149" s="27">
        <v>46002</v>
      </c>
      <c r="J149" s="28" t="str">
        <f t="shared" si="40"/>
        <v>jue</v>
      </c>
      <c r="K149" s="29">
        <v>0.66666666666666696</v>
      </c>
      <c r="L149" s="19"/>
      <c r="M149" s="19"/>
      <c r="N149" s="19"/>
      <c r="O149" s="31" t="str">
        <f>IF(COUNTIF(L149:N149,"?*")=$P$6,"✅ CUBIERTO",IF(COUNTIF(L149:N149,"?*")&gt;$P$6,"⚠ EXCESO",
IF(COUNTIF(L149:N149,"?*")&gt;0,"⚠ FALTANTE", "❌ SIN COMPLETAR")))</f>
        <v>❌ SIN COMPLETAR</v>
      </c>
      <c r="Q149" s="27">
        <v>46002</v>
      </c>
      <c r="R149" s="28" t="str">
        <f t="shared" si="41"/>
        <v>jue</v>
      </c>
      <c r="S149" s="29">
        <v>0.66666666666666696</v>
      </c>
      <c r="T149" s="19"/>
      <c r="U149" s="19"/>
      <c r="V149" s="19"/>
      <c r="W149" s="30" t="str">
        <f>IF(COUNTIF(T149:V149,"?*")=$P$7,"✅ CUBIERTO",IF(COUNTIF(T149:V149,"?*")&gt;$P$7,"⚠ EXCESO",
IF(COUNTIF(T149:V149,"?*")&gt;0,"⚠ FALTANTE", "❌ SIN COMPLETAR")))</f>
        <v>❌ SIN COMPLETAR</v>
      </c>
    </row>
    <row r="150" spans="1:23" x14ac:dyDescent="0.35">
      <c r="A150" s="27">
        <v>46002</v>
      </c>
      <c r="B150" s="28" t="str">
        <f t="shared" si="39"/>
        <v>jue</v>
      </c>
      <c r="C150" s="29">
        <v>0.70833333333333304</v>
      </c>
      <c r="D150" s="19" t="s">
        <v>30</v>
      </c>
      <c r="E150" s="19" t="s">
        <v>29</v>
      </c>
      <c r="F150" s="19"/>
      <c r="G150" s="30" t="str">
        <f>IF(COUNTIF(D150:F150,"?*")=$P$5,"✅ CUBIERTO",
IF(COUNTIF(D150:F150,"?*")&gt;$P$5,"⚠ EXCESO",IF(COUNTIF(D150:F150,"?*")&gt;0,"⚠ FALTANTE",
"❌ SIN COMPLETAR")))</f>
        <v>✅ CUBIERTO</v>
      </c>
      <c r="I150" s="27">
        <v>46002</v>
      </c>
      <c r="J150" s="28" t="str">
        <f t="shared" si="40"/>
        <v>jue</v>
      </c>
      <c r="K150" s="29">
        <v>0.70833333333333304</v>
      </c>
      <c r="L150" s="19"/>
      <c r="M150" s="19"/>
      <c r="N150" s="19"/>
      <c r="O150" s="31" t="str">
        <f>IF(COUNTIF(L150:N150,"?*")=$P$6,"✅ CUBIERTO",IF(COUNTIF(L150:N150,"?*")&gt;$P$6,"⚠ EXCESO",
IF(COUNTIF(L150:N150,"?*")&gt;0,"⚠ FALTANTE", "❌ SIN COMPLETAR")))</f>
        <v>❌ SIN COMPLETAR</v>
      </c>
      <c r="Q150" s="27">
        <v>46002</v>
      </c>
      <c r="R150" s="28" t="str">
        <f t="shared" si="41"/>
        <v>jue</v>
      </c>
      <c r="S150" s="29">
        <v>0.70833333333333304</v>
      </c>
      <c r="T150" s="19"/>
      <c r="U150" s="19"/>
      <c r="V150" s="19"/>
      <c r="W150" s="30" t="str">
        <f>IF(COUNTIF(T150:V150,"?*")=$P$7,"✅ CUBIERTO",IF(COUNTIF(T150:V150,"?*")&gt;$P$7,"⚠ EXCESO",
IF(COUNTIF(T150:V150,"?*")&gt;0,"⚠ FALTANTE", "❌ SIN COMPLETAR")))</f>
        <v>❌ SIN COMPLETAR</v>
      </c>
    </row>
    <row r="151" spans="1:23" x14ac:dyDescent="0.35">
      <c r="A151" s="27">
        <v>46002</v>
      </c>
      <c r="B151" s="28" t="str">
        <f t="shared" si="39"/>
        <v>jue</v>
      </c>
      <c r="C151" s="29">
        <v>0.75</v>
      </c>
      <c r="D151" s="19" t="s">
        <v>30</v>
      </c>
      <c r="E151" s="19" t="s">
        <v>29</v>
      </c>
      <c r="F151" s="19"/>
      <c r="G151" s="30" t="str">
        <f>IF(COUNTIF(D151:F151,"?*")=$P$5,"✅ CUBIERTO",
IF(COUNTIF(D151:F151,"?*")&gt;$P$5,"⚠ EXCESO",IF(COUNTIF(D151:F151,"?*")&gt;0,"⚠ FALTANTE",
"❌ SIN COMPLETAR")))</f>
        <v>✅ CUBIERTO</v>
      </c>
      <c r="I151" s="27">
        <v>46002</v>
      </c>
      <c r="J151" s="28" t="str">
        <f t="shared" si="40"/>
        <v>jue</v>
      </c>
      <c r="K151" s="29">
        <v>0.75</v>
      </c>
      <c r="L151" s="25"/>
      <c r="M151" s="25"/>
      <c r="N151" s="25"/>
      <c r="O151" s="31" t="s">
        <v>32</v>
      </c>
      <c r="Q151" s="27">
        <v>46002</v>
      </c>
      <c r="R151" s="28" t="str">
        <f t="shared" si="41"/>
        <v>jue</v>
      </c>
      <c r="S151" s="29">
        <v>0.75</v>
      </c>
      <c r="T151" s="19"/>
      <c r="U151" s="19"/>
      <c r="V151" s="19"/>
      <c r="W151" s="30" t="str">
        <f>IF(COUNTIF(T151:V151,"?*")=$P$7,"✅ CUBIERTO",IF(COUNTIF(T151:V151,"?*")&gt;$P$7,"⚠ EXCESO",
IF(COUNTIF(T151:V151,"?*")&gt;0,"⚠ FALTANTE", "❌ SIN COMPLETAR")))</f>
        <v>❌ SIN COMPLETAR</v>
      </c>
    </row>
    <row r="152" spans="1:23" x14ac:dyDescent="0.35">
      <c r="A152" s="27">
        <v>46002</v>
      </c>
      <c r="B152" s="28" t="str">
        <f t="shared" si="39"/>
        <v>jue</v>
      </c>
      <c r="C152" s="29">
        <v>0.79166666666666696</v>
      </c>
      <c r="D152" s="19" t="s">
        <v>30</v>
      </c>
      <c r="E152" s="19" t="s">
        <v>29</v>
      </c>
      <c r="F152" s="19"/>
      <c r="G152" s="30" t="str">
        <f>IF(COUNTIF(D152:F152,"?*")=$P$5,"✅ CUBIERTO",
IF(COUNTIF(D152:F152,"?*")&gt;$P$5,"⚠ EXCESO",IF(COUNTIF(D152:F152,"?*")&gt;0,"⚠ FALTANTE",
"❌ SIN COMPLETAR")))</f>
        <v>✅ CUBIERTO</v>
      </c>
      <c r="I152" s="27">
        <v>46002</v>
      </c>
      <c r="J152" s="28" t="str">
        <f t="shared" si="40"/>
        <v>jue</v>
      </c>
      <c r="K152" s="29">
        <v>0.79166666666666696</v>
      </c>
      <c r="L152" s="25"/>
      <c r="M152" s="25"/>
      <c r="N152" s="25"/>
      <c r="O152" s="31" t="s">
        <v>32</v>
      </c>
      <c r="Q152" s="27">
        <v>46002</v>
      </c>
      <c r="R152" s="28" t="str">
        <f t="shared" si="41"/>
        <v>jue</v>
      </c>
      <c r="S152" s="29">
        <v>0.79166666666666696</v>
      </c>
      <c r="T152" s="19"/>
      <c r="U152" s="19"/>
      <c r="V152" s="19"/>
      <c r="W152" s="30" t="str">
        <f>IF(COUNTIF(T152:V152,"?*")=$P$7,"✅ CUBIERTO",IF(COUNTIF(T152:V152,"?*")&gt;$P$7,"⚠ EXCESO",
IF(COUNTIF(T152:V152,"?*")&gt;0,"⚠ FALTANTE", "❌ SIN COMPLETAR")))</f>
        <v>❌ SIN COMPLETAR</v>
      </c>
    </row>
    <row r="153" spans="1:23" x14ac:dyDescent="0.35">
      <c r="A153" s="27">
        <v>46002</v>
      </c>
      <c r="B153" s="28" t="str">
        <f t="shared" si="39"/>
        <v>jue</v>
      </c>
      <c r="C153" s="29">
        <v>0.83333333333333337</v>
      </c>
      <c r="D153" s="25"/>
      <c r="E153" s="25"/>
      <c r="F153" s="25"/>
      <c r="G153" s="30" t="s">
        <v>32</v>
      </c>
      <c r="I153" s="27">
        <v>46002</v>
      </c>
      <c r="J153" s="28" t="str">
        <f t="shared" si="40"/>
        <v>jue</v>
      </c>
      <c r="K153" s="29">
        <v>0.83333333333333337</v>
      </c>
      <c r="L153" s="25"/>
      <c r="M153" s="25"/>
      <c r="N153" s="25"/>
      <c r="O153" s="31" t="s">
        <v>32</v>
      </c>
      <c r="Q153" s="27">
        <v>46002</v>
      </c>
      <c r="R153" s="28" t="str">
        <f t="shared" si="41"/>
        <v>jue</v>
      </c>
      <c r="S153" s="29">
        <v>0.83333333333333337</v>
      </c>
      <c r="T153" s="19"/>
      <c r="U153" s="19"/>
      <c r="V153" s="19"/>
      <c r="W153" s="30" t="str">
        <f>IF(COUNTIF(T153:V153,"?*")=$P$7,"✅ CUBIERTO",IF(COUNTIF(T153:V153,"?*")&gt;$P$7,"⚠ EXCESO",
IF(COUNTIF(T153:V153,"?*")&gt;0,"⚠ FALTANTE", "❌ SIN COMPLETAR")))</f>
        <v>❌ SIN COMPLETAR</v>
      </c>
    </row>
    <row r="154" spans="1:23" x14ac:dyDescent="0.35">
      <c r="A154" s="27">
        <v>46003</v>
      </c>
      <c r="B154" s="28" t="str">
        <f>TEXT(A154,"ddd")</f>
        <v>vie</v>
      </c>
      <c r="C154" s="29">
        <v>0.375</v>
      </c>
      <c r="D154" s="25"/>
      <c r="E154" s="25"/>
      <c r="F154" s="25"/>
      <c r="G154" s="30" t="s">
        <v>32</v>
      </c>
      <c r="I154" s="27">
        <v>46003</v>
      </c>
      <c r="J154" s="28" t="str">
        <f>TEXT(I154,"ddd")</f>
        <v>vie</v>
      </c>
      <c r="K154" s="29">
        <v>0.375</v>
      </c>
      <c r="L154" s="19"/>
      <c r="M154" s="19"/>
      <c r="N154" s="19"/>
      <c r="O154" s="31" t="str">
        <f>IF(COUNTIF(L154:N154,"?*")=$P$6,"✅ CUBIERTO",IF(COUNTIF(L154:N154,"?*")&gt;$P$6,"⚠ EXCESO",
IF(COUNTIF(L154:N154,"?*")&gt;0,"⚠ FALTANTE", "❌ SIN COMPLETAR")))</f>
        <v>❌ SIN COMPLETAR</v>
      </c>
      <c r="Q154" s="27">
        <v>46003</v>
      </c>
      <c r="R154" s="28" t="str">
        <f>TEXT(Q154,"ddd")</f>
        <v>vie</v>
      </c>
      <c r="S154" s="29">
        <v>0.375</v>
      </c>
      <c r="T154" s="25"/>
      <c r="U154" s="25"/>
      <c r="V154" s="25"/>
      <c r="W154" s="30" t="s">
        <v>32</v>
      </c>
    </row>
    <row r="155" spans="1:23" x14ac:dyDescent="0.35">
      <c r="A155" s="27">
        <v>46003</v>
      </c>
      <c r="B155" s="28" t="str">
        <f>TEXT(A155,"ddd")</f>
        <v>vie</v>
      </c>
      <c r="C155" s="29">
        <v>0.41666666666666669</v>
      </c>
      <c r="D155" s="25"/>
      <c r="E155" s="25"/>
      <c r="F155" s="25"/>
      <c r="G155" s="30" t="s">
        <v>32</v>
      </c>
      <c r="I155" s="27">
        <v>46003</v>
      </c>
      <c r="J155" s="28" t="str">
        <f>TEXT(I155,"ddd")</f>
        <v>vie</v>
      </c>
      <c r="K155" s="29">
        <v>0.41666666666666669</v>
      </c>
      <c r="L155" s="19"/>
      <c r="M155" s="19"/>
      <c r="N155" s="19"/>
      <c r="O155" s="31" t="str">
        <f>IF(COUNTIF(L155:N155,"?*")=$P$6,"✅ CUBIERTO",IF(COUNTIF(L155:N155,"?*")&gt;$P$6,"⚠ EXCESO",
IF(COUNTIF(L155:N155,"?*")&gt;0,"⚠ FALTANTE", "❌ SIN COMPLETAR")))</f>
        <v>❌ SIN COMPLETAR</v>
      </c>
      <c r="Q155" s="27">
        <v>46003</v>
      </c>
      <c r="R155" s="28" t="str">
        <f>TEXT(Q155,"ddd")</f>
        <v>vie</v>
      </c>
      <c r="S155" s="29">
        <v>0.41666666666666669</v>
      </c>
      <c r="T155" s="19"/>
      <c r="U155" s="19"/>
      <c r="V155" s="19"/>
      <c r="W155" s="30" t="str">
        <f>IF(COUNTIF(T155:V155,"?*")=$P$7,"✅ CUBIERTO",IF(COUNTIF(T155:V155,"?*")&gt;$P$7,"⚠ EXCESO",
IF(COUNTIF(T155:V155,"?*")&gt;0,"⚠ FALTANTE", "❌ SIN COMPLETAR")))</f>
        <v>❌ SIN COMPLETAR</v>
      </c>
    </row>
    <row r="156" spans="1:23" x14ac:dyDescent="0.35">
      <c r="A156" s="27">
        <v>46003</v>
      </c>
      <c r="B156" s="28" t="str">
        <f>TEXT(A156,"ddd")</f>
        <v>vie</v>
      </c>
      <c r="C156" s="29">
        <v>0.45833333333333331</v>
      </c>
      <c r="D156" s="19" t="s">
        <v>3</v>
      </c>
      <c r="E156" s="19" t="s">
        <v>31</v>
      </c>
      <c r="F156" s="19"/>
      <c r="G156" s="30" t="str">
        <f>IF(COUNTIF(D156:F156,"?*")=$P$5,"✅ CUBIERTO",
IF(COUNTIF(D156:F156,"?*")&gt;$P$5,"⚠ EXCESO",IF(COUNTIF(D156:F156,"?*")&gt;0,"⚠ FALTANTE",
"❌ SIN COMPLETAR")))</f>
        <v>✅ CUBIERTO</v>
      </c>
      <c r="I156" s="27">
        <v>46003</v>
      </c>
      <c r="J156" s="28" t="str">
        <f>TEXT(I156,"ddd")</f>
        <v>vie</v>
      </c>
      <c r="K156" s="29">
        <v>0.45833333333333331</v>
      </c>
      <c r="L156" s="19"/>
      <c r="M156" s="19"/>
      <c r="N156" s="19"/>
      <c r="O156" s="31" t="str">
        <f>IF(COUNTIF(L156:N156,"?*")=$P$6,"✅ CUBIERTO",IF(COUNTIF(L156:N156,"?*")&gt;$P$6,"⚠ EXCESO",
IF(COUNTIF(L156:N156,"?*")&gt;0,"⚠ FALTANTE", "❌ SIN COMPLETAR")))</f>
        <v>❌ SIN COMPLETAR</v>
      </c>
      <c r="Q156" s="27">
        <v>46003</v>
      </c>
      <c r="R156" s="28" t="str">
        <f>TEXT(Q156,"ddd")</f>
        <v>vie</v>
      </c>
      <c r="S156" s="29">
        <v>0.45833333333333331</v>
      </c>
      <c r="T156" s="19"/>
      <c r="U156" s="19"/>
      <c r="V156" s="19"/>
      <c r="W156" s="30" t="str">
        <f>IF(COUNTIF(T156:V156,"?*")=$P$7,"✅ CUBIERTO",IF(COUNTIF(T156:V156,"?*")&gt;$P$7,"⚠ EXCESO",
IF(COUNTIF(T156:V156,"?*")&gt;0,"⚠ FALTANTE", "❌ SIN COMPLETAR")))</f>
        <v>❌ SIN COMPLETAR</v>
      </c>
    </row>
    <row r="157" spans="1:23" x14ac:dyDescent="0.35">
      <c r="A157" s="27">
        <v>46003</v>
      </c>
      <c r="B157" s="28" t="str">
        <f t="shared" ref="B157:B165" si="42">TEXT(A157,"ddd")</f>
        <v>vie</v>
      </c>
      <c r="C157" s="29">
        <v>0.5</v>
      </c>
      <c r="D157" s="19" t="s">
        <v>3</v>
      </c>
      <c r="E157" s="19" t="s">
        <v>31</v>
      </c>
      <c r="F157" s="19"/>
      <c r="G157" s="30" t="str">
        <f>IF(COUNTIF(D157:F157,"?*")=$P$5,"✅ CUBIERTO",
IF(COUNTIF(D157:F157,"?*")&gt;$P$5,"⚠ EXCESO",IF(COUNTIF(D157:F157,"?*")&gt;0,"⚠ FALTANTE",
"❌ SIN COMPLETAR")))</f>
        <v>✅ CUBIERTO</v>
      </c>
      <c r="I157" s="27">
        <v>46003</v>
      </c>
      <c r="J157" s="28" t="str">
        <f t="shared" ref="J157:J165" si="43">TEXT(I157,"ddd")</f>
        <v>vie</v>
      </c>
      <c r="K157" s="29">
        <v>0.5</v>
      </c>
      <c r="L157" s="19"/>
      <c r="M157" s="19"/>
      <c r="N157" s="19"/>
      <c r="O157" s="31" t="str">
        <f>IF(COUNTIF(L157:N157,"?*")=$P$6,"✅ CUBIERTO",IF(COUNTIF(L157:N157,"?*")&gt;$P$6,"⚠ EXCESO",
IF(COUNTIF(L157:N157,"?*")&gt;0,"⚠ FALTANTE", "❌ SIN COMPLETAR")))</f>
        <v>❌ SIN COMPLETAR</v>
      </c>
      <c r="Q157" s="27">
        <v>46003</v>
      </c>
      <c r="R157" s="28" t="str">
        <f t="shared" ref="R157:R165" si="44">TEXT(Q157,"ddd")</f>
        <v>vie</v>
      </c>
      <c r="S157" s="29">
        <v>0.5</v>
      </c>
      <c r="T157" s="19"/>
      <c r="U157" s="19"/>
      <c r="V157" s="19"/>
      <c r="W157" s="30" t="str">
        <f>IF(COUNTIF(T157:V157,"?*")=$P$7,"✅ CUBIERTO",IF(COUNTIF(T157:V157,"?*")&gt;$P$7,"⚠ EXCESO",
IF(COUNTIF(T157:V157,"?*")&gt;0,"⚠ FALTANTE", "❌ SIN COMPLETAR")))</f>
        <v>❌ SIN COMPLETAR</v>
      </c>
    </row>
    <row r="158" spans="1:23" x14ac:dyDescent="0.35">
      <c r="A158" s="27">
        <v>46003</v>
      </c>
      <c r="B158" s="28" t="str">
        <f t="shared" si="42"/>
        <v>vie</v>
      </c>
      <c r="C158" s="29">
        <v>0.54166666666666696</v>
      </c>
      <c r="D158" s="19" t="s">
        <v>3</v>
      </c>
      <c r="E158" s="19" t="s">
        <v>31</v>
      </c>
      <c r="F158" s="19"/>
      <c r="G158" s="30" t="str">
        <f>IF(COUNTIF(D158:F158,"?*")=$P$5,"✅ CUBIERTO",
IF(COUNTIF(D158:F158,"?*")&gt;$P$5,"⚠ EXCESO",IF(COUNTIF(D158:F158,"?*")&gt;0,"⚠ FALTANTE",
"❌ SIN COMPLETAR")))</f>
        <v>✅ CUBIERTO</v>
      </c>
      <c r="I158" s="27">
        <v>46003</v>
      </c>
      <c r="J158" s="28" t="str">
        <f t="shared" si="43"/>
        <v>vie</v>
      </c>
      <c r="K158" s="29">
        <v>0.54166666666666696</v>
      </c>
      <c r="L158" s="19"/>
      <c r="M158" s="19"/>
      <c r="N158" s="19"/>
      <c r="O158" s="31" t="str">
        <f>IF(COUNTIF(L158:N158,"?*")=$P$6,"✅ CUBIERTO",IF(COUNTIF(L158:N158,"?*")&gt;$P$6,"⚠ EXCESO",
IF(COUNTIF(L158:N158,"?*")&gt;0,"⚠ FALTANTE", "❌ SIN COMPLETAR")))</f>
        <v>❌ SIN COMPLETAR</v>
      </c>
      <c r="Q158" s="27">
        <v>46003</v>
      </c>
      <c r="R158" s="28" t="str">
        <f t="shared" si="44"/>
        <v>vie</v>
      </c>
      <c r="S158" s="29">
        <v>0.54166666666666696</v>
      </c>
      <c r="T158" s="19"/>
      <c r="U158" s="19"/>
      <c r="V158" s="19"/>
      <c r="W158" s="30" t="str">
        <f>IF(COUNTIF(T158:V158,"?*")=$P$7,"✅ CUBIERTO",IF(COUNTIF(T158:V158,"?*")&gt;$P$7,"⚠ EXCESO",
IF(COUNTIF(T158:V158,"?*")&gt;0,"⚠ FALTANTE", "❌ SIN COMPLETAR")))</f>
        <v>❌ SIN COMPLETAR</v>
      </c>
    </row>
    <row r="159" spans="1:23" x14ac:dyDescent="0.35">
      <c r="A159" s="27">
        <v>46003</v>
      </c>
      <c r="B159" s="28" t="str">
        <f t="shared" si="42"/>
        <v>vie</v>
      </c>
      <c r="C159" s="29">
        <v>0.58333333333333304</v>
      </c>
      <c r="D159" s="19" t="s">
        <v>3</v>
      </c>
      <c r="E159" s="19" t="s">
        <v>31</v>
      </c>
      <c r="F159" s="19"/>
      <c r="G159" s="30" t="str">
        <f>IF(COUNTIF(D159:F159,"?*")=$P$5,"✅ CUBIERTO",
IF(COUNTIF(D159:F159,"?*")&gt;$P$5,"⚠ EXCESO",IF(COUNTIF(D159:F159,"?*")&gt;0,"⚠ FALTANTE",
"❌ SIN COMPLETAR")))</f>
        <v>✅ CUBIERTO</v>
      </c>
      <c r="I159" s="27">
        <v>46003</v>
      </c>
      <c r="J159" s="28" t="str">
        <f t="shared" si="43"/>
        <v>vie</v>
      </c>
      <c r="K159" s="29">
        <v>0.58333333333333304</v>
      </c>
      <c r="L159" s="19"/>
      <c r="M159" s="19"/>
      <c r="N159" s="19"/>
      <c r="O159" s="31" t="str">
        <f>IF(COUNTIF(L159:N159,"?*")=$P$6,"✅ CUBIERTO",IF(COUNTIF(L159:N159,"?*")&gt;$P$6,"⚠ EXCESO",
IF(COUNTIF(L159:N159,"?*")&gt;0,"⚠ FALTANTE", "❌ SIN COMPLETAR")))</f>
        <v>❌ SIN COMPLETAR</v>
      </c>
      <c r="Q159" s="27">
        <v>46003</v>
      </c>
      <c r="R159" s="28" t="str">
        <f t="shared" si="44"/>
        <v>vie</v>
      </c>
      <c r="S159" s="29">
        <v>0.58333333333333304</v>
      </c>
      <c r="T159" s="19"/>
      <c r="U159" s="19"/>
      <c r="V159" s="19"/>
      <c r="W159" s="30" t="str">
        <f>IF(COUNTIF(T159:V159,"?*")=$P$7,"✅ CUBIERTO",IF(COUNTIF(T159:V159,"?*")&gt;$P$7,"⚠ EXCESO",
IF(COUNTIF(T159:V159,"?*")&gt;0,"⚠ FALTANTE", "❌ SIN COMPLETAR")))</f>
        <v>❌ SIN COMPLETAR</v>
      </c>
    </row>
    <row r="160" spans="1:23" x14ac:dyDescent="0.35">
      <c r="A160" s="27">
        <v>46003</v>
      </c>
      <c r="B160" s="28" t="str">
        <f t="shared" si="42"/>
        <v>vie</v>
      </c>
      <c r="C160" s="29">
        <v>0.625</v>
      </c>
      <c r="D160" s="19" t="s">
        <v>3</v>
      </c>
      <c r="E160" s="19" t="s">
        <v>31</v>
      </c>
      <c r="F160" s="19"/>
      <c r="G160" s="30" t="str">
        <f>IF(COUNTIF(D160:F160,"?*")=$P$5,"✅ CUBIERTO",
IF(COUNTIF(D160:F160,"?*")&gt;$P$5,"⚠ EXCESO",IF(COUNTIF(D160:F160,"?*")&gt;0,"⚠ FALTANTE",
"❌ SIN COMPLETAR")))</f>
        <v>✅ CUBIERTO</v>
      </c>
      <c r="I160" s="27">
        <v>46003</v>
      </c>
      <c r="J160" s="28" t="str">
        <f t="shared" si="43"/>
        <v>vie</v>
      </c>
      <c r="K160" s="29">
        <v>0.625</v>
      </c>
      <c r="L160" s="19"/>
      <c r="M160" s="19"/>
      <c r="N160" s="19"/>
      <c r="O160" s="31" t="str">
        <f>IF(COUNTIF(L160:N160,"?*")=$P$6,"✅ CUBIERTO",IF(COUNTIF(L160:N160,"?*")&gt;$P$6,"⚠ EXCESO",
IF(COUNTIF(L160:N160,"?*")&gt;0,"⚠ FALTANTE", "❌ SIN COMPLETAR")))</f>
        <v>❌ SIN COMPLETAR</v>
      </c>
      <c r="Q160" s="27">
        <v>46003</v>
      </c>
      <c r="R160" s="28" t="str">
        <f t="shared" si="44"/>
        <v>vie</v>
      </c>
      <c r="S160" s="29">
        <v>0.625</v>
      </c>
      <c r="T160" s="19"/>
      <c r="U160" s="19"/>
      <c r="V160" s="19"/>
      <c r="W160" s="30" t="str">
        <f>IF(COUNTIF(T160:V160,"?*")=$P$7,"✅ CUBIERTO",IF(COUNTIF(T160:V160,"?*")&gt;$P$7,"⚠ EXCESO",
IF(COUNTIF(T160:V160,"?*")&gt;0,"⚠ FALTANTE", "❌ SIN COMPLETAR")))</f>
        <v>❌ SIN COMPLETAR</v>
      </c>
    </row>
    <row r="161" spans="1:23" x14ac:dyDescent="0.35">
      <c r="A161" s="27">
        <v>46003</v>
      </c>
      <c r="B161" s="28" t="str">
        <f t="shared" si="42"/>
        <v>vie</v>
      </c>
      <c r="C161" s="29">
        <v>0.66666666666666696</v>
      </c>
      <c r="D161" s="19" t="s">
        <v>30</v>
      </c>
      <c r="E161" s="19"/>
      <c r="F161" s="19"/>
      <c r="G161" s="30" t="str">
        <f>IF(COUNTIF(D161:F161,"?*")=$P$5,"✅ CUBIERTO",
IF(COUNTIF(D161:F161,"?*")&gt;$P$5,"⚠ EXCESO",IF(COUNTIF(D161:F161,"?*")&gt;0,"⚠ FALTANTE",
"❌ SIN COMPLETAR")))</f>
        <v>⚠ FALTANTE</v>
      </c>
      <c r="I161" s="27">
        <v>46003</v>
      </c>
      <c r="J161" s="28" t="str">
        <f t="shared" si="43"/>
        <v>vie</v>
      </c>
      <c r="K161" s="29">
        <v>0.66666666666666696</v>
      </c>
      <c r="L161" s="19"/>
      <c r="M161" s="19"/>
      <c r="N161" s="19"/>
      <c r="O161" s="31" t="str">
        <f>IF(COUNTIF(L161:N161,"?*")=$P$6,"✅ CUBIERTO",IF(COUNTIF(L161:N161,"?*")&gt;$P$6,"⚠ EXCESO",
IF(COUNTIF(L161:N161,"?*")&gt;0,"⚠ FALTANTE", "❌ SIN COMPLETAR")))</f>
        <v>❌ SIN COMPLETAR</v>
      </c>
      <c r="Q161" s="27">
        <v>46003</v>
      </c>
      <c r="R161" s="28" t="str">
        <f t="shared" si="44"/>
        <v>vie</v>
      </c>
      <c r="S161" s="29">
        <v>0.66666666666666696</v>
      </c>
      <c r="T161" s="19"/>
      <c r="U161" s="19"/>
      <c r="V161" s="19"/>
      <c r="W161" s="30" t="str">
        <f>IF(COUNTIF(T161:V161,"?*")=$P$7,"✅ CUBIERTO",IF(COUNTIF(T161:V161,"?*")&gt;$P$7,"⚠ EXCESO",
IF(COUNTIF(T161:V161,"?*")&gt;0,"⚠ FALTANTE", "❌ SIN COMPLETAR")))</f>
        <v>❌ SIN COMPLETAR</v>
      </c>
    </row>
    <row r="162" spans="1:23" x14ac:dyDescent="0.35">
      <c r="A162" s="27">
        <v>46003</v>
      </c>
      <c r="B162" s="28" t="str">
        <f t="shared" si="42"/>
        <v>vie</v>
      </c>
      <c r="C162" s="29">
        <v>0.70833333333333304</v>
      </c>
      <c r="D162" s="19" t="s">
        <v>30</v>
      </c>
      <c r="E162" s="19"/>
      <c r="F162" s="19"/>
      <c r="G162" s="30" t="str">
        <f>IF(COUNTIF(D162:F162,"?*")=$P$5,"✅ CUBIERTO",
IF(COUNTIF(D162:F162,"?*")&gt;$P$5,"⚠ EXCESO",IF(COUNTIF(D162:F162,"?*")&gt;0,"⚠ FALTANTE",
"❌ SIN COMPLETAR")))</f>
        <v>⚠ FALTANTE</v>
      </c>
      <c r="I162" s="27">
        <v>46003</v>
      </c>
      <c r="J162" s="28" t="str">
        <f t="shared" si="43"/>
        <v>vie</v>
      </c>
      <c r="K162" s="29">
        <v>0.70833333333333304</v>
      </c>
      <c r="L162" s="19"/>
      <c r="M162" s="19"/>
      <c r="N162" s="19"/>
      <c r="O162" s="31" t="str">
        <f>IF(COUNTIF(L162:N162,"?*")=$P$6,"✅ CUBIERTO",IF(COUNTIF(L162:N162,"?*")&gt;$P$6,"⚠ EXCESO",
IF(COUNTIF(L162:N162,"?*")&gt;0,"⚠ FALTANTE", "❌ SIN COMPLETAR")))</f>
        <v>❌ SIN COMPLETAR</v>
      </c>
      <c r="Q162" s="27">
        <v>46003</v>
      </c>
      <c r="R162" s="28" t="str">
        <f t="shared" si="44"/>
        <v>vie</v>
      </c>
      <c r="S162" s="29">
        <v>0.70833333333333304</v>
      </c>
      <c r="T162" s="19"/>
      <c r="U162" s="19"/>
      <c r="V162" s="19"/>
      <c r="W162" s="30" t="str">
        <f>IF(COUNTIF(T162:V162,"?*")=$P$7,"✅ CUBIERTO",IF(COUNTIF(T162:V162,"?*")&gt;$P$7,"⚠ EXCESO",
IF(COUNTIF(T162:V162,"?*")&gt;0,"⚠ FALTANTE", "❌ SIN COMPLETAR")))</f>
        <v>❌ SIN COMPLETAR</v>
      </c>
    </row>
    <row r="163" spans="1:23" x14ac:dyDescent="0.35">
      <c r="A163" s="27">
        <v>46003</v>
      </c>
      <c r="B163" s="28" t="str">
        <f t="shared" si="42"/>
        <v>vie</v>
      </c>
      <c r="C163" s="29">
        <v>0.75</v>
      </c>
      <c r="D163" s="19" t="s">
        <v>30</v>
      </c>
      <c r="E163" s="19"/>
      <c r="F163" s="19"/>
      <c r="G163" s="30" t="str">
        <f>IF(COUNTIF(D163:F163,"?*")=$P$5,"✅ CUBIERTO",
IF(COUNTIF(D163:F163,"?*")&gt;$P$5,"⚠ EXCESO",IF(COUNTIF(D163:F163,"?*")&gt;0,"⚠ FALTANTE",
"❌ SIN COMPLETAR")))</f>
        <v>⚠ FALTANTE</v>
      </c>
      <c r="I163" s="27">
        <v>46003</v>
      </c>
      <c r="J163" s="28" t="str">
        <f t="shared" si="43"/>
        <v>vie</v>
      </c>
      <c r="K163" s="29">
        <v>0.75</v>
      </c>
      <c r="L163" s="25"/>
      <c r="M163" s="25"/>
      <c r="N163" s="25"/>
      <c r="O163" s="31" t="s">
        <v>32</v>
      </c>
      <c r="Q163" s="27">
        <v>46003</v>
      </c>
      <c r="R163" s="28" t="str">
        <f t="shared" si="44"/>
        <v>vie</v>
      </c>
      <c r="S163" s="29">
        <v>0.75</v>
      </c>
      <c r="T163" s="19"/>
      <c r="U163" s="19"/>
      <c r="V163" s="19"/>
      <c r="W163" s="30" t="str">
        <f>IF(COUNTIF(T163:V163,"?*")=$P$7,"✅ CUBIERTO",IF(COUNTIF(T163:V163,"?*")&gt;$P$7,"⚠ EXCESO",
IF(COUNTIF(T163:V163,"?*")&gt;0,"⚠ FALTANTE", "❌ SIN COMPLETAR")))</f>
        <v>❌ SIN COMPLETAR</v>
      </c>
    </row>
    <row r="164" spans="1:23" x14ac:dyDescent="0.35">
      <c r="A164" s="27">
        <v>46003</v>
      </c>
      <c r="B164" s="28" t="str">
        <f t="shared" si="42"/>
        <v>vie</v>
      </c>
      <c r="C164" s="29">
        <v>0.79166666666666696</v>
      </c>
      <c r="D164" s="19" t="s">
        <v>30</v>
      </c>
      <c r="E164" s="19"/>
      <c r="F164" s="19"/>
      <c r="G164" s="30" t="str">
        <f>IF(COUNTIF(D164:F164,"?*")=$P$5,"✅ CUBIERTO",
IF(COUNTIF(D164:F164,"?*")&gt;$P$5,"⚠ EXCESO",IF(COUNTIF(D164:F164,"?*")&gt;0,"⚠ FALTANTE",
"❌ SIN COMPLETAR")))</f>
        <v>⚠ FALTANTE</v>
      </c>
      <c r="I164" s="27">
        <v>46003</v>
      </c>
      <c r="J164" s="28" t="str">
        <f t="shared" si="43"/>
        <v>vie</v>
      </c>
      <c r="K164" s="29">
        <v>0.79166666666666696</v>
      </c>
      <c r="L164" s="25"/>
      <c r="M164" s="25"/>
      <c r="N164" s="25"/>
      <c r="O164" s="31" t="s">
        <v>32</v>
      </c>
      <c r="Q164" s="27">
        <v>46003</v>
      </c>
      <c r="R164" s="28" t="str">
        <f t="shared" si="44"/>
        <v>vie</v>
      </c>
      <c r="S164" s="29">
        <v>0.79166666666666696</v>
      </c>
      <c r="T164" s="19"/>
      <c r="U164" s="19"/>
      <c r="V164" s="19"/>
      <c r="W164" s="30" t="str">
        <f>IF(COUNTIF(T164:V164,"?*")=$P$7,"✅ CUBIERTO",IF(COUNTIF(T164:V164,"?*")&gt;$P$7,"⚠ EXCESO",
IF(COUNTIF(T164:V164,"?*")&gt;0,"⚠ FALTANTE", "❌ SIN COMPLETAR")))</f>
        <v>❌ SIN COMPLETAR</v>
      </c>
    </row>
    <row r="165" spans="1:23" x14ac:dyDescent="0.35">
      <c r="A165" s="27">
        <v>46003</v>
      </c>
      <c r="B165" s="28" t="str">
        <f t="shared" si="42"/>
        <v>vie</v>
      </c>
      <c r="C165" s="29">
        <v>0.83333333333333337</v>
      </c>
      <c r="D165" s="25"/>
      <c r="E165" s="25"/>
      <c r="F165" s="25"/>
      <c r="G165" s="30" t="s">
        <v>32</v>
      </c>
      <c r="I165" s="27">
        <v>46003</v>
      </c>
      <c r="J165" s="28" t="str">
        <f t="shared" si="43"/>
        <v>vie</v>
      </c>
      <c r="K165" s="29">
        <v>0.83333333333333337</v>
      </c>
      <c r="L165" s="25"/>
      <c r="M165" s="25"/>
      <c r="N165" s="25"/>
      <c r="O165" s="31" t="s">
        <v>32</v>
      </c>
      <c r="Q165" s="27">
        <v>46003</v>
      </c>
      <c r="R165" s="28" t="str">
        <f t="shared" si="44"/>
        <v>vie</v>
      </c>
      <c r="S165" s="29">
        <v>0.83333333333333337</v>
      </c>
      <c r="T165" s="19"/>
      <c r="U165" s="19"/>
      <c r="V165" s="19"/>
      <c r="W165" s="30" t="str">
        <f>IF(COUNTIF(T165:V165,"?*")=$P$7,"✅ CUBIERTO",IF(COUNTIF(T165:V165,"?*")&gt;$P$7,"⚠ EXCESO",
IF(COUNTIF(T165:V165,"?*")&gt;0,"⚠ FALTANTE", "❌ SIN COMPLETAR")))</f>
        <v>❌ SIN COMPLETAR</v>
      </c>
    </row>
    <row r="166" spans="1:23" x14ac:dyDescent="0.35">
      <c r="A166" s="27">
        <v>46004</v>
      </c>
      <c r="B166" s="28" t="str">
        <f>TEXT(A166,"ddd")</f>
        <v>sáb</v>
      </c>
      <c r="C166" s="29">
        <v>0.375</v>
      </c>
      <c r="D166" s="25"/>
      <c r="E166" s="25"/>
      <c r="F166" s="25"/>
      <c r="G166" s="30" t="s">
        <v>32</v>
      </c>
      <c r="I166" s="27">
        <v>46004</v>
      </c>
      <c r="J166" s="28" t="str">
        <f>TEXT(I166,"ddd")</f>
        <v>sáb</v>
      </c>
      <c r="K166" s="29">
        <v>0.375</v>
      </c>
      <c r="L166" s="25"/>
      <c r="M166" s="25"/>
      <c r="N166" s="25"/>
      <c r="O166" s="31" t="s">
        <v>32</v>
      </c>
      <c r="Q166" s="27">
        <v>46004</v>
      </c>
      <c r="R166" s="28" t="str">
        <f>TEXT(Q166,"ddd")</f>
        <v>sáb</v>
      </c>
      <c r="S166" s="29">
        <v>0.375</v>
      </c>
      <c r="T166" s="25"/>
      <c r="U166" s="25"/>
      <c r="V166" s="25"/>
      <c r="W166" s="30" t="s">
        <v>32</v>
      </c>
    </row>
    <row r="167" spans="1:23" x14ac:dyDescent="0.35">
      <c r="A167" s="27">
        <v>46004</v>
      </c>
      <c r="B167" s="28" t="str">
        <f>TEXT(A167,"ddd")</f>
        <v>sáb</v>
      </c>
      <c r="C167" s="29">
        <v>0.41666666666666669</v>
      </c>
      <c r="D167" s="25"/>
      <c r="E167" s="25"/>
      <c r="F167" s="25"/>
      <c r="G167" s="30" t="s">
        <v>32</v>
      </c>
      <c r="I167" s="27">
        <v>46004</v>
      </c>
      <c r="J167" s="28" t="str">
        <f>TEXT(I167,"ddd")</f>
        <v>sáb</v>
      </c>
      <c r="K167" s="29">
        <v>0.41666666666666669</v>
      </c>
      <c r="L167" s="25"/>
      <c r="M167" s="25"/>
      <c r="N167" s="25"/>
      <c r="O167" s="31" t="s">
        <v>32</v>
      </c>
      <c r="Q167" s="27">
        <v>46004</v>
      </c>
      <c r="R167" s="28" t="str">
        <f>TEXT(Q167,"ddd")</f>
        <v>sáb</v>
      </c>
      <c r="S167" s="29">
        <v>0.41666666666666669</v>
      </c>
      <c r="T167" s="19"/>
      <c r="U167" s="19"/>
      <c r="V167" s="19"/>
      <c r="W167" s="30" t="str">
        <f>IF(COUNTIF(T167:V167,"?*")=$P$7,"✅ CUBIERTO",IF(COUNTIF(T167:V167,"?*")&gt;$P$7,"⚠ EXCESO",
IF(COUNTIF(T167:V167,"?*")&gt;0,"⚠ FALTANTE", "❌ SIN COMPLETAR")))</f>
        <v>❌ SIN COMPLETAR</v>
      </c>
    </row>
    <row r="168" spans="1:23" x14ac:dyDescent="0.35">
      <c r="A168" s="27">
        <v>46004</v>
      </c>
      <c r="B168" s="28" t="str">
        <f>TEXT(A168,"ddd")</f>
        <v>sáb</v>
      </c>
      <c r="C168" s="29">
        <v>0.45833333333333331</v>
      </c>
      <c r="D168" s="19" t="s">
        <v>3</v>
      </c>
      <c r="E168" s="19" t="s">
        <v>4</v>
      </c>
      <c r="F168" s="19"/>
      <c r="G168" s="30" t="str">
        <f>IF(COUNTIF(D168:F168,"?*")=$P$5,"✅ CUBIERTO",
IF(COUNTIF(D168:F168,"?*")&gt;$P$5,"⚠ EXCESO",IF(COUNTIF(D168:F168,"?*")&gt;0,"⚠ FALTANTE",
"❌ SIN COMPLETAR")))</f>
        <v>✅ CUBIERTO</v>
      </c>
      <c r="I168" s="27">
        <v>46004</v>
      </c>
      <c r="J168" s="28" t="str">
        <f>TEXT(I168,"ddd")</f>
        <v>sáb</v>
      </c>
      <c r="K168" s="29">
        <v>0.45833333333333331</v>
      </c>
      <c r="L168" s="25"/>
      <c r="M168" s="25"/>
      <c r="N168" s="25"/>
      <c r="O168" s="31" t="s">
        <v>32</v>
      </c>
      <c r="Q168" s="27">
        <v>46004</v>
      </c>
      <c r="R168" s="28" t="str">
        <f>TEXT(Q168,"ddd")</f>
        <v>sáb</v>
      </c>
      <c r="S168" s="29">
        <v>0.45833333333333331</v>
      </c>
      <c r="T168" s="19"/>
      <c r="U168" s="19"/>
      <c r="V168" s="19"/>
      <c r="W168" s="30" t="str">
        <f>IF(COUNTIF(T168:V168,"?*")=$P$7,"✅ CUBIERTO",IF(COUNTIF(T168:V168,"?*")&gt;$P$7,"⚠ EXCESO",
IF(COUNTIF(T168:V168,"?*")&gt;0,"⚠ FALTANTE", "❌ SIN COMPLETAR")))</f>
        <v>❌ SIN COMPLETAR</v>
      </c>
    </row>
    <row r="169" spans="1:23" x14ac:dyDescent="0.35">
      <c r="A169" s="27">
        <v>46004</v>
      </c>
      <c r="B169" s="28" t="str">
        <f t="shared" ref="B169:B177" si="45">TEXT(A169,"ddd")</f>
        <v>sáb</v>
      </c>
      <c r="C169" s="29">
        <v>0.5</v>
      </c>
      <c r="D169" s="19" t="s">
        <v>3</v>
      </c>
      <c r="E169" s="19" t="s">
        <v>4</v>
      </c>
      <c r="F169" s="19"/>
      <c r="G169" s="30" t="str">
        <f>IF(COUNTIF(D169:F169,"?*")=$P$5,"✅ CUBIERTO",
IF(COUNTIF(D169:F169,"?*")&gt;$P$5,"⚠ EXCESO",IF(COUNTIF(D169:F169,"?*")&gt;0,"⚠ FALTANTE",
"❌ SIN COMPLETAR")))</f>
        <v>✅ CUBIERTO</v>
      </c>
      <c r="I169" s="27">
        <v>46004</v>
      </c>
      <c r="J169" s="28" t="str">
        <f t="shared" ref="J169:J177" si="46">TEXT(I169,"ddd")</f>
        <v>sáb</v>
      </c>
      <c r="K169" s="29">
        <v>0.5</v>
      </c>
      <c r="L169" s="25"/>
      <c r="M169" s="25"/>
      <c r="N169" s="25"/>
      <c r="O169" s="31" t="s">
        <v>32</v>
      </c>
      <c r="Q169" s="27">
        <v>46004</v>
      </c>
      <c r="R169" s="28" t="str">
        <f t="shared" ref="R169:R177" si="47">TEXT(Q169,"ddd")</f>
        <v>sáb</v>
      </c>
      <c r="S169" s="29">
        <v>0.5</v>
      </c>
      <c r="T169" s="19"/>
      <c r="U169" s="19"/>
      <c r="V169" s="19"/>
      <c r="W169" s="30" t="str">
        <f>IF(COUNTIF(T169:V169,"?*")=$P$7,"✅ CUBIERTO",IF(COUNTIF(T169:V169,"?*")&gt;$P$7,"⚠ EXCESO",
IF(COUNTIF(T169:V169,"?*")&gt;0,"⚠ FALTANTE", "❌ SIN COMPLETAR")))</f>
        <v>❌ SIN COMPLETAR</v>
      </c>
    </row>
    <row r="170" spans="1:23" x14ac:dyDescent="0.35">
      <c r="A170" s="27">
        <v>46004</v>
      </c>
      <c r="B170" s="28" t="str">
        <f t="shared" si="45"/>
        <v>sáb</v>
      </c>
      <c r="C170" s="29">
        <v>0.54166666666666696</v>
      </c>
      <c r="D170" s="19" t="s">
        <v>3</v>
      </c>
      <c r="E170" s="19" t="s">
        <v>4</v>
      </c>
      <c r="F170" s="19"/>
      <c r="G170" s="30" t="str">
        <f>IF(COUNTIF(D170:F170,"?*")=$P$5,"✅ CUBIERTO",
IF(COUNTIF(D170:F170,"?*")&gt;$P$5,"⚠ EXCESO",IF(COUNTIF(D170:F170,"?*")&gt;0,"⚠ FALTANTE",
"❌ SIN COMPLETAR")))</f>
        <v>✅ CUBIERTO</v>
      </c>
      <c r="I170" s="27">
        <v>46004</v>
      </c>
      <c r="J170" s="28" t="str">
        <f t="shared" si="46"/>
        <v>sáb</v>
      </c>
      <c r="K170" s="29">
        <v>0.54166666666666696</v>
      </c>
      <c r="L170" s="25"/>
      <c r="M170" s="25"/>
      <c r="N170" s="25"/>
      <c r="O170" s="31" t="s">
        <v>32</v>
      </c>
      <c r="Q170" s="27">
        <v>46004</v>
      </c>
      <c r="R170" s="28" t="str">
        <f t="shared" si="47"/>
        <v>sáb</v>
      </c>
      <c r="S170" s="29">
        <v>0.54166666666666696</v>
      </c>
      <c r="T170" s="19"/>
      <c r="U170" s="19"/>
      <c r="V170" s="19"/>
      <c r="W170" s="30" t="str">
        <f>IF(COUNTIF(T170:V170,"?*")=$P$7,"✅ CUBIERTO",IF(COUNTIF(T170:V170,"?*")&gt;$P$7,"⚠ EXCESO",
IF(COUNTIF(T170:V170,"?*")&gt;0,"⚠ FALTANTE", "❌ SIN COMPLETAR")))</f>
        <v>❌ SIN COMPLETAR</v>
      </c>
    </row>
    <row r="171" spans="1:23" x14ac:dyDescent="0.35">
      <c r="A171" s="27">
        <v>46004</v>
      </c>
      <c r="B171" s="28" t="str">
        <f t="shared" si="45"/>
        <v>sáb</v>
      </c>
      <c r="C171" s="29">
        <v>0.58333333333333304</v>
      </c>
      <c r="D171" s="19" t="s">
        <v>3</v>
      </c>
      <c r="E171" s="19" t="s">
        <v>4</v>
      </c>
      <c r="F171" s="19"/>
      <c r="G171" s="30" t="str">
        <f>IF(COUNTIF(D171:F171,"?*")=$P$5,"✅ CUBIERTO",
IF(COUNTIF(D171:F171,"?*")&gt;$P$5,"⚠ EXCESO",IF(COUNTIF(D171:F171,"?*")&gt;0,"⚠ FALTANTE",
"❌ SIN COMPLETAR")))</f>
        <v>✅ CUBIERTO</v>
      </c>
      <c r="I171" s="27">
        <v>46004</v>
      </c>
      <c r="J171" s="28" t="str">
        <f t="shared" si="46"/>
        <v>sáb</v>
      </c>
      <c r="K171" s="29">
        <v>0.58333333333333304</v>
      </c>
      <c r="L171" s="25"/>
      <c r="M171" s="25"/>
      <c r="N171" s="25"/>
      <c r="O171" s="31" t="s">
        <v>32</v>
      </c>
      <c r="Q171" s="27">
        <v>46004</v>
      </c>
      <c r="R171" s="28" t="str">
        <f t="shared" si="47"/>
        <v>sáb</v>
      </c>
      <c r="S171" s="29">
        <v>0.58333333333333304</v>
      </c>
      <c r="T171" s="19"/>
      <c r="U171" s="19"/>
      <c r="V171" s="19"/>
      <c r="W171" s="30" t="str">
        <f>IF(COUNTIF(T171:V171,"?*")=$P$7,"✅ CUBIERTO",IF(COUNTIF(T171:V171,"?*")&gt;$P$7,"⚠ EXCESO",
IF(COUNTIF(T171:V171,"?*")&gt;0,"⚠ FALTANTE", "❌ SIN COMPLETAR")))</f>
        <v>❌ SIN COMPLETAR</v>
      </c>
    </row>
    <row r="172" spans="1:23" x14ac:dyDescent="0.35">
      <c r="A172" s="27">
        <v>46004</v>
      </c>
      <c r="B172" s="28" t="str">
        <f t="shared" si="45"/>
        <v>sáb</v>
      </c>
      <c r="C172" s="29">
        <v>0.625</v>
      </c>
      <c r="D172" s="19" t="s">
        <v>3</v>
      </c>
      <c r="E172" s="19" t="s">
        <v>4</v>
      </c>
      <c r="F172" s="19"/>
      <c r="G172" s="30" t="str">
        <f>IF(COUNTIF(D172:F172,"?*")=$P$5,"✅ CUBIERTO",
IF(COUNTIF(D172:F172,"?*")&gt;$P$5,"⚠ EXCESO",IF(COUNTIF(D172:F172,"?*")&gt;0,"⚠ FALTANTE",
"❌ SIN COMPLETAR")))</f>
        <v>✅ CUBIERTO</v>
      </c>
      <c r="I172" s="27">
        <v>46004</v>
      </c>
      <c r="J172" s="28" t="str">
        <f t="shared" si="46"/>
        <v>sáb</v>
      </c>
      <c r="K172" s="29">
        <v>0.625</v>
      </c>
      <c r="L172" s="25"/>
      <c r="M172" s="25"/>
      <c r="N172" s="25"/>
      <c r="O172" s="31" t="s">
        <v>32</v>
      </c>
      <c r="Q172" s="27">
        <v>46004</v>
      </c>
      <c r="R172" s="28" t="str">
        <f t="shared" si="47"/>
        <v>sáb</v>
      </c>
      <c r="S172" s="29">
        <v>0.625</v>
      </c>
      <c r="T172" s="19"/>
      <c r="U172" s="19"/>
      <c r="V172" s="19"/>
      <c r="W172" s="30" t="str">
        <f>IF(COUNTIF(T172:V172,"?*")=$P$7,"✅ CUBIERTO",IF(COUNTIF(T172:V172,"?*")&gt;$P$7,"⚠ EXCESO",
IF(COUNTIF(T172:V172,"?*")&gt;0,"⚠ FALTANTE", "❌ SIN COMPLETAR")))</f>
        <v>❌ SIN COMPLETAR</v>
      </c>
    </row>
    <row r="173" spans="1:23" x14ac:dyDescent="0.35">
      <c r="A173" s="27">
        <v>46004</v>
      </c>
      <c r="B173" s="28" t="str">
        <f t="shared" si="45"/>
        <v>sáb</v>
      </c>
      <c r="C173" s="29">
        <v>0.66666666666666696</v>
      </c>
      <c r="D173" s="19" t="s">
        <v>30</v>
      </c>
      <c r="E173" s="19"/>
      <c r="F173" s="19"/>
      <c r="G173" s="30" t="str">
        <f>IF(COUNTIF(D173:F173,"?*")=$P$5,"✅ CUBIERTO",
IF(COUNTIF(D173:F173,"?*")&gt;$P$5,"⚠ EXCESO",IF(COUNTIF(D173:F173,"?*")&gt;0,"⚠ FALTANTE",
"❌ SIN COMPLETAR")))</f>
        <v>⚠ FALTANTE</v>
      </c>
      <c r="I173" s="27">
        <v>46004</v>
      </c>
      <c r="J173" s="28" t="str">
        <f t="shared" si="46"/>
        <v>sáb</v>
      </c>
      <c r="K173" s="29">
        <v>0.66666666666666696</v>
      </c>
      <c r="L173" s="25"/>
      <c r="M173" s="25"/>
      <c r="N173" s="25"/>
      <c r="O173" s="31" t="s">
        <v>32</v>
      </c>
      <c r="Q173" s="27">
        <v>46004</v>
      </c>
      <c r="R173" s="28" t="str">
        <f t="shared" si="47"/>
        <v>sáb</v>
      </c>
      <c r="S173" s="29">
        <v>0.66666666666666696</v>
      </c>
      <c r="T173" s="19"/>
      <c r="U173" s="19"/>
      <c r="V173" s="19"/>
      <c r="W173" s="30" t="str">
        <f>IF(COUNTIF(T173:V173,"?*")=$P$7,"✅ CUBIERTO",IF(COUNTIF(T173:V173,"?*")&gt;$P$7,"⚠ EXCESO",
IF(COUNTIF(T173:V173,"?*")&gt;0,"⚠ FALTANTE", "❌ SIN COMPLETAR")))</f>
        <v>❌ SIN COMPLETAR</v>
      </c>
    </row>
    <row r="174" spans="1:23" x14ac:dyDescent="0.35">
      <c r="A174" s="27">
        <v>46004</v>
      </c>
      <c r="B174" s="28" t="str">
        <f t="shared" si="45"/>
        <v>sáb</v>
      </c>
      <c r="C174" s="29">
        <v>0.70833333333333304</v>
      </c>
      <c r="D174" s="19" t="s">
        <v>30</v>
      </c>
      <c r="E174" s="19"/>
      <c r="F174" s="19"/>
      <c r="G174" s="30" t="str">
        <f>IF(COUNTIF(D174:F174,"?*")=$P$5,"✅ CUBIERTO",
IF(COUNTIF(D174:F174,"?*")&gt;$P$5,"⚠ EXCESO",IF(COUNTIF(D174:F174,"?*")&gt;0,"⚠ FALTANTE",
"❌ SIN COMPLETAR")))</f>
        <v>⚠ FALTANTE</v>
      </c>
      <c r="I174" s="27">
        <v>46004</v>
      </c>
      <c r="J174" s="28" t="str">
        <f t="shared" si="46"/>
        <v>sáb</v>
      </c>
      <c r="K174" s="29">
        <v>0.70833333333333304</v>
      </c>
      <c r="L174" s="25"/>
      <c r="M174" s="25"/>
      <c r="N174" s="25"/>
      <c r="O174" s="31" t="s">
        <v>32</v>
      </c>
      <c r="Q174" s="27">
        <v>46004</v>
      </c>
      <c r="R174" s="28" t="str">
        <f t="shared" si="47"/>
        <v>sáb</v>
      </c>
      <c r="S174" s="29">
        <v>0.70833333333333304</v>
      </c>
      <c r="T174" s="19"/>
      <c r="U174" s="19"/>
      <c r="V174" s="19"/>
      <c r="W174" s="30" t="str">
        <f>IF(COUNTIF(T174:V174,"?*")=$P$7,"✅ CUBIERTO",IF(COUNTIF(T174:V174,"?*")&gt;$P$7,"⚠ EXCESO",
IF(COUNTIF(T174:V174,"?*")&gt;0,"⚠ FALTANTE", "❌ SIN COMPLETAR")))</f>
        <v>❌ SIN COMPLETAR</v>
      </c>
    </row>
    <row r="175" spans="1:23" x14ac:dyDescent="0.35">
      <c r="A175" s="27">
        <v>46004</v>
      </c>
      <c r="B175" s="28" t="str">
        <f t="shared" si="45"/>
        <v>sáb</v>
      </c>
      <c r="C175" s="29">
        <v>0.75</v>
      </c>
      <c r="D175" s="19" t="s">
        <v>30</v>
      </c>
      <c r="E175" s="19"/>
      <c r="F175" s="19"/>
      <c r="G175" s="30" t="str">
        <f>IF(COUNTIF(D175:F175,"?*")=$P$5,"✅ CUBIERTO",
IF(COUNTIF(D175:F175,"?*")&gt;$P$5,"⚠ EXCESO",IF(COUNTIF(D175:F175,"?*")&gt;0,"⚠ FALTANTE",
"❌ SIN COMPLETAR")))</f>
        <v>⚠ FALTANTE</v>
      </c>
      <c r="I175" s="27">
        <v>46004</v>
      </c>
      <c r="J175" s="28" t="str">
        <f t="shared" si="46"/>
        <v>sáb</v>
      </c>
      <c r="K175" s="29">
        <v>0.75</v>
      </c>
      <c r="L175" s="25"/>
      <c r="M175" s="25"/>
      <c r="N175" s="25"/>
      <c r="O175" s="31" t="s">
        <v>32</v>
      </c>
      <c r="Q175" s="27">
        <v>46004</v>
      </c>
      <c r="R175" s="28" t="str">
        <f t="shared" si="47"/>
        <v>sáb</v>
      </c>
      <c r="S175" s="29">
        <v>0.75</v>
      </c>
      <c r="T175" s="19"/>
      <c r="U175" s="19"/>
      <c r="V175" s="19"/>
      <c r="W175" s="30" t="str">
        <f>IF(COUNTIF(T175:V175,"?*")=$P$7,"✅ CUBIERTO",IF(COUNTIF(T175:V175,"?*")&gt;$P$7,"⚠ EXCESO",
IF(COUNTIF(T175:V175,"?*")&gt;0,"⚠ FALTANTE", "❌ SIN COMPLETAR")))</f>
        <v>❌ SIN COMPLETAR</v>
      </c>
    </row>
    <row r="176" spans="1:23" x14ac:dyDescent="0.35">
      <c r="A176" s="27">
        <v>46004</v>
      </c>
      <c r="B176" s="28" t="str">
        <f t="shared" si="45"/>
        <v>sáb</v>
      </c>
      <c r="C176" s="29">
        <v>0.79166666666666696</v>
      </c>
      <c r="D176" s="19" t="s">
        <v>30</v>
      </c>
      <c r="E176" s="19"/>
      <c r="F176" s="19"/>
      <c r="G176" s="30" t="str">
        <f>IF(COUNTIF(D176:F176,"?*")=$P$5,"✅ CUBIERTO",
IF(COUNTIF(D176:F176,"?*")&gt;$P$5,"⚠ EXCESO",IF(COUNTIF(D176:F176,"?*")&gt;0,"⚠ FALTANTE",
"❌ SIN COMPLETAR")))</f>
        <v>⚠ FALTANTE</v>
      </c>
      <c r="I176" s="27">
        <v>46004</v>
      </c>
      <c r="J176" s="28" t="str">
        <f t="shared" si="46"/>
        <v>sáb</v>
      </c>
      <c r="K176" s="29">
        <v>0.79166666666666696</v>
      </c>
      <c r="L176" s="25"/>
      <c r="M176" s="25"/>
      <c r="N176" s="25"/>
      <c r="O176" s="31" t="s">
        <v>32</v>
      </c>
      <c r="Q176" s="27">
        <v>46004</v>
      </c>
      <c r="R176" s="28" t="str">
        <f t="shared" si="47"/>
        <v>sáb</v>
      </c>
      <c r="S176" s="29">
        <v>0.79166666666666696</v>
      </c>
      <c r="T176" s="19"/>
      <c r="U176" s="19"/>
      <c r="V176" s="19"/>
      <c r="W176" s="30" t="str">
        <f>IF(COUNTIF(T176:V176,"?*")=$P$7,"✅ CUBIERTO",IF(COUNTIF(T176:V176,"?*")&gt;$P$7,"⚠ EXCESO",
IF(COUNTIF(T176:V176,"?*")&gt;0,"⚠ FALTANTE", "❌ SIN COMPLETAR")))</f>
        <v>❌ SIN COMPLETAR</v>
      </c>
    </row>
    <row r="177" spans="1:23" x14ac:dyDescent="0.35">
      <c r="A177" s="27">
        <v>46004</v>
      </c>
      <c r="B177" s="28" t="str">
        <f t="shared" si="45"/>
        <v>sáb</v>
      </c>
      <c r="C177" s="29">
        <v>0.83333333333333337</v>
      </c>
      <c r="D177" s="25"/>
      <c r="E177" s="25"/>
      <c r="F177" s="25"/>
      <c r="G177" s="30" t="s">
        <v>32</v>
      </c>
      <c r="I177" s="27">
        <v>46004</v>
      </c>
      <c r="J177" s="28" t="str">
        <f t="shared" si="46"/>
        <v>sáb</v>
      </c>
      <c r="K177" s="29">
        <v>0.83333333333333337</v>
      </c>
      <c r="L177" s="25"/>
      <c r="M177" s="25"/>
      <c r="N177" s="25"/>
      <c r="O177" s="31" t="s">
        <v>32</v>
      </c>
      <c r="Q177" s="27">
        <v>46004</v>
      </c>
      <c r="R177" s="28" t="str">
        <f t="shared" si="47"/>
        <v>sáb</v>
      </c>
      <c r="S177" s="29">
        <v>0.83333333333333337</v>
      </c>
      <c r="T177" s="19"/>
      <c r="U177" s="19"/>
      <c r="V177" s="19"/>
      <c r="W177" s="30" t="str">
        <f>IF(COUNTIF(T177:V177,"?*")=$P$7,"✅ CUBIERTO",IF(COUNTIF(T177:V177,"?*")&gt;$P$7,"⚠ EXCESO",
IF(COUNTIF(T177:V177,"?*")&gt;0,"⚠ FALTANTE", "❌ SIN COMPLETAR")))</f>
        <v>❌ SIN COMPLETAR</v>
      </c>
    </row>
    <row r="178" spans="1:23" x14ac:dyDescent="0.35">
      <c r="A178" s="27">
        <v>46005</v>
      </c>
      <c r="B178" s="28" t="str">
        <f>TEXT(A178,"ddd")</f>
        <v>dom</v>
      </c>
      <c r="C178" s="29">
        <v>0.375</v>
      </c>
      <c r="D178" s="25"/>
      <c r="E178" s="25"/>
      <c r="F178" s="25"/>
      <c r="G178" s="30" t="s">
        <v>32</v>
      </c>
      <c r="I178" s="27">
        <v>46005</v>
      </c>
      <c r="J178" s="28" t="str">
        <f>TEXT(I178,"ddd")</f>
        <v>dom</v>
      </c>
      <c r="K178" s="29">
        <v>0.375</v>
      </c>
      <c r="L178" s="25"/>
      <c r="M178" s="25"/>
      <c r="N178" s="25"/>
      <c r="O178" s="31" t="s">
        <v>32</v>
      </c>
      <c r="Q178" s="27">
        <v>46005</v>
      </c>
      <c r="R178" s="28" t="str">
        <f>TEXT(Q178,"ddd")</f>
        <v>dom</v>
      </c>
      <c r="S178" s="29">
        <v>0.375</v>
      </c>
      <c r="T178" s="25"/>
      <c r="U178" s="25"/>
      <c r="V178" s="25"/>
      <c r="W178" s="30" t="s">
        <v>32</v>
      </c>
    </row>
    <row r="179" spans="1:23" x14ac:dyDescent="0.35">
      <c r="A179" s="27">
        <v>46005</v>
      </c>
      <c r="B179" s="28" t="str">
        <f>TEXT(A179,"ddd")</f>
        <v>dom</v>
      </c>
      <c r="C179" s="29">
        <v>0.41666666666666669</v>
      </c>
      <c r="D179" s="25"/>
      <c r="E179" s="25"/>
      <c r="F179" s="25"/>
      <c r="G179" s="30" t="s">
        <v>32</v>
      </c>
      <c r="I179" s="27">
        <v>46005</v>
      </c>
      <c r="J179" s="28" t="str">
        <f>TEXT(I179,"ddd")</f>
        <v>dom</v>
      </c>
      <c r="K179" s="29">
        <v>0.41666666666666669</v>
      </c>
      <c r="L179" s="25"/>
      <c r="M179" s="25"/>
      <c r="N179" s="25"/>
      <c r="O179" s="31" t="s">
        <v>32</v>
      </c>
      <c r="Q179" s="27">
        <v>46005</v>
      </c>
      <c r="R179" s="28" t="str">
        <f>TEXT(Q179,"ddd")</f>
        <v>dom</v>
      </c>
      <c r="S179" s="29">
        <v>0.41666666666666669</v>
      </c>
      <c r="T179" s="19"/>
      <c r="U179" s="19"/>
      <c r="V179" s="19"/>
      <c r="W179" s="30" t="str">
        <f>IF(COUNTIF(T179:V179,"?*")=$P$7,"✅ CUBIERTO",IF(COUNTIF(T179:V179,"?*")&gt;$P$7,"⚠ EXCESO",
IF(COUNTIF(T179:V179,"?*")&gt;0,"⚠ FALTANTE", "❌ SIN COMPLETAR")))</f>
        <v>❌ SIN COMPLETAR</v>
      </c>
    </row>
    <row r="180" spans="1:23" x14ac:dyDescent="0.35">
      <c r="A180" s="27">
        <v>46005</v>
      </c>
      <c r="B180" s="28" t="str">
        <f>TEXT(A180,"ddd")</f>
        <v>dom</v>
      </c>
      <c r="C180" s="29">
        <v>0.45833333333333331</v>
      </c>
      <c r="D180" s="19" t="s">
        <v>31</v>
      </c>
      <c r="E180" s="19"/>
      <c r="F180" s="19"/>
      <c r="G180" s="30" t="str">
        <f>IF(COUNTIF(D180:F180,"?*")=$P$5,"✅ CUBIERTO",
IF(COUNTIF(D180:F180,"?*")&gt;$P$5,"⚠ EXCESO",IF(COUNTIF(D180:F180,"?*")&gt;0,"⚠ FALTANTE",
"❌ SIN COMPLETAR")))</f>
        <v>⚠ FALTANTE</v>
      </c>
      <c r="I180" s="27">
        <v>46005</v>
      </c>
      <c r="J180" s="28" t="str">
        <f>TEXT(I180,"ddd")</f>
        <v>dom</v>
      </c>
      <c r="K180" s="29">
        <v>0.45833333333333331</v>
      </c>
      <c r="L180" s="25"/>
      <c r="M180" s="25"/>
      <c r="N180" s="25"/>
      <c r="O180" s="31" t="s">
        <v>32</v>
      </c>
      <c r="Q180" s="27">
        <v>46005</v>
      </c>
      <c r="R180" s="28" t="str">
        <f>TEXT(Q180,"ddd")</f>
        <v>dom</v>
      </c>
      <c r="S180" s="29">
        <v>0.45833333333333331</v>
      </c>
      <c r="T180" s="19"/>
      <c r="U180" s="19"/>
      <c r="V180" s="19"/>
      <c r="W180" s="30" t="str">
        <f>IF(COUNTIF(T180:V180,"?*")=$P$7,"✅ CUBIERTO",IF(COUNTIF(T180:V180,"?*")&gt;$P$7,"⚠ EXCESO",
IF(COUNTIF(T180:V180,"?*")&gt;0,"⚠ FALTANTE", "❌ SIN COMPLETAR")))</f>
        <v>❌ SIN COMPLETAR</v>
      </c>
    </row>
    <row r="181" spans="1:23" x14ac:dyDescent="0.35">
      <c r="A181" s="27">
        <v>46005</v>
      </c>
      <c r="B181" s="28" t="str">
        <f t="shared" ref="B181:B191" si="48">TEXT(A181,"ddd")</f>
        <v>dom</v>
      </c>
      <c r="C181" s="29">
        <v>0.5</v>
      </c>
      <c r="D181" s="19" t="s">
        <v>31</v>
      </c>
      <c r="E181" s="19"/>
      <c r="F181" s="19"/>
      <c r="G181" s="30" t="str">
        <f>IF(COUNTIF(D181:F181,"?*")=$P$5,"✅ CUBIERTO",
IF(COUNTIF(D181:F181,"?*")&gt;$P$5,"⚠ EXCESO",IF(COUNTIF(D181:F181,"?*")&gt;0,"⚠ FALTANTE",
"❌ SIN COMPLETAR")))</f>
        <v>⚠ FALTANTE</v>
      </c>
      <c r="I181" s="27">
        <v>46005</v>
      </c>
      <c r="J181" s="28" t="str">
        <f t="shared" ref="J181:J191" si="49">TEXT(I181,"ddd")</f>
        <v>dom</v>
      </c>
      <c r="K181" s="29">
        <v>0.5</v>
      </c>
      <c r="L181" s="25"/>
      <c r="M181" s="25"/>
      <c r="N181" s="25"/>
      <c r="O181" s="31" t="s">
        <v>32</v>
      </c>
      <c r="Q181" s="27">
        <v>46005</v>
      </c>
      <c r="R181" s="28" t="str">
        <f t="shared" ref="R181:R191" si="50">TEXT(Q181,"ddd")</f>
        <v>dom</v>
      </c>
      <c r="S181" s="29">
        <v>0.5</v>
      </c>
      <c r="T181" s="19"/>
      <c r="U181" s="19"/>
      <c r="V181" s="19"/>
      <c r="W181" s="30" t="str">
        <f>IF(COUNTIF(T181:V181,"?*")=$P$7,"✅ CUBIERTO",IF(COUNTIF(T181:V181,"?*")&gt;$P$7,"⚠ EXCESO",
IF(COUNTIF(T181:V181,"?*")&gt;0,"⚠ FALTANTE", "❌ SIN COMPLETAR")))</f>
        <v>❌ SIN COMPLETAR</v>
      </c>
    </row>
    <row r="182" spans="1:23" x14ac:dyDescent="0.35">
      <c r="A182" s="27">
        <v>46005</v>
      </c>
      <c r="B182" s="28" t="str">
        <f t="shared" si="48"/>
        <v>dom</v>
      </c>
      <c r="C182" s="29">
        <v>0.54166666666666696</v>
      </c>
      <c r="D182" s="19" t="s">
        <v>31</v>
      </c>
      <c r="E182" s="19"/>
      <c r="F182" s="19"/>
      <c r="G182" s="30" t="str">
        <f>IF(COUNTIF(D182:F182,"?*")=$P$5,"✅ CUBIERTO",
IF(COUNTIF(D182:F182,"?*")&gt;$P$5,"⚠ EXCESO",IF(COUNTIF(D182:F182,"?*")&gt;0,"⚠ FALTANTE",
"❌ SIN COMPLETAR")))</f>
        <v>⚠ FALTANTE</v>
      </c>
      <c r="I182" s="27">
        <v>46005</v>
      </c>
      <c r="J182" s="28" t="str">
        <f t="shared" si="49"/>
        <v>dom</v>
      </c>
      <c r="K182" s="29">
        <v>0.54166666666666696</v>
      </c>
      <c r="L182" s="25"/>
      <c r="M182" s="25"/>
      <c r="N182" s="25"/>
      <c r="O182" s="31" t="s">
        <v>32</v>
      </c>
      <c r="Q182" s="27">
        <v>46005</v>
      </c>
      <c r="R182" s="28" t="str">
        <f t="shared" si="50"/>
        <v>dom</v>
      </c>
      <c r="S182" s="29">
        <v>0.54166666666666696</v>
      </c>
      <c r="T182" s="19"/>
      <c r="U182" s="19"/>
      <c r="V182" s="19"/>
      <c r="W182" s="30" t="str">
        <f>IF(COUNTIF(T182:V182,"?*")=$P$7,"✅ CUBIERTO",IF(COUNTIF(T182:V182,"?*")&gt;$P$7,"⚠ EXCESO",
IF(COUNTIF(T182:V182,"?*")&gt;0,"⚠ FALTANTE", "❌ SIN COMPLETAR")))</f>
        <v>❌ SIN COMPLETAR</v>
      </c>
    </row>
    <row r="183" spans="1:23" x14ac:dyDescent="0.35">
      <c r="A183" s="27">
        <v>46005</v>
      </c>
      <c r="B183" s="28" t="str">
        <f t="shared" si="48"/>
        <v>dom</v>
      </c>
      <c r="C183" s="29">
        <v>0.58333333333333304</v>
      </c>
      <c r="D183" s="19" t="s">
        <v>31</v>
      </c>
      <c r="E183" s="19"/>
      <c r="F183" s="19"/>
      <c r="G183" s="30" t="str">
        <f>IF(COUNTIF(D183:F183,"?*")=$P$5,"✅ CUBIERTO",
IF(COUNTIF(D183:F183,"?*")&gt;$P$5,"⚠ EXCESO",IF(COUNTIF(D183:F183,"?*")&gt;0,"⚠ FALTANTE",
"❌ SIN COMPLETAR")))</f>
        <v>⚠ FALTANTE</v>
      </c>
      <c r="I183" s="27">
        <v>46005</v>
      </c>
      <c r="J183" s="28" t="str">
        <f t="shared" si="49"/>
        <v>dom</v>
      </c>
      <c r="K183" s="29">
        <v>0.58333333333333304</v>
      </c>
      <c r="L183" s="25"/>
      <c r="M183" s="25"/>
      <c r="N183" s="25"/>
      <c r="O183" s="31" t="s">
        <v>32</v>
      </c>
      <c r="Q183" s="27">
        <v>46005</v>
      </c>
      <c r="R183" s="28" t="str">
        <f t="shared" si="50"/>
        <v>dom</v>
      </c>
      <c r="S183" s="29">
        <v>0.58333333333333304</v>
      </c>
      <c r="T183" s="19"/>
      <c r="U183" s="19"/>
      <c r="V183" s="19"/>
      <c r="W183" s="30" t="str">
        <f>IF(COUNTIF(T183:V183,"?*")=$P$7,"✅ CUBIERTO",IF(COUNTIF(T183:V183,"?*")&gt;$P$7,"⚠ EXCESO",
IF(COUNTIF(T183:V183,"?*")&gt;0,"⚠ FALTANTE", "❌ SIN COMPLETAR")))</f>
        <v>❌ SIN COMPLETAR</v>
      </c>
    </row>
    <row r="184" spans="1:23" x14ac:dyDescent="0.35">
      <c r="A184" s="27">
        <v>46005</v>
      </c>
      <c r="B184" s="28" t="str">
        <f t="shared" si="48"/>
        <v>dom</v>
      </c>
      <c r="C184" s="29">
        <v>0.625</v>
      </c>
      <c r="D184" s="19" t="s">
        <v>31</v>
      </c>
      <c r="E184" s="19"/>
      <c r="F184" s="19"/>
      <c r="G184" s="30" t="str">
        <f>IF(COUNTIF(D184:F184,"?*")=$P$5,"✅ CUBIERTO",
IF(COUNTIF(D184:F184,"?*")&gt;$P$5,"⚠ EXCESO",IF(COUNTIF(D184:F184,"?*")&gt;0,"⚠ FALTANTE",
"❌ SIN COMPLETAR")))</f>
        <v>⚠ FALTANTE</v>
      </c>
      <c r="I184" s="27">
        <v>46005</v>
      </c>
      <c r="J184" s="28" t="str">
        <f t="shared" si="49"/>
        <v>dom</v>
      </c>
      <c r="K184" s="29">
        <v>0.625</v>
      </c>
      <c r="L184" s="25"/>
      <c r="M184" s="25"/>
      <c r="N184" s="25"/>
      <c r="O184" s="31" t="s">
        <v>32</v>
      </c>
      <c r="Q184" s="27">
        <v>46005</v>
      </c>
      <c r="R184" s="28" t="str">
        <f t="shared" si="50"/>
        <v>dom</v>
      </c>
      <c r="S184" s="29">
        <v>0.625</v>
      </c>
      <c r="T184" s="19"/>
      <c r="U184" s="19"/>
      <c r="V184" s="19"/>
      <c r="W184" s="30" t="str">
        <f>IF(COUNTIF(T184:V184,"?*")=$P$7,"✅ CUBIERTO",IF(COUNTIF(T184:V184,"?*")&gt;$P$7,"⚠ EXCESO",
IF(COUNTIF(T184:V184,"?*")&gt;0,"⚠ FALTANTE", "❌ SIN COMPLETAR")))</f>
        <v>❌ SIN COMPLETAR</v>
      </c>
    </row>
    <row r="185" spans="1:23" x14ac:dyDescent="0.35">
      <c r="A185" s="27">
        <v>46005</v>
      </c>
      <c r="B185" s="28" t="str">
        <f t="shared" si="48"/>
        <v>dom</v>
      </c>
      <c r="C185" s="29">
        <v>0.66666666666666696</v>
      </c>
      <c r="D185" s="19"/>
      <c r="E185" s="19"/>
      <c r="F185" s="19"/>
      <c r="G185" s="30" t="str">
        <f>IF(COUNTIF(D185:F185,"?*")=$P$5,"✅ CUBIERTO",
IF(COUNTIF(D185:F185,"?*")&gt;$P$5,"⚠ EXCESO",IF(COUNTIF(D185:F185,"?*")&gt;0,"⚠ FALTANTE",
"❌ SIN COMPLETAR")))</f>
        <v>❌ SIN COMPLETAR</v>
      </c>
      <c r="I185" s="27">
        <v>46005</v>
      </c>
      <c r="J185" s="28" t="str">
        <f t="shared" si="49"/>
        <v>dom</v>
      </c>
      <c r="K185" s="29">
        <v>0.66666666666666696</v>
      </c>
      <c r="L185" s="25"/>
      <c r="M185" s="25"/>
      <c r="N185" s="25"/>
      <c r="O185" s="31" t="s">
        <v>32</v>
      </c>
      <c r="Q185" s="27">
        <v>46005</v>
      </c>
      <c r="R185" s="28" t="str">
        <f t="shared" si="50"/>
        <v>dom</v>
      </c>
      <c r="S185" s="29">
        <v>0.66666666666666696</v>
      </c>
      <c r="T185" s="19"/>
      <c r="U185" s="19"/>
      <c r="V185" s="19"/>
      <c r="W185" s="30" t="str">
        <f>IF(COUNTIF(T185:V185,"?*")=$P$7,"✅ CUBIERTO",IF(COUNTIF(T185:V185,"?*")&gt;$P$7,"⚠ EXCESO",
IF(COUNTIF(T185:V185,"?*")&gt;0,"⚠ FALTANTE", "❌ SIN COMPLETAR")))</f>
        <v>❌ SIN COMPLETAR</v>
      </c>
    </row>
    <row r="186" spans="1:23" x14ac:dyDescent="0.35">
      <c r="A186" s="27">
        <v>46005</v>
      </c>
      <c r="B186" s="28" t="str">
        <f t="shared" si="48"/>
        <v>dom</v>
      </c>
      <c r="C186" s="29">
        <v>0.70833333333333304</v>
      </c>
      <c r="D186" s="19"/>
      <c r="E186" s="19"/>
      <c r="F186" s="19"/>
      <c r="G186" s="30" t="str">
        <f>IF(COUNTIF(D186:F186,"?*")=$P$5,"✅ CUBIERTO",
IF(COUNTIF(D186:F186,"?*")&gt;$P$5,"⚠ EXCESO",IF(COUNTIF(D186:F186,"?*")&gt;0,"⚠ FALTANTE",
"❌ SIN COMPLETAR")))</f>
        <v>❌ SIN COMPLETAR</v>
      </c>
      <c r="I186" s="27">
        <v>46005</v>
      </c>
      <c r="J186" s="28" t="str">
        <f t="shared" si="49"/>
        <v>dom</v>
      </c>
      <c r="K186" s="29">
        <v>0.70833333333333304</v>
      </c>
      <c r="L186" s="25"/>
      <c r="M186" s="25"/>
      <c r="N186" s="25"/>
      <c r="O186" s="31" t="s">
        <v>32</v>
      </c>
      <c r="Q186" s="27">
        <v>46005</v>
      </c>
      <c r="R186" s="28" t="str">
        <f t="shared" si="50"/>
        <v>dom</v>
      </c>
      <c r="S186" s="29">
        <v>0.70833333333333304</v>
      </c>
      <c r="T186" s="19"/>
      <c r="U186" s="19"/>
      <c r="V186" s="19"/>
      <c r="W186" s="30" t="str">
        <f>IF(COUNTIF(T186:V186,"?*")=$P$7,"✅ CUBIERTO",IF(COUNTIF(T186:V186,"?*")&gt;$P$7,"⚠ EXCESO",
IF(COUNTIF(T186:V186,"?*")&gt;0,"⚠ FALTANTE", "❌ SIN COMPLETAR")))</f>
        <v>❌ SIN COMPLETAR</v>
      </c>
    </row>
    <row r="187" spans="1:23" x14ac:dyDescent="0.35">
      <c r="A187" s="27">
        <v>46005</v>
      </c>
      <c r="B187" s="28" t="str">
        <f t="shared" si="48"/>
        <v>dom</v>
      </c>
      <c r="C187" s="29">
        <v>0.75</v>
      </c>
      <c r="D187" s="19"/>
      <c r="E187" s="19"/>
      <c r="F187" s="19"/>
      <c r="G187" s="30" t="str">
        <f>IF(COUNTIF(D187:F187,"?*")=$P$5,"✅ CUBIERTO",
IF(COUNTIF(D187:F187,"?*")&gt;$P$5,"⚠ EXCESO",IF(COUNTIF(D187:F187,"?*")&gt;0,"⚠ FALTANTE",
"❌ SIN COMPLETAR")))</f>
        <v>❌ SIN COMPLETAR</v>
      </c>
      <c r="I187" s="27">
        <v>46005</v>
      </c>
      <c r="J187" s="28" t="str">
        <f t="shared" si="49"/>
        <v>dom</v>
      </c>
      <c r="K187" s="29">
        <v>0.75</v>
      </c>
      <c r="L187" s="25"/>
      <c r="M187" s="25"/>
      <c r="N187" s="25"/>
      <c r="O187" s="31" t="s">
        <v>32</v>
      </c>
      <c r="Q187" s="27">
        <v>46005</v>
      </c>
      <c r="R187" s="28" t="str">
        <f t="shared" si="50"/>
        <v>dom</v>
      </c>
      <c r="S187" s="29">
        <v>0.75</v>
      </c>
      <c r="T187" s="19"/>
      <c r="U187" s="19"/>
      <c r="V187" s="19"/>
      <c r="W187" s="30" t="str">
        <f>IF(COUNTIF(T187:V187,"?*")=$P$7,"✅ CUBIERTO",IF(COUNTIF(T187:V187,"?*")&gt;$P$7,"⚠ EXCESO",
IF(COUNTIF(T187:V187,"?*")&gt;0,"⚠ FALTANTE", "❌ SIN COMPLETAR")))</f>
        <v>❌ SIN COMPLETAR</v>
      </c>
    </row>
    <row r="188" spans="1:23" x14ac:dyDescent="0.35">
      <c r="A188" s="27">
        <v>46005</v>
      </c>
      <c r="B188" s="28" t="str">
        <f t="shared" si="48"/>
        <v>dom</v>
      </c>
      <c r="C188" s="29">
        <v>0.79166666666666696</v>
      </c>
      <c r="D188" s="19"/>
      <c r="E188" s="19"/>
      <c r="F188" s="19"/>
      <c r="G188" s="30" t="str">
        <f>IF(COUNTIF(D188:F188,"?*")=$P$5,"✅ CUBIERTO",
IF(COUNTIF(D188:F188,"?*")&gt;$P$5,"⚠ EXCESO",IF(COUNTIF(D188:F188,"?*")&gt;0,"⚠ FALTANTE",
"❌ SIN COMPLETAR")))</f>
        <v>❌ SIN COMPLETAR</v>
      </c>
      <c r="I188" s="27">
        <v>46005</v>
      </c>
      <c r="J188" s="28" t="str">
        <f t="shared" si="49"/>
        <v>dom</v>
      </c>
      <c r="K188" s="29">
        <v>0.79166666666666696</v>
      </c>
      <c r="L188" s="25"/>
      <c r="M188" s="25"/>
      <c r="N188" s="25"/>
      <c r="O188" s="31" t="s">
        <v>32</v>
      </c>
      <c r="Q188" s="27">
        <v>46005</v>
      </c>
      <c r="R188" s="28" t="str">
        <f t="shared" si="50"/>
        <v>dom</v>
      </c>
      <c r="S188" s="29">
        <v>0.79166666666666696</v>
      </c>
      <c r="T188" s="19"/>
      <c r="U188" s="19"/>
      <c r="V188" s="19"/>
      <c r="W188" s="30" t="str">
        <f>IF(COUNTIF(T188:V188,"?*")=$P$7,"✅ CUBIERTO",IF(COUNTIF(T188:V188,"?*")&gt;$P$7,"⚠ EXCESO",
IF(COUNTIF(T188:V188,"?*")&gt;0,"⚠ FALTANTE", "❌ SIN COMPLETAR")))</f>
        <v>❌ SIN COMPLETAR</v>
      </c>
    </row>
    <row r="189" spans="1:23" x14ac:dyDescent="0.35">
      <c r="A189" s="27">
        <v>46005</v>
      </c>
      <c r="B189" s="28" t="str">
        <f t="shared" si="48"/>
        <v>dom</v>
      </c>
      <c r="C189" s="29">
        <v>0.83333333333333337</v>
      </c>
      <c r="D189" s="25"/>
      <c r="E189" s="25"/>
      <c r="F189" s="25"/>
      <c r="G189" s="30" t="s">
        <v>32</v>
      </c>
      <c r="I189" s="27">
        <v>46005</v>
      </c>
      <c r="J189" s="28" t="str">
        <f t="shared" si="49"/>
        <v>dom</v>
      </c>
      <c r="K189" s="29">
        <v>0.83333333333333337</v>
      </c>
      <c r="L189" s="25"/>
      <c r="M189" s="25"/>
      <c r="N189" s="25"/>
      <c r="O189" s="31" t="s">
        <v>32</v>
      </c>
      <c r="Q189" s="27">
        <v>46005</v>
      </c>
      <c r="R189" s="28" t="str">
        <f t="shared" si="50"/>
        <v>dom</v>
      </c>
      <c r="S189" s="29">
        <v>0.83333333333333337</v>
      </c>
      <c r="T189" s="19"/>
      <c r="U189" s="19"/>
      <c r="V189" s="19"/>
      <c r="W189" s="30" t="str">
        <f>IF(COUNTIF(T189:V189,"?*")=$P$7,"✅ CUBIERTO",IF(COUNTIF(T189:V189,"?*")&gt;$P$7,"⚠ EXCESO",
IF(COUNTIF(T189:V189,"?*")&gt;0,"⚠ FALTANTE", "❌ SIN COMPLETAR")))</f>
        <v>❌ SIN COMPLETAR</v>
      </c>
    </row>
    <row r="190" spans="1:23" x14ac:dyDescent="0.35">
      <c r="A190" s="27">
        <v>46006</v>
      </c>
      <c r="B190" s="28" t="str">
        <f t="shared" si="48"/>
        <v>lun</v>
      </c>
      <c r="C190" s="29">
        <v>0.375</v>
      </c>
      <c r="D190" s="25"/>
      <c r="E190" s="25"/>
      <c r="F190" s="25"/>
      <c r="G190" s="30" t="s">
        <v>32</v>
      </c>
      <c r="I190" s="27">
        <v>46006</v>
      </c>
      <c r="J190" s="28" t="str">
        <f t="shared" si="49"/>
        <v>lun</v>
      </c>
      <c r="K190" s="29">
        <v>0.375</v>
      </c>
      <c r="L190" s="19"/>
      <c r="M190" s="19"/>
      <c r="N190" s="19"/>
      <c r="O190" s="31" t="str">
        <f>IF(COUNTIF(L190:N190,"?*")=$P$6,"✅ CUBIERTO",IF(COUNTIF(L190:N190,"?*")&gt;$P$6,"⚠ EXCESO",
IF(COUNTIF(L190:N190,"?*")&gt;0,"⚠ FALTANTE", "❌ SIN COMPLETAR")))</f>
        <v>❌ SIN COMPLETAR</v>
      </c>
      <c r="Q190" s="27">
        <v>46006</v>
      </c>
      <c r="R190" s="28" t="str">
        <f t="shared" si="50"/>
        <v>lun</v>
      </c>
      <c r="S190" s="29">
        <v>0.375</v>
      </c>
      <c r="T190" s="25"/>
      <c r="U190" s="25"/>
      <c r="V190" s="25"/>
      <c r="W190" s="30" t="s">
        <v>32</v>
      </c>
    </row>
    <row r="191" spans="1:23" x14ac:dyDescent="0.35">
      <c r="A191" s="27">
        <v>46006</v>
      </c>
      <c r="B191" s="28" t="str">
        <f t="shared" si="48"/>
        <v>lun</v>
      </c>
      <c r="C191" s="29">
        <v>0.41666666666666669</v>
      </c>
      <c r="D191" s="25"/>
      <c r="E191" s="25"/>
      <c r="F191" s="25"/>
      <c r="G191" s="30" t="s">
        <v>32</v>
      </c>
      <c r="I191" s="27">
        <v>46006</v>
      </c>
      <c r="J191" s="28" t="str">
        <f t="shared" si="49"/>
        <v>lun</v>
      </c>
      <c r="K191" s="29">
        <v>0.41666666666666669</v>
      </c>
      <c r="L191" s="19"/>
      <c r="M191" s="19"/>
      <c r="N191" s="19"/>
      <c r="O191" s="31" t="str">
        <f>IF(COUNTIF(L191:N191,"?*")=$P$6,"✅ CUBIERTO",IF(COUNTIF(L191:N191,"?*")&gt;$P$6,"⚠ EXCESO",
IF(COUNTIF(L191:N191,"?*")&gt;0,"⚠ FALTANTE", "❌ SIN COMPLETAR")))</f>
        <v>❌ SIN COMPLETAR</v>
      </c>
      <c r="Q191" s="27">
        <v>46006</v>
      </c>
      <c r="R191" s="28" t="str">
        <f t="shared" si="50"/>
        <v>lun</v>
      </c>
      <c r="S191" s="29">
        <v>0.41666666666666669</v>
      </c>
      <c r="T191" s="19"/>
      <c r="U191" s="19"/>
      <c r="V191" s="19"/>
      <c r="W191" s="30" t="str">
        <f>IF(COUNTIF(T191:V191,"?*")=$P$7,"✅ CUBIERTO",IF(COUNTIF(T191:V191,"?*")&gt;$P$7,"⚠ EXCESO",
IF(COUNTIF(T191:V191,"?*")&gt;0,"⚠ FALTANTE", "❌ SIN COMPLETAR")))</f>
        <v>❌ SIN COMPLETAR</v>
      </c>
    </row>
    <row r="192" spans="1:23" x14ac:dyDescent="0.35">
      <c r="A192" s="27">
        <v>46006</v>
      </c>
      <c r="B192" s="28" t="str">
        <f>TEXT(A192,"ddd")</f>
        <v>lun</v>
      </c>
      <c r="C192" s="29">
        <v>0.45833333333333331</v>
      </c>
      <c r="D192" s="19" t="s">
        <v>3</v>
      </c>
      <c r="E192" s="19" t="s">
        <v>4</v>
      </c>
      <c r="F192" s="19"/>
      <c r="G192" s="30" t="str">
        <f>IF(COUNTIF(D192:F192,"?*")=$P$5,"✅ CUBIERTO",
IF(COUNTIF(D192:F192,"?*")&gt;$P$5,"⚠ EXCESO",IF(COUNTIF(D192:F192,"?*")&gt;0,"⚠ FALTANTE",
"❌ SIN COMPLETAR")))</f>
        <v>✅ CUBIERTO</v>
      </c>
      <c r="I192" s="27">
        <v>46006</v>
      </c>
      <c r="J192" s="28" t="str">
        <f>TEXT(I192,"ddd")</f>
        <v>lun</v>
      </c>
      <c r="K192" s="29">
        <v>0.45833333333333331</v>
      </c>
      <c r="L192" s="19"/>
      <c r="M192" s="19"/>
      <c r="N192" s="19"/>
      <c r="O192" s="31" t="str">
        <f>IF(COUNTIF(L192:N192,"?*")=$P$6,"✅ CUBIERTO",IF(COUNTIF(L192:N192,"?*")&gt;$P$6,"⚠ EXCESO",
IF(COUNTIF(L192:N192,"?*")&gt;0,"⚠ FALTANTE", "❌ SIN COMPLETAR")))</f>
        <v>❌ SIN COMPLETAR</v>
      </c>
      <c r="Q192" s="27">
        <v>46006</v>
      </c>
      <c r="R192" s="28" t="str">
        <f>TEXT(Q192,"ddd")</f>
        <v>lun</v>
      </c>
      <c r="S192" s="29">
        <v>0.45833333333333331</v>
      </c>
      <c r="T192" s="19"/>
      <c r="U192" s="19"/>
      <c r="V192" s="19"/>
      <c r="W192" s="30" t="str">
        <f>IF(COUNTIF(T192:V192,"?*")=$P$7,"✅ CUBIERTO",IF(COUNTIF(T192:V192,"?*")&gt;$P$7,"⚠ EXCESO",
IF(COUNTIF(T192:V192,"?*")&gt;0,"⚠ FALTANTE", "❌ SIN COMPLETAR")))</f>
        <v>❌ SIN COMPLETAR</v>
      </c>
    </row>
    <row r="193" spans="1:23" x14ac:dyDescent="0.35">
      <c r="A193" s="27">
        <v>46006</v>
      </c>
      <c r="B193" s="28" t="str">
        <f t="shared" ref="B193:B201" si="51">TEXT(A193,"ddd")</f>
        <v>lun</v>
      </c>
      <c r="C193" s="29">
        <v>0.5</v>
      </c>
      <c r="D193" s="19" t="s">
        <v>3</v>
      </c>
      <c r="E193" s="19" t="s">
        <v>4</v>
      </c>
      <c r="F193" s="19"/>
      <c r="G193" s="30" t="str">
        <f>IF(COUNTIF(D193:F193,"?*")=$P$5,"✅ CUBIERTO",
IF(COUNTIF(D193:F193,"?*")&gt;$P$5,"⚠ EXCESO",IF(COUNTIF(D193:F193,"?*")&gt;0,"⚠ FALTANTE",
"❌ SIN COMPLETAR")))</f>
        <v>✅ CUBIERTO</v>
      </c>
      <c r="I193" s="27">
        <v>46006</v>
      </c>
      <c r="J193" s="28" t="str">
        <f t="shared" ref="J193:J201" si="52">TEXT(I193,"ddd")</f>
        <v>lun</v>
      </c>
      <c r="K193" s="29">
        <v>0.5</v>
      </c>
      <c r="L193" s="19"/>
      <c r="M193" s="19"/>
      <c r="N193" s="19"/>
      <c r="O193" s="31" t="str">
        <f>IF(COUNTIF(L193:N193,"?*")=$P$6,"✅ CUBIERTO",IF(COUNTIF(L193:N193,"?*")&gt;$P$6,"⚠ EXCESO",
IF(COUNTIF(L193:N193,"?*")&gt;0,"⚠ FALTANTE", "❌ SIN COMPLETAR")))</f>
        <v>❌ SIN COMPLETAR</v>
      </c>
      <c r="Q193" s="27">
        <v>46006</v>
      </c>
      <c r="R193" s="28" t="str">
        <f t="shared" ref="R193:R201" si="53">TEXT(Q193,"ddd")</f>
        <v>lun</v>
      </c>
      <c r="S193" s="29">
        <v>0.5</v>
      </c>
      <c r="T193" s="19"/>
      <c r="U193" s="19"/>
      <c r="V193" s="19"/>
      <c r="W193" s="30" t="str">
        <f>IF(COUNTIF(T193:V193,"?*")=$P$7,"✅ CUBIERTO",IF(COUNTIF(T193:V193,"?*")&gt;$P$7,"⚠ EXCESO",
IF(COUNTIF(T193:V193,"?*")&gt;0,"⚠ FALTANTE", "❌ SIN COMPLETAR")))</f>
        <v>❌ SIN COMPLETAR</v>
      </c>
    </row>
    <row r="194" spans="1:23" x14ac:dyDescent="0.35">
      <c r="A194" s="27">
        <v>46006</v>
      </c>
      <c r="B194" s="28" t="str">
        <f t="shared" si="51"/>
        <v>lun</v>
      </c>
      <c r="C194" s="29">
        <v>0.54166666666666696</v>
      </c>
      <c r="D194" s="19" t="s">
        <v>3</v>
      </c>
      <c r="E194" s="19" t="s">
        <v>4</v>
      </c>
      <c r="F194" s="19"/>
      <c r="G194" s="30" t="str">
        <f>IF(COUNTIF(D194:F194,"?*")=$P$5,"✅ CUBIERTO",
IF(COUNTIF(D194:F194,"?*")&gt;$P$5,"⚠ EXCESO",IF(COUNTIF(D194:F194,"?*")&gt;0,"⚠ FALTANTE",
"❌ SIN COMPLETAR")))</f>
        <v>✅ CUBIERTO</v>
      </c>
      <c r="I194" s="27">
        <v>46006</v>
      </c>
      <c r="J194" s="28" t="str">
        <f t="shared" si="52"/>
        <v>lun</v>
      </c>
      <c r="K194" s="29">
        <v>0.54166666666666696</v>
      </c>
      <c r="L194" s="19"/>
      <c r="M194" s="19"/>
      <c r="N194" s="19"/>
      <c r="O194" s="31" t="str">
        <f>IF(COUNTIF(L194:N194,"?*")=$P$6,"✅ CUBIERTO",IF(COUNTIF(L194:N194,"?*")&gt;$P$6,"⚠ EXCESO",
IF(COUNTIF(L194:N194,"?*")&gt;0,"⚠ FALTANTE", "❌ SIN COMPLETAR")))</f>
        <v>❌ SIN COMPLETAR</v>
      </c>
      <c r="Q194" s="27">
        <v>46006</v>
      </c>
      <c r="R194" s="28" t="str">
        <f t="shared" si="53"/>
        <v>lun</v>
      </c>
      <c r="S194" s="29">
        <v>0.54166666666666696</v>
      </c>
      <c r="T194" s="19"/>
      <c r="U194" s="19"/>
      <c r="V194" s="19"/>
      <c r="W194" s="30" t="str">
        <f>IF(COUNTIF(T194:V194,"?*")=$P$7,"✅ CUBIERTO",IF(COUNTIF(T194:V194,"?*")&gt;$P$7,"⚠ EXCESO",
IF(COUNTIF(T194:V194,"?*")&gt;0,"⚠ FALTANTE", "❌ SIN COMPLETAR")))</f>
        <v>❌ SIN COMPLETAR</v>
      </c>
    </row>
    <row r="195" spans="1:23" x14ac:dyDescent="0.35">
      <c r="A195" s="27">
        <v>46006</v>
      </c>
      <c r="B195" s="28" t="str">
        <f t="shared" si="51"/>
        <v>lun</v>
      </c>
      <c r="C195" s="29">
        <v>0.58333333333333304</v>
      </c>
      <c r="D195" s="19" t="s">
        <v>3</v>
      </c>
      <c r="E195" s="19" t="s">
        <v>4</v>
      </c>
      <c r="F195" s="19"/>
      <c r="G195" s="30" t="str">
        <f>IF(COUNTIF(D195:F195,"?*")=$P$5,"✅ CUBIERTO",
IF(COUNTIF(D195:F195,"?*")&gt;$P$5,"⚠ EXCESO",IF(COUNTIF(D195:F195,"?*")&gt;0,"⚠ FALTANTE",
"❌ SIN COMPLETAR")))</f>
        <v>✅ CUBIERTO</v>
      </c>
      <c r="I195" s="27">
        <v>46006</v>
      </c>
      <c r="J195" s="28" t="str">
        <f t="shared" si="52"/>
        <v>lun</v>
      </c>
      <c r="K195" s="29">
        <v>0.58333333333333304</v>
      </c>
      <c r="L195" s="19"/>
      <c r="M195" s="19"/>
      <c r="N195" s="19"/>
      <c r="O195" s="31" t="str">
        <f>IF(COUNTIF(L195:N195,"?*")=$P$6,"✅ CUBIERTO",IF(COUNTIF(L195:N195,"?*")&gt;$P$6,"⚠ EXCESO",
IF(COUNTIF(L195:N195,"?*")&gt;0,"⚠ FALTANTE", "❌ SIN COMPLETAR")))</f>
        <v>❌ SIN COMPLETAR</v>
      </c>
      <c r="Q195" s="27">
        <v>46006</v>
      </c>
      <c r="R195" s="28" t="str">
        <f t="shared" si="53"/>
        <v>lun</v>
      </c>
      <c r="S195" s="29">
        <v>0.58333333333333304</v>
      </c>
      <c r="T195" s="19"/>
      <c r="U195" s="19"/>
      <c r="V195" s="19"/>
      <c r="W195" s="30" t="str">
        <f>IF(COUNTIF(T195:V195,"?*")=$P$7,"✅ CUBIERTO",IF(COUNTIF(T195:V195,"?*")&gt;$P$7,"⚠ EXCESO",
IF(COUNTIF(T195:V195,"?*")&gt;0,"⚠ FALTANTE", "❌ SIN COMPLETAR")))</f>
        <v>❌ SIN COMPLETAR</v>
      </c>
    </row>
    <row r="196" spans="1:23" x14ac:dyDescent="0.35">
      <c r="A196" s="27">
        <v>46006</v>
      </c>
      <c r="B196" s="28" t="str">
        <f t="shared" si="51"/>
        <v>lun</v>
      </c>
      <c r="C196" s="29">
        <v>0.625</v>
      </c>
      <c r="D196" s="19" t="s">
        <v>3</v>
      </c>
      <c r="E196" s="19" t="s">
        <v>4</v>
      </c>
      <c r="F196" s="19"/>
      <c r="G196" s="30" t="str">
        <f>IF(COUNTIF(D196:F196,"?*")=$P$5,"✅ CUBIERTO",
IF(COUNTIF(D196:F196,"?*")&gt;$P$5,"⚠ EXCESO",IF(COUNTIF(D196:F196,"?*")&gt;0,"⚠ FALTANTE",
"❌ SIN COMPLETAR")))</f>
        <v>✅ CUBIERTO</v>
      </c>
      <c r="I196" s="27">
        <v>46006</v>
      </c>
      <c r="J196" s="28" t="str">
        <f t="shared" si="52"/>
        <v>lun</v>
      </c>
      <c r="K196" s="29">
        <v>0.625</v>
      </c>
      <c r="L196" s="19"/>
      <c r="M196" s="19"/>
      <c r="N196" s="19"/>
      <c r="O196" s="31" t="str">
        <f>IF(COUNTIF(L196:N196,"?*")=$P$6,"✅ CUBIERTO",IF(COUNTIF(L196:N196,"?*")&gt;$P$6,"⚠ EXCESO",
IF(COUNTIF(L196:N196,"?*")&gt;0,"⚠ FALTANTE", "❌ SIN COMPLETAR")))</f>
        <v>❌ SIN COMPLETAR</v>
      </c>
      <c r="Q196" s="27">
        <v>46006</v>
      </c>
      <c r="R196" s="28" t="str">
        <f t="shared" si="53"/>
        <v>lun</v>
      </c>
      <c r="S196" s="29">
        <v>0.625</v>
      </c>
      <c r="T196" s="19"/>
      <c r="U196" s="19"/>
      <c r="V196" s="19"/>
      <c r="W196" s="30" t="str">
        <f>IF(COUNTIF(T196:V196,"?*")=$P$7,"✅ CUBIERTO",IF(COUNTIF(T196:V196,"?*")&gt;$P$7,"⚠ EXCESO",
IF(COUNTIF(T196:V196,"?*")&gt;0,"⚠ FALTANTE", "❌ SIN COMPLETAR")))</f>
        <v>❌ SIN COMPLETAR</v>
      </c>
    </row>
    <row r="197" spans="1:23" x14ac:dyDescent="0.35">
      <c r="A197" s="27">
        <v>46006</v>
      </c>
      <c r="B197" s="28" t="str">
        <f t="shared" si="51"/>
        <v>lun</v>
      </c>
      <c r="C197" s="29">
        <v>0.66666666666666696</v>
      </c>
      <c r="D197" s="19" t="s">
        <v>30</v>
      </c>
      <c r="E197" s="19" t="s">
        <v>31</v>
      </c>
      <c r="F197" s="19"/>
      <c r="G197" s="30" t="str">
        <f>IF(COUNTIF(D197:F197,"?*")=$P$5,"✅ CUBIERTO",
IF(COUNTIF(D197:F197,"?*")&gt;$P$5,"⚠ EXCESO",IF(COUNTIF(D197:F197,"?*")&gt;0,"⚠ FALTANTE",
"❌ SIN COMPLETAR")))</f>
        <v>✅ CUBIERTO</v>
      </c>
      <c r="I197" s="27">
        <v>46006</v>
      </c>
      <c r="J197" s="28" t="str">
        <f t="shared" si="52"/>
        <v>lun</v>
      </c>
      <c r="K197" s="29">
        <v>0.66666666666666696</v>
      </c>
      <c r="L197" s="19"/>
      <c r="M197" s="19"/>
      <c r="N197" s="19"/>
      <c r="O197" s="31" t="str">
        <f>IF(COUNTIF(L197:N197,"?*")=$P$6,"✅ CUBIERTO",IF(COUNTIF(L197:N197,"?*")&gt;$P$6,"⚠ EXCESO",
IF(COUNTIF(L197:N197,"?*")&gt;0,"⚠ FALTANTE", "❌ SIN COMPLETAR")))</f>
        <v>❌ SIN COMPLETAR</v>
      </c>
      <c r="Q197" s="27">
        <v>46006</v>
      </c>
      <c r="R197" s="28" t="str">
        <f t="shared" si="53"/>
        <v>lun</v>
      </c>
      <c r="S197" s="29">
        <v>0.66666666666666696</v>
      </c>
      <c r="T197" s="19"/>
      <c r="U197" s="19"/>
      <c r="V197" s="19"/>
      <c r="W197" s="30" t="str">
        <f>IF(COUNTIF(T197:V197,"?*")=$P$7,"✅ CUBIERTO",IF(COUNTIF(T197:V197,"?*")&gt;$P$7,"⚠ EXCESO",
IF(COUNTIF(T197:V197,"?*")&gt;0,"⚠ FALTANTE", "❌ SIN COMPLETAR")))</f>
        <v>❌ SIN COMPLETAR</v>
      </c>
    </row>
    <row r="198" spans="1:23" x14ac:dyDescent="0.35">
      <c r="A198" s="27">
        <v>46006</v>
      </c>
      <c r="B198" s="28" t="str">
        <f t="shared" si="51"/>
        <v>lun</v>
      </c>
      <c r="C198" s="29">
        <v>0.70833333333333304</v>
      </c>
      <c r="D198" s="19" t="s">
        <v>30</v>
      </c>
      <c r="E198" s="19" t="s">
        <v>31</v>
      </c>
      <c r="F198" s="19"/>
      <c r="G198" s="30" t="str">
        <f>IF(COUNTIF(D198:F198,"?*")=$P$5,"✅ CUBIERTO",
IF(COUNTIF(D198:F198,"?*")&gt;$P$5,"⚠ EXCESO",IF(COUNTIF(D198:F198,"?*")&gt;0,"⚠ FALTANTE",
"❌ SIN COMPLETAR")))</f>
        <v>✅ CUBIERTO</v>
      </c>
      <c r="I198" s="27">
        <v>46006</v>
      </c>
      <c r="J198" s="28" t="str">
        <f t="shared" si="52"/>
        <v>lun</v>
      </c>
      <c r="K198" s="29">
        <v>0.70833333333333304</v>
      </c>
      <c r="L198" s="19"/>
      <c r="M198" s="19"/>
      <c r="N198" s="19"/>
      <c r="O198" s="31" t="str">
        <f>IF(COUNTIF(L198:N198,"?*")=$P$6,"✅ CUBIERTO",IF(COUNTIF(L198:N198,"?*")&gt;$P$6,"⚠ EXCESO",
IF(COUNTIF(L198:N198,"?*")&gt;0,"⚠ FALTANTE", "❌ SIN COMPLETAR")))</f>
        <v>❌ SIN COMPLETAR</v>
      </c>
      <c r="Q198" s="27">
        <v>46006</v>
      </c>
      <c r="R198" s="28" t="str">
        <f t="shared" si="53"/>
        <v>lun</v>
      </c>
      <c r="S198" s="29">
        <v>0.70833333333333304</v>
      </c>
      <c r="T198" s="19"/>
      <c r="U198" s="19"/>
      <c r="V198" s="19"/>
      <c r="W198" s="30" t="str">
        <f>IF(COUNTIF(T198:V198,"?*")=$P$7,"✅ CUBIERTO",IF(COUNTIF(T198:V198,"?*")&gt;$P$7,"⚠ EXCESO",
IF(COUNTIF(T198:V198,"?*")&gt;0,"⚠ FALTANTE", "❌ SIN COMPLETAR")))</f>
        <v>❌ SIN COMPLETAR</v>
      </c>
    </row>
    <row r="199" spans="1:23" x14ac:dyDescent="0.35">
      <c r="A199" s="27">
        <v>46006</v>
      </c>
      <c r="B199" s="28" t="str">
        <f t="shared" si="51"/>
        <v>lun</v>
      </c>
      <c r="C199" s="29">
        <v>0.75</v>
      </c>
      <c r="D199" s="19" t="s">
        <v>30</v>
      </c>
      <c r="E199" s="19" t="s">
        <v>31</v>
      </c>
      <c r="F199" s="19"/>
      <c r="G199" s="30" t="str">
        <f>IF(COUNTIF(D199:F199,"?*")=$P$5,"✅ CUBIERTO",
IF(COUNTIF(D199:F199,"?*")&gt;$P$5,"⚠ EXCESO",IF(COUNTIF(D199:F199,"?*")&gt;0,"⚠ FALTANTE",
"❌ SIN COMPLETAR")))</f>
        <v>✅ CUBIERTO</v>
      </c>
      <c r="I199" s="27">
        <v>46006</v>
      </c>
      <c r="J199" s="28" t="str">
        <f t="shared" si="52"/>
        <v>lun</v>
      </c>
      <c r="K199" s="29">
        <v>0.75</v>
      </c>
      <c r="L199" s="25"/>
      <c r="M199" s="25"/>
      <c r="N199" s="25"/>
      <c r="O199" s="31" t="s">
        <v>32</v>
      </c>
      <c r="Q199" s="27">
        <v>46006</v>
      </c>
      <c r="R199" s="28" t="str">
        <f t="shared" si="53"/>
        <v>lun</v>
      </c>
      <c r="S199" s="29">
        <v>0.75</v>
      </c>
      <c r="T199" s="19"/>
      <c r="U199" s="19"/>
      <c r="V199" s="19"/>
      <c r="W199" s="30" t="str">
        <f>IF(COUNTIF(T199:V199,"?*")=$P$7,"✅ CUBIERTO",IF(COUNTIF(T199:V199,"?*")&gt;$P$7,"⚠ EXCESO",
IF(COUNTIF(T199:V199,"?*")&gt;0,"⚠ FALTANTE", "❌ SIN COMPLETAR")))</f>
        <v>❌ SIN COMPLETAR</v>
      </c>
    </row>
    <row r="200" spans="1:23" x14ac:dyDescent="0.35">
      <c r="A200" s="27">
        <v>46006</v>
      </c>
      <c r="B200" s="28" t="str">
        <f t="shared" si="51"/>
        <v>lun</v>
      </c>
      <c r="C200" s="29">
        <v>0.79166666666666696</v>
      </c>
      <c r="D200" s="19" t="s">
        <v>30</v>
      </c>
      <c r="E200" s="19" t="s">
        <v>31</v>
      </c>
      <c r="F200" s="19"/>
      <c r="G200" s="30" t="str">
        <f>IF(COUNTIF(D200:F200,"?*")=$P$5,"✅ CUBIERTO",
IF(COUNTIF(D200:F200,"?*")&gt;$P$5,"⚠ EXCESO",IF(COUNTIF(D200:F200,"?*")&gt;0,"⚠ FALTANTE",
"❌ SIN COMPLETAR")))</f>
        <v>✅ CUBIERTO</v>
      </c>
      <c r="I200" s="27">
        <v>46006</v>
      </c>
      <c r="J200" s="28" t="str">
        <f t="shared" si="52"/>
        <v>lun</v>
      </c>
      <c r="K200" s="29">
        <v>0.79166666666666696</v>
      </c>
      <c r="L200" s="25"/>
      <c r="M200" s="25"/>
      <c r="N200" s="25"/>
      <c r="O200" s="31" t="s">
        <v>32</v>
      </c>
      <c r="Q200" s="27">
        <v>46006</v>
      </c>
      <c r="R200" s="28" t="str">
        <f t="shared" si="53"/>
        <v>lun</v>
      </c>
      <c r="S200" s="29">
        <v>0.79166666666666696</v>
      </c>
      <c r="T200" s="19"/>
      <c r="U200" s="19"/>
      <c r="V200" s="19"/>
      <c r="W200" s="30" t="str">
        <f>IF(COUNTIF(T200:V200,"?*")=$P$7,"✅ CUBIERTO",IF(COUNTIF(T200:V200,"?*")&gt;$P$7,"⚠ EXCESO",
IF(COUNTIF(T200:V200,"?*")&gt;0,"⚠ FALTANTE", "❌ SIN COMPLETAR")))</f>
        <v>❌ SIN COMPLETAR</v>
      </c>
    </row>
    <row r="201" spans="1:23" x14ac:dyDescent="0.35">
      <c r="A201" s="27">
        <v>46006</v>
      </c>
      <c r="B201" s="28" t="str">
        <f t="shared" si="51"/>
        <v>lun</v>
      </c>
      <c r="C201" s="29">
        <v>0.83333333333333337</v>
      </c>
      <c r="D201" s="25"/>
      <c r="E201" s="25"/>
      <c r="F201" s="25"/>
      <c r="G201" s="30" t="s">
        <v>32</v>
      </c>
      <c r="I201" s="27">
        <v>46006</v>
      </c>
      <c r="J201" s="28" t="str">
        <f t="shared" si="52"/>
        <v>lun</v>
      </c>
      <c r="K201" s="29">
        <v>0.83333333333333337</v>
      </c>
      <c r="L201" s="25"/>
      <c r="M201" s="25"/>
      <c r="N201" s="25"/>
      <c r="O201" s="31" t="s">
        <v>32</v>
      </c>
      <c r="Q201" s="27">
        <v>46006</v>
      </c>
      <c r="R201" s="28" t="str">
        <f t="shared" si="53"/>
        <v>lun</v>
      </c>
      <c r="S201" s="29">
        <v>0.83333333333333337</v>
      </c>
      <c r="T201" s="19"/>
      <c r="U201" s="19"/>
      <c r="V201" s="19"/>
      <c r="W201" s="30" t="str">
        <f>IF(COUNTIF(T201:V201,"?*")=$P$7,"✅ CUBIERTO",IF(COUNTIF(T201:V201,"?*")&gt;$P$7,"⚠ EXCESO",
IF(COUNTIF(T201:V201,"?*")&gt;0,"⚠ FALTANTE", "❌ SIN COMPLETAR")))</f>
        <v>❌ SIN COMPLETAR</v>
      </c>
    </row>
    <row r="202" spans="1:23" x14ac:dyDescent="0.35">
      <c r="A202" s="27">
        <v>46007</v>
      </c>
      <c r="B202" s="28" t="str">
        <f>TEXT(A202,"ddd")</f>
        <v>mar</v>
      </c>
      <c r="C202" s="29">
        <v>0.375</v>
      </c>
      <c r="D202" s="25"/>
      <c r="E202" s="25"/>
      <c r="F202" s="25"/>
      <c r="G202" s="30" t="s">
        <v>32</v>
      </c>
      <c r="I202" s="27">
        <v>46007</v>
      </c>
      <c r="J202" s="28" t="str">
        <f>TEXT(I202,"ddd")</f>
        <v>mar</v>
      </c>
      <c r="K202" s="29">
        <v>0.375</v>
      </c>
      <c r="L202" s="19"/>
      <c r="M202" s="19"/>
      <c r="N202" s="19"/>
      <c r="O202" s="31" t="str">
        <f>IF(COUNTIF(L202:N202,"?*")=$P$6,"✅ CUBIERTO",IF(COUNTIF(L202:N202,"?*")&gt;$P$6,"⚠ EXCESO",
IF(COUNTIF(L202:N202,"?*")&gt;0,"⚠ FALTANTE", "❌ SIN COMPLETAR")))</f>
        <v>❌ SIN COMPLETAR</v>
      </c>
      <c r="Q202" s="27">
        <v>46007</v>
      </c>
      <c r="R202" s="28" t="str">
        <f>TEXT(Q202,"ddd")</f>
        <v>mar</v>
      </c>
      <c r="S202" s="29">
        <v>0.375</v>
      </c>
      <c r="T202" s="25"/>
      <c r="U202" s="25"/>
      <c r="V202" s="25"/>
      <c r="W202" s="30" t="s">
        <v>32</v>
      </c>
    </row>
    <row r="203" spans="1:23" x14ac:dyDescent="0.35">
      <c r="A203" s="27">
        <v>46007</v>
      </c>
      <c r="B203" s="28" t="str">
        <f>TEXT(A203,"ddd")</f>
        <v>mar</v>
      </c>
      <c r="C203" s="29">
        <v>0.41666666666666669</v>
      </c>
      <c r="D203" s="25"/>
      <c r="E203" s="25"/>
      <c r="F203" s="25"/>
      <c r="G203" s="30" t="s">
        <v>32</v>
      </c>
      <c r="I203" s="27">
        <v>46007</v>
      </c>
      <c r="J203" s="28" t="str">
        <f>TEXT(I203,"ddd")</f>
        <v>mar</v>
      </c>
      <c r="K203" s="29">
        <v>0.41666666666666669</v>
      </c>
      <c r="L203" s="19"/>
      <c r="M203" s="19"/>
      <c r="N203" s="19"/>
      <c r="O203" s="31" t="str">
        <f>IF(COUNTIF(L203:N203,"?*")=$P$6,"✅ CUBIERTO",IF(COUNTIF(L203:N203,"?*")&gt;$P$6,"⚠ EXCESO",
IF(COUNTIF(L203:N203,"?*")&gt;0,"⚠ FALTANTE", "❌ SIN COMPLETAR")))</f>
        <v>❌ SIN COMPLETAR</v>
      </c>
      <c r="Q203" s="27">
        <v>46007</v>
      </c>
      <c r="R203" s="28" t="str">
        <f>TEXT(Q203,"ddd")</f>
        <v>mar</v>
      </c>
      <c r="S203" s="29">
        <v>0.41666666666666669</v>
      </c>
      <c r="T203" s="19"/>
      <c r="U203" s="19"/>
      <c r="V203" s="19"/>
      <c r="W203" s="30" t="str">
        <f>IF(COUNTIF(T203:V203,"?*")=$P$7,"✅ CUBIERTO",IF(COUNTIF(T203:V203,"?*")&gt;$P$7,"⚠ EXCESO",
IF(COUNTIF(T203:V203,"?*")&gt;0,"⚠ FALTANTE", "❌ SIN COMPLETAR")))</f>
        <v>❌ SIN COMPLETAR</v>
      </c>
    </row>
    <row r="204" spans="1:23" x14ac:dyDescent="0.35">
      <c r="A204" s="27">
        <v>46007</v>
      </c>
      <c r="B204" s="28" t="str">
        <f>TEXT(A204,"ddd")</f>
        <v>mar</v>
      </c>
      <c r="C204" s="29">
        <v>0.45833333333333331</v>
      </c>
      <c r="D204" s="19" t="s">
        <v>3</v>
      </c>
      <c r="E204" s="19" t="s">
        <v>4</v>
      </c>
      <c r="F204" s="19"/>
      <c r="G204" s="30" t="str">
        <f>IF(COUNTIF(D204:F204,"?*")=$P$5,"✅ CUBIERTO",
IF(COUNTIF(D204:F204,"?*")&gt;$P$5,"⚠ EXCESO",IF(COUNTIF(D204:F204,"?*")&gt;0,"⚠ FALTANTE",
"❌ SIN COMPLETAR")))</f>
        <v>✅ CUBIERTO</v>
      </c>
      <c r="I204" s="27">
        <v>46007</v>
      </c>
      <c r="J204" s="28" t="str">
        <f>TEXT(I204,"ddd")</f>
        <v>mar</v>
      </c>
      <c r="K204" s="29">
        <v>0.45833333333333331</v>
      </c>
      <c r="L204" s="19"/>
      <c r="M204" s="19"/>
      <c r="N204" s="19"/>
      <c r="O204" s="31" t="str">
        <f>IF(COUNTIF(L204:N204,"?*")=$P$6,"✅ CUBIERTO",IF(COUNTIF(L204:N204,"?*")&gt;$P$6,"⚠ EXCESO",
IF(COUNTIF(L204:N204,"?*")&gt;0,"⚠ FALTANTE", "❌ SIN COMPLETAR")))</f>
        <v>❌ SIN COMPLETAR</v>
      </c>
      <c r="Q204" s="27">
        <v>46007</v>
      </c>
      <c r="R204" s="28" t="str">
        <f>TEXT(Q204,"ddd")</f>
        <v>mar</v>
      </c>
      <c r="S204" s="29">
        <v>0.45833333333333331</v>
      </c>
      <c r="T204" s="19"/>
      <c r="U204" s="19"/>
      <c r="V204" s="19"/>
      <c r="W204" s="30" t="str">
        <f>IF(COUNTIF(T204:V204,"?*")=$P$7,"✅ CUBIERTO",IF(COUNTIF(T204:V204,"?*")&gt;$P$7,"⚠ EXCESO",
IF(COUNTIF(T204:V204,"?*")&gt;0,"⚠ FALTANTE", "❌ SIN COMPLETAR")))</f>
        <v>❌ SIN COMPLETAR</v>
      </c>
    </row>
    <row r="205" spans="1:23" x14ac:dyDescent="0.35">
      <c r="A205" s="27">
        <v>46007</v>
      </c>
      <c r="B205" s="28" t="str">
        <f t="shared" ref="B205:B213" si="54">TEXT(A205,"ddd")</f>
        <v>mar</v>
      </c>
      <c r="C205" s="29">
        <v>0.5</v>
      </c>
      <c r="D205" s="19" t="s">
        <v>3</v>
      </c>
      <c r="E205" s="19" t="s">
        <v>4</v>
      </c>
      <c r="F205" s="19"/>
      <c r="G205" s="30" t="str">
        <f>IF(COUNTIF(D205:F205,"?*")=$P$5,"✅ CUBIERTO",
IF(COUNTIF(D205:F205,"?*")&gt;$P$5,"⚠ EXCESO",IF(COUNTIF(D205:F205,"?*")&gt;0,"⚠ FALTANTE",
"❌ SIN COMPLETAR")))</f>
        <v>✅ CUBIERTO</v>
      </c>
      <c r="I205" s="27">
        <v>46007</v>
      </c>
      <c r="J205" s="28" t="str">
        <f t="shared" ref="J205:J213" si="55">TEXT(I205,"ddd")</f>
        <v>mar</v>
      </c>
      <c r="K205" s="29">
        <v>0.5</v>
      </c>
      <c r="L205" s="19"/>
      <c r="M205" s="19"/>
      <c r="N205" s="19"/>
      <c r="O205" s="31" t="str">
        <f>IF(COUNTIF(L205:N205,"?*")=$P$6,"✅ CUBIERTO",IF(COUNTIF(L205:N205,"?*")&gt;$P$6,"⚠ EXCESO",
IF(COUNTIF(L205:N205,"?*")&gt;0,"⚠ FALTANTE", "❌ SIN COMPLETAR")))</f>
        <v>❌ SIN COMPLETAR</v>
      </c>
      <c r="Q205" s="27">
        <v>46007</v>
      </c>
      <c r="R205" s="28" t="str">
        <f t="shared" ref="R205:R213" si="56">TEXT(Q205,"ddd")</f>
        <v>mar</v>
      </c>
      <c r="S205" s="29">
        <v>0.5</v>
      </c>
      <c r="T205" s="19"/>
      <c r="U205" s="19"/>
      <c r="V205" s="19"/>
      <c r="W205" s="30" t="str">
        <f>IF(COUNTIF(T205:V205,"?*")=$P$7,"✅ CUBIERTO",IF(COUNTIF(T205:V205,"?*")&gt;$P$7,"⚠ EXCESO",
IF(COUNTIF(T205:V205,"?*")&gt;0,"⚠ FALTANTE", "❌ SIN COMPLETAR")))</f>
        <v>❌ SIN COMPLETAR</v>
      </c>
    </row>
    <row r="206" spans="1:23" x14ac:dyDescent="0.35">
      <c r="A206" s="27">
        <v>46007</v>
      </c>
      <c r="B206" s="28" t="str">
        <f t="shared" si="54"/>
        <v>mar</v>
      </c>
      <c r="C206" s="29">
        <v>0.54166666666666696</v>
      </c>
      <c r="D206" s="19" t="s">
        <v>3</v>
      </c>
      <c r="E206" s="19" t="s">
        <v>4</v>
      </c>
      <c r="F206" s="19"/>
      <c r="G206" s="30" t="str">
        <f>IF(COUNTIF(D206:F206,"?*")=$P$5,"✅ CUBIERTO",
IF(COUNTIF(D206:F206,"?*")&gt;$P$5,"⚠ EXCESO",IF(COUNTIF(D206:F206,"?*")&gt;0,"⚠ FALTANTE",
"❌ SIN COMPLETAR")))</f>
        <v>✅ CUBIERTO</v>
      </c>
      <c r="I206" s="27">
        <v>46007</v>
      </c>
      <c r="J206" s="28" t="str">
        <f t="shared" si="55"/>
        <v>mar</v>
      </c>
      <c r="K206" s="29">
        <v>0.54166666666666696</v>
      </c>
      <c r="L206" s="19"/>
      <c r="M206" s="19"/>
      <c r="N206" s="19"/>
      <c r="O206" s="31" t="str">
        <f>IF(COUNTIF(L206:N206,"?*")=$P$6,"✅ CUBIERTO",IF(COUNTIF(L206:N206,"?*")&gt;$P$6,"⚠ EXCESO",
IF(COUNTIF(L206:N206,"?*")&gt;0,"⚠ FALTANTE", "❌ SIN COMPLETAR")))</f>
        <v>❌ SIN COMPLETAR</v>
      </c>
      <c r="Q206" s="27">
        <v>46007</v>
      </c>
      <c r="R206" s="28" t="str">
        <f t="shared" si="56"/>
        <v>mar</v>
      </c>
      <c r="S206" s="29">
        <v>0.54166666666666696</v>
      </c>
      <c r="T206" s="19"/>
      <c r="U206" s="19"/>
      <c r="V206" s="19"/>
      <c r="W206" s="30" t="str">
        <f>IF(COUNTIF(T206:V206,"?*")=$P$7,"✅ CUBIERTO",IF(COUNTIF(T206:V206,"?*")&gt;$P$7,"⚠ EXCESO",
IF(COUNTIF(T206:V206,"?*")&gt;0,"⚠ FALTANTE", "❌ SIN COMPLETAR")))</f>
        <v>❌ SIN COMPLETAR</v>
      </c>
    </row>
    <row r="207" spans="1:23" x14ac:dyDescent="0.35">
      <c r="A207" s="27">
        <v>46007</v>
      </c>
      <c r="B207" s="28" t="str">
        <f t="shared" si="54"/>
        <v>mar</v>
      </c>
      <c r="C207" s="29">
        <v>0.58333333333333304</v>
      </c>
      <c r="D207" s="19" t="s">
        <v>3</v>
      </c>
      <c r="E207" s="19" t="s">
        <v>4</v>
      </c>
      <c r="F207" s="19"/>
      <c r="G207" s="30" t="str">
        <f>IF(COUNTIF(D207:F207,"?*")=$P$5,"✅ CUBIERTO",
IF(COUNTIF(D207:F207,"?*")&gt;$P$5,"⚠ EXCESO",IF(COUNTIF(D207:F207,"?*")&gt;0,"⚠ FALTANTE",
"❌ SIN COMPLETAR")))</f>
        <v>✅ CUBIERTO</v>
      </c>
      <c r="I207" s="27">
        <v>46007</v>
      </c>
      <c r="J207" s="28" t="str">
        <f t="shared" si="55"/>
        <v>mar</v>
      </c>
      <c r="K207" s="29">
        <v>0.58333333333333304</v>
      </c>
      <c r="L207" s="19"/>
      <c r="M207" s="19"/>
      <c r="N207" s="19"/>
      <c r="O207" s="31" t="str">
        <f>IF(COUNTIF(L207:N207,"?*")=$P$6,"✅ CUBIERTO",IF(COUNTIF(L207:N207,"?*")&gt;$P$6,"⚠ EXCESO",
IF(COUNTIF(L207:N207,"?*")&gt;0,"⚠ FALTANTE", "❌ SIN COMPLETAR")))</f>
        <v>❌ SIN COMPLETAR</v>
      </c>
      <c r="Q207" s="27">
        <v>46007</v>
      </c>
      <c r="R207" s="28" t="str">
        <f t="shared" si="56"/>
        <v>mar</v>
      </c>
      <c r="S207" s="29">
        <v>0.58333333333333304</v>
      </c>
      <c r="T207" s="19"/>
      <c r="U207" s="19"/>
      <c r="V207" s="19"/>
      <c r="W207" s="30" t="str">
        <f>IF(COUNTIF(T207:V207,"?*")=$P$7,"✅ CUBIERTO",IF(COUNTIF(T207:V207,"?*")&gt;$P$7,"⚠ EXCESO",
IF(COUNTIF(T207:V207,"?*")&gt;0,"⚠ FALTANTE", "❌ SIN COMPLETAR")))</f>
        <v>❌ SIN COMPLETAR</v>
      </c>
    </row>
    <row r="208" spans="1:23" x14ac:dyDescent="0.35">
      <c r="A208" s="27">
        <v>46007</v>
      </c>
      <c r="B208" s="28" t="str">
        <f t="shared" si="54"/>
        <v>mar</v>
      </c>
      <c r="C208" s="29">
        <v>0.625</v>
      </c>
      <c r="D208" s="19" t="s">
        <v>3</v>
      </c>
      <c r="E208" s="19" t="s">
        <v>4</v>
      </c>
      <c r="F208" s="19"/>
      <c r="G208" s="30" t="str">
        <f>IF(COUNTIF(D208:F208,"?*")=$P$5,"✅ CUBIERTO",
IF(COUNTIF(D208:F208,"?*")&gt;$P$5,"⚠ EXCESO",IF(COUNTIF(D208:F208,"?*")&gt;0,"⚠ FALTANTE",
"❌ SIN COMPLETAR")))</f>
        <v>✅ CUBIERTO</v>
      </c>
      <c r="I208" s="27">
        <v>46007</v>
      </c>
      <c r="J208" s="28" t="str">
        <f t="shared" si="55"/>
        <v>mar</v>
      </c>
      <c r="K208" s="29">
        <v>0.625</v>
      </c>
      <c r="L208" s="19"/>
      <c r="M208" s="19"/>
      <c r="N208" s="19"/>
      <c r="O208" s="31" t="str">
        <f>IF(COUNTIF(L208:N208,"?*")=$P$6,"✅ CUBIERTO",IF(COUNTIF(L208:N208,"?*")&gt;$P$6,"⚠ EXCESO",
IF(COUNTIF(L208:N208,"?*")&gt;0,"⚠ FALTANTE", "❌ SIN COMPLETAR")))</f>
        <v>❌ SIN COMPLETAR</v>
      </c>
      <c r="Q208" s="27">
        <v>46007</v>
      </c>
      <c r="R208" s="28" t="str">
        <f t="shared" si="56"/>
        <v>mar</v>
      </c>
      <c r="S208" s="29">
        <v>0.625</v>
      </c>
      <c r="T208" s="19"/>
      <c r="U208" s="19"/>
      <c r="V208" s="19"/>
      <c r="W208" s="30" t="str">
        <f>IF(COUNTIF(T208:V208,"?*")=$P$7,"✅ CUBIERTO",IF(COUNTIF(T208:V208,"?*")&gt;$P$7,"⚠ EXCESO",
IF(COUNTIF(T208:V208,"?*")&gt;0,"⚠ FALTANTE", "❌ SIN COMPLETAR")))</f>
        <v>❌ SIN COMPLETAR</v>
      </c>
    </row>
    <row r="209" spans="1:23" x14ac:dyDescent="0.35">
      <c r="A209" s="27">
        <v>46007</v>
      </c>
      <c r="B209" s="28" t="str">
        <f t="shared" si="54"/>
        <v>mar</v>
      </c>
      <c r="C209" s="29">
        <v>0.66666666666666696</v>
      </c>
      <c r="D209" s="19" t="s">
        <v>30</v>
      </c>
      <c r="E209" s="19" t="s">
        <v>31</v>
      </c>
      <c r="F209" s="19"/>
      <c r="G209" s="30" t="str">
        <f>IF(COUNTIF(D209:F209,"?*")=$P$5,"✅ CUBIERTO",
IF(COUNTIF(D209:F209,"?*")&gt;$P$5,"⚠ EXCESO",IF(COUNTIF(D209:F209,"?*")&gt;0,"⚠ FALTANTE",
"❌ SIN COMPLETAR")))</f>
        <v>✅ CUBIERTO</v>
      </c>
      <c r="I209" s="27">
        <v>46007</v>
      </c>
      <c r="J209" s="28" t="str">
        <f t="shared" si="55"/>
        <v>mar</v>
      </c>
      <c r="K209" s="29">
        <v>0.66666666666666696</v>
      </c>
      <c r="L209" s="19"/>
      <c r="M209" s="19"/>
      <c r="N209" s="19"/>
      <c r="O209" s="31" t="str">
        <f>IF(COUNTIF(L209:N209,"?*")=$P$6,"✅ CUBIERTO",IF(COUNTIF(L209:N209,"?*")&gt;$P$6,"⚠ EXCESO",
IF(COUNTIF(L209:N209,"?*")&gt;0,"⚠ FALTANTE", "❌ SIN COMPLETAR")))</f>
        <v>❌ SIN COMPLETAR</v>
      </c>
      <c r="Q209" s="27">
        <v>46007</v>
      </c>
      <c r="R209" s="28" t="str">
        <f t="shared" si="56"/>
        <v>mar</v>
      </c>
      <c r="S209" s="29">
        <v>0.66666666666666696</v>
      </c>
      <c r="T209" s="19"/>
      <c r="U209" s="19"/>
      <c r="V209" s="19"/>
      <c r="W209" s="30" t="str">
        <f>IF(COUNTIF(T209:V209,"?*")=$P$7,"✅ CUBIERTO",IF(COUNTIF(T209:V209,"?*")&gt;$P$7,"⚠ EXCESO",
IF(COUNTIF(T209:V209,"?*")&gt;0,"⚠ FALTANTE", "❌ SIN COMPLETAR")))</f>
        <v>❌ SIN COMPLETAR</v>
      </c>
    </row>
    <row r="210" spans="1:23" x14ac:dyDescent="0.35">
      <c r="A210" s="27">
        <v>46007</v>
      </c>
      <c r="B210" s="28" t="str">
        <f t="shared" si="54"/>
        <v>mar</v>
      </c>
      <c r="C210" s="29">
        <v>0.70833333333333304</v>
      </c>
      <c r="D210" s="19" t="s">
        <v>30</v>
      </c>
      <c r="E210" s="19" t="s">
        <v>31</v>
      </c>
      <c r="F210" s="19"/>
      <c r="G210" s="30" t="str">
        <f>IF(COUNTIF(D210:F210,"?*")=$P$5,"✅ CUBIERTO",
IF(COUNTIF(D210:F210,"?*")&gt;$P$5,"⚠ EXCESO",IF(COUNTIF(D210:F210,"?*")&gt;0,"⚠ FALTANTE",
"❌ SIN COMPLETAR")))</f>
        <v>✅ CUBIERTO</v>
      </c>
      <c r="I210" s="27">
        <v>46007</v>
      </c>
      <c r="J210" s="28" t="str">
        <f t="shared" si="55"/>
        <v>mar</v>
      </c>
      <c r="K210" s="29">
        <v>0.70833333333333304</v>
      </c>
      <c r="L210" s="19"/>
      <c r="M210" s="19"/>
      <c r="N210" s="19"/>
      <c r="O210" s="31" t="str">
        <f>IF(COUNTIF(L210:N210,"?*")=$P$6,"✅ CUBIERTO",IF(COUNTIF(L210:N210,"?*")&gt;$P$6,"⚠ EXCESO",
IF(COUNTIF(L210:N210,"?*")&gt;0,"⚠ FALTANTE", "❌ SIN COMPLETAR")))</f>
        <v>❌ SIN COMPLETAR</v>
      </c>
      <c r="Q210" s="27">
        <v>46007</v>
      </c>
      <c r="R210" s="28" t="str">
        <f t="shared" si="56"/>
        <v>mar</v>
      </c>
      <c r="S210" s="29">
        <v>0.70833333333333304</v>
      </c>
      <c r="T210" s="19"/>
      <c r="U210" s="19"/>
      <c r="V210" s="19"/>
      <c r="W210" s="30" t="str">
        <f>IF(COUNTIF(T210:V210,"?*")=$P$7,"✅ CUBIERTO",IF(COUNTIF(T210:V210,"?*")&gt;$P$7,"⚠ EXCESO",
IF(COUNTIF(T210:V210,"?*")&gt;0,"⚠ FALTANTE", "❌ SIN COMPLETAR")))</f>
        <v>❌ SIN COMPLETAR</v>
      </c>
    </row>
    <row r="211" spans="1:23" x14ac:dyDescent="0.35">
      <c r="A211" s="27">
        <v>46007</v>
      </c>
      <c r="B211" s="28" t="str">
        <f t="shared" si="54"/>
        <v>mar</v>
      </c>
      <c r="C211" s="29">
        <v>0.75</v>
      </c>
      <c r="D211" s="19" t="s">
        <v>30</v>
      </c>
      <c r="E211" s="19" t="s">
        <v>31</v>
      </c>
      <c r="F211" s="19"/>
      <c r="G211" s="30" t="str">
        <f>IF(COUNTIF(D211:F211,"?*")=$P$5,"✅ CUBIERTO",
IF(COUNTIF(D211:F211,"?*")&gt;$P$5,"⚠ EXCESO",IF(COUNTIF(D211:F211,"?*")&gt;0,"⚠ FALTANTE",
"❌ SIN COMPLETAR")))</f>
        <v>✅ CUBIERTO</v>
      </c>
      <c r="I211" s="27">
        <v>46007</v>
      </c>
      <c r="J211" s="28" t="str">
        <f t="shared" si="55"/>
        <v>mar</v>
      </c>
      <c r="K211" s="29">
        <v>0.75</v>
      </c>
      <c r="L211" s="25"/>
      <c r="M211" s="25"/>
      <c r="N211" s="25"/>
      <c r="O211" s="31" t="s">
        <v>32</v>
      </c>
      <c r="Q211" s="27">
        <v>46007</v>
      </c>
      <c r="R211" s="28" t="str">
        <f t="shared" si="56"/>
        <v>mar</v>
      </c>
      <c r="S211" s="29">
        <v>0.75</v>
      </c>
      <c r="T211" s="19"/>
      <c r="U211" s="19"/>
      <c r="V211" s="19"/>
      <c r="W211" s="30" t="str">
        <f>IF(COUNTIF(T211:V211,"?*")=$P$7,"✅ CUBIERTO",IF(COUNTIF(T211:V211,"?*")&gt;$P$7,"⚠ EXCESO",
IF(COUNTIF(T211:V211,"?*")&gt;0,"⚠ FALTANTE", "❌ SIN COMPLETAR")))</f>
        <v>❌ SIN COMPLETAR</v>
      </c>
    </row>
    <row r="212" spans="1:23" x14ac:dyDescent="0.35">
      <c r="A212" s="27">
        <v>46007</v>
      </c>
      <c r="B212" s="28" t="str">
        <f t="shared" si="54"/>
        <v>mar</v>
      </c>
      <c r="C212" s="29">
        <v>0.79166666666666696</v>
      </c>
      <c r="D212" s="19" t="s">
        <v>30</v>
      </c>
      <c r="E212" s="19" t="s">
        <v>31</v>
      </c>
      <c r="F212" s="19"/>
      <c r="G212" s="30" t="str">
        <f>IF(COUNTIF(D212:F212,"?*")=$P$5,"✅ CUBIERTO",
IF(COUNTIF(D212:F212,"?*")&gt;$P$5,"⚠ EXCESO",IF(COUNTIF(D212:F212,"?*")&gt;0,"⚠ FALTANTE",
"❌ SIN COMPLETAR")))</f>
        <v>✅ CUBIERTO</v>
      </c>
      <c r="I212" s="27">
        <v>46007</v>
      </c>
      <c r="J212" s="28" t="str">
        <f t="shared" si="55"/>
        <v>mar</v>
      </c>
      <c r="K212" s="29">
        <v>0.79166666666666696</v>
      </c>
      <c r="L212" s="25"/>
      <c r="M212" s="25"/>
      <c r="N212" s="25"/>
      <c r="O212" s="31" t="s">
        <v>32</v>
      </c>
      <c r="Q212" s="27">
        <v>46007</v>
      </c>
      <c r="R212" s="28" t="str">
        <f t="shared" si="56"/>
        <v>mar</v>
      </c>
      <c r="S212" s="29">
        <v>0.79166666666666696</v>
      </c>
      <c r="T212" s="19"/>
      <c r="U212" s="19"/>
      <c r="V212" s="19"/>
      <c r="W212" s="30" t="str">
        <f>IF(COUNTIF(T212:V212,"?*")=$P$7,"✅ CUBIERTO",IF(COUNTIF(T212:V212,"?*")&gt;$P$7,"⚠ EXCESO",
IF(COUNTIF(T212:V212,"?*")&gt;0,"⚠ FALTANTE", "❌ SIN COMPLETAR")))</f>
        <v>❌ SIN COMPLETAR</v>
      </c>
    </row>
    <row r="213" spans="1:23" x14ac:dyDescent="0.35">
      <c r="A213" s="27">
        <v>46007</v>
      </c>
      <c r="B213" s="28" t="str">
        <f t="shared" si="54"/>
        <v>mar</v>
      </c>
      <c r="C213" s="29">
        <v>0.83333333333333337</v>
      </c>
      <c r="D213" s="25"/>
      <c r="E213" s="25"/>
      <c r="F213" s="25"/>
      <c r="G213" s="30" t="s">
        <v>32</v>
      </c>
      <c r="I213" s="27">
        <v>46007</v>
      </c>
      <c r="J213" s="28" t="str">
        <f t="shared" si="55"/>
        <v>mar</v>
      </c>
      <c r="K213" s="29">
        <v>0.83333333333333337</v>
      </c>
      <c r="L213" s="25"/>
      <c r="M213" s="25"/>
      <c r="N213" s="25"/>
      <c r="O213" s="31" t="s">
        <v>32</v>
      </c>
      <c r="Q213" s="27">
        <v>46007</v>
      </c>
      <c r="R213" s="28" t="str">
        <f t="shared" si="56"/>
        <v>mar</v>
      </c>
      <c r="S213" s="29">
        <v>0.83333333333333337</v>
      </c>
      <c r="T213" s="19"/>
      <c r="U213" s="19"/>
      <c r="V213" s="19"/>
      <c r="W213" s="30" t="str">
        <f>IF(COUNTIF(T213:V213,"?*")=$P$7,"✅ CUBIERTO",IF(COUNTIF(T213:V213,"?*")&gt;$P$7,"⚠ EXCESO",
IF(COUNTIF(T213:V213,"?*")&gt;0,"⚠ FALTANTE", "❌ SIN COMPLETAR")))</f>
        <v>❌ SIN COMPLETAR</v>
      </c>
    </row>
    <row r="214" spans="1:23" x14ac:dyDescent="0.35">
      <c r="A214" s="27">
        <v>46008</v>
      </c>
      <c r="B214" s="28" t="str">
        <f>TEXT(A214,"ddd")</f>
        <v>mié</v>
      </c>
      <c r="C214" s="29">
        <v>0.375</v>
      </c>
      <c r="D214" s="25"/>
      <c r="E214" s="25"/>
      <c r="F214" s="25"/>
      <c r="G214" s="30" t="s">
        <v>32</v>
      </c>
      <c r="I214" s="27">
        <v>46008</v>
      </c>
      <c r="J214" s="28" t="str">
        <f>TEXT(I214,"ddd")</f>
        <v>mié</v>
      </c>
      <c r="K214" s="29">
        <v>0.375</v>
      </c>
      <c r="L214" s="19"/>
      <c r="M214" s="19"/>
      <c r="N214" s="19"/>
      <c r="O214" s="31" t="str">
        <f>IF(COUNTIF(L214:N214,"?*")=$P$6,"✅ CUBIERTO",IF(COUNTIF(L214:N214,"?*")&gt;$P$6,"⚠ EXCESO",
IF(COUNTIF(L214:N214,"?*")&gt;0,"⚠ FALTANTE", "❌ SIN COMPLETAR")))</f>
        <v>❌ SIN COMPLETAR</v>
      </c>
      <c r="Q214" s="27">
        <v>46008</v>
      </c>
      <c r="R214" s="28" t="str">
        <f>TEXT(Q214,"ddd")</f>
        <v>mié</v>
      </c>
      <c r="S214" s="29">
        <v>0.375</v>
      </c>
      <c r="T214" s="25"/>
      <c r="U214" s="25"/>
      <c r="V214" s="25"/>
      <c r="W214" s="30" t="s">
        <v>32</v>
      </c>
    </row>
    <row r="215" spans="1:23" x14ac:dyDescent="0.35">
      <c r="A215" s="27">
        <v>46008</v>
      </c>
      <c r="B215" s="28" t="str">
        <f>TEXT(A215,"ddd")</f>
        <v>mié</v>
      </c>
      <c r="C215" s="29">
        <v>0.41666666666666669</v>
      </c>
      <c r="D215" s="25"/>
      <c r="E215" s="25"/>
      <c r="F215" s="25"/>
      <c r="G215" s="30" t="s">
        <v>32</v>
      </c>
      <c r="I215" s="27">
        <v>46008</v>
      </c>
      <c r="J215" s="28" t="str">
        <f>TEXT(I215,"ddd")</f>
        <v>mié</v>
      </c>
      <c r="K215" s="29">
        <v>0.41666666666666669</v>
      </c>
      <c r="L215" s="19"/>
      <c r="M215" s="19"/>
      <c r="N215" s="19"/>
      <c r="O215" s="31" t="str">
        <f>IF(COUNTIF(L215:N215,"?*")=$P$6,"✅ CUBIERTO",IF(COUNTIF(L215:N215,"?*")&gt;$P$6,"⚠ EXCESO",
IF(COUNTIF(L215:N215,"?*")&gt;0,"⚠ FALTANTE", "❌ SIN COMPLETAR")))</f>
        <v>❌ SIN COMPLETAR</v>
      </c>
      <c r="Q215" s="27">
        <v>46008</v>
      </c>
      <c r="R215" s="28" t="str">
        <f>TEXT(Q215,"ddd")</f>
        <v>mié</v>
      </c>
      <c r="S215" s="29">
        <v>0.41666666666666669</v>
      </c>
      <c r="T215" s="19"/>
      <c r="U215" s="19"/>
      <c r="V215" s="19"/>
      <c r="W215" s="30" t="str">
        <f>IF(COUNTIF(T215:V215,"?*")=$P$7,"✅ CUBIERTO",IF(COUNTIF(T215:V215,"?*")&gt;$P$7,"⚠ EXCESO",
IF(COUNTIF(T215:V215,"?*")&gt;0,"⚠ FALTANTE", "❌ SIN COMPLETAR")))</f>
        <v>❌ SIN COMPLETAR</v>
      </c>
    </row>
    <row r="216" spans="1:23" x14ac:dyDescent="0.35">
      <c r="A216" s="27">
        <v>46008</v>
      </c>
      <c r="B216" s="28" t="str">
        <f>TEXT(A216,"ddd")</f>
        <v>mié</v>
      </c>
      <c r="C216" s="29">
        <v>0.45833333333333331</v>
      </c>
      <c r="D216" s="19" t="s">
        <v>3</v>
      </c>
      <c r="E216" s="19" t="s">
        <v>4</v>
      </c>
      <c r="F216" s="19"/>
      <c r="G216" s="30" t="str">
        <f>IF(COUNTIF(D216:F216,"?*")=$P$5,"✅ CUBIERTO",
IF(COUNTIF(D216:F216,"?*")&gt;$P$5,"⚠ EXCESO",IF(COUNTIF(D216:F216,"?*")&gt;0,"⚠ FALTANTE",
"❌ SIN COMPLETAR")))</f>
        <v>✅ CUBIERTO</v>
      </c>
      <c r="I216" s="27">
        <v>46008</v>
      </c>
      <c r="J216" s="28" t="str">
        <f>TEXT(I216,"ddd")</f>
        <v>mié</v>
      </c>
      <c r="K216" s="29">
        <v>0.45833333333333331</v>
      </c>
      <c r="L216" s="19"/>
      <c r="M216" s="19"/>
      <c r="N216" s="19"/>
      <c r="O216" s="31" t="str">
        <f>IF(COUNTIF(L216:N216,"?*")=$P$6,"✅ CUBIERTO",IF(COUNTIF(L216:N216,"?*")&gt;$P$6,"⚠ EXCESO",
IF(COUNTIF(L216:N216,"?*")&gt;0,"⚠ FALTANTE", "❌ SIN COMPLETAR")))</f>
        <v>❌ SIN COMPLETAR</v>
      </c>
      <c r="Q216" s="27">
        <v>46008</v>
      </c>
      <c r="R216" s="28" t="str">
        <f>TEXT(Q216,"ddd")</f>
        <v>mié</v>
      </c>
      <c r="S216" s="29">
        <v>0.45833333333333331</v>
      </c>
      <c r="T216" s="19"/>
      <c r="U216" s="19"/>
      <c r="V216" s="19"/>
      <c r="W216" s="30" t="str">
        <f>IF(COUNTIF(T216:V216,"?*")=$P$7,"✅ CUBIERTO",IF(COUNTIF(T216:V216,"?*")&gt;$P$7,"⚠ EXCESO",
IF(COUNTIF(T216:V216,"?*")&gt;0,"⚠ FALTANTE", "❌ SIN COMPLETAR")))</f>
        <v>❌ SIN COMPLETAR</v>
      </c>
    </row>
    <row r="217" spans="1:23" x14ac:dyDescent="0.35">
      <c r="A217" s="27">
        <v>46008</v>
      </c>
      <c r="B217" s="28" t="str">
        <f t="shared" ref="B217:B225" si="57">TEXT(A217,"ddd")</f>
        <v>mié</v>
      </c>
      <c r="C217" s="29">
        <v>0.5</v>
      </c>
      <c r="D217" s="19" t="s">
        <v>3</v>
      </c>
      <c r="E217" s="19" t="s">
        <v>4</v>
      </c>
      <c r="F217" s="19"/>
      <c r="G217" s="30" t="str">
        <f>IF(COUNTIF(D217:F217,"?*")=$P$5,"✅ CUBIERTO",
IF(COUNTIF(D217:F217,"?*")&gt;$P$5,"⚠ EXCESO",IF(COUNTIF(D217:F217,"?*")&gt;0,"⚠ FALTANTE",
"❌ SIN COMPLETAR")))</f>
        <v>✅ CUBIERTO</v>
      </c>
      <c r="I217" s="27">
        <v>46008</v>
      </c>
      <c r="J217" s="28" t="str">
        <f t="shared" ref="J217:J225" si="58">TEXT(I217,"ddd")</f>
        <v>mié</v>
      </c>
      <c r="K217" s="29">
        <v>0.5</v>
      </c>
      <c r="L217" s="19"/>
      <c r="M217" s="19"/>
      <c r="N217" s="19"/>
      <c r="O217" s="31" t="str">
        <f>IF(COUNTIF(L217:N217,"?*")=$P$6,"✅ CUBIERTO",IF(COUNTIF(L217:N217,"?*")&gt;$P$6,"⚠ EXCESO",
IF(COUNTIF(L217:N217,"?*")&gt;0,"⚠ FALTANTE", "❌ SIN COMPLETAR")))</f>
        <v>❌ SIN COMPLETAR</v>
      </c>
      <c r="Q217" s="27">
        <v>46008</v>
      </c>
      <c r="R217" s="28" t="str">
        <f t="shared" ref="R217:R225" si="59">TEXT(Q217,"ddd")</f>
        <v>mié</v>
      </c>
      <c r="S217" s="29">
        <v>0.5</v>
      </c>
      <c r="T217" s="19"/>
      <c r="U217" s="19"/>
      <c r="V217" s="19"/>
      <c r="W217" s="30" t="str">
        <f>IF(COUNTIF(T217:V217,"?*")=$P$7,"✅ CUBIERTO",IF(COUNTIF(T217:V217,"?*")&gt;$P$7,"⚠ EXCESO",
IF(COUNTIF(T217:V217,"?*")&gt;0,"⚠ FALTANTE", "❌ SIN COMPLETAR")))</f>
        <v>❌ SIN COMPLETAR</v>
      </c>
    </row>
    <row r="218" spans="1:23" x14ac:dyDescent="0.35">
      <c r="A218" s="27">
        <v>46008</v>
      </c>
      <c r="B218" s="28" t="str">
        <f t="shared" si="57"/>
        <v>mié</v>
      </c>
      <c r="C218" s="29">
        <v>0.54166666666666696</v>
      </c>
      <c r="D218" s="19" t="s">
        <v>3</v>
      </c>
      <c r="E218" s="19" t="s">
        <v>4</v>
      </c>
      <c r="F218" s="19"/>
      <c r="G218" s="30" t="str">
        <f>IF(COUNTIF(D218:F218,"?*")=$P$5,"✅ CUBIERTO",
IF(COUNTIF(D218:F218,"?*")&gt;$P$5,"⚠ EXCESO",IF(COUNTIF(D218:F218,"?*")&gt;0,"⚠ FALTANTE",
"❌ SIN COMPLETAR")))</f>
        <v>✅ CUBIERTO</v>
      </c>
      <c r="I218" s="27">
        <v>46008</v>
      </c>
      <c r="J218" s="28" t="str">
        <f t="shared" si="58"/>
        <v>mié</v>
      </c>
      <c r="K218" s="29">
        <v>0.54166666666666696</v>
      </c>
      <c r="L218" s="19"/>
      <c r="M218" s="19"/>
      <c r="N218" s="19"/>
      <c r="O218" s="31" t="str">
        <f>IF(COUNTIF(L218:N218,"?*")=$P$6,"✅ CUBIERTO",IF(COUNTIF(L218:N218,"?*")&gt;$P$6,"⚠ EXCESO",
IF(COUNTIF(L218:N218,"?*")&gt;0,"⚠ FALTANTE", "❌ SIN COMPLETAR")))</f>
        <v>❌ SIN COMPLETAR</v>
      </c>
      <c r="Q218" s="27">
        <v>46008</v>
      </c>
      <c r="R218" s="28" t="str">
        <f t="shared" si="59"/>
        <v>mié</v>
      </c>
      <c r="S218" s="29">
        <v>0.54166666666666696</v>
      </c>
      <c r="T218" s="19"/>
      <c r="U218" s="19"/>
      <c r="V218" s="19"/>
      <c r="W218" s="30" t="str">
        <f>IF(COUNTIF(T218:V218,"?*")=$P$7,"✅ CUBIERTO",IF(COUNTIF(T218:V218,"?*")&gt;$P$7,"⚠ EXCESO",
IF(COUNTIF(T218:V218,"?*")&gt;0,"⚠ FALTANTE", "❌ SIN COMPLETAR")))</f>
        <v>❌ SIN COMPLETAR</v>
      </c>
    </row>
    <row r="219" spans="1:23" x14ac:dyDescent="0.35">
      <c r="A219" s="27">
        <v>46008</v>
      </c>
      <c r="B219" s="28" t="str">
        <f t="shared" si="57"/>
        <v>mié</v>
      </c>
      <c r="C219" s="29">
        <v>0.58333333333333304</v>
      </c>
      <c r="D219" s="19" t="s">
        <v>3</v>
      </c>
      <c r="E219" s="19" t="s">
        <v>4</v>
      </c>
      <c r="F219" s="19"/>
      <c r="G219" s="30" t="str">
        <f>IF(COUNTIF(D219:F219,"?*")=$P$5,"✅ CUBIERTO",
IF(COUNTIF(D219:F219,"?*")&gt;$P$5,"⚠ EXCESO",IF(COUNTIF(D219:F219,"?*")&gt;0,"⚠ FALTANTE",
"❌ SIN COMPLETAR")))</f>
        <v>✅ CUBIERTO</v>
      </c>
      <c r="I219" s="27">
        <v>46008</v>
      </c>
      <c r="J219" s="28" t="str">
        <f t="shared" si="58"/>
        <v>mié</v>
      </c>
      <c r="K219" s="29">
        <v>0.58333333333333304</v>
      </c>
      <c r="L219" s="19"/>
      <c r="M219" s="19"/>
      <c r="N219" s="19"/>
      <c r="O219" s="31" t="str">
        <f>IF(COUNTIF(L219:N219,"?*")=$P$6,"✅ CUBIERTO",IF(COUNTIF(L219:N219,"?*")&gt;$P$6,"⚠ EXCESO",
IF(COUNTIF(L219:N219,"?*")&gt;0,"⚠ FALTANTE", "❌ SIN COMPLETAR")))</f>
        <v>❌ SIN COMPLETAR</v>
      </c>
      <c r="Q219" s="27">
        <v>46008</v>
      </c>
      <c r="R219" s="28" t="str">
        <f t="shared" si="59"/>
        <v>mié</v>
      </c>
      <c r="S219" s="29">
        <v>0.58333333333333304</v>
      </c>
      <c r="T219" s="19"/>
      <c r="U219" s="19"/>
      <c r="V219" s="19"/>
      <c r="W219" s="30" t="str">
        <f>IF(COUNTIF(T219:V219,"?*")=$P$7,"✅ CUBIERTO",IF(COUNTIF(T219:V219,"?*")&gt;$P$7,"⚠ EXCESO",
IF(COUNTIF(T219:V219,"?*")&gt;0,"⚠ FALTANTE", "❌ SIN COMPLETAR")))</f>
        <v>❌ SIN COMPLETAR</v>
      </c>
    </row>
    <row r="220" spans="1:23" x14ac:dyDescent="0.35">
      <c r="A220" s="27">
        <v>46008</v>
      </c>
      <c r="B220" s="28" t="str">
        <f t="shared" si="57"/>
        <v>mié</v>
      </c>
      <c r="C220" s="29">
        <v>0.625</v>
      </c>
      <c r="D220" s="19" t="s">
        <v>3</v>
      </c>
      <c r="E220" s="19" t="s">
        <v>4</v>
      </c>
      <c r="F220" s="19"/>
      <c r="G220" s="30" t="str">
        <f>IF(COUNTIF(D220:F220,"?*")=$P$5,"✅ CUBIERTO",
IF(COUNTIF(D220:F220,"?*")&gt;$P$5,"⚠ EXCESO",IF(COUNTIF(D220:F220,"?*")&gt;0,"⚠ FALTANTE",
"❌ SIN COMPLETAR")))</f>
        <v>✅ CUBIERTO</v>
      </c>
      <c r="I220" s="27">
        <v>46008</v>
      </c>
      <c r="J220" s="28" t="str">
        <f t="shared" si="58"/>
        <v>mié</v>
      </c>
      <c r="K220" s="29">
        <v>0.625</v>
      </c>
      <c r="L220" s="19"/>
      <c r="M220" s="19"/>
      <c r="N220" s="19"/>
      <c r="O220" s="31" t="str">
        <f>IF(COUNTIF(L220:N220,"?*")=$P$6,"✅ CUBIERTO",IF(COUNTIF(L220:N220,"?*")&gt;$P$6,"⚠ EXCESO",
IF(COUNTIF(L220:N220,"?*")&gt;0,"⚠ FALTANTE", "❌ SIN COMPLETAR")))</f>
        <v>❌ SIN COMPLETAR</v>
      </c>
      <c r="Q220" s="27">
        <v>46008</v>
      </c>
      <c r="R220" s="28" t="str">
        <f t="shared" si="59"/>
        <v>mié</v>
      </c>
      <c r="S220" s="29">
        <v>0.625</v>
      </c>
      <c r="T220" s="19"/>
      <c r="U220" s="19"/>
      <c r="V220" s="19"/>
      <c r="W220" s="30" t="str">
        <f>IF(COUNTIF(T220:V220,"?*")=$P$7,"✅ CUBIERTO",IF(COUNTIF(T220:V220,"?*")&gt;$P$7,"⚠ EXCESO",
IF(COUNTIF(T220:V220,"?*")&gt;0,"⚠ FALTANTE", "❌ SIN COMPLETAR")))</f>
        <v>❌ SIN COMPLETAR</v>
      </c>
    </row>
    <row r="221" spans="1:23" x14ac:dyDescent="0.35">
      <c r="A221" s="27">
        <v>46008</v>
      </c>
      <c r="B221" s="28" t="str">
        <f t="shared" si="57"/>
        <v>mié</v>
      </c>
      <c r="C221" s="29">
        <v>0.66666666666666696</v>
      </c>
      <c r="D221" s="19" t="s">
        <v>30</v>
      </c>
      <c r="E221" s="19"/>
      <c r="F221" s="19"/>
      <c r="G221" s="30" t="str">
        <f>IF(COUNTIF(D221:F221,"?*")=$P$5,"✅ CUBIERTO",
IF(COUNTIF(D221:F221,"?*")&gt;$P$5,"⚠ EXCESO",IF(COUNTIF(D221:F221,"?*")&gt;0,"⚠ FALTANTE",
"❌ SIN COMPLETAR")))</f>
        <v>⚠ FALTANTE</v>
      </c>
      <c r="I221" s="27">
        <v>46008</v>
      </c>
      <c r="J221" s="28" t="str">
        <f t="shared" si="58"/>
        <v>mié</v>
      </c>
      <c r="K221" s="29">
        <v>0.66666666666666696</v>
      </c>
      <c r="L221" s="19"/>
      <c r="M221" s="19"/>
      <c r="N221" s="19"/>
      <c r="O221" s="31" t="str">
        <f>IF(COUNTIF(L221:N221,"?*")=$P$6,"✅ CUBIERTO",IF(COUNTIF(L221:N221,"?*")&gt;$P$6,"⚠ EXCESO",
IF(COUNTIF(L221:N221,"?*")&gt;0,"⚠ FALTANTE", "❌ SIN COMPLETAR")))</f>
        <v>❌ SIN COMPLETAR</v>
      </c>
      <c r="Q221" s="27">
        <v>46008</v>
      </c>
      <c r="R221" s="28" t="str">
        <f t="shared" si="59"/>
        <v>mié</v>
      </c>
      <c r="S221" s="29">
        <v>0.66666666666666696</v>
      </c>
      <c r="T221" s="19"/>
      <c r="U221" s="19"/>
      <c r="V221" s="19"/>
      <c r="W221" s="30" t="str">
        <f>IF(COUNTIF(T221:V221,"?*")=$P$7,"✅ CUBIERTO",IF(COUNTIF(T221:V221,"?*")&gt;$P$7,"⚠ EXCESO",
IF(COUNTIF(T221:V221,"?*")&gt;0,"⚠ FALTANTE", "❌ SIN COMPLETAR")))</f>
        <v>❌ SIN COMPLETAR</v>
      </c>
    </row>
    <row r="222" spans="1:23" x14ac:dyDescent="0.35">
      <c r="A222" s="27">
        <v>46008</v>
      </c>
      <c r="B222" s="28" t="str">
        <f t="shared" si="57"/>
        <v>mié</v>
      </c>
      <c r="C222" s="29">
        <v>0.70833333333333304</v>
      </c>
      <c r="D222" s="19" t="s">
        <v>30</v>
      </c>
      <c r="E222" s="19"/>
      <c r="F222" s="19"/>
      <c r="G222" s="30" t="str">
        <f>IF(COUNTIF(D222:F222,"?*")=$P$5,"✅ CUBIERTO",
IF(COUNTIF(D222:F222,"?*")&gt;$P$5,"⚠ EXCESO",IF(COUNTIF(D222:F222,"?*")&gt;0,"⚠ FALTANTE",
"❌ SIN COMPLETAR")))</f>
        <v>⚠ FALTANTE</v>
      </c>
      <c r="I222" s="27">
        <v>46008</v>
      </c>
      <c r="J222" s="28" t="str">
        <f t="shared" si="58"/>
        <v>mié</v>
      </c>
      <c r="K222" s="29">
        <v>0.70833333333333304</v>
      </c>
      <c r="L222" s="19"/>
      <c r="M222" s="19"/>
      <c r="N222" s="19"/>
      <c r="O222" s="31" t="str">
        <f>IF(COUNTIF(L222:N222,"?*")=$P$6,"✅ CUBIERTO",IF(COUNTIF(L222:N222,"?*")&gt;$P$6,"⚠ EXCESO",
IF(COUNTIF(L222:N222,"?*")&gt;0,"⚠ FALTANTE", "❌ SIN COMPLETAR")))</f>
        <v>❌ SIN COMPLETAR</v>
      </c>
      <c r="Q222" s="27">
        <v>46008</v>
      </c>
      <c r="R222" s="28" t="str">
        <f t="shared" si="59"/>
        <v>mié</v>
      </c>
      <c r="S222" s="29">
        <v>0.70833333333333304</v>
      </c>
      <c r="T222" s="19"/>
      <c r="U222" s="19"/>
      <c r="V222" s="19"/>
      <c r="W222" s="30" t="str">
        <f>IF(COUNTIF(T222:V222,"?*")=$P$7,"✅ CUBIERTO",IF(COUNTIF(T222:V222,"?*")&gt;$P$7,"⚠ EXCESO",
IF(COUNTIF(T222:V222,"?*")&gt;0,"⚠ FALTANTE", "❌ SIN COMPLETAR")))</f>
        <v>❌ SIN COMPLETAR</v>
      </c>
    </row>
    <row r="223" spans="1:23" x14ac:dyDescent="0.35">
      <c r="A223" s="27">
        <v>46008</v>
      </c>
      <c r="B223" s="28" t="str">
        <f t="shared" si="57"/>
        <v>mié</v>
      </c>
      <c r="C223" s="29">
        <v>0.75</v>
      </c>
      <c r="D223" s="19" t="s">
        <v>30</v>
      </c>
      <c r="E223" s="19"/>
      <c r="F223" s="19"/>
      <c r="G223" s="30" t="str">
        <f>IF(COUNTIF(D223:F223,"?*")=$P$5,"✅ CUBIERTO",
IF(COUNTIF(D223:F223,"?*")&gt;$P$5,"⚠ EXCESO",IF(COUNTIF(D223:F223,"?*")&gt;0,"⚠ FALTANTE",
"❌ SIN COMPLETAR")))</f>
        <v>⚠ FALTANTE</v>
      </c>
      <c r="I223" s="27">
        <v>46008</v>
      </c>
      <c r="J223" s="28" t="str">
        <f t="shared" si="58"/>
        <v>mié</v>
      </c>
      <c r="K223" s="29">
        <v>0.75</v>
      </c>
      <c r="L223" s="25"/>
      <c r="M223" s="25"/>
      <c r="N223" s="25"/>
      <c r="O223" s="31" t="s">
        <v>32</v>
      </c>
      <c r="Q223" s="27">
        <v>46008</v>
      </c>
      <c r="R223" s="28" t="str">
        <f t="shared" si="59"/>
        <v>mié</v>
      </c>
      <c r="S223" s="29">
        <v>0.75</v>
      </c>
      <c r="T223" s="19"/>
      <c r="U223" s="19"/>
      <c r="V223" s="19"/>
      <c r="W223" s="30" t="str">
        <f>IF(COUNTIF(T223:V223,"?*")=$P$7,"✅ CUBIERTO",IF(COUNTIF(T223:V223,"?*")&gt;$P$7,"⚠ EXCESO",
IF(COUNTIF(T223:V223,"?*")&gt;0,"⚠ FALTANTE", "❌ SIN COMPLETAR")))</f>
        <v>❌ SIN COMPLETAR</v>
      </c>
    </row>
    <row r="224" spans="1:23" x14ac:dyDescent="0.35">
      <c r="A224" s="27">
        <v>46008</v>
      </c>
      <c r="B224" s="28" t="str">
        <f t="shared" si="57"/>
        <v>mié</v>
      </c>
      <c r="C224" s="29">
        <v>0.79166666666666696</v>
      </c>
      <c r="D224" s="19" t="s">
        <v>30</v>
      </c>
      <c r="E224" s="19"/>
      <c r="F224" s="19"/>
      <c r="G224" s="30" t="str">
        <f>IF(COUNTIF(D224:F224,"?*")=$P$5,"✅ CUBIERTO",
IF(COUNTIF(D224:F224,"?*")&gt;$P$5,"⚠ EXCESO",IF(COUNTIF(D224:F224,"?*")&gt;0,"⚠ FALTANTE",
"❌ SIN COMPLETAR")))</f>
        <v>⚠ FALTANTE</v>
      </c>
      <c r="I224" s="27">
        <v>46008</v>
      </c>
      <c r="J224" s="28" t="str">
        <f t="shared" si="58"/>
        <v>mié</v>
      </c>
      <c r="K224" s="29">
        <v>0.79166666666666696</v>
      </c>
      <c r="L224" s="25"/>
      <c r="M224" s="25"/>
      <c r="N224" s="25"/>
      <c r="O224" s="31" t="s">
        <v>32</v>
      </c>
      <c r="Q224" s="27">
        <v>46008</v>
      </c>
      <c r="R224" s="28" t="str">
        <f t="shared" si="59"/>
        <v>mié</v>
      </c>
      <c r="S224" s="29">
        <v>0.79166666666666696</v>
      </c>
      <c r="T224" s="19"/>
      <c r="U224" s="19"/>
      <c r="V224" s="19"/>
      <c r="W224" s="30" t="str">
        <f>IF(COUNTIF(T224:V224,"?*")=$P$7,"✅ CUBIERTO",IF(COUNTIF(T224:V224,"?*")&gt;$P$7,"⚠ EXCESO",
IF(COUNTIF(T224:V224,"?*")&gt;0,"⚠ FALTANTE", "❌ SIN COMPLETAR")))</f>
        <v>❌ SIN COMPLETAR</v>
      </c>
    </row>
    <row r="225" spans="1:23" x14ac:dyDescent="0.35">
      <c r="A225" s="27">
        <v>46008</v>
      </c>
      <c r="B225" s="28" t="str">
        <f t="shared" si="57"/>
        <v>mié</v>
      </c>
      <c r="C225" s="29">
        <v>0.83333333333333337</v>
      </c>
      <c r="D225" s="25"/>
      <c r="E225" s="25"/>
      <c r="F225" s="25"/>
      <c r="G225" s="30" t="s">
        <v>32</v>
      </c>
      <c r="I225" s="27">
        <v>46008</v>
      </c>
      <c r="J225" s="28" t="str">
        <f t="shared" si="58"/>
        <v>mié</v>
      </c>
      <c r="K225" s="29">
        <v>0.83333333333333337</v>
      </c>
      <c r="L225" s="25"/>
      <c r="M225" s="25"/>
      <c r="N225" s="25"/>
      <c r="O225" s="31" t="s">
        <v>32</v>
      </c>
      <c r="Q225" s="27">
        <v>46008</v>
      </c>
      <c r="R225" s="28" t="str">
        <f t="shared" si="59"/>
        <v>mié</v>
      </c>
      <c r="S225" s="29">
        <v>0.83333333333333337</v>
      </c>
      <c r="T225" s="19"/>
      <c r="U225" s="19"/>
      <c r="V225" s="19"/>
      <c r="W225" s="30" t="str">
        <f>IF(COUNTIF(T225:V225,"?*")=$P$7,"✅ CUBIERTO",IF(COUNTIF(T225:V225,"?*")&gt;$P$7,"⚠ EXCESO",
IF(COUNTIF(T225:V225,"?*")&gt;0,"⚠ FALTANTE", "❌ SIN COMPLETAR")))</f>
        <v>❌ SIN COMPLETAR</v>
      </c>
    </row>
    <row r="226" spans="1:23" x14ac:dyDescent="0.35">
      <c r="A226" s="27">
        <v>46009</v>
      </c>
      <c r="B226" s="28" t="str">
        <f>TEXT(A226,"ddd")</f>
        <v>jue</v>
      </c>
      <c r="C226" s="29">
        <v>0.375</v>
      </c>
      <c r="D226" s="25"/>
      <c r="E226" s="25"/>
      <c r="F226" s="25"/>
      <c r="G226" s="30" t="s">
        <v>32</v>
      </c>
      <c r="I226" s="27">
        <v>46009</v>
      </c>
      <c r="J226" s="28" t="str">
        <f>TEXT(I226,"ddd")</f>
        <v>jue</v>
      </c>
      <c r="K226" s="29">
        <v>0.375</v>
      </c>
      <c r="L226" s="19"/>
      <c r="M226" s="19"/>
      <c r="N226" s="19"/>
      <c r="O226" s="31" t="str">
        <f>IF(COUNTIF(L226:N226,"?*")=$P$6,"✅ CUBIERTO",IF(COUNTIF(L226:N226,"?*")&gt;$P$6,"⚠ EXCESO",
IF(COUNTIF(L226:N226,"?*")&gt;0,"⚠ FALTANTE", "❌ SIN COMPLETAR")))</f>
        <v>❌ SIN COMPLETAR</v>
      </c>
      <c r="Q226" s="27">
        <v>46009</v>
      </c>
      <c r="R226" s="28" t="str">
        <f>TEXT(Q226,"ddd")</f>
        <v>jue</v>
      </c>
      <c r="S226" s="29">
        <v>0.375</v>
      </c>
      <c r="T226" s="25"/>
      <c r="U226" s="25"/>
      <c r="V226" s="25"/>
      <c r="W226" s="30" t="s">
        <v>32</v>
      </c>
    </row>
    <row r="227" spans="1:23" x14ac:dyDescent="0.35">
      <c r="A227" s="27">
        <v>46009</v>
      </c>
      <c r="B227" s="28" t="str">
        <f>TEXT(A227,"ddd")</f>
        <v>jue</v>
      </c>
      <c r="C227" s="29">
        <v>0.41666666666666669</v>
      </c>
      <c r="D227" s="25"/>
      <c r="E227" s="25"/>
      <c r="F227" s="25"/>
      <c r="G227" s="30" t="s">
        <v>32</v>
      </c>
      <c r="I227" s="27">
        <v>46009</v>
      </c>
      <c r="J227" s="28" t="str">
        <f>TEXT(I227,"ddd")</f>
        <v>jue</v>
      </c>
      <c r="K227" s="29">
        <v>0.41666666666666669</v>
      </c>
      <c r="L227" s="19"/>
      <c r="M227" s="19"/>
      <c r="N227" s="19"/>
      <c r="O227" s="31" t="str">
        <f>IF(COUNTIF(L227:N227,"?*")=$P$6,"✅ CUBIERTO",IF(COUNTIF(L227:N227,"?*")&gt;$P$6,"⚠ EXCESO",
IF(COUNTIF(L227:N227,"?*")&gt;0,"⚠ FALTANTE", "❌ SIN COMPLETAR")))</f>
        <v>❌ SIN COMPLETAR</v>
      </c>
      <c r="Q227" s="27">
        <v>46009</v>
      </c>
      <c r="R227" s="28" t="str">
        <f>TEXT(Q227,"ddd")</f>
        <v>jue</v>
      </c>
      <c r="S227" s="29">
        <v>0.41666666666666669</v>
      </c>
      <c r="T227" s="19"/>
      <c r="U227" s="19"/>
      <c r="V227" s="19"/>
      <c r="W227" s="30" t="str">
        <f>IF(COUNTIF(T227:V227,"?*")=$P$7,"✅ CUBIERTO",IF(COUNTIF(T227:V227,"?*")&gt;$P$7,"⚠ EXCESO",
IF(COUNTIF(T227:V227,"?*")&gt;0,"⚠ FALTANTE", "❌ SIN COMPLETAR")))</f>
        <v>❌ SIN COMPLETAR</v>
      </c>
    </row>
    <row r="228" spans="1:23" x14ac:dyDescent="0.35">
      <c r="A228" s="27">
        <v>46009</v>
      </c>
      <c r="B228" s="28" t="str">
        <f>TEXT(A228,"ddd")</f>
        <v>jue</v>
      </c>
      <c r="C228" s="29">
        <v>0.45833333333333331</v>
      </c>
      <c r="D228" s="19" t="s">
        <v>3</v>
      </c>
      <c r="E228" s="19" t="s">
        <v>4</v>
      </c>
      <c r="F228" s="19"/>
      <c r="G228" s="30" t="str">
        <f>IF(COUNTIF(D228:F228,"?*")=$P$5,"✅ CUBIERTO",
IF(COUNTIF(D228:F228,"?*")&gt;$P$5,"⚠ EXCESO",IF(COUNTIF(D228:F228,"?*")&gt;0,"⚠ FALTANTE",
"❌ SIN COMPLETAR")))</f>
        <v>✅ CUBIERTO</v>
      </c>
      <c r="I228" s="27">
        <v>46009</v>
      </c>
      <c r="J228" s="28" t="str">
        <f>TEXT(I228,"ddd")</f>
        <v>jue</v>
      </c>
      <c r="K228" s="29">
        <v>0.45833333333333331</v>
      </c>
      <c r="L228" s="19"/>
      <c r="M228" s="19"/>
      <c r="N228" s="19"/>
      <c r="O228" s="31" t="str">
        <f>IF(COUNTIF(L228:N228,"?*")=$P$6,"✅ CUBIERTO",IF(COUNTIF(L228:N228,"?*")&gt;$P$6,"⚠ EXCESO",
IF(COUNTIF(L228:N228,"?*")&gt;0,"⚠ FALTANTE", "❌ SIN COMPLETAR")))</f>
        <v>❌ SIN COMPLETAR</v>
      </c>
      <c r="Q228" s="27">
        <v>46009</v>
      </c>
      <c r="R228" s="28" t="str">
        <f>TEXT(Q228,"ddd")</f>
        <v>jue</v>
      </c>
      <c r="S228" s="29">
        <v>0.45833333333333331</v>
      </c>
      <c r="T228" s="19"/>
      <c r="U228" s="19"/>
      <c r="V228" s="19"/>
      <c r="W228" s="30" t="str">
        <f>IF(COUNTIF(T228:V228,"?*")=$P$7,"✅ CUBIERTO",IF(COUNTIF(T228:V228,"?*")&gt;$P$7,"⚠ EXCESO",
IF(COUNTIF(T228:V228,"?*")&gt;0,"⚠ FALTANTE", "❌ SIN COMPLETAR")))</f>
        <v>❌ SIN COMPLETAR</v>
      </c>
    </row>
    <row r="229" spans="1:23" x14ac:dyDescent="0.35">
      <c r="A229" s="27">
        <v>46009</v>
      </c>
      <c r="B229" s="28" t="str">
        <f t="shared" ref="B229:B237" si="60">TEXT(A229,"ddd")</f>
        <v>jue</v>
      </c>
      <c r="C229" s="29">
        <v>0.5</v>
      </c>
      <c r="D229" s="19" t="s">
        <v>3</v>
      </c>
      <c r="E229" s="19" t="s">
        <v>4</v>
      </c>
      <c r="F229" s="19"/>
      <c r="G229" s="30" t="str">
        <f>IF(COUNTIF(D229:F229,"?*")=$P$5,"✅ CUBIERTO",
IF(COUNTIF(D229:F229,"?*")&gt;$P$5,"⚠ EXCESO",IF(COUNTIF(D229:F229,"?*")&gt;0,"⚠ FALTANTE",
"❌ SIN COMPLETAR")))</f>
        <v>✅ CUBIERTO</v>
      </c>
      <c r="I229" s="27">
        <v>46009</v>
      </c>
      <c r="J229" s="28" t="str">
        <f t="shared" ref="J229:J237" si="61">TEXT(I229,"ddd")</f>
        <v>jue</v>
      </c>
      <c r="K229" s="29">
        <v>0.5</v>
      </c>
      <c r="L229" s="19"/>
      <c r="M229" s="19"/>
      <c r="N229" s="19"/>
      <c r="O229" s="31" t="str">
        <f>IF(COUNTIF(L229:N229,"?*")=$P$6,"✅ CUBIERTO",IF(COUNTIF(L229:N229,"?*")&gt;$P$6,"⚠ EXCESO",
IF(COUNTIF(L229:N229,"?*")&gt;0,"⚠ FALTANTE", "❌ SIN COMPLETAR")))</f>
        <v>❌ SIN COMPLETAR</v>
      </c>
      <c r="Q229" s="27">
        <v>46009</v>
      </c>
      <c r="R229" s="28" t="str">
        <f t="shared" ref="R229:R237" si="62">TEXT(Q229,"ddd")</f>
        <v>jue</v>
      </c>
      <c r="S229" s="29">
        <v>0.5</v>
      </c>
      <c r="T229" s="19"/>
      <c r="U229" s="19"/>
      <c r="V229" s="19"/>
      <c r="W229" s="30" t="str">
        <f>IF(COUNTIF(T229:V229,"?*")=$P$7,"✅ CUBIERTO",IF(COUNTIF(T229:V229,"?*")&gt;$P$7,"⚠ EXCESO",
IF(COUNTIF(T229:V229,"?*")&gt;0,"⚠ FALTANTE", "❌ SIN COMPLETAR")))</f>
        <v>❌ SIN COMPLETAR</v>
      </c>
    </row>
    <row r="230" spans="1:23" x14ac:dyDescent="0.35">
      <c r="A230" s="27">
        <v>46009</v>
      </c>
      <c r="B230" s="28" t="str">
        <f t="shared" si="60"/>
        <v>jue</v>
      </c>
      <c r="C230" s="29">
        <v>0.54166666666666696</v>
      </c>
      <c r="D230" s="19" t="s">
        <v>3</v>
      </c>
      <c r="E230" s="19" t="s">
        <v>4</v>
      </c>
      <c r="F230" s="19"/>
      <c r="G230" s="30" t="str">
        <f>IF(COUNTIF(D230:F230,"?*")=$P$5,"✅ CUBIERTO",
IF(COUNTIF(D230:F230,"?*")&gt;$P$5,"⚠ EXCESO",IF(COUNTIF(D230:F230,"?*")&gt;0,"⚠ FALTANTE",
"❌ SIN COMPLETAR")))</f>
        <v>✅ CUBIERTO</v>
      </c>
      <c r="I230" s="27">
        <v>46009</v>
      </c>
      <c r="J230" s="28" t="str">
        <f t="shared" si="61"/>
        <v>jue</v>
      </c>
      <c r="K230" s="29">
        <v>0.54166666666666696</v>
      </c>
      <c r="L230" s="19"/>
      <c r="M230" s="19"/>
      <c r="N230" s="19"/>
      <c r="O230" s="31" t="str">
        <f>IF(COUNTIF(L230:N230,"?*")=$P$6,"✅ CUBIERTO",IF(COUNTIF(L230:N230,"?*")&gt;$P$6,"⚠ EXCESO",
IF(COUNTIF(L230:N230,"?*")&gt;0,"⚠ FALTANTE", "❌ SIN COMPLETAR")))</f>
        <v>❌ SIN COMPLETAR</v>
      </c>
      <c r="Q230" s="27">
        <v>46009</v>
      </c>
      <c r="R230" s="28" t="str">
        <f t="shared" si="62"/>
        <v>jue</v>
      </c>
      <c r="S230" s="29">
        <v>0.54166666666666696</v>
      </c>
      <c r="T230" s="19"/>
      <c r="U230" s="19"/>
      <c r="V230" s="19"/>
      <c r="W230" s="30" t="str">
        <f>IF(COUNTIF(T230:V230,"?*")=$P$7,"✅ CUBIERTO",IF(COUNTIF(T230:V230,"?*")&gt;$P$7,"⚠ EXCESO",
IF(COUNTIF(T230:V230,"?*")&gt;0,"⚠ FALTANTE", "❌ SIN COMPLETAR")))</f>
        <v>❌ SIN COMPLETAR</v>
      </c>
    </row>
    <row r="231" spans="1:23" x14ac:dyDescent="0.35">
      <c r="A231" s="27">
        <v>46009</v>
      </c>
      <c r="B231" s="28" t="str">
        <f t="shared" si="60"/>
        <v>jue</v>
      </c>
      <c r="C231" s="29">
        <v>0.58333333333333304</v>
      </c>
      <c r="D231" s="19" t="s">
        <v>3</v>
      </c>
      <c r="E231" s="19" t="s">
        <v>4</v>
      </c>
      <c r="F231" s="19"/>
      <c r="G231" s="30" t="str">
        <f>IF(COUNTIF(D231:F231,"?*")=$P$5,"✅ CUBIERTO",
IF(COUNTIF(D231:F231,"?*")&gt;$P$5,"⚠ EXCESO",IF(COUNTIF(D231:F231,"?*")&gt;0,"⚠ FALTANTE",
"❌ SIN COMPLETAR")))</f>
        <v>✅ CUBIERTO</v>
      </c>
      <c r="I231" s="27">
        <v>46009</v>
      </c>
      <c r="J231" s="28" t="str">
        <f t="shared" si="61"/>
        <v>jue</v>
      </c>
      <c r="K231" s="29">
        <v>0.58333333333333304</v>
      </c>
      <c r="L231" s="19"/>
      <c r="M231" s="19"/>
      <c r="N231" s="19"/>
      <c r="O231" s="31" t="str">
        <f>IF(COUNTIF(L231:N231,"?*")=$P$6,"✅ CUBIERTO",IF(COUNTIF(L231:N231,"?*")&gt;$P$6,"⚠ EXCESO",
IF(COUNTIF(L231:N231,"?*")&gt;0,"⚠ FALTANTE", "❌ SIN COMPLETAR")))</f>
        <v>❌ SIN COMPLETAR</v>
      </c>
      <c r="Q231" s="27">
        <v>46009</v>
      </c>
      <c r="R231" s="28" t="str">
        <f t="shared" si="62"/>
        <v>jue</v>
      </c>
      <c r="S231" s="29">
        <v>0.58333333333333304</v>
      </c>
      <c r="T231" s="19"/>
      <c r="U231" s="19"/>
      <c r="V231" s="19"/>
      <c r="W231" s="30" t="str">
        <f>IF(COUNTIF(T231:V231,"?*")=$P$7,"✅ CUBIERTO",IF(COUNTIF(T231:V231,"?*")&gt;$P$7,"⚠ EXCESO",
IF(COUNTIF(T231:V231,"?*")&gt;0,"⚠ FALTANTE", "❌ SIN COMPLETAR")))</f>
        <v>❌ SIN COMPLETAR</v>
      </c>
    </row>
    <row r="232" spans="1:23" x14ac:dyDescent="0.35">
      <c r="A232" s="27">
        <v>46009</v>
      </c>
      <c r="B232" s="28" t="str">
        <f t="shared" si="60"/>
        <v>jue</v>
      </c>
      <c r="C232" s="29">
        <v>0.625</v>
      </c>
      <c r="D232" s="19" t="s">
        <v>3</v>
      </c>
      <c r="E232" s="19" t="s">
        <v>4</v>
      </c>
      <c r="F232" s="19"/>
      <c r="G232" s="30" t="str">
        <f>IF(COUNTIF(D232:F232,"?*")=$P$5,"✅ CUBIERTO",
IF(COUNTIF(D232:F232,"?*")&gt;$P$5,"⚠ EXCESO",IF(COUNTIF(D232:F232,"?*")&gt;0,"⚠ FALTANTE",
"❌ SIN COMPLETAR")))</f>
        <v>✅ CUBIERTO</v>
      </c>
      <c r="I232" s="27">
        <v>46009</v>
      </c>
      <c r="J232" s="28" t="str">
        <f t="shared" si="61"/>
        <v>jue</v>
      </c>
      <c r="K232" s="29">
        <v>0.625</v>
      </c>
      <c r="L232" s="19"/>
      <c r="M232" s="19"/>
      <c r="N232" s="19"/>
      <c r="O232" s="31" t="str">
        <f>IF(COUNTIF(L232:N232,"?*")=$P$6,"✅ CUBIERTO",IF(COUNTIF(L232:N232,"?*")&gt;$P$6,"⚠ EXCESO",
IF(COUNTIF(L232:N232,"?*")&gt;0,"⚠ FALTANTE", "❌ SIN COMPLETAR")))</f>
        <v>❌ SIN COMPLETAR</v>
      </c>
      <c r="Q232" s="27">
        <v>46009</v>
      </c>
      <c r="R232" s="28" t="str">
        <f t="shared" si="62"/>
        <v>jue</v>
      </c>
      <c r="S232" s="29">
        <v>0.625</v>
      </c>
      <c r="T232" s="19"/>
      <c r="U232" s="19"/>
      <c r="V232" s="19"/>
      <c r="W232" s="30" t="str">
        <f>IF(COUNTIF(T232:V232,"?*")=$P$7,"✅ CUBIERTO",IF(COUNTIF(T232:V232,"?*")&gt;$P$7,"⚠ EXCESO",
IF(COUNTIF(T232:V232,"?*")&gt;0,"⚠ FALTANTE", "❌ SIN COMPLETAR")))</f>
        <v>❌ SIN COMPLETAR</v>
      </c>
    </row>
    <row r="233" spans="1:23" x14ac:dyDescent="0.35">
      <c r="A233" s="27">
        <v>46009</v>
      </c>
      <c r="B233" s="28" t="str">
        <f t="shared" si="60"/>
        <v>jue</v>
      </c>
      <c r="C233" s="29">
        <v>0.66666666666666696</v>
      </c>
      <c r="D233" s="19" t="s">
        <v>30</v>
      </c>
      <c r="E233" s="19"/>
      <c r="F233" s="19"/>
      <c r="G233" s="30" t="str">
        <f>IF(COUNTIF(D233:F233,"?*")=$P$5,"✅ CUBIERTO",
IF(COUNTIF(D233:F233,"?*")&gt;$P$5,"⚠ EXCESO",IF(COUNTIF(D233:F233,"?*")&gt;0,"⚠ FALTANTE",
"❌ SIN COMPLETAR")))</f>
        <v>⚠ FALTANTE</v>
      </c>
      <c r="I233" s="27">
        <v>46009</v>
      </c>
      <c r="J233" s="28" t="str">
        <f t="shared" si="61"/>
        <v>jue</v>
      </c>
      <c r="K233" s="29">
        <v>0.66666666666666696</v>
      </c>
      <c r="L233" s="19"/>
      <c r="M233" s="19"/>
      <c r="N233" s="19"/>
      <c r="O233" s="31" t="str">
        <f>IF(COUNTIF(L233:N233,"?*")=$P$6,"✅ CUBIERTO",IF(COUNTIF(L233:N233,"?*")&gt;$P$6,"⚠ EXCESO",
IF(COUNTIF(L233:N233,"?*")&gt;0,"⚠ FALTANTE", "❌ SIN COMPLETAR")))</f>
        <v>❌ SIN COMPLETAR</v>
      </c>
      <c r="Q233" s="27">
        <v>46009</v>
      </c>
      <c r="R233" s="28" t="str">
        <f t="shared" si="62"/>
        <v>jue</v>
      </c>
      <c r="S233" s="29">
        <v>0.66666666666666696</v>
      </c>
      <c r="T233" s="19"/>
      <c r="U233" s="19"/>
      <c r="V233" s="19"/>
      <c r="W233" s="30" t="str">
        <f>IF(COUNTIF(T233:V233,"?*")=$P$7,"✅ CUBIERTO",IF(COUNTIF(T233:V233,"?*")&gt;$P$7,"⚠ EXCESO",
IF(COUNTIF(T233:V233,"?*")&gt;0,"⚠ FALTANTE", "❌ SIN COMPLETAR")))</f>
        <v>❌ SIN COMPLETAR</v>
      </c>
    </row>
    <row r="234" spans="1:23" x14ac:dyDescent="0.35">
      <c r="A234" s="27">
        <v>46009</v>
      </c>
      <c r="B234" s="28" t="str">
        <f t="shared" si="60"/>
        <v>jue</v>
      </c>
      <c r="C234" s="29">
        <v>0.70833333333333304</v>
      </c>
      <c r="D234" s="19" t="s">
        <v>30</v>
      </c>
      <c r="E234" s="19"/>
      <c r="F234" s="19"/>
      <c r="G234" s="30" t="str">
        <f>IF(COUNTIF(D234:F234,"?*")=$P$5,"✅ CUBIERTO",
IF(COUNTIF(D234:F234,"?*")&gt;$P$5,"⚠ EXCESO",IF(COUNTIF(D234:F234,"?*")&gt;0,"⚠ FALTANTE",
"❌ SIN COMPLETAR")))</f>
        <v>⚠ FALTANTE</v>
      </c>
      <c r="I234" s="27">
        <v>46009</v>
      </c>
      <c r="J234" s="28" t="str">
        <f t="shared" si="61"/>
        <v>jue</v>
      </c>
      <c r="K234" s="29">
        <v>0.70833333333333304</v>
      </c>
      <c r="L234" s="19"/>
      <c r="M234" s="19"/>
      <c r="N234" s="19"/>
      <c r="O234" s="31" t="str">
        <f>IF(COUNTIF(L234:N234,"?*")=$P$6,"✅ CUBIERTO",IF(COUNTIF(L234:N234,"?*")&gt;$P$6,"⚠ EXCESO",
IF(COUNTIF(L234:N234,"?*")&gt;0,"⚠ FALTANTE", "❌ SIN COMPLETAR")))</f>
        <v>❌ SIN COMPLETAR</v>
      </c>
      <c r="Q234" s="27">
        <v>46009</v>
      </c>
      <c r="R234" s="28" t="str">
        <f t="shared" si="62"/>
        <v>jue</v>
      </c>
      <c r="S234" s="29">
        <v>0.70833333333333304</v>
      </c>
      <c r="T234" s="19"/>
      <c r="U234" s="19"/>
      <c r="V234" s="19"/>
      <c r="W234" s="30" t="str">
        <f>IF(COUNTIF(T234:V234,"?*")=$P$7,"✅ CUBIERTO",IF(COUNTIF(T234:V234,"?*")&gt;$P$7,"⚠ EXCESO",
IF(COUNTIF(T234:V234,"?*")&gt;0,"⚠ FALTANTE", "❌ SIN COMPLETAR")))</f>
        <v>❌ SIN COMPLETAR</v>
      </c>
    </row>
    <row r="235" spans="1:23" x14ac:dyDescent="0.35">
      <c r="A235" s="27">
        <v>46009</v>
      </c>
      <c r="B235" s="28" t="str">
        <f t="shared" si="60"/>
        <v>jue</v>
      </c>
      <c r="C235" s="29">
        <v>0.75</v>
      </c>
      <c r="D235" s="19" t="s">
        <v>30</v>
      </c>
      <c r="E235" s="19"/>
      <c r="F235" s="19"/>
      <c r="G235" s="30" t="str">
        <f>IF(COUNTIF(D235:F235,"?*")=$P$5,"✅ CUBIERTO",
IF(COUNTIF(D235:F235,"?*")&gt;$P$5,"⚠ EXCESO",IF(COUNTIF(D235:F235,"?*")&gt;0,"⚠ FALTANTE",
"❌ SIN COMPLETAR")))</f>
        <v>⚠ FALTANTE</v>
      </c>
      <c r="I235" s="27">
        <v>46009</v>
      </c>
      <c r="J235" s="28" t="str">
        <f t="shared" si="61"/>
        <v>jue</v>
      </c>
      <c r="K235" s="29">
        <v>0.75</v>
      </c>
      <c r="L235" s="25"/>
      <c r="M235" s="25"/>
      <c r="N235" s="25"/>
      <c r="O235" s="31" t="s">
        <v>32</v>
      </c>
      <c r="Q235" s="27">
        <v>46009</v>
      </c>
      <c r="R235" s="28" t="str">
        <f t="shared" si="62"/>
        <v>jue</v>
      </c>
      <c r="S235" s="29">
        <v>0.75</v>
      </c>
      <c r="T235" s="19"/>
      <c r="U235" s="19"/>
      <c r="V235" s="19"/>
      <c r="W235" s="30" t="str">
        <f>IF(COUNTIF(T235:V235,"?*")=$P$7,"✅ CUBIERTO",IF(COUNTIF(T235:V235,"?*")&gt;$P$7,"⚠ EXCESO",
IF(COUNTIF(T235:V235,"?*")&gt;0,"⚠ FALTANTE", "❌ SIN COMPLETAR")))</f>
        <v>❌ SIN COMPLETAR</v>
      </c>
    </row>
    <row r="236" spans="1:23" x14ac:dyDescent="0.35">
      <c r="A236" s="27">
        <v>46009</v>
      </c>
      <c r="B236" s="28" t="str">
        <f t="shared" si="60"/>
        <v>jue</v>
      </c>
      <c r="C236" s="29">
        <v>0.79166666666666696</v>
      </c>
      <c r="D236" s="19" t="s">
        <v>30</v>
      </c>
      <c r="E236" s="19"/>
      <c r="F236" s="19"/>
      <c r="G236" s="30" t="str">
        <f>IF(COUNTIF(D236:F236,"?*")=$P$5,"✅ CUBIERTO",
IF(COUNTIF(D236:F236,"?*")&gt;$P$5,"⚠ EXCESO",IF(COUNTIF(D236:F236,"?*")&gt;0,"⚠ FALTANTE",
"❌ SIN COMPLETAR")))</f>
        <v>⚠ FALTANTE</v>
      </c>
      <c r="I236" s="27">
        <v>46009</v>
      </c>
      <c r="J236" s="28" t="str">
        <f t="shared" si="61"/>
        <v>jue</v>
      </c>
      <c r="K236" s="29">
        <v>0.79166666666666696</v>
      </c>
      <c r="L236" s="25"/>
      <c r="M236" s="25"/>
      <c r="N236" s="25"/>
      <c r="O236" s="31" t="s">
        <v>32</v>
      </c>
      <c r="Q236" s="27">
        <v>46009</v>
      </c>
      <c r="R236" s="28" t="str">
        <f t="shared" si="62"/>
        <v>jue</v>
      </c>
      <c r="S236" s="29">
        <v>0.79166666666666696</v>
      </c>
      <c r="T236" s="19"/>
      <c r="U236" s="19"/>
      <c r="V236" s="19"/>
      <c r="W236" s="30" t="str">
        <f>IF(COUNTIF(T236:V236,"?*")=$P$7,"✅ CUBIERTO",IF(COUNTIF(T236:V236,"?*")&gt;$P$7,"⚠ EXCESO",
IF(COUNTIF(T236:V236,"?*")&gt;0,"⚠ FALTANTE", "❌ SIN COMPLETAR")))</f>
        <v>❌ SIN COMPLETAR</v>
      </c>
    </row>
    <row r="237" spans="1:23" x14ac:dyDescent="0.35">
      <c r="A237" s="27">
        <v>46009</v>
      </c>
      <c r="B237" s="28" t="str">
        <f t="shared" si="60"/>
        <v>jue</v>
      </c>
      <c r="C237" s="29">
        <v>0.83333333333333337</v>
      </c>
      <c r="D237" s="25"/>
      <c r="E237" s="25"/>
      <c r="F237" s="25"/>
      <c r="G237" s="30" t="s">
        <v>32</v>
      </c>
      <c r="I237" s="27">
        <v>46009</v>
      </c>
      <c r="J237" s="28" t="str">
        <f t="shared" si="61"/>
        <v>jue</v>
      </c>
      <c r="K237" s="29">
        <v>0.83333333333333337</v>
      </c>
      <c r="L237" s="25"/>
      <c r="M237" s="25"/>
      <c r="N237" s="25"/>
      <c r="O237" s="31" t="s">
        <v>32</v>
      </c>
      <c r="Q237" s="27">
        <v>46009</v>
      </c>
      <c r="R237" s="28" t="str">
        <f t="shared" si="62"/>
        <v>jue</v>
      </c>
      <c r="S237" s="29">
        <v>0.83333333333333337</v>
      </c>
      <c r="T237" s="19"/>
      <c r="U237" s="19"/>
      <c r="V237" s="19"/>
      <c r="W237" s="30" t="str">
        <f>IF(COUNTIF(T237:V237,"?*")=$P$7,"✅ CUBIERTO",IF(COUNTIF(T237:V237,"?*")&gt;$P$7,"⚠ EXCESO",
IF(COUNTIF(T237:V237,"?*")&gt;0,"⚠ FALTANTE", "❌ SIN COMPLETAR")))</f>
        <v>❌ SIN COMPLETAR</v>
      </c>
    </row>
    <row r="238" spans="1:23" x14ac:dyDescent="0.35">
      <c r="A238" s="27">
        <v>46010</v>
      </c>
      <c r="B238" s="28" t="str">
        <f>TEXT(A238,"ddd")</f>
        <v>vie</v>
      </c>
      <c r="C238" s="29">
        <v>0.375</v>
      </c>
      <c r="D238" s="25"/>
      <c r="E238" s="25"/>
      <c r="F238" s="25"/>
      <c r="G238" s="30" t="s">
        <v>32</v>
      </c>
      <c r="I238" s="27">
        <v>46010</v>
      </c>
      <c r="J238" s="28" t="str">
        <f>TEXT(I238,"ddd")</f>
        <v>vie</v>
      </c>
      <c r="K238" s="29">
        <v>0.375</v>
      </c>
      <c r="L238" s="19"/>
      <c r="M238" s="19"/>
      <c r="N238" s="19"/>
      <c r="O238" s="31" t="str">
        <f>IF(COUNTIF(L238:N238,"?*")=$P$6,"✅ CUBIERTO",IF(COUNTIF(L238:N238,"?*")&gt;$P$6,"⚠ EXCESO",
IF(COUNTIF(L238:N238,"?*")&gt;0,"⚠ FALTANTE", "❌ SIN COMPLETAR")))</f>
        <v>❌ SIN COMPLETAR</v>
      </c>
      <c r="Q238" s="27">
        <v>46010</v>
      </c>
      <c r="R238" s="28" t="str">
        <f>TEXT(Q238,"ddd")</f>
        <v>vie</v>
      </c>
      <c r="S238" s="29">
        <v>0.375</v>
      </c>
      <c r="T238" s="25"/>
      <c r="U238" s="25"/>
      <c r="V238" s="25"/>
      <c r="W238" s="30" t="s">
        <v>32</v>
      </c>
    </row>
    <row r="239" spans="1:23" x14ac:dyDescent="0.35">
      <c r="A239" s="27">
        <v>46010</v>
      </c>
      <c r="B239" s="28" t="str">
        <f>TEXT(A239,"ddd")</f>
        <v>vie</v>
      </c>
      <c r="C239" s="29">
        <v>0.41666666666666669</v>
      </c>
      <c r="D239" s="25"/>
      <c r="E239" s="25"/>
      <c r="F239" s="25"/>
      <c r="G239" s="30" t="s">
        <v>32</v>
      </c>
      <c r="I239" s="27">
        <v>46010</v>
      </c>
      <c r="J239" s="28" t="str">
        <f>TEXT(I239,"ddd")</f>
        <v>vie</v>
      </c>
      <c r="K239" s="29">
        <v>0.41666666666666669</v>
      </c>
      <c r="L239" s="19"/>
      <c r="M239" s="19"/>
      <c r="N239" s="19"/>
      <c r="O239" s="31" t="str">
        <f>IF(COUNTIF(L239:N239,"?*")=$P$6,"✅ CUBIERTO",IF(COUNTIF(L239:N239,"?*")&gt;$P$6,"⚠ EXCESO",
IF(COUNTIF(L239:N239,"?*")&gt;0,"⚠ FALTANTE", "❌ SIN COMPLETAR")))</f>
        <v>❌ SIN COMPLETAR</v>
      </c>
      <c r="Q239" s="27">
        <v>46010</v>
      </c>
      <c r="R239" s="28" t="str">
        <f>TEXT(Q239,"ddd")</f>
        <v>vie</v>
      </c>
      <c r="S239" s="29">
        <v>0.41666666666666669</v>
      </c>
      <c r="T239" s="19"/>
      <c r="U239" s="19"/>
      <c r="V239" s="19"/>
      <c r="W239" s="30" t="str">
        <f>IF(COUNTIF(T239:V239,"?*")=$P$7,"✅ CUBIERTO",IF(COUNTIF(T239:V239,"?*")&gt;$P$7,"⚠ EXCESO",
IF(COUNTIF(T239:V239,"?*")&gt;0,"⚠ FALTANTE", "❌ SIN COMPLETAR")))</f>
        <v>❌ SIN COMPLETAR</v>
      </c>
    </row>
    <row r="240" spans="1:23" x14ac:dyDescent="0.35">
      <c r="A240" s="27">
        <v>46010</v>
      </c>
      <c r="B240" s="28" t="str">
        <f>TEXT(A240,"ddd")</f>
        <v>vie</v>
      </c>
      <c r="C240" s="29">
        <v>0.45833333333333331</v>
      </c>
      <c r="D240" s="19" t="s">
        <v>3</v>
      </c>
      <c r="E240" s="19" t="s">
        <v>4</v>
      </c>
      <c r="F240" s="19"/>
      <c r="G240" s="30" t="str">
        <f>IF(COUNTIF(D240:F240,"?*")=$P$5,"✅ CUBIERTO",
IF(COUNTIF(D240:F240,"?*")&gt;$P$5,"⚠ EXCESO",IF(COUNTIF(D240:F240,"?*")&gt;0,"⚠ FALTANTE",
"❌ SIN COMPLETAR")))</f>
        <v>✅ CUBIERTO</v>
      </c>
      <c r="I240" s="27">
        <v>46010</v>
      </c>
      <c r="J240" s="28" t="str">
        <f>TEXT(I240,"ddd")</f>
        <v>vie</v>
      </c>
      <c r="K240" s="29">
        <v>0.45833333333333331</v>
      </c>
      <c r="L240" s="19"/>
      <c r="M240" s="19"/>
      <c r="N240" s="19"/>
      <c r="O240" s="31" t="str">
        <f>IF(COUNTIF(L240:N240,"?*")=$P$6,"✅ CUBIERTO",IF(COUNTIF(L240:N240,"?*")&gt;$P$6,"⚠ EXCESO",
IF(COUNTIF(L240:N240,"?*")&gt;0,"⚠ FALTANTE", "❌ SIN COMPLETAR")))</f>
        <v>❌ SIN COMPLETAR</v>
      </c>
      <c r="Q240" s="27">
        <v>46010</v>
      </c>
      <c r="R240" s="28" t="str">
        <f>TEXT(Q240,"ddd")</f>
        <v>vie</v>
      </c>
      <c r="S240" s="29">
        <v>0.45833333333333331</v>
      </c>
      <c r="T240" s="19"/>
      <c r="U240" s="19"/>
      <c r="V240" s="19"/>
      <c r="W240" s="30" t="str">
        <f>IF(COUNTIF(T240:V240,"?*")=$P$7,"✅ CUBIERTO",IF(COUNTIF(T240:V240,"?*")&gt;$P$7,"⚠ EXCESO",
IF(COUNTIF(T240:V240,"?*")&gt;0,"⚠ FALTANTE", "❌ SIN COMPLETAR")))</f>
        <v>❌ SIN COMPLETAR</v>
      </c>
    </row>
    <row r="241" spans="1:23" x14ac:dyDescent="0.35">
      <c r="A241" s="27">
        <v>46010</v>
      </c>
      <c r="B241" s="28" t="str">
        <f t="shared" ref="B241:B249" si="63">TEXT(A241,"ddd")</f>
        <v>vie</v>
      </c>
      <c r="C241" s="29">
        <v>0.5</v>
      </c>
      <c r="D241" s="19" t="s">
        <v>3</v>
      </c>
      <c r="E241" s="19" t="s">
        <v>4</v>
      </c>
      <c r="F241" s="19"/>
      <c r="G241" s="30" t="str">
        <f>IF(COUNTIF(D241:F241,"?*")=$P$5,"✅ CUBIERTO",
IF(COUNTIF(D241:F241,"?*")&gt;$P$5,"⚠ EXCESO",IF(COUNTIF(D241:F241,"?*")&gt;0,"⚠ FALTANTE",
"❌ SIN COMPLETAR")))</f>
        <v>✅ CUBIERTO</v>
      </c>
      <c r="I241" s="27">
        <v>46010</v>
      </c>
      <c r="J241" s="28" t="str">
        <f t="shared" ref="J241:J249" si="64">TEXT(I241,"ddd")</f>
        <v>vie</v>
      </c>
      <c r="K241" s="29">
        <v>0.5</v>
      </c>
      <c r="L241" s="19"/>
      <c r="M241" s="19"/>
      <c r="N241" s="19"/>
      <c r="O241" s="31" t="str">
        <f>IF(COUNTIF(L241:N241,"?*")=$P$6,"✅ CUBIERTO",IF(COUNTIF(L241:N241,"?*")&gt;$P$6,"⚠ EXCESO",
IF(COUNTIF(L241:N241,"?*")&gt;0,"⚠ FALTANTE", "❌ SIN COMPLETAR")))</f>
        <v>❌ SIN COMPLETAR</v>
      </c>
      <c r="Q241" s="27">
        <v>46010</v>
      </c>
      <c r="R241" s="28" t="str">
        <f t="shared" ref="R241:R249" si="65">TEXT(Q241,"ddd")</f>
        <v>vie</v>
      </c>
      <c r="S241" s="29">
        <v>0.5</v>
      </c>
      <c r="T241" s="19"/>
      <c r="U241" s="19"/>
      <c r="V241" s="19"/>
      <c r="W241" s="30" t="str">
        <f>IF(COUNTIF(T241:V241,"?*")=$P$7,"✅ CUBIERTO",IF(COUNTIF(T241:V241,"?*")&gt;$P$7,"⚠ EXCESO",
IF(COUNTIF(T241:V241,"?*")&gt;0,"⚠ FALTANTE", "❌ SIN COMPLETAR")))</f>
        <v>❌ SIN COMPLETAR</v>
      </c>
    </row>
    <row r="242" spans="1:23" x14ac:dyDescent="0.35">
      <c r="A242" s="27">
        <v>46010</v>
      </c>
      <c r="B242" s="28" t="str">
        <f t="shared" si="63"/>
        <v>vie</v>
      </c>
      <c r="C242" s="29">
        <v>0.54166666666666696</v>
      </c>
      <c r="D242" s="19" t="s">
        <v>3</v>
      </c>
      <c r="E242" s="19" t="s">
        <v>4</v>
      </c>
      <c r="F242" s="19"/>
      <c r="G242" s="30" t="str">
        <f>IF(COUNTIF(D242:F242,"?*")=$P$5,"✅ CUBIERTO",
IF(COUNTIF(D242:F242,"?*")&gt;$P$5,"⚠ EXCESO",IF(COUNTIF(D242:F242,"?*")&gt;0,"⚠ FALTANTE",
"❌ SIN COMPLETAR")))</f>
        <v>✅ CUBIERTO</v>
      </c>
      <c r="I242" s="27">
        <v>46010</v>
      </c>
      <c r="J242" s="28" t="str">
        <f t="shared" si="64"/>
        <v>vie</v>
      </c>
      <c r="K242" s="29">
        <v>0.54166666666666696</v>
      </c>
      <c r="L242" s="19"/>
      <c r="M242" s="19"/>
      <c r="N242" s="19"/>
      <c r="O242" s="31" t="str">
        <f>IF(COUNTIF(L242:N242,"?*")=$P$6,"✅ CUBIERTO",IF(COUNTIF(L242:N242,"?*")&gt;$P$6,"⚠ EXCESO",
IF(COUNTIF(L242:N242,"?*")&gt;0,"⚠ FALTANTE", "❌ SIN COMPLETAR")))</f>
        <v>❌ SIN COMPLETAR</v>
      </c>
      <c r="Q242" s="27">
        <v>46010</v>
      </c>
      <c r="R242" s="28" t="str">
        <f t="shared" si="65"/>
        <v>vie</v>
      </c>
      <c r="S242" s="29">
        <v>0.54166666666666696</v>
      </c>
      <c r="T242" s="19"/>
      <c r="U242" s="19"/>
      <c r="V242" s="19"/>
      <c r="W242" s="30" t="str">
        <f>IF(COUNTIF(T242:V242,"?*")=$P$7,"✅ CUBIERTO",IF(COUNTIF(T242:V242,"?*")&gt;$P$7,"⚠ EXCESO",
IF(COUNTIF(T242:V242,"?*")&gt;0,"⚠ FALTANTE", "❌ SIN COMPLETAR")))</f>
        <v>❌ SIN COMPLETAR</v>
      </c>
    </row>
    <row r="243" spans="1:23" x14ac:dyDescent="0.35">
      <c r="A243" s="27">
        <v>46010</v>
      </c>
      <c r="B243" s="28" t="str">
        <f t="shared" si="63"/>
        <v>vie</v>
      </c>
      <c r="C243" s="29">
        <v>0.58333333333333304</v>
      </c>
      <c r="D243" s="19" t="s">
        <v>3</v>
      </c>
      <c r="E243" s="19" t="s">
        <v>4</v>
      </c>
      <c r="F243" s="19"/>
      <c r="G243" s="30" t="str">
        <f>IF(COUNTIF(D243:F243,"?*")=$P$5,"✅ CUBIERTO",
IF(COUNTIF(D243:F243,"?*")&gt;$P$5,"⚠ EXCESO",IF(COUNTIF(D243:F243,"?*")&gt;0,"⚠ FALTANTE",
"❌ SIN COMPLETAR")))</f>
        <v>✅ CUBIERTO</v>
      </c>
      <c r="I243" s="27">
        <v>46010</v>
      </c>
      <c r="J243" s="28" t="str">
        <f t="shared" si="64"/>
        <v>vie</v>
      </c>
      <c r="K243" s="29">
        <v>0.58333333333333304</v>
      </c>
      <c r="L243" s="19"/>
      <c r="M243" s="19"/>
      <c r="N243" s="19"/>
      <c r="O243" s="31" t="str">
        <f>IF(COUNTIF(L243:N243,"?*")=$P$6,"✅ CUBIERTO",IF(COUNTIF(L243:N243,"?*")&gt;$P$6,"⚠ EXCESO",
IF(COUNTIF(L243:N243,"?*")&gt;0,"⚠ FALTANTE", "❌ SIN COMPLETAR")))</f>
        <v>❌ SIN COMPLETAR</v>
      </c>
      <c r="Q243" s="27">
        <v>46010</v>
      </c>
      <c r="R243" s="28" t="str">
        <f t="shared" si="65"/>
        <v>vie</v>
      </c>
      <c r="S243" s="29">
        <v>0.58333333333333304</v>
      </c>
      <c r="T243" s="19"/>
      <c r="U243" s="19"/>
      <c r="V243" s="19"/>
      <c r="W243" s="30" t="str">
        <f>IF(COUNTIF(T243:V243,"?*")=$P$7,"✅ CUBIERTO",IF(COUNTIF(T243:V243,"?*")&gt;$P$7,"⚠ EXCESO",
IF(COUNTIF(T243:V243,"?*")&gt;0,"⚠ FALTANTE", "❌ SIN COMPLETAR")))</f>
        <v>❌ SIN COMPLETAR</v>
      </c>
    </row>
    <row r="244" spans="1:23" x14ac:dyDescent="0.35">
      <c r="A244" s="27">
        <v>46010</v>
      </c>
      <c r="B244" s="28" t="str">
        <f t="shared" si="63"/>
        <v>vie</v>
      </c>
      <c r="C244" s="29">
        <v>0.625</v>
      </c>
      <c r="D244" s="19" t="s">
        <v>3</v>
      </c>
      <c r="E244" s="19" t="s">
        <v>4</v>
      </c>
      <c r="F244" s="19"/>
      <c r="G244" s="30" t="str">
        <f>IF(COUNTIF(D244:F244,"?*")=$P$5,"✅ CUBIERTO",
IF(COUNTIF(D244:F244,"?*")&gt;$P$5,"⚠ EXCESO",IF(COUNTIF(D244:F244,"?*")&gt;0,"⚠ FALTANTE",
"❌ SIN COMPLETAR")))</f>
        <v>✅ CUBIERTO</v>
      </c>
      <c r="I244" s="27">
        <v>46010</v>
      </c>
      <c r="J244" s="28" t="str">
        <f t="shared" si="64"/>
        <v>vie</v>
      </c>
      <c r="K244" s="29">
        <v>0.625</v>
      </c>
      <c r="L244" s="19"/>
      <c r="M244" s="19"/>
      <c r="N244" s="19"/>
      <c r="O244" s="31" t="str">
        <f>IF(COUNTIF(L244:N244,"?*")=$P$6,"✅ CUBIERTO",IF(COUNTIF(L244:N244,"?*")&gt;$P$6,"⚠ EXCESO",
IF(COUNTIF(L244:N244,"?*")&gt;0,"⚠ FALTANTE", "❌ SIN COMPLETAR")))</f>
        <v>❌ SIN COMPLETAR</v>
      </c>
      <c r="Q244" s="27">
        <v>46010</v>
      </c>
      <c r="R244" s="28" t="str">
        <f t="shared" si="65"/>
        <v>vie</v>
      </c>
      <c r="S244" s="29">
        <v>0.625</v>
      </c>
      <c r="T244" s="19"/>
      <c r="U244" s="19"/>
      <c r="V244" s="19"/>
      <c r="W244" s="30" t="str">
        <f>IF(COUNTIF(T244:V244,"?*")=$P$7,"✅ CUBIERTO",IF(COUNTIF(T244:V244,"?*")&gt;$P$7,"⚠ EXCESO",
IF(COUNTIF(T244:V244,"?*")&gt;0,"⚠ FALTANTE", "❌ SIN COMPLETAR")))</f>
        <v>❌ SIN COMPLETAR</v>
      </c>
    </row>
    <row r="245" spans="1:23" x14ac:dyDescent="0.35">
      <c r="A245" s="27">
        <v>46010</v>
      </c>
      <c r="B245" s="28" t="str">
        <f t="shared" si="63"/>
        <v>vie</v>
      </c>
      <c r="C245" s="29">
        <v>0.66666666666666696</v>
      </c>
      <c r="D245" s="19" t="s">
        <v>30</v>
      </c>
      <c r="E245" s="19"/>
      <c r="F245" s="19"/>
      <c r="G245" s="30" t="str">
        <f>IF(COUNTIF(D245:F245,"?*")=$P$5,"✅ CUBIERTO",
IF(COUNTIF(D245:F245,"?*")&gt;$P$5,"⚠ EXCESO",IF(COUNTIF(D245:F245,"?*")&gt;0,"⚠ FALTANTE",
"❌ SIN COMPLETAR")))</f>
        <v>⚠ FALTANTE</v>
      </c>
      <c r="I245" s="27">
        <v>46010</v>
      </c>
      <c r="J245" s="28" t="str">
        <f t="shared" si="64"/>
        <v>vie</v>
      </c>
      <c r="K245" s="29">
        <v>0.66666666666666696</v>
      </c>
      <c r="L245" s="19"/>
      <c r="M245" s="19"/>
      <c r="N245" s="19"/>
      <c r="O245" s="31" t="str">
        <f>IF(COUNTIF(L245:N245,"?*")=$P$6,"✅ CUBIERTO",IF(COUNTIF(L245:N245,"?*")&gt;$P$6,"⚠ EXCESO",
IF(COUNTIF(L245:N245,"?*")&gt;0,"⚠ FALTANTE", "❌ SIN COMPLETAR")))</f>
        <v>❌ SIN COMPLETAR</v>
      </c>
      <c r="Q245" s="27">
        <v>46010</v>
      </c>
      <c r="R245" s="28" t="str">
        <f t="shared" si="65"/>
        <v>vie</v>
      </c>
      <c r="S245" s="29">
        <v>0.66666666666666696</v>
      </c>
      <c r="T245" s="19"/>
      <c r="U245" s="19"/>
      <c r="V245" s="19"/>
      <c r="W245" s="30" t="str">
        <f>IF(COUNTIF(T245:V245,"?*")=$P$7,"✅ CUBIERTO",IF(COUNTIF(T245:V245,"?*")&gt;$P$7,"⚠ EXCESO",
IF(COUNTIF(T245:V245,"?*")&gt;0,"⚠ FALTANTE", "❌ SIN COMPLETAR")))</f>
        <v>❌ SIN COMPLETAR</v>
      </c>
    </row>
    <row r="246" spans="1:23" x14ac:dyDescent="0.35">
      <c r="A246" s="27">
        <v>46010</v>
      </c>
      <c r="B246" s="28" t="str">
        <f t="shared" si="63"/>
        <v>vie</v>
      </c>
      <c r="C246" s="29">
        <v>0.70833333333333304</v>
      </c>
      <c r="D246" s="19" t="s">
        <v>30</v>
      </c>
      <c r="E246" s="19"/>
      <c r="F246" s="19"/>
      <c r="G246" s="30" t="str">
        <f>IF(COUNTIF(D246:F246,"?*")=$P$5,"✅ CUBIERTO",
IF(COUNTIF(D246:F246,"?*")&gt;$P$5,"⚠ EXCESO",IF(COUNTIF(D246:F246,"?*")&gt;0,"⚠ FALTANTE",
"❌ SIN COMPLETAR")))</f>
        <v>⚠ FALTANTE</v>
      </c>
      <c r="I246" s="27">
        <v>46010</v>
      </c>
      <c r="J246" s="28" t="str">
        <f t="shared" si="64"/>
        <v>vie</v>
      </c>
      <c r="K246" s="29">
        <v>0.70833333333333304</v>
      </c>
      <c r="L246" s="19"/>
      <c r="M246" s="19"/>
      <c r="N246" s="19"/>
      <c r="O246" s="31" t="str">
        <f>IF(COUNTIF(L246:N246,"?*")=$P$6,"✅ CUBIERTO",IF(COUNTIF(L246:N246,"?*")&gt;$P$6,"⚠ EXCESO",
IF(COUNTIF(L246:N246,"?*")&gt;0,"⚠ FALTANTE", "❌ SIN COMPLETAR")))</f>
        <v>❌ SIN COMPLETAR</v>
      </c>
      <c r="Q246" s="27">
        <v>46010</v>
      </c>
      <c r="R246" s="28" t="str">
        <f t="shared" si="65"/>
        <v>vie</v>
      </c>
      <c r="S246" s="29">
        <v>0.70833333333333304</v>
      </c>
      <c r="T246" s="19"/>
      <c r="U246" s="19"/>
      <c r="V246" s="19"/>
      <c r="W246" s="30" t="str">
        <f>IF(COUNTIF(T246:V246,"?*")=$P$7,"✅ CUBIERTO",IF(COUNTIF(T246:V246,"?*")&gt;$P$7,"⚠ EXCESO",
IF(COUNTIF(T246:V246,"?*")&gt;0,"⚠ FALTANTE", "❌ SIN COMPLETAR")))</f>
        <v>❌ SIN COMPLETAR</v>
      </c>
    </row>
    <row r="247" spans="1:23" x14ac:dyDescent="0.35">
      <c r="A247" s="27">
        <v>46010</v>
      </c>
      <c r="B247" s="28" t="str">
        <f t="shared" si="63"/>
        <v>vie</v>
      </c>
      <c r="C247" s="29">
        <v>0.75</v>
      </c>
      <c r="D247" s="19" t="s">
        <v>30</v>
      </c>
      <c r="E247" s="19"/>
      <c r="F247" s="19"/>
      <c r="G247" s="30" t="str">
        <f>IF(COUNTIF(D247:F247,"?*")=$P$5,"✅ CUBIERTO",
IF(COUNTIF(D247:F247,"?*")&gt;$P$5,"⚠ EXCESO",IF(COUNTIF(D247:F247,"?*")&gt;0,"⚠ FALTANTE",
"❌ SIN COMPLETAR")))</f>
        <v>⚠ FALTANTE</v>
      </c>
      <c r="I247" s="27">
        <v>46010</v>
      </c>
      <c r="J247" s="28" t="str">
        <f t="shared" si="64"/>
        <v>vie</v>
      </c>
      <c r="K247" s="29">
        <v>0.75</v>
      </c>
      <c r="L247" s="25"/>
      <c r="M247" s="25"/>
      <c r="N247" s="25"/>
      <c r="O247" s="31" t="s">
        <v>32</v>
      </c>
      <c r="Q247" s="27">
        <v>46010</v>
      </c>
      <c r="R247" s="28" t="str">
        <f t="shared" si="65"/>
        <v>vie</v>
      </c>
      <c r="S247" s="29">
        <v>0.75</v>
      </c>
      <c r="T247" s="19"/>
      <c r="U247" s="19"/>
      <c r="V247" s="19"/>
      <c r="W247" s="30" t="str">
        <f>IF(COUNTIF(T247:V247,"?*")=$P$7,"✅ CUBIERTO",IF(COUNTIF(T247:V247,"?*")&gt;$P$7,"⚠ EXCESO",
IF(COUNTIF(T247:V247,"?*")&gt;0,"⚠ FALTANTE", "❌ SIN COMPLETAR")))</f>
        <v>❌ SIN COMPLETAR</v>
      </c>
    </row>
    <row r="248" spans="1:23" x14ac:dyDescent="0.35">
      <c r="A248" s="27">
        <v>46010</v>
      </c>
      <c r="B248" s="28" t="str">
        <f t="shared" si="63"/>
        <v>vie</v>
      </c>
      <c r="C248" s="29">
        <v>0.79166666666666696</v>
      </c>
      <c r="D248" s="19" t="s">
        <v>30</v>
      </c>
      <c r="E248" s="19"/>
      <c r="F248" s="19"/>
      <c r="G248" s="30" t="str">
        <f>IF(COUNTIF(D248:F248,"?*")=$P$5,"✅ CUBIERTO",
IF(COUNTIF(D248:F248,"?*")&gt;$P$5,"⚠ EXCESO",IF(COUNTIF(D248:F248,"?*")&gt;0,"⚠ FALTANTE",
"❌ SIN COMPLETAR")))</f>
        <v>⚠ FALTANTE</v>
      </c>
      <c r="I248" s="27">
        <v>46010</v>
      </c>
      <c r="J248" s="28" t="str">
        <f t="shared" si="64"/>
        <v>vie</v>
      </c>
      <c r="K248" s="29">
        <v>0.79166666666666696</v>
      </c>
      <c r="L248" s="25"/>
      <c r="M248" s="25"/>
      <c r="N248" s="25"/>
      <c r="O248" s="31" t="s">
        <v>32</v>
      </c>
      <c r="Q248" s="27">
        <v>46010</v>
      </c>
      <c r="R248" s="28" t="str">
        <f t="shared" si="65"/>
        <v>vie</v>
      </c>
      <c r="S248" s="29">
        <v>0.79166666666666696</v>
      </c>
      <c r="T248" s="19"/>
      <c r="U248" s="19"/>
      <c r="V248" s="19"/>
      <c r="W248" s="30" t="str">
        <f>IF(COUNTIF(T248:V248,"?*")=$P$7,"✅ CUBIERTO",IF(COUNTIF(T248:V248,"?*")&gt;$P$7,"⚠ EXCESO",
IF(COUNTIF(T248:V248,"?*")&gt;0,"⚠ FALTANTE", "❌ SIN COMPLETAR")))</f>
        <v>❌ SIN COMPLETAR</v>
      </c>
    </row>
    <row r="249" spans="1:23" x14ac:dyDescent="0.35">
      <c r="A249" s="27">
        <v>46010</v>
      </c>
      <c r="B249" s="28" t="str">
        <f t="shared" si="63"/>
        <v>vie</v>
      </c>
      <c r="C249" s="29">
        <v>0.83333333333333337</v>
      </c>
      <c r="D249" s="25"/>
      <c r="E249" s="25"/>
      <c r="F249" s="25"/>
      <c r="G249" s="30" t="s">
        <v>32</v>
      </c>
      <c r="I249" s="27">
        <v>46010</v>
      </c>
      <c r="J249" s="28" t="str">
        <f t="shared" si="64"/>
        <v>vie</v>
      </c>
      <c r="K249" s="29">
        <v>0.83333333333333337</v>
      </c>
      <c r="L249" s="25"/>
      <c r="M249" s="25"/>
      <c r="N249" s="25"/>
      <c r="O249" s="31" t="s">
        <v>32</v>
      </c>
      <c r="Q249" s="27">
        <v>46010</v>
      </c>
      <c r="R249" s="28" t="str">
        <f t="shared" si="65"/>
        <v>vie</v>
      </c>
      <c r="S249" s="29">
        <v>0.83333333333333337</v>
      </c>
      <c r="T249" s="19"/>
      <c r="U249" s="19"/>
      <c r="V249" s="19"/>
      <c r="W249" s="30" t="str">
        <f>IF(COUNTIF(T249:V249,"?*")=$P$7,"✅ CUBIERTO",IF(COUNTIF(T249:V249,"?*")&gt;$P$7,"⚠ EXCESO",
IF(COUNTIF(T249:V249,"?*")&gt;0,"⚠ FALTANTE", "❌ SIN COMPLETAR")))</f>
        <v>❌ SIN COMPLETAR</v>
      </c>
    </row>
    <row r="250" spans="1:23" x14ac:dyDescent="0.35">
      <c r="A250" s="27">
        <v>46011</v>
      </c>
      <c r="B250" s="28" t="str">
        <f>TEXT(A250,"ddd")</f>
        <v>sáb</v>
      </c>
      <c r="C250" s="29">
        <v>0.375</v>
      </c>
      <c r="D250" s="25"/>
      <c r="E250" s="25"/>
      <c r="F250" s="25"/>
      <c r="G250" s="30" t="s">
        <v>32</v>
      </c>
      <c r="I250" s="27">
        <v>46011</v>
      </c>
      <c r="J250" s="28" t="str">
        <f>TEXT(I250,"ddd")</f>
        <v>sáb</v>
      </c>
      <c r="K250" s="29">
        <v>0.375</v>
      </c>
      <c r="L250" s="25"/>
      <c r="M250" s="25"/>
      <c r="N250" s="25"/>
      <c r="O250" s="31" t="s">
        <v>32</v>
      </c>
      <c r="Q250" s="27">
        <v>46011</v>
      </c>
      <c r="R250" s="28" t="str">
        <f>TEXT(Q250,"ddd")</f>
        <v>sáb</v>
      </c>
      <c r="S250" s="29">
        <v>0.375</v>
      </c>
      <c r="T250" s="25"/>
      <c r="U250" s="25"/>
      <c r="V250" s="25"/>
      <c r="W250" s="30" t="s">
        <v>32</v>
      </c>
    </row>
    <row r="251" spans="1:23" x14ac:dyDescent="0.35">
      <c r="A251" s="27">
        <v>46011</v>
      </c>
      <c r="B251" s="28" t="str">
        <f>TEXT(A251,"ddd")</f>
        <v>sáb</v>
      </c>
      <c r="C251" s="29">
        <v>0.41666666666666669</v>
      </c>
      <c r="D251" s="25"/>
      <c r="E251" s="25"/>
      <c r="F251" s="25"/>
      <c r="G251" s="30" t="s">
        <v>32</v>
      </c>
      <c r="I251" s="27">
        <v>46011</v>
      </c>
      <c r="J251" s="28" t="str">
        <f>TEXT(I251,"ddd")</f>
        <v>sáb</v>
      </c>
      <c r="K251" s="29">
        <v>0.41666666666666669</v>
      </c>
      <c r="L251" s="25"/>
      <c r="M251" s="25"/>
      <c r="N251" s="25"/>
      <c r="O251" s="31" t="s">
        <v>32</v>
      </c>
      <c r="Q251" s="27">
        <v>46011</v>
      </c>
      <c r="R251" s="28" t="str">
        <f>TEXT(Q251,"ddd")</f>
        <v>sáb</v>
      </c>
      <c r="S251" s="29">
        <v>0.41666666666666669</v>
      </c>
      <c r="T251" s="19"/>
      <c r="U251" s="19"/>
      <c r="V251" s="19"/>
      <c r="W251" s="30" t="str">
        <f>IF(COUNTIF(T251:V251,"?*")=$P$7,"✅ CUBIERTO",IF(COUNTIF(T251:V251,"?*")&gt;$P$7,"⚠ EXCESO",
IF(COUNTIF(T251:V251,"?*")&gt;0,"⚠ FALTANTE", "❌ SIN COMPLETAR")))</f>
        <v>❌ SIN COMPLETAR</v>
      </c>
    </row>
    <row r="252" spans="1:23" x14ac:dyDescent="0.35">
      <c r="A252" s="27">
        <v>46011</v>
      </c>
      <c r="B252" s="28" t="str">
        <f>TEXT(A252,"ddd")</f>
        <v>sáb</v>
      </c>
      <c r="C252" s="29">
        <v>0.45833333333333331</v>
      </c>
      <c r="D252" s="19" t="s">
        <v>3</v>
      </c>
      <c r="E252" s="19" t="s">
        <v>4</v>
      </c>
      <c r="F252" s="19"/>
      <c r="G252" s="30" t="str">
        <f>IF(COUNTIF(D252:F252,"?*")=$P$5,"✅ CUBIERTO",
IF(COUNTIF(D252:F252,"?*")&gt;$P$5,"⚠ EXCESO",IF(COUNTIF(D252:F252,"?*")&gt;0,"⚠ FALTANTE",
"❌ SIN COMPLETAR")))</f>
        <v>✅ CUBIERTO</v>
      </c>
      <c r="I252" s="27">
        <v>46011</v>
      </c>
      <c r="J252" s="28" t="str">
        <f>TEXT(I252,"ddd")</f>
        <v>sáb</v>
      </c>
      <c r="K252" s="29">
        <v>0.45833333333333331</v>
      </c>
      <c r="L252" s="25"/>
      <c r="M252" s="25"/>
      <c r="N252" s="25"/>
      <c r="O252" s="31" t="s">
        <v>32</v>
      </c>
      <c r="Q252" s="27">
        <v>46011</v>
      </c>
      <c r="R252" s="28" t="str">
        <f>TEXT(Q252,"ddd")</f>
        <v>sáb</v>
      </c>
      <c r="S252" s="29">
        <v>0.45833333333333331</v>
      </c>
      <c r="T252" s="19"/>
      <c r="U252" s="19"/>
      <c r="V252" s="19"/>
      <c r="W252" s="30" t="str">
        <f>IF(COUNTIF(T252:V252,"?*")=$P$7,"✅ CUBIERTO",IF(COUNTIF(T252:V252,"?*")&gt;$P$7,"⚠ EXCESO",
IF(COUNTIF(T252:V252,"?*")&gt;0,"⚠ FALTANTE", "❌ SIN COMPLETAR")))</f>
        <v>❌ SIN COMPLETAR</v>
      </c>
    </row>
    <row r="253" spans="1:23" x14ac:dyDescent="0.35">
      <c r="A253" s="27">
        <v>46011</v>
      </c>
      <c r="B253" s="28" t="str">
        <f t="shared" ref="B253:B261" si="66">TEXT(A253,"ddd")</f>
        <v>sáb</v>
      </c>
      <c r="C253" s="29">
        <v>0.5</v>
      </c>
      <c r="D253" s="19" t="s">
        <v>3</v>
      </c>
      <c r="E253" s="19" t="s">
        <v>4</v>
      </c>
      <c r="F253" s="19"/>
      <c r="G253" s="30" t="str">
        <f>IF(COUNTIF(D253:F253,"?*")=$P$5,"✅ CUBIERTO",
IF(COUNTIF(D253:F253,"?*")&gt;$P$5,"⚠ EXCESO",IF(COUNTIF(D253:F253,"?*")&gt;0,"⚠ FALTANTE",
"❌ SIN COMPLETAR")))</f>
        <v>✅ CUBIERTO</v>
      </c>
      <c r="I253" s="27">
        <v>46011</v>
      </c>
      <c r="J253" s="28" t="str">
        <f t="shared" ref="J253:J261" si="67">TEXT(I253,"ddd")</f>
        <v>sáb</v>
      </c>
      <c r="K253" s="29">
        <v>0.5</v>
      </c>
      <c r="L253" s="25"/>
      <c r="M253" s="25"/>
      <c r="N253" s="25"/>
      <c r="O253" s="31" t="s">
        <v>32</v>
      </c>
      <c r="Q253" s="27">
        <v>46011</v>
      </c>
      <c r="R253" s="28" t="str">
        <f t="shared" ref="R253:R261" si="68">TEXT(Q253,"ddd")</f>
        <v>sáb</v>
      </c>
      <c r="S253" s="29">
        <v>0.5</v>
      </c>
      <c r="T253" s="19"/>
      <c r="U253" s="19"/>
      <c r="V253" s="19"/>
      <c r="W253" s="30" t="str">
        <f>IF(COUNTIF(T253:V253,"?*")=$P$7,"✅ CUBIERTO",IF(COUNTIF(T253:V253,"?*")&gt;$P$7,"⚠ EXCESO",
IF(COUNTIF(T253:V253,"?*")&gt;0,"⚠ FALTANTE", "❌ SIN COMPLETAR")))</f>
        <v>❌ SIN COMPLETAR</v>
      </c>
    </row>
    <row r="254" spans="1:23" x14ac:dyDescent="0.35">
      <c r="A254" s="27">
        <v>46011</v>
      </c>
      <c r="B254" s="28" t="str">
        <f t="shared" si="66"/>
        <v>sáb</v>
      </c>
      <c r="C254" s="29">
        <v>0.54166666666666696</v>
      </c>
      <c r="D254" s="19" t="s">
        <v>3</v>
      </c>
      <c r="E254" s="19" t="s">
        <v>4</v>
      </c>
      <c r="F254" s="19"/>
      <c r="G254" s="30" t="str">
        <f>IF(COUNTIF(D254:F254,"?*")=$P$5,"✅ CUBIERTO",
IF(COUNTIF(D254:F254,"?*")&gt;$P$5,"⚠ EXCESO",IF(COUNTIF(D254:F254,"?*")&gt;0,"⚠ FALTANTE",
"❌ SIN COMPLETAR")))</f>
        <v>✅ CUBIERTO</v>
      </c>
      <c r="I254" s="27">
        <v>46011</v>
      </c>
      <c r="J254" s="28" t="str">
        <f t="shared" si="67"/>
        <v>sáb</v>
      </c>
      <c r="K254" s="29">
        <v>0.54166666666666696</v>
      </c>
      <c r="L254" s="25"/>
      <c r="M254" s="25"/>
      <c r="N254" s="25"/>
      <c r="O254" s="31" t="s">
        <v>32</v>
      </c>
      <c r="Q254" s="27">
        <v>46011</v>
      </c>
      <c r="R254" s="28" t="str">
        <f t="shared" si="68"/>
        <v>sáb</v>
      </c>
      <c r="S254" s="29">
        <v>0.54166666666666696</v>
      </c>
      <c r="T254" s="19"/>
      <c r="U254" s="19"/>
      <c r="V254" s="19"/>
      <c r="W254" s="30" t="str">
        <f>IF(COUNTIF(T254:V254,"?*")=$P$7,"✅ CUBIERTO",IF(COUNTIF(T254:V254,"?*")&gt;$P$7,"⚠ EXCESO",
IF(COUNTIF(T254:V254,"?*")&gt;0,"⚠ FALTANTE", "❌ SIN COMPLETAR")))</f>
        <v>❌ SIN COMPLETAR</v>
      </c>
    </row>
    <row r="255" spans="1:23" x14ac:dyDescent="0.35">
      <c r="A255" s="27">
        <v>46011</v>
      </c>
      <c r="B255" s="28" t="str">
        <f t="shared" si="66"/>
        <v>sáb</v>
      </c>
      <c r="C255" s="29">
        <v>0.58333333333333304</v>
      </c>
      <c r="D255" s="19" t="s">
        <v>3</v>
      </c>
      <c r="E255" s="19" t="s">
        <v>4</v>
      </c>
      <c r="F255" s="19"/>
      <c r="G255" s="30" t="str">
        <f>IF(COUNTIF(D255:F255,"?*")=$P$5,"✅ CUBIERTO",
IF(COUNTIF(D255:F255,"?*")&gt;$P$5,"⚠ EXCESO",IF(COUNTIF(D255:F255,"?*")&gt;0,"⚠ FALTANTE",
"❌ SIN COMPLETAR")))</f>
        <v>✅ CUBIERTO</v>
      </c>
      <c r="I255" s="27">
        <v>46011</v>
      </c>
      <c r="J255" s="28" t="str">
        <f t="shared" si="67"/>
        <v>sáb</v>
      </c>
      <c r="K255" s="29">
        <v>0.58333333333333304</v>
      </c>
      <c r="L255" s="25"/>
      <c r="M255" s="25"/>
      <c r="N255" s="25"/>
      <c r="O255" s="31" t="s">
        <v>32</v>
      </c>
      <c r="Q255" s="27">
        <v>46011</v>
      </c>
      <c r="R255" s="28" t="str">
        <f t="shared" si="68"/>
        <v>sáb</v>
      </c>
      <c r="S255" s="29">
        <v>0.58333333333333304</v>
      </c>
      <c r="T255" s="19"/>
      <c r="U255" s="19"/>
      <c r="V255" s="19"/>
      <c r="W255" s="30" t="str">
        <f>IF(COUNTIF(T255:V255,"?*")=$P$7,"✅ CUBIERTO",IF(COUNTIF(T255:V255,"?*")&gt;$P$7,"⚠ EXCESO",
IF(COUNTIF(T255:V255,"?*")&gt;0,"⚠ FALTANTE", "❌ SIN COMPLETAR")))</f>
        <v>❌ SIN COMPLETAR</v>
      </c>
    </row>
    <row r="256" spans="1:23" x14ac:dyDescent="0.35">
      <c r="A256" s="27">
        <v>46011</v>
      </c>
      <c r="B256" s="28" t="str">
        <f t="shared" si="66"/>
        <v>sáb</v>
      </c>
      <c r="C256" s="29">
        <v>0.625</v>
      </c>
      <c r="D256" s="19" t="s">
        <v>3</v>
      </c>
      <c r="E256" s="19" t="s">
        <v>4</v>
      </c>
      <c r="F256" s="19"/>
      <c r="G256" s="30" t="str">
        <f>IF(COUNTIF(D256:F256,"?*")=$P$5,"✅ CUBIERTO",
IF(COUNTIF(D256:F256,"?*")&gt;$P$5,"⚠ EXCESO",IF(COUNTIF(D256:F256,"?*")&gt;0,"⚠ FALTANTE",
"❌ SIN COMPLETAR")))</f>
        <v>✅ CUBIERTO</v>
      </c>
      <c r="I256" s="27">
        <v>46011</v>
      </c>
      <c r="J256" s="28" t="str">
        <f t="shared" si="67"/>
        <v>sáb</v>
      </c>
      <c r="K256" s="29">
        <v>0.625</v>
      </c>
      <c r="L256" s="25"/>
      <c r="M256" s="25"/>
      <c r="N256" s="25"/>
      <c r="O256" s="31" t="s">
        <v>32</v>
      </c>
      <c r="Q256" s="27">
        <v>46011</v>
      </c>
      <c r="R256" s="28" t="str">
        <f t="shared" si="68"/>
        <v>sáb</v>
      </c>
      <c r="S256" s="29">
        <v>0.625</v>
      </c>
      <c r="T256" s="19"/>
      <c r="U256" s="19"/>
      <c r="V256" s="19"/>
      <c r="W256" s="30" t="str">
        <f>IF(COUNTIF(T256:V256,"?*")=$P$7,"✅ CUBIERTO",IF(COUNTIF(T256:V256,"?*")&gt;$P$7,"⚠ EXCESO",
IF(COUNTIF(T256:V256,"?*")&gt;0,"⚠ FALTANTE", "❌ SIN COMPLETAR")))</f>
        <v>❌ SIN COMPLETAR</v>
      </c>
    </row>
    <row r="257" spans="1:23" x14ac:dyDescent="0.35">
      <c r="A257" s="27">
        <v>46011</v>
      </c>
      <c r="B257" s="28" t="str">
        <f t="shared" si="66"/>
        <v>sáb</v>
      </c>
      <c r="C257" s="29">
        <v>0.66666666666666696</v>
      </c>
      <c r="D257" s="19" t="s">
        <v>30</v>
      </c>
      <c r="E257" s="19"/>
      <c r="F257" s="19"/>
      <c r="G257" s="30" t="str">
        <f>IF(COUNTIF(D257:F257,"?*")=$P$5,"✅ CUBIERTO",
IF(COUNTIF(D257:F257,"?*")&gt;$P$5,"⚠ EXCESO",IF(COUNTIF(D257:F257,"?*")&gt;0,"⚠ FALTANTE",
"❌ SIN COMPLETAR")))</f>
        <v>⚠ FALTANTE</v>
      </c>
      <c r="I257" s="27">
        <v>46011</v>
      </c>
      <c r="J257" s="28" t="str">
        <f t="shared" si="67"/>
        <v>sáb</v>
      </c>
      <c r="K257" s="29">
        <v>0.66666666666666696</v>
      </c>
      <c r="L257" s="25"/>
      <c r="M257" s="25"/>
      <c r="N257" s="25"/>
      <c r="O257" s="31" t="s">
        <v>32</v>
      </c>
      <c r="Q257" s="27">
        <v>46011</v>
      </c>
      <c r="R257" s="28" t="str">
        <f t="shared" si="68"/>
        <v>sáb</v>
      </c>
      <c r="S257" s="29">
        <v>0.66666666666666696</v>
      </c>
      <c r="T257" s="19"/>
      <c r="U257" s="19"/>
      <c r="V257" s="19"/>
      <c r="W257" s="30" t="str">
        <f>IF(COUNTIF(T257:V257,"?*")=$P$7,"✅ CUBIERTO",IF(COUNTIF(T257:V257,"?*")&gt;$P$7,"⚠ EXCESO",
IF(COUNTIF(T257:V257,"?*")&gt;0,"⚠ FALTANTE", "❌ SIN COMPLETAR")))</f>
        <v>❌ SIN COMPLETAR</v>
      </c>
    </row>
    <row r="258" spans="1:23" x14ac:dyDescent="0.35">
      <c r="A258" s="27">
        <v>46011</v>
      </c>
      <c r="B258" s="28" t="str">
        <f t="shared" si="66"/>
        <v>sáb</v>
      </c>
      <c r="C258" s="29">
        <v>0.70833333333333304</v>
      </c>
      <c r="D258" s="19" t="s">
        <v>30</v>
      </c>
      <c r="E258" s="19"/>
      <c r="F258" s="19"/>
      <c r="G258" s="30" t="str">
        <f>IF(COUNTIF(D258:F258,"?*")=$P$5,"✅ CUBIERTO",
IF(COUNTIF(D258:F258,"?*")&gt;$P$5,"⚠ EXCESO",IF(COUNTIF(D258:F258,"?*")&gt;0,"⚠ FALTANTE",
"❌ SIN COMPLETAR")))</f>
        <v>⚠ FALTANTE</v>
      </c>
      <c r="I258" s="27">
        <v>46011</v>
      </c>
      <c r="J258" s="28" t="str">
        <f t="shared" si="67"/>
        <v>sáb</v>
      </c>
      <c r="K258" s="29">
        <v>0.70833333333333304</v>
      </c>
      <c r="L258" s="25"/>
      <c r="M258" s="25"/>
      <c r="N258" s="25"/>
      <c r="O258" s="31" t="s">
        <v>32</v>
      </c>
      <c r="Q258" s="27">
        <v>46011</v>
      </c>
      <c r="R258" s="28" t="str">
        <f t="shared" si="68"/>
        <v>sáb</v>
      </c>
      <c r="S258" s="29">
        <v>0.70833333333333304</v>
      </c>
      <c r="T258" s="19"/>
      <c r="U258" s="19"/>
      <c r="V258" s="19"/>
      <c r="W258" s="30" t="str">
        <f>IF(COUNTIF(T258:V258,"?*")=$P$7,"✅ CUBIERTO",IF(COUNTIF(T258:V258,"?*")&gt;$P$7,"⚠ EXCESO",
IF(COUNTIF(T258:V258,"?*")&gt;0,"⚠ FALTANTE", "❌ SIN COMPLETAR")))</f>
        <v>❌ SIN COMPLETAR</v>
      </c>
    </row>
    <row r="259" spans="1:23" x14ac:dyDescent="0.35">
      <c r="A259" s="27">
        <v>46011</v>
      </c>
      <c r="B259" s="28" t="str">
        <f t="shared" si="66"/>
        <v>sáb</v>
      </c>
      <c r="C259" s="29">
        <v>0.75</v>
      </c>
      <c r="D259" s="19" t="s">
        <v>30</v>
      </c>
      <c r="E259" s="19"/>
      <c r="F259" s="19"/>
      <c r="G259" s="30" t="str">
        <f>IF(COUNTIF(D259:F259,"?*")=$P$5,"✅ CUBIERTO",
IF(COUNTIF(D259:F259,"?*")&gt;$P$5,"⚠ EXCESO",IF(COUNTIF(D259:F259,"?*")&gt;0,"⚠ FALTANTE",
"❌ SIN COMPLETAR")))</f>
        <v>⚠ FALTANTE</v>
      </c>
      <c r="I259" s="27">
        <v>46011</v>
      </c>
      <c r="J259" s="28" t="str">
        <f t="shared" si="67"/>
        <v>sáb</v>
      </c>
      <c r="K259" s="29">
        <v>0.75</v>
      </c>
      <c r="L259" s="25"/>
      <c r="M259" s="25"/>
      <c r="N259" s="25"/>
      <c r="O259" s="31" t="s">
        <v>32</v>
      </c>
      <c r="Q259" s="27">
        <v>46011</v>
      </c>
      <c r="R259" s="28" t="str">
        <f t="shared" si="68"/>
        <v>sáb</v>
      </c>
      <c r="S259" s="29">
        <v>0.75</v>
      </c>
      <c r="T259" s="19"/>
      <c r="U259" s="19"/>
      <c r="V259" s="19"/>
      <c r="W259" s="30" t="str">
        <f>IF(COUNTIF(T259:V259,"?*")=$P$7,"✅ CUBIERTO",IF(COUNTIF(T259:V259,"?*")&gt;$P$7,"⚠ EXCESO",
IF(COUNTIF(T259:V259,"?*")&gt;0,"⚠ FALTANTE", "❌ SIN COMPLETAR")))</f>
        <v>❌ SIN COMPLETAR</v>
      </c>
    </row>
    <row r="260" spans="1:23" x14ac:dyDescent="0.35">
      <c r="A260" s="27">
        <v>46011</v>
      </c>
      <c r="B260" s="28" t="str">
        <f t="shared" si="66"/>
        <v>sáb</v>
      </c>
      <c r="C260" s="29">
        <v>0.79166666666666696</v>
      </c>
      <c r="D260" s="19" t="s">
        <v>30</v>
      </c>
      <c r="E260" s="19"/>
      <c r="F260" s="19"/>
      <c r="G260" s="30" t="str">
        <f>IF(COUNTIF(D260:F260,"?*")=$P$5,"✅ CUBIERTO",
IF(COUNTIF(D260:F260,"?*")&gt;$P$5,"⚠ EXCESO",IF(COUNTIF(D260:F260,"?*")&gt;0,"⚠ FALTANTE",
"❌ SIN COMPLETAR")))</f>
        <v>⚠ FALTANTE</v>
      </c>
      <c r="I260" s="27">
        <v>46011</v>
      </c>
      <c r="J260" s="28" t="str">
        <f t="shared" si="67"/>
        <v>sáb</v>
      </c>
      <c r="K260" s="29">
        <v>0.79166666666666696</v>
      </c>
      <c r="L260" s="25"/>
      <c r="M260" s="25"/>
      <c r="N260" s="25"/>
      <c r="O260" s="31" t="s">
        <v>32</v>
      </c>
      <c r="Q260" s="27">
        <v>46011</v>
      </c>
      <c r="R260" s="28" t="str">
        <f t="shared" si="68"/>
        <v>sáb</v>
      </c>
      <c r="S260" s="29">
        <v>0.79166666666666696</v>
      </c>
      <c r="T260" s="19"/>
      <c r="U260" s="19"/>
      <c r="V260" s="19"/>
      <c r="W260" s="30" t="str">
        <f>IF(COUNTIF(T260:V260,"?*")=$P$7,"✅ CUBIERTO",IF(COUNTIF(T260:V260,"?*")&gt;$P$7,"⚠ EXCESO",
IF(COUNTIF(T260:V260,"?*")&gt;0,"⚠ FALTANTE", "❌ SIN COMPLETAR")))</f>
        <v>❌ SIN COMPLETAR</v>
      </c>
    </row>
    <row r="261" spans="1:23" x14ac:dyDescent="0.35">
      <c r="A261" s="27">
        <v>46011</v>
      </c>
      <c r="B261" s="28" t="str">
        <f t="shared" si="66"/>
        <v>sáb</v>
      </c>
      <c r="C261" s="29">
        <v>0.83333333333333337</v>
      </c>
      <c r="D261" s="25"/>
      <c r="E261" s="25"/>
      <c r="F261" s="25"/>
      <c r="G261" s="30" t="s">
        <v>32</v>
      </c>
      <c r="I261" s="27">
        <v>46011</v>
      </c>
      <c r="J261" s="28" t="str">
        <f t="shared" si="67"/>
        <v>sáb</v>
      </c>
      <c r="K261" s="29">
        <v>0.83333333333333337</v>
      </c>
      <c r="L261" s="25"/>
      <c r="M261" s="25"/>
      <c r="N261" s="25"/>
      <c r="O261" s="31" t="s">
        <v>32</v>
      </c>
      <c r="Q261" s="27">
        <v>46011</v>
      </c>
      <c r="R261" s="28" t="str">
        <f t="shared" si="68"/>
        <v>sáb</v>
      </c>
      <c r="S261" s="29">
        <v>0.83333333333333337</v>
      </c>
      <c r="T261" s="19"/>
      <c r="U261" s="19"/>
      <c r="V261" s="19"/>
      <c r="W261" s="30" t="str">
        <f>IF(COUNTIF(T261:V261,"?*")=$P$7,"✅ CUBIERTO",IF(COUNTIF(T261:V261,"?*")&gt;$P$7,"⚠ EXCESO",
IF(COUNTIF(T261:V261,"?*")&gt;0,"⚠ FALTANTE", "❌ SIN COMPLETAR")))</f>
        <v>❌ SIN COMPLETAR</v>
      </c>
    </row>
    <row r="262" spans="1:23" x14ac:dyDescent="0.35">
      <c r="A262" s="27">
        <v>46012</v>
      </c>
      <c r="B262" s="28" t="str">
        <f>TEXT(A262,"ddd")</f>
        <v>dom</v>
      </c>
      <c r="C262" s="29">
        <v>0.375</v>
      </c>
      <c r="D262" s="25"/>
      <c r="E262" s="25"/>
      <c r="F262" s="25"/>
      <c r="G262" s="30" t="s">
        <v>32</v>
      </c>
      <c r="I262" s="27">
        <v>46012</v>
      </c>
      <c r="J262" s="28" t="str">
        <f>TEXT(I262,"ddd")</f>
        <v>dom</v>
      </c>
      <c r="K262" s="29">
        <v>0.375</v>
      </c>
      <c r="L262" s="25"/>
      <c r="M262" s="25"/>
      <c r="N262" s="25"/>
      <c r="O262" s="31" t="s">
        <v>32</v>
      </c>
      <c r="Q262" s="27">
        <v>46012</v>
      </c>
      <c r="R262" s="28" t="str">
        <f>TEXT(Q262,"ddd")</f>
        <v>dom</v>
      </c>
      <c r="S262" s="29">
        <v>0.375</v>
      </c>
      <c r="T262" s="25"/>
      <c r="U262" s="25"/>
      <c r="V262" s="25"/>
      <c r="W262" s="30" t="s">
        <v>32</v>
      </c>
    </row>
    <row r="263" spans="1:23" x14ac:dyDescent="0.35">
      <c r="A263" s="27">
        <v>46012</v>
      </c>
      <c r="B263" s="28" t="str">
        <f>TEXT(A263,"ddd")</f>
        <v>dom</v>
      </c>
      <c r="C263" s="29">
        <v>0.41666666666666669</v>
      </c>
      <c r="D263" s="25"/>
      <c r="E263" s="25"/>
      <c r="F263" s="25"/>
      <c r="G263" s="30" t="s">
        <v>32</v>
      </c>
      <c r="I263" s="27">
        <v>46012</v>
      </c>
      <c r="J263" s="28" t="str">
        <f>TEXT(I263,"ddd")</f>
        <v>dom</v>
      </c>
      <c r="K263" s="29">
        <v>0.41666666666666669</v>
      </c>
      <c r="L263" s="25"/>
      <c r="M263" s="25"/>
      <c r="N263" s="25"/>
      <c r="O263" s="31" t="s">
        <v>32</v>
      </c>
      <c r="Q263" s="27">
        <v>46012</v>
      </c>
      <c r="R263" s="28" t="str">
        <f>TEXT(Q263,"ddd")</f>
        <v>dom</v>
      </c>
      <c r="S263" s="29">
        <v>0.41666666666666669</v>
      </c>
      <c r="T263" s="19"/>
      <c r="U263" s="19"/>
      <c r="V263" s="19"/>
      <c r="W263" s="30" t="str">
        <f>IF(COUNTIF(T263:V263,"?*")=$P$7,"✅ CUBIERTO",IF(COUNTIF(T263:V263,"?*")&gt;$P$7,"⚠ EXCESO",
IF(COUNTIF(T263:V263,"?*")&gt;0,"⚠ FALTANTE", "❌ SIN COMPLETAR")))</f>
        <v>❌ SIN COMPLETAR</v>
      </c>
    </row>
    <row r="264" spans="1:23" x14ac:dyDescent="0.35">
      <c r="A264" s="27">
        <v>46012</v>
      </c>
      <c r="B264" s="28" t="str">
        <f>TEXT(A264,"ddd")</f>
        <v>dom</v>
      </c>
      <c r="C264" s="29">
        <v>0.45833333333333331</v>
      </c>
      <c r="D264" s="19" t="s">
        <v>3</v>
      </c>
      <c r="E264" s="19" t="s">
        <v>4</v>
      </c>
      <c r="F264" s="19"/>
      <c r="G264" s="30" t="str">
        <f>IF(COUNTIF(D264:F264,"?*")=$P$5,"✅ CUBIERTO",
IF(COUNTIF(D264:F264,"?*")&gt;$P$5,"⚠ EXCESO",IF(COUNTIF(D264:F264,"?*")&gt;0,"⚠ FALTANTE",
"❌ SIN COMPLETAR")))</f>
        <v>✅ CUBIERTO</v>
      </c>
      <c r="I264" s="27">
        <v>46012</v>
      </c>
      <c r="J264" s="28" t="str">
        <f>TEXT(I264,"ddd")</f>
        <v>dom</v>
      </c>
      <c r="K264" s="29">
        <v>0.45833333333333331</v>
      </c>
      <c r="L264" s="25"/>
      <c r="M264" s="25"/>
      <c r="N264" s="25"/>
      <c r="O264" s="31" t="s">
        <v>32</v>
      </c>
      <c r="Q264" s="27">
        <v>46012</v>
      </c>
      <c r="R264" s="28" t="str">
        <f>TEXT(Q264,"ddd")</f>
        <v>dom</v>
      </c>
      <c r="S264" s="29">
        <v>0.45833333333333331</v>
      </c>
      <c r="T264" s="19"/>
      <c r="U264" s="19"/>
      <c r="V264" s="19"/>
      <c r="W264" s="30" t="str">
        <f>IF(COUNTIF(T264:V264,"?*")=$P$7,"✅ CUBIERTO",IF(COUNTIF(T264:V264,"?*")&gt;$P$7,"⚠ EXCESO",
IF(COUNTIF(T264:V264,"?*")&gt;0,"⚠ FALTANTE", "❌ SIN COMPLETAR")))</f>
        <v>❌ SIN COMPLETAR</v>
      </c>
    </row>
    <row r="265" spans="1:23" x14ac:dyDescent="0.35">
      <c r="A265" s="27">
        <v>46012</v>
      </c>
      <c r="B265" s="28" t="str">
        <f t="shared" ref="B265:B273" si="69">TEXT(A265,"ddd")</f>
        <v>dom</v>
      </c>
      <c r="C265" s="29">
        <v>0.5</v>
      </c>
      <c r="D265" s="19" t="s">
        <v>3</v>
      </c>
      <c r="E265" s="19" t="s">
        <v>4</v>
      </c>
      <c r="F265" s="19"/>
      <c r="G265" s="30" t="str">
        <f>IF(COUNTIF(D265:F265,"?*")=$P$5,"✅ CUBIERTO",
IF(COUNTIF(D265:F265,"?*")&gt;$P$5,"⚠ EXCESO",IF(COUNTIF(D265:F265,"?*")&gt;0,"⚠ FALTANTE",
"❌ SIN COMPLETAR")))</f>
        <v>✅ CUBIERTO</v>
      </c>
      <c r="I265" s="27">
        <v>46012</v>
      </c>
      <c r="J265" s="28" t="str">
        <f t="shared" ref="J265:J273" si="70">TEXT(I265,"ddd")</f>
        <v>dom</v>
      </c>
      <c r="K265" s="29">
        <v>0.5</v>
      </c>
      <c r="L265" s="25"/>
      <c r="M265" s="25"/>
      <c r="N265" s="25"/>
      <c r="O265" s="31" t="s">
        <v>32</v>
      </c>
      <c r="Q265" s="27">
        <v>46012</v>
      </c>
      <c r="R265" s="28" t="str">
        <f t="shared" ref="R265:R273" si="71">TEXT(Q265,"ddd")</f>
        <v>dom</v>
      </c>
      <c r="S265" s="29">
        <v>0.5</v>
      </c>
      <c r="T265" s="19"/>
      <c r="U265" s="19"/>
      <c r="V265" s="19"/>
      <c r="W265" s="30" t="str">
        <f>IF(COUNTIF(T265:V265,"?*")=$P$7,"✅ CUBIERTO",IF(COUNTIF(T265:V265,"?*")&gt;$P$7,"⚠ EXCESO",
IF(COUNTIF(T265:V265,"?*")&gt;0,"⚠ FALTANTE", "❌ SIN COMPLETAR")))</f>
        <v>❌ SIN COMPLETAR</v>
      </c>
    </row>
    <row r="266" spans="1:23" x14ac:dyDescent="0.35">
      <c r="A266" s="27">
        <v>46012</v>
      </c>
      <c r="B266" s="28" t="str">
        <f t="shared" si="69"/>
        <v>dom</v>
      </c>
      <c r="C266" s="29">
        <v>0.54166666666666696</v>
      </c>
      <c r="D266" s="19" t="s">
        <v>3</v>
      </c>
      <c r="E266" s="19" t="s">
        <v>4</v>
      </c>
      <c r="F266" s="19"/>
      <c r="G266" s="30" t="str">
        <f>IF(COUNTIF(D266:F266,"?*")=$P$5,"✅ CUBIERTO",
IF(COUNTIF(D266:F266,"?*")&gt;$P$5,"⚠ EXCESO",IF(COUNTIF(D266:F266,"?*")&gt;0,"⚠ FALTANTE",
"❌ SIN COMPLETAR")))</f>
        <v>✅ CUBIERTO</v>
      </c>
      <c r="I266" s="27">
        <v>46012</v>
      </c>
      <c r="J266" s="28" t="str">
        <f t="shared" si="70"/>
        <v>dom</v>
      </c>
      <c r="K266" s="29">
        <v>0.54166666666666696</v>
      </c>
      <c r="L266" s="25"/>
      <c r="M266" s="25"/>
      <c r="N266" s="25"/>
      <c r="O266" s="31" t="s">
        <v>32</v>
      </c>
      <c r="Q266" s="27">
        <v>46012</v>
      </c>
      <c r="R266" s="28" t="str">
        <f t="shared" si="71"/>
        <v>dom</v>
      </c>
      <c r="S266" s="29">
        <v>0.54166666666666696</v>
      </c>
      <c r="T266" s="19"/>
      <c r="U266" s="19"/>
      <c r="V266" s="19"/>
      <c r="W266" s="30" t="str">
        <f>IF(COUNTIF(T266:V266,"?*")=$P$7,"✅ CUBIERTO",IF(COUNTIF(T266:V266,"?*")&gt;$P$7,"⚠ EXCESO",
IF(COUNTIF(T266:V266,"?*")&gt;0,"⚠ FALTANTE", "❌ SIN COMPLETAR")))</f>
        <v>❌ SIN COMPLETAR</v>
      </c>
    </row>
    <row r="267" spans="1:23" x14ac:dyDescent="0.35">
      <c r="A267" s="27">
        <v>46012</v>
      </c>
      <c r="B267" s="28" t="str">
        <f t="shared" si="69"/>
        <v>dom</v>
      </c>
      <c r="C267" s="29">
        <v>0.58333333333333304</v>
      </c>
      <c r="D267" s="19" t="s">
        <v>3</v>
      </c>
      <c r="E267" s="19" t="s">
        <v>4</v>
      </c>
      <c r="F267" s="19"/>
      <c r="G267" s="30" t="str">
        <f>IF(COUNTIF(D267:F267,"?*")=$P$5,"✅ CUBIERTO",
IF(COUNTIF(D267:F267,"?*")&gt;$P$5,"⚠ EXCESO",IF(COUNTIF(D267:F267,"?*")&gt;0,"⚠ FALTANTE",
"❌ SIN COMPLETAR")))</f>
        <v>✅ CUBIERTO</v>
      </c>
      <c r="I267" s="27">
        <v>46012</v>
      </c>
      <c r="J267" s="28" t="str">
        <f t="shared" si="70"/>
        <v>dom</v>
      </c>
      <c r="K267" s="29">
        <v>0.58333333333333304</v>
      </c>
      <c r="L267" s="25"/>
      <c r="M267" s="25"/>
      <c r="N267" s="25"/>
      <c r="O267" s="31" t="s">
        <v>32</v>
      </c>
      <c r="Q267" s="27">
        <v>46012</v>
      </c>
      <c r="R267" s="28" t="str">
        <f t="shared" si="71"/>
        <v>dom</v>
      </c>
      <c r="S267" s="29">
        <v>0.58333333333333304</v>
      </c>
      <c r="T267" s="19"/>
      <c r="U267" s="19"/>
      <c r="V267" s="19"/>
      <c r="W267" s="30" t="str">
        <f>IF(COUNTIF(T267:V267,"?*")=$P$7,"✅ CUBIERTO",IF(COUNTIF(T267:V267,"?*")&gt;$P$7,"⚠ EXCESO",
IF(COUNTIF(T267:V267,"?*")&gt;0,"⚠ FALTANTE", "❌ SIN COMPLETAR")))</f>
        <v>❌ SIN COMPLETAR</v>
      </c>
    </row>
    <row r="268" spans="1:23" x14ac:dyDescent="0.35">
      <c r="A268" s="27">
        <v>46012</v>
      </c>
      <c r="B268" s="28" t="str">
        <f t="shared" si="69"/>
        <v>dom</v>
      </c>
      <c r="C268" s="29">
        <v>0.625</v>
      </c>
      <c r="D268" s="19" t="s">
        <v>3</v>
      </c>
      <c r="E268" s="19" t="s">
        <v>4</v>
      </c>
      <c r="F268" s="19"/>
      <c r="G268" s="30" t="str">
        <f>IF(COUNTIF(D268:F268,"?*")=$P$5,"✅ CUBIERTO",
IF(COUNTIF(D268:F268,"?*")&gt;$P$5,"⚠ EXCESO",IF(COUNTIF(D268:F268,"?*")&gt;0,"⚠ FALTANTE",
"❌ SIN COMPLETAR")))</f>
        <v>✅ CUBIERTO</v>
      </c>
      <c r="I268" s="27">
        <v>46012</v>
      </c>
      <c r="J268" s="28" t="str">
        <f t="shared" si="70"/>
        <v>dom</v>
      </c>
      <c r="K268" s="29">
        <v>0.625</v>
      </c>
      <c r="L268" s="25"/>
      <c r="M268" s="25"/>
      <c r="N268" s="25"/>
      <c r="O268" s="31" t="s">
        <v>32</v>
      </c>
      <c r="Q268" s="27">
        <v>46012</v>
      </c>
      <c r="R268" s="28" t="str">
        <f t="shared" si="71"/>
        <v>dom</v>
      </c>
      <c r="S268" s="29">
        <v>0.625</v>
      </c>
      <c r="T268" s="19"/>
      <c r="U268" s="19"/>
      <c r="V268" s="19"/>
      <c r="W268" s="30" t="str">
        <f>IF(COUNTIF(T268:V268,"?*")=$P$7,"✅ CUBIERTO",IF(COUNTIF(T268:V268,"?*")&gt;$P$7,"⚠ EXCESO",
IF(COUNTIF(T268:V268,"?*")&gt;0,"⚠ FALTANTE", "❌ SIN COMPLETAR")))</f>
        <v>❌ SIN COMPLETAR</v>
      </c>
    </row>
    <row r="269" spans="1:23" x14ac:dyDescent="0.35">
      <c r="A269" s="27">
        <v>46012</v>
      </c>
      <c r="B269" s="28" t="str">
        <f t="shared" si="69"/>
        <v>dom</v>
      </c>
      <c r="C269" s="29">
        <v>0.66666666666666696</v>
      </c>
      <c r="D269" s="19" t="s">
        <v>30</v>
      </c>
      <c r="E269" s="19"/>
      <c r="F269" s="19"/>
      <c r="G269" s="30" t="str">
        <f>IF(COUNTIF(D269:F269,"?*")=$P$5,"✅ CUBIERTO",
IF(COUNTIF(D269:F269,"?*")&gt;$P$5,"⚠ EXCESO",IF(COUNTIF(D269:F269,"?*")&gt;0,"⚠ FALTANTE",
"❌ SIN COMPLETAR")))</f>
        <v>⚠ FALTANTE</v>
      </c>
      <c r="I269" s="27">
        <v>46012</v>
      </c>
      <c r="J269" s="28" t="str">
        <f t="shared" si="70"/>
        <v>dom</v>
      </c>
      <c r="K269" s="29">
        <v>0.66666666666666696</v>
      </c>
      <c r="L269" s="25"/>
      <c r="M269" s="25"/>
      <c r="N269" s="25"/>
      <c r="O269" s="31" t="s">
        <v>32</v>
      </c>
      <c r="Q269" s="27">
        <v>46012</v>
      </c>
      <c r="R269" s="28" t="str">
        <f t="shared" si="71"/>
        <v>dom</v>
      </c>
      <c r="S269" s="29">
        <v>0.66666666666666696</v>
      </c>
      <c r="T269" s="19"/>
      <c r="U269" s="19"/>
      <c r="V269" s="19"/>
      <c r="W269" s="30" t="str">
        <f>IF(COUNTIF(T269:V269,"?*")=$P$7,"✅ CUBIERTO",IF(COUNTIF(T269:V269,"?*")&gt;$P$7,"⚠ EXCESO",
IF(COUNTIF(T269:V269,"?*")&gt;0,"⚠ FALTANTE", "❌ SIN COMPLETAR")))</f>
        <v>❌ SIN COMPLETAR</v>
      </c>
    </row>
    <row r="270" spans="1:23" x14ac:dyDescent="0.35">
      <c r="A270" s="27">
        <v>46012</v>
      </c>
      <c r="B270" s="28" t="str">
        <f t="shared" si="69"/>
        <v>dom</v>
      </c>
      <c r="C270" s="29">
        <v>0.70833333333333304</v>
      </c>
      <c r="D270" s="19" t="s">
        <v>30</v>
      </c>
      <c r="E270" s="19"/>
      <c r="F270" s="19"/>
      <c r="G270" s="30" t="str">
        <f>IF(COUNTIF(D270:F270,"?*")=$P$5,"✅ CUBIERTO",
IF(COUNTIF(D270:F270,"?*")&gt;$P$5,"⚠ EXCESO",IF(COUNTIF(D270:F270,"?*")&gt;0,"⚠ FALTANTE",
"❌ SIN COMPLETAR")))</f>
        <v>⚠ FALTANTE</v>
      </c>
      <c r="I270" s="27">
        <v>46012</v>
      </c>
      <c r="J270" s="28" t="str">
        <f t="shared" si="70"/>
        <v>dom</v>
      </c>
      <c r="K270" s="29">
        <v>0.70833333333333304</v>
      </c>
      <c r="L270" s="25"/>
      <c r="M270" s="25"/>
      <c r="N270" s="25"/>
      <c r="O270" s="31" t="s">
        <v>32</v>
      </c>
      <c r="Q270" s="27">
        <v>46012</v>
      </c>
      <c r="R270" s="28" t="str">
        <f t="shared" si="71"/>
        <v>dom</v>
      </c>
      <c r="S270" s="29">
        <v>0.70833333333333304</v>
      </c>
      <c r="T270" s="19"/>
      <c r="U270" s="19"/>
      <c r="V270" s="19"/>
      <c r="W270" s="30" t="str">
        <f>IF(COUNTIF(T270:V270,"?*")=$P$7,"✅ CUBIERTO",IF(COUNTIF(T270:V270,"?*")&gt;$P$7,"⚠ EXCESO",
IF(COUNTIF(T270:V270,"?*")&gt;0,"⚠ FALTANTE", "❌ SIN COMPLETAR")))</f>
        <v>❌ SIN COMPLETAR</v>
      </c>
    </row>
    <row r="271" spans="1:23" x14ac:dyDescent="0.35">
      <c r="A271" s="27">
        <v>46012</v>
      </c>
      <c r="B271" s="28" t="str">
        <f t="shared" si="69"/>
        <v>dom</v>
      </c>
      <c r="C271" s="29">
        <v>0.75</v>
      </c>
      <c r="D271" s="19" t="s">
        <v>30</v>
      </c>
      <c r="E271" s="19"/>
      <c r="F271" s="19"/>
      <c r="G271" s="30" t="str">
        <f>IF(COUNTIF(D271:F271,"?*")=$P$5,"✅ CUBIERTO",
IF(COUNTIF(D271:F271,"?*")&gt;$P$5,"⚠ EXCESO",IF(COUNTIF(D271:F271,"?*")&gt;0,"⚠ FALTANTE",
"❌ SIN COMPLETAR")))</f>
        <v>⚠ FALTANTE</v>
      </c>
      <c r="I271" s="27">
        <v>46012</v>
      </c>
      <c r="J271" s="28" t="str">
        <f t="shared" si="70"/>
        <v>dom</v>
      </c>
      <c r="K271" s="29">
        <v>0.75</v>
      </c>
      <c r="L271" s="25"/>
      <c r="M271" s="25"/>
      <c r="N271" s="25"/>
      <c r="O271" s="31" t="s">
        <v>32</v>
      </c>
      <c r="Q271" s="27">
        <v>46012</v>
      </c>
      <c r="R271" s="28" t="str">
        <f t="shared" si="71"/>
        <v>dom</v>
      </c>
      <c r="S271" s="29">
        <v>0.75</v>
      </c>
      <c r="T271" s="19"/>
      <c r="U271" s="19"/>
      <c r="V271" s="19"/>
      <c r="W271" s="30" t="str">
        <f>IF(COUNTIF(T271:V271,"?*")=$P$7,"✅ CUBIERTO",IF(COUNTIF(T271:V271,"?*")&gt;$P$7,"⚠ EXCESO",
IF(COUNTIF(T271:V271,"?*")&gt;0,"⚠ FALTANTE", "❌ SIN COMPLETAR")))</f>
        <v>❌ SIN COMPLETAR</v>
      </c>
    </row>
    <row r="272" spans="1:23" x14ac:dyDescent="0.35">
      <c r="A272" s="27">
        <v>46012</v>
      </c>
      <c r="B272" s="28" t="str">
        <f t="shared" si="69"/>
        <v>dom</v>
      </c>
      <c r="C272" s="29">
        <v>0.79166666666666696</v>
      </c>
      <c r="D272" s="19" t="s">
        <v>30</v>
      </c>
      <c r="E272" s="19"/>
      <c r="F272" s="19"/>
      <c r="G272" s="30" t="str">
        <f>IF(COUNTIF(D272:F272,"?*")=$P$5,"✅ CUBIERTO",
IF(COUNTIF(D272:F272,"?*")&gt;$P$5,"⚠ EXCESO",IF(COUNTIF(D272:F272,"?*")&gt;0,"⚠ FALTANTE",
"❌ SIN COMPLETAR")))</f>
        <v>⚠ FALTANTE</v>
      </c>
      <c r="I272" s="27">
        <v>46012</v>
      </c>
      <c r="J272" s="28" t="str">
        <f t="shared" si="70"/>
        <v>dom</v>
      </c>
      <c r="K272" s="29">
        <v>0.79166666666666696</v>
      </c>
      <c r="L272" s="25"/>
      <c r="M272" s="25"/>
      <c r="N272" s="25"/>
      <c r="O272" s="31" t="s">
        <v>32</v>
      </c>
      <c r="Q272" s="27">
        <v>46012</v>
      </c>
      <c r="R272" s="28" t="str">
        <f t="shared" si="71"/>
        <v>dom</v>
      </c>
      <c r="S272" s="29">
        <v>0.79166666666666696</v>
      </c>
      <c r="T272" s="19"/>
      <c r="U272" s="19"/>
      <c r="V272" s="19"/>
      <c r="W272" s="30" t="str">
        <f>IF(COUNTIF(T272:V272,"?*")=$P$7,"✅ CUBIERTO",IF(COUNTIF(T272:V272,"?*")&gt;$P$7,"⚠ EXCESO",
IF(COUNTIF(T272:V272,"?*")&gt;0,"⚠ FALTANTE", "❌ SIN COMPLETAR")))</f>
        <v>❌ SIN COMPLETAR</v>
      </c>
    </row>
    <row r="273" spans="1:23" x14ac:dyDescent="0.35">
      <c r="A273" s="27">
        <v>46012</v>
      </c>
      <c r="B273" s="28" t="str">
        <f t="shared" si="69"/>
        <v>dom</v>
      </c>
      <c r="C273" s="29">
        <v>0.83333333333333337</v>
      </c>
      <c r="D273" s="25"/>
      <c r="E273" s="25"/>
      <c r="F273" s="25"/>
      <c r="G273" s="30" t="s">
        <v>32</v>
      </c>
      <c r="I273" s="27">
        <v>46012</v>
      </c>
      <c r="J273" s="28" t="str">
        <f t="shared" si="70"/>
        <v>dom</v>
      </c>
      <c r="K273" s="29">
        <v>0.83333333333333337</v>
      </c>
      <c r="L273" s="25"/>
      <c r="M273" s="25"/>
      <c r="N273" s="25"/>
      <c r="O273" s="31" t="s">
        <v>32</v>
      </c>
      <c r="Q273" s="27">
        <v>46012</v>
      </c>
      <c r="R273" s="28" t="str">
        <f t="shared" si="71"/>
        <v>dom</v>
      </c>
      <c r="S273" s="29">
        <v>0.83333333333333337</v>
      </c>
      <c r="T273" s="19"/>
      <c r="U273" s="19"/>
      <c r="V273" s="19"/>
      <c r="W273" s="30" t="str">
        <f>IF(COUNTIF(T273:V273,"?*")=$P$7,"✅ CUBIERTO",IF(COUNTIF(T273:V273,"?*")&gt;$P$7,"⚠ EXCESO",
IF(COUNTIF(T273:V273,"?*")&gt;0,"⚠ FALTANTE", "❌ SIN COMPLETAR")))</f>
        <v>❌ SIN COMPLETAR</v>
      </c>
    </row>
    <row r="274" spans="1:23" x14ac:dyDescent="0.35">
      <c r="A274" s="27">
        <v>46013</v>
      </c>
      <c r="B274" s="28" t="str">
        <f>TEXT(A274,"ddd")</f>
        <v>lun</v>
      </c>
      <c r="C274" s="29">
        <v>0.375</v>
      </c>
      <c r="D274" s="25"/>
      <c r="E274" s="25"/>
      <c r="F274" s="25"/>
      <c r="G274" s="30" t="s">
        <v>32</v>
      </c>
      <c r="I274" s="27">
        <v>46013</v>
      </c>
      <c r="J274" s="28" t="str">
        <f>TEXT(I274,"ddd")</f>
        <v>lun</v>
      </c>
      <c r="K274" s="29">
        <v>0.375</v>
      </c>
      <c r="L274" s="19"/>
      <c r="M274" s="19"/>
      <c r="N274" s="19"/>
      <c r="O274" s="31" t="str">
        <f>IF(COUNTIF(L274:N274,"?*")=$P$6,"✅ CUBIERTO",IF(COUNTIF(L274:N274,"?*")&gt;$P$6,"⚠ EXCESO",
IF(COUNTIF(L274:N274,"?*")&gt;0,"⚠ FALTANTE", "❌ SIN COMPLETAR")))</f>
        <v>❌ SIN COMPLETAR</v>
      </c>
      <c r="Q274" s="27">
        <v>46013</v>
      </c>
      <c r="R274" s="28" t="str">
        <f>TEXT(Q274,"ddd")</f>
        <v>lun</v>
      </c>
      <c r="S274" s="29">
        <v>0.375</v>
      </c>
      <c r="T274" s="25"/>
      <c r="U274" s="25"/>
      <c r="V274" s="25"/>
      <c r="W274" s="30" t="s">
        <v>32</v>
      </c>
    </row>
    <row r="275" spans="1:23" x14ac:dyDescent="0.35">
      <c r="A275" s="27">
        <v>46013</v>
      </c>
      <c r="B275" s="28" t="str">
        <f>TEXT(A275,"ddd")</f>
        <v>lun</v>
      </c>
      <c r="C275" s="29">
        <v>0.41666666666666669</v>
      </c>
      <c r="D275" s="25"/>
      <c r="E275" s="25"/>
      <c r="F275" s="25"/>
      <c r="G275" s="30" t="s">
        <v>32</v>
      </c>
      <c r="I275" s="27">
        <v>46013</v>
      </c>
      <c r="J275" s="28" t="str">
        <f>TEXT(I275,"ddd")</f>
        <v>lun</v>
      </c>
      <c r="K275" s="29">
        <v>0.41666666666666669</v>
      </c>
      <c r="L275" s="19"/>
      <c r="M275" s="19"/>
      <c r="N275" s="19"/>
      <c r="O275" s="31" t="str">
        <f>IF(COUNTIF(L275:N275,"?*")=$P$6,"✅ CUBIERTO",IF(COUNTIF(L275:N275,"?*")&gt;$P$6,"⚠ EXCESO",
IF(COUNTIF(L275:N275,"?*")&gt;0,"⚠ FALTANTE", "❌ SIN COMPLETAR")))</f>
        <v>❌ SIN COMPLETAR</v>
      </c>
      <c r="Q275" s="27">
        <v>46013</v>
      </c>
      <c r="R275" s="28" t="str">
        <f>TEXT(Q275,"ddd")</f>
        <v>lun</v>
      </c>
      <c r="S275" s="29">
        <v>0.41666666666666669</v>
      </c>
      <c r="T275" s="19"/>
      <c r="U275" s="19"/>
      <c r="V275" s="19"/>
      <c r="W275" s="30" t="str">
        <f>IF(COUNTIF(T275:V275,"?*")=$P$7,"✅ CUBIERTO",IF(COUNTIF(T275:V275,"?*")&gt;$P$7,"⚠ EXCESO",
IF(COUNTIF(T275:V275,"?*")&gt;0,"⚠ FALTANTE", "❌ SIN COMPLETAR")))</f>
        <v>❌ SIN COMPLETAR</v>
      </c>
    </row>
    <row r="276" spans="1:23" x14ac:dyDescent="0.35">
      <c r="A276" s="27">
        <v>46013</v>
      </c>
      <c r="B276" s="28" t="str">
        <f>TEXT(A276,"ddd")</f>
        <v>lun</v>
      </c>
      <c r="C276" s="29">
        <v>0.45833333333333331</v>
      </c>
      <c r="D276" s="19"/>
      <c r="E276" s="19"/>
      <c r="F276" s="19"/>
      <c r="G276" s="30" t="str">
        <f>IF(COUNTIF(D276:F276,"?*")=$P$5,"✅ CUBIERTO",
IF(COUNTIF(D276:F276,"?*")&gt;$P$5,"⚠ EXCESO",IF(COUNTIF(D276:F276,"?*")&gt;0,"⚠ FALTANTE",
"❌ SIN COMPLETAR")))</f>
        <v>❌ SIN COMPLETAR</v>
      </c>
      <c r="I276" s="27">
        <v>46013</v>
      </c>
      <c r="J276" s="28" t="str">
        <f>TEXT(I276,"ddd")</f>
        <v>lun</v>
      </c>
      <c r="K276" s="29">
        <v>0.45833333333333331</v>
      </c>
      <c r="L276" s="19"/>
      <c r="M276" s="19"/>
      <c r="N276" s="19"/>
      <c r="O276" s="31" t="str">
        <f>IF(COUNTIF(L276:N276,"?*")=$P$6,"✅ CUBIERTO",IF(COUNTIF(L276:N276,"?*")&gt;$P$6,"⚠ EXCESO",
IF(COUNTIF(L276:N276,"?*")&gt;0,"⚠ FALTANTE", "❌ SIN COMPLETAR")))</f>
        <v>❌ SIN COMPLETAR</v>
      </c>
      <c r="Q276" s="27">
        <v>46013</v>
      </c>
      <c r="R276" s="28" t="str">
        <f>TEXT(Q276,"ddd")</f>
        <v>lun</v>
      </c>
      <c r="S276" s="29">
        <v>0.45833333333333331</v>
      </c>
      <c r="T276" s="19"/>
      <c r="U276" s="19"/>
      <c r="V276" s="19"/>
      <c r="W276" s="30" t="str">
        <f>IF(COUNTIF(T276:V276,"?*")=$P$7,"✅ CUBIERTO",IF(COUNTIF(T276:V276,"?*")&gt;$P$7,"⚠ EXCESO",
IF(COUNTIF(T276:V276,"?*")&gt;0,"⚠ FALTANTE", "❌ SIN COMPLETAR")))</f>
        <v>❌ SIN COMPLETAR</v>
      </c>
    </row>
    <row r="277" spans="1:23" x14ac:dyDescent="0.35">
      <c r="A277" s="27">
        <v>46013</v>
      </c>
      <c r="B277" s="28" t="str">
        <f t="shared" ref="B277:B288" si="72">TEXT(A277,"ddd")</f>
        <v>lun</v>
      </c>
      <c r="C277" s="29">
        <v>0.5</v>
      </c>
      <c r="D277" s="19"/>
      <c r="E277" s="19"/>
      <c r="F277" s="19"/>
      <c r="G277" s="30" t="str">
        <f>IF(COUNTIF(D277:F277,"?*")=$P$5,"✅ CUBIERTO",
IF(COUNTIF(D277:F277,"?*")&gt;$P$5,"⚠ EXCESO",IF(COUNTIF(D277:F277,"?*")&gt;0,"⚠ FALTANTE",
"❌ SIN COMPLETAR")))</f>
        <v>❌ SIN COMPLETAR</v>
      </c>
      <c r="I277" s="27">
        <v>46013</v>
      </c>
      <c r="J277" s="28" t="str">
        <f t="shared" ref="J277:J288" si="73">TEXT(I277,"ddd")</f>
        <v>lun</v>
      </c>
      <c r="K277" s="29">
        <v>0.5</v>
      </c>
      <c r="L277" s="19"/>
      <c r="M277" s="19"/>
      <c r="N277" s="19"/>
      <c r="O277" s="31" t="str">
        <f>IF(COUNTIF(L277:N277,"?*")=$P$6,"✅ CUBIERTO",IF(COUNTIF(L277:N277,"?*")&gt;$P$6,"⚠ EXCESO",
IF(COUNTIF(L277:N277,"?*")&gt;0,"⚠ FALTANTE", "❌ SIN COMPLETAR")))</f>
        <v>❌ SIN COMPLETAR</v>
      </c>
      <c r="Q277" s="27">
        <v>46013</v>
      </c>
      <c r="R277" s="28" t="str">
        <f t="shared" ref="R277:R288" si="74">TEXT(Q277,"ddd")</f>
        <v>lun</v>
      </c>
      <c r="S277" s="29">
        <v>0.5</v>
      </c>
      <c r="T277" s="19"/>
      <c r="U277" s="19"/>
      <c r="V277" s="19"/>
      <c r="W277" s="30" t="str">
        <f>IF(COUNTIF(T277:V277,"?*")=$P$7,"✅ CUBIERTO",IF(COUNTIF(T277:V277,"?*")&gt;$P$7,"⚠ EXCESO",
IF(COUNTIF(T277:V277,"?*")&gt;0,"⚠ FALTANTE", "❌ SIN COMPLETAR")))</f>
        <v>❌ SIN COMPLETAR</v>
      </c>
    </row>
    <row r="278" spans="1:23" x14ac:dyDescent="0.35">
      <c r="A278" s="27">
        <v>46013</v>
      </c>
      <c r="B278" s="28" t="str">
        <f t="shared" si="72"/>
        <v>lun</v>
      </c>
      <c r="C278" s="29">
        <v>0.54166666666666696</v>
      </c>
      <c r="D278" s="19"/>
      <c r="E278" s="19"/>
      <c r="F278" s="19"/>
      <c r="G278" s="30" t="str">
        <f>IF(COUNTIF(D278:F278,"?*")=$P$5,"✅ CUBIERTO",
IF(COUNTIF(D278:F278,"?*")&gt;$P$5,"⚠ EXCESO",IF(COUNTIF(D278:F278,"?*")&gt;0,"⚠ FALTANTE",
"❌ SIN COMPLETAR")))</f>
        <v>❌ SIN COMPLETAR</v>
      </c>
      <c r="I278" s="27">
        <v>46013</v>
      </c>
      <c r="J278" s="28" t="str">
        <f t="shared" si="73"/>
        <v>lun</v>
      </c>
      <c r="K278" s="29">
        <v>0.54166666666666696</v>
      </c>
      <c r="L278" s="19"/>
      <c r="M278" s="19"/>
      <c r="N278" s="19"/>
      <c r="O278" s="31" t="str">
        <f>IF(COUNTIF(L278:N278,"?*")=$P$6,"✅ CUBIERTO",IF(COUNTIF(L278:N278,"?*")&gt;$P$6,"⚠ EXCESO",
IF(COUNTIF(L278:N278,"?*")&gt;0,"⚠ FALTANTE", "❌ SIN COMPLETAR")))</f>
        <v>❌ SIN COMPLETAR</v>
      </c>
      <c r="Q278" s="27">
        <v>46013</v>
      </c>
      <c r="R278" s="28" t="str">
        <f t="shared" si="74"/>
        <v>lun</v>
      </c>
      <c r="S278" s="29">
        <v>0.54166666666666696</v>
      </c>
      <c r="T278" s="19"/>
      <c r="U278" s="19"/>
      <c r="V278" s="19"/>
      <c r="W278" s="30" t="str">
        <f>IF(COUNTIF(T278:V278,"?*")=$P$7,"✅ CUBIERTO",IF(COUNTIF(T278:V278,"?*")&gt;$P$7,"⚠ EXCESO",
IF(COUNTIF(T278:V278,"?*")&gt;0,"⚠ FALTANTE", "❌ SIN COMPLETAR")))</f>
        <v>❌ SIN COMPLETAR</v>
      </c>
    </row>
    <row r="279" spans="1:23" x14ac:dyDescent="0.35">
      <c r="A279" s="27">
        <v>46013</v>
      </c>
      <c r="B279" s="28" t="str">
        <f t="shared" si="72"/>
        <v>lun</v>
      </c>
      <c r="C279" s="29">
        <v>0.58333333333333304</v>
      </c>
      <c r="D279" s="19"/>
      <c r="E279" s="19"/>
      <c r="F279" s="19"/>
      <c r="G279" s="30" t="str">
        <f>IF(COUNTIF(D279:F279,"?*")=$P$5,"✅ CUBIERTO",
IF(COUNTIF(D279:F279,"?*")&gt;$P$5,"⚠ EXCESO",IF(COUNTIF(D279:F279,"?*")&gt;0,"⚠ FALTANTE",
"❌ SIN COMPLETAR")))</f>
        <v>❌ SIN COMPLETAR</v>
      </c>
      <c r="I279" s="27">
        <v>46013</v>
      </c>
      <c r="J279" s="28" t="str">
        <f t="shared" si="73"/>
        <v>lun</v>
      </c>
      <c r="K279" s="29">
        <v>0.58333333333333304</v>
      </c>
      <c r="L279" s="19"/>
      <c r="M279" s="19"/>
      <c r="N279" s="19"/>
      <c r="O279" s="31" t="str">
        <f>IF(COUNTIF(L279:N279,"?*")=$P$6,"✅ CUBIERTO",IF(COUNTIF(L279:N279,"?*")&gt;$P$6,"⚠ EXCESO",
IF(COUNTIF(L279:N279,"?*")&gt;0,"⚠ FALTANTE", "❌ SIN COMPLETAR")))</f>
        <v>❌ SIN COMPLETAR</v>
      </c>
      <c r="Q279" s="27">
        <v>46013</v>
      </c>
      <c r="R279" s="28" t="str">
        <f t="shared" si="74"/>
        <v>lun</v>
      </c>
      <c r="S279" s="29">
        <v>0.58333333333333304</v>
      </c>
      <c r="T279" s="19"/>
      <c r="U279" s="19"/>
      <c r="V279" s="19"/>
      <c r="W279" s="30" t="str">
        <f>IF(COUNTIF(T279:V279,"?*")=$P$7,"✅ CUBIERTO",IF(COUNTIF(T279:V279,"?*")&gt;$P$7,"⚠ EXCESO",
IF(COUNTIF(T279:V279,"?*")&gt;0,"⚠ FALTANTE", "❌ SIN COMPLETAR")))</f>
        <v>❌ SIN COMPLETAR</v>
      </c>
    </row>
    <row r="280" spans="1:23" x14ac:dyDescent="0.35">
      <c r="A280" s="27">
        <v>46013</v>
      </c>
      <c r="B280" s="28" t="str">
        <f t="shared" si="72"/>
        <v>lun</v>
      </c>
      <c r="C280" s="29">
        <v>0.625</v>
      </c>
      <c r="D280" s="19"/>
      <c r="E280" s="19"/>
      <c r="F280" s="19"/>
      <c r="G280" s="30" t="str">
        <f>IF(COUNTIF(D280:F280,"?*")=$P$5,"✅ CUBIERTO",
IF(COUNTIF(D280:F280,"?*")&gt;$P$5,"⚠ EXCESO",IF(COUNTIF(D280:F280,"?*")&gt;0,"⚠ FALTANTE",
"❌ SIN COMPLETAR")))</f>
        <v>❌ SIN COMPLETAR</v>
      </c>
      <c r="I280" s="27">
        <v>46013</v>
      </c>
      <c r="J280" s="28" t="str">
        <f t="shared" si="73"/>
        <v>lun</v>
      </c>
      <c r="K280" s="29">
        <v>0.625</v>
      </c>
      <c r="L280" s="19"/>
      <c r="M280" s="19"/>
      <c r="N280" s="19"/>
      <c r="O280" s="31" t="str">
        <f>IF(COUNTIF(L280:N280,"?*")=$P$6,"✅ CUBIERTO",IF(COUNTIF(L280:N280,"?*")&gt;$P$6,"⚠ EXCESO",
IF(COUNTIF(L280:N280,"?*")&gt;0,"⚠ FALTANTE", "❌ SIN COMPLETAR")))</f>
        <v>❌ SIN COMPLETAR</v>
      </c>
      <c r="Q280" s="27">
        <v>46013</v>
      </c>
      <c r="R280" s="28" t="str">
        <f t="shared" si="74"/>
        <v>lun</v>
      </c>
      <c r="S280" s="29">
        <v>0.625</v>
      </c>
      <c r="T280" s="19"/>
      <c r="U280" s="19"/>
      <c r="V280" s="19"/>
      <c r="W280" s="30" t="str">
        <f>IF(COUNTIF(T280:V280,"?*")=$P$7,"✅ CUBIERTO",IF(COUNTIF(T280:V280,"?*")&gt;$P$7,"⚠ EXCESO",
IF(COUNTIF(T280:V280,"?*")&gt;0,"⚠ FALTANTE", "❌ SIN COMPLETAR")))</f>
        <v>❌ SIN COMPLETAR</v>
      </c>
    </row>
    <row r="281" spans="1:23" x14ac:dyDescent="0.35">
      <c r="A281" s="27">
        <v>46013</v>
      </c>
      <c r="B281" s="28" t="str">
        <f t="shared" si="72"/>
        <v>lun</v>
      </c>
      <c r="C281" s="29">
        <v>0.66666666666666696</v>
      </c>
      <c r="D281" s="19" t="s">
        <v>30</v>
      </c>
      <c r="E281" s="19"/>
      <c r="F281" s="19"/>
      <c r="G281" s="30" t="str">
        <f>IF(COUNTIF(D281:F281,"?*")=$P$5,"✅ CUBIERTO",
IF(COUNTIF(D281:F281,"?*")&gt;$P$5,"⚠ EXCESO",IF(COUNTIF(D281:F281,"?*")&gt;0,"⚠ FALTANTE",
"❌ SIN COMPLETAR")))</f>
        <v>⚠ FALTANTE</v>
      </c>
      <c r="I281" s="27">
        <v>46013</v>
      </c>
      <c r="J281" s="28" t="str">
        <f t="shared" si="73"/>
        <v>lun</v>
      </c>
      <c r="K281" s="29">
        <v>0.66666666666666696</v>
      </c>
      <c r="L281" s="19"/>
      <c r="M281" s="19"/>
      <c r="N281" s="19"/>
      <c r="O281" s="31" t="str">
        <f>IF(COUNTIF(L281:N281,"?*")=$P$6,"✅ CUBIERTO",IF(COUNTIF(L281:N281,"?*")&gt;$P$6,"⚠ EXCESO",
IF(COUNTIF(L281:N281,"?*")&gt;0,"⚠ FALTANTE", "❌ SIN COMPLETAR")))</f>
        <v>❌ SIN COMPLETAR</v>
      </c>
      <c r="Q281" s="27">
        <v>46013</v>
      </c>
      <c r="R281" s="28" t="str">
        <f t="shared" si="74"/>
        <v>lun</v>
      </c>
      <c r="S281" s="29">
        <v>0.66666666666666696</v>
      </c>
      <c r="T281" s="19"/>
      <c r="U281" s="19"/>
      <c r="V281" s="19"/>
      <c r="W281" s="30" t="str">
        <f>IF(COUNTIF(T281:V281,"?*")=$P$7,"✅ CUBIERTO",IF(COUNTIF(T281:V281,"?*")&gt;$P$7,"⚠ EXCESO",
IF(COUNTIF(T281:V281,"?*")&gt;0,"⚠ FALTANTE", "❌ SIN COMPLETAR")))</f>
        <v>❌ SIN COMPLETAR</v>
      </c>
    </row>
    <row r="282" spans="1:23" x14ac:dyDescent="0.35">
      <c r="A282" s="27">
        <v>46013</v>
      </c>
      <c r="B282" s="28" t="str">
        <f t="shared" si="72"/>
        <v>lun</v>
      </c>
      <c r="C282" s="29">
        <v>0.70833333333333304</v>
      </c>
      <c r="D282" s="19" t="s">
        <v>30</v>
      </c>
      <c r="E282" s="19"/>
      <c r="F282" s="19"/>
      <c r="G282" s="30" t="str">
        <f>IF(COUNTIF(D282:F282,"?*")=$P$5,"✅ CUBIERTO",
IF(COUNTIF(D282:F282,"?*")&gt;$P$5,"⚠ EXCESO",IF(COUNTIF(D282:F282,"?*")&gt;0,"⚠ FALTANTE",
"❌ SIN COMPLETAR")))</f>
        <v>⚠ FALTANTE</v>
      </c>
      <c r="I282" s="27">
        <v>46013</v>
      </c>
      <c r="J282" s="28" t="str">
        <f t="shared" si="73"/>
        <v>lun</v>
      </c>
      <c r="K282" s="29">
        <v>0.70833333333333304</v>
      </c>
      <c r="L282" s="19"/>
      <c r="M282" s="19"/>
      <c r="N282" s="19"/>
      <c r="O282" s="31" t="str">
        <f>IF(COUNTIF(L282:N282,"?*")=$P$6,"✅ CUBIERTO",IF(COUNTIF(L282:N282,"?*")&gt;$P$6,"⚠ EXCESO",
IF(COUNTIF(L282:N282,"?*")&gt;0,"⚠ FALTANTE", "❌ SIN COMPLETAR")))</f>
        <v>❌ SIN COMPLETAR</v>
      </c>
      <c r="Q282" s="27">
        <v>46013</v>
      </c>
      <c r="R282" s="28" t="str">
        <f t="shared" si="74"/>
        <v>lun</v>
      </c>
      <c r="S282" s="29">
        <v>0.70833333333333304</v>
      </c>
      <c r="T282" s="19"/>
      <c r="U282" s="19"/>
      <c r="V282" s="19"/>
      <c r="W282" s="30" t="str">
        <f>IF(COUNTIF(T282:V282,"?*")=$P$7,"✅ CUBIERTO",IF(COUNTIF(T282:V282,"?*")&gt;$P$7,"⚠ EXCESO",
IF(COUNTIF(T282:V282,"?*")&gt;0,"⚠ FALTANTE", "❌ SIN COMPLETAR")))</f>
        <v>❌ SIN COMPLETAR</v>
      </c>
    </row>
    <row r="283" spans="1:23" x14ac:dyDescent="0.35">
      <c r="A283" s="27">
        <v>46013</v>
      </c>
      <c r="B283" s="28" t="str">
        <f t="shared" si="72"/>
        <v>lun</v>
      </c>
      <c r="C283" s="29">
        <v>0.75</v>
      </c>
      <c r="D283" s="19" t="s">
        <v>30</v>
      </c>
      <c r="E283" s="19"/>
      <c r="F283" s="19"/>
      <c r="G283" s="30" t="str">
        <f>IF(COUNTIF(D283:F283,"?*")=$P$5,"✅ CUBIERTO",
IF(COUNTIF(D283:F283,"?*")&gt;$P$5,"⚠ EXCESO",IF(COUNTIF(D283:F283,"?*")&gt;0,"⚠ FALTANTE",
"❌ SIN COMPLETAR")))</f>
        <v>⚠ FALTANTE</v>
      </c>
      <c r="I283" s="27">
        <v>46013</v>
      </c>
      <c r="J283" s="28" t="str">
        <f t="shared" si="73"/>
        <v>lun</v>
      </c>
      <c r="K283" s="29">
        <v>0.75</v>
      </c>
      <c r="L283" s="25"/>
      <c r="M283" s="25"/>
      <c r="N283" s="25"/>
      <c r="O283" s="31" t="s">
        <v>32</v>
      </c>
      <c r="Q283" s="27">
        <v>46013</v>
      </c>
      <c r="R283" s="28" t="str">
        <f t="shared" si="74"/>
        <v>lun</v>
      </c>
      <c r="S283" s="29">
        <v>0.75</v>
      </c>
      <c r="T283" s="19"/>
      <c r="U283" s="19"/>
      <c r="V283" s="19"/>
      <c r="W283" s="30" t="str">
        <f>IF(COUNTIF(T283:V283,"?*")=$P$7,"✅ CUBIERTO",IF(COUNTIF(T283:V283,"?*")&gt;$P$7,"⚠ EXCESO",
IF(COUNTIF(T283:V283,"?*")&gt;0,"⚠ FALTANTE", "❌ SIN COMPLETAR")))</f>
        <v>❌ SIN COMPLETAR</v>
      </c>
    </row>
    <row r="284" spans="1:23" x14ac:dyDescent="0.35">
      <c r="A284" s="27">
        <v>46013</v>
      </c>
      <c r="B284" s="28" t="str">
        <f t="shared" si="72"/>
        <v>lun</v>
      </c>
      <c r="C284" s="29">
        <v>0.79166666666666696</v>
      </c>
      <c r="D284" s="19" t="s">
        <v>30</v>
      </c>
      <c r="E284" s="19"/>
      <c r="F284" s="19"/>
      <c r="G284" s="30" t="str">
        <f>IF(COUNTIF(D284:F284,"?*")=$P$5,"✅ CUBIERTO",
IF(COUNTIF(D284:F284,"?*")&gt;$P$5,"⚠ EXCESO",IF(COUNTIF(D284:F284,"?*")&gt;0,"⚠ FALTANTE",
"❌ SIN COMPLETAR")))</f>
        <v>⚠ FALTANTE</v>
      </c>
      <c r="I284" s="27">
        <v>46013</v>
      </c>
      <c r="J284" s="28" t="str">
        <f t="shared" si="73"/>
        <v>lun</v>
      </c>
      <c r="K284" s="29">
        <v>0.79166666666666696</v>
      </c>
      <c r="L284" s="25"/>
      <c r="M284" s="25"/>
      <c r="N284" s="25"/>
      <c r="O284" s="31" t="s">
        <v>32</v>
      </c>
      <c r="Q284" s="27">
        <v>46013</v>
      </c>
      <c r="R284" s="28" t="str">
        <f t="shared" si="74"/>
        <v>lun</v>
      </c>
      <c r="S284" s="29">
        <v>0.79166666666666696</v>
      </c>
      <c r="T284" s="19"/>
      <c r="U284" s="19"/>
      <c r="V284" s="19"/>
      <c r="W284" s="30" t="str">
        <f>IF(COUNTIF(T284:V284,"?*")=$P$7,"✅ CUBIERTO",IF(COUNTIF(T284:V284,"?*")&gt;$P$7,"⚠ EXCESO",
IF(COUNTIF(T284:V284,"?*")&gt;0,"⚠ FALTANTE", "❌ SIN COMPLETAR")))</f>
        <v>❌ SIN COMPLETAR</v>
      </c>
    </row>
    <row r="285" spans="1:23" x14ac:dyDescent="0.35">
      <c r="A285" s="27">
        <v>46013</v>
      </c>
      <c r="B285" s="28" t="str">
        <f t="shared" si="72"/>
        <v>lun</v>
      </c>
      <c r="C285" s="29">
        <v>0.83333333333333337</v>
      </c>
      <c r="D285" s="25"/>
      <c r="E285" s="25"/>
      <c r="F285" s="25"/>
      <c r="G285" s="30" t="s">
        <v>32</v>
      </c>
      <c r="I285" s="27">
        <v>46013</v>
      </c>
      <c r="J285" s="28" t="str">
        <f t="shared" si="73"/>
        <v>lun</v>
      </c>
      <c r="K285" s="29">
        <v>0.83333333333333337</v>
      </c>
      <c r="L285" s="25"/>
      <c r="M285" s="25"/>
      <c r="N285" s="25"/>
      <c r="O285" s="31" t="s">
        <v>32</v>
      </c>
      <c r="Q285" s="27">
        <v>46013</v>
      </c>
      <c r="R285" s="28" t="str">
        <f t="shared" si="74"/>
        <v>lun</v>
      </c>
      <c r="S285" s="29">
        <v>0.83333333333333337</v>
      </c>
      <c r="T285" s="19"/>
      <c r="U285" s="19"/>
      <c r="V285" s="19"/>
      <c r="W285" s="30" t="str">
        <f>IF(COUNTIF(T285:V285,"?*")=$P$7,"✅ CUBIERTO",IF(COUNTIF(T285:V285,"?*")&gt;$P$7,"⚠ EXCESO",
IF(COUNTIF(T285:V285,"?*")&gt;0,"⚠ FALTANTE", "❌ SIN COMPLETAR")))</f>
        <v>❌ SIN COMPLETAR</v>
      </c>
    </row>
    <row r="286" spans="1:23" x14ac:dyDescent="0.35">
      <c r="A286" s="27">
        <v>46014</v>
      </c>
      <c r="B286" s="28" t="str">
        <f t="shared" si="72"/>
        <v>mar</v>
      </c>
      <c r="C286" s="29">
        <v>0.375</v>
      </c>
      <c r="D286" s="25"/>
      <c r="E286" s="25"/>
      <c r="F286" s="25"/>
      <c r="G286" s="30" t="s">
        <v>32</v>
      </c>
      <c r="I286" s="27">
        <v>46014</v>
      </c>
      <c r="J286" s="28" t="str">
        <f t="shared" si="73"/>
        <v>mar</v>
      </c>
      <c r="K286" s="29">
        <v>0.375</v>
      </c>
      <c r="L286" s="19"/>
      <c r="M286" s="19"/>
      <c r="N286" s="19"/>
      <c r="O286" s="31" t="str">
        <f>IF(COUNTIF(L286:N286,"?*")=$P$6,"✅ CUBIERTO",IF(COUNTIF(L286:N286,"?*")&gt;$P$6,"⚠ EXCESO",
IF(COUNTIF(L286:N286,"?*")&gt;0,"⚠ FALTANTE", "❌ SIN COMPLETAR")))</f>
        <v>❌ SIN COMPLETAR</v>
      </c>
      <c r="Q286" s="27">
        <v>46014</v>
      </c>
      <c r="R286" s="28" t="str">
        <f t="shared" si="74"/>
        <v>mar</v>
      </c>
      <c r="S286" s="29">
        <v>0.375</v>
      </c>
      <c r="T286" s="25"/>
      <c r="U286" s="25"/>
      <c r="V286" s="25"/>
      <c r="W286" s="30" t="s">
        <v>32</v>
      </c>
    </row>
    <row r="287" spans="1:23" x14ac:dyDescent="0.35">
      <c r="A287" s="27">
        <v>46014</v>
      </c>
      <c r="B287" s="28" t="str">
        <f t="shared" si="72"/>
        <v>mar</v>
      </c>
      <c r="C287" s="29">
        <v>0.41666666666666669</v>
      </c>
      <c r="D287" s="25"/>
      <c r="E287" s="25"/>
      <c r="F287" s="25"/>
      <c r="G287" s="30" t="s">
        <v>32</v>
      </c>
      <c r="I287" s="27">
        <v>46014</v>
      </c>
      <c r="J287" s="28" t="str">
        <f t="shared" si="73"/>
        <v>mar</v>
      </c>
      <c r="K287" s="29">
        <v>0.41666666666666669</v>
      </c>
      <c r="L287" s="19"/>
      <c r="M287" s="19"/>
      <c r="N287" s="19"/>
      <c r="O287" s="31" t="str">
        <f>IF(COUNTIF(L287:N287,"?*")=$P$6,"✅ CUBIERTO",IF(COUNTIF(L287:N287,"?*")&gt;$P$6,"⚠ EXCESO",
IF(COUNTIF(L287:N287,"?*")&gt;0,"⚠ FALTANTE", "❌ SIN COMPLETAR")))</f>
        <v>❌ SIN COMPLETAR</v>
      </c>
      <c r="Q287" s="27">
        <v>46014</v>
      </c>
      <c r="R287" s="28" t="str">
        <f t="shared" si="74"/>
        <v>mar</v>
      </c>
      <c r="S287" s="29">
        <v>0.41666666666666669</v>
      </c>
      <c r="T287" s="19"/>
      <c r="U287" s="19"/>
      <c r="V287" s="19"/>
      <c r="W287" s="30" t="str">
        <f>IF(COUNTIF(T287:V287,"?*")=$P$7,"✅ CUBIERTO",IF(COUNTIF(T287:V287,"?*")&gt;$P$7,"⚠ EXCESO",
IF(COUNTIF(T287:V287,"?*")&gt;0,"⚠ FALTANTE", "❌ SIN COMPLETAR")))</f>
        <v>❌ SIN COMPLETAR</v>
      </c>
    </row>
    <row r="288" spans="1:23" x14ac:dyDescent="0.35">
      <c r="A288" s="27">
        <v>46014</v>
      </c>
      <c r="B288" s="28" t="str">
        <f t="shared" si="72"/>
        <v>mar</v>
      </c>
      <c r="C288" s="29">
        <v>0.45833333333333331</v>
      </c>
      <c r="D288" s="19" t="s">
        <v>3</v>
      </c>
      <c r="E288" s="19" t="s">
        <v>4</v>
      </c>
      <c r="F288" s="19"/>
      <c r="G288" s="30" t="str">
        <f>IF(COUNTIF(D288:F288,"?*")=$P$5,"✅ CUBIERTO",
IF(COUNTIF(D288:F288,"?*")&gt;$P$5,"⚠ EXCESO",IF(COUNTIF(D288:F288,"?*")&gt;0,"⚠ FALTANTE",
"❌ SIN COMPLETAR")))</f>
        <v>✅ CUBIERTO</v>
      </c>
      <c r="I288" s="27">
        <v>46014</v>
      </c>
      <c r="J288" s="28" t="str">
        <f t="shared" si="73"/>
        <v>mar</v>
      </c>
      <c r="K288" s="29">
        <v>0.45833333333333331</v>
      </c>
      <c r="L288" s="19"/>
      <c r="M288" s="19"/>
      <c r="N288" s="19"/>
      <c r="O288" s="31" t="str">
        <f>IF(COUNTIF(L288:N288,"?*")=$P$6,"✅ CUBIERTO",IF(COUNTIF(L288:N288,"?*")&gt;$P$6,"⚠ EXCESO",
IF(COUNTIF(L288:N288,"?*")&gt;0,"⚠ FALTANTE", "❌ SIN COMPLETAR")))</f>
        <v>❌ SIN COMPLETAR</v>
      </c>
      <c r="Q288" s="27">
        <v>46014</v>
      </c>
      <c r="R288" s="28" t="str">
        <f t="shared" si="74"/>
        <v>mar</v>
      </c>
      <c r="S288" s="29">
        <v>0.45833333333333331</v>
      </c>
      <c r="T288" s="19"/>
      <c r="U288" s="19"/>
      <c r="V288" s="19"/>
      <c r="W288" s="30" t="str">
        <f>IF(COUNTIF(T288:V288,"?*")=$P$7,"✅ CUBIERTO",IF(COUNTIF(T288:V288,"?*")&gt;$P$7,"⚠ EXCESO",
IF(COUNTIF(T288:V288,"?*")&gt;0,"⚠ FALTANTE", "❌ SIN COMPLETAR")))</f>
        <v>❌ SIN COMPLETAR</v>
      </c>
    </row>
    <row r="289" spans="1:23" x14ac:dyDescent="0.35">
      <c r="A289" s="27">
        <v>46014</v>
      </c>
      <c r="B289" s="28" t="str">
        <f>TEXT(A289,"ddd")</f>
        <v>mar</v>
      </c>
      <c r="C289" s="29">
        <v>0.5</v>
      </c>
      <c r="D289" s="19" t="s">
        <v>3</v>
      </c>
      <c r="E289" s="19" t="s">
        <v>4</v>
      </c>
      <c r="F289" s="19"/>
      <c r="G289" s="30" t="str">
        <f>IF(COUNTIF(D289:F289,"?*")=$P$5,"✅ CUBIERTO",
IF(COUNTIF(D289:F289,"?*")&gt;$P$5,"⚠ EXCESO",IF(COUNTIF(D289:F289,"?*")&gt;0,"⚠ FALTANTE",
"❌ SIN COMPLETAR")))</f>
        <v>✅ CUBIERTO</v>
      </c>
      <c r="I289" s="27">
        <v>46014</v>
      </c>
      <c r="J289" s="28" t="str">
        <f>TEXT(I289,"ddd")</f>
        <v>mar</v>
      </c>
      <c r="K289" s="29">
        <v>0.5</v>
      </c>
      <c r="L289" s="19"/>
      <c r="M289" s="19"/>
      <c r="N289" s="19"/>
      <c r="O289" s="31" t="str">
        <f>IF(COUNTIF(L289:N289,"?*")=$P$6,"✅ CUBIERTO",IF(COUNTIF(L289:N289,"?*")&gt;$P$6,"⚠ EXCESO",
IF(COUNTIF(L289:N289,"?*")&gt;0,"⚠ FALTANTE", "❌ SIN COMPLETAR")))</f>
        <v>❌ SIN COMPLETAR</v>
      </c>
      <c r="Q289" s="27">
        <v>46014</v>
      </c>
      <c r="R289" s="28" t="str">
        <f>TEXT(Q289,"ddd")</f>
        <v>mar</v>
      </c>
      <c r="S289" s="29">
        <v>0.5</v>
      </c>
      <c r="T289" s="19"/>
      <c r="U289" s="19"/>
      <c r="V289" s="19"/>
      <c r="W289" s="30" t="str">
        <f>IF(COUNTIF(T289:V289,"?*")=$P$7,"✅ CUBIERTO",IF(COUNTIF(T289:V289,"?*")&gt;$P$7,"⚠ EXCESO",
IF(COUNTIF(T289:V289,"?*")&gt;0,"⚠ FALTANTE", "❌ SIN COMPLETAR")))</f>
        <v>❌ SIN COMPLETAR</v>
      </c>
    </row>
    <row r="290" spans="1:23" x14ac:dyDescent="0.35">
      <c r="A290" s="27">
        <v>46014</v>
      </c>
      <c r="B290" s="28" t="str">
        <f t="shared" ref="B290:B297" si="75">TEXT(A290,"ddd")</f>
        <v>mar</v>
      </c>
      <c r="C290" s="29">
        <v>0.54166666666666696</v>
      </c>
      <c r="D290" s="19" t="s">
        <v>3</v>
      </c>
      <c r="E290" s="19" t="s">
        <v>4</v>
      </c>
      <c r="F290" s="19"/>
      <c r="G290" s="30" t="str">
        <f>IF(COUNTIF(D290:F290,"?*")=$P$5,"✅ CUBIERTO",
IF(COUNTIF(D290:F290,"?*")&gt;$P$5,"⚠ EXCESO",IF(COUNTIF(D290:F290,"?*")&gt;0,"⚠ FALTANTE",
"❌ SIN COMPLETAR")))</f>
        <v>✅ CUBIERTO</v>
      </c>
      <c r="I290" s="27">
        <v>46014</v>
      </c>
      <c r="J290" s="28" t="str">
        <f t="shared" ref="J290:J297" si="76">TEXT(I290,"ddd")</f>
        <v>mar</v>
      </c>
      <c r="K290" s="29">
        <v>0.54166666666666696</v>
      </c>
      <c r="L290" s="19"/>
      <c r="M290" s="19"/>
      <c r="N290" s="19"/>
      <c r="O290" s="31" t="str">
        <f>IF(COUNTIF(L290:N290,"?*")=$P$6,"✅ CUBIERTO",IF(COUNTIF(L290:N290,"?*")&gt;$P$6,"⚠ EXCESO",
IF(COUNTIF(L290:N290,"?*")&gt;0,"⚠ FALTANTE", "❌ SIN COMPLETAR")))</f>
        <v>❌ SIN COMPLETAR</v>
      </c>
      <c r="Q290" s="27">
        <v>46014</v>
      </c>
      <c r="R290" s="28" t="str">
        <f t="shared" ref="R290:R297" si="77">TEXT(Q290,"ddd")</f>
        <v>mar</v>
      </c>
      <c r="S290" s="29">
        <v>0.54166666666666696</v>
      </c>
      <c r="T290" s="19"/>
      <c r="U290" s="19"/>
      <c r="V290" s="19"/>
      <c r="W290" s="30" t="str">
        <f>IF(COUNTIF(T290:V290,"?*")=$P$7,"✅ CUBIERTO",IF(COUNTIF(T290:V290,"?*")&gt;$P$7,"⚠ EXCESO",
IF(COUNTIF(T290:V290,"?*")&gt;0,"⚠ FALTANTE", "❌ SIN COMPLETAR")))</f>
        <v>❌ SIN COMPLETAR</v>
      </c>
    </row>
    <row r="291" spans="1:23" x14ac:dyDescent="0.35">
      <c r="A291" s="27">
        <v>46014</v>
      </c>
      <c r="B291" s="28" t="str">
        <f t="shared" si="75"/>
        <v>mar</v>
      </c>
      <c r="C291" s="29">
        <v>0.58333333333333304</v>
      </c>
      <c r="D291" s="19" t="s">
        <v>3</v>
      </c>
      <c r="E291" s="19" t="s">
        <v>4</v>
      </c>
      <c r="F291" s="19"/>
      <c r="G291" s="30" t="str">
        <f>IF(COUNTIF(D291:F291,"?*")=$P$5,"✅ CUBIERTO",
IF(COUNTIF(D291:F291,"?*")&gt;$P$5,"⚠ EXCESO",IF(COUNTIF(D291:F291,"?*")&gt;0,"⚠ FALTANTE",
"❌ SIN COMPLETAR")))</f>
        <v>✅ CUBIERTO</v>
      </c>
      <c r="I291" s="27">
        <v>46014</v>
      </c>
      <c r="J291" s="28" t="str">
        <f t="shared" si="76"/>
        <v>mar</v>
      </c>
      <c r="K291" s="29">
        <v>0.58333333333333304</v>
      </c>
      <c r="L291" s="19"/>
      <c r="M291" s="19"/>
      <c r="N291" s="19"/>
      <c r="O291" s="31" t="str">
        <f>IF(COUNTIF(L291:N291,"?*")=$P$6,"✅ CUBIERTO",IF(COUNTIF(L291:N291,"?*")&gt;$P$6,"⚠ EXCESO",
IF(COUNTIF(L291:N291,"?*")&gt;0,"⚠ FALTANTE", "❌ SIN COMPLETAR")))</f>
        <v>❌ SIN COMPLETAR</v>
      </c>
      <c r="Q291" s="27">
        <v>46014</v>
      </c>
      <c r="R291" s="28" t="str">
        <f t="shared" si="77"/>
        <v>mar</v>
      </c>
      <c r="S291" s="29">
        <v>0.58333333333333304</v>
      </c>
      <c r="T291" s="19"/>
      <c r="U291" s="19"/>
      <c r="V291" s="19"/>
      <c r="W291" s="30" t="str">
        <f>IF(COUNTIF(T291:V291,"?*")=$P$7,"✅ CUBIERTO",IF(COUNTIF(T291:V291,"?*")&gt;$P$7,"⚠ EXCESO",
IF(COUNTIF(T291:V291,"?*")&gt;0,"⚠ FALTANTE", "❌ SIN COMPLETAR")))</f>
        <v>❌ SIN COMPLETAR</v>
      </c>
    </row>
    <row r="292" spans="1:23" x14ac:dyDescent="0.35">
      <c r="A292" s="27">
        <v>46014</v>
      </c>
      <c r="B292" s="28" t="str">
        <f t="shared" si="75"/>
        <v>mar</v>
      </c>
      <c r="C292" s="29">
        <v>0.625</v>
      </c>
      <c r="D292" s="19" t="s">
        <v>3</v>
      </c>
      <c r="E292" s="19" t="s">
        <v>4</v>
      </c>
      <c r="F292" s="19"/>
      <c r="G292" s="30" t="str">
        <f>IF(COUNTIF(D292:F292,"?*")=$P$5,"✅ CUBIERTO",
IF(COUNTIF(D292:F292,"?*")&gt;$P$5,"⚠ EXCESO",IF(COUNTIF(D292:F292,"?*")&gt;0,"⚠ FALTANTE",
"❌ SIN COMPLETAR")))</f>
        <v>✅ CUBIERTO</v>
      </c>
      <c r="I292" s="27">
        <v>46014</v>
      </c>
      <c r="J292" s="28" t="str">
        <f t="shared" si="76"/>
        <v>mar</v>
      </c>
      <c r="K292" s="29">
        <v>0.625</v>
      </c>
      <c r="L292" s="19"/>
      <c r="M292" s="19"/>
      <c r="N292" s="19"/>
      <c r="O292" s="31" t="str">
        <f>IF(COUNTIF(L292:N292,"?*")=$P$6,"✅ CUBIERTO",IF(COUNTIF(L292:N292,"?*")&gt;$P$6,"⚠ EXCESO",
IF(COUNTIF(L292:N292,"?*")&gt;0,"⚠ FALTANTE", "❌ SIN COMPLETAR")))</f>
        <v>❌ SIN COMPLETAR</v>
      </c>
      <c r="Q292" s="27">
        <v>46014</v>
      </c>
      <c r="R292" s="28" t="str">
        <f t="shared" si="77"/>
        <v>mar</v>
      </c>
      <c r="S292" s="29">
        <v>0.625</v>
      </c>
      <c r="T292" s="19"/>
      <c r="U292" s="19"/>
      <c r="V292" s="19"/>
      <c r="W292" s="30" t="str">
        <f>IF(COUNTIF(T292:V292,"?*")=$P$7,"✅ CUBIERTO",IF(COUNTIF(T292:V292,"?*")&gt;$P$7,"⚠ EXCESO",
IF(COUNTIF(T292:V292,"?*")&gt;0,"⚠ FALTANTE", "❌ SIN COMPLETAR")))</f>
        <v>❌ SIN COMPLETAR</v>
      </c>
    </row>
    <row r="293" spans="1:23" x14ac:dyDescent="0.35">
      <c r="A293" s="27">
        <v>46014</v>
      </c>
      <c r="B293" s="28" t="str">
        <f t="shared" si="75"/>
        <v>mar</v>
      </c>
      <c r="C293" s="29">
        <v>0.66666666666666696</v>
      </c>
      <c r="D293" s="19" t="s">
        <v>30</v>
      </c>
      <c r="E293" s="19"/>
      <c r="F293" s="19"/>
      <c r="G293" s="30" t="str">
        <f>IF(COUNTIF(D293:F293,"?*")=$P$5,"✅ CUBIERTO",
IF(COUNTIF(D293:F293,"?*")&gt;$P$5,"⚠ EXCESO",IF(COUNTIF(D293:F293,"?*")&gt;0,"⚠ FALTANTE",
"❌ SIN COMPLETAR")))</f>
        <v>⚠ FALTANTE</v>
      </c>
      <c r="I293" s="27">
        <v>46014</v>
      </c>
      <c r="J293" s="28" t="str">
        <f t="shared" si="76"/>
        <v>mar</v>
      </c>
      <c r="K293" s="29">
        <v>0.66666666666666696</v>
      </c>
      <c r="L293" s="19"/>
      <c r="M293" s="19"/>
      <c r="N293" s="19"/>
      <c r="O293" s="31" t="str">
        <f>IF(COUNTIF(L293:N293,"?*")=$P$6,"✅ CUBIERTO",IF(COUNTIF(L293:N293,"?*")&gt;$P$6,"⚠ EXCESO",
IF(COUNTIF(L293:N293,"?*")&gt;0,"⚠ FALTANTE", "❌ SIN COMPLETAR")))</f>
        <v>❌ SIN COMPLETAR</v>
      </c>
      <c r="Q293" s="27">
        <v>46014</v>
      </c>
      <c r="R293" s="28" t="str">
        <f t="shared" si="77"/>
        <v>mar</v>
      </c>
      <c r="S293" s="29">
        <v>0.66666666666666696</v>
      </c>
      <c r="T293" s="19"/>
      <c r="U293" s="19"/>
      <c r="V293" s="19"/>
      <c r="W293" s="30" t="str">
        <f>IF(COUNTIF(T293:V293,"?*")=$P$7,"✅ CUBIERTO",IF(COUNTIF(T293:V293,"?*")&gt;$P$7,"⚠ EXCESO",
IF(COUNTIF(T293:V293,"?*")&gt;0,"⚠ FALTANTE", "❌ SIN COMPLETAR")))</f>
        <v>❌ SIN COMPLETAR</v>
      </c>
    </row>
    <row r="294" spans="1:23" x14ac:dyDescent="0.35">
      <c r="A294" s="27">
        <v>46014</v>
      </c>
      <c r="B294" s="28" t="str">
        <f t="shared" si="75"/>
        <v>mar</v>
      </c>
      <c r="C294" s="29">
        <v>0.70833333333333304</v>
      </c>
      <c r="D294" s="19" t="s">
        <v>30</v>
      </c>
      <c r="E294" s="19"/>
      <c r="F294" s="19"/>
      <c r="G294" s="30" t="str">
        <f>IF(COUNTIF(D294:F294,"?*")=$P$5,"✅ CUBIERTO",
IF(COUNTIF(D294:F294,"?*")&gt;$P$5,"⚠ EXCESO",IF(COUNTIF(D294:F294,"?*")&gt;0,"⚠ FALTANTE",
"❌ SIN COMPLETAR")))</f>
        <v>⚠ FALTANTE</v>
      </c>
      <c r="I294" s="27">
        <v>46014</v>
      </c>
      <c r="J294" s="28" t="str">
        <f t="shared" si="76"/>
        <v>mar</v>
      </c>
      <c r="K294" s="29">
        <v>0.70833333333333304</v>
      </c>
      <c r="L294" s="19"/>
      <c r="M294" s="19"/>
      <c r="N294" s="19"/>
      <c r="O294" s="31" t="str">
        <f>IF(COUNTIF(L294:N294,"?*")=$P$6,"✅ CUBIERTO",IF(COUNTIF(L294:N294,"?*")&gt;$P$6,"⚠ EXCESO",
IF(COUNTIF(L294:N294,"?*")&gt;0,"⚠ FALTANTE", "❌ SIN COMPLETAR")))</f>
        <v>❌ SIN COMPLETAR</v>
      </c>
      <c r="Q294" s="27">
        <v>46014</v>
      </c>
      <c r="R294" s="28" t="str">
        <f t="shared" si="77"/>
        <v>mar</v>
      </c>
      <c r="S294" s="29">
        <v>0.70833333333333304</v>
      </c>
      <c r="T294" s="19"/>
      <c r="U294" s="19"/>
      <c r="V294" s="19"/>
      <c r="W294" s="30" t="str">
        <f>IF(COUNTIF(T294:V294,"?*")=$P$7,"✅ CUBIERTO",IF(COUNTIF(T294:V294,"?*")&gt;$P$7,"⚠ EXCESO",
IF(COUNTIF(T294:V294,"?*")&gt;0,"⚠ FALTANTE", "❌ SIN COMPLETAR")))</f>
        <v>❌ SIN COMPLETAR</v>
      </c>
    </row>
    <row r="295" spans="1:23" x14ac:dyDescent="0.35">
      <c r="A295" s="27">
        <v>46014</v>
      </c>
      <c r="B295" s="28" t="str">
        <f t="shared" si="75"/>
        <v>mar</v>
      </c>
      <c r="C295" s="29">
        <v>0.75</v>
      </c>
      <c r="D295" s="19" t="s">
        <v>30</v>
      </c>
      <c r="E295" s="19"/>
      <c r="F295" s="19"/>
      <c r="G295" s="30" t="str">
        <f>IF(COUNTIF(D295:F295,"?*")=$P$5,"✅ CUBIERTO",
IF(COUNTIF(D295:F295,"?*")&gt;$P$5,"⚠ EXCESO",IF(COUNTIF(D295:F295,"?*")&gt;0,"⚠ FALTANTE",
"❌ SIN COMPLETAR")))</f>
        <v>⚠ FALTANTE</v>
      </c>
      <c r="I295" s="27">
        <v>46014</v>
      </c>
      <c r="J295" s="28" t="str">
        <f t="shared" si="76"/>
        <v>mar</v>
      </c>
      <c r="K295" s="29">
        <v>0.75</v>
      </c>
      <c r="L295" s="25"/>
      <c r="M295" s="25"/>
      <c r="N295" s="25"/>
      <c r="O295" s="31" t="s">
        <v>32</v>
      </c>
      <c r="Q295" s="27">
        <v>46014</v>
      </c>
      <c r="R295" s="28" t="str">
        <f t="shared" si="77"/>
        <v>mar</v>
      </c>
      <c r="S295" s="29">
        <v>0.75</v>
      </c>
      <c r="T295" s="19"/>
      <c r="U295" s="19"/>
      <c r="V295" s="19"/>
      <c r="W295" s="30" t="str">
        <f>IF(COUNTIF(T295:V295,"?*")=$P$7,"✅ CUBIERTO",IF(COUNTIF(T295:V295,"?*")&gt;$P$7,"⚠ EXCESO",
IF(COUNTIF(T295:V295,"?*")&gt;0,"⚠ FALTANTE", "❌ SIN COMPLETAR")))</f>
        <v>❌ SIN COMPLETAR</v>
      </c>
    </row>
    <row r="296" spans="1:23" x14ac:dyDescent="0.35">
      <c r="A296" s="27">
        <v>46014</v>
      </c>
      <c r="B296" s="28" t="str">
        <f t="shared" si="75"/>
        <v>mar</v>
      </c>
      <c r="C296" s="29">
        <v>0.79166666666666696</v>
      </c>
      <c r="D296" s="19" t="s">
        <v>30</v>
      </c>
      <c r="E296" s="19"/>
      <c r="F296" s="19"/>
      <c r="G296" s="30" t="str">
        <f>IF(COUNTIF(D296:F296,"?*")=$P$5,"✅ CUBIERTO",
IF(COUNTIF(D296:F296,"?*")&gt;$P$5,"⚠ EXCESO",IF(COUNTIF(D296:F296,"?*")&gt;0,"⚠ FALTANTE",
"❌ SIN COMPLETAR")))</f>
        <v>⚠ FALTANTE</v>
      </c>
      <c r="I296" s="27">
        <v>46014</v>
      </c>
      <c r="J296" s="28" t="str">
        <f t="shared" si="76"/>
        <v>mar</v>
      </c>
      <c r="K296" s="29">
        <v>0.79166666666666696</v>
      </c>
      <c r="L296" s="25"/>
      <c r="M296" s="25"/>
      <c r="N296" s="25"/>
      <c r="O296" s="31" t="s">
        <v>32</v>
      </c>
      <c r="Q296" s="27">
        <v>46014</v>
      </c>
      <c r="R296" s="28" t="str">
        <f t="shared" si="77"/>
        <v>mar</v>
      </c>
      <c r="S296" s="29">
        <v>0.79166666666666696</v>
      </c>
      <c r="T296" s="19"/>
      <c r="U296" s="19"/>
      <c r="V296" s="19"/>
      <c r="W296" s="30" t="str">
        <f>IF(COUNTIF(T296:V296,"?*")=$P$7,"✅ CUBIERTO",IF(COUNTIF(T296:V296,"?*")&gt;$P$7,"⚠ EXCESO",
IF(COUNTIF(T296:V296,"?*")&gt;0,"⚠ FALTANTE", "❌ SIN COMPLETAR")))</f>
        <v>❌ SIN COMPLETAR</v>
      </c>
    </row>
    <row r="297" spans="1:23" x14ac:dyDescent="0.35">
      <c r="A297" s="27">
        <v>46014</v>
      </c>
      <c r="B297" s="28" t="str">
        <f t="shared" si="75"/>
        <v>mar</v>
      </c>
      <c r="C297" s="29">
        <v>0.83333333333333337</v>
      </c>
      <c r="D297" s="25"/>
      <c r="E297" s="25"/>
      <c r="F297" s="25"/>
      <c r="G297" s="30" t="s">
        <v>32</v>
      </c>
      <c r="I297" s="27">
        <v>46014</v>
      </c>
      <c r="J297" s="28" t="str">
        <f t="shared" si="76"/>
        <v>mar</v>
      </c>
      <c r="K297" s="29">
        <v>0.83333333333333337</v>
      </c>
      <c r="L297" s="25"/>
      <c r="M297" s="25"/>
      <c r="N297" s="25"/>
      <c r="O297" s="31" t="s">
        <v>32</v>
      </c>
      <c r="Q297" s="27">
        <v>46014</v>
      </c>
      <c r="R297" s="28" t="str">
        <f t="shared" si="77"/>
        <v>mar</v>
      </c>
      <c r="S297" s="29">
        <v>0.83333333333333337</v>
      </c>
      <c r="T297" s="19"/>
      <c r="U297" s="19"/>
      <c r="V297" s="19"/>
      <c r="W297" s="30" t="str">
        <f>IF(COUNTIF(T297:V297,"?*")=$P$7,"✅ CUBIERTO",IF(COUNTIF(T297:V297,"?*")&gt;$P$7,"⚠ EXCESO",
IF(COUNTIF(T297:V297,"?*")&gt;0,"⚠ FALTANTE", "❌ SIN COMPLETAR")))</f>
        <v>❌ SIN COMPLETAR</v>
      </c>
    </row>
    <row r="298" spans="1:23" x14ac:dyDescent="0.35">
      <c r="A298" s="27">
        <v>46015</v>
      </c>
      <c r="B298" s="28" t="str">
        <f>TEXT(A298,"ddd")</f>
        <v>mié</v>
      </c>
      <c r="C298" s="29">
        <v>0.375</v>
      </c>
      <c r="D298" s="25"/>
      <c r="E298" s="25"/>
      <c r="F298" s="25"/>
      <c r="G298" s="30" t="s">
        <v>32</v>
      </c>
      <c r="I298" s="27">
        <v>46015</v>
      </c>
      <c r="J298" s="28" t="str">
        <f>TEXT(I298,"ddd")</f>
        <v>mié</v>
      </c>
      <c r="K298" s="29">
        <v>0.375</v>
      </c>
      <c r="L298" s="19"/>
      <c r="M298" s="19"/>
      <c r="N298" s="19"/>
      <c r="O298" s="31" t="str">
        <f>IF(COUNTIF(L298:N298,"?*")=$P$6,"✅ CUBIERTO",IF(COUNTIF(L298:N298,"?*")&gt;$P$6,"⚠ EXCESO",
IF(COUNTIF(L298:N298,"?*")&gt;0,"⚠ FALTANTE", "❌ SIN COMPLETAR")))</f>
        <v>❌ SIN COMPLETAR</v>
      </c>
      <c r="Q298" s="27">
        <v>46015</v>
      </c>
      <c r="R298" s="28" t="str">
        <f>TEXT(Q298,"ddd")</f>
        <v>mié</v>
      </c>
      <c r="S298" s="29">
        <v>0.375</v>
      </c>
      <c r="T298" s="25"/>
      <c r="U298" s="25"/>
      <c r="V298" s="25"/>
      <c r="W298" s="30" t="s">
        <v>32</v>
      </c>
    </row>
    <row r="299" spans="1:23" x14ac:dyDescent="0.35">
      <c r="A299" s="27">
        <v>46015</v>
      </c>
      <c r="B299" s="28" t="str">
        <f>TEXT(A299,"ddd")</f>
        <v>mié</v>
      </c>
      <c r="C299" s="29">
        <v>0.41666666666666669</v>
      </c>
      <c r="D299" s="25"/>
      <c r="E299" s="25"/>
      <c r="F299" s="25"/>
      <c r="G299" s="30" t="s">
        <v>32</v>
      </c>
      <c r="I299" s="27">
        <v>46015</v>
      </c>
      <c r="J299" s="28" t="str">
        <f>TEXT(I299,"ddd")</f>
        <v>mié</v>
      </c>
      <c r="K299" s="29">
        <v>0.41666666666666669</v>
      </c>
      <c r="L299" s="19"/>
      <c r="M299" s="19"/>
      <c r="N299" s="19"/>
      <c r="O299" s="31" t="str">
        <f>IF(COUNTIF(L299:N299,"?*")=$P$6,"✅ CUBIERTO",IF(COUNTIF(L299:N299,"?*")&gt;$P$6,"⚠ EXCESO",
IF(COUNTIF(L299:N299,"?*")&gt;0,"⚠ FALTANTE", "❌ SIN COMPLETAR")))</f>
        <v>❌ SIN COMPLETAR</v>
      </c>
      <c r="Q299" s="27">
        <v>46015</v>
      </c>
      <c r="R299" s="28" t="str">
        <f>TEXT(Q299,"ddd")</f>
        <v>mié</v>
      </c>
      <c r="S299" s="29">
        <v>0.41666666666666669</v>
      </c>
      <c r="T299" s="19"/>
      <c r="U299" s="19"/>
      <c r="V299" s="19"/>
      <c r="W299" s="30" t="str">
        <f>IF(COUNTIF(T299:V299,"?*")=$P$7,"✅ CUBIERTO",IF(COUNTIF(T299:V299,"?*")&gt;$P$7,"⚠ EXCESO",
IF(COUNTIF(T299:V299,"?*")&gt;0,"⚠ FALTANTE", "❌ SIN COMPLETAR")))</f>
        <v>❌ SIN COMPLETAR</v>
      </c>
    </row>
    <row r="300" spans="1:23" x14ac:dyDescent="0.35">
      <c r="A300" s="27">
        <v>46015</v>
      </c>
      <c r="B300" s="28" t="str">
        <f>TEXT(A300,"ddd")</f>
        <v>mié</v>
      </c>
      <c r="C300" s="29">
        <v>0.45833333333333331</v>
      </c>
      <c r="D300" s="19" t="s">
        <v>3</v>
      </c>
      <c r="E300" s="19"/>
      <c r="F300" s="19"/>
      <c r="G300" s="30" t="str">
        <f>IF(COUNTIF(D300:F300,"?*")=$P$5,"✅ CUBIERTO",
IF(COUNTIF(D300:F300,"?*")&gt;$P$5,"⚠ EXCESO",IF(COUNTIF(D300:F300,"?*")&gt;0,"⚠ FALTANTE",
"❌ SIN COMPLETAR")))</f>
        <v>⚠ FALTANTE</v>
      </c>
      <c r="I300" s="27">
        <v>46015</v>
      </c>
      <c r="J300" s="28" t="str">
        <f>TEXT(I300,"ddd")</f>
        <v>mié</v>
      </c>
      <c r="K300" s="29">
        <v>0.45833333333333331</v>
      </c>
      <c r="L300" s="19"/>
      <c r="M300" s="19"/>
      <c r="N300" s="19"/>
      <c r="O300" s="31" t="str">
        <f>IF(COUNTIF(L300:N300,"?*")=$P$6,"✅ CUBIERTO",IF(COUNTIF(L300:N300,"?*")&gt;$P$6,"⚠ EXCESO",
IF(COUNTIF(L300:N300,"?*")&gt;0,"⚠ FALTANTE", "❌ SIN COMPLETAR")))</f>
        <v>❌ SIN COMPLETAR</v>
      </c>
      <c r="Q300" s="27">
        <v>46015</v>
      </c>
      <c r="R300" s="28" t="str">
        <f>TEXT(Q300,"ddd")</f>
        <v>mié</v>
      </c>
      <c r="S300" s="29">
        <v>0.45833333333333331</v>
      </c>
      <c r="T300" s="19"/>
      <c r="U300" s="19"/>
      <c r="V300" s="19"/>
      <c r="W300" s="30" t="str">
        <f>IF(COUNTIF(T300:V300,"?*")=$P$7,"✅ CUBIERTO",IF(COUNTIF(T300:V300,"?*")&gt;$P$7,"⚠ EXCESO",
IF(COUNTIF(T300:V300,"?*")&gt;0,"⚠ FALTANTE", "❌ SIN COMPLETAR")))</f>
        <v>❌ SIN COMPLETAR</v>
      </c>
    </row>
    <row r="301" spans="1:23" x14ac:dyDescent="0.35">
      <c r="A301" s="27">
        <v>46015</v>
      </c>
      <c r="B301" s="28" t="str">
        <f t="shared" ref="B301:B309" si="78">TEXT(A301,"ddd")</f>
        <v>mié</v>
      </c>
      <c r="C301" s="29">
        <v>0.5</v>
      </c>
      <c r="D301" s="19" t="s">
        <v>3</v>
      </c>
      <c r="E301" s="19"/>
      <c r="F301" s="19"/>
      <c r="G301" s="30" t="str">
        <f>IF(COUNTIF(D301:F301,"?*")=$P$5,"✅ CUBIERTO",
IF(COUNTIF(D301:F301,"?*")&gt;$P$5,"⚠ EXCESO",IF(COUNTIF(D301:F301,"?*")&gt;0,"⚠ FALTANTE",
"❌ SIN COMPLETAR")))</f>
        <v>⚠ FALTANTE</v>
      </c>
      <c r="I301" s="27">
        <v>46015</v>
      </c>
      <c r="J301" s="28" t="str">
        <f t="shared" ref="J301:J309" si="79">TEXT(I301,"ddd")</f>
        <v>mié</v>
      </c>
      <c r="K301" s="29">
        <v>0.5</v>
      </c>
      <c r="L301" s="19"/>
      <c r="M301" s="19"/>
      <c r="N301" s="19"/>
      <c r="O301" s="31" t="str">
        <f>IF(COUNTIF(L301:N301,"?*")=$P$6,"✅ CUBIERTO",IF(COUNTIF(L301:N301,"?*")&gt;$P$6,"⚠ EXCESO",
IF(COUNTIF(L301:N301,"?*")&gt;0,"⚠ FALTANTE", "❌ SIN COMPLETAR")))</f>
        <v>❌ SIN COMPLETAR</v>
      </c>
      <c r="Q301" s="27">
        <v>46015</v>
      </c>
      <c r="R301" s="28" t="str">
        <f t="shared" ref="R301:R309" si="80">TEXT(Q301,"ddd")</f>
        <v>mié</v>
      </c>
      <c r="S301" s="29">
        <v>0.5</v>
      </c>
      <c r="T301" s="19"/>
      <c r="U301" s="19"/>
      <c r="V301" s="19"/>
      <c r="W301" s="30" t="str">
        <f>IF(COUNTIF(T301:V301,"?*")=$P$7,"✅ CUBIERTO",IF(COUNTIF(T301:V301,"?*")&gt;$P$7,"⚠ EXCESO",
IF(COUNTIF(T301:V301,"?*")&gt;0,"⚠ FALTANTE", "❌ SIN COMPLETAR")))</f>
        <v>❌ SIN COMPLETAR</v>
      </c>
    </row>
    <row r="302" spans="1:23" x14ac:dyDescent="0.35">
      <c r="A302" s="27">
        <v>46015</v>
      </c>
      <c r="B302" s="28" t="str">
        <f t="shared" si="78"/>
        <v>mié</v>
      </c>
      <c r="C302" s="29">
        <v>0.54166666666666696</v>
      </c>
      <c r="D302" s="19" t="s">
        <v>3</v>
      </c>
      <c r="E302" s="19"/>
      <c r="F302" s="19"/>
      <c r="G302" s="30" t="str">
        <f>IF(COUNTIF(D302:F302,"?*")=$P$5,"✅ CUBIERTO",
IF(COUNTIF(D302:F302,"?*")&gt;$P$5,"⚠ EXCESO",IF(COUNTIF(D302:F302,"?*")&gt;0,"⚠ FALTANTE",
"❌ SIN COMPLETAR")))</f>
        <v>⚠ FALTANTE</v>
      </c>
      <c r="I302" s="27">
        <v>46015</v>
      </c>
      <c r="J302" s="28" t="str">
        <f t="shared" si="79"/>
        <v>mié</v>
      </c>
      <c r="K302" s="29">
        <v>0.54166666666666696</v>
      </c>
      <c r="L302" s="19"/>
      <c r="M302" s="19"/>
      <c r="N302" s="19"/>
      <c r="O302" s="31" t="str">
        <f>IF(COUNTIF(L302:N302,"?*")=$P$6,"✅ CUBIERTO",IF(COUNTIF(L302:N302,"?*")&gt;$P$6,"⚠ EXCESO",
IF(COUNTIF(L302:N302,"?*")&gt;0,"⚠ FALTANTE", "❌ SIN COMPLETAR")))</f>
        <v>❌ SIN COMPLETAR</v>
      </c>
      <c r="Q302" s="27">
        <v>46015</v>
      </c>
      <c r="R302" s="28" t="str">
        <f t="shared" si="80"/>
        <v>mié</v>
      </c>
      <c r="S302" s="29">
        <v>0.54166666666666696</v>
      </c>
      <c r="T302" s="19"/>
      <c r="U302" s="19"/>
      <c r="V302" s="19"/>
      <c r="W302" s="30" t="str">
        <f>IF(COUNTIF(T302:V302,"?*")=$P$7,"✅ CUBIERTO",IF(COUNTIF(T302:V302,"?*")&gt;$P$7,"⚠ EXCESO",
IF(COUNTIF(T302:V302,"?*")&gt;0,"⚠ FALTANTE", "❌ SIN COMPLETAR")))</f>
        <v>❌ SIN COMPLETAR</v>
      </c>
    </row>
    <row r="303" spans="1:23" x14ac:dyDescent="0.35">
      <c r="A303" s="27">
        <v>46015</v>
      </c>
      <c r="B303" s="28" t="str">
        <f t="shared" si="78"/>
        <v>mié</v>
      </c>
      <c r="C303" s="29">
        <v>0.58333333333333304</v>
      </c>
      <c r="D303" s="19" t="s">
        <v>3</v>
      </c>
      <c r="E303" s="19"/>
      <c r="F303" s="19"/>
      <c r="G303" s="30" t="str">
        <f>IF(COUNTIF(D303:F303,"?*")=$P$5,"✅ CUBIERTO",
IF(COUNTIF(D303:F303,"?*")&gt;$P$5,"⚠ EXCESO",IF(COUNTIF(D303:F303,"?*")&gt;0,"⚠ FALTANTE",
"❌ SIN COMPLETAR")))</f>
        <v>⚠ FALTANTE</v>
      </c>
      <c r="I303" s="27">
        <v>46015</v>
      </c>
      <c r="J303" s="28" t="str">
        <f t="shared" si="79"/>
        <v>mié</v>
      </c>
      <c r="K303" s="29">
        <v>0.58333333333333304</v>
      </c>
      <c r="L303" s="19"/>
      <c r="M303" s="19"/>
      <c r="N303" s="19"/>
      <c r="O303" s="31" t="str">
        <f>IF(COUNTIF(L303:N303,"?*")=$P$6,"✅ CUBIERTO",IF(COUNTIF(L303:N303,"?*")&gt;$P$6,"⚠ EXCESO",
IF(COUNTIF(L303:N303,"?*")&gt;0,"⚠ FALTANTE", "❌ SIN COMPLETAR")))</f>
        <v>❌ SIN COMPLETAR</v>
      </c>
      <c r="Q303" s="27">
        <v>46015</v>
      </c>
      <c r="R303" s="28" t="str">
        <f t="shared" si="80"/>
        <v>mié</v>
      </c>
      <c r="S303" s="29">
        <v>0.58333333333333304</v>
      </c>
      <c r="T303" s="19"/>
      <c r="U303" s="19"/>
      <c r="V303" s="19"/>
      <c r="W303" s="30" t="str">
        <f>IF(COUNTIF(T303:V303,"?*")=$P$7,"✅ CUBIERTO",IF(COUNTIF(T303:V303,"?*")&gt;$P$7,"⚠ EXCESO",
IF(COUNTIF(T303:V303,"?*")&gt;0,"⚠ FALTANTE", "❌ SIN COMPLETAR")))</f>
        <v>❌ SIN COMPLETAR</v>
      </c>
    </row>
    <row r="304" spans="1:23" x14ac:dyDescent="0.35">
      <c r="A304" s="27">
        <v>46015</v>
      </c>
      <c r="B304" s="28" t="str">
        <f t="shared" si="78"/>
        <v>mié</v>
      </c>
      <c r="C304" s="29">
        <v>0.625</v>
      </c>
      <c r="D304" s="19" t="s">
        <v>30</v>
      </c>
      <c r="E304" s="19"/>
      <c r="F304" s="19"/>
      <c r="G304" s="30" t="str">
        <f>IF(COUNTIF(D304:F304,"?*")=$P$5,"✅ CUBIERTO",
IF(COUNTIF(D304:F304,"?*")&gt;$P$5,"⚠ EXCESO",IF(COUNTIF(D304:F304,"?*")&gt;0,"⚠ FALTANTE",
"❌ SIN COMPLETAR")))</f>
        <v>⚠ FALTANTE</v>
      </c>
      <c r="I304" s="27">
        <v>46015</v>
      </c>
      <c r="J304" s="28" t="str">
        <f t="shared" si="79"/>
        <v>mié</v>
      </c>
      <c r="K304" s="29">
        <v>0.625</v>
      </c>
      <c r="L304" s="19"/>
      <c r="M304" s="19"/>
      <c r="N304" s="19"/>
      <c r="O304" s="31" t="str">
        <f>IF(COUNTIF(L304:N304,"?*")=$P$6,"✅ CUBIERTO",IF(COUNTIF(L304:N304,"?*")&gt;$P$6,"⚠ EXCESO",
IF(COUNTIF(L304:N304,"?*")&gt;0,"⚠ FALTANTE", "❌ SIN COMPLETAR")))</f>
        <v>❌ SIN COMPLETAR</v>
      </c>
      <c r="Q304" s="27">
        <v>46015</v>
      </c>
      <c r="R304" s="28" t="str">
        <f t="shared" si="80"/>
        <v>mié</v>
      </c>
      <c r="S304" s="29">
        <v>0.625</v>
      </c>
      <c r="T304" s="19"/>
      <c r="U304" s="19"/>
      <c r="V304" s="19"/>
      <c r="W304" s="30" t="str">
        <f>IF(COUNTIF(T304:V304,"?*")=$P$7,"✅ CUBIERTO",IF(COUNTIF(T304:V304,"?*")&gt;$P$7,"⚠ EXCESO",
IF(COUNTIF(T304:V304,"?*")&gt;0,"⚠ FALTANTE", "❌ SIN COMPLETAR")))</f>
        <v>❌ SIN COMPLETAR</v>
      </c>
    </row>
    <row r="305" spans="1:23" x14ac:dyDescent="0.35">
      <c r="A305" s="27">
        <v>46015</v>
      </c>
      <c r="B305" s="28" t="str">
        <f t="shared" si="78"/>
        <v>mié</v>
      </c>
      <c r="C305" s="29">
        <v>0.66666666666666696</v>
      </c>
      <c r="D305" s="19" t="s">
        <v>30</v>
      </c>
      <c r="E305" s="19"/>
      <c r="F305" s="19"/>
      <c r="G305" s="30" t="str">
        <f>IF(COUNTIF(D305:F305,"?*")=$P$5,"✅ CUBIERTO",
IF(COUNTIF(D305:F305,"?*")&gt;$P$5,"⚠ EXCESO",IF(COUNTIF(D305:F305,"?*")&gt;0,"⚠ FALTANTE",
"❌ SIN COMPLETAR")))</f>
        <v>⚠ FALTANTE</v>
      </c>
      <c r="I305" s="27">
        <v>46015</v>
      </c>
      <c r="J305" s="28" t="str">
        <f t="shared" si="79"/>
        <v>mié</v>
      </c>
      <c r="K305" s="29">
        <v>0.66666666666666696</v>
      </c>
      <c r="L305" s="19"/>
      <c r="M305" s="19"/>
      <c r="N305" s="19"/>
      <c r="O305" s="31" t="str">
        <f>IF(COUNTIF(L305:N305,"?*")=$P$6,"✅ CUBIERTO",IF(COUNTIF(L305:N305,"?*")&gt;$P$6,"⚠ EXCESO",
IF(COUNTIF(L305:N305,"?*")&gt;0,"⚠ FALTANTE", "❌ SIN COMPLETAR")))</f>
        <v>❌ SIN COMPLETAR</v>
      </c>
      <c r="Q305" s="27">
        <v>46015</v>
      </c>
      <c r="R305" s="28" t="str">
        <f t="shared" si="80"/>
        <v>mié</v>
      </c>
      <c r="S305" s="29">
        <v>0.66666666666666696</v>
      </c>
      <c r="T305" s="19"/>
      <c r="U305" s="19"/>
      <c r="V305" s="19"/>
      <c r="W305" s="30" t="str">
        <f>IF(COUNTIF(T305:V305,"?*")=$P$7,"✅ CUBIERTO",IF(COUNTIF(T305:V305,"?*")&gt;$P$7,"⚠ EXCESO",
IF(COUNTIF(T305:V305,"?*")&gt;0,"⚠ FALTANTE", "❌ SIN COMPLETAR")))</f>
        <v>❌ SIN COMPLETAR</v>
      </c>
    </row>
    <row r="306" spans="1:23" x14ac:dyDescent="0.35">
      <c r="A306" s="27">
        <v>46015</v>
      </c>
      <c r="B306" s="28" t="str">
        <f t="shared" si="78"/>
        <v>mié</v>
      </c>
      <c r="C306" s="29">
        <v>0.70833333333333304</v>
      </c>
      <c r="D306" s="19" t="s">
        <v>30</v>
      </c>
      <c r="E306" s="19"/>
      <c r="F306" s="19"/>
      <c r="G306" s="30" t="str">
        <f>IF(COUNTIF(D306:F306,"?*")=$P$5,"✅ CUBIERTO",
IF(COUNTIF(D306:F306,"?*")&gt;$P$5,"⚠ EXCESO",IF(COUNTIF(D306:F306,"?*")&gt;0,"⚠ FALTANTE",
"❌ SIN COMPLETAR")))</f>
        <v>⚠ FALTANTE</v>
      </c>
      <c r="I306" s="27">
        <v>46015</v>
      </c>
      <c r="J306" s="28" t="str">
        <f t="shared" si="79"/>
        <v>mié</v>
      </c>
      <c r="K306" s="29">
        <v>0.70833333333333304</v>
      </c>
      <c r="L306" s="19"/>
      <c r="M306" s="19"/>
      <c r="N306" s="19"/>
      <c r="O306" s="31" t="str">
        <f>IF(COUNTIF(L306:N306,"?*")=$P$6,"✅ CUBIERTO",IF(COUNTIF(L306:N306,"?*")&gt;$P$6,"⚠ EXCESO",
IF(COUNTIF(L306:N306,"?*")&gt;0,"⚠ FALTANTE", "❌ SIN COMPLETAR")))</f>
        <v>❌ SIN COMPLETAR</v>
      </c>
      <c r="Q306" s="27">
        <v>46015</v>
      </c>
      <c r="R306" s="28" t="str">
        <f t="shared" si="80"/>
        <v>mié</v>
      </c>
      <c r="S306" s="29">
        <v>0.70833333333333304</v>
      </c>
      <c r="T306" s="19"/>
      <c r="U306" s="19"/>
      <c r="V306" s="19"/>
      <c r="W306" s="30" t="str">
        <f>IF(COUNTIF(T306:V306,"?*")=$P$7,"✅ CUBIERTO",IF(COUNTIF(T306:V306,"?*")&gt;$P$7,"⚠ EXCESO",
IF(COUNTIF(T306:V306,"?*")&gt;0,"⚠ FALTANTE", "❌ SIN COMPLETAR")))</f>
        <v>❌ SIN COMPLETAR</v>
      </c>
    </row>
    <row r="307" spans="1:23" x14ac:dyDescent="0.35">
      <c r="A307" s="27">
        <v>46015</v>
      </c>
      <c r="B307" s="28" t="str">
        <f t="shared" si="78"/>
        <v>mié</v>
      </c>
      <c r="C307" s="29">
        <v>0.75</v>
      </c>
      <c r="D307" s="19" t="s">
        <v>30</v>
      </c>
      <c r="E307" s="19"/>
      <c r="F307" s="19"/>
      <c r="G307" s="30" t="str">
        <f>IF(COUNTIF(D307:F307,"?*")=$P$5,"✅ CUBIERTO",
IF(COUNTIF(D307:F307,"?*")&gt;$P$5,"⚠ EXCESO",IF(COUNTIF(D307:F307,"?*")&gt;0,"⚠ FALTANTE",
"❌ SIN COMPLETAR")))</f>
        <v>⚠ FALTANTE</v>
      </c>
      <c r="I307" s="27">
        <v>46015</v>
      </c>
      <c r="J307" s="28" t="str">
        <f t="shared" si="79"/>
        <v>mié</v>
      </c>
      <c r="K307" s="29">
        <v>0.75</v>
      </c>
      <c r="L307" s="25"/>
      <c r="M307" s="25"/>
      <c r="N307" s="25"/>
      <c r="O307" s="31" t="s">
        <v>32</v>
      </c>
      <c r="Q307" s="27">
        <v>46015</v>
      </c>
      <c r="R307" s="28" t="str">
        <f t="shared" si="80"/>
        <v>mié</v>
      </c>
      <c r="S307" s="29">
        <v>0.75</v>
      </c>
      <c r="T307" s="19"/>
      <c r="U307" s="19"/>
      <c r="V307" s="19"/>
      <c r="W307" s="30" t="str">
        <f>IF(COUNTIF(T307:V307,"?*")=$P$7,"✅ CUBIERTO",IF(COUNTIF(T307:V307,"?*")&gt;$P$7,"⚠ EXCESO",
IF(COUNTIF(T307:V307,"?*")&gt;0,"⚠ FALTANTE", "❌ SIN COMPLETAR")))</f>
        <v>❌ SIN COMPLETAR</v>
      </c>
    </row>
    <row r="308" spans="1:23" x14ac:dyDescent="0.35">
      <c r="A308" s="27">
        <v>46015</v>
      </c>
      <c r="B308" s="28" t="str">
        <f t="shared" si="78"/>
        <v>mié</v>
      </c>
      <c r="C308" s="29">
        <v>0.79166666666666696</v>
      </c>
      <c r="D308" s="19" t="s">
        <v>30</v>
      </c>
      <c r="E308" s="19"/>
      <c r="F308" s="19"/>
      <c r="G308" s="30" t="str">
        <f>IF(COUNTIF(D308:F308,"?*")=$P$5,"✅ CUBIERTO",
IF(COUNTIF(D308:F308,"?*")&gt;$P$5,"⚠ EXCESO",IF(COUNTIF(D308:F308,"?*")&gt;0,"⚠ FALTANTE",
"❌ SIN COMPLETAR")))</f>
        <v>⚠ FALTANTE</v>
      </c>
      <c r="I308" s="27">
        <v>46015</v>
      </c>
      <c r="J308" s="28" t="str">
        <f t="shared" si="79"/>
        <v>mié</v>
      </c>
      <c r="K308" s="29">
        <v>0.79166666666666696</v>
      </c>
      <c r="L308" s="25"/>
      <c r="M308" s="25"/>
      <c r="N308" s="25"/>
      <c r="O308" s="31" t="s">
        <v>32</v>
      </c>
      <c r="Q308" s="27">
        <v>46015</v>
      </c>
      <c r="R308" s="28" t="str">
        <f t="shared" si="80"/>
        <v>mié</v>
      </c>
      <c r="S308" s="29">
        <v>0.79166666666666696</v>
      </c>
      <c r="T308" s="19"/>
      <c r="U308" s="19"/>
      <c r="V308" s="19"/>
      <c r="W308" s="30" t="str">
        <f>IF(COUNTIF(T308:V308,"?*")=$P$7,"✅ CUBIERTO",IF(COUNTIF(T308:V308,"?*")&gt;$P$7,"⚠ EXCESO",
IF(COUNTIF(T308:V308,"?*")&gt;0,"⚠ FALTANTE", "❌ SIN COMPLETAR")))</f>
        <v>❌ SIN COMPLETAR</v>
      </c>
    </row>
    <row r="309" spans="1:23" x14ac:dyDescent="0.35">
      <c r="A309" s="27">
        <v>46015</v>
      </c>
      <c r="B309" s="28" t="str">
        <f t="shared" si="78"/>
        <v>mié</v>
      </c>
      <c r="C309" s="29">
        <v>0.83333333333333337</v>
      </c>
      <c r="D309" s="25"/>
      <c r="E309" s="25"/>
      <c r="F309" s="25"/>
      <c r="G309" s="30" t="s">
        <v>32</v>
      </c>
      <c r="I309" s="27">
        <v>46015</v>
      </c>
      <c r="J309" s="28" t="str">
        <f t="shared" si="79"/>
        <v>mié</v>
      </c>
      <c r="K309" s="29">
        <v>0.83333333333333337</v>
      </c>
      <c r="L309" s="25"/>
      <c r="M309" s="25"/>
      <c r="N309" s="25"/>
      <c r="O309" s="31" t="s">
        <v>32</v>
      </c>
      <c r="Q309" s="27">
        <v>46015</v>
      </c>
      <c r="R309" s="28" t="str">
        <f t="shared" si="80"/>
        <v>mié</v>
      </c>
      <c r="S309" s="29">
        <v>0.83333333333333337</v>
      </c>
      <c r="T309" s="19"/>
      <c r="U309" s="19"/>
      <c r="V309" s="19"/>
      <c r="W309" s="30" t="str">
        <f>IF(COUNTIF(T309:V309,"?*")=$P$7,"✅ CUBIERTO",IF(COUNTIF(T309:V309,"?*")&gt;$P$7,"⚠ EXCESO",
IF(COUNTIF(T309:V309,"?*")&gt;0,"⚠ FALTANTE", "❌ SIN COMPLETAR")))</f>
        <v>❌ SIN COMPLETAR</v>
      </c>
    </row>
    <row r="310" spans="1:23" x14ac:dyDescent="0.35">
      <c r="A310" s="27">
        <v>46016</v>
      </c>
      <c r="B310" s="28" t="str">
        <f>TEXT(A310,"ddd")</f>
        <v>jue</v>
      </c>
      <c r="C310" s="29">
        <v>0.375</v>
      </c>
      <c r="D310" s="25"/>
      <c r="E310" s="25"/>
      <c r="F310" s="25"/>
      <c r="G310" s="30" t="s">
        <v>32</v>
      </c>
      <c r="I310" s="27">
        <v>46016</v>
      </c>
      <c r="J310" s="28" t="str">
        <f>TEXT(I310,"ddd")</f>
        <v>jue</v>
      </c>
      <c r="K310" s="29">
        <v>0.375</v>
      </c>
      <c r="L310" s="25"/>
      <c r="M310" s="25"/>
      <c r="N310" s="25"/>
      <c r="O310" s="31" t="s">
        <v>32</v>
      </c>
      <c r="Q310" s="27">
        <v>46016</v>
      </c>
      <c r="R310" s="28" t="str">
        <f>TEXT(Q310,"ddd")</f>
        <v>jue</v>
      </c>
      <c r="S310" s="29">
        <v>0.375</v>
      </c>
      <c r="T310" s="25"/>
      <c r="U310" s="25"/>
      <c r="V310" s="25"/>
      <c r="W310" s="30" t="s">
        <v>32</v>
      </c>
    </row>
    <row r="311" spans="1:23" x14ac:dyDescent="0.35">
      <c r="A311" s="27">
        <v>46016</v>
      </c>
      <c r="B311" s="28" t="str">
        <f>TEXT(A311,"ddd")</f>
        <v>jue</v>
      </c>
      <c r="C311" s="29">
        <v>0.41666666666666669</v>
      </c>
      <c r="D311" s="25"/>
      <c r="E311" s="25"/>
      <c r="F311" s="25"/>
      <c r="G311" s="30" t="s">
        <v>32</v>
      </c>
      <c r="I311" s="27">
        <v>46016</v>
      </c>
      <c r="J311" s="28" t="str">
        <f>TEXT(I311,"ddd")</f>
        <v>jue</v>
      </c>
      <c r="K311" s="29">
        <v>0.41666666666666669</v>
      </c>
      <c r="L311" s="25"/>
      <c r="M311" s="25"/>
      <c r="N311" s="25"/>
      <c r="O311" s="31" t="s">
        <v>32</v>
      </c>
      <c r="Q311" s="27">
        <v>46016</v>
      </c>
      <c r="R311" s="28" t="str">
        <f>TEXT(Q311,"ddd")</f>
        <v>jue</v>
      </c>
      <c r="S311" s="29">
        <v>0.41666666666666669</v>
      </c>
      <c r="T311" s="25"/>
      <c r="U311" s="25"/>
      <c r="V311" s="25"/>
      <c r="W311" s="30" t="s">
        <v>32</v>
      </c>
    </row>
    <row r="312" spans="1:23" x14ac:dyDescent="0.35">
      <c r="A312" s="27">
        <v>46016</v>
      </c>
      <c r="B312" s="28" t="str">
        <f>TEXT(A312,"ddd")</f>
        <v>jue</v>
      </c>
      <c r="C312" s="29">
        <v>0.45833333333333331</v>
      </c>
      <c r="D312" s="25"/>
      <c r="E312" s="25"/>
      <c r="F312" s="25"/>
      <c r="G312" s="30" t="s">
        <v>32</v>
      </c>
      <c r="I312" s="27">
        <v>46016</v>
      </c>
      <c r="J312" s="28" t="str">
        <f>TEXT(I312,"ddd")</f>
        <v>jue</v>
      </c>
      <c r="K312" s="29">
        <v>0.45833333333333331</v>
      </c>
      <c r="L312" s="25"/>
      <c r="M312" s="25"/>
      <c r="N312" s="25"/>
      <c r="O312" s="31" t="s">
        <v>32</v>
      </c>
      <c r="Q312" s="27">
        <v>46016</v>
      </c>
      <c r="R312" s="28" t="str">
        <f>TEXT(Q312,"ddd")</f>
        <v>jue</v>
      </c>
      <c r="S312" s="29">
        <v>0.45833333333333331</v>
      </c>
      <c r="T312" s="25"/>
      <c r="U312" s="25"/>
      <c r="V312" s="25"/>
      <c r="W312" s="30" t="s">
        <v>32</v>
      </c>
    </row>
    <row r="313" spans="1:23" x14ac:dyDescent="0.35">
      <c r="A313" s="27">
        <v>46016</v>
      </c>
      <c r="B313" s="28" t="str">
        <f t="shared" ref="B313:B321" si="81">TEXT(A313,"ddd")</f>
        <v>jue</v>
      </c>
      <c r="C313" s="29">
        <v>0.5</v>
      </c>
      <c r="D313" s="25"/>
      <c r="E313" s="25"/>
      <c r="F313" s="25"/>
      <c r="G313" s="30" t="s">
        <v>32</v>
      </c>
      <c r="I313" s="27">
        <v>46016</v>
      </c>
      <c r="J313" s="28" t="str">
        <f t="shared" ref="J313:J321" si="82">TEXT(I313,"ddd")</f>
        <v>jue</v>
      </c>
      <c r="K313" s="29">
        <v>0.5</v>
      </c>
      <c r="L313" s="25"/>
      <c r="M313" s="25"/>
      <c r="N313" s="25"/>
      <c r="O313" s="31" t="s">
        <v>32</v>
      </c>
      <c r="Q313" s="27">
        <v>46016</v>
      </c>
      <c r="R313" s="28" t="str">
        <f t="shared" ref="R313:R321" si="83">TEXT(Q313,"ddd")</f>
        <v>jue</v>
      </c>
      <c r="S313" s="29">
        <v>0.5</v>
      </c>
      <c r="T313" s="25"/>
      <c r="U313" s="25"/>
      <c r="V313" s="25"/>
      <c r="W313" s="30" t="s">
        <v>32</v>
      </c>
    </row>
    <row r="314" spans="1:23" x14ac:dyDescent="0.35">
      <c r="A314" s="27">
        <v>46016</v>
      </c>
      <c r="B314" s="28" t="str">
        <f t="shared" si="81"/>
        <v>jue</v>
      </c>
      <c r="C314" s="29">
        <v>0.54166666666666696</v>
      </c>
      <c r="D314" s="25"/>
      <c r="E314" s="25"/>
      <c r="F314" s="25"/>
      <c r="G314" s="30" t="s">
        <v>32</v>
      </c>
      <c r="I314" s="27">
        <v>46016</v>
      </c>
      <c r="J314" s="28" t="str">
        <f t="shared" si="82"/>
        <v>jue</v>
      </c>
      <c r="K314" s="29">
        <v>0.54166666666666696</v>
      </c>
      <c r="L314" s="25"/>
      <c r="M314" s="25"/>
      <c r="N314" s="25"/>
      <c r="O314" s="31" t="s">
        <v>32</v>
      </c>
      <c r="Q314" s="27">
        <v>46016</v>
      </c>
      <c r="R314" s="28" t="str">
        <f t="shared" si="83"/>
        <v>jue</v>
      </c>
      <c r="S314" s="29">
        <v>0.54166666666666696</v>
      </c>
      <c r="T314" s="25"/>
      <c r="U314" s="25"/>
      <c r="V314" s="25"/>
      <c r="W314" s="30" t="s">
        <v>32</v>
      </c>
    </row>
    <row r="315" spans="1:23" x14ac:dyDescent="0.35">
      <c r="A315" s="27">
        <v>46016</v>
      </c>
      <c r="B315" s="28" t="str">
        <f t="shared" si="81"/>
        <v>jue</v>
      </c>
      <c r="C315" s="29">
        <v>0.58333333333333304</v>
      </c>
      <c r="D315" s="25"/>
      <c r="E315" s="25"/>
      <c r="F315" s="25"/>
      <c r="G315" s="30" t="s">
        <v>32</v>
      </c>
      <c r="I315" s="27">
        <v>46016</v>
      </c>
      <c r="J315" s="28" t="str">
        <f t="shared" si="82"/>
        <v>jue</v>
      </c>
      <c r="K315" s="29">
        <v>0.58333333333333304</v>
      </c>
      <c r="L315" s="25"/>
      <c r="M315" s="25"/>
      <c r="N315" s="25"/>
      <c r="O315" s="31" t="s">
        <v>32</v>
      </c>
      <c r="Q315" s="27">
        <v>46016</v>
      </c>
      <c r="R315" s="28" t="str">
        <f t="shared" si="83"/>
        <v>jue</v>
      </c>
      <c r="S315" s="29">
        <v>0.58333333333333304</v>
      </c>
      <c r="T315" s="25"/>
      <c r="U315" s="25"/>
      <c r="V315" s="25"/>
      <c r="W315" s="30" t="s">
        <v>32</v>
      </c>
    </row>
    <row r="316" spans="1:23" x14ac:dyDescent="0.35">
      <c r="A316" s="27">
        <v>46016</v>
      </c>
      <c r="B316" s="28" t="str">
        <f t="shared" si="81"/>
        <v>jue</v>
      </c>
      <c r="C316" s="29">
        <v>0.625</v>
      </c>
      <c r="D316" s="25"/>
      <c r="E316" s="25"/>
      <c r="F316" s="25"/>
      <c r="G316" s="30" t="s">
        <v>32</v>
      </c>
      <c r="I316" s="27">
        <v>46016</v>
      </c>
      <c r="J316" s="28" t="str">
        <f t="shared" si="82"/>
        <v>jue</v>
      </c>
      <c r="K316" s="29">
        <v>0.625</v>
      </c>
      <c r="L316" s="25"/>
      <c r="M316" s="25"/>
      <c r="N316" s="25"/>
      <c r="O316" s="31" t="s">
        <v>32</v>
      </c>
      <c r="Q316" s="27">
        <v>46016</v>
      </c>
      <c r="R316" s="28" t="str">
        <f t="shared" si="83"/>
        <v>jue</v>
      </c>
      <c r="S316" s="29">
        <v>0.625</v>
      </c>
      <c r="T316" s="25"/>
      <c r="U316" s="25"/>
      <c r="V316" s="25"/>
      <c r="W316" s="30" t="s">
        <v>32</v>
      </c>
    </row>
    <row r="317" spans="1:23" x14ac:dyDescent="0.35">
      <c r="A317" s="27">
        <v>46016</v>
      </c>
      <c r="B317" s="28" t="str">
        <f t="shared" si="81"/>
        <v>jue</v>
      </c>
      <c r="C317" s="29">
        <v>0.66666666666666696</v>
      </c>
      <c r="D317" s="25"/>
      <c r="E317" s="25"/>
      <c r="F317" s="25"/>
      <c r="G317" s="30" t="s">
        <v>32</v>
      </c>
      <c r="I317" s="27">
        <v>46016</v>
      </c>
      <c r="J317" s="28" t="str">
        <f t="shared" si="82"/>
        <v>jue</v>
      </c>
      <c r="K317" s="29">
        <v>0.66666666666666696</v>
      </c>
      <c r="L317" s="25"/>
      <c r="M317" s="25"/>
      <c r="N317" s="25"/>
      <c r="O317" s="31" t="s">
        <v>32</v>
      </c>
      <c r="Q317" s="27">
        <v>46016</v>
      </c>
      <c r="R317" s="28" t="str">
        <f t="shared" si="83"/>
        <v>jue</v>
      </c>
      <c r="S317" s="29">
        <v>0.66666666666666696</v>
      </c>
      <c r="T317" s="25"/>
      <c r="U317" s="25"/>
      <c r="V317" s="25"/>
      <c r="W317" s="30" t="s">
        <v>32</v>
      </c>
    </row>
    <row r="318" spans="1:23" x14ac:dyDescent="0.35">
      <c r="A318" s="27">
        <v>46016</v>
      </c>
      <c r="B318" s="28" t="str">
        <f t="shared" si="81"/>
        <v>jue</v>
      </c>
      <c r="C318" s="29">
        <v>0.70833333333333304</v>
      </c>
      <c r="D318" s="25"/>
      <c r="E318" s="25"/>
      <c r="F318" s="25"/>
      <c r="G318" s="30" t="s">
        <v>32</v>
      </c>
      <c r="I318" s="27">
        <v>46016</v>
      </c>
      <c r="J318" s="28" t="str">
        <f t="shared" si="82"/>
        <v>jue</v>
      </c>
      <c r="K318" s="29">
        <v>0.70833333333333304</v>
      </c>
      <c r="L318" s="25"/>
      <c r="M318" s="25"/>
      <c r="N318" s="25"/>
      <c r="O318" s="31" t="s">
        <v>32</v>
      </c>
      <c r="Q318" s="27">
        <v>46016</v>
      </c>
      <c r="R318" s="28" t="str">
        <f t="shared" si="83"/>
        <v>jue</v>
      </c>
      <c r="S318" s="29">
        <v>0.70833333333333304</v>
      </c>
      <c r="T318" s="25"/>
      <c r="U318" s="25"/>
      <c r="V318" s="25"/>
      <c r="W318" s="30" t="s">
        <v>32</v>
      </c>
    </row>
    <row r="319" spans="1:23" x14ac:dyDescent="0.35">
      <c r="A319" s="27">
        <v>46016</v>
      </c>
      <c r="B319" s="28" t="str">
        <f t="shared" si="81"/>
        <v>jue</v>
      </c>
      <c r="C319" s="29">
        <v>0.75</v>
      </c>
      <c r="D319" s="25"/>
      <c r="E319" s="25"/>
      <c r="F319" s="25"/>
      <c r="G319" s="30" t="s">
        <v>32</v>
      </c>
      <c r="I319" s="27">
        <v>46016</v>
      </c>
      <c r="J319" s="28" t="str">
        <f t="shared" si="82"/>
        <v>jue</v>
      </c>
      <c r="K319" s="29">
        <v>0.75</v>
      </c>
      <c r="L319" s="25"/>
      <c r="M319" s="25"/>
      <c r="N319" s="25"/>
      <c r="O319" s="31" t="s">
        <v>32</v>
      </c>
      <c r="Q319" s="27">
        <v>46016</v>
      </c>
      <c r="R319" s="28" t="str">
        <f t="shared" si="83"/>
        <v>jue</v>
      </c>
      <c r="S319" s="29">
        <v>0.75</v>
      </c>
      <c r="T319" s="25"/>
      <c r="U319" s="25"/>
      <c r="V319" s="25"/>
      <c r="W319" s="30" t="s">
        <v>32</v>
      </c>
    </row>
    <row r="320" spans="1:23" x14ac:dyDescent="0.35">
      <c r="A320" s="27">
        <v>46016</v>
      </c>
      <c r="B320" s="28" t="str">
        <f t="shared" si="81"/>
        <v>jue</v>
      </c>
      <c r="C320" s="29">
        <v>0.79166666666666696</v>
      </c>
      <c r="D320" s="25"/>
      <c r="E320" s="25"/>
      <c r="F320" s="25"/>
      <c r="G320" s="30" t="s">
        <v>32</v>
      </c>
      <c r="I320" s="27">
        <v>46016</v>
      </c>
      <c r="J320" s="28" t="str">
        <f t="shared" si="82"/>
        <v>jue</v>
      </c>
      <c r="K320" s="29">
        <v>0.79166666666666696</v>
      </c>
      <c r="L320" s="25"/>
      <c r="M320" s="25"/>
      <c r="N320" s="25"/>
      <c r="O320" s="31" t="s">
        <v>32</v>
      </c>
      <c r="Q320" s="27">
        <v>46016</v>
      </c>
      <c r="R320" s="28" t="str">
        <f t="shared" si="83"/>
        <v>jue</v>
      </c>
      <c r="S320" s="29">
        <v>0.79166666666666696</v>
      </c>
      <c r="T320" s="25"/>
      <c r="U320" s="25"/>
      <c r="V320" s="25"/>
      <c r="W320" s="30" t="s">
        <v>32</v>
      </c>
    </row>
    <row r="321" spans="1:23" x14ac:dyDescent="0.35">
      <c r="A321" s="27">
        <v>46016</v>
      </c>
      <c r="B321" s="28" t="str">
        <f t="shared" si="81"/>
        <v>jue</v>
      </c>
      <c r="C321" s="29">
        <v>0.83333333333333337</v>
      </c>
      <c r="D321" s="25"/>
      <c r="E321" s="25"/>
      <c r="F321" s="25"/>
      <c r="G321" s="30" t="s">
        <v>32</v>
      </c>
      <c r="I321" s="27">
        <v>46016</v>
      </c>
      <c r="J321" s="28" t="str">
        <f t="shared" si="82"/>
        <v>jue</v>
      </c>
      <c r="K321" s="29">
        <v>0.83333333333333337</v>
      </c>
      <c r="L321" s="25"/>
      <c r="M321" s="25"/>
      <c r="N321" s="25"/>
      <c r="O321" s="31" t="s">
        <v>32</v>
      </c>
      <c r="Q321" s="27">
        <v>46016</v>
      </c>
      <c r="R321" s="28" t="str">
        <f t="shared" si="83"/>
        <v>jue</v>
      </c>
      <c r="S321" s="29">
        <v>0.83333333333333337</v>
      </c>
      <c r="T321" s="25"/>
      <c r="U321" s="25"/>
      <c r="V321" s="25"/>
      <c r="W321" s="30" t="s">
        <v>32</v>
      </c>
    </row>
    <row r="322" spans="1:23" x14ac:dyDescent="0.35">
      <c r="A322" s="27">
        <v>46017</v>
      </c>
      <c r="B322" s="28" t="str">
        <f>TEXT(A322,"ddd")</f>
        <v>vie</v>
      </c>
      <c r="C322" s="29">
        <v>0.375</v>
      </c>
      <c r="D322" s="25"/>
      <c r="E322" s="25"/>
      <c r="F322" s="25"/>
      <c r="G322" s="30" t="s">
        <v>32</v>
      </c>
      <c r="I322" s="27">
        <v>46017</v>
      </c>
      <c r="J322" s="28" t="str">
        <f>TEXT(I322,"ddd")</f>
        <v>vie</v>
      </c>
      <c r="K322" s="29">
        <v>0.375</v>
      </c>
      <c r="L322" s="19"/>
      <c r="M322" s="19"/>
      <c r="N322" s="19"/>
      <c r="O322" s="31" t="str">
        <f>IF(COUNTIF(L322:N322,"?*")=$P$6,"✅ CUBIERTO",IF(COUNTIF(L322:N322,"?*")&gt;$P$6,"⚠ EXCESO",
IF(COUNTIF(L322:N322,"?*")&gt;0,"⚠ FALTANTE", "❌ SIN COMPLETAR")))</f>
        <v>❌ SIN COMPLETAR</v>
      </c>
      <c r="Q322" s="27">
        <v>46017</v>
      </c>
      <c r="R322" s="28" t="str">
        <f>TEXT(Q322,"ddd")</f>
        <v>vie</v>
      </c>
      <c r="S322" s="29">
        <v>0.375</v>
      </c>
      <c r="T322" s="25"/>
      <c r="U322" s="25"/>
      <c r="V322" s="25"/>
      <c r="W322" s="30" t="s">
        <v>32</v>
      </c>
    </row>
    <row r="323" spans="1:23" x14ac:dyDescent="0.35">
      <c r="A323" s="27">
        <v>46017</v>
      </c>
      <c r="B323" s="28" t="str">
        <f>TEXT(A323,"ddd")</f>
        <v>vie</v>
      </c>
      <c r="C323" s="29">
        <v>0.41666666666666669</v>
      </c>
      <c r="D323" s="25"/>
      <c r="E323" s="25"/>
      <c r="F323" s="25"/>
      <c r="G323" s="30" t="s">
        <v>32</v>
      </c>
      <c r="I323" s="27">
        <v>46017</v>
      </c>
      <c r="J323" s="28" t="str">
        <f>TEXT(I323,"ddd")</f>
        <v>vie</v>
      </c>
      <c r="K323" s="29">
        <v>0.41666666666666669</v>
      </c>
      <c r="L323" s="19"/>
      <c r="M323" s="19"/>
      <c r="N323" s="19"/>
      <c r="O323" s="31" t="str">
        <f>IF(COUNTIF(L323:N323,"?*")=$P$6,"✅ CUBIERTO",IF(COUNTIF(L323:N323,"?*")&gt;$P$6,"⚠ EXCESO",
IF(COUNTIF(L323:N323,"?*")&gt;0,"⚠ FALTANTE", "❌ SIN COMPLETAR")))</f>
        <v>❌ SIN COMPLETAR</v>
      </c>
      <c r="Q323" s="27">
        <v>46017</v>
      </c>
      <c r="R323" s="28" t="str">
        <f>TEXT(Q323,"ddd")</f>
        <v>vie</v>
      </c>
      <c r="S323" s="29">
        <v>0.41666666666666669</v>
      </c>
      <c r="T323" s="19"/>
      <c r="U323" s="19"/>
      <c r="V323" s="19"/>
      <c r="W323" s="30" t="str">
        <f>IF(COUNTIF(T323:V323,"?*")=$P$7,"✅ CUBIERTO",IF(COUNTIF(T323:V323,"?*")&gt;$P$7,"⚠ EXCESO",
IF(COUNTIF(T323:V323,"?*")&gt;0,"⚠ FALTANTE", "❌ SIN COMPLETAR")))</f>
        <v>❌ SIN COMPLETAR</v>
      </c>
    </row>
    <row r="324" spans="1:23" x14ac:dyDescent="0.35">
      <c r="A324" s="27">
        <v>46017</v>
      </c>
      <c r="B324" s="28" t="str">
        <f>TEXT(A324,"ddd")</f>
        <v>vie</v>
      </c>
      <c r="C324" s="29">
        <v>0.45833333333333331</v>
      </c>
      <c r="D324" s="19" t="s">
        <v>3</v>
      </c>
      <c r="E324" s="19" t="s">
        <v>4</v>
      </c>
      <c r="F324" s="19"/>
      <c r="G324" s="31" t="str">
        <f>IF(COUNTIF(D324:F324,"?*")=$P$5,"✅ CUBIERTO",
IF(COUNTIF(D324:F324,"?*")&gt;$P$5,"⚠ EXCESO",IF(COUNTIF(D324:F324,"?*")&gt;0,"⚠ FALTANTE",
"❌ SIN COMPLETAR")))</f>
        <v>✅ CUBIERTO</v>
      </c>
      <c r="I324" s="27">
        <v>46017</v>
      </c>
      <c r="J324" s="28" t="str">
        <f>TEXT(I324,"ddd")</f>
        <v>vie</v>
      </c>
      <c r="K324" s="29">
        <v>0.45833333333333331</v>
      </c>
      <c r="L324" s="19"/>
      <c r="M324" s="19"/>
      <c r="N324" s="19"/>
      <c r="O324" s="31" t="str">
        <f>IF(COUNTIF(L324:N324,"?*")=$P$6,"✅ CUBIERTO",IF(COUNTIF(L324:N324,"?*")&gt;$P$6,"⚠ EXCESO",
IF(COUNTIF(L324:N324,"?*")&gt;0,"⚠ FALTANTE", "❌ SIN COMPLETAR")))</f>
        <v>❌ SIN COMPLETAR</v>
      </c>
      <c r="Q324" s="27">
        <v>46017</v>
      </c>
      <c r="R324" s="28" t="str">
        <f>TEXT(Q324,"ddd")</f>
        <v>vie</v>
      </c>
      <c r="S324" s="29">
        <v>0.45833333333333331</v>
      </c>
      <c r="T324" s="19"/>
      <c r="U324" s="19"/>
      <c r="V324" s="19"/>
      <c r="W324" s="30" t="str">
        <f>IF(COUNTIF(T324:V324,"?*")=$P$7,"✅ CUBIERTO",IF(COUNTIF(T324:V324,"?*")&gt;$P$7,"⚠ EXCESO",
IF(COUNTIF(T324:V324,"?*")&gt;0,"⚠ FALTANTE", "❌ SIN COMPLETAR")))</f>
        <v>❌ SIN COMPLETAR</v>
      </c>
    </row>
    <row r="325" spans="1:23" x14ac:dyDescent="0.35">
      <c r="A325" s="27">
        <v>46017</v>
      </c>
      <c r="B325" s="28" t="str">
        <f t="shared" ref="B325:B333" si="84">TEXT(A325,"ddd")</f>
        <v>vie</v>
      </c>
      <c r="C325" s="29">
        <v>0.5</v>
      </c>
      <c r="D325" s="19" t="s">
        <v>3</v>
      </c>
      <c r="E325" s="19" t="s">
        <v>4</v>
      </c>
      <c r="F325" s="19"/>
      <c r="G325" s="31" t="str">
        <f>IF(COUNTIF(D325:F325,"?*")=$P$5,"✅ CUBIERTO",
IF(COUNTIF(D325:F325,"?*")&gt;$P$5,"⚠ EXCESO",IF(COUNTIF(D325:F325,"?*")&gt;0,"⚠ FALTANTE",
"❌ SIN COMPLETAR")))</f>
        <v>✅ CUBIERTO</v>
      </c>
      <c r="I325" s="27">
        <v>46017</v>
      </c>
      <c r="J325" s="28" t="str">
        <f t="shared" ref="J325:J333" si="85">TEXT(I325,"ddd")</f>
        <v>vie</v>
      </c>
      <c r="K325" s="29">
        <v>0.5</v>
      </c>
      <c r="L325" s="19"/>
      <c r="M325" s="19"/>
      <c r="N325" s="19"/>
      <c r="O325" s="31" t="str">
        <f>IF(COUNTIF(L325:N325,"?*")=$P$6,"✅ CUBIERTO",IF(COUNTIF(L325:N325,"?*")&gt;$P$6,"⚠ EXCESO",
IF(COUNTIF(L325:N325,"?*")&gt;0,"⚠ FALTANTE", "❌ SIN COMPLETAR")))</f>
        <v>❌ SIN COMPLETAR</v>
      </c>
      <c r="Q325" s="27">
        <v>46017</v>
      </c>
      <c r="R325" s="28" t="str">
        <f t="shared" ref="R325:R333" si="86">TEXT(Q325,"ddd")</f>
        <v>vie</v>
      </c>
      <c r="S325" s="29">
        <v>0.5</v>
      </c>
      <c r="T325" s="19"/>
      <c r="U325" s="19"/>
      <c r="V325" s="19"/>
      <c r="W325" s="30" t="str">
        <f>IF(COUNTIF(T325:V325,"?*")=$P$7,"✅ CUBIERTO",IF(COUNTIF(T325:V325,"?*")&gt;$P$7,"⚠ EXCESO",
IF(COUNTIF(T325:V325,"?*")&gt;0,"⚠ FALTANTE", "❌ SIN COMPLETAR")))</f>
        <v>❌ SIN COMPLETAR</v>
      </c>
    </row>
    <row r="326" spans="1:23" x14ac:dyDescent="0.35">
      <c r="A326" s="27">
        <v>46017</v>
      </c>
      <c r="B326" s="28" t="str">
        <f t="shared" si="84"/>
        <v>vie</v>
      </c>
      <c r="C326" s="29">
        <v>0.54166666666666696</v>
      </c>
      <c r="D326" s="19" t="s">
        <v>3</v>
      </c>
      <c r="E326" s="19" t="s">
        <v>4</v>
      </c>
      <c r="F326" s="19"/>
      <c r="G326" s="31" t="str">
        <f>IF(COUNTIF(D326:F326,"?*")=$P$5,"✅ CUBIERTO",
IF(COUNTIF(D326:F326,"?*")&gt;$P$5,"⚠ EXCESO",IF(COUNTIF(D326:F326,"?*")&gt;0,"⚠ FALTANTE",
"❌ SIN COMPLETAR")))</f>
        <v>✅ CUBIERTO</v>
      </c>
      <c r="I326" s="27">
        <v>46017</v>
      </c>
      <c r="J326" s="28" t="str">
        <f t="shared" si="85"/>
        <v>vie</v>
      </c>
      <c r="K326" s="29">
        <v>0.54166666666666696</v>
      </c>
      <c r="L326" s="19"/>
      <c r="M326" s="19"/>
      <c r="N326" s="19"/>
      <c r="O326" s="31" t="str">
        <f>IF(COUNTIF(L326:N326,"?*")=$P$6,"✅ CUBIERTO",IF(COUNTIF(L326:N326,"?*")&gt;$P$6,"⚠ EXCESO",
IF(COUNTIF(L326:N326,"?*")&gt;0,"⚠ FALTANTE", "❌ SIN COMPLETAR")))</f>
        <v>❌ SIN COMPLETAR</v>
      </c>
      <c r="Q326" s="27">
        <v>46017</v>
      </c>
      <c r="R326" s="28" t="str">
        <f t="shared" si="86"/>
        <v>vie</v>
      </c>
      <c r="S326" s="29">
        <v>0.54166666666666696</v>
      </c>
      <c r="T326" s="19"/>
      <c r="U326" s="19"/>
      <c r="V326" s="19"/>
      <c r="W326" s="30" t="str">
        <f>IF(COUNTIF(T326:V326,"?*")=$P$7,"✅ CUBIERTO",IF(COUNTIF(T326:V326,"?*")&gt;$P$7,"⚠ EXCESO",
IF(COUNTIF(T326:V326,"?*")&gt;0,"⚠ FALTANTE", "❌ SIN COMPLETAR")))</f>
        <v>❌ SIN COMPLETAR</v>
      </c>
    </row>
    <row r="327" spans="1:23" x14ac:dyDescent="0.35">
      <c r="A327" s="27">
        <v>46017</v>
      </c>
      <c r="B327" s="28" t="str">
        <f t="shared" si="84"/>
        <v>vie</v>
      </c>
      <c r="C327" s="29">
        <v>0.58333333333333304</v>
      </c>
      <c r="D327" s="19" t="s">
        <v>3</v>
      </c>
      <c r="E327" s="19" t="s">
        <v>4</v>
      </c>
      <c r="F327" s="19"/>
      <c r="G327" s="31" t="str">
        <f>IF(COUNTIF(D327:F327,"?*")=$P$5,"✅ CUBIERTO",
IF(COUNTIF(D327:F327,"?*")&gt;$P$5,"⚠ EXCESO",IF(COUNTIF(D327:F327,"?*")&gt;0,"⚠ FALTANTE",
"❌ SIN COMPLETAR")))</f>
        <v>✅ CUBIERTO</v>
      </c>
      <c r="I327" s="27">
        <v>46017</v>
      </c>
      <c r="J327" s="28" t="str">
        <f t="shared" si="85"/>
        <v>vie</v>
      </c>
      <c r="K327" s="29">
        <v>0.58333333333333304</v>
      </c>
      <c r="L327" s="19"/>
      <c r="M327" s="19"/>
      <c r="N327" s="19"/>
      <c r="O327" s="31" t="str">
        <f>IF(COUNTIF(L327:N327,"?*")=$P$6,"✅ CUBIERTO",IF(COUNTIF(L327:N327,"?*")&gt;$P$6,"⚠ EXCESO",
IF(COUNTIF(L327:N327,"?*")&gt;0,"⚠ FALTANTE", "❌ SIN COMPLETAR")))</f>
        <v>❌ SIN COMPLETAR</v>
      </c>
      <c r="Q327" s="27">
        <v>46017</v>
      </c>
      <c r="R327" s="28" t="str">
        <f t="shared" si="86"/>
        <v>vie</v>
      </c>
      <c r="S327" s="29">
        <v>0.58333333333333304</v>
      </c>
      <c r="T327" s="19"/>
      <c r="U327" s="19"/>
      <c r="V327" s="19"/>
      <c r="W327" s="30" t="str">
        <f>IF(COUNTIF(T327:V327,"?*")=$P$7,"✅ CUBIERTO",IF(COUNTIF(T327:V327,"?*")&gt;$P$7,"⚠ EXCESO",
IF(COUNTIF(T327:V327,"?*")&gt;0,"⚠ FALTANTE", "❌ SIN COMPLETAR")))</f>
        <v>❌ SIN COMPLETAR</v>
      </c>
    </row>
    <row r="328" spans="1:23" x14ac:dyDescent="0.35">
      <c r="A328" s="27">
        <v>46017</v>
      </c>
      <c r="B328" s="28" t="str">
        <f t="shared" si="84"/>
        <v>vie</v>
      </c>
      <c r="C328" s="29">
        <v>0.625</v>
      </c>
      <c r="D328" s="19" t="s">
        <v>3</v>
      </c>
      <c r="E328" s="19" t="s">
        <v>4</v>
      </c>
      <c r="F328" s="19"/>
      <c r="G328" s="31" t="str">
        <f>IF(COUNTIF(D328:F328,"?*")=$P$5,"✅ CUBIERTO",
IF(COUNTIF(D328:F328,"?*")&gt;$P$5,"⚠ EXCESO",IF(COUNTIF(D328:F328,"?*")&gt;0,"⚠ FALTANTE",
"❌ SIN COMPLETAR")))</f>
        <v>✅ CUBIERTO</v>
      </c>
      <c r="I328" s="27">
        <v>46017</v>
      </c>
      <c r="J328" s="28" t="str">
        <f t="shared" si="85"/>
        <v>vie</v>
      </c>
      <c r="K328" s="29">
        <v>0.625</v>
      </c>
      <c r="L328" s="19"/>
      <c r="M328" s="19"/>
      <c r="N328" s="19"/>
      <c r="O328" s="31" t="str">
        <f>IF(COUNTIF(L328:N328,"?*")=$P$6,"✅ CUBIERTO",IF(COUNTIF(L328:N328,"?*")&gt;$P$6,"⚠ EXCESO",
IF(COUNTIF(L328:N328,"?*")&gt;0,"⚠ FALTANTE", "❌ SIN COMPLETAR")))</f>
        <v>❌ SIN COMPLETAR</v>
      </c>
      <c r="Q328" s="27">
        <v>46017</v>
      </c>
      <c r="R328" s="28" t="str">
        <f t="shared" si="86"/>
        <v>vie</v>
      </c>
      <c r="S328" s="29">
        <v>0.625</v>
      </c>
      <c r="T328" s="19"/>
      <c r="U328" s="19"/>
      <c r="V328" s="19"/>
      <c r="W328" s="30" t="str">
        <f>IF(COUNTIF(T328:V328,"?*")=$P$7,"✅ CUBIERTO",IF(COUNTIF(T328:V328,"?*")&gt;$P$7,"⚠ EXCESO",
IF(COUNTIF(T328:V328,"?*")&gt;0,"⚠ FALTANTE", "❌ SIN COMPLETAR")))</f>
        <v>❌ SIN COMPLETAR</v>
      </c>
    </row>
    <row r="329" spans="1:23" x14ac:dyDescent="0.35">
      <c r="A329" s="27">
        <v>46017</v>
      </c>
      <c r="B329" s="28" t="str">
        <f t="shared" si="84"/>
        <v>vie</v>
      </c>
      <c r="C329" s="29">
        <v>0.66666666666666696</v>
      </c>
      <c r="D329" s="19" t="s">
        <v>30</v>
      </c>
      <c r="E329" s="19"/>
      <c r="F329" s="19"/>
      <c r="G329" s="31" t="str">
        <f>IF(COUNTIF(D329:F329,"?*")=$P$5,"✅ CUBIERTO",
IF(COUNTIF(D329:F329,"?*")&gt;$P$5,"⚠ EXCESO",IF(COUNTIF(D329:F329,"?*")&gt;0,"⚠ FALTANTE",
"❌ SIN COMPLETAR")))</f>
        <v>⚠ FALTANTE</v>
      </c>
      <c r="I329" s="27">
        <v>46017</v>
      </c>
      <c r="J329" s="28" t="str">
        <f t="shared" si="85"/>
        <v>vie</v>
      </c>
      <c r="K329" s="29">
        <v>0.66666666666666696</v>
      </c>
      <c r="L329" s="19"/>
      <c r="M329" s="19"/>
      <c r="N329" s="19"/>
      <c r="O329" s="31" t="str">
        <f>IF(COUNTIF(L329:N329,"?*")=$P$6,"✅ CUBIERTO",IF(COUNTIF(L329:N329,"?*")&gt;$P$6,"⚠ EXCESO",
IF(COUNTIF(L329:N329,"?*")&gt;0,"⚠ FALTANTE", "❌ SIN COMPLETAR")))</f>
        <v>❌ SIN COMPLETAR</v>
      </c>
      <c r="Q329" s="27">
        <v>46017</v>
      </c>
      <c r="R329" s="28" t="str">
        <f t="shared" si="86"/>
        <v>vie</v>
      </c>
      <c r="S329" s="29">
        <v>0.66666666666666696</v>
      </c>
      <c r="T329" s="19"/>
      <c r="U329" s="19"/>
      <c r="V329" s="19"/>
      <c r="W329" s="30" t="str">
        <f>IF(COUNTIF(T329:V329,"?*")=$P$7,"✅ CUBIERTO",IF(COUNTIF(T329:V329,"?*")&gt;$P$7,"⚠ EXCESO",
IF(COUNTIF(T329:V329,"?*")&gt;0,"⚠ FALTANTE", "❌ SIN COMPLETAR")))</f>
        <v>❌ SIN COMPLETAR</v>
      </c>
    </row>
    <row r="330" spans="1:23" x14ac:dyDescent="0.35">
      <c r="A330" s="27">
        <v>46017</v>
      </c>
      <c r="B330" s="28" t="str">
        <f t="shared" si="84"/>
        <v>vie</v>
      </c>
      <c r="C330" s="29">
        <v>0.70833333333333304</v>
      </c>
      <c r="D330" s="19" t="s">
        <v>30</v>
      </c>
      <c r="E330" s="19"/>
      <c r="F330" s="19"/>
      <c r="G330" s="31" t="str">
        <f>IF(COUNTIF(D330:F330,"?*")=$P$5,"✅ CUBIERTO",
IF(COUNTIF(D330:F330,"?*")&gt;$P$5,"⚠ EXCESO",IF(COUNTIF(D330:F330,"?*")&gt;0,"⚠ FALTANTE",
"❌ SIN COMPLETAR")))</f>
        <v>⚠ FALTANTE</v>
      </c>
      <c r="I330" s="27">
        <v>46017</v>
      </c>
      <c r="J330" s="28" t="str">
        <f t="shared" si="85"/>
        <v>vie</v>
      </c>
      <c r="K330" s="29">
        <v>0.70833333333333304</v>
      </c>
      <c r="L330" s="19"/>
      <c r="M330" s="19"/>
      <c r="N330" s="19"/>
      <c r="O330" s="31" t="str">
        <f>IF(COUNTIF(L330:N330,"?*")=$P$6,"✅ CUBIERTO",IF(COUNTIF(L330:N330,"?*")&gt;$P$6,"⚠ EXCESO",
IF(COUNTIF(L330:N330,"?*")&gt;0,"⚠ FALTANTE", "❌ SIN COMPLETAR")))</f>
        <v>❌ SIN COMPLETAR</v>
      </c>
      <c r="Q330" s="27">
        <v>46017</v>
      </c>
      <c r="R330" s="28" t="str">
        <f t="shared" si="86"/>
        <v>vie</v>
      </c>
      <c r="S330" s="29">
        <v>0.70833333333333304</v>
      </c>
      <c r="T330" s="19"/>
      <c r="U330" s="19"/>
      <c r="V330" s="19"/>
      <c r="W330" s="30" t="str">
        <f>IF(COUNTIF(T330:V330,"?*")=$P$7,"✅ CUBIERTO",IF(COUNTIF(T330:V330,"?*")&gt;$P$7,"⚠ EXCESO",
IF(COUNTIF(T330:V330,"?*")&gt;0,"⚠ FALTANTE", "❌ SIN COMPLETAR")))</f>
        <v>❌ SIN COMPLETAR</v>
      </c>
    </row>
    <row r="331" spans="1:23" x14ac:dyDescent="0.35">
      <c r="A331" s="27">
        <v>46017</v>
      </c>
      <c r="B331" s="28" t="str">
        <f t="shared" si="84"/>
        <v>vie</v>
      </c>
      <c r="C331" s="29">
        <v>0.75</v>
      </c>
      <c r="D331" s="19" t="s">
        <v>30</v>
      </c>
      <c r="E331" s="19"/>
      <c r="F331" s="19"/>
      <c r="G331" s="31" t="str">
        <f>IF(COUNTIF(D331:F331,"?*")=$P$5,"✅ CUBIERTO",
IF(COUNTIF(D331:F331,"?*")&gt;$P$5,"⚠ EXCESO",IF(COUNTIF(D331:F331,"?*")&gt;0,"⚠ FALTANTE",
"❌ SIN COMPLETAR")))</f>
        <v>⚠ FALTANTE</v>
      </c>
      <c r="I331" s="27">
        <v>46017</v>
      </c>
      <c r="J331" s="28" t="str">
        <f t="shared" si="85"/>
        <v>vie</v>
      </c>
      <c r="K331" s="29">
        <v>0.75</v>
      </c>
      <c r="L331" s="25"/>
      <c r="M331" s="25"/>
      <c r="N331" s="25"/>
      <c r="O331" s="31" t="s">
        <v>32</v>
      </c>
      <c r="Q331" s="27">
        <v>46017</v>
      </c>
      <c r="R331" s="28" t="str">
        <f t="shared" si="86"/>
        <v>vie</v>
      </c>
      <c r="S331" s="29">
        <v>0.75</v>
      </c>
      <c r="T331" s="19"/>
      <c r="U331" s="19"/>
      <c r="V331" s="19"/>
      <c r="W331" s="30" t="str">
        <f>IF(COUNTIF(T331:V331,"?*")=$P$7,"✅ CUBIERTO",IF(COUNTIF(T331:V331,"?*")&gt;$P$7,"⚠ EXCESO",
IF(COUNTIF(T331:V331,"?*")&gt;0,"⚠ FALTANTE", "❌ SIN COMPLETAR")))</f>
        <v>❌ SIN COMPLETAR</v>
      </c>
    </row>
    <row r="332" spans="1:23" x14ac:dyDescent="0.35">
      <c r="A332" s="27">
        <v>46017</v>
      </c>
      <c r="B332" s="28" t="str">
        <f t="shared" si="84"/>
        <v>vie</v>
      </c>
      <c r="C332" s="29">
        <v>0.79166666666666696</v>
      </c>
      <c r="D332" s="19" t="s">
        <v>30</v>
      </c>
      <c r="E332" s="19"/>
      <c r="F332" s="19"/>
      <c r="G332" s="31" t="str">
        <f>IF(COUNTIF(D332:F332,"?*")=$P$5,"✅ CUBIERTO",
IF(COUNTIF(D332:F332,"?*")&gt;$P$5,"⚠ EXCESO",IF(COUNTIF(D332:F332,"?*")&gt;0,"⚠ FALTANTE",
"❌ SIN COMPLETAR")))</f>
        <v>⚠ FALTANTE</v>
      </c>
      <c r="I332" s="27">
        <v>46017</v>
      </c>
      <c r="J332" s="28" t="str">
        <f t="shared" si="85"/>
        <v>vie</v>
      </c>
      <c r="K332" s="29">
        <v>0.79166666666666696</v>
      </c>
      <c r="L332" s="25"/>
      <c r="M332" s="25"/>
      <c r="N332" s="25"/>
      <c r="O332" s="31" t="s">
        <v>32</v>
      </c>
      <c r="Q332" s="27">
        <v>46017</v>
      </c>
      <c r="R332" s="28" t="str">
        <f t="shared" si="86"/>
        <v>vie</v>
      </c>
      <c r="S332" s="29">
        <v>0.79166666666666696</v>
      </c>
      <c r="T332" s="19"/>
      <c r="U332" s="19"/>
      <c r="V332" s="19"/>
      <c r="W332" s="30" t="str">
        <f>IF(COUNTIF(T332:V332,"?*")=$P$7,"✅ CUBIERTO",IF(COUNTIF(T332:V332,"?*")&gt;$P$7,"⚠ EXCESO",
IF(COUNTIF(T332:V332,"?*")&gt;0,"⚠ FALTANTE", "❌ SIN COMPLETAR")))</f>
        <v>❌ SIN COMPLETAR</v>
      </c>
    </row>
    <row r="333" spans="1:23" x14ac:dyDescent="0.35">
      <c r="A333" s="27">
        <v>46017</v>
      </c>
      <c r="B333" s="28" t="str">
        <f t="shared" si="84"/>
        <v>vie</v>
      </c>
      <c r="C333" s="29">
        <v>0.83333333333333337</v>
      </c>
      <c r="D333" s="25"/>
      <c r="E333" s="25"/>
      <c r="F333" s="25"/>
      <c r="G333" s="30" t="s">
        <v>32</v>
      </c>
      <c r="I333" s="27">
        <v>46017</v>
      </c>
      <c r="J333" s="28" t="str">
        <f t="shared" si="85"/>
        <v>vie</v>
      </c>
      <c r="K333" s="29">
        <v>0.83333333333333337</v>
      </c>
      <c r="L333" s="25"/>
      <c r="M333" s="25"/>
      <c r="N333" s="25"/>
      <c r="O333" s="31" t="s">
        <v>32</v>
      </c>
      <c r="Q333" s="27">
        <v>46017</v>
      </c>
      <c r="R333" s="28" t="str">
        <f t="shared" si="86"/>
        <v>vie</v>
      </c>
      <c r="S333" s="29">
        <v>0.83333333333333337</v>
      </c>
      <c r="T333" s="19"/>
      <c r="U333" s="19"/>
      <c r="V333" s="19"/>
      <c r="W333" s="30" t="str">
        <f>IF(COUNTIF(T333:V333,"?*")=$P$7,"✅ CUBIERTO",IF(COUNTIF(T333:V333,"?*")&gt;$P$7,"⚠ EXCESO",
IF(COUNTIF(T333:V333,"?*")&gt;0,"⚠ FALTANTE", "❌ SIN COMPLETAR")))</f>
        <v>❌ SIN COMPLETAR</v>
      </c>
    </row>
    <row r="334" spans="1:23" x14ac:dyDescent="0.35">
      <c r="A334" s="27">
        <v>46018</v>
      </c>
      <c r="B334" s="28" t="str">
        <f>TEXT(A334,"ddd")</f>
        <v>sáb</v>
      </c>
      <c r="C334" s="29">
        <v>0.375</v>
      </c>
      <c r="D334" s="25"/>
      <c r="E334" s="25"/>
      <c r="F334" s="25"/>
      <c r="G334" s="30" t="s">
        <v>32</v>
      </c>
      <c r="I334" s="27">
        <v>46018</v>
      </c>
      <c r="J334" s="28" t="str">
        <f>TEXT(I334,"ddd")</f>
        <v>sáb</v>
      </c>
      <c r="K334" s="29">
        <v>0.375</v>
      </c>
      <c r="L334" s="25"/>
      <c r="M334" s="25"/>
      <c r="N334" s="25"/>
      <c r="O334" s="31" t="s">
        <v>32</v>
      </c>
      <c r="Q334" s="27">
        <v>46018</v>
      </c>
      <c r="R334" s="28" t="str">
        <f>TEXT(Q334,"ddd")</f>
        <v>sáb</v>
      </c>
      <c r="S334" s="29">
        <v>0.375</v>
      </c>
      <c r="T334" s="25"/>
      <c r="U334" s="25"/>
      <c r="V334" s="25"/>
      <c r="W334" s="30" t="s">
        <v>32</v>
      </c>
    </row>
    <row r="335" spans="1:23" x14ac:dyDescent="0.35">
      <c r="A335" s="27">
        <v>46018</v>
      </c>
      <c r="B335" s="28" t="str">
        <f>TEXT(A335,"ddd")</f>
        <v>sáb</v>
      </c>
      <c r="C335" s="29">
        <v>0.41666666666666669</v>
      </c>
      <c r="D335" s="25"/>
      <c r="E335" s="25"/>
      <c r="F335" s="25"/>
      <c r="G335" s="30" t="s">
        <v>32</v>
      </c>
      <c r="I335" s="27">
        <v>46018</v>
      </c>
      <c r="J335" s="28" t="str">
        <f>TEXT(I335,"ddd")</f>
        <v>sáb</v>
      </c>
      <c r="K335" s="29">
        <v>0.41666666666666669</v>
      </c>
      <c r="L335" s="25"/>
      <c r="M335" s="25"/>
      <c r="N335" s="25"/>
      <c r="O335" s="31" t="s">
        <v>32</v>
      </c>
      <c r="Q335" s="27">
        <v>46018</v>
      </c>
      <c r="R335" s="28" t="str">
        <f>TEXT(Q335,"ddd")</f>
        <v>sáb</v>
      </c>
      <c r="S335" s="29">
        <v>0.41666666666666669</v>
      </c>
      <c r="T335" s="19"/>
      <c r="U335" s="19"/>
      <c r="V335" s="19"/>
      <c r="W335" s="30" t="str">
        <f>IF(COUNTIF(T335:V335,"?*")=$P$7,"✅ CUBIERTO",IF(COUNTIF(T335:V335,"?*")&gt;$P$7,"⚠ EXCESO",
IF(COUNTIF(T335:V335,"?*")&gt;0,"⚠ FALTANTE", "❌ SIN COMPLETAR")))</f>
        <v>❌ SIN COMPLETAR</v>
      </c>
    </row>
    <row r="336" spans="1:23" x14ac:dyDescent="0.35">
      <c r="A336" s="27">
        <v>46018</v>
      </c>
      <c r="B336" s="28" t="str">
        <f>TEXT(A336,"ddd")</f>
        <v>sáb</v>
      </c>
      <c r="C336" s="29">
        <v>0.45833333333333331</v>
      </c>
      <c r="D336" s="19" t="s">
        <v>3</v>
      </c>
      <c r="E336" s="19" t="s">
        <v>4</v>
      </c>
      <c r="F336" s="19"/>
      <c r="G336" s="31" t="str">
        <f>IF(COUNTIF(D336:F336,"?*")=$P$5,"✅ CUBIERTO",
IF(COUNTIF(D336:F336,"?*")&gt;$P$5,"⚠ EXCESO",IF(COUNTIF(D336:F336,"?*")&gt;0,"⚠ FALTANTE",
"❌ SIN COMPLETAR")))</f>
        <v>✅ CUBIERTO</v>
      </c>
      <c r="I336" s="27">
        <v>46018</v>
      </c>
      <c r="J336" s="28" t="str">
        <f>TEXT(I336,"ddd")</f>
        <v>sáb</v>
      </c>
      <c r="K336" s="29">
        <v>0.45833333333333331</v>
      </c>
      <c r="L336" s="25"/>
      <c r="M336" s="25"/>
      <c r="N336" s="25"/>
      <c r="O336" s="31" t="s">
        <v>32</v>
      </c>
      <c r="Q336" s="27">
        <v>46018</v>
      </c>
      <c r="R336" s="28" t="str">
        <f>TEXT(Q336,"ddd")</f>
        <v>sáb</v>
      </c>
      <c r="S336" s="29">
        <v>0.45833333333333331</v>
      </c>
      <c r="T336" s="19"/>
      <c r="U336" s="19"/>
      <c r="V336" s="19"/>
      <c r="W336" s="30" t="str">
        <f>IF(COUNTIF(T336:V336,"?*")=$P$7,"✅ CUBIERTO",IF(COUNTIF(T336:V336,"?*")&gt;$P$7,"⚠ EXCESO",
IF(COUNTIF(T336:V336,"?*")&gt;0,"⚠ FALTANTE", "❌ SIN COMPLETAR")))</f>
        <v>❌ SIN COMPLETAR</v>
      </c>
    </row>
    <row r="337" spans="1:23" x14ac:dyDescent="0.35">
      <c r="A337" s="27">
        <v>46018</v>
      </c>
      <c r="B337" s="28" t="str">
        <f t="shared" ref="B337:B345" si="87">TEXT(A337,"ddd")</f>
        <v>sáb</v>
      </c>
      <c r="C337" s="29">
        <v>0.5</v>
      </c>
      <c r="D337" s="19" t="s">
        <v>3</v>
      </c>
      <c r="E337" s="19" t="s">
        <v>4</v>
      </c>
      <c r="F337" s="19"/>
      <c r="G337" s="31" t="str">
        <f>IF(COUNTIF(D337:F337,"?*")=$P$5,"✅ CUBIERTO",
IF(COUNTIF(D337:F337,"?*")&gt;$P$5,"⚠ EXCESO",IF(COUNTIF(D337:F337,"?*")&gt;0,"⚠ FALTANTE",
"❌ SIN COMPLETAR")))</f>
        <v>✅ CUBIERTO</v>
      </c>
      <c r="I337" s="27">
        <v>46018</v>
      </c>
      <c r="J337" s="28" t="str">
        <f t="shared" ref="J337:J345" si="88">TEXT(I337,"ddd")</f>
        <v>sáb</v>
      </c>
      <c r="K337" s="29">
        <v>0.5</v>
      </c>
      <c r="L337" s="25"/>
      <c r="M337" s="25"/>
      <c r="N337" s="25"/>
      <c r="O337" s="31" t="s">
        <v>32</v>
      </c>
      <c r="Q337" s="27">
        <v>46018</v>
      </c>
      <c r="R337" s="28" t="str">
        <f t="shared" ref="R337:R345" si="89">TEXT(Q337,"ddd")</f>
        <v>sáb</v>
      </c>
      <c r="S337" s="29">
        <v>0.5</v>
      </c>
      <c r="T337" s="19"/>
      <c r="U337" s="19"/>
      <c r="V337" s="19"/>
      <c r="W337" s="30" t="str">
        <f>IF(COUNTIF(T337:V337,"?*")=$P$7,"✅ CUBIERTO",IF(COUNTIF(T337:V337,"?*")&gt;$P$7,"⚠ EXCESO",
IF(COUNTIF(T337:V337,"?*")&gt;0,"⚠ FALTANTE", "❌ SIN COMPLETAR")))</f>
        <v>❌ SIN COMPLETAR</v>
      </c>
    </row>
    <row r="338" spans="1:23" x14ac:dyDescent="0.35">
      <c r="A338" s="27">
        <v>46018</v>
      </c>
      <c r="B338" s="28" t="str">
        <f t="shared" si="87"/>
        <v>sáb</v>
      </c>
      <c r="C338" s="29">
        <v>0.54166666666666696</v>
      </c>
      <c r="D338" s="19" t="s">
        <v>3</v>
      </c>
      <c r="E338" s="19" t="s">
        <v>4</v>
      </c>
      <c r="F338" s="19"/>
      <c r="G338" s="31" t="str">
        <f>IF(COUNTIF(D338:F338,"?*")=$P$5,"✅ CUBIERTO",
IF(COUNTIF(D338:F338,"?*")&gt;$P$5,"⚠ EXCESO",IF(COUNTIF(D338:F338,"?*")&gt;0,"⚠ FALTANTE",
"❌ SIN COMPLETAR")))</f>
        <v>✅ CUBIERTO</v>
      </c>
      <c r="I338" s="27">
        <v>46018</v>
      </c>
      <c r="J338" s="28" t="str">
        <f t="shared" si="88"/>
        <v>sáb</v>
      </c>
      <c r="K338" s="29">
        <v>0.54166666666666696</v>
      </c>
      <c r="L338" s="25"/>
      <c r="M338" s="25"/>
      <c r="N338" s="25"/>
      <c r="O338" s="31" t="s">
        <v>32</v>
      </c>
      <c r="Q338" s="27">
        <v>46018</v>
      </c>
      <c r="R338" s="28" t="str">
        <f t="shared" si="89"/>
        <v>sáb</v>
      </c>
      <c r="S338" s="29">
        <v>0.54166666666666696</v>
      </c>
      <c r="T338" s="19"/>
      <c r="U338" s="19"/>
      <c r="V338" s="19"/>
      <c r="W338" s="30" t="str">
        <f>IF(COUNTIF(T338:V338,"?*")=$P$7,"✅ CUBIERTO",IF(COUNTIF(T338:V338,"?*")&gt;$P$7,"⚠ EXCESO",
IF(COUNTIF(T338:V338,"?*")&gt;0,"⚠ FALTANTE", "❌ SIN COMPLETAR")))</f>
        <v>❌ SIN COMPLETAR</v>
      </c>
    </row>
    <row r="339" spans="1:23" x14ac:dyDescent="0.35">
      <c r="A339" s="27">
        <v>46018</v>
      </c>
      <c r="B339" s="28" t="str">
        <f t="shared" si="87"/>
        <v>sáb</v>
      </c>
      <c r="C339" s="29">
        <v>0.58333333333333304</v>
      </c>
      <c r="D339" s="19" t="s">
        <v>3</v>
      </c>
      <c r="E339" s="19" t="s">
        <v>4</v>
      </c>
      <c r="F339" s="19"/>
      <c r="G339" s="31" t="str">
        <f>IF(COUNTIF(D339:F339,"?*")=$P$5,"✅ CUBIERTO",
IF(COUNTIF(D339:F339,"?*")&gt;$P$5,"⚠ EXCESO",IF(COUNTIF(D339:F339,"?*")&gt;0,"⚠ FALTANTE",
"❌ SIN COMPLETAR")))</f>
        <v>✅ CUBIERTO</v>
      </c>
      <c r="I339" s="27">
        <v>46018</v>
      </c>
      <c r="J339" s="28" t="str">
        <f t="shared" si="88"/>
        <v>sáb</v>
      </c>
      <c r="K339" s="29">
        <v>0.58333333333333304</v>
      </c>
      <c r="L339" s="25"/>
      <c r="M339" s="25"/>
      <c r="N339" s="25"/>
      <c r="O339" s="31" t="s">
        <v>32</v>
      </c>
      <c r="Q339" s="27">
        <v>46018</v>
      </c>
      <c r="R339" s="28" t="str">
        <f t="shared" si="89"/>
        <v>sáb</v>
      </c>
      <c r="S339" s="29">
        <v>0.58333333333333304</v>
      </c>
      <c r="T339" s="19"/>
      <c r="U339" s="19"/>
      <c r="V339" s="19"/>
      <c r="W339" s="30" t="str">
        <f>IF(COUNTIF(T339:V339,"?*")=$P$7,"✅ CUBIERTO",IF(COUNTIF(T339:V339,"?*")&gt;$P$7,"⚠ EXCESO",
IF(COUNTIF(T339:V339,"?*")&gt;0,"⚠ FALTANTE", "❌ SIN COMPLETAR")))</f>
        <v>❌ SIN COMPLETAR</v>
      </c>
    </row>
    <row r="340" spans="1:23" x14ac:dyDescent="0.35">
      <c r="A340" s="27">
        <v>46018</v>
      </c>
      <c r="B340" s="28" t="str">
        <f t="shared" si="87"/>
        <v>sáb</v>
      </c>
      <c r="C340" s="29">
        <v>0.625</v>
      </c>
      <c r="D340" s="19" t="s">
        <v>3</v>
      </c>
      <c r="E340" s="19" t="s">
        <v>4</v>
      </c>
      <c r="F340" s="19"/>
      <c r="G340" s="31" t="str">
        <f>IF(COUNTIF(D340:F340,"?*")=$P$5,"✅ CUBIERTO",
IF(COUNTIF(D340:F340,"?*")&gt;$P$5,"⚠ EXCESO",IF(COUNTIF(D340:F340,"?*")&gt;0,"⚠ FALTANTE",
"❌ SIN COMPLETAR")))</f>
        <v>✅ CUBIERTO</v>
      </c>
      <c r="I340" s="27">
        <v>46018</v>
      </c>
      <c r="J340" s="28" t="str">
        <f t="shared" si="88"/>
        <v>sáb</v>
      </c>
      <c r="K340" s="29">
        <v>0.625</v>
      </c>
      <c r="L340" s="25"/>
      <c r="M340" s="25"/>
      <c r="N340" s="25"/>
      <c r="O340" s="31" t="s">
        <v>32</v>
      </c>
      <c r="Q340" s="27">
        <v>46018</v>
      </c>
      <c r="R340" s="28" t="str">
        <f t="shared" si="89"/>
        <v>sáb</v>
      </c>
      <c r="S340" s="29">
        <v>0.625</v>
      </c>
      <c r="T340" s="19"/>
      <c r="U340" s="19"/>
      <c r="V340" s="19"/>
      <c r="W340" s="30" t="str">
        <f>IF(COUNTIF(T340:V340,"?*")=$P$7,"✅ CUBIERTO",IF(COUNTIF(T340:V340,"?*")&gt;$P$7,"⚠ EXCESO",
IF(COUNTIF(T340:V340,"?*")&gt;0,"⚠ FALTANTE", "❌ SIN COMPLETAR")))</f>
        <v>❌ SIN COMPLETAR</v>
      </c>
    </row>
    <row r="341" spans="1:23" x14ac:dyDescent="0.35">
      <c r="A341" s="27">
        <v>46018</v>
      </c>
      <c r="B341" s="28" t="str">
        <f t="shared" si="87"/>
        <v>sáb</v>
      </c>
      <c r="C341" s="29">
        <v>0.66666666666666696</v>
      </c>
      <c r="D341" s="19" t="s">
        <v>30</v>
      </c>
      <c r="E341" s="19"/>
      <c r="F341" s="19"/>
      <c r="G341" s="31" t="str">
        <f>IF(COUNTIF(D341:F341,"?*")=$P$5,"✅ CUBIERTO",
IF(COUNTIF(D341:F341,"?*")&gt;$P$5,"⚠ EXCESO",IF(COUNTIF(D341:F341,"?*")&gt;0,"⚠ FALTANTE",
"❌ SIN COMPLETAR")))</f>
        <v>⚠ FALTANTE</v>
      </c>
      <c r="I341" s="27">
        <v>46018</v>
      </c>
      <c r="J341" s="28" t="str">
        <f t="shared" si="88"/>
        <v>sáb</v>
      </c>
      <c r="K341" s="29">
        <v>0.66666666666666696</v>
      </c>
      <c r="L341" s="25"/>
      <c r="M341" s="25"/>
      <c r="N341" s="25"/>
      <c r="O341" s="31" t="s">
        <v>32</v>
      </c>
      <c r="Q341" s="27">
        <v>46018</v>
      </c>
      <c r="R341" s="28" t="str">
        <f t="shared" si="89"/>
        <v>sáb</v>
      </c>
      <c r="S341" s="29">
        <v>0.66666666666666696</v>
      </c>
      <c r="T341" s="19"/>
      <c r="U341" s="19"/>
      <c r="V341" s="19"/>
      <c r="W341" s="30" t="str">
        <f>IF(COUNTIF(T341:V341,"?*")=$P$7,"✅ CUBIERTO",IF(COUNTIF(T341:V341,"?*")&gt;$P$7,"⚠ EXCESO",
IF(COUNTIF(T341:V341,"?*")&gt;0,"⚠ FALTANTE", "❌ SIN COMPLETAR")))</f>
        <v>❌ SIN COMPLETAR</v>
      </c>
    </row>
    <row r="342" spans="1:23" x14ac:dyDescent="0.35">
      <c r="A342" s="27">
        <v>46018</v>
      </c>
      <c r="B342" s="28" t="str">
        <f t="shared" si="87"/>
        <v>sáb</v>
      </c>
      <c r="C342" s="29">
        <v>0.70833333333333304</v>
      </c>
      <c r="D342" s="19" t="s">
        <v>30</v>
      </c>
      <c r="E342" s="19"/>
      <c r="F342" s="19"/>
      <c r="G342" s="31" t="str">
        <f>IF(COUNTIF(D342:F342,"?*")=$P$5,"✅ CUBIERTO",
IF(COUNTIF(D342:F342,"?*")&gt;$P$5,"⚠ EXCESO",IF(COUNTIF(D342:F342,"?*")&gt;0,"⚠ FALTANTE",
"❌ SIN COMPLETAR")))</f>
        <v>⚠ FALTANTE</v>
      </c>
      <c r="I342" s="27">
        <v>46018</v>
      </c>
      <c r="J342" s="28" t="str">
        <f t="shared" si="88"/>
        <v>sáb</v>
      </c>
      <c r="K342" s="29">
        <v>0.70833333333333304</v>
      </c>
      <c r="L342" s="25"/>
      <c r="M342" s="25"/>
      <c r="N342" s="25"/>
      <c r="O342" s="31" t="s">
        <v>32</v>
      </c>
      <c r="Q342" s="27">
        <v>46018</v>
      </c>
      <c r="R342" s="28" t="str">
        <f t="shared" si="89"/>
        <v>sáb</v>
      </c>
      <c r="S342" s="29">
        <v>0.70833333333333304</v>
      </c>
      <c r="T342" s="19"/>
      <c r="U342" s="19"/>
      <c r="V342" s="19"/>
      <c r="W342" s="30" t="str">
        <f>IF(COUNTIF(T342:V342,"?*")=$P$7,"✅ CUBIERTO",IF(COUNTIF(T342:V342,"?*")&gt;$P$7,"⚠ EXCESO",
IF(COUNTIF(T342:V342,"?*")&gt;0,"⚠ FALTANTE", "❌ SIN COMPLETAR")))</f>
        <v>❌ SIN COMPLETAR</v>
      </c>
    </row>
    <row r="343" spans="1:23" x14ac:dyDescent="0.35">
      <c r="A343" s="27">
        <v>46018</v>
      </c>
      <c r="B343" s="28" t="str">
        <f t="shared" si="87"/>
        <v>sáb</v>
      </c>
      <c r="C343" s="29">
        <v>0.75</v>
      </c>
      <c r="D343" s="19" t="s">
        <v>30</v>
      </c>
      <c r="E343" s="19"/>
      <c r="F343" s="19"/>
      <c r="G343" s="31" t="str">
        <f>IF(COUNTIF(D343:F343,"?*")=$P$5,"✅ CUBIERTO",
IF(COUNTIF(D343:F343,"?*")&gt;$P$5,"⚠ EXCESO",IF(COUNTIF(D343:F343,"?*")&gt;0,"⚠ FALTANTE",
"❌ SIN COMPLETAR")))</f>
        <v>⚠ FALTANTE</v>
      </c>
      <c r="I343" s="27">
        <v>46018</v>
      </c>
      <c r="J343" s="28" t="str">
        <f t="shared" si="88"/>
        <v>sáb</v>
      </c>
      <c r="K343" s="29">
        <v>0.75</v>
      </c>
      <c r="L343" s="25"/>
      <c r="M343" s="25"/>
      <c r="N343" s="25"/>
      <c r="O343" s="31" t="s">
        <v>32</v>
      </c>
      <c r="Q343" s="27">
        <v>46018</v>
      </c>
      <c r="R343" s="28" t="str">
        <f t="shared" si="89"/>
        <v>sáb</v>
      </c>
      <c r="S343" s="29">
        <v>0.75</v>
      </c>
      <c r="T343" s="19"/>
      <c r="U343" s="19"/>
      <c r="V343" s="19"/>
      <c r="W343" s="30" t="str">
        <f>IF(COUNTIF(T343:V343,"?*")=$P$7,"✅ CUBIERTO",IF(COUNTIF(T343:V343,"?*")&gt;$P$7,"⚠ EXCESO",
IF(COUNTIF(T343:V343,"?*")&gt;0,"⚠ FALTANTE", "❌ SIN COMPLETAR")))</f>
        <v>❌ SIN COMPLETAR</v>
      </c>
    </row>
    <row r="344" spans="1:23" x14ac:dyDescent="0.35">
      <c r="A344" s="27">
        <v>46018</v>
      </c>
      <c r="B344" s="28" t="str">
        <f t="shared" si="87"/>
        <v>sáb</v>
      </c>
      <c r="C344" s="29">
        <v>0.79166666666666696</v>
      </c>
      <c r="D344" s="19" t="s">
        <v>30</v>
      </c>
      <c r="E344" s="19"/>
      <c r="F344" s="19"/>
      <c r="G344" s="31" t="str">
        <f>IF(COUNTIF(D344:F344,"?*")=$P$5,"✅ CUBIERTO",
IF(COUNTIF(D344:F344,"?*")&gt;$P$5,"⚠ EXCESO",IF(COUNTIF(D344:F344,"?*")&gt;0,"⚠ FALTANTE",
"❌ SIN COMPLETAR")))</f>
        <v>⚠ FALTANTE</v>
      </c>
      <c r="I344" s="27">
        <v>46018</v>
      </c>
      <c r="J344" s="28" t="str">
        <f t="shared" si="88"/>
        <v>sáb</v>
      </c>
      <c r="K344" s="29">
        <v>0.79166666666666696</v>
      </c>
      <c r="L344" s="25"/>
      <c r="M344" s="25"/>
      <c r="N344" s="25"/>
      <c r="O344" s="31" t="s">
        <v>32</v>
      </c>
      <c r="Q344" s="27">
        <v>46018</v>
      </c>
      <c r="R344" s="28" t="str">
        <f t="shared" si="89"/>
        <v>sáb</v>
      </c>
      <c r="S344" s="29">
        <v>0.79166666666666696</v>
      </c>
      <c r="T344" s="19"/>
      <c r="U344" s="19"/>
      <c r="V344" s="19"/>
      <c r="W344" s="30" t="str">
        <f>IF(COUNTIF(T344:V344,"?*")=$P$7,"✅ CUBIERTO",IF(COUNTIF(T344:V344,"?*")&gt;$P$7,"⚠ EXCESO",
IF(COUNTIF(T344:V344,"?*")&gt;0,"⚠ FALTANTE", "❌ SIN COMPLETAR")))</f>
        <v>❌ SIN COMPLETAR</v>
      </c>
    </row>
    <row r="345" spans="1:23" x14ac:dyDescent="0.35">
      <c r="A345" s="27">
        <v>46018</v>
      </c>
      <c r="B345" s="28" t="str">
        <f t="shared" si="87"/>
        <v>sáb</v>
      </c>
      <c r="C345" s="29">
        <v>0.83333333333333337</v>
      </c>
      <c r="D345" s="25"/>
      <c r="E345" s="25"/>
      <c r="F345" s="25"/>
      <c r="G345" s="30" t="s">
        <v>32</v>
      </c>
      <c r="I345" s="27">
        <v>46018</v>
      </c>
      <c r="J345" s="28" t="str">
        <f t="shared" si="88"/>
        <v>sáb</v>
      </c>
      <c r="K345" s="29">
        <v>0.83333333333333337</v>
      </c>
      <c r="L345" s="25"/>
      <c r="M345" s="25"/>
      <c r="N345" s="25"/>
      <c r="O345" s="31" t="s">
        <v>32</v>
      </c>
      <c r="Q345" s="27">
        <v>46018</v>
      </c>
      <c r="R345" s="28" t="str">
        <f t="shared" si="89"/>
        <v>sáb</v>
      </c>
      <c r="S345" s="29">
        <v>0.83333333333333337</v>
      </c>
      <c r="T345" s="19"/>
      <c r="U345" s="19"/>
      <c r="V345" s="19"/>
      <c r="W345" s="30" t="str">
        <f>IF(COUNTIF(T345:V345,"?*")=$P$7,"✅ CUBIERTO",IF(COUNTIF(T345:V345,"?*")&gt;$P$7,"⚠ EXCESO",
IF(COUNTIF(T345:V345,"?*")&gt;0,"⚠ FALTANTE", "❌ SIN COMPLETAR")))</f>
        <v>❌ SIN COMPLETAR</v>
      </c>
    </row>
    <row r="346" spans="1:23" x14ac:dyDescent="0.35">
      <c r="A346" s="27">
        <v>46019</v>
      </c>
      <c r="B346" s="28" t="str">
        <f>TEXT(A346,"ddd")</f>
        <v>dom</v>
      </c>
      <c r="C346" s="29">
        <v>0.375</v>
      </c>
      <c r="D346" s="25"/>
      <c r="E346" s="25"/>
      <c r="F346" s="25"/>
      <c r="G346" s="30" t="s">
        <v>32</v>
      </c>
      <c r="I346" s="27">
        <v>46019</v>
      </c>
      <c r="J346" s="28" t="str">
        <f>TEXT(I346,"ddd")</f>
        <v>dom</v>
      </c>
      <c r="K346" s="29">
        <v>0.375</v>
      </c>
      <c r="L346" s="25"/>
      <c r="M346" s="25"/>
      <c r="N346" s="25"/>
      <c r="O346" s="31" t="s">
        <v>32</v>
      </c>
      <c r="Q346" s="27">
        <v>46019</v>
      </c>
      <c r="R346" s="28" t="str">
        <f>TEXT(Q346,"ddd")</f>
        <v>dom</v>
      </c>
      <c r="S346" s="29">
        <v>0.375</v>
      </c>
      <c r="T346" s="25"/>
      <c r="U346" s="25"/>
      <c r="V346" s="25"/>
      <c r="W346" s="30" t="s">
        <v>32</v>
      </c>
    </row>
    <row r="347" spans="1:23" x14ac:dyDescent="0.35">
      <c r="A347" s="27">
        <v>46019</v>
      </c>
      <c r="B347" s="28" t="str">
        <f>TEXT(A347,"ddd")</f>
        <v>dom</v>
      </c>
      <c r="C347" s="29">
        <v>0.41666666666666669</v>
      </c>
      <c r="D347" s="25"/>
      <c r="E347" s="25"/>
      <c r="F347" s="25"/>
      <c r="G347" s="30" t="s">
        <v>32</v>
      </c>
      <c r="I347" s="27">
        <v>46019</v>
      </c>
      <c r="J347" s="28" t="str">
        <f>TEXT(I347,"ddd")</f>
        <v>dom</v>
      </c>
      <c r="K347" s="29">
        <v>0.41666666666666669</v>
      </c>
      <c r="L347" s="25"/>
      <c r="M347" s="25"/>
      <c r="N347" s="25"/>
      <c r="O347" s="31" t="s">
        <v>32</v>
      </c>
      <c r="Q347" s="27">
        <v>46019</v>
      </c>
      <c r="R347" s="28" t="str">
        <f>TEXT(Q347,"ddd")</f>
        <v>dom</v>
      </c>
      <c r="S347" s="29">
        <v>0.41666666666666669</v>
      </c>
      <c r="T347" s="19"/>
      <c r="U347" s="19"/>
      <c r="V347" s="19"/>
      <c r="W347" s="30" t="str">
        <f>IF(COUNTIF(T347:V347,"?*")=$P$7,"✅ CUBIERTO",IF(COUNTIF(T347:V347,"?*")&gt;$P$7,"⚠ EXCESO",
IF(COUNTIF(T347:V347,"?*")&gt;0,"⚠ FALTANTE", "❌ SIN COMPLETAR")))</f>
        <v>❌ SIN COMPLETAR</v>
      </c>
    </row>
    <row r="348" spans="1:23" x14ac:dyDescent="0.35">
      <c r="A348" s="27">
        <v>46019</v>
      </c>
      <c r="B348" s="28" t="str">
        <f>TEXT(A348,"ddd")</f>
        <v>dom</v>
      </c>
      <c r="C348" s="29">
        <v>0.45833333333333331</v>
      </c>
      <c r="D348" s="19" t="s">
        <v>3</v>
      </c>
      <c r="E348" s="19" t="s">
        <v>4</v>
      </c>
      <c r="F348" s="19"/>
      <c r="G348" s="31" t="str">
        <f>IF(COUNTIF(D348:F348,"?*")=$P$5,"✅ CUBIERTO",
IF(COUNTIF(D348:F348,"?*")&gt;$P$5,"⚠ EXCESO",IF(COUNTIF(D348:F348,"?*")&gt;0,"⚠ FALTANTE",
"❌ SIN COMPLETAR")))</f>
        <v>✅ CUBIERTO</v>
      </c>
      <c r="I348" s="27">
        <v>46019</v>
      </c>
      <c r="J348" s="28" t="str">
        <f>TEXT(I348,"ddd")</f>
        <v>dom</v>
      </c>
      <c r="K348" s="29">
        <v>0.45833333333333331</v>
      </c>
      <c r="L348" s="25"/>
      <c r="M348" s="25"/>
      <c r="N348" s="25"/>
      <c r="O348" s="31" t="s">
        <v>32</v>
      </c>
      <c r="Q348" s="27">
        <v>46019</v>
      </c>
      <c r="R348" s="28" t="str">
        <f>TEXT(Q348,"ddd")</f>
        <v>dom</v>
      </c>
      <c r="S348" s="29">
        <v>0.45833333333333331</v>
      </c>
      <c r="T348" s="19"/>
      <c r="U348" s="19"/>
      <c r="V348" s="19"/>
      <c r="W348" s="30" t="str">
        <f>IF(COUNTIF(T348:V348,"?*")=$P$7,"✅ CUBIERTO",IF(COUNTIF(T348:V348,"?*")&gt;$P$7,"⚠ EXCESO",
IF(COUNTIF(T348:V348,"?*")&gt;0,"⚠ FALTANTE", "❌ SIN COMPLETAR")))</f>
        <v>❌ SIN COMPLETAR</v>
      </c>
    </row>
    <row r="349" spans="1:23" x14ac:dyDescent="0.35">
      <c r="A349" s="27">
        <v>46019</v>
      </c>
      <c r="B349" s="28" t="str">
        <f t="shared" ref="B349:B357" si="90">TEXT(A349,"ddd")</f>
        <v>dom</v>
      </c>
      <c r="C349" s="29">
        <v>0.5</v>
      </c>
      <c r="D349" s="19" t="s">
        <v>3</v>
      </c>
      <c r="E349" s="19" t="s">
        <v>4</v>
      </c>
      <c r="F349" s="19"/>
      <c r="G349" s="31" t="str">
        <f>IF(COUNTIF(D349:F349,"?*")=$P$5,"✅ CUBIERTO",
IF(COUNTIF(D349:F349,"?*")&gt;$P$5,"⚠ EXCESO",IF(COUNTIF(D349:F349,"?*")&gt;0,"⚠ FALTANTE",
"❌ SIN COMPLETAR")))</f>
        <v>✅ CUBIERTO</v>
      </c>
      <c r="I349" s="27">
        <v>46019</v>
      </c>
      <c r="J349" s="28" t="str">
        <f t="shared" ref="J349:J357" si="91">TEXT(I349,"ddd")</f>
        <v>dom</v>
      </c>
      <c r="K349" s="29">
        <v>0.5</v>
      </c>
      <c r="L349" s="25"/>
      <c r="M349" s="25"/>
      <c r="N349" s="25"/>
      <c r="O349" s="31" t="s">
        <v>32</v>
      </c>
      <c r="Q349" s="27">
        <v>46019</v>
      </c>
      <c r="R349" s="28" t="str">
        <f t="shared" ref="R349:R357" si="92">TEXT(Q349,"ddd")</f>
        <v>dom</v>
      </c>
      <c r="S349" s="29">
        <v>0.5</v>
      </c>
      <c r="T349" s="19"/>
      <c r="U349" s="19"/>
      <c r="V349" s="19"/>
      <c r="W349" s="30" t="str">
        <f>IF(COUNTIF(T349:V349,"?*")=$P$7,"✅ CUBIERTO",IF(COUNTIF(T349:V349,"?*")&gt;$P$7,"⚠ EXCESO",
IF(COUNTIF(T349:V349,"?*")&gt;0,"⚠ FALTANTE", "❌ SIN COMPLETAR")))</f>
        <v>❌ SIN COMPLETAR</v>
      </c>
    </row>
    <row r="350" spans="1:23" x14ac:dyDescent="0.35">
      <c r="A350" s="27">
        <v>46019</v>
      </c>
      <c r="B350" s="28" t="str">
        <f t="shared" si="90"/>
        <v>dom</v>
      </c>
      <c r="C350" s="29">
        <v>0.54166666666666696</v>
      </c>
      <c r="D350" s="19" t="s">
        <v>3</v>
      </c>
      <c r="E350" s="19" t="s">
        <v>4</v>
      </c>
      <c r="F350" s="19"/>
      <c r="G350" s="31" t="str">
        <f>IF(COUNTIF(D350:F350,"?*")=$P$5,"✅ CUBIERTO",
IF(COUNTIF(D350:F350,"?*")&gt;$P$5,"⚠ EXCESO",IF(COUNTIF(D350:F350,"?*")&gt;0,"⚠ FALTANTE",
"❌ SIN COMPLETAR")))</f>
        <v>✅ CUBIERTO</v>
      </c>
      <c r="I350" s="27">
        <v>46019</v>
      </c>
      <c r="J350" s="28" t="str">
        <f t="shared" si="91"/>
        <v>dom</v>
      </c>
      <c r="K350" s="29">
        <v>0.54166666666666696</v>
      </c>
      <c r="L350" s="25"/>
      <c r="M350" s="25"/>
      <c r="N350" s="25"/>
      <c r="O350" s="31" t="s">
        <v>32</v>
      </c>
      <c r="Q350" s="27">
        <v>46019</v>
      </c>
      <c r="R350" s="28" t="str">
        <f t="shared" si="92"/>
        <v>dom</v>
      </c>
      <c r="S350" s="29">
        <v>0.54166666666666696</v>
      </c>
      <c r="T350" s="19"/>
      <c r="U350" s="19"/>
      <c r="V350" s="19"/>
      <c r="W350" s="30" t="str">
        <f>IF(COUNTIF(T350:V350,"?*")=$P$7,"✅ CUBIERTO",IF(COUNTIF(T350:V350,"?*")&gt;$P$7,"⚠ EXCESO",
IF(COUNTIF(T350:V350,"?*")&gt;0,"⚠ FALTANTE", "❌ SIN COMPLETAR")))</f>
        <v>❌ SIN COMPLETAR</v>
      </c>
    </row>
    <row r="351" spans="1:23" x14ac:dyDescent="0.35">
      <c r="A351" s="27">
        <v>46019</v>
      </c>
      <c r="B351" s="28" t="str">
        <f t="shared" si="90"/>
        <v>dom</v>
      </c>
      <c r="C351" s="29">
        <v>0.58333333333333304</v>
      </c>
      <c r="D351" s="19" t="s">
        <v>3</v>
      </c>
      <c r="E351" s="19" t="s">
        <v>4</v>
      </c>
      <c r="F351" s="19"/>
      <c r="G351" s="31" t="str">
        <f>IF(COUNTIF(D351:F351,"?*")=$P$5,"✅ CUBIERTO",
IF(COUNTIF(D351:F351,"?*")&gt;$P$5,"⚠ EXCESO",IF(COUNTIF(D351:F351,"?*")&gt;0,"⚠ FALTANTE",
"❌ SIN COMPLETAR")))</f>
        <v>✅ CUBIERTO</v>
      </c>
      <c r="I351" s="27">
        <v>46019</v>
      </c>
      <c r="J351" s="28" t="str">
        <f t="shared" si="91"/>
        <v>dom</v>
      </c>
      <c r="K351" s="29">
        <v>0.58333333333333304</v>
      </c>
      <c r="L351" s="25"/>
      <c r="M351" s="25"/>
      <c r="N351" s="25"/>
      <c r="O351" s="31" t="s">
        <v>32</v>
      </c>
      <c r="Q351" s="27">
        <v>46019</v>
      </c>
      <c r="R351" s="28" t="str">
        <f t="shared" si="92"/>
        <v>dom</v>
      </c>
      <c r="S351" s="29">
        <v>0.58333333333333304</v>
      </c>
      <c r="T351" s="19"/>
      <c r="U351" s="19"/>
      <c r="V351" s="19"/>
      <c r="W351" s="30" t="str">
        <f>IF(COUNTIF(T351:V351,"?*")=$P$7,"✅ CUBIERTO",IF(COUNTIF(T351:V351,"?*")&gt;$P$7,"⚠ EXCESO",
IF(COUNTIF(T351:V351,"?*")&gt;0,"⚠ FALTANTE", "❌ SIN COMPLETAR")))</f>
        <v>❌ SIN COMPLETAR</v>
      </c>
    </row>
    <row r="352" spans="1:23" x14ac:dyDescent="0.35">
      <c r="A352" s="27">
        <v>46019</v>
      </c>
      <c r="B352" s="28" t="str">
        <f t="shared" si="90"/>
        <v>dom</v>
      </c>
      <c r="C352" s="29">
        <v>0.625</v>
      </c>
      <c r="D352" s="19" t="s">
        <v>3</v>
      </c>
      <c r="E352" s="19" t="s">
        <v>4</v>
      </c>
      <c r="F352" s="19"/>
      <c r="G352" s="31" t="str">
        <f>IF(COUNTIF(D352:F352,"?*")=$P$5,"✅ CUBIERTO",
IF(COUNTIF(D352:F352,"?*")&gt;$P$5,"⚠ EXCESO",IF(COUNTIF(D352:F352,"?*")&gt;0,"⚠ FALTANTE",
"❌ SIN COMPLETAR")))</f>
        <v>✅ CUBIERTO</v>
      </c>
      <c r="I352" s="27">
        <v>46019</v>
      </c>
      <c r="J352" s="28" t="str">
        <f t="shared" si="91"/>
        <v>dom</v>
      </c>
      <c r="K352" s="29">
        <v>0.625</v>
      </c>
      <c r="L352" s="25"/>
      <c r="M352" s="25"/>
      <c r="N352" s="25"/>
      <c r="O352" s="31" t="s">
        <v>32</v>
      </c>
      <c r="Q352" s="27">
        <v>46019</v>
      </c>
      <c r="R352" s="28" t="str">
        <f t="shared" si="92"/>
        <v>dom</v>
      </c>
      <c r="S352" s="29">
        <v>0.625</v>
      </c>
      <c r="T352" s="19"/>
      <c r="U352" s="19"/>
      <c r="V352" s="19"/>
      <c r="W352" s="30" t="str">
        <f>IF(COUNTIF(T352:V352,"?*")=$P$7,"✅ CUBIERTO",IF(COUNTIF(T352:V352,"?*")&gt;$P$7,"⚠ EXCESO",
IF(COUNTIF(T352:V352,"?*")&gt;0,"⚠ FALTANTE", "❌ SIN COMPLETAR")))</f>
        <v>❌ SIN COMPLETAR</v>
      </c>
    </row>
    <row r="353" spans="1:23" x14ac:dyDescent="0.35">
      <c r="A353" s="27">
        <v>46019</v>
      </c>
      <c r="B353" s="28" t="str">
        <f t="shared" si="90"/>
        <v>dom</v>
      </c>
      <c r="C353" s="29">
        <v>0.66666666666666696</v>
      </c>
      <c r="D353" s="19" t="s">
        <v>30</v>
      </c>
      <c r="E353" s="19"/>
      <c r="F353" s="19"/>
      <c r="G353" s="31" t="str">
        <f>IF(COUNTIF(D353:F353,"?*")=$P$5,"✅ CUBIERTO",
IF(COUNTIF(D353:F353,"?*")&gt;$P$5,"⚠ EXCESO",IF(COUNTIF(D353:F353,"?*")&gt;0,"⚠ FALTANTE",
"❌ SIN COMPLETAR")))</f>
        <v>⚠ FALTANTE</v>
      </c>
      <c r="I353" s="27">
        <v>46019</v>
      </c>
      <c r="J353" s="28" t="str">
        <f t="shared" si="91"/>
        <v>dom</v>
      </c>
      <c r="K353" s="29">
        <v>0.66666666666666696</v>
      </c>
      <c r="L353" s="25"/>
      <c r="M353" s="25"/>
      <c r="N353" s="25"/>
      <c r="O353" s="31" t="s">
        <v>32</v>
      </c>
      <c r="Q353" s="27">
        <v>46019</v>
      </c>
      <c r="R353" s="28" t="str">
        <f t="shared" si="92"/>
        <v>dom</v>
      </c>
      <c r="S353" s="29">
        <v>0.66666666666666696</v>
      </c>
      <c r="T353" s="19"/>
      <c r="U353" s="19"/>
      <c r="V353" s="19"/>
      <c r="W353" s="30" t="str">
        <f>IF(COUNTIF(T353:V353,"?*")=$P$7,"✅ CUBIERTO",IF(COUNTIF(T353:V353,"?*")&gt;$P$7,"⚠ EXCESO",
IF(COUNTIF(T353:V353,"?*")&gt;0,"⚠ FALTANTE", "❌ SIN COMPLETAR")))</f>
        <v>❌ SIN COMPLETAR</v>
      </c>
    </row>
    <row r="354" spans="1:23" x14ac:dyDescent="0.35">
      <c r="A354" s="27">
        <v>46019</v>
      </c>
      <c r="B354" s="28" t="str">
        <f t="shared" si="90"/>
        <v>dom</v>
      </c>
      <c r="C354" s="29">
        <v>0.70833333333333304</v>
      </c>
      <c r="D354" s="19" t="s">
        <v>30</v>
      </c>
      <c r="E354" s="19"/>
      <c r="F354" s="19"/>
      <c r="G354" s="31" t="str">
        <f>IF(COUNTIF(D354:F354,"?*")=$P$5,"✅ CUBIERTO",
IF(COUNTIF(D354:F354,"?*")&gt;$P$5,"⚠ EXCESO",IF(COUNTIF(D354:F354,"?*")&gt;0,"⚠ FALTANTE",
"❌ SIN COMPLETAR")))</f>
        <v>⚠ FALTANTE</v>
      </c>
      <c r="I354" s="27">
        <v>46019</v>
      </c>
      <c r="J354" s="28" t="str">
        <f t="shared" si="91"/>
        <v>dom</v>
      </c>
      <c r="K354" s="29">
        <v>0.70833333333333304</v>
      </c>
      <c r="L354" s="25"/>
      <c r="M354" s="25"/>
      <c r="N354" s="25"/>
      <c r="O354" s="31" t="s">
        <v>32</v>
      </c>
      <c r="Q354" s="27">
        <v>46019</v>
      </c>
      <c r="R354" s="28" t="str">
        <f t="shared" si="92"/>
        <v>dom</v>
      </c>
      <c r="S354" s="29">
        <v>0.70833333333333304</v>
      </c>
      <c r="T354" s="19"/>
      <c r="U354" s="19"/>
      <c r="V354" s="19"/>
      <c r="W354" s="30" t="str">
        <f>IF(COUNTIF(T354:V354,"?*")=$P$7,"✅ CUBIERTO",IF(COUNTIF(T354:V354,"?*")&gt;$P$7,"⚠ EXCESO",
IF(COUNTIF(T354:V354,"?*")&gt;0,"⚠ FALTANTE", "❌ SIN COMPLETAR")))</f>
        <v>❌ SIN COMPLETAR</v>
      </c>
    </row>
    <row r="355" spans="1:23" x14ac:dyDescent="0.35">
      <c r="A355" s="27">
        <v>46019</v>
      </c>
      <c r="B355" s="28" t="str">
        <f t="shared" si="90"/>
        <v>dom</v>
      </c>
      <c r="C355" s="29">
        <v>0.75</v>
      </c>
      <c r="D355" s="19" t="s">
        <v>30</v>
      </c>
      <c r="E355" s="19"/>
      <c r="F355" s="19"/>
      <c r="G355" s="31" t="str">
        <f>IF(COUNTIF(D355:F355,"?*")=$P$5,"✅ CUBIERTO",
IF(COUNTIF(D355:F355,"?*")&gt;$P$5,"⚠ EXCESO",IF(COUNTIF(D355:F355,"?*")&gt;0,"⚠ FALTANTE",
"❌ SIN COMPLETAR")))</f>
        <v>⚠ FALTANTE</v>
      </c>
      <c r="I355" s="27">
        <v>46019</v>
      </c>
      <c r="J355" s="28" t="str">
        <f t="shared" si="91"/>
        <v>dom</v>
      </c>
      <c r="K355" s="29">
        <v>0.75</v>
      </c>
      <c r="L355" s="25"/>
      <c r="M355" s="25"/>
      <c r="N355" s="25"/>
      <c r="O355" s="31" t="s">
        <v>32</v>
      </c>
      <c r="Q355" s="27">
        <v>46019</v>
      </c>
      <c r="R355" s="28" t="str">
        <f t="shared" si="92"/>
        <v>dom</v>
      </c>
      <c r="S355" s="29">
        <v>0.75</v>
      </c>
      <c r="T355" s="19"/>
      <c r="U355" s="19"/>
      <c r="V355" s="19"/>
      <c r="W355" s="30" t="str">
        <f>IF(COUNTIF(T355:V355,"?*")=$P$7,"✅ CUBIERTO",IF(COUNTIF(T355:V355,"?*")&gt;$P$7,"⚠ EXCESO",
IF(COUNTIF(T355:V355,"?*")&gt;0,"⚠ FALTANTE", "❌ SIN COMPLETAR")))</f>
        <v>❌ SIN COMPLETAR</v>
      </c>
    </row>
    <row r="356" spans="1:23" x14ac:dyDescent="0.35">
      <c r="A356" s="27">
        <v>46019</v>
      </c>
      <c r="B356" s="28" t="str">
        <f t="shared" si="90"/>
        <v>dom</v>
      </c>
      <c r="C356" s="29">
        <v>0.79166666666666696</v>
      </c>
      <c r="D356" s="19" t="s">
        <v>30</v>
      </c>
      <c r="E356" s="19"/>
      <c r="F356" s="19"/>
      <c r="G356" s="31" t="str">
        <f>IF(COUNTIF(D356:F356,"?*")=$P$5,"✅ CUBIERTO",
IF(COUNTIF(D356:F356,"?*")&gt;$P$5,"⚠ EXCESO",IF(COUNTIF(D356:F356,"?*")&gt;0,"⚠ FALTANTE",
"❌ SIN COMPLETAR")))</f>
        <v>⚠ FALTANTE</v>
      </c>
      <c r="I356" s="27">
        <v>46019</v>
      </c>
      <c r="J356" s="28" t="str">
        <f t="shared" si="91"/>
        <v>dom</v>
      </c>
      <c r="K356" s="29">
        <v>0.79166666666666696</v>
      </c>
      <c r="L356" s="25"/>
      <c r="M356" s="25"/>
      <c r="N356" s="25"/>
      <c r="O356" s="31" t="s">
        <v>32</v>
      </c>
      <c r="Q356" s="27">
        <v>46019</v>
      </c>
      <c r="R356" s="28" t="str">
        <f t="shared" si="92"/>
        <v>dom</v>
      </c>
      <c r="S356" s="29">
        <v>0.79166666666666696</v>
      </c>
      <c r="T356" s="19"/>
      <c r="U356" s="19"/>
      <c r="V356" s="19"/>
      <c r="W356" s="30" t="str">
        <f>IF(COUNTIF(T356:V356,"?*")=$P$7,"✅ CUBIERTO",IF(COUNTIF(T356:V356,"?*")&gt;$P$7,"⚠ EXCESO",
IF(COUNTIF(T356:V356,"?*")&gt;0,"⚠ FALTANTE", "❌ SIN COMPLETAR")))</f>
        <v>❌ SIN COMPLETAR</v>
      </c>
    </row>
    <row r="357" spans="1:23" x14ac:dyDescent="0.35">
      <c r="A357" s="27">
        <v>46019</v>
      </c>
      <c r="B357" s="28" t="str">
        <f t="shared" si="90"/>
        <v>dom</v>
      </c>
      <c r="C357" s="29">
        <v>0.83333333333333337</v>
      </c>
      <c r="D357" s="25"/>
      <c r="E357" s="25"/>
      <c r="F357" s="25"/>
      <c r="G357" s="30" t="s">
        <v>32</v>
      </c>
      <c r="I357" s="27">
        <v>46019</v>
      </c>
      <c r="J357" s="28" t="str">
        <f t="shared" si="91"/>
        <v>dom</v>
      </c>
      <c r="K357" s="29">
        <v>0.83333333333333337</v>
      </c>
      <c r="L357" s="25"/>
      <c r="M357" s="25"/>
      <c r="N357" s="25"/>
      <c r="O357" s="31" t="s">
        <v>32</v>
      </c>
      <c r="Q357" s="27">
        <v>46019</v>
      </c>
      <c r="R357" s="28" t="str">
        <f t="shared" si="92"/>
        <v>dom</v>
      </c>
      <c r="S357" s="29">
        <v>0.83333333333333337</v>
      </c>
      <c r="T357" s="19"/>
      <c r="U357" s="19"/>
      <c r="V357" s="19"/>
      <c r="W357" s="30" t="str">
        <f>IF(COUNTIF(T357:V357,"?*")=$P$7,"✅ CUBIERTO",IF(COUNTIF(T357:V357,"?*")&gt;$P$7,"⚠ EXCESO",
IF(COUNTIF(T357:V357,"?*")&gt;0,"⚠ FALTANTE", "❌ SIN COMPLETAR")))</f>
        <v>❌ SIN COMPLETAR</v>
      </c>
    </row>
    <row r="358" spans="1:23" x14ac:dyDescent="0.35">
      <c r="A358" s="27">
        <v>46020</v>
      </c>
      <c r="B358" s="28" t="str">
        <f>TEXT(A358,"ddd")</f>
        <v>lun</v>
      </c>
      <c r="C358" s="29">
        <v>0.375</v>
      </c>
      <c r="D358" s="25"/>
      <c r="E358" s="25"/>
      <c r="F358" s="25"/>
      <c r="G358" s="30" t="s">
        <v>32</v>
      </c>
      <c r="I358" s="27">
        <v>46020</v>
      </c>
      <c r="J358" s="28" t="str">
        <f>TEXT(I358,"ddd")</f>
        <v>lun</v>
      </c>
      <c r="K358" s="29">
        <v>0.375</v>
      </c>
      <c r="L358" s="19"/>
      <c r="M358" s="19"/>
      <c r="N358" s="19"/>
      <c r="O358" s="31" t="str">
        <f>IF(COUNTIF(L358:N358,"?*")=$P$6,"✅ CUBIERTO",IF(COUNTIF(L358:N358,"?*")&gt;$P$6,"⚠ EXCESO",
IF(COUNTIF(L358:N358,"?*")&gt;0,"⚠ FALTANTE", "❌ SIN COMPLETAR")))</f>
        <v>❌ SIN COMPLETAR</v>
      </c>
      <c r="Q358" s="27">
        <v>46020</v>
      </c>
      <c r="R358" s="28" t="str">
        <f>TEXT(Q358,"ddd")</f>
        <v>lun</v>
      </c>
      <c r="S358" s="29">
        <v>0.375</v>
      </c>
      <c r="T358" s="25"/>
      <c r="U358" s="25"/>
      <c r="V358" s="25"/>
      <c r="W358" s="30" t="s">
        <v>32</v>
      </c>
    </row>
    <row r="359" spans="1:23" x14ac:dyDescent="0.35">
      <c r="A359" s="27">
        <v>46020</v>
      </c>
      <c r="B359" s="28" t="str">
        <f>TEXT(A359,"ddd")</f>
        <v>lun</v>
      </c>
      <c r="C359" s="29">
        <v>0.41666666666666669</v>
      </c>
      <c r="D359" s="25"/>
      <c r="E359" s="25"/>
      <c r="F359" s="25"/>
      <c r="G359" s="30" t="s">
        <v>32</v>
      </c>
      <c r="I359" s="27">
        <v>46020</v>
      </c>
      <c r="J359" s="28" t="str">
        <f>TEXT(I359,"ddd")</f>
        <v>lun</v>
      </c>
      <c r="K359" s="29">
        <v>0.41666666666666669</v>
      </c>
      <c r="L359" s="19"/>
      <c r="M359" s="19"/>
      <c r="N359" s="19"/>
      <c r="O359" s="31" t="str">
        <f>IF(COUNTIF(L359:N359,"?*")=$P$6,"✅ CUBIERTO",IF(COUNTIF(L359:N359,"?*")&gt;$P$6,"⚠ EXCESO",
IF(COUNTIF(L359:N359,"?*")&gt;0,"⚠ FALTANTE", "❌ SIN COMPLETAR")))</f>
        <v>❌ SIN COMPLETAR</v>
      </c>
      <c r="Q359" s="27">
        <v>46020</v>
      </c>
      <c r="R359" s="28" t="str">
        <f>TEXT(Q359,"ddd")</f>
        <v>lun</v>
      </c>
      <c r="S359" s="29">
        <v>0.41666666666666669</v>
      </c>
      <c r="T359" s="19"/>
      <c r="U359" s="19"/>
      <c r="V359" s="19"/>
      <c r="W359" s="30" t="str">
        <f>IF(COUNTIF(T359:V359,"?*")=$P$7,"✅ CUBIERTO",IF(COUNTIF(T359:V359,"?*")&gt;$P$7,"⚠ EXCESO",
IF(COUNTIF(T359:V359,"?*")&gt;0,"⚠ FALTANTE", "❌ SIN COMPLETAR")))</f>
        <v>❌ SIN COMPLETAR</v>
      </c>
    </row>
    <row r="360" spans="1:23" x14ac:dyDescent="0.35">
      <c r="A360" s="27">
        <v>46020</v>
      </c>
      <c r="B360" s="28" t="str">
        <f>TEXT(A360,"ddd")</f>
        <v>lun</v>
      </c>
      <c r="C360" s="29">
        <v>0.45833333333333331</v>
      </c>
      <c r="D360" s="19" t="s">
        <v>3</v>
      </c>
      <c r="E360" s="19" t="s">
        <v>4</v>
      </c>
      <c r="F360" s="19"/>
      <c r="G360" s="31" t="str">
        <f>IF(COUNTIF(D360:F360,"?*")=$P$5,"✅ CUBIERTO",
IF(COUNTIF(D360:F360,"?*")&gt;$P$5,"⚠ EXCESO",IF(COUNTIF(D360:F360,"?*")&gt;0,"⚠ FALTANTE",
"❌ SIN COMPLETAR")))</f>
        <v>✅ CUBIERTO</v>
      </c>
      <c r="I360" s="27">
        <v>46020</v>
      </c>
      <c r="J360" s="28" t="str">
        <f>TEXT(I360,"ddd")</f>
        <v>lun</v>
      </c>
      <c r="K360" s="29">
        <v>0.45833333333333331</v>
      </c>
      <c r="L360" s="19"/>
      <c r="M360" s="19"/>
      <c r="N360" s="19"/>
      <c r="O360" s="31" t="str">
        <f>IF(COUNTIF(L360:N360,"?*")=$P$6,"✅ CUBIERTO",IF(COUNTIF(L360:N360,"?*")&gt;$P$6,"⚠ EXCESO",
IF(COUNTIF(L360:N360,"?*")&gt;0,"⚠ FALTANTE", "❌ SIN COMPLETAR")))</f>
        <v>❌ SIN COMPLETAR</v>
      </c>
      <c r="Q360" s="27">
        <v>46020</v>
      </c>
      <c r="R360" s="28" t="str">
        <f>TEXT(Q360,"ddd")</f>
        <v>lun</v>
      </c>
      <c r="S360" s="29">
        <v>0.45833333333333331</v>
      </c>
      <c r="T360" s="19"/>
      <c r="U360" s="19"/>
      <c r="V360" s="19"/>
      <c r="W360" s="30" t="str">
        <f>IF(COUNTIF(T360:V360,"?*")=$P$7,"✅ CUBIERTO",IF(COUNTIF(T360:V360,"?*")&gt;$P$7,"⚠ EXCESO",
IF(COUNTIF(T360:V360,"?*")&gt;0,"⚠ FALTANTE", "❌ SIN COMPLETAR")))</f>
        <v>❌ SIN COMPLETAR</v>
      </c>
    </row>
    <row r="361" spans="1:23" x14ac:dyDescent="0.35">
      <c r="A361" s="27">
        <v>46020</v>
      </c>
      <c r="B361" s="28" t="str">
        <f t="shared" ref="B361:B369" si="93">TEXT(A361,"ddd")</f>
        <v>lun</v>
      </c>
      <c r="C361" s="29">
        <v>0.5</v>
      </c>
      <c r="D361" s="19" t="s">
        <v>3</v>
      </c>
      <c r="E361" s="19" t="s">
        <v>4</v>
      </c>
      <c r="F361" s="19"/>
      <c r="G361" s="31" t="str">
        <f>IF(COUNTIF(D361:F361,"?*")=$P$5,"✅ CUBIERTO",
IF(COUNTIF(D361:F361,"?*")&gt;$P$5,"⚠ EXCESO",IF(COUNTIF(D361:F361,"?*")&gt;0,"⚠ FALTANTE",
"❌ SIN COMPLETAR")))</f>
        <v>✅ CUBIERTO</v>
      </c>
      <c r="I361" s="27">
        <v>46020</v>
      </c>
      <c r="J361" s="28" t="str">
        <f t="shared" ref="J361:J369" si="94">TEXT(I361,"ddd")</f>
        <v>lun</v>
      </c>
      <c r="K361" s="29">
        <v>0.5</v>
      </c>
      <c r="L361" s="19"/>
      <c r="M361" s="19"/>
      <c r="N361" s="19"/>
      <c r="O361" s="31" t="str">
        <f>IF(COUNTIF(L361:N361,"?*")=$P$6,"✅ CUBIERTO",IF(COUNTIF(L361:N361,"?*")&gt;$P$6,"⚠ EXCESO",
IF(COUNTIF(L361:N361,"?*")&gt;0,"⚠ FALTANTE", "❌ SIN COMPLETAR")))</f>
        <v>❌ SIN COMPLETAR</v>
      </c>
      <c r="Q361" s="27">
        <v>46020</v>
      </c>
      <c r="R361" s="28" t="str">
        <f t="shared" ref="R361:R369" si="95">TEXT(Q361,"ddd")</f>
        <v>lun</v>
      </c>
      <c r="S361" s="29">
        <v>0.5</v>
      </c>
      <c r="T361" s="19"/>
      <c r="U361" s="19"/>
      <c r="V361" s="19"/>
      <c r="W361" s="30" t="str">
        <f>IF(COUNTIF(T361:V361,"?*")=$P$7,"✅ CUBIERTO",IF(COUNTIF(T361:V361,"?*")&gt;$P$7,"⚠ EXCESO",
IF(COUNTIF(T361:V361,"?*")&gt;0,"⚠ FALTANTE", "❌ SIN COMPLETAR")))</f>
        <v>❌ SIN COMPLETAR</v>
      </c>
    </row>
    <row r="362" spans="1:23" x14ac:dyDescent="0.35">
      <c r="A362" s="27">
        <v>46020</v>
      </c>
      <c r="B362" s="28" t="str">
        <f t="shared" si="93"/>
        <v>lun</v>
      </c>
      <c r="C362" s="29">
        <v>0.54166666666666696</v>
      </c>
      <c r="D362" s="19" t="s">
        <v>3</v>
      </c>
      <c r="E362" s="19" t="s">
        <v>4</v>
      </c>
      <c r="F362" s="19"/>
      <c r="G362" s="31" t="str">
        <f>IF(COUNTIF(D362:F362,"?*")=$P$5,"✅ CUBIERTO",
IF(COUNTIF(D362:F362,"?*")&gt;$P$5,"⚠ EXCESO",IF(COUNTIF(D362:F362,"?*")&gt;0,"⚠ FALTANTE",
"❌ SIN COMPLETAR")))</f>
        <v>✅ CUBIERTO</v>
      </c>
      <c r="I362" s="27">
        <v>46020</v>
      </c>
      <c r="J362" s="28" t="str">
        <f t="shared" si="94"/>
        <v>lun</v>
      </c>
      <c r="K362" s="29">
        <v>0.54166666666666696</v>
      </c>
      <c r="L362" s="19"/>
      <c r="M362" s="19"/>
      <c r="N362" s="19"/>
      <c r="O362" s="31" t="str">
        <f>IF(COUNTIF(L362:N362,"?*")=$P$6,"✅ CUBIERTO",IF(COUNTIF(L362:N362,"?*")&gt;$P$6,"⚠ EXCESO",
IF(COUNTIF(L362:N362,"?*")&gt;0,"⚠ FALTANTE", "❌ SIN COMPLETAR")))</f>
        <v>❌ SIN COMPLETAR</v>
      </c>
      <c r="Q362" s="27">
        <v>46020</v>
      </c>
      <c r="R362" s="28" t="str">
        <f t="shared" si="95"/>
        <v>lun</v>
      </c>
      <c r="S362" s="29">
        <v>0.54166666666666696</v>
      </c>
      <c r="T362" s="19"/>
      <c r="U362" s="19"/>
      <c r="V362" s="19"/>
      <c r="W362" s="30" t="str">
        <f>IF(COUNTIF(T362:V362,"?*")=$P$7,"✅ CUBIERTO",IF(COUNTIF(T362:V362,"?*")&gt;$P$7,"⚠ EXCESO",
IF(COUNTIF(T362:V362,"?*")&gt;0,"⚠ FALTANTE", "❌ SIN COMPLETAR")))</f>
        <v>❌ SIN COMPLETAR</v>
      </c>
    </row>
    <row r="363" spans="1:23" x14ac:dyDescent="0.35">
      <c r="A363" s="27">
        <v>46020</v>
      </c>
      <c r="B363" s="28" t="str">
        <f t="shared" si="93"/>
        <v>lun</v>
      </c>
      <c r="C363" s="29">
        <v>0.58333333333333304</v>
      </c>
      <c r="D363" s="19" t="s">
        <v>3</v>
      </c>
      <c r="E363" s="19" t="s">
        <v>4</v>
      </c>
      <c r="F363" s="19"/>
      <c r="G363" s="31" t="str">
        <f>IF(COUNTIF(D363:F363,"?*")=$P$5,"✅ CUBIERTO",
IF(COUNTIF(D363:F363,"?*")&gt;$P$5,"⚠ EXCESO",IF(COUNTIF(D363:F363,"?*")&gt;0,"⚠ FALTANTE",
"❌ SIN COMPLETAR")))</f>
        <v>✅ CUBIERTO</v>
      </c>
      <c r="I363" s="27">
        <v>46020</v>
      </c>
      <c r="J363" s="28" t="str">
        <f t="shared" si="94"/>
        <v>lun</v>
      </c>
      <c r="K363" s="29">
        <v>0.58333333333333304</v>
      </c>
      <c r="L363" s="19"/>
      <c r="M363" s="19"/>
      <c r="N363" s="19"/>
      <c r="O363" s="31" t="str">
        <f>IF(COUNTIF(L363:N363,"?*")=$P$6,"✅ CUBIERTO",IF(COUNTIF(L363:N363,"?*")&gt;$P$6,"⚠ EXCESO",
IF(COUNTIF(L363:N363,"?*")&gt;0,"⚠ FALTANTE", "❌ SIN COMPLETAR")))</f>
        <v>❌ SIN COMPLETAR</v>
      </c>
      <c r="Q363" s="27">
        <v>46020</v>
      </c>
      <c r="R363" s="28" t="str">
        <f t="shared" si="95"/>
        <v>lun</v>
      </c>
      <c r="S363" s="29">
        <v>0.58333333333333304</v>
      </c>
      <c r="T363" s="19"/>
      <c r="U363" s="19"/>
      <c r="V363" s="19"/>
      <c r="W363" s="30" t="str">
        <f>IF(COUNTIF(T363:V363,"?*")=$P$7,"✅ CUBIERTO",IF(COUNTIF(T363:V363,"?*")&gt;$P$7,"⚠ EXCESO",
IF(COUNTIF(T363:V363,"?*")&gt;0,"⚠ FALTANTE", "❌ SIN COMPLETAR")))</f>
        <v>❌ SIN COMPLETAR</v>
      </c>
    </row>
    <row r="364" spans="1:23" x14ac:dyDescent="0.35">
      <c r="A364" s="27">
        <v>46020</v>
      </c>
      <c r="B364" s="28" t="str">
        <f t="shared" si="93"/>
        <v>lun</v>
      </c>
      <c r="C364" s="29">
        <v>0.625</v>
      </c>
      <c r="D364" s="19" t="s">
        <v>3</v>
      </c>
      <c r="E364" s="19" t="s">
        <v>4</v>
      </c>
      <c r="F364" s="19"/>
      <c r="G364" s="31" t="str">
        <f>IF(COUNTIF(D364:F364,"?*")=$P$5,"✅ CUBIERTO",
IF(COUNTIF(D364:F364,"?*")&gt;$P$5,"⚠ EXCESO",IF(COUNTIF(D364:F364,"?*")&gt;0,"⚠ FALTANTE",
"❌ SIN COMPLETAR")))</f>
        <v>✅ CUBIERTO</v>
      </c>
      <c r="I364" s="27">
        <v>46020</v>
      </c>
      <c r="J364" s="28" t="str">
        <f t="shared" si="94"/>
        <v>lun</v>
      </c>
      <c r="K364" s="29">
        <v>0.625</v>
      </c>
      <c r="L364" s="19"/>
      <c r="M364" s="19"/>
      <c r="N364" s="19"/>
      <c r="O364" s="31" t="str">
        <f>IF(COUNTIF(L364:N364,"?*")=$P$6,"✅ CUBIERTO",IF(COUNTIF(L364:N364,"?*")&gt;$P$6,"⚠ EXCESO",
IF(COUNTIF(L364:N364,"?*")&gt;0,"⚠ FALTANTE", "❌ SIN COMPLETAR")))</f>
        <v>❌ SIN COMPLETAR</v>
      </c>
      <c r="Q364" s="27">
        <v>46020</v>
      </c>
      <c r="R364" s="28" t="str">
        <f t="shared" si="95"/>
        <v>lun</v>
      </c>
      <c r="S364" s="29">
        <v>0.625</v>
      </c>
      <c r="T364" s="19"/>
      <c r="U364" s="19"/>
      <c r="V364" s="19"/>
      <c r="W364" s="30" t="str">
        <f>IF(COUNTIF(T364:V364,"?*")=$P$7,"✅ CUBIERTO",IF(COUNTIF(T364:V364,"?*")&gt;$P$7,"⚠ EXCESO",
IF(COUNTIF(T364:V364,"?*")&gt;0,"⚠ FALTANTE", "❌ SIN COMPLETAR")))</f>
        <v>❌ SIN COMPLETAR</v>
      </c>
    </row>
    <row r="365" spans="1:23" x14ac:dyDescent="0.35">
      <c r="A365" s="27">
        <v>46020</v>
      </c>
      <c r="B365" s="28" t="str">
        <f t="shared" si="93"/>
        <v>lun</v>
      </c>
      <c r="C365" s="29">
        <v>0.66666666666666696</v>
      </c>
      <c r="D365" s="19" t="s">
        <v>30</v>
      </c>
      <c r="E365" s="19"/>
      <c r="F365" s="19"/>
      <c r="G365" s="31" t="str">
        <f>IF(COUNTIF(D365:F365,"?*")=$P$5,"✅ CUBIERTO",
IF(COUNTIF(D365:F365,"?*")&gt;$P$5,"⚠ EXCESO",IF(COUNTIF(D365:F365,"?*")&gt;0,"⚠ FALTANTE",
"❌ SIN COMPLETAR")))</f>
        <v>⚠ FALTANTE</v>
      </c>
      <c r="I365" s="27">
        <v>46020</v>
      </c>
      <c r="J365" s="28" t="str">
        <f t="shared" si="94"/>
        <v>lun</v>
      </c>
      <c r="K365" s="29">
        <v>0.66666666666666696</v>
      </c>
      <c r="L365" s="19"/>
      <c r="M365" s="19"/>
      <c r="N365" s="19"/>
      <c r="O365" s="31" t="str">
        <f>IF(COUNTIF(L365:N365,"?*")=$P$6,"✅ CUBIERTO",IF(COUNTIF(L365:N365,"?*")&gt;$P$6,"⚠ EXCESO",
IF(COUNTIF(L365:N365,"?*")&gt;0,"⚠ FALTANTE", "❌ SIN COMPLETAR")))</f>
        <v>❌ SIN COMPLETAR</v>
      </c>
      <c r="Q365" s="27">
        <v>46020</v>
      </c>
      <c r="R365" s="28" t="str">
        <f t="shared" si="95"/>
        <v>lun</v>
      </c>
      <c r="S365" s="29">
        <v>0.66666666666666696</v>
      </c>
      <c r="T365" s="19"/>
      <c r="U365" s="19"/>
      <c r="V365" s="19"/>
      <c r="W365" s="30" t="str">
        <f>IF(COUNTIF(T365:V365,"?*")=$P$7,"✅ CUBIERTO",IF(COUNTIF(T365:V365,"?*")&gt;$P$7,"⚠ EXCESO",
IF(COUNTIF(T365:V365,"?*")&gt;0,"⚠ FALTANTE", "❌ SIN COMPLETAR")))</f>
        <v>❌ SIN COMPLETAR</v>
      </c>
    </row>
    <row r="366" spans="1:23" x14ac:dyDescent="0.35">
      <c r="A366" s="27">
        <v>46020</v>
      </c>
      <c r="B366" s="28" t="str">
        <f t="shared" si="93"/>
        <v>lun</v>
      </c>
      <c r="C366" s="29">
        <v>0.70833333333333304</v>
      </c>
      <c r="D366" s="19" t="s">
        <v>30</v>
      </c>
      <c r="E366" s="19"/>
      <c r="F366" s="19"/>
      <c r="G366" s="31" t="str">
        <f>IF(COUNTIF(D366:F366,"?*")=$P$5,"✅ CUBIERTO",
IF(COUNTIF(D366:F366,"?*")&gt;$P$5,"⚠ EXCESO",IF(COUNTIF(D366:F366,"?*")&gt;0,"⚠ FALTANTE",
"❌ SIN COMPLETAR")))</f>
        <v>⚠ FALTANTE</v>
      </c>
      <c r="I366" s="27">
        <v>46020</v>
      </c>
      <c r="J366" s="28" t="str">
        <f t="shared" si="94"/>
        <v>lun</v>
      </c>
      <c r="K366" s="29">
        <v>0.70833333333333304</v>
      </c>
      <c r="L366" s="19"/>
      <c r="M366" s="19"/>
      <c r="N366" s="19"/>
      <c r="O366" s="31" t="str">
        <f>IF(COUNTIF(L366:N366,"?*")=$P$6,"✅ CUBIERTO",IF(COUNTIF(L366:N366,"?*")&gt;$P$6,"⚠ EXCESO",
IF(COUNTIF(L366:N366,"?*")&gt;0,"⚠ FALTANTE", "❌ SIN COMPLETAR")))</f>
        <v>❌ SIN COMPLETAR</v>
      </c>
      <c r="Q366" s="27">
        <v>46020</v>
      </c>
      <c r="R366" s="28" t="str">
        <f t="shared" si="95"/>
        <v>lun</v>
      </c>
      <c r="S366" s="29">
        <v>0.70833333333333304</v>
      </c>
      <c r="T366" s="19"/>
      <c r="U366" s="19"/>
      <c r="V366" s="19"/>
      <c r="W366" s="30" t="str">
        <f>IF(COUNTIF(T366:V366,"?*")=$P$7,"✅ CUBIERTO",IF(COUNTIF(T366:V366,"?*")&gt;$P$7,"⚠ EXCESO",
IF(COUNTIF(T366:V366,"?*")&gt;0,"⚠ FALTANTE", "❌ SIN COMPLETAR")))</f>
        <v>❌ SIN COMPLETAR</v>
      </c>
    </row>
    <row r="367" spans="1:23" x14ac:dyDescent="0.35">
      <c r="A367" s="27">
        <v>46020</v>
      </c>
      <c r="B367" s="28" t="str">
        <f t="shared" si="93"/>
        <v>lun</v>
      </c>
      <c r="C367" s="29">
        <v>0.75</v>
      </c>
      <c r="D367" s="19" t="s">
        <v>30</v>
      </c>
      <c r="E367" s="19"/>
      <c r="F367" s="19"/>
      <c r="G367" s="31" t="str">
        <f>IF(COUNTIF(D367:F367,"?*")=$P$5,"✅ CUBIERTO",
IF(COUNTIF(D367:F367,"?*")&gt;$P$5,"⚠ EXCESO",IF(COUNTIF(D367:F367,"?*")&gt;0,"⚠ FALTANTE",
"❌ SIN COMPLETAR")))</f>
        <v>⚠ FALTANTE</v>
      </c>
      <c r="I367" s="27">
        <v>46020</v>
      </c>
      <c r="J367" s="28" t="str">
        <f t="shared" si="94"/>
        <v>lun</v>
      </c>
      <c r="K367" s="29">
        <v>0.75</v>
      </c>
      <c r="L367" s="25"/>
      <c r="M367" s="25"/>
      <c r="N367" s="25"/>
      <c r="O367" s="31" t="s">
        <v>32</v>
      </c>
      <c r="Q367" s="27">
        <v>46020</v>
      </c>
      <c r="R367" s="28" t="str">
        <f t="shared" si="95"/>
        <v>lun</v>
      </c>
      <c r="S367" s="29">
        <v>0.75</v>
      </c>
      <c r="T367" s="19"/>
      <c r="U367" s="19"/>
      <c r="V367" s="19"/>
      <c r="W367" s="30" t="str">
        <f>IF(COUNTIF(T367:V367,"?*")=$P$7,"✅ CUBIERTO",IF(COUNTIF(T367:V367,"?*")&gt;$P$7,"⚠ EXCESO",
IF(COUNTIF(T367:V367,"?*")&gt;0,"⚠ FALTANTE", "❌ SIN COMPLETAR")))</f>
        <v>❌ SIN COMPLETAR</v>
      </c>
    </row>
    <row r="368" spans="1:23" x14ac:dyDescent="0.35">
      <c r="A368" s="27">
        <v>46020</v>
      </c>
      <c r="B368" s="28" t="str">
        <f t="shared" si="93"/>
        <v>lun</v>
      </c>
      <c r="C368" s="29">
        <v>0.79166666666666696</v>
      </c>
      <c r="D368" s="19" t="s">
        <v>30</v>
      </c>
      <c r="E368" s="19"/>
      <c r="F368" s="19"/>
      <c r="G368" s="31" t="str">
        <f>IF(COUNTIF(D368:F368,"?*")=$P$5,"✅ CUBIERTO",
IF(COUNTIF(D368:F368,"?*")&gt;$P$5,"⚠ EXCESO",IF(COUNTIF(D368:F368,"?*")&gt;0,"⚠ FALTANTE",
"❌ SIN COMPLETAR")))</f>
        <v>⚠ FALTANTE</v>
      </c>
      <c r="I368" s="27">
        <v>46020</v>
      </c>
      <c r="J368" s="28" t="str">
        <f t="shared" si="94"/>
        <v>lun</v>
      </c>
      <c r="K368" s="29">
        <v>0.79166666666666696</v>
      </c>
      <c r="L368" s="25"/>
      <c r="M368" s="25"/>
      <c r="N368" s="25"/>
      <c r="O368" s="31" t="s">
        <v>32</v>
      </c>
      <c r="Q368" s="27">
        <v>46020</v>
      </c>
      <c r="R368" s="28" t="str">
        <f t="shared" si="95"/>
        <v>lun</v>
      </c>
      <c r="S368" s="29">
        <v>0.79166666666666696</v>
      </c>
      <c r="T368" s="19"/>
      <c r="U368" s="19"/>
      <c r="V368" s="19"/>
      <c r="W368" s="30" t="str">
        <f>IF(COUNTIF(T368:V368,"?*")=$P$7,"✅ CUBIERTO",IF(COUNTIF(T368:V368,"?*")&gt;$P$7,"⚠ EXCESO",
IF(COUNTIF(T368:V368,"?*")&gt;0,"⚠ FALTANTE", "❌ SIN COMPLETAR")))</f>
        <v>❌ SIN COMPLETAR</v>
      </c>
    </row>
    <row r="369" spans="1:23" x14ac:dyDescent="0.35">
      <c r="A369" s="27">
        <v>46020</v>
      </c>
      <c r="B369" s="28" t="str">
        <f t="shared" si="93"/>
        <v>lun</v>
      </c>
      <c r="C369" s="29">
        <v>0.83333333333333337</v>
      </c>
      <c r="D369" s="25"/>
      <c r="E369" s="25"/>
      <c r="F369" s="25"/>
      <c r="G369" s="30" t="s">
        <v>32</v>
      </c>
      <c r="I369" s="27">
        <v>46020</v>
      </c>
      <c r="J369" s="28" t="str">
        <f t="shared" si="94"/>
        <v>lun</v>
      </c>
      <c r="K369" s="29">
        <v>0.83333333333333337</v>
      </c>
      <c r="L369" s="25"/>
      <c r="M369" s="25"/>
      <c r="N369" s="25"/>
      <c r="O369" s="31" t="s">
        <v>32</v>
      </c>
      <c r="Q369" s="27">
        <v>46020</v>
      </c>
      <c r="R369" s="28" t="str">
        <f t="shared" si="95"/>
        <v>lun</v>
      </c>
      <c r="S369" s="29">
        <v>0.83333333333333337</v>
      </c>
      <c r="T369" s="19"/>
      <c r="U369" s="19"/>
      <c r="V369" s="19"/>
      <c r="W369" s="30" t="str">
        <f>IF(COUNTIF(T369:V369,"?*")=$P$7,"✅ CUBIERTO",IF(COUNTIF(T369:V369,"?*")&gt;$P$7,"⚠ EXCESO",
IF(COUNTIF(T369:V369,"?*")&gt;0,"⚠ FALTANTE", "❌ SIN COMPLETAR")))</f>
        <v>❌ SIN COMPLETAR</v>
      </c>
    </row>
    <row r="370" spans="1:23" x14ac:dyDescent="0.35">
      <c r="A370" s="27">
        <v>46021</v>
      </c>
      <c r="B370" s="28" t="str">
        <f>TEXT(A370,"ddd")</f>
        <v>mar</v>
      </c>
      <c r="C370" s="29">
        <v>0.375</v>
      </c>
      <c r="D370" s="25"/>
      <c r="E370" s="25"/>
      <c r="F370" s="25"/>
      <c r="G370" s="30" t="s">
        <v>32</v>
      </c>
      <c r="I370" s="27">
        <v>46021</v>
      </c>
      <c r="J370" s="28" t="str">
        <f>TEXT(I370,"ddd")</f>
        <v>mar</v>
      </c>
      <c r="K370" s="29">
        <v>0.375</v>
      </c>
      <c r="L370" s="19"/>
      <c r="M370" s="19"/>
      <c r="N370" s="19"/>
      <c r="O370" s="31" t="str">
        <f>IF(COUNTIF(L370:N370,"?*")=$P$6,"✅ CUBIERTO",IF(COUNTIF(L370:N370,"?*")&gt;$P$6,"⚠ EXCESO",
IF(COUNTIF(L370:N370,"?*")&gt;0,"⚠ FALTANTE", "❌ SIN COMPLETAR")))</f>
        <v>❌ SIN COMPLETAR</v>
      </c>
      <c r="Q370" s="27">
        <v>46021</v>
      </c>
      <c r="R370" s="28" t="str">
        <f>TEXT(Q370,"ddd")</f>
        <v>mar</v>
      </c>
      <c r="S370" s="29">
        <v>0.375</v>
      </c>
      <c r="T370" s="25"/>
      <c r="U370" s="25"/>
      <c r="V370" s="25"/>
      <c r="W370" s="30" t="s">
        <v>32</v>
      </c>
    </row>
    <row r="371" spans="1:23" x14ac:dyDescent="0.35">
      <c r="A371" s="27">
        <v>46021</v>
      </c>
      <c r="B371" s="28" t="str">
        <f>TEXT(A371,"ddd")</f>
        <v>mar</v>
      </c>
      <c r="C371" s="29">
        <v>0.41666666666666669</v>
      </c>
      <c r="D371" s="25"/>
      <c r="E371" s="25"/>
      <c r="F371" s="25"/>
      <c r="G371" s="30" t="s">
        <v>32</v>
      </c>
      <c r="I371" s="27">
        <v>46021</v>
      </c>
      <c r="J371" s="28" t="str">
        <f>TEXT(I371,"ddd")</f>
        <v>mar</v>
      </c>
      <c r="K371" s="29">
        <v>0.41666666666666669</v>
      </c>
      <c r="L371" s="19"/>
      <c r="M371" s="19"/>
      <c r="N371" s="19"/>
      <c r="O371" s="31" t="str">
        <f>IF(COUNTIF(L371:N371,"?*")=$P$6,"✅ CUBIERTO",IF(COUNTIF(L371:N371,"?*")&gt;$P$6,"⚠ EXCESO",
IF(COUNTIF(L371:N371,"?*")&gt;0,"⚠ FALTANTE", "❌ SIN COMPLETAR")))</f>
        <v>❌ SIN COMPLETAR</v>
      </c>
      <c r="Q371" s="27">
        <v>46021</v>
      </c>
      <c r="R371" s="28" t="str">
        <f>TEXT(Q371,"ddd")</f>
        <v>mar</v>
      </c>
      <c r="S371" s="29">
        <v>0.41666666666666669</v>
      </c>
      <c r="T371" s="19"/>
      <c r="U371" s="19"/>
      <c r="V371" s="19"/>
      <c r="W371" s="30" t="str">
        <f>IF(COUNTIF(T371:V371,"?*")=$P$7,"✅ CUBIERTO",IF(COUNTIF(T371:V371,"?*")&gt;$P$7,"⚠ EXCESO",
IF(COUNTIF(T371:V371,"?*")&gt;0,"⚠ FALTANTE", "❌ SIN COMPLETAR")))</f>
        <v>❌ SIN COMPLETAR</v>
      </c>
    </row>
    <row r="372" spans="1:23" x14ac:dyDescent="0.35">
      <c r="A372" s="27">
        <v>46021</v>
      </c>
      <c r="B372" s="28" t="str">
        <f>TEXT(A372,"ddd")</f>
        <v>mar</v>
      </c>
      <c r="C372" s="29">
        <v>0.45833333333333331</v>
      </c>
      <c r="D372" s="19" t="s">
        <v>3</v>
      </c>
      <c r="E372" s="19" t="s">
        <v>4</v>
      </c>
      <c r="F372" s="19"/>
      <c r="G372" s="31" t="str">
        <f>IF(COUNTIF(D372:F372,"?*")=$P$5,"✅ CUBIERTO",
IF(COUNTIF(D372:F372,"?*")&gt;$P$5,"⚠ EXCESO",IF(COUNTIF(D372:F372,"?*")&gt;0,"⚠ FALTANTE",
"❌ SIN COMPLETAR")))</f>
        <v>✅ CUBIERTO</v>
      </c>
      <c r="I372" s="27">
        <v>46021</v>
      </c>
      <c r="J372" s="28" t="str">
        <f>TEXT(I372,"ddd")</f>
        <v>mar</v>
      </c>
      <c r="K372" s="29">
        <v>0.45833333333333331</v>
      </c>
      <c r="L372" s="19"/>
      <c r="M372" s="19"/>
      <c r="N372" s="19"/>
      <c r="O372" s="31" t="str">
        <f>IF(COUNTIF(L372:N372,"?*")=$P$6,"✅ CUBIERTO",IF(COUNTIF(L372:N372,"?*")&gt;$P$6,"⚠ EXCESO",
IF(COUNTIF(L372:N372,"?*")&gt;0,"⚠ FALTANTE", "❌ SIN COMPLETAR")))</f>
        <v>❌ SIN COMPLETAR</v>
      </c>
      <c r="Q372" s="27">
        <v>46021</v>
      </c>
      <c r="R372" s="28" t="str">
        <f>TEXT(Q372,"ddd")</f>
        <v>mar</v>
      </c>
      <c r="S372" s="29">
        <v>0.45833333333333331</v>
      </c>
      <c r="T372" s="19"/>
      <c r="U372" s="19"/>
      <c r="V372" s="19"/>
      <c r="W372" s="30" t="str">
        <f>IF(COUNTIF(T372:V372,"?*")=$P$7,"✅ CUBIERTO",IF(COUNTIF(T372:V372,"?*")&gt;$P$7,"⚠ EXCESO",
IF(COUNTIF(T372:V372,"?*")&gt;0,"⚠ FALTANTE", "❌ SIN COMPLETAR")))</f>
        <v>❌ SIN COMPLETAR</v>
      </c>
    </row>
    <row r="373" spans="1:23" x14ac:dyDescent="0.35">
      <c r="A373" s="27">
        <v>46021</v>
      </c>
      <c r="B373" s="28" t="str">
        <f t="shared" ref="B373:B381" si="96">TEXT(A373,"ddd")</f>
        <v>mar</v>
      </c>
      <c r="C373" s="29">
        <v>0.5</v>
      </c>
      <c r="D373" s="19" t="s">
        <v>3</v>
      </c>
      <c r="E373" s="19" t="s">
        <v>4</v>
      </c>
      <c r="F373" s="19"/>
      <c r="G373" s="31" t="str">
        <f>IF(COUNTIF(D373:F373,"?*")=$P$5,"✅ CUBIERTO",
IF(COUNTIF(D373:F373,"?*")&gt;$P$5,"⚠ EXCESO",IF(COUNTIF(D373:F373,"?*")&gt;0,"⚠ FALTANTE",
"❌ SIN COMPLETAR")))</f>
        <v>✅ CUBIERTO</v>
      </c>
      <c r="I373" s="27">
        <v>46021</v>
      </c>
      <c r="J373" s="28" t="str">
        <f t="shared" ref="J373:J381" si="97">TEXT(I373,"ddd")</f>
        <v>mar</v>
      </c>
      <c r="K373" s="29">
        <v>0.5</v>
      </c>
      <c r="L373" s="19"/>
      <c r="M373" s="19"/>
      <c r="N373" s="19"/>
      <c r="O373" s="31" t="str">
        <f>IF(COUNTIF(L373:N373,"?*")=$P$6,"✅ CUBIERTO",IF(COUNTIF(L373:N373,"?*")&gt;$P$6,"⚠ EXCESO",
IF(COUNTIF(L373:N373,"?*")&gt;0,"⚠ FALTANTE", "❌ SIN COMPLETAR")))</f>
        <v>❌ SIN COMPLETAR</v>
      </c>
      <c r="Q373" s="27">
        <v>46021</v>
      </c>
      <c r="R373" s="28" t="str">
        <f t="shared" ref="R373:R381" si="98">TEXT(Q373,"ddd")</f>
        <v>mar</v>
      </c>
      <c r="S373" s="29">
        <v>0.5</v>
      </c>
      <c r="T373" s="19"/>
      <c r="U373" s="19"/>
      <c r="V373" s="19"/>
      <c r="W373" s="30" t="str">
        <f>IF(COUNTIF(T373:V373,"?*")=$P$7,"✅ CUBIERTO",IF(COUNTIF(T373:V373,"?*")&gt;$P$7,"⚠ EXCESO",
IF(COUNTIF(T373:V373,"?*")&gt;0,"⚠ FALTANTE", "❌ SIN COMPLETAR")))</f>
        <v>❌ SIN COMPLETAR</v>
      </c>
    </row>
    <row r="374" spans="1:23" x14ac:dyDescent="0.35">
      <c r="A374" s="27">
        <v>46021</v>
      </c>
      <c r="B374" s="28" t="str">
        <f t="shared" si="96"/>
        <v>mar</v>
      </c>
      <c r="C374" s="29">
        <v>0.54166666666666696</v>
      </c>
      <c r="D374" s="19" t="s">
        <v>3</v>
      </c>
      <c r="E374" s="19" t="s">
        <v>4</v>
      </c>
      <c r="F374" s="19"/>
      <c r="G374" s="31" t="str">
        <f>IF(COUNTIF(D374:F374,"?*")=$P$5,"✅ CUBIERTO",
IF(COUNTIF(D374:F374,"?*")&gt;$P$5,"⚠ EXCESO",IF(COUNTIF(D374:F374,"?*")&gt;0,"⚠ FALTANTE",
"❌ SIN COMPLETAR")))</f>
        <v>✅ CUBIERTO</v>
      </c>
      <c r="I374" s="27">
        <v>46021</v>
      </c>
      <c r="J374" s="28" t="str">
        <f t="shared" si="97"/>
        <v>mar</v>
      </c>
      <c r="K374" s="29">
        <v>0.54166666666666696</v>
      </c>
      <c r="L374" s="19"/>
      <c r="M374" s="19"/>
      <c r="N374" s="19"/>
      <c r="O374" s="31" t="str">
        <f>IF(COUNTIF(L374:N374,"?*")=$P$6,"✅ CUBIERTO",IF(COUNTIF(L374:N374,"?*")&gt;$P$6,"⚠ EXCESO",
IF(COUNTIF(L374:N374,"?*")&gt;0,"⚠ FALTANTE", "❌ SIN COMPLETAR")))</f>
        <v>❌ SIN COMPLETAR</v>
      </c>
      <c r="Q374" s="27">
        <v>46021</v>
      </c>
      <c r="R374" s="28" t="str">
        <f t="shared" si="98"/>
        <v>mar</v>
      </c>
      <c r="S374" s="29">
        <v>0.54166666666666696</v>
      </c>
      <c r="T374" s="19"/>
      <c r="U374" s="19"/>
      <c r="V374" s="19"/>
      <c r="W374" s="30" t="str">
        <f>IF(COUNTIF(T374:V374,"?*")=$P$7,"✅ CUBIERTO",IF(COUNTIF(T374:V374,"?*")&gt;$P$7,"⚠ EXCESO",
IF(COUNTIF(T374:V374,"?*")&gt;0,"⚠ FALTANTE", "❌ SIN COMPLETAR")))</f>
        <v>❌ SIN COMPLETAR</v>
      </c>
    </row>
    <row r="375" spans="1:23" x14ac:dyDescent="0.35">
      <c r="A375" s="27">
        <v>46021</v>
      </c>
      <c r="B375" s="28" t="str">
        <f t="shared" si="96"/>
        <v>mar</v>
      </c>
      <c r="C375" s="29">
        <v>0.58333333333333304</v>
      </c>
      <c r="D375" s="19" t="s">
        <v>3</v>
      </c>
      <c r="E375" s="19" t="s">
        <v>4</v>
      </c>
      <c r="F375" s="19"/>
      <c r="G375" s="31" t="str">
        <f>IF(COUNTIF(D375:F375,"?*")=$P$5,"✅ CUBIERTO",
IF(COUNTIF(D375:F375,"?*")&gt;$P$5,"⚠ EXCESO",IF(COUNTIF(D375:F375,"?*")&gt;0,"⚠ FALTANTE",
"❌ SIN COMPLETAR")))</f>
        <v>✅ CUBIERTO</v>
      </c>
      <c r="I375" s="27">
        <v>46021</v>
      </c>
      <c r="J375" s="28" t="str">
        <f t="shared" si="97"/>
        <v>mar</v>
      </c>
      <c r="K375" s="29">
        <v>0.58333333333333304</v>
      </c>
      <c r="L375" s="19"/>
      <c r="M375" s="19"/>
      <c r="N375" s="19"/>
      <c r="O375" s="31" t="str">
        <f>IF(COUNTIF(L375:N375,"?*")=$P$6,"✅ CUBIERTO",IF(COUNTIF(L375:N375,"?*")&gt;$P$6,"⚠ EXCESO",
IF(COUNTIF(L375:N375,"?*")&gt;0,"⚠ FALTANTE", "❌ SIN COMPLETAR")))</f>
        <v>❌ SIN COMPLETAR</v>
      </c>
      <c r="Q375" s="27">
        <v>46021</v>
      </c>
      <c r="R375" s="28" t="str">
        <f t="shared" si="98"/>
        <v>mar</v>
      </c>
      <c r="S375" s="29">
        <v>0.58333333333333304</v>
      </c>
      <c r="T375" s="19"/>
      <c r="U375" s="19"/>
      <c r="V375" s="19"/>
      <c r="W375" s="30" t="str">
        <f>IF(COUNTIF(T375:V375,"?*")=$P$7,"✅ CUBIERTO",IF(COUNTIF(T375:V375,"?*")&gt;$P$7,"⚠ EXCESO",
IF(COUNTIF(T375:V375,"?*")&gt;0,"⚠ FALTANTE", "❌ SIN COMPLETAR")))</f>
        <v>❌ SIN COMPLETAR</v>
      </c>
    </row>
    <row r="376" spans="1:23" x14ac:dyDescent="0.35">
      <c r="A376" s="27">
        <v>46021</v>
      </c>
      <c r="B376" s="28" t="str">
        <f t="shared" si="96"/>
        <v>mar</v>
      </c>
      <c r="C376" s="29">
        <v>0.625</v>
      </c>
      <c r="D376" s="19" t="s">
        <v>3</v>
      </c>
      <c r="E376" s="19" t="s">
        <v>4</v>
      </c>
      <c r="F376" s="19"/>
      <c r="G376" s="31" t="str">
        <f>IF(COUNTIF(D376:F376,"?*")=$P$5,"✅ CUBIERTO",
IF(COUNTIF(D376:F376,"?*")&gt;$P$5,"⚠ EXCESO",IF(COUNTIF(D376:F376,"?*")&gt;0,"⚠ FALTANTE",
"❌ SIN COMPLETAR")))</f>
        <v>✅ CUBIERTO</v>
      </c>
      <c r="I376" s="27">
        <v>46021</v>
      </c>
      <c r="J376" s="28" t="str">
        <f t="shared" si="97"/>
        <v>mar</v>
      </c>
      <c r="K376" s="29">
        <v>0.625</v>
      </c>
      <c r="L376" s="19"/>
      <c r="M376" s="19"/>
      <c r="N376" s="19"/>
      <c r="O376" s="31" t="str">
        <f>IF(COUNTIF(L376:N376,"?*")=$P$6,"✅ CUBIERTO",IF(COUNTIF(L376:N376,"?*")&gt;$P$6,"⚠ EXCESO",
IF(COUNTIF(L376:N376,"?*")&gt;0,"⚠ FALTANTE", "❌ SIN COMPLETAR")))</f>
        <v>❌ SIN COMPLETAR</v>
      </c>
      <c r="Q376" s="27">
        <v>46021</v>
      </c>
      <c r="R376" s="28" t="str">
        <f t="shared" si="98"/>
        <v>mar</v>
      </c>
      <c r="S376" s="29">
        <v>0.625</v>
      </c>
      <c r="T376" s="19"/>
      <c r="U376" s="19"/>
      <c r="V376" s="19"/>
      <c r="W376" s="30" t="str">
        <f>IF(COUNTIF(T376:V376,"?*")=$P$7,"✅ CUBIERTO",IF(COUNTIF(T376:V376,"?*")&gt;$P$7,"⚠ EXCESO",
IF(COUNTIF(T376:V376,"?*")&gt;0,"⚠ FALTANTE", "❌ SIN COMPLETAR")))</f>
        <v>❌ SIN COMPLETAR</v>
      </c>
    </row>
    <row r="377" spans="1:23" x14ac:dyDescent="0.35">
      <c r="A377" s="27">
        <v>46021</v>
      </c>
      <c r="B377" s="28" t="str">
        <f t="shared" si="96"/>
        <v>mar</v>
      </c>
      <c r="C377" s="29">
        <v>0.66666666666666696</v>
      </c>
      <c r="D377" s="19" t="s">
        <v>30</v>
      </c>
      <c r="E377" s="19"/>
      <c r="F377" s="19"/>
      <c r="G377" s="31" t="str">
        <f>IF(COUNTIF(D377:F377,"?*")=$P$5,"✅ CUBIERTO",
IF(COUNTIF(D377:F377,"?*")&gt;$P$5,"⚠ EXCESO",IF(COUNTIF(D377:F377,"?*")&gt;0,"⚠ FALTANTE",
"❌ SIN COMPLETAR")))</f>
        <v>⚠ FALTANTE</v>
      </c>
      <c r="I377" s="27">
        <v>46021</v>
      </c>
      <c r="J377" s="28" t="str">
        <f t="shared" si="97"/>
        <v>mar</v>
      </c>
      <c r="K377" s="29">
        <v>0.66666666666666696</v>
      </c>
      <c r="L377" s="19"/>
      <c r="M377" s="19"/>
      <c r="N377" s="19"/>
      <c r="O377" s="31" t="str">
        <f>IF(COUNTIF(L377:N377,"?*")=$P$6,"✅ CUBIERTO",IF(COUNTIF(L377:N377,"?*")&gt;$P$6,"⚠ EXCESO",
IF(COUNTIF(L377:N377,"?*")&gt;0,"⚠ FALTANTE", "❌ SIN COMPLETAR")))</f>
        <v>❌ SIN COMPLETAR</v>
      </c>
      <c r="Q377" s="27">
        <v>46021</v>
      </c>
      <c r="R377" s="28" t="str">
        <f t="shared" si="98"/>
        <v>mar</v>
      </c>
      <c r="S377" s="29">
        <v>0.66666666666666696</v>
      </c>
      <c r="T377" s="19"/>
      <c r="U377" s="19"/>
      <c r="V377" s="19"/>
      <c r="W377" s="30" t="str">
        <f>IF(COUNTIF(T377:V377,"?*")=$P$7,"✅ CUBIERTO",IF(COUNTIF(T377:V377,"?*")&gt;$P$7,"⚠ EXCESO",
IF(COUNTIF(T377:V377,"?*")&gt;0,"⚠ FALTANTE", "❌ SIN COMPLETAR")))</f>
        <v>❌ SIN COMPLETAR</v>
      </c>
    </row>
    <row r="378" spans="1:23" x14ac:dyDescent="0.35">
      <c r="A378" s="27">
        <v>46021</v>
      </c>
      <c r="B378" s="28" t="str">
        <f t="shared" si="96"/>
        <v>mar</v>
      </c>
      <c r="C378" s="29">
        <v>0.70833333333333304</v>
      </c>
      <c r="D378" s="19" t="s">
        <v>30</v>
      </c>
      <c r="E378" s="19"/>
      <c r="F378" s="19"/>
      <c r="G378" s="31" t="str">
        <f>IF(COUNTIF(D378:F378,"?*")=$P$5,"✅ CUBIERTO",
IF(COUNTIF(D378:F378,"?*")&gt;$P$5,"⚠ EXCESO",IF(COUNTIF(D378:F378,"?*")&gt;0,"⚠ FALTANTE",
"❌ SIN COMPLETAR")))</f>
        <v>⚠ FALTANTE</v>
      </c>
      <c r="I378" s="27">
        <v>46021</v>
      </c>
      <c r="J378" s="28" t="str">
        <f t="shared" si="97"/>
        <v>mar</v>
      </c>
      <c r="K378" s="29">
        <v>0.70833333333333304</v>
      </c>
      <c r="L378" s="19"/>
      <c r="M378" s="19"/>
      <c r="N378" s="19"/>
      <c r="O378" s="31" t="str">
        <f>IF(COUNTIF(L378:N378,"?*")=$P$6,"✅ CUBIERTO",IF(COUNTIF(L378:N378,"?*")&gt;$P$6,"⚠ EXCESO",
IF(COUNTIF(L378:N378,"?*")&gt;0,"⚠ FALTANTE", "❌ SIN COMPLETAR")))</f>
        <v>❌ SIN COMPLETAR</v>
      </c>
      <c r="Q378" s="27">
        <v>46021</v>
      </c>
      <c r="R378" s="28" t="str">
        <f t="shared" si="98"/>
        <v>mar</v>
      </c>
      <c r="S378" s="29">
        <v>0.70833333333333304</v>
      </c>
      <c r="T378" s="19"/>
      <c r="U378" s="19"/>
      <c r="V378" s="19"/>
      <c r="W378" s="30" t="str">
        <f>IF(COUNTIF(T378:V378,"?*")=$P$7,"✅ CUBIERTO",IF(COUNTIF(T378:V378,"?*")&gt;$P$7,"⚠ EXCESO",
IF(COUNTIF(T378:V378,"?*")&gt;0,"⚠ FALTANTE", "❌ SIN COMPLETAR")))</f>
        <v>❌ SIN COMPLETAR</v>
      </c>
    </row>
    <row r="379" spans="1:23" x14ac:dyDescent="0.35">
      <c r="A379" s="27">
        <v>46021</v>
      </c>
      <c r="B379" s="28" t="str">
        <f t="shared" si="96"/>
        <v>mar</v>
      </c>
      <c r="C379" s="29">
        <v>0.75</v>
      </c>
      <c r="D379" s="19" t="s">
        <v>30</v>
      </c>
      <c r="E379" s="19"/>
      <c r="F379" s="19"/>
      <c r="G379" s="31" t="str">
        <f>IF(COUNTIF(D379:F379,"?*")=$P$5,"✅ CUBIERTO",
IF(COUNTIF(D379:F379,"?*")&gt;$P$5,"⚠ EXCESO",IF(COUNTIF(D379:F379,"?*")&gt;0,"⚠ FALTANTE",
"❌ SIN COMPLETAR")))</f>
        <v>⚠ FALTANTE</v>
      </c>
      <c r="I379" s="27">
        <v>46021</v>
      </c>
      <c r="J379" s="28" t="str">
        <f t="shared" si="97"/>
        <v>mar</v>
      </c>
      <c r="K379" s="29">
        <v>0.75</v>
      </c>
      <c r="L379" s="25"/>
      <c r="M379" s="25"/>
      <c r="N379" s="25"/>
      <c r="O379" s="31" t="s">
        <v>32</v>
      </c>
      <c r="Q379" s="27">
        <v>46021</v>
      </c>
      <c r="R379" s="28" t="str">
        <f t="shared" si="98"/>
        <v>mar</v>
      </c>
      <c r="S379" s="29">
        <v>0.75</v>
      </c>
      <c r="T379" s="19"/>
      <c r="U379" s="19"/>
      <c r="V379" s="19"/>
      <c r="W379" s="30" t="str">
        <f>IF(COUNTIF(T379:V379,"?*")=$P$7,"✅ CUBIERTO",IF(COUNTIF(T379:V379,"?*")&gt;$P$7,"⚠ EXCESO",
IF(COUNTIF(T379:V379,"?*")&gt;0,"⚠ FALTANTE", "❌ SIN COMPLETAR")))</f>
        <v>❌ SIN COMPLETAR</v>
      </c>
    </row>
    <row r="380" spans="1:23" x14ac:dyDescent="0.35">
      <c r="A380" s="27">
        <v>46021</v>
      </c>
      <c r="B380" s="28" t="str">
        <f t="shared" si="96"/>
        <v>mar</v>
      </c>
      <c r="C380" s="29">
        <v>0.79166666666666696</v>
      </c>
      <c r="D380" s="19" t="s">
        <v>30</v>
      </c>
      <c r="E380" s="19"/>
      <c r="F380" s="19"/>
      <c r="G380" s="31" t="str">
        <f>IF(COUNTIF(D380:F380,"?*")=$P$5,"✅ CUBIERTO",
IF(COUNTIF(D380:F380,"?*")&gt;$P$5,"⚠ EXCESO",IF(COUNTIF(D380:F380,"?*")&gt;0,"⚠ FALTANTE",
"❌ SIN COMPLETAR")))</f>
        <v>⚠ FALTANTE</v>
      </c>
      <c r="I380" s="27">
        <v>46021</v>
      </c>
      <c r="J380" s="28" t="str">
        <f t="shared" si="97"/>
        <v>mar</v>
      </c>
      <c r="K380" s="29">
        <v>0.79166666666666696</v>
      </c>
      <c r="L380" s="25"/>
      <c r="M380" s="25"/>
      <c r="N380" s="25"/>
      <c r="O380" s="31" t="s">
        <v>32</v>
      </c>
      <c r="Q380" s="27">
        <v>46021</v>
      </c>
      <c r="R380" s="28" t="str">
        <f t="shared" si="98"/>
        <v>mar</v>
      </c>
      <c r="S380" s="29">
        <v>0.79166666666666696</v>
      </c>
      <c r="T380" s="19"/>
      <c r="U380" s="19"/>
      <c r="V380" s="19"/>
      <c r="W380" s="30" t="str">
        <f>IF(COUNTIF(T380:V380,"?*")=$P$7,"✅ CUBIERTO",IF(COUNTIF(T380:V380,"?*")&gt;$P$7,"⚠ EXCESO",
IF(COUNTIF(T380:V380,"?*")&gt;0,"⚠ FALTANTE", "❌ SIN COMPLETAR")))</f>
        <v>❌ SIN COMPLETAR</v>
      </c>
    </row>
    <row r="381" spans="1:23" x14ac:dyDescent="0.35">
      <c r="A381" s="27">
        <v>46021</v>
      </c>
      <c r="B381" s="28" t="str">
        <f t="shared" si="96"/>
        <v>mar</v>
      </c>
      <c r="C381" s="29">
        <v>0.83333333333333337</v>
      </c>
      <c r="D381" s="25"/>
      <c r="E381" s="25"/>
      <c r="F381" s="25"/>
      <c r="G381" s="30" t="s">
        <v>32</v>
      </c>
      <c r="I381" s="27">
        <v>46021</v>
      </c>
      <c r="J381" s="28" t="str">
        <f t="shared" si="97"/>
        <v>mar</v>
      </c>
      <c r="K381" s="29">
        <v>0.83333333333333337</v>
      </c>
      <c r="L381" s="25"/>
      <c r="M381" s="25"/>
      <c r="N381" s="25"/>
      <c r="O381" s="31" t="s">
        <v>32</v>
      </c>
      <c r="Q381" s="27">
        <v>46021</v>
      </c>
      <c r="R381" s="28" t="str">
        <f t="shared" si="98"/>
        <v>mar</v>
      </c>
      <c r="S381" s="29">
        <v>0.83333333333333337</v>
      </c>
      <c r="T381" s="19"/>
      <c r="U381" s="19"/>
      <c r="V381" s="19"/>
      <c r="W381" s="30" t="str">
        <f>IF(COUNTIF(T381:V381,"?*")=$P$7,"✅ CUBIERTO",IF(COUNTIF(T381:V381,"?*")&gt;$P$7,"⚠ EXCESO",
IF(COUNTIF(T381:V381,"?*")&gt;0,"⚠ FALTANTE", "❌ SIN COMPLETAR")))</f>
        <v>❌ SIN COMPLETAR</v>
      </c>
    </row>
    <row r="382" spans="1:23" x14ac:dyDescent="0.35">
      <c r="A382" s="27">
        <v>46022</v>
      </c>
      <c r="B382" s="28" t="str">
        <f>TEXT(A382,"ddd")</f>
        <v>mié</v>
      </c>
      <c r="C382" s="29">
        <v>0.375</v>
      </c>
      <c r="D382" s="25"/>
      <c r="E382" s="25"/>
      <c r="F382" s="25"/>
      <c r="G382" s="30" t="s">
        <v>32</v>
      </c>
      <c r="I382" s="27">
        <v>46022</v>
      </c>
      <c r="J382" s="28" t="str">
        <f>TEXT(I382,"ddd")</f>
        <v>mié</v>
      </c>
      <c r="K382" s="29">
        <v>0.375</v>
      </c>
      <c r="L382" s="19"/>
      <c r="M382" s="19"/>
      <c r="N382" s="19"/>
      <c r="O382" s="31" t="str">
        <f>IF(COUNTIF(L382:N382,"?*")=$P$6,"✅ CUBIERTO",IF(COUNTIF(L382:N382,"?*")&gt;$P$6,"⚠ EXCESO",
IF(COUNTIF(L382:N382,"?*")&gt;0,"⚠ FALTANTE", "❌ SIN COMPLETAR")))</f>
        <v>❌ SIN COMPLETAR</v>
      </c>
      <c r="Q382" s="27">
        <v>46022</v>
      </c>
      <c r="R382" s="28" t="str">
        <f>TEXT(Q382,"ddd")</f>
        <v>mié</v>
      </c>
      <c r="S382" s="29">
        <v>0.375</v>
      </c>
      <c r="T382" s="25"/>
      <c r="U382" s="25"/>
      <c r="V382" s="25"/>
      <c r="W382" s="30" t="s">
        <v>32</v>
      </c>
    </row>
    <row r="383" spans="1:23" x14ac:dyDescent="0.35">
      <c r="A383" s="27">
        <v>46022</v>
      </c>
      <c r="B383" s="28" t="str">
        <f>TEXT(A383,"ddd")</f>
        <v>mié</v>
      </c>
      <c r="C383" s="29">
        <v>0.41666666666666669</v>
      </c>
      <c r="D383" s="25"/>
      <c r="E383" s="25"/>
      <c r="F383" s="25"/>
      <c r="G383" s="30" t="s">
        <v>32</v>
      </c>
      <c r="I383" s="27">
        <v>46022</v>
      </c>
      <c r="J383" s="28" t="str">
        <f>TEXT(I383,"ddd")</f>
        <v>mié</v>
      </c>
      <c r="K383" s="29">
        <v>0.41666666666666669</v>
      </c>
      <c r="L383" s="19"/>
      <c r="M383" s="19"/>
      <c r="N383" s="19"/>
      <c r="O383" s="31" t="str">
        <f>IF(COUNTIF(L383:N383,"?*")=$P$6,"✅ CUBIERTO",IF(COUNTIF(L383:N383,"?*")&gt;$P$6,"⚠ EXCESO",
IF(COUNTIF(L383:N383,"?*")&gt;0,"⚠ FALTANTE", "❌ SIN COMPLETAR")))</f>
        <v>❌ SIN COMPLETAR</v>
      </c>
      <c r="Q383" s="27">
        <v>46022</v>
      </c>
      <c r="R383" s="28" t="str">
        <f>TEXT(Q383,"ddd")</f>
        <v>mié</v>
      </c>
      <c r="S383" s="29">
        <v>0.41666666666666669</v>
      </c>
      <c r="T383" s="19"/>
      <c r="U383" s="19"/>
      <c r="V383" s="19"/>
      <c r="W383" s="30" t="str">
        <f>IF(COUNTIF(T383:V383,"?*")=$P$7,"✅ CUBIERTO",IF(COUNTIF(T383:V383,"?*")&gt;$P$7,"⚠ EXCESO",
IF(COUNTIF(T383:V383,"?*")&gt;0,"⚠ FALTANTE", "❌ SIN COMPLETAR")))</f>
        <v>❌ SIN COMPLETAR</v>
      </c>
    </row>
    <row r="384" spans="1:23" x14ac:dyDescent="0.35">
      <c r="A384" s="27">
        <v>46022</v>
      </c>
      <c r="B384" s="28" t="str">
        <f>TEXT(A384,"ddd")</f>
        <v>mié</v>
      </c>
      <c r="C384" s="29">
        <v>0.45833333333333331</v>
      </c>
      <c r="D384" s="19" t="s">
        <v>3</v>
      </c>
      <c r="E384" s="19" t="s">
        <v>4</v>
      </c>
      <c r="F384" s="19"/>
      <c r="G384" s="31" t="str">
        <f>IF(COUNTIF(D384:F384,"?*")=$P$5,"✅ CUBIERTO",
IF(COUNTIF(D384:F384,"?*")&gt;$P$5,"⚠ EXCESO",IF(COUNTIF(D384:F384,"?*")&gt;0,"⚠ FALTANTE",
"❌ SIN COMPLETAR")))</f>
        <v>✅ CUBIERTO</v>
      </c>
      <c r="I384" s="27">
        <v>46022</v>
      </c>
      <c r="J384" s="28" t="str">
        <f>TEXT(I384,"ddd")</f>
        <v>mié</v>
      </c>
      <c r="K384" s="29">
        <v>0.45833333333333331</v>
      </c>
      <c r="L384" s="19"/>
      <c r="M384" s="19"/>
      <c r="N384" s="19"/>
      <c r="O384" s="31" t="str">
        <f>IF(COUNTIF(L384:N384,"?*")=$P$6,"✅ CUBIERTO",IF(COUNTIF(L384:N384,"?*")&gt;$P$6,"⚠ EXCESO",
IF(COUNTIF(L384:N384,"?*")&gt;0,"⚠ FALTANTE", "❌ SIN COMPLETAR")))</f>
        <v>❌ SIN COMPLETAR</v>
      </c>
      <c r="Q384" s="27">
        <v>46022</v>
      </c>
      <c r="R384" s="28" t="str">
        <f>TEXT(Q384,"ddd")</f>
        <v>mié</v>
      </c>
      <c r="S384" s="29">
        <v>0.45833333333333331</v>
      </c>
      <c r="T384" s="19"/>
      <c r="U384" s="19"/>
      <c r="V384" s="19"/>
      <c r="W384" s="30" t="str">
        <f>IF(COUNTIF(T384:V384,"?*")=$P$7,"✅ CUBIERTO",IF(COUNTIF(T384:V384,"?*")&gt;$P$7,"⚠ EXCESO",
IF(COUNTIF(T384:V384,"?*")&gt;0,"⚠ FALTANTE", "❌ SIN COMPLETAR")))</f>
        <v>❌ SIN COMPLETAR</v>
      </c>
    </row>
    <row r="385" spans="1:23" x14ac:dyDescent="0.35">
      <c r="A385" s="27">
        <v>46022</v>
      </c>
      <c r="B385" s="28" t="str">
        <f t="shared" ref="B385:B393" si="99">TEXT(A385,"ddd")</f>
        <v>mié</v>
      </c>
      <c r="C385" s="29">
        <v>0.5</v>
      </c>
      <c r="D385" s="19" t="s">
        <v>3</v>
      </c>
      <c r="E385" s="19" t="s">
        <v>4</v>
      </c>
      <c r="F385" s="19"/>
      <c r="G385" s="31" t="str">
        <f>IF(COUNTIF(D385:F385,"?*")=$P$5,"✅ CUBIERTO",
IF(COUNTIF(D385:F385,"?*")&gt;$P$5,"⚠ EXCESO",IF(COUNTIF(D385:F385,"?*")&gt;0,"⚠ FALTANTE",
"❌ SIN COMPLETAR")))</f>
        <v>✅ CUBIERTO</v>
      </c>
      <c r="I385" s="27">
        <v>46022</v>
      </c>
      <c r="J385" s="28" t="str">
        <f t="shared" ref="J385:J393" si="100">TEXT(I385,"ddd")</f>
        <v>mié</v>
      </c>
      <c r="K385" s="29">
        <v>0.5</v>
      </c>
      <c r="L385" s="19"/>
      <c r="M385" s="19"/>
      <c r="N385" s="19"/>
      <c r="O385" s="31" t="str">
        <f>IF(COUNTIF(L385:N385,"?*")=$P$6,"✅ CUBIERTO",IF(COUNTIF(L385:N385,"?*")&gt;$P$6,"⚠ EXCESO",
IF(COUNTIF(L385:N385,"?*")&gt;0,"⚠ FALTANTE", "❌ SIN COMPLETAR")))</f>
        <v>❌ SIN COMPLETAR</v>
      </c>
      <c r="Q385" s="27">
        <v>46022</v>
      </c>
      <c r="R385" s="28" t="str">
        <f t="shared" ref="R385:R393" si="101">TEXT(Q385,"ddd")</f>
        <v>mié</v>
      </c>
      <c r="S385" s="29">
        <v>0.5</v>
      </c>
      <c r="T385" s="19"/>
      <c r="U385" s="19"/>
      <c r="V385" s="19"/>
      <c r="W385" s="30" t="str">
        <f>IF(COUNTIF(T385:V385,"?*")=$P$7,"✅ CUBIERTO",IF(COUNTIF(T385:V385,"?*")&gt;$P$7,"⚠ EXCESO",
IF(COUNTIF(T385:V385,"?*")&gt;0,"⚠ FALTANTE", "❌ SIN COMPLETAR")))</f>
        <v>❌ SIN COMPLETAR</v>
      </c>
    </row>
    <row r="386" spans="1:23" x14ac:dyDescent="0.35">
      <c r="A386" s="27">
        <v>46022</v>
      </c>
      <c r="B386" s="28" t="str">
        <f t="shared" si="99"/>
        <v>mié</v>
      </c>
      <c r="C386" s="29">
        <v>0.54166666666666696</v>
      </c>
      <c r="D386" s="19" t="s">
        <v>3</v>
      </c>
      <c r="E386" s="19" t="s">
        <v>4</v>
      </c>
      <c r="F386" s="19"/>
      <c r="G386" s="31" t="str">
        <f>IF(COUNTIF(D386:F386,"?*")=$P$5,"✅ CUBIERTO",
IF(COUNTIF(D386:F386,"?*")&gt;$P$5,"⚠ EXCESO",IF(COUNTIF(D386:F386,"?*")&gt;0,"⚠ FALTANTE",
"❌ SIN COMPLETAR")))</f>
        <v>✅ CUBIERTO</v>
      </c>
      <c r="I386" s="27">
        <v>46022</v>
      </c>
      <c r="J386" s="28" t="str">
        <f t="shared" si="100"/>
        <v>mié</v>
      </c>
      <c r="K386" s="29">
        <v>0.54166666666666696</v>
      </c>
      <c r="L386" s="19"/>
      <c r="M386" s="19"/>
      <c r="N386" s="19"/>
      <c r="O386" s="31" t="str">
        <f>IF(COUNTIF(L386:N386,"?*")=$P$6,"✅ CUBIERTO",IF(COUNTIF(L386:N386,"?*")&gt;$P$6,"⚠ EXCESO",
IF(COUNTIF(L386:N386,"?*")&gt;0,"⚠ FALTANTE", "❌ SIN COMPLETAR")))</f>
        <v>❌ SIN COMPLETAR</v>
      </c>
      <c r="Q386" s="27">
        <v>46022</v>
      </c>
      <c r="R386" s="28" t="str">
        <f t="shared" si="101"/>
        <v>mié</v>
      </c>
      <c r="S386" s="29">
        <v>0.54166666666666696</v>
      </c>
      <c r="T386" s="19"/>
      <c r="U386" s="19"/>
      <c r="V386" s="19"/>
      <c r="W386" s="30" t="str">
        <f>IF(COUNTIF(T386:V386,"?*")=$P$7,"✅ CUBIERTO",IF(COUNTIF(T386:V386,"?*")&gt;$P$7,"⚠ EXCESO",
IF(COUNTIF(T386:V386,"?*")&gt;0,"⚠ FALTANTE", "❌ SIN COMPLETAR")))</f>
        <v>❌ SIN COMPLETAR</v>
      </c>
    </row>
    <row r="387" spans="1:23" x14ac:dyDescent="0.35">
      <c r="A387" s="27">
        <v>46022</v>
      </c>
      <c r="B387" s="28" t="str">
        <f t="shared" si="99"/>
        <v>mié</v>
      </c>
      <c r="C387" s="29">
        <v>0.58333333333333304</v>
      </c>
      <c r="D387" s="19" t="s">
        <v>3</v>
      </c>
      <c r="E387" s="19" t="s">
        <v>4</v>
      </c>
      <c r="F387" s="19"/>
      <c r="G387" s="31" t="str">
        <f>IF(COUNTIF(D387:F387,"?*")=$P$5,"✅ CUBIERTO",
IF(COUNTIF(D387:F387,"?*")&gt;$P$5,"⚠ EXCESO",IF(COUNTIF(D387:F387,"?*")&gt;0,"⚠ FALTANTE",
"❌ SIN COMPLETAR")))</f>
        <v>✅ CUBIERTO</v>
      </c>
      <c r="I387" s="27">
        <v>46022</v>
      </c>
      <c r="J387" s="28" t="str">
        <f t="shared" si="100"/>
        <v>mié</v>
      </c>
      <c r="K387" s="29">
        <v>0.58333333333333304</v>
      </c>
      <c r="L387" s="19"/>
      <c r="M387" s="19"/>
      <c r="N387" s="19"/>
      <c r="O387" s="31" t="str">
        <f>IF(COUNTIF(L387:N387,"?*")=$P$6,"✅ CUBIERTO",IF(COUNTIF(L387:N387,"?*")&gt;$P$6,"⚠ EXCESO",
IF(COUNTIF(L387:N387,"?*")&gt;0,"⚠ FALTANTE", "❌ SIN COMPLETAR")))</f>
        <v>❌ SIN COMPLETAR</v>
      </c>
      <c r="Q387" s="27">
        <v>46022</v>
      </c>
      <c r="R387" s="28" t="str">
        <f t="shared" si="101"/>
        <v>mié</v>
      </c>
      <c r="S387" s="29">
        <v>0.58333333333333304</v>
      </c>
      <c r="T387" s="19"/>
      <c r="U387" s="19"/>
      <c r="V387" s="19"/>
      <c r="W387" s="30" t="str">
        <f>IF(COUNTIF(T387:V387,"?*")=$P$7,"✅ CUBIERTO",IF(COUNTIF(T387:V387,"?*")&gt;$P$7,"⚠ EXCESO",
IF(COUNTIF(T387:V387,"?*")&gt;0,"⚠ FALTANTE", "❌ SIN COMPLETAR")))</f>
        <v>❌ SIN COMPLETAR</v>
      </c>
    </row>
    <row r="388" spans="1:23" x14ac:dyDescent="0.35">
      <c r="A388" s="27">
        <v>46022</v>
      </c>
      <c r="B388" s="28" t="str">
        <f t="shared" si="99"/>
        <v>mié</v>
      </c>
      <c r="C388" s="29">
        <v>0.625</v>
      </c>
      <c r="D388" s="19" t="s">
        <v>3</v>
      </c>
      <c r="E388" s="19" t="s">
        <v>4</v>
      </c>
      <c r="F388" s="19"/>
      <c r="G388" s="31" t="str">
        <f>IF(COUNTIF(D388:F388,"?*")=$P$5,"✅ CUBIERTO",
IF(COUNTIF(D388:F388,"?*")&gt;$P$5,"⚠ EXCESO",IF(COUNTIF(D388:F388,"?*")&gt;0,"⚠ FALTANTE",
"❌ SIN COMPLETAR")))</f>
        <v>✅ CUBIERTO</v>
      </c>
      <c r="I388" s="27">
        <v>46022</v>
      </c>
      <c r="J388" s="28" t="str">
        <f t="shared" si="100"/>
        <v>mié</v>
      </c>
      <c r="K388" s="29">
        <v>0.625</v>
      </c>
      <c r="L388" s="19"/>
      <c r="M388" s="19"/>
      <c r="N388" s="19"/>
      <c r="O388" s="31" t="str">
        <f>IF(COUNTIF(L388:N388,"?*")=$P$6,"✅ CUBIERTO",IF(COUNTIF(L388:N388,"?*")&gt;$P$6,"⚠ EXCESO",
IF(COUNTIF(L388:N388,"?*")&gt;0,"⚠ FALTANTE", "❌ SIN COMPLETAR")))</f>
        <v>❌ SIN COMPLETAR</v>
      </c>
      <c r="Q388" s="27">
        <v>46022</v>
      </c>
      <c r="R388" s="28" t="str">
        <f t="shared" si="101"/>
        <v>mié</v>
      </c>
      <c r="S388" s="29">
        <v>0.625</v>
      </c>
      <c r="T388" s="19"/>
      <c r="U388" s="19"/>
      <c r="V388" s="19"/>
      <c r="W388" s="30" t="str">
        <f>IF(COUNTIF(T388:V388,"?*")=$P$7,"✅ CUBIERTO",IF(COUNTIF(T388:V388,"?*")&gt;$P$7,"⚠ EXCESO",
IF(COUNTIF(T388:V388,"?*")&gt;0,"⚠ FALTANTE", "❌ SIN COMPLETAR")))</f>
        <v>❌ SIN COMPLETAR</v>
      </c>
    </row>
    <row r="389" spans="1:23" x14ac:dyDescent="0.35">
      <c r="A389" s="27">
        <v>46022</v>
      </c>
      <c r="B389" s="28" t="str">
        <f t="shared" si="99"/>
        <v>mié</v>
      </c>
      <c r="C389" s="29">
        <v>0.66666666666666696</v>
      </c>
      <c r="D389" s="19" t="s">
        <v>30</v>
      </c>
      <c r="E389" s="19"/>
      <c r="F389" s="19"/>
      <c r="G389" s="31" t="str">
        <f>IF(COUNTIF(D389:F389,"?*")=$P$5,"✅ CUBIERTO",
IF(COUNTIF(D389:F389,"?*")&gt;$P$5,"⚠ EXCESO",IF(COUNTIF(D389:F389,"?*")&gt;0,"⚠ FALTANTE",
"❌ SIN COMPLETAR")))</f>
        <v>⚠ FALTANTE</v>
      </c>
      <c r="I389" s="27">
        <v>46022</v>
      </c>
      <c r="J389" s="28" t="str">
        <f t="shared" si="100"/>
        <v>mié</v>
      </c>
      <c r="K389" s="29">
        <v>0.66666666666666696</v>
      </c>
      <c r="L389" s="19"/>
      <c r="M389" s="19"/>
      <c r="N389" s="19"/>
      <c r="O389" s="31" t="str">
        <f>IF(COUNTIF(L389:N389,"?*")=$P$6,"✅ CUBIERTO",IF(COUNTIF(L389:N389,"?*")&gt;$P$6,"⚠ EXCESO",
IF(COUNTIF(L389:N389,"?*")&gt;0,"⚠ FALTANTE", "❌ SIN COMPLETAR")))</f>
        <v>❌ SIN COMPLETAR</v>
      </c>
      <c r="Q389" s="27">
        <v>46022</v>
      </c>
      <c r="R389" s="28" t="str">
        <f t="shared" si="101"/>
        <v>mié</v>
      </c>
      <c r="S389" s="29">
        <v>0.66666666666666696</v>
      </c>
      <c r="T389" s="19"/>
      <c r="U389" s="19"/>
      <c r="V389" s="19"/>
      <c r="W389" s="30" t="str">
        <f>IF(COUNTIF(T389:V389,"?*")=$P$7,"✅ CUBIERTO",IF(COUNTIF(T389:V389,"?*")&gt;$P$7,"⚠ EXCESO",
IF(COUNTIF(T389:V389,"?*")&gt;0,"⚠ FALTANTE", "❌ SIN COMPLETAR")))</f>
        <v>❌ SIN COMPLETAR</v>
      </c>
    </row>
    <row r="390" spans="1:23" x14ac:dyDescent="0.35">
      <c r="A390" s="27">
        <v>46022</v>
      </c>
      <c r="B390" s="28" t="str">
        <f t="shared" si="99"/>
        <v>mié</v>
      </c>
      <c r="C390" s="29">
        <v>0.70833333333333304</v>
      </c>
      <c r="D390" s="19" t="s">
        <v>30</v>
      </c>
      <c r="E390" s="19"/>
      <c r="F390" s="19"/>
      <c r="G390" s="31" t="str">
        <f>IF(COUNTIF(D390:F390,"?*")=$P$5,"✅ CUBIERTO",
IF(COUNTIF(D390:F390,"?*")&gt;$P$5,"⚠ EXCESO",IF(COUNTIF(D390:F390,"?*")&gt;0,"⚠ FALTANTE",
"❌ SIN COMPLETAR")))</f>
        <v>⚠ FALTANTE</v>
      </c>
      <c r="I390" s="27">
        <v>46022</v>
      </c>
      <c r="J390" s="28" t="str">
        <f t="shared" si="100"/>
        <v>mié</v>
      </c>
      <c r="K390" s="29">
        <v>0.70833333333333304</v>
      </c>
      <c r="L390" s="19"/>
      <c r="M390" s="19"/>
      <c r="N390" s="19"/>
      <c r="O390" s="31" t="str">
        <f>IF(COUNTIF(L390:N390,"?*")=$P$6,"✅ CUBIERTO",IF(COUNTIF(L390:N390,"?*")&gt;$P$6,"⚠ EXCESO",
IF(COUNTIF(L390:N390,"?*")&gt;0,"⚠ FALTANTE", "❌ SIN COMPLETAR")))</f>
        <v>❌ SIN COMPLETAR</v>
      </c>
      <c r="Q390" s="27">
        <v>46022</v>
      </c>
      <c r="R390" s="28" t="str">
        <f t="shared" si="101"/>
        <v>mié</v>
      </c>
      <c r="S390" s="29">
        <v>0.70833333333333304</v>
      </c>
      <c r="T390" s="19"/>
      <c r="U390" s="19"/>
      <c r="V390" s="19"/>
      <c r="W390" s="30" t="str">
        <f>IF(COUNTIF(T390:V390,"?*")=$P$7,"✅ CUBIERTO",IF(COUNTIF(T390:V390,"?*")&gt;$P$7,"⚠ EXCESO",
IF(COUNTIF(T390:V390,"?*")&gt;0,"⚠ FALTANTE", "❌ SIN COMPLETAR")))</f>
        <v>❌ SIN COMPLETAR</v>
      </c>
    </row>
    <row r="391" spans="1:23" x14ac:dyDescent="0.35">
      <c r="A391" s="27">
        <v>46022</v>
      </c>
      <c r="B391" s="28" t="str">
        <f t="shared" si="99"/>
        <v>mié</v>
      </c>
      <c r="C391" s="29">
        <v>0.75</v>
      </c>
      <c r="D391" s="19" t="s">
        <v>30</v>
      </c>
      <c r="E391" s="19"/>
      <c r="F391" s="19"/>
      <c r="G391" s="31" t="str">
        <f>IF(COUNTIF(D391:F391,"?*")=$P$5,"✅ CUBIERTO",
IF(COUNTIF(D391:F391,"?*")&gt;$P$5,"⚠ EXCESO",IF(COUNTIF(D391:F391,"?*")&gt;0,"⚠ FALTANTE",
"❌ SIN COMPLETAR")))</f>
        <v>⚠ FALTANTE</v>
      </c>
      <c r="I391" s="27">
        <v>46022</v>
      </c>
      <c r="J391" s="28" t="str">
        <f t="shared" si="100"/>
        <v>mié</v>
      </c>
      <c r="K391" s="29">
        <v>0.75</v>
      </c>
      <c r="L391" s="25"/>
      <c r="M391" s="25"/>
      <c r="N391" s="25"/>
      <c r="O391" s="31" t="s">
        <v>32</v>
      </c>
      <c r="Q391" s="27">
        <v>46022</v>
      </c>
      <c r="R391" s="28" t="str">
        <f t="shared" si="101"/>
        <v>mié</v>
      </c>
      <c r="S391" s="29">
        <v>0.75</v>
      </c>
      <c r="T391" s="19"/>
      <c r="U391" s="19"/>
      <c r="V391" s="19"/>
      <c r="W391" s="30" t="str">
        <f>IF(COUNTIF(T391:V391,"?*")=$P$7,"✅ CUBIERTO",IF(COUNTIF(T391:V391,"?*")&gt;$P$7,"⚠ EXCESO",
IF(COUNTIF(T391:V391,"?*")&gt;0,"⚠ FALTANTE", "❌ SIN COMPLETAR")))</f>
        <v>❌ SIN COMPLETAR</v>
      </c>
    </row>
    <row r="392" spans="1:23" x14ac:dyDescent="0.35">
      <c r="A392" s="27">
        <v>46022</v>
      </c>
      <c r="B392" s="28" t="str">
        <f t="shared" si="99"/>
        <v>mié</v>
      </c>
      <c r="C392" s="29">
        <v>0.79166666666666696</v>
      </c>
      <c r="D392" s="19" t="s">
        <v>30</v>
      </c>
      <c r="E392" s="19"/>
      <c r="F392" s="19"/>
      <c r="G392" s="31" t="str">
        <f>IF(COUNTIF(D392:F392,"?*")=$P$5,"✅ CUBIERTO",
IF(COUNTIF(D392:F392,"?*")&gt;$P$5,"⚠ EXCESO",IF(COUNTIF(D392:F392,"?*")&gt;0,"⚠ FALTANTE",
"❌ SIN COMPLETAR")))</f>
        <v>⚠ FALTANTE</v>
      </c>
      <c r="I392" s="27">
        <v>46022</v>
      </c>
      <c r="J392" s="28" t="str">
        <f t="shared" si="100"/>
        <v>mié</v>
      </c>
      <c r="K392" s="29">
        <v>0.79166666666666696</v>
      </c>
      <c r="L392" s="25"/>
      <c r="M392" s="25"/>
      <c r="N392" s="25"/>
      <c r="O392" s="31" t="s">
        <v>32</v>
      </c>
      <c r="Q392" s="27">
        <v>46022</v>
      </c>
      <c r="R392" s="28" t="str">
        <f t="shared" si="101"/>
        <v>mié</v>
      </c>
      <c r="S392" s="29">
        <v>0.79166666666666696</v>
      </c>
      <c r="T392" s="19"/>
      <c r="U392" s="19"/>
      <c r="V392" s="19"/>
      <c r="W392" s="30" t="str">
        <f>IF(COUNTIF(T392:V392,"?*")=$P$7,"✅ CUBIERTO",IF(COUNTIF(T392:V392,"?*")&gt;$P$7,"⚠ EXCESO",
IF(COUNTIF(T392:V392,"?*")&gt;0,"⚠ FALTANTE", "❌ SIN COMPLETAR")))</f>
        <v>❌ SIN COMPLETAR</v>
      </c>
    </row>
    <row r="393" spans="1:23" x14ac:dyDescent="0.35">
      <c r="A393" s="32">
        <v>46022</v>
      </c>
      <c r="B393" s="33" t="str">
        <f t="shared" si="99"/>
        <v>mié</v>
      </c>
      <c r="C393" s="34">
        <v>0.83333333333333337</v>
      </c>
      <c r="D393" s="26"/>
      <c r="E393" s="26"/>
      <c r="F393" s="26"/>
      <c r="G393" s="35" t="s">
        <v>32</v>
      </c>
      <c r="I393" s="27">
        <v>46022</v>
      </c>
      <c r="J393" s="28" t="str">
        <f t="shared" si="100"/>
        <v>mié</v>
      </c>
      <c r="K393" s="29">
        <v>0.83333333333333337</v>
      </c>
      <c r="L393" s="25"/>
      <c r="M393" s="25"/>
      <c r="N393" s="25"/>
      <c r="O393" s="31" t="s">
        <v>32</v>
      </c>
      <c r="Q393" s="27">
        <v>46022</v>
      </c>
      <c r="R393" s="28" t="str">
        <f t="shared" si="101"/>
        <v>mié</v>
      </c>
      <c r="S393" s="29">
        <v>0.83333333333333337</v>
      </c>
      <c r="T393" s="19"/>
      <c r="U393" s="19"/>
      <c r="V393" s="19"/>
      <c r="W393" s="30" t="str">
        <f>IF(COUNTIF(T393:V393,"?*")=$P$7,"✅ CUBIERTO",IF(COUNTIF(T393:V393,"?*")&gt;$P$7,"⚠ EXCESO",
IF(COUNTIF(T393:V393,"?*")&gt;0,"⚠ FALTANTE", "❌ SIN COMPLETAR")))</f>
        <v>❌ SIN COMPLETAR</v>
      </c>
    </row>
    <row r="394" spans="1:23" x14ac:dyDescent="0.35">
      <c r="A394" s="56"/>
      <c r="B394" s="57"/>
      <c r="C394" s="58"/>
      <c r="D394" s="59"/>
      <c r="E394" s="59"/>
      <c r="F394" s="59"/>
      <c r="G394" s="60"/>
      <c r="I394" s="53"/>
      <c r="K394" s="54"/>
      <c r="O394" s="55"/>
    </row>
    <row r="395" spans="1:23" x14ac:dyDescent="0.35">
      <c r="I395" s="53"/>
      <c r="K395" s="54"/>
      <c r="O395" s="55"/>
    </row>
    <row r="396" spans="1:23" x14ac:dyDescent="0.35">
      <c r="I396" s="53"/>
      <c r="K396" s="54"/>
      <c r="O396" s="55"/>
    </row>
    <row r="397" spans="1:23" x14ac:dyDescent="0.35">
      <c r="I397" s="53"/>
      <c r="K397" s="54"/>
      <c r="O397" s="55"/>
    </row>
    <row r="398" spans="1:23" x14ac:dyDescent="0.35">
      <c r="I398" s="53"/>
      <c r="K398" s="54"/>
      <c r="O398" s="55"/>
    </row>
    <row r="399" spans="1:23" x14ac:dyDescent="0.35">
      <c r="I399" s="53"/>
      <c r="K399" s="54"/>
      <c r="O399" s="55"/>
    </row>
    <row r="400" spans="1:23" x14ac:dyDescent="0.35">
      <c r="I400" s="53"/>
      <c r="K400" s="54"/>
      <c r="O400" s="55"/>
    </row>
    <row r="401" spans="9:15" x14ac:dyDescent="0.35">
      <c r="I401" s="53"/>
      <c r="K401" s="54"/>
      <c r="O401" s="55"/>
    </row>
    <row r="402" spans="9:15" x14ac:dyDescent="0.35">
      <c r="I402" s="53"/>
      <c r="K402" s="54"/>
      <c r="O402" s="55"/>
    </row>
    <row r="403" spans="9:15" x14ac:dyDescent="0.35">
      <c r="I403" s="53"/>
      <c r="K403" s="54"/>
      <c r="O403" s="55"/>
    </row>
    <row r="404" spans="9:15" x14ac:dyDescent="0.35">
      <c r="I404" s="53"/>
      <c r="K404" s="54"/>
      <c r="O404" s="55"/>
    </row>
    <row r="405" spans="9:15" x14ac:dyDescent="0.35">
      <c r="I405" s="53"/>
      <c r="K405" s="54"/>
      <c r="O405" s="55"/>
    </row>
    <row r="406" spans="9:15" x14ac:dyDescent="0.35">
      <c r="I406" s="53"/>
      <c r="K406" s="54"/>
      <c r="O406" s="55"/>
    </row>
    <row r="407" spans="9:15" x14ac:dyDescent="0.35">
      <c r="I407" s="53"/>
      <c r="K407" s="54"/>
      <c r="O407" s="55"/>
    </row>
    <row r="408" spans="9:15" x14ac:dyDescent="0.35">
      <c r="I408" s="53"/>
      <c r="K408" s="54"/>
      <c r="O408" s="55"/>
    </row>
    <row r="409" spans="9:15" x14ac:dyDescent="0.35">
      <c r="I409" s="53"/>
      <c r="K409" s="54"/>
      <c r="O409" s="55"/>
    </row>
    <row r="410" spans="9:15" x14ac:dyDescent="0.35">
      <c r="I410" s="53"/>
      <c r="K410" s="54"/>
      <c r="O410" s="55"/>
    </row>
    <row r="411" spans="9:15" x14ac:dyDescent="0.35">
      <c r="I411" s="53"/>
      <c r="K411" s="54"/>
      <c r="O411" s="55"/>
    </row>
    <row r="412" spans="9:15" x14ac:dyDescent="0.35">
      <c r="I412" s="53"/>
      <c r="K412" s="54"/>
      <c r="O412" s="55"/>
    </row>
    <row r="413" spans="9:15" x14ac:dyDescent="0.35">
      <c r="I413" s="53"/>
      <c r="K413" s="54"/>
      <c r="O413" s="55"/>
    </row>
    <row r="414" spans="9:15" x14ac:dyDescent="0.35">
      <c r="I414" s="53"/>
      <c r="K414" s="54"/>
      <c r="O414" s="55"/>
    </row>
    <row r="415" spans="9:15" x14ac:dyDescent="0.35">
      <c r="I415" s="53"/>
      <c r="K415" s="54"/>
      <c r="O415" s="55"/>
    </row>
    <row r="416" spans="9:15" x14ac:dyDescent="0.35">
      <c r="I416" s="53"/>
      <c r="K416" s="54"/>
      <c r="O416" s="55"/>
    </row>
    <row r="417" spans="9:15" x14ac:dyDescent="0.35">
      <c r="I417" s="53"/>
      <c r="K417" s="54"/>
      <c r="O417" s="55"/>
    </row>
    <row r="418" spans="9:15" x14ac:dyDescent="0.35">
      <c r="I418" s="53"/>
      <c r="K418" s="54"/>
    </row>
    <row r="419" spans="9:15" x14ac:dyDescent="0.35">
      <c r="I419" s="53"/>
      <c r="K419" s="54"/>
    </row>
    <row r="420" spans="9:15" x14ac:dyDescent="0.35">
      <c r="I420" s="53"/>
      <c r="K420" s="54"/>
    </row>
    <row r="421" spans="9:15" x14ac:dyDescent="0.35">
      <c r="I421" s="53"/>
      <c r="K421" s="54"/>
    </row>
    <row r="422" spans="9:15" x14ac:dyDescent="0.35">
      <c r="I422" s="53"/>
      <c r="K422" s="54"/>
    </row>
    <row r="423" spans="9:15" x14ac:dyDescent="0.35">
      <c r="I423" s="53"/>
      <c r="K423" s="54"/>
    </row>
    <row r="424" spans="9:15" x14ac:dyDescent="0.35">
      <c r="I424" s="53"/>
      <c r="K424" s="54"/>
    </row>
    <row r="425" spans="9:15" x14ac:dyDescent="0.35">
      <c r="I425" s="53"/>
      <c r="K425" s="54"/>
    </row>
    <row r="426" spans="9:15" x14ac:dyDescent="0.35">
      <c r="I426" s="53"/>
      <c r="K426" s="54"/>
    </row>
  </sheetData>
  <sheetProtection autoFilter="0"/>
  <sortState ref="A6:A15">
    <sortCondition ref="A6"/>
  </sortState>
  <dataConsolidate/>
  <mergeCells count="13">
    <mergeCell ref="A20:G20"/>
    <mergeCell ref="I20:O20"/>
    <mergeCell ref="Q20:W20"/>
    <mergeCell ref="A1:W1"/>
    <mergeCell ref="A4:A5"/>
    <mergeCell ref="F4:H4"/>
    <mergeCell ref="I4:K4"/>
    <mergeCell ref="L4:L5"/>
    <mergeCell ref="M4:M5"/>
    <mergeCell ref="B4:B5"/>
    <mergeCell ref="C4:C5"/>
    <mergeCell ref="D4:D5"/>
    <mergeCell ref="E4:E5"/>
  </mergeCells>
  <conditionalFormatting sqref="R5:R7">
    <cfRule type="cellIs" dxfId="12" priority="40" operator="greaterThan">
      <formula>Q5</formula>
    </cfRule>
  </conditionalFormatting>
  <conditionalFormatting sqref="S5:S7">
    <cfRule type="dataBar" priority="16">
      <dataBar>
        <cfvo type="min"/>
        <cfvo type="max"/>
        <color rgb="FF005363"/>
      </dataBar>
      <extLst>
        <ext xmlns:x14="http://schemas.microsoft.com/office/spreadsheetml/2009/9/main" uri="{B025F937-C7B1-47D3-B67F-A62EFF666E3E}">
          <x14:id>{C0974836-EB87-42EB-98ED-F04ECF914E75}</x14:id>
        </ext>
      </extLst>
    </cfRule>
  </conditionalFormatting>
  <conditionalFormatting sqref="L6:L16">
    <cfRule type="cellIs" dxfId="11" priority="13" operator="between">
      <formula>100</formula>
      <formula>132</formula>
    </cfRule>
    <cfRule type="cellIs" dxfId="10" priority="14" operator="lessThan">
      <formula>100</formula>
    </cfRule>
    <cfRule type="cellIs" dxfId="9" priority="15" operator="greaterThan">
      <formula>132</formula>
    </cfRule>
  </conditionalFormatting>
  <conditionalFormatting sqref="A22:G393">
    <cfRule type="expression" dxfId="8" priority="90">
      <formula>$G22="CERRADO"</formula>
    </cfRule>
    <cfRule type="expression" dxfId="7" priority="91">
      <formula>$A22=$W$6</formula>
    </cfRule>
  </conditionalFormatting>
  <conditionalFormatting sqref="Q22:W393">
    <cfRule type="expression" dxfId="6" priority="92">
      <formula>$W22="CERRADO"</formula>
    </cfRule>
    <cfRule type="expression" dxfId="5" priority="93">
      <formula>$Q22=$W$6</formula>
    </cfRule>
  </conditionalFormatting>
  <conditionalFormatting sqref="I22:O393">
    <cfRule type="expression" dxfId="4" priority="94">
      <formula>$O22="CERRADO"</formula>
    </cfRule>
    <cfRule type="expression" dxfId="3" priority="95">
      <formula>$I22=$W$6</formula>
    </cfRule>
  </conditionalFormatting>
  <dataValidations count="3">
    <dataValidation type="list" allowBlank="1" showInputMessage="1" showErrorMessage="1" sqref="L22:N393 D22:F393 T22:V393">
      <formula1>$A$6:$A$16</formula1>
    </dataValidation>
    <dataValidation type="whole" operator="greaterThan" allowBlank="1" showInputMessage="1" showErrorMessage="1" sqref="P5:Q7">
      <formula1>0</formula1>
    </dataValidation>
    <dataValidation type="list" allowBlank="1" showInputMessage="1" showErrorMessage="1" sqref="L394:N399">
      <formula1>$M$5:$M$14</formula1>
    </dataValidation>
  </dataValidation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974836-EB87-42EB-98ED-F04ECF914E75}">
            <x14:dataBar minLength="0" maxLength="100" border="1" negativeBarBorderColorSameAsPositive="0">
              <x14:cfvo type="autoMin"/>
              <x14:cfvo type="autoMax"/>
              <x14:borderColor rgb="FF005363"/>
              <x14:negativeFillColor rgb="FFFF0000"/>
              <x14:negativeBorderColor rgb="FFFF0000"/>
              <x14:axisColor rgb="FF000000"/>
            </x14:dataBar>
          </x14:cfRule>
          <xm:sqref>S5:S7</xm:sqref>
        </x14:conditionalFormatting>
        <x14:conditionalFormatting xmlns:xm="http://schemas.microsoft.com/office/excel/2006/main">
          <x14:cfRule type="iconSet" priority="8" id="{EA272DA8-BFED-4D24-901A-84DAF5E9164D}">
            <x14:iconSet iconSet="3Symbols" custom="1">
              <x14:cfvo type="percent">
                <xm:f>0</xm:f>
              </x14:cfvo>
              <x14:cfvo type="num">
                <xm:f>20</xm:f>
              </x14:cfvo>
              <x14:cfvo type="num">
                <xm:f>32</xm:f>
              </x14:cfvo>
              <x14:cfIcon iconSet="3Symbols" iconId="1"/>
              <x14:cfIcon iconSet="3Symbols" iconId="2"/>
              <x14:cfIcon iconSet="3Symbols" iconId="0"/>
            </x14:iconSet>
          </x14:cfRule>
          <xm:sqref>B6:B16</xm:sqref>
        </x14:conditionalFormatting>
        <x14:conditionalFormatting xmlns:xm="http://schemas.microsoft.com/office/excel/2006/main">
          <x14:cfRule type="iconSet" priority="7" id="{7DA84C87-A0A9-4F31-B947-C1FBAEEE388C}">
            <x14:iconSet iconSet="3Symbols" custom="1">
              <x14:cfvo type="percent">
                <xm:f>0</xm:f>
              </x14:cfvo>
              <x14:cfvo type="num">
                <xm:f>20</xm:f>
              </x14:cfvo>
              <x14:cfvo type="num">
                <xm:f>32</xm:f>
              </x14:cfvo>
              <x14:cfIcon iconSet="3Symbols" iconId="1"/>
              <x14:cfIcon iconSet="3Symbols" iconId="2"/>
              <x14:cfIcon iconSet="3Symbols" iconId="0"/>
            </x14:iconSet>
          </x14:cfRule>
          <xm:sqref>C6:C16</xm:sqref>
        </x14:conditionalFormatting>
        <x14:conditionalFormatting xmlns:xm="http://schemas.microsoft.com/office/excel/2006/main">
          <x14:cfRule type="iconSet" priority="6" id="{482AE346-2986-45EB-A1B2-68CF4C320CE7}">
            <x14:iconSet iconSet="3Symbols" custom="1">
              <x14:cfvo type="percent">
                <xm:f>0</xm:f>
              </x14:cfvo>
              <x14:cfvo type="num">
                <xm:f>20</xm:f>
              </x14:cfvo>
              <x14:cfvo type="num">
                <xm:f>32</xm:f>
              </x14:cfvo>
              <x14:cfIcon iconSet="3Symbols" iconId="1"/>
              <x14:cfIcon iconSet="3Symbols" iconId="2"/>
              <x14:cfIcon iconSet="3Symbols" iconId="0"/>
            </x14:iconSet>
          </x14:cfRule>
          <xm:sqref>D6:D16</xm:sqref>
        </x14:conditionalFormatting>
        <x14:conditionalFormatting xmlns:xm="http://schemas.microsoft.com/office/excel/2006/main">
          <x14:cfRule type="iconSet" priority="5" id="{7ABA0985-B9E3-4456-8058-3BA943BBA212}">
            <x14:iconSet iconSet="3Symbols" custom="1">
              <x14:cfvo type="percent">
                <xm:f>0</xm:f>
              </x14:cfvo>
              <x14:cfvo type="num">
                <xm:f>20</xm:f>
              </x14:cfvo>
              <x14:cfvo type="num">
                <xm:f>32</xm:f>
              </x14:cfvo>
              <x14:cfIcon iconSet="3Symbols" iconId="1"/>
              <x14:cfIcon iconSet="3Symbols" iconId="2"/>
              <x14:cfIcon iconSet="3Symbols" iconId="0"/>
            </x14:iconSet>
          </x14:cfRule>
          <xm:sqref>E7:E16</xm:sqref>
        </x14:conditionalFormatting>
        <x14:conditionalFormatting xmlns:xm="http://schemas.microsoft.com/office/excel/2006/main">
          <x14:cfRule type="iconSet" priority="4" id="{1A5A2376-DEFC-4000-97AD-DD2D7AEA3E09}">
            <x14:iconSet iconSet="3Symbols" custom="1">
              <x14:cfvo type="percent">
                <xm:f>0</xm:f>
              </x14:cfvo>
              <x14:cfvo type="num">
                <xm:f>20</xm:f>
              </x14:cfvo>
              <x14:cfvo type="num">
                <xm:f>32</xm:f>
              </x14:cfvo>
              <x14:cfIcon iconSet="3Symbols" iconId="1"/>
              <x14:cfIcon iconSet="3Symbols" iconId="2"/>
              <x14:cfIcon iconSet="3Symbols" iconId="0"/>
            </x14:iconSet>
          </x14:cfRule>
          <xm:sqref>E6</xm:sqref>
        </x14:conditionalFormatting>
        <x14:conditionalFormatting xmlns:xm="http://schemas.microsoft.com/office/excel/2006/main">
          <x14:cfRule type="iconSet" priority="3" id="{D96AF1C8-CCD5-4C7A-B195-A8AB90F8C08C}">
            <x14:iconSet iconSet="3Symbols" custom="1">
              <x14:cfvo type="percent">
                <xm:f>0</xm:f>
              </x14:cfvo>
              <x14:cfvo type="num">
                <xm:f>20</xm:f>
              </x14:cfvo>
              <x14:cfvo type="num">
                <xm:f>32</xm:f>
              </x14:cfvo>
              <x14:cfIcon iconSet="3Symbols" iconId="1"/>
              <x14:cfIcon iconSet="3Symbols" iconId="2"/>
              <x14:cfIcon iconSet="3Symbols" iconId="0"/>
            </x14:iconSet>
          </x14:cfRule>
          <xm:sqref>C6:C16</xm:sqref>
        </x14:conditionalFormatting>
        <x14:conditionalFormatting xmlns:xm="http://schemas.microsoft.com/office/excel/2006/main">
          <x14:cfRule type="iconSet" priority="2" id="{1A5B754C-5AB3-4695-BF94-E3554A8989CF}">
            <x14:iconSet iconSet="3Symbols" custom="1">
              <x14:cfvo type="percent">
                <xm:f>0</xm:f>
              </x14:cfvo>
              <x14:cfvo type="num">
                <xm:f>20</xm:f>
              </x14:cfvo>
              <x14:cfvo type="num">
                <xm:f>32</xm:f>
              </x14:cfvo>
              <x14:cfIcon iconSet="3Symbols" iconId="1"/>
              <x14:cfIcon iconSet="3Symbols" iconId="2"/>
              <x14:cfIcon iconSet="3Symbols" iconId="0"/>
            </x14:iconSet>
          </x14:cfRule>
          <xm:sqref>D6:D16</xm:sqref>
        </x14:conditionalFormatting>
        <x14:conditionalFormatting xmlns:xm="http://schemas.microsoft.com/office/excel/2006/main">
          <x14:cfRule type="iconSet" priority="1" id="{9EA8897B-6181-4FE6-8414-B693ED8F80D2}">
            <x14:iconSet iconSet="3Symbols" custom="1">
              <x14:cfvo type="percent">
                <xm:f>0</xm:f>
              </x14:cfvo>
              <x14:cfvo type="num">
                <xm:f>20</xm:f>
              </x14:cfvo>
              <x14:cfvo type="num">
                <xm:f>32</xm:f>
              </x14:cfvo>
              <x14:cfIcon iconSet="3Symbols" iconId="1"/>
              <x14:cfIcon iconSet="3Symbols" iconId="2"/>
              <x14:cfIcon iconSet="3Symbols" iconId="0"/>
            </x14:iconSet>
          </x14:cfRule>
          <xm:sqref>E6:E16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B4" sqref="B4"/>
    </sheetView>
  </sheetViews>
  <sheetFormatPr baseColWidth="10" defaultRowHeight="14.5" x14ac:dyDescent="0.35"/>
  <sheetData>
    <row r="1" spans="1:7" x14ac:dyDescent="0.35">
      <c r="A1" s="77" t="s">
        <v>49</v>
      </c>
    </row>
    <row r="2" spans="1:7" x14ac:dyDescent="0.35">
      <c r="A2" s="24" t="s">
        <v>41</v>
      </c>
      <c r="B2" s="6"/>
      <c r="C2" s="6"/>
      <c r="D2" s="6"/>
      <c r="E2" s="6"/>
      <c r="F2" s="6"/>
      <c r="G2" s="6"/>
    </row>
    <row r="3" spans="1:7" x14ac:dyDescent="0.35">
      <c r="A3" s="40" t="s">
        <v>42</v>
      </c>
      <c r="B3" s="61" t="s">
        <v>43</v>
      </c>
      <c r="C3" s="61" t="s">
        <v>44</v>
      </c>
      <c r="D3" s="61" t="s">
        <v>45</v>
      </c>
      <c r="E3" s="61" t="s">
        <v>46</v>
      </c>
      <c r="F3" s="76" t="s">
        <v>47</v>
      </c>
      <c r="G3" s="76" t="s">
        <v>48</v>
      </c>
    </row>
    <row r="4" spans="1:7" x14ac:dyDescent="0.35">
      <c r="A4" s="12" t="str">
        <f>Noviembre!A6</f>
        <v>Bárbara</v>
      </c>
      <c r="B4" s="12">
        <f>SUMPRODUCT((Noviembre!$D$46:$F$129=$A4)+(Noviembre!$L$46:$N$129=$A4)+(Noviembre!$T$46:$V$129=$A4))</f>
        <v>18</v>
      </c>
      <c r="C4" s="12">
        <f>SUMPRODUCT((Noviembre!$D$130:$F$213=$A4)+(Noviembre!$L$130:$N$213=$A4)+(Noviembre!$T$130:$V$213=$A4))</f>
        <v>0</v>
      </c>
      <c r="D4" s="12">
        <f>SUMPRODUCT((Noviembre!$D$214:$F$297=$A4)+(Noviembre!$L$214:$N$297=$A4)+(Noviembre!$T$214:$V$297=$A4))</f>
        <v>0</v>
      </c>
      <c r="E4" s="12">
        <f>SUMPRODUCT((Noviembre!$D$298:$F$381=$A4)+(Noviembre!$L$298:$N$381=$A4)+(Noviembre!$T$298:$V$381=$A4))</f>
        <v>0</v>
      </c>
      <c r="F4" s="12">
        <v>20</v>
      </c>
      <c r="G4" s="12">
        <v>32</v>
      </c>
    </row>
    <row r="5" spans="1:7" x14ac:dyDescent="0.35">
      <c r="A5" s="12" t="str">
        <f>Noviembre!A7</f>
        <v>Candela G.</v>
      </c>
      <c r="B5" s="12">
        <f>SUMPRODUCT((Noviembre!$D$46:$F$129=$A5)+(Noviembre!$L$46:$N$129=$A5)+(Noviembre!$T$46:$V$129=$A5))</f>
        <v>13</v>
      </c>
      <c r="C5" s="12">
        <f>SUMPRODUCT((Noviembre!$D$130:$F$213=$A5)+(Noviembre!$L$130:$N$213=$A5)+(Noviembre!$T$130:$V$213=$A5))</f>
        <v>32</v>
      </c>
      <c r="D5" s="12">
        <f>SUMPRODUCT((Noviembre!$D$214:$F$297=$A5)+(Noviembre!$L$214:$N$297=$A5)+(Noviembre!$T$214:$V$297=$A5))</f>
        <v>10</v>
      </c>
      <c r="E5" s="12">
        <f>SUMPRODUCT((Noviembre!$D$298:$F$381=$A5)+(Noviembre!$L$298:$N$381=$A5)+(Noviembre!$T$298:$V$381=$A5))</f>
        <v>0</v>
      </c>
      <c r="F5" s="12">
        <v>20</v>
      </c>
      <c r="G5" s="12">
        <v>32</v>
      </c>
    </row>
    <row r="6" spans="1:7" x14ac:dyDescent="0.35">
      <c r="A6" s="12" t="str">
        <f>Noviembre!A8</f>
        <v>Candela I.</v>
      </c>
      <c r="B6" s="12">
        <f>SUMPRODUCT((Noviembre!$D$46:$F$129=$A6)+(Noviembre!$L$46:$N$129=$A6)+(Noviembre!$T$46:$V$129=$A6))</f>
        <v>28</v>
      </c>
      <c r="C6" s="12">
        <f>SUMPRODUCT((Noviembre!$D$130:$F$213=$A6)+(Noviembre!$L$130:$N$213=$A6)+(Noviembre!$T$130:$V$213=$A6))</f>
        <v>24</v>
      </c>
      <c r="D6" s="12">
        <f>SUMPRODUCT((Noviembre!$D$214:$F$297=$A6)+(Noviembre!$L$214:$N$297=$A6)+(Noviembre!$T$214:$V$297=$A6))</f>
        <v>28</v>
      </c>
      <c r="E6" s="12">
        <f>SUMPRODUCT((Noviembre!$D$298:$F$381=$A6)+(Noviembre!$L$298:$N$381=$A6)+(Noviembre!$T$298:$V$381=$A6))</f>
        <v>29</v>
      </c>
      <c r="F6" s="12">
        <v>20</v>
      </c>
      <c r="G6" s="12">
        <v>32</v>
      </c>
    </row>
    <row r="7" spans="1:7" x14ac:dyDescent="0.35">
      <c r="A7" s="12" t="str">
        <f>Noviembre!A9</f>
        <v>Giselle</v>
      </c>
      <c r="B7" s="12">
        <f>SUMPRODUCT((Noviembre!$D$46:$F$129=$A7)+(Noviembre!$L$46:$N$129=$A7)+(Noviembre!$T$46:$V$129=$A7))</f>
        <v>0</v>
      </c>
      <c r="C7" s="12">
        <f>SUMPRODUCT((Noviembre!$D$130:$F$213=$A7)+(Noviembre!$L$130:$N$213=$A7)+(Noviembre!$T$130:$V$213=$A7))</f>
        <v>0</v>
      </c>
      <c r="D7" s="12">
        <f>SUMPRODUCT((Noviembre!$D$214:$F$297=$A7)+(Noviembre!$L$214:$N$297=$A7)+(Noviembre!$T$214:$V$297=$A7))</f>
        <v>0</v>
      </c>
      <c r="E7" s="12">
        <f>SUMPRODUCT((Noviembre!$D$298:$F$381=$A7)+(Noviembre!$L$298:$N$381=$A7)+(Noviembre!$T$298:$V$381=$A7))</f>
        <v>0</v>
      </c>
      <c r="F7" s="12">
        <v>20</v>
      </c>
      <c r="G7" s="12">
        <v>32</v>
      </c>
    </row>
    <row r="8" spans="1:7" x14ac:dyDescent="0.35">
      <c r="A8" s="12" t="str">
        <f>Noviembre!A10</f>
        <v>Luciana</v>
      </c>
      <c r="B8" s="12">
        <f>SUMPRODUCT((Noviembre!$D$46:$F$129=$A8)+(Noviembre!$L$46:$N$129=$A8)+(Noviembre!$T$46:$V$129=$A8))</f>
        <v>8</v>
      </c>
      <c r="C8" s="12">
        <f>SUMPRODUCT((Noviembre!$D$130:$F$213=$A8)+(Noviembre!$L$130:$N$213=$A8)+(Noviembre!$T$130:$V$213=$A8))</f>
        <v>0</v>
      </c>
      <c r="D8" s="12">
        <f>SUMPRODUCT((Noviembre!$D$214:$F$297=$A8)+(Noviembre!$L$214:$N$297=$A8)+(Noviembre!$T$214:$V$297=$A8))</f>
        <v>0</v>
      </c>
      <c r="E8" s="12">
        <f>SUMPRODUCT((Noviembre!$D$298:$F$381=$A8)+(Noviembre!$L$298:$N$381=$A8)+(Noviembre!$T$298:$V$381=$A8))</f>
        <v>0</v>
      </c>
      <c r="F8" s="12">
        <v>20</v>
      </c>
      <c r="G8" s="12">
        <v>32</v>
      </c>
    </row>
    <row r="9" spans="1:7" x14ac:dyDescent="0.35">
      <c r="A9" s="12" t="str">
        <f>Noviembre!A11</f>
        <v>Mailén</v>
      </c>
      <c r="B9" s="12">
        <f>SUMPRODUCT((Noviembre!$D$46:$F$129=$A9)+(Noviembre!$L$46:$N$129=$A9)+(Noviembre!$T$46:$V$129=$A9))</f>
        <v>28</v>
      </c>
      <c r="C9" s="12">
        <f>SUMPRODUCT((Noviembre!$D$130:$F$213=$A9)+(Noviembre!$L$130:$N$213=$A9)+(Noviembre!$T$130:$V$213=$A9))</f>
        <v>20</v>
      </c>
      <c r="D9" s="12">
        <f>SUMPRODUCT((Noviembre!$D$214:$F$297=$A9)+(Noviembre!$L$214:$N$297=$A9)+(Noviembre!$T$214:$V$297=$A9))</f>
        <v>20</v>
      </c>
      <c r="E9" s="12">
        <f>SUMPRODUCT((Noviembre!$D$298:$F$381=$A9)+(Noviembre!$L$298:$N$381=$A9)+(Noviembre!$T$298:$V$381=$A9))</f>
        <v>20</v>
      </c>
      <c r="F9" s="12">
        <v>20</v>
      </c>
      <c r="G9" s="12">
        <v>32</v>
      </c>
    </row>
    <row r="10" spans="1:7" x14ac:dyDescent="0.35">
      <c r="A10" s="12" t="str">
        <f>Noviembre!A12</f>
        <v>Maitena</v>
      </c>
      <c r="B10" s="12">
        <f>SUMPRODUCT((Noviembre!$D$46:$F$129=$A10)+(Noviembre!$L$46:$N$129=$A10)+(Noviembre!$T$46:$V$129=$A10))</f>
        <v>45</v>
      </c>
      <c r="C10" s="12">
        <f>SUMPRODUCT((Noviembre!$D$130:$F$213=$A10)+(Noviembre!$L$130:$N$213=$A10)+(Noviembre!$T$130:$V$213=$A10))</f>
        <v>25</v>
      </c>
      <c r="D10" s="12">
        <f>SUMPRODUCT((Noviembre!$D$214:$F$297=$A10)+(Noviembre!$L$214:$N$297=$A10)+(Noviembre!$T$214:$V$297=$A10))</f>
        <v>29</v>
      </c>
      <c r="E10" s="12">
        <f>SUMPRODUCT((Noviembre!$D$298:$F$381=$A10)+(Noviembre!$L$298:$N$381=$A10)+(Noviembre!$T$298:$V$381=$A10))</f>
        <v>25</v>
      </c>
      <c r="F10" s="12">
        <v>20</v>
      </c>
      <c r="G10" s="12">
        <v>32</v>
      </c>
    </row>
    <row r="11" spans="1:7" x14ac:dyDescent="0.35">
      <c r="A11" s="12" t="str">
        <f>Noviembre!A13</f>
        <v>Micaela</v>
      </c>
      <c r="B11" s="12">
        <f>SUMPRODUCT((Noviembre!$D$46:$F$129=$A11)+(Noviembre!$L$46:$N$129=$A11)+(Noviembre!$T$46:$V$129=$A11))</f>
        <v>0</v>
      </c>
      <c r="C11" s="12">
        <f>SUMPRODUCT((Noviembre!$D$130:$F$213=$A11)+(Noviembre!$L$130:$N$213=$A11)+(Noviembre!$T$130:$V$213=$A11))</f>
        <v>0</v>
      </c>
      <c r="D11" s="12">
        <f>SUMPRODUCT((Noviembre!$D$214:$F$297=$A11)+(Noviembre!$L$214:$N$297=$A11)+(Noviembre!$T$214:$V$297=$A11))</f>
        <v>0</v>
      </c>
      <c r="E11" s="12">
        <f>SUMPRODUCT((Noviembre!$D$298:$F$381=$A11)+(Noviembre!$L$298:$N$381=$A11)+(Noviembre!$T$298:$V$381=$A11))</f>
        <v>0</v>
      </c>
      <c r="F11" s="12">
        <v>20</v>
      </c>
      <c r="G11" s="12">
        <v>32</v>
      </c>
    </row>
    <row r="12" spans="1:7" x14ac:dyDescent="0.35">
      <c r="A12" s="12" t="str">
        <f>Noviembre!A14</f>
        <v>Rocío</v>
      </c>
      <c r="B12" s="12">
        <f>SUMPRODUCT((Noviembre!$D$46:$F$129=$A12)+(Noviembre!$L$46:$N$129=$A12)+(Noviembre!$T$46:$V$129=$A12))</f>
        <v>26</v>
      </c>
      <c r="C12" s="12">
        <f>SUMPRODUCT((Noviembre!$D$130:$F$213=$A12)+(Noviembre!$L$130:$N$213=$A12)+(Noviembre!$T$130:$V$213=$A12))</f>
        <v>25</v>
      </c>
      <c r="D12" s="12">
        <f>SUMPRODUCT((Noviembre!$D$214:$F$297=$A12)+(Noviembre!$L$214:$N$297=$A12)+(Noviembre!$T$214:$V$297=$A12))</f>
        <v>25</v>
      </c>
      <c r="E12" s="12">
        <f>SUMPRODUCT((Noviembre!$D$298:$F$381=$A12)+(Noviembre!$L$298:$N$381=$A12)+(Noviembre!$T$298:$V$381=$A12))</f>
        <v>25</v>
      </c>
      <c r="F12" s="12">
        <v>20</v>
      </c>
      <c r="G12" s="12">
        <v>32</v>
      </c>
    </row>
    <row r="13" spans="1:7" x14ac:dyDescent="0.35">
      <c r="A13" s="12" t="str">
        <f>Noviembre!A15</f>
        <v>Sofía</v>
      </c>
      <c r="B13" s="12">
        <f>SUMPRODUCT((Noviembre!$D$46:$F$129=$A13)+(Noviembre!$L$46:$N$129=$A13)+(Noviembre!$T$46:$V$129=$A13))</f>
        <v>25</v>
      </c>
      <c r="C13" s="12">
        <f>SUMPRODUCT((Noviembre!$D$130:$F$213=$A13)+(Noviembre!$L$130:$N$213=$A13)+(Noviembre!$T$130:$V$213=$A13))</f>
        <v>24</v>
      </c>
      <c r="D13" s="12">
        <f>SUMPRODUCT((Noviembre!$D$214:$F$297=$A13)+(Noviembre!$L$214:$N$297=$A13)+(Noviembre!$T$214:$V$297=$A13))</f>
        <v>30</v>
      </c>
      <c r="E13" s="12">
        <f>SUMPRODUCT((Noviembre!$D$298:$F$381=$A13)+(Noviembre!$L$298:$N$381=$A13)+(Noviembre!$T$298:$V$381=$A13))</f>
        <v>29</v>
      </c>
      <c r="F13" s="12">
        <v>20</v>
      </c>
      <c r="G13" s="12">
        <v>32</v>
      </c>
    </row>
    <row r="14" spans="1:7" x14ac:dyDescent="0.35">
      <c r="A14" s="12" t="str">
        <f>Noviembre!A16</f>
        <v>[Nueva]</v>
      </c>
      <c r="B14" s="12">
        <f>SUMPRODUCT((Noviembre!$D$46:$F$129=$A14)+(Noviembre!$L$46:$N$129=$A14)+(Noviembre!$T$46:$V$129=$A14))</f>
        <v>0</v>
      </c>
      <c r="C14" s="12">
        <f>SUMPRODUCT((Noviembre!$D$130:$F$213=$A14)+(Noviembre!$L$130:$N$213=$A14)+(Noviembre!$T$130:$V$213=$A14))</f>
        <v>0</v>
      </c>
      <c r="D14" s="12">
        <f>SUMPRODUCT((Noviembre!$D$214:$F$297=$A14)+(Noviembre!$L$214:$N$297=$A14)+(Noviembre!$T$214:$V$297=$A14))</f>
        <v>0</v>
      </c>
      <c r="E14" s="12">
        <f>SUMPRODUCT((Noviembre!$D$298:$F$381=$A14)+(Noviembre!$L$298:$N$381=$A14)+(Noviembre!$T$298:$V$381=$A14))</f>
        <v>0</v>
      </c>
      <c r="F14" s="12">
        <v>20</v>
      </c>
      <c r="G14" s="12">
        <v>32</v>
      </c>
    </row>
    <row r="22" spans="1:5" x14ac:dyDescent="0.35">
      <c r="A22" t="s">
        <v>61</v>
      </c>
      <c r="B22">
        <v>220</v>
      </c>
    </row>
    <row r="23" spans="1:5" x14ac:dyDescent="0.35">
      <c r="A23" t="s">
        <v>60</v>
      </c>
      <c r="B23">
        <v>150</v>
      </c>
    </row>
    <row r="25" spans="1:5" x14ac:dyDescent="0.35">
      <c r="A25" t="s">
        <v>51</v>
      </c>
      <c r="B25" t="s">
        <v>52</v>
      </c>
      <c r="C25" t="s">
        <v>53</v>
      </c>
      <c r="D25" t="s">
        <v>54</v>
      </c>
      <c r="E25" t="s">
        <v>55</v>
      </c>
    </row>
    <row r="26" spans="1:5" x14ac:dyDescent="0.35">
      <c r="A26" t="s">
        <v>56</v>
      </c>
      <c r="B26">
        <v>180</v>
      </c>
      <c r="C26">
        <f>IF(AND(B26&gt;=B23, B26&lt;=B22), B26, "NA()")</f>
        <v>180</v>
      </c>
      <c r="D26" t="str">
        <f>IF(B26&gt;B22,B26,"NA()")</f>
        <v>NA()</v>
      </c>
      <c r="E26" t="str">
        <f>IF(B26&lt;B23,B26,"NA()")</f>
        <v>NA()</v>
      </c>
    </row>
    <row r="27" spans="1:5" x14ac:dyDescent="0.35">
      <c r="A27" t="s">
        <v>57</v>
      </c>
      <c r="B27">
        <v>210</v>
      </c>
      <c r="C27" t="str">
        <f t="shared" ref="C27:C29" si="0">IF(AND(B27&gt;=B24, B27&lt;=B23), B27, "NA()")</f>
        <v>NA()</v>
      </c>
      <c r="D27">
        <f t="shared" ref="D27:D29" si="1">IF(B27&gt;B23,B27,"NA()")</f>
        <v>210</v>
      </c>
      <c r="E27" t="str">
        <f t="shared" ref="E27:E29" si="2">IF(B27&lt;B24,B27,"NA()")</f>
        <v>NA()</v>
      </c>
    </row>
    <row r="28" spans="1:5" x14ac:dyDescent="0.35">
      <c r="A28" t="s">
        <v>58</v>
      </c>
      <c r="B28">
        <v>140</v>
      </c>
      <c r="C28" t="str">
        <f t="shared" si="0"/>
        <v>NA()</v>
      </c>
      <c r="D28">
        <f t="shared" si="1"/>
        <v>140</v>
      </c>
      <c r="E28">
        <f t="shared" si="2"/>
        <v>140</v>
      </c>
    </row>
    <row r="29" spans="1:5" x14ac:dyDescent="0.35">
      <c r="A29" t="s">
        <v>59</v>
      </c>
      <c r="B29">
        <v>250</v>
      </c>
      <c r="C29">
        <f t="shared" si="0"/>
        <v>250</v>
      </c>
      <c r="D29" t="str">
        <f t="shared" si="1"/>
        <v>NA()</v>
      </c>
      <c r="E29" t="str">
        <f t="shared" si="2"/>
        <v>NA()</v>
      </c>
    </row>
  </sheetData>
  <conditionalFormatting sqref="B4:E14">
    <cfRule type="cellIs" dxfId="2" priority="1" operator="between">
      <formula>20</formula>
      <formula>32</formula>
    </cfRule>
    <cfRule type="cellIs" dxfId="1" priority="2" operator="lessThan">
      <formula>20</formula>
    </cfRule>
    <cfRule type="cellIs" dxfId="0" priority="3" operator="greaterThan">
      <formula>32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Noviembre</vt:lpstr>
      <vt:lpstr>Diciembre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2025-10-16T14:30:29Z</dcterms:created>
  <dcterms:modified xsi:type="dcterms:W3CDTF">2025-10-30T17:04:08Z</dcterms:modified>
</cp:coreProperties>
</file>