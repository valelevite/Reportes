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Reporte_gastos\"/>
    </mc:Choice>
  </mc:AlternateContent>
  <bookViews>
    <workbookView xWindow="0" yWindow="0" windowWidth="23040" windowHeight="9192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5" i="1" l="1"/>
  <c r="F52" i="1"/>
  <c r="F50" i="1"/>
  <c r="F49" i="1"/>
  <c r="F46" i="1"/>
  <c r="F43" i="1"/>
  <c r="F42" i="1"/>
  <c r="F36" i="1"/>
  <c r="F35" i="1"/>
  <c r="F32" i="1"/>
  <c r="F30" i="1"/>
  <c r="F29" i="1"/>
  <c r="F27" i="1"/>
  <c r="F24" i="1"/>
  <c r="F20" i="1"/>
  <c r="F16" i="1"/>
  <c r="F15" i="1"/>
  <c r="F14" i="1"/>
  <c r="F11" i="1"/>
  <c r="F5" i="1"/>
  <c r="F4" i="1"/>
  <c r="F3" i="1"/>
</calcChain>
</file>

<file path=xl/sharedStrings.xml><?xml version="1.0" encoding="utf-8"?>
<sst xmlns="http://schemas.openxmlformats.org/spreadsheetml/2006/main" count="311" uniqueCount="82">
  <si>
    <t>TIENDA / DEPOSITO / OFICINA / FABRICA</t>
  </si>
  <si>
    <t>ITEM</t>
  </si>
  <si>
    <t>RAZON SOCIAL</t>
  </si>
  <si>
    <t>FACTURA</t>
  </si>
  <si>
    <t>FECHA EMISION</t>
  </si>
  <si>
    <t>IMPORTE</t>
  </si>
  <si>
    <t>IVA/OTRO</t>
  </si>
  <si>
    <t>OTRAS PERCEP.</t>
  </si>
  <si>
    <t>TOTAL</t>
  </si>
  <si>
    <t>MEDIO DE PAGO</t>
  </si>
  <si>
    <t>FECHA A PAGAR</t>
  </si>
  <si>
    <t>FECHA 
PAGO</t>
  </si>
  <si>
    <t>SB</t>
  </si>
  <si>
    <t>ABL</t>
  </si>
  <si>
    <t>MAGECA S A</t>
  </si>
  <si>
    <t>CREDICOOP</t>
  </si>
  <si>
    <t>ALQUILER</t>
  </si>
  <si>
    <t>AYSA</t>
  </si>
  <si>
    <t>EDESUR</t>
  </si>
  <si>
    <t>EXPENSAS</t>
  </si>
  <si>
    <t>FUMIGACION</t>
  </si>
  <si>
    <t>MANOLIO MARIANO SERGIO</t>
  </si>
  <si>
    <t>FA 00003-00000996</t>
  </si>
  <si>
    <t>INTERNET</t>
  </si>
  <si>
    <t>TELECOM ARGENTINA SOCIEDAD ANONIMA</t>
  </si>
  <si>
    <t>DEB. AUT. CRED.</t>
  </si>
  <si>
    <t>S/C</t>
  </si>
  <si>
    <t>ALARMA</t>
  </si>
  <si>
    <t>SANES JUAN MANUEL</t>
  </si>
  <si>
    <t>FC 00001-00000076</t>
  </si>
  <si>
    <t>MESATEL SA</t>
  </si>
  <si>
    <t>PROVINCIA</t>
  </si>
  <si>
    <t>COM FLORIDA LUCERO CUERO</t>
  </si>
  <si>
    <t>ND 00002-00000061</t>
  </si>
  <si>
    <t>FC 00001-00000077</t>
  </si>
  <si>
    <t>FA 00002-00000215</t>
  </si>
  <si>
    <t>FA 0501-02636593</t>
  </si>
  <si>
    <t>FA 0501-02636038</t>
  </si>
  <si>
    <t>FA 9904-0245536217</t>
  </si>
  <si>
    <t>FA 4264-05521129</t>
  </si>
  <si>
    <t>MANTENIMIENTO</t>
  </si>
  <si>
    <t>RETAMAR VICTOR</t>
  </si>
  <si>
    <t>FC 00004-00000022</t>
  </si>
  <si>
    <t>CREDICOOP C de I</t>
  </si>
  <si>
    <t>COM LUCERO FRENCH</t>
  </si>
  <si>
    <t>Fideicomiso Laguna Oscura</t>
  </si>
  <si>
    <t>RA 00001-00000113</t>
  </si>
  <si>
    <t>FA 0501-02631330</t>
  </si>
  <si>
    <t>FA0501-02631329</t>
  </si>
  <si>
    <t>Solar de french</t>
  </si>
  <si>
    <t>EFECTIVO</t>
  </si>
  <si>
    <t>FA 4264-05508161</t>
  </si>
  <si>
    <t>MP</t>
  </si>
  <si>
    <t>COM LUCERO GUEMES GONDOLA 13</t>
  </si>
  <si>
    <t>GALERIA GRAL GUEMES S A I</t>
  </si>
  <si>
    <t>FA 00003-00019045</t>
  </si>
  <si>
    <t>COM LUCERO GUEMES GONDOLA 7</t>
  </si>
  <si>
    <t>FA 00003-00019054</t>
  </si>
  <si>
    <t>COM LUCERO GUEMES LOCAL 04</t>
  </si>
  <si>
    <t>FA 00003-00019035</t>
  </si>
  <si>
    <t>COM LUCERO GUEMES LOCAL 08</t>
  </si>
  <si>
    <t>FA 00003-00019029</t>
  </si>
  <si>
    <t>FA 4264-05488775</t>
  </si>
  <si>
    <t>COM LUCERO RECOLETA</t>
  </si>
  <si>
    <t>FORTIN MAURE S.A.</t>
  </si>
  <si>
    <t>FA 0030-00090846</t>
  </si>
  <si>
    <t>FA 0501-02614658</t>
  </si>
  <si>
    <t>FA 0030-00090767</t>
  </si>
  <si>
    <t>FA 4264-05609033</t>
  </si>
  <si>
    <t>COM LUCERO ST</t>
  </si>
  <si>
    <t>FA 00003-00007939</t>
  </si>
  <si>
    <t>FA 0501-02626440</t>
  </si>
  <si>
    <t>COM LUCERO ST 2</t>
  </si>
  <si>
    <t>FA 00003-00007941</t>
  </si>
  <si>
    <t>LUCERO</t>
  </si>
  <si>
    <t>BBVA</t>
  </si>
  <si>
    <t>COM AS SAN TELMO</t>
  </si>
  <si>
    <t>FA 00003-00007940</t>
  </si>
  <si>
    <t>FA 0501-02631328</t>
  </si>
  <si>
    <t>TELEFONICA MOVILES ARGENTINA SOCIEDAD ANONIMA</t>
  </si>
  <si>
    <t>FA 3103-00024016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</si>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</sst>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[$$-2C0A]\ * #,##0.00_-;\-[$$-2C0A]\ * #,##0.00_-;_-[$$-2C0A]\ * &quot;-&quot;??_-;_-@_-"/>
  </numFmts>
  <fonts count="3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0" borderId="0" xfId="0" applyFont="1"/>
    <xf numFmtId="14" fontId="2" fillId="0" borderId="0" xfId="0" applyNumberFormat="1" applyFont="1" applyAlignment="1">
      <alignment horizontal="right"/>
    </xf>
    <xf numFmtId="14" fontId="2" fillId="0" borderId="0" xfId="0" applyNumberFormat="1" applyFont="1" applyAlignment="1">
      <alignment horizontal="center"/>
    </xf>
    <xf numFmtId="164" fontId="2" fillId="2" borderId="0" xfId="0" applyNumberFormat="1" applyFont="1" applyFill="1"/>
    <xf numFmtId="164" fontId="2" fillId="0" borderId="0" xfId="0" applyNumberFormat="1" applyFont="1"/>
    <xf numFmtId="164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9"/>
  <sheetViews>
    <sheetView tabSelected="1" topLeftCell="A16" workbookViewId="0">
      <selection activeCell="D39" sqref="D39"/>
    </sheetView>
  </sheetViews>
  <sheetFormatPr baseColWidth="10" defaultRowHeight="13.8"/>
  <cols>
    <col min="1" max="1" width="35.8984375" bestFit="1" customWidth="1"/>
    <col min="2" max="2" width="15.8984375" bestFit="1" customWidth="1"/>
    <col min="3" max="3" width="47.8984375" bestFit="1" customWidth="1"/>
    <col min="4" max="4" width="20.296875" bestFit="1" customWidth="1"/>
    <col min="5" max="5" width="14.3984375" bestFit="1" customWidth="1"/>
    <col min="6" max="7" width="14.296875" bestFit="1" customWidth="1"/>
    <col min="8" max="8" width="14.19921875" bestFit="1" customWidth="1"/>
    <col min="9" max="9" width="14.296875" bestFit="1" customWidth="1"/>
    <col min="10" max="10" width="15.796875" bestFit="1" customWidth="1"/>
    <col min="11" max="11" width="14.3984375" bestFit="1" customWidth="1"/>
    <col min="12" max="12" width="12.796875" bestFit="1" customWidth="1"/>
  </cols>
  <sheetData>
    <row r="1" spans="1:12" ht="14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4.4">
      <c r="A2" s="1" t="s">
        <v>12</v>
      </c>
      <c r="B2" s="2"/>
      <c r="C2" s="2"/>
      <c r="D2" s="2"/>
      <c r="E2" s="2"/>
      <c r="F2" s="6"/>
      <c r="G2" s="6"/>
      <c r="H2" s="6"/>
      <c r="I2" s="6"/>
      <c r="J2" s="2"/>
      <c r="K2" s="2"/>
      <c r="L2" s="2"/>
    </row>
    <row r="3" spans="1:12" ht="14.4">
      <c r="A3" s="3" t="s">
        <v>32</v>
      </c>
      <c r="B3" s="3" t="s">
        <v>13</v>
      </c>
      <c r="C3" s="3" t="s">
        <v>14</v>
      </c>
      <c r="D3" s="3" t="s">
        <v>33</v>
      </c>
      <c r="E3" s="5">
        <v>45848</v>
      </c>
      <c r="F3" s="7">
        <f>I3</f>
        <v>514117.53</v>
      </c>
      <c r="G3" s="8" t="s">
        <v>81</v>
      </c>
      <c r="H3" s="8">
        <v>514117.53</v>
      </c>
      <c r="I3" s="8">
        <v>514117.53</v>
      </c>
      <c r="J3" s="3" t="s">
        <v>15</v>
      </c>
      <c r="K3" s="4">
        <v>45860</v>
      </c>
      <c r="L3" s="4">
        <v>45860</v>
      </c>
    </row>
    <row r="4" spans="1:12" ht="14.4">
      <c r="A4" s="3" t="s">
        <v>32</v>
      </c>
      <c r="B4" s="3" t="s">
        <v>27</v>
      </c>
      <c r="C4" s="3" t="s">
        <v>28</v>
      </c>
      <c r="D4" s="3" t="s">
        <v>34</v>
      </c>
      <c r="E4" s="5">
        <v>45845</v>
      </c>
      <c r="F4" s="7">
        <f>I4</f>
        <v>55000</v>
      </c>
      <c r="G4" s="8" t="s">
        <v>81</v>
      </c>
      <c r="H4" s="7"/>
      <c r="I4" s="8">
        <v>55000</v>
      </c>
      <c r="J4" s="3" t="s">
        <v>15</v>
      </c>
      <c r="K4" s="4">
        <v>45860</v>
      </c>
      <c r="L4" s="4">
        <v>45860</v>
      </c>
    </row>
    <row r="5" spans="1:12" ht="14.4">
      <c r="A5" s="3" t="s">
        <v>32</v>
      </c>
      <c r="B5" s="3" t="s">
        <v>27</v>
      </c>
      <c r="C5" s="3" t="s">
        <v>28</v>
      </c>
      <c r="D5" s="3" t="s">
        <v>29</v>
      </c>
      <c r="E5" s="5">
        <v>45845</v>
      </c>
      <c r="F5" s="7">
        <f>I5</f>
        <v>40000</v>
      </c>
      <c r="G5" s="8" t="s">
        <v>81</v>
      </c>
      <c r="H5" s="7"/>
      <c r="I5" s="8">
        <v>40000</v>
      </c>
      <c r="J5" s="3" t="s">
        <v>15</v>
      </c>
      <c r="K5" s="4">
        <v>45860</v>
      </c>
      <c r="L5" s="4">
        <v>45860</v>
      </c>
    </row>
    <row r="6" spans="1:12" ht="14.4">
      <c r="A6" s="3" t="s">
        <v>32</v>
      </c>
      <c r="B6" s="3" t="s">
        <v>16</v>
      </c>
      <c r="C6" s="3" t="s">
        <v>14</v>
      </c>
      <c r="D6" s="3" t="s">
        <v>35</v>
      </c>
      <c r="E6" s="5">
        <v>45846</v>
      </c>
      <c r="F6" s="8">
        <v>6375000</v>
      </c>
      <c r="G6" s="8">
        <v>1338750</v>
      </c>
      <c r="H6" s="7"/>
      <c r="I6" s="8">
        <v>7713750</v>
      </c>
      <c r="J6" s="3" t="s">
        <v>15</v>
      </c>
      <c r="K6" s="4">
        <v>45849</v>
      </c>
      <c r="L6" s="4">
        <v>45848</v>
      </c>
    </row>
    <row r="7" spans="1:12" ht="14.4">
      <c r="A7" s="3" t="s">
        <v>32</v>
      </c>
      <c r="B7" s="3" t="s">
        <v>17</v>
      </c>
      <c r="C7" s="3" t="s">
        <v>14</v>
      </c>
      <c r="D7" s="3" t="s">
        <v>33</v>
      </c>
      <c r="E7" s="5">
        <v>45848</v>
      </c>
      <c r="F7" s="8">
        <v>401304.17</v>
      </c>
      <c r="G7" s="8">
        <v>108352.13</v>
      </c>
      <c r="H7" s="8">
        <v>25242.03</v>
      </c>
      <c r="I7" s="8">
        <v>534898.32999999996</v>
      </c>
      <c r="J7" s="3" t="s">
        <v>15</v>
      </c>
      <c r="K7" s="4">
        <v>45860</v>
      </c>
      <c r="L7" s="4">
        <v>45860</v>
      </c>
    </row>
    <row r="8" spans="1:12" ht="14.4">
      <c r="A8" s="3" t="s">
        <v>32</v>
      </c>
      <c r="B8" s="3" t="s">
        <v>18</v>
      </c>
      <c r="C8" s="3" t="s">
        <v>18</v>
      </c>
      <c r="D8" s="3" t="s">
        <v>36</v>
      </c>
      <c r="E8" s="5">
        <v>45839</v>
      </c>
      <c r="F8" s="8">
        <v>12233.15</v>
      </c>
      <c r="G8" s="8">
        <v>3302.95</v>
      </c>
      <c r="H8" s="8">
        <v>1147.83</v>
      </c>
      <c r="I8" s="8">
        <v>16683.93</v>
      </c>
      <c r="J8" s="3" t="s">
        <v>31</v>
      </c>
      <c r="K8" s="4">
        <v>45848</v>
      </c>
      <c r="L8" s="4">
        <v>45848</v>
      </c>
    </row>
    <row r="9" spans="1:12" ht="14.4">
      <c r="A9" s="3" t="s">
        <v>32</v>
      </c>
      <c r="B9" s="3" t="s">
        <v>18</v>
      </c>
      <c r="C9" s="3" t="s">
        <v>18</v>
      </c>
      <c r="D9" s="3" t="s">
        <v>37</v>
      </c>
      <c r="E9" s="5">
        <v>45839</v>
      </c>
      <c r="F9" s="8">
        <v>109617.29</v>
      </c>
      <c r="G9" s="8">
        <v>29596.67</v>
      </c>
      <c r="H9" s="8">
        <v>10285.39</v>
      </c>
      <c r="I9" s="8">
        <v>149499.35</v>
      </c>
      <c r="J9" s="3" t="s">
        <v>31</v>
      </c>
      <c r="K9" s="4">
        <v>45848</v>
      </c>
      <c r="L9" s="4">
        <v>45848</v>
      </c>
    </row>
    <row r="10" spans="1:12" ht="14.4">
      <c r="A10" s="3" t="s">
        <v>32</v>
      </c>
      <c r="B10" s="3" t="s">
        <v>18</v>
      </c>
      <c r="C10" s="3" t="s">
        <v>18</v>
      </c>
      <c r="D10" s="3" t="s">
        <v>38</v>
      </c>
      <c r="E10" s="5">
        <v>45842</v>
      </c>
      <c r="F10" s="8">
        <v>518920.99</v>
      </c>
      <c r="G10" s="8">
        <v>140108.67000000001</v>
      </c>
      <c r="H10" s="8">
        <v>48690.36</v>
      </c>
      <c r="I10" s="8">
        <v>707720.02</v>
      </c>
      <c r="J10" s="3" t="s">
        <v>31</v>
      </c>
      <c r="K10" s="4">
        <v>45853</v>
      </c>
      <c r="L10" s="4">
        <v>45854</v>
      </c>
    </row>
    <row r="11" spans="1:12" ht="14.4">
      <c r="A11" s="3" t="s">
        <v>32</v>
      </c>
      <c r="B11" s="3" t="s">
        <v>19</v>
      </c>
      <c r="C11" s="3" t="s">
        <v>14</v>
      </c>
      <c r="D11" s="3" t="s">
        <v>33</v>
      </c>
      <c r="E11" s="5">
        <v>45848</v>
      </c>
      <c r="F11" s="7">
        <f>I11</f>
        <v>515040.5</v>
      </c>
      <c r="G11" s="8" t="s">
        <v>81</v>
      </c>
      <c r="H11" s="8">
        <v>515040.5</v>
      </c>
      <c r="I11" s="8">
        <v>515040.5</v>
      </c>
      <c r="J11" s="3" t="s">
        <v>15</v>
      </c>
      <c r="K11" s="4">
        <v>45860</v>
      </c>
      <c r="L11" s="4">
        <v>45860</v>
      </c>
    </row>
    <row r="12" spans="1:12" ht="14.4">
      <c r="A12" s="3" t="s">
        <v>32</v>
      </c>
      <c r="B12" s="3" t="s">
        <v>20</v>
      </c>
      <c r="C12" s="3" t="s">
        <v>21</v>
      </c>
      <c r="D12" s="3" t="s">
        <v>22</v>
      </c>
      <c r="E12" s="5">
        <v>45847</v>
      </c>
      <c r="F12" s="8">
        <v>37650</v>
      </c>
      <c r="G12" s="8">
        <v>7906.5</v>
      </c>
      <c r="H12" s="7"/>
      <c r="I12" s="8">
        <v>45556.5</v>
      </c>
      <c r="J12" s="3" t="s">
        <v>15</v>
      </c>
      <c r="K12" s="4">
        <v>45860</v>
      </c>
      <c r="L12" s="4">
        <v>45860</v>
      </c>
    </row>
    <row r="13" spans="1:12" ht="14.4">
      <c r="A13" s="3" t="s">
        <v>32</v>
      </c>
      <c r="B13" s="3" t="s">
        <v>23</v>
      </c>
      <c r="C13" s="3" t="s">
        <v>24</v>
      </c>
      <c r="D13" s="3" t="s">
        <v>39</v>
      </c>
      <c r="E13" s="5">
        <v>45826</v>
      </c>
      <c r="F13" s="8">
        <v>142084</v>
      </c>
      <c r="G13" s="8">
        <v>29837.64</v>
      </c>
      <c r="H13" s="8">
        <v>11366.72</v>
      </c>
      <c r="I13" s="8">
        <v>183288.36</v>
      </c>
      <c r="J13" s="3" t="s">
        <v>25</v>
      </c>
      <c r="K13" s="4">
        <v>45841</v>
      </c>
      <c r="L13" s="4">
        <v>45841</v>
      </c>
    </row>
    <row r="14" spans="1:12" ht="14.4">
      <c r="A14" s="3" t="s">
        <v>32</v>
      </c>
      <c r="B14" s="3" t="s">
        <v>40</v>
      </c>
      <c r="C14" s="3" t="s">
        <v>41</v>
      </c>
      <c r="D14" s="3" t="s">
        <v>42</v>
      </c>
      <c r="E14" s="5">
        <v>45838</v>
      </c>
      <c r="F14" s="7">
        <f>I14</f>
        <v>198000</v>
      </c>
      <c r="G14" s="8" t="s">
        <v>81</v>
      </c>
      <c r="H14" s="7"/>
      <c r="I14" s="8">
        <v>198000</v>
      </c>
      <c r="J14" s="3" t="s">
        <v>43</v>
      </c>
      <c r="K14" s="4">
        <v>45860</v>
      </c>
      <c r="L14" s="4">
        <v>45860</v>
      </c>
    </row>
    <row r="15" spans="1:12" ht="14.4">
      <c r="A15" s="3" t="s">
        <v>44</v>
      </c>
      <c r="B15" s="3" t="s">
        <v>27</v>
      </c>
      <c r="C15" s="3" t="s">
        <v>28</v>
      </c>
      <c r="D15" s="3" t="s">
        <v>34</v>
      </c>
      <c r="E15" s="5">
        <v>45845</v>
      </c>
      <c r="F15" s="7">
        <f>I15</f>
        <v>55000</v>
      </c>
      <c r="G15" s="8" t="s">
        <v>81</v>
      </c>
      <c r="H15" s="7"/>
      <c r="I15" s="8">
        <v>55000</v>
      </c>
      <c r="J15" s="3" t="s">
        <v>15</v>
      </c>
      <c r="K15" s="4">
        <v>45860</v>
      </c>
      <c r="L15" s="4">
        <v>45860</v>
      </c>
    </row>
    <row r="16" spans="1:12" ht="14.4">
      <c r="A16" s="3" t="s">
        <v>44</v>
      </c>
      <c r="B16" s="3" t="s">
        <v>27</v>
      </c>
      <c r="C16" s="3" t="s">
        <v>28</v>
      </c>
      <c r="D16" s="3" t="s">
        <v>29</v>
      </c>
      <c r="E16" s="5">
        <v>45845</v>
      </c>
      <c r="F16" s="7">
        <f>I16</f>
        <v>40000</v>
      </c>
      <c r="G16" s="8" t="s">
        <v>81</v>
      </c>
      <c r="H16" s="7"/>
      <c r="I16" s="8">
        <v>40000</v>
      </c>
      <c r="J16" s="3" t="s">
        <v>15</v>
      </c>
      <c r="K16" s="4">
        <v>45860</v>
      </c>
      <c r="L16" s="4">
        <v>45860</v>
      </c>
    </row>
    <row r="17" spans="1:12" ht="14.4">
      <c r="A17" s="3" t="s">
        <v>44</v>
      </c>
      <c r="B17" s="3" t="s">
        <v>16</v>
      </c>
      <c r="C17" s="3" t="s">
        <v>45</v>
      </c>
      <c r="D17" s="3" t="s">
        <v>46</v>
      </c>
      <c r="E17" s="5">
        <v>45848</v>
      </c>
      <c r="F17" s="8">
        <v>667200</v>
      </c>
      <c r="G17" s="8">
        <v>140112</v>
      </c>
      <c r="H17" s="7"/>
      <c r="I17" s="8">
        <v>807312</v>
      </c>
      <c r="J17" s="3" t="s">
        <v>15</v>
      </c>
      <c r="K17" s="4">
        <v>45848</v>
      </c>
      <c r="L17" s="4">
        <v>45848</v>
      </c>
    </row>
    <row r="18" spans="1:12" ht="14.4">
      <c r="A18" s="3" t="s">
        <v>44</v>
      </c>
      <c r="B18" s="3" t="s">
        <v>18</v>
      </c>
      <c r="C18" s="3" t="s">
        <v>18</v>
      </c>
      <c r="D18" s="3" t="s">
        <v>47</v>
      </c>
      <c r="E18" s="5">
        <v>45838</v>
      </c>
      <c r="F18" s="8">
        <v>95503.32</v>
      </c>
      <c r="G18" s="8">
        <v>25785.9</v>
      </c>
      <c r="H18" s="8">
        <v>8961.08</v>
      </c>
      <c r="I18" s="8">
        <v>130250.3</v>
      </c>
      <c r="J18" s="3" t="s">
        <v>31</v>
      </c>
      <c r="K18" s="4">
        <v>45846</v>
      </c>
      <c r="L18" s="4">
        <v>45846</v>
      </c>
    </row>
    <row r="19" spans="1:12" ht="14.4">
      <c r="A19" s="3" t="s">
        <v>44</v>
      </c>
      <c r="B19" s="3" t="s">
        <v>18</v>
      </c>
      <c r="C19" s="3" t="s">
        <v>18</v>
      </c>
      <c r="D19" s="3" t="s">
        <v>48</v>
      </c>
      <c r="E19" s="5">
        <v>45838</v>
      </c>
      <c r="F19" s="8">
        <v>18468.88</v>
      </c>
      <c r="G19" s="8">
        <v>4986.6000000000004</v>
      </c>
      <c r="H19" s="8">
        <v>1732.94</v>
      </c>
      <c r="I19" s="8">
        <v>25188.42</v>
      </c>
      <c r="J19" s="3" t="s">
        <v>31</v>
      </c>
      <c r="K19" s="4">
        <v>45846</v>
      </c>
      <c r="L19" s="4">
        <v>45846</v>
      </c>
    </row>
    <row r="20" spans="1:12" ht="14.4">
      <c r="A20" s="3" t="s">
        <v>44</v>
      </c>
      <c r="B20" s="3" t="s">
        <v>19</v>
      </c>
      <c r="C20" s="3" t="s">
        <v>49</v>
      </c>
      <c r="D20" s="3" t="s">
        <v>26</v>
      </c>
      <c r="E20" s="5">
        <v>45839</v>
      </c>
      <c r="F20" s="7">
        <f>I20</f>
        <v>217135.92</v>
      </c>
      <c r="G20" s="8" t="s">
        <v>81</v>
      </c>
      <c r="H20" s="7"/>
      <c r="I20" s="8">
        <v>217135.92</v>
      </c>
      <c r="J20" s="3" t="s">
        <v>50</v>
      </c>
      <c r="K20" s="4">
        <v>45848</v>
      </c>
      <c r="L20" s="4">
        <v>45848</v>
      </c>
    </row>
    <row r="21" spans="1:12" ht="14.4">
      <c r="A21" s="3" t="s">
        <v>44</v>
      </c>
      <c r="B21" s="3" t="s">
        <v>20</v>
      </c>
      <c r="C21" s="3" t="s">
        <v>21</v>
      </c>
      <c r="D21" s="3" t="s">
        <v>22</v>
      </c>
      <c r="E21" s="5">
        <v>45847</v>
      </c>
      <c r="F21" s="8">
        <v>30230</v>
      </c>
      <c r="G21" s="8">
        <v>6348.3</v>
      </c>
      <c r="H21" s="7"/>
      <c r="I21" s="8">
        <v>36578.300000000003</v>
      </c>
      <c r="J21" s="3" t="s">
        <v>15</v>
      </c>
      <c r="K21" s="4">
        <v>45860</v>
      </c>
      <c r="L21" s="4">
        <v>45860</v>
      </c>
    </row>
    <row r="22" spans="1:12" ht="14.4">
      <c r="A22" s="3" t="s">
        <v>44</v>
      </c>
      <c r="B22" s="3" t="s">
        <v>23</v>
      </c>
      <c r="C22" s="3" t="s">
        <v>24</v>
      </c>
      <c r="D22" s="3" t="s">
        <v>51</v>
      </c>
      <c r="E22" s="5">
        <v>45826</v>
      </c>
      <c r="F22" s="8">
        <v>100700</v>
      </c>
      <c r="G22" s="8">
        <v>21147</v>
      </c>
      <c r="H22" s="8">
        <v>8056</v>
      </c>
      <c r="I22" s="8">
        <v>129903</v>
      </c>
      <c r="J22" s="3" t="s">
        <v>52</v>
      </c>
      <c r="K22" s="4">
        <v>45841</v>
      </c>
      <c r="L22" s="4">
        <v>45853</v>
      </c>
    </row>
    <row r="23" spans="1:12" ht="14.4">
      <c r="A23" s="3" t="s">
        <v>53</v>
      </c>
      <c r="B23" s="3" t="s">
        <v>16</v>
      </c>
      <c r="C23" s="3" t="s">
        <v>54</v>
      </c>
      <c r="D23" s="3" t="s">
        <v>55</v>
      </c>
      <c r="E23" s="5">
        <v>45839</v>
      </c>
      <c r="F23" s="8">
        <v>250000</v>
      </c>
      <c r="G23" s="8">
        <v>52500</v>
      </c>
      <c r="H23" s="7"/>
      <c r="I23" s="8">
        <v>302500</v>
      </c>
      <c r="J23" s="3" t="s">
        <v>15</v>
      </c>
      <c r="K23" s="4">
        <v>45848</v>
      </c>
      <c r="L23" s="4">
        <v>45848</v>
      </c>
    </row>
    <row r="24" spans="1:12" ht="14.4">
      <c r="A24" s="3" t="s">
        <v>53</v>
      </c>
      <c r="B24" s="3" t="s">
        <v>19</v>
      </c>
      <c r="C24" s="3" t="s">
        <v>54</v>
      </c>
      <c r="D24" s="3" t="s">
        <v>55</v>
      </c>
      <c r="E24" s="5">
        <v>45839</v>
      </c>
      <c r="F24" s="7">
        <f>I24</f>
        <v>17007.53</v>
      </c>
      <c r="G24" s="8" t="s">
        <v>81</v>
      </c>
      <c r="H24" s="8">
        <v>17007.53</v>
      </c>
      <c r="I24" s="8">
        <v>17007.53</v>
      </c>
      <c r="J24" s="3" t="s">
        <v>43</v>
      </c>
      <c r="K24" s="4">
        <v>45848</v>
      </c>
      <c r="L24" s="4">
        <v>45848</v>
      </c>
    </row>
    <row r="25" spans="1:12" ht="14.4">
      <c r="A25" s="3" t="s">
        <v>56</v>
      </c>
      <c r="B25" s="3" t="s">
        <v>16</v>
      </c>
      <c r="C25" s="3" t="s">
        <v>54</v>
      </c>
      <c r="D25" s="3" t="s">
        <v>57</v>
      </c>
      <c r="E25" s="5">
        <v>45842</v>
      </c>
      <c r="F25" s="8">
        <v>428053.64</v>
      </c>
      <c r="G25" s="8">
        <v>89891.26</v>
      </c>
      <c r="H25" s="7"/>
      <c r="I25" s="8">
        <v>517944.9</v>
      </c>
      <c r="J25" s="3" t="s">
        <v>15</v>
      </c>
      <c r="K25" s="4">
        <v>45848</v>
      </c>
      <c r="L25" s="4">
        <v>45848</v>
      </c>
    </row>
    <row r="26" spans="1:12" ht="14.4">
      <c r="A26" s="3" t="s">
        <v>56</v>
      </c>
      <c r="B26" s="3" t="s">
        <v>18</v>
      </c>
      <c r="C26" s="3" t="s">
        <v>54</v>
      </c>
      <c r="D26" s="3" t="s">
        <v>57</v>
      </c>
      <c r="E26" s="3"/>
      <c r="F26" s="8">
        <v>8161.75</v>
      </c>
      <c r="G26" s="8">
        <v>1713.97</v>
      </c>
      <c r="H26" s="7"/>
      <c r="I26" s="8">
        <v>9875.7199999999993</v>
      </c>
      <c r="J26" s="3" t="s">
        <v>15</v>
      </c>
      <c r="K26" s="4">
        <v>45848</v>
      </c>
      <c r="L26" s="4">
        <v>45848</v>
      </c>
    </row>
    <row r="27" spans="1:12" ht="14.4">
      <c r="A27" s="3" t="s">
        <v>56</v>
      </c>
      <c r="B27" s="3" t="s">
        <v>19</v>
      </c>
      <c r="C27" s="3" t="s">
        <v>54</v>
      </c>
      <c r="D27" s="3" t="s">
        <v>57</v>
      </c>
      <c r="E27" s="3"/>
      <c r="F27" s="7">
        <f>I27</f>
        <v>46940.79</v>
      </c>
      <c r="G27" s="8" t="s">
        <v>81</v>
      </c>
      <c r="H27" s="8">
        <v>46940.79</v>
      </c>
      <c r="I27" s="8">
        <v>46940.79</v>
      </c>
      <c r="J27" s="3" t="s">
        <v>15</v>
      </c>
      <c r="K27" s="4">
        <v>45848</v>
      </c>
      <c r="L27" s="4">
        <v>45848</v>
      </c>
    </row>
    <row r="28" spans="1:12" ht="14.4">
      <c r="A28" s="3" t="s">
        <v>58</v>
      </c>
      <c r="B28" s="3" t="s">
        <v>16</v>
      </c>
      <c r="C28" s="3" t="s">
        <v>54</v>
      </c>
      <c r="D28" s="3" t="s">
        <v>59</v>
      </c>
      <c r="E28" s="5">
        <v>45839</v>
      </c>
      <c r="F28" s="8">
        <v>554000</v>
      </c>
      <c r="G28" s="8">
        <v>116340</v>
      </c>
      <c r="H28" s="7"/>
      <c r="I28" s="8">
        <v>670340</v>
      </c>
      <c r="J28" s="3" t="s">
        <v>15</v>
      </c>
      <c r="K28" s="4">
        <v>45848</v>
      </c>
      <c r="L28" s="4">
        <v>45848</v>
      </c>
    </row>
    <row r="29" spans="1:12" ht="14.4">
      <c r="A29" s="3" t="s">
        <v>58</v>
      </c>
      <c r="B29" s="3" t="s">
        <v>19</v>
      </c>
      <c r="C29" s="3" t="s">
        <v>54</v>
      </c>
      <c r="D29" s="3" t="s">
        <v>59</v>
      </c>
      <c r="E29" s="5">
        <v>45839</v>
      </c>
      <c r="F29" s="7">
        <f t="shared" ref="F29:F30" si="0">I29</f>
        <v>293890.13</v>
      </c>
      <c r="G29" s="7"/>
      <c r="H29" s="8">
        <v>293890.13</v>
      </c>
      <c r="I29" s="8">
        <v>293890.13</v>
      </c>
      <c r="J29" s="3" t="s">
        <v>15</v>
      </c>
      <c r="K29" s="4">
        <v>45848</v>
      </c>
      <c r="L29" s="4">
        <v>45848</v>
      </c>
    </row>
    <row r="30" spans="1:12" ht="14.4">
      <c r="A30" s="3" t="s">
        <v>60</v>
      </c>
      <c r="B30" s="3" t="s">
        <v>27</v>
      </c>
      <c r="C30" s="3" t="s">
        <v>28</v>
      </c>
      <c r="D30" s="3" t="s">
        <v>29</v>
      </c>
      <c r="E30" s="5">
        <v>45845</v>
      </c>
      <c r="F30" s="7">
        <f t="shared" si="0"/>
        <v>40000</v>
      </c>
      <c r="G30" s="8" t="s">
        <v>81</v>
      </c>
      <c r="H30" s="7"/>
      <c r="I30" s="8">
        <v>40000</v>
      </c>
      <c r="J30" s="3" t="s">
        <v>15</v>
      </c>
      <c r="K30" s="4">
        <v>45860</v>
      </c>
      <c r="L30" s="4">
        <v>45860</v>
      </c>
    </row>
    <row r="31" spans="1:12" ht="14.4">
      <c r="A31" s="3" t="s">
        <v>60</v>
      </c>
      <c r="B31" s="3" t="s">
        <v>16</v>
      </c>
      <c r="C31" s="3" t="s">
        <v>54</v>
      </c>
      <c r="D31" s="3" t="s">
        <v>61</v>
      </c>
      <c r="E31" s="5">
        <v>45839</v>
      </c>
      <c r="F31" s="8">
        <v>599275.1</v>
      </c>
      <c r="G31" s="8">
        <v>125847.77</v>
      </c>
      <c r="H31" s="7"/>
      <c r="I31" s="8">
        <v>725122.87</v>
      </c>
      <c r="J31" s="3" t="s">
        <v>15</v>
      </c>
      <c r="K31" s="4">
        <v>45848</v>
      </c>
      <c r="L31" s="4">
        <v>45848</v>
      </c>
    </row>
    <row r="32" spans="1:12" ht="14.4">
      <c r="A32" s="3" t="s">
        <v>60</v>
      </c>
      <c r="B32" s="3" t="s">
        <v>19</v>
      </c>
      <c r="C32" s="3" t="s">
        <v>54</v>
      </c>
      <c r="D32" s="3" t="s">
        <v>61</v>
      </c>
      <c r="E32" s="5">
        <v>45839</v>
      </c>
      <c r="F32" s="7">
        <f>I32</f>
        <v>306815.86</v>
      </c>
      <c r="G32" s="8" t="s">
        <v>81</v>
      </c>
      <c r="H32" s="8">
        <v>306815.86</v>
      </c>
      <c r="I32" s="8">
        <v>306815.86</v>
      </c>
      <c r="J32" s="3" t="s">
        <v>15</v>
      </c>
      <c r="K32" s="4">
        <v>45848</v>
      </c>
      <c r="L32" s="4">
        <v>45848</v>
      </c>
    </row>
    <row r="33" spans="1:12" ht="14.4">
      <c r="A33" s="3" t="s">
        <v>60</v>
      </c>
      <c r="B33" s="3" t="s">
        <v>20</v>
      </c>
      <c r="C33" s="3" t="s">
        <v>21</v>
      </c>
      <c r="D33" s="3" t="s">
        <v>22</v>
      </c>
      <c r="E33" s="5">
        <v>45847</v>
      </c>
      <c r="F33" s="8">
        <v>30230</v>
      </c>
      <c r="G33" s="8">
        <v>6348.3</v>
      </c>
      <c r="H33" s="7"/>
      <c r="I33" s="8">
        <v>36578.300000000003</v>
      </c>
      <c r="J33" s="3" t="s">
        <v>15</v>
      </c>
      <c r="K33" s="4">
        <v>45860</v>
      </c>
      <c r="L33" s="4">
        <v>45860</v>
      </c>
    </row>
    <row r="34" spans="1:12" ht="14.4">
      <c r="A34" s="3" t="s">
        <v>60</v>
      </c>
      <c r="B34" s="3" t="s">
        <v>23</v>
      </c>
      <c r="C34" s="3" t="s">
        <v>24</v>
      </c>
      <c r="D34" s="3" t="s">
        <v>62</v>
      </c>
      <c r="E34" s="5">
        <v>45826</v>
      </c>
      <c r="F34" s="8">
        <v>34325</v>
      </c>
      <c r="G34" s="8">
        <v>7208.25</v>
      </c>
      <c r="H34" s="8">
        <v>2746</v>
      </c>
      <c r="I34" s="8">
        <v>44279.25</v>
      </c>
      <c r="J34" s="3" t="s">
        <v>52</v>
      </c>
      <c r="K34" s="4">
        <v>45841</v>
      </c>
      <c r="L34" s="4">
        <v>45841</v>
      </c>
    </row>
    <row r="35" spans="1:12" ht="14.4">
      <c r="A35" s="3" t="s">
        <v>63</v>
      </c>
      <c r="B35" s="3" t="s">
        <v>27</v>
      </c>
      <c r="C35" s="3" t="s">
        <v>28</v>
      </c>
      <c r="D35" s="3" t="s">
        <v>29</v>
      </c>
      <c r="E35" s="5">
        <v>45845</v>
      </c>
      <c r="F35" s="7">
        <f t="shared" ref="F35:F36" si="1">I35</f>
        <v>40000</v>
      </c>
      <c r="G35" s="8" t="s">
        <v>81</v>
      </c>
      <c r="H35" s="7"/>
      <c r="I35" s="8">
        <v>40000</v>
      </c>
      <c r="J35" s="3" t="s">
        <v>15</v>
      </c>
      <c r="K35" s="4">
        <v>45860</v>
      </c>
      <c r="L35" s="4">
        <v>45860</v>
      </c>
    </row>
    <row r="36" spans="1:12" ht="14.4">
      <c r="A36" s="3" t="s">
        <v>63</v>
      </c>
      <c r="B36" s="3" t="s">
        <v>27</v>
      </c>
      <c r="C36" s="3" t="s">
        <v>28</v>
      </c>
      <c r="D36" s="3" t="s">
        <v>34</v>
      </c>
      <c r="E36" s="5">
        <v>45845</v>
      </c>
      <c r="F36" s="7">
        <f t="shared" si="1"/>
        <v>55000</v>
      </c>
      <c r="G36" s="8" t="s">
        <v>81</v>
      </c>
      <c r="H36" s="7"/>
      <c r="I36" s="8">
        <v>55000</v>
      </c>
      <c r="J36" s="3" t="s">
        <v>15</v>
      </c>
      <c r="K36" s="4">
        <v>45860</v>
      </c>
      <c r="L36" s="4">
        <v>45860</v>
      </c>
    </row>
    <row r="37" spans="1:12" ht="14.4">
      <c r="A37" s="3" t="s">
        <v>63</v>
      </c>
      <c r="B37" s="3" t="s">
        <v>16</v>
      </c>
      <c r="C37" s="3" t="s">
        <v>64</v>
      </c>
      <c r="D37" s="3" t="s">
        <v>65</v>
      </c>
      <c r="E37" s="5">
        <v>45842</v>
      </c>
      <c r="F37" s="8">
        <v>1299988.6000000001</v>
      </c>
      <c r="G37" s="8">
        <v>272997.61</v>
      </c>
      <c r="H37" s="8">
        <v>64999.43</v>
      </c>
      <c r="I37" s="8">
        <v>1637985.64</v>
      </c>
      <c r="J37" s="3" t="s">
        <v>15</v>
      </c>
      <c r="K37" s="4">
        <v>45848</v>
      </c>
      <c r="L37" s="4">
        <v>45848</v>
      </c>
    </row>
    <row r="38" spans="1:12" ht="14.4">
      <c r="A38" s="3" t="s">
        <v>63</v>
      </c>
      <c r="B38" s="3" t="s">
        <v>18</v>
      </c>
      <c r="C38" s="3" t="s">
        <v>18</v>
      </c>
      <c r="D38" s="3" t="s">
        <v>66</v>
      </c>
      <c r="E38" s="5">
        <v>45834</v>
      </c>
      <c r="F38" s="8">
        <v>85254.03</v>
      </c>
      <c r="G38" s="8">
        <v>23018.59</v>
      </c>
      <c r="H38" s="8">
        <v>7999.38</v>
      </c>
      <c r="I38" s="8">
        <v>116272</v>
      </c>
      <c r="J38" s="3" t="s">
        <v>31</v>
      </c>
      <c r="K38" s="4">
        <v>45842</v>
      </c>
      <c r="L38" s="4">
        <v>45842</v>
      </c>
    </row>
    <row r="39" spans="1:12" ht="14.4">
      <c r="A39" s="3" t="s">
        <v>63</v>
      </c>
      <c r="B39" s="3" t="s">
        <v>19</v>
      </c>
      <c r="C39" s="3" t="s">
        <v>64</v>
      </c>
      <c r="D39" s="3" t="s">
        <v>67</v>
      </c>
      <c r="E39" s="5">
        <v>45842</v>
      </c>
      <c r="F39" s="8">
        <v>1846064.21</v>
      </c>
      <c r="G39" s="8">
        <v>387673.48</v>
      </c>
      <c r="H39" s="8">
        <v>92303.21</v>
      </c>
      <c r="I39" s="8">
        <v>2326040.9</v>
      </c>
      <c r="J39" s="3" t="s">
        <v>15</v>
      </c>
      <c r="K39" s="4">
        <v>45848</v>
      </c>
      <c r="L39" s="4">
        <v>45848</v>
      </c>
    </row>
    <row r="40" spans="1:12" ht="14.4">
      <c r="A40" s="3" t="s">
        <v>63</v>
      </c>
      <c r="B40" s="3" t="s">
        <v>20</v>
      </c>
      <c r="C40" s="3" t="s">
        <v>21</v>
      </c>
      <c r="D40" s="3" t="s">
        <v>22</v>
      </c>
      <c r="E40" s="5">
        <v>45847</v>
      </c>
      <c r="F40" s="8">
        <v>30230</v>
      </c>
      <c r="G40" s="8">
        <v>6348.3</v>
      </c>
      <c r="H40" s="7"/>
      <c r="I40" s="8">
        <v>36578.300000000003</v>
      </c>
      <c r="J40" s="3" t="s">
        <v>15</v>
      </c>
      <c r="K40" s="4">
        <v>45860</v>
      </c>
      <c r="L40" s="4">
        <v>45860</v>
      </c>
    </row>
    <row r="41" spans="1:12" ht="14.4">
      <c r="A41" s="3" t="s">
        <v>63</v>
      </c>
      <c r="B41" s="3" t="s">
        <v>23</v>
      </c>
      <c r="C41" s="3" t="s">
        <v>24</v>
      </c>
      <c r="D41" s="3" t="s">
        <v>68</v>
      </c>
      <c r="E41" s="5">
        <v>45826</v>
      </c>
      <c r="F41" s="8">
        <v>55892.57</v>
      </c>
      <c r="G41" s="8">
        <v>11737.44</v>
      </c>
      <c r="H41" s="8">
        <v>4471.41</v>
      </c>
      <c r="I41" s="8">
        <v>72101.42</v>
      </c>
      <c r="J41" s="3" t="s">
        <v>25</v>
      </c>
      <c r="K41" s="4">
        <v>45845</v>
      </c>
      <c r="L41" s="4">
        <v>45845</v>
      </c>
    </row>
    <row r="42" spans="1:12" ht="14.4">
      <c r="A42" s="3" t="s">
        <v>69</v>
      </c>
      <c r="B42" s="3" t="s">
        <v>27</v>
      </c>
      <c r="C42" s="3" t="s">
        <v>28</v>
      </c>
      <c r="D42" s="3" t="s">
        <v>34</v>
      </c>
      <c r="E42" s="5">
        <v>45845</v>
      </c>
      <c r="F42" s="7">
        <f t="shared" ref="F42:F43" si="2">I42</f>
        <v>55000</v>
      </c>
      <c r="G42" s="8" t="s">
        <v>81</v>
      </c>
      <c r="H42" s="7"/>
      <c r="I42" s="8">
        <v>55000</v>
      </c>
      <c r="J42" s="3" t="s">
        <v>31</v>
      </c>
      <c r="K42" s="4">
        <v>45860</v>
      </c>
      <c r="L42" s="4">
        <v>45860</v>
      </c>
    </row>
    <row r="43" spans="1:12" ht="14.4">
      <c r="A43" s="3" t="s">
        <v>69</v>
      </c>
      <c r="B43" s="3" t="s">
        <v>27</v>
      </c>
      <c r="C43" s="3" t="s">
        <v>28</v>
      </c>
      <c r="D43" s="3" t="s">
        <v>29</v>
      </c>
      <c r="E43" s="5">
        <v>45845</v>
      </c>
      <c r="F43" s="7">
        <f t="shared" si="2"/>
        <v>40000</v>
      </c>
      <c r="G43" s="8" t="s">
        <v>81</v>
      </c>
      <c r="H43" s="7"/>
      <c r="I43" s="8">
        <v>40000</v>
      </c>
      <c r="J43" s="3" t="s">
        <v>15</v>
      </c>
      <c r="K43" s="4">
        <v>45860</v>
      </c>
      <c r="L43" s="4">
        <v>45860</v>
      </c>
    </row>
    <row r="44" spans="1:12" ht="14.4">
      <c r="A44" s="3" t="s">
        <v>69</v>
      </c>
      <c r="B44" s="3" t="s">
        <v>16</v>
      </c>
      <c r="C44" s="3" t="s">
        <v>30</v>
      </c>
      <c r="D44" s="3" t="s">
        <v>70</v>
      </c>
      <c r="E44" s="5">
        <v>45839</v>
      </c>
      <c r="F44" s="8">
        <v>1594202.96</v>
      </c>
      <c r="G44" s="8">
        <v>334782.62</v>
      </c>
      <c r="H44" s="7"/>
      <c r="I44" s="8">
        <v>1928985.58</v>
      </c>
      <c r="J44" s="3" t="s">
        <v>15</v>
      </c>
      <c r="K44" s="4">
        <v>45848</v>
      </c>
      <c r="L44" s="4">
        <v>45848</v>
      </c>
    </row>
    <row r="45" spans="1:12" ht="14.4">
      <c r="A45" s="3" t="s">
        <v>69</v>
      </c>
      <c r="B45" s="3" t="s">
        <v>18</v>
      </c>
      <c r="C45" s="3" t="s">
        <v>18</v>
      </c>
      <c r="D45" s="3" t="s">
        <v>71</v>
      </c>
      <c r="E45" s="5">
        <v>45838</v>
      </c>
      <c r="F45" s="8">
        <v>55809.3</v>
      </c>
      <c r="G45" s="8">
        <v>15068.51</v>
      </c>
      <c r="H45" s="8">
        <v>5236.59</v>
      </c>
      <c r="I45" s="8">
        <v>76114.399999999994</v>
      </c>
      <c r="J45" s="3" t="s">
        <v>31</v>
      </c>
      <c r="K45" s="4">
        <v>45846</v>
      </c>
      <c r="L45" s="4">
        <v>45846</v>
      </c>
    </row>
    <row r="46" spans="1:12" ht="14.4">
      <c r="A46" s="3" t="s">
        <v>69</v>
      </c>
      <c r="B46" s="3" t="s">
        <v>19</v>
      </c>
      <c r="C46" s="3" t="s">
        <v>30</v>
      </c>
      <c r="D46" s="3" t="s">
        <v>26</v>
      </c>
      <c r="E46" s="3"/>
      <c r="F46" s="7">
        <f>I46</f>
        <v>482202.15</v>
      </c>
      <c r="G46" s="7"/>
      <c r="H46" s="7"/>
      <c r="I46" s="8">
        <v>482202.15</v>
      </c>
      <c r="J46" s="3" t="s">
        <v>15</v>
      </c>
      <c r="K46" s="4">
        <v>45848</v>
      </c>
      <c r="L46" s="4">
        <v>45848</v>
      </c>
    </row>
    <row r="47" spans="1:12" ht="14.4">
      <c r="A47" s="3" t="s">
        <v>69</v>
      </c>
      <c r="B47" s="3" t="s">
        <v>20</v>
      </c>
      <c r="C47" s="3" t="s">
        <v>21</v>
      </c>
      <c r="D47" s="3" t="s">
        <v>22</v>
      </c>
      <c r="E47" s="5">
        <v>45847</v>
      </c>
      <c r="F47" s="8">
        <v>30230</v>
      </c>
      <c r="G47" s="8">
        <v>6348.3</v>
      </c>
      <c r="H47" s="7"/>
      <c r="I47" s="8">
        <v>36578.300000000003</v>
      </c>
      <c r="J47" s="3" t="s">
        <v>15</v>
      </c>
      <c r="K47" s="4">
        <v>45860</v>
      </c>
      <c r="L47" s="4">
        <v>45860</v>
      </c>
    </row>
    <row r="48" spans="1:12" ht="14.4">
      <c r="A48" s="3" t="s">
        <v>72</v>
      </c>
      <c r="B48" s="3" t="s">
        <v>16</v>
      </c>
      <c r="C48" s="3" t="s">
        <v>30</v>
      </c>
      <c r="D48" s="3" t="s">
        <v>73</v>
      </c>
      <c r="E48" s="5">
        <v>45839</v>
      </c>
      <c r="F48" s="8">
        <v>903319.4</v>
      </c>
      <c r="G48" s="8">
        <v>189697.07</v>
      </c>
      <c r="H48" s="7"/>
      <c r="I48" s="8">
        <v>1093016.47</v>
      </c>
      <c r="J48" s="3" t="s">
        <v>15</v>
      </c>
      <c r="K48" s="4">
        <v>45848</v>
      </c>
      <c r="L48" s="4">
        <v>45848</v>
      </c>
    </row>
    <row r="49" spans="1:12" ht="14.4">
      <c r="A49" s="3" t="s">
        <v>72</v>
      </c>
      <c r="B49" s="3" t="s">
        <v>18</v>
      </c>
      <c r="C49" s="3" t="s">
        <v>18</v>
      </c>
      <c r="D49" s="3" t="s">
        <v>26</v>
      </c>
      <c r="E49" s="5"/>
      <c r="F49" s="7">
        <f>I49</f>
        <v>51498.47</v>
      </c>
      <c r="G49" s="8" t="s">
        <v>81</v>
      </c>
      <c r="H49" s="7"/>
      <c r="I49" s="8">
        <v>51498.47</v>
      </c>
      <c r="J49" s="3" t="s">
        <v>31</v>
      </c>
      <c r="K49" s="4">
        <v>45846</v>
      </c>
      <c r="L49" s="4">
        <v>45846</v>
      </c>
    </row>
    <row r="50" spans="1:12" ht="14.4">
      <c r="A50" s="3" t="s">
        <v>72</v>
      </c>
      <c r="B50" s="3" t="s">
        <v>19</v>
      </c>
      <c r="C50" s="3" t="s">
        <v>30</v>
      </c>
      <c r="D50" s="3" t="s">
        <v>26</v>
      </c>
      <c r="E50" s="5"/>
      <c r="F50" s="7">
        <f>I50</f>
        <v>482202.15</v>
      </c>
      <c r="G50" s="8"/>
      <c r="H50" s="7"/>
      <c r="I50" s="8">
        <v>482202.15</v>
      </c>
      <c r="J50" s="3" t="s">
        <v>15</v>
      </c>
      <c r="K50" s="4">
        <v>45848</v>
      </c>
      <c r="L50" s="4">
        <v>45848</v>
      </c>
    </row>
    <row r="51" spans="1:12" ht="14.4">
      <c r="A51" s="3" t="s">
        <v>72</v>
      </c>
      <c r="B51" s="3" t="s">
        <v>20</v>
      </c>
      <c r="C51" s="3" t="s">
        <v>21</v>
      </c>
      <c r="D51" s="3" t="s">
        <v>22</v>
      </c>
      <c r="E51" s="5">
        <v>45847</v>
      </c>
      <c r="F51" s="8">
        <v>30230</v>
      </c>
      <c r="G51" s="8">
        <v>6348.3</v>
      </c>
      <c r="H51" s="7"/>
      <c r="I51" s="8">
        <v>36578.300000000003</v>
      </c>
      <c r="J51" s="3" t="s">
        <v>15</v>
      </c>
      <c r="K51" s="4">
        <v>45860</v>
      </c>
      <c r="L51" s="4">
        <v>45860</v>
      </c>
    </row>
    <row r="52" spans="1:12" ht="14.4">
      <c r="A52" s="3" t="s">
        <v>76</v>
      </c>
      <c r="B52" s="3" t="s">
        <v>27</v>
      </c>
      <c r="C52" s="3" t="s">
        <v>28</v>
      </c>
      <c r="D52" s="3" t="s">
        <v>29</v>
      </c>
      <c r="E52" s="5">
        <v>45845</v>
      </c>
      <c r="F52" s="7">
        <f>I52</f>
        <v>40000</v>
      </c>
      <c r="G52" s="8" t="s">
        <v>81</v>
      </c>
      <c r="H52" s="7"/>
      <c r="I52" s="8">
        <v>40000</v>
      </c>
      <c r="J52" s="3" t="s">
        <v>15</v>
      </c>
      <c r="K52" s="4">
        <v>45860</v>
      </c>
      <c r="L52" s="4">
        <v>45860</v>
      </c>
    </row>
    <row r="53" spans="1:12" ht="14.4">
      <c r="A53" s="3" t="s">
        <v>76</v>
      </c>
      <c r="B53" s="3" t="s">
        <v>16</v>
      </c>
      <c r="C53" s="3" t="s">
        <v>30</v>
      </c>
      <c r="D53" s="3" t="s">
        <v>77</v>
      </c>
      <c r="E53" s="5">
        <v>45839</v>
      </c>
      <c r="F53" s="8">
        <v>1294257.8700000001</v>
      </c>
      <c r="G53" s="8">
        <v>271794.15000000002</v>
      </c>
      <c r="H53" s="7"/>
      <c r="I53" s="8">
        <v>1566052.02</v>
      </c>
      <c r="J53" s="3" t="s">
        <v>15</v>
      </c>
      <c r="K53" s="4">
        <v>45848</v>
      </c>
      <c r="L53" s="4">
        <v>45848</v>
      </c>
    </row>
    <row r="54" spans="1:12" ht="14.4">
      <c r="A54" s="3" t="s">
        <v>76</v>
      </c>
      <c r="B54" s="3" t="s">
        <v>18</v>
      </c>
      <c r="C54" s="3" t="s">
        <v>18</v>
      </c>
      <c r="D54" s="3" t="s">
        <v>78</v>
      </c>
      <c r="E54" s="5">
        <v>45838</v>
      </c>
      <c r="F54" s="8">
        <v>38904.29</v>
      </c>
      <c r="G54" s="8">
        <v>10504.16</v>
      </c>
      <c r="H54" s="7">
        <v>3650.39</v>
      </c>
      <c r="I54" s="8">
        <v>53058.84</v>
      </c>
      <c r="J54" s="3" t="s">
        <v>31</v>
      </c>
      <c r="K54" s="4">
        <v>45846</v>
      </c>
      <c r="L54" s="4">
        <v>45846</v>
      </c>
    </row>
    <row r="55" spans="1:12" ht="14.4">
      <c r="A55" s="3" t="s">
        <v>76</v>
      </c>
      <c r="B55" s="3" t="s">
        <v>19</v>
      </c>
      <c r="C55" s="3" t="s">
        <v>30</v>
      </c>
      <c r="D55" s="3" t="s">
        <v>26</v>
      </c>
      <c r="E55" s="5"/>
      <c r="F55" s="7">
        <f>I55</f>
        <v>964404.3</v>
      </c>
      <c r="G55" s="8"/>
      <c r="H55" s="7"/>
      <c r="I55" s="8">
        <v>964404.3</v>
      </c>
      <c r="J55" s="3" t="s">
        <v>15</v>
      </c>
      <c r="K55" s="4">
        <v>45848</v>
      </c>
      <c r="L55" s="4">
        <v>45848</v>
      </c>
    </row>
    <row r="56" spans="1:12" ht="14.4">
      <c r="A56" s="3" t="s">
        <v>76</v>
      </c>
      <c r="B56" s="3" t="s">
        <v>20</v>
      </c>
      <c r="C56" s="3" t="s">
        <v>21</v>
      </c>
      <c r="D56" s="3" t="s">
        <v>22</v>
      </c>
      <c r="E56" s="5">
        <v>45847</v>
      </c>
      <c r="F56" s="8">
        <v>30230</v>
      </c>
      <c r="G56" s="8">
        <v>6348.3</v>
      </c>
      <c r="H56" s="7"/>
      <c r="I56" s="8">
        <v>36578.300000000003</v>
      </c>
      <c r="J56" s="3" t="s">
        <v>15</v>
      </c>
      <c r="K56" s="4">
        <v>45860</v>
      </c>
      <c r="L56" s="4">
        <v>45860</v>
      </c>
    </row>
    <row r="57" spans="1:12" ht="14.4">
      <c r="A57" s="3" t="s">
        <v>76</v>
      </c>
      <c r="B57" s="3" t="s">
        <v>23</v>
      </c>
      <c r="C57" s="3" t="s">
        <v>79</v>
      </c>
      <c r="D57" s="3" t="s">
        <v>80</v>
      </c>
      <c r="E57" s="5">
        <v>45851</v>
      </c>
      <c r="F57" s="8">
        <v>91008</v>
      </c>
      <c r="G57" s="8">
        <v>20492.59</v>
      </c>
      <c r="H57" s="7">
        <v>2730.24</v>
      </c>
      <c r="I57" s="8">
        <v>114230.83</v>
      </c>
      <c r="J57" s="3" t="s">
        <v>31</v>
      </c>
      <c r="K57" s="4">
        <v>45863</v>
      </c>
      <c r="L57" s="4">
        <v>45863</v>
      </c>
    </row>
    <row r="58" spans="1:12" ht="14.4">
      <c r="A58" s="1" t="s">
        <v>74</v>
      </c>
      <c r="B58" s="2"/>
      <c r="C58" s="2"/>
      <c r="D58" s="2"/>
      <c r="E58" s="2"/>
      <c r="F58" s="6"/>
      <c r="G58" s="6"/>
      <c r="H58" s="6"/>
      <c r="I58" s="6"/>
      <c r="J58" s="2"/>
      <c r="K58" s="2"/>
      <c r="L58" s="2"/>
    </row>
    <row r="59" spans="1:12" ht="14.4">
      <c r="A59" s="3" t="s">
        <v>32</v>
      </c>
      <c r="B59" s="3" t="s">
        <v>16</v>
      </c>
      <c r="C59" s="3" t="s">
        <v>14</v>
      </c>
      <c r="D59" s="3"/>
      <c r="E59" s="3"/>
      <c r="F59" s="8">
        <v>6375000</v>
      </c>
      <c r="G59" s="8">
        <v>1338750</v>
      </c>
      <c r="H59" s="7"/>
      <c r="I59" s="8">
        <v>7713750</v>
      </c>
      <c r="J59" s="3" t="s">
        <v>75</v>
      </c>
      <c r="K59" s="4">
        <v>45848</v>
      </c>
      <c r="L59" s="4">
        <v>45848</v>
      </c>
    </row>
  </sheetData>
  <sortState ref="A3:L51">
    <sortCondition ref="A3:A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Silvina Popok</dc:creator>
  <cp:lastModifiedBy>Valeria Levite</cp:lastModifiedBy>
  <dcterms:created xsi:type="dcterms:W3CDTF">2025-08-26T16:33:21Z</dcterms:created>
  <dcterms:modified xsi:type="dcterms:W3CDTF">2025-08-27T01:55:20Z</dcterms:modified>
</cp:coreProperties>
</file>