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"/>
    </mc:Choice>
  </mc:AlternateContent>
  <bookViews>
    <workbookView xWindow="0" yWindow="0" windowWidth="19200" windowHeight="6930" activeTab="6"/>
  </bookViews>
  <sheets>
    <sheet name="Sueldos 03-2025" sheetId="1" r:id="rId1"/>
    <sheet name="Gastos 03-2025" sheetId="2" r:id="rId2"/>
    <sheet name="Sueldos 04-2025" sheetId="3" r:id="rId3"/>
    <sheet name="Gastos 04-2025" sheetId="4" r:id="rId4"/>
    <sheet name="Sueldos 05-2025" sheetId="5" r:id="rId5"/>
    <sheet name="Gastos 05-2025" sheetId="6" r:id="rId6"/>
    <sheet name="Sueldos 06-2025" sheetId="7" r:id="rId7"/>
  </sheets>
  <definedNames>
    <definedName name="_xlnm._FilterDatabase" localSheetId="0" hidden="1">'Sueldos 03-2025'!$A$1:$T$27</definedName>
  </definedNames>
  <calcPr calcId="162913"/>
  <pivotCaches>
    <pivotCache cacheId="109" r:id="rId8"/>
    <pivotCache cacheId="112" r:id="rId9"/>
    <pivotCache cacheId="115" r:id="rId10"/>
  </pivotCaches>
</workbook>
</file>

<file path=xl/calcChain.xml><?xml version="1.0" encoding="utf-8"?>
<calcChain xmlns="http://schemas.openxmlformats.org/spreadsheetml/2006/main">
  <c r="C48" i="7" l="1"/>
  <c r="C24" i="7"/>
  <c r="O20" i="7"/>
  <c r="D17" i="7"/>
  <c r="U14" i="7"/>
  <c r="L12" i="7"/>
  <c r="Y8" i="7"/>
  <c r="M5" i="7"/>
  <c r="G2" i="7"/>
  <c r="C34" i="5"/>
  <c r="Q22" i="5"/>
  <c r="G18" i="5"/>
  <c r="N14" i="5"/>
  <c r="D10" i="5"/>
  <c r="L5" i="5"/>
  <c r="G1" i="5"/>
  <c r="Y24" i="7"/>
  <c r="L21" i="7"/>
  <c r="A18" i="7"/>
  <c r="O15" i="7"/>
  <c r="G29" i="7"/>
  <c r="U9" i="7"/>
  <c r="F6" i="7"/>
  <c r="A3" i="7"/>
  <c r="M1" i="7"/>
  <c r="A24" i="5"/>
  <c r="H19" i="5"/>
  <c r="O15" i="5"/>
  <c r="E11" i="5"/>
  <c r="N6" i="5"/>
  <c r="D2" i="5"/>
  <c r="C36" i="7"/>
  <c r="P22" i="7"/>
  <c r="E19" i="7"/>
  <c r="P16" i="7"/>
  <c r="I13" i="7"/>
  <c r="A11" i="7"/>
  <c r="L7" i="7"/>
  <c r="B4" i="7"/>
  <c r="T27" i="7"/>
  <c r="J25" i="5"/>
  <c r="A21" i="5"/>
  <c r="H27" i="5"/>
  <c r="A13" i="5"/>
  <c r="O8" i="5"/>
  <c r="E4" i="5"/>
  <c r="A47" i="7"/>
  <c r="X23" i="7"/>
  <c r="J20" i="7"/>
  <c r="Y30" i="7"/>
  <c r="N14" i="7"/>
  <c r="E12" i="7"/>
  <c r="T8" i="7"/>
  <c r="F5" i="7"/>
  <c r="C2" i="7"/>
  <c r="D32" i="5"/>
  <c r="M22" i="5"/>
  <c r="B42" i="7"/>
  <c r="E23" i="7"/>
  <c r="V19" i="7"/>
  <c r="E30" i="7"/>
  <c r="Y13" i="7"/>
  <c r="N11" i="7"/>
  <c r="B8" i="7"/>
  <c r="P4" i="7"/>
  <c r="M28" i="7"/>
  <c r="D30" i="5"/>
  <c r="N21" i="5"/>
  <c r="E17" i="5"/>
  <c r="M13" i="5"/>
  <c r="B9" i="5"/>
  <c r="H4" i="5"/>
  <c r="A48" i="7"/>
  <c r="B24" i="7"/>
  <c r="N20" i="7"/>
  <c r="C17" i="7"/>
  <c r="T14" i="7"/>
  <c r="J12" i="7"/>
  <c r="X8" i="7"/>
  <c r="L5" i="7"/>
  <c r="F2" i="7"/>
  <c r="B34" i="5"/>
  <c r="P22" i="5"/>
  <c r="F18" i="5"/>
  <c r="M14" i="5"/>
  <c r="C10" i="5"/>
  <c r="J5" i="5"/>
  <c r="F1" i="5"/>
  <c r="D32" i="7"/>
  <c r="U21" i="7"/>
  <c r="G18" i="7"/>
  <c r="W15" i="7"/>
  <c r="P29" i="7"/>
  <c r="C10" i="7"/>
  <c r="O6" i="7"/>
  <c r="G3" i="7"/>
  <c r="T1" i="7"/>
  <c r="G24" i="5"/>
  <c r="P19" i="5"/>
  <c r="E16" i="5"/>
  <c r="E12" i="5"/>
  <c r="M7" i="5"/>
  <c r="D3" i="5"/>
  <c r="A41" i="7"/>
  <c r="A23" i="7"/>
  <c r="O19" i="7"/>
  <c r="A30" i="7"/>
  <c r="T13" i="7"/>
  <c r="I11" i="7"/>
  <c r="V7" i="7"/>
  <c r="L4" i="7"/>
  <c r="B28" i="7"/>
  <c r="H21" i="5"/>
  <c r="A17" i="5"/>
  <c r="H13" i="5"/>
  <c r="N8" i="5"/>
  <c r="D4" i="5"/>
  <c r="C46" i="7"/>
  <c r="I20" i="7"/>
  <c r="M14" i="7"/>
  <c r="P8" i="7"/>
  <c r="B2" i="7"/>
  <c r="L22" i="5"/>
  <c r="H14" i="5"/>
  <c r="E5" i="5"/>
  <c r="O25" i="3"/>
  <c r="C21" i="3"/>
  <c r="G28" i="3"/>
  <c r="M12" i="3"/>
  <c r="A8" i="3"/>
  <c r="F3" i="3"/>
  <c r="B46" i="7"/>
  <c r="G20" i="7"/>
  <c r="L14" i="7"/>
  <c r="O8" i="7"/>
  <c r="A2" i="7"/>
  <c r="J22" i="5"/>
  <c r="G14" i="5"/>
  <c r="D5" i="5"/>
  <c r="N25" i="3"/>
  <c r="A33" i="7"/>
  <c r="Y21" i="7"/>
  <c r="M18" i="7"/>
  <c r="A16" i="7"/>
  <c r="U29" i="7"/>
  <c r="F10" i="7"/>
  <c r="U6" i="7"/>
  <c r="L3" i="7"/>
  <c r="W1" i="7"/>
  <c r="L24" i="5"/>
  <c r="C20" i="5"/>
  <c r="H16" i="5"/>
  <c r="P11" i="5"/>
  <c r="G7" i="5"/>
  <c r="O2" i="5"/>
  <c r="C37" i="7"/>
  <c r="U22" i="7"/>
  <c r="G19" i="7"/>
  <c r="U16" i="7"/>
  <c r="L13" i="7"/>
  <c r="C11" i="7"/>
  <c r="N7" i="7"/>
  <c r="D4" i="7"/>
  <c r="V27" i="7"/>
  <c r="M25" i="5"/>
  <c r="C21" i="5"/>
  <c r="L27" i="5"/>
  <c r="C13" i="5"/>
  <c r="G8" i="5"/>
  <c r="O3" i="5"/>
  <c r="B47" i="7"/>
  <c r="Y23" i="7"/>
  <c r="L20" i="7"/>
  <c r="A17" i="7"/>
  <c r="O14" i="7"/>
  <c r="F12" i="7"/>
  <c r="U8" i="7"/>
  <c r="G5" i="7"/>
  <c r="D2" i="7"/>
  <c r="E32" i="5"/>
  <c r="N22" i="5"/>
  <c r="D18" i="5"/>
  <c r="J14" i="5"/>
  <c r="J10" i="5"/>
  <c r="A6" i="5"/>
  <c r="L1" i="5"/>
  <c r="C32" i="7"/>
  <c r="T21" i="7"/>
  <c r="F18" i="7"/>
  <c r="V15" i="7"/>
  <c r="O29" i="7"/>
  <c r="B10" i="7"/>
  <c r="N6" i="7"/>
  <c r="F3" i="7"/>
  <c r="S1" i="7"/>
  <c r="F24" i="5"/>
  <c r="O19" i="5"/>
  <c r="D16" i="5"/>
  <c r="L11" i="5"/>
  <c r="C7" i="5"/>
  <c r="J2" i="5"/>
  <c r="U24" i="7"/>
  <c r="U17" i="7"/>
  <c r="B29" i="7"/>
  <c r="B6" i="7"/>
  <c r="I1" i="7"/>
  <c r="D19" i="5"/>
  <c r="A11" i="5"/>
  <c r="J1" i="5"/>
  <c r="A24" i="3"/>
  <c r="G19" i="3"/>
  <c r="J15" i="3"/>
  <c r="A11" i="3"/>
  <c r="F6" i="3"/>
  <c r="J1" i="3"/>
  <c r="T24" i="7"/>
  <c r="T17" i="7"/>
  <c r="A29" i="7"/>
  <c r="A6" i="7"/>
  <c r="H1" i="7"/>
  <c r="C19" i="5"/>
  <c r="P10" i="5"/>
  <c r="I1" i="5"/>
  <c r="Q23" i="3"/>
  <c r="F19" i="3"/>
  <c r="G15" i="3"/>
  <c r="P10" i="3"/>
  <c r="E6" i="3"/>
  <c r="Q1" i="3"/>
  <c r="B33" i="7"/>
  <c r="N18" i="7"/>
  <c r="V29" i="7"/>
  <c r="V6" i="7"/>
  <c r="X1" i="7"/>
  <c r="D20" i="5"/>
  <c r="A12" i="5"/>
  <c r="P2" i="5"/>
  <c r="G24" i="3"/>
  <c r="P19" i="3"/>
  <c r="A16" i="3"/>
  <c r="O10" i="3"/>
  <c r="D6" i="3"/>
  <c r="P1" i="3"/>
  <c r="N23" i="7"/>
  <c r="P30" i="7"/>
  <c r="X11" i="7"/>
  <c r="Y4" i="7"/>
  <c r="D31" i="5"/>
  <c r="M17" i="5"/>
  <c r="L10" i="5"/>
  <c r="E1" i="5"/>
  <c r="O23" i="3"/>
  <c r="D19" i="3"/>
  <c r="E15" i="3"/>
  <c r="D10" i="3"/>
  <c r="J5" i="3"/>
  <c r="N21" i="7"/>
  <c r="Q15" i="7"/>
  <c r="M21" i="7"/>
  <c r="B18" i="7"/>
  <c r="P15" i="7"/>
  <c r="H29" i="7"/>
  <c r="V9" i="7"/>
  <c r="H6" i="7"/>
  <c r="B3" i="7"/>
  <c r="N1" i="7"/>
  <c r="B24" i="5"/>
  <c r="J19" i="5"/>
  <c r="P15" i="5"/>
  <c r="F11" i="5"/>
  <c r="O6" i="5"/>
  <c r="E2" i="5"/>
  <c r="B34" i="7"/>
  <c r="G22" i="7"/>
  <c r="X18" i="7"/>
  <c r="I16" i="7"/>
  <c r="C13" i="7"/>
  <c r="P10" i="7"/>
  <c r="D7" i="7"/>
  <c r="U3" i="7"/>
  <c r="J27" i="7"/>
  <c r="C25" i="5"/>
  <c r="J20" i="5"/>
  <c r="P16" i="5"/>
  <c r="H12" i="5"/>
  <c r="O7" i="5"/>
  <c r="F3" i="5"/>
  <c r="A44" i="7"/>
  <c r="M23" i="7"/>
  <c r="B20" i="7"/>
  <c r="O30" i="7"/>
  <c r="E14" i="7"/>
  <c r="V11" i="7"/>
  <c r="G8" i="7"/>
  <c r="X4" i="7"/>
  <c r="U28" i="7"/>
  <c r="C31" i="5"/>
  <c r="C22" i="5"/>
  <c r="L17" i="5"/>
  <c r="B14" i="5"/>
  <c r="A10" i="5"/>
  <c r="G5" i="5"/>
  <c r="D1" i="5"/>
  <c r="V24" i="7"/>
  <c r="F21" i="7"/>
  <c r="V17" i="7"/>
  <c r="L15" i="7"/>
  <c r="C29" i="7"/>
  <c r="O9" i="7"/>
  <c r="C6" i="7"/>
  <c r="W2" i="7"/>
  <c r="J1" i="7"/>
  <c r="N23" i="5"/>
  <c r="E19" i="5"/>
  <c r="L15" i="5"/>
  <c r="B11" i="5"/>
  <c r="J6" i="5"/>
  <c r="A2" i="5"/>
  <c r="V23" i="7"/>
  <c r="X30" i="7"/>
  <c r="D12" i="7"/>
  <c r="E5" i="7"/>
  <c r="C32" i="5"/>
  <c r="B18" i="5"/>
  <c r="O9" i="5"/>
  <c r="D33" i="3"/>
  <c r="H23" i="3"/>
  <c r="O18" i="3"/>
  <c r="P14" i="3"/>
  <c r="G10" i="3"/>
  <c r="N5" i="3"/>
  <c r="B1" i="3"/>
  <c r="O24" i="7"/>
  <c r="B21" i="7"/>
  <c r="O17" i="7"/>
  <c r="E15" i="7"/>
  <c r="X12" i="7"/>
  <c r="J9" i="7"/>
  <c r="X5" i="7"/>
  <c r="Q2" i="7"/>
  <c r="F1" i="7"/>
  <c r="H23" i="5"/>
  <c r="A19" i="5"/>
  <c r="F15" i="5"/>
  <c r="N10" i="5"/>
  <c r="D6" i="5"/>
  <c r="O1" i="5"/>
  <c r="F32" i="7"/>
  <c r="X21" i="7"/>
  <c r="L18" i="7"/>
  <c r="Y15" i="7"/>
  <c r="T29" i="7"/>
  <c r="E10" i="7"/>
  <c r="T6" i="7"/>
  <c r="J3" i="7"/>
  <c r="V1" i="7"/>
  <c r="J24" i="5"/>
  <c r="B20" i="5"/>
  <c r="G16" i="5"/>
  <c r="O11" i="5"/>
  <c r="F7" i="5"/>
  <c r="N2" i="5"/>
  <c r="B41" i="7"/>
  <c r="B23" i="7"/>
  <c r="P19" i="7"/>
  <c r="B30" i="7"/>
  <c r="U13" i="7"/>
  <c r="J11" i="7"/>
  <c r="X7" i="7"/>
  <c r="M4" i="7"/>
  <c r="C28" i="7"/>
  <c r="J21" i="5"/>
  <c r="B17" i="5"/>
  <c r="I13" i="5"/>
  <c r="G9" i="5"/>
  <c r="O4" i="5"/>
  <c r="F33" i="3"/>
  <c r="G24" i="7"/>
  <c r="V20" i="7"/>
  <c r="J17" i="7"/>
  <c r="A15" i="7"/>
  <c r="P12" i="7"/>
  <c r="D9" i="7"/>
  <c r="Q5" i="7"/>
  <c r="M2" i="7"/>
  <c r="B1" i="7"/>
  <c r="D23" i="5"/>
  <c r="M18" i="5"/>
  <c r="B15" i="5"/>
  <c r="H10" i="5"/>
  <c r="P5" i="5"/>
  <c r="K1" i="5"/>
  <c r="Y22" i="7"/>
  <c r="Y16" i="7"/>
  <c r="G11" i="7"/>
  <c r="J4" i="7"/>
  <c r="Q25" i="5"/>
  <c r="P27" i="5"/>
  <c r="M8" i="5"/>
  <c r="B32" i="3"/>
  <c r="P22" i="3"/>
  <c r="D18" i="3"/>
  <c r="E14" i="3"/>
  <c r="O9" i="3"/>
  <c r="C5" i="3"/>
  <c r="X22" i="7"/>
  <c r="X16" i="7"/>
  <c r="F11" i="7"/>
  <c r="G4" i="7"/>
  <c r="P25" i="5"/>
  <c r="O27" i="5"/>
  <c r="L8" i="5"/>
  <c r="A32" i="3"/>
  <c r="O22" i="3"/>
  <c r="C18" i="3"/>
  <c r="D14" i="3"/>
  <c r="N9" i="3"/>
  <c r="B5" i="3"/>
  <c r="A1" i="3"/>
  <c r="T23" i="7"/>
  <c r="U30" i="7"/>
  <c r="B12" i="7"/>
  <c r="C5" i="7"/>
  <c r="A32" i="5"/>
  <c r="P17" i="5"/>
  <c r="M9" i="5"/>
  <c r="B33" i="3"/>
  <c r="E23" i="3"/>
  <c r="M18" i="3"/>
  <c r="N14" i="3"/>
  <c r="M9" i="3"/>
  <c r="A5" i="3"/>
  <c r="V21" i="7"/>
  <c r="X15" i="7"/>
  <c r="D10" i="7"/>
  <c r="I3" i="7"/>
  <c r="H24" i="5"/>
  <c r="F16" i="5"/>
  <c r="F8" i="5"/>
  <c r="E31" i="3"/>
  <c r="M22" i="3"/>
  <c r="A18" i="3"/>
  <c r="B14" i="3"/>
  <c r="A9" i="3"/>
  <c r="C42" i="7"/>
  <c r="W19" i="7"/>
  <c r="A14" i="7"/>
  <c r="C8" i="7"/>
  <c r="N28" i="7"/>
  <c r="O21" i="5"/>
  <c r="N13" i="5"/>
  <c r="J4" i="5"/>
  <c r="A26" i="3"/>
  <c r="A39" i="7"/>
  <c r="T30" i="7"/>
  <c r="T10" i="7"/>
  <c r="W27" i="7"/>
  <c r="O17" i="5"/>
  <c r="P7" i="5"/>
  <c r="O23" i="7"/>
  <c r="D15" i="7"/>
  <c r="A8" i="7"/>
  <c r="E31" i="5"/>
  <c r="E15" i="5"/>
  <c r="G4" i="5"/>
  <c r="G21" i="7"/>
  <c r="A13" i="7"/>
  <c r="T5" i="7"/>
  <c r="O23" i="5"/>
  <c r="O12" i="5"/>
  <c r="B2" i="5"/>
  <c r="D19" i="7"/>
  <c r="U11" i="7"/>
  <c r="P3" i="7"/>
  <c r="P20" i="5"/>
  <c r="N12" i="5"/>
  <c r="L3" i="5"/>
  <c r="N19" i="7"/>
  <c r="U7" i="7"/>
  <c r="G21" i="5"/>
  <c r="C4" i="5"/>
  <c r="L20" i="3"/>
  <c r="C12" i="3"/>
  <c r="N2" i="3"/>
  <c r="B22" i="7"/>
  <c r="W29" i="7"/>
  <c r="U2" i="7"/>
  <c r="A18" i="5"/>
  <c r="B4" i="5"/>
  <c r="D22" i="3"/>
  <c r="E28" i="3"/>
  <c r="H11" i="3"/>
  <c r="G4" i="3"/>
  <c r="A40" i="7"/>
  <c r="W16" i="7"/>
  <c r="L9" i="7"/>
  <c r="X27" i="7"/>
  <c r="N27" i="5"/>
  <c r="E6" i="5"/>
  <c r="B25" i="3"/>
  <c r="B18" i="3"/>
  <c r="J12" i="3"/>
  <c r="M6" i="3"/>
  <c r="F19" i="7"/>
  <c r="U12" i="7"/>
  <c r="O2" i="7"/>
  <c r="B21" i="5"/>
  <c r="N11" i="5"/>
  <c r="O26" i="3"/>
  <c r="Q20" i="3"/>
  <c r="P15" i="3"/>
  <c r="F8" i="3"/>
  <c r="D24" i="7"/>
  <c r="L16" i="7"/>
  <c r="A9" i="7"/>
  <c r="N27" i="7"/>
  <c r="L19" i="5"/>
  <c r="E10" i="5"/>
  <c r="C36" i="3"/>
  <c r="A23" i="3"/>
  <c r="M16" i="7"/>
  <c r="L1" i="7"/>
  <c r="O5" i="5"/>
  <c r="C20" i="3"/>
  <c r="C11" i="3"/>
  <c r="E2" i="3"/>
  <c r="X19" i="7"/>
  <c r="T3" i="7"/>
  <c r="J11" i="5"/>
  <c r="J22" i="3"/>
  <c r="N13" i="3"/>
  <c r="B4" i="3"/>
  <c r="C41" i="7"/>
  <c r="A10" i="7"/>
  <c r="J18" i="5"/>
  <c r="B28" i="3"/>
  <c r="C7" i="3"/>
  <c r="T15" i="7"/>
  <c r="F32" i="5"/>
  <c r="C2" i="5"/>
  <c r="G18" i="3"/>
  <c r="L10" i="3"/>
  <c r="C34" i="7"/>
  <c r="V16" i="7"/>
  <c r="M8" i="7"/>
  <c r="M27" i="7"/>
  <c r="M27" i="5"/>
  <c r="B5" i="5"/>
  <c r="D23" i="7"/>
  <c r="G14" i="7"/>
  <c r="V5" i="7"/>
  <c r="C30" i="5"/>
  <c r="D14" i="5"/>
  <c r="N1" i="5"/>
  <c r="X20" i="7"/>
  <c r="D29" i="7"/>
  <c r="Q3" i="7"/>
  <c r="E23" i="5"/>
  <c r="M11" i="5"/>
  <c r="C43" i="7"/>
  <c r="T18" i="7"/>
  <c r="Y10" i="7"/>
  <c r="T28" i="7"/>
  <c r="G20" i="5"/>
  <c r="D12" i="5"/>
  <c r="C3" i="5"/>
  <c r="P18" i="7"/>
  <c r="Y6" i="7"/>
  <c r="F20" i="5"/>
  <c r="B3" i="5"/>
  <c r="A20" i="3"/>
  <c r="J11" i="3"/>
  <c r="C2" i="3"/>
  <c r="D21" i="7"/>
  <c r="C12" i="7"/>
  <c r="Y27" i="7"/>
  <c r="J16" i="5"/>
  <c r="A3" i="5"/>
  <c r="L21" i="3"/>
  <c r="M16" i="3"/>
  <c r="F10" i="3"/>
  <c r="O3" i="3"/>
  <c r="P24" i="7"/>
  <c r="B16" i="7"/>
  <c r="N8" i="7"/>
  <c r="G1" i="7"/>
  <c r="I16" i="5"/>
  <c r="C5" i="5"/>
  <c r="P23" i="3"/>
  <c r="G17" i="3"/>
  <c r="A12" i="3"/>
  <c r="L5" i="3"/>
  <c r="B44" i="7"/>
  <c r="J18" i="7"/>
  <c r="B11" i="7"/>
  <c r="V28" i="7"/>
  <c r="A20" i="5"/>
  <c r="H9" i="5"/>
  <c r="D26" i="3"/>
  <c r="F20" i="3"/>
  <c r="M14" i="3"/>
  <c r="N7" i="3"/>
  <c r="F23" i="7"/>
  <c r="V14" i="7"/>
  <c r="F7" i="7"/>
  <c r="O1" i="7"/>
  <c r="H18" i="5"/>
  <c r="C9" i="5"/>
  <c r="D32" i="3"/>
  <c r="H22" i="3"/>
  <c r="C14" i="7"/>
  <c r="F25" i="5"/>
  <c r="E3" i="5"/>
  <c r="A19" i="3"/>
  <c r="A10" i="3"/>
  <c r="E1" i="3"/>
  <c r="G17" i="7"/>
  <c r="O28" i="7"/>
  <c r="P8" i="5"/>
  <c r="D21" i="3"/>
  <c r="D12" i="3"/>
  <c r="B3" i="3"/>
  <c r="E24" i="7"/>
  <c r="Y7" i="7"/>
  <c r="C16" i="5"/>
  <c r="G25" i="3"/>
  <c r="O15" i="3"/>
  <c r="B6" i="3"/>
  <c r="G13" i="7"/>
  <c r="D24" i="5"/>
  <c r="A1" i="5"/>
  <c r="D17" i="3"/>
  <c r="P23" i="7"/>
  <c r="J16" i="7"/>
  <c r="O7" i="7"/>
  <c r="F31" i="5"/>
  <c r="A27" i="5"/>
  <c r="P3" i="5"/>
  <c r="A21" i="7"/>
  <c r="X13" i="7"/>
  <c r="A5" i="7"/>
  <c r="G23" i="5"/>
  <c r="L13" i="5"/>
  <c r="C35" i="3"/>
  <c r="U18" i="7"/>
  <c r="T12" i="7"/>
  <c r="X2" i="7"/>
  <c r="H20" i="5"/>
  <c r="C11" i="5"/>
  <c r="B36" i="7"/>
  <c r="N30" i="7"/>
  <c r="M10" i="7"/>
  <c r="Q27" i="7"/>
  <c r="C18" i="5"/>
  <c r="P9" i="5"/>
  <c r="C1" i="5"/>
  <c r="D16" i="7"/>
  <c r="O3" i="7"/>
  <c r="L16" i="5"/>
  <c r="L17" i="3"/>
  <c r="D9" i="3"/>
  <c r="M19" i="7"/>
  <c r="J10" i="7"/>
  <c r="Y1" i="7"/>
  <c r="H15" i="5"/>
  <c r="C33" i="3"/>
  <c r="B21" i="3"/>
  <c r="B16" i="3"/>
  <c r="C9" i="3"/>
  <c r="E3" i="3"/>
  <c r="W22" i="7"/>
  <c r="F15" i="7"/>
  <c r="P7" i="7"/>
  <c r="O25" i="5"/>
  <c r="G15" i="5"/>
  <c r="A4" i="5"/>
  <c r="N22" i="3"/>
  <c r="O28" i="3"/>
  <c r="G11" i="3"/>
  <c r="F4" i="3"/>
  <c r="B37" i="7"/>
  <c r="M17" i="7"/>
  <c r="F9" i="7"/>
  <c r="U27" i="7"/>
  <c r="O18" i="5"/>
  <c r="E7" i="5"/>
  <c r="L25" i="3"/>
  <c r="O19" i="3"/>
  <c r="G13" i="3"/>
  <c r="D7" i="3"/>
  <c r="L22" i="7"/>
  <c r="E13" i="7"/>
  <c r="J6" i="7"/>
  <c r="B35" i="5"/>
  <c r="F17" i="5"/>
  <c r="A8" i="5"/>
  <c r="A30" i="3"/>
  <c r="O21" i="3"/>
  <c r="E29" i="7"/>
  <c r="A22" i="5"/>
  <c r="Q1" i="5"/>
  <c r="N17" i="3"/>
  <c r="N8" i="3"/>
  <c r="G16" i="7"/>
  <c r="A1" i="7"/>
  <c r="N5" i="5"/>
  <c r="B20" i="3"/>
  <c r="B11" i="3"/>
  <c r="D2" i="3"/>
  <c r="P21" i="7"/>
  <c r="O5" i="7"/>
  <c r="J13" i="5"/>
  <c r="V22" i="7"/>
  <c r="I14" i="7"/>
  <c r="E7" i="7"/>
  <c r="N25" i="5"/>
  <c r="E14" i="5"/>
  <c r="G3" i="5"/>
  <c r="D20" i="7"/>
  <c r="V12" i="7"/>
  <c r="O4" i="7"/>
  <c r="E22" i="5"/>
  <c r="M10" i="5"/>
  <c r="C47" i="7"/>
  <c r="X17" i="7"/>
  <c r="N10" i="7"/>
  <c r="N2" i="7"/>
  <c r="F19" i="5"/>
  <c r="E8" i="5"/>
  <c r="E33" i="7"/>
  <c r="O16" i="7"/>
  <c r="F8" i="7"/>
  <c r="B27" i="7"/>
  <c r="J17" i="5"/>
  <c r="F9" i="5"/>
  <c r="E33" i="3"/>
  <c r="J15" i="7"/>
  <c r="V2" i="7"/>
  <c r="J15" i="5"/>
  <c r="G26" i="3"/>
  <c r="A17" i="3"/>
  <c r="L8" i="3"/>
  <c r="O18" i="7"/>
  <c r="M9" i="7"/>
  <c r="B32" i="5"/>
  <c r="F13" i="5"/>
  <c r="Q26" i="3"/>
  <c r="J20" i="3"/>
  <c r="O14" i="3"/>
  <c r="J8" i="3"/>
  <c r="M2" i="3"/>
  <c r="A22" i="7"/>
  <c r="J14" i="7"/>
  <c r="Y5" i="7"/>
  <c r="M24" i="5"/>
  <c r="F14" i="5"/>
  <c r="H1" i="5"/>
  <c r="C22" i="3"/>
  <c r="D28" i="3"/>
  <c r="E10" i="3"/>
  <c r="N3" i="3"/>
  <c r="E32" i="7"/>
  <c r="T16" i="7"/>
  <c r="J8" i="7"/>
  <c r="U1" i="7"/>
  <c r="J27" i="5"/>
  <c r="B6" i="5"/>
  <c r="A25" i="3"/>
  <c r="L18" i="3"/>
  <c r="H12" i="3"/>
  <c r="L6" i="3"/>
  <c r="P20" i="7"/>
  <c r="J29" i="7"/>
  <c r="N5" i="7"/>
  <c r="E30" i="5"/>
  <c r="B27" i="5"/>
  <c r="P6" i="5"/>
  <c r="L26" i="3"/>
  <c r="B43" i="7"/>
  <c r="V10" i="7"/>
  <c r="G19" i="5"/>
  <c r="D31" i="3"/>
  <c r="J28" i="3"/>
  <c r="J7" i="3"/>
  <c r="B14" i="7"/>
  <c r="B25" i="5"/>
  <c r="H2" i="5"/>
  <c r="P18" i="3"/>
  <c r="P9" i="3"/>
  <c r="J22" i="7"/>
  <c r="M13" i="7"/>
  <c r="B5" i="7"/>
  <c r="D25" i="5"/>
  <c r="D13" i="5"/>
  <c r="B36" i="3"/>
  <c r="U19" i="7"/>
  <c r="Y11" i="7"/>
  <c r="P2" i="7"/>
  <c r="M21" i="5"/>
  <c r="J9" i="5"/>
  <c r="F33" i="7"/>
  <c r="L17" i="7"/>
  <c r="P9" i="7"/>
  <c r="C27" i="7"/>
  <c r="N18" i="5"/>
  <c r="D7" i="5"/>
  <c r="J23" i="7"/>
  <c r="E16" i="7"/>
  <c r="J7" i="7"/>
  <c r="B31" i="5"/>
  <c r="E27" i="5"/>
  <c r="D8" i="5"/>
  <c r="C40" i="7"/>
  <c r="P13" i="7"/>
  <c r="A28" i="7"/>
  <c r="G13" i="5"/>
  <c r="D25" i="3"/>
  <c r="N16" i="3"/>
  <c r="G7" i="3"/>
  <c r="V30" i="7"/>
  <c r="T7" i="7"/>
  <c r="N24" i="5"/>
  <c r="B12" i="5"/>
  <c r="F26" i="3"/>
  <c r="Q19" i="3"/>
  <c r="L13" i="3"/>
  <c r="P7" i="3"/>
  <c r="B2" i="3"/>
  <c r="C21" i="7"/>
  <c r="N13" i="7"/>
  <c r="F4" i="7"/>
  <c r="J23" i="5"/>
  <c r="E13" i="5"/>
  <c r="F31" i="3"/>
  <c r="J21" i="3"/>
  <c r="L16" i="3"/>
  <c r="B9" i="3"/>
  <c r="D3" i="3"/>
  <c r="M24" i="7"/>
  <c r="C15" i="7"/>
  <c r="M7" i="7"/>
  <c r="D1" i="7"/>
  <c r="D15" i="5"/>
  <c r="P4" i="5"/>
  <c r="F24" i="3"/>
  <c r="F17" i="3"/>
  <c r="P11" i="3"/>
  <c r="C6" i="3"/>
  <c r="A19" i="7"/>
  <c r="M12" i="7"/>
  <c r="Q4" i="7"/>
  <c r="E25" i="5"/>
  <c r="A16" i="5"/>
  <c r="M5" i="5"/>
  <c r="F25" i="3"/>
  <c r="X24" i="7"/>
  <c r="E8" i="7"/>
  <c r="C27" i="5"/>
  <c r="P25" i="3"/>
  <c r="E16" i="3"/>
  <c r="H6" i="3"/>
  <c r="J19" i="7"/>
  <c r="A12" i="7"/>
  <c r="V3" i="7"/>
  <c r="D21" i="5"/>
  <c r="L9" i="5"/>
  <c r="A42" i="7"/>
  <c r="Q30" i="7"/>
  <c r="G9" i="7"/>
  <c r="J28" i="7"/>
  <c r="N17" i="5"/>
  <c r="C6" i="5"/>
  <c r="J24" i="7"/>
  <c r="M15" i="7"/>
  <c r="B7" i="7"/>
  <c r="C1" i="7"/>
  <c r="M15" i="5"/>
  <c r="M3" i="5"/>
  <c r="D22" i="7"/>
  <c r="H13" i="7"/>
  <c r="V4" i="7"/>
  <c r="P24" i="5"/>
  <c r="I14" i="5"/>
  <c r="F5" i="5"/>
  <c r="C22" i="7"/>
  <c r="L10" i="7"/>
  <c r="O24" i="5"/>
  <c r="J7" i="5"/>
  <c r="E22" i="3"/>
  <c r="M13" i="3"/>
  <c r="J4" i="3"/>
  <c r="C33" i="7"/>
  <c r="G15" i="7"/>
  <c r="D5" i="7"/>
  <c r="F21" i="5"/>
  <c r="I7" i="5"/>
  <c r="J24" i="3"/>
  <c r="J17" i="3"/>
  <c r="L12" i="3"/>
  <c r="N6" i="3"/>
  <c r="L19" i="7"/>
  <c r="E11" i="7"/>
  <c r="T2" i="7"/>
  <c r="E21" i="5"/>
  <c r="J8" i="5"/>
  <c r="E26" i="3"/>
  <c r="G20" i="3"/>
  <c r="C14" i="3"/>
  <c r="O7" i="3"/>
  <c r="A2" i="3"/>
  <c r="Y20" i="7"/>
  <c r="J13" i="7"/>
  <c r="U5" i="7"/>
  <c r="F23" i="5"/>
  <c r="B13" i="5"/>
  <c r="M2" i="5"/>
  <c r="B22" i="3"/>
  <c r="C28" i="3"/>
  <c r="N10" i="3"/>
  <c r="D34" i="7"/>
  <c r="E17" i="7"/>
  <c r="U10" i="7"/>
  <c r="C3" i="7"/>
  <c r="A23" i="5"/>
  <c r="J12" i="5"/>
  <c r="F2" i="5"/>
  <c r="C24" i="3"/>
  <c r="Y19" i="7"/>
  <c r="X3" i="7"/>
  <c r="F12" i="5"/>
  <c r="L22" i="3"/>
  <c r="O13" i="3"/>
  <c r="C4" i="3"/>
  <c r="F24" i="7"/>
  <c r="D8" i="7"/>
  <c r="O16" i="5"/>
  <c r="J25" i="3"/>
  <c r="D16" i="3"/>
  <c r="C45" i="7"/>
  <c r="L20" i="5"/>
  <c r="L8" i="7"/>
  <c r="E22" i="7"/>
  <c r="C15" i="5"/>
  <c r="A4" i="7"/>
  <c r="E21" i="7"/>
  <c r="M21" i="3"/>
  <c r="U23" i="7"/>
  <c r="F6" i="5"/>
  <c r="M5" i="3"/>
  <c r="G10" i="7"/>
  <c r="M25" i="3"/>
  <c r="H1" i="3"/>
  <c r="D22" i="5"/>
  <c r="J16" i="3"/>
  <c r="X9" i="7"/>
  <c r="P1" i="5"/>
  <c r="D9" i="5"/>
  <c r="F22" i="7"/>
  <c r="C31" i="3"/>
  <c r="D5" i="3"/>
  <c r="D28" i="7"/>
  <c r="B1" i="5"/>
  <c r="F13" i="3"/>
  <c r="N1" i="3"/>
  <c r="Y9" i="7"/>
  <c r="D11" i="5"/>
  <c r="M19" i="3"/>
  <c r="D8" i="3"/>
  <c r="M30" i="7"/>
  <c r="O27" i="7"/>
  <c r="L4" i="5"/>
  <c r="F18" i="3"/>
  <c r="J10" i="3"/>
  <c r="L1" i="3"/>
  <c r="C23" i="7"/>
  <c r="M6" i="7"/>
  <c r="P14" i="5"/>
  <c r="B23" i="3"/>
  <c r="A14" i="3"/>
  <c r="E4" i="3"/>
  <c r="B26" i="3"/>
  <c r="A34" i="7"/>
  <c r="A15" i="5"/>
  <c r="E20" i="7"/>
  <c r="I12" i="5"/>
  <c r="W28" i="7"/>
  <c r="F16" i="7"/>
  <c r="L6" i="5"/>
  <c r="H25" i="5"/>
  <c r="X29" i="7"/>
  <c r="C16" i="3"/>
  <c r="C16" i="7"/>
  <c r="C25" i="3"/>
  <c r="I1" i="3"/>
  <c r="M3" i="7"/>
  <c r="A21" i="3"/>
  <c r="T22" i="7"/>
  <c r="C14" i="5"/>
  <c r="F11" i="3"/>
  <c r="W3" i="7"/>
  <c r="N24" i="3"/>
  <c r="D24" i="3"/>
  <c r="O12" i="7"/>
  <c r="B24" i="3"/>
  <c r="O1" i="3"/>
  <c r="C35" i="5"/>
  <c r="N23" i="3"/>
  <c r="O11" i="3"/>
  <c r="C1" i="3"/>
  <c r="I7" i="7"/>
  <c r="B8" i="5"/>
  <c r="A28" i="3"/>
  <c r="B7" i="3"/>
  <c r="N15" i="7"/>
  <c r="A31" i="5"/>
  <c r="B35" i="3"/>
  <c r="C17" i="3"/>
  <c r="F9" i="3"/>
  <c r="T20" i="7"/>
  <c r="N4" i="7"/>
  <c r="M12" i="5"/>
  <c r="G21" i="3"/>
  <c r="G12" i="3"/>
  <c r="H3" i="3"/>
  <c r="D20" i="3"/>
  <c r="F4" i="5"/>
  <c r="I3" i="5"/>
  <c r="B8" i="3"/>
  <c r="F14" i="3"/>
  <c r="Y18" i="7"/>
  <c r="H8" i="5"/>
  <c r="E1" i="7"/>
  <c r="B15" i="7"/>
  <c r="L2" i="5"/>
  <c r="B22" i="5"/>
  <c r="N9" i="7"/>
  <c r="B13" i="3"/>
  <c r="O13" i="7"/>
  <c r="G23" i="3"/>
  <c r="Y28" i="7"/>
  <c r="E19" i="3"/>
  <c r="C20" i="7"/>
  <c r="P12" i="5"/>
  <c r="L9" i="3"/>
  <c r="I2" i="7"/>
  <c r="L23" i="3"/>
  <c r="E21" i="3"/>
  <c r="O10" i="7"/>
  <c r="M17" i="3"/>
  <c r="D1" i="3"/>
  <c r="T19" i="7"/>
  <c r="E24" i="5"/>
  <c r="G22" i="3"/>
  <c r="M10" i="3"/>
  <c r="F34" i="7"/>
  <c r="J5" i="7"/>
  <c r="M4" i="5"/>
  <c r="N15" i="3"/>
  <c r="A6" i="3"/>
  <c r="F13" i="7"/>
  <c r="P23" i="5"/>
  <c r="M26" i="3"/>
  <c r="P16" i="3"/>
  <c r="C8" i="3"/>
  <c r="E18" i="7"/>
  <c r="J2" i="7"/>
  <c r="B10" i="5"/>
  <c r="E20" i="3"/>
  <c r="E11" i="3"/>
  <c r="G2" i="3"/>
  <c r="F16" i="3"/>
  <c r="O24" i="3"/>
  <c r="E24" i="3"/>
  <c r="C9" i="7"/>
  <c r="J3" i="3"/>
  <c r="H10" i="3"/>
  <c r="D13" i="7"/>
  <c r="C44" i="7"/>
  <c r="P18" i="5"/>
  <c r="E9" i="7"/>
  <c r="O22" i="7"/>
  <c r="M16" i="5"/>
  <c r="A27" i="7"/>
  <c r="O6" i="3"/>
  <c r="X6" i="7"/>
  <c r="N18" i="3"/>
  <c r="H22" i="5"/>
  <c r="F15" i="3"/>
  <c r="F14" i="7"/>
  <c r="N3" i="5"/>
  <c r="P4" i="3"/>
  <c r="C24" i="5"/>
  <c r="M22" i="7"/>
  <c r="B15" i="3"/>
  <c r="P5" i="7"/>
  <c r="H28" i="3"/>
  <c r="F17" i="7"/>
  <c r="L21" i="5"/>
  <c r="P20" i="3"/>
  <c r="J9" i="3"/>
  <c r="A24" i="7"/>
  <c r="D3" i="7"/>
  <c r="N26" i="3"/>
  <c r="J14" i="3"/>
  <c r="N4" i="3"/>
  <c r="T11" i="7"/>
  <c r="N20" i="5"/>
  <c r="P24" i="3"/>
  <c r="M15" i="3"/>
  <c r="A7" i="3"/>
  <c r="C30" i="7"/>
  <c r="Q1" i="7"/>
  <c r="A7" i="5"/>
  <c r="C19" i="3"/>
  <c r="C10" i="3"/>
  <c r="G1" i="3"/>
  <c r="N16" i="7"/>
  <c r="F12" i="3"/>
  <c r="P14" i="7"/>
  <c r="J19" i="3"/>
  <c r="B19" i="3"/>
  <c r="G17" i="5"/>
  <c r="U20" i="7"/>
  <c r="O5" i="3"/>
  <c r="D11" i="7"/>
  <c r="N24" i="7"/>
  <c r="D17" i="5"/>
  <c r="D6" i="7"/>
  <c r="A20" i="7"/>
  <c r="A14" i="5"/>
  <c r="M23" i="5"/>
  <c r="P3" i="3"/>
  <c r="N3" i="7"/>
  <c r="P28" i="3"/>
  <c r="A46" i="7"/>
  <c r="B19" i="5"/>
  <c r="J13" i="3"/>
  <c r="Q29" i="7"/>
  <c r="A33" i="3"/>
  <c r="M20" i="5"/>
  <c r="Y17" i="7"/>
  <c r="E12" i="3"/>
  <c r="P21" i="5"/>
  <c r="A15" i="3"/>
  <c r="U15" i="7"/>
  <c r="H11" i="5"/>
  <c r="N19" i="3"/>
  <c r="E8" i="3"/>
  <c r="O21" i="7"/>
  <c r="P27" i="7"/>
  <c r="E25" i="3"/>
  <c r="E13" i="3"/>
  <c r="M3" i="3"/>
  <c r="E34" i="7"/>
  <c r="T9" i="7"/>
  <c r="H17" i="5"/>
  <c r="J23" i="3"/>
  <c r="G14" i="3"/>
  <c r="P5" i="3"/>
  <c r="X14" i="7"/>
  <c r="A29" i="5"/>
  <c r="J3" i="5"/>
  <c r="P17" i="3"/>
  <c r="P8" i="3"/>
  <c r="V8" i="7"/>
  <c r="L7" i="3"/>
  <c r="I6" i="3"/>
  <c r="G23" i="7"/>
  <c r="L15" i="3"/>
  <c r="C15" i="3"/>
  <c r="B7" i="5"/>
  <c r="B13" i="7"/>
  <c r="E4" i="7"/>
  <c r="N17" i="7"/>
  <c r="A9" i="5"/>
  <c r="K1" i="7"/>
  <c r="D14" i="7"/>
  <c r="L7" i="5"/>
  <c r="C12" i="5"/>
  <c r="L23" i="5"/>
  <c r="A13" i="3"/>
  <c r="F20" i="7"/>
  <c r="O10" i="5"/>
  <c r="G8" i="3"/>
  <c r="P6" i="7"/>
  <c r="D23" i="3"/>
  <c r="C18" i="7"/>
  <c r="O14" i="5"/>
  <c r="E6" i="7"/>
  <c r="E5" i="3"/>
  <c r="L18" i="5"/>
  <c r="M8" i="3"/>
  <c r="V13" i="7"/>
  <c r="C8" i="5"/>
  <c r="J18" i="3"/>
  <c r="O4" i="3"/>
  <c r="C19" i="7"/>
  <c r="O20" i="5"/>
  <c r="M23" i="3"/>
  <c r="P12" i="3"/>
  <c r="P2" i="3"/>
  <c r="H23" i="7"/>
  <c r="G7" i="7"/>
  <c r="X28" i="7"/>
  <c r="D30" i="7"/>
  <c r="A5" i="5"/>
  <c r="A25" i="5"/>
  <c r="Y29" i="7"/>
  <c r="N4" i="5"/>
  <c r="H6" i="5"/>
  <c r="E20" i="5"/>
  <c r="B12" i="3"/>
  <c r="P17" i="7"/>
  <c r="H7" i="5"/>
  <c r="E7" i="3"/>
  <c r="C4" i="7"/>
  <c r="H21" i="3"/>
  <c r="F30" i="7"/>
  <c r="G11" i="5"/>
  <c r="P28" i="7"/>
  <c r="C3" i="3"/>
  <c r="O13" i="5"/>
  <c r="I7" i="3"/>
  <c r="N12" i="7"/>
  <c r="H5" i="5"/>
  <c r="E17" i="3"/>
  <c r="A4" i="3"/>
  <c r="B17" i="7"/>
  <c r="E18" i="5"/>
  <c r="A22" i="3"/>
  <c r="N11" i="3"/>
  <c r="M1" i="3"/>
  <c r="J21" i="7"/>
  <c r="U4" i="7"/>
  <c r="G10" i="5"/>
  <c r="N20" i="3"/>
  <c r="O12" i="3"/>
  <c r="L3" i="3"/>
  <c r="L11" i="7"/>
  <c r="N19" i="5"/>
  <c r="C26" i="3"/>
  <c r="G16" i="3"/>
  <c r="J6" i="3"/>
  <c r="D27" i="5"/>
  <c r="F1" i="3"/>
  <c r="C7" i="7"/>
  <c r="P6" i="3"/>
  <c r="L6" i="7"/>
  <c r="F2" i="3"/>
  <c r="M20" i="3"/>
  <c r="C23" i="5"/>
  <c r="F22" i="5"/>
  <c r="N9" i="5"/>
  <c r="H3" i="5"/>
  <c r="G6" i="3"/>
  <c r="D13" i="3"/>
  <c r="N29" i="7"/>
  <c r="M7" i="3"/>
  <c r="G3" i="3"/>
  <c r="L14" i="5"/>
  <c r="J26" i="3"/>
  <c r="E18" i="3"/>
  <c r="Q22" i="3"/>
  <c r="V18" i="7"/>
  <c r="C13" i="3"/>
  <c r="D18" i="7"/>
  <c r="O8" i="3"/>
  <c r="D4" i="3"/>
  <c r="L25" i="5"/>
  <c r="F30" i="5"/>
  <c r="F32" i="3"/>
  <c r="L24" i="3"/>
  <c r="O22" i="5"/>
  <c r="L12" i="5"/>
  <c r="M11" i="7"/>
  <c r="F7" i="3"/>
  <c r="P13" i="5"/>
  <c r="E3" i="7"/>
  <c r="M11" i="3"/>
  <c r="B9" i="7"/>
  <c r="G5" i="3"/>
  <c r="D11" i="3"/>
  <c r="O16" i="3"/>
  <c r="O17" i="3"/>
  <c r="P11" i="7"/>
  <c r="E9" i="3"/>
  <c r="X10" i="7"/>
  <c r="K1" i="3"/>
  <c r="E9" i="5"/>
  <c r="Y3" i="7"/>
  <c r="L28" i="3"/>
  <c r="W24" i="7"/>
  <c r="Y12" i="7"/>
  <c r="G2" i="5"/>
  <c r="B19" i="7"/>
  <c r="M4" i="3"/>
  <c r="B23" i="5"/>
  <c r="N12" i="3"/>
  <c r="P13" i="3"/>
  <c r="L2" i="7"/>
  <c r="L4" i="3"/>
  <c r="E2" i="7"/>
  <c r="D27" i="7"/>
  <c r="I20" i="5"/>
  <c r="D33" i="7"/>
  <c r="C32" i="3"/>
  <c r="O20" i="3"/>
  <c r="P21" i="3"/>
  <c r="M28" i="3"/>
  <c r="L11" i="3"/>
  <c r="T4" i="7"/>
  <c r="F21" i="3"/>
  <c r="N16" i="5"/>
  <c r="P26" i="3"/>
  <c r="L14" i="3"/>
  <c r="Y2" i="7"/>
  <c r="O2" i="3"/>
  <c r="C17" i="5"/>
  <c r="M20" i="7"/>
  <c r="B10" i="3"/>
  <c r="M19" i="5"/>
  <c r="A43" i="7"/>
  <c r="N22" i="7"/>
  <c r="N21" i="3"/>
  <c r="A7" i="7"/>
  <c r="L2" i="3"/>
  <c r="A3" i="3"/>
  <c r="H12" i="7"/>
  <c r="N15" i="5"/>
  <c r="E32" i="3"/>
  <c r="Y14" i="7"/>
  <c r="M29" i="7"/>
  <c r="F5" i="3"/>
  <c r="J30" i="7"/>
  <c r="F10" i="5"/>
  <c r="B16" i="5"/>
  <c r="N7" i="5"/>
  <c r="M24" i="3"/>
  <c r="N28" i="3"/>
  <c r="P1" i="7"/>
  <c r="B40" i="7"/>
  <c r="O11" i="7"/>
  <c r="M1" i="5"/>
  <c r="G9" i="3"/>
  <c r="L19" i="3"/>
  <c r="A31" i="7"/>
  <c r="D15" i="3"/>
  <c r="M6" i="5"/>
  <c r="J2" i="3"/>
  <c r="G25" i="5"/>
  <c r="C23" i="3"/>
  <c r="B17" i="3"/>
</calcChain>
</file>

<file path=xl/sharedStrings.xml><?xml version="1.0" encoding="utf-8"?>
<sst xmlns="http://schemas.openxmlformats.org/spreadsheetml/2006/main" count="1231" uniqueCount="548">
  <si>
    <t>TIENDA</t>
  </si>
  <si>
    <t>ITEM</t>
  </si>
  <si>
    <t>RAZON SOCIAL</t>
  </si>
  <si>
    <t>OBSERVACIONES</t>
  </si>
  <si>
    <t>IMPORTE</t>
  </si>
  <si>
    <t>IVA/OTRO</t>
  </si>
  <si>
    <t>OTRAS PERCEP.</t>
  </si>
  <si>
    <t>TOTAL</t>
  </si>
  <si>
    <t>FECHA 
 PAGO</t>
  </si>
  <si>
    <t>COM LUCERO SAN TELMO</t>
  </si>
  <si>
    <t>SEGURIDAD DENAPOLI S.R.L.</t>
  </si>
  <si>
    <t>43.676,16</t>
  </si>
  <si>
    <t>FLORIDA LUCERO (TIENDA)</t>
  </si>
  <si>
    <t>ABL</t>
  </si>
  <si>
    <t>Mageca S.A.</t>
  </si>
  <si>
    <t>ND 00002-00000052</t>
  </si>
  <si>
    <t>405.356,99</t>
  </si>
  <si>
    <t>AYSA</t>
  </si>
  <si>
    <t>388.901,91</t>
  </si>
  <si>
    <t>105.003,52</t>
  </si>
  <si>
    <t>24.461,93</t>
  </si>
  <si>
    <t>518.367,36</t>
  </si>
  <si>
    <t>EDESUR</t>
  </si>
  <si>
    <t>Edesur</t>
  </si>
  <si>
    <t>FA 0501-02178398</t>
  </si>
  <si>
    <t>136.805,33</t>
  </si>
  <si>
    <t>36.937,44</t>
  </si>
  <si>
    <t>12.836,44</t>
  </si>
  <si>
    <t>186.579,21</t>
  </si>
  <si>
    <t>FA 0501-02178642</t>
  </si>
  <si>
    <t>11.872,79</t>
  </si>
  <si>
    <t>3.205,65</t>
  </si>
  <si>
    <t>1.114,02</t>
  </si>
  <si>
    <t>16.192,46</t>
  </si>
  <si>
    <t>FA 9904-02372370</t>
  </si>
  <si>
    <t>443.794,65</t>
  </si>
  <si>
    <t>119.824,56</t>
  </si>
  <si>
    <t>43.547,26</t>
  </si>
  <si>
    <t>607.166,47</t>
  </si>
  <si>
    <t>EXPENSAS</t>
  </si>
  <si>
    <t>386.280,50</t>
  </si>
  <si>
    <t>FUMIGACION</t>
  </si>
  <si>
    <t>MANOLIO MARIANO SERGIO</t>
  </si>
  <si>
    <t>FA 00003-00000955</t>
  </si>
  <si>
    <t>29.756,00</t>
  </si>
  <si>
    <t>6.248,76</t>
  </si>
  <si>
    <t>36.004,76</t>
  </si>
  <si>
    <t>INTERNET</t>
  </si>
  <si>
    <t>Telecom Argentina sa</t>
  </si>
  <si>
    <t>FA 4264-04971072</t>
  </si>
  <si>
    <t>115.950,00</t>
  </si>
  <si>
    <t>35.827,76</t>
  </si>
  <si>
    <t>7.594,00</t>
  </si>
  <si>
    <t>159.371,76</t>
  </si>
  <si>
    <t>ALQUILER</t>
  </si>
  <si>
    <t>FA 00002-00000200</t>
  </si>
  <si>
    <t>2.924.376,08</t>
  </si>
  <si>
    <t>614.118,98</t>
  </si>
  <si>
    <t>3.538.495,06</t>
  </si>
  <si>
    <t>SANES JUAN MANUEL</t>
  </si>
  <si>
    <t>162.152,00</t>
  </si>
  <si>
    <t>FRENCH LUC 27 Y 29 (TIENDA)</t>
  </si>
  <si>
    <t>FA 0501-02168207</t>
  </si>
  <si>
    <t>105.781,06</t>
  </si>
  <si>
    <t>28.560,89</t>
  </si>
  <si>
    <t>8.914,41</t>
  </si>
  <si>
    <t>143.256,36</t>
  </si>
  <si>
    <t>FA 0501-02168206</t>
  </si>
  <si>
    <t>32.735,70</t>
  </si>
  <si>
    <t>8.838,64</t>
  </si>
  <si>
    <t>2.060,56</t>
  </si>
  <si>
    <t>43.634,90</t>
  </si>
  <si>
    <t>Solar de french</t>
  </si>
  <si>
    <t>217.830,00</t>
  </si>
  <si>
    <t>23.896,00</t>
  </si>
  <si>
    <t>5.018,16</t>
  </si>
  <si>
    <t>28.914,16</t>
  </si>
  <si>
    <t>FA 4264-04959817</t>
  </si>
  <si>
    <t>81.550,00</t>
  </si>
  <si>
    <t>23.649,50</t>
  </si>
  <si>
    <t>-</t>
  </si>
  <si>
    <t>105.199,50</t>
  </si>
  <si>
    <t>Fideicomiso Laguna Oscura</t>
  </si>
  <si>
    <t>738.584,00</t>
  </si>
  <si>
    <t>GALERIA GUEMES LOC 08 (TIENDA)</t>
  </si>
  <si>
    <t>FA 4264-04943959</t>
  </si>
  <si>
    <t>30.600,00</t>
  </si>
  <si>
    <t>8.874,00</t>
  </si>
  <si>
    <t>39.474,00</t>
  </si>
  <si>
    <t>Galeria Gral Güemes SAI</t>
  </si>
  <si>
    <t>FA 00003-00018617</t>
  </si>
  <si>
    <t>540.862,00</t>
  </si>
  <si>
    <t>113.581,02</t>
  </si>
  <si>
    <t>280.206,89</t>
  </si>
  <si>
    <t>934.649,91</t>
  </si>
  <si>
    <t>725.872,00</t>
  </si>
  <si>
    <t>1.220.075,00</t>
  </si>
  <si>
    <t>QUILMES AS PDI SA (TIENDA)</t>
  </si>
  <si>
    <t>FA 0501-02195369</t>
  </si>
  <si>
    <t>134.929,12</t>
  </si>
  <si>
    <t>36.430,86</t>
  </si>
  <si>
    <t>11.907,97</t>
  </si>
  <si>
    <t>183.267,95</t>
  </si>
  <si>
    <t>Telefonica Argentina sa</t>
  </si>
  <si>
    <t>FA 3103-00017419</t>
  </si>
  <si>
    <t>80.802,40</t>
  </si>
  <si>
    <t>18.194,62</t>
  </si>
  <si>
    <t>2.424,07</t>
  </si>
  <si>
    <t>101.421,09</t>
  </si>
  <si>
    <t>VARIOS</t>
  </si>
  <si>
    <t>MUNICIPALIDAD DE QUILMES</t>
  </si>
  <si>
    <t>133.584,79</t>
  </si>
  <si>
    <t>AQUINO (FLETE)</t>
  </si>
  <si>
    <t>180.000,00</t>
  </si>
  <si>
    <t>332.100,00</t>
  </si>
  <si>
    <t>RECOLETA LUCERO (TIENDA)</t>
  </si>
  <si>
    <t>FA 0501-02168204</t>
  </si>
  <si>
    <t>82.273,04</t>
  </si>
  <si>
    <t>22.213,72</t>
  </si>
  <si>
    <t>6.708,65</t>
  </si>
  <si>
    <t>111.195,41</t>
  </si>
  <si>
    <t>FORTIN MAURE S.A.</t>
  </si>
  <si>
    <t>FA 0030-00089164</t>
  </si>
  <si>
    <t>1.858.800,59</t>
  </si>
  <si>
    <t>390.348,12</t>
  </si>
  <si>
    <t>92.940,03</t>
  </si>
  <si>
    <t>2.342.088,74</t>
  </si>
  <si>
    <t>FA 4264-05062879</t>
  </si>
  <si>
    <t>48.305,79</t>
  </si>
  <si>
    <t>14.008,68</t>
  </si>
  <si>
    <t>0,01</t>
  </si>
  <si>
    <t>62.314,48</t>
  </si>
  <si>
    <t>FA 0030-00089741</t>
  </si>
  <si>
    <t>1.776.140,28</t>
  </si>
  <si>
    <t>372.989,46</t>
  </si>
  <si>
    <t>88.807,01</t>
  </si>
  <si>
    <t>2.237.936,75</t>
  </si>
  <si>
    <t>49.946,38</t>
  </si>
  <si>
    <t>SAN TELMO AS STORE MESATEL LOC 120/121 (TIENDA)</t>
  </si>
  <si>
    <t>0501-02168205</t>
  </si>
  <si>
    <t>110.998,31</t>
  </si>
  <si>
    <t>29.969,54</t>
  </si>
  <si>
    <t>9.403,94</t>
  </si>
  <si>
    <t>150.371,79</t>
  </si>
  <si>
    <t>MESATEL</t>
  </si>
  <si>
    <t>679.193,52</t>
  </si>
  <si>
    <t>FA 00003-00007586</t>
  </si>
  <si>
    <t>1.696.728,40</t>
  </si>
  <si>
    <t>356.312,96</t>
  </si>
  <si>
    <t>2.053.041,36</t>
  </si>
  <si>
    <t>SAN TELMO LUC MESATEL LOC 92 (TIENDA)</t>
  </si>
  <si>
    <t>FA 0501-02168459</t>
  </si>
  <si>
    <t>68.433,78</t>
  </si>
  <si>
    <t>18.477,12</t>
  </si>
  <si>
    <t>5.410,11</t>
  </si>
  <si>
    <t>92.321,01</t>
  </si>
  <si>
    <t>339.596,76</t>
  </si>
  <si>
    <t>FA 00003-00007585</t>
  </si>
  <si>
    <t>2.333.371,20</t>
  </si>
  <si>
    <t>490.007,95</t>
  </si>
  <si>
    <t>2.823.379,15</t>
  </si>
  <si>
    <t>SAN TELMO LUCERO 2 MESATEL LOC 122 (TIENDA)</t>
  </si>
  <si>
    <t>cliente 03717992</t>
  </si>
  <si>
    <t>95.237,85</t>
  </si>
  <si>
    <t>FA 00003-00007587</t>
  </si>
  <si>
    <t>825.000,00</t>
  </si>
  <si>
    <t>173.250,00</t>
  </si>
  <si>
    <t>998.250,00</t>
  </si>
  <si>
    <t>TIENDA / DEPOSITO / OFICINA / FABRICA</t>
  </si>
  <si>
    <t>FECHA PAGO</t>
  </si>
  <si>
    <t>COM LUCERO FLORIDA</t>
  </si>
  <si>
    <t>FA 0501-02291854</t>
  </si>
  <si>
    <t>$ 118.639,49</t>
  </si>
  <si>
    <t>$ 32.032,66</t>
  </si>
  <si>
    <t>$ 10.788,91</t>
  </si>
  <si>
    <t>$ 161.461,06</t>
  </si>
  <si>
    <t>FA 0501-02291992</t>
  </si>
  <si>
    <t>$ 12.202,15</t>
  </si>
  <si>
    <t>$ 3.294,58</t>
  </si>
  <si>
    <t>$ 801,89</t>
  </si>
  <si>
    <t>$ 16.298,62</t>
  </si>
  <si>
    <t>FA 9904-02394351</t>
  </si>
  <si>
    <t>$ 337.381,60</t>
  </si>
  <si>
    <t>$ 91.093,03</t>
  </si>
  <si>
    <t>$ 31.313,49</t>
  </si>
  <si>
    <t>$ 459.788,12</t>
  </si>
  <si>
    <t>MAGECA S A</t>
  </si>
  <si>
    <t>$ 2.924.376,08</t>
  </si>
  <si>
    <t>$ 614.118,98</t>
  </si>
  <si>
    <t>$ 3.538.495,06</t>
  </si>
  <si>
    <t>ND 00002-00000054</t>
  </si>
  <si>
    <t>$ 407.740,50</t>
  </si>
  <si>
    <t>$ 456.619,16</t>
  </si>
  <si>
    <t>$ 519.510,52</t>
  </si>
  <si>
    <t>FA 00003-00000965</t>
  </si>
  <si>
    <t>$ 24.380,00</t>
  </si>
  <si>
    <t>$ 5.119,80</t>
  </si>
  <si>
    <t>$ 29.499,80</t>
  </si>
  <si>
    <t>ALARMA</t>
  </si>
  <si>
    <t>FC 00001-00000058</t>
  </si>
  <si>
    <t>$ 40.000,00</t>
  </si>
  <si>
    <t>TELECOM ARGENTINA SOCIEDAD ANONIMA</t>
  </si>
  <si>
    <t>FA 4264-05107815</t>
  </si>
  <si>
    <t>$ 127.001,00</t>
  </si>
  <si>
    <t>$ 26.670,21</t>
  </si>
  <si>
    <t>$ 10.160,08</t>
  </si>
  <si>
    <t>$ 163.831,29</t>
  </si>
  <si>
    <t>COM. LUCERO FRECH</t>
  </si>
  <si>
    <t>FA 0501-02285075</t>
  </si>
  <si>
    <t>$ 117.541,92</t>
  </si>
  <si>
    <t>$ 31.736,32</t>
  </si>
  <si>
    <t>$ 10.685,93</t>
  </si>
  <si>
    <t>$ 159.964,17</t>
  </si>
  <si>
    <t>FA 0501-02285074</t>
  </si>
  <si>
    <t>$ 50.547,91</t>
  </si>
  <si>
    <t>$ 13.647,94</t>
  </si>
  <si>
    <t>$ 4.399,88</t>
  </si>
  <si>
    <t>$ 68.595,73</t>
  </si>
  <si>
    <t>RA 00001-00000029</t>
  </si>
  <si>
    <t>$ -</t>
  </si>
  <si>
    <t>$ 738.584,00</t>
  </si>
  <si>
    <t>$ 27.480,00</t>
  </si>
  <si>
    <t>$ 5.770,80</t>
  </si>
  <si>
    <t>$ 33.250,80</t>
  </si>
  <si>
    <t>s/c</t>
  </si>
  <si>
    <t>$ 214.646,93</t>
  </si>
  <si>
    <t>FA 4264-05097061</t>
  </si>
  <si>
    <t>$ 89.800,00</t>
  </si>
  <si>
    <t>$ 18.858,00</t>
  </si>
  <si>
    <t>$ 7.184,00</t>
  </si>
  <si>
    <t>$ 115.842,00</t>
  </si>
  <si>
    <t>COM LUCERO GUEMES GONDOLA</t>
  </si>
  <si>
    <t>GALERIA GRAL GUEMES S A I</t>
  </si>
  <si>
    <t>FA 0003-00018618</t>
  </si>
  <si>
    <t>$ 386.330,00</t>
  </si>
  <si>
    <t>$ 81.129,30</t>
  </si>
  <si>
    <t>$ 467.459,30</t>
  </si>
  <si>
    <t>$ 42.869,79</t>
  </si>
  <si>
    <t>$ 5.477,78</t>
  </si>
  <si>
    <t>$ 1.150,33</t>
  </si>
  <si>
    <t>$ 6.628,11</t>
  </si>
  <si>
    <t>COM LUCERO GUEMES LOC.8</t>
  </si>
  <si>
    <t>$ 540.862,00</t>
  </si>
  <si>
    <t>$ 113.581,02</t>
  </si>
  <si>
    <t>$ 654.443,02</t>
  </si>
  <si>
    <t>$ 280.206,89</t>
  </si>
  <si>
    <t>FA 4264-05080411</t>
  </si>
  <si>
    <t>$ 31.350,00</t>
  </si>
  <si>
    <t>$ 6.583,50</t>
  </si>
  <si>
    <t>$ 2.508,00</t>
  </si>
  <si>
    <t>$ 40.441,50</t>
  </si>
  <si>
    <t>COM. AS QUILMES</t>
  </si>
  <si>
    <t>TELEFONICA MOVILES ARGENTINA SOCIEDAD ANONIMA</t>
  </si>
  <si>
    <t>FA 3103-00019180</t>
  </si>
  <si>
    <t>$ 82.983,20</t>
  </si>
  <si>
    <t>$ 18.685,66</t>
  </si>
  <si>
    <t>$ 2.489,50</t>
  </si>
  <si>
    <t>$ 104.158,36</t>
  </si>
  <si>
    <t>COM LUCERO RECOLETA</t>
  </si>
  <si>
    <t>FA 0501-02277271</t>
  </si>
  <si>
    <t>$ 84.534,62</t>
  </si>
  <si>
    <t>$ 22.824,35</t>
  </si>
  <si>
    <t>$ 7.588,85</t>
  </si>
  <si>
    <t>$ 114.947,82</t>
  </si>
  <si>
    <t>$ 1.776.140,28</t>
  </si>
  <si>
    <t>$ 372.989,46</t>
  </si>
  <si>
    <t>$ 88.807,01</t>
  </si>
  <si>
    <t>$ 2.237.936,75</t>
  </si>
  <si>
    <t>FA 0030-00089550</t>
  </si>
  <si>
    <t>$ 1.855.294,61</t>
  </si>
  <si>
    <t>$ 389.611,87</t>
  </si>
  <si>
    <t>$ 92.764,73</t>
  </si>
  <si>
    <t>$ 2.337.671,21</t>
  </si>
  <si>
    <t>FA 4264-05199207</t>
  </si>
  <si>
    <t>$ 49.512,40</t>
  </si>
  <si>
    <t>$ 10.397,60</t>
  </si>
  <si>
    <t>$ 3.960,99</t>
  </si>
  <si>
    <t>$ 63.870,99</t>
  </si>
  <si>
    <t>COM AS SAN TELMO</t>
  </si>
  <si>
    <t>FA 0501-02285073</t>
  </si>
  <si>
    <t>$ 174.196,76</t>
  </si>
  <si>
    <t>$ 47.033,13</t>
  </si>
  <si>
    <t>$ 16.001,85</t>
  </si>
  <si>
    <t>$ 237.231,74</t>
  </si>
  <si>
    <t>MESATEL SA</t>
  </si>
  <si>
    <t>$ 1.696.728,40</t>
  </si>
  <si>
    <t>$ 356.312,96</t>
  </si>
  <si>
    <t>$ 2.053.041,36</t>
  </si>
  <si>
    <t>$ 686.008,98</t>
  </si>
  <si>
    <t>COM LUCERO ST</t>
  </si>
  <si>
    <t>FA 0501-02284788</t>
  </si>
  <si>
    <t>$ 79.417,99</t>
  </si>
  <si>
    <t>$ 21.443,86</t>
  </si>
  <si>
    <t>$ 7.108,76</t>
  </si>
  <si>
    <t>$ 107.970,61</t>
  </si>
  <si>
    <t>$ 2.333.371,20</t>
  </si>
  <si>
    <t>$ 490.007,95</t>
  </si>
  <si>
    <t>$ 2.823.379,15</t>
  </si>
  <si>
    <t>$ 343.004,49</t>
  </si>
  <si>
    <t>COM LUCERO ST 2</t>
  </si>
  <si>
    <t>sin comprobante</t>
  </si>
  <si>
    <t>$ 110.074,67</t>
  </si>
  <si>
    <t>$ 825.000,00</t>
  </si>
  <si>
    <t>$ 173.250,00</t>
  </si>
  <si>
    <t>$ 998.250,00</t>
  </si>
  <si>
    <t>FACTURA</t>
  </si>
  <si>
    <t>FECHA EMISION</t>
  </si>
  <si>
    <t>-mayo-2025</t>
  </si>
  <si>
    <t>FC</t>
  </si>
  <si>
    <t>FA 00003-00007698</t>
  </si>
  <si>
    <t>$ 1.200.553,02</t>
  </si>
  <si>
    <t>$ 252.116,13</t>
  </si>
  <si>
    <t>$ 1.452.669,15</t>
  </si>
  <si>
    <t>FA 0501-02399783</t>
  </si>
  <si>
    <t>$ 177.166,59</t>
  </si>
  <si>
    <t>$ 47.834,98</t>
  </si>
  <si>
    <t>$ 16.623,54</t>
  </si>
  <si>
    <t>$ 241.625,11</t>
  </si>
  <si>
    <t>S/C</t>
  </si>
  <si>
    <t>$ 955.501,96</t>
  </si>
  <si>
    <t>FA 00003-00000974</t>
  </si>
  <si>
    <t>FA 3103-00021024</t>
  </si>
  <si>
    <t>$ 84.973,60</t>
  </si>
  <si>
    <t>$ 19.133,83</t>
  </si>
  <si>
    <t>$ 2.549,21</t>
  </si>
  <si>
    <t>$ 106.656,64</t>
  </si>
  <si>
    <t>ND 00002-00000057</t>
  </si>
  <si>
    <t>$ 471.713,48</t>
  </si>
  <si>
    <t>FC 00001-00000065</t>
  </si>
  <si>
    <t>$ 361.000,00</t>
  </si>
  <si>
    <t>FA 00002-00000202</t>
  </si>
  <si>
    <t>$ 2.139.397,76</t>
  </si>
  <si>
    <t>$ 449.273,53</t>
  </si>
  <si>
    <t>$ 2.588.671,29</t>
  </si>
  <si>
    <t>$ 393.527,01</t>
  </si>
  <si>
    <t>$ 106.252,29</t>
  </si>
  <si>
    <t>$ 24.752,85</t>
  </si>
  <si>
    <t>$ 524.532,15</t>
  </si>
  <si>
    <t>FA 0501-02399786</t>
  </si>
  <si>
    <t>$ 12.798,46</t>
  </si>
  <si>
    <t>$ 3.455,58</t>
  </si>
  <si>
    <t>$ 1.200,88</t>
  </si>
  <si>
    <t>$ 17.454,92</t>
  </si>
  <si>
    <t>FA 0501-02400314</t>
  </si>
  <si>
    <t>$ 120.642,94</t>
  </si>
  <si>
    <t>$ 32.573,59</t>
  </si>
  <si>
    <t>$ 11.319,93</t>
  </si>
  <si>
    <t>$ 164.536,46</t>
  </si>
  <si>
    <t>FA 9904-02414082</t>
  </si>
  <si>
    <t>$ 268.917,41</t>
  </si>
  <si>
    <t>$ 72.607,70</t>
  </si>
  <si>
    <t>$ 50.242,28</t>
  </si>
  <si>
    <t>$ 391.767,39</t>
  </si>
  <si>
    <t>$ 515.040,50</t>
  </si>
  <si>
    <t>$ 34.220,00</t>
  </si>
  <si>
    <t>$ 7.186,20</t>
  </si>
  <si>
    <t>$ 41.406,20</t>
  </si>
  <si>
    <t>FA 4264-05249336</t>
  </si>
  <si>
    <t>$ 130.551,00</t>
  </si>
  <si>
    <t>$ 27.415,71</t>
  </si>
  <si>
    <t>$ 10.444,08</t>
  </si>
  <si>
    <t>$ 168.410,79</t>
  </si>
  <si>
    <t>MATAFUEGO</t>
  </si>
  <si>
    <t>SEGURIDAD DENAPOLI SRL</t>
  </si>
  <si>
    <t>FA 00004-00009645</t>
  </si>
  <si>
    <t>$ 38.096,00</t>
  </si>
  <si>
    <t>$ 8.000,16</t>
  </si>
  <si>
    <t>$ 46.096,16</t>
  </si>
  <si>
    <t>COM LUCERO GUEMES</t>
  </si>
  <si>
    <t>FA 00003-00018750</t>
  </si>
  <si>
    <t>$ 274.476,14</t>
  </si>
  <si>
    <t>FA 4264-05217439</t>
  </si>
  <si>
    <t>$ 32.275,00</t>
  </si>
  <si>
    <t>$ 6.777,75</t>
  </si>
  <si>
    <t>$ 2.582,00</t>
  </si>
  <si>
    <t>$ 41.634,75</t>
  </si>
  <si>
    <t>FA 4264-05351455</t>
  </si>
  <si>
    <t>COM LUCERO GUEMES GONDOLA 13</t>
  </si>
  <si>
    <t>FA 00003-00018767</t>
  </si>
  <si>
    <t>$ 250.000,00</t>
  </si>
  <si>
    <t>$ 52.500,00</t>
  </si>
  <si>
    <t>$ 302.500,00</t>
  </si>
  <si>
    <t>$ 15.214,86</t>
  </si>
  <si>
    <t>COM LUCERO GUEMES GONDOLA 7</t>
  </si>
  <si>
    <t>FA 00003-00018751</t>
  </si>
  <si>
    <t>$ 12.278,57</t>
  </si>
  <si>
    <t>$ 2.578,50</t>
  </si>
  <si>
    <t>$ 14.857,07</t>
  </si>
  <si>
    <t>$ 41.993,02</t>
  </si>
  <si>
    <t>FC 00001-00000066</t>
  </si>
  <si>
    <t>$ 143.450,00</t>
  </si>
  <si>
    <t>FA 0030-000090177</t>
  </si>
  <si>
    <t>$ 1.201.308,39</t>
  </si>
  <si>
    <t>$ 252.274,76</t>
  </si>
  <si>
    <t>$ 60.065,42</t>
  </si>
  <si>
    <t>$ 1.513.648,57</t>
  </si>
  <si>
    <t>FA 0501-02389941</t>
  </si>
  <si>
    <t>$ 82.731,32</t>
  </si>
  <si>
    <t>$ 22.337,46</t>
  </si>
  <si>
    <t>$ 7.762,68</t>
  </si>
  <si>
    <t>$ 112.831,46</t>
  </si>
  <si>
    <t>FA 0030-00089982</t>
  </si>
  <si>
    <t>$ 1.997.735,13</t>
  </si>
  <si>
    <t>$ 419.524,38</t>
  </si>
  <si>
    <t>$ 99.886,76</t>
  </si>
  <si>
    <t>$ 2.517.146,27</t>
  </si>
  <si>
    <t>FA 4264-05336176</t>
  </si>
  <si>
    <t>$ 51.942,15</t>
  </si>
  <si>
    <t>$ 10.907,85</t>
  </si>
  <si>
    <t>$ 4.155,37</t>
  </si>
  <si>
    <t>$ 67.005,37</t>
  </si>
  <si>
    <t>FA 00004-00009643</t>
  </si>
  <si>
    <t>FA 00003-00007697</t>
  </si>
  <si>
    <t>$ 1.623.633,20</t>
  </si>
  <si>
    <t>$ 340.962,97</t>
  </si>
  <si>
    <t>$ 1.964.596,17</t>
  </si>
  <si>
    <t>FA 0501-02400315</t>
  </si>
  <si>
    <t>$ 81.062,57</t>
  </si>
  <si>
    <t>$ 21.886,89</t>
  </si>
  <si>
    <t>$ 7.606,10</t>
  </si>
  <si>
    <t>$ 110.555,56</t>
  </si>
  <si>
    <t>$ 477.750,98</t>
  </si>
  <si>
    <t>FA 00003-00007699</t>
  </si>
  <si>
    <t>$ 112.692,44</t>
  </si>
  <si>
    <t>FA 00004-00009644</t>
  </si>
  <si>
    <t>FA 0501-702412401</t>
  </si>
  <si>
    <t>$ 70.102,82</t>
  </si>
  <si>
    <t>$ 18.927,76</t>
  </si>
  <si>
    <t>$ 11.330,92</t>
  </si>
  <si>
    <t>$ 100.361,50</t>
  </si>
  <si>
    <t>FA 0505-00007707</t>
  </si>
  <si>
    <t>$ 5.665,74</t>
  </si>
  <si>
    <t>$ 1.529,75</t>
  </si>
  <si>
    <t>$ 4.613,36</t>
  </si>
  <si>
    <t>$ 11.808,85</t>
  </si>
  <si>
    <t>COM. LUCERO FRENCH</t>
  </si>
  <si>
    <t>RA 00001-00000056</t>
  </si>
  <si>
    <t>FA 0501-02399784</t>
  </si>
  <si>
    <t>$ 51.659,38</t>
  </si>
  <si>
    <t>$ 13.948,03</t>
  </si>
  <si>
    <t>$ 4.847,20</t>
  </si>
  <si>
    <t>$ 70.454,61</t>
  </si>
  <si>
    <t>FA 0501-02399785</t>
  </si>
  <si>
    <t>$ 119.742,24</t>
  </si>
  <si>
    <t>$ 32.330,40</t>
  </si>
  <si>
    <t>$ 11.235,42</t>
  </si>
  <si>
    <t>$ 163.308,06</t>
  </si>
  <si>
    <t>$ 262.951,79</t>
  </si>
  <si>
    <t>$ 45.480,00</t>
  </si>
  <si>
    <t>$ 9.550,80</t>
  </si>
  <si>
    <t>$ 55.030,80</t>
  </si>
  <si>
    <t>FA 4264-05236055</t>
  </si>
  <si>
    <t>$ 92.450,00</t>
  </si>
  <si>
    <t>$ 19.414,50</t>
  </si>
  <si>
    <t>$ 7.396,00</t>
  </si>
  <si>
    <t>$ 119.260,50</t>
  </si>
  <si>
    <t>FA 00004-00009640</t>
  </si>
  <si>
    <t>PRESIDENCIA GALERIA GUEMES (LOC.04)</t>
  </si>
  <si>
    <t>FA 00003-00018757</t>
  </si>
  <si>
    <t>$ 500.000,00</t>
  </si>
  <si>
    <t>$ 105.000,00</t>
  </si>
  <si>
    <t>$ 605.000,00</t>
  </si>
  <si>
    <t>$ 262.912,84</t>
  </si>
  <si>
    <t>PRESIDENCIA GALERIA GUEMES (OFICINA)</t>
  </si>
  <si>
    <t>FA 00003-00018749</t>
  </si>
  <si>
    <t>$ 211.929,60</t>
  </si>
  <si>
    <t>$ 44.505,22</t>
  </si>
  <si>
    <t>$ 256.434,82</t>
  </si>
  <si>
    <t>$ 467.400,61</t>
  </si>
  <si>
    <t>Etiquetas de fila</t>
  </si>
  <si>
    <t>AS San Telmo</t>
  </si>
  <si>
    <t>Lucero Florida</t>
  </si>
  <si>
    <t>Lucero French</t>
  </si>
  <si>
    <t>Lucero Güemes</t>
  </si>
  <si>
    <t>Lucero Recoleta</t>
  </si>
  <si>
    <t>Lucero San Telmo</t>
  </si>
  <si>
    <t>Lucero San Telmo 2</t>
  </si>
  <si>
    <t>Total general</t>
  </si>
  <si>
    <t>Suma de Costo total</t>
  </si>
  <si>
    <t>Legajo</t>
  </si>
  <si>
    <t>Apellido y Nombre</t>
  </si>
  <si>
    <t>Periodo</t>
  </si>
  <si>
    <t>Tienda asignada este mes</t>
  </si>
  <si>
    <t>Horas Totales</t>
  </si>
  <si>
    <t>Hs Normales (con vacaciones)</t>
  </si>
  <si>
    <t>Hs Feriados</t>
  </si>
  <si>
    <t>Feriados No trabajados (Hs)</t>
  </si>
  <si>
    <t>Licencias justificadas (Hs)</t>
  </si>
  <si>
    <t>Plus vacacional</t>
  </si>
  <si>
    <t>Cant días vacaciones</t>
  </si>
  <si>
    <t>Premios</t>
  </si>
  <si>
    <t>Sueldo Neto</t>
  </si>
  <si>
    <t>Sueldo Bruto</t>
  </si>
  <si>
    <t>Contribuciones
(con % abril)</t>
  </si>
  <si>
    <t>% 
(tomados del % de Abril)</t>
  </si>
  <si>
    <t>ART</t>
  </si>
  <si>
    <t>Total Contrib+ART+Aportes</t>
  </si>
  <si>
    <t>Costo total</t>
  </si>
  <si>
    <t>Observaciones</t>
  </si>
  <si>
    <t>Carrizo Camila</t>
  </si>
  <si>
    <t>SI</t>
  </si>
  <si>
    <t>Esposito Candela</t>
  </si>
  <si>
    <t>Bertolo Milagros</t>
  </si>
  <si>
    <t>NO</t>
  </si>
  <si>
    <t>Barajas Barbara</t>
  </si>
  <si>
    <t>De Brito Rocio</t>
  </si>
  <si>
    <t>Lara Robbio</t>
  </si>
  <si>
    <t>Viña Sofia</t>
  </si>
  <si>
    <t>Molina Agustina</t>
  </si>
  <si>
    <t>Kiara Corbalan</t>
  </si>
  <si>
    <t>Martínez Brisa</t>
  </si>
  <si>
    <t>CORONEL Mailen</t>
  </si>
  <si>
    <t>Ruiz de la Torre Maitena</t>
  </si>
  <si>
    <t>Gimenez Candela</t>
  </si>
  <si>
    <t>Imperiale Candela</t>
  </si>
  <si>
    <t xml:space="preserve">Machuca Araceli </t>
  </si>
  <si>
    <t>Balmaceda Luciana</t>
  </si>
  <si>
    <t>Oliva Micaela</t>
  </si>
  <si>
    <t>Mohamad Daila</t>
  </si>
  <si>
    <t>Sarapura Rebecca</t>
  </si>
  <si>
    <t>Scholler Chavez Ruth</t>
  </si>
  <si>
    <t>Ramirez Lola</t>
  </si>
  <si>
    <t>Machta Gina</t>
  </si>
  <si>
    <t>Dettoni Leguizamon Oriana</t>
  </si>
  <si>
    <t>BAJA</t>
  </si>
  <si>
    <t>Florencia Aguero</t>
  </si>
  <si>
    <t xml:space="preserve">Morena Martinez </t>
  </si>
  <si>
    <t>Chiara Perazzo</t>
  </si>
  <si>
    <t>Cabovianco Natalia</t>
  </si>
  <si>
    <t>Supervisora</t>
  </si>
  <si>
    <t>27,00 D</t>
  </si>
  <si>
    <t>3,00 D</t>
  </si>
  <si>
    <t>Eredia Cintia</t>
  </si>
  <si>
    <t>Visual</t>
  </si>
  <si>
    <t xml:space="preserve">Urbieta Barbara Giselle </t>
  </si>
  <si>
    <t>3 D</t>
  </si>
  <si>
    <t>Villarruel Candela</t>
  </si>
  <si>
    <t>AS Quilmes</t>
  </si>
  <si>
    <t>Licencia reposo x embarazo</t>
  </si>
  <si>
    <t>VENDEDOR B - tarifa standard</t>
  </si>
  <si>
    <t>VENDEDOR B - S Neto 88hs // 132hs</t>
  </si>
  <si>
    <t>VENDEDOR B - S Bruto- 88hs // 132hs</t>
  </si>
  <si>
    <t>COSTO TOTAL 88hs // 132hs</t>
  </si>
  <si>
    <t>Contribuciones + ART 88hs // 132hs</t>
  </si>
  <si>
    <t>VENDEDORA B 88 HS</t>
  </si>
  <si>
    <t>Dif plus vacacional 88hs</t>
  </si>
  <si>
    <t>VENDEDORA B 132 HS</t>
  </si>
  <si>
    <t>Dif plus vacacional 132 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</si>
</sst>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dd&quot;/&quot;mm&quot;/&quot;yyyy"/>
    <numFmt numFmtId="165" formatCode="_ * #,##0.00_ ;_ * \-#,##0.00_ ;_ * &quot;-&quot;??_ ;_ @_ "/>
    <numFmt numFmtId="166" formatCode="dd/mm/yyyy"/>
    <numFmt numFmtId="167" formatCode="&quot;-&quot;mmmm&quot;-&quot;yyyy"/>
    <numFmt numFmtId="168" formatCode="_-&quot;$&quot;* #,##0.00_-;_-&quot;$&quot;* \-#,##0.00_-;_-&quot;$&quot;* &quot;-&quot;??_-;_-@"/>
    <numFmt numFmtId="169" formatCode="mmmm&quot;/año&quot;yyyy"/>
    <numFmt numFmtId="170" formatCode="_-&quot;$&quot;\ * #,##0.00_-;\-&quot;$&quot;\ * #,##0.00_-;_-&quot;$&quot;\ * &quot;-&quot;??_-;_-@"/>
    <numFmt numFmtId="171" formatCode="&quot;$&quot;#,##0.00"/>
    <numFmt numFmtId="173" formatCode="_-&quot;$&quot;\ * #,##0_-;\-&quot;$&quot;\ * #,##0_-;_-&quot;$&quot;\ * &quot;-&quot;??_-;_-@_-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1"/>
      <color theme="1"/>
      <name val="Calibri"/>
    </font>
    <font>
      <sz val="11"/>
      <color theme="1"/>
      <name val="Arial"/>
      <scheme val="minor"/>
    </font>
    <font>
      <sz val="11"/>
      <color rgb="FF000000"/>
      <name val="Calibri"/>
    </font>
    <font>
      <b/>
      <sz val="13"/>
      <color rgb="FFFFFFFF"/>
      <name val="Calibri"/>
    </font>
    <font>
      <sz val="11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95">
    <xf numFmtId="0" fontId="0" fillId="0" borderId="0" xfId="0" applyFont="1" applyAlignment="1"/>
    <xf numFmtId="0" fontId="1" fillId="0" borderId="0" xfId="0" applyFont="1" applyAlignment="1">
      <alignment wrapText="1"/>
    </xf>
    <xf numFmtId="4" fontId="1" fillId="0" borderId="0" xfId="0" applyNumberFormat="1" applyFont="1" applyAlignment="1">
      <alignment wrapText="1"/>
    </xf>
    <xf numFmtId="3" fontId="1" fillId="0" borderId="0" xfId="0" applyNumberFormat="1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0" borderId="0" xfId="0" applyFont="1"/>
    <xf numFmtId="0" fontId="2" fillId="2" borderId="0" xfId="0" applyFont="1" applyFill="1"/>
    <xf numFmtId="164" fontId="2" fillId="0" borderId="0" xfId="0" applyNumberFormat="1" applyFont="1"/>
    <xf numFmtId="0" fontId="2" fillId="0" borderId="0" xfId="0" applyFont="1"/>
    <xf numFmtId="4" fontId="2" fillId="0" borderId="0" xfId="0" applyNumberFormat="1" applyFont="1"/>
    <xf numFmtId="4" fontId="2" fillId="0" borderId="0" xfId="0" applyNumberFormat="1" applyFont="1" applyAlignment="1">
      <alignment wrapText="1"/>
    </xf>
    <xf numFmtId="3" fontId="2" fillId="0" borderId="0" xfId="0" applyNumberFormat="1" applyFont="1"/>
    <xf numFmtId="2" fontId="2" fillId="0" borderId="0" xfId="0" applyNumberFormat="1" applyFont="1"/>
    <xf numFmtId="10" fontId="2" fillId="0" borderId="0" xfId="0" applyNumberFormat="1" applyFont="1"/>
    <xf numFmtId="17" fontId="2" fillId="0" borderId="0" xfId="0" applyNumberFormat="1" applyFont="1"/>
    <xf numFmtId="2" fontId="1" fillId="0" borderId="0" xfId="0" applyNumberFormat="1" applyFont="1"/>
    <xf numFmtId="0" fontId="2" fillId="3" borderId="0" xfId="0" applyFont="1" applyFill="1"/>
    <xf numFmtId="4" fontId="2" fillId="3" borderId="0" xfId="0" applyNumberFormat="1" applyFont="1" applyFill="1"/>
    <xf numFmtId="165" fontId="2" fillId="3" borderId="0" xfId="0" applyNumberFormat="1" applyFont="1" applyFill="1"/>
    <xf numFmtId="3" fontId="2" fillId="3" borderId="0" xfId="0" applyNumberFormat="1" applyFont="1" applyFill="1" applyAlignment="1">
      <alignment wrapText="1"/>
    </xf>
    <xf numFmtId="4" fontId="2" fillId="3" borderId="0" xfId="0" applyNumberFormat="1" applyFont="1" applyFill="1" applyAlignment="1">
      <alignment wrapText="1"/>
    </xf>
    <xf numFmtId="0" fontId="2" fillId="3" borderId="0" xfId="0" applyFont="1" applyFill="1" applyAlignment="1">
      <alignment wrapText="1"/>
    </xf>
    <xf numFmtId="17" fontId="2" fillId="3" borderId="0" xfId="0" applyNumberFormat="1" applyFont="1" applyFill="1"/>
    <xf numFmtId="3" fontId="2" fillId="3" borderId="0" xfId="0" applyNumberFormat="1" applyFont="1" applyFill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166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166" fontId="5" fillId="0" borderId="0" xfId="0" applyNumberFormat="1" applyFont="1" applyAlignment="1">
      <alignment horizontal="right"/>
    </xf>
    <xf numFmtId="166" fontId="2" fillId="0" borderId="0" xfId="0" applyNumberFormat="1" applyFont="1"/>
    <xf numFmtId="14" fontId="2" fillId="0" borderId="0" xfId="0" applyNumberFormat="1" applyFont="1"/>
    <xf numFmtId="0" fontId="1" fillId="3" borderId="0" xfId="0" applyFont="1" applyFill="1"/>
    <xf numFmtId="2" fontId="1" fillId="3" borderId="0" xfId="0" applyNumberFormat="1" applyFont="1" applyFill="1" applyAlignment="1">
      <alignment wrapText="1"/>
    </xf>
    <xf numFmtId="4" fontId="1" fillId="3" borderId="0" xfId="0" applyNumberFormat="1" applyFont="1" applyFill="1" applyAlignment="1">
      <alignment wrapText="1"/>
    </xf>
    <xf numFmtId="4" fontId="1" fillId="3" borderId="0" xfId="0" applyNumberFormat="1" applyFont="1" applyFill="1" applyAlignment="1">
      <alignment vertical="center"/>
    </xf>
    <xf numFmtId="0" fontId="1" fillId="3" borderId="0" xfId="0" applyFont="1" applyFill="1" applyAlignment="1">
      <alignment wrapText="1"/>
    </xf>
    <xf numFmtId="2" fontId="2" fillId="3" borderId="0" xfId="0" applyNumberFormat="1" applyFont="1" applyFill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/>
    <xf numFmtId="0" fontId="2" fillId="0" borderId="0" xfId="0" applyFont="1" applyAlignment="1">
      <alignment horizontal="right"/>
    </xf>
    <xf numFmtId="166" fontId="2" fillId="0" borderId="0" xfId="0" applyNumberFormat="1" applyFont="1" applyAlignment="1"/>
    <xf numFmtId="0" fontId="2" fillId="0" borderId="0" xfId="0" applyFont="1" applyAlignment="1">
      <alignment horizontal="right"/>
    </xf>
    <xf numFmtId="0" fontId="1" fillId="4" borderId="0" xfId="0" applyFont="1" applyFill="1" applyAlignment="1">
      <alignment wrapText="1"/>
    </xf>
    <xf numFmtId="4" fontId="1" fillId="4" borderId="0" xfId="0" applyNumberFormat="1" applyFont="1" applyFill="1" applyAlignment="1">
      <alignment wrapText="1"/>
    </xf>
    <xf numFmtId="0" fontId="2" fillId="0" borderId="0" xfId="0" applyFont="1" applyAlignment="1">
      <alignment wrapText="1"/>
    </xf>
    <xf numFmtId="0" fontId="1" fillId="5" borderId="0" xfId="0" applyFont="1" applyFill="1"/>
    <xf numFmtId="0" fontId="1" fillId="5" borderId="1" xfId="0" applyFont="1" applyFill="1" applyBorder="1"/>
    <xf numFmtId="4" fontId="1" fillId="5" borderId="1" xfId="0" applyNumberFormat="1" applyFont="1" applyFill="1" applyBorder="1"/>
    <xf numFmtId="0" fontId="2" fillId="5" borderId="1" xfId="0" applyFont="1" applyFill="1" applyBorder="1"/>
    <xf numFmtId="2" fontId="2" fillId="5" borderId="1" xfId="0" applyNumberFormat="1" applyFont="1" applyFill="1" applyBorder="1"/>
    <xf numFmtId="4" fontId="2" fillId="5" borderId="1" xfId="0" applyNumberFormat="1" applyFont="1" applyFill="1" applyBorder="1"/>
    <xf numFmtId="0" fontId="6" fillId="6" borderId="2" xfId="0" applyFont="1" applyFill="1" applyBorder="1" applyAlignment="1">
      <alignment horizontal="center" wrapText="1"/>
    </xf>
    <xf numFmtId="164" fontId="6" fillId="6" borderId="2" xfId="0" applyNumberFormat="1" applyFont="1" applyFill="1" applyBorder="1" applyAlignment="1">
      <alignment horizontal="center" wrapText="1"/>
    </xf>
    <xf numFmtId="167" fontId="6" fillId="6" borderId="1" xfId="0" applyNumberFormat="1" applyFont="1" applyFill="1" applyBorder="1" applyAlignment="1">
      <alignment wrapText="1"/>
    </xf>
    <xf numFmtId="0" fontId="7" fillId="6" borderId="1" xfId="0" applyFont="1" applyFill="1" applyBorder="1" applyAlignment="1"/>
    <xf numFmtId="168" fontId="7" fillId="6" borderId="1" xfId="0" applyNumberFormat="1" applyFont="1" applyFill="1" applyBorder="1" applyAlignment="1"/>
    <xf numFmtId="164" fontId="7" fillId="6" borderId="1" xfId="0" applyNumberFormat="1" applyFont="1" applyFill="1" applyBorder="1" applyAlignment="1"/>
    <xf numFmtId="0" fontId="7" fillId="0" borderId="1" xfId="0" applyFont="1" applyBorder="1" applyAlignment="1"/>
    <xf numFmtId="0" fontId="7" fillId="0" borderId="1" xfId="0" applyFont="1" applyBorder="1" applyAlignment="1">
      <alignment horizontal="center"/>
    </xf>
    <xf numFmtId="168" fontId="7" fillId="0" borderId="1" xfId="0" applyNumberFormat="1" applyFont="1" applyBorder="1" applyAlignment="1"/>
    <xf numFmtId="164" fontId="7" fillId="0" borderId="1" xfId="0" applyNumberFormat="1" applyFont="1" applyBorder="1" applyAlignment="1"/>
    <xf numFmtId="168" fontId="7" fillId="0" borderId="1" xfId="0" applyNumberFormat="1" applyFont="1" applyBorder="1" applyAlignment="1">
      <alignment horizontal="right"/>
    </xf>
    <xf numFmtId="164" fontId="7" fillId="0" borderId="1" xfId="0" applyNumberFormat="1" applyFont="1" applyBorder="1" applyAlignment="1">
      <alignment horizontal="center"/>
    </xf>
    <xf numFmtId="169" fontId="7" fillId="0" borderId="1" xfId="0" applyNumberFormat="1" applyFont="1" applyBorder="1" applyAlignment="1"/>
    <xf numFmtId="0" fontId="7" fillId="7" borderId="1" xfId="0" applyFont="1" applyFill="1" applyBorder="1" applyAlignment="1"/>
    <xf numFmtId="164" fontId="7" fillId="7" borderId="1" xfId="0" applyNumberFormat="1" applyFont="1" applyFill="1" applyBorder="1" applyAlignment="1">
      <alignment horizontal="center"/>
    </xf>
    <xf numFmtId="168" fontId="7" fillId="7" borderId="1" xfId="0" applyNumberFormat="1" applyFont="1" applyFill="1" applyBorder="1" applyAlignment="1">
      <alignment horizontal="right"/>
    </xf>
    <xf numFmtId="0" fontId="7" fillId="8" borderId="1" xfId="0" applyFont="1" applyFill="1" applyBorder="1" applyAlignment="1"/>
    <xf numFmtId="164" fontId="7" fillId="8" borderId="1" xfId="0" applyNumberFormat="1" applyFont="1" applyFill="1" applyBorder="1" applyAlignment="1">
      <alignment horizontal="center"/>
    </xf>
    <xf numFmtId="168" fontId="7" fillId="8" borderId="1" xfId="0" applyNumberFormat="1" applyFont="1" applyFill="1" applyBorder="1" applyAlignment="1"/>
    <xf numFmtId="168" fontId="7" fillId="8" borderId="1" xfId="0" applyNumberFormat="1" applyFont="1" applyFill="1" applyBorder="1" applyAlignment="1">
      <alignment horizontal="right"/>
    </xf>
    <xf numFmtId="168" fontId="7" fillId="9" borderId="1" xfId="0" applyNumberFormat="1" applyFont="1" applyFill="1" applyBorder="1" applyAlignment="1"/>
    <xf numFmtId="0" fontId="7" fillId="9" borderId="1" xfId="0" applyFont="1" applyFill="1" applyBorder="1" applyAlignment="1"/>
    <xf numFmtId="164" fontId="7" fillId="9" borderId="1" xfId="0" applyNumberFormat="1" applyFont="1" applyFill="1" applyBorder="1" applyAlignment="1">
      <alignment horizontal="center"/>
    </xf>
    <xf numFmtId="168" fontId="7" fillId="9" borderId="1" xfId="0" applyNumberFormat="1" applyFont="1" applyFill="1" applyBorder="1" applyAlignment="1">
      <alignment horizontal="right"/>
    </xf>
    <xf numFmtId="0" fontId="7" fillId="0" borderId="0" xfId="0" applyFont="1" applyAlignment="1"/>
    <xf numFmtId="168" fontId="7" fillId="0" borderId="0" xfId="0" applyNumberFormat="1" applyFont="1" applyAlignment="1"/>
    <xf numFmtId="164" fontId="7" fillId="0" borderId="0" xfId="0" applyNumberFormat="1" applyFont="1" applyAlignment="1"/>
    <xf numFmtId="14" fontId="7" fillId="0" borderId="0" xfId="0" applyNumberFormat="1" applyFont="1" applyAlignment="1"/>
    <xf numFmtId="0" fontId="1" fillId="4" borderId="0" xfId="0" applyFont="1" applyFill="1"/>
    <xf numFmtId="4" fontId="1" fillId="4" borderId="0" xfId="0" applyNumberFormat="1" applyFont="1" applyFill="1"/>
    <xf numFmtId="0" fontId="1" fillId="2" borderId="0" xfId="0" applyFont="1" applyFill="1"/>
    <xf numFmtId="170" fontId="2" fillId="0" borderId="0" xfId="0" applyNumberFormat="1" applyFont="1"/>
    <xf numFmtId="171" fontId="2" fillId="0" borderId="0" xfId="0" applyNumberFormat="1" applyFont="1"/>
    <xf numFmtId="0" fontId="2" fillId="10" borderId="0" xfId="0" applyFont="1" applyFill="1"/>
    <xf numFmtId="4" fontId="2" fillId="10" borderId="0" xfId="0" applyNumberFormat="1" applyFont="1" applyFill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73" fontId="0" fillId="0" borderId="0" xfId="0" applyNumberFormat="1" applyFont="1" applyAlignment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numFmt numFmtId="173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72" formatCode="_-&quot;$&quot;\ * #,##0.0_-;\-&quot;$&quot;\ * #,##0.0_-;_-&quot;$&quot;\ * &quot;-&quot;??_-;_-@_-"/>
    </dxf>
    <dxf>
      <numFmt numFmtId="172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73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72" formatCode="_-&quot;$&quot;\ * #,##0.0_-;\-&quot;$&quot;\ * #,##0.0_-;_-&quot;$&quot;\ * &quot;-&quot;??_-;_-@_-"/>
    </dxf>
    <dxf>
      <numFmt numFmtId="172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72" formatCode="_-&quot;$&quot;\ * #,##0.0_-;\-&quot;$&quot;\ * #,##0.0_-;_-&quot;$&quot;\ * &quot;-&quot;??_-;_-@_-"/>
    </dxf>
    <dxf>
      <numFmt numFmtId="173" formatCode="_-&quot;$&quot;\ * #,##0_-;\-&quot;$&quot;\ * #,##0_-;_-&quot;$&quot;\ * &quot;-&quot;??_-;_-@_-"/>
    </dxf>
    <dxf>
      <numFmt numFmtId="173" formatCode="_-&quot;$&quot;\ * #,##0_-;\-&quot;$&quot;\ * #,##0_-;_-&quot;$&quot;\ * &quot;-&quot;??_-;_-@_-"/>
    </dxf>
    <dxf>
      <numFmt numFmtId="172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5859.511743750001" createdVersion="6" refreshedVersion="6" minRefreshableVersion="3" recordCount="26">
  <cacheSource type="worksheet">
    <worksheetSource ref="A1:S27" sheet="Sueldos 03-2025"/>
  </cacheSource>
  <cacheFields count="19">
    <cacheField name="Legajo" numFmtId="0">
      <sharedItems containsSemiMixedTypes="0" containsString="0" containsNumber="1" containsInteger="1" minValue="55" maxValue="207"/>
    </cacheField>
    <cacheField name="Apellido y Nombre" numFmtId="0">
      <sharedItems/>
    </cacheField>
    <cacheField name="Periodo" numFmtId="164">
      <sharedItems containsSemiMixedTypes="0" containsNonDate="0" containsDate="1" containsString="0" minDate="2021-08-06T00:00:00" maxDate="2025-03-06T00:00:00"/>
    </cacheField>
    <cacheField name="Tienda asignada este mes" numFmtId="0">
      <sharedItems count="8">
        <s v="AS San Telmo"/>
        <s v="Lucero San Telmo"/>
        <s v="Lucero French"/>
        <s v="Lucero Recoleta"/>
        <s v="Lucero Güemes"/>
        <s v="Lucero Florida"/>
        <s v="Lucero San Telmo 2"/>
        <s v="Lucero San Telmo " u="1"/>
      </sharedItems>
    </cacheField>
    <cacheField name="Horas Totales" numFmtId="4">
      <sharedItems containsSemiMixedTypes="0" containsString="0" containsNumber="1" containsInteger="1" minValue="38" maxValue="132"/>
    </cacheField>
    <cacheField name="Hs Normales (con vacaciones)" numFmtId="4">
      <sharedItems containsSemiMixedTypes="0" containsString="0" containsNumber="1" containsInteger="1" minValue="29" maxValue="124"/>
    </cacheField>
    <cacheField name="Hs Feriados" numFmtId="4">
      <sharedItems containsSemiMixedTypes="0" containsString="0" containsNumber="1" containsInteger="1" minValue="0" maxValue="16"/>
    </cacheField>
    <cacheField name="Feriados No trabajados (Hs)" numFmtId="0">
      <sharedItems containsString="0" containsBlank="1" containsNumber="1" containsInteger="1" minValue="4" maxValue="12"/>
    </cacheField>
    <cacheField name="Licencias justificadas (Hs)" numFmtId="3">
      <sharedItems containsString="0" containsBlank="1" containsNumber="1" containsInteger="1" minValue="4" maxValue="4"/>
    </cacheField>
    <cacheField name="Plus vacacional" numFmtId="4">
      <sharedItems/>
    </cacheField>
    <cacheField name="Cant días vacaciones" numFmtId="0">
      <sharedItems containsNonDate="0" containsString="0" containsBlank="1"/>
    </cacheField>
    <cacheField name="Premios" numFmtId="0">
      <sharedItems containsString="0" containsBlank="1" containsNumber="1" containsInteger="1" minValue="0" maxValue="40826"/>
    </cacheField>
    <cacheField name="Sueldo Neto" numFmtId="4">
      <sharedItems containsSemiMixedTypes="0" containsString="0" containsNumber="1" containsInteger="1" minValue="332906" maxValue="965285"/>
    </cacheField>
    <cacheField name="Sueldo Bruto" numFmtId="4">
      <sharedItems containsSemiMixedTypes="0" containsString="0" containsNumber="1" minValue="297652.69" maxValue="1101576.31"/>
    </cacheField>
    <cacheField name="Contribuciones_x000a_(con % abril)" numFmtId="2">
      <sharedItems containsSemiMixedTypes="0" containsString="0" containsNumber="1" minValue="110875.62702499999" maxValue="417277.10622800002"/>
    </cacheField>
    <cacheField name="% _x000a_(tomados del % de Abril)" numFmtId="10">
      <sharedItems containsSemiMixedTypes="0" containsString="0" containsNumber="1" minValue="0.29899999999999999" maxValue="0.42230000000000001"/>
    </cacheField>
    <cacheField name="ART" numFmtId="0">
      <sharedItems containsSemiMixedTypes="0" containsString="0" containsNumber="1" containsInteger="1" minValue="1227" maxValue="1227"/>
    </cacheField>
    <cacheField name="Total Contrib+ART+Aportes" numFmtId="4">
      <sharedItems containsSemiMixedTypes="0" containsString="0" containsNumber="1" minValue="182641.41702499901" maxValue="676315.64622800006"/>
    </cacheField>
    <cacheField name="Costo total" numFmtId="4">
      <sharedItems containsSemiMixedTypes="0" containsString="0" containsNumber="1" minValue="408528.317025" maxValue="1518853.416228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C" refreshedDate="45859.513001157407" createdVersion="6" refreshedVersion="6" minRefreshableVersion="3" recordCount="25">
  <cacheSource type="worksheet">
    <worksheetSource ref="A1:P26" sheet="Sueldos 04-2025"/>
  </cacheSource>
  <cacheFields count="16">
    <cacheField name="Legajo" numFmtId="0">
      <sharedItems containsSemiMixedTypes="0" containsString="0" containsNumber="1" containsInteger="1" minValue="55" maxValue="210"/>
    </cacheField>
    <cacheField name="Apellido y Nombre" numFmtId="0">
      <sharedItems/>
    </cacheField>
    <cacheField name="Periodo" numFmtId="0">
      <sharedItems containsSemiMixedTypes="0" containsNonDate="0" containsDate="1" containsString="0" minDate="2021-08-06T00:00:00" maxDate="2025-04-25T00:00:00"/>
    </cacheField>
    <cacheField name="Tienda asignada este mes" numFmtId="0">
      <sharedItems count="7">
        <s v="AS San Telmo"/>
        <s v="Lucero San Telmo"/>
        <s v="Lucero French"/>
        <s v="Lucero Recoleta"/>
        <s v="Lucero Güemes"/>
        <s v="Lucero Florida"/>
        <s v="Lucero San Telmo 2"/>
      </sharedItems>
    </cacheField>
    <cacheField name="Horas Totales " numFmtId="0">
      <sharedItems containsSemiMixedTypes="0" containsString="0" containsNumber="1" containsInteger="1" minValue="30" maxValue="132"/>
    </cacheField>
    <cacheField name="Hs Normales (con vacaciones)" numFmtId="0">
      <sharedItems containsString="0" containsBlank="1" containsNumber="1" containsInteger="1" minValue="79" maxValue="123"/>
    </cacheField>
    <cacheField name="Hs Feriados" numFmtId="0">
      <sharedItems containsSemiMixedTypes="0" containsString="0" containsNumber="1" containsInteger="1" minValue="0" maxValue="12"/>
    </cacheField>
    <cacheField name="Feriados No trabajados (Hs)" numFmtId="0">
      <sharedItems containsString="0" containsBlank="1" containsNumber="1" containsInteger="1" minValue="4" maxValue="8"/>
    </cacheField>
    <cacheField name="Licencias justificadas _x000a_(en HORAS)" numFmtId="0">
      <sharedItems containsString="0" containsBlank="1" containsNumber="1" containsInteger="1" minValue="4" maxValue="8"/>
    </cacheField>
    <cacheField name="Plus vacacional" numFmtId="0">
      <sharedItems/>
    </cacheField>
    <cacheField name="Cant dias vacaciones" numFmtId="0">
      <sharedItems containsNonDate="0" containsString="0" containsBlank="1"/>
    </cacheField>
    <cacheField name="Premios" numFmtId="4">
      <sharedItems containsMixedTypes="1" containsNumber="1" containsInteger="1" minValue="0" maxValue="58967"/>
    </cacheField>
    <cacheField name="Sueldo Neto" numFmtId="4">
      <sharedItems containsSemiMixedTypes="0" containsString="0" containsNumber="1" containsInteger="1" minValue="386912" maxValue="769679"/>
    </cacheField>
    <cacheField name="Sueldo Bruto" numFmtId="4">
      <sharedItems containsSemiMixedTypes="0" containsString="0" containsNumber="1" minValue="462356.36" maxValue="973959.74"/>
    </cacheField>
    <cacheField name="Contribuciones + ART" numFmtId="4">
      <sharedItems containsSemiMixedTypes="0" containsString="0" containsNumber="1" minValue="135244.04800000001" maxValue="308270.14120000001"/>
    </cacheField>
    <cacheField name="Costo total" numFmtId="4">
      <sharedItems containsSemiMixedTypes="0" containsString="0" containsNumber="1" minValue="597600.40800000005" maxValue="1255255.94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PC" refreshedDate="45859.514685532406" createdVersion="6" refreshedVersion="6" minRefreshableVersion="3" recordCount="24">
  <cacheSource type="worksheet">
    <worksheetSource ref="A1:P25" sheet="Sueldos 05-2025"/>
  </cacheSource>
  <cacheFields count="16">
    <cacheField name="Legajo" numFmtId="0">
      <sharedItems containsSemiMixedTypes="0" containsString="0" containsNumber="1" containsInteger="1" minValue="55" maxValue="213"/>
    </cacheField>
    <cacheField name="Apellido y Nombre" numFmtId="0">
      <sharedItems/>
    </cacheField>
    <cacheField name="Periodo" numFmtId="0">
      <sharedItems containsSemiMixedTypes="0" containsNonDate="0" containsDate="1" containsString="0" minDate="2021-08-06T00:00:00" maxDate="2025-05-13T00:00:00"/>
    </cacheField>
    <cacheField name="Tienda asignada este mes" numFmtId="0">
      <sharedItems count="7">
        <s v="AS San Telmo"/>
        <s v="Lucero San Telmo"/>
        <s v="Lucero French"/>
        <s v="Lucero Recoleta"/>
        <s v="Lucero Güemes"/>
        <s v="Lucero Florida"/>
        <s v="Lucero San Telmo 2"/>
      </sharedItems>
    </cacheField>
    <cacheField name="Horas Totales " numFmtId="3">
      <sharedItems containsSemiMixedTypes="0" containsString="0" containsNumber="1" containsInteger="1" minValue="58" maxValue="132"/>
    </cacheField>
    <cacheField name="Hs Normales (con vacaciones y feriados NO trabajados)" numFmtId="3">
      <sharedItems containsSemiMixedTypes="0" containsString="0" containsNumber="1" containsInteger="1" minValue="58" maxValue="130"/>
    </cacheField>
    <cacheField name="Hs Feriados (Horas)" numFmtId="0">
      <sharedItems containsString="0" containsBlank="1" containsNumber="1" containsInteger="1" minValue="4" maxValue="6"/>
    </cacheField>
    <cacheField name="Feriados No trabajados (Hs)" numFmtId="3">
      <sharedItems containsSemiMixedTypes="0" containsString="0" containsNumber="1" containsInteger="1" minValue="4" maxValue="8"/>
    </cacheField>
    <cacheField name="Licencias justificadas _x000a_(en HORAS)" numFmtId="0">
      <sharedItems containsString="0" containsBlank="1" containsNumber="1" containsInteger="1" minValue="4" maxValue="16"/>
    </cacheField>
    <cacheField name="Plus vacacional" numFmtId="0">
      <sharedItems/>
    </cacheField>
    <cacheField name="Cant dias vacaciones" numFmtId="0">
      <sharedItems containsNonDate="0" containsString="0" containsBlank="1"/>
    </cacheField>
    <cacheField name="Premios" numFmtId="4">
      <sharedItems containsSemiMixedTypes="0" containsString="0" containsNumber="1" containsInteger="1" minValue="0" maxValue="36413"/>
    </cacheField>
    <cacheField name="Sueldo Neto" numFmtId="4">
      <sharedItems containsSemiMixedTypes="0" containsString="0" containsNumber="1" minValue="498151" maxValue="747302"/>
    </cacheField>
    <cacheField name="Sueldo Bruto" numFmtId="4">
      <sharedItems containsSemiMixedTypes="0" containsString="0" containsNumber="1" minValue="628753.80000000005" maxValue="944530.32"/>
    </cacheField>
    <cacheField name="Contribuciones + ART" numFmtId="4">
      <sharedItems containsSemiMixedTypes="0" containsString="0" containsNumber="1" minValue="204730.144" maxValue="307984.7464"/>
    </cacheField>
    <cacheField name="Costo total" numFmtId="4">
      <sharedItems containsSemiMixedTypes="0" containsString="0" containsNumber="1" minValue="833483.94400000002" maxValue="1252515.0663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">
  <r>
    <n v="55"/>
    <s v="Carrizo Camila"/>
    <d v="2021-08-06T00:00:00"/>
    <x v="0"/>
    <n v="132"/>
    <n v="117"/>
    <n v="15"/>
    <m/>
    <m/>
    <s v="SI"/>
    <m/>
    <n v="16926"/>
    <n v="788702"/>
    <n v="870222.33"/>
    <n v="321112.03976999997"/>
    <n v="0.36899999999999999"/>
    <n v="1227"/>
    <n v="528348.23976999999"/>
    <n v="1191334.36977"/>
  </r>
  <r>
    <n v="103"/>
    <s v="Esposito Candela"/>
    <d v="2022-10-20T00:00:00"/>
    <x v="1"/>
    <n v="130"/>
    <n v="114"/>
    <n v="16"/>
    <m/>
    <m/>
    <s v="SI"/>
    <m/>
    <n v="33034"/>
    <n v="965285"/>
    <n v="1101576.31"/>
    <n v="417277.10622800002"/>
    <n v="0.37880000000000003"/>
    <n v="1227"/>
    <n v="676315.64622800006"/>
    <n v="1518853.4162280001"/>
  </r>
  <r>
    <n v="120"/>
    <s v="Bertolo Milagros"/>
    <d v="2023-04-04T00:00:00"/>
    <x v="2"/>
    <n v="132"/>
    <n v="118"/>
    <n v="14"/>
    <m/>
    <m/>
    <s v="NO"/>
    <m/>
    <n v="34226"/>
    <n v="722257"/>
    <n v="787241.25"/>
    <n v="290492.02124999999"/>
    <n v="0.36899999999999999"/>
    <n v="1227"/>
    <n v="478859.26124999998"/>
    <n v="1077733.27125"/>
  </r>
  <r>
    <n v="126"/>
    <s v="Barajas Barbara"/>
    <d v="2023-05-11T00:00:00"/>
    <x v="3"/>
    <n v="126"/>
    <n v="114"/>
    <n v="12"/>
    <m/>
    <m/>
    <s v="NO"/>
    <m/>
    <n v="40567"/>
    <n v="691491"/>
    <n v="753863.21"/>
    <n v="278175.52448999998"/>
    <n v="0.36899999999999999"/>
    <n v="1227"/>
    <n v="458577.65448999999"/>
    <n v="1032038.7344899999"/>
  </r>
  <r>
    <n v="131"/>
    <s v="De Brito Rocio"/>
    <d v="2023-06-08T00:00:00"/>
    <x v="4"/>
    <n v="119"/>
    <n v="119"/>
    <n v="0"/>
    <n v="12"/>
    <m/>
    <s v="NO"/>
    <m/>
    <n v="5643"/>
    <n v="596675"/>
    <n v="638894.93000000005"/>
    <n v="237093.90852299999"/>
    <n v="0.37109999999999999"/>
    <n v="1227"/>
    <n v="391097.27852300002"/>
    <n v="875988.83852300001"/>
  </r>
  <r>
    <n v="138"/>
    <s v="Lara Robbio"/>
    <d v="2023-08-01T00:00:00"/>
    <x v="1"/>
    <n v="131"/>
    <n v="118"/>
    <n v="13"/>
    <m/>
    <m/>
    <s v="NO"/>
    <m/>
    <n v="40826"/>
    <n v="719467"/>
    <n v="784695.28"/>
    <n v="289552.55832000001"/>
    <n v="0.36899999999999999"/>
    <n v="1227"/>
    <n v="477271.11832000001"/>
    <n v="1074247.8383200001"/>
  </r>
  <r>
    <n v="139"/>
    <s v="Viña Sofia"/>
    <d v="2023-08-01T00:00:00"/>
    <x v="5"/>
    <n v="129"/>
    <n v="124"/>
    <n v="5"/>
    <n v="8"/>
    <m/>
    <s v="SI"/>
    <m/>
    <n v="28330"/>
    <n v="704930"/>
    <n v="768044.17"/>
    <n v="283024.27664499998"/>
    <n v="0.36849999999999999"/>
    <n v="1227"/>
    <n v="466844.65664499998"/>
    <n v="1051068.446645"/>
  </r>
  <r>
    <n v="143"/>
    <s v="Molina Agustina"/>
    <d v="2023-09-15T00:00:00"/>
    <x v="0"/>
    <n v="127"/>
    <n v="112"/>
    <n v="15"/>
    <m/>
    <m/>
    <s v="NO"/>
    <m/>
    <n v="28284"/>
    <n v="696548"/>
    <n v="759335.06"/>
    <n v="280270.57064599998"/>
    <n v="0.36909999999999998"/>
    <n v="1227"/>
    <n v="461979.70064599998"/>
    <n v="1039605.630646"/>
  </r>
  <r>
    <n v="151"/>
    <s v="Kiara Corbalan"/>
    <d v="2023-10-02T00:00:00"/>
    <x v="0"/>
    <n v="128"/>
    <n v="123"/>
    <n v="5"/>
    <n v="8"/>
    <m/>
    <s v="SI"/>
    <m/>
    <n v="20489"/>
    <n v="473930"/>
    <n v="471032.99"/>
    <n v="174140.89640299999"/>
    <n v="0.36969999999999997"/>
    <n v="1227"/>
    <n v="291057.88640299998"/>
    <n v="645173.88640299998"/>
  </r>
  <r>
    <n v="161"/>
    <s v="Martínez Brisa"/>
    <d v="2023-12-12T00:00:00"/>
    <x v="0"/>
    <n v="127"/>
    <n v="112"/>
    <n v="15"/>
    <m/>
    <m/>
    <s v="SI"/>
    <m/>
    <n v="18708"/>
    <n v="895457"/>
    <n v="1015991.67"/>
    <n v="381911.26875300001"/>
    <n v="0.37590000000000001"/>
    <n v="1227"/>
    <n v="621368.12875299901"/>
    <n v="1397902.938753"/>
  </r>
  <r>
    <n v="165"/>
    <s v="CORONEL Mailen"/>
    <d v="2024-01-20T00:00:00"/>
    <x v="4"/>
    <n v="124"/>
    <n v="124"/>
    <n v="0"/>
    <n v="12"/>
    <m/>
    <s v="SI"/>
    <m/>
    <n v="5500"/>
    <n v="446507"/>
    <n v="439861.65"/>
    <n v="131518.63334999999"/>
    <n v="0.29899999999999999"/>
    <n v="1227"/>
    <n v="241118.71334999899"/>
    <n v="571380.28335000004"/>
  </r>
  <r>
    <n v="170"/>
    <s v="Ruiz de la Torre Maitena"/>
    <d v="2024-02-23T00:00:00"/>
    <x v="5"/>
    <n v="111"/>
    <n v="103"/>
    <n v="8"/>
    <n v="4"/>
    <m/>
    <s v="NO"/>
    <m/>
    <n v="31135"/>
    <n v="599040"/>
    <n v="650373.34"/>
    <n v="239662.57578999901"/>
    <n v="0.36849999999999999"/>
    <n v="1227"/>
    <n v="395641.86578999902"/>
    <n v="890035.91579"/>
  </r>
  <r>
    <n v="171"/>
    <s v="Gimenez Candela"/>
    <d v="2024-04-22T00:00:00"/>
    <x v="3"/>
    <n v="123"/>
    <n v="111"/>
    <n v="12"/>
    <m/>
    <m/>
    <s v="SI"/>
    <m/>
    <n v="37025"/>
    <n v="626095"/>
    <n v="673924.75"/>
    <n v="248543.44779999999"/>
    <n v="0.36880000000000002"/>
    <n v="1227"/>
    <n v="410639.52779999998"/>
    <n v="922468.19779999997"/>
  </r>
  <r>
    <n v="173"/>
    <s v="Imperiale Candela"/>
    <d v="2024-06-04T00:00:00"/>
    <x v="5"/>
    <n v="132"/>
    <n v="117"/>
    <n v="15"/>
    <m/>
    <m/>
    <s v="NO"/>
    <m/>
    <n v="37026"/>
    <n v="721008"/>
    <n v="787006.67"/>
    <n v="289775.85589399998"/>
    <n v="0.36820000000000003"/>
    <n v="1227"/>
    <n v="477991.16589399998"/>
    <n v="1076782.525894"/>
  </r>
  <r>
    <n v="174"/>
    <s v="Machuca Araceli "/>
    <d v="2024-07-04T00:00:00"/>
    <x v="2"/>
    <n v="131"/>
    <n v="116"/>
    <n v="15"/>
    <m/>
    <m/>
    <s v="NO"/>
    <m/>
    <n v="33967"/>
    <n v="713645"/>
    <n v="778548.95"/>
    <n v="287362.41744499898"/>
    <n v="0.36909999999999998"/>
    <n v="1227"/>
    <n v="473599.66744499898"/>
    <n v="1065911.367445"/>
  </r>
  <r>
    <n v="186"/>
    <s v="Balmaceda Luciana"/>
    <d v="2024-10-22T00:00:00"/>
    <x v="5"/>
    <n v="116"/>
    <n v="106"/>
    <n v="10"/>
    <n v="4"/>
    <m/>
    <s v="NO"/>
    <m/>
    <n v="35538"/>
    <n v="675656"/>
    <n v="745175.1"/>
    <n v="274969.61189999903"/>
    <n v="0.36899999999999999"/>
    <n v="1227"/>
    <n v="452571.37189999898"/>
    <n v="1020144.7119"/>
  </r>
  <r>
    <n v="189"/>
    <s v="Oliva Micaela"/>
    <d v="2024-11-01T00:00:00"/>
    <x v="3"/>
    <n v="122"/>
    <n v="109"/>
    <n v="13"/>
    <m/>
    <m/>
    <s v="SI"/>
    <m/>
    <n v="37991"/>
    <n v="688192"/>
    <n v="755092.77"/>
    <n v="278402.70429899998"/>
    <n v="0.36870000000000003"/>
    <n v="1227"/>
    <n v="458686.50429900002"/>
    <n v="1033495.474299"/>
  </r>
  <r>
    <n v="190"/>
    <s v="Mohamad Daila"/>
    <d v="2024-11-01T00:00:00"/>
    <x v="6"/>
    <n v="132"/>
    <n v="116"/>
    <n v="16"/>
    <m/>
    <m/>
    <s v="NO"/>
    <m/>
    <n v="2901"/>
    <n v="695866"/>
    <n v="754565.7"/>
    <n v="278283.83016000001"/>
    <n v="0.36880000000000002"/>
    <n v="1227"/>
    <n v="459199.93015999999"/>
    <n v="1032849.53016"/>
  </r>
  <r>
    <n v="192"/>
    <s v="Sarapura Rebecca"/>
    <d v="2024-11-01T00:00:00"/>
    <x v="1"/>
    <n v="130"/>
    <n v="118"/>
    <n v="12"/>
    <m/>
    <m/>
    <s v="NO"/>
    <m/>
    <n v="17556"/>
    <n v="684548"/>
    <n v="742047.06"/>
    <n v="273221.72749199998"/>
    <n v="0.36820000000000003"/>
    <n v="1227"/>
    <n v="451170.96749200003"/>
    <n v="1015268.787492"/>
  </r>
  <r>
    <n v="194"/>
    <s v="Scholler Chavez Ruth"/>
    <d v="2024-12-13T00:00:00"/>
    <x v="2"/>
    <n v="131"/>
    <n v="117"/>
    <n v="14"/>
    <m/>
    <m/>
    <s v="NO"/>
    <m/>
    <n v="17812"/>
    <n v="696574"/>
    <n v="756521.59"/>
    <n v="279686.03182299901"/>
    <n v="0.36969999999999997"/>
    <n v="1227"/>
    <n v="460967.13182299898"/>
    <n v="1036207.62182299"/>
  </r>
  <r>
    <n v="197"/>
    <s v="Ramirez Lola"/>
    <d v="2025-01-02T00:00:00"/>
    <x v="5"/>
    <n v="118"/>
    <n v="108"/>
    <n v="10"/>
    <n v="4"/>
    <m/>
    <s v="NO"/>
    <m/>
    <n v="0"/>
    <n v="607593"/>
    <n v="655266.14"/>
    <n v="256536.69381"/>
    <n v="0.39150000000000001"/>
    <n v="1227"/>
    <n v="414059.13381000003"/>
    <n v="911802.83380999998"/>
  </r>
  <r>
    <n v="202"/>
    <s v="Machta Gina"/>
    <d v="2025-01-09T00:00:00"/>
    <x v="5"/>
    <n v="117"/>
    <n v="108"/>
    <n v="9"/>
    <n v="4"/>
    <m/>
    <s v="NO"/>
    <m/>
    <n v="0"/>
    <n v="599290"/>
    <n v="645595.57999999996"/>
    <n v="272635.01343399897"/>
    <n v="0.42230000000000001"/>
    <n v="1227"/>
    <n v="427906.50343399902"/>
    <n v="918230.59343399899"/>
  </r>
  <r>
    <n v="204"/>
    <s v="Dettoni Leguizamon Oriana"/>
    <d v="2025-02-05T00:00:00"/>
    <x v="5"/>
    <n v="38"/>
    <n v="29"/>
    <n v="9"/>
    <m/>
    <m/>
    <s v="NO"/>
    <m/>
    <m/>
    <n v="332906"/>
    <n v="297652.69"/>
    <n v="110875.62702499999"/>
    <n v="0.3725"/>
    <n v="1227"/>
    <n v="182641.41702499901"/>
    <n v="408528.317025"/>
  </r>
  <r>
    <n v="205"/>
    <s v="Florencia Aguero"/>
    <d v="2025-02-25T00:00:00"/>
    <x v="6"/>
    <n v="132"/>
    <n v="121"/>
    <n v="11"/>
    <n v="4"/>
    <m/>
    <s v="NO"/>
    <m/>
    <n v="0"/>
    <n v="678229"/>
    <n v="731807.59"/>
    <n v="270768.80829999998"/>
    <n v="0.37"/>
    <n v="1227"/>
    <n v="446564.33829999901"/>
    <n v="1002576.3983"/>
  </r>
  <r>
    <n v="206"/>
    <s v="Morena Martinez "/>
    <d v="2025-02-25T00:00:00"/>
    <x v="1"/>
    <n v="131"/>
    <n v="119"/>
    <n v="12"/>
    <m/>
    <m/>
    <s v="NO"/>
    <m/>
    <n v="0"/>
    <n v="674603"/>
    <n v="728172.56"/>
    <n v="269642.29896799999"/>
    <n v="0.37030000000000002"/>
    <n v="1227"/>
    <n v="444544.868968"/>
    <n v="997814.85896800004"/>
  </r>
  <r>
    <n v="207"/>
    <s v="Chiara Perazzo"/>
    <d v="2025-03-05T00:00:00"/>
    <x v="0"/>
    <n v="81"/>
    <n v="81"/>
    <n v="0"/>
    <m/>
    <n v="4"/>
    <s v="NO"/>
    <m/>
    <m/>
    <n v="461417"/>
    <n v="472011.18"/>
    <n v="175824.16454999999"/>
    <n v="0.3725"/>
    <n v="1227"/>
    <n v="289636.31455000001"/>
    <n v="647835.3445500000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5">
  <r>
    <n v="55"/>
    <s v="Carrizo Camila"/>
    <d v="2021-08-06T00:00:00"/>
    <x v="0"/>
    <n v="132"/>
    <n v="122"/>
    <n v="10"/>
    <m/>
    <m/>
    <s v="NO"/>
    <m/>
    <n v="24035"/>
    <n v="748018"/>
    <n v="944319.79"/>
    <n v="306781.80534999899"/>
    <n v="1251101.5953500001"/>
  </r>
  <r>
    <n v="103"/>
    <s v="Esposito Candela"/>
    <d v="2022-10-20T00:00:00"/>
    <x v="1"/>
    <n v="129"/>
    <n v="91"/>
    <n v="6"/>
    <n v="4"/>
    <m/>
    <s v="SI"/>
    <m/>
    <n v="29352"/>
    <n v="544266"/>
    <n v="682045.2"/>
    <n v="216926.035"/>
    <n v="898971.23499999999"/>
  </r>
  <r>
    <n v="120"/>
    <s v="Bertolo Milagros"/>
    <d v="2023-04-04T00:00:00"/>
    <x v="2"/>
    <n v="128"/>
    <n v="119"/>
    <n v="9"/>
    <m/>
    <m/>
    <s v="NO"/>
    <m/>
    <n v="28820"/>
    <n v="720514"/>
    <n v="909608.85"/>
    <n v="295581.89544999902"/>
    <n v="1205190.74544999"/>
  </r>
  <r>
    <n v="126"/>
    <s v="Barajas Barbara"/>
    <d v="2023-05-11T00:00:00"/>
    <x v="3"/>
    <n v="120"/>
    <n v="111"/>
    <n v="9"/>
    <m/>
    <m/>
    <s v="NO"/>
    <m/>
    <n v="29882"/>
    <n v="673751"/>
    <n v="850618.43"/>
    <n v="276574.29115"/>
    <n v="1127192.7211500001"/>
  </r>
  <r>
    <n v="131"/>
    <s v="De Brito Rocio"/>
    <d v="2023-06-08T00:00:00"/>
    <x v="4"/>
    <n v="122"/>
    <n v="118"/>
    <n v="0"/>
    <n v="8"/>
    <n v="4"/>
    <s v="NO"/>
    <m/>
    <n v="8744"/>
    <n v="636686"/>
    <n v="802501.66"/>
    <n v="259684.01289999901"/>
    <n v="1062185.6728999999"/>
  </r>
  <r>
    <n v="138"/>
    <s v="Lara Robbio"/>
    <d v="2023-08-01T00:00:00"/>
    <x v="1"/>
    <n v="121"/>
    <n v="105"/>
    <n v="8"/>
    <m/>
    <n v="8"/>
    <s v="NO"/>
    <m/>
    <n v="34194"/>
    <n v="678666"/>
    <n v="856814.76"/>
    <n v="278566.95399999898"/>
    <n v="1135381.7139999999"/>
  </r>
  <r>
    <n v="139"/>
    <s v="Viña Sofia"/>
    <d v="2023-08-01T00:00:00"/>
    <x v="5"/>
    <n v="122"/>
    <n v="112"/>
    <n v="10"/>
    <m/>
    <m/>
    <s v="NO"/>
    <m/>
    <n v="39514"/>
    <n v="695901"/>
    <n v="878907.97"/>
    <n v="286044.11424999998"/>
    <n v="1164952.0842499901"/>
  </r>
  <r>
    <n v="143"/>
    <s v="Molina Agustina"/>
    <d v="2023-09-15T00:00:00"/>
    <x v="0"/>
    <n v="126"/>
    <n v="116"/>
    <n v="10"/>
    <m/>
    <m/>
    <s v="NO"/>
    <m/>
    <n v="22943"/>
    <n v="702171"/>
    <n v="886416.02"/>
    <n v="288054.22449999902"/>
    <n v="1174470.2445"/>
  </r>
  <r>
    <n v="151"/>
    <s v="Kiara Corbalan"/>
    <d v="2023-10-02T00:00:00"/>
    <x v="0"/>
    <n v="127"/>
    <n v="122"/>
    <n v="5"/>
    <n v="4"/>
    <m/>
    <s v="NO"/>
    <m/>
    <n v="23195"/>
    <n v="690903"/>
    <n v="871731.26"/>
    <n v="282843.03009999997"/>
    <n v="1154574.2901000001"/>
  </r>
  <r>
    <n v="161"/>
    <s v="Martínez Brisa"/>
    <d v="2023-12-12T00:00:00"/>
    <x v="0"/>
    <n v="126"/>
    <n v="93"/>
    <n v="5"/>
    <n v="4"/>
    <m/>
    <s v="SI"/>
    <m/>
    <n v="17845"/>
    <n v="567481"/>
    <n v="712622.67"/>
    <n v="228095.65375"/>
    <n v="940718.32374999998"/>
  </r>
  <r>
    <n v="165"/>
    <s v="CORONEL Mailen"/>
    <d v="2024-01-20T00:00:00"/>
    <x v="4"/>
    <n v="123"/>
    <n v="123"/>
    <n v="0"/>
    <n v="8"/>
    <m/>
    <s v="NO"/>
    <m/>
    <n v="9114"/>
    <n v="769679"/>
    <n v="973959.74"/>
    <n v="260254.3015"/>
    <n v="1234214.0415000001"/>
  </r>
  <r>
    <n v="170"/>
    <s v="Ruiz de la Torre Maitena"/>
    <d v="2024-02-23T00:00:00"/>
    <x v="5"/>
    <n v="125"/>
    <n v="115"/>
    <n v="10"/>
    <m/>
    <m/>
    <s v="NO"/>
    <m/>
    <n v="40486"/>
    <n v="711966"/>
    <n v="899200.38"/>
    <n v="292609.92310000001"/>
    <n v="1191810.3030999999"/>
  </r>
  <r>
    <n v="171"/>
    <s v="Gimenez Candela"/>
    <d v="2025-04-24T00:00:00"/>
    <x v="3"/>
    <n v="127"/>
    <n v="117"/>
    <n v="10"/>
    <m/>
    <m/>
    <s v="NO"/>
    <m/>
    <n v="31625"/>
    <n v="714613"/>
    <n v="902324.75"/>
    <n v="293397.74095000001"/>
    <n v="1195722.49095"/>
  </r>
  <r>
    <n v="173"/>
    <s v="Imperiale Candela"/>
    <d v="2024-06-04T00:00:00"/>
    <x v="5"/>
    <n v="132"/>
    <n v="120"/>
    <n v="12"/>
    <m/>
    <m/>
    <s v="NO"/>
    <m/>
    <n v="42753"/>
    <n v="749642"/>
    <n v="946985.8"/>
    <n v="308270.14120000001"/>
    <n v="1255255.9412"/>
  </r>
  <r>
    <n v="174"/>
    <s v="Machuca Araceli"/>
    <d v="2024-07-04T00:00:00"/>
    <x v="2"/>
    <n v="121"/>
    <n v="112"/>
    <n v="9"/>
    <m/>
    <m/>
    <s v="NO"/>
    <m/>
    <n v="27244"/>
    <n v="669939"/>
    <n v="845728.49"/>
    <n v="274915.94485000003"/>
    <n v="1120644.4348500001"/>
  </r>
  <r>
    <n v="186"/>
    <s v="Balmaceda Luciana"/>
    <d v="2024-10-22T00:00:00"/>
    <x v="5"/>
    <n v="113"/>
    <n v="104"/>
    <n v="9"/>
    <m/>
    <m/>
    <s v="NO"/>
    <m/>
    <n v="30246"/>
    <n v="632219"/>
    <n v="798210.54"/>
    <n v="259671.07329999999"/>
    <n v="1057881.6133000001"/>
  </r>
  <r>
    <n v="189"/>
    <s v="Oliva Micaela"/>
    <d v="2024-11-01T00:00:00"/>
    <x v="3"/>
    <n v="118"/>
    <n v="107"/>
    <n v="11"/>
    <m/>
    <m/>
    <s v="NO"/>
    <m/>
    <n v="29384"/>
    <n v="664213"/>
    <n v="838772.66"/>
    <n v="272947.10349999898"/>
    <n v="1111719.7634999999"/>
  </r>
  <r>
    <n v="190"/>
    <s v="Mohamad Daila"/>
    <d v="2024-11-01T00:00:00"/>
    <x v="6"/>
    <n v="129"/>
    <n v="119"/>
    <n v="10"/>
    <m/>
    <m/>
    <s v="NO"/>
    <m/>
    <n v="33616"/>
    <n v="718261"/>
    <n v="906926.69"/>
    <n v="294880.61605000001"/>
    <n v="1201807.30605"/>
  </r>
  <r>
    <n v="192"/>
    <s v="Sarapura Rebecca"/>
    <d v="2024-11-01T00:00:00"/>
    <x v="1"/>
    <n v="119"/>
    <n v="111"/>
    <n v="8"/>
    <m/>
    <m/>
    <s v="NO"/>
    <m/>
    <n v="58967"/>
    <n v="681246"/>
    <n v="860606.43"/>
    <n v="280336.04574999999"/>
    <n v="1140942.47575"/>
  </r>
  <r>
    <n v="194"/>
    <s v="Scholler Chavez Ruth"/>
    <d v="2024-12-13T00:00:00"/>
    <x v="2"/>
    <n v="122"/>
    <n v="117"/>
    <n v="5"/>
    <n v="4"/>
    <m/>
    <s v="NO"/>
    <m/>
    <n v="24654"/>
    <n v="660181"/>
    <n v="832993.42"/>
    <n v="270378.7597"/>
    <n v="1103372.1797"/>
  </r>
  <r>
    <n v="197"/>
    <s v="Ramirez Lola"/>
    <d v="2025-01-02T00:00:00"/>
    <x v="5"/>
    <n v="30"/>
    <m/>
    <n v="0"/>
    <n v="4"/>
    <m/>
    <s v="NO"/>
    <m/>
    <s v="#N/A"/>
    <n v="631496"/>
    <n v="770333.3"/>
    <n v="237675.6949"/>
    <n v="1008008.9949"/>
  </r>
  <r>
    <n v="202"/>
    <s v="Machta Gina"/>
    <d v="2025-01-09T00:00:00"/>
    <x v="5"/>
    <n v="45"/>
    <m/>
    <n v="0"/>
    <n v="4"/>
    <m/>
    <s v="NO"/>
    <m/>
    <s v="#N/A"/>
    <n v="386912"/>
    <n v="462356.36"/>
    <n v="135244.04800000001"/>
    <n v="597600.40800000005"/>
  </r>
  <r>
    <n v="205"/>
    <s v="Florencia Aguero"/>
    <d v="2025-02-25T00:00:00"/>
    <x v="6"/>
    <n v="128"/>
    <n v="119"/>
    <n v="9"/>
    <m/>
    <m/>
    <s v="NO"/>
    <m/>
    <n v="0"/>
    <n v="682276"/>
    <n v="860638.46"/>
    <n v="279054.73389999999"/>
    <n v="1139693.1938999901"/>
  </r>
  <r>
    <n v="206"/>
    <s v="Morena Martinez"/>
    <d v="2025-02-25T00:00:00"/>
    <x v="1"/>
    <n v="119"/>
    <n v="111"/>
    <n v="8"/>
    <m/>
    <m/>
    <s v="NO"/>
    <m/>
    <n v="0"/>
    <n v="633222"/>
    <n v="798639.95"/>
    <n v="258957.59754999899"/>
    <n v="1057597.54754999"/>
  </r>
  <r>
    <n v="210"/>
    <s v="Dettoni Leguizamon Oriana"/>
    <d v="2025-04-12T00:00:00"/>
    <x v="5"/>
    <n v="84"/>
    <n v="79"/>
    <n v="5"/>
    <m/>
    <m/>
    <s v="NO"/>
    <m/>
    <n v="0"/>
    <n v="445820"/>
    <n v="561874.75"/>
    <n v="182299.41774999999"/>
    <n v="744174.1677500000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4">
  <r>
    <n v="55"/>
    <s v="Carrizo Camila"/>
    <d v="2021-08-06T00:00:00"/>
    <x v="0"/>
    <n v="132"/>
    <n v="126"/>
    <n v="6"/>
    <n v="4"/>
    <m/>
    <s v="NO"/>
    <m/>
    <n v="17916"/>
    <n v="745721"/>
    <n v="942309.32"/>
    <n v="307038.1666"/>
    <n v="1249347.4865999999"/>
  </r>
  <r>
    <n v="103"/>
    <s v="Esposito Candela"/>
    <d v="2022-10-20T00:00:00"/>
    <x v="1"/>
    <n v="132"/>
    <n v="123"/>
    <n v="5"/>
    <n v="4"/>
    <n v="4"/>
    <s v="NO"/>
    <m/>
    <n v="32828"/>
    <n v="747302"/>
    <n v="944530.32"/>
    <n v="307984.7464"/>
    <n v="1252515.0663999999"/>
  </r>
  <r>
    <n v="120"/>
    <s v="Bertolo Milagros"/>
    <d v="2023-04-04T00:00:00"/>
    <x v="2"/>
    <n v="124"/>
    <n v="120"/>
    <n v="4"/>
    <n v="4"/>
    <m/>
    <s v="NO"/>
    <m/>
    <n v="27138"/>
    <n v="696487"/>
    <n v="880081.31"/>
    <n v="286864.55454999901"/>
    <n v="1166945.8645500001"/>
  </r>
  <r>
    <n v="126"/>
    <s v="Barajas Barbara"/>
    <d v="2023-05-11T00:00:00"/>
    <x v="3"/>
    <n v="126"/>
    <n v="122"/>
    <n v="4"/>
    <n v="4"/>
    <m/>
    <s v="NO"/>
    <m/>
    <n v="27576"/>
    <n v="707350"/>
    <n v="893818.36"/>
    <n v="291325.12839999999"/>
    <n v="1185143.4883999999"/>
  </r>
  <r>
    <n v="131"/>
    <s v="De Brito Rocio"/>
    <d v="2023-06-08T00:00:00"/>
    <x v="4"/>
    <n v="130"/>
    <n v="130"/>
    <m/>
    <n v="8"/>
    <m/>
    <s v="NO"/>
    <m/>
    <n v="9245"/>
    <n v="692511"/>
    <n v="874289.91"/>
    <n v="284207.91774999897"/>
    <n v="1158497.8277499999"/>
  </r>
  <r>
    <n v="138"/>
    <s v="Lara Robbio"/>
    <d v="2023-08-01T00:00:00"/>
    <x v="1"/>
    <n v="123"/>
    <n v="114"/>
    <n v="5"/>
    <n v="4"/>
    <n v="4"/>
    <s v="NO"/>
    <m/>
    <n v="30520"/>
    <n v="691330"/>
    <n v="873735.30999999901"/>
    <n v="284982.39594999899"/>
    <n v="1158717.7059499901"/>
  </r>
  <r>
    <n v="139"/>
    <s v="Viña Sofia"/>
    <d v="2023-08-01T00:00:00"/>
    <x v="5"/>
    <n v="127"/>
    <n v="123"/>
    <n v="4"/>
    <n v="4"/>
    <m/>
    <s v="NO"/>
    <m/>
    <n v="35034"/>
    <n v="711975"/>
    <n v="899820.28"/>
    <n v="293429.8774"/>
    <n v="1193250.1573999999"/>
  </r>
  <r>
    <n v="143"/>
    <s v="Molina Agustina"/>
    <d v="2023-09-15T00:00:00"/>
    <x v="0"/>
    <n v="124"/>
    <n v="118"/>
    <n v="6"/>
    <n v="4"/>
    <m/>
    <s v="NO"/>
    <m/>
    <n v="16830"/>
    <n v="688866"/>
    <n v="870417.52"/>
    <n v="283699.81719999999"/>
    <n v="1154117.3372"/>
  </r>
  <r>
    <n v="151"/>
    <s v="Kiara Corbalan"/>
    <d v="2023-10-02T00:00:00"/>
    <x v="0"/>
    <n v="124"/>
    <n v="118"/>
    <n v="6"/>
    <n v="4"/>
    <m/>
    <s v="NO"/>
    <m/>
    <n v="16830"/>
    <n v="688866"/>
    <n v="870417.52"/>
    <n v="283699.81719999999"/>
    <n v="1154117.3372"/>
  </r>
  <r>
    <n v="161"/>
    <s v="Martínez Brisa"/>
    <d v="2023-12-12T00:00:00"/>
    <x v="0"/>
    <n v="124"/>
    <n v="118"/>
    <n v="6"/>
    <n v="4"/>
    <m/>
    <s v="NO"/>
    <m/>
    <n v="16830"/>
    <n v="688866"/>
    <n v="870417.52"/>
    <n v="283699.81719999999"/>
    <n v="1154117.3372"/>
  </r>
  <r>
    <n v="165"/>
    <s v="CORONEL Mailen"/>
    <d v="2024-01-20T00:00:00"/>
    <x v="4"/>
    <n v="128"/>
    <n v="120"/>
    <m/>
    <n v="8"/>
    <n v="8"/>
    <s v="NO"/>
    <m/>
    <n v="11605"/>
    <n v="684126.99999999895"/>
    <n v="863748.82999999903"/>
    <n v="280847.23554999899"/>
    <n v="1144596.0655499899"/>
  </r>
  <r>
    <n v="170"/>
    <s v="Ruiz de la Torre Maitena"/>
    <d v="2024-02-23T00:00:00"/>
    <x v="5"/>
    <n v="125"/>
    <n v="108"/>
    <n v="5"/>
    <n v="4"/>
    <n v="12"/>
    <s v="NO"/>
    <m/>
    <n v="31172"/>
    <n v="702266.99999999895"/>
    <n v="887570.86999999895"/>
    <n v="289479.86274999997"/>
    <n v="1177050.73275"/>
  </r>
  <r>
    <n v="171"/>
    <s v="Gimenez Candela"/>
    <d v="2024-04-22T00:00:00"/>
    <x v="3"/>
    <n v="120"/>
    <n v="112"/>
    <n v="4"/>
    <n v="4"/>
    <n v="4"/>
    <s v="NO"/>
    <m/>
    <n v="25388"/>
    <n v="667448"/>
    <n v="843335.45"/>
    <n v="274908.49105000001"/>
    <n v="1118243.94105"/>
  </r>
  <r>
    <n v="173"/>
    <s v="Imperiale Candela"/>
    <d v="2024-06-04T00:00:00"/>
    <x v="5"/>
    <n v="132"/>
    <n v="126"/>
    <n v="6"/>
    <n v="4"/>
    <m/>
    <s v="NO"/>
    <m/>
    <n v="36413"/>
    <n v="739658"/>
    <n v="935028.96"/>
    <n v="305067.37659999903"/>
    <n v="1240096.3366"/>
  </r>
  <r>
    <n v="174"/>
    <s v="Machuca Araceli"/>
    <d v="2024-07-04T00:00:00"/>
    <x v="2"/>
    <n v="120"/>
    <n v="110"/>
    <n v="6"/>
    <n v="4"/>
    <n v="4"/>
    <s v="NO"/>
    <m/>
    <n v="25388"/>
    <n v="668709"/>
    <n v="845127.07"/>
    <n v="275690.54035000002"/>
    <n v="1120817.61035"/>
  </r>
  <r>
    <n v="186"/>
    <s v="Balmaceda Luciana"/>
    <d v="2024-10-22T00:00:00"/>
    <x v="5"/>
    <n v="125"/>
    <n v="120"/>
    <n v="5"/>
    <n v="4"/>
    <m/>
    <s v="NO"/>
    <m/>
    <n v="34482"/>
    <n v="698137"/>
    <n v="882412.97"/>
    <n v="287870.993049999"/>
    <n v="1170283.9630499999"/>
  </r>
  <r>
    <n v="189"/>
    <s v="Oliva Micaela"/>
    <d v="2024-11-01T00:00:00"/>
    <x v="3"/>
    <n v="125"/>
    <n v="121"/>
    <n v="4"/>
    <n v="4"/>
    <m/>
    <s v="NO"/>
    <m/>
    <n v="28383"/>
    <n v="689103"/>
    <n v="870756.32"/>
    <n v="283849.54239999899"/>
    <n v="1154605.8624"/>
  </r>
  <r>
    <n v="190"/>
    <s v="Mohamad Daila"/>
    <d v="2024-11-01T00:00:00"/>
    <x v="6"/>
    <n v="132"/>
    <n v="127"/>
    <n v="5"/>
    <n v="4"/>
    <m/>
    <s v="NO"/>
    <m/>
    <n v="13198"/>
    <n v="716255"/>
    <n v="904831.41999999899"/>
    <n v="294649.1605"/>
    <n v="1199480.5804999999"/>
  </r>
  <r>
    <n v="192"/>
    <s v="Sarapura Rebecca"/>
    <d v="2024-11-01T00:00:00"/>
    <x v="1"/>
    <n v="122"/>
    <n v="101"/>
    <n v="5"/>
    <n v="4"/>
    <n v="16"/>
    <s v="NO"/>
    <m/>
    <n v="27186"/>
    <n v="676588"/>
    <n v="855019.22"/>
    <n v="278830.04349999898"/>
    <n v="1133849.2634999999"/>
  </r>
  <r>
    <n v="194"/>
    <s v="Scholler Chavez Ruth"/>
    <d v="2024-12-13T00:00:00"/>
    <x v="2"/>
    <n v="120"/>
    <n v="114"/>
    <n v="6"/>
    <n v="4"/>
    <m/>
    <s v="NO"/>
    <m/>
    <n v="26263"/>
    <n v="669444"/>
    <n v="846075.35"/>
    <n v="276017.62495000003"/>
    <n v="1122092.9749499999"/>
  </r>
  <r>
    <n v="205"/>
    <s v="Florencia Aguero"/>
    <d v="2025-02-25T00:00:00"/>
    <x v="6"/>
    <n v="58"/>
    <n v="58"/>
    <m/>
    <n v="4"/>
    <m/>
    <s v="NO"/>
    <m/>
    <n v="0"/>
    <n v="560658"/>
    <n v="681305.96"/>
    <n v="207086.11599999899"/>
    <n v="888392.07599999895"/>
  </r>
  <r>
    <n v="206"/>
    <s v="Morena Martinez"/>
    <d v="2025-02-25T00:00:00"/>
    <x v="1"/>
    <n v="124"/>
    <n v="119"/>
    <n v="5"/>
    <n v="4"/>
    <m/>
    <s v="NO"/>
    <m/>
    <n v="4518"/>
    <n v="667838.99999999895"/>
    <n v="843456.01999999897"/>
    <n v="274567.52830000001"/>
    <n v="1118023.5482999999"/>
  </r>
  <r>
    <n v="210"/>
    <s v="Dettoni Leguizamon Oriana"/>
    <d v="2025-04-12T00:00:00"/>
    <x v="5"/>
    <n v="126"/>
    <n v="120"/>
    <n v="6"/>
    <n v="4"/>
    <m/>
    <s v="NO"/>
    <m/>
    <n v="0"/>
    <n v="678241"/>
    <n v="856603.76"/>
    <n v="278830.29460000002"/>
    <n v="1135434.0545999999"/>
  </r>
  <r>
    <n v="213"/>
    <s v="Gonzalez Valentina"/>
    <d v="2025-05-12T00:00:00"/>
    <x v="6"/>
    <n v="93"/>
    <n v="89"/>
    <n v="4"/>
    <n v="4"/>
    <m/>
    <s v="NO"/>
    <m/>
    <n v="0"/>
    <n v="498151"/>
    <n v="628753.80000000005"/>
    <n v="204730.144"/>
    <n v="833483.944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ablaDinámica5" cacheId="10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V2:W10" firstHeaderRow="1" firstDataRow="1" firstDataCol="1"/>
  <pivotFields count="19">
    <pivotField showAll="0"/>
    <pivotField showAll="0"/>
    <pivotField numFmtId="164" showAll="0"/>
    <pivotField axis="axisRow" showAll="0">
      <items count="9">
        <item x="0"/>
        <item x="5"/>
        <item x="2"/>
        <item x="4"/>
        <item x="3"/>
        <item x="1"/>
        <item m="1" x="7"/>
        <item x="6"/>
        <item t="default"/>
      </items>
    </pivotField>
    <pivotField numFmtId="4" showAll="0"/>
    <pivotField numFmtId="4" showAll="0"/>
    <pivotField numFmtId="4" showAll="0"/>
    <pivotField showAll="0"/>
    <pivotField showAll="0"/>
    <pivotField showAll="0"/>
    <pivotField showAll="0"/>
    <pivotField showAll="0"/>
    <pivotField numFmtId="4" showAll="0"/>
    <pivotField numFmtId="4" showAll="0"/>
    <pivotField numFmtId="2" showAll="0"/>
    <pivotField numFmtId="10" showAll="0"/>
    <pivotField showAll="0"/>
    <pivotField numFmtId="4" showAll="0"/>
    <pivotField dataField="1" numFmtId="4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Items count="1">
    <i/>
  </colItems>
  <dataFields count="1">
    <dataField name="Suma de Costo total" fld="18" baseField="0" baseItem="0" numFmtId="173"/>
  </dataFields>
  <formats count="3">
    <format dxfId="18">
      <pivotArea outline="0" collapsedLevelsAreSubtotals="1" fieldPosition="0"/>
    </format>
    <format dxfId="17">
      <pivotArea outline="0" collapsedLevelsAreSubtotals="1" fieldPosition="0"/>
    </format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4" cacheId="11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S3:T11" firstHeaderRow="1" firstDataRow="1" firstDataCol="1"/>
  <pivotFields count="16">
    <pivotField showAll="0"/>
    <pivotField showAll="0"/>
    <pivotField showAll="0"/>
    <pivotField axis="axisRow" showAll="0">
      <items count="8">
        <item x="0"/>
        <item x="5"/>
        <item x="2"/>
        <item x="4"/>
        <item x="3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dataField="1" numFmtId="4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Costo total" fld="15" baseField="0" baseItem="0" numFmtId="173"/>
  </dataFields>
  <formats count="3">
    <format dxfId="12">
      <pivotArea outline="0" collapsedLevelsAreSubtotals="1" fieldPosition="0"/>
    </format>
    <format dxfId="10">
      <pivotArea outline="0" collapsedLevelsAreSubtotals="1" fieldPosition="0"/>
    </format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3" cacheId="11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S3:T11" firstHeaderRow="1" firstDataRow="1" firstDataCol="1"/>
  <pivotFields count="16">
    <pivotField showAll="0"/>
    <pivotField showAll="0"/>
    <pivotField showAll="0"/>
    <pivotField axis="axisRow" showAll="0">
      <items count="8">
        <item x="0"/>
        <item x="5"/>
        <item x="2"/>
        <item x="4"/>
        <item x="3"/>
        <item x="1"/>
        <item x="6"/>
        <item t="default"/>
      </items>
    </pivotField>
    <pivotField numFmtId="3" showAll="0"/>
    <pivotField showAll="0"/>
    <pivotField showAll="0"/>
    <pivotField numFmtId="3"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dataField="1" numFmtId="4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Costo total" fld="15" baseField="0" baseItem="0" numFmtId="173"/>
  </dataFields>
  <formats count="3">
    <format dxfId="19">
      <pivotArea outline="0" collapsedLevelsAreSubtotals="1" fieldPosition="0"/>
    </format>
    <format dxfId="4">
      <pivotArea outline="0" collapsedLevelsAreSubtotals="1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1001"/>
  <sheetViews>
    <sheetView topLeftCell="P1" workbookViewId="0">
      <selection activeCell="W9" sqref="W9"/>
    </sheetView>
  </sheetViews>
  <sheetFormatPr baseColWidth="10" defaultColWidth="12.6328125" defaultRowHeight="15.75" customHeight="1" x14ac:dyDescent="0.25"/>
  <cols>
    <col min="1" max="1" width="6" customWidth="1"/>
    <col min="2" max="2" width="21.26953125" customWidth="1"/>
    <col min="3" max="3" width="9.90625" bestFit="1" customWidth="1"/>
    <col min="4" max="4" width="14.453125" customWidth="1"/>
    <col min="5" max="5" width="11.08984375" customWidth="1"/>
    <col min="6" max="6" width="10" customWidth="1"/>
    <col min="7" max="7" width="11.26953125" customWidth="1"/>
    <col min="8" max="8" width="9.08984375" customWidth="1"/>
    <col min="9" max="9" width="13.26953125" customWidth="1"/>
    <col min="10" max="10" width="13.36328125" customWidth="1"/>
    <col min="11" max="11" width="14.7265625" customWidth="1"/>
    <col min="12" max="12" width="13.26953125" customWidth="1"/>
    <col min="13" max="13" width="14.08984375" customWidth="1"/>
    <col min="14" max="14" width="15.08984375" customWidth="1"/>
    <col min="15" max="15" width="14" customWidth="1"/>
    <col min="20" max="20" width="15.08984375" customWidth="1"/>
    <col min="22" max="22" width="17" bestFit="1" customWidth="1"/>
    <col min="23" max="23" width="18.36328125" bestFit="1" customWidth="1"/>
  </cols>
  <sheetData>
    <row r="1" spans="1:23" ht="65" x14ac:dyDescent="0.3">
      <c r="A1" s="1" t="s">
        <v>479</v>
      </c>
      <c r="B1" s="1" t="s">
        <v>480</v>
      </c>
      <c r="C1" s="1" t="s">
        <v>481</v>
      </c>
      <c r="D1" s="1" t="s">
        <v>482</v>
      </c>
      <c r="E1" s="2" t="s">
        <v>483</v>
      </c>
      <c r="F1" s="1" t="s">
        <v>484</v>
      </c>
      <c r="G1" s="2" t="s">
        <v>485</v>
      </c>
      <c r="H1" s="1" t="s">
        <v>486</v>
      </c>
      <c r="I1" s="3" t="s">
        <v>487</v>
      </c>
      <c r="J1" s="1" t="s">
        <v>488</v>
      </c>
      <c r="K1" s="1" t="s">
        <v>489</v>
      </c>
      <c r="L1" s="1" t="s">
        <v>490</v>
      </c>
      <c r="M1" s="1" t="s">
        <v>491</v>
      </c>
      <c r="N1" s="1" t="s">
        <v>492</v>
      </c>
      <c r="O1" s="4" t="s">
        <v>493</v>
      </c>
      <c r="P1" s="1" t="s">
        <v>494</v>
      </c>
      <c r="Q1" s="1" t="s">
        <v>495</v>
      </c>
      <c r="R1" s="1" t="s">
        <v>496</v>
      </c>
      <c r="S1" s="1" t="s">
        <v>497</v>
      </c>
      <c r="T1" s="1" t="s">
        <v>498</v>
      </c>
      <c r="U1" s="5"/>
      <c r="V1" s="5"/>
    </row>
    <row r="2" spans="1:23" ht="15.75" customHeight="1" x14ac:dyDescent="0.25">
      <c r="A2" s="8">
        <v>55</v>
      </c>
      <c r="B2" s="8" t="s">
        <v>499</v>
      </c>
      <c r="C2" s="7">
        <v>44414</v>
      </c>
      <c r="D2" s="8" t="s">
        <v>470</v>
      </c>
      <c r="E2" s="9">
        <v>132</v>
      </c>
      <c r="F2" s="9">
        <v>117</v>
      </c>
      <c r="G2" s="9">
        <v>15</v>
      </c>
      <c r="H2" s="8"/>
      <c r="I2" s="11"/>
      <c r="J2" s="9" t="s">
        <v>500</v>
      </c>
      <c r="K2" s="8"/>
      <c r="L2" s="9">
        <v>16926</v>
      </c>
      <c r="M2" s="9">
        <v>788702</v>
      </c>
      <c r="N2" s="9">
        <v>870222.33</v>
      </c>
      <c r="O2" s="12">
        <v>321112.03976999997</v>
      </c>
      <c r="P2" s="13">
        <v>0.36899999999999999</v>
      </c>
      <c r="Q2" s="8">
        <v>1227</v>
      </c>
      <c r="R2" s="9">
        <v>528348.23976999999</v>
      </c>
      <c r="S2" s="9">
        <v>1191334.36977</v>
      </c>
      <c r="T2" s="8"/>
      <c r="U2" s="8"/>
      <c r="V2" s="92" t="s">
        <v>469</v>
      </c>
      <c r="W2" t="s">
        <v>478</v>
      </c>
    </row>
    <row r="3" spans="1:23" ht="15.75" customHeight="1" x14ac:dyDescent="0.25">
      <c r="A3" s="8">
        <v>103</v>
      </c>
      <c r="B3" s="8" t="s">
        <v>501</v>
      </c>
      <c r="C3" s="7">
        <v>44854</v>
      </c>
      <c r="D3" s="8" t="s">
        <v>475</v>
      </c>
      <c r="E3" s="9">
        <v>130</v>
      </c>
      <c r="F3" s="9">
        <v>114</v>
      </c>
      <c r="G3" s="9">
        <v>16</v>
      </c>
      <c r="H3" s="8"/>
      <c r="I3" s="11"/>
      <c r="J3" s="9" t="s">
        <v>500</v>
      </c>
      <c r="K3" s="8"/>
      <c r="L3" s="9">
        <v>33034</v>
      </c>
      <c r="M3" s="9">
        <v>965285</v>
      </c>
      <c r="N3" s="9">
        <v>1101576.31</v>
      </c>
      <c r="O3" s="12">
        <v>417277.10622800002</v>
      </c>
      <c r="P3" s="13">
        <v>0.37880000000000003</v>
      </c>
      <c r="Q3" s="8">
        <v>1227</v>
      </c>
      <c r="R3" s="9">
        <v>676315.64622800006</v>
      </c>
      <c r="S3" s="9">
        <v>1518853.4162280001</v>
      </c>
      <c r="T3" s="8"/>
      <c r="U3" s="8"/>
      <c r="V3" s="93" t="s">
        <v>470</v>
      </c>
      <c r="W3" s="94">
        <v>4921852.1701219995</v>
      </c>
    </row>
    <row r="4" spans="1:23" ht="15.75" customHeight="1" x14ac:dyDescent="0.25">
      <c r="A4" s="8">
        <v>120</v>
      </c>
      <c r="B4" s="8" t="s">
        <v>502</v>
      </c>
      <c r="C4" s="7">
        <v>45020</v>
      </c>
      <c r="D4" s="8" t="s">
        <v>472</v>
      </c>
      <c r="E4" s="9">
        <v>132</v>
      </c>
      <c r="F4" s="9">
        <v>118</v>
      </c>
      <c r="G4" s="9">
        <v>14</v>
      </c>
      <c r="H4" s="8"/>
      <c r="I4" s="11"/>
      <c r="J4" s="9" t="s">
        <v>503</v>
      </c>
      <c r="K4" s="8"/>
      <c r="L4" s="9">
        <v>34226</v>
      </c>
      <c r="M4" s="9">
        <v>722257</v>
      </c>
      <c r="N4" s="9">
        <v>787241.25</v>
      </c>
      <c r="O4" s="12">
        <v>290492.02124999999</v>
      </c>
      <c r="P4" s="13">
        <v>0.36899999999999999</v>
      </c>
      <c r="Q4" s="8">
        <v>1227</v>
      </c>
      <c r="R4" s="9">
        <v>478859.26124999998</v>
      </c>
      <c r="S4" s="9">
        <v>1077733.27125</v>
      </c>
      <c r="T4" s="8"/>
      <c r="U4" s="8"/>
      <c r="V4" s="93" t="s">
        <v>471</v>
      </c>
      <c r="W4" s="94">
        <v>6276593.3444979992</v>
      </c>
    </row>
    <row r="5" spans="1:23" ht="15.75" customHeight="1" x14ac:dyDescent="0.25">
      <c r="A5" s="8">
        <v>126</v>
      </c>
      <c r="B5" s="8" t="s">
        <v>504</v>
      </c>
      <c r="C5" s="7">
        <v>45057</v>
      </c>
      <c r="D5" s="8" t="s">
        <v>474</v>
      </c>
      <c r="E5" s="9">
        <v>126</v>
      </c>
      <c r="F5" s="9">
        <v>114</v>
      </c>
      <c r="G5" s="9">
        <v>12</v>
      </c>
      <c r="H5" s="8"/>
      <c r="I5" s="11"/>
      <c r="J5" s="9" t="s">
        <v>503</v>
      </c>
      <c r="K5" s="8"/>
      <c r="L5" s="9">
        <v>40567</v>
      </c>
      <c r="M5" s="9">
        <v>691491</v>
      </c>
      <c r="N5" s="9">
        <v>753863.21</v>
      </c>
      <c r="O5" s="12">
        <v>278175.52448999998</v>
      </c>
      <c r="P5" s="13">
        <v>0.36899999999999999</v>
      </c>
      <c r="Q5" s="8">
        <v>1227</v>
      </c>
      <c r="R5" s="9">
        <v>458577.65448999999</v>
      </c>
      <c r="S5" s="9">
        <v>1032038.7344899999</v>
      </c>
      <c r="T5" s="8"/>
      <c r="U5" s="8"/>
      <c r="V5" s="93" t="s">
        <v>472</v>
      </c>
      <c r="W5" s="94">
        <v>3179852.2605179898</v>
      </c>
    </row>
    <row r="6" spans="1:23" ht="15.75" customHeight="1" x14ac:dyDescent="0.25">
      <c r="A6" s="8">
        <v>131</v>
      </c>
      <c r="B6" s="8" t="s">
        <v>505</v>
      </c>
      <c r="C6" s="7">
        <v>45085</v>
      </c>
      <c r="D6" s="8" t="s">
        <v>473</v>
      </c>
      <c r="E6" s="9">
        <v>119</v>
      </c>
      <c r="F6" s="9">
        <v>119</v>
      </c>
      <c r="G6" s="9">
        <v>0</v>
      </c>
      <c r="H6" s="9">
        <v>12</v>
      </c>
      <c r="I6" s="11"/>
      <c r="J6" s="9" t="s">
        <v>503</v>
      </c>
      <c r="K6" s="8"/>
      <c r="L6" s="9">
        <v>5643</v>
      </c>
      <c r="M6" s="9">
        <v>596675</v>
      </c>
      <c r="N6" s="9">
        <v>638894.93000000005</v>
      </c>
      <c r="O6" s="12">
        <v>237093.90852299999</v>
      </c>
      <c r="P6" s="13">
        <v>0.37109999999999999</v>
      </c>
      <c r="Q6" s="8">
        <v>1227</v>
      </c>
      <c r="R6" s="9">
        <v>391097.27852300002</v>
      </c>
      <c r="S6" s="9">
        <v>875988.83852300001</v>
      </c>
      <c r="T6" s="8"/>
      <c r="U6" s="8"/>
      <c r="V6" s="93" t="s">
        <v>473</v>
      </c>
      <c r="W6" s="94">
        <v>1447369.1218730002</v>
      </c>
    </row>
    <row r="7" spans="1:23" ht="15.75" customHeight="1" x14ac:dyDescent="0.25">
      <c r="A7" s="8">
        <v>138</v>
      </c>
      <c r="B7" s="8" t="s">
        <v>506</v>
      </c>
      <c r="C7" s="7">
        <v>45139</v>
      </c>
      <c r="D7" s="8" t="s">
        <v>475</v>
      </c>
      <c r="E7" s="9">
        <v>131</v>
      </c>
      <c r="F7" s="9">
        <v>118</v>
      </c>
      <c r="G7" s="9">
        <v>13</v>
      </c>
      <c r="H7" s="8"/>
      <c r="I7" s="11"/>
      <c r="J7" s="9" t="s">
        <v>503</v>
      </c>
      <c r="K7" s="8"/>
      <c r="L7" s="9">
        <v>40826</v>
      </c>
      <c r="M7" s="9">
        <v>719467</v>
      </c>
      <c r="N7" s="9">
        <v>784695.28</v>
      </c>
      <c r="O7" s="12">
        <v>289552.55832000001</v>
      </c>
      <c r="P7" s="13">
        <v>0.36899999999999999</v>
      </c>
      <c r="Q7" s="8">
        <v>1227</v>
      </c>
      <c r="R7" s="9">
        <v>477271.11832000001</v>
      </c>
      <c r="S7" s="9">
        <v>1074247.8383200001</v>
      </c>
      <c r="T7" s="8"/>
      <c r="U7" s="8"/>
      <c r="V7" s="93" t="s">
        <v>474</v>
      </c>
      <c r="W7" s="94">
        <v>2988002.406589</v>
      </c>
    </row>
    <row r="8" spans="1:23" ht="15.75" customHeight="1" x14ac:dyDescent="0.25">
      <c r="A8" s="8">
        <v>139</v>
      </c>
      <c r="B8" s="8" t="s">
        <v>507</v>
      </c>
      <c r="C8" s="7">
        <v>45139</v>
      </c>
      <c r="D8" s="8" t="s">
        <v>471</v>
      </c>
      <c r="E8" s="9">
        <v>129</v>
      </c>
      <c r="F8" s="9">
        <v>124</v>
      </c>
      <c r="G8" s="9">
        <v>5</v>
      </c>
      <c r="H8" s="9">
        <v>8</v>
      </c>
      <c r="I8" s="11"/>
      <c r="J8" s="9" t="s">
        <v>500</v>
      </c>
      <c r="K8" s="8"/>
      <c r="L8" s="9">
        <v>28330</v>
      </c>
      <c r="M8" s="9">
        <v>704930</v>
      </c>
      <c r="N8" s="9">
        <v>768044.17</v>
      </c>
      <c r="O8" s="12">
        <v>283024.27664499998</v>
      </c>
      <c r="P8" s="13">
        <v>0.36849999999999999</v>
      </c>
      <c r="Q8" s="8">
        <v>1227</v>
      </c>
      <c r="R8" s="9">
        <v>466844.65664499998</v>
      </c>
      <c r="S8" s="9">
        <v>1051068.446645</v>
      </c>
      <c r="T8" s="8"/>
      <c r="U8" s="14"/>
      <c r="V8" s="93" t="s">
        <v>475</v>
      </c>
      <c r="W8" s="94">
        <v>4606184.9010080006</v>
      </c>
    </row>
    <row r="9" spans="1:23" ht="15.75" customHeight="1" x14ac:dyDescent="0.25">
      <c r="A9" s="8">
        <v>143</v>
      </c>
      <c r="B9" s="8" t="s">
        <v>508</v>
      </c>
      <c r="C9" s="7">
        <v>45184</v>
      </c>
      <c r="D9" s="8" t="s">
        <v>470</v>
      </c>
      <c r="E9" s="9">
        <v>127</v>
      </c>
      <c r="F9" s="9">
        <v>112</v>
      </c>
      <c r="G9" s="9">
        <v>15</v>
      </c>
      <c r="H9" s="8"/>
      <c r="I9" s="11"/>
      <c r="J9" s="9" t="s">
        <v>503</v>
      </c>
      <c r="K9" s="8"/>
      <c r="L9" s="9">
        <v>28284</v>
      </c>
      <c r="M9" s="9">
        <v>696548</v>
      </c>
      <c r="N9" s="9">
        <v>759335.06</v>
      </c>
      <c r="O9" s="12">
        <v>280270.57064599998</v>
      </c>
      <c r="P9" s="13">
        <v>0.36909999999999998</v>
      </c>
      <c r="Q9" s="8">
        <v>1227</v>
      </c>
      <c r="R9" s="9">
        <v>461979.70064599998</v>
      </c>
      <c r="S9" s="9">
        <v>1039605.630646</v>
      </c>
      <c r="T9" s="8"/>
      <c r="U9" s="14"/>
      <c r="V9" s="93" t="s">
        <v>476</v>
      </c>
      <c r="W9" s="94">
        <v>2035425.9284600001</v>
      </c>
    </row>
    <row r="10" spans="1:23" ht="15.75" customHeight="1" x14ac:dyDescent="0.25">
      <c r="A10" s="8">
        <v>151</v>
      </c>
      <c r="B10" s="8" t="s">
        <v>509</v>
      </c>
      <c r="C10" s="7">
        <v>45201</v>
      </c>
      <c r="D10" s="8" t="s">
        <v>470</v>
      </c>
      <c r="E10" s="9">
        <v>128</v>
      </c>
      <c r="F10" s="9">
        <v>123</v>
      </c>
      <c r="G10" s="9">
        <v>5</v>
      </c>
      <c r="H10" s="9">
        <v>8</v>
      </c>
      <c r="I10" s="11"/>
      <c r="J10" s="9" t="s">
        <v>500</v>
      </c>
      <c r="K10" s="8"/>
      <c r="L10" s="9">
        <v>20489</v>
      </c>
      <c r="M10" s="9">
        <v>473930</v>
      </c>
      <c r="N10" s="9">
        <v>471032.99</v>
      </c>
      <c r="O10" s="12">
        <v>174140.89640299999</v>
      </c>
      <c r="P10" s="13">
        <v>0.36969999999999997</v>
      </c>
      <c r="Q10" s="8">
        <v>1227</v>
      </c>
      <c r="R10" s="9">
        <v>291057.88640299998</v>
      </c>
      <c r="S10" s="9">
        <v>645173.88640299998</v>
      </c>
      <c r="T10" s="8"/>
      <c r="U10" s="14"/>
      <c r="V10" s="93" t="s">
        <v>477</v>
      </c>
      <c r="W10" s="94">
        <v>25455280.133067995</v>
      </c>
    </row>
    <row r="11" spans="1:23" ht="15.75" customHeight="1" x14ac:dyDescent="0.25">
      <c r="A11" s="8">
        <v>161</v>
      </c>
      <c r="B11" s="8" t="s">
        <v>510</v>
      </c>
      <c r="C11" s="7">
        <v>45272</v>
      </c>
      <c r="D11" s="8" t="s">
        <v>470</v>
      </c>
      <c r="E11" s="9">
        <v>127</v>
      </c>
      <c r="F11" s="9">
        <v>112</v>
      </c>
      <c r="G11" s="9">
        <v>15</v>
      </c>
      <c r="H11" s="8"/>
      <c r="I11" s="11"/>
      <c r="J11" s="9" t="s">
        <v>500</v>
      </c>
      <c r="K11" s="8"/>
      <c r="L11" s="9">
        <v>18708</v>
      </c>
      <c r="M11" s="9">
        <v>895457</v>
      </c>
      <c r="N11" s="9">
        <v>1015991.67</v>
      </c>
      <c r="O11" s="12">
        <v>381911.26875300001</v>
      </c>
      <c r="P11" s="13">
        <v>0.37590000000000001</v>
      </c>
      <c r="Q11" s="8">
        <v>1227</v>
      </c>
      <c r="R11" s="9">
        <v>621368.12875299901</v>
      </c>
      <c r="S11" s="9">
        <v>1397902.938753</v>
      </c>
      <c r="T11" s="8"/>
      <c r="U11" s="14"/>
    </row>
    <row r="12" spans="1:23" ht="15.75" customHeight="1" x14ac:dyDescent="0.25">
      <c r="A12" s="8">
        <v>165</v>
      </c>
      <c r="B12" s="8" t="s">
        <v>511</v>
      </c>
      <c r="C12" s="7">
        <v>45311</v>
      </c>
      <c r="D12" s="8" t="s">
        <v>473</v>
      </c>
      <c r="E12" s="9">
        <v>124</v>
      </c>
      <c r="F12" s="9">
        <v>124</v>
      </c>
      <c r="G12" s="9">
        <v>0</v>
      </c>
      <c r="H12" s="9">
        <v>12</v>
      </c>
      <c r="I12" s="11"/>
      <c r="J12" s="9" t="s">
        <v>500</v>
      </c>
      <c r="K12" s="8"/>
      <c r="L12" s="9">
        <v>5500</v>
      </c>
      <c r="M12" s="9">
        <v>446507</v>
      </c>
      <c r="N12" s="9">
        <v>439861.65</v>
      </c>
      <c r="O12" s="12">
        <v>131518.63334999999</v>
      </c>
      <c r="P12" s="13">
        <v>0.29899999999999999</v>
      </c>
      <c r="Q12" s="8">
        <v>1227</v>
      </c>
      <c r="R12" s="9">
        <v>241118.71334999899</v>
      </c>
      <c r="S12" s="9">
        <v>571380.28335000004</v>
      </c>
      <c r="T12" s="8"/>
      <c r="U12" s="14"/>
    </row>
    <row r="13" spans="1:23" ht="15.75" customHeight="1" x14ac:dyDescent="0.25">
      <c r="A13" s="8">
        <v>170</v>
      </c>
      <c r="B13" s="8" t="s">
        <v>512</v>
      </c>
      <c r="C13" s="7">
        <v>45345</v>
      </c>
      <c r="D13" s="8" t="s">
        <v>471</v>
      </c>
      <c r="E13" s="9">
        <v>111</v>
      </c>
      <c r="F13" s="9">
        <v>103</v>
      </c>
      <c r="G13" s="9">
        <v>8</v>
      </c>
      <c r="H13" s="9">
        <v>4</v>
      </c>
      <c r="I13" s="11"/>
      <c r="J13" s="9" t="s">
        <v>503</v>
      </c>
      <c r="K13" s="8"/>
      <c r="L13" s="9">
        <v>31135</v>
      </c>
      <c r="M13" s="9">
        <v>599040</v>
      </c>
      <c r="N13" s="9">
        <v>650373.34</v>
      </c>
      <c r="O13" s="12">
        <v>239662.57578999901</v>
      </c>
      <c r="P13" s="13">
        <v>0.36849999999999999</v>
      </c>
      <c r="Q13" s="8">
        <v>1227</v>
      </c>
      <c r="R13" s="9">
        <v>395641.86578999902</v>
      </c>
      <c r="S13" s="9">
        <v>890035.91579</v>
      </c>
      <c r="T13" s="8"/>
      <c r="U13" s="14"/>
    </row>
    <row r="14" spans="1:23" ht="15.75" customHeight="1" x14ac:dyDescent="0.25">
      <c r="A14" s="8">
        <v>171</v>
      </c>
      <c r="B14" s="8" t="s">
        <v>513</v>
      </c>
      <c r="C14" s="7">
        <v>45404</v>
      </c>
      <c r="D14" s="8" t="s">
        <v>474</v>
      </c>
      <c r="E14" s="9">
        <v>123</v>
      </c>
      <c r="F14" s="9">
        <v>111</v>
      </c>
      <c r="G14" s="9">
        <v>12</v>
      </c>
      <c r="H14" s="8"/>
      <c r="I14" s="11"/>
      <c r="J14" s="9" t="s">
        <v>500</v>
      </c>
      <c r="K14" s="8"/>
      <c r="L14" s="9">
        <v>37025</v>
      </c>
      <c r="M14" s="9">
        <v>626095</v>
      </c>
      <c r="N14" s="9">
        <v>673924.75</v>
      </c>
      <c r="O14" s="12">
        <v>248543.44779999999</v>
      </c>
      <c r="P14" s="13">
        <v>0.36880000000000002</v>
      </c>
      <c r="Q14" s="8">
        <v>1227</v>
      </c>
      <c r="R14" s="9">
        <v>410639.52779999998</v>
      </c>
      <c r="S14" s="9">
        <v>922468.19779999997</v>
      </c>
      <c r="T14" s="8"/>
      <c r="U14" s="14"/>
    </row>
    <row r="15" spans="1:23" ht="15.75" customHeight="1" x14ac:dyDescent="0.25">
      <c r="A15" s="8">
        <v>173</v>
      </c>
      <c r="B15" s="8" t="s">
        <v>514</v>
      </c>
      <c r="C15" s="7">
        <v>45447</v>
      </c>
      <c r="D15" s="8" t="s">
        <v>471</v>
      </c>
      <c r="E15" s="9">
        <v>132</v>
      </c>
      <c r="F15" s="9">
        <v>117</v>
      </c>
      <c r="G15" s="9">
        <v>15</v>
      </c>
      <c r="H15" s="8"/>
      <c r="I15" s="11"/>
      <c r="J15" s="9" t="s">
        <v>503</v>
      </c>
      <c r="K15" s="8"/>
      <c r="L15" s="9">
        <v>37026</v>
      </c>
      <c r="M15" s="9">
        <v>721008</v>
      </c>
      <c r="N15" s="9">
        <v>787006.67</v>
      </c>
      <c r="O15" s="12">
        <v>289775.85589399998</v>
      </c>
      <c r="P15" s="13">
        <v>0.36820000000000003</v>
      </c>
      <c r="Q15" s="8">
        <v>1227</v>
      </c>
      <c r="R15" s="9">
        <v>477991.16589399998</v>
      </c>
      <c r="S15" s="9">
        <v>1076782.525894</v>
      </c>
      <c r="T15" s="8"/>
      <c r="U15" s="14"/>
    </row>
    <row r="16" spans="1:23" ht="15.75" customHeight="1" x14ac:dyDescent="0.25">
      <c r="A16" s="8">
        <v>174</v>
      </c>
      <c r="B16" s="8" t="s">
        <v>515</v>
      </c>
      <c r="C16" s="7">
        <v>45477</v>
      </c>
      <c r="D16" s="8" t="s">
        <v>472</v>
      </c>
      <c r="E16" s="9">
        <v>131</v>
      </c>
      <c r="F16" s="9">
        <v>116</v>
      </c>
      <c r="G16" s="9">
        <v>15</v>
      </c>
      <c r="H16" s="8"/>
      <c r="I16" s="11"/>
      <c r="J16" s="9" t="s">
        <v>503</v>
      </c>
      <c r="K16" s="8"/>
      <c r="L16" s="9">
        <v>33967</v>
      </c>
      <c r="M16" s="9">
        <v>713645</v>
      </c>
      <c r="N16" s="9">
        <v>778548.95</v>
      </c>
      <c r="O16" s="12">
        <v>287362.41744499898</v>
      </c>
      <c r="P16" s="13">
        <v>0.36909999999999998</v>
      </c>
      <c r="Q16" s="8">
        <v>1227</v>
      </c>
      <c r="R16" s="9">
        <v>473599.66744499898</v>
      </c>
      <c r="S16" s="9">
        <v>1065911.367445</v>
      </c>
      <c r="T16" s="8"/>
      <c r="U16" s="14"/>
    </row>
    <row r="17" spans="1:22" ht="15.75" customHeight="1" x14ac:dyDescent="0.25">
      <c r="A17" s="8">
        <v>186</v>
      </c>
      <c r="B17" s="8" t="s">
        <v>516</v>
      </c>
      <c r="C17" s="7">
        <v>45587</v>
      </c>
      <c r="D17" s="8" t="s">
        <v>471</v>
      </c>
      <c r="E17" s="9">
        <v>116</v>
      </c>
      <c r="F17" s="9">
        <v>106</v>
      </c>
      <c r="G17" s="9">
        <v>10</v>
      </c>
      <c r="H17" s="9">
        <v>4</v>
      </c>
      <c r="I17" s="11"/>
      <c r="J17" s="9" t="s">
        <v>503</v>
      </c>
      <c r="K17" s="8"/>
      <c r="L17" s="9">
        <v>35538</v>
      </c>
      <c r="M17" s="9">
        <v>675656</v>
      </c>
      <c r="N17" s="9">
        <v>745175.1</v>
      </c>
      <c r="O17" s="12">
        <v>274969.61189999903</v>
      </c>
      <c r="P17" s="13">
        <v>0.36899999999999999</v>
      </c>
      <c r="Q17" s="8">
        <v>1227</v>
      </c>
      <c r="R17" s="9">
        <v>452571.37189999898</v>
      </c>
      <c r="S17" s="9">
        <v>1020144.7119</v>
      </c>
      <c r="T17" s="8"/>
      <c r="U17" s="14"/>
    </row>
    <row r="18" spans="1:22" ht="12.5" x14ac:dyDescent="0.25">
      <c r="A18" s="8">
        <v>189</v>
      </c>
      <c r="B18" s="8" t="s">
        <v>517</v>
      </c>
      <c r="C18" s="7">
        <v>45597</v>
      </c>
      <c r="D18" s="8" t="s">
        <v>474</v>
      </c>
      <c r="E18" s="9">
        <v>122</v>
      </c>
      <c r="F18" s="9">
        <v>109</v>
      </c>
      <c r="G18" s="9">
        <v>13</v>
      </c>
      <c r="H18" s="8"/>
      <c r="I18" s="11"/>
      <c r="J18" s="9" t="s">
        <v>500</v>
      </c>
      <c r="K18" s="8"/>
      <c r="L18" s="9">
        <v>37991</v>
      </c>
      <c r="M18" s="9">
        <v>688192</v>
      </c>
      <c r="N18" s="9">
        <v>755092.77</v>
      </c>
      <c r="O18" s="12">
        <v>278402.70429899998</v>
      </c>
      <c r="P18" s="13">
        <v>0.36870000000000003</v>
      </c>
      <c r="Q18" s="8">
        <v>1227</v>
      </c>
      <c r="R18" s="9">
        <v>458686.50429900002</v>
      </c>
      <c r="S18" s="9">
        <v>1033495.474299</v>
      </c>
      <c r="T18" s="8"/>
      <c r="U18" s="14"/>
    </row>
    <row r="19" spans="1:22" ht="12.5" x14ac:dyDescent="0.25">
      <c r="A19" s="8">
        <v>190</v>
      </c>
      <c r="B19" s="8" t="s">
        <v>518</v>
      </c>
      <c r="C19" s="7">
        <v>45597</v>
      </c>
      <c r="D19" s="8" t="s">
        <v>476</v>
      </c>
      <c r="E19" s="9">
        <v>132</v>
      </c>
      <c r="F19" s="9">
        <v>116</v>
      </c>
      <c r="G19" s="9">
        <v>16</v>
      </c>
      <c r="H19" s="8"/>
      <c r="I19" s="11"/>
      <c r="J19" s="9" t="s">
        <v>503</v>
      </c>
      <c r="K19" s="8"/>
      <c r="L19" s="9">
        <v>2901</v>
      </c>
      <c r="M19" s="9">
        <v>695866</v>
      </c>
      <c r="N19" s="9">
        <v>754565.7</v>
      </c>
      <c r="O19" s="12">
        <v>278283.83016000001</v>
      </c>
      <c r="P19" s="13">
        <v>0.36880000000000002</v>
      </c>
      <c r="Q19" s="8">
        <v>1227</v>
      </c>
      <c r="R19" s="9">
        <v>459199.93015999999</v>
      </c>
      <c r="S19" s="9">
        <v>1032849.53016</v>
      </c>
      <c r="T19" s="8"/>
      <c r="U19" s="14"/>
    </row>
    <row r="20" spans="1:22" ht="12.5" x14ac:dyDescent="0.25">
      <c r="A20" s="8">
        <v>192</v>
      </c>
      <c r="B20" s="8" t="s">
        <v>519</v>
      </c>
      <c r="C20" s="7">
        <v>45597</v>
      </c>
      <c r="D20" s="8" t="s">
        <v>475</v>
      </c>
      <c r="E20" s="9">
        <v>130</v>
      </c>
      <c r="F20" s="9">
        <v>118</v>
      </c>
      <c r="G20" s="9">
        <v>12</v>
      </c>
      <c r="H20" s="8"/>
      <c r="I20" s="11"/>
      <c r="J20" s="9" t="s">
        <v>503</v>
      </c>
      <c r="K20" s="8"/>
      <c r="L20" s="9">
        <v>17556</v>
      </c>
      <c r="M20" s="9">
        <v>684548</v>
      </c>
      <c r="N20" s="9">
        <v>742047.06</v>
      </c>
      <c r="O20" s="12">
        <v>273221.72749199998</v>
      </c>
      <c r="P20" s="13">
        <v>0.36820000000000003</v>
      </c>
      <c r="Q20" s="8">
        <v>1227</v>
      </c>
      <c r="R20" s="9">
        <v>451170.96749200003</v>
      </c>
      <c r="S20" s="9">
        <v>1015268.787492</v>
      </c>
      <c r="T20" s="8"/>
      <c r="U20" s="14"/>
      <c r="V20" s="8"/>
    </row>
    <row r="21" spans="1:22" ht="12.5" x14ac:dyDescent="0.25">
      <c r="A21" s="8">
        <v>194</v>
      </c>
      <c r="B21" s="8" t="s">
        <v>520</v>
      </c>
      <c r="C21" s="7">
        <v>45639</v>
      </c>
      <c r="D21" s="8" t="s">
        <v>472</v>
      </c>
      <c r="E21" s="9">
        <v>131</v>
      </c>
      <c r="F21" s="9">
        <v>117</v>
      </c>
      <c r="G21" s="9">
        <v>14</v>
      </c>
      <c r="H21" s="8"/>
      <c r="I21" s="11"/>
      <c r="J21" s="9" t="s">
        <v>503</v>
      </c>
      <c r="K21" s="8"/>
      <c r="L21" s="9">
        <v>17812</v>
      </c>
      <c r="M21" s="9">
        <v>696574</v>
      </c>
      <c r="N21" s="9">
        <v>756521.59</v>
      </c>
      <c r="O21" s="12">
        <v>279686.03182299901</v>
      </c>
      <c r="P21" s="13">
        <v>0.36969999999999997</v>
      </c>
      <c r="Q21" s="8">
        <v>1227</v>
      </c>
      <c r="R21" s="9">
        <v>460967.13182299898</v>
      </c>
      <c r="S21" s="9">
        <v>1036207.62182299</v>
      </c>
      <c r="T21" s="8"/>
      <c r="U21" s="14"/>
      <c r="V21" s="8"/>
    </row>
    <row r="22" spans="1:22" ht="12.5" x14ac:dyDescent="0.25">
      <c r="A22" s="8">
        <v>197</v>
      </c>
      <c r="B22" s="8" t="s">
        <v>521</v>
      </c>
      <c r="C22" s="7">
        <v>45659</v>
      </c>
      <c r="D22" s="8" t="s">
        <v>471</v>
      </c>
      <c r="E22" s="9">
        <v>118</v>
      </c>
      <c r="F22" s="9">
        <v>108</v>
      </c>
      <c r="G22" s="9">
        <v>10</v>
      </c>
      <c r="H22" s="9">
        <v>4</v>
      </c>
      <c r="I22" s="11"/>
      <c r="J22" s="9" t="s">
        <v>503</v>
      </c>
      <c r="K22" s="8"/>
      <c r="L22" s="9">
        <v>0</v>
      </c>
      <c r="M22" s="9">
        <v>607593</v>
      </c>
      <c r="N22" s="9">
        <v>655266.14</v>
      </c>
      <c r="O22" s="12">
        <v>256536.69381</v>
      </c>
      <c r="P22" s="13">
        <v>0.39150000000000001</v>
      </c>
      <c r="Q22" s="8">
        <v>1227</v>
      </c>
      <c r="R22" s="9">
        <v>414059.13381000003</v>
      </c>
      <c r="S22" s="9">
        <v>911802.83380999998</v>
      </c>
      <c r="T22" s="8"/>
      <c r="U22" s="14"/>
      <c r="V22" s="8"/>
    </row>
    <row r="23" spans="1:22" ht="12.5" x14ac:dyDescent="0.25">
      <c r="A23" s="8">
        <v>202</v>
      </c>
      <c r="B23" s="8" t="s">
        <v>522</v>
      </c>
      <c r="C23" s="7">
        <v>45666</v>
      </c>
      <c r="D23" s="8" t="s">
        <v>471</v>
      </c>
      <c r="E23" s="9">
        <v>117</v>
      </c>
      <c r="F23" s="9">
        <v>108</v>
      </c>
      <c r="G23" s="9">
        <v>9</v>
      </c>
      <c r="H23" s="9">
        <v>4</v>
      </c>
      <c r="I23" s="11"/>
      <c r="J23" s="9" t="s">
        <v>503</v>
      </c>
      <c r="K23" s="8"/>
      <c r="L23" s="9">
        <v>0</v>
      </c>
      <c r="M23" s="9">
        <v>599290</v>
      </c>
      <c r="N23" s="9">
        <v>645595.57999999996</v>
      </c>
      <c r="O23" s="12">
        <v>272635.01343399897</v>
      </c>
      <c r="P23" s="13">
        <v>0.42230000000000001</v>
      </c>
      <c r="Q23" s="8">
        <v>1227</v>
      </c>
      <c r="R23" s="9">
        <v>427906.50343399902</v>
      </c>
      <c r="S23" s="9">
        <v>918230.59343399899</v>
      </c>
      <c r="T23" s="8"/>
      <c r="U23" s="14"/>
      <c r="V23" s="8"/>
    </row>
    <row r="24" spans="1:22" ht="12.5" x14ac:dyDescent="0.25">
      <c r="A24" s="8">
        <v>204</v>
      </c>
      <c r="B24" s="8" t="s">
        <v>523</v>
      </c>
      <c r="C24" s="7">
        <v>45693</v>
      </c>
      <c r="D24" s="8" t="s">
        <v>471</v>
      </c>
      <c r="E24" s="9">
        <v>38</v>
      </c>
      <c r="F24" s="9">
        <v>29</v>
      </c>
      <c r="G24" s="9">
        <v>9</v>
      </c>
      <c r="H24" s="8"/>
      <c r="I24" s="11"/>
      <c r="J24" s="9" t="s">
        <v>503</v>
      </c>
      <c r="K24" s="8"/>
      <c r="L24" s="8"/>
      <c r="M24" s="9">
        <v>332906</v>
      </c>
      <c r="N24" s="9">
        <v>297652.69</v>
      </c>
      <c r="O24" s="12">
        <v>110875.62702499999</v>
      </c>
      <c r="P24" s="13">
        <v>0.3725</v>
      </c>
      <c r="Q24" s="8">
        <v>1227</v>
      </c>
      <c r="R24" s="9">
        <v>182641.41702499901</v>
      </c>
      <c r="S24" s="9">
        <v>408528.317025</v>
      </c>
      <c r="T24" s="8" t="s">
        <v>524</v>
      </c>
      <c r="U24" s="8"/>
      <c r="V24" s="8"/>
    </row>
    <row r="25" spans="1:22" ht="12.5" x14ac:dyDescent="0.25">
      <c r="A25" s="8">
        <v>205</v>
      </c>
      <c r="B25" s="8" t="s">
        <v>525</v>
      </c>
      <c r="C25" s="7">
        <v>45713</v>
      </c>
      <c r="D25" s="8" t="s">
        <v>476</v>
      </c>
      <c r="E25" s="9">
        <v>132</v>
      </c>
      <c r="F25" s="9">
        <v>121</v>
      </c>
      <c r="G25" s="9">
        <v>11</v>
      </c>
      <c r="H25" s="9">
        <v>4</v>
      </c>
      <c r="I25" s="11"/>
      <c r="J25" s="9" t="s">
        <v>503</v>
      </c>
      <c r="K25" s="8"/>
      <c r="L25" s="9">
        <v>0</v>
      </c>
      <c r="M25" s="9">
        <v>678229</v>
      </c>
      <c r="N25" s="9">
        <v>731807.59</v>
      </c>
      <c r="O25" s="12">
        <v>270768.80829999998</v>
      </c>
      <c r="P25" s="13">
        <v>0.37</v>
      </c>
      <c r="Q25" s="8">
        <v>1227</v>
      </c>
      <c r="R25" s="9">
        <v>446564.33829999901</v>
      </c>
      <c r="S25" s="9">
        <v>1002576.3983</v>
      </c>
      <c r="T25" s="8"/>
      <c r="U25" s="8"/>
      <c r="V25" s="8"/>
    </row>
    <row r="26" spans="1:22" ht="12.5" x14ac:dyDescent="0.25">
      <c r="A26" s="8">
        <v>206</v>
      </c>
      <c r="B26" s="8" t="s">
        <v>526</v>
      </c>
      <c r="C26" s="7">
        <v>45713</v>
      </c>
      <c r="D26" s="8" t="s">
        <v>475</v>
      </c>
      <c r="E26" s="9">
        <v>131</v>
      </c>
      <c r="F26" s="9">
        <v>119</v>
      </c>
      <c r="G26" s="9">
        <v>12</v>
      </c>
      <c r="H26" s="8"/>
      <c r="I26" s="11"/>
      <c r="J26" s="9" t="s">
        <v>503</v>
      </c>
      <c r="K26" s="8"/>
      <c r="L26" s="9">
        <v>0</v>
      </c>
      <c r="M26" s="9">
        <v>674603</v>
      </c>
      <c r="N26" s="9">
        <v>728172.56</v>
      </c>
      <c r="O26" s="12">
        <v>269642.29896799999</v>
      </c>
      <c r="P26" s="13">
        <v>0.37030000000000002</v>
      </c>
      <c r="Q26" s="8">
        <v>1227</v>
      </c>
      <c r="R26" s="9">
        <v>444544.868968</v>
      </c>
      <c r="S26" s="9">
        <v>997814.85896800004</v>
      </c>
      <c r="T26" s="8"/>
      <c r="U26" s="8"/>
      <c r="V26" s="8"/>
    </row>
    <row r="27" spans="1:22" ht="12.5" x14ac:dyDescent="0.25">
      <c r="A27" s="8">
        <v>207</v>
      </c>
      <c r="B27" s="8" t="s">
        <v>527</v>
      </c>
      <c r="C27" s="7">
        <v>45721</v>
      </c>
      <c r="D27" s="8" t="s">
        <v>470</v>
      </c>
      <c r="E27" s="9">
        <v>81</v>
      </c>
      <c r="F27" s="9">
        <v>81</v>
      </c>
      <c r="G27" s="9">
        <v>0</v>
      </c>
      <c r="H27" s="8"/>
      <c r="I27" s="11">
        <v>4</v>
      </c>
      <c r="J27" s="9" t="s">
        <v>503</v>
      </c>
      <c r="K27" s="8"/>
      <c r="L27" s="8"/>
      <c r="M27" s="9">
        <v>461417</v>
      </c>
      <c r="N27" s="9">
        <v>472011.18</v>
      </c>
      <c r="O27" s="12">
        <v>175824.16454999999</v>
      </c>
      <c r="P27" s="13">
        <v>0.3725</v>
      </c>
      <c r="Q27" s="8">
        <v>1227</v>
      </c>
      <c r="R27" s="9">
        <v>289636.31455000001</v>
      </c>
      <c r="S27" s="9">
        <v>647835.34455000004</v>
      </c>
      <c r="T27" s="8" t="s">
        <v>524</v>
      </c>
      <c r="U27" s="8"/>
      <c r="V27" s="8"/>
    </row>
    <row r="28" spans="1:22" ht="13" x14ac:dyDescent="0.3">
      <c r="A28" s="5"/>
      <c r="B28" s="8"/>
      <c r="C28" s="8"/>
      <c r="D28" s="8"/>
      <c r="E28" s="8"/>
      <c r="F28" s="8"/>
      <c r="G28" s="8"/>
      <c r="H28" s="8"/>
      <c r="I28" s="11"/>
      <c r="J28" s="8"/>
      <c r="K28" s="8"/>
      <c r="L28" s="5"/>
      <c r="M28" s="8"/>
      <c r="N28" s="8"/>
      <c r="O28" s="15"/>
      <c r="P28" s="8"/>
      <c r="Q28" s="8"/>
      <c r="R28" s="8"/>
      <c r="S28" s="9"/>
      <c r="T28" s="8"/>
      <c r="U28" s="8"/>
      <c r="V28" s="8"/>
    </row>
    <row r="29" spans="1:22" ht="13" x14ac:dyDescent="0.3">
      <c r="A29" s="5"/>
      <c r="B29" s="8"/>
      <c r="C29" s="8"/>
      <c r="D29" s="8"/>
      <c r="E29" s="8"/>
      <c r="F29" s="8"/>
      <c r="G29" s="8"/>
      <c r="H29" s="8"/>
      <c r="I29" s="11"/>
      <c r="J29" s="8"/>
      <c r="K29" s="8"/>
      <c r="L29" s="5"/>
      <c r="M29" s="8"/>
      <c r="N29" s="8"/>
      <c r="O29" s="15"/>
      <c r="P29" s="8"/>
      <c r="Q29" s="8"/>
      <c r="R29" s="8"/>
      <c r="S29" s="9"/>
      <c r="T29" s="8"/>
      <c r="U29" s="8"/>
      <c r="V29" s="8"/>
    </row>
    <row r="30" spans="1:22" ht="15.75" customHeight="1" x14ac:dyDescent="0.25">
      <c r="A30" s="6">
        <v>10</v>
      </c>
      <c r="B30" s="6" t="s">
        <v>528</v>
      </c>
      <c r="C30" s="7">
        <v>40030</v>
      </c>
      <c r="D30" s="8" t="s">
        <v>529</v>
      </c>
      <c r="E30" s="9" t="s">
        <v>530</v>
      </c>
      <c r="F30" s="8"/>
      <c r="G30" s="10" t="s">
        <v>531</v>
      </c>
      <c r="H30" s="8"/>
      <c r="I30" s="11"/>
      <c r="J30" s="8"/>
      <c r="K30" s="8"/>
      <c r="L30" s="8"/>
      <c r="M30" s="9">
        <v>1238919</v>
      </c>
      <c r="N30" s="9">
        <v>1316739.54</v>
      </c>
      <c r="O30" s="12">
        <v>396075.25363200001</v>
      </c>
      <c r="P30" s="13">
        <v>0.30080000000000001</v>
      </c>
      <c r="Q30" s="8">
        <v>1227</v>
      </c>
      <c r="R30" s="9">
        <v>663969.28363199998</v>
      </c>
      <c r="S30" s="9">
        <v>1712814.793632</v>
      </c>
      <c r="T30" s="8"/>
      <c r="U30" s="8"/>
      <c r="V30" s="8"/>
    </row>
    <row r="31" spans="1:22" ht="15.75" customHeight="1" x14ac:dyDescent="0.25">
      <c r="A31" s="6">
        <v>47</v>
      </c>
      <c r="B31" s="6" t="s">
        <v>532</v>
      </c>
      <c r="C31" s="7">
        <v>44295</v>
      </c>
      <c r="D31" s="8" t="s">
        <v>533</v>
      </c>
      <c r="E31" s="9" t="s">
        <v>530</v>
      </c>
      <c r="F31" s="8"/>
      <c r="G31" s="9" t="s">
        <v>531</v>
      </c>
      <c r="H31" s="8"/>
      <c r="I31" s="11"/>
      <c r="J31" s="8"/>
      <c r="K31" s="8"/>
      <c r="L31" s="8"/>
      <c r="M31" s="9">
        <v>1005833</v>
      </c>
      <c r="N31" s="9">
        <v>1066335.06</v>
      </c>
      <c r="O31" s="12">
        <v>320753.58604800003</v>
      </c>
      <c r="P31" s="13">
        <v>0.30080000000000001</v>
      </c>
      <c r="Q31" s="8">
        <v>1227</v>
      </c>
      <c r="R31" s="9">
        <v>538708.32604800002</v>
      </c>
      <c r="S31" s="9">
        <v>1387088.6460480001</v>
      </c>
      <c r="T31" s="8"/>
      <c r="U31" s="8"/>
      <c r="V31" s="8"/>
    </row>
    <row r="32" spans="1:22" ht="15.75" customHeight="1" x14ac:dyDescent="0.25">
      <c r="A32" s="6">
        <v>169</v>
      </c>
      <c r="B32" s="6" t="s">
        <v>534</v>
      </c>
      <c r="C32" s="7">
        <v>45341</v>
      </c>
      <c r="D32" s="8" t="s">
        <v>529</v>
      </c>
      <c r="E32" s="9" t="s">
        <v>530</v>
      </c>
      <c r="F32" s="9">
        <v>0</v>
      </c>
      <c r="G32" s="9">
        <v>0</v>
      </c>
      <c r="H32" s="9" t="s">
        <v>535</v>
      </c>
      <c r="I32" s="11"/>
      <c r="J32" s="9" t="s">
        <v>503</v>
      </c>
      <c r="K32" s="8"/>
      <c r="L32" s="8"/>
      <c r="M32" s="9">
        <v>657525</v>
      </c>
      <c r="N32" s="9">
        <v>868688.44</v>
      </c>
      <c r="O32" s="12">
        <v>261909.56465999901</v>
      </c>
      <c r="P32" s="13">
        <v>0.30149999999999999</v>
      </c>
      <c r="Q32" s="8">
        <v>1227</v>
      </c>
      <c r="R32" s="9">
        <v>441228.05465999898</v>
      </c>
      <c r="S32" s="9">
        <v>1130598.0046599901</v>
      </c>
      <c r="T32" s="8"/>
      <c r="U32" s="14"/>
      <c r="V32" s="8"/>
    </row>
    <row r="33" spans="1:22" ht="15.75" customHeight="1" x14ac:dyDescent="0.25">
      <c r="A33" s="8">
        <v>184</v>
      </c>
      <c r="B33" s="8" t="s">
        <v>536</v>
      </c>
      <c r="C33" s="7">
        <v>45569</v>
      </c>
      <c r="D33" s="8" t="s">
        <v>537</v>
      </c>
      <c r="E33" s="9">
        <v>53</v>
      </c>
      <c r="F33" s="9">
        <v>53</v>
      </c>
      <c r="G33" s="9">
        <v>0</v>
      </c>
      <c r="H33" s="9">
        <v>12</v>
      </c>
      <c r="I33" s="11">
        <v>48</v>
      </c>
      <c r="J33" s="9" t="s">
        <v>503</v>
      </c>
      <c r="K33" s="8"/>
      <c r="L33" s="9">
        <v>8111</v>
      </c>
      <c r="M33" s="9">
        <v>502486</v>
      </c>
      <c r="N33" s="9">
        <v>537375.31999999995</v>
      </c>
      <c r="O33" s="12">
        <v>200172.30669999999</v>
      </c>
      <c r="P33" s="13">
        <v>0.3725</v>
      </c>
      <c r="Q33" s="8">
        <v>1227</v>
      </c>
      <c r="R33" s="9">
        <v>329892.80669999903</v>
      </c>
      <c r="S33" s="9">
        <v>737547.62669999897</v>
      </c>
      <c r="T33" s="8" t="s">
        <v>538</v>
      </c>
      <c r="U33" s="14"/>
      <c r="V33" s="8"/>
    </row>
    <row r="34" spans="1:22" ht="12.5" x14ac:dyDescent="0.25">
      <c r="A34" s="8"/>
      <c r="B34" s="8"/>
      <c r="C34" s="8"/>
      <c r="D34" s="8"/>
      <c r="E34" s="8"/>
      <c r="F34" s="8"/>
      <c r="G34" s="8"/>
      <c r="H34" s="8"/>
      <c r="I34" s="11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1:22" ht="12.5" x14ac:dyDescent="0.25">
      <c r="A35" s="8"/>
      <c r="B35" s="8"/>
      <c r="C35" s="8"/>
      <c r="D35" s="8"/>
      <c r="E35" s="8"/>
      <c r="F35" s="8"/>
      <c r="G35" s="8"/>
      <c r="H35" s="8"/>
      <c r="I35" s="11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1:22" ht="12.5" x14ac:dyDescent="0.25">
      <c r="A36" s="8"/>
      <c r="B36" s="8"/>
      <c r="C36" s="8"/>
      <c r="D36" s="8" t="s">
        <v>539</v>
      </c>
      <c r="E36" s="8"/>
      <c r="F36" s="8"/>
      <c r="G36" s="8" t="s">
        <v>540</v>
      </c>
      <c r="H36" s="8" t="s">
        <v>541</v>
      </c>
      <c r="I36" s="11" t="s">
        <v>542</v>
      </c>
      <c r="J36" s="8" t="s">
        <v>543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spans="1:22" ht="12.5" x14ac:dyDescent="0.25">
      <c r="A37" s="16">
        <v>500</v>
      </c>
      <c r="B37" s="16" t="s">
        <v>544</v>
      </c>
      <c r="C37" s="16"/>
      <c r="D37" s="16" t="s">
        <v>545</v>
      </c>
      <c r="E37" s="17">
        <v>39006</v>
      </c>
      <c r="F37" s="16"/>
      <c r="G37" s="18">
        <v>417931</v>
      </c>
      <c r="H37" s="18">
        <v>523950.96566350001</v>
      </c>
      <c r="I37" s="19">
        <v>681484.15966350003</v>
      </c>
      <c r="J37" s="20">
        <v>157533.19399999999</v>
      </c>
      <c r="K37" s="21"/>
      <c r="L37" s="21"/>
      <c r="M37" s="16"/>
      <c r="N37" s="16"/>
      <c r="O37" s="16"/>
      <c r="P37" s="16"/>
      <c r="Q37" s="16"/>
      <c r="R37" s="16"/>
      <c r="S37" s="16"/>
      <c r="T37" s="16"/>
      <c r="U37" s="22"/>
      <c r="V37" s="16"/>
    </row>
    <row r="38" spans="1:22" ht="12.5" x14ac:dyDescent="0.25">
      <c r="A38" s="16">
        <v>501</v>
      </c>
      <c r="B38" s="16" t="s">
        <v>546</v>
      </c>
      <c r="C38" s="16"/>
      <c r="D38" s="16" t="s">
        <v>547</v>
      </c>
      <c r="E38" s="17">
        <v>58306</v>
      </c>
      <c r="F38" s="16"/>
      <c r="G38" s="18">
        <v>624707</v>
      </c>
      <c r="H38" s="18">
        <v>783736.94849524996</v>
      </c>
      <c r="I38" s="23">
        <v>1018604.36649525</v>
      </c>
      <c r="J38" s="17">
        <v>234867.41800000001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22"/>
      <c r="V38" s="16"/>
    </row>
    <row r="39" spans="1:22" ht="12.5" x14ac:dyDescent="0.25">
      <c r="A39" s="16"/>
      <c r="B39" s="16"/>
      <c r="C39" s="16"/>
      <c r="D39" s="16"/>
      <c r="E39" s="16"/>
      <c r="F39" s="16"/>
      <c r="G39" s="16"/>
      <c r="H39" s="16"/>
      <c r="I39" s="23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22"/>
      <c r="V39" s="16"/>
    </row>
    <row r="40" spans="1:22" ht="12.5" x14ac:dyDescent="0.25">
      <c r="A40" s="16"/>
      <c r="B40" s="16"/>
      <c r="C40" s="16"/>
      <c r="D40" s="16"/>
      <c r="E40" s="16"/>
      <c r="F40" s="16"/>
      <c r="G40" s="16"/>
      <c r="H40" s="16"/>
      <c r="I40" s="23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22"/>
      <c r="V40" s="16"/>
    </row>
    <row r="41" spans="1:22" ht="12.5" x14ac:dyDescent="0.25">
      <c r="A41" s="8"/>
      <c r="B41" s="8"/>
      <c r="C41" s="8"/>
      <c r="D41" s="8"/>
      <c r="E41" s="8"/>
      <c r="F41" s="8"/>
      <c r="G41" s="8"/>
      <c r="H41" s="8"/>
      <c r="I41" s="11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14"/>
      <c r="V41" s="8"/>
    </row>
    <row r="42" spans="1:22" ht="12.5" x14ac:dyDescent="0.25">
      <c r="A42" s="8"/>
      <c r="B42" s="8"/>
      <c r="C42" s="8"/>
      <c r="D42" s="8"/>
      <c r="E42" s="8"/>
      <c r="F42" s="8"/>
      <c r="G42" s="8"/>
      <c r="H42" s="8"/>
      <c r="I42" s="11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14"/>
      <c r="V42" s="8"/>
    </row>
    <row r="43" spans="1:22" ht="12.5" x14ac:dyDescent="0.25">
      <c r="A43" s="8"/>
      <c r="B43" s="8"/>
      <c r="C43" s="8"/>
      <c r="D43" s="8"/>
      <c r="E43" s="8"/>
      <c r="F43" s="8"/>
      <c r="G43" s="8"/>
      <c r="H43" s="8"/>
      <c r="I43" s="11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14"/>
      <c r="V43" s="8"/>
    </row>
    <row r="44" spans="1:22" ht="12.5" x14ac:dyDescent="0.25">
      <c r="A44" s="8"/>
      <c r="B44" s="8"/>
      <c r="C44" s="8"/>
      <c r="D44" s="8"/>
      <c r="E44" s="8"/>
      <c r="F44" s="8"/>
      <c r="G44" s="8"/>
      <c r="H44" s="8"/>
      <c r="I44" s="11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14"/>
      <c r="V44" s="8"/>
    </row>
    <row r="45" spans="1:22" ht="12.5" x14ac:dyDescent="0.25">
      <c r="A45" s="8"/>
      <c r="B45" s="8"/>
      <c r="C45" s="8"/>
      <c r="D45" s="8"/>
      <c r="E45" s="8"/>
      <c r="F45" s="8"/>
      <c r="G45" s="8"/>
      <c r="H45" s="8"/>
      <c r="I45" s="11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14"/>
      <c r="V45" s="8"/>
    </row>
    <row r="46" spans="1:22" ht="12.5" x14ac:dyDescent="0.25">
      <c r="A46" s="8"/>
      <c r="B46" s="8"/>
      <c r="C46" s="8"/>
      <c r="D46" s="8"/>
      <c r="E46" s="8"/>
      <c r="F46" s="8"/>
      <c r="G46" s="8"/>
      <c r="H46" s="8"/>
      <c r="I46" s="11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14"/>
      <c r="V46" s="8"/>
    </row>
    <row r="47" spans="1:22" ht="12.5" x14ac:dyDescent="0.25">
      <c r="A47" s="8"/>
      <c r="B47" s="8"/>
      <c r="C47" s="8"/>
      <c r="D47" s="8"/>
      <c r="E47" s="8"/>
      <c r="F47" s="8"/>
      <c r="G47" s="8"/>
      <c r="H47" s="8"/>
      <c r="I47" s="11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14"/>
      <c r="V47" s="8"/>
    </row>
    <row r="48" spans="1:22" ht="12.5" x14ac:dyDescent="0.25">
      <c r="A48" s="8"/>
      <c r="B48" s="8"/>
      <c r="C48" s="8"/>
      <c r="D48" s="8"/>
      <c r="E48" s="8"/>
      <c r="F48" s="8"/>
      <c r="G48" s="8"/>
      <c r="H48" s="8"/>
      <c r="I48" s="11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14"/>
      <c r="V48" s="8"/>
    </row>
    <row r="49" spans="1:22" ht="12.5" x14ac:dyDescent="0.25">
      <c r="A49" s="8"/>
      <c r="B49" s="8"/>
      <c r="C49" s="8"/>
      <c r="D49" s="8"/>
      <c r="E49" s="8"/>
      <c r="F49" s="8"/>
      <c r="G49" s="8"/>
      <c r="H49" s="8"/>
      <c r="I49" s="11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14"/>
      <c r="V49" s="8"/>
    </row>
    <row r="50" spans="1:22" ht="12.5" x14ac:dyDescent="0.25">
      <c r="A50" s="8"/>
      <c r="B50" s="8"/>
      <c r="C50" s="8"/>
      <c r="D50" s="8"/>
      <c r="E50" s="8"/>
      <c r="F50" s="8"/>
      <c r="G50" s="8"/>
      <c r="H50" s="8"/>
      <c r="I50" s="11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14"/>
      <c r="V50" s="8"/>
    </row>
    <row r="51" spans="1:22" ht="12.5" x14ac:dyDescent="0.25">
      <c r="A51" s="8"/>
      <c r="B51" s="8"/>
      <c r="C51" s="8"/>
      <c r="D51" s="8"/>
      <c r="E51" s="8"/>
      <c r="F51" s="8"/>
      <c r="G51" s="8"/>
      <c r="H51" s="8"/>
      <c r="I51" s="11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14"/>
      <c r="V51" s="8"/>
    </row>
    <row r="52" spans="1:22" ht="12.5" x14ac:dyDescent="0.25">
      <c r="A52" s="8"/>
      <c r="B52" s="8"/>
      <c r="C52" s="8"/>
      <c r="D52" s="8"/>
      <c r="E52" s="8"/>
      <c r="F52" s="8"/>
      <c r="G52" s="8"/>
      <c r="H52" s="8"/>
      <c r="I52" s="11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14"/>
      <c r="V52" s="8"/>
    </row>
    <row r="53" spans="1:22" ht="12.5" x14ac:dyDescent="0.25">
      <c r="A53" s="8"/>
      <c r="B53" s="8"/>
      <c r="C53" s="8"/>
      <c r="D53" s="8"/>
      <c r="E53" s="8"/>
      <c r="F53" s="8"/>
      <c r="G53" s="8"/>
      <c r="H53" s="8"/>
      <c r="I53" s="11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14"/>
      <c r="V53" s="8"/>
    </row>
    <row r="54" spans="1:22" ht="12.5" x14ac:dyDescent="0.25">
      <c r="A54" s="8"/>
      <c r="B54" s="8"/>
      <c r="C54" s="8"/>
      <c r="D54" s="8"/>
      <c r="E54" s="8"/>
      <c r="F54" s="8"/>
      <c r="G54" s="8"/>
      <c r="H54" s="8"/>
      <c r="I54" s="11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14"/>
      <c r="V54" s="8"/>
    </row>
    <row r="55" spans="1:22" ht="12.5" x14ac:dyDescent="0.25">
      <c r="A55" s="8"/>
      <c r="B55" s="8"/>
      <c r="C55" s="8"/>
      <c r="D55" s="8"/>
      <c r="E55" s="8"/>
      <c r="F55" s="8"/>
      <c r="G55" s="8"/>
      <c r="H55" s="8"/>
      <c r="I55" s="11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spans="1:22" ht="12.5" x14ac:dyDescent="0.25">
      <c r="A56" s="8"/>
      <c r="B56" s="8"/>
      <c r="C56" s="8"/>
      <c r="D56" s="8"/>
      <c r="E56" s="8"/>
      <c r="F56" s="8"/>
      <c r="G56" s="8"/>
      <c r="H56" s="8"/>
      <c r="I56" s="11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 spans="1:22" ht="12.5" x14ac:dyDescent="0.25">
      <c r="A57" s="8"/>
      <c r="B57" s="8"/>
      <c r="C57" s="8"/>
      <c r="D57" s="8"/>
      <c r="E57" s="8"/>
      <c r="F57" s="8"/>
      <c r="G57" s="8"/>
      <c r="H57" s="8"/>
      <c r="I57" s="11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spans="1:22" ht="12.5" x14ac:dyDescent="0.25">
      <c r="A58" s="8"/>
      <c r="B58" s="8"/>
      <c r="C58" s="8"/>
      <c r="D58" s="8"/>
      <c r="E58" s="8"/>
      <c r="F58" s="8"/>
      <c r="G58" s="8"/>
      <c r="H58" s="8"/>
      <c r="I58" s="11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spans="1:22" ht="12.5" x14ac:dyDescent="0.25">
      <c r="A59" s="8"/>
      <c r="B59" s="8"/>
      <c r="C59" s="8"/>
      <c r="D59" s="8"/>
      <c r="E59" s="8"/>
      <c r="F59" s="8"/>
      <c r="G59" s="8"/>
      <c r="H59" s="8"/>
      <c r="I59" s="11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spans="1:22" ht="12.5" x14ac:dyDescent="0.25">
      <c r="A60" s="8"/>
      <c r="B60" s="8"/>
      <c r="C60" s="8"/>
      <c r="D60" s="8"/>
      <c r="E60" s="8"/>
      <c r="F60" s="8"/>
      <c r="G60" s="8"/>
      <c r="H60" s="8"/>
      <c r="I60" s="11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 spans="1:22" ht="12.5" x14ac:dyDescent="0.25">
      <c r="A61" s="8"/>
      <c r="B61" s="8"/>
      <c r="C61" s="8"/>
      <c r="D61" s="8"/>
      <c r="E61" s="8"/>
      <c r="F61" s="8"/>
      <c r="G61" s="8"/>
      <c r="H61" s="8"/>
      <c r="I61" s="11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 spans="1:22" ht="12.5" x14ac:dyDescent="0.25">
      <c r="A62" s="8"/>
      <c r="B62" s="8"/>
      <c r="C62" s="8"/>
      <c r="D62" s="8"/>
      <c r="E62" s="8"/>
      <c r="F62" s="8"/>
      <c r="G62" s="8"/>
      <c r="H62" s="8"/>
      <c r="I62" s="11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 spans="1:22" ht="12.5" x14ac:dyDescent="0.25">
      <c r="A63" s="8"/>
      <c r="B63" s="8"/>
      <c r="C63" s="8"/>
      <c r="D63" s="8"/>
      <c r="E63" s="8"/>
      <c r="F63" s="8"/>
      <c r="G63" s="8"/>
      <c r="H63" s="8"/>
      <c r="I63" s="11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14"/>
      <c r="V63" s="8"/>
    </row>
    <row r="64" spans="1:22" ht="12.5" x14ac:dyDescent="0.25">
      <c r="A64" s="8"/>
      <c r="B64" s="8"/>
      <c r="C64" s="8"/>
      <c r="D64" s="8"/>
      <c r="E64" s="8"/>
      <c r="F64" s="8"/>
      <c r="G64" s="8"/>
      <c r="H64" s="8"/>
      <c r="I64" s="11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14"/>
      <c r="V64" s="8"/>
    </row>
    <row r="65" spans="1:22" ht="12.5" x14ac:dyDescent="0.25">
      <c r="A65" s="8"/>
      <c r="B65" s="8"/>
      <c r="C65" s="8"/>
      <c r="D65" s="8"/>
      <c r="E65" s="8"/>
      <c r="F65" s="8"/>
      <c r="G65" s="8"/>
      <c r="H65" s="8"/>
      <c r="I65" s="11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14"/>
      <c r="V65" s="8"/>
    </row>
    <row r="66" spans="1:22" ht="12.5" x14ac:dyDescent="0.25">
      <c r="A66" s="8"/>
      <c r="B66" s="8"/>
      <c r="C66" s="8"/>
      <c r="D66" s="8"/>
      <c r="E66" s="8"/>
      <c r="F66" s="8"/>
      <c r="G66" s="8"/>
      <c r="H66" s="8"/>
      <c r="I66" s="11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14"/>
      <c r="V66" s="8"/>
    </row>
    <row r="67" spans="1:22" ht="12.5" x14ac:dyDescent="0.25">
      <c r="A67" s="8"/>
      <c r="B67" s="8"/>
      <c r="C67" s="8"/>
      <c r="D67" s="8"/>
      <c r="E67" s="8"/>
      <c r="F67" s="8"/>
      <c r="G67" s="8"/>
      <c r="H67" s="8"/>
      <c r="I67" s="11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14"/>
      <c r="V67" s="8"/>
    </row>
    <row r="68" spans="1:22" ht="12.5" x14ac:dyDescent="0.25">
      <c r="A68" s="8"/>
      <c r="B68" s="8"/>
      <c r="C68" s="8"/>
      <c r="D68" s="8"/>
      <c r="E68" s="8"/>
      <c r="F68" s="8"/>
      <c r="G68" s="8"/>
      <c r="H68" s="8"/>
      <c r="I68" s="11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14"/>
      <c r="V68" s="8"/>
    </row>
    <row r="69" spans="1:22" ht="12.5" x14ac:dyDescent="0.25">
      <c r="A69" s="8"/>
      <c r="B69" s="8"/>
      <c r="C69" s="8"/>
      <c r="D69" s="8"/>
      <c r="E69" s="8"/>
      <c r="F69" s="8"/>
      <c r="G69" s="8"/>
      <c r="H69" s="8"/>
      <c r="I69" s="11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14"/>
      <c r="V69" s="8"/>
    </row>
    <row r="70" spans="1:22" ht="12.5" x14ac:dyDescent="0.25">
      <c r="A70" s="8"/>
      <c r="B70" s="8"/>
      <c r="C70" s="8"/>
      <c r="D70" s="8"/>
      <c r="E70" s="8"/>
      <c r="F70" s="8"/>
      <c r="G70" s="8"/>
      <c r="H70" s="8"/>
      <c r="I70" s="11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14"/>
      <c r="V70" s="8"/>
    </row>
    <row r="71" spans="1:22" ht="12.5" x14ac:dyDescent="0.25">
      <c r="A71" s="8"/>
      <c r="B71" s="8"/>
      <c r="C71" s="8"/>
      <c r="D71" s="8"/>
      <c r="E71" s="8"/>
      <c r="F71" s="8"/>
      <c r="G71" s="8"/>
      <c r="H71" s="8"/>
      <c r="I71" s="11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14"/>
      <c r="V71" s="8"/>
    </row>
    <row r="72" spans="1:22" ht="12.5" x14ac:dyDescent="0.25">
      <c r="A72" s="8"/>
      <c r="B72" s="8"/>
      <c r="C72" s="8"/>
      <c r="D72" s="8"/>
      <c r="E72" s="8"/>
      <c r="F72" s="8"/>
      <c r="G72" s="8"/>
      <c r="H72" s="8"/>
      <c r="I72" s="11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14"/>
      <c r="V72" s="8"/>
    </row>
    <row r="73" spans="1:22" ht="12.5" x14ac:dyDescent="0.25">
      <c r="A73" s="8"/>
      <c r="B73" s="8"/>
      <c r="C73" s="8"/>
      <c r="D73" s="8"/>
      <c r="E73" s="8"/>
      <c r="F73" s="8"/>
      <c r="G73" s="8"/>
      <c r="H73" s="8"/>
      <c r="I73" s="11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14"/>
      <c r="V73" s="8"/>
    </row>
    <row r="74" spans="1:22" ht="12.5" x14ac:dyDescent="0.25">
      <c r="A74" s="8"/>
      <c r="B74" s="8"/>
      <c r="C74" s="8"/>
      <c r="D74" s="8"/>
      <c r="E74" s="8"/>
      <c r="F74" s="8"/>
      <c r="G74" s="8"/>
      <c r="H74" s="8"/>
      <c r="I74" s="11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14"/>
      <c r="V74" s="8"/>
    </row>
    <row r="75" spans="1:22" ht="12.5" x14ac:dyDescent="0.25">
      <c r="A75" s="8"/>
      <c r="B75" s="8"/>
      <c r="C75" s="8"/>
      <c r="D75" s="8"/>
      <c r="E75" s="8"/>
      <c r="F75" s="8"/>
      <c r="G75" s="8"/>
      <c r="H75" s="8"/>
      <c r="I75" s="11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14"/>
      <c r="V75" s="8"/>
    </row>
    <row r="76" spans="1:22" ht="12.5" x14ac:dyDescent="0.25">
      <c r="A76" s="8"/>
      <c r="B76" s="8"/>
      <c r="C76" s="8"/>
      <c r="D76" s="8"/>
      <c r="E76" s="8"/>
      <c r="F76" s="8"/>
      <c r="G76" s="8"/>
      <c r="H76" s="8"/>
      <c r="I76" s="11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14"/>
      <c r="V76" s="8"/>
    </row>
    <row r="77" spans="1:22" ht="12.5" x14ac:dyDescent="0.25">
      <c r="A77" s="8"/>
      <c r="B77" s="8"/>
      <c r="C77" s="8"/>
      <c r="D77" s="8"/>
      <c r="E77" s="8"/>
      <c r="F77" s="8"/>
      <c r="G77" s="8"/>
      <c r="H77" s="8"/>
      <c r="I77" s="11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14"/>
      <c r="V77" s="8"/>
    </row>
    <row r="78" spans="1:22" ht="12.5" x14ac:dyDescent="0.25">
      <c r="A78" s="8"/>
      <c r="B78" s="8"/>
      <c r="C78" s="8"/>
      <c r="D78" s="8"/>
      <c r="E78" s="8"/>
      <c r="F78" s="8"/>
      <c r="G78" s="8"/>
      <c r="H78" s="8"/>
      <c r="I78" s="11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14"/>
      <c r="V78" s="8"/>
    </row>
    <row r="79" spans="1:22" ht="12.5" x14ac:dyDescent="0.25">
      <c r="A79" s="8"/>
      <c r="B79" s="8"/>
      <c r="C79" s="8"/>
      <c r="D79" s="8"/>
      <c r="E79" s="8"/>
      <c r="F79" s="8"/>
      <c r="G79" s="8"/>
      <c r="H79" s="8"/>
      <c r="I79" s="11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14"/>
      <c r="V79" s="8"/>
    </row>
    <row r="80" spans="1:22" ht="12.5" x14ac:dyDescent="0.25">
      <c r="A80" s="8"/>
      <c r="B80" s="8"/>
      <c r="C80" s="8"/>
      <c r="D80" s="8"/>
      <c r="E80" s="8"/>
      <c r="F80" s="8"/>
      <c r="G80" s="8"/>
      <c r="H80" s="8"/>
      <c r="I80" s="11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14"/>
      <c r="V80" s="8"/>
    </row>
    <row r="81" spans="1:22" ht="12.5" x14ac:dyDescent="0.25">
      <c r="A81" s="8"/>
      <c r="B81" s="8"/>
      <c r="C81" s="8"/>
      <c r="D81" s="8"/>
      <c r="E81" s="8"/>
      <c r="F81" s="8"/>
      <c r="G81" s="8"/>
      <c r="H81" s="8"/>
      <c r="I81" s="11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14"/>
      <c r="V81" s="8"/>
    </row>
    <row r="82" spans="1:22" ht="12.5" x14ac:dyDescent="0.25">
      <c r="A82" s="8"/>
      <c r="B82" s="8"/>
      <c r="C82" s="8"/>
      <c r="D82" s="8"/>
      <c r="E82" s="8"/>
      <c r="F82" s="8"/>
      <c r="G82" s="8"/>
      <c r="H82" s="8"/>
      <c r="I82" s="11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14"/>
      <c r="V82" s="8"/>
    </row>
    <row r="83" spans="1:22" ht="12.5" x14ac:dyDescent="0.25">
      <c r="A83" s="8"/>
      <c r="B83" s="8"/>
      <c r="C83" s="8"/>
      <c r="D83" s="8"/>
      <c r="E83" s="8"/>
      <c r="F83" s="8"/>
      <c r="G83" s="8"/>
      <c r="H83" s="8"/>
      <c r="I83" s="11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14"/>
      <c r="V83" s="8"/>
    </row>
    <row r="84" spans="1:22" ht="12.5" x14ac:dyDescent="0.25">
      <c r="A84" s="8"/>
      <c r="B84" s="8"/>
      <c r="C84" s="8"/>
      <c r="D84" s="8"/>
      <c r="E84" s="8"/>
      <c r="F84" s="8"/>
      <c r="G84" s="8"/>
      <c r="H84" s="8"/>
      <c r="I84" s="11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14"/>
      <c r="V84" s="8"/>
    </row>
    <row r="85" spans="1:22" ht="12.5" x14ac:dyDescent="0.25">
      <c r="A85" s="8"/>
      <c r="B85" s="8"/>
      <c r="C85" s="8"/>
      <c r="D85" s="8"/>
      <c r="E85" s="8"/>
      <c r="F85" s="8"/>
      <c r="G85" s="8"/>
      <c r="H85" s="8"/>
      <c r="I85" s="11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</row>
    <row r="86" spans="1:22" ht="12.5" x14ac:dyDescent="0.25">
      <c r="A86" s="8"/>
      <c r="B86" s="8"/>
      <c r="C86" s="8"/>
      <c r="D86" s="8"/>
      <c r="E86" s="8"/>
      <c r="F86" s="8"/>
      <c r="G86" s="8"/>
      <c r="H86" s="8"/>
      <c r="I86" s="11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</row>
    <row r="87" spans="1:22" ht="12.5" x14ac:dyDescent="0.25">
      <c r="A87" s="8"/>
      <c r="B87" s="8"/>
      <c r="C87" s="8"/>
      <c r="D87" s="8"/>
      <c r="E87" s="8"/>
      <c r="F87" s="8"/>
      <c r="G87" s="8"/>
      <c r="H87" s="8"/>
      <c r="I87" s="11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</row>
    <row r="88" spans="1:22" ht="12.5" x14ac:dyDescent="0.25">
      <c r="A88" s="8"/>
      <c r="B88" s="8"/>
      <c r="C88" s="8"/>
      <c r="D88" s="8"/>
      <c r="E88" s="8"/>
      <c r="F88" s="8"/>
      <c r="G88" s="8"/>
      <c r="H88" s="8"/>
      <c r="I88" s="11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</row>
    <row r="89" spans="1:22" ht="12.5" x14ac:dyDescent="0.25">
      <c r="A89" s="8"/>
      <c r="B89" s="8"/>
      <c r="C89" s="8"/>
      <c r="D89" s="8"/>
      <c r="E89" s="8"/>
      <c r="F89" s="8"/>
      <c r="G89" s="8"/>
      <c r="H89" s="8"/>
      <c r="I89" s="11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</row>
    <row r="90" spans="1:22" ht="12.5" x14ac:dyDescent="0.25">
      <c r="A90" s="8"/>
      <c r="B90" s="8"/>
      <c r="C90" s="8"/>
      <c r="D90" s="8"/>
      <c r="E90" s="8"/>
      <c r="F90" s="8"/>
      <c r="G90" s="8"/>
      <c r="H90" s="8"/>
      <c r="I90" s="11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 spans="1:22" ht="12.5" x14ac:dyDescent="0.25">
      <c r="A91" s="8"/>
      <c r="B91" s="8"/>
      <c r="C91" s="8"/>
      <c r="D91" s="8"/>
      <c r="E91" s="8"/>
      <c r="F91" s="8"/>
      <c r="G91" s="8"/>
      <c r="H91" s="8"/>
      <c r="I91" s="11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 spans="1:22" ht="12.5" x14ac:dyDescent="0.25">
      <c r="A92" s="8"/>
      <c r="B92" s="8"/>
      <c r="C92" s="8"/>
      <c r="D92" s="8"/>
      <c r="E92" s="8"/>
      <c r="F92" s="8"/>
      <c r="G92" s="8"/>
      <c r="H92" s="8"/>
      <c r="I92" s="11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 spans="1:22" ht="12.5" x14ac:dyDescent="0.25">
      <c r="A93" s="8"/>
      <c r="B93" s="8"/>
      <c r="C93" s="8"/>
      <c r="D93" s="8"/>
      <c r="E93" s="8"/>
      <c r="F93" s="8"/>
      <c r="G93" s="8"/>
      <c r="H93" s="8"/>
      <c r="I93" s="11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 spans="1:22" ht="12.5" x14ac:dyDescent="0.25">
      <c r="A94" s="8"/>
      <c r="B94" s="8"/>
      <c r="C94" s="8"/>
      <c r="D94" s="8"/>
      <c r="E94" s="8"/>
      <c r="F94" s="8"/>
      <c r="G94" s="8"/>
      <c r="H94" s="8"/>
      <c r="I94" s="11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 spans="1:22" ht="12.5" x14ac:dyDescent="0.25">
      <c r="A95" s="8"/>
      <c r="B95" s="8"/>
      <c r="C95" s="8"/>
      <c r="D95" s="8"/>
      <c r="E95" s="8"/>
      <c r="F95" s="8"/>
      <c r="G95" s="8"/>
      <c r="H95" s="8"/>
      <c r="I95" s="11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 spans="1:22" ht="12.5" x14ac:dyDescent="0.25">
      <c r="A96" s="8"/>
      <c r="B96" s="8"/>
      <c r="C96" s="8"/>
      <c r="D96" s="8"/>
      <c r="E96" s="8"/>
      <c r="F96" s="8"/>
      <c r="G96" s="8"/>
      <c r="H96" s="8"/>
      <c r="I96" s="11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 spans="1:22" ht="12.5" x14ac:dyDescent="0.25">
      <c r="A97" s="8"/>
      <c r="B97" s="8"/>
      <c r="C97" s="8"/>
      <c r="D97" s="8"/>
      <c r="E97" s="8"/>
      <c r="F97" s="8"/>
      <c r="G97" s="8"/>
      <c r="H97" s="8"/>
      <c r="I97" s="11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</row>
    <row r="98" spans="1:22" ht="12.5" x14ac:dyDescent="0.25">
      <c r="A98" s="8"/>
      <c r="B98" s="8"/>
      <c r="C98" s="8"/>
      <c r="D98" s="8"/>
      <c r="E98" s="8"/>
      <c r="F98" s="8"/>
      <c r="G98" s="8"/>
      <c r="H98" s="8"/>
      <c r="I98" s="11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</row>
    <row r="99" spans="1:22" ht="12.5" x14ac:dyDescent="0.25">
      <c r="A99" s="8"/>
      <c r="B99" s="8"/>
      <c r="C99" s="8"/>
      <c r="D99" s="8"/>
      <c r="E99" s="8"/>
      <c r="F99" s="8"/>
      <c r="G99" s="8"/>
      <c r="H99" s="8"/>
      <c r="I99" s="11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 spans="1:22" ht="12.5" x14ac:dyDescent="0.25">
      <c r="A100" s="8"/>
      <c r="B100" s="8"/>
      <c r="C100" s="8"/>
      <c r="D100" s="8"/>
      <c r="E100" s="8"/>
      <c r="F100" s="8"/>
      <c r="G100" s="8"/>
      <c r="H100" s="8"/>
      <c r="I100" s="11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</row>
    <row r="101" spans="1:22" ht="12.5" x14ac:dyDescent="0.25">
      <c r="A101" s="8"/>
      <c r="B101" s="8"/>
      <c r="C101" s="8"/>
      <c r="D101" s="8"/>
      <c r="E101" s="8"/>
      <c r="F101" s="8"/>
      <c r="G101" s="8"/>
      <c r="H101" s="8"/>
      <c r="I101" s="11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</row>
    <row r="102" spans="1:22" ht="12.5" x14ac:dyDescent="0.25">
      <c r="I102" s="11"/>
    </row>
    <row r="103" spans="1:22" ht="12.5" x14ac:dyDescent="0.25">
      <c r="I103" s="11"/>
    </row>
    <row r="104" spans="1:22" ht="12.5" x14ac:dyDescent="0.25">
      <c r="I104" s="11"/>
    </row>
    <row r="105" spans="1:22" ht="12.5" x14ac:dyDescent="0.25">
      <c r="I105" s="11"/>
    </row>
    <row r="106" spans="1:22" ht="12.5" x14ac:dyDescent="0.25">
      <c r="I106" s="11"/>
    </row>
    <row r="107" spans="1:22" ht="12.5" x14ac:dyDescent="0.25">
      <c r="I107" s="11"/>
    </row>
    <row r="108" spans="1:22" ht="12.5" x14ac:dyDescent="0.25">
      <c r="I108" s="11"/>
    </row>
    <row r="109" spans="1:22" ht="12.5" x14ac:dyDescent="0.25">
      <c r="I109" s="11"/>
    </row>
    <row r="110" spans="1:22" ht="12.5" x14ac:dyDescent="0.25">
      <c r="I110" s="11"/>
    </row>
    <row r="111" spans="1:22" ht="12.5" x14ac:dyDescent="0.25">
      <c r="I111" s="11"/>
    </row>
    <row r="112" spans="1:22" ht="12.5" x14ac:dyDescent="0.25">
      <c r="I112" s="11"/>
    </row>
    <row r="113" spans="9:9" ht="12.5" x14ac:dyDescent="0.25">
      <c r="I113" s="11"/>
    </row>
    <row r="114" spans="9:9" ht="12.5" x14ac:dyDescent="0.25">
      <c r="I114" s="11"/>
    </row>
    <row r="115" spans="9:9" ht="12.5" x14ac:dyDescent="0.25">
      <c r="I115" s="11"/>
    </row>
    <row r="116" spans="9:9" ht="12.5" x14ac:dyDescent="0.25">
      <c r="I116" s="11"/>
    </row>
    <row r="117" spans="9:9" ht="12.5" x14ac:dyDescent="0.25">
      <c r="I117" s="11"/>
    </row>
    <row r="118" spans="9:9" ht="12.5" x14ac:dyDescent="0.25">
      <c r="I118" s="11"/>
    </row>
    <row r="119" spans="9:9" ht="12.5" x14ac:dyDescent="0.25">
      <c r="I119" s="11"/>
    </row>
    <row r="120" spans="9:9" ht="12.5" x14ac:dyDescent="0.25">
      <c r="I120" s="11"/>
    </row>
    <row r="121" spans="9:9" ht="12.5" x14ac:dyDescent="0.25">
      <c r="I121" s="11"/>
    </row>
    <row r="122" spans="9:9" ht="12.5" x14ac:dyDescent="0.25">
      <c r="I122" s="11"/>
    </row>
    <row r="123" spans="9:9" ht="12.5" x14ac:dyDescent="0.25">
      <c r="I123" s="11"/>
    </row>
    <row r="124" spans="9:9" ht="12.5" x14ac:dyDescent="0.25">
      <c r="I124" s="11"/>
    </row>
    <row r="125" spans="9:9" ht="12.5" x14ac:dyDescent="0.25">
      <c r="I125" s="11"/>
    </row>
    <row r="126" spans="9:9" ht="12.5" x14ac:dyDescent="0.25">
      <c r="I126" s="11"/>
    </row>
    <row r="127" spans="9:9" ht="12.5" x14ac:dyDescent="0.25">
      <c r="I127" s="11"/>
    </row>
    <row r="128" spans="9:9" ht="12.5" x14ac:dyDescent="0.25">
      <c r="I128" s="11"/>
    </row>
    <row r="129" spans="9:9" ht="12.5" x14ac:dyDescent="0.25">
      <c r="I129" s="11"/>
    </row>
    <row r="130" spans="9:9" ht="12.5" x14ac:dyDescent="0.25">
      <c r="I130" s="11"/>
    </row>
    <row r="131" spans="9:9" ht="12.5" x14ac:dyDescent="0.25">
      <c r="I131" s="11"/>
    </row>
    <row r="132" spans="9:9" ht="12.5" x14ac:dyDescent="0.25">
      <c r="I132" s="11"/>
    </row>
    <row r="133" spans="9:9" ht="12.5" x14ac:dyDescent="0.25">
      <c r="I133" s="11"/>
    </row>
    <row r="134" spans="9:9" ht="12.5" x14ac:dyDescent="0.25">
      <c r="I134" s="11"/>
    </row>
    <row r="135" spans="9:9" ht="12.5" x14ac:dyDescent="0.25">
      <c r="I135" s="11"/>
    </row>
    <row r="136" spans="9:9" ht="12.5" x14ac:dyDescent="0.25">
      <c r="I136" s="11"/>
    </row>
    <row r="137" spans="9:9" ht="12.5" x14ac:dyDescent="0.25">
      <c r="I137" s="11"/>
    </row>
    <row r="138" spans="9:9" ht="12.5" x14ac:dyDescent="0.25">
      <c r="I138" s="11"/>
    </row>
    <row r="139" spans="9:9" ht="12.5" x14ac:dyDescent="0.25">
      <c r="I139" s="11"/>
    </row>
    <row r="140" spans="9:9" ht="12.5" x14ac:dyDescent="0.25">
      <c r="I140" s="11"/>
    </row>
    <row r="141" spans="9:9" ht="12.5" x14ac:dyDescent="0.25">
      <c r="I141" s="11"/>
    </row>
    <row r="142" spans="9:9" ht="12.5" x14ac:dyDescent="0.25">
      <c r="I142" s="11"/>
    </row>
    <row r="143" spans="9:9" ht="12.5" x14ac:dyDescent="0.25">
      <c r="I143" s="11"/>
    </row>
    <row r="144" spans="9:9" ht="12.5" x14ac:dyDescent="0.25">
      <c r="I144" s="11"/>
    </row>
    <row r="145" spans="9:9" ht="12.5" x14ac:dyDescent="0.25">
      <c r="I145" s="11"/>
    </row>
    <row r="146" spans="9:9" ht="12.5" x14ac:dyDescent="0.25">
      <c r="I146" s="11"/>
    </row>
    <row r="147" spans="9:9" ht="12.5" x14ac:dyDescent="0.25">
      <c r="I147" s="11"/>
    </row>
    <row r="148" spans="9:9" ht="12.5" x14ac:dyDescent="0.25">
      <c r="I148" s="11"/>
    </row>
    <row r="149" spans="9:9" ht="12.5" x14ac:dyDescent="0.25">
      <c r="I149" s="11"/>
    </row>
    <row r="150" spans="9:9" ht="12.5" x14ac:dyDescent="0.25">
      <c r="I150" s="11"/>
    </row>
    <row r="151" spans="9:9" ht="12.5" x14ac:dyDescent="0.25">
      <c r="I151" s="11"/>
    </row>
    <row r="152" spans="9:9" ht="12.5" x14ac:dyDescent="0.25">
      <c r="I152" s="11"/>
    </row>
    <row r="153" spans="9:9" ht="12.5" x14ac:dyDescent="0.25">
      <c r="I153" s="11"/>
    </row>
    <row r="154" spans="9:9" ht="12.5" x14ac:dyDescent="0.25">
      <c r="I154" s="11"/>
    </row>
    <row r="155" spans="9:9" ht="12.5" x14ac:dyDescent="0.25">
      <c r="I155" s="11"/>
    </row>
    <row r="156" spans="9:9" ht="12.5" x14ac:dyDescent="0.25">
      <c r="I156" s="11"/>
    </row>
    <row r="157" spans="9:9" ht="12.5" x14ac:dyDescent="0.25">
      <c r="I157" s="11"/>
    </row>
    <row r="158" spans="9:9" ht="12.5" x14ac:dyDescent="0.25">
      <c r="I158" s="11"/>
    </row>
    <row r="159" spans="9:9" ht="12.5" x14ac:dyDescent="0.25">
      <c r="I159" s="11"/>
    </row>
    <row r="160" spans="9:9" ht="12.5" x14ac:dyDescent="0.25">
      <c r="I160" s="11"/>
    </row>
    <row r="161" spans="9:9" ht="12.5" x14ac:dyDescent="0.25">
      <c r="I161" s="11"/>
    </row>
    <row r="162" spans="9:9" ht="12.5" x14ac:dyDescent="0.25">
      <c r="I162" s="11"/>
    </row>
    <row r="163" spans="9:9" ht="12.5" x14ac:dyDescent="0.25">
      <c r="I163" s="11"/>
    </row>
    <row r="164" spans="9:9" ht="12.5" x14ac:dyDescent="0.25">
      <c r="I164" s="11"/>
    </row>
    <row r="165" spans="9:9" ht="12.5" x14ac:dyDescent="0.25">
      <c r="I165" s="11"/>
    </row>
    <row r="166" spans="9:9" ht="12.5" x14ac:dyDescent="0.25">
      <c r="I166" s="11"/>
    </row>
    <row r="167" spans="9:9" ht="12.5" x14ac:dyDescent="0.25">
      <c r="I167" s="11"/>
    </row>
    <row r="168" spans="9:9" ht="12.5" x14ac:dyDescent="0.25">
      <c r="I168" s="11"/>
    </row>
    <row r="169" spans="9:9" ht="12.5" x14ac:dyDescent="0.25">
      <c r="I169" s="11"/>
    </row>
    <row r="170" spans="9:9" ht="12.5" x14ac:dyDescent="0.25">
      <c r="I170" s="11"/>
    </row>
    <row r="171" spans="9:9" ht="12.5" x14ac:dyDescent="0.25">
      <c r="I171" s="11"/>
    </row>
    <row r="172" spans="9:9" ht="12.5" x14ac:dyDescent="0.25">
      <c r="I172" s="11"/>
    </row>
    <row r="173" spans="9:9" ht="12.5" x14ac:dyDescent="0.25">
      <c r="I173" s="11"/>
    </row>
    <row r="174" spans="9:9" ht="12.5" x14ac:dyDescent="0.25">
      <c r="I174" s="11"/>
    </row>
    <row r="175" spans="9:9" ht="12.5" x14ac:dyDescent="0.25">
      <c r="I175" s="11"/>
    </row>
    <row r="176" spans="9:9" ht="12.5" x14ac:dyDescent="0.25">
      <c r="I176" s="11"/>
    </row>
    <row r="177" spans="9:9" ht="12.5" x14ac:dyDescent="0.25">
      <c r="I177" s="11"/>
    </row>
    <row r="178" spans="9:9" ht="12.5" x14ac:dyDescent="0.25">
      <c r="I178" s="11"/>
    </row>
    <row r="179" spans="9:9" ht="12.5" x14ac:dyDescent="0.25">
      <c r="I179" s="11"/>
    </row>
    <row r="180" spans="9:9" ht="12.5" x14ac:dyDescent="0.25">
      <c r="I180" s="11"/>
    </row>
    <row r="181" spans="9:9" ht="12.5" x14ac:dyDescent="0.25">
      <c r="I181" s="11"/>
    </row>
    <row r="182" spans="9:9" ht="12.5" x14ac:dyDescent="0.25">
      <c r="I182" s="11"/>
    </row>
    <row r="183" spans="9:9" ht="12.5" x14ac:dyDescent="0.25">
      <c r="I183" s="11"/>
    </row>
    <row r="184" spans="9:9" ht="12.5" x14ac:dyDescent="0.25">
      <c r="I184" s="11"/>
    </row>
    <row r="185" spans="9:9" ht="12.5" x14ac:dyDescent="0.25">
      <c r="I185" s="11"/>
    </row>
    <row r="186" spans="9:9" ht="12.5" x14ac:dyDescent="0.25">
      <c r="I186" s="11"/>
    </row>
    <row r="187" spans="9:9" ht="12.5" x14ac:dyDescent="0.25">
      <c r="I187" s="11"/>
    </row>
    <row r="188" spans="9:9" ht="12.5" x14ac:dyDescent="0.25">
      <c r="I188" s="11"/>
    </row>
    <row r="189" spans="9:9" ht="12.5" x14ac:dyDescent="0.25">
      <c r="I189" s="11"/>
    </row>
    <row r="190" spans="9:9" ht="12.5" x14ac:dyDescent="0.25">
      <c r="I190" s="11"/>
    </row>
    <row r="191" spans="9:9" ht="12.5" x14ac:dyDescent="0.25">
      <c r="I191" s="11"/>
    </row>
    <row r="192" spans="9:9" ht="12.5" x14ac:dyDescent="0.25">
      <c r="I192" s="11"/>
    </row>
    <row r="193" spans="9:9" ht="12.5" x14ac:dyDescent="0.25">
      <c r="I193" s="11"/>
    </row>
    <row r="194" spans="9:9" ht="12.5" x14ac:dyDescent="0.25">
      <c r="I194" s="11"/>
    </row>
    <row r="195" spans="9:9" ht="12.5" x14ac:dyDescent="0.25">
      <c r="I195" s="11"/>
    </row>
    <row r="196" spans="9:9" ht="12.5" x14ac:dyDescent="0.25">
      <c r="I196" s="11"/>
    </row>
    <row r="197" spans="9:9" ht="12.5" x14ac:dyDescent="0.25">
      <c r="I197" s="11"/>
    </row>
    <row r="198" spans="9:9" ht="12.5" x14ac:dyDescent="0.25">
      <c r="I198" s="11"/>
    </row>
    <row r="199" spans="9:9" ht="12.5" x14ac:dyDescent="0.25">
      <c r="I199" s="11"/>
    </row>
    <row r="200" spans="9:9" ht="12.5" x14ac:dyDescent="0.25">
      <c r="I200" s="11"/>
    </row>
    <row r="201" spans="9:9" ht="12.5" x14ac:dyDescent="0.25">
      <c r="I201" s="11"/>
    </row>
    <row r="202" spans="9:9" ht="12.5" x14ac:dyDescent="0.25">
      <c r="I202" s="11"/>
    </row>
    <row r="203" spans="9:9" ht="12.5" x14ac:dyDescent="0.25">
      <c r="I203" s="11"/>
    </row>
    <row r="204" spans="9:9" ht="12.5" x14ac:dyDescent="0.25">
      <c r="I204" s="11"/>
    </row>
    <row r="205" spans="9:9" ht="12.5" x14ac:dyDescent="0.25">
      <c r="I205" s="11"/>
    </row>
    <row r="206" spans="9:9" ht="12.5" x14ac:dyDescent="0.25">
      <c r="I206" s="11"/>
    </row>
    <row r="207" spans="9:9" ht="12.5" x14ac:dyDescent="0.25">
      <c r="I207" s="11"/>
    </row>
    <row r="208" spans="9:9" ht="12.5" x14ac:dyDescent="0.25">
      <c r="I208" s="11"/>
    </row>
    <row r="209" spans="9:9" ht="12.5" x14ac:dyDescent="0.25">
      <c r="I209" s="11"/>
    </row>
    <row r="210" spans="9:9" ht="12.5" x14ac:dyDescent="0.25">
      <c r="I210" s="11"/>
    </row>
    <row r="211" spans="9:9" ht="12.5" x14ac:dyDescent="0.25">
      <c r="I211" s="11"/>
    </row>
    <row r="212" spans="9:9" ht="12.5" x14ac:dyDescent="0.25">
      <c r="I212" s="11"/>
    </row>
    <row r="213" spans="9:9" ht="12.5" x14ac:dyDescent="0.25">
      <c r="I213" s="11"/>
    </row>
    <row r="214" spans="9:9" ht="12.5" x14ac:dyDescent="0.25">
      <c r="I214" s="11"/>
    </row>
    <row r="215" spans="9:9" ht="12.5" x14ac:dyDescent="0.25">
      <c r="I215" s="11"/>
    </row>
    <row r="216" spans="9:9" ht="12.5" x14ac:dyDescent="0.25">
      <c r="I216" s="11"/>
    </row>
    <row r="217" spans="9:9" ht="12.5" x14ac:dyDescent="0.25">
      <c r="I217" s="11"/>
    </row>
    <row r="218" spans="9:9" ht="12.5" x14ac:dyDescent="0.25">
      <c r="I218" s="11"/>
    </row>
    <row r="219" spans="9:9" ht="12.5" x14ac:dyDescent="0.25">
      <c r="I219" s="11"/>
    </row>
    <row r="220" spans="9:9" ht="12.5" x14ac:dyDescent="0.25">
      <c r="I220" s="11"/>
    </row>
    <row r="221" spans="9:9" ht="12.5" x14ac:dyDescent="0.25">
      <c r="I221" s="11"/>
    </row>
    <row r="222" spans="9:9" ht="12.5" x14ac:dyDescent="0.25">
      <c r="I222" s="11"/>
    </row>
    <row r="223" spans="9:9" ht="12.5" x14ac:dyDescent="0.25">
      <c r="I223" s="11"/>
    </row>
    <row r="224" spans="9:9" ht="12.5" x14ac:dyDescent="0.25">
      <c r="I224" s="11"/>
    </row>
    <row r="225" spans="9:9" ht="12.5" x14ac:dyDescent="0.25">
      <c r="I225" s="11"/>
    </row>
    <row r="226" spans="9:9" ht="12.5" x14ac:dyDescent="0.25">
      <c r="I226" s="11"/>
    </row>
    <row r="227" spans="9:9" ht="12.5" x14ac:dyDescent="0.25">
      <c r="I227" s="11"/>
    </row>
    <row r="228" spans="9:9" ht="12.5" x14ac:dyDescent="0.25">
      <c r="I228" s="11"/>
    </row>
    <row r="229" spans="9:9" ht="12.5" x14ac:dyDescent="0.25">
      <c r="I229" s="11"/>
    </row>
    <row r="230" spans="9:9" ht="12.5" x14ac:dyDescent="0.25">
      <c r="I230" s="11"/>
    </row>
    <row r="231" spans="9:9" ht="12.5" x14ac:dyDescent="0.25">
      <c r="I231" s="11"/>
    </row>
    <row r="232" spans="9:9" ht="12.5" x14ac:dyDescent="0.25">
      <c r="I232" s="11"/>
    </row>
    <row r="233" spans="9:9" ht="12.5" x14ac:dyDescent="0.25">
      <c r="I233" s="11"/>
    </row>
    <row r="234" spans="9:9" ht="12.5" x14ac:dyDescent="0.25">
      <c r="I234" s="11"/>
    </row>
    <row r="235" spans="9:9" ht="12.5" x14ac:dyDescent="0.25">
      <c r="I235" s="11"/>
    </row>
    <row r="236" spans="9:9" ht="12.5" x14ac:dyDescent="0.25">
      <c r="I236" s="11"/>
    </row>
    <row r="237" spans="9:9" ht="12.5" x14ac:dyDescent="0.25">
      <c r="I237" s="11"/>
    </row>
    <row r="238" spans="9:9" ht="12.5" x14ac:dyDescent="0.25">
      <c r="I238" s="11"/>
    </row>
    <row r="239" spans="9:9" ht="12.5" x14ac:dyDescent="0.25">
      <c r="I239" s="11"/>
    </row>
    <row r="240" spans="9:9" ht="12.5" x14ac:dyDescent="0.25">
      <c r="I240" s="11"/>
    </row>
    <row r="241" spans="9:9" ht="12.5" x14ac:dyDescent="0.25">
      <c r="I241" s="11"/>
    </row>
    <row r="242" spans="9:9" ht="12.5" x14ac:dyDescent="0.25">
      <c r="I242" s="11"/>
    </row>
    <row r="243" spans="9:9" ht="12.5" x14ac:dyDescent="0.25">
      <c r="I243" s="11"/>
    </row>
    <row r="244" spans="9:9" ht="12.5" x14ac:dyDescent="0.25">
      <c r="I244" s="11"/>
    </row>
    <row r="245" spans="9:9" ht="12.5" x14ac:dyDescent="0.25">
      <c r="I245" s="11"/>
    </row>
    <row r="246" spans="9:9" ht="12.5" x14ac:dyDescent="0.25">
      <c r="I246" s="11"/>
    </row>
    <row r="247" spans="9:9" ht="12.5" x14ac:dyDescent="0.25">
      <c r="I247" s="11"/>
    </row>
    <row r="248" spans="9:9" ht="12.5" x14ac:dyDescent="0.25">
      <c r="I248" s="11"/>
    </row>
    <row r="249" spans="9:9" ht="12.5" x14ac:dyDescent="0.25">
      <c r="I249" s="11"/>
    </row>
    <row r="250" spans="9:9" ht="12.5" x14ac:dyDescent="0.25">
      <c r="I250" s="11"/>
    </row>
    <row r="251" spans="9:9" ht="12.5" x14ac:dyDescent="0.25">
      <c r="I251" s="11"/>
    </row>
    <row r="252" spans="9:9" ht="12.5" x14ac:dyDescent="0.25">
      <c r="I252" s="11"/>
    </row>
    <row r="253" spans="9:9" ht="12.5" x14ac:dyDescent="0.25">
      <c r="I253" s="11"/>
    </row>
    <row r="254" spans="9:9" ht="12.5" x14ac:dyDescent="0.25">
      <c r="I254" s="11"/>
    </row>
    <row r="255" spans="9:9" ht="12.5" x14ac:dyDescent="0.25">
      <c r="I255" s="11"/>
    </row>
    <row r="256" spans="9:9" ht="12.5" x14ac:dyDescent="0.25">
      <c r="I256" s="11"/>
    </row>
    <row r="257" spans="9:9" ht="12.5" x14ac:dyDescent="0.25">
      <c r="I257" s="11"/>
    </row>
    <row r="258" spans="9:9" ht="12.5" x14ac:dyDescent="0.25">
      <c r="I258" s="11"/>
    </row>
    <row r="259" spans="9:9" ht="12.5" x14ac:dyDescent="0.25">
      <c r="I259" s="11"/>
    </row>
    <row r="260" spans="9:9" ht="12.5" x14ac:dyDescent="0.25">
      <c r="I260" s="11"/>
    </row>
    <row r="261" spans="9:9" ht="12.5" x14ac:dyDescent="0.25">
      <c r="I261" s="11"/>
    </row>
    <row r="262" spans="9:9" ht="12.5" x14ac:dyDescent="0.25">
      <c r="I262" s="11"/>
    </row>
    <row r="263" spans="9:9" ht="12.5" x14ac:dyDescent="0.25">
      <c r="I263" s="11"/>
    </row>
    <row r="264" spans="9:9" ht="12.5" x14ac:dyDescent="0.25">
      <c r="I264" s="11"/>
    </row>
    <row r="265" spans="9:9" ht="12.5" x14ac:dyDescent="0.25">
      <c r="I265" s="11"/>
    </row>
    <row r="266" spans="9:9" ht="12.5" x14ac:dyDescent="0.25">
      <c r="I266" s="11"/>
    </row>
    <row r="267" spans="9:9" ht="12.5" x14ac:dyDescent="0.25">
      <c r="I267" s="11"/>
    </row>
    <row r="268" spans="9:9" ht="12.5" x14ac:dyDescent="0.25">
      <c r="I268" s="11"/>
    </row>
    <row r="269" spans="9:9" ht="12.5" x14ac:dyDescent="0.25">
      <c r="I269" s="11"/>
    </row>
    <row r="270" spans="9:9" ht="12.5" x14ac:dyDescent="0.25">
      <c r="I270" s="11"/>
    </row>
    <row r="271" spans="9:9" ht="12.5" x14ac:dyDescent="0.25">
      <c r="I271" s="11"/>
    </row>
    <row r="272" spans="9:9" ht="12.5" x14ac:dyDescent="0.25">
      <c r="I272" s="11"/>
    </row>
    <row r="273" spans="9:9" ht="12.5" x14ac:dyDescent="0.25">
      <c r="I273" s="11"/>
    </row>
    <row r="274" spans="9:9" ht="12.5" x14ac:dyDescent="0.25">
      <c r="I274" s="11"/>
    </row>
    <row r="275" spans="9:9" ht="12.5" x14ac:dyDescent="0.25">
      <c r="I275" s="11"/>
    </row>
    <row r="276" spans="9:9" ht="12.5" x14ac:dyDescent="0.25">
      <c r="I276" s="11"/>
    </row>
    <row r="277" spans="9:9" ht="12.5" x14ac:dyDescent="0.25">
      <c r="I277" s="11"/>
    </row>
    <row r="278" spans="9:9" ht="12.5" x14ac:dyDescent="0.25">
      <c r="I278" s="11"/>
    </row>
    <row r="279" spans="9:9" ht="12.5" x14ac:dyDescent="0.25">
      <c r="I279" s="11"/>
    </row>
    <row r="280" spans="9:9" ht="12.5" x14ac:dyDescent="0.25">
      <c r="I280" s="11"/>
    </row>
    <row r="281" spans="9:9" ht="12.5" x14ac:dyDescent="0.25">
      <c r="I281" s="11"/>
    </row>
    <row r="282" spans="9:9" ht="12.5" x14ac:dyDescent="0.25">
      <c r="I282" s="11"/>
    </row>
    <row r="283" spans="9:9" ht="12.5" x14ac:dyDescent="0.25">
      <c r="I283" s="11"/>
    </row>
    <row r="284" spans="9:9" ht="12.5" x14ac:dyDescent="0.25">
      <c r="I284" s="11"/>
    </row>
    <row r="285" spans="9:9" ht="12.5" x14ac:dyDescent="0.25">
      <c r="I285" s="11"/>
    </row>
    <row r="286" spans="9:9" ht="12.5" x14ac:dyDescent="0.25">
      <c r="I286" s="11"/>
    </row>
    <row r="287" spans="9:9" ht="12.5" x14ac:dyDescent="0.25">
      <c r="I287" s="11"/>
    </row>
    <row r="288" spans="9:9" ht="12.5" x14ac:dyDescent="0.25">
      <c r="I288" s="11"/>
    </row>
    <row r="289" spans="9:9" ht="12.5" x14ac:dyDescent="0.25">
      <c r="I289" s="11"/>
    </row>
    <row r="290" spans="9:9" ht="12.5" x14ac:dyDescent="0.25">
      <c r="I290" s="11"/>
    </row>
    <row r="291" spans="9:9" ht="12.5" x14ac:dyDescent="0.25">
      <c r="I291" s="11"/>
    </row>
    <row r="292" spans="9:9" ht="12.5" x14ac:dyDescent="0.25">
      <c r="I292" s="11"/>
    </row>
    <row r="293" spans="9:9" ht="12.5" x14ac:dyDescent="0.25">
      <c r="I293" s="11"/>
    </row>
    <row r="294" spans="9:9" ht="12.5" x14ac:dyDescent="0.25">
      <c r="I294" s="11"/>
    </row>
    <row r="295" spans="9:9" ht="12.5" x14ac:dyDescent="0.25">
      <c r="I295" s="11"/>
    </row>
    <row r="296" spans="9:9" ht="12.5" x14ac:dyDescent="0.25">
      <c r="I296" s="11"/>
    </row>
    <row r="297" spans="9:9" ht="12.5" x14ac:dyDescent="0.25">
      <c r="I297" s="11"/>
    </row>
    <row r="298" spans="9:9" ht="12.5" x14ac:dyDescent="0.25">
      <c r="I298" s="11"/>
    </row>
    <row r="299" spans="9:9" ht="12.5" x14ac:dyDescent="0.25">
      <c r="I299" s="11"/>
    </row>
    <row r="300" spans="9:9" ht="12.5" x14ac:dyDescent="0.25">
      <c r="I300" s="11"/>
    </row>
    <row r="301" spans="9:9" ht="12.5" x14ac:dyDescent="0.25">
      <c r="I301" s="11"/>
    </row>
    <row r="302" spans="9:9" ht="12.5" x14ac:dyDescent="0.25">
      <c r="I302" s="11"/>
    </row>
    <row r="303" spans="9:9" ht="12.5" x14ac:dyDescent="0.25">
      <c r="I303" s="11"/>
    </row>
    <row r="304" spans="9:9" ht="12.5" x14ac:dyDescent="0.25">
      <c r="I304" s="11"/>
    </row>
    <row r="305" spans="9:9" ht="12.5" x14ac:dyDescent="0.25">
      <c r="I305" s="11"/>
    </row>
    <row r="306" spans="9:9" ht="12.5" x14ac:dyDescent="0.25">
      <c r="I306" s="11"/>
    </row>
    <row r="307" spans="9:9" ht="12.5" x14ac:dyDescent="0.25">
      <c r="I307" s="11"/>
    </row>
    <row r="308" spans="9:9" ht="12.5" x14ac:dyDescent="0.25">
      <c r="I308" s="11"/>
    </row>
    <row r="309" spans="9:9" ht="12.5" x14ac:dyDescent="0.25">
      <c r="I309" s="11"/>
    </row>
    <row r="310" spans="9:9" ht="12.5" x14ac:dyDescent="0.25">
      <c r="I310" s="11"/>
    </row>
    <row r="311" spans="9:9" ht="12.5" x14ac:dyDescent="0.25">
      <c r="I311" s="11"/>
    </row>
    <row r="312" spans="9:9" ht="12.5" x14ac:dyDescent="0.25">
      <c r="I312" s="11"/>
    </row>
    <row r="313" spans="9:9" ht="12.5" x14ac:dyDescent="0.25">
      <c r="I313" s="11"/>
    </row>
    <row r="314" spans="9:9" ht="12.5" x14ac:dyDescent="0.25">
      <c r="I314" s="11"/>
    </row>
    <row r="315" spans="9:9" ht="12.5" x14ac:dyDescent="0.25">
      <c r="I315" s="11"/>
    </row>
    <row r="316" spans="9:9" ht="12.5" x14ac:dyDescent="0.25">
      <c r="I316" s="11"/>
    </row>
    <row r="317" spans="9:9" ht="12.5" x14ac:dyDescent="0.25">
      <c r="I317" s="11"/>
    </row>
    <row r="318" spans="9:9" ht="12.5" x14ac:dyDescent="0.25">
      <c r="I318" s="11"/>
    </row>
    <row r="319" spans="9:9" ht="12.5" x14ac:dyDescent="0.25">
      <c r="I319" s="11"/>
    </row>
    <row r="320" spans="9:9" ht="12.5" x14ac:dyDescent="0.25">
      <c r="I320" s="11"/>
    </row>
    <row r="321" spans="9:9" ht="12.5" x14ac:dyDescent="0.25">
      <c r="I321" s="11"/>
    </row>
    <row r="322" spans="9:9" ht="12.5" x14ac:dyDescent="0.25">
      <c r="I322" s="11"/>
    </row>
    <row r="323" spans="9:9" ht="12.5" x14ac:dyDescent="0.25">
      <c r="I323" s="11"/>
    </row>
    <row r="324" spans="9:9" ht="12.5" x14ac:dyDescent="0.25">
      <c r="I324" s="11"/>
    </row>
    <row r="325" spans="9:9" ht="12.5" x14ac:dyDescent="0.25">
      <c r="I325" s="11"/>
    </row>
    <row r="326" spans="9:9" ht="12.5" x14ac:dyDescent="0.25">
      <c r="I326" s="11"/>
    </row>
    <row r="327" spans="9:9" ht="12.5" x14ac:dyDescent="0.25">
      <c r="I327" s="11"/>
    </row>
    <row r="328" spans="9:9" ht="12.5" x14ac:dyDescent="0.25">
      <c r="I328" s="11"/>
    </row>
    <row r="329" spans="9:9" ht="12.5" x14ac:dyDescent="0.25">
      <c r="I329" s="11"/>
    </row>
    <row r="330" spans="9:9" ht="12.5" x14ac:dyDescent="0.25">
      <c r="I330" s="11"/>
    </row>
    <row r="331" spans="9:9" ht="12.5" x14ac:dyDescent="0.25">
      <c r="I331" s="11"/>
    </row>
    <row r="332" spans="9:9" ht="12.5" x14ac:dyDescent="0.25">
      <c r="I332" s="11"/>
    </row>
    <row r="333" spans="9:9" ht="12.5" x14ac:dyDescent="0.25">
      <c r="I333" s="11"/>
    </row>
    <row r="334" spans="9:9" ht="12.5" x14ac:dyDescent="0.25">
      <c r="I334" s="11"/>
    </row>
    <row r="335" spans="9:9" ht="12.5" x14ac:dyDescent="0.25">
      <c r="I335" s="11"/>
    </row>
    <row r="336" spans="9:9" ht="12.5" x14ac:dyDescent="0.25">
      <c r="I336" s="11"/>
    </row>
    <row r="337" spans="9:9" ht="12.5" x14ac:dyDescent="0.25">
      <c r="I337" s="11"/>
    </row>
    <row r="338" spans="9:9" ht="12.5" x14ac:dyDescent="0.25">
      <c r="I338" s="11"/>
    </row>
    <row r="339" spans="9:9" ht="12.5" x14ac:dyDescent="0.25">
      <c r="I339" s="11"/>
    </row>
    <row r="340" spans="9:9" ht="12.5" x14ac:dyDescent="0.25">
      <c r="I340" s="11"/>
    </row>
    <row r="341" spans="9:9" ht="12.5" x14ac:dyDescent="0.25">
      <c r="I341" s="11"/>
    </row>
    <row r="342" spans="9:9" ht="12.5" x14ac:dyDescent="0.25">
      <c r="I342" s="11"/>
    </row>
    <row r="343" spans="9:9" ht="12.5" x14ac:dyDescent="0.25">
      <c r="I343" s="11"/>
    </row>
    <row r="344" spans="9:9" ht="12.5" x14ac:dyDescent="0.25">
      <c r="I344" s="11"/>
    </row>
    <row r="345" spans="9:9" ht="12.5" x14ac:dyDescent="0.25">
      <c r="I345" s="11"/>
    </row>
    <row r="346" spans="9:9" ht="12.5" x14ac:dyDescent="0.25">
      <c r="I346" s="11"/>
    </row>
    <row r="347" spans="9:9" ht="12.5" x14ac:dyDescent="0.25">
      <c r="I347" s="11"/>
    </row>
    <row r="348" spans="9:9" ht="12.5" x14ac:dyDescent="0.25">
      <c r="I348" s="11"/>
    </row>
    <row r="349" spans="9:9" ht="12.5" x14ac:dyDescent="0.25">
      <c r="I349" s="11"/>
    </row>
    <row r="350" spans="9:9" ht="12.5" x14ac:dyDescent="0.25">
      <c r="I350" s="11"/>
    </row>
    <row r="351" spans="9:9" ht="12.5" x14ac:dyDescent="0.25">
      <c r="I351" s="11"/>
    </row>
    <row r="352" spans="9:9" ht="12.5" x14ac:dyDescent="0.25">
      <c r="I352" s="11"/>
    </row>
    <row r="353" spans="9:9" ht="12.5" x14ac:dyDescent="0.25">
      <c r="I353" s="11"/>
    </row>
    <row r="354" spans="9:9" ht="12.5" x14ac:dyDescent="0.25">
      <c r="I354" s="11"/>
    </row>
    <row r="355" spans="9:9" ht="12.5" x14ac:dyDescent="0.25">
      <c r="I355" s="11"/>
    </row>
    <row r="356" spans="9:9" ht="12.5" x14ac:dyDescent="0.25">
      <c r="I356" s="11"/>
    </row>
    <row r="357" spans="9:9" ht="12.5" x14ac:dyDescent="0.25">
      <c r="I357" s="11"/>
    </row>
    <row r="358" spans="9:9" ht="12.5" x14ac:dyDescent="0.25">
      <c r="I358" s="11"/>
    </row>
    <row r="359" spans="9:9" ht="12.5" x14ac:dyDescent="0.25">
      <c r="I359" s="11"/>
    </row>
    <row r="360" spans="9:9" ht="12.5" x14ac:dyDescent="0.25">
      <c r="I360" s="11"/>
    </row>
    <row r="361" spans="9:9" ht="12.5" x14ac:dyDescent="0.25">
      <c r="I361" s="11"/>
    </row>
    <row r="362" spans="9:9" ht="12.5" x14ac:dyDescent="0.25">
      <c r="I362" s="11"/>
    </row>
    <row r="363" spans="9:9" ht="12.5" x14ac:dyDescent="0.25">
      <c r="I363" s="11"/>
    </row>
    <row r="364" spans="9:9" ht="12.5" x14ac:dyDescent="0.25">
      <c r="I364" s="11"/>
    </row>
    <row r="365" spans="9:9" ht="12.5" x14ac:dyDescent="0.25">
      <c r="I365" s="11"/>
    </row>
    <row r="366" spans="9:9" ht="12.5" x14ac:dyDescent="0.25">
      <c r="I366" s="11"/>
    </row>
    <row r="367" spans="9:9" ht="12.5" x14ac:dyDescent="0.25">
      <c r="I367" s="11"/>
    </row>
    <row r="368" spans="9:9" ht="12.5" x14ac:dyDescent="0.25">
      <c r="I368" s="11"/>
    </row>
    <row r="369" spans="9:9" ht="12.5" x14ac:dyDescent="0.25">
      <c r="I369" s="11"/>
    </row>
    <row r="370" spans="9:9" ht="12.5" x14ac:dyDescent="0.25">
      <c r="I370" s="11"/>
    </row>
    <row r="371" spans="9:9" ht="12.5" x14ac:dyDescent="0.25">
      <c r="I371" s="11"/>
    </row>
    <row r="372" spans="9:9" ht="12.5" x14ac:dyDescent="0.25">
      <c r="I372" s="11"/>
    </row>
    <row r="373" spans="9:9" ht="12.5" x14ac:dyDescent="0.25">
      <c r="I373" s="11"/>
    </row>
    <row r="374" spans="9:9" ht="12.5" x14ac:dyDescent="0.25">
      <c r="I374" s="11"/>
    </row>
    <row r="375" spans="9:9" ht="12.5" x14ac:dyDescent="0.25">
      <c r="I375" s="11"/>
    </row>
    <row r="376" spans="9:9" ht="12.5" x14ac:dyDescent="0.25">
      <c r="I376" s="11"/>
    </row>
    <row r="377" spans="9:9" ht="12.5" x14ac:dyDescent="0.25">
      <c r="I377" s="11"/>
    </row>
    <row r="378" spans="9:9" ht="12.5" x14ac:dyDescent="0.25">
      <c r="I378" s="11"/>
    </row>
    <row r="379" spans="9:9" ht="12.5" x14ac:dyDescent="0.25">
      <c r="I379" s="11"/>
    </row>
    <row r="380" spans="9:9" ht="12.5" x14ac:dyDescent="0.25">
      <c r="I380" s="11"/>
    </row>
    <row r="381" spans="9:9" ht="12.5" x14ac:dyDescent="0.25">
      <c r="I381" s="11"/>
    </row>
    <row r="382" spans="9:9" ht="12.5" x14ac:dyDescent="0.25">
      <c r="I382" s="11"/>
    </row>
    <row r="383" spans="9:9" ht="12.5" x14ac:dyDescent="0.25">
      <c r="I383" s="11"/>
    </row>
    <row r="384" spans="9:9" ht="12.5" x14ac:dyDescent="0.25">
      <c r="I384" s="11"/>
    </row>
    <row r="385" spans="9:9" ht="12.5" x14ac:dyDescent="0.25">
      <c r="I385" s="11"/>
    </row>
    <row r="386" spans="9:9" ht="12.5" x14ac:dyDescent="0.25">
      <c r="I386" s="11"/>
    </row>
    <row r="387" spans="9:9" ht="12.5" x14ac:dyDescent="0.25">
      <c r="I387" s="11"/>
    </row>
    <row r="388" spans="9:9" ht="12.5" x14ac:dyDescent="0.25">
      <c r="I388" s="11"/>
    </row>
    <row r="389" spans="9:9" ht="12.5" x14ac:dyDescent="0.25">
      <c r="I389" s="11"/>
    </row>
    <row r="390" spans="9:9" ht="12.5" x14ac:dyDescent="0.25">
      <c r="I390" s="11"/>
    </row>
    <row r="391" spans="9:9" ht="12.5" x14ac:dyDescent="0.25">
      <c r="I391" s="11"/>
    </row>
    <row r="392" spans="9:9" ht="12.5" x14ac:dyDescent="0.25">
      <c r="I392" s="11"/>
    </row>
    <row r="393" spans="9:9" ht="12.5" x14ac:dyDescent="0.25">
      <c r="I393" s="11"/>
    </row>
    <row r="394" spans="9:9" ht="12.5" x14ac:dyDescent="0.25">
      <c r="I394" s="11"/>
    </row>
    <row r="395" spans="9:9" ht="12.5" x14ac:dyDescent="0.25">
      <c r="I395" s="11"/>
    </row>
    <row r="396" spans="9:9" ht="12.5" x14ac:dyDescent="0.25">
      <c r="I396" s="11"/>
    </row>
    <row r="397" spans="9:9" ht="12.5" x14ac:dyDescent="0.25">
      <c r="I397" s="11"/>
    </row>
    <row r="398" spans="9:9" ht="12.5" x14ac:dyDescent="0.25">
      <c r="I398" s="11"/>
    </row>
    <row r="399" spans="9:9" ht="12.5" x14ac:dyDescent="0.25">
      <c r="I399" s="11"/>
    </row>
    <row r="400" spans="9:9" ht="12.5" x14ac:dyDescent="0.25">
      <c r="I400" s="11"/>
    </row>
    <row r="401" spans="9:9" ht="12.5" x14ac:dyDescent="0.25">
      <c r="I401" s="11"/>
    </row>
    <row r="402" spans="9:9" ht="12.5" x14ac:dyDescent="0.25">
      <c r="I402" s="11"/>
    </row>
    <row r="403" spans="9:9" ht="12.5" x14ac:dyDescent="0.25">
      <c r="I403" s="11"/>
    </row>
    <row r="404" spans="9:9" ht="12.5" x14ac:dyDescent="0.25">
      <c r="I404" s="11"/>
    </row>
    <row r="405" spans="9:9" ht="12.5" x14ac:dyDescent="0.25">
      <c r="I405" s="11"/>
    </row>
    <row r="406" spans="9:9" ht="12.5" x14ac:dyDescent="0.25">
      <c r="I406" s="11"/>
    </row>
    <row r="407" spans="9:9" ht="12.5" x14ac:dyDescent="0.25">
      <c r="I407" s="11"/>
    </row>
    <row r="408" spans="9:9" ht="12.5" x14ac:dyDescent="0.25">
      <c r="I408" s="11"/>
    </row>
    <row r="409" spans="9:9" ht="12.5" x14ac:dyDescent="0.25">
      <c r="I409" s="11"/>
    </row>
    <row r="410" spans="9:9" ht="12.5" x14ac:dyDescent="0.25">
      <c r="I410" s="11"/>
    </row>
    <row r="411" spans="9:9" ht="12.5" x14ac:dyDescent="0.25">
      <c r="I411" s="11"/>
    </row>
    <row r="412" spans="9:9" ht="12.5" x14ac:dyDescent="0.25">
      <c r="I412" s="11"/>
    </row>
    <row r="413" spans="9:9" ht="12.5" x14ac:dyDescent="0.25">
      <c r="I413" s="11"/>
    </row>
    <row r="414" spans="9:9" ht="12.5" x14ac:dyDescent="0.25">
      <c r="I414" s="11"/>
    </row>
    <row r="415" spans="9:9" ht="12.5" x14ac:dyDescent="0.25">
      <c r="I415" s="11"/>
    </row>
    <row r="416" spans="9:9" ht="12.5" x14ac:dyDescent="0.25">
      <c r="I416" s="11"/>
    </row>
    <row r="417" spans="9:9" ht="12.5" x14ac:dyDescent="0.25">
      <c r="I417" s="11"/>
    </row>
    <row r="418" spans="9:9" ht="12.5" x14ac:dyDescent="0.25">
      <c r="I418" s="11"/>
    </row>
    <row r="419" spans="9:9" ht="12.5" x14ac:dyDescent="0.25">
      <c r="I419" s="11"/>
    </row>
    <row r="420" spans="9:9" ht="12.5" x14ac:dyDescent="0.25">
      <c r="I420" s="11"/>
    </row>
    <row r="421" spans="9:9" ht="12.5" x14ac:dyDescent="0.25">
      <c r="I421" s="11"/>
    </row>
    <row r="422" spans="9:9" ht="12.5" x14ac:dyDescent="0.25">
      <c r="I422" s="11"/>
    </row>
    <row r="423" spans="9:9" ht="12.5" x14ac:dyDescent="0.25">
      <c r="I423" s="11"/>
    </row>
    <row r="424" spans="9:9" ht="12.5" x14ac:dyDescent="0.25">
      <c r="I424" s="11"/>
    </row>
    <row r="425" spans="9:9" ht="12.5" x14ac:dyDescent="0.25">
      <c r="I425" s="11"/>
    </row>
    <row r="426" spans="9:9" ht="12.5" x14ac:dyDescent="0.25">
      <c r="I426" s="11"/>
    </row>
    <row r="427" spans="9:9" ht="12.5" x14ac:dyDescent="0.25">
      <c r="I427" s="11"/>
    </row>
    <row r="428" spans="9:9" ht="12.5" x14ac:dyDescent="0.25">
      <c r="I428" s="11"/>
    </row>
    <row r="429" spans="9:9" ht="12.5" x14ac:dyDescent="0.25">
      <c r="I429" s="11"/>
    </row>
    <row r="430" spans="9:9" ht="12.5" x14ac:dyDescent="0.25">
      <c r="I430" s="11"/>
    </row>
    <row r="431" spans="9:9" ht="12.5" x14ac:dyDescent="0.25">
      <c r="I431" s="11"/>
    </row>
    <row r="432" spans="9:9" ht="12.5" x14ac:dyDescent="0.25">
      <c r="I432" s="11"/>
    </row>
    <row r="433" spans="9:9" ht="12.5" x14ac:dyDescent="0.25">
      <c r="I433" s="11"/>
    </row>
    <row r="434" spans="9:9" ht="12.5" x14ac:dyDescent="0.25">
      <c r="I434" s="11"/>
    </row>
    <row r="435" spans="9:9" ht="12.5" x14ac:dyDescent="0.25">
      <c r="I435" s="11"/>
    </row>
    <row r="436" spans="9:9" ht="12.5" x14ac:dyDescent="0.25">
      <c r="I436" s="11"/>
    </row>
    <row r="437" spans="9:9" ht="12.5" x14ac:dyDescent="0.25">
      <c r="I437" s="11"/>
    </row>
    <row r="438" spans="9:9" ht="12.5" x14ac:dyDescent="0.25">
      <c r="I438" s="11"/>
    </row>
    <row r="439" spans="9:9" ht="12.5" x14ac:dyDescent="0.25">
      <c r="I439" s="11"/>
    </row>
    <row r="440" spans="9:9" ht="12.5" x14ac:dyDescent="0.25">
      <c r="I440" s="11"/>
    </row>
    <row r="441" spans="9:9" ht="12.5" x14ac:dyDescent="0.25">
      <c r="I441" s="11"/>
    </row>
    <row r="442" spans="9:9" ht="12.5" x14ac:dyDescent="0.25">
      <c r="I442" s="11"/>
    </row>
    <row r="443" spans="9:9" ht="12.5" x14ac:dyDescent="0.25">
      <c r="I443" s="11"/>
    </row>
    <row r="444" spans="9:9" ht="12.5" x14ac:dyDescent="0.25">
      <c r="I444" s="11"/>
    </row>
    <row r="445" spans="9:9" ht="12.5" x14ac:dyDescent="0.25">
      <c r="I445" s="11"/>
    </row>
    <row r="446" spans="9:9" ht="12.5" x14ac:dyDescent="0.25">
      <c r="I446" s="11"/>
    </row>
    <row r="447" spans="9:9" ht="12.5" x14ac:dyDescent="0.25">
      <c r="I447" s="11"/>
    </row>
    <row r="448" spans="9:9" ht="12.5" x14ac:dyDescent="0.25">
      <c r="I448" s="11"/>
    </row>
    <row r="449" spans="9:9" ht="12.5" x14ac:dyDescent="0.25">
      <c r="I449" s="11"/>
    </row>
    <row r="450" spans="9:9" ht="12.5" x14ac:dyDescent="0.25">
      <c r="I450" s="11"/>
    </row>
    <row r="451" spans="9:9" ht="12.5" x14ac:dyDescent="0.25">
      <c r="I451" s="11"/>
    </row>
    <row r="452" spans="9:9" ht="12.5" x14ac:dyDescent="0.25">
      <c r="I452" s="11"/>
    </row>
    <row r="453" spans="9:9" ht="12.5" x14ac:dyDescent="0.25">
      <c r="I453" s="11"/>
    </row>
    <row r="454" spans="9:9" ht="12.5" x14ac:dyDescent="0.25">
      <c r="I454" s="11"/>
    </row>
    <row r="455" spans="9:9" ht="12.5" x14ac:dyDescent="0.25">
      <c r="I455" s="11"/>
    </row>
    <row r="456" spans="9:9" ht="12.5" x14ac:dyDescent="0.25">
      <c r="I456" s="11"/>
    </row>
    <row r="457" spans="9:9" ht="12.5" x14ac:dyDescent="0.25">
      <c r="I457" s="11"/>
    </row>
    <row r="458" spans="9:9" ht="12.5" x14ac:dyDescent="0.25">
      <c r="I458" s="11"/>
    </row>
    <row r="459" spans="9:9" ht="12.5" x14ac:dyDescent="0.25">
      <c r="I459" s="11"/>
    </row>
    <row r="460" spans="9:9" ht="12.5" x14ac:dyDescent="0.25">
      <c r="I460" s="11"/>
    </row>
    <row r="461" spans="9:9" ht="12.5" x14ac:dyDescent="0.25">
      <c r="I461" s="11"/>
    </row>
    <row r="462" spans="9:9" ht="12.5" x14ac:dyDescent="0.25">
      <c r="I462" s="11"/>
    </row>
    <row r="463" spans="9:9" ht="12.5" x14ac:dyDescent="0.25">
      <c r="I463" s="11"/>
    </row>
    <row r="464" spans="9:9" ht="12.5" x14ac:dyDescent="0.25">
      <c r="I464" s="11"/>
    </row>
    <row r="465" spans="9:9" ht="12.5" x14ac:dyDescent="0.25">
      <c r="I465" s="11"/>
    </row>
    <row r="466" spans="9:9" ht="12.5" x14ac:dyDescent="0.25">
      <c r="I466" s="11"/>
    </row>
    <row r="467" spans="9:9" ht="12.5" x14ac:dyDescent="0.25">
      <c r="I467" s="11"/>
    </row>
    <row r="468" spans="9:9" ht="12.5" x14ac:dyDescent="0.25">
      <c r="I468" s="11"/>
    </row>
    <row r="469" spans="9:9" ht="12.5" x14ac:dyDescent="0.25">
      <c r="I469" s="11"/>
    </row>
    <row r="470" spans="9:9" ht="12.5" x14ac:dyDescent="0.25">
      <c r="I470" s="11"/>
    </row>
    <row r="471" spans="9:9" ht="12.5" x14ac:dyDescent="0.25">
      <c r="I471" s="11"/>
    </row>
    <row r="472" spans="9:9" ht="12.5" x14ac:dyDescent="0.25">
      <c r="I472" s="11"/>
    </row>
    <row r="473" spans="9:9" ht="12.5" x14ac:dyDescent="0.25">
      <c r="I473" s="11"/>
    </row>
    <row r="474" spans="9:9" ht="12.5" x14ac:dyDescent="0.25">
      <c r="I474" s="11"/>
    </row>
    <row r="475" spans="9:9" ht="12.5" x14ac:dyDescent="0.25">
      <c r="I475" s="11"/>
    </row>
    <row r="476" spans="9:9" ht="12.5" x14ac:dyDescent="0.25">
      <c r="I476" s="11"/>
    </row>
    <row r="477" spans="9:9" ht="12.5" x14ac:dyDescent="0.25">
      <c r="I477" s="11"/>
    </row>
    <row r="478" spans="9:9" ht="12.5" x14ac:dyDescent="0.25">
      <c r="I478" s="11"/>
    </row>
    <row r="479" spans="9:9" ht="12.5" x14ac:dyDescent="0.25">
      <c r="I479" s="11"/>
    </row>
    <row r="480" spans="9:9" ht="12.5" x14ac:dyDescent="0.25">
      <c r="I480" s="11"/>
    </row>
    <row r="481" spans="9:9" ht="12.5" x14ac:dyDescent="0.25">
      <c r="I481" s="11"/>
    </row>
    <row r="482" spans="9:9" ht="12.5" x14ac:dyDescent="0.25">
      <c r="I482" s="11"/>
    </row>
    <row r="483" spans="9:9" ht="12.5" x14ac:dyDescent="0.25">
      <c r="I483" s="11"/>
    </row>
    <row r="484" spans="9:9" ht="12.5" x14ac:dyDescent="0.25">
      <c r="I484" s="11"/>
    </row>
    <row r="485" spans="9:9" ht="12.5" x14ac:dyDescent="0.25">
      <c r="I485" s="11"/>
    </row>
    <row r="486" spans="9:9" ht="12.5" x14ac:dyDescent="0.25">
      <c r="I486" s="11"/>
    </row>
    <row r="487" spans="9:9" ht="12.5" x14ac:dyDescent="0.25">
      <c r="I487" s="11"/>
    </row>
    <row r="488" spans="9:9" ht="12.5" x14ac:dyDescent="0.25">
      <c r="I488" s="11"/>
    </row>
    <row r="489" spans="9:9" ht="12.5" x14ac:dyDescent="0.25">
      <c r="I489" s="11"/>
    </row>
    <row r="490" spans="9:9" ht="12.5" x14ac:dyDescent="0.25">
      <c r="I490" s="11"/>
    </row>
    <row r="491" spans="9:9" ht="12.5" x14ac:dyDescent="0.25">
      <c r="I491" s="11"/>
    </row>
    <row r="492" spans="9:9" ht="12.5" x14ac:dyDescent="0.25">
      <c r="I492" s="11"/>
    </row>
    <row r="493" spans="9:9" ht="12.5" x14ac:dyDescent="0.25">
      <c r="I493" s="11"/>
    </row>
    <row r="494" spans="9:9" ht="12.5" x14ac:dyDescent="0.25">
      <c r="I494" s="11"/>
    </row>
    <row r="495" spans="9:9" ht="12.5" x14ac:dyDescent="0.25">
      <c r="I495" s="11"/>
    </row>
    <row r="496" spans="9:9" ht="12.5" x14ac:dyDescent="0.25">
      <c r="I496" s="11"/>
    </row>
    <row r="497" spans="9:9" ht="12.5" x14ac:dyDescent="0.25">
      <c r="I497" s="11"/>
    </row>
    <row r="498" spans="9:9" ht="12.5" x14ac:dyDescent="0.25">
      <c r="I498" s="11"/>
    </row>
    <row r="499" spans="9:9" ht="12.5" x14ac:dyDescent="0.25">
      <c r="I499" s="11"/>
    </row>
    <row r="500" spans="9:9" ht="12.5" x14ac:dyDescent="0.25">
      <c r="I500" s="11"/>
    </row>
    <row r="501" spans="9:9" ht="12.5" x14ac:dyDescent="0.25">
      <c r="I501" s="11"/>
    </row>
    <row r="502" spans="9:9" ht="12.5" x14ac:dyDescent="0.25">
      <c r="I502" s="11"/>
    </row>
    <row r="503" spans="9:9" ht="12.5" x14ac:dyDescent="0.25">
      <c r="I503" s="11"/>
    </row>
    <row r="504" spans="9:9" ht="12.5" x14ac:dyDescent="0.25">
      <c r="I504" s="11"/>
    </row>
    <row r="505" spans="9:9" ht="12.5" x14ac:dyDescent="0.25">
      <c r="I505" s="11"/>
    </row>
    <row r="506" spans="9:9" ht="12.5" x14ac:dyDescent="0.25">
      <c r="I506" s="11"/>
    </row>
    <row r="507" spans="9:9" ht="12.5" x14ac:dyDescent="0.25">
      <c r="I507" s="11"/>
    </row>
    <row r="508" spans="9:9" ht="12.5" x14ac:dyDescent="0.25">
      <c r="I508" s="11"/>
    </row>
    <row r="509" spans="9:9" ht="12.5" x14ac:dyDescent="0.25">
      <c r="I509" s="11"/>
    </row>
    <row r="510" spans="9:9" ht="12.5" x14ac:dyDescent="0.25">
      <c r="I510" s="11"/>
    </row>
    <row r="511" spans="9:9" ht="12.5" x14ac:dyDescent="0.25">
      <c r="I511" s="11"/>
    </row>
    <row r="512" spans="9:9" ht="12.5" x14ac:dyDescent="0.25">
      <c r="I512" s="11"/>
    </row>
    <row r="513" spans="9:9" ht="12.5" x14ac:dyDescent="0.25">
      <c r="I513" s="11"/>
    </row>
    <row r="514" spans="9:9" ht="12.5" x14ac:dyDescent="0.25">
      <c r="I514" s="11"/>
    </row>
    <row r="515" spans="9:9" ht="12.5" x14ac:dyDescent="0.25">
      <c r="I515" s="11"/>
    </row>
    <row r="516" spans="9:9" ht="12.5" x14ac:dyDescent="0.25">
      <c r="I516" s="11"/>
    </row>
    <row r="517" spans="9:9" ht="12.5" x14ac:dyDescent="0.25">
      <c r="I517" s="11"/>
    </row>
    <row r="518" spans="9:9" ht="12.5" x14ac:dyDescent="0.25">
      <c r="I518" s="11"/>
    </row>
    <row r="519" spans="9:9" ht="12.5" x14ac:dyDescent="0.25">
      <c r="I519" s="11"/>
    </row>
    <row r="520" spans="9:9" ht="12.5" x14ac:dyDescent="0.25">
      <c r="I520" s="11"/>
    </row>
    <row r="521" spans="9:9" ht="12.5" x14ac:dyDescent="0.25">
      <c r="I521" s="11"/>
    </row>
    <row r="522" spans="9:9" ht="12.5" x14ac:dyDescent="0.25">
      <c r="I522" s="11"/>
    </row>
    <row r="523" spans="9:9" ht="12.5" x14ac:dyDescent="0.25">
      <c r="I523" s="11"/>
    </row>
    <row r="524" spans="9:9" ht="12.5" x14ac:dyDescent="0.25">
      <c r="I524" s="11"/>
    </row>
    <row r="525" spans="9:9" ht="12.5" x14ac:dyDescent="0.25">
      <c r="I525" s="11"/>
    </row>
    <row r="526" spans="9:9" ht="12.5" x14ac:dyDescent="0.25">
      <c r="I526" s="11"/>
    </row>
    <row r="527" spans="9:9" ht="12.5" x14ac:dyDescent="0.25">
      <c r="I527" s="11"/>
    </row>
    <row r="528" spans="9:9" ht="12.5" x14ac:dyDescent="0.25">
      <c r="I528" s="11"/>
    </row>
    <row r="529" spans="9:9" ht="12.5" x14ac:dyDescent="0.25">
      <c r="I529" s="11"/>
    </row>
    <row r="530" spans="9:9" ht="12.5" x14ac:dyDescent="0.25">
      <c r="I530" s="11"/>
    </row>
    <row r="531" spans="9:9" ht="12.5" x14ac:dyDescent="0.25">
      <c r="I531" s="11"/>
    </row>
    <row r="532" spans="9:9" ht="12.5" x14ac:dyDescent="0.25">
      <c r="I532" s="11"/>
    </row>
    <row r="533" spans="9:9" ht="12.5" x14ac:dyDescent="0.25">
      <c r="I533" s="11"/>
    </row>
    <row r="534" spans="9:9" ht="12.5" x14ac:dyDescent="0.25">
      <c r="I534" s="11"/>
    </row>
    <row r="535" spans="9:9" ht="12.5" x14ac:dyDescent="0.25">
      <c r="I535" s="11"/>
    </row>
    <row r="536" spans="9:9" ht="12.5" x14ac:dyDescent="0.25">
      <c r="I536" s="11"/>
    </row>
    <row r="537" spans="9:9" ht="12.5" x14ac:dyDescent="0.25">
      <c r="I537" s="11"/>
    </row>
    <row r="538" spans="9:9" ht="12.5" x14ac:dyDescent="0.25">
      <c r="I538" s="11"/>
    </row>
    <row r="539" spans="9:9" ht="12.5" x14ac:dyDescent="0.25">
      <c r="I539" s="11"/>
    </row>
    <row r="540" spans="9:9" ht="12.5" x14ac:dyDescent="0.25">
      <c r="I540" s="11"/>
    </row>
    <row r="541" spans="9:9" ht="12.5" x14ac:dyDescent="0.25">
      <c r="I541" s="11"/>
    </row>
    <row r="542" spans="9:9" ht="12.5" x14ac:dyDescent="0.25">
      <c r="I542" s="11"/>
    </row>
    <row r="543" spans="9:9" ht="12.5" x14ac:dyDescent="0.25">
      <c r="I543" s="11"/>
    </row>
    <row r="544" spans="9:9" ht="12.5" x14ac:dyDescent="0.25">
      <c r="I544" s="11"/>
    </row>
    <row r="545" spans="9:9" ht="12.5" x14ac:dyDescent="0.25">
      <c r="I545" s="11"/>
    </row>
    <row r="546" spans="9:9" ht="12.5" x14ac:dyDescent="0.25">
      <c r="I546" s="11"/>
    </row>
    <row r="547" spans="9:9" ht="12.5" x14ac:dyDescent="0.25">
      <c r="I547" s="11"/>
    </row>
    <row r="548" spans="9:9" ht="12.5" x14ac:dyDescent="0.25">
      <c r="I548" s="11"/>
    </row>
    <row r="549" spans="9:9" ht="12.5" x14ac:dyDescent="0.25">
      <c r="I549" s="11"/>
    </row>
    <row r="550" spans="9:9" ht="12.5" x14ac:dyDescent="0.25">
      <c r="I550" s="11"/>
    </row>
    <row r="551" spans="9:9" ht="12.5" x14ac:dyDescent="0.25">
      <c r="I551" s="11"/>
    </row>
    <row r="552" spans="9:9" ht="12.5" x14ac:dyDescent="0.25">
      <c r="I552" s="11"/>
    </row>
    <row r="553" spans="9:9" ht="12.5" x14ac:dyDescent="0.25">
      <c r="I553" s="11"/>
    </row>
    <row r="554" spans="9:9" ht="12.5" x14ac:dyDescent="0.25">
      <c r="I554" s="11"/>
    </row>
    <row r="555" spans="9:9" ht="12.5" x14ac:dyDescent="0.25">
      <c r="I555" s="11"/>
    </row>
    <row r="556" spans="9:9" ht="12.5" x14ac:dyDescent="0.25">
      <c r="I556" s="11"/>
    </row>
    <row r="557" spans="9:9" ht="12.5" x14ac:dyDescent="0.25">
      <c r="I557" s="11"/>
    </row>
    <row r="558" spans="9:9" ht="12.5" x14ac:dyDescent="0.25">
      <c r="I558" s="11"/>
    </row>
    <row r="559" spans="9:9" ht="12.5" x14ac:dyDescent="0.25">
      <c r="I559" s="11"/>
    </row>
    <row r="560" spans="9:9" ht="12.5" x14ac:dyDescent="0.25">
      <c r="I560" s="11"/>
    </row>
    <row r="561" spans="9:9" ht="12.5" x14ac:dyDescent="0.25">
      <c r="I561" s="11"/>
    </row>
    <row r="562" spans="9:9" ht="12.5" x14ac:dyDescent="0.25">
      <c r="I562" s="11"/>
    </row>
    <row r="563" spans="9:9" ht="12.5" x14ac:dyDescent="0.25">
      <c r="I563" s="11"/>
    </row>
    <row r="564" spans="9:9" ht="12.5" x14ac:dyDescent="0.25">
      <c r="I564" s="11"/>
    </row>
    <row r="565" spans="9:9" ht="12.5" x14ac:dyDescent="0.25">
      <c r="I565" s="11"/>
    </row>
    <row r="566" spans="9:9" ht="12.5" x14ac:dyDescent="0.25">
      <c r="I566" s="11"/>
    </row>
    <row r="567" spans="9:9" ht="12.5" x14ac:dyDescent="0.25">
      <c r="I567" s="11"/>
    </row>
    <row r="568" spans="9:9" ht="12.5" x14ac:dyDescent="0.25">
      <c r="I568" s="11"/>
    </row>
    <row r="569" spans="9:9" ht="12.5" x14ac:dyDescent="0.25">
      <c r="I569" s="11"/>
    </row>
    <row r="570" spans="9:9" ht="12.5" x14ac:dyDescent="0.25">
      <c r="I570" s="11"/>
    </row>
    <row r="571" spans="9:9" ht="12.5" x14ac:dyDescent="0.25">
      <c r="I571" s="11"/>
    </row>
    <row r="572" spans="9:9" ht="12.5" x14ac:dyDescent="0.25">
      <c r="I572" s="11"/>
    </row>
    <row r="573" spans="9:9" ht="12.5" x14ac:dyDescent="0.25">
      <c r="I573" s="11"/>
    </row>
    <row r="574" spans="9:9" ht="12.5" x14ac:dyDescent="0.25">
      <c r="I574" s="11"/>
    </row>
    <row r="575" spans="9:9" ht="12.5" x14ac:dyDescent="0.25">
      <c r="I575" s="11"/>
    </row>
    <row r="576" spans="9:9" ht="12.5" x14ac:dyDescent="0.25">
      <c r="I576" s="11"/>
    </row>
    <row r="577" spans="9:9" ht="12.5" x14ac:dyDescent="0.25">
      <c r="I577" s="11"/>
    </row>
    <row r="578" spans="9:9" ht="12.5" x14ac:dyDescent="0.25">
      <c r="I578" s="11"/>
    </row>
    <row r="579" spans="9:9" ht="12.5" x14ac:dyDescent="0.25">
      <c r="I579" s="11"/>
    </row>
    <row r="580" spans="9:9" ht="12.5" x14ac:dyDescent="0.25">
      <c r="I580" s="11"/>
    </row>
    <row r="581" spans="9:9" ht="12.5" x14ac:dyDescent="0.25">
      <c r="I581" s="11"/>
    </row>
    <row r="582" spans="9:9" ht="12.5" x14ac:dyDescent="0.25">
      <c r="I582" s="11"/>
    </row>
    <row r="583" spans="9:9" ht="12.5" x14ac:dyDescent="0.25">
      <c r="I583" s="11"/>
    </row>
    <row r="584" spans="9:9" ht="12.5" x14ac:dyDescent="0.25">
      <c r="I584" s="11"/>
    </row>
    <row r="585" spans="9:9" ht="12.5" x14ac:dyDescent="0.25">
      <c r="I585" s="11"/>
    </row>
    <row r="586" spans="9:9" ht="12.5" x14ac:dyDescent="0.25">
      <c r="I586" s="11"/>
    </row>
    <row r="587" spans="9:9" ht="12.5" x14ac:dyDescent="0.25">
      <c r="I587" s="11"/>
    </row>
    <row r="588" spans="9:9" ht="12.5" x14ac:dyDescent="0.25">
      <c r="I588" s="11"/>
    </row>
    <row r="589" spans="9:9" ht="12.5" x14ac:dyDescent="0.25">
      <c r="I589" s="11"/>
    </row>
    <row r="590" spans="9:9" ht="12.5" x14ac:dyDescent="0.25">
      <c r="I590" s="11"/>
    </row>
    <row r="591" spans="9:9" ht="12.5" x14ac:dyDescent="0.25">
      <c r="I591" s="11"/>
    </row>
    <row r="592" spans="9:9" ht="12.5" x14ac:dyDescent="0.25">
      <c r="I592" s="11"/>
    </row>
    <row r="593" spans="9:9" ht="12.5" x14ac:dyDescent="0.25">
      <c r="I593" s="11"/>
    </row>
    <row r="594" spans="9:9" ht="12.5" x14ac:dyDescent="0.25">
      <c r="I594" s="11"/>
    </row>
    <row r="595" spans="9:9" ht="12.5" x14ac:dyDescent="0.25">
      <c r="I595" s="11"/>
    </row>
    <row r="596" spans="9:9" ht="12.5" x14ac:dyDescent="0.25">
      <c r="I596" s="11"/>
    </row>
    <row r="597" spans="9:9" ht="12.5" x14ac:dyDescent="0.25">
      <c r="I597" s="11"/>
    </row>
    <row r="598" spans="9:9" ht="12.5" x14ac:dyDescent="0.25">
      <c r="I598" s="11"/>
    </row>
    <row r="599" spans="9:9" ht="12.5" x14ac:dyDescent="0.25">
      <c r="I599" s="11"/>
    </row>
    <row r="600" spans="9:9" ht="12.5" x14ac:dyDescent="0.25">
      <c r="I600" s="11"/>
    </row>
    <row r="601" spans="9:9" ht="12.5" x14ac:dyDescent="0.25">
      <c r="I601" s="11"/>
    </row>
    <row r="602" spans="9:9" ht="12.5" x14ac:dyDescent="0.25">
      <c r="I602" s="11"/>
    </row>
    <row r="603" spans="9:9" ht="12.5" x14ac:dyDescent="0.25">
      <c r="I603" s="11"/>
    </row>
    <row r="604" spans="9:9" ht="12.5" x14ac:dyDescent="0.25">
      <c r="I604" s="11"/>
    </row>
    <row r="605" spans="9:9" ht="12.5" x14ac:dyDescent="0.25">
      <c r="I605" s="11"/>
    </row>
    <row r="606" spans="9:9" ht="12.5" x14ac:dyDescent="0.25">
      <c r="I606" s="11"/>
    </row>
    <row r="607" spans="9:9" ht="12.5" x14ac:dyDescent="0.25">
      <c r="I607" s="11"/>
    </row>
    <row r="608" spans="9:9" ht="12.5" x14ac:dyDescent="0.25">
      <c r="I608" s="11"/>
    </row>
    <row r="609" spans="9:9" ht="12.5" x14ac:dyDescent="0.25">
      <c r="I609" s="11"/>
    </row>
    <row r="610" spans="9:9" ht="12.5" x14ac:dyDescent="0.25">
      <c r="I610" s="11"/>
    </row>
    <row r="611" spans="9:9" ht="12.5" x14ac:dyDescent="0.25">
      <c r="I611" s="11"/>
    </row>
    <row r="612" spans="9:9" ht="12.5" x14ac:dyDescent="0.25">
      <c r="I612" s="11"/>
    </row>
    <row r="613" spans="9:9" ht="12.5" x14ac:dyDescent="0.25">
      <c r="I613" s="11"/>
    </row>
    <row r="614" spans="9:9" ht="12.5" x14ac:dyDescent="0.25">
      <c r="I614" s="11"/>
    </row>
    <row r="615" spans="9:9" ht="12.5" x14ac:dyDescent="0.25">
      <c r="I615" s="11"/>
    </row>
    <row r="616" spans="9:9" ht="12.5" x14ac:dyDescent="0.25">
      <c r="I616" s="11"/>
    </row>
    <row r="617" spans="9:9" ht="12.5" x14ac:dyDescent="0.25">
      <c r="I617" s="11"/>
    </row>
    <row r="618" spans="9:9" ht="12.5" x14ac:dyDescent="0.25">
      <c r="I618" s="11"/>
    </row>
    <row r="619" spans="9:9" ht="12.5" x14ac:dyDescent="0.25">
      <c r="I619" s="11"/>
    </row>
    <row r="620" spans="9:9" ht="12.5" x14ac:dyDescent="0.25">
      <c r="I620" s="11"/>
    </row>
    <row r="621" spans="9:9" ht="12.5" x14ac:dyDescent="0.25">
      <c r="I621" s="11"/>
    </row>
    <row r="622" spans="9:9" ht="12.5" x14ac:dyDescent="0.25">
      <c r="I622" s="11"/>
    </row>
    <row r="623" spans="9:9" ht="12.5" x14ac:dyDescent="0.25">
      <c r="I623" s="11"/>
    </row>
    <row r="624" spans="9:9" ht="12.5" x14ac:dyDescent="0.25">
      <c r="I624" s="11"/>
    </row>
    <row r="625" spans="9:9" ht="12.5" x14ac:dyDescent="0.25">
      <c r="I625" s="11"/>
    </row>
    <row r="626" spans="9:9" ht="12.5" x14ac:dyDescent="0.25">
      <c r="I626" s="11"/>
    </row>
    <row r="627" spans="9:9" ht="12.5" x14ac:dyDescent="0.25">
      <c r="I627" s="11"/>
    </row>
    <row r="628" spans="9:9" ht="12.5" x14ac:dyDescent="0.25">
      <c r="I628" s="11"/>
    </row>
    <row r="629" spans="9:9" ht="12.5" x14ac:dyDescent="0.25">
      <c r="I629" s="11"/>
    </row>
    <row r="630" spans="9:9" ht="12.5" x14ac:dyDescent="0.25">
      <c r="I630" s="11"/>
    </row>
    <row r="631" spans="9:9" ht="12.5" x14ac:dyDescent="0.25">
      <c r="I631" s="11"/>
    </row>
    <row r="632" spans="9:9" ht="12.5" x14ac:dyDescent="0.25">
      <c r="I632" s="11"/>
    </row>
    <row r="633" spans="9:9" ht="12.5" x14ac:dyDescent="0.25">
      <c r="I633" s="11"/>
    </row>
    <row r="634" spans="9:9" ht="12.5" x14ac:dyDescent="0.25">
      <c r="I634" s="11"/>
    </row>
    <row r="635" spans="9:9" ht="12.5" x14ac:dyDescent="0.25">
      <c r="I635" s="11"/>
    </row>
    <row r="636" spans="9:9" ht="12.5" x14ac:dyDescent="0.25">
      <c r="I636" s="11"/>
    </row>
    <row r="637" spans="9:9" ht="12.5" x14ac:dyDescent="0.25">
      <c r="I637" s="11"/>
    </row>
    <row r="638" spans="9:9" ht="12.5" x14ac:dyDescent="0.25">
      <c r="I638" s="11"/>
    </row>
    <row r="639" spans="9:9" ht="12.5" x14ac:dyDescent="0.25">
      <c r="I639" s="11"/>
    </row>
    <row r="640" spans="9:9" ht="12.5" x14ac:dyDescent="0.25">
      <c r="I640" s="11"/>
    </row>
    <row r="641" spans="9:9" ht="12.5" x14ac:dyDescent="0.25">
      <c r="I641" s="11"/>
    </row>
    <row r="642" spans="9:9" ht="12.5" x14ac:dyDescent="0.25">
      <c r="I642" s="11"/>
    </row>
    <row r="643" spans="9:9" ht="12.5" x14ac:dyDescent="0.25">
      <c r="I643" s="11"/>
    </row>
    <row r="644" spans="9:9" ht="12.5" x14ac:dyDescent="0.25">
      <c r="I644" s="11"/>
    </row>
    <row r="645" spans="9:9" ht="12.5" x14ac:dyDescent="0.25">
      <c r="I645" s="11"/>
    </row>
    <row r="646" spans="9:9" ht="12.5" x14ac:dyDescent="0.25">
      <c r="I646" s="11"/>
    </row>
    <row r="647" spans="9:9" ht="12.5" x14ac:dyDescent="0.25">
      <c r="I647" s="11"/>
    </row>
    <row r="648" spans="9:9" ht="12.5" x14ac:dyDescent="0.25">
      <c r="I648" s="11"/>
    </row>
    <row r="649" spans="9:9" ht="12.5" x14ac:dyDescent="0.25">
      <c r="I649" s="11"/>
    </row>
    <row r="650" spans="9:9" ht="12.5" x14ac:dyDescent="0.25">
      <c r="I650" s="11"/>
    </row>
    <row r="651" spans="9:9" ht="12.5" x14ac:dyDescent="0.25">
      <c r="I651" s="11"/>
    </row>
    <row r="652" spans="9:9" ht="12.5" x14ac:dyDescent="0.25">
      <c r="I652" s="11"/>
    </row>
    <row r="653" spans="9:9" ht="12.5" x14ac:dyDescent="0.25">
      <c r="I653" s="11"/>
    </row>
    <row r="654" spans="9:9" ht="12.5" x14ac:dyDescent="0.25">
      <c r="I654" s="11"/>
    </row>
    <row r="655" spans="9:9" ht="12.5" x14ac:dyDescent="0.25">
      <c r="I655" s="11"/>
    </row>
    <row r="656" spans="9:9" ht="12.5" x14ac:dyDescent="0.25">
      <c r="I656" s="11"/>
    </row>
    <row r="657" spans="9:9" ht="12.5" x14ac:dyDescent="0.25">
      <c r="I657" s="11"/>
    </row>
    <row r="658" spans="9:9" ht="12.5" x14ac:dyDescent="0.25">
      <c r="I658" s="11"/>
    </row>
    <row r="659" spans="9:9" ht="12.5" x14ac:dyDescent="0.25">
      <c r="I659" s="11"/>
    </row>
    <row r="660" spans="9:9" ht="12.5" x14ac:dyDescent="0.25">
      <c r="I660" s="11"/>
    </row>
    <row r="661" spans="9:9" ht="12.5" x14ac:dyDescent="0.25">
      <c r="I661" s="11"/>
    </row>
    <row r="662" spans="9:9" ht="12.5" x14ac:dyDescent="0.25">
      <c r="I662" s="11"/>
    </row>
    <row r="663" spans="9:9" ht="12.5" x14ac:dyDescent="0.25">
      <c r="I663" s="11"/>
    </row>
    <row r="664" spans="9:9" ht="12.5" x14ac:dyDescent="0.25">
      <c r="I664" s="11"/>
    </row>
    <row r="665" spans="9:9" ht="12.5" x14ac:dyDescent="0.25">
      <c r="I665" s="11"/>
    </row>
    <row r="666" spans="9:9" ht="12.5" x14ac:dyDescent="0.25">
      <c r="I666" s="11"/>
    </row>
    <row r="667" spans="9:9" ht="12.5" x14ac:dyDescent="0.25">
      <c r="I667" s="11"/>
    </row>
    <row r="668" spans="9:9" ht="12.5" x14ac:dyDescent="0.25">
      <c r="I668" s="11"/>
    </row>
    <row r="669" spans="9:9" ht="12.5" x14ac:dyDescent="0.25">
      <c r="I669" s="11"/>
    </row>
    <row r="670" spans="9:9" ht="12.5" x14ac:dyDescent="0.25">
      <c r="I670" s="11"/>
    </row>
    <row r="671" spans="9:9" ht="12.5" x14ac:dyDescent="0.25">
      <c r="I671" s="11"/>
    </row>
    <row r="672" spans="9:9" ht="12.5" x14ac:dyDescent="0.25">
      <c r="I672" s="11"/>
    </row>
    <row r="673" spans="9:9" ht="12.5" x14ac:dyDescent="0.25">
      <c r="I673" s="11"/>
    </row>
    <row r="674" spans="9:9" ht="12.5" x14ac:dyDescent="0.25">
      <c r="I674" s="11"/>
    </row>
    <row r="675" spans="9:9" ht="12.5" x14ac:dyDescent="0.25">
      <c r="I675" s="11"/>
    </row>
    <row r="676" spans="9:9" ht="12.5" x14ac:dyDescent="0.25">
      <c r="I676" s="11"/>
    </row>
    <row r="677" spans="9:9" ht="12.5" x14ac:dyDescent="0.25">
      <c r="I677" s="11"/>
    </row>
    <row r="678" spans="9:9" ht="12.5" x14ac:dyDescent="0.25">
      <c r="I678" s="11"/>
    </row>
    <row r="679" spans="9:9" ht="12.5" x14ac:dyDescent="0.25">
      <c r="I679" s="11"/>
    </row>
    <row r="680" spans="9:9" ht="12.5" x14ac:dyDescent="0.25">
      <c r="I680" s="11"/>
    </row>
    <row r="681" spans="9:9" ht="12.5" x14ac:dyDescent="0.25">
      <c r="I681" s="11"/>
    </row>
    <row r="682" spans="9:9" ht="12.5" x14ac:dyDescent="0.25">
      <c r="I682" s="11"/>
    </row>
    <row r="683" spans="9:9" ht="12.5" x14ac:dyDescent="0.25">
      <c r="I683" s="11"/>
    </row>
    <row r="684" spans="9:9" ht="12.5" x14ac:dyDescent="0.25">
      <c r="I684" s="11"/>
    </row>
    <row r="685" spans="9:9" ht="12.5" x14ac:dyDescent="0.25">
      <c r="I685" s="11"/>
    </row>
    <row r="686" spans="9:9" ht="12.5" x14ac:dyDescent="0.25">
      <c r="I686" s="11"/>
    </row>
    <row r="687" spans="9:9" ht="12.5" x14ac:dyDescent="0.25">
      <c r="I687" s="11"/>
    </row>
    <row r="688" spans="9:9" ht="12.5" x14ac:dyDescent="0.25">
      <c r="I688" s="11"/>
    </row>
    <row r="689" spans="9:9" ht="12.5" x14ac:dyDescent="0.25">
      <c r="I689" s="11"/>
    </row>
    <row r="690" spans="9:9" ht="12.5" x14ac:dyDescent="0.25">
      <c r="I690" s="11"/>
    </row>
    <row r="691" spans="9:9" ht="12.5" x14ac:dyDescent="0.25">
      <c r="I691" s="11"/>
    </row>
    <row r="692" spans="9:9" ht="12.5" x14ac:dyDescent="0.25">
      <c r="I692" s="11"/>
    </row>
    <row r="693" spans="9:9" ht="12.5" x14ac:dyDescent="0.25">
      <c r="I693" s="11"/>
    </row>
    <row r="694" spans="9:9" ht="12.5" x14ac:dyDescent="0.25">
      <c r="I694" s="11"/>
    </row>
    <row r="695" spans="9:9" ht="12.5" x14ac:dyDescent="0.25">
      <c r="I695" s="11"/>
    </row>
    <row r="696" spans="9:9" ht="12.5" x14ac:dyDescent="0.25">
      <c r="I696" s="11"/>
    </row>
    <row r="697" spans="9:9" ht="12.5" x14ac:dyDescent="0.25">
      <c r="I697" s="11"/>
    </row>
    <row r="698" spans="9:9" ht="12.5" x14ac:dyDescent="0.25">
      <c r="I698" s="11"/>
    </row>
    <row r="699" spans="9:9" ht="12.5" x14ac:dyDescent="0.25">
      <c r="I699" s="11"/>
    </row>
    <row r="700" spans="9:9" ht="12.5" x14ac:dyDescent="0.25">
      <c r="I700" s="11"/>
    </row>
    <row r="701" spans="9:9" ht="12.5" x14ac:dyDescent="0.25">
      <c r="I701" s="11"/>
    </row>
    <row r="702" spans="9:9" ht="12.5" x14ac:dyDescent="0.25">
      <c r="I702" s="11"/>
    </row>
    <row r="703" spans="9:9" ht="12.5" x14ac:dyDescent="0.25">
      <c r="I703" s="11"/>
    </row>
    <row r="704" spans="9:9" ht="12.5" x14ac:dyDescent="0.25">
      <c r="I704" s="11"/>
    </row>
    <row r="705" spans="9:9" ht="12.5" x14ac:dyDescent="0.25">
      <c r="I705" s="11"/>
    </row>
    <row r="706" spans="9:9" ht="12.5" x14ac:dyDescent="0.25">
      <c r="I706" s="11"/>
    </row>
    <row r="707" spans="9:9" ht="12.5" x14ac:dyDescent="0.25">
      <c r="I707" s="11"/>
    </row>
    <row r="708" spans="9:9" ht="12.5" x14ac:dyDescent="0.25">
      <c r="I708" s="11"/>
    </row>
    <row r="709" spans="9:9" ht="12.5" x14ac:dyDescent="0.25">
      <c r="I709" s="11"/>
    </row>
    <row r="710" spans="9:9" ht="12.5" x14ac:dyDescent="0.25">
      <c r="I710" s="11"/>
    </row>
    <row r="711" spans="9:9" ht="12.5" x14ac:dyDescent="0.25">
      <c r="I711" s="11"/>
    </row>
    <row r="712" spans="9:9" ht="12.5" x14ac:dyDescent="0.25">
      <c r="I712" s="11"/>
    </row>
    <row r="713" spans="9:9" ht="12.5" x14ac:dyDescent="0.25">
      <c r="I713" s="11"/>
    </row>
    <row r="714" spans="9:9" ht="12.5" x14ac:dyDescent="0.25">
      <c r="I714" s="11"/>
    </row>
    <row r="715" spans="9:9" ht="12.5" x14ac:dyDescent="0.25">
      <c r="I715" s="11"/>
    </row>
    <row r="716" spans="9:9" ht="12.5" x14ac:dyDescent="0.25">
      <c r="I716" s="11"/>
    </row>
    <row r="717" spans="9:9" ht="12.5" x14ac:dyDescent="0.25">
      <c r="I717" s="11"/>
    </row>
    <row r="718" spans="9:9" ht="12.5" x14ac:dyDescent="0.25">
      <c r="I718" s="11"/>
    </row>
    <row r="719" spans="9:9" ht="12.5" x14ac:dyDescent="0.25">
      <c r="I719" s="11"/>
    </row>
    <row r="720" spans="9:9" ht="12.5" x14ac:dyDescent="0.25">
      <c r="I720" s="11"/>
    </row>
    <row r="721" spans="9:9" ht="12.5" x14ac:dyDescent="0.25">
      <c r="I721" s="11"/>
    </row>
    <row r="722" spans="9:9" ht="12.5" x14ac:dyDescent="0.25">
      <c r="I722" s="11"/>
    </row>
    <row r="723" spans="9:9" ht="12.5" x14ac:dyDescent="0.25">
      <c r="I723" s="11"/>
    </row>
    <row r="724" spans="9:9" ht="12.5" x14ac:dyDescent="0.25">
      <c r="I724" s="11"/>
    </row>
    <row r="725" spans="9:9" ht="12.5" x14ac:dyDescent="0.25">
      <c r="I725" s="11"/>
    </row>
    <row r="726" spans="9:9" ht="12.5" x14ac:dyDescent="0.25">
      <c r="I726" s="11"/>
    </row>
    <row r="727" spans="9:9" ht="12.5" x14ac:dyDescent="0.25">
      <c r="I727" s="11"/>
    </row>
    <row r="728" spans="9:9" ht="12.5" x14ac:dyDescent="0.25">
      <c r="I728" s="11"/>
    </row>
    <row r="729" spans="9:9" ht="12.5" x14ac:dyDescent="0.25">
      <c r="I729" s="11"/>
    </row>
    <row r="730" spans="9:9" ht="12.5" x14ac:dyDescent="0.25">
      <c r="I730" s="11"/>
    </row>
    <row r="731" spans="9:9" ht="12.5" x14ac:dyDescent="0.25">
      <c r="I731" s="11"/>
    </row>
    <row r="732" spans="9:9" ht="12.5" x14ac:dyDescent="0.25">
      <c r="I732" s="11"/>
    </row>
    <row r="733" spans="9:9" ht="12.5" x14ac:dyDescent="0.25">
      <c r="I733" s="11"/>
    </row>
    <row r="734" spans="9:9" ht="12.5" x14ac:dyDescent="0.25">
      <c r="I734" s="11"/>
    </row>
    <row r="735" spans="9:9" ht="12.5" x14ac:dyDescent="0.25">
      <c r="I735" s="11"/>
    </row>
    <row r="736" spans="9:9" ht="12.5" x14ac:dyDescent="0.25">
      <c r="I736" s="11"/>
    </row>
    <row r="737" spans="9:9" ht="12.5" x14ac:dyDescent="0.25">
      <c r="I737" s="11"/>
    </row>
    <row r="738" spans="9:9" ht="12.5" x14ac:dyDescent="0.25">
      <c r="I738" s="11"/>
    </row>
    <row r="739" spans="9:9" ht="12.5" x14ac:dyDescent="0.25">
      <c r="I739" s="11"/>
    </row>
    <row r="740" spans="9:9" ht="12.5" x14ac:dyDescent="0.25">
      <c r="I740" s="11"/>
    </row>
    <row r="741" spans="9:9" ht="12.5" x14ac:dyDescent="0.25">
      <c r="I741" s="11"/>
    </row>
    <row r="742" spans="9:9" ht="12.5" x14ac:dyDescent="0.25">
      <c r="I742" s="11"/>
    </row>
    <row r="743" spans="9:9" ht="12.5" x14ac:dyDescent="0.25">
      <c r="I743" s="11"/>
    </row>
    <row r="744" spans="9:9" ht="12.5" x14ac:dyDescent="0.25">
      <c r="I744" s="11"/>
    </row>
    <row r="745" spans="9:9" ht="12.5" x14ac:dyDescent="0.25">
      <c r="I745" s="11"/>
    </row>
    <row r="746" spans="9:9" ht="12.5" x14ac:dyDescent="0.25">
      <c r="I746" s="11"/>
    </row>
    <row r="747" spans="9:9" ht="12.5" x14ac:dyDescent="0.25">
      <c r="I747" s="11"/>
    </row>
    <row r="748" spans="9:9" ht="12.5" x14ac:dyDescent="0.25">
      <c r="I748" s="11"/>
    </row>
    <row r="749" spans="9:9" ht="12.5" x14ac:dyDescent="0.25">
      <c r="I749" s="11"/>
    </row>
    <row r="750" spans="9:9" ht="12.5" x14ac:dyDescent="0.25">
      <c r="I750" s="11"/>
    </row>
    <row r="751" spans="9:9" ht="12.5" x14ac:dyDescent="0.25">
      <c r="I751" s="11"/>
    </row>
    <row r="752" spans="9:9" ht="12.5" x14ac:dyDescent="0.25">
      <c r="I752" s="11"/>
    </row>
    <row r="753" spans="9:9" ht="12.5" x14ac:dyDescent="0.25">
      <c r="I753" s="11"/>
    </row>
    <row r="754" spans="9:9" ht="12.5" x14ac:dyDescent="0.25">
      <c r="I754" s="11"/>
    </row>
    <row r="755" spans="9:9" ht="12.5" x14ac:dyDescent="0.25">
      <c r="I755" s="11"/>
    </row>
    <row r="756" spans="9:9" ht="12.5" x14ac:dyDescent="0.25">
      <c r="I756" s="11"/>
    </row>
    <row r="757" spans="9:9" ht="12.5" x14ac:dyDescent="0.25">
      <c r="I757" s="11"/>
    </row>
    <row r="758" spans="9:9" ht="12.5" x14ac:dyDescent="0.25">
      <c r="I758" s="11"/>
    </row>
    <row r="759" spans="9:9" ht="12.5" x14ac:dyDescent="0.25">
      <c r="I759" s="11"/>
    </row>
    <row r="760" spans="9:9" ht="12.5" x14ac:dyDescent="0.25">
      <c r="I760" s="11"/>
    </row>
    <row r="761" spans="9:9" ht="12.5" x14ac:dyDescent="0.25">
      <c r="I761" s="11"/>
    </row>
    <row r="762" spans="9:9" ht="12.5" x14ac:dyDescent="0.25">
      <c r="I762" s="11"/>
    </row>
    <row r="763" spans="9:9" ht="12.5" x14ac:dyDescent="0.25">
      <c r="I763" s="11"/>
    </row>
    <row r="764" spans="9:9" ht="12.5" x14ac:dyDescent="0.25">
      <c r="I764" s="11"/>
    </row>
    <row r="765" spans="9:9" ht="12.5" x14ac:dyDescent="0.25">
      <c r="I765" s="11"/>
    </row>
    <row r="766" spans="9:9" ht="12.5" x14ac:dyDescent="0.25">
      <c r="I766" s="11"/>
    </row>
    <row r="767" spans="9:9" ht="12.5" x14ac:dyDescent="0.25">
      <c r="I767" s="11"/>
    </row>
    <row r="768" spans="9:9" ht="12.5" x14ac:dyDescent="0.25">
      <c r="I768" s="11"/>
    </row>
    <row r="769" spans="9:9" ht="12.5" x14ac:dyDescent="0.25">
      <c r="I769" s="11"/>
    </row>
    <row r="770" spans="9:9" ht="12.5" x14ac:dyDescent="0.25">
      <c r="I770" s="11"/>
    </row>
    <row r="771" spans="9:9" ht="12.5" x14ac:dyDescent="0.25">
      <c r="I771" s="11"/>
    </row>
    <row r="772" spans="9:9" ht="12.5" x14ac:dyDescent="0.25">
      <c r="I772" s="11"/>
    </row>
    <row r="773" spans="9:9" ht="12.5" x14ac:dyDescent="0.25">
      <c r="I773" s="11"/>
    </row>
    <row r="774" spans="9:9" ht="12.5" x14ac:dyDescent="0.25">
      <c r="I774" s="11"/>
    </row>
    <row r="775" spans="9:9" ht="12.5" x14ac:dyDescent="0.25">
      <c r="I775" s="11"/>
    </row>
    <row r="776" spans="9:9" ht="12.5" x14ac:dyDescent="0.25">
      <c r="I776" s="11"/>
    </row>
    <row r="777" spans="9:9" ht="12.5" x14ac:dyDescent="0.25">
      <c r="I777" s="11"/>
    </row>
    <row r="778" spans="9:9" ht="12.5" x14ac:dyDescent="0.25">
      <c r="I778" s="11"/>
    </row>
    <row r="779" spans="9:9" ht="12.5" x14ac:dyDescent="0.25">
      <c r="I779" s="11"/>
    </row>
    <row r="780" spans="9:9" ht="12.5" x14ac:dyDescent="0.25">
      <c r="I780" s="11"/>
    </row>
    <row r="781" spans="9:9" ht="12.5" x14ac:dyDescent="0.25">
      <c r="I781" s="11"/>
    </row>
    <row r="782" spans="9:9" ht="12.5" x14ac:dyDescent="0.25">
      <c r="I782" s="11"/>
    </row>
    <row r="783" spans="9:9" ht="12.5" x14ac:dyDescent="0.25">
      <c r="I783" s="11"/>
    </row>
    <row r="784" spans="9:9" ht="12.5" x14ac:dyDescent="0.25">
      <c r="I784" s="11"/>
    </row>
    <row r="785" spans="9:9" ht="12.5" x14ac:dyDescent="0.25">
      <c r="I785" s="11"/>
    </row>
    <row r="786" spans="9:9" ht="12.5" x14ac:dyDescent="0.25">
      <c r="I786" s="11"/>
    </row>
    <row r="787" spans="9:9" ht="12.5" x14ac:dyDescent="0.25">
      <c r="I787" s="11"/>
    </row>
    <row r="788" spans="9:9" ht="12.5" x14ac:dyDescent="0.25">
      <c r="I788" s="11"/>
    </row>
    <row r="789" spans="9:9" ht="12.5" x14ac:dyDescent="0.25">
      <c r="I789" s="11"/>
    </row>
    <row r="790" spans="9:9" ht="12.5" x14ac:dyDescent="0.25">
      <c r="I790" s="11"/>
    </row>
    <row r="791" spans="9:9" ht="12.5" x14ac:dyDescent="0.25">
      <c r="I791" s="11"/>
    </row>
    <row r="792" spans="9:9" ht="12.5" x14ac:dyDescent="0.25">
      <c r="I792" s="11"/>
    </row>
    <row r="793" spans="9:9" ht="12.5" x14ac:dyDescent="0.25">
      <c r="I793" s="11"/>
    </row>
    <row r="794" spans="9:9" ht="12.5" x14ac:dyDescent="0.25">
      <c r="I794" s="11"/>
    </row>
    <row r="795" spans="9:9" ht="12.5" x14ac:dyDescent="0.25">
      <c r="I795" s="11"/>
    </row>
    <row r="796" spans="9:9" ht="12.5" x14ac:dyDescent="0.25">
      <c r="I796" s="11"/>
    </row>
    <row r="797" spans="9:9" ht="12.5" x14ac:dyDescent="0.25">
      <c r="I797" s="11"/>
    </row>
    <row r="798" spans="9:9" ht="12.5" x14ac:dyDescent="0.25">
      <c r="I798" s="11"/>
    </row>
    <row r="799" spans="9:9" ht="12.5" x14ac:dyDescent="0.25">
      <c r="I799" s="11"/>
    </row>
    <row r="800" spans="9:9" ht="12.5" x14ac:dyDescent="0.25">
      <c r="I800" s="11"/>
    </row>
    <row r="801" spans="9:9" ht="12.5" x14ac:dyDescent="0.25">
      <c r="I801" s="11"/>
    </row>
    <row r="802" spans="9:9" ht="12.5" x14ac:dyDescent="0.25">
      <c r="I802" s="11"/>
    </row>
    <row r="803" spans="9:9" ht="12.5" x14ac:dyDescent="0.25">
      <c r="I803" s="11"/>
    </row>
    <row r="804" spans="9:9" ht="12.5" x14ac:dyDescent="0.25">
      <c r="I804" s="11"/>
    </row>
    <row r="805" spans="9:9" ht="12.5" x14ac:dyDescent="0.25">
      <c r="I805" s="11"/>
    </row>
    <row r="806" spans="9:9" ht="12.5" x14ac:dyDescent="0.25">
      <c r="I806" s="11"/>
    </row>
    <row r="807" spans="9:9" ht="12.5" x14ac:dyDescent="0.25">
      <c r="I807" s="11"/>
    </row>
    <row r="808" spans="9:9" ht="12.5" x14ac:dyDescent="0.25">
      <c r="I808" s="11"/>
    </row>
    <row r="809" spans="9:9" ht="12.5" x14ac:dyDescent="0.25">
      <c r="I809" s="11"/>
    </row>
    <row r="810" spans="9:9" ht="12.5" x14ac:dyDescent="0.25">
      <c r="I810" s="11"/>
    </row>
    <row r="811" spans="9:9" ht="12.5" x14ac:dyDescent="0.25">
      <c r="I811" s="11"/>
    </row>
    <row r="812" spans="9:9" ht="12.5" x14ac:dyDescent="0.25">
      <c r="I812" s="11"/>
    </row>
    <row r="813" spans="9:9" ht="12.5" x14ac:dyDescent="0.25">
      <c r="I813" s="11"/>
    </row>
    <row r="814" spans="9:9" ht="12.5" x14ac:dyDescent="0.25">
      <c r="I814" s="11"/>
    </row>
    <row r="815" spans="9:9" ht="12.5" x14ac:dyDescent="0.25">
      <c r="I815" s="11"/>
    </row>
    <row r="816" spans="9:9" ht="12.5" x14ac:dyDescent="0.25">
      <c r="I816" s="11"/>
    </row>
    <row r="817" spans="9:9" ht="12.5" x14ac:dyDescent="0.25">
      <c r="I817" s="11"/>
    </row>
    <row r="818" spans="9:9" ht="12.5" x14ac:dyDescent="0.25">
      <c r="I818" s="11"/>
    </row>
    <row r="819" spans="9:9" ht="12.5" x14ac:dyDescent="0.25">
      <c r="I819" s="11"/>
    </row>
    <row r="820" spans="9:9" ht="12.5" x14ac:dyDescent="0.25">
      <c r="I820" s="11"/>
    </row>
    <row r="821" spans="9:9" ht="12.5" x14ac:dyDescent="0.25">
      <c r="I821" s="11"/>
    </row>
    <row r="822" spans="9:9" ht="12.5" x14ac:dyDescent="0.25">
      <c r="I822" s="11"/>
    </row>
    <row r="823" spans="9:9" ht="12.5" x14ac:dyDescent="0.25">
      <c r="I823" s="11"/>
    </row>
    <row r="824" spans="9:9" ht="12.5" x14ac:dyDescent="0.25">
      <c r="I824" s="11"/>
    </row>
    <row r="825" spans="9:9" ht="12.5" x14ac:dyDescent="0.25">
      <c r="I825" s="11"/>
    </row>
    <row r="826" spans="9:9" ht="12.5" x14ac:dyDescent="0.25">
      <c r="I826" s="11"/>
    </row>
    <row r="827" spans="9:9" ht="12.5" x14ac:dyDescent="0.25">
      <c r="I827" s="11"/>
    </row>
    <row r="828" spans="9:9" ht="12.5" x14ac:dyDescent="0.25">
      <c r="I828" s="11"/>
    </row>
    <row r="829" spans="9:9" ht="12.5" x14ac:dyDescent="0.25">
      <c r="I829" s="11"/>
    </row>
    <row r="830" spans="9:9" ht="12.5" x14ac:dyDescent="0.25">
      <c r="I830" s="11"/>
    </row>
    <row r="831" spans="9:9" ht="12.5" x14ac:dyDescent="0.25">
      <c r="I831" s="11"/>
    </row>
    <row r="832" spans="9:9" ht="12.5" x14ac:dyDescent="0.25">
      <c r="I832" s="11"/>
    </row>
    <row r="833" spans="9:9" ht="12.5" x14ac:dyDescent="0.25">
      <c r="I833" s="11"/>
    </row>
    <row r="834" spans="9:9" ht="12.5" x14ac:dyDescent="0.25">
      <c r="I834" s="11"/>
    </row>
    <row r="835" spans="9:9" ht="12.5" x14ac:dyDescent="0.25">
      <c r="I835" s="11"/>
    </row>
    <row r="836" spans="9:9" ht="12.5" x14ac:dyDescent="0.25">
      <c r="I836" s="11"/>
    </row>
    <row r="837" spans="9:9" ht="12.5" x14ac:dyDescent="0.25">
      <c r="I837" s="11"/>
    </row>
    <row r="838" spans="9:9" ht="12.5" x14ac:dyDescent="0.25">
      <c r="I838" s="11"/>
    </row>
    <row r="839" spans="9:9" ht="12.5" x14ac:dyDescent="0.25">
      <c r="I839" s="11"/>
    </row>
    <row r="840" spans="9:9" ht="12.5" x14ac:dyDescent="0.25">
      <c r="I840" s="11"/>
    </row>
    <row r="841" spans="9:9" ht="12.5" x14ac:dyDescent="0.25">
      <c r="I841" s="11"/>
    </row>
    <row r="842" spans="9:9" ht="12.5" x14ac:dyDescent="0.25">
      <c r="I842" s="11"/>
    </row>
    <row r="843" spans="9:9" ht="12.5" x14ac:dyDescent="0.25">
      <c r="I843" s="11"/>
    </row>
    <row r="844" spans="9:9" ht="12.5" x14ac:dyDescent="0.25">
      <c r="I844" s="11"/>
    </row>
    <row r="845" spans="9:9" ht="12.5" x14ac:dyDescent="0.25">
      <c r="I845" s="11"/>
    </row>
    <row r="846" spans="9:9" ht="12.5" x14ac:dyDescent="0.25">
      <c r="I846" s="11"/>
    </row>
    <row r="847" spans="9:9" ht="12.5" x14ac:dyDescent="0.25">
      <c r="I847" s="11"/>
    </row>
    <row r="848" spans="9:9" ht="12.5" x14ac:dyDescent="0.25">
      <c r="I848" s="11"/>
    </row>
    <row r="849" spans="9:9" ht="12.5" x14ac:dyDescent="0.25">
      <c r="I849" s="11"/>
    </row>
    <row r="850" spans="9:9" ht="12.5" x14ac:dyDescent="0.25">
      <c r="I850" s="11"/>
    </row>
    <row r="851" spans="9:9" ht="12.5" x14ac:dyDescent="0.25">
      <c r="I851" s="11"/>
    </row>
    <row r="852" spans="9:9" ht="12.5" x14ac:dyDescent="0.25">
      <c r="I852" s="11"/>
    </row>
    <row r="853" spans="9:9" ht="12.5" x14ac:dyDescent="0.25">
      <c r="I853" s="11"/>
    </row>
    <row r="854" spans="9:9" ht="12.5" x14ac:dyDescent="0.25">
      <c r="I854" s="11"/>
    </row>
    <row r="855" spans="9:9" ht="12.5" x14ac:dyDescent="0.25">
      <c r="I855" s="11"/>
    </row>
    <row r="856" spans="9:9" ht="12.5" x14ac:dyDescent="0.25">
      <c r="I856" s="11"/>
    </row>
    <row r="857" spans="9:9" ht="12.5" x14ac:dyDescent="0.25">
      <c r="I857" s="11"/>
    </row>
    <row r="858" spans="9:9" ht="12.5" x14ac:dyDescent="0.25">
      <c r="I858" s="11"/>
    </row>
    <row r="859" spans="9:9" ht="12.5" x14ac:dyDescent="0.25">
      <c r="I859" s="11"/>
    </row>
    <row r="860" spans="9:9" ht="12.5" x14ac:dyDescent="0.25">
      <c r="I860" s="11"/>
    </row>
    <row r="861" spans="9:9" ht="12.5" x14ac:dyDescent="0.25">
      <c r="I861" s="11"/>
    </row>
    <row r="862" spans="9:9" ht="12.5" x14ac:dyDescent="0.25">
      <c r="I862" s="11"/>
    </row>
    <row r="863" spans="9:9" ht="12.5" x14ac:dyDescent="0.25">
      <c r="I863" s="11"/>
    </row>
    <row r="864" spans="9:9" ht="12.5" x14ac:dyDescent="0.25">
      <c r="I864" s="11"/>
    </row>
    <row r="865" spans="9:9" ht="12.5" x14ac:dyDescent="0.25">
      <c r="I865" s="11"/>
    </row>
    <row r="866" spans="9:9" ht="12.5" x14ac:dyDescent="0.25">
      <c r="I866" s="11"/>
    </row>
    <row r="867" spans="9:9" ht="12.5" x14ac:dyDescent="0.25">
      <c r="I867" s="11"/>
    </row>
    <row r="868" spans="9:9" ht="12.5" x14ac:dyDescent="0.25">
      <c r="I868" s="11"/>
    </row>
    <row r="869" spans="9:9" ht="12.5" x14ac:dyDescent="0.25">
      <c r="I869" s="11"/>
    </row>
    <row r="870" spans="9:9" ht="12.5" x14ac:dyDescent="0.25">
      <c r="I870" s="11"/>
    </row>
    <row r="871" spans="9:9" ht="12.5" x14ac:dyDescent="0.25">
      <c r="I871" s="11"/>
    </row>
    <row r="872" spans="9:9" ht="12.5" x14ac:dyDescent="0.25">
      <c r="I872" s="11"/>
    </row>
    <row r="873" spans="9:9" ht="12.5" x14ac:dyDescent="0.25">
      <c r="I873" s="11"/>
    </row>
    <row r="874" spans="9:9" ht="12.5" x14ac:dyDescent="0.25">
      <c r="I874" s="11"/>
    </row>
    <row r="875" spans="9:9" ht="12.5" x14ac:dyDescent="0.25">
      <c r="I875" s="11"/>
    </row>
    <row r="876" spans="9:9" ht="12.5" x14ac:dyDescent="0.25">
      <c r="I876" s="11"/>
    </row>
    <row r="877" spans="9:9" ht="12.5" x14ac:dyDescent="0.25">
      <c r="I877" s="11"/>
    </row>
    <row r="878" spans="9:9" ht="12.5" x14ac:dyDescent="0.25">
      <c r="I878" s="11"/>
    </row>
    <row r="879" spans="9:9" ht="12.5" x14ac:dyDescent="0.25">
      <c r="I879" s="11"/>
    </row>
    <row r="880" spans="9:9" ht="12.5" x14ac:dyDescent="0.25">
      <c r="I880" s="11"/>
    </row>
    <row r="881" spans="9:9" ht="12.5" x14ac:dyDescent="0.25">
      <c r="I881" s="11"/>
    </row>
    <row r="882" spans="9:9" ht="12.5" x14ac:dyDescent="0.25">
      <c r="I882" s="11"/>
    </row>
    <row r="883" spans="9:9" ht="12.5" x14ac:dyDescent="0.25">
      <c r="I883" s="11"/>
    </row>
    <row r="884" spans="9:9" ht="12.5" x14ac:dyDescent="0.25">
      <c r="I884" s="11"/>
    </row>
    <row r="885" spans="9:9" ht="12.5" x14ac:dyDescent="0.25">
      <c r="I885" s="11"/>
    </row>
    <row r="886" spans="9:9" ht="12.5" x14ac:dyDescent="0.25">
      <c r="I886" s="11"/>
    </row>
    <row r="887" spans="9:9" ht="12.5" x14ac:dyDescent="0.25">
      <c r="I887" s="11"/>
    </row>
    <row r="888" spans="9:9" ht="12.5" x14ac:dyDescent="0.25">
      <c r="I888" s="11"/>
    </row>
    <row r="889" spans="9:9" ht="12.5" x14ac:dyDescent="0.25">
      <c r="I889" s="11"/>
    </row>
    <row r="890" spans="9:9" ht="12.5" x14ac:dyDescent="0.25">
      <c r="I890" s="11"/>
    </row>
    <row r="891" spans="9:9" ht="12.5" x14ac:dyDescent="0.25">
      <c r="I891" s="11"/>
    </row>
    <row r="892" spans="9:9" ht="12.5" x14ac:dyDescent="0.25">
      <c r="I892" s="11"/>
    </row>
    <row r="893" spans="9:9" ht="12.5" x14ac:dyDescent="0.25">
      <c r="I893" s="11"/>
    </row>
    <row r="894" spans="9:9" ht="12.5" x14ac:dyDescent="0.25">
      <c r="I894" s="11"/>
    </row>
    <row r="895" spans="9:9" ht="12.5" x14ac:dyDescent="0.25">
      <c r="I895" s="11"/>
    </row>
    <row r="896" spans="9:9" ht="12.5" x14ac:dyDescent="0.25">
      <c r="I896" s="11"/>
    </row>
    <row r="897" spans="9:9" ht="12.5" x14ac:dyDescent="0.25">
      <c r="I897" s="11"/>
    </row>
    <row r="898" spans="9:9" ht="12.5" x14ac:dyDescent="0.25">
      <c r="I898" s="11"/>
    </row>
    <row r="899" spans="9:9" ht="12.5" x14ac:dyDescent="0.25">
      <c r="I899" s="11"/>
    </row>
    <row r="900" spans="9:9" ht="12.5" x14ac:dyDescent="0.25">
      <c r="I900" s="11"/>
    </row>
    <row r="901" spans="9:9" ht="12.5" x14ac:dyDescent="0.25">
      <c r="I901" s="11"/>
    </row>
    <row r="902" spans="9:9" ht="12.5" x14ac:dyDescent="0.25">
      <c r="I902" s="11"/>
    </row>
    <row r="903" spans="9:9" ht="12.5" x14ac:dyDescent="0.25">
      <c r="I903" s="11"/>
    </row>
    <row r="904" spans="9:9" ht="12.5" x14ac:dyDescent="0.25">
      <c r="I904" s="11"/>
    </row>
    <row r="905" spans="9:9" ht="12.5" x14ac:dyDescent="0.25">
      <c r="I905" s="11"/>
    </row>
    <row r="906" spans="9:9" ht="12.5" x14ac:dyDescent="0.25">
      <c r="I906" s="11"/>
    </row>
    <row r="907" spans="9:9" ht="12.5" x14ac:dyDescent="0.25">
      <c r="I907" s="11"/>
    </row>
    <row r="908" spans="9:9" ht="12.5" x14ac:dyDescent="0.25">
      <c r="I908" s="11"/>
    </row>
    <row r="909" spans="9:9" ht="12.5" x14ac:dyDescent="0.25">
      <c r="I909" s="11"/>
    </row>
    <row r="910" spans="9:9" ht="12.5" x14ac:dyDescent="0.25">
      <c r="I910" s="11"/>
    </row>
    <row r="911" spans="9:9" ht="12.5" x14ac:dyDescent="0.25">
      <c r="I911" s="11"/>
    </row>
    <row r="912" spans="9:9" ht="12.5" x14ac:dyDescent="0.25">
      <c r="I912" s="11"/>
    </row>
    <row r="913" spans="9:9" ht="12.5" x14ac:dyDescent="0.25">
      <c r="I913" s="11"/>
    </row>
    <row r="914" spans="9:9" ht="12.5" x14ac:dyDescent="0.25">
      <c r="I914" s="11"/>
    </row>
    <row r="915" spans="9:9" ht="12.5" x14ac:dyDescent="0.25">
      <c r="I915" s="11"/>
    </row>
    <row r="916" spans="9:9" ht="12.5" x14ac:dyDescent="0.25">
      <c r="I916" s="11"/>
    </row>
    <row r="917" spans="9:9" ht="12.5" x14ac:dyDescent="0.25">
      <c r="I917" s="11"/>
    </row>
    <row r="918" spans="9:9" ht="12.5" x14ac:dyDescent="0.25">
      <c r="I918" s="11"/>
    </row>
    <row r="919" spans="9:9" ht="12.5" x14ac:dyDescent="0.25">
      <c r="I919" s="11"/>
    </row>
    <row r="920" spans="9:9" ht="12.5" x14ac:dyDescent="0.25">
      <c r="I920" s="11"/>
    </row>
    <row r="921" spans="9:9" ht="12.5" x14ac:dyDescent="0.25">
      <c r="I921" s="11"/>
    </row>
    <row r="922" spans="9:9" ht="12.5" x14ac:dyDescent="0.25">
      <c r="I922" s="11"/>
    </row>
    <row r="923" spans="9:9" ht="12.5" x14ac:dyDescent="0.25">
      <c r="I923" s="11"/>
    </row>
    <row r="924" spans="9:9" ht="12.5" x14ac:dyDescent="0.25">
      <c r="I924" s="11"/>
    </row>
    <row r="925" spans="9:9" ht="12.5" x14ac:dyDescent="0.25">
      <c r="I925" s="11"/>
    </row>
    <row r="926" spans="9:9" ht="12.5" x14ac:dyDescent="0.25">
      <c r="I926" s="11"/>
    </row>
    <row r="927" spans="9:9" ht="12.5" x14ac:dyDescent="0.25">
      <c r="I927" s="11"/>
    </row>
    <row r="928" spans="9:9" ht="12.5" x14ac:dyDescent="0.25">
      <c r="I928" s="11"/>
    </row>
    <row r="929" spans="9:9" ht="12.5" x14ac:dyDescent="0.25">
      <c r="I929" s="11"/>
    </row>
    <row r="930" spans="9:9" ht="12.5" x14ac:dyDescent="0.25">
      <c r="I930" s="11"/>
    </row>
    <row r="931" spans="9:9" ht="12.5" x14ac:dyDescent="0.25">
      <c r="I931" s="11"/>
    </row>
    <row r="932" spans="9:9" ht="12.5" x14ac:dyDescent="0.25">
      <c r="I932" s="11"/>
    </row>
    <row r="933" spans="9:9" ht="12.5" x14ac:dyDescent="0.25">
      <c r="I933" s="11"/>
    </row>
    <row r="934" spans="9:9" ht="12.5" x14ac:dyDescent="0.25">
      <c r="I934" s="11"/>
    </row>
    <row r="935" spans="9:9" ht="12.5" x14ac:dyDescent="0.25">
      <c r="I935" s="11"/>
    </row>
    <row r="936" spans="9:9" ht="12.5" x14ac:dyDescent="0.25">
      <c r="I936" s="11"/>
    </row>
    <row r="937" spans="9:9" ht="12.5" x14ac:dyDescent="0.25">
      <c r="I937" s="11"/>
    </row>
    <row r="938" spans="9:9" ht="12.5" x14ac:dyDescent="0.25">
      <c r="I938" s="11"/>
    </row>
    <row r="939" spans="9:9" ht="12.5" x14ac:dyDescent="0.25">
      <c r="I939" s="11"/>
    </row>
    <row r="940" spans="9:9" ht="12.5" x14ac:dyDescent="0.25">
      <c r="I940" s="11"/>
    </row>
    <row r="941" spans="9:9" ht="12.5" x14ac:dyDescent="0.25">
      <c r="I941" s="11"/>
    </row>
    <row r="942" spans="9:9" ht="12.5" x14ac:dyDescent="0.25">
      <c r="I942" s="11"/>
    </row>
    <row r="943" spans="9:9" ht="12.5" x14ac:dyDescent="0.25">
      <c r="I943" s="11"/>
    </row>
    <row r="944" spans="9:9" ht="12.5" x14ac:dyDescent="0.25">
      <c r="I944" s="11"/>
    </row>
    <row r="945" spans="9:9" ht="12.5" x14ac:dyDescent="0.25">
      <c r="I945" s="11"/>
    </row>
    <row r="946" spans="9:9" ht="12.5" x14ac:dyDescent="0.25">
      <c r="I946" s="11"/>
    </row>
    <row r="947" spans="9:9" ht="12.5" x14ac:dyDescent="0.25">
      <c r="I947" s="11"/>
    </row>
    <row r="948" spans="9:9" ht="12.5" x14ac:dyDescent="0.25">
      <c r="I948" s="11"/>
    </row>
    <row r="949" spans="9:9" ht="12.5" x14ac:dyDescent="0.25">
      <c r="I949" s="11"/>
    </row>
    <row r="950" spans="9:9" ht="12.5" x14ac:dyDescent="0.25">
      <c r="I950" s="11"/>
    </row>
    <row r="951" spans="9:9" ht="12.5" x14ac:dyDescent="0.25">
      <c r="I951" s="11"/>
    </row>
    <row r="952" spans="9:9" ht="12.5" x14ac:dyDescent="0.25">
      <c r="I952" s="11"/>
    </row>
    <row r="953" spans="9:9" ht="12.5" x14ac:dyDescent="0.25">
      <c r="I953" s="11"/>
    </row>
    <row r="954" spans="9:9" ht="12.5" x14ac:dyDescent="0.25">
      <c r="I954" s="11"/>
    </row>
    <row r="955" spans="9:9" ht="12.5" x14ac:dyDescent="0.25">
      <c r="I955" s="11"/>
    </row>
    <row r="956" spans="9:9" ht="12.5" x14ac:dyDescent="0.25">
      <c r="I956" s="11"/>
    </row>
    <row r="957" spans="9:9" ht="12.5" x14ac:dyDescent="0.25">
      <c r="I957" s="11"/>
    </row>
    <row r="958" spans="9:9" ht="12.5" x14ac:dyDescent="0.25">
      <c r="I958" s="11"/>
    </row>
    <row r="959" spans="9:9" ht="12.5" x14ac:dyDescent="0.25">
      <c r="I959" s="11"/>
    </row>
    <row r="960" spans="9:9" ht="12.5" x14ac:dyDescent="0.25">
      <c r="I960" s="11"/>
    </row>
    <row r="961" spans="9:9" ht="12.5" x14ac:dyDescent="0.25">
      <c r="I961" s="11"/>
    </row>
    <row r="962" spans="9:9" ht="12.5" x14ac:dyDescent="0.25">
      <c r="I962" s="11"/>
    </row>
    <row r="963" spans="9:9" ht="12.5" x14ac:dyDescent="0.25">
      <c r="I963" s="11"/>
    </row>
    <row r="964" spans="9:9" ht="12.5" x14ac:dyDescent="0.25">
      <c r="I964" s="11"/>
    </row>
    <row r="965" spans="9:9" ht="12.5" x14ac:dyDescent="0.25">
      <c r="I965" s="11"/>
    </row>
    <row r="966" spans="9:9" ht="12.5" x14ac:dyDescent="0.25">
      <c r="I966" s="11"/>
    </row>
    <row r="967" spans="9:9" ht="12.5" x14ac:dyDescent="0.25">
      <c r="I967" s="11"/>
    </row>
    <row r="968" spans="9:9" ht="12.5" x14ac:dyDescent="0.25">
      <c r="I968" s="11"/>
    </row>
    <row r="969" spans="9:9" ht="12.5" x14ac:dyDescent="0.25">
      <c r="I969" s="11"/>
    </row>
    <row r="970" spans="9:9" ht="12.5" x14ac:dyDescent="0.25">
      <c r="I970" s="11"/>
    </row>
    <row r="971" spans="9:9" ht="12.5" x14ac:dyDescent="0.25">
      <c r="I971" s="11"/>
    </row>
    <row r="972" spans="9:9" ht="12.5" x14ac:dyDescent="0.25">
      <c r="I972" s="11"/>
    </row>
    <row r="973" spans="9:9" ht="12.5" x14ac:dyDescent="0.25">
      <c r="I973" s="11"/>
    </row>
    <row r="974" spans="9:9" ht="12.5" x14ac:dyDescent="0.25">
      <c r="I974" s="11"/>
    </row>
    <row r="975" spans="9:9" ht="12.5" x14ac:dyDescent="0.25">
      <c r="I975" s="11"/>
    </row>
    <row r="976" spans="9:9" ht="12.5" x14ac:dyDescent="0.25">
      <c r="I976" s="11"/>
    </row>
    <row r="977" spans="9:9" ht="12.5" x14ac:dyDescent="0.25">
      <c r="I977" s="11"/>
    </row>
    <row r="978" spans="9:9" ht="12.5" x14ac:dyDescent="0.25">
      <c r="I978" s="11"/>
    </row>
    <row r="979" spans="9:9" ht="12.5" x14ac:dyDescent="0.25">
      <c r="I979" s="11"/>
    </row>
    <row r="980" spans="9:9" ht="12.5" x14ac:dyDescent="0.25">
      <c r="I980" s="11"/>
    </row>
    <row r="981" spans="9:9" ht="12.5" x14ac:dyDescent="0.25">
      <c r="I981" s="11"/>
    </row>
    <row r="982" spans="9:9" ht="12.5" x14ac:dyDescent="0.25">
      <c r="I982" s="11"/>
    </row>
    <row r="983" spans="9:9" ht="12.5" x14ac:dyDescent="0.25">
      <c r="I983" s="11"/>
    </row>
    <row r="984" spans="9:9" ht="12.5" x14ac:dyDescent="0.25">
      <c r="I984" s="11"/>
    </row>
    <row r="985" spans="9:9" ht="12.5" x14ac:dyDescent="0.25">
      <c r="I985" s="11"/>
    </row>
    <row r="986" spans="9:9" ht="12.5" x14ac:dyDescent="0.25">
      <c r="I986" s="11"/>
    </row>
    <row r="987" spans="9:9" ht="12.5" x14ac:dyDescent="0.25">
      <c r="I987" s="11"/>
    </row>
    <row r="988" spans="9:9" ht="12.5" x14ac:dyDescent="0.25">
      <c r="I988" s="11"/>
    </row>
    <row r="989" spans="9:9" ht="12.5" x14ac:dyDescent="0.25">
      <c r="I989" s="11"/>
    </row>
    <row r="990" spans="9:9" ht="12.5" x14ac:dyDescent="0.25">
      <c r="I990" s="11"/>
    </row>
    <row r="991" spans="9:9" ht="12.5" x14ac:dyDescent="0.25">
      <c r="I991" s="11"/>
    </row>
    <row r="992" spans="9:9" ht="12.5" x14ac:dyDescent="0.25">
      <c r="I992" s="11"/>
    </row>
    <row r="993" spans="9:9" ht="12.5" x14ac:dyDescent="0.25">
      <c r="I993" s="11"/>
    </row>
    <row r="994" spans="9:9" ht="12.5" x14ac:dyDescent="0.25">
      <c r="I994" s="11"/>
    </row>
    <row r="995" spans="9:9" ht="12.5" x14ac:dyDescent="0.25">
      <c r="I995" s="11"/>
    </row>
    <row r="996" spans="9:9" ht="12.5" x14ac:dyDescent="0.25">
      <c r="I996" s="11"/>
    </row>
    <row r="997" spans="9:9" ht="12.5" x14ac:dyDescent="0.25">
      <c r="I997" s="11"/>
    </row>
    <row r="998" spans="9:9" ht="12.5" x14ac:dyDescent="0.25">
      <c r="I998" s="11"/>
    </row>
    <row r="999" spans="9:9" ht="12.5" x14ac:dyDescent="0.25">
      <c r="I999" s="11"/>
    </row>
    <row r="1000" spans="9:9" ht="12.5" x14ac:dyDescent="0.25">
      <c r="I1000" s="11"/>
    </row>
    <row r="1001" spans="9:9" ht="12.5" x14ac:dyDescent="0.25">
      <c r="I1001" s="11"/>
    </row>
  </sheetData>
  <autoFilter ref="A1:T2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baseColWidth="10" defaultColWidth="12.6328125" defaultRowHeight="15.75" customHeight="1" x14ac:dyDescent="0.25"/>
  <cols>
    <col min="1" max="1" width="41.6328125" customWidth="1"/>
    <col min="2" max="2" width="11.08984375" customWidth="1"/>
    <col min="3" max="3" width="23" customWidth="1"/>
    <col min="4" max="4" width="16.36328125" customWidth="1"/>
    <col min="5" max="7" width="12.08984375" customWidth="1"/>
    <col min="8" max="8" width="13.6328125" customWidth="1"/>
    <col min="9" max="9" width="13" customWidth="1"/>
  </cols>
  <sheetData>
    <row r="1" spans="1:26" ht="15.75" customHeight="1" x14ac:dyDescent="0.3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5.75" customHeight="1" x14ac:dyDescent="0.35">
      <c r="A2" s="26" t="s">
        <v>9</v>
      </c>
      <c r="B2" s="27"/>
      <c r="C2" s="26" t="s">
        <v>10</v>
      </c>
      <c r="D2" s="28"/>
      <c r="E2" s="29"/>
      <c r="F2" s="29"/>
      <c r="G2" s="28"/>
      <c r="H2" s="30" t="s">
        <v>11</v>
      </c>
      <c r="I2" s="31">
        <v>45722</v>
      </c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15.75" customHeight="1" x14ac:dyDescent="0.35">
      <c r="A3" s="26" t="s">
        <v>12</v>
      </c>
      <c r="B3" s="32" t="s">
        <v>13</v>
      </c>
      <c r="C3" s="26" t="s">
        <v>14</v>
      </c>
      <c r="D3" s="26" t="s">
        <v>15</v>
      </c>
      <c r="E3" s="28"/>
      <c r="F3" s="28"/>
      <c r="G3" s="28"/>
      <c r="H3" s="30" t="s">
        <v>16</v>
      </c>
      <c r="I3" s="31">
        <v>45734</v>
      </c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5.75" customHeight="1" x14ac:dyDescent="0.35">
      <c r="A4" s="26" t="s">
        <v>12</v>
      </c>
      <c r="B4" s="32" t="s">
        <v>17</v>
      </c>
      <c r="C4" s="26" t="s">
        <v>14</v>
      </c>
      <c r="D4" s="26" t="s">
        <v>15</v>
      </c>
      <c r="E4" s="30" t="s">
        <v>18</v>
      </c>
      <c r="F4" s="30" t="s">
        <v>19</v>
      </c>
      <c r="G4" s="30" t="s">
        <v>20</v>
      </c>
      <c r="H4" s="30" t="s">
        <v>21</v>
      </c>
      <c r="I4" s="31">
        <v>45734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15.75" customHeight="1" x14ac:dyDescent="0.35">
      <c r="A5" s="26" t="s">
        <v>12</v>
      </c>
      <c r="B5" s="32" t="s">
        <v>22</v>
      </c>
      <c r="C5" s="26" t="s">
        <v>23</v>
      </c>
      <c r="D5" s="26" t="s">
        <v>24</v>
      </c>
      <c r="E5" s="30" t="s">
        <v>25</v>
      </c>
      <c r="F5" s="30" t="s">
        <v>26</v>
      </c>
      <c r="G5" s="30" t="s">
        <v>27</v>
      </c>
      <c r="H5" s="30" t="s">
        <v>28</v>
      </c>
      <c r="I5" s="31">
        <v>45727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15.75" customHeight="1" x14ac:dyDescent="0.35">
      <c r="A6" s="26" t="s">
        <v>12</v>
      </c>
      <c r="B6" s="32" t="s">
        <v>22</v>
      </c>
      <c r="C6" s="26" t="s">
        <v>23</v>
      </c>
      <c r="D6" s="26" t="s">
        <v>29</v>
      </c>
      <c r="E6" s="30" t="s">
        <v>30</v>
      </c>
      <c r="F6" s="30" t="s">
        <v>31</v>
      </c>
      <c r="G6" s="30" t="s">
        <v>32</v>
      </c>
      <c r="H6" s="30" t="s">
        <v>33</v>
      </c>
      <c r="I6" s="31">
        <v>45727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5.75" customHeight="1" x14ac:dyDescent="0.35">
      <c r="A7" s="26" t="s">
        <v>12</v>
      </c>
      <c r="B7" s="32" t="s">
        <v>22</v>
      </c>
      <c r="C7" s="26" t="s">
        <v>23</v>
      </c>
      <c r="D7" s="26" t="s">
        <v>34</v>
      </c>
      <c r="E7" s="30" t="s">
        <v>35</v>
      </c>
      <c r="F7" s="30" t="s">
        <v>36</v>
      </c>
      <c r="G7" s="30" t="s">
        <v>37</v>
      </c>
      <c r="H7" s="30" t="s">
        <v>38</v>
      </c>
      <c r="I7" s="31">
        <v>45733</v>
      </c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5.75" customHeight="1" x14ac:dyDescent="0.35">
      <c r="A8" s="26" t="s">
        <v>12</v>
      </c>
      <c r="B8" s="32" t="s">
        <v>39</v>
      </c>
      <c r="C8" s="26" t="s">
        <v>14</v>
      </c>
      <c r="D8" s="26" t="s">
        <v>15</v>
      </c>
      <c r="E8" s="28"/>
      <c r="F8" s="28"/>
      <c r="G8" s="28"/>
      <c r="H8" s="30" t="s">
        <v>40</v>
      </c>
      <c r="I8" s="31">
        <v>45734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5.75" customHeight="1" x14ac:dyDescent="0.35">
      <c r="A9" s="26" t="s">
        <v>12</v>
      </c>
      <c r="B9" s="32" t="s">
        <v>41</v>
      </c>
      <c r="C9" s="26" t="s">
        <v>42</v>
      </c>
      <c r="D9" s="26" t="s">
        <v>43</v>
      </c>
      <c r="E9" s="30" t="s">
        <v>44</v>
      </c>
      <c r="F9" s="30" t="s">
        <v>45</v>
      </c>
      <c r="G9" s="28"/>
      <c r="H9" s="30" t="s">
        <v>46</v>
      </c>
      <c r="I9" s="31">
        <v>45737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15.75" customHeight="1" x14ac:dyDescent="0.35">
      <c r="A10" s="26" t="s">
        <v>12</v>
      </c>
      <c r="B10" s="32" t="s">
        <v>47</v>
      </c>
      <c r="C10" s="26" t="s">
        <v>48</v>
      </c>
      <c r="D10" s="26" t="s">
        <v>49</v>
      </c>
      <c r="E10" s="30" t="s">
        <v>50</v>
      </c>
      <c r="F10" s="30" t="s">
        <v>51</v>
      </c>
      <c r="G10" s="30" t="s">
        <v>52</v>
      </c>
      <c r="H10" s="30" t="s">
        <v>53</v>
      </c>
      <c r="I10" s="31">
        <v>45722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15.75" customHeight="1" x14ac:dyDescent="0.35">
      <c r="A11" s="26" t="s">
        <v>12</v>
      </c>
      <c r="B11" s="32" t="s">
        <v>54</v>
      </c>
      <c r="C11" s="26" t="s">
        <v>14</v>
      </c>
      <c r="D11" s="26" t="s">
        <v>55</v>
      </c>
      <c r="E11" s="30" t="s">
        <v>56</v>
      </c>
      <c r="F11" s="30" t="s">
        <v>57</v>
      </c>
      <c r="G11" s="28"/>
      <c r="H11" s="30" t="s">
        <v>58</v>
      </c>
      <c r="I11" s="31">
        <v>45754</v>
      </c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5.75" customHeight="1" x14ac:dyDescent="0.35">
      <c r="A12" s="26" t="s">
        <v>12</v>
      </c>
      <c r="B12" s="27"/>
      <c r="C12" s="26" t="s">
        <v>59</v>
      </c>
      <c r="D12" s="28"/>
      <c r="E12" s="29"/>
      <c r="F12" s="29"/>
      <c r="G12" s="28"/>
      <c r="H12" s="30" t="s">
        <v>60</v>
      </c>
      <c r="I12" s="31">
        <v>45737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5.75" customHeight="1" x14ac:dyDescent="0.35">
      <c r="A13" s="26" t="s">
        <v>12</v>
      </c>
      <c r="B13" s="27"/>
      <c r="C13" s="26" t="s">
        <v>10</v>
      </c>
      <c r="D13" s="28"/>
      <c r="E13" s="29"/>
      <c r="F13" s="29"/>
      <c r="G13" s="28"/>
      <c r="H13" s="30" t="s">
        <v>11</v>
      </c>
      <c r="I13" s="31">
        <v>45722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5.75" customHeight="1" x14ac:dyDescent="0.35">
      <c r="A14" s="26" t="s">
        <v>61</v>
      </c>
      <c r="B14" s="32" t="s">
        <v>22</v>
      </c>
      <c r="C14" s="26" t="s">
        <v>23</v>
      </c>
      <c r="D14" s="26" t="s">
        <v>62</v>
      </c>
      <c r="E14" s="30" t="s">
        <v>63</v>
      </c>
      <c r="F14" s="30" t="s">
        <v>64</v>
      </c>
      <c r="G14" s="30" t="s">
        <v>65</v>
      </c>
      <c r="H14" s="30" t="s">
        <v>66</v>
      </c>
      <c r="I14" s="31">
        <v>45727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5.75" customHeight="1" x14ac:dyDescent="0.35">
      <c r="A15" s="26" t="s">
        <v>61</v>
      </c>
      <c r="B15" s="32" t="s">
        <v>22</v>
      </c>
      <c r="C15" s="26" t="s">
        <v>23</v>
      </c>
      <c r="D15" s="26" t="s">
        <v>67</v>
      </c>
      <c r="E15" s="30" t="s">
        <v>68</v>
      </c>
      <c r="F15" s="30" t="s">
        <v>69</v>
      </c>
      <c r="G15" s="30" t="s">
        <v>70</v>
      </c>
      <c r="H15" s="30" t="s">
        <v>71</v>
      </c>
      <c r="I15" s="31">
        <v>45727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5.75" customHeight="1" x14ac:dyDescent="0.35">
      <c r="A16" s="26" t="s">
        <v>61</v>
      </c>
      <c r="B16" s="32" t="s">
        <v>39</v>
      </c>
      <c r="C16" s="26" t="s">
        <v>72</v>
      </c>
      <c r="D16" s="28"/>
      <c r="E16" s="30" t="s">
        <v>73</v>
      </c>
      <c r="F16" s="28"/>
      <c r="G16" s="28"/>
      <c r="H16" s="30" t="s">
        <v>73</v>
      </c>
      <c r="I16" s="31">
        <v>45730</v>
      </c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5.75" customHeight="1" x14ac:dyDescent="0.35">
      <c r="A17" s="26" t="s">
        <v>61</v>
      </c>
      <c r="B17" s="32" t="s">
        <v>41</v>
      </c>
      <c r="C17" s="26" t="s">
        <v>42</v>
      </c>
      <c r="D17" s="26" t="s">
        <v>43</v>
      </c>
      <c r="E17" s="30" t="s">
        <v>74</v>
      </c>
      <c r="F17" s="30" t="s">
        <v>75</v>
      </c>
      <c r="G17" s="28"/>
      <c r="H17" s="30" t="s">
        <v>76</v>
      </c>
      <c r="I17" s="31">
        <v>45737</v>
      </c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5.75" customHeight="1" x14ac:dyDescent="0.35">
      <c r="A18" s="26" t="s">
        <v>61</v>
      </c>
      <c r="B18" s="32" t="s">
        <v>47</v>
      </c>
      <c r="C18" s="26" t="s">
        <v>48</v>
      </c>
      <c r="D18" s="26" t="s">
        <v>77</v>
      </c>
      <c r="E18" s="30" t="s">
        <v>78</v>
      </c>
      <c r="F18" s="30" t="s">
        <v>79</v>
      </c>
      <c r="G18" s="30" t="s">
        <v>80</v>
      </c>
      <c r="H18" s="30" t="s">
        <v>81</v>
      </c>
      <c r="I18" s="31">
        <v>45722</v>
      </c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5.75" customHeight="1" x14ac:dyDescent="0.35">
      <c r="A19" s="26" t="s">
        <v>61</v>
      </c>
      <c r="B19" s="32" t="s">
        <v>54</v>
      </c>
      <c r="C19" s="26" t="s">
        <v>82</v>
      </c>
      <c r="D19" s="28"/>
      <c r="E19" s="28"/>
      <c r="F19" s="30" t="s">
        <v>80</v>
      </c>
      <c r="G19" s="28"/>
      <c r="H19" s="30" t="s">
        <v>83</v>
      </c>
      <c r="I19" s="31">
        <v>45763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5.75" customHeight="1" x14ac:dyDescent="0.35">
      <c r="A20" s="26" t="s">
        <v>61</v>
      </c>
      <c r="B20" s="27"/>
      <c r="C20" s="26" t="s">
        <v>10</v>
      </c>
      <c r="D20" s="28"/>
      <c r="E20" s="29"/>
      <c r="F20" s="29"/>
      <c r="G20" s="28"/>
      <c r="H20" s="30" t="s">
        <v>11</v>
      </c>
      <c r="I20" s="31">
        <v>45722</v>
      </c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5.75" customHeight="1" x14ac:dyDescent="0.35">
      <c r="A21" s="26" t="s">
        <v>84</v>
      </c>
      <c r="B21" s="32" t="s">
        <v>41</v>
      </c>
      <c r="C21" s="26" t="s">
        <v>42</v>
      </c>
      <c r="D21" s="26" t="s">
        <v>43</v>
      </c>
      <c r="E21" s="30" t="s">
        <v>74</v>
      </c>
      <c r="F21" s="30" t="s">
        <v>75</v>
      </c>
      <c r="G21" s="28"/>
      <c r="H21" s="30" t="s">
        <v>76</v>
      </c>
      <c r="I21" s="31">
        <v>45737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4.5" x14ac:dyDescent="0.35">
      <c r="A22" s="26" t="s">
        <v>84</v>
      </c>
      <c r="B22" s="32" t="s">
        <v>47</v>
      </c>
      <c r="C22" s="26" t="s">
        <v>48</v>
      </c>
      <c r="D22" s="26" t="s">
        <v>85</v>
      </c>
      <c r="E22" s="30" t="s">
        <v>86</v>
      </c>
      <c r="F22" s="30" t="s">
        <v>87</v>
      </c>
      <c r="G22" s="28"/>
      <c r="H22" s="30" t="s">
        <v>88</v>
      </c>
      <c r="I22" s="31">
        <v>45722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4.5" x14ac:dyDescent="0.35">
      <c r="A23" s="26" t="s">
        <v>84</v>
      </c>
      <c r="B23" s="32" t="s">
        <v>54</v>
      </c>
      <c r="C23" s="26" t="s">
        <v>89</v>
      </c>
      <c r="D23" s="26" t="s">
        <v>90</v>
      </c>
      <c r="E23" s="30" t="s">
        <v>91</v>
      </c>
      <c r="F23" s="30" t="s">
        <v>92</v>
      </c>
      <c r="G23" s="30" t="s">
        <v>93</v>
      </c>
      <c r="H23" s="30" t="s">
        <v>94</v>
      </c>
      <c r="I23" s="31">
        <v>45761</v>
      </c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4.5" x14ac:dyDescent="0.35">
      <c r="A24" s="26" t="s">
        <v>84</v>
      </c>
      <c r="B24" s="27"/>
      <c r="C24" s="26" t="s">
        <v>59</v>
      </c>
      <c r="D24" s="28"/>
      <c r="E24" s="29"/>
      <c r="F24" s="29"/>
      <c r="G24" s="28"/>
      <c r="H24" s="30" t="s">
        <v>95</v>
      </c>
      <c r="I24" s="31">
        <v>45737</v>
      </c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4.5" x14ac:dyDescent="0.35">
      <c r="A25" s="26" t="s">
        <v>84</v>
      </c>
      <c r="B25" s="27"/>
      <c r="C25" s="26" t="s">
        <v>59</v>
      </c>
      <c r="D25" s="28"/>
      <c r="E25" s="29"/>
      <c r="F25" s="29"/>
      <c r="G25" s="28"/>
      <c r="H25" s="30" t="s">
        <v>96</v>
      </c>
      <c r="I25" s="31">
        <v>45737</v>
      </c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4.5" x14ac:dyDescent="0.35">
      <c r="A26" s="26" t="s">
        <v>97</v>
      </c>
      <c r="B26" s="32" t="s">
        <v>22</v>
      </c>
      <c r="C26" s="26" t="s">
        <v>23</v>
      </c>
      <c r="D26" s="26" t="s">
        <v>98</v>
      </c>
      <c r="E26" s="30" t="s">
        <v>99</v>
      </c>
      <c r="F26" s="30" t="s">
        <v>100</v>
      </c>
      <c r="G26" s="30" t="s">
        <v>101</v>
      </c>
      <c r="H26" s="30" t="s">
        <v>102</v>
      </c>
      <c r="I26" s="31">
        <v>45730</v>
      </c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4.5" x14ac:dyDescent="0.35">
      <c r="A27" s="26" t="s">
        <v>97</v>
      </c>
      <c r="B27" s="32" t="s">
        <v>41</v>
      </c>
      <c r="C27" s="26" t="s">
        <v>42</v>
      </c>
      <c r="D27" s="26" t="s">
        <v>43</v>
      </c>
      <c r="E27" s="30" t="s">
        <v>74</v>
      </c>
      <c r="F27" s="30" t="s">
        <v>75</v>
      </c>
      <c r="G27" s="28"/>
      <c r="H27" s="30" t="s">
        <v>76</v>
      </c>
      <c r="I27" s="31">
        <v>45737</v>
      </c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4.5" x14ac:dyDescent="0.35">
      <c r="A28" s="26" t="s">
        <v>97</v>
      </c>
      <c r="B28" s="32" t="s">
        <v>47</v>
      </c>
      <c r="C28" s="26" t="s">
        <v>103</v>
      </c>
      <c r="D28" s="26" t="s">
        <v>104</v>
      </c>
      <c r="E28" s="30" t="s">
        <v>105</v>
      </c>
      <c r="F28" s="30" t="s">
        <v>106</v>
      </c>
      <c r="G28" s="30" t="s">
        <v>107</v>
      </c>
      <c r="H28" s="30" t="s">
        <v>108</v>
      </c>
      <c r="I28" s="31">
        <v>45741</v>
      </c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4.5" x14ac:dyDescent="0.35">
      <c r="A29" s="26" t="s">
        <v>97</v>
      </c>
      <c r="B29" s="32" t="s">
        <v>109</v>
      </c>
      <c r="C29" s="26" t="s">
        <v>110</v>
      </c>
      <c r="D29" s="28"/>
      <c r="E29" s="29"/>
      <c r="F29" s="29"/>
      <c r="G29" s="28"/>
      <c r="H29" s="30" t="s">
        <v>111</v>
      </c>
      <c r="I29" s="31">
        <v>45728</v>
      </c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4.5" x14ac:dyDescent="0.35">
      <c r="A30" s="26" t="s">
        <v>97</v>
      </c>
      <c r="B30" s="27"/>
      <c r="C30" s="26" t="s">
        <v>112</v>
      </c>
      <c r="D30" s="28"/>
      <c r="E30" s="29"/>
      <c r="F30" s="29"/>
      <c r="G30" s="28"/>
      <c r="H30" s="30" t="s">
        <v>113</v>
      </c>
      <c r="I30" s="31">
        <v>45744</v>
      </c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4.5" x14ac:dyDescent="0.35">
      <c r="A31" s="26" t="s">
        <v>97</v>
      </c>
      <c r="B31" s="27"/>
      <c r="C31" s="26" t="s">
        <v>59</v>
      </c>
      <c r="D31" s="28"/>
      <c r="E31" s="29"/>
      <c r="F31" s="29"/>
      <c r="G31" s="28"/>
      <c r="H31" s="30" t="s">
        <v>114</v>
      </c>
      <c r="I31" s="31">
        <v>45737</v>
      </c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4.5" x14ac:dyDescent="0.35">
      <c r="A32" s="26" t="s">
        <v>115</v>
      </c>
      <c r="B32" s="32" t="s">
        <v>22</v>
      </c>
      <c r="C32" s="26" t="s">
        <v>23</v>
      </c>
      <c r="D32" s="26" t="s">
        <v>116</v>
      </c>
      <c r="E32" s="30" t="s">
        <v>117</v>
      </c>
      <c r="F32" s="30" t="s">
        <v>118</v>
      </c>
      <c r="G32" s="30" t="s">
        <v>119</v>
      </c>
      <c r="H32" s="30" t="s">
        <v>120</v>
      </c>
      <c r="I32" s="31">
        <v>45727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4.5" x14ac:dyDescent="0.35">
      <c r="A33" s="26" t="s">
        <v>115</v>
      </c>
      <c r="B33" s="32" t="s">
        <v>39</v>
      </c>
      <c r="C33" s="26" t="s">
        <v>121</v>
      </c>
      <c r="D33" s="26" t="s">
        <v>122</v>
      </c>
      <c r="E33" s="30" t="s">
        <v>123</v>
      </c>
      <c r="F33" s="30" t="s">
        <v>124</v>
      </c>
      <c r="G33" s="30" t="s">
        <v>125</v>
      </c>
      <c r="H33" s="30" t="s">
        <v>126</v>
      </c>
      <c r="I33" s="31">
        <v>45734</v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4.5" x14ac:dyDescent="0.35">
      <c r="A34" s="26" t="s">
        <v>115</v>
      </c>
      <c r="B34" s="32" t="s">
        <v>41</v>
      </c>
      <c r="C34" s="26" t="s">
        <v>42</v>
      </c>
      <c r="D34" s="26" t="s">
        <v>43</v>
      </c>
      <c r="E34" s="30" t="s">
        <v>74</v>
      </c>
      <c r="F34" s="30" t="s">
        <v>75</v>
      </c>
      <c r="G34" s="28"/>
      <c r="H34" s="30" t="s">
        <v>76</v>
      </c>
      <c r="I34" s="31">
        <v>45737</v>
      </c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4.5" x14ac:dyDescent="0.35">
      <c r="A35" s="26" t="s">
        <v>115</v>
      </c>
      <c r="B35" s="32" t="s">
        <v>47</v>
      </c>
      <c r="C35" s="26" t="s">
        <v>48</v>
      </c>
      <c r="D35" s="26" t="s">
        <v>127</v>
      </c>
      <c r="E35" s="30" t="s">
        <v>128</v>
      </c>
      <c r="F35" s="30" t="s">
        <v>129</v>
      </c>
      <c r="G35" s="30" t="s">
        <v>130</v>
      </c>
      <c r="H35" s="30" t="s">
        <v>131</v>
      </c>
      <c r="I35" s="31">
        <v>45723</v>
      </c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4.5" x14ac:dyDescent="0.35">
      <c r="A36" s="26" t="s">
        <v>115</v>
      </c>
      <c r="B36" s="32" t="s">
        <v>54</v>
      </c>
      <c r="C36" s="26" t="s">
        <v>121</v>
      </c>
      <c r="D36" s="26" t="s">
        <v>132</v>
      </c>
      <c r="E36" s="30" t="s">
        <v>133</v>
      </c>
      <c r="F36" s="30" t="s">
        <v>134</v>
      </c>
      <c r="G36" s="30" t="s">
        <v>135</v>
      </c>
      <c r="H36" s="30" t="s">
        <v>136</v>
      </c>
      <c r="I36" s="31">
        <v>45758</v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4.5" x14ac:dyDescent="0.35">
      <c r="A37" s="26" t="s">
        <v>115</v>
      </c>
      <c r="B37" s="27"/>
      <c r="C37" s="26" t="s">
        <v>10</v>
      </c>
      <c r="D37" s="28"/>
      <c r="E37" s="29"/>
      <c r="F37" s="29"/>
      <c r="G37" s="28"/>
      <c r="H37" s="30" t="s">
        <v>11</v>
      </c>
      <c r="I37" s="31">
        <v>45722</v>
      </c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4.5" x14ac:dyDescent="0.35">
      <c r="A38" s="26" t="s">
        <v>115</v>
      </c>
      <c r="B38" s="27"/>
      <c r="C38" s="26" t="s">
        <v>10</v>
      </c>
      <c r="D38" s="28"/>
      <c r="E38" s="29"/>
      <c r="F38" s="29"/>
      <c r="G38" s="28"/>
      <c r="H38" s="30" t="s">
        <v>137</v>
      </c>
      <c r="I38" s="31">
        <v>45722</v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4.5" x14ac:dyDescent="0.35">
      <c r="A39" s="26" t="s">
        <v>138</v>
      </c>
      <c r="B39" s="32" t="s">
        <v>22</v>
      </c>
      <c r="C39" s="26" t="s">
        <v>23</v>
      </c>
      <c r="D39" s="26" t="s">
        <v>139</v>
      </c>
      <c r="E39" s="30" t="s">
        <v>140</v>
      </c>
      <c r="F39" s="30" t="s">
        <v>141</v>
      </c>
      <c r="G39" s="30" t="s">
        <v>142</v>
      </c>
      <c r="H39" s="30" t="s">
        <v>143</v>
      </c>
      <c r="I39" s="31">
        <v>45727</v>
      </c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4.5" x14ac:dyDescent="0.35">
      <c r="A40" s="26" t="s">
        <v>138</v>
      </c>
      <c r="B40" s="32" t="s">
        <v>39</v>
      </c>
      <c r="C40" s="26" t="s">
        <v>144</v>
      </c>
      <c r="D40" s="28"/>
      <c r="E40" s="28"/>
      <c r="F40" s="28"/>
      <c r="G40" s="28"/>
      <c r="H40" s="30" t="s">
        <v>145</v>
      </c>
      <c r="I40" s="33">
        <v>45727</v>
      </c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4.5" x14ac:dyDescent="0.35">
      <c r="A41" s="26" t="s">
        <v>138</v>
      </c>
      <c r="B41" s="32" t="s">
        <v>41</v>
      </c>
      <c r="C41" s="26" t="s">
        <v>42</v>
      </c>
      <c r="D41" s="26" t="s">
        <v>43</v>
      </c>
      <c r="E41" s="30" t="s">
        <v>74</v>
      </c>
      <c r="F41" s="30" t="s">
        <v>75</v>
      </c>
      <c r="G41" s="28"/>
      <c r="H41" s="30" t="s">
        <v>76</v>
      </c>
      <c r="I41" s="31">
        <v>45737</v>
      </c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4.5" x14ac:dyDescent="0.35">
      <c r="A42" s="26" t="s">
        <v>138</v>
      </c>
      <c r="B42" s="32" t="s">
        <v>47</v>
      </c>
      <c r="C42" s="26" t="s">
        <v>103</v>
      </c>
      <c r="D42" s="26" t="s">
        <v>104</v>
      </c>
      <c r="E42" s="30" t="s">
        <v>105</v>
      </c>
      <c r="F42" s="30" t="s">
        <v>106</v>
      </c>
      <c r="G42" s="30" t="s">
        <v>107</v>
      </c>
      <c r="H42" s="30" t="s">
        <v>108</v>
      </c>
      <c r="I42" s="31">
        <v>45741</v>
      </c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4.5" x14ac:dyDescent="0.35">
      <c r="A43" s="26" t="s">
        <v>138</v>
      </c>
      <c r="B43" s="32" t="s">
        <v>54</v>
      </c>
      <c r="C43" s="26" t="s">
        <v>144</v>
      </c>
      <c r="D43" s="26" t="s">
        <v>146</v>
      </c>
      <c r="E43" s="30" t="s">
        <v>147</v>
      </c>
      <c r="F43" s="30" t="s">
        <v>148</v>
      </c>
      <c r="G43" s="28"/>
      <c r="H43" s="30" t="s">
        <v>149</v>
      </c>
      <c r="I43" s="31">
        <v>45762</v>
      </c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4.5" x14ac:dyDescent="0.35">
      <c r="A44" s="26" t="s">
        <v>150</v>
      </c>
      <c r="B44" s="32" t="s">
        <v>22</v>
      </c>
      <c r="C44" s="26" t="s">
        <v>23</v>
      </c>
      <c r="D44" s="26" t="s">
        <v>151</v>
      </c>
      <c r="E44" s="30" t="s">
        <v>152</v>
      </c>
      <c r="F44" s="30" t="s">
        <v>153</v>
      </c>
      <c r="G44" s="30" t="s">
        <v>154</v>
      </c>
      <c r="H44" s="30" t="s">
        <v>155</v>
      </c>
      <c r="I44" s="31">
        <v>45727</v>
      </c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4.5" x14ac:dyDescent="0.35">
      <c r="A45" s="26" t="s">
        <v>150</v>
      </c>
      <c r="B45" s="32" t="s">
        <v>39</v>
      </c>
      <c r="C45" s="26" t="s">
        <v>144</v>
      </c>
      <c r="D45" s="28"/>
      <c r="E45" s="28"/>
      <c r="F45" s="28"/>
      <c r="G45" s="28"/>
      <c r="H45" s="30" t="s">
        <v>156</v>
      </c>
      <c r="I45" s="31">
        <v>45727</v>
      </c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4.5" x14ac:dyDescent="0.35">
      <c r="A46" s="26" t="s">
        <v>150</v>
      </c>
      <c r="B46" s="32" t="s">
        <v>41</v>
      </c>
      <c r="C46" s="26" t="s">
        <v>42</v>
      </c>
      <c r="D46" s="26" t="s">
        <v>43</v>
      </c>
      <c r="E46" s="30" t="s">
        <v>74</v>
      </c>
      <c r="F46" s="30" t="s">
        <v>75</v>
      </c>
      <c r="G46" s="28"/>
      <c r="H46" s="30" t="s">
        <v>76</v>
      </c>
      <c r="I46" s="31">
        <v>45737</v>
      </c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4.5" x14ac:dyDescent="0.35">
      <c r="A47" s="26" t="s">
        <v>150</v>
      </c>
      <c r="B47" s="32" t="s">
        <v>54</v>
      </c>
      <c r="C47" s="26" t="s">
        <v>144</v>
      </c>
      <c r="D47" s="26" t="s">
        <v>157</v>
      </c>
      <c r="E47" s="30" t="s">
        <v>158</v>
      </c>
      <c r="F47" s="30" t="s">
        <v>159</v>
      </c>
      <c r="G47" s="28"/>
      <c r="H47" s="30" t="s">
        <v>160</v>
      </c>
      <c r="I47" s="31">
        <v>45762</v>
      </c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4.5" x14ac:dyDescent="0.35">
      <c r="A48" s="26" t="s">
        <v>161</v>
      </c>
      <c r="B48" s="32" t="s">
        <v>22</v>
      </c>
      <c r="C48" s="26" t="s">
        <v>23</v>
      </c>
      <c r="D48" s="26" t="s">
        <v>162</v>
      </c>
      <c r="E48" s="30" t="s">
        <v>163</v>
      </c>
      <c r="F48" s="28"/>
      <c r="G48" s="28"/>
      <c r="H48" s="30" t="s">
        <v>163</v>
      </c>
      <c r="I48" s="31">
        <v>45727</v>
      </c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4.5" x14ac:dyDescent="0.35">
      <c r="A49" s="26" t="s">
        <v>161</v>
      </c>
      <c r="B49" s="32" t="s">
        <v>39</v>
      </c>
      <c r="C49" s="26" t="s">
        <v>144</v>
      </c>
      <c r="D49" s="28"/>
      <c r="E49" s="28"/>
      <c r="F49" s="28"/>
      <c r="G49" s="28"/>
      <c r="H49" s="30" t="s">
        <v>156</v>
      </c>
      <c r="I49" s="31">
        <v>45727</v>
      </c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4.5" x14ac:dyDescent="0.35">
      <c r="A50" s="26" t="s">
        <v>161</v>
      </c>
      <c r="B50" s="32" t="s">
        <v>41</v>
      </c>
      <c r="C50" s="26" t="s">
        <v>42</v>
      </c>
      <c r="D50" s="26" t="s">
        <v>43</v>
      </c>
      <c r="E50" s="30" t="s">
        <v>74</v>
      </c>
      <c r="F50" s="30" t="s">
        <v>75</v>
      </c>
      <c r="G50" s="28"/>
      <c r="H50" s="30" t="s">
        <v>76</v>
      </c>
      <c r="I50" s="31">
        <v>45737</v>
      </c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4.5" x14ac:dyDescent="0.35">
      <c r="A51" s="26" t="s">
        <v>161</v>
      </c>
      <c r="B51" s="32" t="s">
        <v>54</v>
      </c>
      <c r="C51" s="26" t="s">
        <v>144</v>
      </c>
      <c r="D51" s="26" t="s">
        <v>164</v>
      </c>
      <c r="E51" s="30" t="s">
        <v>165</v>
      </c>
      <c r="F51" s="30" t="s">
        <v>166</v>
      </c>
      <c r="G51" s="28"/>
      <c r="H51" s="30" t="s">
        <v>167</v>
      </c>
      <c r="I51" s="31">
        <v>45762</v>
      </c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4.5" x14ac:dyDescent="0.35">
      <c r="A52" s="28"/>
      <c r="B52" s="27"/>
      <c r="C52" s="28"/>
      <c r="D52" s="28"/>
      <c r="E52" s="29"/>
      <c r="F52" s="29"/>
      <c r="G52" s="28"/>
      <c r="H52" s="29"/>
      <c r="I52" s="29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4.5" x14ac:dyDescent="0.35">
      <c r="A53" s="28"/>
      <c r="B53" s="27"/>
      <c r="C53" s="28"/>
      <c r="D53" s="28"/>
      <c r="E53" s="29"/>
      <c r="F53" s="29"/>
      <c r="G53" s="28"/>
      <c r="H53" s="29"/>
      <c r="I53" s="29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4" x14ac:dyDescent="0.3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4" x14ac:dyDescent="0.3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4" x14ac:dyDescent="0.3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4" x14ac:dyDescent="0.3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4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4" x14ac:dyDescent="0.3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4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4" x14ac:dyDescent="0.3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4" x14ac:dyDescent="0.3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4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4" x14ac:dyDescent="0.3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4" x14ac:dyDescent="0.3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4" x14ac:dyDescent="0.3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4" x14ac:dyDescent="0.3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4" x14ac:dyDescent="0.3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4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4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4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4" x14ac:dyDescent="0.3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4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4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4" x14ac:dyDescent="0.3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4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4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4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4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4" x14ac:dyDescent="0.3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4" x14ac:dyDescent="0.3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4" x14ac:dyDescent="0.3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4" x14ac:dyDescent="0.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4" x14ac:dyDescent="0.3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4" x14ac:dyDescent="0.3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4" x14ac:dyDescent="0.3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4" x14ac:dyDescent="0.3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4" x14ac:dyDescent="0.3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4" x14ac:dyDescent="0.3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4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4" x14ac:dyDescent="0.3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4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4" x14ac:dyDescent="0.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4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4" x14ac:dyDescent="0.3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4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4" x14ac:dyDescent="0.3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4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14" x14ac:dyDescent="0.3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14" x14ac:dyDescent="0.3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4" x14ac:dyDescent="0.3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4" x14ac:dyDescent="0.3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4" x14ac:dyDescent="0.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4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4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4" x14ac:dyDescent="0.3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4" x14ac:dyDescent="0.3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14" x14ac:dyDescent="0.3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4" x14ac:dyDescent="0.3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14" x14ac:dyDescent="0.3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4" x14ac:dyDescent="0.3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4" x14ac:dyDescent="0.3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4" x14ac:dyDescent="0.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4" x14ac:dyDescent="0.3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4" x14ac:dyDescent="0.3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4" x14ac:dyDescent="0.3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4" x14ac:dyDescent="0.3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4" x14ac:dyDescent="0.3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4" x14ac:dyDescent="0.3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4" x14ac:dyDescent="0.3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4" x14ac:dyDescent="0.3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14" x14ac:dyDescent="0.3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4" x14ac:dyDescent="0.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4" x14ac:dyDescent="0.3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4" x14ac:dyDescent="0.3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4" x14ac:dyDescent="0.3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4" x14ac:dyDescent="0.3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4" x14ac:dyDescent="0.3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14" x14ac:dyDescent="0.3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4" x14ac:dyDescent="0.3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4" x14ac:dyDescent="0.3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4" x14ac:dyDescent="0.3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4" x14ac:dyDescent="0.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14" x14ac:dyDescent="0.3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14" x14ac:dyDescent="0.3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4" x14ac:dyDescent="0.3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4" x14ac:dyDescent="0.3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14" x14ac:dyDescent="0.3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4" x14ac:dyDescent="0.3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4" x14ac:dyDescent="0.3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14" x14ac:dyDescent="0.3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4" x14ac:dyDescent="0.3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14" x14ac:dyDescent="0.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14" x14ac:dyDescent="0.3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14" x14ac:dyDescent="0.3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14" x14ac:dyDescent="0.3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4" x14ac:dyDescent="0.3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14" x14ac:dyDescent="0.3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4" x14ac:dyDescent="0.3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4" x14ac:dyDescent="0.3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4" x14ac:dyDescent="0.3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4" x14ac:dyDescent="0.3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4" x14ac:dyDescent="0.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4" x14ac:dyDescent="0.3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4" x14ac:dyDescent="0.3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4" x14ac:dyDescent="0.3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4" x14ac:dyDescent="0.3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4" x14ac:dyDescent="0.3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4" x14ac:dyDescent="0.3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4" x14ac:dyDescent="0.3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4" x14ac:dyDescent="0.3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4" x14ac:dyDescent="0.3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4" x14ac:dyDescent="0.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4" x14ac:dyDescent="0.3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4" x14ac:dyDescent="0.3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4" x14ac:dyDescent="0.3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4" x14ac:dyDescent="0.3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4" x14ac:dyDescent="0.3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4" x14ac:dyDescent="0.3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4" x14ac:dyDescent="0.3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4" x14ac:dyDescent="0.3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4" x14ac:dyDescent="0.3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4" x14ac:dyDescent="0.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4" x14ac:dyDescent="0.3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4" x14ac:dyDescent="0.3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4" x14ac:dyDescent="0.3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14" x14ac:dyDescent="0.3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14" x14ac:dyDescent="0.3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14" x14ac:dyDescent="0.3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14" x14ac:dyDescent="0.3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14" x14ac:dyDescent="0.3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4" x14ac:dyDescent="0.3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4" x14ac:dyDescent="0.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14" x14ac:dyDescent="0.3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14" x14ac:dyDescent="0.3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4" x14ac:dyDescent="0.3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14" x14ac:dyDescent="0.3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14" x14ac:dyDescent="0.3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14" x14ac:dyDescent="0.3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14" x14ac:dyDescent="0.3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14" x14ac:dyDescent="0.3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14" x14ac:dyDescent="0.3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14" x14ac:dyDescent="0.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14" x14ac:dyDescent="0.3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4" x14ac:dyDescent="0.3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4" x14ac:dyDescent="0.3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4" x14ac:dyDescent="0.3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4" x14ac:dyDescent="0.3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4" x14ac:dyDescent="0.3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4" x14ac:dyDescent="0.3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4" x14ac:dyDescent="0.3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4" x14ac:dyDescent="0.3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4" x14ac:dyDescent="0.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4" x14ac:dyDescent="0.3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4" x14ac:dyDescent="0.3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4" x14ac:dyDescent="0.3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4" x14ac:dyDescent="0.3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4" x14ac:dyDescent="0.3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4" x14ac:dyDescent="0.3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4" x14ac:dyDescent="0.3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4" x14ac:dyDescent="0.3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4" x14ac:dyDescent="0.3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4" x14ac:dyDescent="0.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4" x14ac:dyDescent="0.3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4" x14ac:dyDescent="0.3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4" x14ac:dyDescent="0.3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4" x14ac:dyDescent="0.3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4" x14ac:dyDescent="0.3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14" x14ac:dyDescent="0.3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4" x14ac:dyDescent="0.3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14" x14ac:dyDescent="0.3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14" x14ac:dyDescent="0.3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14" x14ac:dyDescent="0.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14" x14ac:dyDescent="0.3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4" x14ac:dyDescent="0.3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14" x14ac:dyDescent="0.3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14" x14ac:dyDescent="0.3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14" x14ac:dyDescent="0.3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14" x14ac:dyDescent="0.3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14" x14ac:dyDescent="0.3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14" x14ac:dyDescent="0.3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14" x14ac:dyDescent="0.3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14" x14ac:dyDescent="0.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14" x14ac:dyDescent="0.3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14" x14ac:dyDescent="0.3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14" x14ac:dyDescent="0.3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14" x14ac:dyDescent="0.3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14" x14ac:dyDescent="0.3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14" x14ac:dyDescent="0.3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14" x14ac:dyDescent="0.3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14" x14ac:dyDescent="0.3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14" x14ac:dyDescent="0.3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14" x14ac:dyDescent="0.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14" x14ac:dyDescent="0.3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14" x14ac:dyDescent="0.3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14" x14ac:dyDescent="0.3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14" x14ac:dyDescent="0.3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14" x14ac:dyDescent="0.3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14" x14ac:dyDescent="0.3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14" x14ac:dyDescent="0.3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14" x14ac:dyDescent="0.3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14" x14ac:dyDescent="0.3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14" x14ac:dyDescent="0.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14" x14ac:dyDescent="0.3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14" x14ac:dyDescent="0.3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14" x14ac:dyDescent="0.3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14" x14ac:dyDescent="0.3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14" x14ac:dyDescent="0.3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14" x14ac:dyDescent="0.3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14" x14ac:dyDescent="0.3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14" x14ac:dyDescent="0.3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14" x14ac:dyDescent="0.3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14" x14ac:dyDescent="0.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14" x14ac:dyDescent="0.3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14" x14ac:dyDescent="0.3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14" x14ac:dyDescent="0.3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14" x14ac:dyDescent="0.3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14" x14ac:dyDescent="0.3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14" x14ac:dyDescent="0.3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14" x14ac:dyDescent="0.3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14" x14ac:dyDescent="0.3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14" x14ac:dyDescent="0.3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14" x14ac:dyDescent="0.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14" x14ac:dyDescent="0.3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14" x14ac:dyDescent="0.3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14" x14ac:dyDescent="0.3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14" x14ac:dyDescent="0.3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14" x14ac:dyDescent="0.3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14" x14ac:dyDescent="0.3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14" x14ac:dyDescent="0.3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14" x14ac:dyDescent="0.3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14" x14ac:dyDescent="0.3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14" x14ac:dyDescent="0.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14" x14ac:dyDescent="0.3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14" x14ac:dyDescent="0.3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14" x14ac:dyDescent="0.3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14" x14ac:dyDescent="0.3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14" x14ac:dyDescent="0.3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14" x14ac:dyDescent="0.3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14" x14ac:dyDescent="0.3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14" x14ac:dyDescent="0.3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14" x14ac:dyDescent="0.3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14" x14ac:dyDescent="0.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14" x14ac:dyDescent="0.3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14" x14ac:dyDescent="0.3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14" x14ac:dyDescent="0.3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14" x14ac:dyDescent="0.3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14" x14ac:dyDescent="0.3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14" x14ac:dyDescent="0.3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14" x14ac:dyDescent="0.3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14" x14ac:dyDescent="0.3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14" x14ac:dyDescent="0.3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14" x14ac:dyDescent="0.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14" x14ac:dyDescent="0.3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14" x14ac:dyDescent="0.3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14" x14ac:dyDescent="0.3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14" x14ac:dyDescent="0.3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14" x14ac:dyDescent="0.3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14" x14ac:dyDescent="0.3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14" x14ac:dyDescent="0.3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14" x14ac:dyDescent="0.3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14" x14ac:dyDescent="0.3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14" x14ac:dyDescent="0.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14" x14ac:dyDescent="0.3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14" x14ac:dyDescent="0.3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14" x14ac:dyDescent="0.3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14" x14ac:dyDescent="0.3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14" x14ac:dyDescent="0.3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14" x14ac:dyDescent="0.3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14" x14ac:dyDescent="0.3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14" x14ac:dyDescent="0.3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14" x14ac:dyDescent="0.3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14" x14ac:dyDescent="0.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14" x14ac:dyDescent="0.3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14" x14ac:dyDescent="0.3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14" x14ac:dyDescent="0.3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14" x14ac:dyDescent="0.3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14" x14ac:dyDescent="0.3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14" x14ac:dyDescent="0.3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14" x14ac:dyDescent="0.3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14" x14ac:dyDescent="0.3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14" x14ac:dyDescent="0.3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14" x14ac:dyDescent="0.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14" x14ac:dyDescent="0.3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14" x14ac:dyDescent="0.3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14" x14ac:dyDescent="0.3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14" x14ac:dyDescent="0.3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14" x14ac:dyDescent="0.3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14" x14ac:dyDescent="0.3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14" x14ac:dyDescent="0.3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14" x14ac:dyDescent="0.3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14" x14ac:dyDescent="0.3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14" x14ac:dyDescent="0.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14" x14ac:dyDescent="0.3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14" x14ac:dyDescent="0.3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14" x14ac:dyDescent="0.3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14" x14ac:dyDescent="0.3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14" x14ac:dyDescent="0.3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14" x14ac:dyDescent="0.3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14" x14ac:dyDescent="0.3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14" x14ac:dyDescent="0.3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14" x14ac:dyDescent="0.3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14" x14ac:dyDescent="0.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14" x14ac:dyDescent="0.3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14" x14ac:dyDescent="0.3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14" x14ac:dyDescent="0.3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14" x14ac:dyDescent="0.3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14" x14ac:dyDescent="0.3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14" x14ac:dyDescent="0.3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14" x14ac:dyDescent="0.3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14" x14ac:dyDescent="0.3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14" x14ac:dyDescent="0.3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14" x14ac:dyDescent="0.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14" x14ac:dyDescent="0.3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14" x14ac:dyDescent="0.3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14" x14ac:dyDescent="0.3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14" x14ac:dyDescent="0.3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14" x14ac:dyDescent="0.3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14" x14ac:dyDescent="0.3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14" x14ac:dyDescent="0.3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14" x14ac:dyDescent="0.3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14" x14ac:dyDescent="0.3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14" x14ac:dyDescent="0.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14" x14ac:dyDescent="0.3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14" x14ac:dyDescent="0.3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14" x14ac:dyDescent="0.3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14" x14ac:dyDescent="0.3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14" x14ac:dyDescent="0.3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14" x14ac:dyDescent="0.3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14" x14ac:dyDescent="0.3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14" x14ac:dyDescent="0.3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14" x14ac:dyDescent="0.3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14" x14ac:dyDescent="0.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14" x14ac:dyDescent="0.3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14" x14ac:dyDescent="0.3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14" x14ac:dyDescent="0.3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14" x14ac:dyDescent="0.3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14" x14ac:dyDescent="0.3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14" x14ac:dyDescent="0.3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14" x14ac:dyDescent="0.3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14" x14ac:dyDescent="0.3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14" x14ac:dyDescent="0.3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14" x14ac:dyDescent="0.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14" x14ac:dyDescent="0.3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14" x14ac:dyDescent="0.3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14" x14ac:dyDescent="0.3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14" x14ac:dyDescent="0.3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14" x14ac:dyDescent="0.3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14" x14ac:dyDescent="0.3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14" x14ac:dyDescent="0.3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14" x14ac:dyDescent="0.3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14" x14ac:dyDescent="0.3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14" x14ac:dyDescent="0.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14" x14ac:dyDescent="0.3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14" x14ac:dyDescent="0.3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14" x14ac:dyDescent="0.3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14" x14ac:dyDescent="0.3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14" x14ac:dyDescent="0.3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14" x14ac:dyDescent="0.3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14" x14ac:dyDescent="0.3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14" x14ac:dyDescent="0.3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14" x14ac:dyDescent="0.3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14" x14ac:dyDescent="0.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14" x14ac:dyDescent="0.3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14" x14ac:dyDescent="0.3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14" x14ac:dyDescent="0.3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14" x14ac:dyDescent="0.3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14" x14ac:dyDescent="0.3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14" x14ac:dyDescent="0.3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14" x14ac:dyDescent="0.3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14" x14ac:dyDescent="0.3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14" x14ac:dyDescent="0.3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14" x14ac:dyDescent="0.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14" x14ac:dyDescent="0.3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14" x14ac:dyDescent="0.3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14" x14ac:dyDescent="0.3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14" x14ac:dyDescent="0.3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14" x14ac:dyDescent="0.3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14" x14ac:dyDescent="0.3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14" x14ac:dyDescent="0.3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14" x14ac:dyDescent="0.3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14" x14ac:dyDescent="0.3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14" x14ac:dyDescent="0.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14" x14ac:dyDescent="0.3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14" x14ac:dyDescent="0.3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14" x14ac:dyDescent="0.3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14" x14ac:dyDescent="0.3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14" x14ac:dyDescent="0.3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14" x14ac:dyDescent="0.3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14" x14ac:dyDescent="0.3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14" x14ac:dyDescent="0.3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14" x14ac:dyDescent="0.3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14" x14ac:dyDescent="0.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14" x14ac:dyDescent="0.3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14" x14ac:dyDescent="0.3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14" x14ac:dyDescent="0.3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14" x14ac:dyDescent="0.3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14" x14ac:dyDescent="0.3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14" x14ac:dyDescent="0.3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14" x14ac:dyDescent="0.3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14" x14ac:dyDescent="0.3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14" x14ac:dyDescent="0.3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14" x14ac:dyDescent="0.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14" x14ac:dyDescent="0.3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14" x14ac:dyDescent="0.3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14" x14ac:dyDescent="0.3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14" x14ac:dyDescent="0.3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14" x14ac:dyDescent="0.3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14" x14ac:dyDescent="0.3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14" x14ac:dyDescent="0.3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14" x14ac:dyDescent="0.3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14" x14ac:dyDescent="0.3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14" x14ac:dyDescent="0.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14" x14ac:dyDescent="0.3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14" x14ac:dyDescent="0.3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14" x14ac:dyDescent="0.3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14" x14ac:dyDescent="0.3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14" x14ac:dyDescent="0.3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14" x14ac:dyDescent="0.3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14" x14ac:dyDescent="0.3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14" x14ac:dyDescent="0.3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14" x14ac:dyDescent="0.3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14" x14ac:dyDescent="0.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14" x14ac:dyDescent="0.3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14" x14ac:dyDescent="0.3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14" x14ac:dyDescent="0.3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14" x14ac:dyDescent="0.3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14" x14ac:dyDescent="0.3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14" x14ac:dyDescent="0.3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14" x14ac:dyDescent="0.3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14" x14ac:dyDescent="0.3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14" x14ac:dyDescent="0.3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14" x14ac:dyDescent="0.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14" x14ac:dyDescent="0.3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14" x14ac:dyDescent="0.3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14" x14ac:dyDescent="0.3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14" x14ac:dyDescent="0.3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14" x14ac:dyDescent="0.3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14" x14ac:dyDescent="0.3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14" x14ac:dyDescent="0.3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14" x14ac:dyDescent="0.3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14" x14ac:dyDescent="0.3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14" x14ac:dyDescent="0.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14" x14ac:dyDescent="0.3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14" x14ac:dyDescent="0.3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14" x14ac:dyDescent="0.3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14" x14ac:dyDescent="0.3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14" x14ac:dyDescent="0.3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14" x14ac:dyDescent="0.3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14" x14ac:dyDescent="0.3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14" x14ac:dyDescent="0.3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14" x14ac:dyDescent="0.3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14" x14ac:dyDescent="0.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14" x14ac:dyDescent="0.3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14" x14ac:dyDescent="0.3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14" x14ac:dyDescent="0.3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14" x14ac:dyDescent="0.3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14" x14ac:dyDescent="0.3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14" x14ac:dyDescent="0.3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14" x14ac:dyDescent="0.3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14" x14ac:dyDescent="0.3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14" x14ac:dyDescent="0.3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14" x14ac:dyDescent="0.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14" x14ac:dyDescent="0.3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14" x14ac:dyDescent="0.3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14" x14ac:dyDescent="0.3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14" x14ac:dyDescent="0.3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14" x14ac:dyDescent="0.3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14" x14ac:dyDescent="0.3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14" x14ac:dyDescent="0.3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14" x14ac:dyDescent="0.3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14" x14ac:dyDescent="0.3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14" x14ac:dyDescent="0.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14" x14ac:dyDescent="0.3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14" x14ac:dyDescent="0.3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14" x14ac:dyDescent="0.3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14" x14ac:dyDescent="0.3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14" x14ac:dyDescent="0.3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14" x14ac:dyDescent="0.3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14" x14ac:dyDescent="0.3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14" x14ac:dyDescent="0.3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14" x14ac:dyDescent="0.3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14" x14ac:dyDescent="0.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14" x14ac:dyDescent="0.3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14" x14ac:dyDescent="0.3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14" x14ac:dyDescent="0.3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14" x14ac:dyDescent="0.3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14" x14ac:dyDescent="0.3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14" x14ac:dyDescent="0.3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14" x14ac:dyDescent="0.3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14" x14ac:dyDescent="0.3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14" x14ac:dyDescent="0.3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14" x14ac:dyDescent="0.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14" x14ac:dyDescent="0.3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14" x14ac:dyDescent="0.3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14" x14ac:dyDescent="0.3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14" x14ac:dyDescent="0.3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14" x14ac:dyDescent="0.3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14" x14ac:dyDescent="0.3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14" x14ac:dyDescent="0.3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14" x14ac:dyDescent="0.3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14" x14ac:dyDescent="0.3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14" x14ac:dyDescent="0.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14" x14ac:dyDescent="0.3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14" x14ac:dyDescent="0.3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14" x14ac:dyDescent="0.3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14" x14ac:dyDescent="0.3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14" x14ac:dyDescent="0.3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14" x14ac:dyDescent="0.3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14" x14ac:dyDescent="0.3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14" x14ac:dyDescent="0.3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14" x14ac:dyDescent="0.3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14" x14ac:dyDescent="0.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14" x14ac:dyDescent="0.3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14" x14ac:dyDescent="0.3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14" x14ac:dyDescent="0.3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14" x14ac:dyDescent="0.3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14" x14ac:dyDescent="0.3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14" x14ac:dyDescent="0.3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14" x14ac:dyDescent="0.3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14" x14ac:dyDescent="0.3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14" x14ac:dyDescent="0.3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14" x14ac:dyDescent="0.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14" x14ac:dyDescent="0.3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14" x14ac:dyDescent="0.3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14" x14ac:dyDescent="0.3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14" x14ac:dyDescent="0.3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14" x14ac:dyDescent="0.3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14" x14ac:dyDescent="0.3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14" x14ac:dyDescent="0.3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ht="14" x14ac:dyDescent="0.3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ht="14" x14ac:dyDescent="0.3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ht="14" x14ac:dyDescent="0.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ht="14" x14ac:dyDescent="0.3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ht="14" x14ac:dyDescent="0.3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ht="14" x14ac:dyDescent="0.3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ht="14" x14ac:dyDescent="0.3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ht="14" x14ac:dyDescent="0.3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ht="14" x14ac:dyDescent="0.3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ht="14" x14ac:dyDescent="0.3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ht="14" x14ac:dyDescent="0.3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ht="14" x14ac:dyDescent="0.3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ht="14" x14ac:dyDescent="0.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ht="14" x14ac:dyDescent="0.3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ht="14" x14ac:dyDescent="0.3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ht="14" x14ac:dyDescent="0.3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ht="14" x14ac:dyDescent="0.3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ht="14" x14ac:dyDescent="0.3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ht="14" x14ac:dyDescent="0.3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ht="14" x14ac:dyDescent="0.3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ht="14" x14ac:dyDescent="0.3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ht="14" x14ac:dyDescent="0.3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ht="14" x14ac:dyDescent="0.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ht="14" x14ac:dyDescent="0.3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ht="14" x14ac:dyDescent="0.3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ht="14" x14ac:dyDescent="0.3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ht="14" x14ac:dyDescent="0.3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ht="14" x14ac:dyDescent="0.3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ht="14" x14ac:dyDescent="0.3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ht="14" x14ac:dyDescent="0.3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ht="14" x14ac:dyDescent="0.3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ht="14" x14ac:dyDescent="0.3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ht="14" x14ac:dyDescent="0.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ht="14" x14ac:dyDescent="0.3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ht="14" x14ac:dyDescent="0.3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ht="14" x14ac:dyDescent="0.3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ht="14" x14ac:dyDescent="0.3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ht="14" x14ac:dyDescent="0.3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ht="14" x14ac:dyDescent="0.3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ht="14" x14ac:dyDescent="0.3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ht="14" x14ac:dyDescent="0.3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ht="14" x14ac:dyDescent="0.3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ht="14" x14ac:dyDescent="0.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ht="14" x14ac:dyDescent="0.3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ht="14" x14ac:dyDescent="0.3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ht="14" x14ac:dyDescent="0.3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ht="14" x14ac:dyDescent="0.3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ht="14" x14ac:dyDescent="0.3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ht="14" x14ac:dyDescent="0.3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ht="14" x14ac:dyDescent="0.3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ht="14" x14ac:dyDescent="0.3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ht="14" x14ac:dyDescent="0.3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ht="14" x14ac:dyDescent="0.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ht="14" x14ac:dyDescent="0.3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ht="14" x14ac:dyDescent="0.3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ht="14" x14ac:dyDescent="0.3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ht="14" x14ac:dyDescent="0.3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ht="14" x14ac:dyDescent="0.3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ht="14" x14ac:dyDescent="0.3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ht="14" x14ac:dyDescent="0.3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ht="14" x14ac:dyDescent="0.3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ht="14" x14ac:dyDescent="0.3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ht="14" x14ac:dyDescent="0.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ht="14" x14ac:dyDescent="0.3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ht="14" x14ac:dyDescent="0.3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ht="14" x14ac:dyDescent="0.3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ht="14" x14ac:dyDescent="0.3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ht="14" x14ac:dyDescent="0.3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ht="14" x14ac:dyDescent="0.3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ht="14" x14ac:dyDescent="0.3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ht="14" x14ac:dyDescent="0.3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ht="14" x14ac:dyDescent="0.3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ht="14" x14ac:dyDescent="0.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ht="14" x14ac:dyDescent="0.3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ht="14" x14ac:dyDescent="0.3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ht="14" x14ac:dyDescent="0.3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ht="14" x14ac:dyDescent="0.3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ht="14" x14ac:dyDescent="0.3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ht="14" x14ac:dyDescent="0.3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ht="14" x14ac:dyDescent="0.3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ht="14" x14ac:dyDescent="0.3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ht="14" x14ac:dyDescent="0.3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ht="14" x14ac:dyDescent="0.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ht="14" x14ac:dyDescent="0.3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ht="14" x14ac:dyDescent="0.3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ht="14" x14ac:dyDescent="0.3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ht="14" x14ac:dyDescent="0.3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ht="14" x14ac:dyDescent="0.3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ht="14" x14ac:dyDescent="0.3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ht="14" x14ac:dyDescent="0.3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ht="14" x14ac:dyDescent="0.3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ht="14" x14ac:dyDescent="0.3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ht="14" x14ac:dyDescent="0.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ht="14" x14ac:dyDescent="0.3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ht="14" x14ac:dyDescent="0.3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ht="14" x14ac:dyDescent="0.3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ht="14" x14ac:dyDescent="0.3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ht="14" x14ac:dyDescent="0.3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ht="14" x14ac:dyDescent="0.3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ht="14" x14ac:dyDescent="0.3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ht="14" x14ac:dyDescent="0.3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ht="14" x14ac:dyDescent="0.3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ht="14" x14ac:dyDescent="0.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ht="14" x14ac:dyDescent="0.3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ht="14" x14ac:dyDescent="0.3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ht="14" x14ac:dyDescent="0.3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ht="14" x14ac:dyDescent="0.3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ht="14" x14ac:dyDescent="0.3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ht="14" x14ac:dyDescent="0.3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ht="14" x14ac:dyDescent="0.3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ht="14" x14ac:dyDescent="0.3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ht="14" x14ac:dyDescent="0.3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ht="14" x14ac:dyDescent="0.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ht="14" x14ac:dyDescent="0.3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ht="14" x14ac:dyDescent="0.3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ht="14" x14ac:dyDescent="0.3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ht="14" x14ac:dyDescent="0.3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ht="14" x14ac:dyDescent="0.3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ht="14" x14ac:dyDescent="0.3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ht="14" x14ac:dyDescent="0.3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ht="14" x14ac:dyDescent="0.3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ht="14" x14ac:dyDescent="0.3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ht="14" x14ac:dyDescent="0.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ht="14" x14ac:dyDescent="0.3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ht="14" x14ac:dyDescent="0.3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ht="14" x14ac:dyDescent="0.3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ht="14" x14ac:dyDescent="0.3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ht="14" x14ac:dyDescent="0.3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ht="14" x14ac:dyDescent="0.3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ht="14" x14ac:dyDescent="0.3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ht="14" x14ac:dyDescent="0.3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ht="14" x14ac:dyDescent="0.3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ht="14" x14ac:dyDescent="0.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ht="14" x14ac:dyDescent="0.3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ht="14" x14ac:dyDescent="0.3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ht="14" x14ac:dyDescent="0.3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ht="14" x14ac:dyDescent="0.3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ht="14" x14ac:dyDescent="0.3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ht="14" x14ac:dyDescent="0.3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ht="14" x14ac:dyDescent="0.3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ht="14" x14ac:dyDescent="0.3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ht="14" x14ac:dyDescent="0.3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ht="14" x14ac:dyDescent="0.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ht="14" x14ac:dyDescent="0.3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ht="14" x14ac:dyDescent="0.3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ht="14" x14ac:dyDescent="0.3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ht="14" x14ac:dyDescent="0.3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ht="14" x14ac:dyDescent="0.3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ht="14" x14ac:dyDescent="0.3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ht="14" x14ac:dyDescent="0.3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ht="14" x14ac:dyDescent="0.3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ht="14" x14ac:dyDescent="0.3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ht="14" x14ac:dyDescent="0.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ht="14" x14ac:dyDescent="0.3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ht="14" x14ac:dyDescent="0.3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ht="14" x14ac:dyDescent="0.3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ht="14" x14ac:dyDescent="0.3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ht="14" x14ac:dyDescent="0.3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ht="14" x14ac:dyDescent="0.3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ht="14" x14ac:dyDescent="0.3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ht="14" x14ac:dyDescent="0.3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ht="14" x14ac:dyDescent="0.3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ht="14" x14ac:dyDescent="0.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ht="14" x14ac:dyDescent="0.3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ht="14" x14ac:dyDescent="0.3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ht="14" x14ac:dyDescent="0.3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ht="14" x14ac:dyDescent="0.3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ht="14" x14ac:dyDescent="0.3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ht="14" x14ac:dyDescent="0.3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ht="14" x14ac:dyDescent="0.3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ht="14" x14ac:dyDescent="0.3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ht="14" x14ac:dyDescent="0.3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ht="14" x14ac:dyDescent="0.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ht="14" x14ac:dyDescent="0.3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ht="14" x14ac:dyDescent="0.3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ht="14" x14ac:dyDescent="0.3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ht="14" x14ac:dyDescent="0.3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ht="14" x14ac:dyDescent="0.3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ht="14" x14ac:dyDescent="0.3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ht="14" x14ac:dyDescent="0.3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ht="14" x14ac:dyDescent="0.3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ht="14" x14ac:dyDescent="0.3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ht="14" x14ac:dyDescent="0.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ht="14" x14ac:dyDescent="0.3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ht="14" x14ac:dyDescent="0.3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ht="14" x14ac:dyDescent="0.3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ht="14" x14ac:dyDescent="0.3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ht="14" x14ac:dyDescent="0.3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ht="14" x14ac:dyDescent="0.3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ht="14" x14ac:dyDescent="0.3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ht="14" x14ac:dyDescent="0.3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ht="14" x14ac:dyDescent="0.3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ht="14" x14ac:dyDescent="0.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ht="14" x14ac:dyDescent="0.3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ht="14" x14ac:dyDescent="0.3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ht="14" x14ac:dyDescent="0.3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ht="14" x14ac:dyDescent="0.3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ht="14" x14ac:dyDescent="0.3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ht="14" x14ac:dyDescent="0.3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ht="14" x14ac:dyDescent="0.3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ht="14" x14ac:dyDescent="0.3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ht="14" x14ac:dyDescent="0.3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ht="14" x14ac:dyDescent="0.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ht="14" x14ac:dyDescent="0.3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ht="14" x14ac:dyDescent="0.3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ht="14" x14ac:dyDescent="0.3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ht="14" x14ac:dyDescent="0.3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ht="14" x14ac:dyDescent="0.3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ht="14" x14ac:dyDescent="0.3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ht="14" x14ac:dyDescent="0.3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ht="14" x14ac:dyDescent="0.3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ht="14" x14ac:dyDescent="0.3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ht="14" x14ac:dyDescent="0.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ht="14" x14ac:dyDescent="0.3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ht="14" x14ac:dyDescent="0.3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ht="14" x14ac:dyDescent="0.3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ht="14" x14ac:dyDescent="0.3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ht="14" x14ac:dyDescent="0.3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ht="14" x14ac:dyDescent="0.3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ht="14" x14ac:dyDescent="0.3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ht="14" x14ac:dyDescent="0.3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ht="14" x14ac:dyDescent="0.3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ht="14" x14ac:dyDescent="0.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ht="14" x14ac:dyDescent="0.3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ht="14" x14ac:dyDescent="0.3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ht="14" x14ac:dyDescent="0.3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ht="14" x14ac:dyDescent="0.3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ht="14" x14ac:dyDescent="0.3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ht="14" x14ac:dyDescent="0.3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ht="14" x14ac:dyDescent="0.3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ht="14" x14ac:dyDescent="0.3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ht="14" x14ac:dyDescent="0.3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ht="14" x14ac:dyDescent="0.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ht="14" x14ac:dyDescent="0.3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ht="14" x14ac:dyDescent="0.3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ht="14" x14ac:dyDescent="0.3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ht="14" x14ac:dyDescent="0.3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ht="14" x14ac:dyDescent="0.3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ht="14" x14ac:dyDescent="0.3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ht="14" x14ac:dyDescent="0.3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ht="14" x14ac:dyDescent="0.3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ht="14" x14ac:dyDescent="0.3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ht="14" x14ac:dyDescent="0.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ht="14" x14ac:dyDescent="0.3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ht="14" x14ac:dyDescent="0.3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ht="14" x14ac:dyDescent="0.3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ht="14" x14ac:dyDescent="0.3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ht="14" x14ac:dyDescent="0.3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ht="14" x14ac:dyDescent="0.3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ht="14" x14ac:dyDescent="0.3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ht="14" x14ac:dyDescent="0.3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ht="14" x14ac:dyDescent="0.3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ht="14" x14ac:dyDescent="0.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ht="14" x14ac:dyDescent="0.3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ht="14" x14ac:dyDescent="0.3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ht="14" x14ac:dyDescent="0.3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ht="14" x14ac:dyDescent="0.3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ht="14" x14ac:dyDescent="0.3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ht="14" x14ac:dyDescent="0.3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ht="14" x14ac:dyDescent="0.3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ht="14" x14ac:dyDescent="0.3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ht="14" x14ac:dyDescent="0.3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ht="14" x14ac:dyDescent="0.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ht="14" x14ac:dyDescent="0.3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ht="14" x14ac:dyDescent="0.3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ht="14" x14ac:dyDescent="0.3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ht="14" x14ac:dyDescent="0.3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ht="14" x14ac:dyDescent="0.3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ht="14" x14ac:dyDescent="0.3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ht="14" x14ac:dyDescent="0.3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ht="14" x14ac:dyDescent="0.3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ht="14" x14ac:dyDescent="0.3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ht="14" x14ac:dyDescent="0.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ht="14" x14ac:dyDescent="0.3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ht="14" x14ac:dyDescent="0.3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ht="14" x14ac:dyDescent="0.3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ht="14" x14ac:dyDescent="0.3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ht="14" x14ac:dyDescent="0.3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ht="14" x14ac:dyDescent="0.3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ht="14" x14ac:dyDescent="0.3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ht="14" x14ac:dyDescent="0.3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ht="14" x14ac:dyDescent="0.3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ht="14" x14ac:dyDescent="0.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ht="14" x14ac:dyDescent="0.3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ht="14" x14ac:dyDescent="0.3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ht="14" x14ac:dyDescent="0.3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ht="14" x14ac:dyDescent="0.3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ht="14" x14ac:dyDescent="0.3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ht="14" x14ac:dyDescent="0.3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ht="14" x14ac:dyDescent="0.3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ht="14" x14ac:dyDescent="0.3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ht="14" x14ac:dyDescent="0.3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ht="14" x14ac:dyDescent="0.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ht="14" x14ac:dyDescent="0.3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ht="14" x14ac:dyDescent="0.3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ht="14" x14ac:dyDescent="0.3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ht="14" x14ac:dyDescent="0.3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ht="14" x14ac:dyDescent="0.3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ht="14" x14ac:dyDescent="0.3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ht="14" x14ac:dyDescent="0.3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ht="14" x14ac:dyDescent="0.3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ht="14" x14ac:dyDescent="0.3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ht="14" x14ac:dyDescent="0.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ht="14" x14ac:dyDescent="0.3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ht="14" x14ac:dyDescent="0.3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ht="14" x14ac:dyDescent="0.3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ht="14" x14ac:dyDescent="0.3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ht="14" x14ac:dyDescent="0.3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ht="14" x14ac:dyDescent="0.3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ht="14" x14ac:dyDescent="0.3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ht="14" x14ac:dyDescent="0.3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ht="14" x14ac:dyDescent="0.3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ht="14" x14ac:dyDescent="0.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ht="14" x14ac:dyDescent="0.3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ht="14" x14ac:dyDescent="0.3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ht="14" x14ac:dyDescent="0.3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ht="14" x14ac:dyDescent="0.3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ht="14" x14ac:dyDescent="0.3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ht="14" x14ac:dyDescent="0.3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ht="14" x14ac:dyDescent="0.3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ht="14" x14ac:dyDescent="0.3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ht="14" x14ac:dyDescent="0.3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ht="14" x14ac:dyDescent="0.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ht="14" x14ac:dyDescent="0.3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ht="14" x14ac:dyDescent="0.3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ht="14" x14ac:dyDescent="0.3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ht="14" x14ac:dyDescent="0.3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ht="14" x14ac:dyDescent="0.3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ht="14" x14ac:dyDescent="0.3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ht="14" x14ac:dyDescent="0.3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ht="14" x14ac:dyDescent="0.3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ht="14" x14ac:dyDescent="0.3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ht="14" x14ac:dyDescent="0.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ht="14" x14ac:dyDescent="0.3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ht="14" x14ac:dyDescent="0.3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ht="14" x14ac:dyDescent="0.3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ht="14" x14ac:dyDescent="0.3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ht="14" x14ac:dyDescent="0.3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ht="14" x14ac:dyDescent="0.3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ht="14" x14ac:dyDescent="0.3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ht="14" x14ac:dyDescent="0.3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ht="14" x14ac:dyDescent="0.3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ht="14" x14ac:dyDescent="0.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ht="14" x14ac:dyDescent="0.3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ht="14" x14ac:dyDescent="0.3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ht="14" x14ac:dyDescent="0.3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ht="14" x14ac:dyDescent="0.3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ht="14" x14ac:dyDescent="0.3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ht="14" x14ac:dyDescent="0.3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ht="14" x14ac:dyDescent="0.3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ht="14" x14ac:dyDescent="0.3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ht="14" x14ac:dyDescent="0.3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ht="14" x14ac:dyDescent="0.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ht="14" x14ac:dyDescent="0.3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ht="14" x14ac:dyDescent="0.3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ht="14" x14ac:dyDescent="0.3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ht="14" x14ac:dyDescent="0.3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ht="14" x14ac:dyDescent="0.3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ht="14" x14ac:dyDescent="0.3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ht="14" x14ac:dyDescent="0.3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ht="14" x14ac:dyDescent="0.3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ht="14" x14ac:dyDescent="0.3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ht="14" x14ac:dyDescent="0.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ht="14" x14ac:dyDescent="0.3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ht="14" x14ac:dyDescent="0.3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ht="14" x14ac:dyDescent="0.3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ht="14" x14ac:dyDescent="0.3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ht="14" x14ac:dyDescent="0.3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ht="14" x14ac:dyDescent="0.3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ht="14" x14ac:dyDescent="0.3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ht="14" x14ac:dyDescent="0.3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ht="14" x14ac:dyDescent="0.3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ht="14" x14ac:dyDescent="0.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ht="14" x14ac:dyDescent="0.3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ht="14" x14ac:dyDescent="0.3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ht="14" x14ac:dyDescent="0.3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ht="14" x14ac:dyDescent="0.3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ht="14" x14ac:dyDescent="0.3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ht="14" x14ac:dyDescent="0.3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ht="14" x14ac:dyDescent="0.3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ht="14" x14ac:dyDescent="0.3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ht="14" x14ac:dyDescent="0.3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ht="14" x14ac:dyDescent="0.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ht="14" x14ac:dyDescent="0.3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ht="14" x14ac:dyDescent="0.3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ht="14" x14ac:dyDescent="0.3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ht="14" x14ac:dyDescent="0.3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ht="14" x14ac:dyDescent="0.3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ht="14" x14ac:dyDescent="0.3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ht="14" x14ac:dyDescent="0.3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ht="14" x14ac:dyDescent="0.3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ht="14" x14ac:dyDescent="0.3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ht="14" x14ac:dyDescent="0.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ht="14" x14ac:dyDescent="0.3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ht="14" x14ac:dyDescent="0.3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ht="14" x14ac:dyDescent="0.3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ht="14" x14ac:dyDescent="0.3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ht="14" x14ac:dyDescent="0.3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ht="14" x14ac:dyDescent="0.3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ht="14" x14ac:dyDescent="0.3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ht="14" x14ac:dyDescent="0.3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ht="14" x14ac:dyDescent="0.3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ht="14" x14ac:dyDescent="0.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ht="14" x14ac:dyDescent="0.3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ht="14" x14ac:dyDescent="0.3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ht="14" x14ac:dyDescent="0.3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ht="14" x14ac:dyDescent="0.3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ht="14" x14ac:dyDescent="0.3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ht="14" x14ac:dyDescent="0.3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ht="14" x14ac:dyDescent="0.3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ht="14" x14ac:dyDescent="0.3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ht="14" x14ac:dyDescent="0.3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ht="14" x14ac:dyDescent="0.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ht="14" x14ac:dyDescent="0.3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ht="14" x14ac:dyDescent="0.3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ht="14" x14ac:dyDescent="0.3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ht="14" x14ac:dyDescent="0.3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ht="14" x14ac:dyDescent="0.3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 ht="14" x14ac:dyDescent="0.3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spans="1:26" ht="14" x14ac:dyDescent="0.3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7"/>
  <sheetViews>
    <sheetView topLeftCell="N1" workbookViewId="0">
      <selection activeCell="T9" sqref="T9:T10"/>
    </sheetView>
  </sheetViews>
  <sheetFormatPr baseColWidth="10" defaultColWidth="12.6328125" defaultRowHeight="15.75" customHeight="1" x14ac:dyDescent="0.25"/>
  <cols>
    <col min="2" max="2" width="22" customWidth="1"/>
    <col min="3" max="3" width="12.26953125" customWidth="1"/>
    <col min="4" max="4" width="18.26953125" customWidth="1"/>
    <col min="5" max="5" width="14" customWidth="1"/>
    <col min="19" max="19" width="17" bestFit="1" customWidth="1"/>
    <col min="20" max="20" width="18.36328125" bestFit="1" customWidth="1"/>
  </cols>
  <sheetData>
    <row r="1" spans="1:26" ht="13" x14ac:dyDescent="0.3">
      <c r="A1" s="5" t="str">
        <f ca="1">IFERROR(__xludf.DUMMYFUNCTION("IMPORTRANGE(""https://docs.google.com/spreadsheets/d/14lMQEQfNvU16WPF6t149kvvPGHnMGYsIgN2EyG89odM/edit?gid=1136507210#gid=1136507210"",""ComercialAbril!A1:Z100"")"),"Legajo")</f>
        <v>Legajo</v>
      </c>
      <c r="B1" s="5" t="str">
        <f ca="1">IFERROR(__xludf.DUMMYFUNCTION("""COMPUTED_VALUE"""),"Apellido y Nombre")</f>
        <v>Apellido y Nombre</v>
      </c>
      <c r="C1" s="5" t="str">
        <f ca="1">IFERROR(__xludf.DUMMYFUNCTION("""COMPUTED_VALUE"""),"Periodo")</f>
        <v>Periodo</v>
      </c>
      <c r="D1" s="5" t="str">
        <f ca="1">IFERROR(__xludf.DUMMYFUNCTION("""COMPUTED_VALUE"""),"Tienda asignada este mes")</f>
        <v>Tienda asignada este mes</v>
      </c>
      <c r="E1" s="5" t="str">
        <f ca="1">IFERROR(__xludf.DUMMYFUNCTION("""COMPUTED_VALUE"""),"Horas Totales ")</f>
        <v xml:space="preserve">Horas Totales </v>
      </c>
      <c r="F1" s="5" t="str">
        <f ca="1">IFERROR(__xludf.DUMMYFUNCTION("""COMPUTED_VALUE"""),"Hs Normales (con vacaciones)")</f>
        <v>Hs Normales (con vacaciones)</v>
      </c>
      <c r="G1" s="5" t="str">
        <f ca="1">IFERROR(__xludf.DUMMYFUNCTION("""COMPUTED_VALUE"""),"Hs Feriados")</f>
        <v>Hs Feriados</v>
      </c>
      <c r="H1" s="5" t="str">
        <f ca="1">IFERROR(__xludf.DUMMYFUNCTION("""COMPUTED_VALUE"""),"Feriados No trabajados (Hs)")</f>
        <v>Feriados No trabajados (Hs)</v>
      </c>
      <c r="I1" s="5" t="str">
        <f ca="1">IFERROR(__xludf.DUMMYFUNCTION("""COMPUTED_VALUE"""),"Licencias justificadas 
(en HORAS)")</f>
        <v>Licencias justificadas 
(en HORAS)</v>
      </c>
      <c r="J1" s="5" t="str">
        <f ca="1">IFERROR(__xludf.DUMMYFUNCTION("""COMPUTED_VALUE"""),"Plus vacacional")</f>
        <v>Plus vacacional</v>
      </c>
      <c r="K1" s="5" t="str">
        <f ca="1">IFERROR(__xludf.DUMMYFUNCTION("""COMPUTED_VALUE"""),"Cant dias vacaciones")</f>
        <v>Cant dias vacaciones</v>
      </c>
      <c r="L1" s="5" t="str">
        <f ca="1">IFERROR(__xludf.DUMMYFUNCTION("""COMPUTED_VALUE"""),"Premios")</f>
        <v>Premios</v>
      </c>
      <c r="M1" s="5" t="str">
        <f ca="1">IFERROR(__xludf.DUMMYFUNCTION("""COMPUTED_VALUE"""),"Sueldo Neto")</f>
        <v>Sueldo Neto</v>
      </c>
      <c r="N1" s="5" t="str">
        <f ca="1">IFERROR(__xludf.DUMMYFUNCTION("""COMPUTED_VALUE"""),"Sueldo Bruto")</f>
        <v>Sueldo Bruto</v>
      </c>
      <c r="O1" s="5" t="str">
        <f ca="1">IFERROR(__xludf.DUMMYFUNCTION("""COMPUTED_VALUE"""),"Contribuciones + ART")</f>
        <v>Contribuciones + ART</v>
      </c>
      <c r="P1" s="5" t="str">
        <f ca="1">IFERROR(__xludf.DUMMYFUNCTION("""COMPUTED_VALUE"""),"Costo total")</f>
        <v>Costo total</v>
      </c>
      <c r="Q1" s="5" t="str">
        <f ca="1">IFERROR(__xludf.DUMMYFUNCTION("""COMPUTED_VALUE"""),"Observaciones")</f>
        <v>Observaciones</v>
      </c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25">
      <c r="A2" s="8">
        <f ca="1">IFERROR(__xludf.DUMMYFUNCTION("""COMPUTED_VALUE"""),55)</f>
        <v>55</v>
      </c>
      <c r="B2" s="8" t="str">
        <f ca="1">IFERROR(__xludf.DUMMYFUNCTION("""COMPUTED_VALUE"""),"Carrizo Camila")</f>
        <v>Carrizo Camila</v>
      </c>
      <c r="C2" s="34">
        <f ca="1">IFERROR(__xludf.DUMMYFUNCTION("""COMPUTED_VALUE"""),44414)</f>
        <v>44414</v>
      </c>
      <c r="D2" s="8" t="str">
        <f ca="1">IFERROR(__xludf.DUMMYFUNCTION("""COMPUTED_VALUE"""),"AS San Telmo")</f>
        <v>AS San Telmo</v>
      </c>
      <c r="E2" s="11">
        <f ca="1">IFERROR(__xludf.DUMMYFUNCTION("""COMPUTED_VALUE"""),132)</f>
        <v>132</v>
      </c>
      <c r="F2" s="11">
        <f ca="1">IFERROR(__xludf.DUMMYFUNCTION("""COMPUTED_VALUE"""),122)</f>
        <v>122</v>
      </c>
      <c r="G2" s="8">
        <f ca="1">IFERROR(__xludf.DUMMYFUNCTION("""COMPUTED_VALUE"""),10)</f>
        <v>10</v>
      </c>
      <c r="H2" s="8"/>
      <c r="I2" s="8"/>
      <c r="J2" s="8" t="str">
        <f ca="1">IFERROR(__xludf.DUMMYFUNCTION("""COMPUTED_VALUE"""),"NO")</f>
        <v>NO</v>
      </c>
      <c r="K2" s="8"/>
      <c r="L2" s="9">
        <f ca="1">IFERROR(__xludf.DUMMYFUNCTION("""COMPUTED_VALUE"""),24035)</f>
        <v>24035</v>
      </c>
      <c r="M2" s="9">
        <f ca="1">IFERROR(__xludf.DUMMYFUNCTION("""COMPUTED_VALUE"""),748018)</f>
        <v>748018</v>
      </c>
      <c r="N2" s="9">
        <f ca="1">IFERROR(__xludf.DUMMYFUNCTION("""COMPUTED_VALUE"""),944319.79)</f>
        <v>944319.79</v>
      </c>
      <c r="O2" s="9">
        <f ca="1">IFERROR(__xludf.DUMMYFUNCTION("""COMPUTED_VALUE"""),306781.805349999)</f>
        <v>306781.80534999899</v>
      </c>
      <c r="P2" s="9">
        <f ca="1">IFERROR(__xludf.DUMMYFUNCTION("""COMPUTED_VALUE"""),1251101.59535)</f>
        <v>1251101.5953500001</v>
      </c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 x14ac:dyDescent="0.25">
      <c r="A3" s="8">
        <f ca="1">IFERROR(__xludf.DUMMYFUNCTION("""COMPUTED_VALUE"""),103)</f>
        <v>103</v>
      </c>
      <c r="B3" s="8" t="str">
        <f ca="1">IFERROR(__xludf.DUMMYFUNCTION("""COMPUTED_VALUE"""),"Esposito Candela")</f>
        <v>Esposito Candela</v>
      </c>
      <c r="C3" s="35">
        <f ca="1">IFERROR(__xludf.DUMMYFUNCTION("""COMPUTED_VALUE"""),44854)</f>
        <v>44854</v>
      </c>
      <c r="D3" s="8" t="str">
        <f ca="1">IFERROR(__xludf.DUMMYFUNCTION("""COMPUTED_VALUE"""),"Lucero San Telmo")</f>
        <v>Lucero San Telmo</v>
      </c>
      <c r="E3" s="11">
        <f ca="1">IFERROR(__xludf.DUMMYFUNCTION("""COMPUTED_VALUE"""),129)</f>
        <v>129</v>
      </c>
      <c r="F3" s="11">
        <f ca="1">IFERROR(__xludf.DUMMYFUNCTION("""COMPUTED_VALUE"""),91)</f>
        <v>91</v>
      </c>
      <c r="G3" s="8">
        <f ca="1">IFERROR(__xludf.DUMMYFUNCTION("""COMPUTED_VALUE"""),6)</f>
        <v>6</v>
      </c>
      <c r="H3" s="8">
        <f ca="1">IFERROR(__xludf.DUMMYFUNCTION("""COMPUTED_VALUE"""),4)</f>
        <v>4</v>
      </c>
      <c r="I3" s="8"/>
      <c r="J3" s="8" t="str">
        <f ca="1">IFERROR(__xludf.DUMMYFUNCTION("""COMPUTED_VALUE"""),"SI")</f>
        <v>SI</v>
      </c>
      <c r="K3" s="8"/>
      <c r="L3" s="9">
        <f ca="1">IFERROR(__xludf.DUMMYFUNCTION("""COMPUTED_VALUE"""),29352)</f>
        <v>29352</v>
      </c>
      <c r="M3" s="9">
        <f ca="1">IFERROR(__xludf.DUMMYFUNCTION("""COMPUTED_VALUE"""),544266)</f>
        <v>544266</v>
      </c>
      <c r="N3" s="9">
        <f ca="1">IFERROR(__xludf.DUMMYFUNCTION("""COMPUTED_VALUE"""),682045.2)</f>
        <v>682045.2</v>
      </c>
      <c r="O3" s="9">
        <f ca="1">IFERROR(__xludf.DUMMYFUNCTION("""COMPUTED_VALUE"""),216926.035)</f>
        <v>216926.035</v>
      </c>
      <c r="P3" s="9">
        <f ca="1">IFERROR(__xludf.DUMMYFUNCTION("""COMPUTED_VALUE"""),898971.235)</f>
        <v>898971.23499999999</v>
      </c>
      <c r="Q3" s="8"/>
      <c r="R3" s="8"/>
      <c r="S3" s="92" t="s">
        <v>469</v>
      </c>
      <c r="T3" t="s">
        <v>478</v>
      </c>
      <c r="V3" s="8"/>
      <c r="W3" s="8"/>
      <c r="X3" s="8"/>
      <c r="Y3" s="8"/>
      <c r="Z3" s="8"/>
    </row>
    <row r="4" spans="1:26" ht="15.75" customHeight="1" x14ac:dyDescent="0.25">
      <c r="A4" s="8">
        <f ca="1">IFERROR(__xludf.DUMMYFUNCTION("""COMPUTED_VALUE"""),120)</f>
        <v>120</v>
      </c>
      <c r="B4" s="8" t="str">
        <f ca="1">IFERROR(__xludf.DUMMYFUNCTION("""COMPUTED_VALUE"""),"Bertolo Milagros")</f>
        <v>Bertolo Milagros</v>
      </c>
      <c r="C4" s="34">
        <f ca="1">IFERROR(__xludf.DUMMYFUNCTION("""COMPUTED_VALUE"""),45020)</f>
        <v>45020</v>
      </c>
      <c r="D4" s="8" t="str">
        <f ca="1">IFERROR(__xludf.DUMMYFUNCTION("""COMPUTED_VALUE"""),"Lucero French")</f>
        <v>Lucero French</v>
      </c>
      <c r="E4" s="11">
        <f ca="1">IFERROR(__xludf.DUMMYFUNCTION("""COMPUTED_VALUE"""),128)</f>
        <v>128</v>
      </c>
      <c r="F4" s="11">
        <f ca="1">IFERROR(__xludf.DUMMYFUNCTION("""COMPUTED_VALUE"""),119)</f>
        <v>119</v>
      </c>
      <c r="G4" s="8">
        <f ca="1">IFERROR(__xludf.DUMMYFUNCTION("""COMPUTED_VALUE"""),9)</f>
        <v>9</v>
      </c>
      <c r="H4" s="8"/>
      <c r="I4" s="8"/>
      <c r="J4" s="8" t="str">
        <f ca="1">IFERROR(__xludf.DUMMYFUNCTION("""COMPUTED_VALUE"""),"NO")</f>
        <v>NO</v>
      </c>
      <c r="K4" s="8"/>
      <c r="L4" s="9">
        <f ca="1">IFERROR(__xludf.DUMMYFUNCTION("""COMPUTED_VALUE"""),28820)</f>
        <v>28820</v>
      </c>
      <c r="M4" s="9">
        <f ca="1">IFERROR(__xludf.DUMMYFUNCTION("""COMPUTED_VALUE"""),720514)</f>
        <v>720514</v>
      </c>
      <c r="N4" s="9">
        <f ca="1">IFERROR(__xludf.DUMMYFUNCTION("""COMPUTED_VALUE"""),909608.85)</f>
        <v>909608.85</v>
      </c>
      <c r="O4" s="9">
        <f ca="1">IFERROR(__xludf.DUMMYFUNCTION("""COMPUTED_VALUE"""),295581.895449999)</f>
        <v>295581.89544999902</v>
      </c>
      <c r="P4" s="9">
        <f ca="1">IFERROR(__xludf.DUMMYFUNCTION("""COMPUTED_VALUE"""),1205190.74544999)</f>
        <v>1205190.74544999</v>
      </c>
      <c r="Q4" s="8"/>
      <c r="R4" s="8"/>
      <c r="S4" s="93" t="s">
        <v>470</v>
      </c>
      <c r="T4" s="94">
        <v>4520864.4537000004</v>
      </c>
      <c r="V4" s="8"/>
      <c r="W4" s="8"/>
      <c r="X4" s="8"/>
      <c r="Y4" s="8"/>
      <c r="Z4" s="8"/>
    </row>
    <row r="5" spans="1:26" ht="15.75" customHeight="1" x14ac:dyDescent="0.25">
      <c r="A5" s="8">
        <f ca="1">IFERROR(__xludf.DUMMYFUNCTION("""COMPUTED_VALUE"""),126)</f>
        <v>126</v>
      </c>
      <c r="B5" s="8" t="str">
        <f ca="1">IFERROR(__xludf.DUMMYFUNCTION("""COMPUTED_VALUE"""),"Barajas Barbara")</f>
        <v>Barajas Barbara</v>
      </c>
      <c r="C5" s="34">
        <f ca="1">IFERROR(__xludf.DUMMYFUNCTION("""COMPUTED_VALUE"""),45057)</f>
        <v>45057</v>
      </c>
      <c r="D5" s="8" t="str">
        <f ca="1">IFERROR(__xludf.DUMMYFUNCTION("""COMPUTED_VALUE"""),"Lucero Recoleta")</f>
        <v>Lucero Recoleta</v>
      </c>
      <c r="E5" s="11">
        <f ca="1">IFERROR(__xludf.DUMMYFUNCTION("""COMPUTED_VALUE"""),120)</f>
        <v>120</v>
      </c>
      <c r="F5" s="11">
        <f ca="1">IFERROR(__xludf.DUMMYFUNCTION("""COMPUTED_VALUE"""),111)</f>
        <v>111</v>
      </c>
      <c r="G5" s="8">
        <f ca="1">IFERROR(__xludf.DUMMYFUNCTION("""COMPUTED_VALUE"""),9)</f>
        <v>9</v>
      </c>
      <c r="H5" s="8"/>
      <c r="I5" s="8"/>
      <c r="J5" s="8" t="str">
        <f ca="1">IFERROR(__xludf.DUMMYFUNCTION("""COMPUTED_VALUE"""),"NO")</f>
        <v>NO</v>
      </c>
      <c r="K5" s="8"/>
      <c r="L5" s="9">
        <f ca="1">IFERROR(__xludf.DUMMYFUNCTION("""COMPUTED_VALUE"""),29882)</f>
        <v>29882</v>
      </c>
      <c r="M5" s="9">
        <f ca="1">IFERROR(__xludf.DUMMYFUNCTION("""COMPUTED_VALUE"""),673751)</f>
        <v>673751</v>
      </c>
      <c r="N5" s="9">
        <f ca="1">IFERROR(__xludf.DUMMYFUNCTION("""COMPUTED_VALUE"""),850618.43)</f>
        <v>850618.43</v>
      </c>
      <c r="O5" s="9">
        <f ca="1">IFERROR(__xludf.DUMMYFUNCTION("""COMPUTED_VALUE"""),276574.29115)</f>
        <v>276574.29115</v>
      </c>
      <c r="P5" s="9">
        <f ca="1">IFERROR(__xludf.DUMMYFUNCTION("""COMPUTED_VALUE"""),1127192.72115)</f>
        <v>1127192.7211500001</v>
      </c>
      <c r="Q5" s="8"/>
      <c r="R5" s="8"/>
      <c r="S5" s="93" t="s">
        <v>471</v>
      </c>
      <c r="T5" s="94">
        <v>7019683.5124999909</v>
      </c>
      <c r="V5" s="8"/>
      <c r="W5" s="8"/>
      <c r="X5" s="8"/>
      <c r="Y5" s="8"/>
      <c r="Z5" s="8"/>
    </row>
    <row r="6" spans="1:26" ht="15.75" customHeight="1" x14ac:dyDescent="0.25">
      <c r="A6" s="8">
        <f ca="1">IFERROR(__xludf.DUMMYFUNCTION("""COMPUTED_VALUE"""),131)</f>
        <v>131</v>
      </c>
      <c r="B6" s="8" t="str">
        <f ca="1">IFERROR(__xludf.DUMMYFUNCTION("""COMPUTED_VALUE"""),"De Brito Rocio")</f>
        <v>De Brito Rocio</v>
      </c>
      <c r="C6" s="34">
        <f ca="1">IFERROR(__xludf.DUMMYFUNCTION("""COMPUTED_VALUE"""),45085)</f>
        <v>45085</v>
      </c>
      <c r="D6" s="8" t="str">
        <f ca="1">IFERROR(__xludf.DUMMYFUNCTION("""COMPUTED_VALUE"""),"Lucero Güemes")</f>
        <v>Lucero Güemes</v>
      </c>
      <c r="E6" s="11">
        <f ca="1">IFERROR(__xludf.DUMMYFUNCTION("""COMPUTED_VALUE"""),122)</f>
        <v>122</v>
      </c>
      <c r="F6" s="11">
        <f ca="1">IFERROR(__xludf.DUMMYFUNCTION("""COMPUTED_VALUE"""),118)</f>
        <v>118</v>
      </c>
      <c r="G6" s="8">
        <f ca="1">IFERROR(__xludf.DUMMYFUNCTION("""COMPUTED_VALUE"""),0)</f>
        <v>0</v>
      </c>
      <c r="H6" s="8">
        <f ca="1">IFERROR(__xludf.DUMMYFUNCTION("""COMPUTED_VALUE"""),8)</f>
        <v>8</v>
      </c>
      <c r="I6" s="8">
        <f ca="1">IFERROR(__xludf.DUMMYFUNCTION("""COMPUTED_VALUE"""),4)</f>
        <v>4</v>
      </c>
      <c r="J6" s="8" t="str">
        <f ca="1">IFERROR(__xludf.DUMMYFUNCTION("""COMPUTED_VALUE"""),"NO")</f>
        <v>NO</v>
      </c>
      <c r="K6" s="8"/>
      <c r="L6" s="9">
        <f ca="1">IFERROR(__xludf.DUMMYFUNCTION("""COMPUTED_VALUE"""),8744)</f>
        <v>8744</v>
      </c>
      <c r="M6" s="9">
        <f ca="1">IFERROR(__xludf.DUMMYFUNCTION("""COMPUTED_VALUE"""),636686)</f>
        <v>636686</v>
      </c>
      <c r="N6" s="9">
        <f ca="1">IFERROR(__xludf.DUMMYFUNCTION("""COMPUTED_VALUE"""),802501.66)</f>
        <v>802501.66</v>
      </c>
      <c r="O6" s="9">
        <f ca="1">IFERROR(__xludf.DUMMYFUNCTION("""COMPUTED_VALUE"""),259684.012899999)</f>
        <v>259684.01289999901</v>
      </c>
      <c r="P6" s="9">
        <f ca="1">IFERROR(__xludf.DUMMYFUNCTION("""COMPUTED_VALUE"""),1062185.6729)</f>
        <v>1062185.6728999999</v>
      </c>
      <c r="Q6" s="8"/>
      <c r="R6" s="8"/>
      <c r="S6" s="93" t="s">
        <v>472</v>
      </c>
      <c r="T6" s="94">
        <v>3429207.3599999901</v>
      </c>
      <c r="V6" s="8"/>
      <c r="W6" s="8"/>
      <c r="X6" s="8"/>
      <c r="Y6" s="8"/>
      <c r="Z6" s="8"/>
    </row>
    <row r="7" spans="1:26" ht="15.75" customHeight="1" x14ac:dyDescent="0.25">
      <c r="A7" s="8">
        <f ca="1">IFERROR(__xludf.DUMMYFUNCTION("""COMPUTED_VALUE"""),138)</f>
        <v>138</v>
      </c>
      <c r="B7" s="8" t="str">
        <f ca="1">IFERROR(__xludf.DUMMYFUNCTION("""COMPUTED_VALUE"""),"Lara Robbio")</f>
        <v>Lara Robbio</v>
      </c>
      <c r="C7" s="34">
        <f ca="1">IFERROR(__xludf.DUMMYFUNCTION("""COMPUTED_VALUE"""),45139)</f>
        <v>45139</v>
      </c>
      <c r="D7" s="8" t="str">
        <f ca="1">IFERROR(__xludf.DUMMYFUNCTION("""COMPUTED_VALUE"""),"Lucero San Telmo")</f>
        <v>Lucero San Telmo</v>
      </c>
      <c r="E7" s="11">
        <f ca="1">IFERROR(__xludf.DUMMYFUNCTION("""COMPUTED_VALUE"""),121)</f>
        <v>121</v>
      </c>
      <c r="F7" s="11">
        <f ca="1">IFERROR(__xludf.DUMMYFUNCTION("""COMPUTED_VALUE"""),105)</f>
        <v>105</v>
      </c>
      <c r="G7" s="8">
        <f ca="1">IFERROR(__xludf.DUMMYFUNCTION("""COMPUTED_VALUE"""),8)</f>
        <v>8</v>
      </c>
      <c r="H7" s="8"/>
      <c r="I7" s="8">
        <f ca="1">IFERROR(__xludf.DUMMYFUNCTION("""COMPUTED_VALUE"""),8)</f>
        <v>8</v>
      </c>
      <c r="J7" s="8" t="str">
        <f ca="1">IFERROR(__xludf.DUMMYFUNCTION("""COMPUTED_VALUE"""),"NO")</f>
        <v>NO</v>
      </c>
      <c r="K7" s="8"/>
      <c r="L7" s="9">
        <f ca="1">IFERROR(__xludf.DUMMYFUNCTION("""COMPUTED_VALUE"""),34194)</f>
        <v>34194</v>
      </c>
      <c r="M7" s="9">
        <f ca="1">IFERROR(__xludf.DUMMYFUNCTION("""COMPUTED_VALUE"""),678666)</f>
        <v>678666</v>
      </c>
      <c r="N7" s="9">
        <f ca="1">IFERROR(__xludf.DUMMYFUNCTION("""COMPUTED_VALUE"""),856814.76)</f>
        <v>856814.76</v>
      </c>
      <c r="O7" s="9">
        <f ca="1">IFERROR(__xludf.DUMMYFUNCTION("""COMPUTED_VALUE"""),278566.953999999)</f>
        <v>278566.95399999898</v>
      </c>
      <c r="P7" s="9">
        <f ca="1">IFERROR(__xludf.DUMMYFUNCTION("""COMPUTED_VALUE"""),1135381.714)</f>
        <v>1135381.7139999999</v>
      </c>
      <c r="Q7" s="8"/>
      <c r="R7" s="8"/>
      <c r="S7" s="93" t="s">
        <v>473</v>
      </c>
      <c r="T7" s="94">
        <v>2296399.7143999999</v>
      </c>
      <c r="V7" s="8"/>
      <c r="W7" s="8"/>
      <c r="X7" s="8"/>
      <c r="Y7" s="8"/>
      <c r="Z7" s="8"/>
    </row>
    <row r="8" spans="1:26" ht="15.75" customHeight="1" x14ac:dyDescent="0.25">
      <c r="A8" s="8">
        <f ca="1">IFERROR(__xludf.DUMMYFUNCTION("""COMPUTED_VALUE"""),139)</f>
        <v>139</v>
      </c>
      <c r="B8" s="8" t="str">
        <f ca="1">IFERROR(__xludf.DUMMYFUNCTION("""COMPUTED_VALUE"""),"Viña Sofia")</f>
        <v>Viña Sofia</v>
      </c>
      <c r="C8" s="34">
        <f ca="1">IFERROR(__xludf.DUMMYFUNCTION("""COMPUTED_VALUE"""),45139)</f>
        <v>45139</v>
      </c>
      <c r="D8" s="8" t="str">
        <f ca="1">IFERROR(__xludf.DUMMYFUNCTION("""COMPUTED_VALUE"""),"Lucero Florida")</f>
        <v>Lucero Florida</v>
      </c>
      <c r="E8" s="11">
        <f ca="1">IFERROR(__xludf.DUMMYFUNCTION("""COMPUTED_VALUE"""),122)</f>
        <v>122</v>
      </c>
      <c r="F8" s="11">
        <f ca="1">IFERROR(__xludf.DUMMYFUNCTION("""COMPUTED_VALUE"""),112)</f>
        <v>112</v>
      </c>
      <c r="G8" s="8">
        <f ca="1">IFERROR(__xludf.DUMMYFUNCTION("""COMPUTED_VALUE"""),10)</f>
        <v>10</v>
      </c>
      <c r="H8" s="8"/>
      <c r="I8" s="8"/>
      <c r="J8" s="8" t="str">
        <f ca="1">IFERROR(__xludf.DUMMYFUNCTION("""COMPUTED_VALUE"""),"NO")</f>
        <v>NO</v>
      </c>
      <c r="K8" s="8"/>
      <c r="L8" s="9">
        <f ca="1">IFERROR(__xludf.DUMMYFUNCTION("""COMPUTED_VALUE"""),39514)</f>
        <v>39514</v>
      </c>
      <c r="M8" s="9">
        <f ca="1">IFERROR(__xludf.DUMMYFUNCTION("""COMPUTED_VALUE"""),695901)</f>
        <v>695901</v>
      </c>
      <c r="N8" s="9">
        <f ca="1">IFERROR(__xludf.DUMMYFUNCTION("""COMPUTED_VALUE"""),878907.97)</f>
        <v>878907.97</v>
      </c>
      <c r="O8" s="9">
        <f ca="1">IFERROR(__xludf.DUMMYFUNCTION("""COMPUTED_VALUE"""),286044.11425)</f>
        <v>286044.11424999998</v>
      </c>
      <c r="P8" s="9">
        <f ca="1">IFERROR(__xludf.DUMMYFUNCTION("""COMPUTED_VALUE"""),1164952.08424999)</f>
        <v>1164952.0842499901</v>
      </c>
      <c r="Q8" s="8"/>
      <c r="R8" s="8"/>
      <c r="S8" s="93" t="s">
        <v>474</v>
      </c>
      <c r="T8" s="94">
        <v>3434634.9756</v>
      </c>
      <c r="V8" s="8"/>
      <c r="W8" s="8"/>
      <c r="X8" s="8"/>
      <c r="Y8" s="8"/>
      <c r="Z8" s="8"/>
    </row>
    <row r="9" spans="1:26" ht="15.75" customHeight="1" x14ac:dyDescent="0.25">
      <c r="A9" s="8">
        <f ca="1">IFERROR(__xludf.DUMMYFUNCTION("""COMPUTED_VALUE"""),143)</f>
        <v>143</v>
      </c>
      <c r="B9" s="8" t="str">
        <f ca="1">IFERROR(__xludf.DUMMYFUNCTION("""COMPUTED_VALUE"""),"Molina Agustina")</f>
        <v>Molina Agustina</v>
      </c>
      <c r="C9" s="34">
        <f ca="1">IFERROR(__xludf.DUMMYFUNCTION("""COMPUTED_VALUE"""),45184)</f>
        <v>45184</v>
      </c>
      <c r="D9" s="8" t="str">
        <f ca="1">IFERROR(__xludf.DUMMYFUNCTION("""COMPUTED_VALUE"""),"AS San Telmo")</f>
        <v>AS San Telmo</v>
      </c>
      <c r="E9" s="11">
        <f ca="1">IFERROR(__xludf.DUMMYFUNCTION("""COMPUTED_VALUE"""),126)</f>
        <v>126</v>
      </c>
      <c r="F9" s="11">
        <f ca="1">IFERROR(__xludf.DUMMYFUNCTION("""COMPUTED_VALUE"""),116)</f>
        <v>116</v>
      </c>
      <c r="G9" s="8">
        <f ca="1">IFERROR(__xludf.DUMMYFUNCTION("""COMPUTED_VALUE"""),10)</f>
        <v>10</v>
      </c>
      <c r="H9" s="8"/>
      <c r="I9" s="8"/>
      <c r="J9" s="8" t="str">
        <f ca="1">IFERROR(__xludf.DUMMYFUNCTION("""COMPUTED_VALUE"""),"NO")</f>
        <v>NO</v>
      </c>
      <c r="K9" s="8"/>
      <c r="L9" s="9">
        <f ca="1">IFERROR(__xludf.DUMMYFUNCTION("""COMPUTED_VALUE"""),22943)</f>
        <v>22943</v>
      </c>
      <c r="M9" s="9">
        <f ca="1">IFERROR(__xludf.DUMMYFUNCTION("""COMPUTED_VALUE"""),702171)</f>
        <v>702171</v>
      </c>
      <c r="N9" s="9">
        <f ca="1">IFERROR(__xludf.DUMMYFUNCTION("""COMPUTED_VALUE"""),886416.02)</f>
        <v>886416.02</v>
      </c>
      <c r="O9" s="9">
        <f ca="1">IFERROR(__xludf.DUMMYFUNCTION("""COMPUTED_VALUE"""),288054.224499999)</f>
        <v>288054.22449999902</v>
      </c>
      <c r="P9" s="9">
        <f ca="1">IFERROR(__xludf.DUMMYFUNCTION("""COMPUTED_VALUE"""),1174470.2445)</f>
        <v>1174470.2445</v>
      </c>
      <c r="Q9" s="8"/>
      <c r="R9" s="8"/>
      <c r="S9" s="93" t="s">
        <v>475</v>
      </c>
      <c r="T9" s="94">
        <v>4232892.9722999902</v>
      </c>
      <c r="V9" s="8"/>
      <c r="W9" s="8"/>
      <c r="X9" s="8"/>
      <c r="Y9" s="8"/>
      <c r="Z9" s="8"/>
    </row>
    <row r="10" spans="1:26" ht="15.75" customHeight="1" x14ac:dyDescent="0.25">
      <c r="A10" s="8">
        <f ca="1">IFERROR(__xludf.DUMMYFUNCTION("""COMPUTED_VALUE"""),151)</f>
        <v>151</v>
      </c>
      <c r="B10" s="8" t="str">
        <f ca="1">IFERROR(__xludf.DUMMYFUNCTION("""COMPUTED_VALUE"""),"Kiara Corbalan")</f>
        <v>Kiara Corbalan</v>
      </c>
      <c r="C10" s="34">
        <f ca="1">IFERROR(__xludf.DUMMYFUNCTION("""COMPUTED_VALUE"""),45201)</f>
        <v>45201</v>
      </c>
      <c r="D10" s="8" t="str">
        <f ca="1">IFERROR(__xludf.DUMMYFUNCTION("""COMPUTED_VALUE"""),"AS San Telmo")</f>
        <v>AS San Telmo</v>
      </c>
      <c r="E10" s="11">
        <f ca="1">IFERROR(__xludf.DUMMYFUNCTION("""COMPUTED_VALUE"""),127)</f>
        <v>127</v>
      </c>
      <c r="F10" s="11">
        <f ca="1">IFERROR(__xludf.DUMMYFUNCTION("""COMPUTED_VALUE"""),122)</f>
        <v>122</v>
      </c>
      <c r="G10" s="8">
        <f ca="1">IFERROR(__xludf.DUMMYFUNCTION("""COMPUTED_VALUE"""),5)</f>
        <v>5</v>
      </c>
      <c r="H10" s="8">
        <f ca="1">IFERROR(__xludf.DUMMYFUNCTION("""COMPUTED_VALUE"""),4)</f>
        <v>4</v>
      </c>
      <c r="I10" s="8"/>
      <c r="J10" s="8" t="str">
        <f ca="1">IFERROR(__xludf.DUMMYFUNCTION("""COMPUTED_VALUE"""),"NO")</f>
        <v>NO</v>
      </c>
      <c r="K10" s="8"/>
      <c r="L10" s="9">
        <f ca="1">IFERROR(__xludf.DUMMYFUNCTION("""COMPUTED_VALUE"""),23195)</f>
        <v>23195</v>
      </c>
      <c r="M10" s="9">
        <f ca="1">IFERROR(__xludf.DUMMYFUNCTION("""COMPUTED_VALUE"""),690903)</f>
        <v>690903</v>
      </c>
      <c r="N10" s="9">
        <f ca="1">IFERROR(__xludf.DUMMYFUNCTION("""COMPUTED_VALUE"""),871731.26)</f>
        <v>871731.26</v>
      </c>
      <c r="O10" s="9">
        <f ca="1">IFERROR(__xludf.DUMMYFUNCTION("""COMPUTED_VALUE"""),282843.0301)</f>
        <v>282843.03009999997</v>
      </c>
      <c r="P10" s="9">
        <f ca="1">IFERROR(__xludf.DUMMYFUNCTION("""COMPUTED_VALUE"""),1154574.2901)</f>
        <v>1154574.2901000001</v>
      </c>
      <c r="Q10" s="8"/>
      <c r="R10" s="8"/>
      <c r="S10" s="93" t="s">
        <v>476</v>
      </c>
      <c r="T10" s="94">
        <v>2341500.4999499898</v>
      </c>
      <c r="V10" s="8"/>
      <c r="W10" s="8"/>
      <c r="X10" s="8"/>
      <c r="Y10" s="8"/>
      <c r="Z10" s="8"/>
    </row>
    <row r="11" spans="1:26" ht="15.75" customHeight="1" x14ac:dyDescent="0.25">
      <c r="A11" s="8">
        <f ca="1">IFERROR(__xludf.DUMMYFUNCTION("""COMPUTED_VALUE"""),161)</f>
        <v>161</v>
      </c>
      <c r="B11" s="8" t="str">
        <f ca="1">IFERROR(__xludf.DUMMYFUNCTION("""COMPUTED_VALUE"""),"Martínez Brisa")</f>
        <v>Martínez Brisa</v>
      </c>
      <c r="C11" s="35">
        <f ca="1">IFERROR(__xludf.DUMMYFUNCTION("""COMPUTED_VALUE"""),45272)</f>
        <v>45272</v>
      </c>
      <c r="D11" s="8" t="str">
        <f ca="1">IFERROR(__xludf.DUMMYFUNCTION("""COMPUTED_VALUE"""),"AS San Telmo")</f>
        <v>AS San Telmo</v>
      </c>
      <c r="E11" s="11">
        <f ca="1">IFERROR(__xludf.DUMMYFUNCTION("""COMPUTED_VALUE"""),126)</f>
        <v>126</v>
      </c>
      <c r="F11" s="11">
        <f ca="1">IFERROR(__xludf.DUMMYFUNCTION("""COMPUTED_VALUE"""),93)</f>
        <v>93</v>
      </c>
      <c r="G11" s="8">
        <f ca="1">IFERROR(__xludf.DUMMYFUNCTION("""COMPUTED_VALUE"""),5)</f>
        <v>5</v>
      </c>
      <c r="H11" s="8">
        <f ca="1">IFERROR(__xludf.DUMMYFUNCTION("""COMPUTED_VALUE"""),4)</f>
        <v>4</v>
      </c>
      <c r="I11" s="8"/>
      <c r="J11" s="8" t="str">
        <f ca="1">IFERROR(__xludf.DUMMYFUNCTION("""COMPUTED_VALUE"""),"SI")</f>
        <v>SI</v>
      </c>
      <c r="K11" s="8"/>
      <c r="L11" s="9">
        <f ca="1">IFERROR(__xludf.DUMMYFUNCTION("""COMPUTED_VALUE"""),17845)</f>
        <v>17845</v>
      </c>
      <c r="M11" s="9">
        <f ca="1">IFERROR(__xludf.DUMMYFUNCTION("""COMPUTED_VALUE"""),567481)</f>
        <v>567481</v>
      </c>
      <c r="N11" s="9">
        <f ca="1">IFERROR(__xludf.DUMMYFUNCTION("""COMPUTED_VALUE"""),712622.67)</f>
        <v>712622.67</v>
      </c>
      <c r="O11" s="9">
        <f ca="1">IFERROR(__xludf.DUMMYFUNCTION("""COMPUTED_VALUE"""),228095.65375)</f>
        <v>228095.65375</v>
      </c>
      <c r="P11" s="9">
        <f ca="1">IFERROR(__xludf.DUMMYFUNCTION("""COMPUTED_VALUE"""),940718.32375)</f>
        <v>940718.32374999998</v>
      </c>
      <c r="Q11" s="8"/>
      <c r="R11" s="8"/>
      <c r="S11" s="93" t="s">
        <v>477</v>
      </c>
      <c r="T11" s="94">
        <v>27275183.488449961</v>
      </c>
      <c r="V11" s="8"/>
      <c r="W11" s="8"/>
      <c r="X11" s="8"/>
      <c r="Y11" s="8"/>
      <c r="Z11" s="8"/>
    </row>
    <row r="12" spans="1:26" ht="15.75" customHeight="1" x14ac:dyDescent="0.25">
      <c r="A12" s="8">
        <f ca="1">IFERROR(__xludf.DUMMYFUNCTION("""COMPUTED_VALUE"""),165)</f>
        <v>165</v>
      </c>
      <c r="B12" s="8" t="str">
        <f ca="1">IFERROR(__xludf.DUMMYFUNCTION("""COMPUTED_VALUE"""),"CORONEL Mailen")</f>
        <v>CORONEL Mailen</v>
      </c>
      <c r="C12" s="34">
        <f ca="1">IFERROR(__xludf.DUMMYFUNCTION("""COMPUTED_VALUE"""),45311)</f>
        <v>45311</v>
      </c>
      <c r="D12" s="8" t="str">
        <f ca="1">IFERROR(__xludf.DUMMYFUNCTION("""COMPUTED_VALUE"""),"Lucero Güemes")</f>
        <v>Lucero Güemes</v>
      </c>
      <c r="E12" s="11">
        <f ca="1">IFERROR(__xludf.DUMMYFUNCTION("""COMPUTED_VALUE"""),123)</f>
        <v>123</v>
      </c>
      <c r="F12" s="11">
        <f ca="1">IFERROR(__xludf.DUMMYFUNCTION("""COMPUTED_VALUE"""),123)</f>
        <v>123</v>
      </c>
      <c r="G12" s="8">
        <f ca="1">IFERROR(__xludf.DUMMYFUNCTION("""COMPUTED_VALUE"""),0)</f>
        <v>0</v>
      </c>
      <c r="H12" s="8">
        <f ca="1">IFERROR(__xludf.DUMMYFUNCTION("""COMPUTED_VALUE"""),8)</f>
        <v>8</v>
      </c>
      <c r="I12" s="8"/>
      <c r="J12" s="8" t="str">
        <f ca="1">IFERROR(__xludf.DUMMYFUNCTION("""COMPUTED_VALUE"""),"NO")</f>
        <v>NO</v>
      </c>
      <c r="K12" s="8"/>
      <c r="L12" s="9">
        <f ca="1">IFERROR(__xludf.DUMMYFUNCTION("""COMPUTED_VALUE"""),9114)</f>
        <v>9114</v>
      </c>
      <c r="M12" s="9">
        <f ca="1">IFERROR(__xludf.DUMMYFUNCTION("""COMPUTED_VALUE"""),769679)</f>
        <v>769679</v>
      </c>
      <c r="N12" s="9">
        <f ca="1">IFERROR(__xludf.DUMMYFUNCTION("""COMPUTED_VALUE"""),973959.74)</f>
        <v>973959.74</v>
      </c>
      <c r="O12" s="9">
        <f ca="1">IFERROR(__xludf.DUMMYFUNCTION("""COMPUTED_VALUE"""),260254.3015)</f>
        <v>260254.3015</v>
      </c>
      <c r="P12" s="9">
        <f ca="1">IFERROR(__xludf.DUMMYFUNCTION("""COMPUTED_VALUE"""),1234214.0415)</f>
        <v>1234214.0415000001</v>
      </c>
      <c r="Q12" s="8"/>
      <c r="R12" s="8"/>
      <c r="V12" s="8"/>
      <c r="W12" s="8"/>
      <c r="X12" s="8"/>
      <c r="Y12" s="8"/>
      <c r="Z12" s="8"/>
    </row>
    <row r="13" spans="1:26" ht="15.75" customHeight="1" x14ac:dyDescent="0.25">
      <c r="A13" s="8">
        <f ca="1">IFERROR(__xludf.DUMMYFUNCTION("""COMPUTED_VALUE"""),170)</f>
        <v>170</v>
      </c>
      <c r="B13" s="8" t="str">
        <f ca="1">IFERROR(__xludf.DUMMYFUNCTION("""COMPUTED_VALUE"""),"Ruiz de la Torre Maitena")</f>
        <v>Ruiz de la Torre Maitena</v>
      </c>
      <c r="C13" s="34">
        <f ca="1">IFERROR(__xludf.DUMMYFUNCTION("""COMPUTED_VALUE"""),45345)</f>
        <v>45345</v>
      </c>
      <c r="D13" s="8" t="str">
        <f ca="1">IFERROR(__xludf.DUMMYFUNCTION("""COMPUTED_VALUE"""),"Lucero Florida")</f>
        <v>Lucero Florida</v>
      </c>
      <c r="E13" s="11">
        <f ca="1">IFERROR(__xludf.DUMMYFUNCTION("""COMPUTED_VALUE"""),125)</f>
        <v>125</v>
      </c>
      <c r="F13" s="11">
        <f ca="1">IFERROR(__xludf.DUMMYFUNCTION("""COMPUTED_VALUE"""),115)</f>
        <v>115</v>
      </c>
      <c r="G13" s="8">
        <f ca="1">IFERROR(__xludf.DUMMYFUNCTION("""COMPUTED_VALUE"""),10)</f>
        <v>10</v>
      </c>
      <c r="H13" s="8"/>
      <c r="I13" s="8"/>
      <c r="J13" s="8" t="str">
        <f ca="1">IFERROR(__xludf.DUMMYFUNCTION("""COMPUTED_VALUE"""),"NO")</f>
        <v>NO</v>
      </c>
      <c r="K13" s="8"/>
      <c r="L13" s="9">
        <f ca="1">IFERROR(__xludf.DUMMYFUNCTION("""COMPUTED_VALUE"""),40486)</f>
        <v>40486</v>
      </c>
      <c r="M13" s="9">
        <f ca="1">IFERROR(__xludf.DUMMYFUNCTION("""COMPUTED_VALUE"""),711966)</f>
        <v>711966</v>
      </c>
      <c r="N13" s="9">
        <f ca="1">IFERROR(__xludf.DUMMYFUNCTION("""COMPUTED_VALUE"""),899200.38)</f>
        <v>899200.38</v>
      </c>
      <c r="O13" s="9">
        <f ca="1">IFERROR(__xludf.DUMMYFUNCTION("""COMPUTED_VALUE"""),292609.9231)</f>
        <v>292609.92310000001</v>
      </c>
      <c r="P13" s="9">
        <f ca="1">IFERROR(__xludf.DUMMYFUNCTION("""COMPUTED_VALUE"""),1191810.3031)</f>
        <v>1191810.3030999999</v>
      </c>
      <c r="Q13" s="8"/>
      <c r="R13" s="8"/>
      <c r="V13" s="8"/>
      <c r="W13" s="8"/>
      <c r="X13" s="8"/>
      <c r="Y13" s="8"/>
      <c r="Z13" s="8"/>
    </row>
    <row r="14" spans="1:26" ht="15.75" customHeight="1" x14ac:dyDescent="0.25">
      <c r="A14" s="8">
        <f ca="1">IFERROR(__xludf.DUMMYFUNCTION("""COMPUTED_VALUE"""),171)</f>
        <v>171</v>
      </c>
      <c r="B14" s="8" t="str">
        <f ca="1">IFERROR(__xludf.DUMMYFUNCTION("""COMPUTED_VALUE"""),"Gimenez Candela")</f>
        <v>Gimenez Candela</v>
      </c>
      <c r="C14" s="34">
        <f ca="1">IFERROR(__xludf.DUMMYFUNCTION("""COMPUTED_VALUE"""),45771)</f>
        <v>45771</v>
      </c>
      <c r="D14" s="8" t="str">
        <f ca="1">IFERROR(__xludf.DUMMYFUNCTION("""COMPUTED_VALUE"""),"Lucero Recoleta")</f>
        <v>Lucero Recoleta</v>
      </c>
      <c r="E14" s="11">
        <f ca="1">IFERROR(__xludf.DUMMYFUNCTION("""COMPUTED_VALUE"""),127)</f>
        <v>127</v>
      </c>
      <c r="F14" s="11">
        <f ca="1">IFERROR(__xludf.DUMMYFUNCTION("""COMPUTED_VALUE"""),117)</f>
        <v>117</v>
      </c>
      <c r="G14" s="8">
        <f ca="1">IFERROR(__xludf.DUMMYFUNCTION("""COMPUTED_VALUE"""),10)</f>
        <v>10</v>
      </c>
      <c r="H14" s="8"/>
      <c r="I14" s="8"/>
      <c r="J14" s="8" t="str">
        <f ca="1">IFERROR(__xludf.DUMMYFUNCTION("""COMPUTED_VALUE"""),"NO")</f>
        <v>NO</v>
      </c>
      <c r="K14" s="8"/>
      <c r="L14" s="9">
        <f ca="1">IFERROR(__xludf.DUMMYFUNCTION("""COMPUTED_VALUE"""),31625)</f>
        <v>31625</v>
      </c>
      <c r="M14" s="9">
        <f ca="1">IFERROR(__xludf.DUMMYFUNCTION("""COMPUTED_VALUE"""),714613)</f>
        <v>714613</v>
      </c>
      <c r="N14" s="9">
        <f ca="1">IFERROR(__xludf.DUMMYFUNCTION("""COMPUTED_VALUE"""),902324.75)</f>
        <v>902324.75</v>
      </c>
      <c r="O14" s="9">
        <f ca="1">IFERROR(__xludf.DUMMYFUNCTION("""COMPUTED_VALUE"""),293397.74095)</f>
        <v>293397.74095000001</v>
      </c>
      <c r="P14" s="9">
        <f ca="1">IFERROR(__xludf.DUMMYFUNCTION("""COMPUTED_VALUE"""),1195722.49095)</f>
        <v>1195722.49095</v>
      </c>
      <c r="Q14" s="8"/>
      <c r="R14" s="8"/>
      <c r="V14" s="8"/>
      <c r="W14" s="8"/>
      <c r="X14" s="8"/>
      <c r="Y14" s="8"/>
      <c r="Z14" s="8"/>
    </row>
    <row r="15" spans="1:26" ht="15.75" customHeight="1" x14ac:dyDescent="0.25">
      <c r="A15" s="8">
        <f ca="1">IFERROR(__xludf.DUMMYFUNCTION("""COMPUTED_VALUE"""),173)</f>
        <v>173</v>
      </c>
      <c r="B15" s="8" t="str">
        <f ca="1">IFERROR(__xludf.DUMMYFUNCTION("""COMPUTED_VALUE"""),"Imperiale Candela")</f>
        <v>Imperiale Candela</v>
      </c>
      <c r="C15" s="34">
        <f ca="1">IFERROR(__xludf.DUMMYFUNCTION("""COMPUTED_VALUE"""),45447)</f>
        <v>45447</v>
      </c>
      <c r="D15" s="8" t="str">
        <f ca="1">IFERROR(__xludf.DUMMYFUNCTION("""COMPUTED_VALUE"""),"Lucero Florida")</f>
        <v>Lucero Florida</v>
      </c>
      <c r="E15" s="11">
        <f ca="1">IFERROR(__xludf.DUMMYFUNCTION("""COMPUTED_VALUE"""),132)</f>
        <v>132</v>
      </c>
      <c r="F15" s="11">
        <f ca="1">IFERROR(__xludf.DUMMYFUNCTION("""COMPUTED_VALUE"""),120)</f>
        <v>120</v>
      </c>
      <c r="G15" s="8">
        <f ca="1">IFERROR(__xludf.DUMMYFUNCTION("""COMPUTED_VALUE"""),12)</f>
        <v>12</v>
      </c>
      <c r="H15" s="8"/>
      <c r="I15" s="8"/>
      <c r="J15" s="8" t="str">
        <f ca="1">IFERROR(__xludf.DUMMYFUNCTION("""COMPUTED_VALUE"""),"NO")</f>
        <v>NO</v>
      </c>
      <c r="K15" s="8"/>
      <c r="L15" s="9">
        <f ca="1">IFERROR(__xludf.DUMMYFUNCTION("""COMPUTED_VALUE"""),42753)</f>
        <v>42753</v>
      </c>
      <c r="M15" s="9">
        <f ca="1">IFERROR(__xludf.DUMMYFUNCTION("""COMPUTED_VALUE"""),749642)</f>
        <v>749642</v>
      </c>
      <c r="N15" s="9">
        <f ca="1">IFERROR(__xludf.DUMMYFUNCTION("""COMPUTED_VALUE"""),946985.8)</f>
        <v>946985.8</v>
      </c>
      <c r="O15" s="9">
        <f ca="1">IFERROR(__xludf.DUMMYFUNCTION("""COMPUTED_VALUE"""),308270.1412)</f>
        <v>308270.14120000001</v>
      </c>
      <c r="P15" s="9">
        <f ca="1">IFERROR(__xludf.DUMMYFUNCTION("""COMPUTED_VALUE"""),1255255.9412)</f>
        <v>1255255.9412</v>
      </c>
      <c r="Q15" s="8"/>
      <c r="R15" s="8"/>
      <c r="V15" s="8"/>
      <c r="W15" s="8"/>
      <c r="X15" s="8"/>
      <c r="Y15" s="8"/>
      <c r="Z15" s="8"/>
    </row>
    <row r="16" spans="1:26" ht="15.75" customHeight="1" x14ac:dyDescent="0.25">
      <c r="A16" s="8">
        <f ca="1">IFERROR(__xludf.DUMMYFUNCTION("""COMPUTED_VALUE"""),174)</f>
        <v>174</v>
      </c>
      <c r="B16" s="8" t="str">
        <f ca="1">IFERROR(__xludf.DUMMYFUNCTION("""COMPUTED_VALUE"""),"Machuca Araceli")</f>
        <v>Machuca Araceli</v>
      </c>
      <c r="C16" s="34">
        <f ca="1">IFERROR(__xludf.DUMMYFUNCTION("""COMPUTED_VALUE"""),45477)</f>
        <v>45477</v>
      </c>
      <c r="D16" s="8" t="str">
        <f ca="1">IFERROR(__xludf.DUMMYFUNCTION("""COMPUTED_VALUE"""),"Lucero French")</f>
        <v>Lucero French</v>
      </c>
      <c r="E16" s="11">
        <f ca="1">IFERROR(__xludf.DUMMYFUNCTION("""COMPUTED_VALUE"""),121)</f>
        <v>121</v>
      </c>
      <c r="F16" s="11">
        <f ca="1">IFERROR(__xludf.DUMMYFUNCTION("""COMPUTED_VALUE"""),112)</f>
        <v>112</v>
      </c>
      <c r="G16" s="8">
        <f ca="1">IFERROR(__xludf.DUMMYFUNCTION("""COMPUTED_VALUE"""),9)</f>
        <v>9</v>
      </c>
      <c r="H16" s="8"/>
      <c r="I16" s="8"/>
      <c r="J16" s="8" t="str">
        <f ca="1">IFERROR(__xludf.DUMMYFUNCTION("""COMPUTED_VALUE"""),"NO")</f>
        <v>NO</v>
      </c>
      <c r="K16" s="8"/>
      <c r="L16" s="9">
        <f ca="1">IFERROR(__xludf.DUMMYFUNCTION("""COMPUTED_VALUE"""),27244)</f>
        <v>27244</v>
      </c>
      <c r="M16" s="9">
        <f ca="1">IFERROR(__xludf.DUMMYFUNCTION("""COMPUTED_VALUE"""),669939)</f>
        <v>669939</v>
      </c>
      <c r="N16" s="9">
        <f ca="1">IFERROR(__xludf.DUMMYFUNCTION("""COMPUTED_VALUE"""),845728.49)</f>
        <v>845728.49</v>
      </c>
      <c r="O16" s="9">
        <f ca="1">IFERROR(__xludf.DUMMYFUNCTION("""COMPUTED_VALUE"""),274915.94485)</f>
        <v>274915.94485000003</v>
      </c>
      <c r="P16" s="9">
        <f ca="1">IFERROR(__xludf.DUMMYFUNCTION("""COMPUTED_VALUE"""),1120644.43485)</f>
        <v>1120644.4348500001</v>
      </c>
      <c r="Q16" s="8"/>
      <c r="R16" s="8"/>
      <c r="V16" s="8"/>
      <c r="W16" s="8"/>
      <c r="X16" s="8"/>
      <c r="Y16" s="8"/>
      <c r="Z16" s="8"/>
    </row>
    <row r="17" spans="1:26" ht="15.75" customHeight="1" x14ac:dyDescent="0.25">
      <c r="A17" s="8">
        <f ca="1">IFERROR(__xludf.DUMMYFUNCTION("""COMPUTED_VALUE"""),186)</f>
        <v>186</v>
      </c>
      <c r="B17" s="8" t="str">
        <f ca="1">IFERROR(__xludf.DUMMYFUNCTION("""COMPUTED_VALUE"""),"Balmaceda Luciana")</f>
        <v>Balmaceda Luciana</v>
      </c>
      <c r="C17" s="35">
        <f ca="1">IFERROR(__xludf.DUMMYFUNCTION("""COMPUTED_VALUE"""),45587)</f>
        <v>45587</v>
      </c>
      <c r="D17" s="8" t="str">
        <f ca="1">IFERROR(__xludf.DUMMYFUNCTION("""COMPUTED_VALUE"""),"Lucero Florida")</f>
        <v>Lucero Florida</v>
      </c>
      <c r="E17" s="11">
        <f ca="1">IFERROR(__xludf.DUMMYFUNCTION("""COMPUTED_VALUE"""),113)</f>
        <v>113</v>
      </c>
      <c r="F17" s="11">
        <f ca="1">IFERROR(__xludf.DUMMYFUNCTION("""COMPUTED_VALUE"""),104)</f>
        <v>104</v>
      </c>
      <c r="G17" s="8">
        <f ca="1">IFERROR(__xludf.DUMMYFUNCTION("""COMPUTED_VALUE"""),9)</f>
        <v>9</v>
      </c>
      <c r="H17" s="8"/>
      <c r="I17" s="8"/>
      <c r="J17" s="8" t="str">
        <f ca="1">IFERROR(__xludf.DUMMYFUNCTION("""COMPUTED_VALUE"""),"NO")</f>
        <v>NO</v>
      </c>
      <c r="K17" s="8"/>
      <c r="L17" s="9">
        <f ca="1">IFERROR(__xludf.DUMMYFUNCTION("""COMPUTED_VALUE"""),30246)</f>
        <v>30246</v>
      </c>
      <c r="M17" s="9">
        <f ca="1">IFERROR(__xludf.DUMMYFUNCTION("""COMPUTED_VALUE"""),632219)</f>
        <v>632219</v>
      </c>
      <c r="N17" s="9">
        <f ca="1">IFERROR(__xludf.DUMMYFUNCTION("""COMPUTED_VALUE"""),798210.54)</f>
        <v>798210.54</v>
      </c>
      <c r="O17" s="9">
        <f ca="1">IFERROR(__xludf.DUMMYFUNCTION("""COMPUTED_VALUE"""),259671.0733)</f>
        <v>259671.07329999999</v>
      </c>
      <c r="P17" s="9">
        <f ca="1">IFERROR(__xludf.DUMMYFUNCTION("""COMPUTED_VALUE"""),1057881.6133)</f>
        <v>1057881.6133000001</v>
      </c>
      <c r="Q17" s="8"/>
      <c r="R17" s="8"/>
      <c r="V17" s="8"/>
      <c r="W17" s="8"/>
      <c r="X17" s="8"/>
      <c r="Y17" s="8"/>
      <c r="Z17" s="8"/>
    </row>
    <row r="18" spans="1:26" ht="12.5" x14ac:dyDescent="0.25">
      <c r="A18" s="8">
        <f ca="1">IFERROR(__xludf.DUMMYFUNCTION("""COMPUTED_VALUE"""),189)</f>
        <v>189</v>
      </c>
      <c r="B18" s="8" t="str">
        <f ca="1">IFERROR(__xludf.DUMMYFUNCTION("""COMPUTED_VALUE"""),"Oliva Micaela")</f>
        <v>Oliva Micaela</v>
      </c>
      <c r="C18" s="34">
        <f ca="1">IFERROR(__xludf.DUMMYFUNCTION("""COMPUTED_VALUE"""),45597)</f>
        <v>45597</v>
      </c>
      <c r="D18" s="8" t="str">
        <f ca="1">IFERROR(__xludf.DUMMYFUNCTION("""COMPUTED_VALUE"""),"Lucero Recoleta")</f>
        <v>Lucero Recoleta</v>
      </c>
      <c r="E18" s="11">
        <f ca="1">IFERROR(__xludf.DUMMYFUNCTION("""COMPUTED_VALUE"""),118)</f>
        <v>118</v>
      </c>
      <c r="F18" s="11">
        <f ca="1">IFERROR(__xludf.DUMMYFUNCTION("""COMPUTED_VALUE"""),107)</f>
        <v>107</v>
      </c>
      <c r="G18" s="8">
        <f ca="1">IFERROR(__xludf.DUMMYFUNCTION("""COMPUTED_VALUE"""),11)</f>
        <v>11</v>
      </c>
      <c r="H18" s="8"/>
      <c r="I18" s="8"/>
      <c r="J18" s="8" t="str">
        <f ca="1">IFERROR(__xludf.DUMMYFUNCTION("""COMPUTED_VALUE"""),"NO")</f>
        <v>NO</v>
      </c>
      <c r="K18" s="8"/>
      <c r="L18" s="9">
        <f ca="1">IFERROR(__xludf.DUMMYFUNCTION("""COMPUTED_VALUE"""),29384)</f>
        <v>29384</v>
      </c>
      <c r="M18" s="9">
        <f ca="1">IFERROR(__xludf.DUMMYFUNCTION("""COMPUTED_VALUE"""),664213)</f>
        <v>664213</v>
      </c>
      <c r="N18" s="9">
        <f ca="1">IFERROR(__xludf.DUMMYFUNCTION("""COMPUTED_VALUE"""),838772.66)</f>
        <v>838772.66</v>
      </c>
      <c r="O18" s="9">
        <f ca="1">IFERROR(__xludf.DUMMYFUNCTION("""COMPUTED_VALUE"""),272947.103499999)</f>
        <v>272947.10349999898</v>
      </c>
      <c r="P18" s="9">
        <f ca="1">IFERROR(__xludf.DUMMYFUNCTION("""COMPUTED_VALUE"""),1111719.7635)</f>
        <v>1111719.7634999999</v>
      </c>
      <c r="Q18" s="8"/>
      <c r="R18" s="8"/>
      <c r="V18" s="8"/>
      <c r="W18" s="8"/>
      <c r="X18" s="8"/>
      <c r="Y18" s="8"/>
      <c r="Z18" s="8"/>
    </row>
    <row r="19" spans="1:26" ht="12.5" x14ac:dyDescent="0.25">
      <c r="A19" s="8">
        <f ca="1">IFERROR(__xludf.DUMMYFUNCTION("""COMPUTED_VALUE"""),190)</f>
        <v>190</v>
      </c>
      <c r="B19" s="8" t="str">
        <f ca="1">IFERROR(__xludf.DUMMYFUNCTION("""COMPUTED_VALUE"""),"Mohamad Daila")</f>
        <v>Mohamad Daila</v>
      </c>
      <c r="C19" s="34">
        <f ca="1">IFERROR(__xludf.DUMMYFUNCTION("""COMPUTED_VALUE"""),45597)</f>
        <v>45597</v>
      </c>
      <c r="D19" s="8" t="str">
        <f ca="1">IFERROR(__xludf.DUMMYFUNCTION("""COMPUTED_VALUE"""),"Lucero San Telmo 2")</f>
        <v>Lucero San Telmo 2</v>
      </c>
      <c r="E19" s="11">
        <f ca="1">IFERROR(__xludf.DUMMYFUNCTION("""COMPUTED_VALUE"""),129)</f>
        <v>129</v>
      </c>
      <c r="F19" s="11">
        <f ca="1">IFERROR(__xludf.DUMMYFUNCTION("""COMPUTED_VALUE"""),119)</f>
        <v>119</v>
      </c>
      <c r="G19" s="8">
        <f ca="1">IFERROR(__xludf.DUMMYFUNCTION("""COMPUTED_VALUE"""),10)</f>
        <v>10</v>
      </c>
      <c r="H19" s="8"/>
      <c r="I19" s="8"/>
      <c r="J19" s="8" t="str">
        <f ca="1">IFERROR(__xludf.DUMMYFUNCTION("""COMPUTED_VALUE"""),"NO")</f>
        <v>NO</v>
      </c>
      <c r="K19" s="8"/>
      <c r="L19" s="9">
        <f ca="1">IFERROR(__xludf.DUMMYFUNCTION("""COMPUTED_VALUE"""),33616)</f>
        <v>33616</v>
      </c>
      <c r="M19" s="9">
        <f ca="1">IFERROR(__xludf.DUMMYFUNCTION("""COMPUTED_VALUE"""),718261)</f>
        <v>718261</v>
      </c>
      <c r="N19" s="9">
        <f ca="1">IFERROR(__xludf.DUMMYFUNCTION("""COMPUTED_VALUE"""),906926.69)</f>
        <v>906926.69</v>
      </c>
      <c r="O19" s="9">
        <f ca="1">IFERROR(__xludf.DUMMYFUNCTION("""COMPUTED_VALUE"""),294880.61605)</f>
        <v>294880.61605000001</v>
      </c>
      <c r="P19" s="9">
        <f ca="1">IFERROR(__xludf.DUMMYFUNCTION("""COMPUTED_VALUE"""),1201807.30605)</f>
        <v>1201807.30605</v>
      </c>
      <c r="Q19" s="8" t="str">
        <f ca="1">IFERROR(__xludf.DUMMYFUNCTION("""COMPUTED_VALUE"""),"Ajuste premio x gestion de marzo + premio abril")</f>
        <v>Ajuste premio x gestion de marzo + premio abril</v>
      </c>
      <c r="R19" s="8"/>
      <c r="V19" s="8"/>
      <c r="W19" s="8"/>
      <c r="X19" s="8"/>
      <c r="Y19" s="8"/>
      <c r="Z19" s="8"/>
    </row>
    <row r="20" spans="1:26" ht="12.5" x14ac:dyDescent="0.25">
      <c r="A20" s="8">
        <f ca="1">IFERROR(__xludf.DUMMYFUNCTION("""COMPUTED_VALUE"""),192)</f>
        <v>192</v>
      </c>
      <c r="B20" s="8" t="str">
        <f ca="1">IFERROR(__xludf.DUMMYFUNCTION("""COMPUTED_VALUE"""),"Sarapura Rebecca")</f>
        <v>Sarapura Rebecca</v>
      </c>
      <c r="C20" s="34">
        <f ca="1">IFERROR(__xludf.DUMMYFUNCTION("""COMPUTED_VALUE"""),45597)</f>
        <v>45597</v>
      </c>
      <c r="D20" s="8" t="str">
        <f ca="1">IFERROR(__xludf.DUMMYFUNCTION("""COMPUTED_VALUE"""),"Lucero San Telmo")</f>
        <v>Lucero San Telmo</v>
      </c>
      <c r="E20" s="11">
        <f ca="1">IFERROR(__xludf.DUMMYFUNCTION("""COMPUTED_VALUE"""),119)</f>
        <v>119</v>
      </c>
      <c r="F20" s="11">
        <f ca="1">IFERROR(__xludf.DUMMYFUNCTION("""COMPUTED_VALUE"""),111)</f>
        <v>111</v>
      </c>
      <c r="G20" s="8">
        <f ca="1">IFERROR(__xludf.DUMMYFUNCTION("""COMPUTED_VALUE"""),8)</f>
        <v>8</v>
      </c>
      <c r="H20" s="8"/>
      <c r="I20" s="8"/>
      <c r="J20" s="8" t="str">
        <f ca="1">IFERROR(__xludf.DUMMYFUNCTION("""COMPUTED_VALUE"""),"NO")</f>
        <v>NO</v>
      </c>
      <c r="K20" s="8"/>
      <c r="L20" s="9">
        <f ca="1">IFERROR(__xludf.DUMMYFUNCTION("""COMPUTED_VALUE"""),58967)</f>
        <v>58967</v>
      </c>
      <c r="M20" s="9">
        <f ca="1">IFERROR(__xludf.DUMMYFUNCTION("""COMPUTED_VALUE"""),681246)</f>
        <v>681246</v>
      </c>
      <c r="N20" s="9">
        <f ca="1">IFERROR(__xludf.DUMMYFUNCTION("""COMPUTED_VALUE"""),860606.43)</f>
        <v>860606.43</v>
      </c>
      <c r="O20" s="9">
        <f ca="1">IFERROR(__xludf.DUMMYFUNCTION("""COMPUTED_VALUE"""),280336.04575)</f>
        <v>280336.04574999999</v>
      </c>
      <c r="P20" s="9">
        <f ca="1">IFERROR(__xludf.DUMMYFUNCTION("""COMPUTED_VALUE"""),1140942.47575)</f>
        <v>1140942.47575</v>
      </c>
      <c r="Q20" s="8" t="str">
        <f ca="1">IFERROR(__xludf.DUMMYFUNCTION("""COMPUTED_VALUE"""),"Ajuste premio x gestion de marzo + premio abril")</f>
        <v>Ajuste premio x gestion de marzo + premio abril</v>
      </c>
      <c r="R20" s="8"/>
      <c r="S20" s="8"/>
      <c r="T20" s="8"/>
      <c r="U20" s="8"/>
      <c r="V20" s="8"/>
      <c r="W20" s="8"/>
      <c r="X20" s="8"/>
      <c r="Y20" s="8"/>
      <c r="Z20" s="8"/>
    </row>
    <row r="21" spans="1:26" ht="12.5" x14ac:dyDescent="0.25">
      <c r="A21" s="8">
        <f ca="1">IFERROR(__xludf.DUMMYFUNCTION("""COMPUTED_VALUE"""),194)</f>
        <v>194</v>
      </c>
      <c r="B21" s="8" t="str">
        <f ca="1">IFERROR(__xludf.DUMMYFUNCTION("""COMPUTED_VALUE"""),"Scholler Chavez Ruth")</f>
        <v>Scholler Chavez Ruth</v>
      </c>
      <c r="C21" s="35">
        <f ca="1">IFERROR(__xludf.DUMMYFUNCTION("""COMPUTED_VALUE"""),45639)</f>
        <v>45639</v>
      </c>
      <c r="D21" s="8" t="str">
        <f ca="1">IFERROR(__xludf.DUMMYFUNCTION("""COMPUTED_VALUE"""),"Lucero French")</f>
        <v>Lucero French</v>
      </c>
      <c r="E21" s="11">
        <f ca="1">IFERROR(__xludf.DUMMYFUNCTION("""COMPUTED_VALUE"""),122)</f>
        <v>122</v>
      </c>
      <c r="F21" s="11">
        <f ca="1">IFERROR(__xludf.DUMMYFUNCTION("""COMPUTED_VALUE"""),117)</f>
        <v>117</v>
      </c>
      <c r="G21" s="8">
        <f ca="1">IFERROR(__xludf.DUMMYFUNCTION("""COMPUTED_VALUE"""),5)</f>
        <v>5</v>
      </c>
      <c r="H21" s="8">
        <f ca="1">IFERROR(__xludf.DUMMYFUNCTION("""COMPUTED_VALUE"""),4)</f>
        <v>4</v>
      </c>
      <c r="I21" s="8"/>
      <c r="J21" s="8" t="str">
        <f ca="1">IFERROR(__xludf.DUMMYFUNCTION("""COMPUTED_VALUE"""),"NO")</f>
        <v>NO</v>
      </c>
      <c r="K21" s="8"/>
      <c r="L21" s="9">
        <f ca="1">IFERROR(__xludf.DUMMYFUNCTION("""COMPUTED_VALUE"""),24654)</f>
        <v>24654</v>
      </c>
      <c r="M21" s="9">
        <f ca="1">IFERROR(__xludf.DUMMYFUNCTION("""COMPUTED_VALUE"""),660181)</f>
        <v>660181</v>
      </c>
      <c r="N21" s="9">
        <f ca="1">IFERROR(__xludf.DUMMYFUNCTION("""COMPUTED_VALUE"""),832993.42)</f>
        <v>832993.42</v>
      </c>
      <c r="O21" s="9">
        <f ca="1">IFERROR(__xludf.DUMMYFUNCTION("""COMPUTED_VALUE"""),270378.7597)</f>
        <v>270378.7597</v>
      </c>
      <c r="P21" s="9">
        <f ca="1">IFERROR(__xludf.DUMMYFUNCTION("""COMPUTED_VALUE"""),1103372.1797)</f>
        <v>1103372.1797</v>
      </c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5" x14ac:dyDescent="0.25">
      <c r="A22" s="8">
        <f ca="1">IFERROR(__xludf.DUMMYFUNCTION("""COMPUTED_VALUE"""),197)</f>
        <v>197</v>
      </c>
      <c r="B22" s="8" t="str">
        <f ca="1">IFERROR(__xludf.DUMMYFUNCTION("""COMPUTED_VALUE"""),"Ramirez Lola")</f>
        <v>Ramirez Lola</v>
      </c>
      <c r="C22" s="34">
        <f ca="1">IFERROR(__xludf.DUMMYFUNCTION("""COMPUTED_VALUE"""),45659)</f>
        <v>45659</v>
      </c>
      <c r="D22" s="8" t="str">
        <f ca="1">IFERROR(__xludf.DUMMYFUNCTION("""COMPUTED_VALUE"""),"Lucero Florida")</f>
        <v>Lucero Florida</v>
      </c>
      <c r="E22" s="8">
        <f ca="1">IFERROR(__xludf.DUMMYFUNCTION("""COMPUTED_VALUE"""),30)</f>
        <v>30</v>
      </c>
      <c r="F22" s="8"/>
      <c r="G22" s="8">
        <f ca="1">IFERROR(__xludf.DUMMYFUNCTION("""COMPUTED_VALUE"""),0)</f>
        <v>0</v>
      </c>
      <c r="H22" s="8">
        <f ca="1">IFERROR(__xludf.DUMMYFUNCTION("""COMPUTED_VALUE"""),4)</f>
        <v>4</v>
      </c>
      <c r="I22" s="8"/>
      <c r="J22" s="8" t="str">
        <f ca="1">IFERROR(__xludf.DUMMYFUNCTION("""COMPUTED_VALUE"""),"NO")</f>
        <v>NO</v>
      </c>
      <c r="K22" s="8"/>
      <c r="L22" s="9" t="str">
        <f ca="1">IFERROR(__xludf.DUMMYFUNCTION("""COMPUTED_VALUE"""),"#N/A")</f>
        <v>#N/A</v>
      </c>
      <c r="M22" s="9">
        <f ca="1">IFERROR(__xludf.DUMMYFUNCTION("""COMPUTED_VALUE"""),631496)</f>
        <v>631496</v>
      </c>
      <c r="N22" s="9">
        <f ca="1">IFERROR(__xludf.DUMMYFUNCTION("""COMPUTED_VALUE"""),770333.3)</f>
        <v>770333.3</v>
      </c>
      <c r="O22" s="9">
        <f ca="1">IFERROR(__xludf.DUMMYFUNCTION("""COMPUTED_VALUE"""),237675.6949)</f>
        <v>237675.6949</v>
      </c>
      <c r="P22" s="9">
        <f ca="1">IFERROR(__xludf.DUMMYFUNCTION("""COMPUTED_VALUE"""),1008008.9949)</f>
        <v>1008008.9949</v>
      </c>
      <c r="Q22" s="8" t="str">
        <f ca="1">IFERROR(__xludf.DUMMYFUNCTION("""COMPUTED_VALUE"""),"BAJA")</f>
        <v>BAJA</v>
      </c>
      <c r="R22" s="8"/>
      <c r="S22" s="8"/>
      <c r="T22" s="8"/>
      <c r="U22" s="8"/>
      <c r="V22" s="8"/>
      <c r="W22" s="8"/>
      <c r="X22" s="8"/>
      <c r="Y22" s="8"/>
      <c r="Z22" s="8"/>
    </row>
    <row r="23" spans="1:26" ht="12.5" x14ac:dyDescent="0.25">
      <c r="A23" s="8">
        <f ca="1">IFERROR(__xludf.DUMMYFUNCTION("""COMPUTED_VALUE"""),202)</f>
        <v>202</v>
      </c>
      <c r="B23" s="8" t="str">
        <f ca="1">IFERROR(__xludf.DUMMYFUNCTION("""COMPUTED_VALUE"""),"Machta Gina")</f>
        <v>Machta Gina</v>
      </c>
      <c r="C23" s="34">
        <f ca="1">IFERROR(__xludf.DUMMYFUNCTION("""COMPUTED_VALUE"""),45666)</f>
        <v>45666</v>
      </c>
      <c r="D23" s="8" t="str">
        <f ca="1">IFERROR(__xludf.DUMMYFUNCTION("""COMPUTED_VALUE"""),"Lucero Florida")</f>
        <v>Lucero Florida</v>
      </c>
      <c r="E23" s="8">
        <f ca="1">IFERROR(__xludf.DUMMYFUNCTION("""COMPUTED_VALUE"""),45)</f>
        <v>45</v>
      </c>
      <c r="F23" s="8"/>
      <c r="G23" s="8">
        <f ca="1">IFERROR(__xludf.DUMMYFUNCTION("""COMPUTED_VALUE"""),0)</f>
        <v>0</v>
      </c>
      <c r="H23" s="8">
        <f ca="1">IFERROR(__xludf.DUMMYFUNCTION("""COMPUTED_VALUE"""),4)</f>
        <v>4</v>
      </c>
      <c r="I23" s="8"/>
      <c r="J23" s="8" t="str">
        <f ca="1">IFERROR(__xludf.DUMMYFUNCTION("""COMPUTED_VALUE"""),"NO")</f>
        <v>NO</v>
      </c>
      <c r="K23" s="8"/>
      <c r="L23" s="9" t="str">
        <f ca="1">IFERROR(__xludf.DUMMYFUNCTION("""COMPUTED_VALUE"""),"#N/A")</f>
        <v>#N/A</v>
      </c>
      <c r="M23" s="9">
        <f ca="1">IFERROR(__xludf.DUMMYFUNCTION("""COMPUTED_VALUE"""),386912)</f>
        <v>386912</v>
      </c>
      <c r="N23" s="9">
        <f ca="1">IFERROR(__xludf.DUMMYFUNCTION("""COMPUTED_VALUE"""),462356.36)</f>
        <v>462356.36</v>
      </c>
      <c r="O23" s="9">
        <f ca="1">IFERROR(__xludf.DUMMYFUNCTION("""COMPUTED_VALUE"""),135244.048)</f>
        <v>135244.04800000001</v>
      </c>
      <c r="P23" s="9">
        <f ca="1">IFERROR(__xludf.DUMMYFUNCTION("""COMPUTED_VALUE"""),597600.408)</f>
        <v>597600.40800000005</v>
      </c>
      <c r="Q23" s="8" t="str">
        <f ca="1">IFERROR(__xludf.DUMMYFUNCTION("""COMPUTED_VALUE"""),"BAJA")</f>
        <v>BAJA</v>
      </c>
      <c r="R23" s="8"/>
      <c r="S23" s="8"/>
      <c r="T23" s="8"/>
      <c r="U23" s="8"/>
      <c r="V23" s="8"/>
      <c r="W23" s="8"/>
      <c r="X23" s="8"/>
      <c r="Y23" s="8"/>
      <c r="Z23" s="8"/>
    </row>
    <row r="24" spans="1:26" ht="12.5" x14ac:dyDescent="0.25">
      <c r="A24" s="8">
        <f ca="1">IFERROR(__xludf.DUMMYFUNCTION("""COMPUTED_VALUE"""),205)</f>
        <v>205</v>
      </c>
      <c r="B24" s="8" t="str">
        <f ca="1">IFERROR(__xludf.DUMMYFUNCTION("""COMPUTED_VALUE"""),"Florencia Aguero")</f>
        <v>Florencia Aguero</v>
      </c>
      <c r="C24" s="34">
        <f ca="1">IFERROR(__xludf.DUMMYFUNCTION("""COMPUTED_VALUE"""),45713)</f>
        <v>45713</v>
      </c>
      <c r="D24" s="8" t="str">
        <f ca="1">IFERROR(__xludf.DUMMYFUNCTION("""COMPUTED_VALUE"""),"Lucero San Telmo 2")</f>
        <v>Lucero San Telmo 2</v>
      </c>
      <c r="E24" s="11">
        <f ca="1">IFERROR(__xludf.DUMMYFUNCTION("""COMPUTED_VALUE"""),128)</f>
        <v>128</v>
      </c>
      <c r="F24" s="11">
        <f ca="1">IFERROR(__xludf.DUMMYFUNCTION("""COMPUTED_VALUE"""),119)</f>
        <v>119</v>
      </c>
      <c r="G24" s="8">
        <f ca="1">IFERROR(__xludf.DUMMYFUNCTION("""COMPUTED_VALUE"""),9)</f>
        <v>9</v>
      </c>
      <c r="H24" s="8"/>
      <c r="I24" s="8"/>
      <c r="J24" s="8" t="str">
        <f ca="1">IFERROR(__xludf.DUMMYFUNCTION("""COMPUTED_VALUE"""),"NO")</f>
        <v>NO</v>
      </c>
      <c r="K24" s="8"/>
      <c r="L24" s="9">
        <f ca="1">IFERROR(__xludf.DUMMYFUNCTION("""COMPUTED_VALUE"""),0)</f>
        <v>0</v>
      </c>
      <c r="M24" s="9">
        <f ca="1">IFERROR(__xludf.DUMMYFUNCTION("""COMPUTED_VALUE"""),682276)</f>
        <v>682276</v>
      </c>
      <c r="N24" s="9">
        <f ca="1">IFERROR(__xludf.DUMMYFUNCTION("""COMPUTED_VALUE"""),860638.46)</f>
        <v>860638.46</v>
      </c>
      <c r="O24" s="9">
        <f ca="1">IFERROR(__xludf.DUMMYFUNCTION("""COMPUTED_VALUE"""),279054.7339)</f>
        <v>279054.73389999999</v>
      </c>
      <c r="P24" s="9">
        <f ca="1">IFERROR(__xludf.DUMMYFUNCTION("""COMPUTED_VALUE"""),1139693.19389999)</f>
        <v>1139693.1938999901</v>
      </c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5" x14ac:dyDescent="0.25">
      <c r="A25" s="8">
        <f ca="1">IFERROR(__xludf.DUMMYFUNCTION("""COMPUTED_VALUE"""),206)</f>
        <v>206</v>
      </c>
      <c r="B25" s="8" t="str">
        <f ca="1">IFERROR(__xludf.DUMMYFUNCTION("""COMPUTED_VALUE"""),"Morena Martinez")</f>
        <v>Morena Martinez</v>
      </c>
      <c r="C25" s="34">
        <f ca="1">IFERROR(__xludf.DUMMYFUNCTION("""COMPUTED_VALUE"""),45713)</f>
        <v>45713</v>
      </c>
      <c r="D25" s="8" t="str">
        <f ca="1">IFERROR(__xludf.DUMMYFUNCTION("""COMPUTED_VALUE"""),"Lucero San Telmo")</f>
        <v>Lucero San Telmo</v>
      </c>
      <c r="E25" s="11">
        <f ca="1">IFERROR(__xludf.DUMMYFUNCTION("""COMPUTED_VALUE"""),119)</f>
        <v>119</v>
      </c>
      <c r="F25" s="11">
        <f ca="1">IFERROR(__xludf.DUMMYFUNCTION("""COMPUTED_VALUE"""),111)</f>
        <v>111</v>
      </c>
      <c r="G25" s="8">
        <f ca="1">IFERROR(__xludf.DUMMYFUNCTION("""COMPUTED_VALUE"""),8)</f>
        <v>8</v>
      </c>
      <c r="H25" s="8"/>
      <c r="I25" s="8"/>
      <c r="J25" s="8" t="str">
        <f ca="1">IFERROR(__xludf.DUMMYFUNCTION("""COMPUTED_VALUE"""),"NO")</f>
        <v>NO</v>
      </c>
      <c r="K25" s="8"/>
      <c r="L25" s="9">
        <f ca="1">IFERROR(__xludf.DUMMYFUNCTION("""COMPUTED_VALUE"""),0)</f>
        <v>0</v>
      </c>
      <c r="M25" s="9">
        <f ca="1">IFERROR(__xludf.DUMMYFUNCTION("""COMPUTED_VALUE"""),633222)</f>
        <v>633222</v>
      </c>
      <c r="N25" s="9">
        <f ca="1">IFERROR(__xludf.DUMMYFUNCTION("""COMPUTED_VALUE"""),798639.95)</f>
        <v>798639.95</v>
      </c>
      <c r="O25" s="9">
        <f ca="1">IFERROR(__xludf.DUMMYFUNCTION("""COMPUTED_VALUE"""),258957.597549999)</f>
        <v>258957.59754999899</v>
      </c>
      <c r="P25" s="9">
        <f ca="1">IFERROR(__xludf.DUMMYFUNCTION("""COMPUTED_VALUE"""),1057597.54754999)</f>
        <v>1057597.54754999</v>
      </c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5" x14ac:dyDescent="0.25">
      <c r="A26" s="8">
        <f ca="1">IFERROR(__xludf.DUMMYFUNCTION("""COMPUTED_VALUE"""),210)</f>
        <v>210</v>
      </c>
      <c r="B26" s="8" t="str">
        <f ca="1">IFERROR(__xludf.DUMMYFUNCTION("""COMPUTED_VALUE"""),"Dettoni Leguizamon Oriana")</f>
        <v>Dettoni Leguizamon Oriana</v>
      </c>
      <c r="C26" s="34">
        <f ca="1">IFERROR(__xludf.DUMMYFUNCTION("""COMPUTED_VALUE"""),45759)</f>
        <v>45759</v>
      </c>
      <c r="D26" s="8" t="str">
        <f ca="1">IFERROR(__xludf.DUMMYFUNCTION("""COMPUTED_VALUE"""),"Lucero Florida")</f>
        <v>Lucero Florida</v>
      </c>
      <c r="E26" s="8">
        <f ca="1">IFERROR(__xludf.DUMMYFUNCTION("""COMPUTED_VALUE"""),84)</f>
        <v>84</v>
      </c>
      <c r="F26" s="8">
        <f ca="1">IFERROR(__xludf.DUMMYFUNCTION("""COMPUTED_VALUE"""),79)</f>
        <v>79</v>
      </c>
      <c r="G26" s="8">
        <f ca="1">IFERROR(__xludf.DUMMYFUNCTION("""COMPUTED_VALUE"""),5)</f>
        <v>5</v>
      </c>
      <c r="H26" s="8"/>
      <c r="I26" s="8"/>
      <c r="J26" s="8" t="str">
        <f ca="1">IFERROR(__xludf.DUMMYFUNCTION("""COMPUTED_VALUE"""),"NO")</f>
        <v>NO</v>
      </c>
      <c r="K26" s="8"/>
      <c r="L26" s="9">
        <f ca="1">IFERROR(__xludf.DUMMYFUNCTION("""COMPUTED_VALUE"""),0)</f>
        <v>0</v>
      </c>
      <c r="M26" s="9">
        <f ca="1">IFERROR(__xludf.DUMMYFUNCTION("""COMPUTED_VALUE"""),445820)</f>
        <v>445820</v>
      </c>
      <c r="N26" s="9">
        <f ca="1">IFERROR(__xludf.DUMMYFUNCTION("""COMPUTED_VALUE"""),561874.75)</f>
        <v>561874.75</v>
      </c>
      <c r="O26" s="9">
        <f ca="1">IFERROR(__xludf.DUMMYFUNCTION("""COMPUTED_VALUE"""),182299.41775)</f>
        <v>182299.41774999999</v>
      </c>
      <c r="P26" s="9">
        <f ca="1">IFERROR(__xludf.DUMMYFUNCTION("""COMPUTED_VALUE"""),744174.16775)</f>
        <v>744174.16775000002</v>
      </c>
      <c r="Q26" s="8" t="str">
        <f ca="1">IFERROR(__xludf.DUMMYFUNCTION("""COMPUTED_VALUE"""),"ALTA")</f>
        <v>ALTA</v>
      </c>
      <c r="R26" s="8"/>
      <c r="S26" s="8"/>
      <c r="T26" s="8"/>
      <c r="U26" s="8"/>
      <c r="V26" s="8"/>
      <c r="W26" s="8"/>
      <c r="X26" s="8"/>
      <c r="Y26" s="8"/>
      <c r="Z26" s="8"/>
    </row>
    <row r="27" spans="1:26" ht="12.5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9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 x14ac:dyDescent="0.25">
      <c r="A28" s="8">
        <f ca="1">IFERROR(__xludf.DUMMYFUNCTION("""COMPUTED_VALUE"""),184)</f>
        <v>184</v>
      </c>
      <c r="B28" s="8" t="str">
        <f ca="1">IFERROR(__xludf.DUMMYFUNCTION("""COMPUTED_VALUE"""),"Villarruel Candela")</f>
        <v>Villarruel Candela</v>
      </c>
      <c r="C28" s="34">
        <f ca="1">IFERROR(__xludf.DUMMYFUNCTION("""COMPUTED_VALUE"""),45569)</f>
        <v>45569</v>
      </c>
      <c r="D28" s="8" t="str">
        <f ca="1">IFERROR(__xludf.DUMMYFUNCTION("""COMPUTED_VALUE"""),"AS San Telmo")</f>
        <v>AS San Telmo</v>
      </c>
      <c r="E28" s="11" t="str">
        <f ca="1">IFERROR(__xludf.DUMMYFUNCTION("""COMPUTED_VALUE"""),"88")</f>
        <v>88</v>
      </c>
      <c r="F28" s="8"/>
      <c r="G28" s="8">
        <f ca="1">IFERROR(__xludf.DUMMYFUNCTION("""COMPUTED_VALUE"""),0)</f>
        <v>0</v>
      </c>
      <c r="H28" s="8">
        <f ca="1">IFERROR(__xludf.DUMMYFUNCTION("""COMPUTED_VALUE"""),8)</f>
        <v>8</v>
      </c>
      <c r="I28" s="8"/>
      <c r="J28" s="8" t="str">
        <f ca="1">IFERROR(__xludf.DUMMYFUNCTION("""COMPUTED_VALUE"""),"NO")</f>
        <v>NO</v>
      </c>
      <c r="K28" s="8"/>
      <c r="L28" s="9">
        <f ca="1">IFERROR(__xludf.DUMMYFUNCTION("""COMPUTED_VALUE"""),0)</f>
        <v>0</v>
      </c>
      <c r="M28" s="9">
        <f ca="1">IFERROR(__xludf.DUMMYFUNCTION("""COMPUTED_VALUE"""),452065)</f>
        <v>452065</v>
      </c>
      <c r="N28" s="9">
        <f ca="1">IFERROR(__xludf.DUMMYFUNCTION("""COMPUTED_VALUE"""),569356.43)</f>
        <v>569356.43000000005</v>
      </c>
      <c r="O28" s="9">
        <f ca="1">IFERROR(__xludf.DUMMYFUNCTION("""COMPUTED_VALUE"""),184306.24075)</f>
        <v>184306.24075</v>
      </c>
      <c r="P28" s="9">
        <f ca="1">IFERROR(__xludf.DUMMYFUNCTION("""COMPUTED_VALUE"""),753662.67075)</f>
        <v>753662.67075000005</v>
      </c>
      <c r="Q28" s="8"/>
      <c r="R28" s="8"/>
      <c r="V28" s="8"/>
      <c r="W28" s="8"/>
      <c r="X28" s="8"/>
      <c r="Y28" s="8"/>
      <c r="Z28" s="8"/>
    </row>
    <row r="29" spans="1:26" ht="12.5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5" x14ac:dyDescent="0.25">
      <c r="A30" s="8" t="str">
        <f ca="1">IFERROR(__xludf.DUMMYFUNCTION("""COMPUTED_VALUE"""),"VENDEDOR B - tarifa standard")</f>
        <v>VENDEDOR B - tarifa standard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3" x14ac:dyDescent="0.3">
      <c r="A31" s="36"/>
      <c r="B31" s="16"/>
      <c r="C31" s="16" t="str">
        <f ca="1">IFERROR(__xludf.DUMMYFUNCTION("""COMPUTED_VALUE"""),"Vendedor B - S Neto")</f>
        <v>Vendedor B - S Neto</v>
      </c>
      <c r="D31" s="16" t="str">
        <f ca="1">IFERROR(__xludf.DUMMYFUNCTION("""COMPUTED_VALUE"""),"Vendedor B - S Bruto")</f>
        <v>Vendedor B - S Bruto</v>
      </c>
      <c r="E31" s="16" t="str">
        <f ca="1">IFERROR(__xludf.DUMMYFUNCTION("""COMPUTED_VALUE"""),"Contribuciones + ART ")</f>
        <v xml:space="preserve">Contribuciones + ART </v>
      </c>
      <c r="F31" s="16" t="str">
        <f ca="1">IFERROR(__xludf.DUMMYFUNCTION("""COMPUTED_VALUE"""),"COSTO TOTAL")</f>
        <v>COSTO TOTAL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3" x14ac:dyDescent="0.3">
      <c r="A32" s="16">
        <f ca="1">IFERROR(__xludf.DUMMYFUNCTION("""COMPUTED_VALUE"""),500)</f>
        <v>500</v>
      </c>
      <c r="B32" s="16" t="str">
        <f ca="1">IFERROR(__xludf.DUMMYFUNCTION("""COMPUTED_VALUE"""),"VENDEDORA B 88 HS")</f>
        <v>VENDEDORA B 88 HS</v>
      </c>
      <c r="C32" s="37">
        <f ca="1">IFERROR(__xludf.DUMMYFUNCTION("""COMPUTED_VALUE"""),447020)</f>
        <v>447020</v>
      </c>
      <c r="D32" s="38">
        <f ca="1">IFERROR(__xludf.DUMMYFUNCTION("""COMPUTED_VALUE"""),562846.633973075)</f>
        <v>562846.63397307496</v>
      </c>
      <c r="E32" s="38">
        <f ca="1">IFERROR(__xludf.DUMMYFUNCTION("""COMPUTED_VALUE"""),209556.254570037)</f>
        <v>209556.25457003701</v>
      </c>
      <c r="F32" s="39">
        <f ca="1">IFERROR(__xludf.DUMMYFUNCTION("""COMPUTED_VALUE"""),772402.888543112)</f>
        <v>772402.88854311197</v>
      </c>
      <c r="G32" s="40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3" x14ac:dyDescent="0.3">
      <c r="A33" s="16">
        <f ca="1">IFERROR(__xludf.DUMMYFUNCTION("""COMPUTED_VALUE"""),501)</f>
        <v>501</v>
      </c>
      <c r="B33" s="36" t="str">
        <f ca="1">IFERROR(__xludf.DUMMYFUNCTION("""COMPUTED_VALUE"""),"VENDEDORA B 132 HS")</f>
        <v>VENDEDORA B 132 HS</v>
      </c>
      <c r="C33" s="41">
        <f ca="1">IFERROR(__xludf.DUMMYFUNCTION("""COMPUTED_VALUE"""),668339)</f>
        <v>668339</v>
      </c>
      <c r="D33" s="17">
        <f ca="1">IFERROR(__xludf.DUMMYFUNCTION("""COMPUTED_VALUE"""),842078.950959612)</f>
        <v>842078.95095961203</v>
      </c>
      <c r="E33" s="17">
        <f ca="1">IFERROR(__xludf.DUMMYFUNCTION("""COMPUTED_VALUE"""),312872.211855056)</f>
        <v>312872.211855056</v>
      </c>
      <c r="F33" s="17">
        <f ca="1">IFERROR(__xludf.DUMMYFUNCTION("""COMPUTED_VALUE"""),1154951.16281466)</f>
        <v>1154951.16281466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3" x14ac:dyDescent="0.3">
      <c r="A34" s="16"/>
      <c r="B34" s="3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2.5" x14ac:dyDescent="0.25">
      <c r="A35" s="16"/>
      <c r="B35" s="16" t="str">
        <f ca="1">IFERROR(__xludf.DUMMYFUNCTION("""COMPUTED_VALUE"""),"Dif plus vacacional 88hs")</f>
        <v>Dif plus vacacional 88hs</v>
      </c>
      <c r="C35" s="41">
        <f ca="1">IFERROR(__xludf.DUMMYFUNCTION("""COMPUTED_VALUE"""),41721.8666666666)</f>
        <v>41721.866666666603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2.5" x14ac:dyDescent="0.25">
      <c r="A36" s="16"/>
      <c r="B36" s="16" t="str">
        <f ca="1">IFERROR(__xludf.DUMMYFUNCTION("""COMPUTED_VALUE"""),"Dif plus vacacional 132 Hs")</f>
        <v>Dif plus vacacional 132 Hs</v>
      </c>
      <c r="C36" s="41">
        <f ca="1">IFERROR(__xludf.DUMMYFUNCTION("""COMPUTED_VALUE"""),62378.3066666667)</f>
        <v>62378.3066666667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2.5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2.5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5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5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5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5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5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5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5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5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5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5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5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5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5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5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5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5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5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5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5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5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5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5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5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5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5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5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5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5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5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5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5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5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5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5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5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5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5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5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5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5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5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5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5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5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5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5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5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5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5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5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5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5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5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5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5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5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5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5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904"/>
  <sheetViews>
    <sheetView workbookViewId="0"/>
  </sheetViews>
  <sheetFormatPr baseColWidth="10" defaultColWidth="12.6328125" defaultRowHeight="15.75" customHeight="1" x14ac:dyDescent="0.25"/>
  <cols>
    <col min="1" max="1" width="36" customWidth="1"/>
    <col min="2" max="2" width="11.6328125" customWidth="1"/>
    <col min="3" max="3" width="29" customWidth="1"/>
    <col min="4" max="4" width="21.453125" customWidth="1"/>
    <col min="5" max="5" width="14.90625" customWidth="1"/>
    <col min="6" max="7" width="14.6328125" customWidth="1"/>
    <col min="8" max="8" width="12.453125" customWidth="1"/>
    <col min="9" max="9" width="17.90625" customWidth="1"/>
  </cols>
  <sheetData>
    <row r="1" spans="1:20" ht="24.75" customHeight="1" x14ac:dyDescent="0.25">
      <c r="A1" s="42" t="s">
        <v>168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169</v>
      </c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spans="1:20" ht="12.5" x14ac:dyDescent="0.25">
      <c r="A2" s="44" t="s">
        <v>170</v>
      </c>
      <c r="B2" s="44" t="s">
        <v>22</v>
      </c>
      <c r="C2" s="44" t="s">
        <v>22</v>
      </c>
      <c r="D2" s="44" t="s">
        <v>171</v>
      </c>
      <c r="E2" s="45" t="s">
        <v>172</v>
      </c>
      <c r="F2" s="44" t="s">
        <v>173</v>
      </c>
      <c r="G2" s="44" t="s">
        <v>174</v>
      </c>
      <c r="H2" s="44" t="s">
        <v>175</v>
      </c>
      <c r="I2" s="46">
        <v>45756</v>
      </c>
    </row>
    <row r="3" spans="1:20" ht="12.5" x14ac:dyDescent="0.25">
      <c r="A3" s="44" t="s">
        <v>170</v>
      </c>
      <c r="B3" s="44" t="s">
        <v>22</v>
      </c>
      <c r="C3" s="44" t="s">
        <v>22</v>
      </c>
      <c r="D3" s="44" t="s">
        <v>176</v>
      </c>
      <c r="E3" s="45" t="s">
        <v>177</v>
      </c>
      <c r="F3" s="44" t="s">
        <v>178</v>
      </c>
      <c r="G3" s="44" t="s">
        <v>179</v>
      </c>
      <c r="H3" s="44" t="s">
        <v>180</v>
      </c>
      <c r="I3" s="46">
        <v>45756</v>
      </c>
    </row>
    <row r="4" spans="1:20" ht="12.5" x14ac:dyDescent="0.25">
      <c r="A4" s="44" t="s">
        <v>170</v>
      </c>
      <c r="B4" s="44" t="s">
        <v>22</v>
      </c>
      <c r="C4" s="44" t="s">
        <v>22</v>
      </c>
      <c r="D4" s="44" t="s">
        <v>181</v>
      </c>
      <c r="E4" s="45" t="s">
        <v>182</v>
      </c>
      <c r="F4" s="44" t="s">
        <v>183</v>
      </c>
      <c r="G4" s="44" t="s">
        <v>184</v>
      </c>
      <c r="H4" s="44" t="s">
        <v>185</v>
      </c>
      <c r="I4" s="46">
        <v>45762</v>
      </c>
    </row>
    <row r="5" spans="1:20" ht="12.5" x14ac:dyDescent="0.25">
      <c r="A5" s="44" t="s">
        <v>170</v>
      </c>
      <c r="B5" s="44" t="s">
        <v>54</v>
      </c>
      <c r="C5" s="44" t="s">
        <v>186</v>
      </c>
      <c r="D5" s="44" t="s">
        <v>55</v>
      </c>
      <c r="E5" s="45" t="s">
        <v>187</v>
      </c>
      <c r="F5" s="44" t="s">
        <v>188</v>
      </c>
      <c r="G5" s="46"/>
      <c r="H5" s="44" t="s">
        <v>189</v>
      </c>
      <c r="I5" s="46">
        <v>45754</v>
      </c>
    </row>
    <row r="6" spans="1:20" ht="12.5" x14ac:dyDescent="0.25">
      <c r="A6" s="44" t="s">
        <v>170</v>
      </c>
      <c r="B6" s="44" t="s">
        <v>39</v>
      </c>
      <c r="C6" s="44" t="s">
        <v>186</v>
      </c>
      <c r="D6" s="44" t="s">
        <v>190</v>
      </c>
      <c r="E6" s="45"/>
      <c r="F6" s="44"/>
      <c r="G6" s="46"/>
      <c r="H6" s="44" t="s">
        <v>191</v>
      </c>
      <c r="I6" s="46">
        <v>45770</v>
      </c>
    </row>
    <row r="7" spans="1:20" ht="12.5" x14ac:dyDescent="0.25">
      <c r="A7" s="44" t="s">
        <v>170</v>
      </c>
      <c r="B7" s="44" t="s">
        <v>13</v>
      </c>
      <c r="C7" s="44" t="s">
        <v>186</v>
      </c>
      <c r="D7" s="44" t="s">
        <v>190</v>
      </c>
      <c r="E7" s="45"/>
      <c r="F7" s="44"/>
      <c r="G7" s="46"/>
      <c r="H7" s="44" t="s">
        <v>192</v>
      </c>
      <c r="I7" s="46">
        <v>45770</v>
      </c>
    </row>
    <row r="8" spans="1:20" ht="12.5" x14ac:dyDescent="0.25">
      <c r="A8" s="44" t="s">
        <v>170</v>
      </c>
      <c r="B8" s="44" t="s">
        <v>17</v>
      </c>
      <c r="C8" s="44" t="s">
        <v>186</v>
      </c>
      <c r="D8" s="44" t="s">
        <v>190</v>
      </c>
      <c r="E8" s="45"/>
      <c r="F8" s="44"/>
      <c r="G8" s="46"/>
      <c r="H8" s="44" t="s">
        <v>193</v>
      </c>
      <c r="I8" s="46">
        <v>45770</v>
      </c>
    </row>
    <row r="9" spans="1:20" ht="12.5" x14ac:dyDescent="0.25">
      <c r="A9" s="44" t="s">
        <v>170</v>
      </c>
      <c r="B9" s="44" t="s">
        <v>41</v>
      </c>
      <c r="C9" s="44" t="s">
        <v>42</v>
      </c>
      <c r="D9" s="44" t="s">
        <v>194</v>
      </c>
      <c r="E9" s="45" t="s">
        <v>195</v>
      </c>
      <c r="F9" s="44" t="s">
        <v>196</v>
      </c>
      <c r="G9" s="46"/>
      <c r="H9" s="44" t="s">
        <v>197</v>
      </c>
      <c r="I9" s="46">
        <v>45770</v>
      </c>
    </row>
    <row r="10" spans="1:20" ht="12.5" x14ac:dyDescent="0.25">
      <c r="A10" s="44" t="s">
        <v>170</v>
      </c>
      <c r="B10" s="44" t="s">
        <v>198</v>
      </c>
      <c r="C10" s="44" t="s">
        <v>59</v>
      </c>
      <c r="D10" s="44" t="s">
        <v>199</v>
      </c>
      <c r="E10" s="45"/>
      <c r="F10" s="44"/>
      <c r="G10" s="46"/>
      <c r="H10" s="44" t="s">
        <v>200</v>
      </c>
      <c r="I10" s="46">
        <v>45783</v>
      </c>
    </row>
    <row r="11" spans="1:20" ht="12.5" x14ac:dyDescent="0.25">
      <c r="A11" s="44" t="s">
        <v>170</v>
      </c>
      <c r="B11" s="44" t="s">
        <v>47</v>
      </c>
      <c r="C11" s="44" t="s">
        <v>201</v>
      </c>
      <c r="D11" s="44" t="s">
        <v>202</v>
      </c>
      <c r="E11" s="45" t="s">
        <v>203</v>
      </c>
      <c r="F11" s="44" t="s">
        <v>204</v>
      </c>
      <c r="G11" s="44" t="s">
        <v>205</v>
      </c>
      <c r="H11" s="44" t="s">
        <v>206</v>
      </c>
      <c r="I11" s="46">
        <v>45754</v>
      </c>
    </row>
    <row r="12" spans="1:20" ht="12.5" x14ac:dyDescent="0.25">
      <c r="A12" s="44" t="s">
        <v>207</v>
      </c>
      <c r="B12" s="44" t="s">
        <v>22</v>
      </c>
      <c r="C12" s="44" t="s">
        <v>22</v>
      </c>
      <c r="D12" s="44" t="s">
        <v>208</v>
      </c>
      <c r="E12" s="45" t="s">
        <v>209</v>
      </c>
      <c r="F12" s="44" t="s">
        <v>210</v>
      </c>
      <c r="G12" s="44" t="s">
        <v>211</v>
      </c>
      <c r="H12" s="44" t="s">
        <v>212</v>
      </c>
      <c r="I12" s="46">
        <v>45756</v>
      </c>
    </row>
    <row r="13" spans="1:20" ht="12.5" x14ac:dyDescent="0.25">
      <c r="A13" s="44" t="s">
        <v>207</v>
      </c>
      <c r="B13" s="44" t="s">
        <v>22</v>
      </c>
      <c r="C13" s="44" t="s">
        <v>22</v>
      </c>
      <c r="D13" s="44" t="s">
        <v>213</v>
      </c>
      <c r="E13" s="45" t="s">
        <v>214</v>
      </c>
      <c r="F13" s="44" t="s">
        <v>215</v>
      </c>
      <c r="G13" s="44" t="s">
        <v>216</v>
      </c>
      <c r="H13" s="44" t="s">
        <v>217</v>
      </c>
      <c r="I13" s="46">
        <v>45756</v>
      </c>
    </row>
    <row r="14" spans="1:20" ht="12.5" x14ac:dyDescent="0.25">
      <c r="A14" s="44" t="s">
        <v>207</v>
      </c>
      <c r="B14" s="44" t="s">
        <v>54</v>
      </c>
      <c r="C14" s="44" t="s">
        <v>82</v>
      </c>
      <c r="D14" s="44" t="s">
        <v>218</v>
      </c>
      <c r="E14" s="45"/>
      <c r="F14" s="44" t="s">
        <v>219</v>
      </c>
      <c r="G14" s="46"/>
      <c r="H14" s="44" t="s">
        <v>220</v>
      </c>
      <c r="I14" s="46">
        <v>45763</v>
      </c>
    </row>
    <row r="15" spans="1:20" ht="12.5" x14ac:dyDescent="0.25">
      <c r="A15" s="44" t="s">
        <v>207</v>
      </c>
      <c r="B15" s="44" t="s">
        <v>41</v>
      </c>
      <c r="C15" s="44" t="s">
        <v>42</v>
      </c>
      <c r="D15" s="44" t="s">
        <v>194</v>
      </c>
      <c r="E15" s="45" t="s">
        <v>221</v>
      </c>
      <c r="F15" s="44" t="s">
        <v>222</v>
      </c>
      <c r="G15" s="46"/>
      <c r="H15" s="44" t="s">
        <v>223</v>
      </c>
      <c r="I15" s="46">
        <v>45770</v>
      </c>
    </row>
    <row r="16" spans="1:20" ht="12.5" x14ac:dyDescent="0.25">
      <c r="A16" s="44" t="s">
        <v>207</v>
      </c>
      <c r="B16" s="44" t="s">
        <v>198</v>
      </c>
      <c r="C16" s="44" t="s">
        <v>59</v>
      </c>
      <c r="D16" s="44" t="s">
        <v>199</v>
      </c>
      <c r="E16" s="45"/>
      <c r="F16" s="44"/>
      <c r="G16" s="46"/>
      <c r="H16" s="44" t="s">
        <v>200</v>
      </c>
      <c r="I16" s="46">
        <v>45783</v>
      </c>
    </row>
    <row r="17" spans="1:9" ht="12.5" x14ac:dyDescent="0.25">
      <c r="A17" s="44" t="s">
        <v>207</v>
      </c>
      <c r="B17" s="44" t="s">
        <v>39</v>
      </c>
      <c r="C17" s="44" t="s">
        <v>72</v>
      </c>
      <c r="D17" s="44" t="s">
        <v>224</v>
      </c>
      <c r="E17" s="45" t="s">
        <v>225</v>
      </c>
      <c r="F17" s="44"/>
      <c r="G17" s="46"/>
      <c r="H17" s="44" t="s">
        <v>225</v>
      </c>
      <c r="I17" s="46">
        <v>45757</v>
      </c>
    </row>
    <row r="18" spans="1:9" ht="12.5" x14ac:dyDescent="0.25">
      <c r="A18" s="44" t="s">
        <v>207</v>
      </c>
      <c r="B18" s="44" t="s">
        <v>47</v>
      </c>
      <c r="C18" s="44" t="s">
        <v>201</v>
      </c>
      <c r="D18" s="44" t="s">
        <v>226</v>
      </c>
      <c r="E18" s="45" t="s">
        <v>227</v>
      </c>
      <c r="F18" s="44" t="s">
        <v>228</v>
      </c>
      <c r="G18" s="44" t="s">
        <v>229</v>
      </c>
      <c r="H18" s="44" t="s">
        <v>230</v>
      </c>
      <c r="I18" s="46">
        <v>45754</v>
      </c>
    </row>
    <row r="19" spans="1:9" ht="12.5" x14ac:dyDescent="0.25">
      <c r="A19" s="44" t="s">
        <v>231</v>
      </c>
      <c r="B19" s="44" t="s">
        <v>54</v>
      </c>
      <c r="C19" s="44" t="s">
        <v>232</v>
      </c>
      <c r="D19" s="44" t="s">
        <v>233</v>
      </c>
      <c r="E19" s="45" t="s">
        <v>234</v>
      </c>
      <c r="F19" s="44" t="s">
        <v>235</v>
      </c>
      <c r="G19" s="46"/>
      <c r="H19" s="44" t="s">
        <v>236</v>
      </c>
      <c r="I19" s="46">
        <v>45761</v>
      </c>
    </row>
    <row r="20" spans="1:9" ht="12.5" x14ac:dyDescent="0.25">
      <c r="A20" s="44" t="s">
        <v>231</v>
      </c>
      <c r="B20" s="44" t="s">
        <v>39</v>
      </c>
      <c r="C20" s="44" t="s">
        <v>232</v>
      </c>
      <c r="D20" s="44" t="s">
        <v>233</v>
      </c>
      <c r="E20" s="45"/>
      <c r="F20" s="44"/>
      <c r="G20" s="44" t="s">
        <v>237</v>
      </c>
      <c r="H20" s="44" t="s">
        <v>237</v>
      </c>
      <c r="I20" s="46">
        <v>45761</v>
      </c>
    </row>
    <row r="21" spans="1:9" ht="12.5" x14ac:dyDescent="0.25">
      <c r="A21" s="44" t="s">
        <v>231</v>
      </c>
      <c r="B21" s="44" t="s">
        <v>22</v>
      </c>
      <c r="C21" s="44" t="s">
        <v>232</v>
      </c>
      <c r="D21" s="44" t="s">
        <v>233</v>
      </c>
      <c r="E21" s="45" t="s">
        <v>238</v>
      </c>
      <c r="F21" s="44" t="s">
        <v>239</v>
      </c>
      <c r="G21" s="46"/>
      <c r="H21" s="44" t="s">
        <v>240</v>
      </c>
      <c r="I21" s="46">
        <v>45761</v>
      </c>
    </row>
    <row r="22" spans="1:9" ht="12.5" x14ac:dyDescent="0.25">
      <c r="A22" s="44" t="s">
        <v>241</v>
      </c>
      <c r="B22" s="44" t="s">
        <v>54</v>
      </c>
      <c r="C22" s="44" t="s">
        <v>232</v>
      </c>
      <c r="D22" s="44" t="s">
        <v>90</v>
      </c>
      <c r="E22" s="45" t="s">
        <v>242</v>
      </c>
      <c r="F22" s="44" t="s">
        <v>243</v>
      </c>
      <c r="G22" s="46"/>
      <c r="H22" s="44" t="s">
        <v>244</v>
      </c>
      <c r="I22" s="46">
        <v>45761</v>
      </c>
    </row>
    <row r="23" spans="1:9" ht="12.5" x14ac:dyDescent="0.25">
      <c r="A23" s="44" t="s">
        <v>241</v>
      </c>
      <c r="B23" s="44" t="s">
        <v>39</v>
      </c>
      <c r="C23" s="44" t="s">
        <v>232</v>
      </c>
      <c r="D23" s="44" t="s">
        <v>90</v>
      </c>
      <c r="E23" s="45"/>
      <c r="F23" s="44"/>
      <c r="G23" s="44" t="s">
        <v>245</v>
      </c>
      <c r="H23" s="44" t="s">
        <v>245</v>
      </c>
      <c r="I23" s="46">
        <v>45761</v>
      </c>
    </row>
    <row r="24" spans="1:9" ht="12.5" x14ac:dyDescent="0.25">
      <c r="A24" s="44" t="s">
        <v>241</v>
      </c>
      <c r="B24" s="44" t="s">
        <v>41</v>
      </c>
      <c r="C24" s="44" t="s">
        <v>42</v>
      </c>
      <c r="D24" s="44" t="s">
        <v>194</v>
      </c>
      <c r="E24" s="45" t="s">
        <v>221</v>
      </c>
      <c r="F24" s="44" t="s">
        <v>222</v>
      </c>
      <c r="G24" s="46"/>
      <c r="H24" s="44" t="s">
        <v>223</v>
      </c>
      <c r="I24" s="46">
        <v>45770</v>
      </c>
    </row>
    <row r="25" spans="1:9" ht="12.5" x14ac:dyDescent="0.25">
      <c r="A25" s="44" t="s">
        <v>241</v>
      </c>
      <c r="B25" s="44" t="s">
        <v>47</v>
      </c>
      <c r="C25" s="44" t="s">
        <v>201</v>
      </c>
      <c r="D25" s="44" t="s">
        <v>246</v>
      </c>
      <c r="E25" s="45" t="s">
        <v>247</v>
      </c>
      <c r="F25" s="44" t="s">
        <v>248</v>
      </c>
      <c r="G25" s="44" t="s">
        <v>249</v>
      </c>
      <c r="H25" s="44" t="s">
        <v>250</v>
      </c>
      <c r="I25" s="46">
        <v>45770</v>
      </c>
    </row>
    <row r="26" spans="1:9" ht="12.5" x14ac:dyDescent="0.25">
      <c r="A26" s="44" t="s">
        <v>251</v>
      </c>
      <c r="B26" s="44" t="s">
        <v>41</v>
      </c>
      <c r="C26" s="44" t="s">
        <v>42</v>
      </c>
      <c r="D26" s="44" t="s">
        <v>194</v>
      </c>
      <c r="E26" s="45" t="s">
        <v>221</v>
      </c>
      <c r="F26" s="44" t="s">
        <v>222</v>
      </c>
      <c r="G26" s="46"/>
      <c r="H26" s="44" t="s">
        <v>223</v>
      </c>
      <c r="I26" s="46">
        <v>45770</v>
      </c>
    </row>
    <row r="27" spans="1:9" ht="12.5" x14ac:dyDescent="0.25">
      <c r="A27" s="44" t="s">
        <v>251</v>
      </c>
      <c r="B27" s="44" t="s">
        <v>198</v>
      </c>
      <c r="C27" s="44" t="s">
        <v>59</v>
      </c>
      <c r="D27" s="44" t="s">
        <v>199</v>
      </c>
      <c r="E27" s="47"/>
      <c r="G27" s="46"/>
      <c r="H27" s="44" t="s">
        <v>200</v>
      </c>
      <c r="I27" s="46">
        <v>45783</v>
      </c>
    </row>
    <row r="28" spans="1:9" ht="12.5" x14ac:dyDescent="0.25">
      <c r="A28" s="44" t="s">
        <v>251</v>
      </c>
      <c r="B28" s="44" t="s">
        <v>47</v>
      </c>
      <c r="C28" s="44" t="s">
        <v>252</v>
      </c>
      <c r="D28" s="44" t="s">
        <v>253</v>
      </c>
      <c r="E28" s="45" t="s">
        <v>254</v>
      </c>
      <c r="F28" s="44" t="s">
        <v>255</v>
      </c>
      <c r="G28" s="44" t="s">
        <v>256</v>
      </c>
      <c r="H28" s="44" t="s">
        <v>257</v>
      </c>
      <c r="I28" s="46">
        <v>45771</v>
      </c>
    </row>
    <row r="29" spans="1:9" ht="12.5" x14ac:dyDescent="0.25">
      <c r="A29" s="44" t="s">
        <v>258</v>
      </c>
      <c r="B29" s="44" t="s">
        <v>22</v>
      </c>
      <c r="C29" s="44" t="s">
        <v>22</v>
      </c>
      <c r="D29" s="44" t="s">
        <v>259</v>
      </c>
      <c r="E29" s="45" t="s">
        <v>260</v>
      </c>
      <c r="F29" s="44" t="s">
        <v>261</v>
      </c>
      <c r="G29" s="44" t="s">
        <v>262</v>
      </c>
      <c r="H29" s="44" t="s">
        <v>263</v>
      </c>
      <c r="I29" s="46">
        <v>45755</v>
      </c>
    </row>
    <row r="30" spans="1:9" ht="12.5" x14ac:dyDescent="0.25">
      <c r="A30" s="44" t="s">
        <v>258</v>
      </c>
      <c r="B30" s="44" t="s">
        <v>54</v>
      </c>
      <c r="C30" s="44" t="s">
        <v>121</v>
      </c>
      <c r="D30" s="44" t="s">
        <v>132</v>
      </c>
      <c r="E30" s="45" t="s">
        <v>264</v>
      </c>
      <c r="F30" s="44" t="s">
        <v>265</v>
      </c>
      <c r="G30" s="44" t="s">
        <v>266</v>
      </c>
      <c r="H30" s="44" t="s">
        <v>267</v>
      </c>
      <c r="I30" s="46">
        <v>45758</v>
      </c>
    </row>
    <row r="31" spans="1:9" ht="12.5" x14ac:dyDescent="0.25">
      <c r="A31" s="44" t="s">
        <v>258</v>
      </c>
      <c r="B31" s="44" t="s">
        <v>39</v>
      </c>
      <c r="C31" s="44" t="s">
        <v>121</v>
      </c>
      <c r="D31" s="44" t="s">
        <v>268</v>
      </c>
      <c r="E31" s="45" t="s">
        <v>269</v>
      </c>
      <c r="F31" s="44" t="s">
        <v>270</v>
      </c>
      <c r="G31" s="44" t="s">
        <v>271</v>
      </c>
      <c r="H31" s="44" t="s">
        <v>272</v>
      </c>
      <c r="I31" s="46">
        <v>45758</v>
      </c>
    </row>
    <row r="32" spans="1:9" ht="12.5" x14ac:dyDescent="0.25">
      <c r="A32" s="44" t="s">
        <v>258</v>
      </c>
      <c r="B32" s="44" t="s">
        <v>41</v>
      </c>
      <c r="C32" s="44" t="s">
        <v>42</v>
      </c>
      <c r="D32" s="44" t="s">
        <v>194</v>
      </c>
      <c r="E32" s="45" t="s">
        <v>221</v>
      </c>
      <c r="F32" s="44" t="s">
        <v>222</v>
      </c>
      <c r="G32" s="46"/>
      <c r="H32" s="44" t="s">
        <v>223</v>
      </c>
      <c r="I32" s="46">
        <v>45770</v>
      </c>
    </row>
    <row r="33" spans="1:9" ht="12.5" x14ac:dyDescent="0.25">
      <c r="A33" s="44" t="s">
        <v>258</v>
      </c>
      <c r="B33" s="44" t="s">
        <v>198</v>
      </c>
      <c r="C33" s="44" t="s">
        <v>59</v>
      </c>
      <c r="D33" s="44" t="s">
        <v>199</v>
      </c>
      <c r="E33" s="47"/>
      <c r="G33" s="46"/>
      <c r="H33" s="44" t="s">
        <v>200</v>
      </c>
      <c r="I33" s="46">
        <v>45783</v>
      </c>
    </row>
    <row r="34" spans="1:9" ht="12.5" x14ac:dyDescent="0.25">
      <c r="A34" s="44" t="s">
        <v>258</v>
      </c>
      <c r="B34" s="44" t="s">
        <v>47</v>
      </c>
      <c r="C34" s="44" t="s">
        <v>201</v>
      </c>
      <c r="D34" s="44" t="s">
        <v>273</v>
      </c>
      <c r="E34" s="45" t="s">
        <v>274</v>
      </c>
      <c r="F34" s="44" t="s">
        <v>275</v>
      </c>
      <c r="G34" s="44" t="s">
        <v>276</v>
      </c>
      <c r="H34" s="44" t="s">
        <v>277</v>
      </c>
      <c r="I34" s="46">
        <v>45755</v>
      </c>
    </row>
    <row r="35" spans="1:9" ht="12.5" x14ac:dyDescent="0.25">
      <c r="A35" s="44" t="s">
        <v>278</v>
      </c>
      <c r="B35" s="44" t="s">
        <v>22</v>
      </c>
      <c r="C35" s="44" t="s">
        <v>22</v>
      </c>
      <c r="D35" s="44" t="s">
        <v>279</v>
      </c>
      <c r="E35" s="45" t="s">
        <v>280</v>
      </c>
      <c r="F35" s="44" t="s">
        <v>281</v>
      </c>
      <c r="G35" s="44" t="s">
        <v>282</v>
      </c>
      <c r="H35" s="44" t="s">
        <v>283</v>
      </c>
      <c r="I35" s="46">
        <v>45756</v>
      </c>
    </row>
    <row r="36" spans="1:9" ht="12.5" x14ac:dyDescent="0.25">
      <c r="A36" s="44" t="s">
        <v>278</v>
      </c>
      <c r="B36" s="44" t="s">
        <v>41</v>
      </c>
      <c r="C36" s="44" t="s">
        <v>42</v>
      </c>
      <c r="D36" s="44" t="s">
        <v>194</v>
      </c>
      <c r="E36" s="45" t="s">
        <v>221</v>
      </c>
      <c r="F36" s="44" t="s">
        <v>222</v>
      </c>
      <c r="H36" s="44" t="s">
        <v>223</v>
      </c>
      <c r="I36" s="46">
        <v>45770</v>
      </c>
    </row>
    <row r="37" spans="1:9" ht="12.5" x14ac:dyDescent="0.25">
      <c r="A37" s="44" t="s">
        <v>278</v>
      </c>
      <c r="B37" s="44" t="s">
        <v>54</v>
      </c>
      <c r="C37" s="44" t="s">
        <v>284</v>
      </c>
      <c r="D37" s="44" t="s">
        <v>146</v>
      </c>
      <c r="E37" s="45" t="s">
        <v>285</v>
      </c>
      <c r="F37" s="44" t="s">
        <v>286</v>
      </c>
      <c r="G37" s="46"/>
      <c r="H37" s="44" t="s">
        <v>287</v>
      </c>
      <c r="I37" s="46">
        <v>45762</v>
      </c>
    </row>
    <row r="38" spans="1:9" ht="12.5" x14ac:dyDescent="0.25">
      <c r="A38" s="44" t="s">
        <v>278</v>
      </c>
      <c r="B38" s="44" t="s">
        <v>39</v>
      </c>
      <c r="C38" s="44" t="s">
        <v>284</v>
      </c>
      <c r="D38" s="44" t="s">
        <v>224</v>
      </c>
      <c r="E38" s="47"/>
      <c r="G38" s="46"/>
      <c r="H38" s="44" t="s">
        <v>288</v>
      </c>
      <c r="I38" s="46">
        <v>45761</v>
      </c>
    </row>
    <row r="39" spans="1:9" ht="12.5" x14ac:dyDescent="0.25">
      <c r="A39" s="44" t="s">
        <v>278</v>
      </c>
      <c r="B39" s="44" t="s">
        <v>198</v>
      </c>
      <c r="C39" s="44" t="s">
        <v>59</v>
      </c>
      <c r="D39" s="44" t="s">
        <v>199</v>
      </c>
      <c r="E39" s="47"/>
      <c r="G39" s="46"/>
      <c r="H39" s="44" t="s">
        <v>200</v>
      </c>
      <c r="I39" s="46">
        <v>45783</v>
      </c>
    </row>
    <row r="40" spans="1:9" ht="12.5" x14ac:dyDescent="0.25">
      <c r="A40" s="44" t="s">
        <v>278</v>
      </c>
      <c r="B40" s="44" t="s">
        <v>47</v>
      </c>
      <c r="C40" s="44" t="s">
        <v>252</v>
      </c>
      <c r="D40" s="44" t="s">
        <v>253</v>
      </c>
      <c r="E40" s="45" t="s">
        <v>254</v>
      </c>
      <c r="F40" s="44" t="s">
        <v>255</v>
      </c>
      <c r="G40" s="44" t="s">
        <v>256</v>
      </c>
      <c r="H40" s="44" t="s">
        <v>257</v>
      </c>
      <c r="I40" s="46">
        <v>45771</v>
      </c>
    </row>
    <row r="41" spans="1:9" ht="12.5" x14ac:dyDescent="0.25">
      <c r="A41" s="44" t="s">
        <v>289</v>
      </c>
      <c r="B41" s="44" t="s">
        <v>22</v>
      </c>
      <c r="C41" s="44" t="s">
        <v>22</v>
      </c>
      <c r="D41" s="44" t="s">
        <v>290</v>
      </c>
      <c r="E41" s="45" t="s">
        <v>291</v>
      </c>
      <c r="F41" s="44" t="s">
        <v>292</v>
      </c>
      <c r="G41" s="44" t="s">
        <v>293</v>
      </c>
      <c r="H41" s="44" t="s">
        <v>294</v>
      </c>
      <c r="I41" s="46">
        <v>45756</v>
      </c>
    </row>
    <row r="42" spans="1:9" ht="12.5" x14ac:dyDescent="0.25">
      <c r="A42" s="44" t="s">
        <v>289</v>
      </c>
      <c r="B42" s="44" t="s">
        <v>41</v>
      </c>
      <c r="C42" s="44" t="s">
        <v>42</v>
      </c>
      <c r="D42" s="44" t="s">
        <v>194</v>
      </c>
      <c r="E42" s="45" t="s">
        <v>221</v>
      </c>
      <c r="F42" s="44" t="s">
        <v>222</v>
      </c>
      <c r="G42" s="46"/>
      <c r="H42" s="44" t="s">
        <v>223</v>
      </c>
      <c r="I42" s="46">
        <v>45770</v>
      </c>
    </row>
    <row r="43" spans="1:9" ht="12.5" x14ac:dyDescent="0.25">
      <c r="A43" s="44" t="s">
        <v>289</v>
      </c>
      <c r="B43" s="44" t="s">
        <v>54</v>
      </c>
      <c r="C43" s="44" t="s">
        <v>284</v>
      </c>
      <c r="D43" s="44" t="s">
        <v>157</v>
      </c>
      <c r="E43" s="45" t="s">
        <v>295</v>
      </c>
      <c r="F43" s="44" t="s">
        <v>296</v>
      </c>
      <c r="G43" s="46"/>
      <c r="H43" s="44" t="s">
        <v>297</v>
      </c>
      <c r="I43" s="46">
        <v>45762</v>
      </c>
    </row>
    <row r="44" spans="1:9" ht="12.5" x14ac:dyDescent="0.25">
      <c r="A44" s="44" t="s">
        <v>289</v>
      </c>
      <c r="B44" s="44" t="s">
        <v>39</v>
      </c>
      <c r="C44" s="44" t="s">
        <v>284</v>
      </c>
      <c r="D44" s="44" t="s">
        <v>224</v>
      </c>
      <c r="E44" s="47"/>
      <c r="H44" s="44" t="s">
        <v>298</v>
      </c>
      <c r="I44" s="46">
        <v>45761</v>
      </c>
    </row>
    <row r="45" spans="1:9" ht="12.5" x14ac:dyDescent="0.25">
      <c r="A45" s="44" t="s">
        <v>289</v>
      </c>
      <c r="B45" s="44" t="s">
        <v>198</v>
      </c>
      <c r="C45" s="44" t="s">
        <v>59</v>
      </c>
      <c r="D45" s="44" t="s">
        <v>199</v>
      </c>
      <c r="E45" s="47"/>
      <c r="H45" s="44" t="s">
        <v>200</v>
      </c>
      <c r="I45" s="46">
        <v>45783</v>
      </c>
    </row>
    <row r="46" spans="1:9" ht="12.5" x14ac:dyDescent="0.25">
      <c r="A46" s="44" t="s">
        <v>299</v>
      </c>
      <c r="B46" s="44" t="s">
        <v>22</v>
      </c>
      <c r="C46" s="44" t="s">
        <v>22</v>
      </c>
      <c r="D46" s="44" t="s">
        <v>300</v>
      </c>
      <c r="E46" s="47"/>
      <c r="H46" s="44" t="s">
        <v>301</v>
      </c>
      <c r="I46" s="46">
        <v>45756</v>
      </c>
    </row>
    <row r="47" spans="1:9" ht="12.5" x14ac:dyDescent="0.25">
      <c r="A47" s="44" t="s">
        <v>299</v>
      </c>
      <c r="B47" s="44" t="s">
        <v>41</v>
      </c>
      <c r="C47" s="44" t="s">
        <v>42</v>
      </c>
      <c r="D47" s="44" t="s">
        <v>194</v>
      </c>
      <c r="E47" s="45" t="s">
        <v>221</v>
      </c>
      <c r="F47" s="44" t="s">
        <v>222</v>
      </c>
      <c r="H47" s="44" t="s">
        <v>223</v>
      </c>
      <c r="I47" s="46">
        <v>45770</v>
      </c>
    </row>
    <row r="48" spans="1:9" ht="12.5" x14ac:dyDescent="0.25">
      <c r="A48" s="44" t="s">
        <v>299</v>
      </c>
      <c r="B48" s="44" t="s">
        <v>54</v>
      </c>
      <c r="C48" s="44" t="s">
        <v>284</v>
      </c>
      <c r="D48" s="44" t="s">
        <v>164</v>
      </c>
      <c r="E48" s="45" t="s">
        <v>302</v>
      </c>
      <c r="F48" s="44" t="s">
        <v>303</v>
      </c>
      <c r="H48" s="44" t="s">
        <v>304</v>
      </c>
      <c r="I48" s="46">
        <v>45762</v>
      </c>
    </row>
    <row r="49" spans="1:9" ht="12.5" x14ac:dyDescent="0.25">
      <c r="A49" s="44" t="s">
        <v>299</v>
      </c>
      <c r="B49" s="44" t="s">
        <v>39</v>
      </c>
      <c r="C49" s="44" t="s">
        <v>284</v>
      </c>
      <c r="D49" s="44" t="s">
        <v>224</v>
      </c>
      <c r="E49" s="47"/>
      <c r="F49" s="44" t="s">
        <v>219</v>
      </c>
      <c r="H49" s="44" t="s">
        <v>298</v>
      </c>
      <c r="I49" s="46">
        <v>45761</v>
      </c>
    </row>
    <row r="50" spans="1:9" ht="12.5" x14ac:dyDescent="0.25">
      <c r="E50" s="47"/>
    </row>
    <row r="51" spans="1:9" ht="12.5" x14ac:dyDescent="0.25">
      <c r="E51" s="47"/>
    </row>
    <row r="52" spans="1:9" ht="12.5" x14ac:dyDescent="0.25">
      <c r="E52" s="47"/>
    </row>
    <row r="53" spans="1:9" ht="12.5" x14ac:dyDescent="0.25">
      <c r="E53" s="47"/>
    </row>
    <row r="54" spans="1:9" ht="12.5" x14ac:dyDescent="0.25">
      <c r="E54" s="47"/>
    </row>
    <row r="55" spans="1:9" ht="12.5" x14ac:dyDescent="0.25">
      <c r="E55" s="47"/>
    </row>
    <row r="56" spans="1:9" ht="12.5" x14ac:dyDescent="0.25">
      <c r="E56" s="47"/>
    </row>
    <row r="57" spans="1:9" ht="12.5" x14ac:dyDescent="0.25">
      <c r="E57" s="47"/>
    </row>
    <row r="58" spans="1:9" ht="12.5" x14ac:dyDescent="0.25">
      <c r="E58" s="47"/>
    </row>
    <row r="59" spans="1:9" ht="12.5" x14ac:dyDescent="0.25">
      <c r="E59" s="47"/>
    </row>
    <row r="60" spans="1:9" ht="12.5" x14ac:dyDescent="0.25">
      <c r="E60" s="47"/>
    </row>
    <row r="61" spans="1:9" ht="12.5" x14ac:dyDescent="0.25">
      <c r="E61" s="47"/>
    </row>
    <row r="62" spans="1:9" ht="12.5" x14ac:dyDescent="0.25">
      <c r="E62" s="47"/>
    </row>
    <row r="63" spans="1:9" ht="12.5" x14ac:dyDescent="0.25">
      <c r="E63" s="47"/>
    </row>
    <row r="64" spans="1:9" ht="12.5" x14ac:dyDescent="0.25">
      <c r="E64" s="47"/>
    </row>
    <row r="65" spans="5:5" ht="12.5" x14ac:dyDescent="0.25">
      <c r="E65" s="47"/>
    </row>
    <row r="66" spans="5:5" ht="12.5" x14ac:dyDescent="0.25">
      <c r="E66" s="47"/>
    </row>
    <row r="67" spans="5:5" ht="12.5" x14ac:dyDescent="0.25">
      <c r="E67" s="47"/>
    </row>
    <row r="68" spans="5:5" ht="12.5" x14ac:dyDescent="0.25">
      <c r="E68" s="47"/>
    </row>
    <row r="69" spans="5:5" ht="12.5" x14ac:dyDescent="0.25">
      <c r="E69" s="47"/>
    </row>
    <row r="70" spans="5:5" ht="12.5" x14ac:dyDescent="0.25">
      <c r="E70" s="47"/>
    </row>
    <row r="71" spans="5:5" ht="12.5" x14ac:dyDescent="0.25">
      <c r="E71" s="47"/>
    </row>
    <row r="72" spans="5:5" ht="12.5" x14ac:dyDescent="0.25">
      <c r="E72" s="47"/>
    </row>
    <row r="73" spans="5:5" ht="12.5" x14ac:dyDescent="0.25">
      <c r="E73" s="47"/>
    </row>
    <row r="74" spans="5:5" ht="12.5" x14ac:dyDescent="0.25">
      <c r="E74" s="47"/>
    </row>
    <row r="75" spans="5:5" ht="12.5" x14ac:dyDescent="0.25">
      <c r="E75" s="47"/>
    </row>
    <row r="76" spans="5:5" ht="12.5" x14ac:dyDescent="0.25">
      <c r="E76" s="47"/>
    </row>
    <row r="77" spans="5:5" ht="12.5" x14ac:dyDescent="0.25">
      <c r="E77" s="47"/>
    </row>
    <row r="78" spans="5:5" ht="12.5" x14ac:dyDescent="0.25">
      <c r="E78" s="47"/>
    </row>
    <row r="79" spans="5:5" ht="12.5" x14ac:dyDescent="0.25">
      <c r="E79" s="47"/>
    </row>
    <row r="80" spans="5:5" ht="12.5" x14ac:dyDescent="0.25">
      <c r="E80" s="47"/>
    </row>
    <row r="81" spans="5:5" ht="12.5" x14ac:dyDescent="0.25">
      <c r="E81" s="47"/>
    </row>
    <row r="82" spans="5:5" ht="12.5" x14ac:dyDescent="0.25">
      <c r="E82" s="47"/>
    </row>
    <row r="83" spans="5:5" ht="12.5" x14ac:dyDescent="0.25">
      <c r="E83" s="47"/>
    </row>
    <row r="84" spans="5:5" ht="12.5" x14ac:dyDescent="0.25">
      <c r="E84" s="47"/>
    </row>
    <row r="85" spans="5:5" ht="12.5" x14ac:dyDescent="0.25">
      <c r="E85" s="47"/>
    </row>
    <row r="86" spans="5:5" ht="12.5" x14ac:dyDescent="0.25">
      <c r="E86" s="47"/>
    </row>
    <row r="87" spans="5:5" ht="12.5" x14ac:dyDescent="0.25">
      <c r="E87" s="47"/>
    </row>
    <row r="88" spans="5:5" ht="12.5" x14ac:dyDescent="0.25">
      <c r="E88" s="47"/>
    </row>
    <row r="89" spans="5:5" ht="12.5" x14ac:dyDescent="0.25">
      <c r="E89" s="47"/>
    </row>
    <row r="90" spans="5:5" ht="12.5" x14ac:dyDescent="0.25">
      <c r="E90" s="47"/>
    </row>
    <row r="91" spans="5:5" ht="12.5" x14ac:dyDescent="0.25">
      <c r="E91" s="47"/>
    </row>
    <row r="92" spans="5:5" ht="12.5" x14ac:dyDescent="0.25">
      <c r="E92" s="47"/>
    </row>
    <row r="93" spans="5:5" ht="12.5" x14ac:dyDescent="0.25">
      <c r="E93" s="47"/>
    </row>
    <row r="94" spans="5:5" ht="12.5" x14ac:dyDescent="0.25">
      <c r="E94" s="47"/>
    </row>
    <row r="95" spans="5:5" ht="12.5" x14ac:dyDescent="0.25">
      <c r="E95" s="47"/>
    </row>
    <row r="96" spans="5:5" ht="12.5" x14ac:dyDescent="0.25">
      <c r="E96" s="47"/>
    </row>
    <row r="97" spans="5:5" ht="12.5" x14ac:dyDescent="0.25">
      <c r="E97" s="47"/>
    </row>
    <row r="98" spans="5:5" ht="12.5" x14ac:dyDescent="0.25">
      <c r="E98" s="47"/>
    </row>
    <row r="99" spans="5:5" ht="12.5" x14ac:dyDescent="0.25">
      <c r="E99" s="47"/>
    </row>
    <row r="100" spans="5:5" ht="12.5" x14ac:dyDescent="0.25">
      <c r="E100" s="47"/>
    </row>
    <row r="101" spans="5:5" ht="12.5" x14ac:dyDescent="0.25">
      <c r="E101" s="47"/>
    </row>
    <row r="102" spans="5:5" ht="12.5" x14ac:dyDescent="0.25">
      <c r="E102" s="47"/>
    </row>
    <row r="103" spans="5:5" ht="12.5" x14ac:dyDescent="0.25">
      <c r="E103" s="47"/>
    </row>
    <row r="104" spans="5:5" ht="12.5" x14ac:dyDescent="0.25">
      <c r="E104" s="47"/>
    </row>
    <row r="105" spans="5:5" ht="12.5" x14ac:dyDescent="0.25">
      <c r="E105" s="47"/>
    </row>
    <row r="106" spans="5:5" ht="12.5" x14ac:dyDescent="0.25">
      <c r="E106" s="47"/>
    </row>
    <row r="107" spans="5:5" ht="12.5" x14ac:dyDescent="0.25">
      <c r="E107" s="47"/>
    </row>
    <row r="108" spans="5:5" ht="12.5" x14ac:dyDescent="0.25">
      <c r="E108" s="47"/>
    </row>
    <row r="109" spans="5:5" ht="12.5" x14ac:dyDescent="0.25">
      <c r="E109" s="47"/>
    </row>
    <row r="110" spans="5:5" ht="12.5" x14ac:dyDescent="0.25">
      <c r="E110" s="47"/>
    </row>
    <row r="111" spans="5:5" ht="12.5" x14ac:dyDescent="0.25">
      <c r="E111" s="47"/>
    </row>
    <row r="112" spans="5:5" ht="12.5" x14ac:dyDescent="0.25">
      <c r="E112" s="47"/>
    </row>
    <row r="113" spans="5:5" ht="12.5" x14ac:dyDescent="0.25">
      <c r="E113" s="47"/>
    </row>
    <row r="114" spans="5:5" ht="12.5" x14ac:dyDescent="0.25">
      <c r="E114" s="47"/>
    </row>
    <row r="115" spans="5:5" ht="12.5" x14ac:dyDescent="0.25">
      <c r="E115" s="47"/>
    </row>
    <row r="116" spans="5:5" ht="12.5" x14ac:dyDescent="0.25">
      <c r="E116" s="47"/>
    </row>
    <row r="117" spans="5:5" ht="12.5" x14ac:dyDescent="0.25">
      <c r="E117" s="47"/>
    </row>
    <row r="118" spans="5:5" ht="12.5" x14ac:dyDescent="0.25">
      <c r="E118" s="47"/>
    </row>
    <row r="119" spans="5:5" ht="12.5" x14ac:dyDescent="0.25">
      <c r="E119" s="47"/>
    </row>
    <row r="120" spans="5:5" ht="12.5" x14ac:dyDescent="0.25">
      <c r="E120" s="47"/>
    </row>
    <row r="121" spans="5:5" ht="12.5" x14ac:dyDescent="0.25">
      <c r="E121" s="47"/>
    </row>
    <row r="122" spans="5:5" ht="12.5" x14ac:dyDescent="0.25">
      <c r="E122" s="47"/>
    </row>
    <row r="123" spans="5:5" ht="12.5" x14ac:dyDescent="0.25">
      <c r="E123" s="47"/>
    </row>
    <row r="124" spans="5:5" ht="12.5" x14ac:dyDescent="0.25">
      <c r="E124" s="47"/>
    </row>
    <row r="125" spans="5:5" ht="12.5" x14ac:dyDescent="0.25">
      <c r="E125" s="47"/>
    </row>
    <row r="126" spans="5:5" ht="12.5" x14ac:dyDescent="0.25">
      <c r="E126" s="47"/>
    </row>
    <row r="127" spans="5:5" ht="12.5" x14ac:dyDescent="0.25">
      <c r="E127" s="47"/>
    </row>
    <row r="128" spans="5:5" ht="12.5" x14ac:dyDescent="0.25">
      <c r="E128" s="47"/>
    </row>
    <row r="129" spans="5:5" ht="12.5" x14ac:dyDescent="0.25">
      <c r="E129" s="47"/>
    </row>
    <row r="130" spans="5:5" ht="12.5" x14ac:dyDescent="0.25">
      <c r="E130" s="47"/>
    </row>
    <row r="131" spans="5:5" ht="12.5" x14ac:dyDescent="0.25">
      <c r="E131" s="47"/>
    </row>
    <row r="132" spans="5:5" ht="12.5" x14ac:dyDescent="0.25">
      <c r="E132" s="47"/>
    </row>
    <row r="133" spans="5:5" ht="12.5" x14ac:dyDescent="0.25">
      <c r="E133" s="47"/>
    </row>
    <row r="134" spans="5:5" ht="12.5" x14ac:dyDescent="0.25">
      <c r="E134" s="47"/>
    </row>
    <row r="135" spans="5:5" ht="12.5" x14ac:dyDescent="0.25">
      <c r="E135" s="47"/>
    </row>
    <row r="136" spans="5:5" ht="12.5" x14ac:dyDescent="0.25">
      <c r="E136" s="47"/>
    </row>
    <row r="137" spans="5:5" ht="12.5" x14ac:dyDescent="0.25">
      <c r="E137" s="47"/>
    </row>
    <row r="138" spans="5:5" ht="12.5" x14ac:dyDescent="0.25">
      <c r="E138" s="47"/>
    </row>
    <row r="139" spans="5:5" ht="12.5" x14ac:dyDescent="0.25">
      <c r="E139" s="47"/>
    </row>
    <row r="140" spans="5:5" ht="12.5" x14ac:dyDescent="0.25">
      <c r="E140" s="47"/>
    </row>
    <row r="141" spans="5:5" ht="12.5" x14ac:dyDescent="0.25">
      <c r="E141" s="47"/>
    </row>
    <row r="142" spans="5:5" ht="12.5" x14ac:dyDescent="0.25">
      <c r="E142" s="47"/>
    </row>
    <row r="143" spans="5:5" ht="12.5" x14ac:dyDescent="0.25">
      <c r="E143" s="47"/>
    </row>
    <row r="144" spans="5:5" ht="12.5" x14ac:dyDescent="0.25">
      <c r="E144" s="47"/>
    </row>
    <row r="145" spans="5:5" ht="12.5" x14ac:dyDescent="0.25">
      <c r="E145" s="47"/>
    </row>
    <row r="146" spans="5:5" ht="12.5" x14ac:dyDescent="0.25">
      <c r="E146" s="47"/>
    </row>
    <row r="147" spans="5:5" ht="12.5" x14ac:dyDescent="0.25">
      <c r="E147" s="47"/>
    </row>
    <row r="148" spans="5:5" ht="12.5" x14ac:dyDescent="0.25">
      <c r="E148" s="47"/>
    </row>
    <row r="149" spans="5:5" ht="12.5" x14ac:dyDescent="0.25">
      <c r="E149" s="47"/>
    </row>
    <row r="150" spans="5:5" ht="12.5" x14ac:dyDescent="0.25">
      <c r="E150" s="47"/>
    </row>
    <row r="151" spans="5:5" ht="12.5" x14ac:dyDescent="0.25">
      <c r="E151" s="47"/>
    </row>
    <row r="152" spans="5:5" ht="12.5" x14ac:dyDescent="0.25">
      <c r="E152" s="47"/>
    </row>
    <row r="153" spans="5:5" ht="12.5" x14ac:dyDescent="0.25">
      <c r="E153" s="47"/>
    </row>
    <row r="154" spans="5:5" ht="12.5" x14ac:dyDescent="0.25">
      <c r="E154" s="47"/>
    </row>
    <row r="155" spans="5:5" ht="12.5" x14ac:dyDescent="0.25">
      <c r="E155" s="47"/>
    </row>
    <row r="156" spans="5:5" ht="12.5" x14ac:dyDescent="0.25">
      <c r="E156" s="47"/>
    </row>
    <row r="157" spans="5:5" ht="12.5" x14ac:dyDescent="0.25">
      <c r="E157" s="47"/>
    </row>
    <row r="158" spans="5:5" ht="12.5" x14ac:dyDescent="0.25">
      <c r="E158" s="47"/>
    </row>
    <row r="159" spans="5:5" ht="12.5" x14ac:dyDescent="0.25">
      <c r="E159" s="47"/>
    </row>
    <row r="160" spans="5:5" ht="12.5" x14ac:dyDescent="0.25">
      <c r="E160" s="47"/>
    </row>
    <row r="161" spans="5:5" ht="12.5" x14ac:dyDescent="0.25">
      <c r="E161" s="47"/>
    </row>
    <row r="162" spans="5:5" ht="12.5" x14ac:dyDescent="0.25">
      <c r="E162" s="47"/>
    </row>
    <row r="163" spans="5:5" ht="12.5" x14ac:dyDescent="0.25">
      <c r="E163" s="47"/>
    </row>
    <row r="164" spans="5:5" ht="12.5" x14ac:dyDescent="0.25">
      <c r="E164" s="47"/>
    </row>
    <row r="165" spans="5:5" ht="12.5" x14ac:dyDescent="0.25">
      <c r="E165" s="47"/>
    </row>
    <row r="166" spans="5:5" ht="12.5" x14ac:dyDescent="0.25">
      <c r="E166" s="47"/>
    </row>
    <row r="167" spans="5:5" ht="12.5" x14ac:dyDescent="0.25">
      <c r="E167" s="47"/>
    </row>
    <row r="168" spans="5:5" ht="12.5" x14ac:dyDescent="0.25">
      <c r="E168" s="47"/>
    </row>
    <row r="169" spans="5:5" ht="12.5" x14ac:dyDescent="0.25">
      <c r="E169" s="47"/>
    </row>
    <row r="170" spans="5:5" ht="12.5" x14ac:dyDescent="0.25">
      <c r="E170" s="47"/>
    </row>
    <row r="171" spans="5:5" ht="12.5" x14ac:dyDescent="0.25">
      <c r="E171" s="47"/>
    </row>
    <row r="172" spans="5:5" ht="12.5" x14ac:dyDescent="0.25">
      <c r="E172" s="47"/>
    </row>
    <row r="173" spans="5:5" ht="12.5" x14ac:dyDescent="0.25">
      <c r="E173" s="47"/>
    </row>
    <row r="174" spans="5:5" ht="12.5" x14ac:dyDescent="0.25">
      <c r="E174" s="47"/>
    </row>
    <row r="175" spans="5:5" ht="12.5" x14ac:dyDescent="0.25">
      <c r="E175" s="47"/>
    </row>
    <row r="176" spans="5:5" ht="12.5" x14ac:dyDescent="0.25">
      <c r="E176" s="47"/>
    </row>
    <row r="177" spans="5:5" ht="12.5" x14ac:dyDescent="0.25">
      <c r="E177" s="47"/>
    </row>
    <row r="178" spans="5:5" ht="12.5" x14ac:dyDescent="0.25">
      <c r="E178" s="47"/>
    </row>
    <row r="179" spans="5:5" ht="12.5" x14ac:dyDescent="0.25">
      <c r="E179" s="47"/>
    </row>
    <row r="180" spans="5:5" ht="12.5" x14ac:dyDescent="0.25">
      <c r="E180" s="47"/>
    </row>
    <row r="181" spans="5:5" ht="12.5" x14ac:dyDescent="0.25">
      <c r="E181" s="47"/>
    </row>
    <row r="182" spans="5:5" ht="12.5" x14ac:dyDescent="0.25">
      <c r="E182" s="47"/>
    </row>
    <row r="183" spans="5:5" ht="12.5" x14ac:dyDescent="0.25">
      <c r="E183" s="47"/>
    </row>
    <row r="184" spans="5:5" ht="12.5" x14ac:dyDescent="0.25">
      <c r="E184" s="47"/>
    </row>
    <row r="185" spans="5:5" ht="12.5" x14ac:dyDescent="0.25">
      <c r="E185" s="47"/>
    </row>
    <row r="186" spans="5:5" ht="12.5" x14ac:dyDescent="0.25">
      <c r="E186" s="47"/>
    </row>
    <row r="187" spans="5:5" ht="12.5" x14ac:dyDescent="0.25">
      <c r="E187" s="47"/>
    </row>
    <row r="188" spans="5:5" ht="12.5" x14ac:dyDescent="0.25">
      <c r="E188" s="47"/>
    </row>
    <row r="189" spans="5:5" ht="12.5" x14ac:dyDescent="0.25">
      <c r="E189" s="47"/>
    </row>
    <row r="190" spans="5:5" ht="12.5" x14ac:dyDescent="0.25">
      <c r="E190" s="47"/>
    </row>
    <row r="191" spans="5:5" ht="12.5" x14ac:dyDescent="0.25">
      <c r="E191" s="47"/>
    </row>
    <row r="192" spans="5:5" ht="12.5" x14ac:dyDescent="0.25">
      <c r="E192" s="47"/>
    </row>
    <row r="193" spans="5:5" ht="12.5" x14ac:dyDescent="0.25">
      <c r="E193" s="47"/>
    </row>
    <row r="194" spans="5:5" ht="12.5" x14ac:dyDescent="0.25">
      <c r="E194" s="47"/>
    </row>
    <row r="195" spans="5:5" ht="12.5" x14ac:dyDescent="0.25">
      <c r="E195" s="47"/>
    </row>
    <row r="196" spans="5:5" ht="12.5" x14ac:dyDescent="0.25">
      <c r="E196" s="47"/>
    </row>
    <row r="197" spans="5:5" ht="12.5" x14ac:dyDescent="0.25">
      <c r="E197" s="47"/>
    </row>
    <row r="198" spans="5:5" ht="12.5" x14ac:dyDescent="0.25">
      <c r="E198" s="47"/>
    </row>
    <row r="199" spans="5:5" ht="12.5" x14ac:dyDescent="0.25">
      <c r="E199" s="47"/>
    </row>
    <row r="200" spans="5:5" ht="12.5" x14ac:dyDescent="0.25">
      <c r="E200" s="47"/>
    </row>
    <row r="201" spans="5:5" ht="12.5" x14ac:dyDescent="0.25">
      <c r="E201" s="47"/>
    </row>
    <row r="202" spans="5:5" ht="12.5" x14ac:dyDescent="0.25">
      <c r="E202" s="47"/>
    </row>
    <row r="203" spans="5:5" ht="12.5" x14ac:dyDescent="0.25">
      <c r="E203" s="47"/>
    </row>
    <row r="204" spans="5:5" ht="12.5" x14ac:dyDescent="0.25">
      <c r="E204" s="47"/>
    </row>
    <row r="205" spans="5:5" ht="12.5" x14ac:dyDescent="0.25">
      <c r="E205" s="47"/>
    </row>
    <row r="206" spans="5:5" ht="12.5" x14ac:dyDescent="0.25">
      <c r="E206" s="47"/>
    </row>
    <row r="207" spans="5:5" ht="12.5" x14ac:dyDescent="0.25">
      <c r="E207" s="47"/>
    </row>
    <row r="208" spans="5:5" ht="12.5" x14ac:dyDescent="0.25">
      <c r="E208" s="47"/>
    </row>
    <row r="209" spans="5:5" ht="12.5" x14ac:dyDescent="0.25">
      <c r="E209" s="47"/>
    </row>
    <row r="210" spans="5:5" ht="12.5" x14ac:dyDescent="0.25">
      <c r="E210" s="47"/>
    </row>
    <row r="211" spans="5:5" ht="12.5" x14ac:dyDescent="0.25">
      <c r="E211" s="47"/>
    </row>
    <row r="212" spans="5:5" ht="12.5" x14ac:dyDescent="0.25">
      <c r="E212" s="47"/>
    </row>
    <row r="213" spans="5:5" ht="12.5" x14ac:dyDescent="0.25">
      <c r="E213" s="47"/>
    </row>
    <row r="214" spans="5:5" ht="12.5" x14ac:dyDescent="0.25">
      <c r="E214" s="47"/>
    </row>
    <row r="215" spans="5:5" ht="12.5" x14ac:dyDescent="0.25">
      <c r="E215" s="47"/>
    </row>
    <row r="216" spans="5:5" ht="12.5" x14ac:dyDescent="0.25">
      <c r="E216" s="47"/>
    </row>
    <row r="217" spans="5:5" ht="12.5" x14ac:dyDescent="0.25">
      <c r="E217" s="47"/>
    </row>
    <row r="218" spans="5:5" ht="12.5" x14ac:dyDescent="0.25">
      <c r="E218" s="47"/>
    </row>
    <row r="219" spans="5:5" ht="12.5" x14ac:dyDescent="0.25">
      <c r="E219" s="47"/>
    </row>
    <row r="220" spans="5:5" ht="12.5" x14ac:dyDescent="0.25">
      <c r="E220" s="47"/>
    </row>
    <row r="221" spans="5:5" ht="12.5" x14ac:dyDescent="0.25">
      <c r="E221" s="47"/>
    </row>
    <row r="222" spans="5:5" ht="12.5" x14ac:dyDescent="0.25">
      <c r="E222" s="47"/>
    </row>
    <row r="223" spans="5:5" ht="12.5" x14ac:dyDescent="0.25">
      <c r="E223" s="47"/>
    </row>
    <row r="224" spans="5:5" ht="12.5" x14ac:dyDescent="0.25">
      <c r="E224" s="47"/>
    </row>
    <row r="225" spans="5:5" ht="12.5" x14ac:dyDescent="0.25">
      <c r="E225" s="47"/>
    </row>
    <row r="226" spans="5:5" ht="12.5" x14ac:dyDescent="0.25">
      <c r="E226" s="47"/>
    </row>
    <row r="227" spans="5:5" ht="12.5" x14ac:dyDescent="0.25">
      <c r="E227" s="47"/>
    </row>
    <row r="228" spans="5:5" ht="12.5" x14ac:dyDescent="0.25">
      <c r="E228" s="47"/>
    </row>
    <row r="229" spans="5:5" ht="12.5" x14ac:dyDescent="0.25">
      <c r="E229" s="47"/>
    </row>
    <row r="230" spans="5:5" ht="12.5" x14ac:dyDescent="0.25">
      <c r="E230" s="47"/>
    </row>
    <row r="231" spans="5:5" ht="12.5" x14ac:dyDescent="0.25">
      <c r="E231" s="47"/>
    </row>
    <row r="232" spans="5:5" ht="12.5" x14ac:dyDescent="0.25">
      <c r="E232" s="47"/>
    </row>
    <row r="233" spans="5:5" ht="12.5" x14ac:dyDescent="0.25">
      <c r="E233" s="47"/>
    </row>
    <row r="234" spans="5:5" ht="12.5" x14ac:dyDescent="0.25">
      <c r="E234" s="47"/>
    </row>
    <row r="235" spans="5:5" ht="12.5" x14ac:dyDescent="0.25">
      <c r="E235" s="47"/>
    </row>
    <row r="236" spans="5:5" ht="12.5" x14ac:dyDescent="0.25">
      <c r="E236" s="47"/>
    </row>
    <row r="237" spans="5:5" ht="12.5" x14ac:dyDescent="0.25">
      <c r="E237" s="47"/>
    </row>
    <row r="238" spans="5:5" ht="12.5" x14ac:dyDescent="0.25">
      <c r="E238" s="47"/>
    </row>
    <row r="239" spans="5:5" ht="12.5" x14ac:dyDescent="0.25">
      <c r="E239" s="47"/>
    </row>
    <row r="240" spans="5:5" ht="12.5" x14ac:dyDescent="0.25">
      <c r="E240" s="47"/>
    </row>
    <row r="241" spans="5:5" ht="12.5" x14ac:dyDescent="0.25">
      <c r="E241" s="47"/>
    </row>
    <row r="242" spans="5:5" ht="12.5" x14ac:dyDescent="0.25">
      <c r="E242" s="47"/>
    </row>
    <row r="243" spans="5:5" ht="12.5" x14ac:dyDescent="0.25">
      <c r="E243" s="47"/>
    </row>
    <row r="244" spans="5:5" ht="12.5" x14ac:dyDescent="0.25">
      <c r="E244" s="47"/>
    </row>
    <row r="245" spans="5:5" ht="12.5" x14ac:dyDescent="0.25">
      <c r="E245" s="47"/>
    </row>
    <row r="246" spans="5:5" ht="12.5" x14ac:dyDescent="0.25">
      <c r="E246" s="47"/>
    </row>
    <row r="247" spans="5:5" ht="12.5" x14ac:dyDescent="0.25">
      <c r="E247" s="47"/>
    </row>
    <row r="248" spans="5:5" ht="12.5" x14ac:dyDescent="0.25">
      <c r="E248" s="47"/>
    </row>
    <row r="249" spans="5:5" ht="12.5" x14ac:dyDescent="0.25">
      <c r="E249" s="47"/>
    </row>
    <row r="250" spans="5:5" ht="12.5" x14ac:dyDescent="0.25">
      <c r="E250" s="47"/>
    </row>
    <row r="251" spans="5:5" ht="12.5" x14ac:dyDescent="0.25">
      <c r="E251" s="47"/>
    </row>
    <row r="252" spans="5:5" ht="12.5" x14ac:dyDescent="0.25">
      <c r="E252" s="47"/>
    </row>
    <row r="253" spans="5:5" ht="12.5" x14ac:dyDescent="0.25">
      <c r="E253" s="47"/>
    </row>
    <row r="254" spans="5:5" ht="12.5" x14ac:dyDescent="0.25">
      <c r="E254" s="47"/>
    </row>
    <row r="255" spans="5:5" ht="12.5" x14ac:dyDescent="0.25">
      <c r="E255" s="47"/>
    </row>
    <row r="256" spans="5:5" ht="12.5" x14ac:dyDescent="0.25">
      <c r="E256" s="47"/>
    </row>
    <row r="257" spans="5:5" ht="12.5" x14ac:dyDescent="0.25">
      <c r="E257" s="47"/>
    </row>
    <row r="258" spans="5:5" ht="12.5" x14ac:dyDescent="0.25">
      <c r="E258" s="47"/>
    </row>
    <row r="259" spans="5:5" ht="12.5" x14ac:dyDescent="0.25">
      <c r="E259" s="47"/>
    </row>
    <row r="260" spans="5:5" ht="12.5" x14ac:dyDescent="0.25">
      <c r="E260" s="47"/>
    </row>
    <row r="261" spans="5:5" ht="12.5" x14ac:dyDescent="0.25">
      <c r="E261" s="47"/>
    </row>
    <row r="262" spans="5:5" ht="12.5" x14ac:dyDescent="0.25">
      <c r="E262" s="47"/>
    </row>
    <row r="263" spans="5:5" ht="12.5" x14ac:dyDescent="0.25">
      <c r="E263" s="47"/>
    </row>
    <row r="264" spans="5:5" ht="12.5" x14ac:dyDescent="0.25">
      <c r="E264" s="47"/>
    </row>
    <row r="265" spans="5:5" ht="12.5" x14ac:dyDescent="0.25">
      <c r="E265" s="47"/>
    </row>
    <row r="266" spans="5:5" ht="12.5" x14ac:dyDescent="0.25">
      <c r="E266" s="47"/>
    </row>
    <row r="267" spans="5:5" ht="12.5" x14ac:dyDescent="0.25">
      <c r="E267" s="47"/>
    </row>
    <row r="268" spans="5:5" ht="12.5" x14ac:dyDescent="0.25">
      <c r="E268" s="47"/>
    </row>
    <row r="269" spans="5:5" ht="12.5" x14ac:dyDescent="0.25">
      <c r="E269" s="47"/>
    </row>
    <row r="270" spans="5:5" ht="12.5" x14ac:dyDescent="0.25">
      <c r="E270" s="47"/>
    </row>
    <row r="271" spans="5:5" ht="12.5" x14ac:dyDescent="0.25">
      <c r="E271" s="47"/>
    </row>
    <row r="272" spans="5:5" ht="12.5" x14ac:dyDescent="0.25">
      <c r="E272" s="47"/>
    </row>
    <row r="273" spans="5:5" ht="12.5" x14ac:dyDescent="0.25">
      <c r="E273" s="47"/>
    </row>
    <row r="274" spans="5:5" ht="12.5" x14ac:dyDescent="0.25">
      <c r="E274" s="47"/>
    </row>
    <row r="275" spans="5:5" ht="12.5" x14ac:dyDescent="0.25">
      <c r="E275" s="47"/>
    </row>
    <row r="276" spans="5:5" ht="12.5" x14ac:dyDescent="0.25">
      <c r="E276" s="47"/>
    </row>
    <row r="277" spans="5:5" ht="12.5" x14ac:dyDescent="0.25">
      <c r="E277" s="47"/>
    </row>
    <row r="278" spans="5:5" ht="12.5" x14ac:dyDescent="0.25">
      <c r="E278" s="47"/>
    </row>
    <row r="279" spans="5:5" ht="12.5" x14ac:dyDescent="0.25">
      <c r="E279" s="47"/>
    </row>
    <row r="280" spans="5:5" ht="12.5" x14ac:dyDescent="0.25">
      <c r="E280" s="47"/>
    </row>
    <row r="281" spans="5:5" ht="12.5" x14ac:dyDescent="0.25">
      <c r="E281" s="47"/>
    </row>
    <row r="282" spans="5:5" ht="12.5" x14ac:dyDescent="0.25">
      <c r="E282" s="47"/>
    </row>
    <row r="283" spans="5:5" ht="12.5" x14ac:dyDescent="0.25">
      <c r="E283" s="47"/>
    </row>
    <row r="284" spans="5:5" ht="12.5" x14ac:dyDescent="0.25">
      <c r="E284" s="47"/>
    </row>
    <row r="285" spans="5:5" ht="12.5" x14ac:dyDescent="0.25">
      <c r="E285" s="47"/>
    </row>
    <row r="286" spans="5:5" ht="12.5" x14ac:dyDescent="0.25">
      <c r="E286" s="47"/>
    </row>
    <row r="287" spans="5:5" ht="12.5" x14ac:dyDescent="0.25">
      <c r="E287" s="47"/>
    </row>
    <row r="288" spans="5:5" ht="12.5" x14ac:dyDescent="0.25">
      <c r="E288" s="47"/>
    </row>
    <row r="289" spans="5:5" ht="12.5" x14ac:dyDescent="0.25">
      <c r="E289" s="47"/>
    </row>
    <row r="290" spans="5:5" ht="12.5" x14ac:dyDescent="0.25">
      <c r="E290" s="47"/>
    </row>
    <row r="291" spans="5:5" ht="12.5" x14ac:dyDescent="0.25">
      <c r="E291" s="47"/>
    </row>
    <row r="292" spans="5:5" ht="12.5" x14ac:dyDescent="0.25">
      <c r="E292" s="47"/>
    </row>
    <row r="293" spans="5:5" ht="12.5" x14ac:dyDescent="0.25">
      <c r="E293" s="47"/>
    </row>
    <row r="294" spans="5:5" ht="12.5" x14ac:dyDescent="0.25">
      <c r="E294" s="47"/>
    </row>
    <row r="295" spans="5:5" ht="12.5" x14ac:dyDescent="0.25">
      <c r="E295" s="47"/>
    </row>
    <row r="296" spans="5:5" ht="12.5" x14ac:dyDescent="0.25">
      <c r="E296" s="47"/>
    </row>
    <row r="297" spans="5:5" ht="12.5" x14ac:dyDescent="0.25">
      <c r="E297" s="47"/>
    </row>
    <row r="298" spans="5:5" ht="12.5" x14ac:dyDescent="0.25">
      <c r="E298" s="47"/>
    </row>
    <row r="299" spans="5:5" ht="12.5" x14ac:dyDescent="0.25">
      <c r="E299" s="47"/>
    </row>
    <row r="300" spans="5:5" ht="12.5" x14ac:dyDescent="0.25">
      <c r="E300" s="47"/>
    </row>
    <row r="301" spans="5:5" ht="12.5" x14ac:dyDescent="0.25">
      <c r="E301" s="47"/>
    </row>
    <row r="302" spans="5:5" ht="12.5" x14ac:dyDescent="0.25">
      <c r="E302" s="47"/>
    </row>
    <row r="303" spans="5:5" ht="12.5" x14ac:dyDescent="0.25">
      <c r="E303" s="47"/>
    </row>
    <row r="304" spans="5:5" ht="12.5" x14ac:dyDescent="0.25">
      <c r="E304" s="47"/>
    </row>
    <row r="305" spans="5:5" ht="12.5" x14ac:dyDescent="0.25">
      <c r="E305" s="47"/>
    </row>
    <row r="306" spans="5:5" ht="12.5" x14ac:dyDescent="0.25">
      <c r="E306" s="47"/>
    </row>
    <row r="307" spans="5:5" ht="12.5" x14ac:dyDescent="0.25">
      <c r="E307" s="47"/>
    </row>
    <row r="308" spans="5:5" ht="12.5" x14ac:dyDescent="0.25">
      <c r="E308" s="47"/>
    </row>
    <row r="309" spans="5:5" ht="12.5" x14ac:dyDescent="0.25">
      <c r="E309" s="47"/>
    </row>
    <row r="310" spans="5:5" ht="12.5" x14ac:dyDescent="0.25">
      <c r="E310" s="47"/>
    </row>
    <row r="311" spans="5:5" ht="12.5" x14ac:dyDescent="0.25">
      <c r="E311" s="47"/>
    </row>
    <row r="312" spans="5:5" ht="12.5" x14ac:dyDescent="0.25">
      <c r="E312" s="47"/>
    </row>
    <row r="313" spans="5:5" ht="12.5" x14ac:dyDescent="0.25">
      <c r="E313" s="47"/>
    </row>
    <row r="314" spans="5:5" ht="12.5" x14ac:dyDescent="0.25">
      <c r="E314" s="47"/>
    </row>
    <row r="315" spans="5:5" ht="12.5" x14ac:dyDescent="0.25">
      <c r="E315" s="47"/>
    </row>
    <row r="316" spans="5:5" ht="12.5" x14ac:dyDescent="0.25">
      <c r="E316" s="47"/>
    </row>
    <row r="317" spans="5:5" ht="12.5" x14ac:dyDescent="0.25">
      <c r="E317" s="47"/>
    </row>
    <row r="318" spans="5:5" ht="12.5" x14ac:dyDescent="0.25">
      <c r="E318" s="47"/>
    </row>
    <row r="319" spans="5:5" ht="12.5" x14ac:dyDescent="0.25">
      <c r="E319" s="47"/>
    </row>
    <row r="320" spans="5:5" ht="12.5" x14ac:dyDescent="0.25">
      <c r="E320" s="47"/>
    </row>
    <row r="321" spans="5:5" ht="12.5" x14ac:dyDescent="0.25">
      <c r="E321" s="47"/>
    </row>
    <row r="322" spans="5:5" ht="12.5" x14ac:dyDescent="0.25">
      <c r="E322" s="47"/>
    </row>
    <row r="323" spans="5:5" ht="12.5" x14ac:dyDescent="0.25">
      <c r="E323" s="47"/>
    </row>
    <row r="324" spans="5:5" ht="12.5" x14ac:dyDescent="0.25">
      <c r="E324" s="47"/>
    </row>
    <row r="325" spans="5:5" ht="12.5" x14ac:dyDescent="0.25">
      <c r="E325" s="47"/>
    </row>
    <row r="326" spans="5:5" ht="12.5" x14ac:dyDescent="0.25">
      <c r="E326" s="47"/>
    </row>
    <row r="327" spans="5:5" ht="12.5" x14ac:dyDescent="0.25">
      <c r="E327" s="47"/>
    </row>
    <row r="328" spans="5:5" ht="12.5" x14ac:dyDescent="0.25">
      <c r="E328" s="47"/>
    </row>
    <row r="329" spans="5:5" ht="12.5" x14ac:dyDescent="0.25">
      <c r="E329" s="47"/>
    </row>
    <row r="330" spans="5:5" ht="12.5" x14ac:dyDescent="0.25">
      <c r="E330" s="47"/>
    </row>
    <row r="331" spans="5:5" ht="12.5" x14ac:dyDescent="0.25">
      <c r="E331" s="47"/>
    </row>
    <row r="332" spans="5:5" ht="12.5" x14ac:dyDescent="0.25">
      <c r="E332" s="47"/>
    </row>
    <row r="333" spans="5:5" ht="12.5" x14ac:dyDescent="0.25">
      <c r="E333" s="47"/>
    </row>
    <row r="334" spans="5:5" ht="12.5" x14ac:dyDescent="0.25">
      <c r="E334" s="47"/>
    </row>
    <row r="335" spans="5:5" ht="12.5" x14ac:dyDescent="0.25">
      <c r="E335" s="47"/>
    </row>
    <row r="336" spans="5:5" ht="12.5" x14ac:dyDescent="0.25">
      <c r="E336" s="47"/>
    </row>
    <row r="337" spans="5:5" ht="12.5" x14ac:dyDescent="0.25">
      <c r="E337" s="47"/>
    </row>
    <row r="338" spans="5:5" ht="12.5" x14ac:dyDescent="0.25">
      <c r="E338" s="47"/>
    </row>
    <row r="339" spans="5:5" ht="12.5" x14ac:dyDescent="0.25">
      <c r="E339" s="47"/>
    </row>
    <row r="340" spans="5:5" ht="12.5" x14ac:dyDescent="0.25">
      <c r="E340" s="47"/>
    </row>
    <row r="341" spans="5:5" ht="12.5" x14ac:dyDescent="0.25">
      <c r="E341" s="47"/>
    </row>
    <row r="342" spans="5:5" ht="12.5" x14ac:dyDescent="0.25">
      <c r="E342" s="47"/>
    </row>
    <row r="343" spans="5:5" ht="12.5" x14ac:dyDescent="0.25">
      <c r="E343" s="47"/>
    </row>
    <row r="344" spans="5:5" ht="12.5" x14ac:dyDescent="0.25">
      <c r="E344" s="47"/>
    </row>
    <row r="345" spans="5:5" ht="12.5" x14ac:dyDescent="0.25">
      <c r="E345" s="47"/>
    </row>
    <row r="346" spans="5:5" ht="12.5" x14ac:dyDescent="0.25">
      <c r="E346" s="47"/>
    </row>
    <row r="347" spans="5:5" ht="12.5" x14ac:dyDescent="0.25">
      <c r="E347" s="47"/>
    </row>
    <row r="348" spans="5:5" ht="12.5" x14ac:dyDescent="0.25">
      <c r="E348" s="47"/>
    </row>
    <row r="349" spans="5:5" ht="12.5" x14ac:dyDescent="0.25">
      <c r="E349" s="47"/>
    </row>
    <row r="350" spans="5:5" ht="12.5" x14ac:dyDescent="0.25">
      <c r="E350" s="47"/>
    </row>
    <row r="351" spans="5:5" ht="12.5" x14ac:dyDescent="0.25">
      <c r="E351" s="47"/>
    </row>
    <row r="352" spans="5:5" ht="12.5" x14ac:dyDescent="0.25">
      <c r="E352" s="47"/>
    </row>
    <row r="353" spans="5:5" ht="12.5" x14ac:dyDescent="0.25">
      <c r="E353" s="47"/>
    </row>
    <row r="354" spans="5:5" ht="12.5" x14ac:dyDescent="0.25">
      <c r="E354" s="47"/>
    </row>
    <row r="355" spans="5:5" ht="12.5" x14ac:dyDescent="0.25">
      <c r="E355" s="47"/>
    </row>
    <row r="356" spans="5:5" ht="12.5" x14ac:dyDescent="0.25">
      <c r="E356" s="47"/>
    </row>
    <row r="357" spans="5:5" ht="12.5" x14ac:dyDescent="0.25">
      <c r="E357" s="47"/>
    </row>
    <row r="358" spans="5:5" ht="12.5" x14ac:dyDescent="0.25">
      <c r="E358" s="47"/>
    </row>
    <row r="359" spans="5:5" ht="12.5" x14ac:dyDescent="0.25">
      <c r="E359" s="47"/>
    </row>
    <row r="360" spans="5:5" ht="12.5" x14ac:dyDescent="0.25">
      <c r="E360" s="47"/>
    </row>
    <row r="361" spans="5:5" ht="12.5" x14ac:dyDescent="0.25">
      <c r="E361" s="47"/>
    </row>
    <row r="362" spans="5:5" ht="12.5" x14ac:dyDescent="0.25">
      <c r="E362" s="47"/>
    </row>
    <row r="363" spans="5:5" ht="12.5" x14ac:dyDescent="0.25">
      <c r="E363" s="47"/>
    </row>
    <row r="364" spans="5:5" ht="12.5" x14ac:dyDescent="0.25">
      <c r="E364" s="47"/>
    </row>
    <row r="365" spans="5:5" ht="12.5" x14ac:dyDescent="0.25">
      <c r="E365" s="47"/>
    </row>
    <row r="366" spans="5:5" ht="12.5" x14ac:dyDescent="0.25">
      <c r="E366" s="47"/>
    </row>
    <row r="367" spans="5:5" ht="12.5" x14ac:dyDescent="0.25">
      <c r="E367" s="47"/>
    </row>
    <row r="368" spans="5:5" ht="12.5" x14ac:dyDescent="0.25">
      <c r="E368" s="47"/>
    </row>
    <row r="369" spans="5:5" ht="12.5" x14ac:dyDescent="0.25">
      <c r="E369" s="47"/>
    </row>
    <row r="370" spans="5:5" ht="12.5" x14ac:dyDescent="0.25">
      <c r="E370" s="47"/>
    </row>
    <row r="371" spans="5:5" ht="12.5" x14ac:dyDescent="0.25">
      <c r="E371" s="47"/>
    </row>
    <row r="372" spans="5:5" ht="12.5" x14ac:dyDescent="0.25">
      <c r="E372" s="47"/>
    </row>
    <row r="373" spans="5:5" ht="12.5" x14ac:dyDescent="0.25">
      <c r="E373" s="47"/>
    </row>
    <row r="374" spans="5:5" ht="12.5" x14ac:dyDescent="0.25">
      <c r="E374" s="47"/>
    </row>
    <row r="375" spans="5:5" ht="12.5" x14ac:dyDescent="0.25">
      <c r="E375" s="47"/>
    </row>
    <row r="376" spans="5:5" ht="12.5" x14ac:dyDescent="0.25">
      <c r="E376" s="47"/>
    </row>
    <row r="377" spans="5:5" ht="12.5" x14ac:dyDescent="0.25">
      <c r="E377" s="47"/>
    </row>
    <row r="378" spans="5:5" ht="12.5" x14ac:dyDescent="0.25">
      <c r="E378" s="47"/>
    </row>
    <row r="379" spans="5:5" ht="12.5" x14ac:dyDescent="0.25">
      <c r="E379" s="47"/>
    </row>
    <row r="380" spans="5:5" ht="12.5" x14ac:dyDescent="0.25">
      <c r="E380" s="47"/>
    </row>
    <row r="381" spans="5:5" ht="12.5" x14ac:dyDescent="0.25">
      <c r="E381" s="47"/>
    </row>
    <row r="382" spans="5:5" ht="12.5" x14ac:dyDescent="0.25">
      <c r="E382" s="47"/>
    </row>
    <row r="383" spans="5:5" ht="12.5" x14ac:dyDescent="0.25">
      <c r="E383" s="47"/>
    </row>
    <row r="384" spans="5:5" ht="12.5" x14ac:dyDescent="0.25">
      <c r="E384" s="47"/>
    </row>
    <row r="385" spans="5:5" ht="12.5" x14ac:dyDescent="0.25">
      <c r="E385" s="47"/>
    </row>
    <row r="386" spans="5:5" ht="12.5" x14ac:dyDescent="0.25">
      <c r="E386" s="47"/>
    </row>
    <row r="387" spans="5:5" ht="12.5" x14ac:dyDescent="0.25">
      <c r="E387" s="47"/>
    </row>
    <row r="388" spans="5:5" ht="12.5" x14ac:dyDescent="0.25">
      <c r="E388" s="47"/>
    </row>
    <row r="389" spans="5:5" ht="12.5" x14ac:dyDescent="0.25">
      <c r="E389" s="47"/>
    </row>
    <row r="390" spans="5:5" ht="12.5" x14ac:dyDescent="0.25">
      <c r="E390" s="47"/>
    </row>
    <row r="391" spans="5:5" ht="12.5" x14ac:dyDescent="0.25">
      <c r="E391" s="47"/>
    </row>
    <row r="392" spans="5:5" ht="12.5" x14ac:dyDescent="0.25">
      <c r="E392" s="47"/>
    </row>
    <row r="393" spans="5:5" ht="12.5" x14ac:dyDescent="0.25">
      <c r="E393" s="47"/>
    </row>
    <row r="394" spans="5:5" ht="12.5" x14ac:dyDescent="0.25">
      <c r="E394" s="47"/>
    </row>
    <row r="395" spans="5:5" ht="12.5" x14ac:dyDescent="0.25">
      <c r="E395" s="47"/>
    </row>
    <row r="396" spans="5:5" ht="12.5" x14ac:dyDescent="0.25">
      <c r="E396" s="47"/>
    </row>
    <row r="397" spans="5:5" ht="12.5" x14ac:dyDescent="0.25">
      <c r="E397" s="47"/>
    </row>
    <row r="398" spans="5:5" ht="12.5" x14ac:dyDescent="0.25">
      <c r="E398" s="47"/>
    </row>
    <row r="399" spans="5:5" ht="12.5" x14ac:dyDescent="0.25">
      <c r="E399" s="47"/>
    </row>
    <row r="400" spans="5:5" ht="12.5" x14ac:dyDescent="0.25">
      <c r="E400" s="47"/>
    </row>
    <row r="401" spans="5:5" ht="12.5" x14ac:dyDescent="0.25">
      <c r="E401" s="47"/>
    </row>
    <row r="402" spans="5:5" ht="12.5" x14ac:dyDescent="0.25">
      <c r="E402" s="47"/>
    </row>
    <row r="403" spans="5:5" ht="12.5" x14ac:dyDescent="0.25">
      <c r="E403" s="47"/>
    </row>
    <row r="404" spans="5:5" ht="12.5" x14ac:dyDescent="0.25">
      <c r="E404" s="47"/>
    </row>
    <row r="405" spans="5:5" ht="12.5" x14ac:dyDescent="0.25">
      <c r="E405" s="47"/>
    </row>
    <row r="406" spans="5:5" ht="12.5" x14ac:dyDescent="0.25">
      <c r="E406" s="47"/>
    </row>
    <row r="407" spans="5:5" ht="12.5" x14ac:dyDescent="0.25">
      <c r="E407" s="47"/>
    </row>
    <row r="408" spans="5:5" ht="12.5" x14ac:dyDescent="0.25">
      <c r="E408" s="47"/>
    </row>
    <row r="409" spans="5:5" ht="12.5" x14ac:dyDescent="0.25">
      <c r="E409" s="47"/>
    </row>
    <row r="410" spans="5:5" ht="12.5" x14ac:dyDescent="0.25">
      <c r="E410" s="47"/>
    </row>
    <row r="411" spans="5:5" ht="12.5" x14ac:dyDescent="0.25">
      <c r="E411" s="47"/>
    </row>
    <row r="412" spans="5:5" ht="12.5" x14ac:dyDescent="0.25">
      <c r="E412" s="47"/>
    </row>
    <row r="413" spans="5:5" ht="12.5" x14ac:dyDescent="0.25">
      <c r="E413" s="47"/>
    </row>
    <row r="414" spans="5:5" ht="12.5" x14ac:dyDescent="0.25">
      <c r="E414" s="47"/>
    </row>
    <row r="415" spans="5:5" ht="12.5" x14ac:dyDescent="0.25">
      <c r="E415" s="47"/>
    </row>
    <row r="416" spans="5:5" ht="12.5" x14ac:dyDescent="0.25">
      <c r="E416" s="47"/>
    </row>
    <row r="417" spans="5:5" ht="12.5" x14ac:dyDescent="0.25">
      <c r="E417" s="47"/>
    </row>
    <row r="418" spans="5:5" ht="12.5" x14ac:dyDescent="0.25">
      <c r="E418" s="47"/>
    </row>
    <row r="419" spans="5:5" ht="12.5" x14ac:dyDescent="0.25">
      <c r="E419" s="47"/>
    </row>
    <row r="420" spans="5:5" ht="12.5" x14ac:dyDescent="0.25">
      <c r="E420" s="47"/>
    </row>
    <row r="421" spans="5:5" ht="12.5" x14ac:dyDescent="0.25">
      <c r="E421" s="47"/>
    </row>
    <row r="422" spans="5:5" ht="12.5" x14ac:dyDescent="0.25">
      <c r="E422" s="47"/>
    </row>
    <row r="423" spans="5:5" ht="12.5" x14ac:dyDescent="0.25">
      <c r="E423" s="47"/>
    </row>
    <row r="424" spans="5:5" ht="12.5" x14ac:dyDescent="0.25">
      <c r="E424" s="47"/>
    </row>
    <row r="425" spans="5:5" ht="12.5" x14ac:dyDescent="0.25">
      <c r="E425" s="47"/>
    </row>
    <row r="426" spans="5:5" ht="12.5" x14ac:dyDescent="0.25">
      <c r="E426" s="47"/>
    </row>
    <row r="427" spans="5:5" ht="12.5" x14ac:dyDescent="0.25">
      <c r="E427" s="47"/>
    </row>
    <row r="428" spans="5:5" ht="12.5" x14ac:dyDescent="0.25">
      <c r="E428" s="47"/>
    </row>
    <row r="429" spans="5:5" ht="12.5" x14ac:dyDescent="0.25">
      <c r="E429" s="47"/>
    </row>
    <row r="430" spans="5:5" ht="12.5" x14ac:dyDescent="0.25">
      <c r="E430" s="47"/>
    </row>
    <row r="431" spans="5:5" ht="12.5" x14ac:dyDescent="0.25">
      <c r="E431" s="47"/>
    </row>
    <row r="432" spans="5:5" ht="12.5" x14ac:dyDescent="0.25">
      <c r="E432" s="47"/>
    </row>
    <row r="433" spans="5:5" ht="12.5" x14ac:dyDescent="0.25">
      <c r="E433" s="47"/>
    </row>
    <row r="434" spans="5:5" ht="12.5" x14ac:dyDescent="0.25">
      <c r="E434" s="47"/>
    </row>
    <row r="435" spans="5:5" ht="12.5" x14ac:dyDescent="0.25">
      <c r="E435" s="47"/>
    </row>
    <row r="436" spans="5:5" ht="12.5" x14ac:dyDescent="0.25">
      <c r="E436" s="47"/>
    </row>
    <row r="437" spans="5:5" ht="12.5" x14ac:dyDescent="0.25">
      <c r="E437" s="47"/>
    </row>
    <row r="438" spans="5:5" ht="12.5" x14ac:dyDescent="0.25">
      <c r="E438" s="47"/>
    </row>
    <row r="439" spans="5:5" ht="12.5" x14ac:dyDescent="0.25">
      <c r="E439" s="47"/>
    </row>
    <row r="440" spans="5:5" ht="12.5" x14ac:dyDescent="0.25">
      <c r="E440" s="47"/>
    </row>
    <row r="441" spans="5:5" ht="12.5" x14ac:dyDescent="0.25">
      <c r="E441" s="47"/>
    </row>
    <row r="442" spans="5:5" ht="12.5" x14ac:dyDescent="0.25">
      <c r="E442" s="47"/>
    </row>
    <row r="443" spans="5:5" ht="12.5" x14ac:dyDescent="0.25">
      <c r="E443" s="47"/>
    </row>
    <row r="444" spans="5:5" ht="12.5" x14ac:dyDescent="0.25">
      <c r="E444" s="47"/>
    </row>
    <row r="445" spans="5:5" ht="12.5" x14ac:dyDescent="0.25">
      <c r="E445" s="47"/>
    </row>
    <row r="446" spans="5:5" ht="12.5" x14ac:dyDescent="0.25">
      <c r="E446" s="47"/>
    </row>
    <row r="447" spans="5:5" ht="12.5" x14ac:dyDescent="0.25">
      <c r="E447" s="47"/>
    </row>
    <row r="448" spans="5:5" ht="12.5" x14ac:dyDescent="0.25">
      <c r="E448" s="47"/>
    </row>
    <row r="449" spans="5:5" ht="12.5" x14ac:dyDescent="0.25">
      <c r="E449" s="47"/>
    </row>
    <row r="450" spans="5:5" ht="12.5" x14ac:dyDescent="0.25">
      <c r="E450" s="47"/>
    </row>
    <row r="451" spans="5:5" ht="12.5" x14ac:dyDescent="0.25">
      <c r="E451" s="47"/>
    </row>
    <row r="452" spans="5:5" ht="12.5" x14ac:dyDescent="0.25">
      <c r="E452" s="47"/>
    </row>
    <row r="453" spans="5:5" ht="12.5" x14ac:dyDescent="0.25">
      <c r="E453" s="47"/>
    </row>
    <row r="454" spans="5:5" ht="12.5" x14ac:dyDescent="0.25">
      <c r="E454" s="47"/>
    </row>
    <row r="455" spans="5:5" ht="12.5" x14ac:dyDescent="0.25">
      <c r="E455" s="47"/>
    </row>
    <row r="456" spans="5:5" ht="12.5" x14ac:dyDescent="0.25">
      <c r="E456" s="47"/>
    </row>
    <row r="457" spans="5:5" ht="12.5" x14ac:dyDescent="0.25">
      <c r="E457" s="47"/>
    </row>
    <row r="458" spans="5:5" ht="12.5" x14ac:dyDescent="0.25">
      <c r="E458" s="47"/>
    </row>
    <row r="459" spans="5:5" ht="12.5" x14ac:dyDescent="0.25">
      <c r="E459" s="47"/>
    </row>
    <row r="460" spans="5:5" ht="12.5" x14ac:dyDescent="0.25">
      <c r="E460" s="47"/>
    </row>
    <row r="461" spans="5:5" ht="12.5" x14ac:dyDescent="0.25">
      <c r="E461" s="47"/>
    </row>
    <row r="462" spans="5:5" ht="12.5" x14ac:dyDescent="0.25">
      <c r="E462" s="47"/>
    </row>
    <row r="463" spans="5:5" ht="12.5" x14ac:dyDescent="0.25">
      <c r="E463" s="47"/>
    </row>
    <row r="464" spans="5:5" ht="12.5" x14ac:dyDescent="0.25">
      <c r="E464" s="47"/>
    </row>
    <row r="465" spans="5:5" ht="12.5" x14ac:dyDescent="0.25">
      <c r="E465" s="47"/>
    </row>
    <row r="466" spans="5:5" ht="12.5" x14ac:dyDescent="0.25">
      <c r="E466" s="47"/>
    </row>
    <row r="467" spans="5:5" ht="12.5" x14ac:dyDescent="0.25">
      <c r="E467" s="47"/>
    </row>
    <row r="468" spans="5:5" ht="12.5" x14ac:dyDescent="0.25">
      <c r="E468" s="47"/>
    </row>
    <row r="469" spans="5:5" ht="12.5" x14ac:dyDescent="0.25">
      <c r="E469" s="47"/>
    </row>
    <row r="470" spans="5:5" ht="12.5" x14ac:dyDescent="0.25">
      <c r="E470" s="47"/>
    </row>
    <row r="471" spans="5:5" ht="12.5" x14ac:dyDescent="0.25">
      <c r="E471" s="47"/>
    </row>
    <row r="472" spans="5:5" ht="12.5" x14ac:dyDescent="0.25">
      <c r="E472" s="47"/>
    </row>
    <row r="473" spans="5:5" ht="12.5" x14ac:dyDescent="0.25">
      <c r="E473" s="47"/>
    </row>
    <row r="474" spans="5:5" ht="12.5" x14ac:dyDescent="0.25">
      <c r="E474" s="47"/>
    </row>
    <row r="475" spans="5:5" ht="12.5" x14ac:dyDescent="0.25">
      <c r="E475" s="47"/>
    </row>
    <row r="476" spans="5:5" ht="12.5" x14ac:dyDescent="0.25">
      <c r="E476" s="47"/>
    </row>
    <row r="477" spans="5:5" ht="12.5" x14ac:dyDescent="0.25">
      <c r="E477" s="47"/>
    </row>
    <row r="478" spans="5:5" ht="12.5" x14ac:dyDescent="0.25">
      <c r="E478" s="47"/>
    </row>
    <row r="479" spans="5:5" ht="12.5" x14ac:dyDescent="0.25">
      <c r="E479" s="47"/>
    </row>
    <row r="480" spans="5:5" ht="12.5" x14ac:dyDescent="0.25">
      <c r="E480" s="47"/>
    </row>
    <row r="481" spans="5:5" ht="12.5" x14ac:dyDescent="0.25">
      <c r="E481" s="47"/>
    </row>
    <row r="482" spans="5:5" ht="12.5" x14ac:dyDescent="0.25">
      <c r="E482" s="47"/>
    </row>
    <row r="483" spans="5:5" ht="12.5" x14ac:dyDescent="0.25">
      <c r="E483" s="47"/>
    </row>
    <row r="484" spans="5:5" ht="12.5" x14ac:dyDescent="0.25">
      <c r="E484" s="47"/>
    </row>
    <row r="485" spans="5:5" ht="12.5" x14ac:dyDescent="0.25">
      <c r="E485" s="47"/>
    </row>
    <row r="486" spans="5:5" ht="12.5" x14ac:dyDescent="0.25">
      <c r="E486" s="47"/>
    </row>
    <row r="487" spans="5:5" ht="12.5" x14ac:dyDescent="0.25">
      <c r="E487" s="47"/>
    </row>
    <row r="488" spans="5:5" ht="12.5" x14ac:dyDescent="0.25">
      <c r="E488" s="47"/>
    </row>
    <row r="489" spans="5:5" ht="12.5" x14ac:dyDescent="0.25">
      <c r="E489" s="47"/>
    </row>
    <row r="490" spans="5:5" ht="12.5" x14ac:dyDescent="0.25">
      <c r="E490" s="47"/>
    </row>
    <row r="491" spans="5:5" ht="12.5" x14ac:dyDescent="0.25">
      <c r="E491" s="47"/>
    </row>
    <row r="492" spans="5:5" ht="12.5" x14ac:dyDescent="0.25">
      <c r="E492" s="47"/>
    </row>
    <row r="493" spans="5:5" ht="12.5" x14ac:dyDescent="0.25">
      <c r="E493" s="47"/>
    </row>
    <row r="494" spans="5:5" ht="12.5" x14ac:dyDescent="0.25">
      <c r="E494" s="47"/>
    </row>
    <row r="495" spans="5:5" ht="12.5" x14ac:dyDescent="0.25">
      <c r="E495" s="47"/>
    </row>
    <row r="496" spans="5:5" ht="12.5" x14ac:dyDescent="0.25">
      <c r="E496" s="47"/>
    </row>
    <row r="497" spans="5:5" ht="12.5" x14ac:dyDescent="0.25">
      <c r="E497" s="47"/>
    </row>
    <row r="498" spans="5:5" ht="12.5" x14ac:dyDescent="0.25">
      <c r="E498" s="47"/>
    </row>
    <row r="499" spans="5:5" ht="12.5" x14ac:dyDescent="0.25">
      <c r="E499" s="47"/>
    </row>
    <row r="500" spans="5:5" ht="12.5" x14ac:dyDescent="0.25">
      <c r="E500" s="47"/>
    </row>
    <row r="501" spans="5:5" ht="12.5" x14ac:dyDescent="0.25">
      <c r="E501" s="47"/>
    </row>
    <row r="502" spans="5:5" ht="12.5" x14ac:dyDescent="0.25">
      <c r="E502" s="47"/>
    </row>
    <row r="503" spans="5:5" ht="12.5" x14ac:dyDescent="0.25">
      <c r="E503" s="47"/>
    </row>
    <row r="504" spans="5:5" ht="12.5" x14ac:dyDescent="0.25">
      <c r="E504" s="47"/>
    </row>
    <row r="505" spans="5:5" ht="12.5" x14ac:dyDescent="0.25">
      <c r="E505" s="47"/>
    </row>
    <row r="506" spans="5:5" ht="12.5" x14ac:dyDescent="0.25">
      <c r="E506" s="47"/>
    </row>
    <row r="507" spans="5:5" ht="12.5" x14ac:dyDescent="0.25">
      <c r="E507" s="47"/>
    </row>
    <row r="508" spans="5:5" ht="12.5" x14ac:dyDescent="0.25">
      <c r="E508" s="47"/>
    </row>
    <row r="509" spans="5:5" ht="12.5" x14ac:dyDescent="0.25">
      <c r="E509" s="47"/>
    </row>
    <row r="510" spans="5:5" ht="12.5" x14ac:dyDescent="0.25">
      <c r="E510" s="47"/>
    </row>
    <row r="511" spans="5:5" ht="12.5" x14ac:dyDescent="0.25">
      <c r="E511" s="47"/>
    </row>
    <row r="512" spans="5:5" ht="12.5" x14ac:dyDescent="0.25">
      <c r="E512" s="47"/>
    </row>
    <row r="513" spans="5:5" ht="12.5" x14ac:dyDescent="0.25">
      <c r="E513" s="47"/>
    </row>
    <row r="514" spans="5:5" ht="12.5" x14ac:dyDescent="0.25">
      <c r="E514" s="47"/>
    </row>
    <row r="515" spans="5:5" ht="12.5" x14ac:dyDescent="0.25">
      <c r="E515" s="47"/>
    </row>
    <row r="516" spans="5:5" ht="12.5" x14ac:dyDescent="0.25">
      <c r="E516" s="47"/>
    </row>
    <row r="517" spans="5:5" ht="12.5" x14ac:dyDescent="0.25">
      <c r="E517" s="47"/>
    </row>
    <row r="518" spans="5:5" ht="12.5" x14ac:dyDescent="0.25">
      <c r="E518" s="47"/>
    </row>
    <row r="519" spans="5:5" ht="12.5" x14ac:dyDescent="0.25">
      <c r="E519" s="47"/>
    </row>
    <row r="520" spans="5:5" ht="12.5" x14ac:dyDescent="0.25">
      <c r="E520" s="47"/>
    </row>
    <row r="521" spans="5:5" ht="12.5" x14ac:dyDescent="0.25">
      <c r="E521" s="47"/>
    </row>
    <row r="522" spans="5:5" ht="12.5" x14ac:dyDescent="0.25">
      <c r="E522" s="47"/>
    </row>
    <row r="523" spans="5:5" ht="12.5" x14ac:dyDescent="0.25">
      <c r="E523" s="47"/>
    </row>
    <row r="524" spans="5:5" ht="12.5" x14ac:dyDescent="0.25">
      <c r="E524" s="47"/>
    </row>
    <row r="525" spans="5:5" ht="12.5" x14ac:dyDescent="0.25">
      <c r="E525" s="47"/>
    </row>
    <row r="526" spans="5:5" ht="12.5" x14ac:dyDescent="0.25">
      <c r="E526" s="47"/>
    </row>
    <row r="527" spans="5:5" ht="12.5" x14ac:dyDescent="0.25">
      <c r="E527" s="47"/>
    </row>
    <row r="528" spans="5:5" ht="12.5" x14ac:dyDescent="0.25">
      <c r="E528" s="47"/>
    </row>
    <row r="529" spans="5:5" ht="12.5" x14ac:dyDescent="0.25">
      <c r="E529" s="47"/>
    </row>
    <row r="530" spans="5:5" ht="12.5" x14ac:dyDescent="0.25">
      <c r="E530" s="47"/>
    </row>
    <row r="531" spans="5:5" ht="12.5" x14ac:dyDescent="0.25">
      <c r="E531" s="47"/>
    </row>
    <row r="532" spans="5:5" ht="12.5" x14ac:dyDescent="0.25">
      <c r="E532" s="47"/>
    </row>
    <row r="533" spans="5:5" ht="12.5" x14ac:dyDescent="0.25">
      <c r="E533" s="47"/>
    </row>
    <row r="534" spans="5:5" ht="12.5" x14ac:dyDescent="0.25">
      <c r="E534" s="47"/>
    </row>
    <row r="535" spans="5:5" ht="12.5" x14ac:dyDescent="0.25">
      <c r="E535" s="47"/>
    </row>
    <row r="536" spans="5:5" ht="12.5" x14ac:dyDescent="0.25">
      <c r="E536" s="47"/>
    </row>
    <row r="537" spans="5:5" ht="12.5" x14ac:dyDescent="0.25">
      <c r="E537" s="47"/>
    </row>
    <row r="538" spans="5:5" ht="12.5" x14ac:dyDescent="0.25">
      <c r="E538" s="47"/>
    </row>
    <row r="539" spans="5:5" ht="12.5" x14ac:dyDescent="0.25">
      <c r="E539" s="47"/>
    </row>
    <row r="540" spans="5:5" ht="12.5" x14ac:dyDescent="0.25">
      <c r="E540" s="47"/>
    </row>
    <row r="541" spans="5:5" ht="12.5" x14ac:dyDescent="0.25">
      <c r="E541" s="47"/>
    </row>
    <row r="542" spans="5:5" ht="12.5" x14ac:dyDescent="0.25">
      <c r="E542" s="47"/>
    </row>
    <row r="543" spans="5:5" ht="12.5" x14ac:dyDescent="0.25">
      <c r="E543" s="47"/>
    </row>
    <row r="544" spans="5:5" ht="12.5" x14ac:dyDescent="0.25">
      <c r="E544" s="47"/>
    </row>
    <row r="545" spans="5:5" ht="12.5" x14ac:dyDescent="0.25">
      <c r="E545" s="47"/>
    </row>
    <row r="546" spans="5:5" ht="12.5" x14ac:dyDescent="0.25">
      <c r="E546" s="47"/>
    </row>
    <row r="547" spans="5:5" ht="12.5" x14ac:dyDescent="0.25">
      <c r="E547" s="47"/>
    </row>
    <row r="548" spans="5:5" ht="12.5" x14ac:dyDescent="0.25">
      <c r="E548" s="47"/>
    </row>
    <row r="549" spans="5:5" ht="12.5" x14ac:dyDescent="0.25">
      <c r="E549" s="47"/>
    </row>
    <row r="550" spans="5:5" ht="12.5" x14ac:dyDescent="0.25">
      <c r="E550" s="47"/>
    </row>
    <row r="551" spans="5:5" ht="12.5" x14ac:dyDescent="0.25">
      <c r="E551" s="47"/>
    </row>
    <row r="552" spans="5:5" ht="12.5" x14ac:dyDescent="0.25">
      <c r="E552" s="47"/>
    </row>
    <row r="553" spans="5:5" ht="12.5" x14ac:dyDescent="0.25">
      <c r="E553" s="47"/>
    </row>
    <row r="554" spans="5:5" ht="12.5" x14ac:dyDescent="0.25">
      <c r="E554" s="47"/>
    </row>
    <row r="555" spans="5:5" ht="12.5" x14ac:dyDescent="0.25">
      <c r="E555" s="47"/>
    </row>
    <row r="556" spans="5:5" ht="12.5" x14ac:dyDescent="0.25">
      <c r="E556" s="47"/>
    </row>
    <row r="557" spans="5:5" ht="12.5" x14ac:dyDescent="0.25">
      <c r="E557" s="47"/>
    </row>
    <row r="558" spans="5:5" ht="12.5" x14ac:dyDescent="0.25">
      <c r="E558" s="47"/>
    </row>
    <row r="559" spans="5:5" ht="12.5" x14ac:dyDescent="0.25">
      <c r="E559" s="47"/>
    </row>
    <row r="560" spans="5:5" ht="12.5" x14ac:dyDescent="0.25">
      <c r="E560" s="47"/>
    </row>
    <row r="561" spans="5:5" ht="12.5" x14ac:dyDescent="0.25">
      <c r="E561" s="47"/>
    </row>
    <row r="562" spans="5:5" ht="12.5" x14ac:dyDescent="0.25">
      <c r="E562" s="47"/>
    </row>
    <row r="563" spans="5:5" ht="12.5" x14ac:dyDescent="0.25">
      <c r="E563" s="47"/>
    </row>
    <row r="564" spans="5:5" ht="12.5" x14ac:dyDescent="0.25">
      <c r="E564" s="47"/>
    </row>
    <row r="565" spans="5:5" ht="12.5" x14ac:dyDescent="0.25">
      <c r="E565" s="47"/>
    </row>
    <row r="566" spans="5:5" ht="12.5" x14ac:dyDescent="0.25">
      <c r="E566" s="47"/>
    </row>
    <row r="567" spans="5:5" ht="12.5" x14ac:dyDescent="0.25">
      <c r="E567" s="47"/>
    </row>
    <row r="568" spans="5:5" ht="12.5" x14ac:dyDescent="0.25">
      <c r="E568" s="47"/>
    </row>
    <row r="569" spans="5:5" ht="12.5" x14ac:dyDescent="0.25">
      <c r="E569" s="47"/>
    </row>
    <row r="570" spans="5:5" ht="12.5" x14ac:dyDescent="0.25">
      <c r="E570" s="47"/>
    </row>
    <row r="571" spans="5:5" ht="12.5" x14ac:dyDescent="0.25">
      <c r="E571" s="47"/>
    </row>
    <row r="572" spans="5:5" ht="12.5" x14ac:dyDescent="0.25">
      <c r="E572" s="47"/>
    </row>
    <row r="573" spans="5:5" ht="12.5" x14ac:dyDescent="0.25">
      <c r="E573" s="47"/>
    </row>
    <row r="574" spans="5:5" ht="12.5" x14ac:dyDescent="0.25">
      <c r="E574" s="47"/>
    </row>
    <row r="575" spans="5:5" ht="12.5" x14ac:dyDescent="0.25">
      <c r="E575" s="47"/>
    </row>
    <row r="576" spans="5:5" ht="12.5" x14ac:dyDescent="0.25">
      <c r="E576" s="47"/>
    </row>
    <row r="577" spans="5:5" ht="12.5" x14ac:dyDescent="0.25">
      <c r="E577" s="47"/>
    </row>
    <row r="578" spans="5:5" ht="12.5" x14ac:dyDescent="0.25">
      <c r="E578" s="47"/>
    </row>
    <row r="579" spans="5:5" ht="12.5" x14ac:dyDescent="0.25">
      <c r="E579" s="47"/>
    </row>
    <row r="580" spans="5:5" ht="12.5" x14ac:dyDescent="0.25">
      <c r="E580" s="47"/>
    </row>
    <row r="581" spans="5:5" ht="12.5" x14ac:dyDescent="0.25">
      <c r="E581" s="47"/>
    </row>
    <row r="582" spans="5:5" ht="12.5" x14ac:dyDescent="0.25">
      <c r="E582" s="47"/>
    </row>
    <row r="583" spans="5:5" ht="12.5" x14ac:dyDescent="0.25">
      <c r="E583" s="47"/>
    </row>
    <row r="584" spans="5:5" ht="12.5" x14ac:dyDescent="0.25">
      <c r="E584" s="47"/>
    </row>
    <row r="585" spans="5:5" ht="12.5" x14ac:dyDescent="0.25">
      <c r="E585" s="47"/>
    </row>
    <row r="586" spans="5:5" ht="12.5" x14ac:dyDescent="0.25">
      <c r="E586" s="47"/>
    </row>
    <row r="587" spans="5:5" ht="12.5" x14ac:dyDescent="0.25">
      <c r="E587" s="47"/>
    </row>
    <row r="588" spans="5:5" ht="12.5" x14ac:dyDescent="0.25">
      <c r="E588" s="47"/>
    </row>
    <row r="589" spans="5:5" ht="12.5" x14ac:dyDescent="0.25">
      <c r="E589" s="47"/>
    </row>
    <row r="590" spans="5:5" ht="12.5" x14ac:dyDescent="0.25">
      <c r="E590" s="47"/>
    </row>
    <row r="591" spans="5:5" ht="12.5" x14ac:dyDescent="0.25">
      <c r="E591" s="47"/>
    </row>
    <row r="592" spans="5:5" ht="12.5" x14ac:dyDescent="0.25">
      <c r="E592" s="47"/>
    </row>
    <row r="593" spans="5:5" ht="12.5" x14ac:dyDescent="0.25">
      <c r="E593" s="47"/>
    </row>
    <row r="594" spans="5:5" ht="12.5" x14ac:dyDescent="0.25">
      <c r="E594" s="47"/>
    </row>
    <row r="595" spans="5:5" ht="12.5" x14ac:dyDescent="0.25">
      <c r="E595" s="47"/>
    </row>
    <row r="596" spans="5:5" ht="12.5" x14ac:dyDescent="0.25">
      <c r="E596" s="47"/>
    </row>
    <row r="597" spans="5:5" ht="12.5" x14ac:dyDescent="0.25">
      <c r="E597" s="47"/>
    </row>
    <row r="598" spans="5:5" ht="12.5" x14ac:dyDescent="0.25">
      <c r="E598" s="47"/>
    </row>
    <row r="599" spans="5:5" ht="12.5" x14ac:dyDescent="0.25">
      <c r="E599" s="47"/>
    </row>
    <row r="600" spans="5:5" ht="12.5" x14ac:dyDescent="0.25">
      <c r="E600" s="47"/>
    </row>
    <row r="601" spans="5:5" ht="12.5" x14ac:dyDescent="0.25">
      <c r="E601" s="47"/>
    </row>
    <row r="602" spans="5:5" ht="12.5" x14ac:dyDescent="0.25">
      <c r="E602" s="47"/>
    </row>
    <row r="603" spans="5:5" ht="12.5" x14ac:dyDescent="0.25">
      <c r="E603" s="47"/>
    </row>
    <row r="604" spans="5:5" ht="12.5" x14ac:dyDescent="0.25">
      <c r="E604" s="47"/>
    </row>
    <row r="605" spans="5:5" ht="12.5" x14ac:dyDescent="0.25">
      <c r="E605" s="47"/>
    </row>
    <row r="606" spans="5:5" ht="12.5" x14ac:dyDescent="0.25">
      <c r="E606" s="47"/>
    </row>
    <row r="607" spans="5:5" ht="12.5" x14ac:dyDescent="0.25">
      <c r="E607" s="47"/>
    </row>
    <row r="608" spans="5:5" ht="12.5" x14ac:dyDescent="0.25">
      <c r="E608" s="47"/>
    </row>
    <row r="609" spans="5:5" ht="12.5" x14ac:dyDescent="0.25">
      <c r="E609" s="47"/>
    </row>
    <row r="610" spans="5:5" ht="12.5" x14ac:dyDescent="0.25">
      <c r="E610" s="47"/>
    </row>
    <row r="611" spans="5:5" ht="12.5" x14ac:dyDescent="0.25">
      <c r="E611" s="47"/>
    </row>
    <row r="612" spans="5:5" ht="12.5" x14ac:dyDescent="0.25">
      <c r="E612" s="47"/>
    </row>
    <row r="613" spans="5:5" ht="12.5" x14ac:dyDescent="0.25">
      <c r="E613" s="47"/>
    </row>
    <row r="614" spans="5:5" ht="12.5" x14ac:dyDescent="0.25">
      <c r="E614" s="47"/>
    </row>
    <row r="615" spans="5:5" ht="12.5" x14ac:dyDescent="0.25">
      <c r="E615" s="47"/>
    </row>
    <row r="616" spans="5:5" ht="12.5" x14ac:dyDescent="0.25">
      <c r="E616" s="47"/>
    </row>
    <row r="617" spans="5:5" ht="12.5" x14ac:dyDescent="0.25">
      <c r="E617" s="47"/>
    </row>
    <row r="618" spans="5:5" ht="12.5" x14ac:dyDescent="0.25">
      <c r="E618" s="47"/>
    </row>
    <row r="619" spans="5:5" ht="12.5" x14ac:dyDescent="0.25">
      <c r="E619" s="47"/>
    </row>
    <row r="620" spans="5:5" ht="12.5" x14ac:dyDescent="0.25">
      <c r="E620" s="47"/>
    </row>
    <row r="621" spans="5:5" ht="12.5" x14ac:dyDescent="0.25">
      <c r="E621" s="47"/>
    </row>
    <row r="622" spans="5:5" ht="12.5" x14ac:dyDescent="0.25">
      <c r="E622" s="47"/>
    </row>
    <row r="623" spans="5:5" ht="12.5" x14ac:dyDescent="0.25">
      <c r="E623" s="47"/>
    </row>
    <row r="624" spans="5:5" ht="12.5" x14ac:dyDescent="0.25">
      <c r="E624" s="47"/>
    </row>
    <row r="625" spans="5:5" ht="12.5" x14ac:dyDescent="0.25">
      <c r="E625" s="47"/>
    </row>
    <row r="626" spans="5:5" ht="12.5" x14ac:dyDescent="0.25">
      <c r="E626" s="47"/>
    </row>
    <row r="627" spans="5:5" ht="12.5" x14ac:dyDescent="0.25">
      <c r="E627" s="47"/>
    </row>
    <row r="628" spans="5:5" ht="12.5" x14ac:dyDescent="0.25">
      <c r="E628" s="47"/>
    </row>
    <row r="629" spans="5:5" ht="12.5" x14ac:dyDescent="0.25">
      <c r="E629" s="47"/>
    </row>
    <row r="630" spans="5:5" ht="12.5" x14ac:dyDescent="0.25">
      <c r="E630" s="47"/>
    </row>
    <row r="631" spans="5:5" ht="12.5" x14ac:dyDescent="0.25">
      <c r="E631" s="47"/>
    </row>
    <row r="632" spans="5:5" ht="12.5" x14ac:dyDescent="0.25">
      <c r="E632" s="47"/>
    </row>
    <row r="633" spans="5:5" ht="12.5" x14ac:dyDescent="0.25">
      <c r="E633" s="47"/>
    </row>
    <row r="634" spans="5:5" ht="12.5" x14ac:dyDescent="0.25">
      <c r="E634" s="47"/>
    </row>
    <row r="635" spans="5:5" ht="12.5" x14ac:dyDescent="0.25">
      <c r="E635" s="47"/>
    </row>
    <row r="636" spans="5:5" ht="12.5" x14ac:dyDescent="0.25">
      <c r="E636" s="47"/>
    </row>
    <row r="637" spans="5:5" ht="12.5" x14ac:dyDescent="0.25">
      <c r="E637" s="47"/>
    </row>
    <row r="638" spans="5:5" ht="12.5" x14ac:dyDescent="0.25">
      <c r="E638" s="47"/>
    </row>
    <row r="639" spans="5:5" ht="12.5" x14ac:dyDescent="0.25">
      <c r="E639" s="47"/>
    </row>
    <row r="640" spans="5:5" ht="12.5" x14ac:dyDescent="0.25">
      <c r="E640" s="47"/>
    </row>
    <row r="641" spans="5:5" ht="12.5" x14ac:dyDescent="0.25">
      <c r="E641" s="47"/>
    </row>
    <row r="642" spans="5:5" ht="12.5" x14ac:dyDescent="0.25">
      <c r="E642" s="47"/>
    </row>
    <row r="643" spans="5:5" ht="12.5" x14ac:dyDescent="0.25">
      <c r="E643" s="47"/>
    </row>
    <row r="644" spans="5:5" ht="12.5" x14ac:dyDescent="0.25">
      <c r="E644" s="47"/>
    </row>
    <row r="645" spans="5:5" ht="12.5" x14ac:dyDescent="0.25">
      <c r="E645" s="47"/>
    </row>
    <row r="646" spans="5:5" ht="12.5" x14ac:dyDescent="0.25">
      <c r="E646" s="47"/>
    </row>
    <row r="647" spans="5:5" ht="12.5" x14ac:dyDescent="0.25">
      <c r="E647" s="47"/>
    </row>
    <row r="648" spans="5:5" ht="12.5" x14ac:dyDescent="0.25">
      <c r="E648" s="47"/>
    </row>
    <row r="649" spans="5:5" ht="12.5" x14ac:dyDescent="0.25">
      <c r="E649" s="47"/>
    </row>
    <row r="650" spans="5:5" ht="12.5" x14ac:dyDescent="0.25">
      <c r="E650" s="47"/>
    </row>
    <row r="651" spans="5:5" ht="12.5" x14ac:dyDescent="0.25">
      <c r="E651" s="47"/>
    </row>
    <row r="652" spans="5:5" ht="12.5" x14ac:dyDescent="0.25">
      <c r="E652" s="47"/>
    </row>
    <row r="653" spans="5:5" ht="12.5" x14ac:dyDescent="0.25">
      <c r="E653" s="47"/>
    </row>
    <row r="654" spans="5:5" ht="12.5" x14ac:dyDescent="0.25">
      <c r="E654" s="47"/>
    </row>
    <row r="655" spans="5:5" ht="12.5" x14ac:dyDescent="0.25">
      <c r="E655" s="47"/>
    </row>
    <row r="656" spans="5:5" ht="12.5" x14ac:dyDescent="0.25">
      <c r="E656" s="47"/>
    </row>
    <row r="657" spans="5:5" ht="12.5" x14ac:dyDescent="0.25">
      <c r="E657" s="47"/>
    </row>
    <row r="658" spans="5:5" ht="12.5" x14ac:dyDescent="0.25">
      <c r="E658" s="47"/>
    </row>
    <row r="659" spans="5:5" ht="12.5" x14ac:dyDescent="0.25">
      <c r="E659" s="47"/>
    </row>
    <row r="660" spans="5:5" ht="12.5" x14ac:dyDescent="0.25">
      <c r="E660" s="47"/>
    </row>
    <row r="661" spans="5:5" ht="12.5" x14ac:dyDescent="0.25">
      <c r="E661" s="47"/>
    </row>
    <row r="662" spans="5:5" ht="12.5" x14ac:dyDescent="0.25">
      <c r="E662" s="47"/>
    </row>
    <row r="663" spans="5:5" ht="12.5" x14ac:dyDescent="0.25">
      <c r="E663" s="47"/>
    </row>
    <row r="664" spans="5:5" ht="12.5" x14ac:dyDescent="0.25">
      <c r="E664" s="47"/>
    </row>
    <row r="665" spans="5:5" ht="12.5" x14ac:dyDescent="0.25">
      <c r="E665" s="47"/>
    </row>
    <row r="666" spans="5:5" ht="12.5" x14ac:dyDescent="0.25">
      <c r="E666" s="47"/>
    </row>
    <row r="667" spans="5:5" ht="12.5" x14ac:dyDescent="0.25">
      <c r="E667" s="47"/>
    </row>
    <row r="668" spans="5:5" ht="12.5" x14ac:dyDescent="0.25">
      <c r="E668" s="47"/>
    </row>
    <row r="669" spans="5:5" ht="12.5" x14ac:dyDescent="0.25">
      <c r="E669" s="47"/>
    </row>
    <row r="670" spans="5:5" ht="12.5" x14ac:dyDescent="0.25">
      <c r="E670" s="47"/>
    </row>
    <row r="671" spans="5:5" ht="12.5" x14ac:dyDescent="0.25">
      <c r="E671" s="47"/>
    </row>
    <row r="672" spans="5:5" ht="12.5" x14ac:dyDescent="0.25">
      <c r="E672" s="47"/>
    </row>
    <row r="673" spans="5:5" ht="12.5" x14ac:dyDescent="0.25">
      <c r="E673" s="47"/>
    </row>
    <row r="674" spans="5:5" ht="12.5" x14ac:dyDescent="0.25">
      <c r="E674" s="47"/>
    </row>
    <row r="675" spans="5:5" ht="12.5" x14ac:dyDescent="0.25">
      <c r="E675" s="47"/>
    </row>
    <row r="676" spans="5:5" ht="12.5" x14ac:dyDescent="0.25">
      <c r="E676" s="47"/>
    </row>
    <row r="677" spans="5:5" ht="12.5" x14ac:dyDescent="0.25">
      <c r="E677" s="47"/>
    </row>
    <row r="678" spans="5:5" ht="12.5" x14ac:dyDescent="0.25">
      <c r="E678" s="47"/>
    </row>
    <row r="679" spans="5:5" ht="12.5" x14ac:dyDescent="0.25">
      <c r="E679" s="47"/>
    </row>
    <row r="680" spans="5:5" ht="12.5" x14ac:dyDescent="0.25">
      <c r="E680" s="47"/>
    </row>
    <row r="681" spans="5:5" ht="12.5" x14ac:dyDescent="0.25">
      <c r="E681" s="47"/>
    </row>
    <row r="682" spans="5:5" ht="12.5" x14ac:dyDescent="0.25">
      <c r="E682" s="47"/>
    </row>
    <row r="683" spans="5:5" ht="12.5" x14ac:dyDescent="0.25">
      <c r="E683" s="47"/>
    </row>
    <row r="684" spans="5:5" ht="12.5" x14ac:dyDescent="0.25">
      <c r="E684" s="47"/>
    </row>
    <row r="685" spans="5:5" ht="12.5" x14ac:dyDescent="0.25">
      <c r="E685" s="47"/>
    </row>
    <row r="686" spans="5:5" ht="12.5" x14ac:dyDescent="0.25">
      <c r="E686" s="47"/>
    </row>
    <row r="687" spans="5:5" ht="12.5" x14ac:dyDescent="0.25">
      <c r="E687" s="47"/>
    </row>
    <row r="688" spans="5:5" ht="12.5" x14ac:dyDescent="0.25">
      <c r="E688" s="47"/>
    </row>
    <row r="689" spans="5:5" ht="12.5" x14ac:dyDescent="0.25">
      <c r="E689" s="47"/>
    </row>
    <row r="690" spans="5:5" ht="12.5" x14ac:dyDescent="0.25">
      <c r="E690" s="47"/>
    </row>
    <row r="691" spans="5:5" ht="12.5" x14ac:dyDescent="0.25">
      <c r="E691" s="47"/>
    </row>
    <row r="692" spans="5:5" ht="12.5" x14ac:dyDescent="0.25">
      <c r="E692" s="47"/>
    </row>
    <row r="693" spans="5:5" ht="12.5" x14ac:dyDescent="0.25">
      <c r="E693" s="47"/>
    </row>
    <row r="694" spans="5:5" ht="12.5" x14ac:dyDescent="0.25">
      <c r="E694" s="47"/>
    </row>
    <row r="695" spans="5:5" ht="12.5" x14ac:dyDescent="0.25">
      <c r="E695" s="47"/>
    </row>
    <row r="696" spans="5:5" ht="12.5" x14ac:dyDescent="0.25">
      <c r="E696" s="47"/>
    </row>
    <row r="697" spans="5:5" ht="12.5" x14ac:dyDescent="0.25">
      <c r="E697" s="47"/>
    </row>
    <row r="698" spans="5:5" ht="12.5" x14ac:dyDescent="0.25">
      <c r="E698" s="47"/>
    </row>
    <row r="699" spans="5:5" ht="12.5" x14ac:dyDescent="0.25">
      <c r="E699" s="47"/>
    </row>
    <row r="700" spans="5:5" ht="12.5" x14ac:dyDescent="0.25">
      <c r="E700" s="47"/>
    </row>
    <row r="701" spans="5:5" ht="12.5" x14ac:dyDescent="0.25">
      <c r="E701" s="47"/>
    </row>
    <row r="702" spans="5:5" ht="12.5" x14ac:dyDescent="0.25">
      <c r="E702" s="47"/>
    </row>
    <row r="703" spans="5:5" ht="12.5" x14ac:dyDescent="0.25">
      <c r="E703" s="47"/>
    </row>
    <row r="704" spans="5:5" ht="12.5" x14ac:dyDescent="0.25">
      <c r="E704" s="47"/>
    </row>
    <row r="705" spans="5:5" ht="12.5" x14ac:dyDescent="0.25">
      <c r="E705" s="47"/>
    </row>
    <row r="706" spans="5:5" ht="12.5" x14ac:dyDescent="0.25">
      <c r="E706" s="47"/>
    </row>
    <row r="707" spans="5:5" ht="12.5" x14ac:dyDescent="0.25">
      <c r="E707" s="47"/>
    </row>
    <row r="708" spans="5:5" ht="12.5" x14ac:dyDescent="0.25">
      <c r="E708" s="47"/>
    </row>
    <row r="709" spans="5:5" ht="12.5" x14ac:dyDescent="0.25">
      <c r="E709" s="47"/>
    </row>
    <row r="710" spans="5:5" ht="12.5" x14ac:dyDescent="0.25">
      <c r="E710" s="47"/>
    </row>
    <row r="711" spans="5:5" ht="12.5" x14ac:dyDescent="0.25">
      <c r="E711" s="47"/>
    </row>
    <row r="712" spans="5:5" ht="12.5" x14ac:dyDescent="0.25">
      <c r="E712" s="47"/>
    </row>
    <row r="713" spans="5:5" ht="12.5" x14ac:dyDescent="0.25">
      <c r="E713" s="47"/>
    </row>
    <row r="714" spans="5:5" ht="12.5" x14ac:dyDescent="0.25">
      <c r="E714" s="47"/>
    </row>
    <row r="715" spans="5:5" ht="12.5" x14ac:dyDescent="0.25">
      <c r="E715" s="47"/>
    </row>
    <row r="716" spans="5:5" ht="12.5" x14ac:dyDescent="0.25">
      <c r="E716" s="47"/>
    </row>
    <row r="717" spans="5:5" ht="12.5" x14ac:dyDescent="0.25">
      <c r="E717" s="47"/>
    </row>
    <row r="718" spans="5:5" ht="12.5" x14ac:dyDescent="0.25">
      <c r="E718" s="47"/>
    </row>
    <row r="719" spans="5:5" ht="12.5" x14ac:dyDescent="0.25">
      <c r="E719" s="47"/>
    </row>
    <row r="720" spans="5:5" ht="12.5" x14ac:dyDescent="0.25">
      <c r="E720" s="47"/>
    </row>
    <row r="721" spans="5:5" ht="12.5" x14ac:dyDescent="0.25">
      <c r="E721" s="47"/>
    </row>
    <row r="722" spans="5:5" ht="12.5" x14ac:dyDescent="0.25">
      <c r="E722" s="47"/>
    </row>
    <row r="723" spans="5:5" ht="12.5" x14ac:dyDescent="0.25">
      <c r="E723" s="47"/>
    </row>
    <row r="724" spans="5:5" ht="12.5" x14ac:dyDescent="0.25">
      <c r="E724" s="47"/>
    </row>
    <row r="725" spans="5:5" ht="12.5" x14ac:dyDescent="0.25">
      <c r="E725" s="47"/>
    </row>
    <row r="726" spans="5:5" ht="12.5" x14ac:dyDescent="0.25">
      <c r="E726" s="47"/>
    </row>
    <row r="727" spans="5:5" ht="12.5" x14ac:dyDescent="0.25">
      <c r="E727" s="47"/>
    </row>
    <row r="728" spans="5:5" ht="12.5" x14ac:dyDescent="0.25">
      <c r="E728" s="47"/>
    </row>
    <row r="729" spans="5:5" ht="12.5" x14ac:dyDescent="0.25">
      <c r="E729" s="47"/>
    </row>
    <row r="730" spans="5:5" ht="12.5" x14ac:dyDescent="0.25">
      <c r="E730" s="47"/>
    </row>
    <row r="731" spans="5:5" ht="12.5" x14ac:dyDescent="0.25">
      <c r="E731" s="47"/>
    </row>
    <row r="732" spans="5:5" ht="12.5" x14ac:dyDescent="0.25">
      <c r="E732" s="47"/>
    </row>
    <row r="733" spans="5:5" ht="12.5" x14ac:dyDescent="0.25">
      <c r="E733" s="47"/>
    </row>
    <row r="734" spans="5:5" ht="12.5" x14ac:dyDescent="0.25">
      <c r="E734" s="47"/>
    </row>
    <row r="735" spans="5:5" ht="12.5" x14ac:dyDescent="0.25">
      <c r="E735" s="47"/>
    </row>
    <row r="736" spans="5:5" ht="12.5" x14ac:dyDescent="0.25">
      <c r="E736" s="47"/>
    </row>
    <row r="737" spans="5:5" ht="12.5" x14ac:dyDescent="0.25">
      <c r="E737" s="47"/>
    </row>
    <row r="738" spans="5:5" ht="12.5" x14ac:dyDescent="0.25">
      <c r="E738" s="47"/>
    </row>
    <row r="739" spans="5:5" ht="12.5" x14ac:dyDescent="0.25">
      <c r="E739" s="47"/>
    </row>
    <row r="740" spans="5:5" ht="12.5" x14ac:dyDescent="0.25">
      <c r="E740" s="47"/>
    </row>
    <row r="741" spans="5:5" ht="12.5" x14ac:dyDescent="0.25">
      <c r="E741" s="47"/>
    </row>
    <row r="742" spans="5:5" ht="12.5" x14ac:dyDescent="0.25">
      <c r="E742" s="47"/>
    </row>
    <row r="743" spans="5:5" ht="12.5" x14ac:dyDescent="0.25">
      <c r="E743" s="47"/>
    </row>
    <row r="744" spans="5:5" ht="12.5" x14ac:dyDescent="0.25">
      <c r="E744" s="47"/>
    </row>
    <row r="745" spans="5:5" ht="12.5" x14ac:dyDescent="0.25">
      <c r="E745" s="47"/>
    </row>
    <row r="746" spans="5:5" ht="12.5" x14ac:dyDescent="0.25">
      <c r="E746" s="47"/>
    </row>
    <row r="747" spans="5:5" ht="12.5" x14ac:dyDescent="0.25">
      <c r="E747" s="47"/>
    </row>
    <row r="748" spans="5:5" ht="12.5" x14ac:dyDescent="0.25">
      <c r="E748" s="47"/>
    </row>
    <row r="749" spans="5:5" ht="12.5" x14ac:dyDescent="0.25">
      <c r="E749" s="47"/>
    </row>
    <row r="750" spans="5:5" ht="12.5" x14ac:dyDescent="0.25">
      <c r="E750" s="47"/>
    </row>
    <row r="751" spans="5:5" ht="12.5" x14ac:dyDescent="0.25">
      <c r="E751" s="47"/>
    </row>
    <row r="752" spans="5:5" ht="12.5" x14ac:dyDescent="0.25">
      <c r="E752" s="47"/>
    </row>
    <row r="753" spans="5:5" ht="12.5" x14ac:dyDescent="0.25">
      <c r="E753" s="47"/>
    </row>
    <row r="754" spans="5:5" ht="12.5" x14ac:dyDescent="0.25">
      <c r="E754" s="47"/>
    </row>
    <row r="755" spans="5:5" ht="12.5" x14ac:dyDescent="0.25">
      <c r="E755" s="47"/>
    </row>
    <row r="756" spans="5:5" ht="12.5" x14ac:dyDescent="0.25">
      <c r="E756" s="47"/>
    </row>
    <row r="757" spans="5:5" ht="12.5" x14ac:dyDescent="0.25">
      <c r="E757" s="47"/>
    </row>
    <row r="758" spans="5:5" ht="12.5" x14ac:dyDescent="0.25">
      <c r="E758" s="47"/>
    </row>
    <row r="759" spans="5:5" ht="12.5" x14ac:dyDescent="0.25">
      <c r="E759" s="47"/>
    </row>
    <row r="760" spans="5:5" ht="12.5" x14ac:dyDescent="0.25">
      <c r="E760" s="47"/>
    </row>
    <row r="761" spans="5:5" ht="12.5" x14ac:dyDescent="0.25">
      <c r="E761" s="47"/>
    </row>
    <row r="762" spans="5:5" ht="12.5" x14ac:dyDescent="0.25">
      <c r="E762" s="47"/>
    </row>
    <row r="763" spans="5:5" ht="12.5" x14ac:dyDescent="0.25">
      <c r="E763" s="47"/>
    </row>
    <row r="764" spans="5:5" ht="12.5" x14ac:dyDescent="0.25">
      <c r="E764" s="47"/>
    </row>
    <row r="765" spans="5:5" ht="12.5" x14ac:dyDescent="0.25">
      <c r="E765" s="47"/>
    </row>
    <row r="766" spans="5:5" ht="12.5" x14ac:dyDescent="0.25">
      <c r="E766" s="47"/>
    </row>
    <row r="767" spans="5:5" ht="12.5" x14ac:dyDescent="0.25">
      <c r="E767" s="47"/>
    </row>
    <row r="768" spans="5:5" ht="12.5" x14ac:dyDescent="0.25">
      <c r="E768" s="47"/>
    </row>
    <row r="769" spans="5:5" ht="12.5" x14ac:dyDescent="0.25">
      <c r="E769" s="47"/>
    </row>
    <row r="770" spans="5:5" ht="12.5" x14ac:dyDescent="0.25">
      <c r="E770" s="47"/>
    </row>
    <row r="771" spans="5:5" ht="12.5" x14ac:dyDescent="0.25">
      <c r="E771" s="47"/>
    </row>
    <row r="772" spans="5:5" ht="12.5" x14ac:dyDescent="0.25">
      <c r="E772" s="47"/>
    </row>
    <row r="773" spans="5:5" ht="12.5" x14ac:dyDescent="0.25">
      <c r="E773" s="47"/>
    </row>
    <row r="774" spans="5:5" ht="12.5" x14ac:dyDescent="0.25">
      <c r="E774" s="47"/>
    </row>
    <row r="775" spans="5:5" ht="12.5" x14ac:dyDescent="0.25">
      <c r="E775" s="47"/>
    </row>
    <row r="776" spans="5:5" ht="12.5" x14ac:dyDescent="0.25">
      <c r="E776" s="47"/>
    </row>
    <row r="777" spans="5:5" ht="12.5" x14ac:dyDescent="0.25">
      <c r="E777" s="47"/>
    </row>
    <row r="778" spans="5:5" ht="12.5" x14ac:dyDescent="0.25">
      <c r="E778" s="47"/>
    </row>
    <row r="779" spans="5:5" ht="12.5" x14ac:dyDescent="0.25">
      <c r="E779" s="47"/>
    </row>
    <row r="780" spans="5:5" ht="12.5" x14ac:dyDescent="0.25">
      <c r="E780" s="47"/>
    </row>
    <row r="781" spans="5:5" ht="12.5" x14ac:dyDescent="0.25">
      <c r="E781" s="47"/>
    </row>
    <row r="782" spans="5:5" ht="12.5" x14ac:dyDescent="0.25">
      <c r="E782" s="47"/>
    </row>
    <row r="783" spans="5:5" ht="12.5" x14ac:dyDescent="0.25">
      <c r="E783" s="47"/>
    </row>
    <row r="784" spans="5:5" ht="12.5" x14ac:dyDescent="0.25">
      <c r="E784" s="47"/>
    </row>
    <row r="785" spans="5:5" ht="12.5" x14ac:dyDescent="0.25">
      <c r="E785" s="47"/>
    </row>
    <row r="786" spans="5:5" ht="12.5" x14ac:dyDescent="0.25">
      <c r="E786" s="47"/>
    </row>
    <row r="787" spans="5:5" ht="12.5" x14ac:dyDescent="0.25">
      <c r="E787" s="47"/>
    </row>
    <row r="788" spans="5:5" ht="12.5" x14ac:dyDescent="0.25">
      <c r="E788" s="47"/>
    </row>
    <row r="789" spans="5:5" ht="12.5" x14ac:dyDescent="0.25">
      <c r="E789" s="47"/>
    </row>
    <row r="790" spans="5:5" ht="12.5" x14ac:dyDescent="0.25">
      <c r="E790" s="47"/>
    </row>
    <row r="791" spans="5:5" ht="12.5" x14ac:dyDescent="0.25">
      <c r="E791" s="47"/>
    </row>
    <row r="792" spans="5:5" ht="12.5" x14ac:dyDescent="0.25">
      <c r="E792" s="47"/>
    </row>
    <row r="793" spans="5:5" ht="12.5" x14ac:dyDescent="0.25">
      <c r="E793" s="47"/>
    </row>
    <row r="794" spans="5:5" ht="12.5" x14ac:dyDescent="0.25">
      <c r="E794" s="47"/>
    </row>
    <row r="795" spans="5:5" ht="12.5" x14ac:dyDescent="0.25">
      <c r="E795" s="47"/>
    </row>
    <row r="796" spans="5:5" ht="12.5" x14ac:dyDescent="0.25">
      <c r="E796" s="47"/>
    </row>
    <row r="797" spans="5:5" ht="12.5" x14ac:dyDescent="0.25">
      <c r="E797" s="47"/>
    </row>
    <row r="798" spans="5:5" ht="12.5" x14ac:dyDescent="0.25">
      <c r="E798" s="47"/>
    </row>
    <row r="799" spans="5:5" ht="12.5" x14ac:dyDescent="0.25">
      <c r="E799" s="47"/>
    </row>
    <row r="800" spans="5:5" ht="12.5" x14ac:dyDescent="0.25">
      <c r="E800" s="47"/>
    </row>
    <row r="801" spans="5:5" ht="12.5" x14ac:dyDescent="0.25">
      <c r="E801" s="47"/>
    </row>
    <row r="802" spans="5:5" ht="12.5" x14ac:dyDescent="0.25">
      <c r="E802" s="47"/>
    </row>
    <row r="803" spans="5:5" ht="12.5" x14ac:dyDescent="0.25">
      <c r="E803" s="47"/>
    </row>
    <row r="804" spans="5:5" ht="12.5" x14ac:dyDescent="0.25">
      <c r="E804" s="47"/>
    </row>
    <row r="805" spans="5:5" ht="12.5" x14ac:dyDescent="0.25">
      <c r="E805" s="47"/>
    </row>
    <row r="806" spans="5:5" ht="12.5" x14ac:dyDescent="0.25">
      <c r="E806" s="47"/>
    </row>
    <row r="807" spans="5:5" ht="12.5" x14ac:dyDescent="0.25">
      <c r="E807" s="47"/>
    </row>
    <row r="808" spans="5:5" ht="12.5" x14ac:dyDescent="0.25">
      <c r="E808" s="47"/>
    </row>
    <row r="809" spans="5:5" ht="12.5" x14ac:dyDescent="0.25">
      <c r="E809" s="47"/>
    </row>
    <row r="810" spans="5:5" ht="12.5" x14ac:dyDescent="0.25">
      <c r="E810" s="47"/>
    </row>
    <row r="811" spans="5:5" ht="12.5" x14ac:dyDescent="0.25">
      <c r="E811" s="47"/>
    </row>
    <row r="812" spans="5:5" ht="12.5" x14ac:dyDescent="0.25">
      <c r="E812" s="47"/>
    </row>
    <row r="813" spans="5:5" ht="12.5" x14ac:dyDescent="0.25">
      <c r="E813" s="47"/>
    </row>
    <row r="814" spans="5:5" ht="12.5" x14ac:dyDescent="0.25">
      <c r="E814" s="47"/>
    </row>
    <row r="815" spans="5:5" ht="12.5" x14ac:dyDescent="0.25">
      <c r="E815" s="47"/>
    </row>
    <row r="816" spans="5:5" ht="12.5" x14ac:dyDescent="0.25">
      <c r="E816" s="47"/>
    </row>
    <row r="817" spans="5:5" ht="12.5" x14ac:dyDescent="0.25">
      <c r="E817" s="47"/>
    </row>
    <row r="818" spans="5:5" ht="12.5" x14ac:dyDescent="0.25">
      <c r="E818" s="47"/>
    </row>
    <row r="819" spans="5:5" ht="12.5" x14ac:dyDescent="0.25">
      <c r="E819" s="47"/>
    </row>
    <row r="820" spans="5:5" ht="12.5" x14ac:dyDescent="0.25">
      <c r="E820" s="47"/>
    </row>
    <row r="821" spans="5:5" ht="12.5" x14ac:dyDescent="0.25">
      <c r="E821" s="47"/>
    </row>
    <row r="822" spans="5:5" ht="12.5" x14ac:dyDescent="0.25">
      <c r="E822" s="47"/>
    </row>
    <row r="823" spans="5:5" ht="12.5" x14ac:dyDescent="0.25">
      <c r="E823" s="47"/>
    </row>
    <row r="824" spans="5:5" ht="12.5" x14ac:dyDescent="0.25">
      <c r="E824" s="47"/>
    </row>
    <row r="825" spans="5:5" ht="12.5" x14ac:dyDescent="0.25">
      <c r="E825" s="47"/>
    </row>
    <row r="826" spans="5:5" ht="12.5" x14ac:dyDescent="0.25">
      <c r="E826" s="47"/>
    </row>
    <row r="827" spans="5:5" ht="12.5" x14ac:dyDescent="0.25">
      <c r="E827" s="47"/>
    </row>
    <row r="828" spans="5:5" ht="12.5" x14ac:dyDescent="0.25">
      <c r="E828" s="47"/>
    </row>
    <row r="829" spans="5:5" ht="12.5" x14ac:dyDescent="0.25">
      <c r="E829" s="47"/>
    </row>
    <row r="830" spans="5:5" ht="12.5" x14ac:dyDescent="0.25">
      <c r="E830" s="47"/>
    </row>
    <row r="831" spans="5:5" ht="12.5" x14ac:dyDescent="0.25">
      <c r="E831" s="47"/>
    </row>
    <row r="832" spans="5:5" ht="12.5" x14ac:dyDescent="0.25">
      <c r="E832" s="47"/>
    </row>
    <row r="833" spans="5:5" ht="12.5" x14ac:dyDescent="0.25">
      <c r="E833" s="47"/>
    </row>
    <row r="834" spans="5:5" ht="12.5" x14ac:dyDescent="0.25">
      <c r="E834" s="47"/>
    </row>
    <row r="835" spans="5:5" ht="12.5" x14ac:dyDescent="0.25">
      <c r="E835" s="47"/>
    </row>
    <row r="836" spans="5:5" ht="12.5" x14ac:dyDescent="0.25">
      <c r="E836" s="47"/>
    </row>
    <row r="837" spans="5:5" ht="12.5" x14ac:dyDescent="0.25">
      <c r="E837" s="47"/>
    </row>
    <row r="838" spans="5:5" ht="12.5" x14ac:dyDescent="0.25">
      <c r="E838" s="47"/>
    </row>
    <row r="839" spans="5:5" ht="12.5" x14ac:dyDescent="0.25">
      <c r="E839" s="47"/>
    </row>
    <row r="840" spans="5:5" ht="12.5" x14ac:dyDescent="0.25">
      <c r="E840" s="47"/>
    </row>
    <row r="841" spans="5:5" ht="12.5" x14ac:dyDescent="0.25">
      <c r="E841" s="47"/>
    </row>
    <row r="842" spans="5:5" ht="12.5" x14ac:dyDescent="0.25">
      <c r="E842" s="47"/>
    </row>
    <row r="843" spans="5:5" ht="12.5" x14ac:dyDescent="0.25">
      <c r="E843" s="47"/>
    </row>
    <row r="844" spans="5:5" ht="12.5" x14ac:dyDescent="0.25">
      <c r="E844" s="47"/>
    </row>
    <row r="845" spans="5:5" ht="12.5" x14ac:dyDescent="0.25">
      <c r="E845" s="47"/>
    </row>
    <row r="846" spans="5:5" ht="12.5" x14ac:dyDescent="0.25">
      <c r="E846" s="47"/>
    </row>
    <row r="847" spans="5:5" ht="12.5" x14ac:dyDescent="0.25">
      <c r="E847" s="47"/>
    </row>
    <row r="848" spans="5:5" ht="12.5" x14ac:dyDescent="0.25">
      <c r="E848" s="47"/>
    </row>
    <row r="849" spans="5:5" ht="12.5" x14ac:dyDescent="0.25">
      <c r="E849" s="47"/>
    </row>
    <row r="850" spans="5:5" ht="12.5" x14ac:dyDescent="0.25">
      <c r="E850" s="47"/>
    </row>
    <row r="851" spans="5:5" ht="12.5" x14ac:dyDescent="0.25">
      <c r="E851" s="47"/>
    </row>
    <row r="852" spans="5:5" ht="12.5" x14ac:dyDescent="0.25">
      <c r="E852" s="47"/>
    </row>
    <row r="853" spans="5:5" ht="12.5" x14ac:dyDescent="0.25">
      <c r="E853" s="47"/>
    </row>
    <row r="854" spans="5:5" ht="12.5" x14ac:dyDescent="0.25">
      <c r="E854" s="47"/>
    </row>
    <row r="855" spans="5:5" ht="12.5" x14ac:dyDescent="0.25">
      <c r="E855" s="47"/>
    </row>
    <row r="856" spans="5:5" ht="12.5" x14ac:dyDescent="0.25">
      <c r="E856" s="47"/>
    </row>
    <row r="857" spans="5:5" ht="12.5" x14ac:dyDescent="0.25">
      <c r="E857" s="47"/>
    </row>
    <row r="858" spans="5:5" ht="12.5" x14ac:dyDescent="0.25">
      <c r="E858" s="47"/>
    </row>
    <row r="859" spans="5:5" ht="12.5" x14ac:dyDescent="0.25">
      <c r="E859" s="47"/>
    </row>
    <row r="860" spans="5:5" ht="12.5" x14ac:dyDescent="0.25">
      <c r="E860" s="47"/>
    </row>
    <row r="861" spans="5:5" ht="12.5" x14ac:dyDescent="0.25">
      <c r="E861" s="47"/>
    </row>
    <row r="862" spans="5:5" ht="12.5" x14ac:dyDescent="0.25">
      <c r="E862" s="47"/>
    </row>
    <row r="863" spans="5:5" ht="12.5" x14ac:dyDescent="0.25">
      <c r="E863" s="47"/>
    </row>
    <row r="864" spans="5:5" ht="12.5" x14ac:dyDescent="0.25">
      <c r="E864" s="47"/>
    </row>
    <row r="865" spans="5:5" ht="12.5" x14ac:dyDescent="0.25">
      <c r="E865" s="47"/>
    </row>
    <row r="866" spans="5:5" ht="12.5" x14ac:dyDescent="0.25">
      <c r="E866" s="47"/>
    </row>
    <row r="867" spans="5:5" ht="12.5" x14ac:dyDescent="0.25">
      <c r="E867" s="47"/>
    </row>
    <row r="868" spans="5:5" ht="12.5" x14ac:dyDescent="0.25">
      <c r="E868" s="47"/>
    </row>
    <row r="869" spans="5:5" ht="12.5" x14ac:dyDescent="0.25">
      <c r="E869" s="47"/>
    </row>
    <row r="870" spans="5:5" ht="12.5" x14ac:dyDescent="0.25">
      <c r="E870" s="47"/>
    </row>
    <row r="871" spans="5:5" ht="12.5" x14ac:dyDescent="0.25">
      <c r="E871" s="47"/>
    </row>
    <row r="872" spans="5:5" ht="12.5" x14ac:dyDescent="0.25">
      <c r="E872" s="47"/>
    </row>
    <row r="873" spans="5:5" ht="12.5" x14ac:dyDescent="0.25">
      <c r="E873" s="47"/>
    </row>
    <row r="874" spans="5:5" ht="12.5" x14ac:dyDescent="0.25">
      <c r="E874" s="47"/>
    </row>
    <row r="875" spans="5:5" ht="12.5" x14ac:dyDescent="0.25">
      <c r="E875" s="47"/>
    </row>
    <row r="876" spans="5:5" ht="12.5" x14ac:dyDescent="0.25">
      <c r="E876" s="47"/>
    </row>
    <row r="877" spans="5:5" ht="12.5" x14ac:dyDescent="0.25">
      <c r="E877" s="47"/>
    </row>
    <row r="878" spans="5:5" ht="12.5" x14ac:dyDescent="0.25">
      <c r="E878" s="47"/>
    </row>
    <row r="879" spans="5:5" ht="12.5" x14ac:dyDescent="0.25">
      <c r="E879" s="47"/>
    </row>
    <row r="880" spans="5:5" ht="12.5" x14ac:dyDescent="0.25">
      <c r="E880" s="47"/>
    </row>
    <row r="881" spans="5:5" ht="12.5" x14ac:dyDescent="0.25">
      <c r="E881" s="47"/>
    </row>
    <row r="882" spans="5:5" ht="12.5" x14ac:dyDescent="0.25">
      <c r="E882" s="47"/>
    </row>
    <row r="883" spans="5:5" ht="12.5" x14ac:dyDescent="0.25">
      <c r="E883" s="47"/>
    </row>
    <row r="884" spans="5:5" ht="12.5" x14ac:dyDescent="0.25">
      <c r="E884" s="47"/>
    </row>
    <row r="885" spans="5:5" ht="12.5" x14ac:dyDescent="0.25">
      <c r="E885" s="47"/>
    </row>
    <row r="886" spans="5:5" ht="12.5" x14ac:dyDescent="0.25">
      <c r="E886" s="47"/>
    </row>
    <row r="887" spans="5:5" ht="12.5" x14ac:dyDescent="0.25">
      <c r="E887" s="47"/>
    </row>
    <row r="888" spans="5:5" ht="12.5" x14ac:dyDescent="0.25">
      <c r="E888" s="47"/>
    </row>
    <row r="889" spans="5:5" ht="12.5" x14ac:dyDescent="0.25">
      <c r="E889" s="47"/>
    </row>
    <row r="890" spans="5:5" ht="12.5" x14ac:dyDescent="0.25">
      <c r="E890" s="47"/>
    </row>
    <row r="891" spans="5:5" ht="12.5" x14ac:dyDescent="0.25">
      <c r="E891" s="47"/>
    </row>
    <row r="892" spans="5:5" ht="12.5" x14ac:dyDescent="0.25">
      <c r="E892" s="47"/>
    </row>
    <row r="893" spans="5:5" ht="12.5" x14ac:dyDescent="0.25">
      <c r="E893" s="47"/>
    </row>
    <row r="894" spans="5:5" ht="12.5" x14ac:dyDescent="0.25">
      <c r="E894" s="47"/>
    </row>
    <row r="895" spans="5:5" ht="12.5" x14ac:dyDescent="0.25">
      <c r="E895" s="47"/>
    </row>
    <row r="896" spans="5:5" ht="12.5" x14ac:dyDescent="0.25">
      <c r="E896" s="47"/>
    </row>
    <row r="897" spans="5:5" ht="12.5" x14ac:dyDescent="0.25">
      <c r="E897" s="47"/>
    </row>
    <row r="898" spans="5:5" ht="12.5" x14ac:dyDescent="0.25">
      <c r="E898" s="47"/>
    </row>
    <row r="899" spans="5:5" ht="12.5" x14ac:dyDescent="0.25">
      <c r="E899" s="47"/>
    </row>
    <row r="900" spans="5:5" ht="12.5" x14ac:dyDescent="0.25">
      <c r="E900" s="47"/>
    </row>
    <row r="901" spans="5:5" ht="12.5" x14ac:dyDescent="0.25">
      <c r="E901" s="47"/>
    </row>
    <row r="902" spans="5:5" ht="12.5" x14ac:dyDescent="0.25">
      <c r="E902" s="47"/>
    </row>
    <row r="903" spans="5:5" ht="12.5" x14ac:dyDescent="0.25">
      <c r="E903" s="47"/>
    </row>
    <row r="904" spans="5:5" ht="12.5" x14ac:dyDescent="0.25">
      <c r="E904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7"/>
  <sheetViews>
    <sheetView topLeftCell="M1" workbookViewId="0">
      <selection activeCell="T4" sqref="T4"/>
    </sheetView>
  </sheetViews>
  <sheetFormatPr baseColWidth="10" defaultColWidth="12.6328125" defaultRowHeight="15.75" customHeight="1" x14ac:dyDescent="0.25"/>
  <cols>
    <col min="2" max="2" width="18.7265625" customWidth="1"/>
    <col min="4" max="4" width="16.453125" customWidth="1"/>
    <col min="5" max="5" width="19.08984375" customWidth="1"/>
    <col min="6" max="6" width="15.7265625" customWidth="1"/>
    <col min="15" max="15" width="15.36328125" customWidth="1"/>
    <col min="19" max="19" width="17" bestFit="1" customWidth="1"/>
    <col min="20" max="20" width="18.36328125" bestFit="1" customWidth="1"/>
  </cols>
  <sheetData>
    <row r="1" spans="1:26" ht="48.75" customHeight="1" x14ac:dyDescent="0.3">
      <c r="A1" s="48" t="str">
        <f ca="1">IFERROR(__xludf.DUMMYFUNCTION("IMPORTRANGE(""https://docs.google.com/spreadsheets/d/1VQ30LECo0aeiadYCxJvwKWfMLVcXtLHtRkzvhZiRhgo/edit?gid=1136507210#gid=1136507210"",""Comercial!A1:R100"")"),"Legajo")</f>
        <v>Legajo</v>
      </c>
      <c r="B1" s="48" t="str">
        <f ca="1">IFERROR(__xludf.DUMMYFUNCTION("""COMPUTED_VALUE"""),"Apellido y Nombre")</f>
        <v>Apellido y Nombre</v>
      </c>
      <c r="C1" s="48" t="str">
        <f ca="1">IFERROR(__xludf.DUMMYFUNCTION("""COMPUTED_VALUE"""),"Periodo")</f>
        <v>Periodo</v>
      </c>
      <c r="D1" s="48" t="str">
        <f ca="1">IFERROR(__xludf.DUMMYFUNCTION("""COMPUTED_VALUE"""),"Tienda asignada este mes")</f>
        <v>Tienda asignada este mes</v>
      </c>
      <c r="E1" s="49" t="str">
        <f ca="1">IFERROR(__xludf.DUMMYFUNCTION("""COMPUTED_VALUE"""),"Horas Totales ")</f>
        <v xml:space="preserve">Horas Totales </v>
      </c>
      <c r="F1" s="48" t="str">
        <f ca="1">IFERROR(__xludf.DUMMYFUNCTION("""COMPUTED_VALUE"""),"Hs Normales (con vacaciones y feriados NO trabajados)")</f>
        <v>Hs Normales (con vacaciones y feriados NO trabajados)</v>
      </c>
      <c r="G1" s="48" t="str">
        <f ca="1">IFERROR(__xludf.DUMMYFUNCTION("""COMPUTED_VALUE"""),"Hs Feriados (Horas)")</f>
        <v>Hs Feriados (Horas)</v>
      </c>
      <c r="H1" s="48" t="str">
        <f ca="1">IFERROR(__xludf.DUMMYFUNCTION("""COMPUTED_VALUE"""),"Feriados No trabajados (Hs)")</f>
        <v>Feriados No trabajados (Hs)</v>
      </c>
      <c r="I1" s="48" t="str">
        <f ca="1">IFERROR(__xludf.DUMMYFUNCTION("""COMPUTED_VALUE"""),"Licencias justificadas 
(en HORAS)")</f>
        <v>Licencias justificadas 
(en HORAS)</v>
      </c>
      <c r="J1" s="48" t="str">
        <f ca="1">IFERROR(__xludf.DUMMYFUNCTION("""COMPUTED_VALUE"""),"Plus vacacional")</f>
        <v>Plus vacacional</v>
      </c>
      <c r="K1" s="48" t="str">
        <f ca="1">IFERROR(__xludf.DUMMYFUNCTION("""COMPUTED_VALUE"""),"Cant dias vacaciones")</f>
        <v>Cant dias vacaciones</v>
      </c>
      <c r="L1" s="48" t="str">
        <f ca="1">IFERROR(__xludf.DUMMYFUNCTION("""COMPUTED_VALUE"""),"Premios")</f>
        <v>Premios</v>
      </c>
      <c r="M1" s="48" t="str">
        <f ca="1">IFERROR(__xludf.DUMMYFUNCTION("""COMPUTED_VALUE"""),"Sueldo Neto")</f>
        <v>Sueldo Neto</v>
      </c>
      <c r="N1" s="48" t="str">
        <f ca="1">IFERROR(__xludf.DUMMYFUNCTION("""COMPUTED_VALUE"""),"Sueldo Bruto")</f>
        <v>Sueldo Bruto</v>
      </c>
      <c r="O1" s="48" t="str">
        <f ca="1">IFERROR(__xludf.DUMMYFUNCTION("""COMPUTED_VALUE"""),"Contribuciones + ART")</f>
        <v>Contribuciones + ART</v>
      </c>
      <c r="P1" s="48" t="str">
        <f ca="1">IFERROR(__xludf.DUMMYFUNCTION("""COMPUTED_VALUE"""),"Costo total")</f>
        <v>Costo total</v>
      </c>
      <c r="Q1" s="48" t="str">
        <f ca="1">IFERROR(__xludf.DUMMYFUNCTION("""COMPUTED_VALUE"""),"Observaciones")</f>
        <v>Observaciones</v>
      </c>
      <c r="R1" s="50"/>
      <c r="S1" s="50"/>
      <c r="T1" s="50"/>
      <c r="U1" s="50"/>
      <c r="V1" s="50"/>
      <c r="W1" s="50"/>
      <c r="X1" s="50"/>
      <c r="Y1" s="50"/>
      <c r="Z1" s="50"/>
    </row>
    <row r="2" spans="1:26" ht="12.5" x14ac:dyDescent="0.25">
      <c r="A2" s="8">
        <f ca="1">IFERROR(__xludf.DUMMYFUNCTION("""COMPUTED_VALUE"""),55)</f>
        <v>55</v>
      </c>
      <c r="B2" s="8" t="str">
        <f ca="1">IFERROR(__xludf.DUMMYFUNCTION("""COMPUTED_VALUE"""),"Carrizo Camila")</f>
        <v>Carrizo Camila</v>
      </c>
      <c r="C2" s="34">
        <f ca="1">IFERROR(__xludf.DUMMYFUNCTION("""COMPUTED_VALUE"""),44414)</f>
        <v>44414</v>
      </c>
      <c r="D2" s="8" t="str">
        <f ca="1">IFERROR(__xludf.DUMMYFUNCTION("""COMPUTED_VALUE"""),"AS San Telmo")</f>
        <v>AS San Telmo</v>
      </c>
      <c r="E2" s="11">
        <f ca="1">IFERROR(__xludf.DUMMYFUNCTION("""COMPUTED_VALUE"""),132)</f>
        <v>132</v>
      </c>
      <c r="F2" s="11">
        <f ca="1">IFERROR(__xludf.DUMMYFUNCTION("""COMPUTED_VALUE"""),126)</f>
        <v>126</v>
      </c>
      <c r="G2" s="11">
        <f ca="1">IFERROR(__xludf.DUMMYFUNCTION("""COMPUTED_VALUE"""),6)</f>
        <v>6</v>
      </c>
      <c r="H2" s="11">
        <f ca="1">IFERROR(__xludf.DUMMYFUNCTION("""COMPUTED_VALUE"""),4)</f>
        <v>4</v>
      </c>
      <c r="I2" s="8"/>
      <c r="J2" s="8" t="str">
        <f ca="1">IFERROR(__xludf.DUMMYFUNCTION("""COMPUTED_VALUE"""),"NO")</f>
        <v>NO</v>
      </c>
      <c r="K2" s="8"/>
      <c r="L2" s="9">
        <f ca="1">IFERROR(__xludf.DUMMYFUNCTION("""COMPUTED_VALUE"""),17916)</f>
        <v>17916</v>
      </c>
      <c r="M2" s="9">
        <f ca="1">IFERROR(__xludf.DUMMYFUNCTION("""COMPUTED_VALUE"""),745721)</f>
        <v>745721</v>
      </c>
      <c r="N2" s="9">
        <f ca="1">IFERROR(__xludf.DUMMYFUNCTION("""COMPUTED_VALUE"""),942309.32)</f>
        <v>942309.32</v>
      </c>
      <c r="O2" s="9">
        <f ca="1">IFERROR(__xludf.DUMMYFUNCTION("""COMPUTED_VALUE"""),307038.1666)</f>
        <v>307038.1666</v>
      </c>
      <c r="P2" s="9">
        <f ca="1">IFERROR(__xludf.DUMMYFUNCTION("""COMPUTED_VALUE"""),1249347.4866)</f>
        <v>1249347.4865999999</v>
      </c>
      <c r="Q2" s="8"/>
      <c r="R2" s="8"/>
    </row>
    <row r="3" spans="1:26" ht="12.5" x14ac:dyDescent="0.25">
      <c r="A3" s="8">
        <f ca="1">IFERROR(__xludf.DUMMYFUNCTION("""COMPUTED_VALUE"""),103)</f>
        <v>103</v>
      </c>
      <c r="B3" s="8" t="str">
        <f ca="1">IFERROR(__xludf.DUMMYFUNCTION("""COMPUTED_VALUE"""),"Esposito Candela")</f>
        <v>Esposito Candela</v>
      </c>
      <c r="C3" s="35">
        <f ca="1">IFERROR(__xludf.DUMMYFUNCTION("""COMPUTED_VALUE"""),44854)</f>
        <v>44854</v>
      </c>
      <c r="D3" s="8" t="str">
        <f ca="1">IFERROR(__xludf.DUMMYFUNCTION("""COMPUTED_VALUE"""),"Lucero San Telmo")</f>
        <v>Lucero San Telmo</v>
      </c>
      <c r="E3" s="11">
        <f ca="1">IFERROR(__xludf.DUMMYFUNCTION("""COMPUTED_VALUE"""),132)</f>
        <v>132</v>
      </c>
      <c r="F3" s="11">
        <f ca="1">IFERROR(__xludf.DUMMYFUNCTION("""COMPUTED_VALUE"""),123)</f>
        <v>123</v>
      </c>
      <c r="G3" s="11">
        <f ca="1">IFERROR(__xludf.DUMMYFUNCTION("""COMPUTED_VALUE"""),5)</f>
        <v>5</v>
      </c>
      <c r="H3" s="11">
        <f ca="1">IFERROR(__xludf.DUMMYFUNCTION("""COMPUTED_VALUE"""),4)</f>
        <v>4</v>
      </c>
      <c r="I3" s="9">
        <f ca="1">IFERROR(__xludf.DUMMYFUNCTION("""COMPUTED_VALUE"""),4)</f>
        <v>4</v>
      </c>
      <c r="J3" s="8" t="str">
        <f ca="1">IFERROR(__xludf.DUMMYFUNCTION("""COMPUTED_VALUE"""),"NO")</f>
        <v>NO</v>
      </c>
      <c r="K3" s="8"/>
      <c r="L3" s="9">
        <f ca="1">IFERROR(__xludf.DUMMYFUNCTION("""COMPUTED_VALUE"""),32828)</f>
        <v>32828</v>
      </c>
      <c r="M3" s="9">
        <f ca="1">IFERROR(__xludf.DUMMYFUNCTION("""COMPUTED_VALUE"""),747302)</f>
        <v>747302</v>
      </c>
      <c r="N3" s="9">
        <f ca="1">IFERROR(__xludf.DUMMYFUNCTION("""COMPUTED_VALUE"""),944530.32)</f>
        <v>944530.32</v>
      </c>
      <c r="O3" s="9">
        <f ca="1">IFERROR(__xludf.DUMMYFUNCTION("""COMPUTED_VALUE"""),307984.7464)</f>
        <v>307984.7464</v>
      </c>
      <c r="P3" s="9">
        <f ca="1">IFERROR(__xludf.DUMMYFUNCTION("""COMPUTED_VALUE"""),1252515.0664)</f>
        <v>1252515.0663999999</v>
      </c>
      <c r="Q3" s="8"/>
      <c r="R3" s="8"/>
      <c r="S3" s="92" t="s">
        <v>469</v>
      </c>
      <c r="T3" t="s">
        <v>478</v>
      </c>
    </row>
    <row r="4" spans="1:26" ht="12.5" x14ac:dyDescent="0.25">
      <c r="A4" s="8">
        <f ca="1">IFERROR(__xludf.DUMMYFUNCTION("""COMPUTED_VALUE"""),120)</f>
        <v>120</v>
      </c>
      <c r="B4" s="8" t="str">
        <f ca="1">IFERROR(__xludf.DUMMYFUNCTION("""COMPUTED_VALUE"""),"Bertolo Milagros")</f>
        <v>Bertolo Milagros</v>
      </c>
      <c r="C4" s="34">
        <f ca="1">IFERROR(__xludf.DUMMYFUNCTION("""COMPUTED_VALUE"""),45020)</f>
        <v>45020</v>
      </c>
      <c r="D4" s="8" t="str">
        <f ca="1">IFERROR(__xludf.DUMMYFUNCTION("""COMPUTED_VALUE"""),"Lucero French")</f>
        <v>Lucero French</v>
      </c>
      <c r="E4" s="11">
        <f ca="1">IFERROR(__xludf.DUMMYFUNCTION("""COMPUTED_VALUE"""),124)</f>
        <v>124</v>
      </c>
      <c r="F4" s="11">
        <f ca="1">IFERROR(__xludf.DUMMYFUNCTION("""COMPUTED_VALUE"""),120)</f>
        <v>120</v>
      </c>
      <c r="G4" s="11">
        <f ca="1">IFERROR(__xludf.DUMMYFUNCTION("""COMPUTED_VALUE"""),4)</f>
        <v>4</v>
      </c>
      <c r="H4" s="11">
        <f ca="1">IFERROR(__xludf.DUMMYFUNCTION("""COMPUTED_VALUE"""),4)</f>
        <v>4</v>
      </c>
      <c r="I4" s="8"/>
      <c r="J4" s="8" t="str">
        <f ca="1">IFERROR(__xludf.DUMMYFUNCTION("""COMPUTED_VALUE"""),"NO")</f>
        <v>NO</v>
      </c>
      <c r="K4" s="8"/>
      <c r="L4" s="9">
        <f ca="1">IFERROR(__xludf.DUMMYFUNCTION("""COMPUTED_VALUE"""),27138)</f>
        <v>27138</v>
      </c>
      <c r="M4" s="9">
        <f ca="1">IFERROR(__xludf.DUMMYFUNCTION("""COMPUTED_VALUE"""),696487)</f>
        <v>696487</v>
      </c>
      <c r="N4" s="9">
        <f ca="1">IFERROR(__xludf.DUMMYFUNCTION("""COMPUTED_VALUE"""),880081.31)</f>
        <v>880081.31</v>
      </c>
      <c r="O4" s="9">
        <f ca="1">IFERROR(__xludf.DUMMYFUNCTION("""COMPUTED_VALUE"""),286864.554549999)</f>
        <v>286864.55454999901</v>
      </c>
      <c r="P4" s="9">
        <f ca="1">IFERROR(__xludf.DUMMYFUNCTION("""COMPUTED_VALUE"""),1166945.86455)</f>
        <v>1166945.8645500001</v>
      </c>
      <c r="Q4" s="8"/>
      <c r="R4" s="8"/>
      <c r="S4" s="93" t="s">
        <v>470</v>
      </c>
      <c r="T4" s="94">
        <v>4711699.4981999993</v>
      </c>
    </row>
    <row r="5" spans="1:26" ht="12.5" x14ac:dyDescent="0.25">
      <c r="A5" s="8">
        <f ca="1">IFERROR(__xludf.DUMMYFUNCTION("""COMPUTED_VALUE"""),126)</f>
        <v>126</v>
      </c>
      <c r="B5" s="8" t="str">
        <f ca="1">IFERROR(__xludf.DUMMYFUNCTION("""COMPUTED_VALUE"""),"Barajas Barbara")</f>
        <v>Barajas Barbara</v>
      </c>
      <c r="C5" s="34">
        <f ca="1">IFERROR(__xludf.DUMMYFUNCTION("""COMPUTED_VALUE"""),45057)</f>
        <v>45057</v>
      </c>
      <c r="D5" s="8" t="str">
        <f ca="1">IFERROR(__xludf.DUMMYFUNCTION("""COMPUTED_VALUE"""),"Lucero Recoleta")</f>
        <v>Lucero Recoleta</v>
      </c>
      <c r="E5" s="11">
        <f ca="1">IFERROR(__xludf.DUMMYFUNCTION("""COMPUTED_VALUE"""),126)</f>
        <v>126</v>
      </c>
      <c r="F5" s="11">
        <f ca="1">IFERROR(__xludf.DUMMYFUNCTION("""COMPUTED_VALUE"""),122)</f>
        <v>122</v>
      </c>
      <c r="G5" s="11">
        <f ca="1">IFERROR(__xludf.DUMMYFUNCTION("""COMPUTED_VALUE"""),4)</f>
        <v>4</v>
      </c>
      <c r="H5" s="11">
        <f ca="1">IFERROR(__xludf.DUMMYFUNCTION("""COMPUTED_VALUE"""),4)</f>
        <v>4</v>
      </c>
      <c r="I5" s="8"/>
      <c r="J5" s="8" t="str">
        <f ca="1">IFERROR(__xludf.DUMMYFUNCTION("""COMPUTED_VALUE"""),"NO")</f>
        <v>NO</v>
      </c>
      <c r="K5" s="8"/>
      <c r="L5" s="9">
        <f ca="1">IFERROR(__xludf.DUMMYFUNCTION("""COMPUTED_VALUE"""),27576)</f>
        <v>27576</v>
      </c>
      <c r="M5" s="9">
        <f ca="1">IFERROR(__xludf.DUMMYFUNCTION("""COMPUTED_VALUE"""),707350)</f>
        <v>707350</v>
      </c>
      <c r="N5" s="9">
        <f ca="1">IFERROR(__xludf.DUMMYFUNCTION("""COMPUTED_VALUE"""),893818.36)</f>
        <v>893818.36</v>
      </c>
      <c r="O5" s="9">
        <f ca="1">IFERROR(__xludf.DUMMYFUNCTION("""COMPUTED_VALUE"""),291325.1284)</f>
        <v>291325.12839999999</v>
      </c>
      <c r="P5" s="9">
        <f ca="1">IFERROR(__xludf.DUMMYFUNCTION("""COMPUTED_VALUE"""),1185143.4884)</f>
        <v>1185143.4883999999</v>
      </c>
      <c r="Q5" s="8"/>
      <c r="R5" s="8"/>
      <c r="S5" s="93" t="s">
        <v>471</v>
      </c>
      <c r="T5" s="94">
        <v>5916115.2444000002</v>
      </c>
    </row>
    <row r="6" spans="1:26" ht="12.5" x14ac:dyDescent="0.25">
      <c r="A6" s="8">
        <f ca="1">IFERROR(__xludf.DUMMYFUNCTION("""COMPUTED_VALUE"""),131)</f>
        <v>131</v>
      </c>
      <c r="B6" s="8" t="str">
        <f ca="1">IFERROR(__xludf.DUMMYFUNCTION("""COMPUTED_VALUE"""),"De Brito Rocio")</f>
        <v>De Brito Rocio</v>
      </c>
      <c r="C6" s="34">
        <f ca="1">IFERROR(__xludf.DUMMYFUNCTION("""COMPUTED_VALUE"""),45085)</f>
        <v>45085</v>
      </c>
      <c r="D6" s="8" t="str">
        <f ca="1">IFERROR(__xludf.DUMMYFUNCTION("""COMPUTED_VALUE"""),"Lucero Güemes")</f>
        <v>Lucero Güemes</v>
      </c>
      <c r="E6" s="11">
        <f ca="1">IFERROR(__xludf.DUMMYFUNCTION("""COMPUTED_VALUE"""),130)</f>
        <v>130</v>
      </c>
      <c r="F6" s="11">
        <f ca="1">IFERROR(__xludf.DUMMYFUNCTION("""COMPUTED_VALUE"""),130)</f>
        <v>130</v>
      </c>
      <c r="G6" s="8"/>
      <c r="H6" s="11">
        <f ca="1">IFERROR(__xludf.DUMMYFUNCTION("""COMPUTED_VALUE"""),8)</f>
        <v>8</v>
      </c>
      <c r="I6" s="8"/>
      <c r="J6" s="8" t="str">
        <f ca="1">IFERROR(__xludf.DUMMYFUNCTION("""COMPUTED_VALUE"""),"NO")</f>
        <v>NO</v>
      </c>
      <c r="K6" s="8"/>
      <c r="L6" s="9">
        <f ca="1">IFERROR(__xludf.DUMMYFUNCTION("""COMPUTED_VALUE"""),9245)</f>
        <v>9245</v>
      </c>
      <c r="M6" s="9">
        <f ca="1">IFERROR(__xludf.DUMMYFUNCTION("""COMPUTED_VALUE"""),692511)</f>
        <v>692511</v>
      </c>
      <c r="N6" s="9">
        <f ca="1">IFERROR(__xludf.DUMMYFUNCTION("""COMPUTED_VALUE"""),874289.91)</f>
        <v>874289.91</v>
      </c>
      <c r="O6" s="9">
        <f ca="1">IFERROR(__xludf.DUMMYFUNCTION("""COMPUTED_VALUE"""),284207.917749999)</f>
        <v>284207.91774999897</v>
      </c>
      <c r="P6" s="9">
        <f ca="1">IFERROR(__xludf.DUMMYFUNCTION("""COMPUTED_VALUE"""),1158497.82775)</f>
        <v>1158497.8277499999</v>
      </c>
      <c r="Q6" s="8"/>
      <c r="R6" s="8"/>
      <c r="S6" s="93" t="s">
        <v>472</v>
      </c>
      <c r="T6" s="94">
        <v>3409856.4498499995</v>
      </c>
    </row>
    <row r="7" spans="1:26" ht="12.5" x14ac:dyDescent="0.25">
      <c r="A7" s="8">
        <f ca="1">IFERROR(__xludf.DUMMYFUNCTION("""COMPUTED_VALUE"""),138)</f>
        <v>138</v>
      </c>
      <c r="B7" s="8" t="str">
        <f ca="1">IFERROR(__xludf.DUMMYFUNCTION("""COMPUTED_VALUE"""),"Lara Robbio")</f>
        <v>Lara Robbio</v>
      </c>
      <c r="C7" s="34">
        <f ca="1">IFERROR(__xludf.DUMMYFUNCTION("""COMPUTED_VALUE"""),45139)</f>
        <v>45139</v>
      </c>
      <c r="D7" s="8" t="str">
        <f ca="1">IFERROR(__xludf.DUMMYFUNCTION("""COMPUTED_VALUE"""),"Lucero San Telmo")</f>
        <v>Lucero San Telmo</v>
      </c>
      <c r="E7" s="11">
        <f ca="1">IFERROR(__xludf.DUMMYFUNCTION("""COMPUTED_VALUE"""),123)</f>
        <v>123</v>
      </c>
      <c r="F7" s="11">
        <f ca="1">IFERROR(__xludf.DUMMYFUNCTION("""COMPUTED_VALUE"""),114)</f>
        <v>114</v>
      </c>
      <c r="G7" s="11">
        <f ca="1">IFERROR(__xludf.DUMMYFUNCTION("""COMPUTED_VALUE"""),5)</f>
        <v>5</v>
      </c>
      <c r="H7" s="11">
        <f ca="1">IFERROR(__xludf.DUMMYFUNCTION("""COMPUTED_VALUE"""),4)</f>
        <v>4</v>
      </c>
      <c r="I7" s="9">
        <f ca="1">IFERROR(__xludf.DUMMYFUNCTION("""COMPUTED_VALUE"""),4)</f>
        <v>4</v>
      </c>
      <c r="J7" s="8" t="str">
        <f ca="1">IFERROR(__xludf.DUMMYFUNCTION("""COMPUTED_VALUE"""),"NO")</f>
        <v>NO</v>
      </c>
      <c r="K7" s="8"/>
      <c r="L7" s="9">
        <f ca="1">IFERROR(__xludf.DUMMYFUNCTION("""COMPUTED_VALUE"""),30520)</f>
        <v>30520</v>
      </c>
      <c r="M7" s="9">
        <f ca="1">IFERROR(__xludf.DUMMYFUNCTION("""COMPUTED_VALUE"""),691330)</f>
        <v>691330</v>
      </c>
      <c r="N7" s="9">
        <f ca="1">IFERROR(__xludf.DUMMYFUNCTION("""COMPUTED_VALUE"""),873735.309999999)</f>
        <v>873735.30999999901</v>
      </c>
      <c r="O7" s="9">
        <f ca="1">IFERROR(__xludf.DUMMYFUNCTION("""COMPUTED_VALUE"""),284982.395949999)</f>
        <v>284982.39594999899</v>
      </c>
      <c r="P7" s="9">
        <f ca="1">IFERROR(__xludf.DUMMYFUNCTION("""COMPUTED_VALUE"""),1158717.70594999)</f>
        <v>1158717.7059499901</v>
      </c>
      <c r="Q7" s="8"/>
      <c r="R7" s="8"/>
      <c r="S7" s="93" t="s">
        <v>473</v>
      </c>
      <c r="T7" s="94">
        <v>2303093.8932999899</v>
      </c>
    </row>
    <row r="8" spans="1:26" ht="12.5" x14ac:dyDescent="0.25">
      <c r="A8" s="8">
        <f ca="1">IFERROR(__xludf.DUMMYFUNCTION("""COMPUTED_VALUE"""),139)</f>
        <v>139</v>
      </c>
      <c r="B8" s="8" t="str">
        <f ca="1">IFERROR(__xludf.DUMMYFUNCTION("""COMPUTED_VALUE"""),"Viña Sofia")</f>
        <v>Viña Sofia</v>
      </c>
      <c r="C8" s="34">
        <f ca="1">IFERROR(__xludf.DUMMYFUNCTION("""COMPUTED_VALUE"""),45139)</f>
        <v>45139</v>
      </c>
      <c r="D8" s="8" t="str">
        <f ca="1">IFERROR(__xludf.DUMMYFUNCTION("""COMPUTED_VALUE"""),"Lucero Florida")</f>
        <v>Lucero Florida</v>
      </c>
      <c r="E8" s="11">
        <f ca="1">IFERROR(__xludf.DUMMYFUNCTION("""COMPUTED_VALUE"""),127)</f>
        <v>127</v>
      </c>
      <c r="F8" s="11">
        <f ca="1">IFERROR(__xludf.DUMMYFUNCTION("""COMPUTED_VALUE"""),123)</f>
        <v>123</v>
      </c>
      <c r="G8" s="11">
        <f ca="1">IFERROR(__xludf.DUMMYFUNCTION("""COMPUTED_VALUE"""),4)</f>
        <v>4</v>
      </c>
      <c r="H8" s="11">
        <f ca="1">IFERROR(__xludf.DUMMYFUNCTION("""COMPUTED_VALUE"""),4)</f>
        <v>4</v>
      </c>
      <c r="I8" s="8"/>
      <c r="J8" s="8" t="str">
        <f ca="1">IFERROR(__xludf.DUMMYFUNCTION("""COMPUTED_VALUE"""),"NO")</f>
        <v>NO</v>
      </c>
      <c r="K8" s="8"/>
      <c r="L8" s="9">
        <f ca="1">IFERROR(__xludf.DUMMYFUNCTION("""COMPUTED_VALUE"""),35034)</f>
        <v>35034</v>
      </c>
      <c r="M8" s="9">
        <f ca="1">IFERROR(__xludf.DUMMYFUNCTION("""COMPUTED_VALUE"""),711975)</f>
        <v>711975</v>
      </c>
      <c r="N8" s="9">
        <f ca="1">IFERROR(__xludf.DUMMYFUNCTION("""COMPUTED_VALUE"""),899820.28)</f>
        <v>899820.28</v>
      </c>
      <c r="O8" s="9">
        <f ca="1">IFERROR(__xludf.DUMMYFUNCTION("""COMPUTED_VALUE"""),293429.8774)</f>
        <v>293429.8774</v>
      </c>
      <c r="P8" s="9">
        <f ca="1">IFERROR(__xludf.DUMMYFUNCTION("""COMPUTED_VALUE"""),1193250.1574)</f>
        <v>1193250.1573999999</v>
      </c>
      <c r="Q8" s="8"/>
      <c r="R8" s="8"/>
      <c r="S8" s="93" t="s">
        <v>474</v>
      </c>
      <c r="T8" s="94">
        <v>3457993.2918499997</v>
      </c>
    </row>
    <row r="9" spans="1:26" ht="12.5" x14ac:dyDescent="0.25">
      <c r="A9" s="8">
        <f ca="1">IFERROR(__xludf.DUMMYFUNCTION("""COMPUTED_VALUE"""),143)</f>
        <v>143</v>
      </c>
      <c r="B9" s="8" t="str">
        <f ca="1">IFERROR(__xludf.DUMMYFUNCTION("""COMPUTED_VALUE"""),"Molina Agustina")</f>
        <v>Molina Agustina</v>
      </c>
      <c r="C9" s="34">
        <f ca="1">IFERROR(__xludf.DUMMYFUNCTION("""COMPUTED_VALUE"""),45184)</f>
        <v>45184</v>
      </c>
      <c r="D9" s="8" t="str">
        <f ca="1">IFERROR(__xludf.DUMMYFUNCTION("""COMPUTED_VALUE"""),"AS San Telmo")</f>
        <v>AS San Telmo</v>
      </c>
      <c r="E9" s="11">
        <f ca="1">IFERROR(__xludf.DUMMYFUNCTION("""COMPUTED_VALUE"""),124)</f>
        <v>124</v>
      </c>
      <c r="F9" s="11">
        <f ca="1">IFERROR(__xludf.DUMMYFUNCTION("""COMPUTED_VALUE"""),118)</f>
        <v>118</v>
      </c>
      <c r="G9" s="11">
        <f ca="1">IFERROR(__xludf.DUMMYFUNCTION("""COMPUTED_VALUE"""),6)</f>
        <v>6</v>
      </c>
      <c r="H9" s="11">
        <f ca="1">IFERROR(__xludf.DUMMYFUNCTION("""COMPUTED_VALUE"""),4)</f>
        <v>4</v>
      </c>
      <c r="I9" s="8"/>
      <c r="J9" s="8" t="str">
        <f ca="1">IFERROR(__xludf.DUMMYFUNCTION("""COMPUTED_VALUE"""),"NO")</f>
        <v>NO</v>
      </c>
      <c r="K9" s="8"/>
      <c r="L9" s="9">
        <f ca="1">IFERROR(__xludf.DUMMYFUNCTION("""COMPUTED_VALUE"""),16830)</f>
        <v>16830</v>
      </c>
      <c r="M9" s="9">
        <f ca="1">IFERROR(__xludf.DUMMYFUNCTION("""COMPUTED_VALUE"""),688866)</f>
        <v>688866</v>
      </c>
      <c r="N9" s="9">
        <f ca="1">IFERROR(__xludf.DUMMYFUNCTION("""COMPUTED_VALUE"""),870417.52)</f>
        <v>870417.52</v>
      </c>
      <c r="O9" s="9">
        <f ca="1">IFERROR(__xludf.DUMMYFUNCTION("""COMPUTED_VALUE"""),283699.8172)</f>
        <v>283699.81719999999</v>
      </c>
      <c r="P9" s="9">
        <f ca="1">IFERROR(__xludf.DUMMYFUNCTION("""COMPUTED_VALUE"""),1154117.3372)</f>
        <v>1154117.3372</v>
      </c>
      <c r="Q9" s="8"/>
      <c r="R9" s="8"/>
      <c r="S9" s="93" t="s">
        <v>475</v>
      </c>
      <c r="T9" s="94">
        <v>4663105.5841499902</v>
      </c>
    </row>
    <row r="10" spans="1:26" ht="12.5" x14ac:dyDescent="0.25">
      <c r="A10" s="8">
        <f ca="1">IFERROR(__xludf.DUMMYFUNCTION("""COMPUTED_VALUE"""),151)</f>
        <v>151</v>
      </c>
      <c r="B10" s="8" t="str">
        <f ca="1">IFERROR(__xludf.DUMMYFUNCTION("""COMPUTED_VALUE"""),"Kiara Corbalan")</f>
        <v>Kiara Corbalan</v>
      </c>
      <c r="C10" s="34">
        <f ca="1">IFERROR(__xludf.DUMMYFUNCTION("""COMPUTED_VALUE"""),45201)</f>
        <v>45201</v>
      </c>
      <c r="D10" s="8" t="str">
        <f ca="1">IFERROR(__xludf.DUMMYFUNCTION("""COMPUTED_VALUE"""),"AS San Telmo")</f>
        <v>AS San Telmo</v>
      </c>
      <c r="E10" s="11">
        <f ca="1">IFERROR(__xludf.DUMMYFUNCTION("""COMPUTED_VALUE"""),124)</f>
        <v>124</v>
      </c>
      <c r="F10" s="11">
        <f ca="1">IFERROR(__xludf.DUMMYFUNCTION("""COMPUTED_VALUE"""),118)</f>
        <v>118</v>
      </c>
      <c r="G10" s="11">
        <f ca="1">IFERROR(__xludf.DUMMYFUNCTION("""COMPUTED_VALUE"""),6)</f>
        <v>6</v>
      </c>
      <c r="H10" s="11">
        <f ca="1">IFERROR(__xludf.DUMMYFUNCTION("""COMPUTED_VALUE"""),4)</f>
        <v>4</v>
      </c>
      <c r="I10" s="8"/>
      <c r="J10" s="8" t="str">
        <f ca="1">IFERROR(__xludf.DUMMYFUNCTION("""COMPUTED_VALUE"""),"NO")</f>
        <v>NO</v>
      </c>
      <c r="K10" s="8"/>
      <c r="L10" s="9">
        <f ca="1">IFERROR(__xludf.DUMMYFUNCTION("""COMPUTED_VALUE"""),16830)</f>
        <v>16830</v>
      </c>
      <c r="M10" s="9">
        <f ca="1">IFERROR(__xludf.DUMMYFUNCTION("""COMPUTED_VALUE"""),688866)</f>
        <v>688866</v>
      </c>
      <c r="N10" s="9">
        <f ca="1">IFERROR(__xludf.DUMMYFUNCTION("""COMPUTED_VALUE"""),870417.52)</f>
        <v>870417.52</v>
      </c>
      <c r="O10" s="9">
        <f ca="1">IFERROR(__xludf.DUMMYFUNCTION("""COMPUTED_VALUE"""),283699.8172)</f>
        <v>283699.81719999999</v>
      </c>
      <c r="P10" s="9">
        <f ca="1">IFERROR(__xludf.DUMMYFUNCTION("""COMPUTED_VALUE"""),1154117.3372)</f>
        <v>1154117.3372</v>
      </c>
      <c r="Q10" s="8"/>
      <c r="R10" s="8"/>
      <c r="S10" s="93" t="s">
        <v>476</v>
      </c>
      <c r="T10" s="94">
        <v>2921356.6004999988</v>
      </c>
    </row>
    <row r="11" spans="1:26" ht="12.5" x14ac:dyDescent="0.25">
      <c r="A11" s="8">
        <f ca="1">IFERROR(__xludf.DUMMYFUNCTION("""COMPUTED_VALUE"""),161)</f>
        <v>161</v>
      </c>
      <c r="B11" s="8" t="str">
        <f ca="1">IFERROR(__xludf.DUMMYFUNCTION("""COMPUTED_VALUE"""),"Martínez Brisa")</f>
        <v>Martínez Brisa</v>
      </c>
      <c r="C11" s="35">
        <f ca="1">IFERROR(__xludf.DUMMYFUNCTION("""COMPUTED_VALUE"""),45272)</f>
        <v>45272</v>
      </c>
      <c r="D11" s="8" t="str">
        <f ca="1">IFERROR(__xludf.DUMMYFUNCTION("""COMPUTED_VALUE"""),"AS San Telmo")</f>
        <v>AS San Telmo</v>
      </c>
      <c r="E11" s="11">
        <f ca="1">IFERROR(__xludf.DUMMYFUNCTION("""COMPUTED_VALUE"""),124)</f>
        <v>124</v>
      </c>
      <c r="F11" s="11">
        <f ca="1">IFERROR(__xludf.DUMMYFUNCTION("""COMPUTED_VALUE"""),118)</f>
        <v>118</v>
      </c>
      <c r="G11" s="11">
        <f ca="1">IFERROR(__xludf.DUMMYFUNCTION("""COMPUTED_VALUE"""),6)</f>
        <v>6</v>
      </c>
      <c r="H11" s="11">
        <f ca="1">IFERROR(__xludf.DUMMYFUNCTION("""COMPUTED_VALUE"""),4)</f>
        <v>4</v>
      </c>
      <c r="I11" s="8"/>
      <c r="J11" s="8" t="str">
        <f ca="1">IFERROR(__xludf.DUMMYFUNCTION("""COMPUTED_VALUE"""),"NO")</f>
        <v>NO</v>
      </c>
      <c r="K11" s="8"/>
      <c r="L11" s="9">
        <f ca="1">IFERROR(__xludf.DUMMYFUNCTION("""COMPUTED_VALUE"""),16830)</f>
        <v>16830</v>
      </c>
      <c r="M11" s="9">
        <f ca="1">IFERROR(__xludf.DUMMYFUNCTION("""COMPUTED_VALUE"""),688866)</f>
        <v>688866</v>
      </c>
      <c r="N11" s="9">
        <f ca="1">IFERROR(__xludf.DUMMYFUNCTION("""COMPUTED_VALUE"""),870417.52)</f>
        <v>870417.52</v>
      </c>
      <c r="O11" s="9">
        <f ca="1">IFERROR(__xludf.DUMMYFUNCTION("""COMPUTED_VALUE"""),283699.8172)</f>
        <v>283699.81719999999</v>
      </c>
      <c r="P11" s="9">
        <f ca="1">IFERROR(__xludf.DUMMYFUNCTION("""COMPUTED_VALUE"""),1154117.3372)</f>
        <v>1154117.3372</v>
      </c>
      <c r="Q11" s="8"/>
      <c r="R11" s="8"/>
      <c r="S11" s="93" t="s">
        <v>477</v>
      </c>
      <c r="T11" s="94">
        <v>27383220.562249977</v>
      </c>
    </row>
    <row r="12" spans="1:26" ht="12.5" x14ac:dyDescent="0.25">
      <c r="A12" s="8">
        <f ca="1">IFERROR(__xludf.DUMMYFUNCTION("""COMPUTED_VALUE"""),165)</f>
        <v>165</v>
      </c>
      <c r="B12" s="8" t="str">
        <f ca="1">IFERROR(__xludf.DUMMYFUNCTION("""COMPUTED_VALUE"""),"CORONEL Mailen")</f>
        <v>CORONEL Mailen</v>
      </c>
      <c r="C12" s="34">
        <f ca="1">IFERROR(__xludf.DUMMYFUNCTION("""COMPUTED_VALUE"""),45311)</f>
        <v>45311</v>
      </c>
      <c r="D12" s="8" t="str">
        <f ca="1">IFERROR(__xludf.DUMMYFUNCTION("""COMPUTED_VALUE"""),"Lucero Güemes")</f>
        <v>Lucero Güemes</v>
      </c>
      <c r="E12" s="11">
        <f ca="1">IFERROR(__xludf.DUMMYFUNCTION("""COMPUTED_VALUE"""),128)</f>
        <v>128</v>
      </c>
      <c r="F12" s="11">
        <f ca="1">IFERROR(__xludf.DUMMYFUNCTION("""COMPUTED_VALUE"""),120)</f>
        <v>120</v>
      </c>
      <c r="G12" s="8"/>
      <c r="H12" s="11">
        <f ca="1">IFERROR(__xludf.DUMMYFUNCTION("""COMPUTED_VALUE"""),8)</f>
        <v>8</v>
      </c>
      <c r="I12" s="9">
        <f ca="1">IFERROR(__xludf.DUMMYFUNCTION("""COMPUTED_VALUE"""),8)</f>
        <v>8</v>
      </c>
      <c r="J12" s="8" t="str">
        <f ca="1">IFERROR(__xludf.DUMMYFUNCTION("""COMPUTED_VALUE"""),"NO")</f>
        <v>NO</v>
      </c>
      <c r="K12" s="8"/>
      <c r="L12" s="9">
        <f ca="1">IFERROR(__xludf.DUMMYFUNCTION("""COMPUTED_VALUE"""),11605)</f>
        <v>11605</v>
      </c>
      <c r="M12" s="9">
        <f ca="1">IFERROR(__xludf.DUMMYFUNCTION("""COMPUTED_VALUE"""),684126.999999999)</f>
        <v>684126.99999999895</v>
      </c>
      <c r="N12" s="9">
        <f ca="1">IFERROR(__xludf.DUMMYFUNCTION("""COMPUTED_VALUE"""),863748.829999999)</f>
        <v>863748.82999999903</v>
      </c>
      <c r="O12" s="9">
        <f ca="1">IFERROR(__xludf.DUMMYFUNCTION("""COMPUTED_VALUE"""),280847.235549999)</f>
        <v>280847.23554999899</v>
      </c>
      <c r="P12" s="9">
        <f ca="1">IFERROR(__xludf.DUMMYFUNCTION("""COMPUTED_VALUE"""),1144596.06554999)</f>
        <v>1144596.0655499899</v>
      </c>
      <c r="Q12" s="8"/>
      <c r="R12" s="8"/>
    </row>
    <row r="13" spans="1:26" ht="12.5" x14ac:dyDescent="0.25">
      <c r="A13" s="8">
        <f ca="1">IFERROR(__xludf.DUMMYFUNCTION("""COMPUTED_VALUE"""),170)</f>
        <v>170</v>
      </c>
      <c r="B13" s="8" t="str">
        <f ca="1">IFERROR(__xludf.DUMMYFUNCTION("""COMPUTED_VALUE"""),"Ruiz de la Torre Maitena")</f>
        <v>Ruiz de la Torre Maitena</v>
      </c>
      <c r="C13" s="34">
        <f ca="1">IFERROR(__xludf.DUMMYFUNCTION("""COMPUTED_VALUE"""),45345)</f>
        <v>45345</v>
      </c>
      <c r="D13" s="8" t="str">
        <f ca="1">IFERROR(__xludf.DUMMYFUNCTION("""COMPUTED_VALUE"""),"Lucero Florida")</f>
        <v>Lucero Florida</v>
      </c>
      <c r="E13" s="11">
        <f ca="1">IFERROR(__xludf.DUMMYFUNCTION("""COMPUTED_VALUE"""),125)</f>
        <v>125</v>
      </c>
      <c r="F13" s="11">
        <f ca="1">IFERROR(__xludf.DUMMYFUNCTION("""COMPUTED_VALUE"""),108)</f>
        <v>108</v>
      </c>
      <c r="G13" s="11">
        <f ca="1">IFERROR(__xludf.DUMMYFUNCTION("""COMPUTED_VALUE"""),5)</f>
        <v>5</v>
      </c>
      <c r="H13" s="11">
        <f ca="1">IFERROR(__xludf.DUMMYFUNCTION("""COMPUTED_VALUE"""),4)</f>
        <v>4</v>
      </c>
      <c r="I13" s="9">
        <f ca="1">IFERROR(__xludf.DUMMYFUNCTION("""COMPUTED_VALUE"""),12)</f>
        <v>12</v>
      </c>
      <c r="J13" s="8" t="str">
        <f ca="1">IFERROR(__xludf.DUMMYFUNCTION("""COMPUTED_VALUE"""),"NO")</f>
        <v>NO</v>
      </c>
      <c r="K13" s="8"/>
      <c r="L13" s="9">
        <f ca="1">IFERROR(__xludf.DUMMYFUNCTION("""COMPUTED_VALUE"""),31172)</f>
        <v>31172</v>
      </c>
      <c r="M13" s="9">
        <f ca="1">IFERROR(__xludf.DUMMYFUNCTION("""COMPUTED_VALUE"""),702266.999999999)</f>
        <v>702266.99999999895</v>
      </c>
      <c r="N13" s="9">
        <f ca="1">IFERROR(__xludf.DUMMYFUNCTION("""COMPUTED_VALUE"""),887570.869999999)</f>
        <v>887570.86999999895</v>
      </c>
      <c r="O13" s="9">
        <f ca="1">IFERROR(__xludf.DUMMYFUNCTION("""COMPUTED_VALUE"""),289479.86275)</f>
        <v>289479.86274999997</v>
      </c>
      <c r="P13" s="9">
        <f ca="1">IFERROR(__xludf.DUMMYFUNCTION("""COMPUTED_VALUE"""),1177050.73275)</f>
        <v>1177050.73275</v>
      </c>
      <c r="Q13" s="8"/>
      <c r="R13" s="8"/>
    </row>
    <row r="14" spans="1:26" ht="12.5" x14ac:dyDescent="0.25">
      <c r="A14" s="8">
        <f ca="1">IFERROR(__xludf.DUMMYFUNCTION("""COMPUTED_VALUE"""),171)</f>
        <v>171</v>
      </c>
      <c r="B14" s="8" t="str">
        <f ca="1">IFERROR(__xludf.DUMMYFUNCTION("""COMPUTED_VALUE"""),"Gimenez Candela")</f>
        <v>Gimenez Candela</v>
      </c>
      <c r="C14" s="34">
        <f ca="1">IFERROR(__xludf.DUMMYFUNCTION("""COMPUTED_VALUE"""),45404)</f>
        <v>45404</v>
      </c>
      <c r="D14" s="8" t="str">
        <f ca="1">IFERROR(__xludf.DUMMYFUNCTION("""COMPUTED_VALUE"""),"Lucero Recoleta")</f>
        <v>Lucero Recoleta</v>
      </c>
      <c r="E14" s="11">
        <f ca="1">IFERROR(__xludf.DUMMYFUNCTION("""COMPUTED_VALUE"""),120)</f>
        <v>120</v>
      </c>
      <c r="F14" s="11">
        <f ca="1">IFERROR(__xludf.DUMMYFUNCTION("""COMPUTED_VALUE"""),112)</f>
        <v>112</v>
      </c>
      <c r="G14" s="11">
        <f ca="1">IFERROR(__xludf.DUMMYFUNCTION("""COMPUTED_VALUE"""),4)</f>
        <v>4</v>
      </c>
      <c r="H14" s="11">
        <f ca="1">IFERROR(__xludf.DUMMYFUNCTION("""COMPUTED_VALUE"""),4)</f>
        <v>4</v>
      </c>
      <c r="I14" s="9">
        <f ca="1">IFERROR(__xludf.DUMMYFUNCTION("""COMPUTED_VALUE"""),4)</f>
        <v>4</v>
      </c>
      <c r="J14" s="8" t="str">
        <f ca="1">IFERROR(__xludf.DUMMYFUNCTION("""COMPUTED_VALUE"""),"NO")</f>
        <v>NO</v>
      </c>
      <c r="K14" s="8"/>
      <c r="L14" s="9">
        <f ca="1">IFERROR(__xludf.DUMMYFUNCTION("""COMPUTED_VALUE"""),25388)</f>
        <v>25388</v>
      </c>
      <c r="M14" s="9">
        <f ca="1">IFERROR(__xludf.DUMMYFUNCTION("""COMPUTED_VALUE"""),667448)</f>
        <v>667448</v>
      </c>
      <c r="N14" s="9">
        <f ca="1">IFERROR(__xludf.DUMMYFUNCTION("""COMPUTED_VALUE"""),843335.45)</f>
        <v>843335.45</v>
      </c>
      <c r="O14" s="9">
        <f ca="1">IFERROR(__xludf.DUMMYFUNCTION("""COMPUTED_VALUE"""),274908.49105)</f>
        <v>274908.49105000001</v>
      </c>
      <c r="P14" s="9">
        <f ca="1">IFERROR(__xludf.DUMMYFUNCTION("""COMPUTED_VALUE"""),1118243.94105)</f>
        <v>1118243.94105</v>
      </c>
      <c r="Q14" s="8"/>
      <c r="R14" s="8"/>
    </row>
    <row r="15" spans="1:26" ht="12.5" x14ac:dyDescent="0.25">
      <c r="A15" s="8">
        <f ca="1">IFERROR(__xludf.DUMMYFUNCTION("""COMPUTED_VALUE"""),173)</f>
        <v>173</v>
      </c>
      <c r="B15" s="8" t="str">
        <f ca="1">IFERROR(__xludf.DUMMYFUNCTION("""COMPUTED_VALUE"""),"Imperiale Candela")</f>
        <v>Imperiale Candela</v>
      </c>
      <c r="C15" s="34">
        <f ca="1">IFERROR(__xludf.DUMMYFUNCTION("""COMPUTED_VALUE"""),45447)</f>
        <v>45447</v>
      </c>
      <c r="D15" s="8" t="str">
        <f ca="1">IFERROR(__xludf.DUMMYFUNCTION("""COMPUTED_VALUE"""),"Lucero Florida")</f>
        <v>Lucero Florida</v>
      </c>
      <c r="E15" s="11">
        <f ca="1">IFERROR(__xludf.DUMMYFUNCTION("""COMPUTED_VALUE"""),132)</f>
        <v>132</v>
      </c>
      <c r="F15" s="11">
        <f ca="1">IFERROR(__xludf.DUMMYFUNCTION("""COMPUTED_VALUE"""),126)</f>
        <v>126</v>
      </c>
      <c r="G15" s="11">
        <f ca="1">IFERROR(__xludf.DUMMYFUNCTION("""COMPUTED_VALUE"""),6)</f>
        <v>6</v>
      </c>
      <c r="H15" s="11">
        <f ca="1">IFERROR(__xludf.DUMMYFUNCTION("""COMPUTED_VALUE"""),4)</f>
        <v>4</v>
      </c>
      <c r="I15" s="8"/>
      <c r="J15" s="8" t="str">
        <f ca="1">IFERROR(__xludf.DUMMYFUNCTION("""COMPUTED_VALUE"""),"NO")</f>
        <v>NO</v>
      </c>
      <c r="K15" s="8"/>
      <c r="L15" s="9">
        <f ca="1">IFERROR(__xludf.DUMMYFUNCTION("""COMPUTED_VALUE"""),36413)</f>
        <v>36413</v>
      </c>
      <c r="M15" s="9">
        <f ca="1">IFERROR(__xludf.DUMMYFUNCTION("""COMPUTED_VALUE"""),739658)</f>
        <v>739658</v>
      </c>
      <c r="N15" s="9">
        <f ca="1">IFERROR(__xludf.DUMMYFUNCTION("""COMPUTED_VALUE"""),935028.96)</f>
        <v>935028.96</v>
      </c>
      <c r="O15" s="9">
        <f ca="1">IFERROR(__xludf.DUMMYFUNCTION("""COMPUTED_VALUE"""),305067.376599999)</f>
        <v>305067.37659999903</v>
      </c>
      <c r="P15" s="9">
        <f ca="1">IFERROR(__xludf.DUMMYFUNCTION("""COMPUTED_VALUE"""),1240096.3366)</f>
        <v>1240096.3366</v>
      </c>
      <c r="Q15" s="8"/>
      <c r="R15" s="8"/>
    </row>
    <row r="16" spans="1:26" ht="12.5" x14ac:dyDescent="0.25">
      <c r="A16" s="8">
        <f ca="1">IFERROR(__xludf.DUMMYFUNCTION("""COMPUTED_VALUE"""),174)</f>
        <v>174</v>
      </c>
      <c r="B16" s="8" t="str">
        <f ca="1">IFERROR(__xludf.DUMMYFUNCTION("""COMPUTED_VALUE"""),"Machuca Araceli")</f>
        <v>Machuca Araceli</v>
      </c>
      <c r="C16" s="34">
        <f ca="1">IFERROR(__xludf.DUMMYFUNCTION("""COMPUTED_VALUE"""),45477)</f>
        <v>45477</v>
      </c>
      <c r="D16" s="8" t="str">
        <f ca="1">IFERROR(__xludf.DUMMYFUNCTION("""COMPUTED_VALUE"""),"Lucero French")</f>
        <v>Lucero French</v>
      </c>
      <c r="E16" s="11">
        <f ca="1">IFERROR(__xludf.DUMMYFUNCTION("""COMPUTED_VALUE"""),120)</f>
        <v>120</v>
      </c>
      <c r="F16" s="11">
        <f ca="1">IFERROR(__xludf.DUMMYFUNCTION("""COMPUTED_VALUE"""),110)</f>
        <v>110</v>
      </c>
      <c r="G16" s="11">
        <f ca="1">IFERROR(__xludf.DUMMYFUNCTION("""COMPUTED_VALUE"""),6)</f>
        <v>6</v>
      </c>
      <c r="H16" s="11">
        <f ca="1">IFERROR(__xludf.DUMMYFUNCTION("""COMPUTED_VALUE"""),4)</f>
        <v>4</v>
      </c>
      <c r="I16" s="9">
        <f ca="1">IFERROR(__xludf.DUMMYFUNCTION("""COMPUTED_VALUE"""),4)</f>
        <v>4</v>
      </c>
      <c r="J16" s="8" t="str">
        <f ca="1">IFERROR(__xludf.DUMMYFUNCTION("""COMPUTED_VALUE"""),"NO")</f>
        <v>NO</v>
      </c>
      <c r="K16" s="8"/>
      <c r="L16" s="9">
        <f ca="1">IFERROR(__xludf.DUMMYFUNCTION("""COMPUTED_VALUE"""),25388)</f>
        <v>25388</v>
      </c>
      <c r="M16" s="9">
        <f ca="1">IFERROR(__xludf.DUMMYFUNCTION("""COMPUTED_VALUE"""),668709)</f>
        <v>668709</v>
      </c>
      <c r="N16" s="9">
        <f ca="1">IFERROR(__xludf.DUMMYFUNCTION("""COMPUTED_VALUE"""),845127.07)</f>
        <v>845127.07</v>
      </c>
      <c r="O16" s="9">
        <f ca="1">IFERROR(__xludf.DUMMYFUNCTION("""COMPUTED_VALUE"""),275690.54035)</f>
        <v>275690.54035000002</v>
      </c>
      <c r="P16" s="9">
        <f ca="1">IFERROR(__xludf.DUMMYFUNCTION("""COMPUTED_VALUE"""),1120817.61035)</f>
        <v>1120817.61035</v>
      </c>
      <c r="Q16" s="8"/>
      <c r="R16" s="8"/>
    </row>
    <row r="17" spans="1:18" ht="12.5" x14ac:dyDescent="0.25">
      <c r="A17" s="8">
        <f ca="1">IFERROR(__xludf.DUMMYFUNCTION("""COMPUTED_VALUE"""),186)</f>
        <v>186</v>
      </c>
      <c r="B17" s="8" t="str">
        <f ca="1">IFERROR(__xludf.DUMMYFUNCTION("""COMPUTED_VALUE"""),"Balmaceda Luciana")</f>
        <v>Balmaceda Luciana</v>
      </c>
      <c r="C17" s="35">
        <f ca="1">IFERROR(__xludf.DUMMYFUNCTION("""COMPUTED_VALUE"""),45587)</f>
        <v>45587</v>
      </c>
      <c r="D17" s="8" t="str">
        <f ca="1">IFERROR(__xludf.DUMMYFUNCTION("""COMPUTED_VALUE"""),"Lucero Florida")</f>
        <v>Lucero Florida</v>
      </c>
      <c r="E17" s="11">
        <f ca="1">IFERROR(__xludf.DUMMYFUNCTION("""COMPUTED_VALUE"""),125)</f>
        <v>125</v>
      </c>
      <c r="F17" s="11">
        <f ca="1">IFERROR(__xludf.DUMMYFUNCTION("""COMPUTED_VALUE"""),120)</f>
        <v>120</v>
      </c>
      <c r="G17" s="11">
        <f ca="1">IFERROR(__xludf.DUMMYFUNCTION("""COMPUTED_VALUE"""),5)</f>
        <v>5</v>
      </c>
      <c r="H17" s="11">
        <f ca="1">IFERROR(__xludf.DUMMYFUNCTION("""COMPUTED_VALUE"""),4)</f>
        <v>4</v>
      </c>
      <c r="I17" s="8"/>
      <c r="J17" s="8" t="str">
        <f ca="1">IFERROR(__xludf.DUMMYFUNCTION("""COMPUTED_VALUE"""),"NO")</f>
        <v>NO</v>
      </c>
      <c r="K17" s="8"/>
      <c r="L17" s="9">
        <f ca="1">IFERROR(__xludf.DUMMYFUNCTION("""COMPUTED_VALUE"""),34482)</f>
        <v>34482</v>
      </c>
      <c r="M17" s="9">
        <f ca="1">IFERROR(__xludf.DUMMYFUNCTION("""COMPUTED_VALUE"""),698137)</f>
        <v>698137</v>
      </c>
      <c r="N17" s="9">
        <f ca="1">IFERROR(__xludf.DUMMYFUNCTION("""COMPUTED_VALUE"""),882412.97)</f>
        <v>882412.97</v>
      </c>
      <c r="O17" s="9">
        <f ca="1">IFERROR(__xludf.DUMMYFUNCTION("""COMPUTED_VALUE"""),287870.993049999)</f>
        <v>287870.993049999</v>
      </c>
      <c r="P17" s="9">
        <f ca="1">IFERROR(__xludf.DUMMYFUNCTION("""COMPUTED_VALUE"""),1170283.96305)</f>
        <v>1170283.9630499999</v>
      </c>
      <c r="Q17" s="8"/>
      <c r="R17" s="8"/>
    </row>
    <row r="18" spans="1:18" ht="12.5" x14ac:dyDescent="0.25">
      <c r="A18" s="8">
        <f ca="1">IFERROR(__xludf.DUMMYFUNCTION("""COMPUTED_VALUE"""),189)</f>
        <v>189</v>
      </c>
      <c r="B18" s="8" t="str">
        <f ca="1">IFERROR(__xludf.DUMMYFUNCTION("""COMPUTED_VALUE"""),"Oliva Micaela")</f>
        <v>Oliva Micaela</v>
      </c>
      <c r="C18" s="34">
        <f ca="1">IFERROR(__xludf.DUMMYFUNCTION("""COMPUTED_VALUE"""),45597)</f>
        <v>45597</v>
      </c>
      <c r="D18" s="8" t="str">
        <f ca="1">IFERROR(__xludf.DUMMYFUNCTION("""COMPUTED_VALUE"""),"Lucero Recoleta")</f>
        <v>Lucero Recoleta</v>
      </c>
      <c r="E18" s="11">
        <f ca="1">IFERROR(__xludf.DUMMYFUNCTION("""COMPUTED_VALUE"""),125)</f>
        <v>125</v>
      </c>
      <c r="F18" s="11">
        <f ca="1">IFERROR(__xludf.DUMMYFUNCTION("""COMPUTED_VALUE"""),121)</f>
        <v>121</v>
      </c>
      <c r="G18" s="11">
        <f ca="1">IFERROR(__xludf.DUMMYFUNCTION("""COMPUTED_VALUE"""),4)</f>
        <v>4</v>
      </c>
      <c r="H18" s="11">
        <f ca="1">IFERROR(__xludf.DUMMYFUNCTION("""COMPUTED_VALUE"""),4)</f>
        <v>4</v>
      </c>
      <c r="I18" s="8"/>
      <c r="J18" s="8" t="str">
        <f ca="1">IFERROR(__xludf.DUMMYFUNCTION("""COMPUTED_VALUE"""),"NO")</f>
        <v>NO</v>
      </c>
      <c r="K18" s="8"/>
      <c r="L18" s="9">
        <f ca="1">IFERROR(__xludf.DUMMYFUNCTION("""COMPUTED_VALUE"""),28383)</f>
        <v>28383</v>
      </c>
      <c r="M18" s="9">
        <f ca="1">IFERROR(__xludf.DUMMYFUNCTION("""COMPUTED_VALUE"""),689103)</f>
        <v>689103</v>
      </c>
      <c r="N18" s="9">
        <f ca="1">IFERROR(__xludf.DUMMYFUNCTION("""COMPUTED_VALUE"""),870756.32)</f>
        <v>870756.32</v>
      </c>
      <c r="O18" s="9">
        <f ca="1">IFERROR(__xludf.DUMMYFUNCTION("""COMPUTED_VALUE"""),283849.542399999)</f>
        <v>283849.54239999899</v>
      </c>
      <c r="P18" s="9">
        <f ca="1">IFERROR(__xludf.DUMMYFUNCTION("""COMPUTED_VALUE"""),1154605.8624)</f>
        <v>1154605.8624</v>
      </c>
      <c r="Q18" s="8"/>
      <c r="R18" s="8"/>
    </row>
    <row r="19" spans="1:18" ht="12.5" x14ac:dyDescent="0.25">
      <c r="A19" s="8">
        <f ca="1">IFERROR(__xludf.DUMMYFUNCTION("""COMPUTED_VALUE"""),190)</f>
        <v>190</v>
      </c>
      <c r="B19" s="8" t="str">
        <f ca="1">IFERROR(__xludf.DUMMYFUNCTION("""COMPUTED_VALUE"""),"Mohamad Daila")</f>
        <v>Mohamad Daila</v>
      </c>
      <c r="C19" s="34">
        <f ca="1">IFERROR(__xludf.DUMMYFUNCTION("""COMPUTED_VALUE"""),45597)</f>
        <v>45597</v>
      </c>
      <c r="D19" s="8" t="str">
        <f ca="1">IFERROR(__xludf.DUMMYFUNCTION("""COMPUTED_VALUE"""),"Lucero San Telmo 2")</f>
        <v>Lucero San Telmo 2</v>
      </c>
      <c r="E19" s="11">
        <f ca="1">IFERROR(__xludf.DUMMYFUNCTION("""COMPUTED_VALUE"""),132)</f>
        <v>132</v>
      </c>
      <c r="F19" s="11">
        <f ca="1">IFERROR(__xludf.DUMMYFUNCTION("""COMPUTED_VALUE"""),127)</f>
        <v>127</v>
      </c>
      <c r="G19" s="11">
        <f ca="1">IFERROR(__xludf.DUMMYFUNCTION("""COMPUTED_VALUE"""),5)</f>
        <v>5</v>
      </c>
      <c r="H19" s="11">
        <f ca="1">IFERROR(__xludf.DUMMYFUNCTION("""COMPUTED_VALUE"""),4)</f>
        <v>4</v>
      </c>
      <c r="I19" s="8"/>
      <c r="J19" s="8" t="str">
        <f ca="1">IFERROR(__xludf.DUMMYFUNCTION("""COMPUTED_VALUE"""),"NO")</f>
        <v>NO</v>
      </c>
      <c r="K19" s="8"/>
      <c r="L19" s="9">
        <f ca="1">IFERROR(__xludf.DUMMYFUNCTION("""COMPUTED_VALUE"""),13198)</f>
        <v>13198</v>
      </c>
      <c r="M19" s="9">
        <f ca="1">IFERROR(__xludf.DUMMYFUNCTION("""COMPUTED_VALUE"""),716255)</f>
        <v>716255</v>
      </c>
      <c r="N19" s="9">
        <f ca="1">IFERROR(__xludf.DUMMYFUNCTION("""COMPUTED_VALUE"""),904831.419999999)</f>
        <v>904831.41999999899</v>
      </c>
      <c r="O19" s="9">
        <f ca="1">IFERROR(__xludf.DUMMYFUNCTION("""COMPUTED_VALUE"""),294649.1605)</f>
        <v>294649.1605</v>
      </c>
      <c r="P19" s="9">
        <f ca="1">IFERROR(__xludf.DUMMYFUNCTION("""COMPUTED_VALUE"""),1199480.5805)</f>
        <v>1199480.5804999999</v>
      </c>
      <c r="Q19" s="8"/>
      <c r="R19" s="8"/>
    </row>
    <row r="20" spans="1:18" ht="12.5" x14ac:dyDescent="0.25">
      <c r="A20" s="8">
        <f ca="1">IFERROR(__xludf.DUMMYFUNCTION("""COMPUTED_VALUE"""),192)</f>
        <v>192</v>
      </c>
      <c r="B20" s="8" t="str">
        <f ca="1">IFERROR(__xludf.DUMMYFUNCTION("""COMPUTED_VALUE"""),"Sarapura Rebecca")</f>
        <v>Sarapura Rebecca</v>
      </c>
      <c r="C20" s="34">
        <f ca="1">IFERROR(__xludf.DUMMYFUNCTION("""COMPUTED_VALUE"""),45597)</f>
        <v>45597</v>
      </c>
      <c r="D20" s="8" t="str">
        <f ca="1">IFERROR(__xludf.DUMMYFUNCTION("""COMPUTED_VALUE"""),"Lucero San Telmo")</f>
        <v>Lucero San Telmo</v>
      </c>
      <c r="E20" s="11">
        <f ca="1">IFERROR(__xludf.DUMMYFUNCTION("""COMPUTED_VALUE"""),122)</f>
        <v>122</v>
      </c>
      <c r="F20" s="11">
        <f ca="1">IFERROR(__xludf.DUMMYFUNCTION("""COMPUTED_VALUE"""),101)</f>
        <v>101</v>
      </c>
      <c r="G20" s="11">
        <f ca="1">IFERROR(__xludf.DUMMYFUNCTION("""COMPUTED_VALUE"""),5)</f>
        <v>5</v>
      </c>
      <c r="H20" s="11">
        <f ca="1">IFERROR(__xludf.DUMMYFUNCTION("""COMPUTED_VALUE"""),4)</f>
        <v>4</v>
      </c>
      <c r="I20" s="9">
        <f ca="1">IFERROR(__xludf.DUMMYFUNCTION("""COMPUTED_VALUE"""),16)</f>
        <v>16</v>
      </c>
      <c r="J20" s="8" t="str">
        <f ca="1">IFERROR(__xludf.DUMMYFUNCTION("""COMPUTED_VALUE"""),"NO")</f>
        <v>NO</v>
      </c>
      <c r="K20" s="8"/>
      <c r="L20" s="9">
        <f ca="1">IFERROR(__xludf.DUMMYFUNCTION("""COMPUTED_VALUE"""),27186)</f>
        <v>27186</v>
      </c>
      <c r="M20" s="9">
        <f ca="1">IFERROR(__xludf.DUMMYFUNCTION("""COMPUTED_VALUE"""),676588)</f>
        <v>676588</v>
      </c>
      <c r="N20" s="9">
        <f ca="1">IFERROR(__xludf.DUMMYFUNCTION("""COMPUTED_VALUE"""),855019.22)</f>
        <v>855019.22</v>
      </c>
      <c r="O20" s="9">
        <f ca="1">IFERROR(__xludf.DUMMYFUNCTION("""COMPUTED_VALUE"""),278830.043499999)</f>
        <v>278830.04349999898</v>
      </c>
      <c r="P20" s="9">
        <f ca="1">IFERROR(__xludf.DUMMYFUNCTION("""COMPUTED_VALUE"""),1133849.2635)</f>
        <v>1133849.2634999999</v>
      </c>
      <c r="Q20" s="8"/>
      <c r="R20" s="8"/>
    </row>
    <row r="21" spans="1:18" ht="12.5" x14ac:dyDescent="0.25">
      <c r="A21" s="8">
        <f ca="1">IFERROR(__xludf.DUMMYFUNCTION("""COMPUTED_VALUE"""),194)</f>
        <v>194</v>
      </c>
      <c r="B21" s="8" t="str">
        <f ca="1">IFERROR(__xludf.DUMMYFUNCTION("""COMPUTED_VALUE"""),"Scholler Chavez Ruth")</f>
        <v>Scholler Chavez Ruth</v>
      </c>
      <c r="C21" s="35">
        <f ca="1">IFERROR(__xludf.DUMMYFUNCTION("""COMPUTED_VALUE"""),45639)</f>
        <v>45639</v>
      </c>
      <c r="D21" s="8" t="str">
        <f ca="1">IFERROR(__xludf.DUMMYFUNCTION("""COMPUTED_VALUE"""),"Lucero French")</f>
        <v>Lucero French</v>
      </c>
      <c r="E21" s="11">
        <f ca="1">IFERROR(__xludf.DUMMYFUNCTION("""COMPUTED_VALUE"""),120)</f>
        <v>120</v>
      </c>
      <c r="F21" s="11">
        <f ca="1">IFERROR(__xludf.DUMMYFUNCTION("""COMPUTED_VALUE"""),114)</f>
        <v>114</v>
      </c>
      <c r="G21" s="11">
        <f ca="1">IFERROR(__xludf.DUMMYFUNCTION("""COMPUTED_VALUE"""),6)</f>
        <v>6</v>
      </c>
      <c r="H21" s="11">
        <f ca="1">IFERROR(__xludf.DUMMYFUNCTION("""COMPUTED_VALUE"""),4)</f>
        <v>4</v>
      </c>
      <c r="I21" s="8"/>
      <c r="J21" s="8" t="str">
        <f ca="1">IFERROR(__xludf.DUMMYFUNCTION("""COMPUTED_VALUE"""),"NO")</f>
        <v>NO</v>
      </c>
      <c r="K21" s="8"/>
      <c r="L21" s="9">
        <f ca="1">IFERROR(__xludf.DUMMYFUNCTION("""COMPUTED_VALUE"""),26263)</f>
        <v>26263</v>
      </c>
      <c r="M21" s="9">
        <f ca="1">IFERROR(__xludf.DUMMYFUNCTION("""COMPUTED_VALUE"""),669444)</f>
        <v>669444</v>
      </c>
      <c r="N21" s="9">
        <f ca="1">IFERROR(__xludf.DUMMYFUNCTION("""COMPUTED_VALUE"""),846075.35)</f>
        <v>846075.35</v>
      </c>
      <c r="O21" s="9">
        <f ca="1">IFERROR(__xludf.DUMMYFUNCTION("""COMPUTED_VALUE"""),276017.62495)</f>
        <v>276017.62495000003</v>
      </c>
      <c r="P21" s="9">
        <f ca="1">IFERROR(__xludf.DUMMYFUNCTION("""COMPUTED_VALUE"""),1122092.97495)</f>
        <v>1122092.9749499999</v>
      </c>
      <c r="Q21" s="8"/>
      <c r="R21" s="8"/>
    </row>
    <row r="22" spans="1:18" ht="12.5" x14ac:dyDescent="0.25">
      <c r="A22" s="8">
        <f ca="1">IFERROR(__xludf.DUMMYFUNCTION("""COMPUTED_VALUE"""),205)</f>
        <v>205</v>
      </c>
      <c r="B22" s="8" t="str">
        <f ca="1">IFERROR(__xludf.DUMMYFUNCTION("""COMPUTED_VALUE"""),"Florencia Aguero")</f>
        <v>Florencia Aguero</v>
      </c>
      <c r="C22" s="34">
        <f ca="1">IFERROR(__xludf.DUMMYFUNCTION("""COMPUTED_VALUE"""),45713)</f>
        <v>45713</v>
      </c>
      <c r="D22" s="8" t="str">
        <f ca="1">IFERROR(__xludf.DUMMYFUNCTION("""COMPUTED_VALUE"""),"Lucero San Telmo 2")</f>
        <v>Lucero San Telmo 2</v>
      </c>
      <c r="E22" s="11">
        <f ca="1">IFERROR(__xludf.DUMMYFUNCTION("""COMPUTED_VALUE"""),58)</f>
        <v>58</v>
      </c>
      <c r="F22" s="11">
        <f ca="1">IFERROR(__xludf.DUMMYFUNCTION("""COMPUTED_VALUE"""),58)</f>
        <v>58</v>
      </c>
      <c r="G22" s="8"/>
      <c r="H22" s="11">
        <f ca="1">IFERROR(__xludf.DUMMYFUNCTION("""COMPUTED_VALUE"""),4)</f>
        <v>4</v>
      </c>
      <c r="I22" s="8"/>
      <c r="J22" s="8" t="str">
        <f ca="1">IFERROR(__xludf.DUMMYFUNCTION("""COMPUTED_VALUE"""),"NO")</f>
        <v>NO</v>
      </c>
      <c r="K22" s="8"/>
      <c r="L22" s="9">
        <f ca="1">IFERROR(__xludf.DUMMYFUNCTION("""COMPUTED_VALUE"""),0)</f>
        <v>0</v>
      </c>
      <c r="M22" s="9">
        <f ca="1">IFERROR(__xludf.DUMMYFUNCTION("""COMPUTED_VALUE"""),560658)</f>
        <v>560658</v>
      </c>
      <c r="N22" s="9">
        <f ca="1">IFERROR(__xludf.DUMMYFUNCTION("""COMPUTED_VALUE"""),681305.96)</f>
        <v>681305.96</v>
      </c>
      <c r="O22" s="9">
        <f ca="1">IFERROR(__xludf.DUMMYFUNCTION("""COMPUTED_VALUE"""),207086.115999999)</f>
        <v>207086.11599999899</v>
      </c>
      <c r="P22" s="9">
        <f ca="1">IFERROR(__xludf.DUMMYFUNCTION("""COMPUTED_VALUE"""),888392.075999999)</f>
        <v>888392.07599999895</v>
      </c>
      <c r="Q22" s="8" t="str">
        <f ca="1">IFERROR(__xludf.DUMMYFUNCTION("""COMPUTED_VALUE"""),"BAJA")</f>
        <v>BAJA</v>
      </c>
      <c r="R22" s="8"/>
    </row>
    <row r="23" spans="1:18" ht="12.5" x14ac:dyDescent="0.25">
      <c r="A23" s="8">
        <f ca="1">IFERROR(__xludf.DUMMYFUNCTION("""COMPUTED_VALUE"""),206)</f>
        <v>206</v>
      </c>
      <c r="B23" s="8" t="str">
        <f ca="1">IFERROR(__xludf.DUMMYFUNCTION("""COMPUTED_VALUE"""),"Morena Martinez")</f>
        <v>Morena Martinez</v>
      </c>
      <c r="C23" s="34">
        <f ca="1">IFERROR(__xludf.DUMMYFUNCTION("""COMPUTED_VALUE"""),45713)</f>
        <v>45713</v>
      </c>
      <c r="D23" s="8" t="str">
        <f ca="1">IFERROR(__xludf.DUMMYFUNCTION("""COMPUTED_VALUE"""),"Lucero San Telmo")</f>
        <v>Lucero San Telmo</v>
      </c>
      <c r="E23" s="11">
        <f ca="1">IFERROR(__xludf.DUMMYFUNCTION("""COMPUTED_VALUE"""),124)</f>
        <v>124</v>
      </c>
      <c r="F23" s="11">
        <f ca="1">IFERROR(__xludf.DUMMYFUNCTION("""COMPUTED_VALUE"""),119)</f>
        <v>119</v>
      </c>
      <c r="G23" s="11">
        <f ca="1">IFERROR(__xludf.DUMMYFUNCTION("""COMPUTED_VALUE"""),5)</f>
        <v>5</v>
      </c>
      <c r="H23" s="11">
        <f ca="1">IFERROR(__xludf.DUMMYFUNCTION("""COMPUTED_VALUE"""),4)</f>
        <v>4</v>
      </c>
      <c r="I23" s="8"/>
      <c r="J23" s="8" t="str">
        <f ca="1">IFERROR(__xludf.DUMMYFUNCTION("""COMPUTED_VALUE"""),"NO")</f>
        <v>NO</v>
      </c>
      <c r="K23" s="8"/>
      <c r="L23" s="9">
        <f ca="1">IFERROR(__xludf.DUMMYFUNCTION("""COMPUTED_VALUE"""),4518)</f>
        <v>4518</v>
      </c>
      <c r="M23" s="9">
        <f ca="1">IFERROR(__xludf.DUMMYFUNCTION("""COMPUTED_VALUE"""),667838.999999999)</f>
        <v>667838.99999999895</v>
      </c>
      <c r="N23" s="9">
        <f ca="1">IFERROR(__xludf.DUMMYFUNCTION("""COMPUTED_VALUE"""),843456.019999999)</f>
        <v>843456.01999999897</v>
      </c>
      <c r="O23" s="9">
        <f ca="1">IFERROR(__xludf.DUMMYFUNCTION("""COMPUTED_VALUE"""),274567.5283)</f>
        <v>274567.52830000001</v>
      </c>
      <c r="P23" s="9">
        <f ca="1">IFERROR(__xludf.DUMMYFUNCTION("""COMPUTED_VALUE"""),1118023.5483)</f>
        <v>1118023.5482999999</v>
      </c>
      <c r="Q23" s="8"/>
      <c r="R23" s="8"/>
    </row>
    <row r="24" spans="1:18" ht="12.5" x14ac:dyDescent="0.25">
      <c r="A24" s="8">
        <f ca="1">IFERROR(__xludf.DUMMYFUNCTION("""COMPUTED_VALUE"""),210)</f>
        <v>210</v>
      </c>
      <c r="B24" s="8" t="str">
        <f ca="1">IFERROR(__xludf.DUMMYFUNCTION("""COMPUTED_VALUE"""),"Dettoni Leguizamon Oriana")</f>
        <v>Dettoni Leguizamon Oriana</v>
      </c>
      <c r="C24" s="34">
        <f ca="1">IFERROR(__xludf.DUMMYFUNCTION("""COMPUTED_VALUE"""),45759)</f>
        <v>45759</v>
      </c>
      <c r="D24" s="8" t="str">
        <f ca="1">IFERROR(__xludf.DUMMYFUNCTION("""COMPUTED_VALUE"""),"Lucero Florida")</f>
        <v>Lucero Florida</v>
      </c>
      <c r="E24" s="11">
        <f ca="1">IFERROR(__xludf.DUMMYFUNCTION("""COMPUTED_VALUE"""),126)</f>
        <v>126</v>
      </c>
      <c r="F24" s="11">
        <f ca="1">IFERROR(__xludf.DUMMYFUNCTION("""COMPUTED_VALUE"""),120)</f>
        <v>120</v>
      </c>
      <c r="G24" s="11">
        <f ca="1">IFERROR(__xludf.DUMMYFUNCTION("""COMPUTED_VALUE"""),6)</f>
        <v>6</v>
      </c>
      <c r="H24" s="11">
        <f ca="1">IFERROR(__xludf.DUMMYFUNCTION("""COMPUTED_VALUE"""),4)</f>
        <v>4</v>
      </c>
      <c r="I24" s="8"/>
      <c r="J24" s="8" t="str">
        <f ca="1">IFERROR(__xludf.DUMMYFUNCTION("""COMPUTED_VALUE"""),"NO")</f>
        <v>NO</v>
      </c>
      <c r="K24" s="8"/>
      <c r="L24" s="9">
        <f ca="1">IFERROR(__xludf.DUMMYFUNCTION("""COMPUTED_VALUE"""),0)</f>
        <v>0</v>
      </c>
      <c r="M24" s="9">
        <f ca="1">IFERROR(__xludf.DUMMYFUNCTION("""COMPUTED_VALUE"""),678241)</f>
        <v>678241</v>
      </c>
      <c r="N24" s="9">
        <f ca="1">IFERROR(__xludf.DUMMYFUNCTION("""COMPUTED_VALUE"""),856603.76)</f>
        <v>856603.76</v>
      </c>
      <c r="O24" s="9">
        <f ca="1">IFERROR(__xludf.DUMMYFUNCTION("""COMPUTED_VALUE"""),278830.2946)</f>
        <v>278830.29460000002</v>
      </c>
      <c r="P24" s="9">
        <f ca="1">IFERROR(__xludf.DUMMYFUNCTION("""COMPUTED_VALUE"""),1135434.0546)</f>
        <v>1135434.0545999999</v>
      </c>
      <c r="Q24" s="8"/>
      <c r="R24" s="8"/>
    </row>
    <row r="25" spans="1:18" ht="12.5" x14ac:dyDescent="0.25">
      <c r="A25" s="8">
        <f ca="1">IFERROR(__xludf.DUMMYFUNCTION("""COMPUTED_VALUE"""),213)</f>
        <v>213</v>
      </c>
      <c r="B25" s="8" t="str">
        <f ca="1">IFERROR(__xludf.DUMMYFUNCTION("""COMPUTED_VALUE"""),"Gonzalez Valentina")</f>
        <v>Gonzalez Valentina</v>
      </c>
      <c r="C25" s="34">
        <f ca="1">IFERROR(__xludf.DUMMYFUNCTION("""COMPUTED_VALUE"""),45789)</f>
        <v>45789</v>
      </c>
      <c r="D25" s="8" t="str">
        <f ca="1">IFERROR(__xludf.DUMMYFUNCTION("""COMPUTED_VALUE"""),"Lucero San Telmo 2")</f>
        <v>Lucero San Telmo 2</v>
      </c>
      <c r="E25" s="11">
        <f ca="1">IFERROR(__xludf.DUMMYFUNCTION("""COMPUTED_VALUE"""),93)</f>
        <v>93</v>
      </c>
      <c r="F25" s="11">
        <f ca="1">IFERROR(__xludf.DUMMYFUNCTION("""COMPUTED_VALUE"""),89)</f>
        <v>89</v>
      </c>
      <c r="G25" s="11">
        <f ca="1">IFERROR(__xludf.DUMMYFUNCTION("""COMPUTED_VALUE"""),4)</f>
        <v>4</v>
      </c>
      <c r="H25" s="11">
        <f ca="1">IFERROR(__xludf.DUMMYFUNCTION("""COMPUTED_VALUE"""),4)</f>
        <v>4</v>
      </c>
      <c r="I25" s="8"/>
      <c r="J25" s="8" t="str">
        <f ca="1">IFERROR(__xludf.DUMMYFUNCTION("""COMPUTED_VALUE"""),"NO")</f>
        <v>NO</v>
      </c>
      <c r="K25" s="8"/>
      <c r="L25" s="9">
        <f ca="1">IFERROR(__xludf.DUMMYFUNCTION("""COMPUTED_VALUE"""),0)</f>
        <v>0</v>
      </c>
      <c r="M25" s="9">
        <f ca="1">IFERROR(__xludf.DUMMYFUNCTION("""COMPUTED_VALUE"""),498151)</f>
        <v>498151</v>
      </c>
      <c r="N25" s="9">
        <f ca="1">IFERROR(__xludf.DUMMYFUNCTION("""COMPUTED_VALUE"""),628753.8)</f>
        <v>628753.80000000005</v>
      </c>
      <c r="O25" s="9">
        <f ca="1">IFERROR(__xludf.DUMMYFUNCTION("""COMPUTED_VALUE"""),204730.144)</f>
        <v>204730.144</v>
      </c>
      <c r="P25" s="9">
        <f ca="1">IFERROR(__xludf.DUMMYFUNCTION("""COMPUTED_VALUE"""),833483.944)</f>
        <v>833483.94400000002</v>
      </c>
      <c r="Q25" s="8" t="str">
        <f ca="1">IFERROR(__xludf.DUMMYFUNCTION("""COMPUTED_VALUE"""),"ALTA")</f>
        <v>ALTA</v>
      </c>
      <c r="R25" s="8"/>
    </row>
    <row r="26" spans="1:18" ht="12.5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9"/>
      <c r="N26" s="8"/>
      <c r="O26" s="8"/>
      <c r="P26" s="8"/>
      <c r="Q26" s="8"/>
      <c r="R26" s="8"/>
    </row>
    <row r="27" spans="1:18" ht="12.5" x14ac:dyDescent="0.25">
      <c r="A27" s="8">
        <f ca="1">IFERROR(__xludf.DUMMYFUNCTION("""COMPUTED_VALUE"""),184)</f>
        <v>184</v>
      </c>
      <c r="B27" s="8" t="str">
        <f ca="1">IFERROR(__xludf.DUMMYFUNCTION("""COMPUTED_VALUE"""),"Villarruel Candela")</f>
        <v>Villarruel Candela</v>
      </c>
      <c r="C27" s="34">
        <f ca="1">IFERROR(__xludf.DUMMYFUNCTION("""COMPUTED_VALUE"""),45569)</f>
        <v>45569</v>
      </c>
      <c r="D27" s="8" t="str">
        <f ca="1">IFERROR(__xludf.DUMMYFUNCTION("""COMPUTED_VALUE"""),"AS San Telmo")</f>
        <v>AS San Telmo</v>
      </c>
      <c r="E27" s="11">
        <f ca="1">IFERROR(__xludf.DUMMYFUNCTION("""COMPUTED_VALUE"""),88)</f>
        <v>88</v>
      </c>
      <c r="F27" s="8"/>
      <c r="G27" s="8"/>
      <c r="H27" s="11">
        <f ca="1">IFERROR(__xludf.DUMMYFUNCTION("""COMPUTED_VALUE"""),8)</f>
        <v>8</v>
      </c>
      <c r="I27" s="8"/>
      <c r="J27" s="8" t="str">
        <f ca="1">IFERROR(__xludf.DUMMYFUNCTION("""COMPUTED_VALUE"""),"NO")</f>
        <v>NO</v>
      </c>
      <c r="K27" s="8"/>
      <c r="L27" s="9">
        <f ca="1">IFERROR(__xludf.DUMMYFUNCTION("""COMPUTED_VALUE"""),0)</f>
        <v>0</v>
      </c>
      <c r="M27" s="9">
        <f ca="1">IFERROR(__xludf.DUMMYFUNCTION("""COMPUTED_VALUE"""),462011)</f>
        <v>462011</v>
      </c>
      <c r="N27" s="9">
        <f ca="1">IFERROR(__xludf.DUMMYFUNCTION("""COMPUTED_VALUE"""),582807.02)</f>
        <v>582807.02</v>
      </c>
      <c r="O27" s="9">
        <f ca="1">IFERROR(__xludf.DUMMYFUNCTION("""COMPUTED_VALUE"""),189561.5221)</f>
        <v>189561.5221</v>
      </c>
      <c r="P27" s="9">
        <f ca="1">IFERROR(__xludf.DUMMYFUNCTION("""COMPUTED_VALUE"""),772368.5421)</f>
        <v>772368.54209999996</v>
      </c>
      <c r="Q27" s="8"/>
      <c r="R27" s="8"/>
    </row>
    <row r="28" spans="1:18" ht="12.5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1:18" ht="13" x14ac:dyDescent="0.3">
      <c r="A29" s="51" t="str">
        <f ca="1">IFERROR(__xludf.DUMMYFUNCTION("""COMPUTED_VALUE"""),"VENDEDOR B - tarifa standard")</f>
        <v>VENDEDOR B - tarifa standard</v>
      </c>
      <c r="B29" s="51"/>
      <c r="C29" s="51"/>
      <c r="D29" s="51"/>
      <c r="E29" s="51"/>
      <c r="F29" s="51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spans="1:18" ht="13" x14ac:dyDescent="0.3">
      <c r="A30" s="52"/>
      <c r="B30" s="52"/>
      <c r="C30" s="52" t="str">
        <f ca="1">IFERROR(__xludf.DUMMYFUNCTION("""COMPUTED_VALUE"""),"Vendedor B - S Neto")</f>
        <v>Vendedor B - S Neto</v>
      </c>
      <c r="D30" s="52" t="str">
        <f ca="1">IFERROR(__xludf.DUMMYFUNCTION("""COMPUTED_VALUE"""),"Vendedor B - S Bruto")</f>
        <v>Vendedor B - S Bruto</v>
      </c>
      <c r="E30" s="53" t="str">
        <f ca="1">IFERROR(__xludf.DUMMYFUNCTION("""COMPUTED_VALUE"""),"Contribuciones + ART ")</f>
        <v xml:space="preserve">Contribuciones + ART </v>
      </c>
      <c r="F30" s="52" t="str">
        <f ca="1">IFERROR(__xludf.DUMMYFUNCTION("""COMPUTED_VALUE"""),"COSTO TOTAL")</f>
        <v>COSTO TOTAL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1:18" ht="12.5" x14ac:dyDescent="0.25">
      <c r="A31" s="54">
        <f ca="1">IFERROR(__xludf.DUMMYFUNCTION("""COMPUTED_VALUE"""),500)</f>
        <v>500</v>
      </c>
      <c r="B31" s="54" t="str">
        <f ca="1">IFERROR(__xludf.DUMMYFUNCTION("""COMPUTED_VALUE"""),"VENDEDORA B 88 HS")</f>
        <v>VENDEDORA B 88 HS</v>
      </c>
      <c r="C31" s="55">
        <f ca="1">IFERROR(__xludf.DUMMYFUNCTION("""COMPUTED_VALUE"""),456794)</f>
        <v>456794</v>
      </c>
      <c r="D31" s="56">
        <f ca="1">IFERROR(__xludf.DUMMYFUNCTION("""COMPUTED_VALUE"""),576075.28823525)</f>
        <v>576075.28823525005</v>
      </c>
      <c r="E31" s="56">
        <f ca="1">IFERROR(__xludf.DUMMYFUNCTION("""COMPUTED_VALUE"""),214450.856647042)</f>
        <v>214450.856647042</v>
      </c>
      <c r="F31" s="56">
        <f ca="1">IFERROR(__xludf.DUMMYFUNCTION("""COMPUTED_VALUE"""),790526.144882292)</f>
        <v>790526.14488229202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18" ht="12.5" x14ac:dyDescent="0.25">
      <c r="A32" s="54">
        <f ca="1">IFERROR(__xludf.DUMMYFUNCTION("""COMPUTED_VALUE"""),501)</f>
        <v>501</v>
      </c>
      <c r="B32" s="54" t="str">
        <f ca="1">IFERROR(__xludf.DUMMYFUNCTION("""COMPUTED_VALUE"""),"VENDEDORA B 132 HS")</f>
        <v>VENDEDORA B 132 HS</v>
      </c>
      <c r="C32" s="55">
        <f ca="1">IFERROR(__xludf.DUMMYFUNCTION("""COMPUTED_VALUE"""),683000)</f>
        <v>683000</v>
      </c>
      <c r="D32" s="56">
        <f ca="1">IFERROR(__xludf.DUMMYFUNCTION("""COMPUTED_VALUE"""),861921.932352875)</f>
        <v>861921.93235287501</v>
      </c>
      <c r="E32" s="56">
        <f ca="1">IFERROR(__xludf.DUMMYFUNCTION("""COMPUTED_VALUE"""),320214.114970563)</f>
        <v>320214.11497056298</v>
      </c>
      <c r="F32" s="56">
        <f ca="1">IFERROR(__xludf.DUMMYFUNCTION("""COMPUTED_VALUE"""),1182136.04732343)</f>
        <v>1182136.04732343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spans="1:18" ht="12.5" x14ac:dyDescent="0.25">
      <c r="A33" s="54"/>
      <c r="B33" s="54"/>
      <c r="C33" s="54"/>
      <c r="D33" s="54"/>
      <c r="E33" s="54"/>
      <c r="F33" s="54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spans="1:18" ht="13" x14ac:dyDescent="0.3">
      <c r="A34" s="54"/>
      <c r="B34" s="52" t="str">
        <f ca="1">IFERROR(__xludf.DUMMYFUNCTION("""COMPUTED_VALUE"""),"Dif plus vacacional 88hs")</f>
        <v>Dif plus vacacional 88hs</v>
      </c>
      <c r="C34" s="55">
        <f ca="1">IFERROR(__xludf.DUMMYFUNCTION("""COMPUTED_VALUE"""),42634.1066666666)</f>
        <v>42634.106666666601</v>
      </c>
      <c r="D34" s="54"/>
      <c r="E34" s="54"/>
      <c r="F34" s="54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spans="1:18" ht="13" x14ac:dyDescent="0.3">
      <c r="A35" s="54"/>
      <c r="B35" s="52" t="str">
        <f ca="1">IFERROR(__xludf.DUMMYFUNCTION("""COMPUTED_VALUE"""),"Dif plus vacacional 132 Hs")</f>
        <v>Dif plus vacacional 132 Hs</v>
      </c>
      <c r="C35" s="55">
        <f ca="1">IFERROR(__xludf.DUMMYFUNCTION("""COMPUTED_VALUE"""),63746.6666666666)</f>
        <v>63746.666666666599</v>
      </c>
      <c r="D35" s="54"/>
      <c r="E35" s="54"/>
      <c r="F35" s="54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spans="1:18" ht="12.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spans="1:18" ht="12.5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1:18" ht="12.5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spans="1:18" ht="12.5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spans="1:18" ht="12.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spans="1:18" ht="12.5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spans="1:18" ht="12.5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spans="1:18" ht="12.5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spans="1:18" ht="12.5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spans="1:18" ht="12.5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spans="1:18" ht="12.5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spans="1:18" ht="12.5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spans="1:18" ht="12.5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spans="1:18" ht="12.5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spans="1:18" ht="12.5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 spans="1:18" ht="12.5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spans="1:18" ht="12.5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3" spans="1:18" ht="12.5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</row>
    <row r="54" spans="1:18" ht="12.5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</row>
    <row r="55" spans="1:18" ht="12.5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</row>
    <row r="56" spans="1:18" ht="12.5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</row>
    <row r="57" spans="1:18" ht="12.5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</row>
    <row r="58" spans="1:18" ht="12.5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</row>
    <row r="59" spans="1:18" ht="12.5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</row>
    <row r="60" spans="1:18" ht="12.5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</row>
    <row r="61" spans="1:18" ht="12.5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</row>
    <row r="62" spans="1:18" ht="12.5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</row>
    <row r="63" spans="1:18" ht="12.5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</row>
    <row r="64" spans="1:18" ht="12.5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</row>
    <row r="65" spans="1:18" ht="12.5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spans="1:18" ht="12.5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</row>
    <row r="67" spans="1:18" ht="12.5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</row>
    <row r="68" spans="1:18" ht="12.5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</row>
    <row r="69" spans="1:18" ht="12.5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</row>
    <row r="70" spans="1:18" ht="12.5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</row>
    <row r="71" spans="1:18" ht="12.5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</row>
    <row r="72" spans="1:18" ht="12.5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</row>
    <row r="73" spans="1:18" ht="12.5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</row>
    <row r="74" spans="1:18" ht="12.5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</row>
    <row r="75" spans="1:18" ht="12.5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</row>
    <row r="76" spans="1:18" ht="12.5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</row>
    <row r="77" spans="1:18" ht="12.5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</row>
    <row r="78" spans="1:18" ht="12.5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</row>
    <row r="79" spans="1:18" ht="12.5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</row>
    <row r="80" spans="1:18" ht="12.5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</row>
    <row r="81" spans="1:18" ht="12.5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</row>
    <row r="82" spans="1:18" ht="12.5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</row>
    <row r="83" spans="1:18" ht="12.5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</row>
    <row r="84" spans="1:18" ht="12.5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</row>
    <row r="85" spans="1:18" ht="12.5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</row>
    <row r="86" spans="1:18" ht="12.5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</row>
    <row r="87" spans="1:18" ht="12.5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</row>
    <row r="88" spans="1:18" ht="12.5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</row>
    <row r="89" spans="1:18" ht="12.5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</row>
    <row r="90" spans="1:18" ht="12.5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</row>
    <row r="91" spans="1:18" ht="12.5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</row>
    <row r="92" spans="1:18" ht="12.5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</row>
    <row r="93" spans="1:18" ht="12.5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</row>
    <row r="94" spans="1:18" ht="12.5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</row>
    <row r="95" spans="1:18" ht="12.5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 spans="1:18" ht="12.5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 spans="1:18" ht="12.5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742"/>
  <sheetViews>
    <sheetView workbookViewId="0"/>
  </sheetViews>
  <sheetFormatPr baseColWidth="10" defaultColWidth="12.6328125" defaultRowHeight="15.75" customHeight="1" x14ac:dyDescent="0.25"/>
  <cols>
    <col min="1" max="1" width="32.26953125" customWidth="1"/>
    <col min="3" max="3" width="43.26953125" customWidth="1"/>
    <col min="4" max="4" width="16.453125" customWidth="1"/>
    <col min="5" max="5" width="9.90625" customWidth="1"/>
    <col min="6" max="6" width="12.453125" customWidth="1"/>
    <col min="7" max="8" width="11.08984375" customWidth="1"/>
    <col min="9" max="9" width="12.453125" customWidth="1"/>
  </cols>
  <sheetData>
    <row r="1" spans="1:9" ht="15.75" customHeight="1" x14ac:dyDescent="0.4">
      <c r="A1" s="57" t="s">
        <v>168</v>
      </c>
      <c r="B1" s="57" t="s">
        <v>1</v>
      </c>
      <c r="C1" s="57" t="s">
        <v>2</v>
      </c>
      <c r="D1" s="57" t="s">
        <v>305</v>
      </c>
      <c r="E1" s="58" t="s">
        <v>306</v>
      </c>
      <c r="F1" s="57" t="s">
        <v>4</v>
      </c>
      <c r="G1" s="57" t="s">
        <v>5</v>
      </c>
      <c r="H1" s="57" t="s">
        <v>6</v>
      </c>
      <c r="I1" s="57" t="s">
        <v>7</v>
      </c>
    </row>
    <row r="2" spans="1:9" ht="15.75" customHeight="1" x14ac:dyDescent="0.4">
      <c r="A2" s="59" t="s">
        <v>307</v>
      </c>
      <c r="B2" s="60"/>
      <c r="C2" s="61"/>
      <c r="D2" s="61"/>
      <c r="E2" s="62"/>
      <c r="F2" s="61"/>
      <c r="G2" s="61"/>
      <c r="H2" s="61"/>
      <c r="I2" s="61"/>
    </row>
    <row r="3" spans="1:9" ht="15.75" customHeight="1" x14ac:dyDescent="0.35">
      <c r="A3" s="63" t="s">
        <v>278</v>
      </c>
      <c r="B3" s="64" t="s">
        <v>198</v>
      </c>
      <c r="C3" s="65" t="s">
        <v>59</v>
      </c>
      <c r="D3" s="63" t="s">
        <v>308</v>
      </c>
      <c r="E3" s="66"/>
      <c r="F3" s="65"/>
      <c r="G3" s="67" t="s">
        <v>219</v>
      </c>
      <c r="H3" s="65"/>
      <c r="I3" s="65"/>
    </row>
    <row r="4" spans="1:9" ht="15.75" customHeight="1" x14ac:dyDescent="0.35">
      <c r="A4" s="63" t="s">
        <v>278</v>
      </c>
      <c r="B4" s="64" t="s">
        <v>54</v>
      </c>
      <c r="C4" s="65" t="s">
        <v>284</v>
      </c>
      <c r="D4" s="63" t="s">
        <v>309</v>
      </c>
      <c r="E4" s="66"/>
      <c r="F4" s="67" t="s">
        <v>310</v>
      </c>
      <c r="G4" s="67" t="s">
        <v>311</v>
      </c>
      <c r="H4" s="65"/>
      <c r="I4" s="67" t="s">
        <v>312</v>
      </c>
    </row>
    <row r="5" spans="1:9" ht="15.75" customHeight="1" x14ac:dyDescent="0.35">
      <c r="A5" s="63" t="s">
        <v>278</v>
      </c>
      <c r="B5" s="64" t="s">
        <v>22</v>
      </c>
      <c r="C5" s="65" t="s">
        <v>22</v>
      </c>
      <c r="D5" s="63" t="s">
        <v>313</v>
      </c>
      <c r="E5" s="68">
        <v>45776</v>
      </c>
      <c r="F5" s="67" t="s">
        <v>314</v>
      </c>
      <c r="G5" s="67" t="s">
        <v>315</v>
      </c>
      <c r="H5" s="67" t="s">
        <v>316</v>
      </c>
      <c r="I5" s="67" t="s">
        <v>317</v>
      </c>
    </row>
    <row r="6" spans="1:9" ht="15.75" customHeight="1" x14ac:dyDescent="0.35">
      <c r="A6" s="63" t="s">
        <v>278</v>
      </c>
      <c r="B6" s="64" t="s">
        <v>39</v>
      </c>
      <c r="C6" s="65" t="s">
        <v>284</v>
      </c>
      <c r="D6" s="63" t="s">
        <v>318</v>
      </c>
      <c r="E6" s="66"/>
      <c r="F6" s="65"/>
      <c r="G6" s="67" t="s">
        <v>219</v>
      </c>
      <c r="H6" s="65"/>
      <c r="I6" s="67" t="s">
        <v>319</v>
      </c>
    </row>
    <row r="7" spans="1:9" ht="15.75" customHeight="1" x14ac:dyDescent="0.35">
      <c r="A7" s="63" t="s">
        <v>278</v>
      </c>
      <c r="B7" s="64" t="s">
        <v>41</v>
      </c>
      <c r="C7" s="65" t="s">
        <v>42</v>
      </c>
      <c r="D7" s="63" t="s">
        <v>320</v>
      </c>
      <c r="E7" s="66"/>
      <c r="F7" s="67" t="s">
        <v>221</v>
      </c>
      <c r="G7" s="67" t="s">
        <v>222</v>
      </c>
      <c r="H7" s="65"/>
      <c r="I7" s="67" t="s">
        <v>223</v>
      </c>
    </row>
    <row r="8" spans="1:9" ht="15.75" customHeight="1" x14ac:dyDescent="0.35">
      <c r="A8" s="63" t="s">
        <v>278</v>
      </c>
      <c r="B8" s="64" t="s">
        <v>47</v>
      </c>
      <c r="C8" s="65" t="s">
        <v>252</v>
      </c>
      <c r="D8" s="63" t="s">
        <v>321</v>
      </c>
      <c r="E8" s="66"/>
      <c r="F8" s="67" t="s">
        <v>322</v>
      </c>
      <c r="G8" s="67" t="s">
        <v>323</v>
      </c>
      <c r="H8" s="67" t="s">
        <v>324</v>
      </c>
      <c r="I8" s="67" t="s">
        <v>325</v>
      </c>
    </row>
    <row r="9" spans="1:9" ht="15.75" customHeight="1" x14ac:dyDescent="0.35">
      <c r="A9" s="63" t="s">
        <v>170</v>
      </c>
      <c r="B9" s="64" t="s">
        <v>13</v>
      </c>
      <c r="C9" s="65" t="s">
        <v>186</v>
      </c>
      <c r="D9" s="63" t="s">
        <v>326</v>
      </c>
      <c r="E9" s="66"/>
      <c r="F9" s="65"/>
      <c r="G9" s="67" t="s">
        <v>219</v>
      </c>
      <c r="H9" s="65"/>
      <c r="I9" s="67" t="s">
        <v>327</v>
      </c>
    </row>
    <row r="10" spans="1:9" ht="15.75" customHeight="1" x14ac:dyDescent="0.35">
      <c r="A10" s="63" t="s">
        <v>170</v>
      </c>
      <c r="B10" s="64" t="s">
        <v>198</v>
      </c>
      <c r="C10" s="65" t="s">
        <v>59</v>
      </c>
      <c r="D10" s="63" t="s">
        <v>328</v>
      </c>
      <c r="E10" s="66"/>
      <c r="F10" s="67" t="s">
        <v>329</v>
      </c>
      <c r="G10" s="67" t="s">
        <v>219</v>
      </c>
      <c r="H10" s="65"/>
      <c r="I10" s="67" t="s">
        <v>329</v>
      </c>
    </row>
    <row r="11" spans="1:9" ht="15.75" customHeight="1" x14ac:dyDescent="0.35">
      <c r="A11" s="63" t="s">
        <v>170</v>
      </c>
      <c r="B11" s="64" t="s">
        <v>54</v>
      </c>
      <c r="C11" s="65" t="s">
        <v>186</v>
      </c>
      <c r="D11" s="63" t="s">
        <v>330</v>
      </c>
      <c r="E11" s="66"/>
      <c r="F11" s="67" t="s">
        <v>331</v>
      </c>
      <c r="G11" s="67" t="s">
        <v>332</v>
      </c>
      <c r="H11" s="65"/>
      <c r="I11" s="67" t="s">
        <v>333</v>
      </c>
    </row>
    <row r="12" spans="1:9" ht="15.75" customHeight="1" x14ac:dyDescent="0.35">
      <c r="A12" s="63" t="s">
        <v>170</v>
      </c>
      <c r="B12" s="64" t="s">
        <v>17</v>
      </c>
      <c r="C12" s="65" t="s">
        <v>186</v>
      </c>
      <c r="D12" s="63" t="s">
        <v>326</v>
      </c>
      <c r="E12" s="66"/>
      <c r="F12" s="67" t="s">
        <v>334</v>
      </c>
      <c r="G12" s="67" t="s">
        <v>335</v>
      </c>
      <c r="H12" s="67" t="s">
        <v>336</v>
      </c>
      <c r="I12" s="67" t="s">
        <v>337</v>
      </c>
    </row>
    <row r="13" spans="1:9" ht="15.75" customHeight="1" x14ac:dyDescent="0.35">
      <c r="A13" s="69" t="s">
        <v>170</v>
      </c>
      <c r="B13" s="64" t="s">
        <v>22</v>
      </c>
      <c r="C13" s="65" t="s">
        <v>22</v>
      </c>
      <c r="D13" s="63" t="s">
        <v>338</v>
      </c>
      <c r="E13" s="68">
        <v>45776</v>
      </c>
      <c r="F13" s="67" t="s">
        <v>339</v>
      </c>
      <c r="G13" s="67" t="s">
        <v>340</v>
      </c>
      <c r="H13" s="67" t="s">
        <v>341</v>
      </c>
      <c r="I13" s="67" t="s">
        <v>342</v>
      </c>
    </row>
    <row r="14" spans="1:9" ht="15.75" customHeight="1" x14ac:dyDescent="0.35">
      <c r="A14" s="63" t="s">
        <v>170</v>
      </c>
      <c r="B14" s="64" t="s">
        <v>22</v>
      </c>
      <c r="C14" s="65" t="s">
        <v>22</v>
      </c>
      <c r="D14" s="63" t="s">
        <v>343</v>
      </c>
      <c r="E14" s="68">
        <v>45776</v>
      </c>
      <c r="F14" s="67" t="s">
        <v>344</v>
      </c>
      <c r="G14" s="67" t="s">
        <v>345</v>
      </c>
      <c r="H14" s="67" t="s">
        <v>346</v>
      </c>
      <c r="I14" s="67" t="s">
        <v>347</v>
      </c>
    </row>
    <row r="15" spans="1:9" ht="15.75" customHeight="1" x14ac:dyDescent="0.35">
      <c r="A15" s="63" t="s">
        <v>170</v>
      </c>
      <c r="B15" s="64" t="s">
        <v>22</v>
      </c>
      <c r="C15" s="65" t="s">
        <v>22</v>
      </c>
      <c r="D15" s="70" t="s">
        <v>348</v>
      </c>
      <c r="E15" s="71">
        <v>45784</v>
      </c>
      <c r="F15" s="72" t="s">
        <v>349</v>
      </c>
      <c r="G15" s="72" t="s">
        <v>350</v>
      </c>
      <c r="H15" s="72" t="s">
        <v>351</v>
      </c>
      <c r="I15" s="67" t="s">
        <v>352</v>
      </c>
    </row>
    <row r="16" spans="1:9" ht="15.75" customHeight="1" x14ac:dyDescent="0.35">
      <c r="A16" s="63" t="s">
        <v>170</v>
      </c>
      <c r="B16" s="64" t="s">
        <v>39</v>
      </c>
      <c r="C16" s="65" t="s">
        <v>186</v>
      </c>
      <c r="D16" s="63" t="s">
        <v>326</v>
      </c>
      <c r="E16" s="66"/>
      <c r="F16" s="65"/>
      <c r="G16" s="67" t="s">
        <v>219</v>
      </c>
      <c r="H16" s="65"/>
      <c r="I16" s="67" t="s">
        <v>353</v>
      </c>
    </row>
    <row r="17" spans="1:9" ht="15.75" customHeight="1" x14ac:dyDescent="0.35">
      <c r="A17" s="63" t="s">
        <v>170</v>
      </c>
      <c r="B17" s="64" t="s">
        <v>41</v>
      </c>
      <c r="C17" s="65" t="s">
        <v>42</v>
      </c>
      <c r="D17" s="63" t="s">
        <v>320</v>
      </c>
      <c r="E17" s="66"/>
      <c r="F17" s="67" t="s">
        <v>354</v>
      </c>
      <c r="G17" s="67" t="s">
        <v>355</v>
      </c>
      <c r="H17" s="65"/>
      <c r="I17" s="67" t="s">
        <v>356</v>
      </c>
    </row>
    <row r="18" spans="1:9" ht="15.75" customHeight="1" x14ac:dyDescent="0.35">
      <c r="A18" s="63" t="s">
        <v>170</v>
      </c>
      <c r="B18" s="64" t="s">
        <v>47</v>
      </c>
      <c r="C18" s="65" t="s">
        <v>201</v>
      </c>
      <c r="D18" s="63" t="s">
        <v>357</v>
      </c>
      <c r="E18" s="68">
        <v>45765</v>
      </c>
      <c r="F18" s="67" t="s">
        <v>358</v>
      </c>
      <c r="G18" s="67" t="s">
        <v>359</v>
      </c>
      <c r="H18" s="67" t="s">
        <v>360</v>
      </c>
      <c r="I18" s="67" t="s">
        <v>361</v>
      </c>
    </row>
    <row r="19" spans="1:9" ht="15.75" customHeight="1" x14ac:dyDescent="0.35">
      <c r="A19" s="63" t="s">
        <v>170</v>
      </c>
      <c r="B19" s="64" t="s">
        <v>362</v>
      </c>
      <c r="C19" s="65" t="s">
        <v>363</v>
      </c>
      <c r="D19" s="65" t="s">
        <v>364</v>
      </c>
      <c r="E19" s="66"/>
      <c r="F19" s="67" t="s">
        <v>365</v>
      </c>
      <c r="G19" s="67" t="s">
        <v>366</v>
      </c>
      <c r="H19" s="65"/>
      <c r="I19" s="67" t="s">
        <v>367</v>
      </c>
    </row>
    <row r="20" spans="1:9" ht="15.75" customHeight="1" x14ac:dyDescent="0.35">
      <c r="A20" s="63" t="s">
        <v>368</v>
      </c>
      <c r="B20" s="64" t="s">
        <v>54</v>
      </c>
      <c r="C20" s="65" t="s">
        <v>232</v>
      </c>
      <c r="D20" s="70" t="s">
        <v>369</v>
      </c>
      <c r="E20" s="66"/>
      <c r="F20" s="67" t="s">
        <v>242</v>
      </c>
      <c r="G20" s="67" t="s">
        <v>243</v>
      </c>
      <c r="H20" s="65"/>
      <c r="I20" s="67" t="s">
        <v>244</v>
      </c>
    </row>
    <row r="21" spans="1:9" ht="15.75" customHeight="1" x14ac:dyDescent="0.35">
      <c r="A21" s="63" t="s">
        <v>368</v>
      </c>
      <c r="B21" s="64" t="s">
        <v>39</v>
      </c>
      <c r="C21" s="65" t="s">
        <v>232</v>
      </c>
      <c r="D21" s="70" t="s">
        <v>369</v>
      </c>
      <c r="E21" s="66"/>
      <c r="F21" s="65"/>
      <c r="G21" s="67" t="s">
        <v>219</v>
      </c>
      <c r="H21" s="67" t="s">
        <v>370</v>
      </c>
      <c r="I21" s="67" t="s">
        <v>370</v>
      </c>
    </row>
    <row r="22" spans="1:9" ht="14.5" x14ac:dyDescent="0.35">
      <c r="A22" s="63" t="s">
        <v>368</v>
      </c>
      <c r="B22" s="64" t="s">
        <v>41</v>
      </c>
      <c r="C22" s="65" t="s">
        <v>42</v>
      </c>
      <c r="D22" s="63" t="s">
        <v>320</v>
      </c>
      <c r="E22" s="66"/>
      <c r="F22" s="67" t="s">
        <v>221</v>
      </c>
      <c r="G22" s="67" t="s">
        <v>222</v>
      </c>
      <c r="H22" s="65"/>
      <c r="I22" s="67" t="s">
        <v>223</v>
      </c>
    </row>
    <row r="23" spans="1:9" ht="14.5" x14ac:dyDescent="0.35">
      <c r="A23" s="63" t="s">
        <v>368</v>
      </c>
      <c r="B23" s="64" t="s">
        <v>47</v>
      </c>
      <c r="C23" s="65" t="s">
        <v>201</v>
      </c>
      <c r="D23" s="63" t="s">
        <v>371</v>
      </c>
      <c r="E23" s="68">
        <v>45765</v>
      </c>
      <c r="F23" s="67" t="s">
        <v>372</v>
      </c>
      <c r="G23" s="67" t="s">
        <v>373</v>
      </c>
      <c r="H23" s="67" t="s">
        <v>374</v>
      </c>
      <c r="I23" s="67" t="s">
        <v>375</v>
      </c>
    </row>
    <row r="24" spans="1:9" ht="14.5" x14ac:dyDescent="0.35">
      <c r="A24" s="63" t="s">
        <v>368</v>
      </c>
      <c r="B24" s="64" t="s">
        <v>47</v>
      </c>
      <c r="C24" s="65" t="s">
        <v>201</v>
      </c>
      <c r="D24" s="73" t="s">
        <v>376</v>
      </c>
      <c r="E24" s="74">
        <v>45798</v>
      </c>
      <c r="F24" s="75"/>
      <c r="G24" s="76" t="s">
        <v>219</v>
      </c>
      <c r="H24" s="75"/>
      <c r="I24" s="76" t="s">
        <v>250</v>
      </c>
    </row>
    <row r="25" spans="1:9" ht="14.5" x14ac:dyDescent="0.35">
      <c r="A25" s="63" t="s">
        <v>377</v>
      </c>
      <c r="B25" s="64" t="s">
        <v>54</v>
      </c>
      <c r="C25" s="65" t="s">
        <v>232</v>
      </c>
      <c r="D25" s="70" t="s">
        <v>378</v>
      </c>
      <c r="E25" s="66"/>
      <c r="F25" s="67" t="s">
        <v>379</v>
      </c>
      <c r="G25" s="67" t="s">
        <v>380</v>
      </c>
      <c r="H25" s="65"/>
      <c r="I25" s="67" t="s">
        <v>381</v>
      </c>
    </row>
    <row r="26" spans="1:9" ht="14.5" x14ac:dyDescent="0.35">
      <c r="A26" s="63" t="s">
        <v>377</v>
      </c>
      <c r="B26" s="64" t="s">
        <v>39</v>
      </c>
      <c r="C26" s="65" t="s">
        <v>232</v>
      </c>
      <c r="D26" s="70" t="s">
        <v>378</v>
      </c>
      <c r="E26" s="66"/>
      <c r="F26" s="65"/>
      <c r="G26" s="67" t="s">
        <v>219</v>
      </c>
      <c r="H26" s="67" t="s">
        <v>382</v>
      </c>
      <c r="I26" s="67" t="s">
        <v>382</v>
      </c>
    </row>
    <row r="27" spans="1:9" ht="14.5" x14ac:dyDescent="0.35">
      <c r="A27" s="63" t="s">
        <v>383</v>
      </c>
      <c r="B27" s="64" t="s">
        <v>54</v>
      </c>
      <c r="C27" s="65" t="s">
        <v>232</v>
      </c>
      <c r="D27" s="70" t="s">
        <v>384</v>
      </c>
      <c r="E27" s="66"/>
      <c r="F27" s="67" t="s">
        <v>234</v>
      </c>
      <c r="G27" s="67" t="s">
        <v>235</v>
      </c>
      <c r="H27" s="65"/>
      <c r="I27" s="67" t="s">
        <v>236</v>
      </c>
    </row>
    <row r="28" spans="1:9" ht="14.5" x14ac:dyDescent="0.35">
      <c r="A28" s="63" t="s">
        <v>383</v>
      </c>
      <c r="B28" s="64" t="s">
        <v>22</v>
      </c>
      <c r="C28" s="65" t="s">
        <v>232</v>
      </c>
      <c r="D28" s="70" t="s">
        <v>384</v>
      </c>
      <c r="E28" s="66"/>
      <c r="F28" s="67" t="s">
        <v>385</v>
      </c>
      <c r="G28" s="67" t="s">
        <v>386</v>
      </c>
      <c r="H28" s="65"/>
      <c r="I28" s="67" t="s">
        <v>387</v>
      </c>
    </row>
    <row r="29" spans="1:9" ht="14.5" x14ac:dyDescent="0.35">
      <c r="A29" s="63" t="s">
        <v>383</v>
      </c>
      <c r="B29" s="64" t="s">
        <v>39</v>
      </c>
      <c r="C29" s="65" t="s">
        <v>232</v>
      </c>
      <c r="D29" s="70" t="s">
        <v>384</v>
      </c>
      <c r="E29" s="66"/>
      <c r="F29" s="65"/>
      <c r="G29" s="67" t="s">
        <v>219</v>
      </c>
      <c r="H29" s="67" t="s">
        <v>388</v>
      </c>
      <c r="I29" s="67" t="s">
        <v>388</v>
      </c>
    </row>
    <row r="30" spans="1:9" ht="14.5" x14ac:dyDescent="0.35">
      <c r="A30" s="63" t="s">
        <v>258</v>
      </c>
      <c r="B30" s="64" t="s">
        <v>198</v>
      </c>
      <c r="C30" s="65" t="s">
        <v>59</v>
      </c>
      <c r="D30" s="63" t="s">
        <v>389</v>
      </c>
      <c r="E30" s="66"/>
      <c r="F30" s="67" t="s">
        <v>390</v>
      </c>
      <c r="G30" s="67" t="s">
        <v>219</v>
      </c>
      <c r="H30" s="65"/>
      <c r="I30" s="67" t="s">
        <v>390</v>
      </c>
    </row>
    <row r="31" spans="1:9" ht="14.5" x14ac:dyDescent="0.35">
      <c r="A31" s="63" t="s">
        <v>258</v>
      </c>
      <c r="B31" s="64" t="s">
        <v>54</v>
      </c>
      <c r="C31" s="65" t="s">
        <v>121</v>
      </c>
      <c r="D31" s="63" t="s">
        <v>391</v>
      </c>
      <c r="E31" s="66"/>
      <c r="F31" s="67" t="s">
        <v>392</v>
      </c>
      <c r="G31" s="67" t="s">
        <v>393</v>
      </c>
      <c r="H31" s="67" t="s">
        <v>394</v>
      </c>
      <c r="I31" s="67" t="s">
        <v>395</v>
      </c>
    </row>
    <row r="32" spans="1:9" ht="14.5" x14ac:dyDescent="0.35">
      <c r="A32" s="63" t="s">
        <v>258</v>
      </c>
      <c r="B32" s="64" t="s">
        <v>22</v>
      </c>
      <c r="C32" s="65" t="s">
        <v>22</v>
      </c>
      <c r="D32" s="63" t="s">
        <v>396</v>
      </c>
      <c r="E32" s="68">
        <v>45775</v>
      </c>
      <c r="F32" s="67" t="s">
        <v>397</v>
      </c>
      <c r="G32" s="67" t="s">
        <v>398</v>
      </c>
      <c r="H32" s="67" t="s">
        <v>399</v>
      </c>
      <c r="I32" s="67" t="s">
        <v>400</v>
      </c>
    </row>
    <row r="33" spans="1:9" ht="14.5" x14ac:dyDescent="0.35">
      <c r="A33" s="63" t="s">
        <v>258</v>
      </c>
      <c r="B33" s="64" t="s">
        <v>39</v>
      </c>
      <c r="C33" s="65" t="s">
        <v>121</v>
      </c>
      <c r="D33" s="63" t="s">
        <v>401</v>
      </c>
      <c r="E33" s="66"/>
      <c r="F33" s="67" t="s">
        <v>402</v>
      </c>
      <c r="G33" s="67" t="s">
        <v>403</v>
      </c>
      <c r="H33" s="67" t="s">
        <v>404</v>
      </c>
      <c r="I33" s="67" t="s">
        <v>405</v>
      </c>
    </row>
    <row r="34" spans="1:9" ht="14.5" x14ac:dyDescent="0.35">
      <c r="A34" s="63" t="s">
        <v>258</v>
      </c>
      <c r="B34" s="64" t="s">
        <v>41</v>
      </c>
      <c r="C34" s="65" t="s">
        <v>42</v>
      </c>
      <c r="D34" s="63" t="s">
        <v>320</v>
      </c>
      <c r="E34" s="66"/>
      <c r="F34" s="67" t="s">
        <v>221</v>
      </c>
      <c r="G34" s="67" t="s">
        <v>222</v>
      </c>
      <c r="H34" s="65"/>
      <c r="I34" s="67" t="s">
        <v>223</v>
      </c>
    </row>
    <row r="35" spans="1:9" ht="14.5" x14ac:dyDescent="0.35">
      <c r="A35" s="63" t="s">
        <v>258</v>
      </c>
      <c r="B35" s="64" t="s">
        <v>47</v>
      </c>
      <c r="C35" s="65" t="s">
        <v>201</v>
      </c>
      <c r="D35" s="63" t="s">
        <v>406</v>
      </c>
      <c r="E35" s="68">
        <v>45765</v>
      </c>
      <c r="F35" s="67" t="s">
        <v>407</v>
      </c>
      <c r="G35" s="67" t="s">
        <v>408</v>
      </c>
      <c r="H35" s="67" t="s">
        <v>409</v>
      </c>
      <c r="I35" s="67" t="s">
        <v>410</v>
      </c>
    </row>
    <row r="36" spans="1:9" ht="14.5" x14ac:dyDescent="0.35">
      <c r="A36" s="63" t="s">
        <v>258</v>
      </c>
      <c r="B36" s="64" t="s">
        <v>362</v>
      </c>
      <c r="C36" s="65" t="s">
        <v>363</v>
      </c>
      <c r="D36" s="65" t="s">
        <v>411</v>
      </c>
      <c r="E36" s="66"/>
      <c r="F36" s="67" t="s">
        <v>365</v>
      </c>
      <c r="G36" s="67" t="s">
        <v>366</v>
      </c>
      <c r="H36" s="65"/>
      <c r="I36" s="67" t="s">
        <v>367</v>
      </c>
    </row>
    <row r="37" spans="1:9" ht="14.5" x14ac:dyDescent="0.35">
      <c r="A37" s="63" t="s">
        <v>289</v>
      </c>
      <c r="B37" s="64" t="s">
        <v>198</v>
      </c>
      <c r="C37" s="65" t="s">
        <v>59</v>
      </c>
      <c r="D37" s="63" t="s">
        <v>308</v>
      </c>
      <c r="E37" s="66"/>
      <c r="F37" s="65"/>
      <c r="G37" s="67" t="s">
        <v>219</v>
      </c>
      <c r="H37" s="65"/>
      <c r="I37" s="65"/>
    </row>
    <row r="38" spans="1:9" ht="14.5" x14ac:dyDescent="0.35">
      <c r="A38" s="63" t="s">
        <v>289</v>
      </c>
      <c r="B38" s="64" t="s">
        <v>54</v>
      </c>
      <c r="C38" s="65" t="s">
        <v>284</v>
      </c>
      <c r="D38" s="63" t="s">
        <v>412</v>
      </c>
      <c r="E38" s="66"/>
      <c r="F38" s="67" t="s">
        <v>413</v>
      </c>
      <c r="G38" s="67" t="s">
        <v>414</v>
      </c>
      <c r="H38" s="65"/>
      <c r="I38" s="67" t="s">
        <v>415</v>
      </c>
    </row>
    <row r="39" spans="1:9" ht="14.5" x14ac:dyDescent="0.35">
      <c r="A39" s="63" t="s">
        <v>289</v>
      </c>
      <c r="B39" s="64" t="s">
        <v>22</v>
      </c>
      <c r="C39" s="65" t="s">
        <v>22</v>
      </c>
      <c r="D39" s="63" t="s">
        <v>416</v>
      </c>
      <c r="E39" s="68">
        <v>45776</v>
      </c>
      <c r="F39" s="67" t="s">
        <v>417</v>
      </c>
      <c r="G39" s="67" t="s">
        <v>418</v>
      </c>
      <c r="H39" s="67" t="s">
        <v>419</v>
      </c>
      <c r="I39" s="67" t="s">
        <v>420</v>
      </c>
    </row>
    <row r="40" spans="1:9" ht="14.5" x14ac:dyDescent="0.35">
      <c r="A40" s="63" t="s">
        <v>289</v>
      </c>
      <c r="B40" s="64" t="s">
        <v>39</v>
      </c>
      <c r="C40" s="65" t="s">
        <v>284</v>
      </c>
      <c r="D40" s="63" t="s">
        <v>318</v>
      </c>
      <c r="E40" s="66"/>
      <c r="F40" s="65"/>
      <c r="G40" s="67" t="s">
        <v>219</v>
      </c>
      <c r="H40" s="65"/>
      <c r="I40" s="67" t="s">
        <v>421</v>
      </c>
    </row>
    <row r="41" spans="1:9" ht="14.5" x14ac:dyDescent="0.35">
      <c r="A41" s="63" t="s">
        <v>289</v>
      </c>
      <c r="B41" s="64" t="s">
        <v>41</v>
      </c>
      <c r="C41" s="65" t="s">
        <v>42</v>
      </c>
      <c r="D41" s="63" t="s">
        <v>320</v>
      </c>
      <c r="E41" s="66"/>
      <c r="F41" s="67" t="s">
        <v>221</v>
      </c>
      <c r="G41" s="67" t="s">
        <v>222</v>
      </c>
      <c r="H41" s="65"/>
      <c r="I41" s="67" t="s">
        <v>223</v>
      </c>
    </row>
    <row r="42" spans="1:9" ht="14.5" x14ac:dyDescent="0.35">
      <c r="A42" s="63" t="s">
        <v>299</v>
      </c>
      <c r="B42" s="64" t="s">
        <v>54</v>
      </c>
      <c r="C42" s="65" t="s">
        <v>284</v>
      </c>
      <c r="D42" s="63" t="s">
        <v>422</v>
      </c>
      <c r="E42" s="66"/>
      <c r="F42" s="67" t="s">
        <v>302</v>
      </c>
      <c r="G42" s="67" t="s">
        <v>303</v>
      </c>
      <c r="H42" s="65"/>
      <c r="I42" s="67" t="s">
        <v>304</v>
      </c>
    </row>
    <row r="43" spans="1:9" ht="14.5" x14ac:dyDescent="0.35">
      <c r="A43" s="63" t="s">
        <v>299</v>
      </c>
      <c r="B43" s="64" t="s">
        <v>22</v>
      </c>
      <c r="C43" s="65" t="s">
        <v>22</v>
      </c>
      <c r="D43" s="63" t="s">
        <v>318</v>
      </c>
      <c r="E43" s="66"/>
      <c r="F43" s="65"/>
      <c r="G43" s="67" t="s">
        <v>219</v>
      </c>
      <c r="H43" s="65"/>
      <c r="I43" s="67" t="s">
        <v>423</v>
      </c>
    </row>
    <row r="44" spans="1:9" ht="14.5" x14ac:dyDescent="0.35">
      <c r="A44" s="63" t="s">
        <v>299</v>
      </c>
      <c r="B44" s="64" t="s">
        <v>39</v>
      </c>
      <c r="C44" s="65" t="s">
        <v>284</v>
      </c>
      <c r="D44" s="63" t="s">
        <v>318</v>
      </c>
      <c r="E44" s="66"/>
      <c r="F44" s="65"/>
      <c r="G44" s="67" t="s">
        <v>219</v>
      </c>
      <c r="H44" s="65"/>
      <c r="I44" s="67" t="s">
        <v>421</v>
      </c>
    </row>
    <row r="45" spans="1:9" ht="14.5" x14ac:dyDescent="0.35">
      <c r="A45" s="63" t="s">
        <v>299</v>
      </c>
      <c r="B45" s="64" t="s">
        <v>41</v>
      </c>
      <c r="C45" s="65" t="s">
        <v>42</v>
      </c>
      <c r="D45" s="63" t="s">
        <v>320</v>
      </c>
      <c r="E45" s="66"/>
      <c r="F45" s="67" t="s">
        <v>221</v>
      </c>
      <c r="G45" s="67" t="s">
        <v>222</v>
      </c>
      <c r="H45" s="65"/>
      <c r="I45" s="67" t="s">
        <v>223</v>
      </c>
    </row>
    <row r="46" spans="1:9" ht="14.5" x14ac:dyDescent="0.35">
      <c r="A46" s="63" t="s">
        <v>299</v>
      </c>
      <c r="B46" s="64" t="s">
        <v>362</v>
      </c>
      <c r="C46" s="65" t="s">
        <v>363</v>
      </c>
      <c r="D46" s="65" t="s">
        <v>424</v>
      </c>
      <c r="E46" s="66"/>
      <c r="F46" s="67" t="s">
        <v>365</v>
      </c>
      <c r="G46" s="67" t="s">
        <v>366</v>
      </c>
      <c r="H46" s="65"/>
      <c r="I46" s="67" t="s">
        <v>367</v>
      </c>
    </row>
    <row r="47" spans="1:9" ht="14.5" x14ac:dyDescent="0.35">
      <c r="A47" s="63" t="s">
        <v>251</v>
      </c>
      <c r="B47" s="64" t="s">
        <v>22</v>
      </c>
      <c r="C47" s="77" t="s">
        <v>22</v>
      </c>
      <c r="D47" s="78" t="s">
        <v>425</v>
      </c>
      <c r="E47" s="79">
        <v>45782</v>
      </c>
      <c r="F47" s="80" t="s">
        <v>426</v>
      </c>
      <c r="G47" s="80" t="s">
        <v>427</v>
      </c>
      <c r="H47" s="80" t="s">
        <v>428</v>
      </c>
      <c r="I47" s="80" t="s">
        <v>429</v>
      </c>
    </row>
    <row r="48" spans="1:9" ht="14.5" x14ac:dyDescent="0.35">
      <c r="A48" s="63" t="s">
        <v>251</v>
      </c>
      <c r="B48" s="64" t="s">
        <v>22</v>
      </c>
      <c r="C48" s="77" t="s">
        <v>22</v>
      </c>
      <c r="D48" s="78" t="s">
        <v>430</v>
      </c>
      <c r="E48" s="79">
        <v>45784</v>
      </c>
      <c r="F48" s="80" t="s">
        <v>431</v>
      </c>
      <c r="G48" s="80" t="s">
        <v>432</v>
      </c>
      <c r="H48" s="80" t="s">
        <v>433</v>
      </c>
      <c r="I48" s="80" t="s">
        <v>434</v>
      </c>
    </row>
    <row r="49" spans="1:9" ht="14.5" x14ac:dyDescent="0.35">
      <c r="A49" s="63" t="s">
        <v>251</v>
      </c>
      <c r="B49" s="64" t="s">
        <v>47</v>
      </c>
      <c r="C49" s="65" t="s">
        <v>252</v>
      </c>
      <c r="D49" s="63" t="s">
        <v>321</v>
      </c>
      <c r="E49" s="66"/>
      <c r="F49" s="67" t="s">
        <v>322</v>
      </c>
      <c r="G49" s="67" t="s">
        <v>323</v>
      </c>
      <c r="H49" s="67" t="s">
        <v>324</v>
      </c>
      <c r="I49" s="67" t="s">
        <v>325</v>
      </c>
    </row>
    <row r="50" spans="1:9" ht="14.5" x14ac:dyDescent="0.35">
      <c r="A50" s="70" t="s">
        <v>435</v>
      </c>
      <c r="B50" s="64" t="s">
        <v>198</v>
      </c>
      <c r="C50" s="65" t="s">
        <v>59</v>
      </c>
      <c r="D50" s="63" t="s">
        <v>308</v>
      </c>
      <c r="E50" s="66"/>
      <c r="F50" s="65"/>
      <c r="G50" s="67" t="s">
        <v>219</v>
      </c>
      <c r="H50" s="65"/>
      <c r="I50" s="67"/>
    </row>
    <row r="51" spans="1:9" ht="14.5" x14ac:dyDescent="0.35">
      <c r="A51" s="70" t="s">
        <v>435</v>
      </c>
      <c r="B51" s="64" t="s">
        <v>54</v>
      </c>
      <c r="C51" s="65" t="s">
        <v>82</v>
      </c>
      <c r="D51" s="65" t="s">
        <v>436</v>
      </c>
      <c r="E51" s="66"/>
      <c r="F51" s="65"/>
      <c r="G51" s="67" t="s">
        <v>219</v>
      </c>
      <c r="H51" s="65"/>
      <c r="I51" s="67" t="s">
        <v>220</v>
      </c>
    </row>
    <row r="52" spans="1:9" ht="14.5" x14ac:dyDescent="0.35">
      <c r="A52" s="70" t="s">
        <v>435</v>
      </c>
      <c r="B52" s="64" t="s">
        <v>22</v>
      </c>
      <c r="C52" s="65" t="s">
        <v>22</v>
      </c>
      <c r="D52" s="63" t="s">
        <v>437</v>
      </c>
      <c r="E52" s="68">
        <v>45776</v>
      </c>
      <c r="F52" s="67" t="s">
        <v>438</v>
      </c>
      <c r="G52" s="67" t="s">
        <v>439</v>
      </c>
      <c r="H52" s="67" t="s">
        <v>440</v>
      </c>
      <c r="I52" s="67" t="s">
        <v>441</v>
      </c>
    </row>
    <row r="53" spans="1:9" ht="14.5" x14ac:dyDescent="0.35">
      <c r="A53" s="70" t="s">
        <v>435</v>
      </c>
      <c r="B53" s="64" t="s">
        <v>22</v>
      </c>
      <c r="C53" s="65" t="s">
        <v>22</v>
      </c>
      <c r="D53" s="63" t="s">
        <v>442</v>
      </c>
      <c r="E53" s="68">
        <v>45776</v>
      </c>
      <c r="F53" s="67" t="s">
        <v>443</v>
      </c>
      <c r="G53" s="67" t="s">
        <v>444</v>
      </c>
      <c r="H53" s="67" t="s">
        <v>445</v>
      </c>
      <c r="I53" s="67" t="s">
        <v>446</v>
      </c>
    </row>
    <row r="54" spans="1:9" ht="14.5" x14ac:dyDescent="0.35">
      <c r="A54" s="70" t="s">
        <v>435</v>
      </c>
      <c r="B54" s="64" t="s">
        <v>39</v>
      </c>
      <c r="C54" s="65" t="s">
        <v>72</v>
      </c>
      <c r="D54" s="63" t="s">
        <v>318</v>
      </c>
      <c r="E54" s="66"/>
      <c r="F54" s="65"/>
      <c r="G54" s="67" t="s">
        <v>219</v>
      </c>
      <c r="H54" s="65"/>
      <c r="I54" s="67" t="s">
        <v>447</v>
      </c>
    </row>
    <row r="55" spans="1:9" ht="14.5" x14ac:dyDescent="0.35">
      <c r="A55" s="70" t="s">
        <v>435</v>
      </c>
      <c r="B55" s="64" t="s">
        <v>41</v>
      </c>
      <c r="C55" s="65" t="s">
        <v>42</v>
      </c>
      <c r="D55" s="63" t="s">
        <v>320</v>
      </c>
      <c r="E55" s="66"/>
      <c r="F55" s="67" t="s">
        <v>448</v>
      </c>
      <c r="G55" s="67" t="s">
        <v>449</v>
      </c>
      <c r="H55" s="65"/>
      <c r="I55" s="67" t="s">
        <v>450</v>
      </c>
    </row>
    <row r="56" spans="1:9" ht="14.5" x14ac:dyDescent="0.35">
      <c r="A56" s="70" t="s">
        <v>435</v>
      </c>
      <c r="B56" s="64" t="s">
        <v>47</v>
      </c>
      <c r="C56" s="65" t="s">
        <v>201</v>
      </c>
      <c r="D56" s="63" t="s">
        <v>451</v>
      </c>
      <c r="E56" s="68">
        <v>45765</v>
      </c>
      <c r="F56" s="67" t="s">
        <v>452</v>
      </c>
      <c r="G56" s="67" t="s">
        <v>453</v>
      </c>
      <c r="H56" s="67" t="s">
        <v>454</v>
      </c>
      <c r="I56" s="67" t="s">
        <v>455</v>
      </c>
    </row>
    <row r="57" spans="1:9" ht="14.5" x14ac:dyDescent="0.35">
      <c r="A57" s="70" t="s">
        <v>435</v>
      </c>
      <c r="B57" s="64" t="s">
        <v>362</v>
      </c>
      <c r="C57" s="65" t="s">
        <v>363</v>
      </c>
      <c r="D57" s="65" t="s">
        <v>456</v>
      </c>
      <c r="E57" s="66"/>
      <c r="F57" s="67" t="s">
        <v>365</v>
      </c>
      <c r="G57" s="67" t="s">
        <v>366</v>
      </c>
      <c r="H57" s="65"/>
      <c r="I57" s="67" t="s">
        <v>367</v>
      </c>
    </row>
    <row r="58" spans="1:9" ht="14.5" x14ac:dyDescent="0.35">
      <c r="A58" s="63" t="s">
        <v>457</v>
      </c>
      <c r="B58" s="64" t="s">
        <v>54</v>
      </c>
      <c r="C58" s="65" t="s">
        <v>232</v>
      </c>
      <c r="D58" s="70" t="s">
        <v>458</v>
      </c>
      <c r="E58" s="66"/>
      <c r="F58" s="67" t="s">
        <v>459</v>
      </c>
      <c r="G58" s="67" t="s">
        <v>460</v>
      </c>
      <c r="H58" s="65"/>
      <c r="I58" s="67" t="s">
        <v>461</v>
      </c>
    </row>
    <row r="59" spans="1:9" ht="14.5" x14ac:dyDescent="0.35">
      <c r="A59" s="63" t="s">
        <v>457</v>
      </c>
      <c r="B59" s="64" t="s">
        <v>39</v>
      </c>
      <c r="C59" s="65" t="s">
        <v>232</v>
      </c>
      <c r="D59" s="70" t="s">
        <v>458</v>
      </c>
      <c r="E59" s="66"/>
      <c r="F59" s="65"/>
      <c r="G59" s="67" t="s">
        <v>219</v>
      </c>
      <c r="H59" s="67" t="s">
        <v>462</v>
      </c>
      <c r="I59" s="67" t="s">
        <v>462</v>
      </c>
    </row>
    <row r="60" spans="1:9" ht="14.5" x14ac:dyDescent="0.35">
      <c r="A60" s="63" t="s">
        <v>463</v>
      </c>
      <c r="B60" s="64" t="s">
        <v>54</v>
      </c>
      <c r="C60" s="65" t="s">
        <v>232</v>
      </c>
      <c r="D60" s="70" t="s">
        <v>464</v>
      </c>
      <c r="E60" s="66"/>
      <c r="F60" s="67" t="s">
        <v>465</v>
      </c>
      <c r="G60" s="67" t="s">
        <v>466</v>
      </c>
      <c r="H60" s="65"/>
      <c r="I60" s="67" t="s">
        <v>467</v>
      </c>
    </row>
    <row r="61" spans="1:9" ht="14.5" x14ac:dyDescent="0.35">
      <c r="A61" s="63" t="s">
        <v>463</v>
      </c>
      <c r="B61" s="64" t="s">
        <v>39</v>
      </c>
      <c r="C61" s="65" t="s">
        <v>232</v>
      </c>
      <c r="D61" s="70" t="s">
        <v>464</v>
      </c>
      <c r="E61" s="66"/>
      <c r="F61" s="65"/>
      <c r="G61" s="67" t="s">
        <v>219</v>
      </c>
      <c r="H61" s="67" t="s">
        <v>468</v>
      </c>
      <c r="I61" s="67" t="s">
        <v>468</v>
      </c>
    </row>
    <row r="62" spans="1:9" ht="14.5" x14ac:dyDescent="0.35">
      <c r="A62" s="81"/>
      <c r="B62" s="81"/>
      <c r="C62" s="82"/>
      <c r="D62" s="82"/>
      <c r="E62" s="83"/>
      <c r="F62" s="82"/>
      <c r="G62" s="84"/>
      <c r="H62" s="84"/>
      <c r="I62" s="84"/>
    </row>
    <row r="63" spans="1:9" ht="14.5" x14ac:dyDescent="0.35">
      <c r="A63" s="81"/>
      <c r="B63" s="81"/>
      <c r="C63" s="82"/>
      <c r="D63" s="82"/>
      <c r="E63" s="83"/>
      <c r="F63" s="82"/>
      <c r="G63" s="84"/>
      <c r="H63" s="84"/>
      <c r="I63" s="84"/>
    </row>
    <row r="64" spans="1:9" ht="14.5" x14ac:dyDescent="0.35">
      <c r="A64" s="81"/>
      <c r="B64" s="81"/>
      <c r="C64" s="82"/>
      <c r="D64" s="82"/>
      <c r="E64" s="83"/>
      <c r="F64" s="82"/>
      <c r="G64" s="84"/>
      <c r="H64" s="84"/>
      <c r="I64" s="84"/>
    </row>
    <row r="65" spans="1:9" ht="14.5" x14ac:dyDescent="0.35">
      <c r="A65" s="81"/>
      <c r="B65" s="81"/>
      <c r="C65" s="82"/>
      <c r="D65" s="82"/>
      <c r="E65" s="83"/>
      <c r="F65" s="82"/>
      <c r="G65" s="84"/>
      <c r="H65" s="84"/>
      <c r="I65" s="84"/>
    </row>
    <row r="66" spans="1:9" ht="14.5" x14ac:dyDescent="0.35">
      <c r="A66" s="81"/>
      <c r="B66" s="81"/>
      <c r="C66" s="82"/>
      <c r="D66" s="82"/>
      <c r="E66" s="83"/>
      <c r="F66" s="82"/>
      <c r="G66" s="84"/>
      <c r="H66" s="84"/>
      <c r="I66" s="84"/>
    </row>
    <row r="67" spans="1:9" ht="14.5" x14ac:dyDescent="0.35">
      <c r="A67" s="81"/>
      <c r="B67" s="81"/>
      <c r="C67" s="82"/>
      <c r="D67" s="82"/>
      <c r="E67" s="83"/>
      <c r="F67" s="82"/>
      <c r="G67" s="84"/>
      <c r="H67" s="84"/>
      <c r="I67" s="84"/>
    </row>
    <row r="68" spans="1:9" ht="14.5" x14ac:dyDescent="0.35">
      <c r="A68" s="81"/>
      <c r="B68" s="81"/>
      <c r="C68" s="82"/>
      <c r="D68" s="82"/>
      <c r="E68" s="83"/>
      <c r="F68" s="82"/>
      <c r="G68" s="84"/>
      <c r="H68" s="84"/>
      <c r="I68" s="84"/>
    </row>
    <row r="69" spans="1:9" ht="14.5" x14ac:dyDescent="0.35">
      <c r="A69" s="81"/>
      <c r="B69" s="81"/>
      <c r="C69" s="82"/>
      <c r="D69" s="82"/>
      <c r="E69" s="83"/>
      <c r="F69" s="82"/>
      <c r="G69" s="84"/>
      <c r="H69" s="84"/>
      <c r="I69" s="84"/>
    </row>
    <row r="70" spans="1:9" ht="14.5" x14ac:dyDescent="0.35">
      <c r="A70" s="81"/>
      <c r="B70" s="81"/>
      <c r="C70" s="82"/>
      <c r="D70" s="82"/>
      <c r="E70" s="83"/>
      <c r="F70" s="82"/>
      <c r="G70" s="84"/>
      <c r="H70" s="84"/>
      <c r="I70" s="84"/>
    </row>
    <row r="71" spans="1:9" ht="14.5" x14ac:dyDescent="0.35">
      <c r="A71" s="81"/>
      <c r="B71" s="81"/>
      <c r="C71" s="82"/>
      <c r="D71" s="82"/>
      <c r="E71" s="83"/>
      <c r="F71" s="82"/>
      <c r="G71" s="84"/>
      <c r="H71" s="84"/>
      <c r="I71" s="84"/>
    </row>
    <row r="72" spans="1:9" ht="14.5" x14ac:dyDescent="0.35">
      <c r="A72" s="81"/>
      <c r="B72" s="81"/>
      <c r="C72" s="82"/>
      <c r="D72" s="82"/>
      <c r="E72" s="83"/>
      <c r="F72" s="82"/>
      <c r="G72" s="84"/>
      <c r="H72" s="84"/>
      <c r="I72" s="84"/>
    </row>
    <row r="73" spans="1:9" ht="14.5" x14ac:dyDescent="0.35">
      <c r="A73" s="81"/>
      <c r="B73" s="81"/>
      <c r="C73" s="82"/>
      <c r="D73" s="82"/>
      <c r="E73" s="83"/>
      <c r="F73" s="82"/>
      <c r="G73" s="84"/>
      <c r="H73" s="84"/>
      <c r="I73" s="84"/>
    </row>
    <row r="74" spans="1:9" ht="14.5" x14ac:dyDescent="0.35">
      <c r="A74" s="81"/>
      <c r="B74" s="81"/>
      <c r="C74" s="82"/>
      <c r="D74" s="82"/>
      <c r="E74" s="83"/>
      <c r="F74" s="82"/>
      <c r="G74" s="84"/>
      <c r="H74" s="84"/>
      <c r="I74" s="84"/>
    </row>
    <row r="75" spans="1:9" ht="14.5" x14ac:dyDescent="0.35">
      <c r="A75" s="81"/>
      <c r="B75" s="81"/>
      <c r="C75" s="82"/>
      <c r="D75" s="82"/>
      <c r="E75" s="83"/>
      <c r="F75" s="82"/>
      <c r="G75" s="84"/>
      <c r="H75" s="84"/>
      <c r="I75" s="84"/>
    </row>
    <row r="76" spans="1:9" ht="14.5" x14ac:dyDescent="0.35">
      <c r="A76" s="81"/>
      <c r="B76" s="81"/>
      <c r="C76" s="82"/>
      <c r="D76" s="82"/>
      <c r="E76" s="83"/>
      <c r="F76" s="82"/>
      <c r="G76" s="84"/>
      <c r="H76" s="84"/>
      <c r="I76" s="84"/>
    </row>
    <row r="77" spans="1:9" ht="14.5" x14ac:dyDescent="0.35">
      <c r="A77" s="81"/>
      <c r="B77" s="81"/>
      <c r="C77" s="82"/>
      <c r="D77" s="82"/>
      <c r="E77" s="83"/>
      <c r="F77" s="82"/>
      <c r="G77" s="84"/>
      <c r="H77" s="84"/>
      <c r="I77" s="84"/>
    </row>
    <row r="78" spans="1:9" ht="14.5" x14ac:dyDescent="0.35">
      <c r="A78" s="81"/>
      <c r="B78" s="81"/>
      <c r="C78" s="82"/>
      <c r="D78" s="82"/>
      <c r="E78" s="83"/>
      <c r="F78" s="82"/>
      <c r="G78" s="84"/>
      <c r="H78" s="84"/>
      <c r="I78" s="84"/>
    </row>
    <row r="79" spans="1:9" ht="14.5" x14ac:dyDescent="0.35">
      <c r="A79" s="81"/>
      <c r="B79" s="81"/>
      <c r="C79" s="82"/>
      <c r="D79" s="82"/>
      <c r="E79" s="83"/>
      <c r="F79" s="82"/>
      <c r="G79" s="84"/>
      <c r="H79" s="84"/>
      <c r="I79" s="84"/>
    </row>
    <row r="80" spans="1:9" ht="14.5" x14ac:dyDescent="0.35">
      <c r="A80" s="81"/>
      <c r="B80" s="81"/>
      <c r="C80" s="82"/>
      <c r="D80" s="82"/>
      <c r="E80" s="83"/>
      <c r="F80" s="82"/>
      <c r="G80" s="84"/>
      <c r="H80" s="84"/>
      <c r="I80" s="84"/>
    </row>
    <row r="81" spans="1:9" ht="14.5" x14ac:dyDescent="0.35">
      <c r="A81" s="81"/>
      <c r="B81" s="81"/>
      <c r="C81" s="82"/>
      <c r="D81" s="82"/>
      <c r="E81" s="83"/>
      <c r="F81" s="82"/>
      <c r="G81" s="84"/>
      <c r="H81" s="84"/>
      <c r="I81" s="84"/>
    </row>
    <row r="82" spans="1:9" ht="14.5" x14ac:dyDescent="0.35">
      <c r="A82" s="81"/>
      <c r="B82" s="81"/>
      <c r="C82" s="82"/>
      <c r="D82" s="82"/>
      <c r="E82" s="83"/>
      <c r="F82" s="82"/>
      <c r="G82" s="84"/>
      <c r="H82" s="84"/>
      <c r="I82" s="84"/>
    </row>
    <row r="83" spans="1:9" ht="14.5" x14ac:dyDescent="0.35">
      <c r="A83" s="81"/>
      <c r="B83" s="81"/>
      <c r="C83" s="82"/>
      <c r="D83" s="82"/>
      <c r="E83" s="83"/>
      <c r="F83" s="82"/>
      <c r="G83" s="84"/>
      <c r="H83" s="84"/>
      <c r="I83" s="84"/>
    </row>
    <row r="84" spans="1:9" ht="14.5" x14ac:dyDescent="0.35">
      <c r="A84" s="81"/>
      <c r="B84" s="81"/>
      <c r="C84" s="82"/>
      <c r="D84" s="82"/>
      <c r="E84" s="83"/>
      <c r="F84" s="82"/>
      <c r="G84" s="84"/>
      <c r="H84" s="84"/>
      <c r="I84" s="84"/>
    </row>
    <row r="85" spans="1:9" ht="14.5" x14ac:dyDescent="0.35">
      <c r="A85" s="81"/>
      <c r="B85" s="81"/>
      <c r="C85" s="82"/>
      <c r="D85" s="82"/>
      <c r="E85" s="83"/>
      <c r="F85" s="82"/>
      <c r="G85" s="84"/>
      <c r="H85" s="84"/>
      <c r="I85" s="84"/>
    </row>
    <row r="86" spans="1:9" ht="14.5" x14ac:dyDescent="0.35">
      <c r="A86" s="81"/>
      <c r="B86" s="81"/>
      <c r="C86" s="82"/>
      <c r="D86" s="82"/>
      <c r="E86" s="83"/>
      <c r="F86" s="82"/>
      <c r="G86" s="84"/>
      <c r="H86" s="84"/>
      <c r="I86" s="84"/>
    </row>
    <row r="87" spans="1:9" ht="14.5" x14ac:dyDescent="0.35">
      <c r="A87" s="81"/>
      <c r="B87" s="81"/>
      <c r="C87" s="82"/>
      <c r="D87" s="82"/>
      <c r="E87" s="83"/>
      <c r="F87" s="82"/>
      <c r="G87" s="84"/>
      <c r="H87" s="84"/>
      <c r="I87" s="84"/>
    </row>
    <row r="88" spans="1:9" ht="14.5" x14ac:dyDescent="0.35">
      <c r="A88" s="81"/>
      <c r="B88" s="81"/>
      <c r="C88" s="82"/>
      <c r="D88" s="82"/>
      <c r="E88" s="83"/>
      <c r="F88" s="82"/>
      <c r="G88" s="84"/>
      <c r="H88" s="84"/>
      <c r="I88" s="84"/>
    </row>
    <row r="89" spans="1:9" ht="14.5" x14ac:dyDescent="0.35">
      <c r="A89" s="81"/>
      <c r="B89" s="81"/>
      <c r="C89" s="82"/>
      <c r="D89" s="82"/>
      <c r="E89" s="83"/>
      <c r="F89" s="82"/>
      <c r="G89" s="84"/>
      <c r="H89" s="84"/>
      <c r="I89" s="84"/>
    </row>
    <row r="90" spans="1:9" ht="14.5" x14ac:dyDescent="0.35">
      <c r="A90" s="81"/>
      <c r="B90" s="81"/>
      <c r="C90" s="82"/>
      <c r="D90" s="82"/>
      <c r="E90" s="83"/>
      <c r="F90" s="82"/>
      <c r="G90" s="84"/>
      <c r="H90" s="84"/>
      <c r="I90" s="84"/>
    </row>
    <row r="91" spans="1:9" ht="14.5" x14ac:dyDescent="0.35">
      <c r="A91" s="81"/>
      <c r="B91" s="81"/>
      <c r="C91" s="82"/>
      <c r="D91" s="82"/>
      <c r="E91" s="83"/>
      <c r="F91" s="82"/>
      <c r="G91" s="84"/>
      <c r="H91" s="84"/>
      <c r="I91" s="84"/>
    </row>
    <row r="92" spans="1:9" ht="14.5" x14ac:dyDescent="0.35">
      <c r="A92" s="81"/>
      <c r="B92" s="81"/>
      <c r="C92" s="82"/>
      <c r="D92" s="82"/>
      <c r="E92" s="83"/>
      <c r="F92" s="82"/>
      <c r="G92" s="84"/>
      <c r="H92" s="84"/>
      <c r="I92" s="84"/>
    </row>
    <row r="93" spans="1:9" ht="14.5" x14ac:dyDescent="0.35">
      <c r="A93" s="81"/>
      <c r="B93" s="81"/>
      <c r="C93" s="82"/>
      <c r="D93" s="82"/>
      <c r="E93" s="83"/>
      <c r="F93" s="82"/>
      <c r="G93" s="84"/>
      <c r="H93" s="84"/>
      <c r="I93" s="84"/>
    </row>
    <row r="94" spans="1:9" ht="14.5" x14ac:dyDescent="0.35">
      <c r="A94" s="81"/>
      <c r="B94" s="81"/>
      <c r="C94" s="82"/>
      <c r="D94" s="82"/>
      <c r="E94" s="83"/>
      <c r="F94" s="82"/>
      <c r="G94" s="84"/>
      <c r="H94" s="84"/>
      <c r="I94" s="84"/>
    </row>
    <row r="95" spans="1:9" ht="14.5" x14ac:dyDescent="0.35">
      <c r="A95" s="81"/>
      <c r="B95" s="81"/>
      <c r="C95" s="82"/>
      <c r="D95" s="82"/>
      <c r="E95" s="83"/>
      <c r="F95" s="82"/>
      <c r="G95" s="84"/>
      <c r="H95" s="84"/>
      <c r="I95" s="84"/>
    </row>
    <row r="96" spans="1:9" ht="14.5" x14ac:dyDescent="0.35">
      <c r="A96" s="81"/>
      <c r="B96" s="81"/>
      <c r="C96" s="82"/>
      <c r="D96" s="82"/>
      <c r="E96" s="83"/>
      <c r="F96" s="82"/>
      <c r="G96" s="84"/>
      <c r="H96" s="84"/>
      <c r="I96" s="84"/>
    </row>
    <row r="97" spans="1:9" ht="14.5" x14ac:dyDescent="0.35">
      <c r="A97" s="81"/>
      <c r="B97" s="81"/>
      <c r="C97" s="82"/>
      <c r="D97" s="82"/>
      <c r="E97" s="83"/>
      <c r="F97" s="82"/>
      <c r="G97" s="84"/>
      <c r="H97" s="84"/>
      <c r="I97" s="84"/>
    </row>
    <row r="98" spans="1:9" ht="14.5" x14ac:dyDescent="0.35">
      <c r="A98" s="81"/>
      <c r="B98" s="81"/>
      <c r="C98" s="82"/>
      <c r="D98" s="82"/>
      <c r="E98" s="83"/>
      <c r="F98" s="82"/>
      <c r="G98" s="84"/>
      <c r="H98" s="84"/>
      <c r="I98" s="84"/>
    </row>
    <row r="99" spans="1:9" ht="14.5" x14ac:dyDescent="0.35">
      <c r="A99" s="81"/>
      <c r="B99" s="81"/>
      <c r="C99" s="82"/>
      <c r="D99" s="82"/>
      <c r="E99" s="83"/>
      <c r="F99" s="82"/>
      <c r="G99" s="84"/>
      <c r="H99" s="84"/>
      <c r="I99" s="84"/>
    </row>
    <row r="100" spans="1:9" ht="14.5" x14ac:dyDescent="0.35">
      <c r="A100" s="81"/>
      <c r="B100" s="81"/>
      <c r="C100" s="82"/>
      <c r="D100" s="82"/>
      <c r="E100" s="83"/>
      <c r="F100" s="82"/>
      <c r="G100" s="84"/>
      <c r="H100" s="84"/>
      <c r="I100" s="84"/>
    </row>
    <row r="101" spans="1:9" ht="14.5" x14ac:dyDescent="0.35">
      <c r="A101" s="81"/>
      <c r="B101" s="81"/>
      <c r="C101" s="82"/>
      <c r="D101" s="82"/>
      <c r="E101" s="83"/>
      <c r="F101" s="82"/>
      <c r="G101" s="84"/>
      <c r="H101" s="84"/>
      <c r="I101" s="84"/>
    </row>
    <row r="102" spans="1:9" ht="14.5" x14ac:dyDescent="0.35">
      <c r="A102" s="81"/>
      <c r="B102" s="81"/>
      <c r="C102" s="82"/>
      <c r="D102" s="82"/>
      <c r="E102" s="83"/>
      <c r="F102" s="82"/>
      <c r="G102" s="84"/>
      <c r="H102" s="84"/>
      <c r="I102" s="84"/>
    </row>
    <row r="103" spans="1:9" ht="14.5" x14ac:dyDescent="0.35">
      <c r="A103" s="81"/>
      <c r="B103" s="81"/>
      <c r="C103" s="82"/>
      <c r="D103" s="82"/>
      <c r="E103" s="83"/>
      <c r="F103" s="82"/>
      <c r="G103" s="84"/>
      <c r="H103" s="84"/>
      <c r="I103" s="84"/>
    </row>
    <row r="104" spans="1:9" ht="14.5" x14ac:dyDescent="0.35">
      <c r="A104" s="81"/>
      <c r="B104" s="81"/>
      <c r="C104" s="82"/>
      <c r="D104" s="82"/>
      <c r="E104" s="83"/>
      <c r="F104" s="82"/>
      <c r="G104" s="84"/>
      <c r="H104" s="84"/>
      <c r="I104" s="84"/>
    </row>
    <row r="105" spans="1:9" ht="14.5" x14ac:dyDescent="0.35">
      <c r="A105" s="81"/>
      <c r="B105" s="81"/>
      <c r="C105" s="82"/>
      <c r="D105" s="82"/>
      <c r="E105" s="83"/>
      <c r="F105" s="82"/>
      <c r="G105" s="84"/>
      <c r="H105" s="84"/>
      <c r="I105" s="84"/>
    </row>
    <row r="106" spans="1:9" ht="14.5" x14ac:dyDescent="0.35">
      <c r="A106" s="81"/>
      <c r="B106" s="81"/>
      <c r="C106" s="82"/>
      <c r="D106" s="82"/>
      <c r="E106" s="83"/>
      <c r="F106" s="82"/>
      <c r="G106" s="84"/>
      <c r="H106" s="84"/>
      <c r="I106" s="84"/>
    </row>
    <row r="107" spans="1:9" ht="14.5" x14ac:dyDescent="0.35">
      <c r="A107" s="81"/>
      <c r="B107" s="81"/>
      <c r="C107" s="82"/>
      <c r="D107" s="82"/>
      <c r="E107" s="83"/>
      <c r="F107" s="82"/>
      <c r="G107" s="84"/>
      <c r="H107" s="84"/>
      <c r="I107" s="84"/>
    </row>
    <row r="108" spans="1:9" ht="14.5" x14ac:dyDescent="0.35">
      <c r="A108" s="81"/>
      <c r="B108" s="81"/>
      <c r="C108" s="82"/>
      <c r="D108" s="82"/>
      <c r="E108" s="83"/>
      <c r="F108" s="82"/>
      <c r="G108" s="84"/>
      <c r="H108" s="84"/>
      <c r="I108" s="84"/>
    </row>
    <row r="109" spans="1:9" ht="14.5" x14ac:dyDescent="0.35">
      <c r="A109" s="81"/>
      <c r="B109" s="81"/>
      <c r="C109" s="82"/>
      <c r="D109" s="82"/>
      <c r="E109" s="83"/>
      <c r="F109" s="82"/>
      <c r="G109" s="84"/>
      <c r="H109" s="84"/>
      <c r="I109" s="84"/>
    </row>
    <row r="110" spans="1:9" ht="14.5" x14ac:dyDescent="0.35">
      <c r="A110" s="81"/>
      <c r="B110" s="81"/>
      <c r="C110" s="82"/>
      <c r="D110" s="82"/>
      <c r="E110" s="83"/>
      <c r="F110" s="82"/>
      <c r="G110" s="84"/>
      <c r="H110" s="84"/>
      <c r="I110" s="84"/>
    </row>
    <row r="111" spans="1:9" ht="14.5" x14ac:dyDescent="0.35">
      <c r="A111" s="81"/>
      <c r="B111" s="81"/>
      <c r="C111" s="82"/>
      <c r="D111" s="82"/>
      <c r="E111" s="83"/>
      <c r="F111" s="82"/>
      <c r="G111" s="84"/>
      <c r="H111" s="84"/>
      <c r="I111" s="84"/>
    </row>
    <row r="112" spans="1:9" ht="14.5" x14ac:dyDescent="0.35">
      <c r="A112" s="81"/>
      <c r="B112" s="81"/>
      <c r="C112" s="82"/>
      <c r="D112" s="82"/>
      <c r="E112" s="83"/>
      <c r="F112" s="82"/>
      <c r="G112" s="84"/>
      <c r="H112" s="84"/>
      <c r="I112" s="84"/>
    </row>
    <row r="113" spans="1:9" ht="14.5" x14ac:dyDescent="0.35">
      <c r="A113" s="81"/>
      <c r="B113" s="81"/>
      <c r="C113" s="82"/>
      <c r="D113" s="82"/>
      <c r="E113" s="83"/>
      <c r="F113" s="82"/>
      <c r="G113" s="84"/>
      <c r="H113" s="84"/>
      <c r="I113" s="84"/>
    </row>
    <row r="114" spans="1:9" ht="14.5" x14ac:dyDescent="0.35">
      <c r="A114" s="81"/>
      <c r="B114" s="81"/>
      <c r="C114" s="82"/>
      <c r="D114" s="82"/>
      <c r="E114" s="83"/>
      <c r="F114" s="82"/>
      <c r="G114" s="84"/>
      <c r="H114" s="84"/>
      <c r="I114" s="84"/>
    </row>
    <row r="115" spans="1:9" ht="14.5" x14ac:dyDescent="0.35">
      <c r="A115" s="81"/>
      <c r="B115" s="81"/>
      <c r="C115" s="82"/>
      <c r="D115" s="82"/>
      <c r="E115" s="83"/>
      <c r="F115" s="82"/>
      <c r="G115" s="84"/>
      <c r="H115" s="84"/>
      <c r="I115" s="84"/>
    </row>
    <row r="116" spans="1:9" ht="14.5" x14ac:dyDescent="0.35">
      <c r="A116" s="81"/>
      <c r="B116" s="81"/>
      <c r="C116" s="82"/>
      <c r="D116" s="82"/>
      <c r="E116" s="83"/>
      <c r="F116" s="82"/>
      <c r="G116" s="84"/>
      <c r="H116" s="84"/>
      <c r="I116" s="84"/>
    </row>
    <row r="117" spans="1:9" ht="14.5" x14ac:dyDescent="0.35">
      <c r="A117" s="81"/>
      <c r="B117" s="81"/>
      <c r="C117" s="82"/>
      <c r="D117" s="82"/>
      <c r="E117" s="83"/>
      <c r="F117" s="82"/>
      <c r="G117" s="84"/>
      <c r="H117" s="84"/>
      <c r="I117" s="84"/>
    </row>
    <row r="118" spans="1:9" ht="14.5" x14ac:dyDescent="0.35">
      <c r="A118" s="81"/>
      <c r="B118" s="81"/>
      <c r="C118" s="82"/>
      <c r="D118" s="82"/>
      <c r="E118" s="83"/>
      <c r="F118" s="82"/>
      <c r="G118" s="84"/>
      <c r="H118" s="84"/>
      <c r="I118" s="84"/>
    </row>
    <row r="119" spans="1:9" ht="14.5" x14ac:dyDescent="0.35">
      <c r="A119" s="81"/>
      <c r="B119" s="81"/>
      <c r="C119" s="82"/>
      <c r="D119" s="82"/>
      <c r="E119" s="83"/>
      <c r="F119" s="82"/>
      <c r="G119" s="84"/>
      <c r="H119" s="84"/>
      <c r="I119" s="84"/>
    </row>
    <row r="120" spans="1:9" ht="14.5" x14ac:dyDescent="0.35">
      <c r="A120" s="81"/>
      <c r="B120" s="81"/>
      <c r="C120" s="82"/>
      <c r="D120" s="82"/>
      <c r="E120" s="83"/>
      <c r="F120" s="82"/>
      <c r="G120" s="84"/>
      <c r="H120" s="84"/>
      <c r="I120" s="84"/>
    </row>
    <row r="121" spans="1:9" ht="14.5" x14ac:dyDescent="0.35">
      <c r="A121" s="81"/>
      <c r="B121" s="81"/>
      <c r="C121" s="82"/>
      <c r="D121" s="82"/>
      <c r="E121" s="83"/>
      <c r="F121" s="82"/>
      <c r="G121" s="84"/>
      <c r="H121" s="84"/>
      <c r="I121" s="84"/>
    </row>
    <row r="122" spans="1:9" ht="14.5" x14ac:dyDescent="0.35">
      <c r="A122" s="81"/>
      <c r="B122" s="81"/>
      <c r="C122" s="82"/>
      <c r="D122" s="82"/>
      <c r="E122" s="83"/>
      <c r="F122" s="82"/>
      <c r="G122" s="84"/>
      <c r="H122" s="84"/>
      <c r="I122" s="84"/>
    </row>
    <row r="123" spans="1:9" ht="14.5" x14ac:dyDescent="0.35">
      <c r="A123" s="81"/>
      <c r="B123" s="81"/>
      <c r="C123" s="82"/>
      <c r="D123" s="82"/>
      <c r="E123" s="83"/>
      <c r="F123" s="82"/>
      <c r="G123" s="84"/>
      <c r="H123" s="84"/>
      <c r="I123" s="84"/>
    </row>
    <row r="124" spans="1:9" ht="14.5" x14ac:dyDescent="0.35">
      <c r="A124" s="81"/>
      <c r="B124" s="81"/>
      <c r="C124" s="82"/>
      <c r="D124" s="82"/>
      <c r="E124" s="83"/>
      <c r="F124" s="82"/>
      <c r="G124" s="84"/>
      <c r="H124" s="84"/>
      <c r="I124" s="84"/>
    </row>
    <row r="125" spans="1:9" ht="14.5" x14ac:dyDescent="0.35">
      <c r="A125" s="81"/>
      <c r="B125" s="81"/>
      <c r="C125" s="82"/>
      <c r="D125" s="82"/>
      <c r="E125" s="83"/>
      <c r="F125" s="82"/>
      <c r="G125" s="84"/>
      <c r="H125" s="84"/>
      <c r="I125" s="84"/>
    </row>
    <row r="126" spans="1:9" ht="14.5" x14ac:dyDescent="0.35">
      <c r="A126" s="81"/>
      <c r="B126" s="81"/>
      <c r="C126" s="82"/>
      <c r="D126" s="82"/>
      <c r="E126" s="83"/>
      <c r="F126" s="82"/>
      <c r="G126" s="84"/>
      <c r="H126" s="84"/>
      <c r="I126" s="84"/>
    </row>
    <row r="127" spans="1:9" ht="14.5" x14ac:dyDescent="0.35">
      <c r="A127" s="81"/>
      <c r="B127" s="81"/>
      <c r="C127" s="82"/>
      <c r="D127" s="82"/>
      <c r="E127" s="83"/>
      <c r="F127" s="82"/>
      <c r="G127" s="84"/>
      <c r="H127" s="84"/>
      <c r="I127" s="84"/>
    </row>
    <row r="128" spans="1:9" ht="14.5" x14ac:dyDescent="0.35">
      <c r="A128" s="81"/>
      <c r="B128" s="81"/>
      <c r="C128" s="82"/>
      <c r="D128" s="82"/>
      <c r="E128" s="83"/>
      <c r="F128" s="82"/>
      <c r="G128" s="84"/>
      <c r="H128" s="84"/>
      <c r="I128" s="84"/>
    </row>
    <row r="129" spans="1:9" ht="14.5" x14ac:dyDescent="0.35">
      <c r="A129" s="81"/>
      <c r="B129" s="81"/>
      <c r="C129" s="82"/>
      <c r="D129" s="82"/>
      <c r="E129" s="83"/>
      <c r="F129" s="82"/>
      <c r="G129" s="84"/>
      <c r="H129" s="84"/>
      <c r="I129" s="84"/>
    </row>
    <row r="130" spans="1:9" ht="14.5" x14ac:dyDescent="0.35">
      <c r="A130" s="81"/>
      <c r="B130" s="81"/>
      <c r="C130" s="82"/>
      <c r="D130" s="82"/>
      <c r="E130" s="83"/>
      <c r="F130" s="82"/>
      <c r="G130" s="84"/>
      <c r="H130" s="84"/>
      <c r="I130" s="84"/>
    </row>
    <row r="131" spans="1:9" ht="14.5" x14ac:dyDescent="0.35">
      <c r="A131" s="81"/>
      <c r="B131" s="81"/>
      <c r="C131" s="82"/>
      <c r="D131" s="82"/>
      <c r="E131" s="83"/>
      <c r="F131" s="82"/>
      <c r="G131" s="84"/>
      <c r="H131" s="84"/>
      <c r="I131" s="84"/>
    </row>
    <row r="132" spans="1:9" ht="14.5" x14ac:dyDescent="0.35">
      <c r="A132" s="81"/>
      <c r="B132" s="81"/>
      <c r="C132" s="82"/>
      <c r="D132" s="82"/>
      <c r="E132" s="83"/>
      <c r="F132" s="82"/>
      <c r="G132" s="84"/>
      <c r="H132" s="84"/>
      <c r="I132" s="84"/>
    </row>
    <row r="133" spans="1:9" ht="14.5" x14ac:dyDescent="0.35">
      <c r="A133" s="81"/>
      <c r="B133" s="81"/>
      <c r="C133" s="82"/>
      <c r="D133" s="82"/>
      <c r="E133" s="83"/>
      <c r="F133" s="82"/>
      <c r="G133" s="84"/>
      <c r="H133" s="84"/>
      <c r="I133" s="84"/>
    </row>
    <row r="134" spans="1:9" ht="14.5" x14ac:dyDescent="0.35">
      <c r="A134" s="81"/>
      <c r="B134" s="81"/>
      <c r="C134" s="82"/>
      <c r="D134" s="82"/>
      <c r="E134" s="83"/>
      <c r="F134" s="82"/>
      <c r="G134" s="84"/>
      <c r="H134" s="84"/>
      <c r="I134" s="84"/>
    </row>
    <row r="135" spans="1:9" ht="14.5" x14ac:dyDescent="0.35">
      <c r="A135" s="81"/>
      <c r="B135" s="81"/>
      <c r="C135" s="82"/>
      <c r="D135" s="82"/>
      <c r="E135" s="83"/>
      <c r="F135" s="82"/>
      <c r="G135" s="84"/>
      <c r="H135" s="84"/>
      <c r="I135" s="84"/>
    </row>
    <row r="136" spans="1:9" ht="14.5" x14ac:dyDescent="0.35">
      <c r="A136" s="81"/>
      <c r="B136" s="81"/>
      <c r="C136" s="82"/>
      <c r="D136" s="82"/>
      <c r="E136" s="83"/>
      <c r="F136" s="82"/>
      <c r="G136" s="84"/>
      <c r="H136" s="84"/>
      <c r="I136" s="84"/>
    </row>
    <row r="137" spans="1:9" ht="14.5" x14ac:dyDescent="0.35">
      <c r="A137" s="81"/>
      <c r="B137" s="81"/>
      <c r="C137" s="82"/>
      <c r="D137" s="82"/>
      <c r="E137" s="83"/>
      <c r="F137" s="82"/>
      <c r="G137" s="84"/>
      <c r="H137" s="84"/>
      <c r="I137" s="84"/>
    </row>
    <row r="138" spans="1:9" ht="14.5" x14ac:dyDescent="0.35">
      <c r="A138" s="81"/>
      <c r="B138" s="81"/>
      <c r="C138" s="82"/>
      <c r="D138" s="82"/>
      <c r="E138" s="83"/>
      <c r="F138" s="82"/>
      <c r="G138" s="84"/>
      <c r="H138" s="84"/>
      <c r="I138" s="84"/>
    </row>
    <row r="139" spans="1:9" ht="14.5" x14ac:dyDescent="0.35">
      <c r="A139" s="81"/>
      <c r="B139" s="81"/>
      <c r="C139" s="82"/>
      <c r="D139" s="82"/>
      <c r="E139" s="83"/>
      <c r="F139" s="82"/>
      <c r="G139" s="84"/>
      <c r="H139" s="84"/>
      <c r="I139" s="84"/>
    </row>
    <row r="140" spans="1:9" ht="14.5" x14ac:dyDescent="0.35">
      <c r="A140" s="81"/>
      <c r="B140" s="81"/>
      <c r="C140" s="82"/>
      <c r="D140" s="82"/>
      <c r="E140" s="83"/>
      <c r="F140" s="82"/>
      <c r="G140" s="84"/>
      <c r="H140" s="84"/>
      <c r="I140" s="84"/>
    </row>
    <row r="141" spans="1:9" ht="14.5" x14ac:dyDescent="0.35">
      <c r="A141" s="81"/>
      <c r="B141" s="81"/>
      <c r="C141" s="82"/>
      <c r="D141" s="82"/>
      <c r="E141" s="83"/>
      <c r="F141" s="82"/>
      <c r="G141" s="84"/>
      <c r="H141" s="84"/>
      <c r="I141" s="84"/>
    </row>
    <row r="142" spans="1:9" ht="14.5" x14ac:dyDescent="0.35">
      <c r="A142" s="81"/>
      <c r="B142" s="81"/>
      <c r="C142" s="82"/>
      <c r="D142" s="82"/>
      <c r="E142" s="83"/>
      <c r="F142" s="82"/>
      <c r="G142" s="84"/>
      <c r="H142" s="84"/>
      <c r="I142" s="84"/>
    </row>
    <row r="143" spans="1:9" ht="14.5" x14ac:dyDescent="0.35">
      <c r="A143" s="81"/>
      <c r="B143" s="81"/>
      <c r="C143" s="82"/>
      <c r="D143" s="82"/>
      <c r="E143" s="83"/>
      <c r="F143" s="82"/>
      <c r="G143" s="84"/>
      <c r="H143" s="84"/>
      <c r="I143" s="84"/>
    </row>
    <row r="144" spans="1:9" ht="14.5" x14ac:dyDescent="0.35">
      <c r="A144" s="81"/>
      <c r="B144" s="81"/>
      <c r="C144" s="82"/>
      <c r="D144" s="82"/>
      <c r="E144" s="83"/>
      <c r="F144" s="82"/>
      <c r="G144" s="84"/>
      <c r="H144" s="84"/>
      <c r="I144" s="84"/>
    </row>
    <row r="145" spans="1:9" ht="14.5" x14ac:dyDescent="0.35">
      <c r="A145" s="81"/>
      <c r="B145" s="81"/>
      <c r="C145" s="82"/>
      <c r="D145" s="82"/>
      <c r="E145" s="83"/>
      <c r="F145" s="82"/>
      <c r="G145" s="84"/>
      <c r="H145" s="84"/>
      <c r="I145" s="84"/>
    </row>
    <row r="146" spans="1:9" ht="14.5" x14ac:dyDescent="0.35">
      <c r="A146" s="81"/>
      <c r="B146" s="81"/>
      <c r="C146" s="82"/>
      <c r="D146" s="82"/>
      <c r="E146" s="83"/>
      <c r="F146" s="82"/>
      <c r="G146" s="84"/>
      <c r="H146" s="84"/>
      <c r="I146" s="84"/>
    </row>
    <row r="147" spans="1:9" ht="14.5" x14ac:dyDescent="0.35">
      <c r="A147" s="81"/>
      <c r="B147" s="81"/>
      <c r="C147" s="82"/>
      <c r="D147" s="82"/>
      <c r="E147" s="83"/>
      <c r="F147" s="82"/>
      <c r="G147" s="84"/>
      <c r="H147" s="84"/>
      <c r="I147" s="84"/>
    </row>
    <row r="148" spans="1:9" ht="14.5" x14ac:dyDescent="0.35">
      <c r="A148" s="81"/>
      <c r="B148" s="81"/>
      <c r="C148" s="82"/>
      <c r="D148" s="82"/>
      <c r="E148" s="83"/>
      <c r="F148" s="82"/>
      <c r="G148" s="84"/>
      <c r="H148" s="84"/>
      <c r="I148" s="84"/>
    </row>
    <row r="149" spans="1:9" ht="14.5" x14ac:dyDescent="0.35">
      <c r="A149" s="81"/>
      <c r="B149" s="81"/>
      <c r="C149" s="82"/>
      <c r="D149" s="82"/>
      <c r="E149" s="83"/>
      <c r="F149" s="82"/>
      <c r="G149" s="84"/>
      <c r="H149" s="84"/>
      <c r="I149" s="84"/>
    </row>
    <row r="150" spans="1:9" ht="14.5" x14ac:dyDescent="0.35">
      <c r="A150" s="81"/>
      <c r="B150" s="81"/>
      <c r="C150" s="82"/>
      <c r="D150" s="82"/>
      <c r="E150" s="83"/>
      <c r="F150" s="82"/>
      <c r="G150" s="84"/>
      <c r="H150" s="84"/>
      <c r="I150" s="84"/>
    </row>
    <row r="151" spans="1:9" ht="14.5" x14ac:dyDescent="0.35">
      <c r="A151" s="81"/>
      <c r="B151" s="81"/>
      <c r="C151" s="82"/>
      <c r="D151" s="82"/>
      <c r="E151" s="83"/>
      <c r="F151" s="82"/>
      <c r="G151" s="84"/>
      <c r="H151" s="84"/>
      <c r="I151" s="84"/>
    </row>
    <row r="152" spans="1:9" ht="14.5" x14ac:dyDescent="0.35">
      <c r="A152" s="81"/>
      <c r="B152" s="81"/>
      <c r="C152" s="82"/>
      <c r="D152" s="82"/>
      <c r="E152" s="83"/>
      <c r="F152" s="82"/>
      <c r="G152" s="84"/>
      <c r="H152" s="84"/>
      <c r="I152" s="84"/>
    </row>
    <row r="153" spans="1:9" ht="14.5" x14ac:dyDescent="0.35">
      <c r="A153" s="81"/>
      <c r="B153" s="81"/>
      <c r="C153" s="82"/>
      <c r="D153" s="82"/>
      <c r="E153" s="83"/>
      <c r="F153" s="82"/>
      <c r="G153" s="84"/>
      <c r="H153" s="84"/>
      <c r="I153" s="84"/>
    </row>
    <row r="154" spans="1:9" ht="14.5" x14ac:dyDescent="0.35">
      <c r="A154" s="81"/>
      <c r="B154" s="81"/>
      <c r="C154" s="82"/>
      <c r="D154" s="82"/>
      <c r="E154" s="83"/>
      <c r="F154" s="82"/>
      <c r="G154" s="84"/>
      <c r="H154" s="84"/>
      <c r="I154" s="84"/>
    </row>
    <row r="155" spans="1:9" ht="14.5" x14ac:dyDescent="0.35">
      <c r="A155" s="81"/>
      <c r="B155" s="81"/>
      <c r="C155" s="82"/>
      <c r="D155" s="82"/>
      <c r="E155" s="83"/>
      <c r="F155" s="82"/>
      <c r="G155" s="84"/>
      <c r="H155" s="84"/>
      <c r="I155" s="84"/>
    </row>
    <row r="156" spans="1:9" ht="14.5" x14ac:dyDescent="0.35">
      <c r="A156" s="81"/>
      <c r="B156" s="81"/>
      <c r="C156" s="82"/>
      <c r="D156" s="82"/>
      <c r="E156" s="83"/>
      <c r="F156" s="82"/>
      <c r="G156" s="84"/>
      <c r="H156" s="84"/>
      <c r="I156" s="84"/>
    </row>
    <row r="157" spans="1:9" ht="14.5" x14ac:dyDescent="0.35">
      <c r="A157" s="81"/>
      <c r="B157" s="81"/>
      <c r="C157" s="82"/>
      <c r="D157" s="82"/>
      <c r="E157" s="83"/>
      <c r="F157" s="82"/>
      <c r="G157" s="84"/>
      <c r="H157" s="84"/>
      <c r="I157" s="84"/>
    </row>
    <row r="158" spans="1:9" ht="14.5" x14ac:dyDescent="0.35">
      <c r="A158" s="81"/>
      <c r="B158" s="81"/>
      <c r="C158" s="82"/>
      <c r="D158" s="82"/>
      <c r="E158" s="83"/>
      <c r="F158" s="82"/>
      <c r="G158" s="84"/>
      <c r="H158" s="84"/>
      <c r="I158" s="84"/>
    </row>
    <row r="159" spans="1:9" ht="14.5" x14ac:dyDescent="0.35">
      <c r="A159" s="81"/>
      <c r="B159" s="81"/>
      <c r="C159" s="82"/>
      <c r="D159" s="82"/>
      <c r="E159" s="83"/>
      <c r="F159" s="82"/>
      <c r="G159" s="84"/>
      <c r="H159" s="84"/>
      <c r="I159" s="84"/>
    </row>
    <row r="160" spans="1:9" ht="14.5" x14ac:dyDescent="0.35">
      <c r="A160" s="81"/>
      <c r="B160" s="81"/>
      <c r="C160" s="82"/>
      <c r="D160" s="82"/>
      <c r="E160" s="83"/>
      <c r="F160" s="82"/>
      <c r="G160" s="84"/>
      <c r="H160" s="84"/>
      <c r="I160" s="84"/>
    </row>
    <row r="161" spans="1:9" ht="14.5" x14ac:dyDescent="0.35">
      <c r="A161" s="81"/>
      <c r="B161" s="81"/>
      <c r="C161" s="82"/>
      <c r="D161" s="82"/>
      <c r="E161" s="83"/>
      <c r="F161" s="82"/>
      <c r="G161" s="84"/>
      <c r="H161" s="84"/>
      <c r="I161" s="84"/>
    </row>
    <row r="162" spans="1:9" ht="14.5" x14ac:dyDescent="0.35">
      <c r="A162" s="81"/>
      <c r="B162" s="81"/>
      <c r="C162" s="82"/>
      <c r="D162" s="82"/>
      <c r="E162" s="83"/>
      <c r="F162" s="82"/>
      <c r="G162" s="84"/>
      <c r="H162" s="84"/>
      <c r="I162" s="84"/>
    </row>
    <row r="163" spans="1:9" ht="14.5" x14ac:dyDescent="0.35">
      <c r="A163" s="81"/>
      <c r="B163" s="81"/>
      <c r="C163" s="82"/>
      <c r="D163" s="82"/>
      <c r="E163" s="83"/>
      <c r="F163" s="82"/>
      <c r="G163" s="84"/>
      <c r="H163" s="84"/>
      <c r="I163" s="84"/>
    </row>
    <row r="164" spans="1:9" ht="14.5" x14ac:dyDescent="0.35">
      <c r="A164" s="81"/>
      <c r="B164" s="81"/>
      <c r="C164" s="82"/>
      <c r="D164" s="82"/>
      <c r="E164" s="83"/>
      <c r="F164" s="82"/>
      <c r="G164" s="84"/>
      <c r="H164" s="84"/>
      <c r="I164" s="84"/>
    </row>
    <row r="165" spans="1:9" ht="14.5" x14ac:dyDescent="0.35">
      <c r="A165" s="81"/>
      <c r="B165" s="81"/>
      <c r="C165" s="82"/>
      <c r="D165" s="82"/>
      <c r="E165" s="83"/>
      <c r="F165" s="82"/>
      <c r="G165" s="84"/>
      <c r="H165" s="84"/>
      <c r="I165" s="84"/>
    </row>
    <row r="166" spans="1:9" ht="14.5" x14ac:dyDescent="0.35">
      <c r="A166" s="81"/>
      <c r="B166" s="81"/>
      <c r="C166" s="82"/>
      <c r="D166" s="82"/>
      <c r="E166" s="83"/>
      <c r="F166" s="82"/>
      <c r="G166" s="84"/>
      <c r="H166" s="84"/>
      <c r="I166" s="84"/>
    </row>
    <row r="167" spans="1:9" ht="14.5" x14ac:dyDescent="0.35">
      <c r="A167" s="81"/>
      <c r="B167" s="81"/>
      <c r="C167" s="82"/>
      <c r="D167" s="82"/>
      <c r="E167" s="83"/>
      <c r="F167" s="82"/>
      <c r="G167" s="84"/>
      <c r="H167" s="84"/>
      <c r="I167" s="84"/>
    </row>
    <row r="168" spans="1:9" ht="14.5" x14ac:dyDescent="0.35">
      <c r="A168" s="81"/>
      <c r="B168" s="81"/>
      <c r="C168" s="82"/>
      <c r="D168" s="82"/>
      <c r="E168" s="83"/>
      <c r="F168" s="82"/>
      <c r="G168" s="84"/>
      <c r="H168" s="84"/>
      <c r="I168" s="84"/>
    </row>
    <row r="169" spans="1:9" ht="14.5" x14ac:dyDescent="0.35">
      <c r="A169" s="81"/>
      <c r="B169" s="81"/>
      <c r="C169" s="82"/>
      <c r="D169" s="82"/>
      <c r="E169" s="83"/>
      <c r="F169" s="82"/>
      <c r="G169" s="84"/>
      <c r="H169" s="84"/>
      <c r="I169" s="84"/>
    </row>
    <row r="170" spans="1:9" ht="14.5" x14ac:dyDescent="0.35">
      <c r="A170" s="81"/>
      <c r="B170" s="81"/>
      <c r="C170" s="82"/>
      <c r="D170" s="82"/>
      <c r="E170" s="83"/>
      <c r="F170" s="82"/>
      <c r="G170" s="84"/>
      <c r="H170" s="84"/>
      <c r="I170" s="84"/>
    </row>
    <row r="171" spans="1:9" ht="14.5" x14ac:dyDescent="0.35">
      <c r="A171" s="81"/>
      <c r="B171" s="81"/>
      <c r="C171" s="82"/>
      <c r="D171" s="82"/>
      <c r="E171" s="83"/>
      <c r="F171" s="82"/>
      <c r="G171" s="84"/>
      <c r="H171" s="84"/>
      <c r="I171" s="84"/>
    </row>
    <row r="172" spans="1:9" ht="14.5" x14ac:dyDescent="0.35">
      <c r="A172" s="81"/>
      <c r="B172" s="81"/>
      <c r="C172" s="82"/>
      <c r="D172" s="82"/>
      <c r="E172" s="83"/>
      <c r="F172" s="82"/>
      <c r="G172" s="84"/>
      <c r="H172" s="84"/>
      <c r="I172" s="84"/>
    </row>
    <row r="173" spans="1:9" ht="14.5" x14ac:dyDescent="0.35">
      <c r="A173" s="81"/>
      <c r="B173" s="81"/>
      <c r="C173" s="82"/>
      <c r="D173" s="82"/>
      <c r="E173" s="83"/>
      <c r="F173" s="82"/>
      <c r="G173" s="84"/>
      <c r="H173" s="84"/>
      <c r="I173" s="84"/>
    </row>
    <row r="174" spans="1:9" ht="14.5" x14ac:dyDescent="0.35">
      <c r="A174" s="81"/>
      <c r="B174" s="81"/>
      <c r="C174" s="82"/>
      <c r="D174" s="82"/>
      <c r="E174" s="83"/>
      <c r="F174" s="82"/>
      <c r="G174" s="84"/>
      <c r="H174" s="84"/>
      <c r="I174" s="84"/>
    </row>
    <row r="175" spans="1:9" ht="14.5" x14ac:dyDescent="0.35">
      <c r="A175" s="81"/>
      <c r="B175" s="81"/>
      <c r="C175" s="82"/>
      <c r="D175" s="82"/>
      <c r="E175" s="83"/>
      <c r="F175" s="82"/>
      <c r="G175" s="84"/>
      <c r="H175" s="84"/>
      <c r="I175" s="84"/>
    </row>
    <row r="176" spans="1:9" ht="14.5" x14ac:dyDescent="0.35">
      <c r="A176" s="81"/>
      <c r="B176" s="81"/>
      <c r="C176" s="82"/>
      <c r="D176" s="82"/>
      <c r="E176" s="83"/>
      <c r="F176" s="82"/>
      <c r="G176" s="84"/>
      <c r="H176" s="84"/>
      <c r="I176" s="84"/>
    </row>
    <row r="177" spans="1:9" ht="14.5" x14ac:dyDescent="0.35">
      <c r="A177" s="81"/>
      <c r="B177" s="81"/>
      <c r="C177" s="82"/>
      <c r="D177" s="82"/>
      <c r="E177" s="83"/>
      <c r="F177" s="82"/>
      <c r="G177" s="84"/>
      <c r="H177" s="84"/>
      <c r="I177" s="84"/>
    </row>
    <row r="178" spans="1:9" ht="14.5" x14ac:dyDescent="0.35">
      <c r="A178" s="81"/>
      <c r="B178" s="81"/>
      <c r="C178" s="82"/>
      <c r="D178" s="82"/>
      <c r="E178" s="83"/>
      <c r="F178" s="82"/>
      <c r="G178" s="84"/>
      <c r="H178" s="84"/>
      <c r="I178" s="84"/>
    </row>
    <row r="179" spans="1:9" ht="14.5" x14ac:dyDescent="0.35">
      <c r="A179" s="81"/>
      <c r="B179" s="81"/>
      <c r="C179" s="82"/>
      <c r="D179" s="82"/>
      <c r="E179" s="83"/>
      <c r="F179" s="82"/>
      <c r="G179" s="84"/>
      <c r="H179" s="84"/>
      <c r="I179" s="84"/>
    </row>
    <row r="180" spans="1:9" ht="14.5" x14ac:dyDescent="0.35">
      <c r="A180" s="81"/>
      <c r="B180" s="81"/>
      <c r="C180" s="82"/>
      <c r="D180" s="82"/>
      <c r="E180" s="83"/>
      <c r="F180" s="82"/>
      <c r="G180" s="84"/>
      <c r="H180" s="84"/>
      <c r="I180" s="84"/>
    </row>
    <row r="181" spans="1:9" ht="14.5" x14ac:dyDescent="0.35">
      <c r="A181" s="81"/>
      <c r="B181" s="81"/>
      <c r="C181" s="82"/>
      <c r="D181" s="82"/>
      <c r="E181" s="83"/>
      <c r="F181" s="82"/>
      <c r="G181" s="84"/>
      <c r="H181" s="84"/>
      <c r="I181" s="84"/>
    </row>
    <row r="182" spans="1:9" ht="14.5" x14ac:dyDescent="0.35">
      <c r="A182" s="81"/>
      <c r="B182" s="81"/>
      <c r="C182" s="82"/>
      <c r="D182" s="82"/>
      <c r="E182" s="83"/>
      <c r="F182" s="82"/>
      <c r="G182" s="84"/>
      <c r="H182" s="84"/>
      <c r="I182" s="84"/>
    </row>
    <row r="183" spans="1:9" ht="14.5" x14ac:dyDescent="0.35">
      <c r="A183" s="81"/>
      <c r="B183" s="81"/>
      <c r="C183" s="82"/>
      <c r="D183" s="82"/>
      <c r="E183" s="83"/>
      <c r="F183" s="82"/>
      <c r="G183" s="84"/>
      <c r="H183" s="84"/>
      <c r="I183" s="84"/>
    </row>
    <row r="184" spans="1:9" ht="14.5" x14ac:dyDescent="0.35">
      <c r="A184" s="81"/>
      <c r="B184" s="81"/>
      <c r="C184" s="82"/>
      <c r="D184" s="82"/>
      <c r="E184" s="83"/>
      <c r="F184" s="82"/>
      <c r="G184" s="84"/>
      <c r="H184" s="84"/>
      <c r="I184" s="84"/>
    </row>
    <row r="185" spans="1:9" ht="14.5" x14ac:dyDescent="0.35">
      <c r="A185" s="81"/>
      <c r="B185" s="81"/>
      <c r="C185" s="82"/>
      <c r="D185" s="82"/>
      <c r="E185" s="83"/>
      <c r="F185" s="82"/>
      <c r="G185" s="84"/>
      <c r="H185" s="84"/>
      <c r="I185" s="84"/>
    </row>
    <row r="186" spans="1:9" ht="14.5" x14ac:dyDescent="0.35">
      <c r="A186" s="81"/>
      <c r="B186" s="81"/>
      <c r="C186" s="82"/>
      <c r="D186" s="82"/>
      <c r="E186" s="83"/>
      <c r="F186" s="82"/>
      <c r="G186" s="84"/>
      <c r="H186" s="84"/>
      <c r="I186" s="84"/>
    </row>
    <row r="187" spans="1:9" ht="14.5" x14ac:dyDescent="0.35">
      <c r="A187" s="81"/>
      <c r="B187" s="81"/>
      <c r="C187" s="82"/>
      <c r="D187" s="82"/>
      <c r="E187" s="83"/>
      <c r="F187" s="82"/>
      <c r="G187" s="84"/>
      <c r="H187" s="84"/>
      <c r="I187" s="84"/>
    </row>
    <row r="188" spans="1:9" ht="14.5" x14ac:dyDescent="0.35">
      <c r="A188" s="81"/>
      <c r="B188" s="81"/>
      <c r="C188" s="82"/>
      <c r="D188" s="82"/>
      <c r="E188" s="83"/>
      <c r="F188" s="82"/>
      <c r="G188" s="84"/>
      <c r="H188" s="84"/>
      <c r="I188" s="84"/>
    </row>
    <row r="189" spans="1:9" ht="14.5" x14ac:dyDescent="0.35">
      <c r="A189" s="81"/>
      <c r="B189" s="81"/>
      <c r="C189" s="82"/>
      <c r="D189" s="82"/>
      <c r="E189" s="83"/>
      <c r="F189" s="82"/>
      <c r="G189" s="84"/>
      <c r="H189" s="84"/>
      <c r="I189" s="84"/>
    </row>
    <row r="190" spans="1:9" ht="14.5" x14ac:dyDescent="0.35">
      <c r="A190" s="81"/>
      <c r="B190" s="81"/>
      <c r="C190" s="82"/>
      <c r="D190" s="82"/>
      <c r="E190" s="83"/>
      <c r="F190" s="82"/>
      <c r="G190" s="84"/>
      <c r="H190" s="84"/>
      <c r="I190" s="84"/>
    </row>
    <row r="191" spans="1:9" ht="14.5" x14ac:dyDescent="0.35">
      <c r="A191" s="81"/>
      <c r="B191" s="81"/>
      <c r="C191" s="82"/>
      <c r="D191" s="82"/>
      <c r="E191" s="83"/>
      <c r="F191" s="82"/>
      <c r="G191" s="84"/>
      <c r="H191" s="84"/>
      <c r="I191" s="84"/>
    </row>
    <row r="192" spans="1:9" ht="14.5" x14ac:dyDescent="0.35">
      <c r="A192" s="81"/>
      <c r="B192" s="81"/>
      <c r="C192" s="82"/>
      <c r="D192" s="82"/>
      <c r="E192" s="83"/>
      <c r="F192" s="82"/>
      <c r="G192" s="84"/>
      <c r="H192" s="84"/>
      <c r="I192" s="84"/>
    </row>
    <row r="193" spans="1:9" ht="14.5" x14ac:dyDescent="0.35">
      <c r="A193" s="81"/>
      <c r="B193" s="81"/>
      <c r="C193" s="82"/>
      <c r="D193" s="82"/>
      <c r="E193" s="83"/>
      <c r="F193" s="82"/>
      <c r="G193" s="84"/>
      <c r="H193" s="84"/>
      <c r="I193" s="84"/>
    </row>
    <row r="194" spans="1:9" ht="14.5" x14ac:dyDescent="0.35">
      <c r="A194" s="81"/>
      <c r="B194" s="81"/>
      <c r="C194" s="82"/>
      <c r="D194" s="82"/>
      <c r="E194" s="83"/>
      <c r="F194" s="82"/>
      <c r="G194" s="84"/>
      <c r="H194" s="84"/>
      <c r="I194" s="84"/>
    </row>
    <row r="195" spans="1:9" ht="14.5" x14ac:dyDescent="0.35">
      <c r="A195" s="81"/>
      <c r="B195" s="81"/>
      <c r="C195" s="82"/>
      <c r="D195" s="82"/>
      <c r="E195" s="83"/>
      <c r="F195" s="82"/>
      <c r="G195" s="84"/>
      <c r="H195" s="84"/>
      <c r="I195" s="84"/>
    </row>
    <row r="196" spans="1:9" ht="14.5" x14ac:dyDescent="0.35">
      <c r="A196" s="81"/>
      <c r="B196" s="81"/>
      <c r="C196" s="82"/>
      <c r="D196" s="82"/>
      <c r="E196" s="83"/>
      <c r="F196" s="82"/>
      <c r="G196" s="84"/>
      <c r="H196" s="84"/>
      <c r="I196" s="84"/>
    </row>
    <row r="197" spans="1:9" ht="14.5" x14ac:dyDescent="0.35">
      <c r="A197" s="81"/>
      <c r="B197" s="81"/>
      <c r="C197" s="82"/>
      <c r="D197" s="82"/>
      <c r="E197" s="83"/>
      <c r="F197" s="82"/>
      <c r="G197" s="84"/>
      <c r="H197" s="84"/>
      <c r="I197" s="84"/>
    </row>
    <row r="198" spans="1:9" ht="14.5" x14ac:dyDescent="0.35">
      <c r="A198" s="81"/>
      <c r="B198" s="81"/>
      <c r="C198" s="82"/>
      <c r="D198" s="82"/>
      <c r="E198" s="83"/>
      <c r="F198" s="82"/>
      <c r="G198" s="84"/>
      <c r="H198" s="84"/>
      <c r="I198" s="84"/>
    </row>
    <row r="199" spans="1:9" ht="14.5" x14ac:dyDescent="0.35">
      <c r="A199" s="81"/>
      <c r="B199" s="81"/>
      <c r="C199" s="82"/>
      <c r="D199" s="82"/>
      <c r="E199" s="83"/>
      <c r="F199" s="82"/>
      <c r="G199" s="84"/>
      <c r="H199" s="84"/>
      <c r="I199" s="84"/>
    </row>
    <row r="200" spans="1:9" ht="14.5" x14ac:dyDescent="0.35">
      <c r="A200" s="81"/>
      <c r="B200" s="81"/>
      <c r="C200" s="82"/>
      <c r="D200" s="82"/>
      <c r="E200" s="83"/>
      <c r="F200" s="82"/>
      <c r="G200" s="84"/>
      <c r="H200" s="84"/>
      <c r="I200" s="84"/>
    </row>
    <row r="201" spans="1:9" ht="14.5" x14ac:dyDescent="0.35">
      <c r="A201" s="81"/>
      <c r="B201" s="81"/>
      <c r="C201" s="82"/>
      <c r="D201" s="82"/>
      <c r="E201" s="83"/>
      <c r="F201" s="82"/>
      <c r="G201" s="84"/>
      <c r="H201" s="84"/>
      <c r="I201" s="84"/>
    </row>
    <row r="202" spans="1:9" ht="14.5" x14ac:dyDescent="0.35">
      <c r="A202" s="81"/>
      <c r="B202" s="81"/>
      <c r="C202" s="82"/>
      <c r="D202" s="82"/>
      <c r="E202" s="83"/>
      <c r="F202" s="82"/>
      <c r="G202" s="84"/>
      <c r="H202" s="84"/>
      <c r="I202" s="84"/>
    </row>
    <row r="203" spans="1:9" ht="14.5" x14ac:dyDescent="0.35">
      <c r="A203" s="81"/>
      <c r="B203" s="81"/>
      <c r="C203" s="82"/>
      <c r="D203" s="82"/>
      <c r="E203" s="83"/>
      <c r="F203" s="82"/>
      <c r="G203" s="84"/>
      <c r="H203" s="84"/>
      <c r="I203" s="84"/>
    </row>
    <row r="204" spans="1:9" ht="14.5" x14ac:dyDescent="0.35">
      <c r="A204" s="81"/>
      <c r="B204" s="81"/>
      <c r="C204" s="82"/>
      <c r="D204" s="82"/>
      <c r="E204" s="83"/>
      <c r="F204" s="82"/>
      <c r="G204" s="84"/>
      <c r="H204" s="84"/>
      <c r="I204" s="84"/>
    </row>
    <row r="205" spans="1:9" ht="14.5" x14ac:dyDescent="0.35">
      <c r="A205" s="81"/>
      <c r="B205" s="81"/>
      <c r="C205" s="82"/>
      <c r="D205" s="82"/>
      <c r="E205" s="83"/>
      <c r="F205" s="82"/>
      <c r="G205" s="84"/>
      <c r="H205" s="84"/>
      <c r="I205" s="84"/>
    </row>
    <row r="206" spans="1:9" ht="14.5" x14ac:dyDescent="0.35">
      <c r="A206" s="81"/>
      <c r="B206" s="81"/>
      <c r="C206" s="82"/>
      <c r="D206" s="82"/>
      <c r="E206" s="83"/>
      <c r="F206" s="82"/>
      <c r="G206" s="84"/>
      <c r="H206" s="84"/>
      <c r="I206" s="84"/>
    </row>
    <row r="207" spans="1:9" ht="14.5" x14ac:dyDescent="0.35">
      <c r="A207" s="81"/>
      <c r="B207" s="81"/>
      <c r="C207" s="82"/>
      <c r="D207" s="82"/>
      <c r="E207" s="83"/>
      <c r="F207" s="82"/>
      <c r="G207" s="84"/>
      <c r="H207" s="84"/>
      <c r="I207" s="84"/>
    </row>
    <row r="208" spans="1:9" ht="14.5" x14ac:dyDescent="0.35">
      <c r="A208" s="81"/>
      <c r="B208" s="81"/>
      <c r="C208" s="82"/>
      <c r="D208" s="82"/>
      <c r="E208" s="83"/>
      <c r="F208" s="82"/>
      <c r="G208" s="84"/>
      <c r="H208" s="84"/>
      <c r="I208" s="84"/>
    </row>
    <row r="209" spans="1:9" ht="14.5" x14ac:dyDescent="0.35">
      <c r="A209" s="81"/>
      <c r="B209" s="81"/>
      <c r="C209" s="82"/>
      <c r="D209" s="82"/>
      <c r="E209" s="83"/>
      <c r="F209" s="82"/>
      <c r="G209" s="84"/>
      <c r="H209" s="84"/>
      <c r="I209" s="84"/>
    </row>
    <row r="210" spans="1:9" ht="14.5" x14ac:dyDescent="0.35">
      <c r="A210" s="81"/>
      <c r="B210" s="81"/>
      <c r="C210" s="82"/>
      <c r="D210" s="82"/>
      <c r="E210" s="83"/>
      <c r="F210" s="82"/>
      <c r="G210" s="84"/>
      <c r="H210" s="84"/>
      <c r="I210" s="84"/>
    </row>
    <row r="211" spans="1:9" ht="14.5" x14ac:dyDescent="0.35">
      <c r="A211" s="81"/>
      <c r="B211" s="81"/>
      <c r="C211" s="82"/>
      <c r="D211" s="82"/>
      <c r="E211" s="83"/>
      <c r="F211" s="82"/>
      <c r="G211" s="84"/>
      <c r="H211" s="84"/>
      <c r="I211" s="84"/>
    </row>
    <row r="212" spans="1:9" ht="14.5" x14ac:dyDescent="0.35">
      <c r="A212" s="81"/>
      <c r="B212" s="81"/>
      <c r="C212" s="82"/>
      <c r="D212" s="82"/>
      <c r="E212" s="83"/>
      <c r="F212" s="82"/>
      <c r="G212" s="84"/>
      <c r="H212" s="84"/>
      <c r="I212" s="84"/>
    </row>
    <row r="213" spans="1:9" ht="14.5" x14ac:dyDescent="0.35">
      <c r="A213" s="81"/>
      <c r="B213" s="81"/>
      <c r="C213" s="82"/>
      <c r="D213" s="82"/>
      <c r="E213" s="83"/>
      <c r="F213" s="82"/>
      <c r="G213" s="84"/>
      <c r="H213" s="84"/>
      <c r="I213" s="84"/>
    </row>
    <row r="214" spans="1:9" ht="14.5" x14ac:dyDescent="0.35">
      <c r="A214" s="81"/>
      <c r="B214" s="81"/>
      <c r="C214" s="82"/>
      <c r="D214" s="82"/>
      <c r="E214" s="83"/>
      <c r="F214" s="82"/>
      <c r="G214" s="84"/>
      <c r="H214" s="84"/>
      <c r="I214" s="84"/>
    </row>
    <row r="215" spans="1:9" ht="14.5" x14ac:dyDescent="0.35">
      <c r="A215" s="81"/>
      <c r="B215" s="81"/>
      <c r="C215" s="82"/>
      <c r="D215" s="82"/>
      <c r="E215" s="83"/>
      <c r="F215" s="82"/>
      <c r="G215" s="84"/>
      <c r="H215" s="84"/>
      <c r="I215" s="84"/>
    </row>
    <row r="216" spans="1:9" ht="14.5" x14ac:dyDescent="0.35">
      <c r="A216" s="81"/>
      <c r="B216" s="81"/>
      <c r="C216" s="82"/>
      <c r="D216" s="82"/>
      <c r="E216" s="83"/>
      <c r="F216" s="82"/>
      <c r="G216" s="84"/>
      <c r="H216" s="84"/>
      <c r="I216" s="84"/>
    </row>
    <row r="217" spans="1:9" ht="14.5" x14ac:dyDescent="0.35">
      <c r="A217" s="81"/>
      <c r="B217" s="81"/>
      <c r="C217" s="82"/>
      <c r="D217" s="82"/>
      <c r="E217" s="83"/>
      <c r="F217" s="82"/>
      <c r="G217" s="84"/>
      <c r="H217" s="84"/>
      <c r="I217" s="84"/>
    </row>
    <row r="218" spans="1:9" ht="14.5" x14ac:dyDescent="0.35">
      <c r="A218" s="81"/>
      <c r="B218" s="81"/>
      <c r="C218" s="82"/>
      <c r="D218" s="82"/>
      <c r="E218" s="83"/>
      <c r="F218" s="82"/>
      <c r="G218" s="84"/>
      <c r="H218" s="84"/>
      <c r="I218" s="84"/>
    </row>
    <row r="219" spans="1:9" ht="14.5" x14ac:dyDescent="0.35">
      <c r="A219" s="81"/>
      <c r="B219" s="81"/>
      <c r="C219" s="82"/>
      <c r="D219" s="82"/>
      <c r="E219" s="83"/>
      <c r="F219" s="82"/>
      <c r="G219" s="84"/>
      <c r="H219" s="84"/>
      <c r="I219" s="84"/>
    </row>
    <row r="220" spans="1:9" ht="14.5" x14ac:dyDescent="0.35">
      <c r="A220" s="81"/>
      <c r="B220" s="81"/>
      <c r="C220" s="82"/>
      <c r="D220" s="82"/>
      <c r="E220" s="83"/>
      <c r="F220" s="82"/>
      <c r="G220" s="84"/>
      <c r="H220" s="84"/>
      <c r="I220" s="84"/>
    </row>
    <row r="221" spans="1:9" ht="14.5" x14ac:dyDescent="0.35">
      <c r="A221" s="81"/>
      <c r="B221" s="81"/>
      <c r="C221" s="82"/>
      <c r="D221" s="82"/>
      <c r="E221" s="83"/>
      <c r="F221" s="82"/>
      <c r="G221" s="84"/>
      <c r="H221" s="84"/>
      <c r="I221" s="84"/>
    </row>
    <row r="222" spans="1:9" ht="14.5" x14ac:dyDescent="0.35">
      <c r="A222" s="81"/>
      <c r="B222" s="81"/>
      <c r="C222" s="82"/>
      <c r="D222" s="82"/>
      <c r="E222" s="83"/>
      <c r="F222" s="82"/>
      <c r="G222" s="84"/>
      <c r="H222" s="84"/>
      <c r="I222" s="84"/>
    </row>
    <row r="223" spans="1:9" ht="14.5" x14ac:dyDescent="0.35">
      <c r="A223" s="81"/>
      <c r="B223" s="81"/>
      <c r="C223" s="82"/>
      <c r="D223" s="82"/>
      <c r="E223" s="83"/>
      <c r="F223" s="82"/>
      <c r="G223" s="84"/>
      <c r="H223" s="84"/>
      <c r="I223" s="84"/>
    </row>
    <row r="224" spans="1:9" ht="14.5" x14ac:dyDescent="0.35">
      <c r="A224" s="81"/>
      <c r="B224" s="81"/>
      <c r="C224" s="82"/>
      <c r="D224" s="82"/>
      <c r="E224" s="83"/>
      <c r="F224" s="82"/>
      <c r="G224" s="84"/>
      <c r="H224" s="84"/>
      <c r="I224" s="84"/>
    </row>
    <row r="225" spans="1:9" ht="14.5" x14ac:dyDescent="0.35">
      <c r="A225" s="81"/>
      <c r="B225" s="81"/>
      <c r="C225" s="82"/>
      <c r="D225" s="82"/>
      <c r="E225" s="83"/>
      <c r="F225" s="82"/>
      <c r="G225" s="84"/>
      <c r="H225" s="84"/>
      <c r="I225" s="84"/>
    </row>
    <row r="226" spans="1:9" ht="14.5" x14ac:dyDescent="0.35">
      <c r="A226" s="81"/>
      <c r="B226" s="81"/>
      <c r="C226" s="82"/>
      <c r="D226" s="82"/>
      <c r="E226" s="83"/>
      <c r="F226" s="82"/>
      <c r="G226" s="84"/>
      <c r="H226" s="84"/>
      <c r="I226" s="84"/>
    </row>
    <row r="227" spans="1:9" ht="14.5" x14ac:dyDescent="0.35">
      <c r="A227" s="81"/>
      <c r="B227" s="81"/>
      <c r="C227" s="82"/>
      <c r="D227" s="82"/>
      <c r="E227" s="83"/>
      <c r="F227" s="82"/>
      <c r="G227" s="84"/>
      <c r="H227" s="84"/>
      <c r="I227" s="84"/>
    </row>
    <row r="228" spans="1:9" ht="14.5" x14ac:dyDescent="0.35">
      <c r="A228" s="81"/>
      <c r="B228" s="81"/>
      <c r="C228" s="82"/>
      <c r="D228" s="82"/>
      <c r="E228" s="83"/>
      <c r="F228" s="82"/>
      <c r="G228" s="84"/>
      <c r="H228" s="84"/>
      <c r="I228" s="84"/>
    </row>
    <row r="229" spans="1:9" ht="14.5" x14ac:dyDescent="0.35">
      <c r="A229" s="81"/>
      <c r="B229" s="81"/>
      <c r="C229" s="82"/>
      <c r="D229" s="82"/>
      <c r="E229" s="83"/>
      <c r="F229" s="82"/>
      <c r="G229" s="84"/>
      <c r="H229" s="84"/>
      <c r="I229" s="84"/>
    </row>
    <row r="230" spans="1:9" ht="14.5" x14ac:dyDescent="0.35">
      <c r="A230" s="81"/>
      <c r="B230" s="81"/>
      <c r="C230" s="82"/>
      <c r="D230" s="82"/>
      <c r="E230" s="83"/>
      <c r="F230" s="82"/>
      <c r="G230" s="84"/>
      <c r="H230" s="84"/>
      <c r="I230" s="84"/>
    </row>
    <row r="231" spans="1:9" ht="14.5" x14ac:dyDescent="0.35">
      <c r="A231" s="81"/>
      <c r="B231" s="81"/>
      <c r="C231" s="82"/>
      <c r="D231" s="82"/>
      <c r="E231" s="83"/>
      <c r="F231" s="82"/>
      <c r="G231" s="84"/>
      <c r="H231" s="84"/>
      <c r="I231" s="84"/>
    </row>
    <row r="232" spans="1:9" ht="14.5" x14ac:dyDescent="0.35">
      <c r="A232" s="81"/>
      <c r="B232" s="81"/>
      <c r="C232" s="82"/>
      <c r="D232" s="82"/>
      <c r="E232" s="83"/>
      <c r="F232" s="82"/>
      <c r="G232" s="84"/>
      <c r="H232" s="84"/>
      <c r="I232" s="84"/>
    </row>
    <row r="233" spans="1:9" ht="14.5" x14ac:dyDescent="0.35">
      <c r="A233" s="81"/>
      <c r="B233" s="81"/>
      <c r="C233" s="82"/>
      <c r="D233" s="82"/>
      <c r="E233" s="83"/>
      <c r="F233" s="82"/>
      <c r="G233" s="84"/>
      <c r="H233" s="84"/>
      <c r="I233" s="84"/>
    </row>
    <row r="234" spans="1:9" ht="14.5" x14ac:dyDescent="0.35">
      <c r="A234" s="81"/>
      <c r="B234" s="81"/>
      <c r="C234" s="82"/>
      <c r="D234" s="82"/>
      <c r="E234" s="83"/>
      <c r="F234" s="82"/>
      <c r="G234" s="84"/>
      <c r="H234" s="84"/>
      <c r="I234" s="84"/>
    </row>
    <row r="235" spans="1:9" ht="14.5" x14ac:dyDescent="0.35">
      <c r="A235" s="81"/>
      <c r="B235" s="81"/>
      <c r="C235" s="82"/>
      <c r="D235" s="82"/>
      <c r="E235" s="83"/>
      <c r="F235" s="82"/>
      <c r="G235" s="84"/>
      <c r="H235" s="84"/>
      <c r="I235" s="84"/>
    </row>
    <row r="236" spans="1:9" ht="14.5" x14ac:dyDescent="0.35">
      <c r="A236" s="81"/>
      <c r="B236" s="81"/>
      <c r="C236" s="82"/>
      <c r="D236" s="82"/>
      <c r="E236" s="83"/>
      <c r="F236" s="82"/>
      <c r="G236" s="84"/>
      <c r="H236" s="84"/>
      <c r="I236" s="84"/>
    </row>
    <row r="237" spans="1:9" ht="14.5" x14ac:dyDescent="0.35">
      <c r="A237" s="81"/>
      <c r="B237" s="81"/>
      <c r="C237" s="82"/>
      <c r="D237" s="82"/>
      <c r="E237" s="83"/>
      <c r="F237" s="82"/>
      <c r="G237" s="84"/>
      <c r="H237" s="84"/>
      <c r="I237" s="84"/>
    </row>
    <row r="238" spans="1:9" ht="14.5" x14ac:dyDescent="0.35">
      <c r="A238" s="81"/>
      <c r="B238" s="81"/>
      <c r="C238" s="82"/>
      <c r="D238" s="82"/>
      <c r="E238" s="83"/>
      <c r="F238" s="82"/>
      <c r="G238" s="84"/>
      <c r="H238" s="84"/>
      <c r="I238" s="84"/>
    </row>
    <row r="239" spans="1:9" ht="14.5" x14ac:dyDescent="0.35">
      <c r="A239" s="81"/>
      <c r="B239" s="81"/>
      <c r="C239" s="82"/>
      <c r="D239" s="82"/>
      <c r="E239" s="83"/>
      <c r="F239" s="82"/>
      <c r="G239" s="84"/>
      <c r="H239" s="84"/>
      <c r="I239" s="84"/>
    </row>
    <row r="240" spans="1:9" ht="14.5" x14ac:dyDescent="0.35">
      <c r="A240" s="81"/>
      <c r="B240" s="81"/>
      <c r="C240" s="82"/>
      <c r="D240" s="82"/>
      <c r="E240" s="83"/>
      <c r="F240" s="82"/>
      <c r="G240" s="84"/>
      <c r="H240" s="84"/>
      <c r="I240" s="84"/>
    </row>
    <row r="241" spans="1:9" ht="14.5" x14ac:dyDescent="0.35">
      <c r="A241" s="81"/>
      <c r="B241" s="81"/>
      <c r="C241" s="82"/>
      <c r="D241" s="82"/>
      <c r="E241" s="83"/>
      <c r="F241" s="82"/>
      <c r="G241" s="84"/>
      <c r="H241" s="84"/>
      <c r="I241" s="84"/>
    </row>
    <row r="242" spans="1:9" ht="14.5" x14ac:dyDescent="0.35">
      <c r="A242" s="81"/>
      <c r="B242" s="81"/>
      <c r="C242" s="82"/>
      <c r="D242" s="82"/>
      <c r="E242" s="83"/>
      <c r="F242" s="82"/>
      <c r="G242" s="84"/>
      <c r="H242" s="84"/>
      <c r="I242" s="84"/>
    </row>
    <row r="243" spans="1:9" ht="14.5" x14ac:dyDescent="0.35">
      <c r="A243" s="81"/>
      <c r="B243" s="81"/>
      <c r="C243" s="82"/>
      <c r="D243" s="82"/>
      <c r="E243" s="83"/>
      <c r="F243" s="82"/>
      <c r="G243" s="84"/>
      <c r="H243" s="84"/>
      <c r="I243" s="84"/>
    </row>
    <row r="244" spans="1:9" ht="14.5" x14ac:dyDescent="0.35">
      <c r="A244" s="81"/>
      <c r="B244" s="81"/>
      <c r="C244" s="82"/>
      <c r="D244" s="82"/>
      <c r="E244" s="83"/>
      <c r="F244" s="82"/>
      <c r="G244" s="84"/>
      <c r="H244" s="84"/>
      <c r="I244" s="84"/>
    </row>
    <row r="245" spans="1:9" ht="14.5" x14ac:dyDescent="0.35">
      <c r="A245" s="81"/>
      <c r="B245" s="81"/>
      <c r="C245" s="82"/>
      <c r="D245" s="82"/>
      <c r="E245" s="83"/>
      <c r="F245" s="82"/>
      <c r="G245" s="84"/>
      <c r="H245" s="84"/>
      <c r="I245" s="84"/>
    </row>
    <row r="246" spans="1:9" ht="14.5" x14ac:dyDescent="0.35">
      <c r="A246" s="81"/>
      <c r="B246" s="81"/>
      <c r="C246" s="82"/>
      <c r="D246" s="82"/>
      <c r="E246" s="83"/>
      <c r="F246" s="82"/>
      <c r="G246" s="84"/>
      <c r="H246" s="84"/>
      <c r="I246" s="84"/>
    </row>
    <row r="247" spans="1:9" ht="14.5" x14ac:dyDescent="0.35">
      <c r="A247" s="81"/>
      <c r="B247" s="81"/>
      <c r="C247" s="82"/>
      <c r="D247" s="82"/>
      <c r="E247" s="83"/>
      <c r="F247" s="82"/>
      <c r="G247" s="84"/>
      <c r="H247" s="84"/>
      <c r="I247" s="84"/>
    </row>
    <row r="248" spans="1:9" ht="14.5" x14ac:dyDescent="0.35">
      <c r="A248" s="81"/>
      <c r="B248" s="81"/>
      <c r="C248" s="82"/>
      <c r="D248" s="82"/>
      <c r="E248" s="83"/>
      <c r="F248" s="82"/>
      <c r="G248" s="84"/>
      <c r="H248" s="84"/>
      <c r="I248" s="84"/>
    </row>
    <row r="249" spans="1:9" ht="14.5" x14ac:dyDescent="0.35">
      <c r="A249" s="81"/>
      <c r="B249" s="81"/>
      <c r="C249" s="82"/>
      <c r="D249" s="82"/>
      <c r="E249" s="83"/>
      <c r="F249" s="82"/>
      <c r="G249" s="84"/>
      <c r="H249" s="84"/>
      <c r="I249" s="84"/>
    </row>
    <row r="250" spans="1:9" ht="14.5" x14ac:dyDescent="0.35">
      <c r="A250" s="81"/>
      <c r="B250" s="81"/>
      <c r="C250" s="82"/>
      <c r="D250" s="82"/>
      <c r="E250" s="83"/>
      <c r="F250" s="82"/>
      <c r="G250" s="84"/>
      <c r="H250" s="84"/>
      <c r="I250" s="84"/>
    </row>
    <row r="251" spans="1:9" ht="14.5" x14ac:dyDescent="0.35">
      <c r="A251" s="81"/>
      <c r="B251" s="81"/>
      <c r="C251" s="82"/>
      <c r="D251" s="82"/>
      <c r="E251" s="83"/>
      <c r="F251" s="82"/>
      <c r="G251" s="84"/>
      <c r="H251" s="84"/>
      <c r="I251" s="84"/>
    </row>
    <row r="252" spans="1:9" ht="14.5" x14ac:dyDescent="0.35">
      <c r="A252" s="81"/>
      <c r="B252" s="81"/>
      <c r="C252" s="82"/>
      <c r="D252" s="82"/>
      <c r="E252" s="83"/>
      <c r="F252" s="82"/>
      <c r="G252" s="84"/>
      <c r="H252" s="84"/>
      <c r="I252" s="84"/>
    </row>
    <row r="253" spans="1:9" ht="14.5" x14ac:dyDescent="0.35">
      <c r="A253" s="81"/>
      <c r="B253" s="81"/>
      <c r="C253" s="82"/>
      <c r="D253" s="82"/>
      <c r="E253" s="83"/>
      <c r="F253" s="82"/>
      <c r="G253" s="84"/>
      <c r="H253" s="84"/>
      <c r="I253" s="84"/>
    </row>
    <row r="254" spans="1:9" ht="14.5" x14ac:dyDescent="0.35">
      <c r="A254" s="81"/>
      <c r="B254" s="81"/>
      <c r="C254" s="82"/>
      <c r="D254" s="82"/>
      <c r="E254" s="83"/>
      <c r="F254" s="82"/>
      <c r="G254" s="84"/>
      <c r="H254" s="84"/>
      <c r="I254" s="84"/>
    </row>
    <row r="255" spans="1:9" ht="14.5" x14ac:dyDescent="0.35">
      <c r="A255" s="81"/>
      <c r="B255" s="81"/>
      <c r="C255" s="82"/>
      <c r="D255" s="82"/>
      <c r="E255" s="83"/>
      <c r="F255" s="82"/>
      <c r="G255" s="84"/>
      <c r="H255" s="84"/>
      <c r="I255" s="84"/>
    </row>
    <row r="256" spans="1:9" ht="14.5" x14ac:dyDescent="0.35">
      <c r="A256" s="81"/>
      <c r="B256" s="81"/>
      <c r="C256" s="82"/>
      <c r="D256" s="82"/>
      <c r="E256" s="83"/>
      <c r="F256" s="82"/>
      <c r="G256" s="84"/>
      <c r="H256" s="84"/>
      <c r="I256" s="84"/>
    </row>
    <row r="257" spans="1:9" ht="14.5" x14ac:dyDescent="0.35">
      <c r="A257" s="81"/>
      <c r="B257" s="81"/>
      <c r="C257" s="82"/>
      <c r="D257" s="82"/>
      <c r="E257" s="83"/>
      <c r="F257" s="82"/>
      <c r="G257" s="84"/>
      <c r="H257" s="84"/>
      <c r="I257" s="84"/>
    </row>
    <row r="258" spans="1:9" ht="14.5" x14ac:dyDescent="0.35">
      <c r="A258" s="81"/>
      <c r="B258" s="81"/>
      <c r="C258" s="82"/>
      <c r="D258" s="82"/>
      <c r="E258" s="83"/>
      <c r="F258" s="82"/>
      <c r="G258" s="84"/>
      <c r="H258" s="84"/>
      <c r="I258" s="84"/>
    </row>
    <row r="259" spans="1:9" ht="14.5" x14ac:dyDescent="0.35">
      <c r="A259" s="81"/>
      <c r="B259" s="81"/>
      <c r="C259" s="82"/>
      <c r="D259" s="82"/>
      <c r="E259" s="83"/>
      <c r="F259" s="82"/>
      <c r="G259" s="84"/>
      <c r="H259" s="84"/>
      <c r="I259" s="84"/>
    </row>
    <row r="260" spans="1:9" ht="14.5" x14ac:dyDescent="0.35">
      <c r="A260" s="81"/>
      <c r="B260" s="81"/>
      <c r="C260" s="82"/>
      <c r="D260" s="82"/>
      <c r="E260" s="83"/>
      <c r="F260" s="82"/>
      <c r="G260" s="84"/>
      <c r="H260" s="84"/>
      <c r="I260" s="84"/>
    </row>
    <row r="261" spans="1:9" ht="14.5" x14ac:dyDescent="0.35">
      <c r="A261" s="81"/>
      <c r="B261" s="81"/>
      <c r="C261" s="82"/>
      <c r="D261" s="82"/>
      <c r="E261" s="83"/>
      <c r="F261" s="82"/>
      <c r="G261" s="84"/>
      <c r="H261" s="84"/>
      <c r="I261" s="84"/>
    </row>
    <row r="262" spans="1:9" ht="14.5" x14ac:dyDescent="0.35">
      <c r="A262" s="81"/>
      <c r="B262" s="81"/>
      <c r="C262" s="82"/>
      <c r="D262" s="82"/>
      <c r="E262" s="83"/>
      <c r="F262" s="82"/>
      <c r="G262" s="84"/>
      <c r="H262" s="84"/>
      <c r="I262" s="84"/>
    </row>
    <row r="263" spans="1:9" ht="14.5" x14ac:dyDescent="0.35">
      <c r="A263" s="81"/>
      <c r="B263" s="81"/>
      <c r="C263" s="82"/>
      <c r="D263" s="82"/>
      <c r="E263" s="83"/>
      <c r="F263" s="82"/>
      <c r="G263" s="84"/>
      <c r="H263" s="84"/>
      <c r="I263" s="84"/>
    </row>
    <row r="264" spans="1:9" ht="14.5" x14ac:dyDescent="0.35">
      <c r="A264" s="81"/>
      <c r="B264" s="81"/>
      <c r="C264" s="82"/>
      <c r="D264" s="82"/>
      <c r="E264" s="83"/>
      <c r="F264" s="82"/>
      <c r="G264" s="84"/>
      <c r="H264" s="84"/>
      <c r="I264" s="84"/>
    </row>
    <row r="265" spans="1:9" ht="14.5" x14ac:dyDescent="0.35">
      <c r="A265" s="81"/>
      <c r="B265" s="81"/>
      <c r="C265" s="82"/>
      <c r="D265" s="82"/>
      <c r="E265" s="83"/>
      <c r="F265" s="82"/>
      <c r="G265" s="84"/>
      <c r="H265" s="84"/>
      <c r="I265" s="84"/>
    </row>
    <row r="266" spans="1:9" ht="14.5" x14ac:dyDescent="0.35">
      <c r="A266" s="81"/>
      <c r="B266" s="81"/>
      <c r="C266" s="82"/>
      <c r="D266" s="82"/>
      <c r="E266" s="83"/>
      <c r="F266" s="82"/>
      <c r="G266" s="84"/>
      <c r="H266" s="84"/>
      <c r="I266" s="84"/>
    </row>
    <row r="267" spans="1:9" ht="14.5" x14ac:dyDescent="0.35">
      <c r="A267" s="81"/>
      <c r="B267" s="81"/>
      <c r="C267" s="82"/>
      <c r="D267" s="82"/>
      <c r="E267" s="83"/>
      <c r="F267" s="82"/>
      <c r="G267" s="84"/>
      <c r="H267" s="84"/>
      <c r="I267" s="84"/>
    </row>
    <row r="268" spans="1:9" ht="14.5" x14ac:dyDescent="0.35">
      <c r="A268" s="81"/>
      <c r="B268" s="81"/>
      <c r="C268" s="82"/>
      <c r="D268" s="82"/>
      <c r="E268" s="83"/>
      <c r="F268" s="82"/>
      <c r="G268" s="84"/>
      <c r="H268" s="84"/>
      <c r="I268" s="84"/>
    </row>
    <row r="269" spans="1:9" ht="14.5" x14ac:dyDescent="0.35">
      <c r="A269" s="81"/>
      <c r="B269" s="81"/>
      <c r="C269" s="82"/>
      <c r="D269" s="82"/>
      <c r="E269" s="83"/>
      <c r="F269" s="82"/>
      <c r="G269" s="84"/>
      <c r="H269" s="84"/>
      <c r="I269" s="84"/>
    </row>
    <row r="270" spans="1:9" ht="14.5" x14ac:dyDescent="0.35">
      <c r="A270" s="81"/>
      <c r="B270" s="81"/>
      <c r="C270" s="82"/>
      <c r="D270" s="82"/>
      <c r="E270" s="83"/>
      <c r="F270" s="82"/>
      <c r="G270" s="84"/>
      <c r="H270" s="84"/>
      <c r="I270" s="84"/>
    </row>
    <row r="271" spans="1:9" ht="14.5" x14ac:dyDescent="0.35">
      <c r="A271" s="81"/>
      <c r="B271" s="81"/>
      <c r="C271" s="82"/>
      <c r="D271" s="82"/>
      <c r="E271" s="83"/>
      <c r="F271" s="82"/>
      <c r="G271" s="84"/>
      <c r="H271" s="84"/>
      <c r="I271" s="84"/>
    </row>
    <row r="272" spans="1:9" ht="14.5" x14ac:dyDescent="0.35">
      <c r="A272" s="81"/>
      <c r="B272" s="81"/>
      <c r="C272" s="82"/>
      <c r="D272" s="82"/>
      <c r="E272" s="83"/>
      <c r="F272" s="82"/>
      <c r="G272" s="84"/>
      <c r="H272" s="84"/>
      <c r="I272" s="84"/>
    </row>
    <row r="273" spans="1:9" ht="14.5" x14ac:dyDescent="0.35">
      <c r="A273" s="81"/>
      <c r="B273" s="81"/>
      <c r="C273" s="82"/>
      <c r="D273" s="82"/>
      <c r="E273" s="83"/>
      <c r="F273" s="82"/>
      <c r="G273" s="84"/>
      <c r="H273" s="84"/>
      <c r="I273" s="84"/>
    </row>
    <row r="274" spans="1:9" ht="14.5" x14ac:dyDescent="0.35">
      <c r="A274" s="81"/>
      <c r="B274" s="81"/>
      <c r="C274" s="82"/>
      <c r="D274" s="82"/>
      <c r="E274" s="83"/>
      <c r="F274" s="82"/>
      <c r="G274" s="84"/>
      <c r="H274" s="84"/>
      <c r="I274" s="84"/>
    </row>
    <row r="275" spans="1:9" ht="14.5" x14ac:dyDescent="0.35">
      <c r="A275" s="81"/>
      <c r="B275" s="81"/>
      <c r="C275" s="82"/>
      <c r="D275" s="82"/>
      <c r="E275" s="83"/>
      <c r="F275" s="82"/>
      <c r="G275" s="84"/>
      <c r="H275" s="84"/>
      <c r="I275" s="84"/>
    </row>
    <row r="276" spans="1:9" ht="14.5" x14ac:dyDescent="0.35">
      <c r="A276" s="81"/>
      <c r="B276" s="81"/>
      <c r="C276" s="82"/>
      <c r="D276" s="82"/>
      <c r="E276" s="83"/>
      <c r="F276" s="82"/>
      <c r="G276" s="84"/>
      <c r="H276" s="84"/>
      <c r="I276" s="84"/>
    </row>
    <row r="277" spans="1:9" ht="14.5" x14ac:dyDescent="0.35">
      <c r="A277" s="81"/>
      <c r="B277" s="81"/>
      <c r="C277" s="82"/>
      <c r="D277" s="82"/>
      <c r="E277" s="83"/>
      <c r="F277" s="82"/>
      <c r="G277" s="84"/>
      <c r="H277" s="84"/>
      <c r="I277" s="84"/>
    </row>
    <row r="278" spans="1:9" ht="14.5" x14ac:dyDescent="0.35">
      <c r="A278" s="81"/>
      <c r="B278" s="81"/>
      <c r="C278" s="82"/>
      <c r="D278" s="82"/>
      <c r="E278" s="83"/>
      <c r="F278" s="82"/>
      <c r="G278" s="84"/>
      <c r="H278" s="84"/>
      <c r="I278" s="84"/>
    </row>
    <row r="279" spans="1:9" ht="14.5" x14ac:dyDescent="0.35">
      <c r="A279" s="81"/>
      <c r="B279" s="81"/>
      <c r="C279" s="82"/>
      <c r="D279" s="82"/>
      <c r="E279" s="83"/>
      <c r="F279" s="82"/>
      <c r="G279" s="84"/>
      <c r="H279" s="84"/>
      <c r="I279" s="84"/>
    </row>
    <row r="280" spans="1:9" ht="14.5" x14ac:dyDescent="0.35">
      <c r="A280" s="81"/>
      <c r="B280" s="81"/>
      <c r="C280" s="82"/>
      <c r="D280" s="82"/>
      <c r="E280" s="83"/>
      <c r="F280" s="82"/>
      <c r="G280" s="84"/>
      <c r="H280" s="84"/>
      <c r="I280" s="84"/>
    </row>
    <row r="281" spans="1:9" ht="14.5" x14ac:dyDescent="0.35">
      <c r="A281" s="81"/>
      <c r="B281" s="81"/>
      <c r="C281" s="82"/>
      <c r="D281" s="82"/>
      <c r="E281" s="83"/>
      <c r="F281" s="82"/>
      <c r="G281" s="84"/>
      <c r="H281" s="84"/>
      <c r="I281" s="84"/>
    </row>
    <row r="282" spans="1:9" ht="14.5" x14ac:dyDescent="0.35">
      <c r="A282" s="81"/>
      <c r="B282" s="81"/>
      <c r="C282" s="82"/>
      <c r="D282" s="82"/>
      <c r="E282" s="83"/>
      <c r="F282" s="82"/>
      <c r="G282" s="84"/>
      <c r="H282" s="84"/>
      <c r="I282" s="84"/>
    </row>
    <row r="283" spans="1:9" ht="14.5" x14ac:dyDescent="0.35">
      <c r="A283" s="81"/>
      <c r="B283" s="81"/>
      <c r="C283" s="82"/>
      <c r="D283" s="82"/>
      <c r="E283" s="83"/>
      <c r="F283" s="82"/>
      <c r="G283" s="84"/>
      <c r="H283" s="84"/>
      <c r="I283" s="84"/>
    </row>
    <row r="284" spans="1:9" ht="14.5" x14ac:dyDescent="0.35">
      <c r="A284" s="81"/>
      <c r="B284" s="81"/>
      <c r="C284" s="82"/>
      <c r="D284" s="82"/>
      <c r="E284" s="83"/>
      <c r="F284" s="82"/>
      <c r="G284" s="84"/>
      <c r="H284" s="84"/>
      <c r="I284" s="84"/>
    </row>
    <row r="285" spans="1:9" ht="14.5" x14ac:dyDescent="0.35">
      <c r="A285" s="81"/>
      <c r="B285" s="81"/>
      <c r="C285" s="82"/>
      <c r="D285" s="82"/>
      <c r="E285" s="83"/>
      <c r="F285" s="82"/>
      <c r="G285" s="84"/>
      <c r="H285" s="84"/>
      <c r="I285" s="84"/>
    </row>
    <row r="286" spans="1:9" ht="14.5" x14ac:dyDescent="0.35">
      <c r="A286" s="81"/>
      <c r="B286" s="81"/>
      <c r="C286" s="82"/>
      <c r="D286" s="82"/>
      <c r="E286" s="83"/>
      <c r="F286" s="82"/>
      <c r="G286" s="84"/>
      <c r="H286" s="84"/>
      <c r="I286" s="84"/>
    </row>
    <row r="287" spans="1:9" ht="14.5" x14ac:dyDescent="0.35">
      <c r="A287" s="81"/>
      <c r="B287" s="81"/>
      <c r="C287" s="82"/>
      <c r="D287" s="82"/>
      <c r="E287" s="83"/>
      <c r="F287" s="82"/>
      <c r="G287" s="84"/>
      <c r="H287" s="84"/>
      <c r="I287" s="84"/>
    </row>
    <row r="288" spans="1:9" ht="14.5" x14ac:dyDescent="0.35">
      <c r="A288" s="81"/>
      <c r="B288" s="81"/>
      <c r="C288" s="82"/>
      <c r="D288" s="82"/>
      <c r="E288" s="83"/>
      <c r="F288" s="82"/>
      <c r="G288" s="84"/>
      <c r="H288" s="84"/>
      <c r="I288" s="84"/>
    </row>
    <row r="289" spans="1:9" ht="14.5" x14ac:dyDescent="0.35">
      <c r="A289" s="81"/>
      <c r="B289" s="81"/>
      <c r="C289" s="82"/>
      <c r="D289" s="82"/>
      <c r="E289" s="83"/>
      <c r="F289" s="82"/>
      <c r="G289" s="84"/>
      <c r="H289" s="84"/>
      <c r="I289" s="84"/>
    </row>
    <row r="290" spans="1:9" ht="14.5" x14ac:dyDescent="0.35">
      <c r="A290" s="81"/>
      <c r="B290" s="81"/>
      <c r="C290" s="82"/>
      <c r="D290" s="82"/>
      <c r="E290" s="83"/>
      <c r="F290" s="82"/>
      <c r="G290" s="84"/>
      <c r="H290" s="84"/>
      <c r="I290" s="84"/>
    </row>
    <row r="291" spans="1:9" ht="14.5" x14ac:dyDescent="0.35">
      <c r="A291" s="81"/>
      <c r="B291" s="81"/>
      <c r="C291" s="82"/>
      <c r="D291" s="82"/>
      <c r="E291" s="83"/>
      <c r="F291" s="82"/>
      <c r="G291" s="84"/>
      <c r="H291" s="84"/>
      <c r="I291" s="84"/>
    </row>
    <row r="292" spans="1:9" ht="14.5" x14ac:dyDescent="0.35">
      <c r="A292" s="81"/>
      <c r="B292" s="81"/>
      <c r="C292" s="82"/>
      <c r="D292" s="82"/>
      <c r="E292" s="83"/>
      <c r="F292" s="82"/>
      <c r="G292" s="84"/>
      <c r="H292" s="84"/>
      <c r="I292" s="84"/>
    </row>
    <row r="293" spans="1:9" ht="14.5" x14ac:dyDescent="0.35">
      <c r="A293" s="81"/>
      <c r="B293" s="81"/>
      <c r="C293" s="82"/>
      <c r="D293" s="82"/>
      <c r="E293" s="83"/>
      <c r="F293" s="82"/>
      <c r="G293" s="84"/>
      <c r="H293" s="84"/>
      <c r="I293" s="84"/>
    </row>
    <row r="294" spans="1:9" ht="14.5" x14ac:dyDescent="0.35">
      <c r="A294" s="81"/>
      <c r="B294" s="81"/>
      <c r="C294" s="82"/>
      <c r="D294" s="82"/>
      <c r="E294" s="83"/>
      <c r="F294" s="82"/>
      <c r="G294" s="84"/>
      <c r="H294" s="84"/>
      <c r="I294" s="84"/>
    </row>
    <row r="295" spans="1:9" ht="14.5" x14ac:dyDescent="0.35">
      <c r="A295" s="81"/>
      <c r="B295" s="81"/>
      <c r="C295" s="82"/>
      <c r="D295" s="82"/>
      <c r="E295" s="83"/>
      <c r="F295" s="82"/>
      <c r="G295" s="84"/>
      <c r="H295" s="84"/>
      <c r="I295" s="84"/>
    </row>
    <row r="296" spans="1:9" ht="14.5" x14ac:dyDescent="0.35">
      <c r="A296" s="81"/>
      <c r="B296" s="81"/>
      <c r="C296" s="82"/>
      <c r="D296" s="82"/>
      <c r="E296" s="83"/>
      <c r="F296" s="82"/>
      <c r="G296" s="84"/>
      <c r="H296" s="84"/>
      <c r="I296" s="84"/>
    </row>
    <row r="297" spans="1:9" ht="14.5" x14ac:dyDescent="0.35">
      <c r="A297" s="81"/>
      <c r="B297" s="81"/>
      <c r="C297" s="82"/>
      <c r="D297" s="82"/>
      <c r="E297" s="83"/>
      <c r="F297" s="82"/>
      <c r="G297" s="84"/>
      <c r="H297" s="84"/>
      <c r="I297" s="84"/>
    </row>
    <row r="298" spans="1:9" ht="14.5" x14ac:dyDescent="0.35">
      <c r="A298" s="81"/>
      <c r="B298" s="81"/>
      <c r="C298" s="82"/>
      <c r="D298" s="82"/>
      <c r="E298" s="83"/>
      <c r="F298" s="82"/>
      <c r="G298" s="84"/>
      <c r="H298" s="84"/>
      <c r="I298" s="84"/>
    </row>
    <row r="299" spans="1:9" ht="14.5" x14ac:dyDescent="0.35">
      <c r="A299" s="81"/>
      <c r="B299" s="81"/>
      <c r="C299" s="82"/>
      <c r="D299" s="82"/>
      <c r="E299" s="83"/>
      <c r="F299" s="82"/>
      <c r="G299" s="84"/>
      <c r="H299" s="84"/>
      <c r="I299" s="84"/>
    </row>
    <row r="300" spans="1:9" ht="14.5" x14ac:dyDescent="0.35">
      <c r="A300" s="81"/>
      <c r="B300" s="81"/>
      <c r="C300" s="82"/>
      <c r="D300" s="82"/>
      <c r="E300" s="83"/>
      <c r="F300" s="82"/>
      <c r="G300" s="84"/>
      <c r="H300" s="84"/>
      <c r="I300" s="84"/>
    </row>
    <row r="301" spans="1:9" ht="14.5" x14ac:dyDescent="0.35">
      <c r="A301" s="81"/>
      <c r="B301" s="81"/>
      <c r="C301" s="82"/>
      <c r="D301" s="82"/>
      <c r="E301" s="83"/>
      <c r="F301" s="82"/>
      <c r="G301" s="84"/>
      <c r="H301" s="84"/>
      <c r="I301" s="84"/>
    </row>
    <row r="302" spans="1:9" ht="14.5" x14ac:dyDescent="0.35">
      <c r="A302" s="81"/>
      <c r="B302" s="81"/>
      <c r="C302" s="82"/>
      <c r="D302" s="82"/>
      <c r="E302" s="83"/>
      <c r="F302" s="82"/>
      <c r="G302" s="84"/>
      <c r="H302" s="84"/>
      <c r="I302" s="84"/>
    </row>
    <row r="303" spans="1:9" ht="14.5" x14ac:dyDescent="0.35">
      <c r="A303" s="81"/>
      <c r="B303" s="81"/>
      <c r="C303" s="82"/>
      <c r="D303" s="82"/>
      <c r="E303" s="83"/>
      <c r="F303" s="82"/>
      <c r="G303" s="84"/>
      <c r="H303" s="84"/>
      <c r="I303" s="84"/>
    </row>
    <row r="304" spans="1:9" ht="14.5" x14ac:dyDescent="0.35">
      <c r="A304" s="81"/>
      <c r="B304" s="81"/>
      <c r="C304" s="82"/>
      <c r="D304" s="82"/>
      <c r="E304" s="83"/>
      <c r="F304" s="82"/>
      <c r="G304" s="84"/>
      <c r="H304" s="84"/>
      <c r="I304" s="84"/>
    </row>
    <row r="305" spans="1:9" ht="14.5" x14ac:dyDescent="0.35">
      <c r="A305" s="81"/>
      <c r="B305" s="81"/>
      <c r="C305" s="82"/>
      <c r="D305" s="82"/>
      <c r="E305" s="83"/>
      <c r="F305" s="82"/>
      <c r="G305" s="84"/>
      <c r="H305" s="84"/>
      <c r="I305" s="84"/>
    </row>
    <row r="306" spans="1:9" ht="14.5" x14ac:dyDescent="0.35">
      <c r="A306" s="81"/>
      <c r="B306" s="81"/>
      <c r="C306" s="82"/>
      <c r="D306" s="82"/>
      <c r="E306" s="83"/>
      <c r="F306" s="82"/>
      <c r="G306" s="84"/>
      <c r="H306" s="84"/>
      <c r="I306" s="84"/>
    </row>
    <row r="307" spans="1:9" ht="14.5" x14ac:dyDescent="0.35">
      <c r="A307" s="81"/>
      <c r="B307" s="81"/>
      <c r="C307" s="82"/>
      <c r="D307" s="82"/>
      <c r="E307" s="83"/>
      <c r="F307" s="82"/>
      <c r="G307" s="84"/>
      <c r="H307" s="84"/>
      <c r="I307" s="84"/>
    </row>
    <row r="308" spans="1:9" ht="14.5" x14ac:dyDescent="0.35">
      <c r="A308" s="81"/>
      <c r="B308" s="81"/>
      <c r="C308" s="82"/>
      <c r="D308" s="82"/>
      <c r="E308" s="83"/>
      <c r="F308" s="82"/>
      <c r="G308" s="84"/>
      <c r="H308" s="84"/>
      <c r="I308" s="84"/>
    </row>
    <row r="309" spans="1:9" ht="14.5" x14ac:dyDescent="0.35">
      <c r="A309" s="81"/>
      <c r="B309" s="81"/>
      <c r="C309" s="82"/>
      <c r="D309" s="82"/>
      <c r="E309" s="83"/>
      <c r="F309" s="82"/>
      <c r="G309" s="84"/>
      <c r="H309" s="84"/>
      <c r="I309" s="84"/>
    </row>
    <row r="310" spans="1:9" ht="14.5" x14ac:dyDescent="0.35">
      <c r="A310" s="81"/>
      <c r="B310" s="81"/>
      <c r="C310" s="82"/>
      <c r="D310" s="82"/>
      <c r="E310" s="83"/>
      <c r="F310" s="82"/>
      <c r="G310" s="84"/>
      <c r="H310" s="84"/>
      <c r="I310" s="84"/>
    </row>
    <row r="311" spans="1:9" ht="14.5" x14ac:dyDescent="0.35">
      <c r="A311" s="81"/>
      <c r="B311" s="81"/>
      <c r="C311" s="82"/>
      <c r="D311" s="82"/>
      <c r="E311" s="83"/>
      <c r="F311" s="82"/>
      <c r="G311" s="84"/>
      <c r="H311" s="84"/>
      <c r="I311" s="84"/>
    </row>
    <row r="312" spans="1:9" ht="14.5" x14ac:dyDescent="0.35">
      <c r="A312" s="81"/>
      <c r="B312" s="81"/>
      <c r="C312" s="82"/>
      <c r="D312" s="82"/>
      <c r="E312" s="83"/>
      <c r="F312" s="82"/>
      <c r="G312" s="84"/>
      <c r="H312" s="84"/>
      <c r="I312" s="84"/>
    </row>
    <row r="313" spans="1:9" ht="14.5" x14ac:dyDescent="0.35">
      <c r="A313" s="81"/>
      <c r="B313" s="81"/>
      <c r="C313" s="82"/>
      <c r="D313" s="82"/>
      <c r="E313" s="83"/>
      <c r="F313" s="82"/>
      <c r="G313" s="84"/>
      <c r="H313" s="84"/>
      <c r="I313" s="84"/>
    </row>
    <row r="314" spans="1:9" ht="14.5" x14ac:dyDescent="0.35">
      <c r="A314" s="81"/>
      <c r="B314" s="81"/>
      <c r="C314" s="82"/>
      <c r="D314" s="82"/>
      <c r="E314" s="83"/>
      <c r="F314" s="82"/>
      <c r="G314" s="84"/>
      <c r="H314" s="84"/>
      <c r="I314" s="84"/>
    </row>
    <row r="315" spans="1:9" ht="14.5" x14ac:dyDescent="0.35">
      <c r="A315" s="81"/>
      <c r="B315" s="81"/>
      <c r="C315" s="82"/>
      <c r="D315" s="82"/>
      <c r="E315" s="83"/>
      <c r="F315" s="82"/>
      <c r="G315" s="84"/>
      <c r="H315" s="84"/>
      <c r="I315" s="84"/>
    </row>
    <row r="316" spans="1:9" ht="14.5" x14ac:dyDescent="0.35">
      <c r="A316" s="81"/>
      <c r="B316" s="81"/>
      <c r="C316" s="82"/>
      <c r="D316" s="82"/>
      <c r="E316" s="83"/>
      <c r="F316" s="82"/>
      <c r="G316" s="84"/>
      <c r="H316" s="84"/>
      <c r="I316" s="84"/>
    </row>
    <row r="317" spans="1:9" ht="14.5" x14ac:dyDescent="0.35">
      <c r="A317" s="81"/>
      <c r="B317" s="81"/>
      <c r="C317" s="82"/>
      <c r="D317" s="82"/>
      <c r="E317" s="83"/>
      <c r="F317" s="82"/>
      <c r="G317" s="84"/>
      <c r="H317" s="84"/>
      <c r="I317" s="84"/>
    </row>
    <row r="318" spans="1:9" ht="14.5" x14ac:dyDescent="0.35">
      <c r="A318" s="81"/>
      <c r="B318" s="81"/>
      <c r="C318" s="82"/>
      <c r="D318" s="82"/>
      <c r="E318" s="83"/>
      <c r="F318" s="82"/>
      <c r="G318" s="84"/>
      <c r="H318" s="84"/>
      <c r="I318" s="84"/>
    </row>
    <row r="319" spans="1:9" ht="14.5" x14ac:dyDescent="0.35">
      <c r="A319" s="81"/>
      <c r="B319" s="81"/>
      <c r="C319" s="82"/>
      <c r="D319" s="82"/>
      <c r="E319" s="83"/>
      <c r="F319" s="82"/>
      <c r="G319" s="84"/>
      <c r="H319" s="84"/>
      <c r="I319" s="84"/>
    </row>
    <row r="320" spans="1:9" ht="14.5" x14ac:dyDescent="0.35">
      <c r="A320" s="81"/>
      <c r="B320" s="81"/>
      <c r="C320" s="82"/>
      <c r="D320" s="82"/>
      <c r="E320" s="83"/>
      <c r="F320" s="82"/>
      <c r="G320" s="84"/>
      <c r="H320" s="84"/>
      <c r="I320" s="84"/>
    </row>
    <row r="321" spans="1:9" ht="14.5" x14ac:dyDescent="0.35">
      <c r="A321" s="81"/>
      <c r="B321" s="81"/>
      <c r="C321" s="82"/>
      <c r="D321" s="82"/>
      <c r="E321" s="83"/>
      <c r="F321" s="82"/>
      <c r="G321" s="84"/>
      <c r="H321" s="84"/>
      <c r="I321" s="84"/>
    </row>
    <row r="322" spans="1:9" ht="14.5" x14ac:dyDescent="0.35">
      <c r="A322" s="81"/>
      <c r="B322" s="81"/>
      <c r="C322" s="82"/>
      <c r="D322" s="82"/>
      <c r="E322" s="83"/>
      <c r="F322" s="82"/>
      <c r="G322" s="84"/>
      <c r="H322" s="84"/>
      <c r="I322" s="84"/>
    </row>
    <row r="323" spans="1:9" ht="14.5" x14ac:dyDescent="0.35">
      <c r="A323" s="81"/>
      <c r="B323" s="81"/>
      <c r="C323" s="82"/>
      <c r="D323" s="82"/>
      <c r="E323" s="83"/>
      <c r="F323" s="82"/>
      <c r="G323" s="84"/>
      <c r="H323" s="84"/>
      <c r="I323" s="84"/>
    </row>
    <row r="324" spans="1:9" ht="14.5" x14ac:dyDescent="0.35">
      <c r="A324" s="81"/>
      <c r="B324" s="81"/>
      <c r="C324" s="82"/>
      <c r="D324" s="82"/>
      <c r="E324" s="83"/>
      <c r="F324" s="82"/>
      <c r="G324" s="84"/>
      <c r="H324" s="84"/>
      <c r="I324" s="84"/>
    </row>
    <row r="325" spans="1:9" ht="14.5" x14ac:dyDescent="0.35">
      <c r="A325" s="81"/>
      <c r="B325" s="81"/>
      <c r="C325" s="82"/>
      <c r="D325" s="82"/>
      <c r="E325" s="83"/>
      <c r="F325" s="82"/>
      <c r="G325" s="84"/>
      <c r="H325" s="84"/>
      <c r="I325" s="84"/>
    </row>
    <row r="326" spans="1:9" ht="14.5" x14ac:dyDescent="0.35">
      <c r="A326" s="81"/>
      <c r="B326" s="81"/>
      <c r="C326" s="82"/>
      <c r="D326" s="82"/>
      <c r="E326" s="83"/>
      <c r="F326" s="82"/>
      <c r="G326" s="84"/>
      <c r="H326" s="84"/>
      <c r="I326" s="84"/>
    </row>
    <row r="327" spans="1:9" ht="14.5" x14ac:dyDescent="0.35">
      <c r="A327" s="81"/>
      <c r="B327" s="81"/>
      <c r="C327" s="82"/>
      <c r="D327" s="82"/>
      <c r="E327" s="83"/>
      <c r="F327" s="82"/>
      <c r="G327" s="84"/>
      <c r="H327" s="84"/>
      <c r="I327" s="84"/>
    </row>
    <row r="328" spans="1:9" ht="14.5" x14ac:dyDescent="0.35">
      <c r="A328" s="81"/>
      <c r="B328" s="81"/>
      <c r="C328" s="82"/>
      <c r="D328" s="82"/>
      <c r="E328" s="83"/>
      <c r="F328" s="82"/>
      <c r="G328" s="84"/>
      <c r="H328" s="84"/>
      <c r="I328" s="84"/>
    </row>
    <row r="329" spans="1:9" ht="14.5" x14ac:dyDescent="0.35">
      <c r="A329" s="81"/>
      <c r="B329" s="81"/>
      <c r="C329" s="82"/>
      <c r="D329" s="82"/>
      <c r="E329" s="83"/>
      <c r="F329" s="82"/>
      <c r="G329" s="84"/>
      <c r="H329" s="84"/>
      <c r="I329" s="84"/>
    </row>
    <row r="330" spans="1:9" ht="14.5" x14ac:dyDescent="0.35">
      <c r="A330" s="81"/>
      <c r="B330" s="81"/>
      <c r="C330" s="82"/>
      <c r="D330" s="82"/>
      <c r="E330" s="83"/>
      <c r="F330" s="82"/>
      <c r="G330" s="84"/>
      <c r="H330" s="84"/>
      <c r="I330" s="84"/>
    </row>
    <row r="331" spans="1:9" ht="14.5" x14ac:dyDescent="0.35">
      <c r="A331" s="81"/>
      <c r="B331" s="81"/>
      <c r="C331" s="82"/>
      <c r="D331" s="82"/>
      <c r="E331" s="83"/>
      <c r="F331" s="82"/>
      <c r="G331" s="84"/>
      <c r="H331" s="84"/>
      <c r="I331" s="84"/>
    </row>
    <row r="332" spans="1:9" ht="14.5" x14ac:dyDescent="0.35">
      <c r="A332" s="81"/>
      <c r="B332" s="81"/>
      <c r="C332" s="82"/>
      <c r="D332" s="82"/>
      <c r="E332" s="83"/>
      <c r="F332" s="82"/>
      <c r="G332" s="84"/>
      <c r="H332" s="84"/>
      <c r="I332" s="84"/>
    </row>
    <row r="333" spans="1:9" ht="14.5" x14ac:dyDescent="0.35">
      <c r="A333" s="81"/>
      <c r="B333" s="81"/>
      <c r="C333" s="82"/>
      <c r="D333" s="82"/>
      <c r="E333" s="83"/>
      <c r="F333" s="82"/>
      <c r="G333" s="84"/>
      <c r="H333" s="84"/>
      <c r="I333" s="84"/>
    </row>
    <row r="334" spans="1:9" ht="14.5" x14ac:dyDescent="0.35">
      <c r="A334" s="81"/>
      <c r="B334" s="81"/>
      <c r="C334" s="82"/>
      <c r="D334" s="82"/>
      <c r="E334" s="83"/>
      <c r="F334" s="82"/>
      <c r="G334" s="84"/>
      <c r="H334" s="84"/>
      <c r="I334" s="84"/>
    </row>
    <row r="335" spans="1:9" ht="14.5" x14ac:dyDescent="0.35">
      <c r="A335" s="81"/>
      <c r="B335" s="81"/>
      <c r="C335" s="82"/>
      <c r="D335" s="82"/>
      <c r="E335" s="83"/>
      <c r="F335" s="82"/>
      <c r="G335" s="84"/>
      <c r="H335" s="84"/>
      <c r="I335" s="84"/>
    </row>
    <row r="336" spans="1:9" ht="14.5" x14ac:dyDescent="0.35">
      <c r="A336" s="81"/>
      <c r="B336" s="81"/>
      <c r="C336" s="82"/>
      <c r="D336" s="82"/>
      <c r="E336" s="83"/>
      <c r="F336" s="82"/>
      <c r="G336" s="84"/>
      <c r="H336" s="84"/>
      <c r="I336" s="84"/>
    </row>
    <row r="337" spans="1:9" ht="14.5" x14ac:dyDescent="0.35">
      <c r="A337" s="81"/>
      <c r="B337" s="81"/>
      <c r="C337" s="82"/>
      <c r="D337" s="82"/>
      <c r="E337" s="83"/>
      <c r="F337" s="82"/>
      <c r="G337" s="84"/>
      <c r="H337" s="84"/>
      <c r="I337" s="84"/>
    </row>
    <row r="338" spans="1:9" ht="14.5" x14ac:dyDescent="0.35">
      <c r="A338" s="81"/>
      <c r="B338" s="81"/>
      <c r="C338" s="82"/>
      <c r="D338" s="82"/>
      <c r="E338" s="83"/>
      <c r="F338" s="82"/>
      <c r="G338" s="84"/>
      <c r="H338" s="84"/>
      <c r="I338" s="84"/>
    </row>
    <row r="339" spans="1:9" ht="14.5" x14ac:dyDescent="0.35">
      <c r="A339" s="81"/>
      <c r="B339" s="81"/>
      <c r="C339" s="82"/>
      <c r="D339" s="82"/>
      <c r="E339" s="83"/>
      <c r="F339" s="82"/>
      <c r="G339" s="84"/>
      <c r="H339" s="84"/>
      <c r="I339" s="84"/>
    </row>
    <row r="340" spans="1:9" ht="14.5" x14ac:dyDescent="0.35">
      <c r="A340" s="81"/>
      <c r="B340" s="81"/>
      <c r="C340" s="82"/>
      <c r="D340" s="82"/>
      <c r="E340" s="83"/>
      <c r="F340" s="82"/>
      <c r="G340" s="84"/>
      <c r="H340" s="84"/>
      <c r="I340" s="84"/>
    </row>
    <row r="341" spans="1:9" ht="14.5" x14ac:dyDescent="0.35">
      <c r="A341" s="81"/>
      <c r="B341" s="81"/>
      <c r="C341" s="82"/>
      <c r="D341" s="82"/>
      <c r="E341" s="83"/>
      <c r="F341" s="82"/>
      <c r="G341" s="84"/>
      <c r="H341" s="84"/>
      <c r="I341" s="84"/>
    </row>
    <row r="342" spans="1:9" ht="14.5" x14ac:dyDescent="0.35">
      <c r="A342" s="81"/>
      <c r="B342" s="81"/>
      <c r="C342" s="82"/>
      <c r="D342" s="82"/>
      <c r="E342" s="83"/>
      <c r="F342" s="82"/>
      <c r="G342" s="84"/>
      <c r="H342" s="84"/>
      <c r="I342" s="84"/>
    </row>
    <row r="343" spans="1:9" ht="14.5" x14ac:dyDescent="0.35">
      <c r="A343" s="81"/>
      <c r="B343" s="81"/>
      <c r="C343" s="82"/>
      <c r="D343" s="82"/>
      <c r="E343" s="83"/>
      <c r="F343" s="82"/>
      <c r="G343" s="84"/>
      <c r="H343" s="84"/>
      <c r="I343" s="84"/>
    </row>
    <row r="344" spans="1:9" ht="14.5" x14ac:dyDescent="0.35">
      <c r="A344" s="81"/>
      <c r="B344" s="81"/>
      <c r="C344" s="82"/>
      <c r="D344" s="82"/>
      <c r="E344" s="83"/>
      <c r="F344" s="82"/>
      <c r="G344" s="84"/>
      <c r="H344" s="84"/>
      <c r="I344" s="84"/>
    </row>
    <row r="345" spans="1:9" ht="14.5" x14ac:dyDescent="0.35">
      <c r="A345" s="81"/>
      <c r="B345" s="81"/>
      <c r="C345" s="82"/>
      <c r="D345" s="82"/>
      <c r="E345" s="83"/>
      <c r="F345" s="82"/>
      <c r="G345" s="84"/>
      <c r="H345" s="84"/>
      <c r="I345" s="84"/>
    </row>
    <row r="346" spans="1:9" ht="14.5" x14ac:dyDescent="0.35">
      <c r="A346" s="81"/>
      <c r="B346" s="81"/>
      <c r="C346" s="82"/>
      <c r="D346" s="82"/>
      <c r="E346" s="83"/>
      <c r="F346" s="82"/>
      <c r="G346" s="84"/>
      <c r="H346" s="84"/>
      <c r="I346" s="84"/>
    </row>
    <row r="347" spans="1:9" ht="14.5" x14ac:dyDescent="0.35">
      <c r="A347" s="81"/>
      <c r="B347" s="81"/>
      <c r="C347" s="82"/>
      <c r="D347" s="82"/>
      <c r="E347" s="83"/>
      <c r="F347" s="82"/>
      <c r="G347" s="84"/>
      <c r="H347" s="84"/>
      <c r="I347" s="84"/>
    </row>
    <row r="348" spans="1:9" ht="14.5" x14ac:dyDescent="0.35">
      <c r="A348" s="81"/>
      <c r="B348" s="81"/>
      <c r="C348" s="82"/>
      <c r="D348" s="82"/>
      <c r="E348" s="83"/>
      <c r="F348" s="82"/>
      <c r="G348" s="84"/>
      <c r="H348" s="84"/>
      <c r="I348" s="84"/>
    </row>
    <row r="349" spans="1:9" ht="14.5" x14ac:dyDescent="0.35">
      <c r="A349" s="81"/>
      <c r="B349" s="81"/>
      <c r="C349" s="82"/>
      <c r="D349" s="82"/>
      <c r="E349" s="83"/>
      <c r="F349" s="82"/>
      <c r="G349" s="84"/>
      <c r="H349" s="84"/>
      <c r="I349" s="84"/>
    </row>
    <row r="350" spans="1:9" ht="14.5" x14ac:dyDescent="0.35">
      <c r="A350" s="81"/>
      <c r="B350" s="81"/>
      <c r="C350" s="82"/>
      <c r="D350" s="82"/>
      <c r="E350" s="83"/>
      <c r="F350" s="82"/>
      <c r="G350" s="84"/>
      <c r="H350" s="84"/>
      <c r="I350" s="84"/>
    </row>
    <row r="351" spans="1:9" ht="14.5" x14ac:dyDescent="0.35">
      <c r="A351" s="81"/>
      <c r="B351" s="81"/>
      <c r="C351" s="82"/>
      <c r="D351" s="82"/>
      <c r="E351" s="83"/>
      <c r="F351" s="82"/>
      <c r="G351" s="84"/>
      <c r="H351" s="84"/>
      <c r="I351" s="84"/>
    </row>
    <row r="352" spans="1:9" ht="14.5" x14ac:dyDescent="0.35">
      <c r="A352" s="81"/>
      <c r="B352" s="81"/>
      <c r="C352" s="82"/>
      <c r="D352" s="82"/>
      <c r="E352" s="83"/>
      <c r="F352" s="82"/>
      <c r="G352" s="84"/>
      <c r="H352" s="84"/>
      <c r="I352" s="84"/>
    </row>
    <row r="353" spans="1:9" ht="14.5" x14ac:dyDescent="0.35">
      <c r="A353" s="81"/>
      <c r="B353" s="81"/>
      <c r="C353" s="82"/>
      <c r="D353" s="82"/>
      <c r="E353" s="83"/>
      <c r="F353" s="82"/>
      <c r="G353" s="84"/>
      <c r="H353" s="84"/>
      <c r="I353" s="84"/>
    </row>
    <row r="354" spans="1:9" ht="14.5" x14ac:dyDescent="0.35">
      <c r="A354" s="81"/>
      <c r="B354" s="81"/>
      <c r="C354" s="82"/>
      <c r="D354" s="82"/>
      <c r="E354" s="83"/>
      <c r="F354" s="82"/>
      <c r="G354" s="84"/>
      <c r="H354" s="84"/>
      <c r="I354" s="84"/>
    </row>
    <row r="355" spans="1:9" ht="14.5" x14ac:dyDescent="0.35">
      <c r="A355" s="81"/>
      <c r="B355" s="81"/>
      <c r="C355" s="82"/>
      <c r="D355" s="82"/>
      <c r="E355" s="83"/>
      <c r="F355" s="82"/>
      <c r="G355" s="84"/>
      <c r="H355" s="84"/>
      <c r="I355" s="84"/>
    </row>
    <row r="356" spans="1:9" ht="14.5" x14ac:dyDescent="0.35">
      <c r="A356" s="81"/>
      <c r="B356" s="81"/>
      <c r="C356" s="82"/>
      <c r="D356" s="82"/>
      <c r="E356" s="83"/>
      <c r="F356" s="82"/>
      <c r="G356" s="84"/>
      <c r="H356" s="84"/>
      <c r="I356" s="84"/>
    </row>
    <row r="357" spans="1:9" ht="14.5" x14ac:dyDescent="0.35">
      <c r="A357" s="81"/>
      <c r="B357" s="81"/>
      <c r="C357" s="82"/>
      <c r="D357" s="82"/>
      <c r="E357" s="83"/>
      <c r="F357" s="82"/>
      <c r="G357" s="84"/>
      <c r="H357" s="84"/>
      <c r="I357" s="84"/>
    </row>
    <row r="358" spans="1:9" ht="14.5" x14ac:dyDescent="0.35">
      <c r="A358" s="81"/>
      <c r="B358" s="81"/>
      <c r="C358" s="82"/>
      <c r="D358" s="82"/>
      <c r="E358" s="83"/>
      <c r="F358" s="82"/>
      <c r="G358" s="84"/>
      <c r="H358" s="84"/>
      <c r="I358" s="84"/>
    </row>
    <row r="359" spans="1:9" ht="14.5" x14ac:dyDescent="0.35">
      <c r="A359" s="81"/>
      <c r="B359" s="81"/>
      <c r="C359" s="82"/>
      <c r="D359" s="82"/>
      <c r="E359" s="83"/>
      <c r="F359" s="82"/>
      <c r="G359" s="84"/>
      <c r="H359" s="84"/>
      <c r="I359" s="84"/>
    </row>
    <row r="360" spans="1:9" ht="14.5" x14ac:dyDescent="0.35">
      <c r="A360" s="81"/>
      <c r="B360" s="81"/>
      <c r="C360" s="82"/>
      <c r="D360" s="82"/>
      <c r="E360" s="83"/>
      <c r="F360" s="82"/>
      <c r="G360" s="84"/>
      <c r="H360" s="84"/>
      <c r="I360" s="84"/>
    </row>
    <row r="361" spans="1:9" ht="14.5" x14ac:dyDescent="0.35">
      <c r="A361" s="81"/>
      <c r="B361" s="81"/>
      <c r="C361" s="82"/>
      <c r="D361" s="82"/>
      <c r="E361" s="83"/>
      <c r="F361" s="82"/>
      <c r="G361" s="84"/>
      <c r="H361" s="84"/>
      <c r="I361" s="84"/>
    </row>
    <row r="362" spans="1:9" ht="14.5" x14ac:dyDescent="0.35">
      <c r="A362" s="81"/>
      <c r="B362" s="81"/>
      <c r="C362" s="82"/>
      <c r="D362" s="82"/>
      <c r="E362" s="83"/>
      <c r="F362" s="82"/>
      <c r="G362" s="84"/>
      <c r="H362" s="84"/>
      <c r="I362" s="84"/>
    </row>
    <row r="363" spans="1:9" ht="14.5" x14ac:dyDescent="0.35">
      <c r="A363" s="81"/>
      <c r="B363" s="81"/>
      <c r="C363" s="82"/>
      <c r="D363" s="82"/>
      <c r="E363" s="83"/>
      <c r="F363" s="82"/>
      <c r="G363" s="84"/>
      <c r="H363" s="84"/>
      <c r="I363" s="84"/>
    </row>
    <row r="364" spans="1:9" ht="14.5" x14ac:dyDescent="0.35">
      <c r="A364" s="81"/>
      <c r="B364" s="81"/>
      <c r="C364" s="82"/>
      <c r="D364" s="82"/>
      <c r="E364" s="83"/>
      <c r="F364" s="82"/>
      <c r="G364" s="84"/>
      <c r="H364" s="84"/>
      <c r="I364" s="84"/>
    </row>
    <row r="365" spans="1:9" ht="14.5" x14ac:dyDescent="0.35">
      <c r="A365" s="81"/>
      <c r="B365" s="81"/>
      <c r="C365" s="82"/>
      <c r="D365" s="82"/>
      <c r="E365" s="83"/>
      <c r="F365" s="82"/>
      <c r="G365" s="84"/>
      <c r="H365" s="84"/>
      <c r="I365" s="84"/>
    </row>
    <row r="366" spans="1:9" ht="14.5" x14ac:dyDescent="0.35">
      <c r="A366" s="81"/>
      <c r="B366" s="81"/>
      <c r="C366" s="82"/>
      <c r="D366" s="82"/>
      <c r="E366" s="83"/>
      <c r="F366" s="82"/>
      <c r="G366" s="84"/>
      <c r="H366" s="84"/>
      <c r="I366" s="84"/>
    </row>
    <row r="367" spans="1:9" ht="14.5" x14ac:dyDescent="0.35">
      <c r="A367" s="81"/>
      <c r="B367" s="81"/>
      <c r="C367" s="82"/>
      <c r="D367" s="82"/>
      <c r="E367" s="83"/>
      <c r="F367" s="82"/>
      <c r="G367" s="84"/>
      <c r="H367" s="84"/>
      <c r="I367" s="84"/>
    </row>
    <row r="368" spans="1:9" ht="14.5" x14ac:dyDescent="0.35">
      <c r="A368" s="81"/>
      <c r="B368" s="81"/>
      <c r="C368" s="82"/>
      <c r="D368" s="82"/>
      <c r="E368" s="83"/>
      <c r="F368" s="82"/>
      <c r="G368" s="84"/>
      <c r="H368" s="84"/>
      <c r="I368" s="84"/>
    </row>
    <row r="369" spans="1:9" ht="14.5" x14ac:dyDescent="0.35">
      <c r="A369" s="81"/>
      <c r="B369" s="81"/>
      <c r="C369" s="82"/>
      <c r="D369" s="82"/>
      <c r="E369" s="83"/>
      <c r="F369" s="82"/>
      <c r="G369" s="84"/>
      <c r="H369" s="84"/>
      <c r="I369" s="84"/>
    </row>
    <row r="370" spans="1:9" ht="14.5" x14ac:dyDescent="0.35">
      <c r="A370" s="81"/>
      <c r="B370" s="81"/>
      <c r="C370" s="82"/>
      <c r="D370" s="82"/>
      <c r="E370" s="83"/>
      <c r="F370" s="82"/>
      <c r="G370" s="84"/>
      <c r="H370" s="84"/>
      <c r="I370" s="84"/>
    </row>
    <row r="371" spans="1:9" ht="14.5" x14ac:dyDescent="0.35">
      <c r="A371" s="81"/>
      <c r="B371" s="81"/>
      <c r="C371" s="82"/>
      <c r="D371" s="82"/>
      <c r="E371" s="83"/>
      <c r="F371" s="82"/>
      <c r="G371" s="84"/>
      <c r="H371" s="84"/>
      <c r="I371" s="84"/>
    </row>
    <row r="372" spans="1:9" ht="14.5" x14ac:dyDescent="0.35">
      <c r="A372" s="81"/>
      <c r="B372" s="81"/>
      <c r="C372" s="82"/>
      <c r="D372" s="82"/>
      <c r="E372" s="83"/>
      <c r="F372" s="82"/>
      <c r="G372" s="84"/>
      <c r="H372" s="84"/>
      <c r="I372" s="84"/>
    </row>
    <row r="373" spans="1:9" ht="14.5" x14ac:dyDescent="0.35">
      <c r="A373" s="81"/>
      <c r="B373" s="81"/>
      <c r="C373" s="82"/>
      <c r="D373" s="82"/>
      <c r="E373" s="83"/>
      <c r="F373" s="82"/>
      <c r="G373" s="84"/>
      <c r="H373" s="84"/>
      <c r="I373" s="84"/>
    </row>
    <row r="374" spans="1:9" ht="14.5" x14ac:dyDescent="0.35">
      <c r="A374" s="81"/>
      <c r="B374" s="81"/>
      <c r="C374" s="82"/>
      <c r="D374" s="82"/>
      <c r="E374" s="83"/>
      <c r="F374" s="82"/>
      <c r="G374" s="84"/>
      <c r="H374" s="84"/>
      <c r="I374" s="84"/>
    </row>
    <row r="375" spans="1:9" ht="14.5" x14ac:dyDescent="0.35">
      <c r="A375" s="81"/>
      <c r="B375" s="81"/>
      <c r="C375" s="82"/>
      <c r="D375" s="82"/>
      <c r="E375" s="83"/>
      <c r="F375" s="82"/>
      <c r="G375" s="84"/>
      <c r="H375" s="84"/>
      <c r="I375" s="84"/>
    </row>
    <row r="376" spans="1:9" ht="14.5" x14ac:dyDescent="0.35">
      <c r="A376" s="81"/>
      <c r="B376" s="81"/>
      <c r="C376" s="82"/>
      <c r="D376" s="82"/>
      <c r="E376" s="83"/>
      <c r="F376" s="82"/>
      <c r="G376" s="84"/>
      <c r="H376" s="84"/>
      <c r="I376" s="84"/>
    </row>
    <row r="377" spans="1:9" ht="14.5" x14ac:dyDescent="0.35">
      <c r="A377" s="81"/>
      <c r="B377" s="81"/>
      <c r="C377" s="82"/>
      <c r="D377" s="82"/>
      <c r="E377" s="83"/>
      <c r="F377" s="82"/>
      <c r="G377" s="84"/>
      <c r="H377" s="84"/>
      <c r="I377" s="84"/>
    </row>
    <row r="378" spans="1:9" ht="14.5" x14ac:dyDescent="0.35">
      <c r="A378" s="81"/>
      <c r="B378" s="81"/>
      <c r="C378" s="82"/>
      <c r="D378" s="82"/>
      <c r="E378" s="83"/>
      <c r="F378" s="82"/>
      <c r="G378" s="84"/>
      <c r="H378" s="84"/>
      <c r="I378" s="84"/>
    </row>
    <row r="379" spans="1:9" ht="14.5" x14ac:dyDescent="0.35">
      <c r="A379" s="81"/>
      <c r="B379" s="81"/>
      <c r="C379" s="82"/>
      <c r="D379" s="82"/>
      <c r="E379" s="83"/>
      <c r="F379" s="82"/>
      <c r="G379" s="84"/>
      <c r="H379" s="84"/>
      <c r="I379" s="84"/>
    </row>
    <row r="380" spans="1:9" ht="14.5" x14ac:dyDescent="0.35">
      <c r="A380" s="81"/>
      <c r="B380" s="81"/>
      <c r="C380" s="82"/>
      <c r="D380" s="82"/>
      <c r="E380" s="83"/>
      <c r="F380" s="82"/>
      <c r="G380" s="84"/>
      <c r="H380" s="84"/>
      <c r="I380" s="84"/>
    </row>
    <row r="381" spans="1:9" ht="14.5" x14ac:dyDescent="0.35">
      <c r="A381" s="81"/>
      <c r="B381" s="81"/>
      <c r="C381" s="82"/>
      <c r="D381" s="82"/>
      <c r="E381" s="83"/>
      <c r="F381" s="82"/>
      <c r="G381" s="84"/>
      <c r="H381" s="84"/>
      <c r="I381" s="84"/>
    </row>
    <row r="382" spans="1:9" ht="14.5" x14ac:dyDescent="0.35">
      <c r="A382" s="81"/>
      <c r="B382" s="81"/>
      <c r="C382" s="82"/>
      <c r="D382" s="82"/>
      <c r="E382" s="83"/>
      <c r="F382" s="82"/>
      <c r="G382" s="84"/>
      <c r="H382" s="84"/>
      <c r="I382" s="84"/>
    </row>
    <row r="383" spans="1:9" ht="14.5" x14ac:dyDescent="0.35">
      <c r="A383" s="81"/>
      <c r="B383" s="81"/>
      <c r="C383" s="82"/>
      <c r="D383" s="82"/>
      <c r="E383" s="83"/>
      <c r="F383" s="82"/>
      <c r="G383" s="84"/>
      <c r="H383" s="84"/>
      <c r="I383" s="84"/>
    </row>
    <row r="384" spans="1:9" ht="14.5" x14ac:dyDescent="0.35">
      <c r="A384" s="81"/>
      <c r="B384" s="81"/>
      <c r="C384" s="82"/>
      <c r="D384" s="82"/>
      <c r="E384" s="83"/>
      <c r="F384" s="82"/>
      <c r="G384" s="84"/>
      <c r="H384" s="84"/>
      <c r="I384" s="84"/>
    </row>
    <row r="385" spans="1:9" ht="14.5" x14ac:dyDescent="0.35">
      <c r="A385" s="81"/>
      <c r="B385" s="81"/>
      <c r="C385" s="82"/>
      <c r="D385" s="82"/>
      <c r="E385" s="83"/>
      <c r="F385" s="82"/>
      <c r="G385" s="84"/>
      <c r="H385" s="84"/>
      <c r="I385" s="84"/>
    </row>
    <row r="386" spans="1:9" ht="14.5" x14ac:dyDescent="0.35">
      <c r="A386" s="81"/>
      <c r="B386" s="81"/>
      <c r="C386" s="82"/>
      <c r="D386" s="82"/>
      <c r="E386" s="83"/>
      <c r="F386" s="82"/>
      <c r="G386" s="84"/>
      <c r="H386" s="84"/>
      <c r="I386" s="84"/>
    </row>
    <row r="387" spans="1:9" ht="14.5" x14ac:dyDescent="0.35">
      <c r="A387" s="81"/>
      <c r="B387" s="81"/>
      <c r="C387" s="82"/>
      <c r="D387" s="82"/>
      <c r="E387" s="83"/>
      <c r="F387" s="82"/>
      <c r="G387" s="84"/>
      <c r="H387" s="84"/>
      <c r="I387" s="84"/>
    </row>
    <row r="388" spans="1:9" ht="14.5" x14ac:dyDescent="0.35">
      <c r="A388" s="81"/>
      <c r="B388" s="81"/>
      <c r="C388" s="82"/>
      <c r="D388" s="82"/>
      <c r="E388" s="83"/>
      <c r="F388" s="82"/>
      <c r="G388" s="84"/>
      <c r="H388" s="84"/>
      <c r="I388" s="84"/>
    </row>
    <row r="389" spans="1:9" ht="14.5" x14ac:dyDescent="0.35">
      <c r="A389" s="81"/>
      <c r="B389" s="81"/>
      <c r="C389" s="82"/>
      <c r="D389" s="82"/>
      <c r="E389" s="83"/>
      <c r="F389" s="82"/>
      <c r="G389" s="84"/>
      <c r="H389" s="84"/>
      <c r="I389" s="84"/>
    </row>
    <row r="390" spans="1:9" ht="14.5" x14ac:dyDescent="0.35">
      <c r="A390" s="81"/>
      <c r="B390" s="81"/>
      <c r="C390" s="82"/>
      <c r="D390" s="82"/>
      <c r="E390" s="83"/>
      <c r="F390" s="82"/>
      <c r="G390" s="84"/>
      <c r="H390" s="84"/>
      <c r="I390" s="84"/>
    </row>
    <row r="391" spans="1:9" ht="14.5" x14ac:dyDescent="0.35">
      <c r="A391" s="81"/>
      <c r="B391" s="81"/>
      <c r="C391" s="82"/>
      <c r="D391" s="82"/>
      <c r="E391" s="83"/>
      <c r="F391" s="82"/>
      <c r="G391" s="84"/>
      <c r="H391" s="84"/>
      <c r="I391" s="84"/>
    </row>
    <row r="392" spans="1:9" ht="14.5" x14ac:dyDescent="0.35">
      <c r="A392" s="81"/>
      <c r="B392" s="81"/>
      <c r="C392" s="82"/>
      <c r="D392" s="82"/>
      <c r="E392" s="83"/>
      <c r="F392" s="82"/>
      <c r="G392" s="84"/>
      <c r="H392" s="84"/>
      <c r="I392" s="84"/>
    </row>
    <row r="393" spans="1:9" ht="14.5" x14ac:dyDescent="0.35">
      <c r="A393" s="81"/>
      <c r="B393" s="81"/>
      <c r="C393" s="82"/>
      <c r="D393" s="82"/>
      <c r="E393" s="83"/>
      <c r="F393" s="82"/>
      <c r="G393" s="84"/>
      <c r="H393" s="84"/>
      <c r="I393" s="84"/>
    </row>
    <row r="394" spans="1:9" ht="14.5" x14ac:dyDescent="0.35">
      <c r="A394" s="81"/>
      <c r="B394" s="81"/>
      <c r="C394" s="82"/>
      <c r="D394" s="82"/>
      <c r="E394" s="83"/>
      <c r="F394" s="82"/>
      <c r="G394" s="84"/>
      <c r="H394" s="84"/>
      <c r="I394" s="84"/>
    </row>
    <row r="395" spans="1:9" ht="14.5" x14ac:dyDescent="0.35">
      <c r="A395" s="81"/>
      <c r="B395" s="81"/>
      <c r="C395" s="82"/>
      <c r="D395" s="82"/>
      <c r="E395" s="83"/>
      <c r="F395" s="82"/>
      <c r="G395" s="84"/>
      <c r="H395" s="84"/>
      <c r="I395" s="84"/>
    </row>
    <row r="396" spans="1:9" ht="14.5" x14ac:dyDescent="0.35">
      <c r="A396" s="81"/>
      <c r="B396" s="81"/>
      <c r="C396" s="82"/>
      <c r="D396" s="82"/>
      <c r="E396" s="83"/>
      <c r="F396" s="82"/>
      <c r="G396" s="84"/>
      <c r="H396" s="84"/>
      <c r="I396" s="84"/>
    </row>
    <row r="397" spans="1:9" ht="14.5" x14ac:dyDescent="0.35">
      <c r="A397" s="81"/>
      <c r="B397" s="81"/>
      <c r="C397" s="82"/>
      <c r="D397" s="82"/>
      <c r="E397" s="83"/>
      <c r="F397" s="82"/>
      <c r="G397" s="84"/>
      <c r="H397" s="84"/>
      <c r="I397" s="84"/>
    </row>
    <row r="398" spans="1:9" ht="14.5" x14ac:dyDescent="0.35">
      <c r="A398" s="81"/>
      <c r="B398" s="81"/>
      <c r="C398" s="82"/>
      <c r="D398" s="82"/>
      <c r="E398" s="83"/>
      <c r="F398" s="82"/>
      <c r="G398" s="84"/>
      <c r="H398" s="84"/>
      <c r="I398" s="84"/>
    </row>
    <row r="399" spans="1:9" ht="14.5" x14ac:dyDescent="0.35">
      <c r="A399" s="81"/>
      <c r="B399" s="81"/>
      <c r="C399" s="82"/>
      <c r="D399" s="82"/>
      <c r="E399" s="83"/>
      <c r="F399" s="82"/>
      <c r="G399" s="84"/>
      <c r="H399" s="84"/>
      <c r="I399" s="84"/>
    </row>
    <row r="400" spans="1:9" ht="14.5" x14ac:dyDescent="0.35">
      <c r="A400" s="81"/>
      <c r="B400" s="81"/>
      <c r="C400" s="82"/>
      <c r="D400" s="82"/>
      <c r="E400" s="83"/>
      <c r="F400" s="82"/>
      <c r="G400" s="84"/>
      <c r="H400" s="84"/>
      <c r="I400" s="84"/>
    </row>
    <row r="401" spans="1:9" ht="14.5" x14ac:dyDescent="0.35">
      <c r="A401" s="81"/>
      <c r="B401" s="81"/>
      <c r="C401" s="82"/>
      <c r="D401" s="82"/>
      <c r="E401" s="83"/>
      <c r="F401" s="82"/>
      <c r="G401" s="84"/>
      <c r="H401" s="84"/>
      <c r="I401" s="84"/>
    </row>
    <row r="402" spans="1:9" ht="14.5" x14ac:dyDescent="0.35">
      <c r="A402" s="81"/>
      <c r="B402" s="81"/>
      <c r="C402" s="82"/>
      <c r="D402" s="82"/>
      <c r="E402" s="83"/>
      <c r="F402" s="82"/>
      <c r="G402" s="84"/>
      <c r="H402" s="84"/>
      <c r="I402" s="84"/>
    </row>
    <row r="403" spans="1:9" ht="14.5" x14ac:dyDescent="0.35">
      <c r="A403" s="81"/>
      <c r="B403" s="81"/>
      <c r="C403" s="82"/>
      <c r="D403" s="82"/>
      <c r="E403" s="83"/>
      <c r="F403" s="82"/>
      <c r="G403" s="84"/>
      <c r="H403" s="84"/>
      <c r="I403" s="84"/>
    </row>
    <row r="404" spans="1:9" ht="14.5" x14ac:dyDescent="0.35">
      <c r="A404" s="81"/>
      <c r="B404" s="81"/>
      <c r="C404" s="82"/>
      <c r="D404" s="82"/>
      <c r="E404" s="83"/>
      <c r="F404" s="82"/>
      <c r="G404" s="84"/>
      <c r="H404" s="84"/>
      <c r="I404" s="84"/>
    </row>
    <row r="405" spans="1:9" ht="14.5" x14ac:dyDescent="0.35">
      <c r="A405" s="81"/>
      <c r="B405" s="81"/>
      <c r="C405" s="82"/>
      <c r="D405" s="82"/>
      <c r="E405" s="83"/>
      <c r="F405" s="82"/>
      <c r="G405" s="84"/>
      <c r="H405" s="84"/>
      <c r="I405" s="84"/>
    </row>
    <row r="406" spans="1:9" ht="14.5" x14ac:dyDescent="0.35">
      <c r="A406" s="81"/>
      <c r="B406" s="81"/>
      <c r="C406" s="82"/>
      <c r="D406" s="82"/>
      <c r="E406" s="83"/>
      <c r="F406" s="82"/>
      <c r="G406" s="84"/>
      <c r="H406" s="84"/>
      <c r="I406" s="84"/>
    </row>
    <row r="407" spans="1:9" ht="14.5" x14ac:dyDescent="0.35">
      <c r="A407" s="81"/>
      <c r="B407" s="81"/>
      <c r="C407" s="82"/>
      <c r="D407" s="82"/>
      <c r="E407" s="83"/>
      <c r="F407" s="82"/>
      <c r="G407" s="84"/>
      <c r="H407" s="84"/>
      <c r="I407" s="84"/>
    </row>
    <row r="408" spans="1:9" ht="14.5" x14ac:dyDescent="0.35">
      <c r="A408" s="81"/>
      <c r="B408" s="81"/>
      <c r="C408" s="82"/>
      <c r="D408" s="82"/>
      <c r="E408" s="83"/>
      <c r="F408" s="82"/>
      <c r="G408" s="84"/>
      <c r="H408" s="84"/>
      <c r="I408" s="84"/>
    </row>
    <row r="409" spans="1:9" ht="14.5" x14ac:dyDescent="0.35">
      <c r="A409" s="81"/>
      <c r="B409" s="81"/>
      <c r="C409" s="82"/>
      <c r="D409" s="82"/>
      <c r="E409" s="83"/>
      <c r="F409" s="82"/>
      <c r="G409" s="84"/>
      <c r="H409" s="84"/>
      <c r="I409" s="84"/>
    </row>
    <row r="410" spans="1:9" ht="14.5" x14ac:dyDescent="0.35">
      <c r="A410" s="81"/>
      <c r="B410" s="81"/>
      <c r="C410" s="82"/>
      <c r="D410" s="82"/>
      <c r="E410" s="83"/>
      <c r="F410" s="82"/>
      <c r="G410" s="84"/>
      <c r="H410" s="84"/>
      <c r="I410" s="84"/>
    </row>
    <row r="411" spans="1:9" ht="14.5" x14ac:dyDescent="0.35">
      <c r="A411" s="81"/>
      <c r="B411" s="81"/>
      <c r="C411" s="82"/>
      <c r="D411" s="82"/>
      <c r="E411" s="83"/>
      <c r="F411" s="82"/>
      <c r="G411" s="84"/>
      <c r="H411" s="84"/>
      <c r="I411" s="84"/>
    </row>
    <row r="412" spans="1:9" ht="14.5" x14ac:dyDescent="0.35">
      <c r="A412" s="81"/>
      <c r="B412" s="81"/>
      <c r="C412" s="82"/>
      <c r="D412" s="82"/>
      <c r="E412" s="83"/>
      <c r="F412" s="82"/>
      <c r="G412" s="84"/>
      <c r="H412" s="84"/>
      <c r="I412" s="84"/>
    </row>
    <row r="413" spans="1:9" ht="14.5" x14ac:dyDescent="0.35">
      <c r="A413" s="81"/>
      <c r="B413" s="81"/>
      <c r="C413" s="82"/>
      <c r="D413" s="82"/>
      <c r="E413" s="83"/>
      <c r="F413" s="82"/>
      <c r="G413" s="84"/>
      <c r="H413" s="84"/>
      <c r="I413" s="84"/>
    </row>
    <row r="414" spans="1:9" ht="14.5" x14ac:dyDescent="0.35">
      <c r="A414" s="81"/>
      <c r="B414" s="81"/>
      <c r="C414" s="82"/>
      <c r="D414" s="82"/>
      <c r="E414" s="83"/>
      <c r="F414" s="82"/>
      <c r="G414" s="84"/>
      <c r="H414" s="84"/>
      <c r="I414" s="84"/>
    </row>
    <row r="415" spans="1:9" ht="14.5" x14ac:dyDescent="0.35">
      <c r="A415" s="81"/>
      <c r="B415" s="81"/>
      <c r="C415" s="82"/>
      <c r="D415" s="82"/>
      <c r="E415" s="83"/>
      <c r="F415" s="82"/>
      <c r="G415" s="84"/>
      <c r="H415" s="84"/>
      <c r="I415" s="84"/>
    </row>
    <row r="416" spans="1:9" ht="14.5" x14ac:dyDescent="0.35">
      <c r="A416" s="81"/>
      <c r="B416" s="81"/>
      <c r="C416" s="82"/>
      <c r="D416" s="82"/>
      <c r="E416" s="83"/>
      <c r="F416" s="82"/>
      <c r="G416" s="84"/>
      <c r="H416" s="84"/>
      <c r="I416" s="84"/>
    </row>
    <row r="417" spans="1:9" ht="14.5" x14ac:dyDescent="0.35">
      <c r="A417" s="81"/>
      <c r="B417" s="81"/>
      <c r="C417" s="82"/>
      <c r="D417" s="82"/>
      <c r="E417" s="83"/>
      <c r="F417" s="82"/>
      <c r="G417" s="84"/>
      <c r="H417" s="84"/>
      <c r="I417" s="84"/>
    </row>
    <row r="418" spans="1:9" ht="14.5" x14ac:dyDescent="0.35">
      <c r="A418" s="81"/>
      <c r="B418" s="81"/>
      <c r="C418" s="82"/>
      <c r="D418" s="82"/>
      <c r="E418" s="83"/>
      <c r="F418" s="82"/>
      <c r="G418" s="84"/>
      <c r="H418" s="84"/>
      <c r="I418" s="84"/>
    </row>
    <row r="419" spans="1:9" ht="14.5" x14ac:dyDescent="0.35">
      <c r="A419" s="81"/>
      <c r="B419" s="81"/>
      <c r="C419" s="82"/>
      <c r="D419" s="82"/>
      <c r="E419" s="83"/>
      <c r="F419" s="82"/>
      <c r="G419" s="84"/>
      <c r="H419" s="84"/>
      <c r="I419" s="84"/>
    </row>
    <row r="420" spans="1:9" ht="14.5" x14ac:dyDescent="0.35">
      <c r="A420" s="81"/>
      <c r="B420" s="81"/>
      <c r="C420" s="82"/>
      <c r="D420" s="82"/>
      <c r="E420" s="83"/>
      <c r="F420" s="82"/>
      <c r="G420" s="84"/>
      <c r="H420" s="84"/>
      <c r="I420" s="84"/>
    </row>
    <row r="421" spans="1:9" ht="14.5" x14ac:dyDescent="0.35">
      <c r="A421" s="81"/>
      <c r="B421" s="81"/>
      <c r="C421" s="82"/>
      <c r="D421" s="82"/>
      <c r="E421" s="83"/>
      <c r="F421" s="82"/>
      <c r="G421" s="84"/>
      <c r="H421" s="84"/>
      <c r="I421" s="84"/>
    </row>
    <row r="422" spans="1:9" ht="14.5" x14ac:dyDescent="0.35">
      <c r="A422" s="81"/>
      <c r="B422" s="81"/>
      <c r="C422" s="82"/>
      <c r="D422" s="82"/>
      <c r="E422" s="83"/>
      <c r="F422" s="82"/>
      <c r="G422" s="84"/>
      <c r="H422" s="84"/>
      <c r="I422" s="84"/>
    </row>
    <row r="423" spans="1:9" ht="14.5" x14ac:dyDescent="0.35">
      <c r="A423" s="81"/>
      <c r="B423" s="81"/>
      <c r="C423" s="82"/>
      <c r="D423" s="82"/>
      <c r="E423" s="83"/>
      <c r="F423" s="82"/>
      <c r="G423" s="84"/>
      <c r="H423" s="84"/>
      <c r="I423" s="84"/>
    </row>
    <row r="424" spans="1:9" ht="14.5" x14ac:dyDescent="0.35">
      <c r="A424" s="81"/>
      <c r="B424" s="81"/>
      <c r="C424" s="82"/>
      <c r="D424" s="82"/>
      <c r="E424" s="83"/>
      <c r="F424" s="82"/>
      <c r="G424" s="84"/>
      <c r="H424" s="84"/>
      <c r="I424" s="84"/>
    </row>
    <row r="425" spans="1:9" ht="14.5" x14ac:dyDescent="0.35">
      <c r="A425" s="81"/>
      <c r="B425" s="81"/>
      <c r="C425" s="82"/>
      <c r="D425" s="82"/>
      <c r="E425" s="83"/>
      <c r="F425" s="82"/>
      <c r="G425" s="84"/>
      <c r="H425" s="84"/>
      <c r="I425" s="84"/>
    </row>
    <row r="426" spans="1:9" ht="14.5" x14ac:dyDescent="0.35">
      <c r="A426" s="81"/>
      <c r="B426" s="81"/>
      <c r="C426" s="82"/>
      <c r="D426" s="82"/>
      <c r="E426" s="83"/>
      <c r="F426" s="82"/>
      <c r="G426" s="84"/>
      <c r="H426" s="84"/>
      <c r="I426" s="84"/>
    </row>
    <row r="427" spans="1:9" ht="14.5" x14ac:dyDescent="0.35">
      <c r="A427" s="81"/>
      <c r="B427" s="81"/>
      <c r="C427" s="82"/>
      <c r="D427" s="82"/>
      <c r="E427" s="83"/>
      <c r="F427" s="82"/>
      <c r="G427" s="84"/>
      <c r="H427" s="84"/>
      <c r="I427" s="84"/>
    </row>
    <row r="428" spans="1:9" ht="14.5" x14ac:dyDescent="0.35">
      <c r="A428" s="81"/>
      <c r="B428" s="81"/>
      <c r="C428" s="82"/>
      <c r="D428" s="82"/>
      <c r="E428" s="83"/>
      <c r="F428" s="82"/>
      <c r="G428" s="84"/>
      <c r="H428" s="84"/>
      <c r="I428" s="84"/>
    </row>
    <row r="429" spans="1:9" ht="14.5" x14ac:dyDescent="0.35">
      <c r="A429" s="81"/>
      <c r="B429" s="81"/>
      <c r="C429" s="82"/>
      <c r="D429" s="82"/>
      <c r="E429" s="83"/>
      <c r="F429" s="82"/>
      <c r="G429" s="84"/>
      <c r="H429" s="84"/>
      <c r="I429" s="84"/>
    </row>
    <row r="430" spans="1:9" ht="14.5" x14ac:dyDescent="0.35">
      <c r="A430" s="81"/>
      <c r="B430" s="81"/>
      <c r="C430" s="82"/>
      <c r="D430" s="82"/>
      <c r="E430" s="83"/>
      <c r="F430" s="82"/>
      <c r="G430" s="84"/>
      <c r="H430" s="84"/>
      <c r="I430" s="84"/>
    </row>
    <row r="431" spans="1:9" ht="14.5" x14ac:dyDescent="0.35">
      <c r="A431" s="81"/>
      <c r="B431" s="81"/>
      <c r="C431" s="82"/>
      <c r="D431" s="82"/>
      <c r="E431" s="83"/>
      <c r="F431" s="82"/>
      <c r="G431" s="84"/>
      <c r="H431" s="84"/>
      <c r="I431" s="84"/>
    </row>
    <row r="432" spans="1:9" ht="14.5" x14ac:dyDescent="0.35">
      <c r="A432" s="81"/>
      <c r="B432" s="81"/>
      <c r="C432" s="82"/>
      <c r="D432" s="82"/>
      <c r="E432" s="83"/>
      <c r="F432" s="82"/>
      <c r="G432" s="84"/>
      <c r="H432" s="84"/>
      <c r="I432" s="84"/>
    </row>
    <row r="433" spans="1:9" ht="14.5" x14ac:dyDescent="0.35">
      <c r="A433" s="81"/>
      <c r="B433" s="81"/>
      <c r="C433" s="82"/>
      <c r="D433" s="82"/>
      <c r="E433" s="83"/>
      <c r="F433" s="82"/>
      <c r="G433" s="84"/>
      <c r="H433" s="84"/>
      <c r="I433" s="84"/>
    </row>
    <row r="434" spans="1:9" ht="14.5" x14ac:dyDescent="0.35">
      <c r="A434" s="81"/>
      <c r="B434" s="81"/>
      <c r="C434" s="82"/>
      <c r="D434" s="82"/>
      <c r="E434" s="83"/>
      <c r="F434" s="82"/>
      <c r="G434" s="84"/>
      <c r="H434" s="84"/>
      <c r="I434" s="84"/>
    </row>
    <row r="435" spans="1:9" ht="14.5" x14ac:dyDescent="0.35">
      <c r="A435" s="81"/>
      <c r="B435" s="81"/>
      <c r="C435" s="82"/>
      <c r="D435" s="82"/>
      <c r="E435" s="83"/>
      <c r="F435" s="82"/>
      <c r="G435" s="84"/>
      <c r="H435" s="84"/>
      <c r="I435" s="84"/>
    </row>
    <row r="436" spans="1:9" ht="14.5" x14ac:dyDescent="0.35">
      <c r="A436" s="81"/>
      <c r="B436" s="81"/>
      <c r="C436" s="82"/>
      <c r="D436" s="82"/>
      <c r="E436" s="83"/>
      <c r="F436" s="82"/>
      <c r="G436" s="84"/>
      <c r="H436" s="84"/>
      <c r="I436" s="84"/>
    </row>
    <row r="437" spans="1:9" ht="14.5" x14ac:dyDescent="0.35">
      <c r="A437" s="81"/>
      <c r="B437" s="81"/>
      <c r="C437" s="82"/>
      <c r="D437" s="82"/>
      <c r="E437" s="83"/>
      <c r="F437" s="82"/>
      <c r="G437" s="84"/>
      <c r="H437" s="84"/>
      <c r="I437" s="84"/>
    </row>
    <row r="438" spans="1:9" ht="14.5" x14ac:dyDescent="0.35">
      <c r="A438" s="81"/>
      <c r="B438" s="81"/>
      <c r="C438" s="82"/>
      <c r="D438" s="82"/>
      <c r="E438" s="83"/>
      <c r="F438" s="82"/>
      <c r="G438" s="84"/>
      <c r="H438" s="84"/>
      <c r="I438" s="84"/>
    </row>
    <row r="439" spans="1:9" ht="14.5" x14ac:dyDescent="0.35">
      <c r="A439" s="81"/>
      <c r="B439" s="81"/>
      <c r="C439" s="82"/>
      <c r="D439" s="82"/>
      <c r="E439" s="83"/>
      <c r="F439" s="82"/>
      <c r="G439" s="84"/>
      <c r="H439" s="84"/>
      <c r="I439" s="84"/>
    </row>
    <row r="440" spans="1:9" ht="14.5" x14ac:dyDescent="0.35">
      <c r="A440" s="81"/>
      <c r="B440" s="81"/>
      <c r="C440" s="82"/>
      <c r="D440" s="82"/>
      <c r="E440" s="83"/>
      <c r="F440" s="82"/>
      <c r="G440" s="84"/>
      <c r="H440" s="84"/>
      <c r="I440" s="84"/>
    </row>
    <row r="441" spans="1:9" ht="14.5" x14ac:dyDescent="0.35">
      <c r="A441" s="81"/>
      <c r="B441" s="81"/>
      <c r="C441" s="82"/>
      <c r="D441" s="82"/>
      <c r="E441" s="83"/>
      <c r="F441" s="82"/>
      <c r="G441" s="84"/>
      <c r="H441" s="84"/>
      <c r="I441" s="84"/>
    </row>
    <row r="442" spans="1:9" ht="14.5" x14ac:dyDescent="0.35">
      <c r="A442" s="81"/>
      <c r="B442" s="81"/>
      <c r="C442" s="82"/>
      <c r="D442" s="82"/>
      <c r="E442" s="83"/>
      <c r="F442" s="82"/>
      <c r="G442" s="84"/>
      <c r="H442" s="84"/>
      <c r="I442" s="84"/>
    </row>
    <row r="443" spans="1:9" ht="14.5" x14ac:dyDescent="0.35">
      <c r="A443" s="81"/>
      <c r="B443" s="81"/>
      <c r="C443" s="82"/>
      <c r="D443" s="82"/>
      <c r="E443" s="83"/>
      <c r="F443" s="82"/>
      <c r="G443" s="84"/>
      <c r="H443" s="84"/>
      <c r="I443" s="84"/>
    </row>
    <row r="444" spans="1:9" ht="14.5" x14ac:dyDescent="0.35">
      <c r="A444" s="81"/>
      <c r="B444" s="81"/>
      <c r="C444" s="82"/>
      <c r="D444" s="82"/>
      <c r="E444" s="83"/>
      <c r="F444" s="82"/>
      <c r="G444" s="84"/>
      <c r="H444" s="84"/>
      <c r="I444" s="84"/>
    </row>
    <row r="445" spans="1:9" ht="14.5" x14ac:dyDescent="0.35">
      <c r="A445" s="81"/>
      <c r="B445" s="81"/>
      <c r="C445" s="82"/>
      <c r="D445" s="82"/>
      <c r="E445" s="83"/>
      <c r="F445" s="82"/>
      <c r="G445" s="84"/>
      <c r="H445" s="84"/>
      <c r="I445" s="84"/>
    </row>
    <row r="446" spans="1:9" ht="14.5" x14ac:dyDescent="0.35">
      <c r="A446" s="81"/>
      <c r="B446" s="81"/>
      <c r="C446" s="82"/>
      <c r="D446" s="82"/>
      <c r="E446" s="83"/>
      <c r="F446" s="82"/>
      <c r="G446" s="84"/>
      <c r="H446" s="84"/>
      <c r="I446" s="84"/>
    </row>
    <row r="447" spans="1:9" ht="14.5" x14ac:dyDescent="0.35">
      <c r="A447" s="81"/>
      <c r="B447" s="81"/>
      <c r="C447" s="82"/>
      <c r="D447" s="82"/>
      <c r="E447" s="83"/>
      <c r="F447" s="82"/>
      <c r="G447" s="84"/>
      <c r="H447" s="84"/>
      <c r="I447" s="84"/>
    </row>
    <row r="448" spans="1:9" ht="14.5" x14ac:dyDescent="0.35">
      <c r="A448" s="81"/>
      <c r="B448" s="81"/>
      <c r="C448" s="82"/>
      <c r="D448" s="82"/>
      <c r="E448" s="83"/>
      <c r="F448" s="82"/>
      <c r="G448" s="84"/>
      <c r="H448" s="84"/>
      <c r="I448" s="84"/>
    </row>
    <row r="449" spans="1:9" ht="14.5" x14ac:dyDescent="0.35">
      <c r="A449" s="81"/>
      <c r="B449" s="81"/>
      <c r="C449" s="82"/>
      <c r="D449" s="82"/>
      <c r="E449" s="83"/>
      <c r="F449" s="82"/>
      <c r="G449" s="84"/>
      <c r="H449" s="84"/>
      <c r="I449" s="84"/>
    </row>
    <row r="450" spans="1:9" ht="14.5" x14ac:dyDescent="0.35">
      <c r="A450" s="81"/>
      <c r="B450" s="81"/>
      <c r="C450" s="82"/>
      <c r="D450" s="82"/>
      <c r="E450" s="83"/>
      <c r="F450" s="82"/>
      <c r="G450" s="84"/>
      <c r="H450" s="84"/>
      <c r="I450" s="84"/>
    </row>
    <row r="451" spans="1:9" ht="14.5" x14ac:dyDescent="0.35">
      <c r="A451" s="81"/>
      <c r="B451" s="81"/>
      <c r="C451" s="82"/>
      <c r="D451" s="82"/>
      <c r="E451" s="83"/>
      <c r="F451" s="82"/>
      <c r="G451" s="84"/>
      <c r="H451" s="84"/>
      <c r="I451" s="84"/>
    </row>
    <row r="452" spans="1:9" ht="14.5" x14ac:dyDescent="0.35">
      <c r="A452" s="81"/>
      <c r="B452" s="81"/>
      <c r="C452" s="82"/>
      <c r="D452" s="82"/>
      <c r="E452" s="83"/>
      <c r="F452" s="82"/>
      <c r="G452" s="84"/>
      <c r="H452" s="84"/>
      <c r="I452" s="84"/>
    </row>
    <row r="453" spans="1:9" ht="14.5" x14ac:dyDescent="0.35">
      <c r="A453" s="81"/>
      <c r="B453" s="81"/>
      <c r="C453" s="82"/>
      <c r="D453" s="82"/>
      <c r="E453" s="83"/>
      <c r="F453" s="82"/>
      <c r="G453" s="84"/>
      <c r="H453" s="84"/>
      <c r="I453" s="84"/>
    </row>
    <row r="454" spans="1:9" ht="14.5" x14ac:dyDescent="0.35">
      <c r="A454" s="81"/>
      <c r="B454" s="81"/>
      <c r="C454" s="82"/>
      <c r="D454" s="82"/>
      <c r="E454" s="83"/>
      <c r="F454" s="82"/>
      <c r="G454" s="84"/>
      <c r="H454" s="84"/>
      <c r="I454" s="84"/>
    </row>
    <row r="455" spans="1:9" ht="14.5" x14ac:dyDescent="0.35">
      <c r="A455" s="81"/>
      <c r="B455" s="81"/>
      <c r="C455" s="82"/>
      <c r="D455" s="82"/>
      <c r="E455" s="83"/>
      <c r="F455" s="82"/>
      <c r="G455" s="84"/>
      <c r="H455" s="84"/>
      <c r="I455" s="84"/>
    </row>
    <row r="456" spans="1:9" ht="14.5" x14ac:dyDescent="0.35">
      <c r="A456" s="81"/>
      <c r="B456" s="81"/>
      <c r="C456" s="82"/>
      <c r="D456" s="82"/>
      <c r="E456" s="83"/>
      <c r="F456" s="82"/>
      <c r="G456" s="84"/>
      <c r="H456" s="84"/>
      <c r="I456" s="84"/>
    </row>
    <row r="457" spans="1:9" ht="14.5" x14ac:dyDescent="0.35">
      <c r="A457" s="81"/>
      <c r="B457" s="81"/>
      <c r="C457" s="82"/>
      <c r="D457" s="82"/>
      <c r="E457" s="83"/>
      <c r="F457" s="82"/>
      <c r="G457" s="84"/>
      <c r="H457" s="84"/>
      <c r="I457" s="84"/>
    </row>
    <row r="458" spans="1:9" ht="14.5" x14ac:dyDescent="0.35">
      <c r="A458" s="81"/>
      <c r="B458" s="81"/>
      <c r="C458" s="82"/>
      <c r="D458" s="82"/>
      <c r="E458" s="83"/>
      <c r="F458" s="82"/>
      <c r="G458" s="84"/>
      <c r="H458" s="84"/>
      <c r="I458" s="84"/>
    </row>
    <row r="459" spans="1:9" ht="14.5" x14ac:dyDescent="0.35">
      <c r="A459" s="81"/>
      <c r="B459" s="81"/>
      <c r="C459" s="82"/>
      <c r="D459" s="82"/>
      <c r="E459" s="83"/>
      <c r="F459" s="82"/>
      <c r="G459" s="84"/>
      <c r="H459" s="84"/>
      <c r="I459" s="84"/>
    </row>
    <row r="460" spans="1:9" ht="14.5" x14ac:dyDescent="0.35">
      <c r="A460" s="81"/>
      <c r="B460" s="81"/>
      <c r="C460" s="82"/>
      <c r="D460" s="82"/>
      <c r="E460" s="83"/>
      <c r="F460" s="82"/>
      <c r="G460" s="84"/>
      <c r="H460" s="84"/>
      <c r="I460" s="84"/>
    </row>
    <row r="461" spans="1:9" ht="14.5" x14ac:dyDescent="0.35">
      <c r="A461" s="81"/>
      <c r="B461" s="81"/>
      <c r="C461" s="82"/>
      <c r="D461" s="82"/>
      <c r="E461" s="83"/>
      <c r="F461" s="82"/>
      <c r="G461" s="84"/>
      <c r="H461" s="84"/>
      <c r="I461" s="84"/>
    </row>
    <row r="462" spans="1:9" ht="14.5" x14ac:dyDescent="0.35">
      <c r="A462" s="81"/>
      <c r="B462" s="81"/>
      <c r="C462" s="82"/>
      <c r="D462" s="82"/>
      <c r="E462" s="83"/>
      <c r="F462" s="82"/>
      <c r="G462" s="84"/>
      <c r="H462" s="84"/>
      <c r="I462" s="84"/>
    </row>
    <row r="463" spans="1:9" ht="14.5" x14ac:dyDescent="0.35">
      <c r="A463" s="81"/>
      <c r="B463" s="81"/>
      <c r="C463" s="82"/>
      <c r="D463" s="82"/>
      <c r="E463" s="83"/>
      <c r="F463" s="82"/>
      <c r="G463" s="84"/>
      <c r="H463" s="84"/>
      <c r="I463" s="84"/>
    </row>
    <row r="464" spans="1:9" ht="14.5" x14ac:dyDescent="0.35">
      <c r="A464" s="81"/>
      <c r="B464" s="81"/>
      <c r="C464" s="82"/>
      <c r="D464" s="82"/>
      <c r="E464" s="83"/>
      <c r="F464" s="82"/>
      <c r="G464" s="84"/>
      <c r="H464" s="84"/>
      <c r="I464" s="84"/>
    </row>
    <row r="465" spans="1:9" ht="14.5" x14ac:dyDescent="0.35">
      <c r="A465" s="81"/>
      <c r="B465" s="81"/>
      <c r="C465" s="82"/>
      <c r="D465" s="82"/>
      <c r="E465" s="83"/>
      <c r="F465" s="82"/>
      <c r="G465" s="84"/>
      <c r="H465" s="84"/>
      <c r="I465" s="84"/>
    </row>
    <row r="466" spans="1:9" ht="14.5" x14ac:dyDescent="0.35">
      <c r="A466" s="81"/>
      <c r="B466" s="81"/>
      <c r="C466" s="82"/>
      <c r="D466" s="82"/>
      <c r="E466" s="83"/>
      <c r="F466" s="82"/>
      <c r="G466" s="84"/>
      <c r="H466" s="84"/>
      <c r="I466" s="84"/>
    </row>
    <row r="467" spans="1:9" ht="14.5" x14ac:dyDescent="0.35">
      <c r="A467" s="81"/>
      <c r="B467" s="81"/>
      <c r="C467" s="82"/>
      <c r="D467" s="82"/>
      <c r="E467" s="83"/>
      <c r="F467" s="82"/>
      <c r="G467" s="84"/>
      <c r="H467" s="84"/>
      <c r="I467" s="84"/>
    </row>
    <row r="468" spans="1:9" ht="14.5" x14ac:dyDescent="0.35">
      <c r="A468" s="81"/>
      <c r="B468" s="81"/>
      <c r="C468" s="82"/>
      <c r="D468" s="82"/>
      <c r="E468" s="83"/>
      <c r="F468" s="82"/>
      <c r="G468" s="84"/>
      <c r="H468" s="84"/>
      <c r="I468" s="84"/>
    </row>
    <row r="469" spans="1:9" ht="14.5" x14ac:dyDescent="0.35">
      <c r="A469" s="81"/>
      <c r="B469" s="81"/>
      <c r="C469" s="82"/>
      <c r="D469" s="82"/>
      <c r="E469" s="83"/>
      <c r="F469" s="82"/>
      <c r="G469" s="84"/>
      <c r="H469" s="84"/>
      <c r="I469" s="84"/>
    </row>
    <row r="470" spans="1:9" ht="14.5" x14ac:dyDescent="0.35">
      <c r="A470" s="81"/>
      <c r="B470" s="81"/>
      <c r="C470" s="82"/>
      <c r="D470" s="82"/>
      <c r="E470" s="83"/>
      <c r="F470" s="82"/>
      <c r="G470" s="84"/>
      <c r="H470" s="84"/>
      <c r="I470" s="84"/>
    </row>
    <row r="471" spans="1:9" ht="14.5" x14ac:dyDescent="0.35">
      <c r="A471" s="81"/>
      <c r="B471" s="81"/>
      <c r="C471" s="82"/>
      <c r="D471" s="82"/>
      <c r="E471" s="83"/>
      <c r="F471" s="82"/>
      <c r="G471" s="84"/>
      <c r="H471" s="84"/>
      <c r="I471" s="84"/>
    </row>
    <row r="472" spans="1:9" ht="14.5" x14ac:dyDescent="0.35">
      <c r="A472" s="81"/>
      <c r="B472" s="81"/>
      <c r="C472" s="82"/>
      <c r="D472" s="82"/>
      <c r="E472" s="83"/>
      <c r="F472" s="82"/>
      <c r="G472" s="84"/>
      <c r="H472" s="84"/>
      <c r="I472" s="84"/>
    </row>
    <row r="473" spans="1:9" ht="14.5" x14ac:dyDescent="0.35">
      <c r="A473" s="81"/>
      <c r="B473" s="81"/>
      <c r="C473" s="82"/>
      <c r="D473" s="82"/>
      <c r="E473" s="83"/>
      <c r="F473" s="82"/>
      <c r="G473" s="84"/>
      <c r="H473" s="84"/>
      <c r="I473" s="84"/>
    </row>
    <row r="474" spans="1:9" ht="14.5" x14ac:dyDescent="0.35">
      <c r="A474" s="81"/>
      <c r="B474" s="81"/>
      <c r="C474" s="82"/>
      <c r="D474" s="82"/>
      <c r="E474" s="83"/>
      <c r="F474" s="82"/>
      <c r="G474" s="84"/>
      <c r="H474" s="84"/>
      <c r="I474" s="84"/>
    </row>
    <row r="475" spans="1:9" ht="14.5" x14ac:dyDescent="0.35">
      <c r="A475" s="81"/>
      <c r="B475" s="81"/>
      <c r="C475" s="82"/>
      <c r="D475" s="82"/>
      <c r="E475" s="83"/>
      <c r="F475" s="82"/>
      <c r="G475" s="84"/>
      <c r="H475" s="84"/>
      <c r="I475" s="84"/>
    </row>
    <row r="476" spans="1:9" ht="14.5" x14ac:dyDescent="0.35">
      <c r="A476" s="81"/>
      <c r="B476" s="81"/>
      <c r="C476" s="82"/>
      <c r="D476" s="82"/>
      <c r="E476" s="83"/>
      <c r="F476" s="82"/>
      <c r="G476" s="84"/>
      <c r="H476" s="84"/>
      <c r="I476" s="84"/>
    </row>
    <row r="477" spans="1:9" ht="14.5" x14ac:dyDescent="0.35">
      <c r="A477" s="81"/>
      <c r="B477" s="81"/>
      <c r="C477" s="82"/>
      <c r="D477" s="82"/>
      <c r="E477" s="83"/>
      <c r="F477" s="82"/>
      <c r="G477" s="84"/>
      <c r="H477" s="84"/>
      <c r="I477" s="84"/>
    </row>
    <row r="478" spans="1:9" ht="14.5" x14ac:dyDescent="0.35">
      <c r="A478" s="81"/>
      <c r="B478" s="81"/>
      <c r="C478" s="82"/>
      <c r="D478" s="82"/>
      <c r="E478" s="83"/>
      <c r="F478" s="82"/>
      <c r="G478" s="84"/>
      <c r="H478" s="84"/>
      <c r="I478" s="84"/>
    </row>
    <row r="479" spans="1:9" ht="14.5" x14ac:dyDescent="0.35">
      <c r="A479" s="81"/>
      <c r="B479" s="81"/>
      <c r="C479" s="82"/>
      <c r="D479" s="82"/>
      <c r="E479" s="83"/>
      <c r="F479" s="82"/>
      <c r="G479" s="84"/>
      <c r="H479" s="84"/>
      <c r="I479" s="84"/>
    </row>
    <row r="480" spans="1:9" ht="14.5" x14ac:dyDescent="0.35">
      <c r="A480" s="81"/>
      <c r="B480" s="81"/>
      <c r="C480" s="82"/>
      <c r="D480" s="82"/>
      <c r="E480" s="83"/>
      <c r="F480" s="82"/>
      <c r="G480" s="84"/>
      <c r="H480" s="84"/>
      <c r="I480" s="84"/>
    </row>
    <row r="481" spans="1:9" ht="14.5" x14ac:dyDescent="0.35">
      <c r="A481" s="81"/>
      <c r="B481" s="81"/>
      <c r="C481" s="82"/>
      <c r="D481" s="82"/>
      <c r="E481" s="83"/>
      <c r="F481" s="82"/>
      <c r="G481" s="84"/>
      <c r="H481" s="84"/>
      <c r="I481" s="84"/>
    </row>
    <row r="482" spans="1:9" ht="14.5" x14ac:dyDescent="0.35">
      <c r="A482" s="81"/>
      <c r="B482" s="81"/>
      <c r="C482" s="82"/>
      <c r="D482" s="82"/>
      <c r="E482" s="83"/>
      <c r="F482" s="82"/>
      <c r="G482" s="84"/>
      <c r="H482" s="84"/>
      <c r="I482" s="84"/>
    </row>
    <row r="483" spans="1:9" ht="14.5" x14ac:dyDescent="0.35">
      <c r="A483" s="81"/>
      <c r="B483" s="81"/>
      <c r="C483" s="82"/>
      <c r="D483" s="82"/>
      <c r="E483" s="83"/>
      <c r="F483" s="82"/>
      <c r="G483" s="84"/>
      <c r="H483" s="84"/>
      <c r="I483" s="84"/>
    </row>
    <row r="484" spans="1:9" ht="14.5" x14ac:dyDescent="0.35">
      <c r="A484" s="81"/>
      <c r="B484" s="81"/>
      <c r="C484" s="82"/>
      <c r="D484" s="82"/>
      <c r="E484" s="83"/>
      <c r="F484" s="82"/>
      <c r="G484" s="84"/>
      <c r="H484" s="84"/>
      <c r="I484" s="84"/>
    </row>
    <row r="485" spans="1:9" ht="14.5" x14ac:dyDescent="0.35">
      <c r="A485" s="81"/>
      <c r="B485" s="81"/>
      <c r="C485" s="82"/>
      <c r="D485" s="82"/>
      <c r="E485" s="83"/>
      <c r="F485" s="82"/>
      <c r="G485" s="84"/>
      <c r="H485" s="84"/>
      <c r="I485" s="84"/>
    </row>
    <row r="486" spans="1:9" ht="14.5" x14ac:dyDescent="0.35">
      <c r="A486" s="81"/>
      <c r="B486" s="81"/>
      <c r="C486" s="82"/>
      <c r="D486" s="82"/>
      <c r="E486" s="83"/>
      <c r="F486" s="82"/>
      <c r="G486" s="84"/>
      <c r="H486" s="84"/>
      <c r="I486" s="84"/>
    </row>
    <row r="487" spans="1:9" ht="14.5" x14ac:dyDescent="0.35">
      <c r="A487" s="81"/>
      <c r="B487" s="81"/>
      <c r="C487" s="82"/>
      <c r="D487" s="82"/>
      <c r="E487" s="83"/>
      <c r="F487" s="82"/>
      <c r="G487" s="84"/>
      <c r="H487" s="84"/>
      <c r="I487" s="84"/>
    </row>
    <row r="488" spans="1:9" ht="14.5" x14ac:dyDescent="0.35">
      <c r="A488" s="81"/>
      <c r="B488" s="81"/>
      <c r="C488" s="82"/>
      <c r="D488" s="82"/>
      <c r="E488" s="83"/>
      <c r="F488" s="82"/>
      <c r="G488" s="84"/>
      <c r="H488" s="84"/>
      <c r="I488" s="84"/>
    </row>
    <row r="489" spans="1:9" ht="14.5" x14ac:dyDescent="0.35">
      <c r="A489" s="81"/>
      <c r="B489" s="81"/>
      <c r="C489" s="82"/>
      <c r="D489" s="82"/>
      <c r="E489" s="83"/>
      <c r="F489" s="82"/>
      <c r="G489" s="84"/>
      <c r="H489" s="84"/>
      <c r="I489" s="84"/>
    </row>
    <row r="490" spans="1:9" ht="14.5" x14ac:dyDescent="0.35">
      <c r="A490" s="81"/>
      <c r="B490" s="81"/>
      <c r="C490" s="82"/>
      <c r="D490" s="82"/>
      <c r="E490" s="83"/>
      <c r="F490" s="82"/>
      <c r="G490" s="84"/>
      <c r="H490" s="84"/>
      <c r="I490" s="84"/>
    </row>
    <row r="491" spans="1:9" ht="14.5" x14ac:dyDescent="0.35">
      <c r="A491" s="81"/>
      <c r="B491" s="81"/>
      <c r="C491" s="82"/>
      <c r="D491" s="82"/>
      <c r="E491" s="83"/>
      <c r="F491" s="82"/>
      <c r="G491" s="84"/>
      <c r="H491" s="84"/>
      <c r="I491" s="84"/>
    </row>
    <row r="492" spans="1:9" ht="14.5" x14ac:dyDescent="0.35">
      <c r="A492" s="81"/>
      <c r="B492" s="81"/>
      <c r="C492" s="82"/>
      <c r="D492" s="82"/>
      <c r="E492" s="83"/>
      <c r="F492" s="82"/>
      <c r="G492" s="84"/>
      <c r="H492" s="84"/>
      <c r="I492" s="84"/>
    </row>
    <row r="493" spans="1:9" ht="14.5" x14ac:dyDescent="0.35">
      <c r="A493" s="81"/>
      <c r="B493" s="81"/>
      <c r="C493" s="82"/>
      <c r="D493" s="82"/>
      <c r="E493" s="83"/>
      <c r="F493" s="82"/>
      <c r="G493" s="84"/>
      <c r="H493" s="84"/>
      <c r="I493" s="84"/>
    </row>
    <row r="494" spans="1:9" ht="14.5" x14ac:dyDescent="0.35">
      <c r="A494" s="81"/>
      <c r="B494" s="81"/>
      <c r="C494" s="82"/>
      <c r="D494" s="82"/>
      <c r="E494" s="83"/>
      <c r="F494" s="82"/>
      <c r="G494" s="84"/>
      <c r="H494" s="84"/>
      <c r="I494" s="84"/>
    </row>
    <row r="495" spans="1:9" ht="14.5" x14ac:dyDescent="0.35">
      <c r="A495" s="81"/>
      <c r="B495" s="81"/>
      <c r="C495" s="82"/>
      <c r="D495" s="82"/>
      <c r="E495" s="83"/>
      <c r="F495" s="82"/>
      <c r="G495" s="84"/>
      <c r="H495" s="84"/>
      <c r="I495" s="84"/>
    </row>
    <row r="496" spans="1:9" ht="14.5" x14ac:dyDescent="0.35">
      <c r="A496" s="81"/>
      <c r="B496" s="81"/>
      <c r="C496" s="82"/>
      <c r="D496" s="82"/>
      <c r="E496" s="83"/>
      <c r="F496" s="82"/>
      <c r="G496" s="84"/>
      <c r="H496" s="84"/>
      <c r="I496" s="84"/>
    </row>
    <row r="497" spans="1:9" ht="14.5" x14ac:dyDescent="0.35">
      <c r="A497" s="81"/>
      <c r="B497" s="81"/>
      <c r="C497" s="82"/>
      <c r="D497" s="82"/>
      <c r="E497" s="83"/>
      <c r="F497" s="82"/>
      <c r="G497" s="84"/>
      <c r="H497" s="84"/>
      <c r="I497" s="84"/>
    </row>
    <row r="498" spans="1:9" ht="14.5" x14ac:dyDescent="0.35">
      <c r="A498" s="81"/>
      <c r="B498" s="81"/>
      <c r="C498" s="82"/>
      <c r="D498" s="82"/>
      <c r="E498" s="83"/>
      <c r="F498" s="82"/>
      <c r="G498" s="84"/>
      <c r="H498" s="84"/>
      <c r="I498" s="84"/>
    </row>
    <row r="499" spans="1:9" ht="14.5" x14ac:dyDescent="0.35">
      <c r="A499" s="81"/>
      <c r="B499" s="81"/>
      <c r="C499" s="82"/>
      <c r="D499" s="82"/>
      <c r="E499" s="83"/>
      <c r="F499" s="82"/>
      <c r="G499" s="84"/>
      <c r="H499" s="84"/>
      <c r="I499" s="84"/>
    </row>
    <row r="500" spans="1:9" ht="14.5" x14ac:dyDescent="0.35">
      <c r="A500" s="81"/>
      <c r="B500" s="81"/>
      <c r="C500" s="82"/>
      <c r="D500" s="82"/>
      <c r="E500" s="83"/>
      <c r="F500" s="82"/>
      <c r="G500" s="84"/>
      <c r="H500" s="84"/>
      <c r="I500" s="84"/>
    </row>
    <row r="501" spans="1:9" ht="14.5" x14ac:dyDescent="0.35">
      <c r="A501" s="81"/>
      <c r="B501" s="81"/>
      <c r="C501" s="82"/>
      <c r="D501" s="82"/>
      <c r="E501" s="83"/>
      <c r="F501" s="82"/>
      <c r="G501" s="84"/>
      <c r="H501" s="84"/>
      <c r="I501" s="84"/>
    </row>
    <row r="502" spans="1:9" ht="14.5" x14ac:dyDescent="0.35">
      <c r="A502" s="81"/>
      <c r="B502" s="81"/>
      <c r="C502" s="82"/>
      <c r="D502" s="82"/>
      <c r="E502" s="83"/>
      <c r="F502" s="82"/>
      <c r="G502" s="84"/>
      <c r="H502" s="84"/>
      <c r="I502" s="84"/>
    </row>
    <row r="503" spans="1:9" ht="14.5" x14ac:dyDescent="0.35">
      <c r="A503" s="81"/>
      <c r="B503" s="81"/>
      <c r="C503" s="82"/>
      <c r="D503" s="82"/>
      <c r="E503" s="83"/>
      <c r="F503" s="82"/>
      <c r="G503" s="84"/>
      <c r="H503" s="84"/>
      <c r="I503" s="84"/>
    </row>
    <row r="504" spans="1:9" ht="14.5" x14ac:dyDescent="0.35">
      <c r="A504" s="81"/>
      <c r="B504" s="81"/>
      <c r="C504" s="82"/>
      <c r="D504" s="82"/>
      <c r="E504" s="83"/>
      <c r="F504" s="82"/>
      <c r="G504" s="84"/>
      <c r="H504" s="84"/>
      <c r="I504" s="84"/>
    </row>
    <row r="505" spans="1:9" ht="14.5" x14ac:dyDescent="0.35">
      <c r="A505" s="81"/>
      <c r="B505" s="81"/>
      <c r="C505" s="82"/>
      <c r="D505" s="82"/>
      <c r="E505" s="83"/>
      <c r="F505" s="82"/>
      <c r="G505" s="84"/>
      <c r="H505" s="84"/>
      <c r="I505" s="84"/>
    </row>
    <row r="506" spans="1:9" ht="14.5" x14ac:dyDescent="0.35">
      <c r="A506" s="81"/>
      <c r="B506" s="81"/>
      <c r="C506" s="82"/>
      <c r="D506" s="82"/>
      <c r="E506" s="83"/>
      <c r="F506" s="82"/>
      <c r="G506" s="84"/>
      <c r="H506" s="84"/>
      <c r="I506" s="84"/>
    </row>
    <row r="507" spans="1:9" ht="14.5" x14ac:dyDescent="0.35">
      <c r="A507" s="81"/>
      <c r="B507" s="81"/>
      <c r="C507" s="82"/>
      <c r="D507" s="82"/>
      <c r="E507" s="83"/>
      <c r="F507" s="82"/>
      <c r="G507" s="84"/>
      <c r="H507" s="84"/>
      <c r="I507" s="84"/>
    </row>
    <row r="508" spans="1:9" ht="14.5" x14ac:dyDescent="0.35">
      <c r="A508" s="81"/>
      <c r="B508" s="81"/>
      <c r="C508" s="82"/>
      <c r="D508" s="82"/>
      <c r="E508" s="83"/>
      <c r="F508" s="82"/>
      <c r="G508" s="84"/>
      <c r="H508" s="84"/>
      <c r="I508" s="84"/>
    </row>
    <row r="509" spans="1:9" ht="14.5" x14ac:dyDescent="0.35">
      <c r="A509" s="81"/>
      <c r="B509" s="81"/>
      <c r="C509" s="82"/>
      <c r="D509" s="82"/>
      <c r="E509" s="83"/>
      <c r="F509" s="82"/>
      <c r="G509" s="84"/>
      <c r="H509" s="84"/>
      <c r="I509" s="84"/>
    </row>
    <row r="510" spans="1:9" ht="14.5" x14ac:dyDescent="0.35">
      <c r="A510" s="81"/>
      <c r="B510" s="81"/>
      <c r="C510" s="82"/>
      <c r="D510" s="82"/>
      <c r="E510" s="83"/>
      <c r="F510" s="82"/>
      <c r="G510" s="84"/>
      <c r="H510" s="84"/>
      <c r="I510" s="84"/>
    </row>
    <row r="511" spans="1:9" ht="14.5" x14ac:dyDescent="0.35">
      <c r="A511" s="81"/>
      <c r="B511" s="81"/>
      <c r="C511" s="82"/>
      <c r="D511" s="82"/>
      <c r="E511" s="83"/>
      <c r="F511" s="82"/>
      <c r="G511" s="84"/>
      <c r="H511" s="84"/>
      <c r="I511" s="84"/>
    </row>
    <row r="512" spans="1:9" ht="14.5" x14ac:dyDescent="0.35">
      <c r="A512" s="81"/>
      <c r="B512" s="81"/>
      <c r="C512" s="82"/>
      <c r="D512" s="82"/>
      <c r="E512" s="83"/>
      <c r="F512" s="82"/>
      <c r="G512" s="84"/>
      <c r="H512" s="84"/>
      <c r="I512" s="84"/>
    </row>
    <row r="513" spans="1:9" ht="14.5" x14ac:dyDescent="0.35">
      <c r="A513" s="81"/>
      <c r="B513" s="81"/>
      <c r="C513" s="82"/>
      <c r="D513" s="82"/>
      <c r="E513" s="83"/>
      <c r="F513" s="82"/>
      <c r="G513" s="84"/>
      <c r="H513" s="84"/>
      <c r="I513" s="84"/>
    </row>
    <row r="514" spans="1:9" ht="14.5" x14ac:dyDescent="0.35">
      <c r="A514" s="81"/>
      <c r="B514" s="81"/>
      <c r="C514" s="82"/>
      <c r="D514" s="82"/>
      <c r="E514" s="83"/>
      <c r="F514" s="82"/>
      <c r="G514" s="84"/>
      <c r="H514" s="84"/>
      <c r="I514" s="84"/>
    </row>
    <row r="515" spans="1:9" ht="14.5" x14ac:dyDescent="0.35">
      <c r="A515" s="81"/>
      <c r="B515" s="81"/>
      <c r="C515" s="82"/>
      <c r="D515" s="82"/>
      <c r="E515" s="83"/>
      <c r="F515" s="82"/>
      <c r="G515" s="84"/>
      <c r="H515" s="84"/>
      <c r="I515" s="84"/>
    </row>
    <row r="516" spans="1:9" ht="14.5" x14ac:dyDescent="0.35">
      <c r="A516" s="81"/>
      <c r="B516" s="81"/>
      <c r="C516" s="82"/>
      <c r="D516" s="82"/>
      <c r="E516" s="83"/>
      <c r="F516" s="82"/>
      <c r="G516" s="84"/>
      <c r="H516" s="84"/>
      <c r="I516" s="84"/>
    </row>
    <row r="517" spans="1:9" ht="14.5" x14ac:dyDescent="0.35">
      <c r="A517" s="81"/>
      <c r="B517" s="81"/>
      <c r="C517" s="82"/>
      <c r="D517" s="82"/>
      <c r="E517" s="83"/>
      <c r="F517" s="82"/>
      <c r="G517" s="84"/>
      <c r="H517" s="84"/>
      <c r="I517" s="84"/>
    </row>
    <row r="518" spans="1:9" ht="14.5" x14ac:dyDescent="0.35">
      <c r="A518" s="81"/>
      <c r="B518" s="81"/>
      <c r="C518" s="82"/>
      <c r="D518" s="82"/>
      <c r="E518" s="83"/>
      <c r="F518" s="82"/>
      <c r="G518" s="84"/>
      <c r="H518" s="84"/>
      <c r="I518" s="84"/>
    </row>
    <row r="519" spans="1:9" ht="14.5" x14ac:dyDescent="0.35">
      <c r="A519" s="81"/>
      <c r="B519" s="81"/>
      <c r="C519" s="82"/>
      <c r="D519" s="82"/>
      <c r="E519" s="83"/>
      <c r="F519" s="82"/>
      <c r="G519" s="84"/>
      <c r="H519" s="84"/>
      <c r="I519" s="84"/>
    </row>
    <row r="520" spans="1:9" ht="14.5" x14ac:dyDescent="0.35">
      <c r="A520" s="81"/>
      <c r="B520" s="81"/>
      <c r="C520" s="82"/>
      <c r="D520" s="82"/>
      <c r="E520" s="83"/>
      <c r="F520" s="82"/>
      <c r="G520" s="84"/>
      <c r="H520" s="84"/>
      <c r="I520" s="84"/>
    </row>
    <row r="521" spans="1:9" ht="14.5" x14ac:dyDescent="0.35">
      <c r="A521" s="81"/>
      <c r="B521" s="81"/>
      <c r="C521" s="82"/>
      <c r="D521" s="82"/>
      <c r="E521" s="83"/>
      <c r="F521" s="82"/>
      <c r="G521" s="84"/>
      <c r="H521" s="84"/>
      <c r="I521" s="84"/>
    </row>
    <row r="522" spans="1:9" ht="14.5" x14ac:dyDescent="0.35">
      <c r="A522" s="81"/>
      <c r="B522" s="81"/>
      <c r="C522" s="82"/>
      <c r="D522" s="82"/>
      <c r="E522" s="83"/>
      <c r="F522" s="82"/>
      <c r="G522" s="84"/>
      <c r="H522" s="84"/>
      <c r="I522" s="84"/>
    </row>
    <row r="523" spans="1:9" ht="14.5" x14ac:dyDescent="0.35">
      <c r="A523" s="81"/>
      <c r="B523" s="81"/>
      <c r="C523" s="82"/>
      <c r="D523" s="82"/>
      <c r="E523" s="83"/>
      <c r="F523" s="82"/>
      <c r="G523" s="84"/>
      <c r="H523" s="84"/>
      <c r="I523" s="84"/>
    </row>
    <row r="524" spans="1:9" ht="14.5" x14ac:dyDescent="0.35">
      <c r="A524" s="81"/>
      <c r="B524" s="81"/>
      <c r="C524" s="82"/>
      <c r="D524" s="82"/>
      <c r="E524" s="83"/>
      <c r="F524" s="82"/>
      <c r="G524" s="84"/>
      <c r="H524" s="84"/>
      <c r="I524" s="84"/>
    </row>
    <row r="525" spans="1:9" ht="14.5" x14ac:dyDescent="0.35">
      <c r="A525" s="81"/>
      <c r="B525" s="81"/>
      <c r="C525" s="82"/>
      <c r="D525" s="82"/>
      <c r="E525" s="83"/>
      <c r="F525" s="82"/>
      <c r="G525" s="84"/>
      <c r="H525" s="84"/>
      <c r="I525" s="84"/>
    </row>
    <row r="526" spans="1:9" ht="14.5" x14ac:dyDescent="0.35">
      <c r="A526" s="81"/>
      <c r="B526" s="81"/>
      <c r="C526" s="82"/>
      <c r="D526" s="82"/>
      <c r="E526" s="83"/>
      <c r="F526" s="82"/>
      <c r="G526" s="84"/>
      <c r="H526" s="84"/>
      <c r="I526" s="84"/>
    </row>
    <row r="527" spans="1:9" ht="14.5" x14ac:dyDescent="0.35">
      <c r="A527" s="81"/>
      <c r="B527" s="81"/>
      <c r="C527" s="82"/>
      <c r="D527" s="82"/>
      <c r="E527" s="83"/>
      <c r="F527" s="82"/>
      <c r="G527" s="84"/>
      <c r="H527" s="84"/>
      <c r="I527" s="84"/>
    </row>
    <row r="528" spans="1:9" ht="14.5" x14ac:dyDescent="0.35">
      <c r="A528" s="81"/>
      <c r="B528" s="81"/>
      <c r="C528" s="82"/>
      <c r="D528" s="82"/>
      <c r="E528" s="83"/>
      <c r="F528" s="82"/>
      <c r="G528" s="84"/>
      <c r="H528" s="84"/>
      <c r="I528" s="84"/>
    </row>
    <row r="529" spans="1:9" ht="14.5" x14ac:dyDescent="0.35">
      <c r="A529" s="81"/>
      <c r="B529" s="81"/>
      <c r="C529" s="82"/>
      <c r="D529" s="82"/>
      <c r="E529" s="83"/>
      <c r="F529" s="82"/>
      <c r="G529" s="84"/>
      <c r="H529" s="84"/>
      <c r="I529" s="84"/>
    </row>
    <row r="530" spans="1:9" ht="14.5" x14ac:dyDescent="0.35">
      <c r="A530" s="81"/>
      <c r="B530" s="81"/>
      <c r="C530" s="82"/>
      <c r="D530" s="82"/>
      <c r="E530" s="83"/>
      <c r="F530" s="82"/>
      <c r="G530" s="84"/>
      <c r="H530" s="84"/>
      <c r="I530" s="84"/>
    </row>
    <row r="531" spans="1:9" ht="14.5" x14ac:dyDescent="0.35">
      <c r="A531" s="81"/>
      <c r="B531" s="81"/>
      <c r="C531" s="82"/>
      <c r="D531" s="82"/>
      <c r="E531" s="83"/>
      <c r="F531" s="82"/>
      <c r="G531" s="84"/>
      <c r="H531" s="84"/>
      <c r="I531" s="84"/>
    </row>
    <row r="532" spans="1:9" ht="14.5" x14ac:dyDescent="0.35">
      <c r="A532" s="81"/>
      <c r="B532" s="81"/>
      <c r="C532" s="82"/>
      <c r="D532" s="82"/>
      <c r="E532" s="83"/>
      <c r="F532" s="82"/>
      <c r="G532" s="84"/>
      <c r="H532" s="84"/>
      <c r="I532" s="84"/>
    </row>
    <row r="533" spans="1:9" ht="14.5" x14ac:dyDescent="0.35">
      <c r="A533" s="81"/>
      <c r="B533" s="81"/>
      <c r="C533" s="82"/>
      <c r="D533" s="82"/>
      <c r="E533" s="83"/>
      <c r="F533" s="82"/>
      <c r="G533" s="84"/>
      <c r="H533" s="84"/>
      <c r="I533" s="84"/>
    </row>
    <row r="534" spans="1:9" ht="14.5" x14ac:dyDescent="0.35">
      <c r="A534" s="81"/>
      <c r="B534" s="81"/>
      <c r="C534" s="82"/>
      <c r="D534" s="82"/>
      <c r="E534" s="83"/>
      <c r="F534" s="82"/>
      <c r="G534" s="84"/>
      <c r="H534" s="84"/>
      <c r="I534" s="84"/>
    </row>
    <row r="535" spans="1:9" ht="14.5" x14ac:dyDescent="0.35">
      <c r="A535" s="81"/>
      <c r="B535" s="81"/>
      <c r="C535" s="82"/>
      <c r="D535" s="82"/>
      <c r="E535" s="83"/>
      <c r="F535" s="82"/>
      <c r="G535" s="84"/>
      <c r="H535" s="84"/>
      <c r="I535" s="84"/>
    </row>
    <row r="536" spans="1:9" ht="14.5" x14ac:dyDescent="0.35">
      <c r="A536" s="81"/>
      <c r="B536" s="81"/>
      <c r="C536" s="82"/>
      <c r="D536" s="82"/>
      <c r="E536" s="83"/>
      <c r="F536" s="82"/>
      <c r="G536" s="84"/>
      <c r="H536" s="84"/>
      <c r="I536" s="84"/>
    </row>
    <row r="537" spans="1:9" ht="14.5" x14ac:dyDescent="0.35">
      <c r="A537" s="81"/>
      <c r="B537" s="81"/>
      <c r="C537" s="82"/>
      <c r="D537" s="82"/>
      <c r="E537" s="83"/>
      <c r="F537" s="82"/>
      <c r="G537" s="84"/>
      <c r="H537" s="84"/>
      <c r="I537" s="84"/>
    </row>
    <row r="538" spans="1:9" ht="14.5" x14ac:dyDescent="0.35">
      <c r="A538" s="81"/>
      <c r="B538" s="81"/>
      <c r="C538" s="82"/>
      <c r="D538" s="82"/>
      <c r="E538" s="83"/>
      <c r="F538" s="82"/>
      <c r="G538" s="84"/>
      <c r="H538" s="84"/>
      <c r="I538" s="84"/>
    </row>
    <row r="539" spans="1:9" ht="14.5" x14ac:dyDescent="0.35">
      <c r="A539" s="81"/>
      <c r="B539" s="81"/>
      <c r="C539" s="82"/>
      <c r="D539" s="82"/>
      <c r="E539" s="83"/>
      <c r="F539" s="82"/>
      <c r="G539" s="84"/>
      <c r="H539" s="84"/>
      <c r="I539" s="84"/>
    </row>
    <row r="540" spans="1:9" ht="14.5" x14ac:dyDescent="0.35">
      <c r="A540" s="81"/>
      <c r="B540" s="81"/>
      <c r="C540" s="82"/>
      <c r="D540" s="82"/>
      <c r="E540" s="83"/>
      <c r="F540" s="82"/>
      <c r="G540" s="84"/>
      <c r="H540" s="84"/>
      <c r="I540" s="84"/>
    </row>
    <row r="541" spans="1:9" ht="14.5" x14ac:dyDescent="0.35">
      <c r="A541" s="81"/>
      <c r="B541" s="81"/>
      <c r="C541" s="82"/>
      <c r="D541" s="82"/>
      <c r="E541" s="83"/>
      <c r="F541" s="82"/>
      <c r="G541" s="84"/>
      <c r="H541" s="84"/>
      <c r="I541" s="84"/>
    </row>
    <row r="542" spans="1:9" ht="14.5" x14ac:dyDescent="0.35">
      <c r="A542" s="81"/>
      <c r="B542" s="81"/>
      <c r="C542" s="82"/>
      <c r="D542" s="82"/>
      <c r="E542" s="83"/>
      <c r="F542" s="82"/>
      <c r="G542" s="84"/>
      <c r="H542" s="84"/>
      <c r="I542" s="84"/>
    </row>
    <row r="543" spans="1:9" ht="14.5" x14ac:dyDescent="0.35">
      <c r="A543" s="81"/>
      <c r="B543" s="81"/>
      <c r="C543" s="82"/>
      <c r="D543" s="82"/>
      <c r="E543" s="83"/>
      <c r="F543" s="82"/>
      <c r="G543" s="84"/>
      <c r="H543" s="84"/>
      <c r="I543" s="84"/>
    </row>
    <row r="544" spans="1:9" ht="14.5" x14ac:dyDescent="0.35">
      <c r="A544" s="81"/>
      <c r="B544" s="81"/>
      <c r="C544" s="82"/>
      <c r="D544" s="82"/>
      <c r="E544" s="83"/>
      <c r="F544" s="82"/>
      <c r="G544" s="84"/>
      <c r="H544" s="84"/>
      <c r="I544" s="84"/>
    </row>
    <row r="545" spans="1:9" ht="14.5" x14ac:dyDescent="0.35">
      <c r="A545" s="81"/>
      <c r="B545" s="81"/>
      <c r="C545" s="82"/>
      <c r="D545" s="82"/>
      <c r="E545" s="83"/>
      <c r="F545" s="82"/>
      <c r="G545" s="84"/>
      <c r="H545" s="84"/>
      <c r="I545" s="84"/>
    </row>
    <row r="546" spans="1:9" ht="14.5" x14ac:dyDescent="0.35">
      <c r="A546" s="81"/>
      <c r="B546" s="81"/>
      <c r="C546" s="82"/>
      <c r="D546" s="82"/>
      <c r="E546" s="83"/>
      <c r="F546" s="82"/>
      <c r="G546" s="84"/>
      <c r="H546" s="84"/>
      <c r="I546" s="84"/>
    </row>
    <row r="547" spans="1:9" ht="14.5" x14ac:dyDescent="0.35">
      <c r="A547" s="81"/>
      <c r="B547" s="81"/>
      <c r="C547" s="82"/>
      <c r="D547" s="82"/>
      <c r="E547" s="83"/>
      <c r="F547" s="82"/>
      <c r="G547" s="84"/>
      <c r="H547" s="84"/>
      <c r="I547" s="84"/>
    </row>
    <row r="548" spans="1:9" ht="14.5" x14ac:dyDescent="0.35">
      <c r="A548" s="81"/>
      <c r="B548" s="81"/>
      <c r="C548" s="82"/>
      <c r="D548" s="82"/>
      <c r="E548" s="83"/>
      <c r="F548" s="82"/>
      <c r="G548" s="84"/>
      <c r="H548" s="84"/>
      <c r="I548" s="84"/>
    </row>
    <row r="549" spans="1:9" ht="14.5" x14ac:dyDescent="0.35">
      <c r="A549" s="81"/>
      <c r="B549" s="81"/>
      <c r="C549" s="82"/>
      <c r="D549" s="82"/>
      <c r="E549" s="83"/>
      <c r="F549" s="82"/>
      <c r="G549" s="84"/>
      <c r="H549" s="84"/>
      <c r="I549" s="84"/>
    </row>
    <row r="550" spans="1:9" ht="14.5" x14ac:dyDescent="0.35">
      <c r="A550" s="81"/>
      <c r="B550" s="81"/>
      <c r="C550" s="82"/>
      <c r="D550" s="82"/>
      <c r="E550" s="83"/>
      <c r="F550" s="82"/>
      <c r="G550" s="84"/>
      <c r="H550" s="84"/>
      <c r="I550" s="84"/>
    </row>
    <row r="551" spans="1:9" ht="14.5" x14ac:dyDescent="0.35">
      <c r="A551" s="81"/>
      <c r="B551" s="81"/>
      <c r="C551" s="82"/>
      <c r="D551" s="82"/>
      <c r="E551" s="83"/>
      <c r="F551" s="82"/>
      <c r="G551" s="84"/>
      <c r="H551" s="84"/>
      <c r="I551" s="84"/>
    </row>
    <row r="552" spans="1:9" ht="14.5" x14ac:dyDescent="0.35">
      <c r="A552" s="81"/>
      <c r="B552" s="81"/>
      <c r="C552" s="82"/>
      <c r="D552" s="82"/>
      <c r="E552" s="83"/>
      <c r="F552" s="82"/>
      <c r="G552" s="84"/>
      <c r="H552" s="84"/>
      <c r="I552" s="84"/>
    </row>
    <row r="553" spans="1:9" ht="14.5" x14ac:dyDescent="0.35">
      <c r="A553" s="81"/>
      <c r="B553" s="81"/>
      <c r="C553" s="82"/>
      <c r="D553" s="82"/>
      <c r="E553" s="83"/>
      <c r="F553" s="82"/>
      <c r="G553" s="84"/>
      <c r="H553" s="84"/>
      <c r="I553" s="84"/>
    </row>
    <row r="554" spans="1:9" ht="14.5" x14ac:dyDescent="0.35">
      <c r="A554" s="81"/>
      <c r="B554" s="81"/>
      <c r="C554" s="82"/>
      <c r="D554" s="82"/>
      <c r="E554" s="83"/>
      <c r="F554" s="82"/>
      <c r="G554" s="84"/>
      <c r="H554" s="84"/>
      <c r="I554" s="84"/>
    </row>
    <row r="555" spans="1:9" ht="14.5" x14ac:dyDescent="0.35">
      <c r="A555" s="81"/>
      <c r="B555" s="81"/>
      <c r="C555" s="82"/>
      <c r="D555" s="82"/>
      <c r="E555" s="83"/>
      <c r="F555" s="82"/>
      <c r="G555" s="84"/>
      <c r="H555" s="84"/>
      <c r="I555" s="84"/>
    </row>
    <row r="556" spans="1:9" ht="14.5" x14ac:dyDescent="0.35">
      <c r="A556" s="81"/>
      <c r="B556" s="81"/>
      <c r="C556" s="82"/>
      <c r="D556" s="82"/>
      <c r="E556" s="83"/>
      <c r="F556" s="82"/>
      <c r="G556" s="84"/>
      <c r="H556" s="84"/>
      <c r="I556" s="84"/>
    </row>
    <row r="557" spans="1:9" ht="14.5" x14ac:dyDescent="0.35">
      <c r="A557" s="81"/>
      <c r="B557" s="81"/>
      <c r="C557" s="82"/>
      <c r="D557" s="82"/>
      <c r="E557" s="83"/>
      <c r="F557" s="82"/>
      <c r="G557" s="84"/>
      <c r="H557" s="84"/>
      <c r="I557" s="84"/>
    </row>
    <row r="558" spans="1:9" ht="14.5" x14ac:dyDescent="0.35">
      <c r="A558" s="81"/>
      <c r="B558" s="81"/>
      <c r="C558" s="82"/>
      <c r="D558" s="82"/>
      <c r="E558" s="83"/>
      <c r="F558" s="82"/>
      <c r="G558" s="84"/>
      <c r="H558" s="84"/>
      <c r="I558" s="84"/>
    </row>
    <row r="559" spans="1:9" ht="14.5" x14ac:dyDescent="0.35">
      <c r="A559" s="81"/>
      <c r="B559" s="81"/>
      <c r="C559" s="82"/>
      <c r="D559" s="82"/>
      <c r="E559" s="83"/>
      <c r="F559" s="82"/>
      <c r="G559" s="84"/>
      <c r="H559" s="84"/>
      <c r="I559" s="84"/>
    </row>
    <row r="560" spans="1:9" ht="14.5" x14ac:dyDescent="0.35">
      <c r="A560" s="81"/>
      <c r="B560" s="81"/>
      <c r="C560" s="82"/>
      <c r="D560" s="82"/>
      <c r="E560" s="83"/>
      <c r="F560" s="82"/>
      <c r="G560" s="84"/>
      <c r="H560" s="84"/>
      <c r="I560" s="84"/>
    </row>
    <row r="561" spans="1:9" ht="14.5" x14ac:dyDescent="0.35">
      <c r="A561" s="81"/>
      <c r="B561" s="81"/>
      <c r="C561" s="82"/>
      <c r="D561" s="82"/>
      <c r="E561" s="83"/>
      <c r="F561" s="82"/>
      <c r="G561" s="84"/>
      <c r="H561" s="84"/>
      <c r="I561" s="84"/>
    </row>
    <row r="562" spans="1:9" ht="14.5" x14ac:dyDescent="0.35">
      <c r="A562" s="81"/>
      <c r="B562" s="81"/>
      <c r="C562" s="82"/>
      <c r="D562" s="82"/>
      <c r="E562" s="83"/>
      <c r="F562" s="82"/>
      <c r="G562" s="84"/>
      <c r="H562" s="84"/>
      <c r="I562" s="84"/>
    </row>
    <row r="563" spans="1:9" ht="14.5" x14ac:dyDescent="0.35">
      <c r="A563" s="81"/>
      <c r="B563" s="81"/>
      <c r="C563" s="82"/>
      <c r="D563" s="82"/>
      <c r="E563" s="83"/>
      <c r="F563" s="82"/>
      <c r="G563" s="84"/>
      <c r="H563" s="84"/>
      <c r="I563" s="84"/>
    </row>
    <row r="564" spans="1:9" ht="14.5" x14ac:dyDescent="0.35">
      <c r="A564" s="81"/>
      <c r="B564" s="81"/>
      <c r="C564" s="82"/>
      <c r="D564" s="82"/>
      <c r="E564" s="83"/>
      <c r="F564" s="82"/>
      <c r="G564" s="84"/>
      <c r="H564" s="84"/>
      <c r="I564" s="84"/>
    </row>
    <row r="565" spans="1:9" ht="14.5" x14ac:dyDescent="0.35">
      <c r="A565" s="81"/>
      <c r="B565" s="81"/>
      <c r="C565" s="82"/>
      <c r="D565" s="82"/>
      <c r="E565" s="83"/>
      <c r="F565" s="82"/>
      <c r="G565" s="84"/>
      <c r="H565" s="84"/>
      <c r="I565" s="84"/>
    </row>
    <row r="566" spans="1:9" ht="14.5" x14ac:dyDescent="0.35">
      <c r="A566" s="81"/>
      <c r="B566" s="81"/>
      <c r="C566" s="82"/>
      <c r="D566" s="82"/>
      <c r="E566" s="83"/>
      <c r="F566" s="82"/>
      <c r="G566" s="84"/>
      <c r="H566" s="84"/>
      <c r="I566" s="84"/>
    </row>
    <row r="567" spans="1:9" ht="14.5" x14ac:dyDescent="0.35">
      <c r="A567" s="81"/>
      <c r="B567" s="81"/>
      <c r="C567" s="82"/>
      <c r="D567" s="82"/>
      <c r="E567" s="83"/>
      <c r="F567" s="82"/>
      <c r="G567" s="84"/>
      <c r="H567" s="84"/>
      <c r="I567" s="84"/>
    </row>
    <row r="568" spans="1:9" ht="14.5" x14ac:dyDescent="0.35">
      <c r="A568" s="81"/>
      <c r="B568" s="81"/>
      <c r="C568" s="82"/>
      <c r="D568" s="82"/>
      <c r="E568" s="83"/>
      <c r="F568" s="82"/>
      <c r="G568" s="84"/>
      <c r="H568" s="84"/>
      <c r="I568" s="84"/>
    </row>
    <row r="569" spans="1:9" ht="14.5" x14ac:dyDescent="0.35">
      <c r="A569" s="81"/>
      <c r="B569" s="81"/>
      <c r="C569" s="82"/>
      <c r="D569" s="82"/>
      <c r="E569" s="83"/>
      <c r="F569" s="82"/>
      <c r="G569" s="84"/>
      <c r="H569" s="84"/>
      <c r="I569" s="84"/>
    </row>
    <row r="570" spans="1:9" ht="14.5" x14ac:dyDescent="0.35">
      <c r="A570" s="81"/>
      <c r="B570" s="81"/>
      <c r="C570" s="82"/>
      <c r="D570" s="82"/>
      <c r="E570" s="83"/>
      <c r="F570" s="82"/>
      <c r="G570" s="84"/>
      <c r="H570" s="84"/>
      <c r="I570" s="84"/>
    </row>
    <row r="571" spans="1:9" ht="14.5" x14ac:dyDescent="0.35">
      <c r="A571" s="81"/>
      <c r="B571" s="81"/>
      <c r="C571" s="82"/>
      <c r="D571" s="82"/>
      <c r="E571" s="83"/>
      <c r="F571" s="82"/>
      <c r="G571" s="84"/>
      <c r="H571" s="84"/>
      <c r="I571" s="84"/>
    </row>
    <row r="572" spans="1:9" ht="14.5" x14ac:dyDescent="0.35">
      <c r="A572" s="81"/>
      <c r="B572" s="81"/>
      <c r="C572" s="82"/>
      <c r="D572" s="82"/>
      <c r="E572" s="83"/>
      <c r="F572" s="82"/>
      <c r="G572" s="84"/>
      <c r="H572" s="84"/>
      <c r="I572" s="84"/>
    </row>
    <row r="573" spans="1:9" ht="14.5" x14ac:dyDescent="0.35">
      <c r="A573" s="81"/>
      <c r="B573" s="81"/>
      <c r="C573" s="82"/>
      <c r="D573" s="82"/>
      <c r="E573" s="83"/>
      <c r="F573" s="82"/>
      <c r="G573" s="84"/>
      <c r="H573" s="84"/>
      <c r="I573" s="84"/>
    </row>
    <row r="574" spans="1:9" ht="14.5" x14ac:dyDescent="0.35">
      <c r="A574" s="81"/>
      <c r="B574" s="81"/>
      <c r="C574" s="82"/>
      <c r="D574" s="82"/>
      <c r="E574" s="83"/>
      <c r="F574" s="82"/>
      <c r="G574" s="84"/>
      <c r="H574" s="84"/>
      <c r="I574" s="84"/>
    </row>
    <row r="575" spans="1:9" ht="14.5" x14ac:dyDescent="0.35">
      <c r="A575" s="81"/>
      <c r="B575" s="81"/>
      <c r="C575" s="82"/>
      <c r="D575" s="82"/>
      <c r="E575" s="83"/>
      <c r="F575" s="82"/>
      <c r="G575" s="84"/>
      <c r="H575" s="84"/>
      <c r="I575" s="84"/>
    </row>
    <row r="576" spans="1:9" ht="14.5" x14ac:dyDescent="0.35">
      <c r="A576" s="81"/>
      <c r="B576" s="81"/>
      <c r="C576" s="82"/>
      <c r="D576" s="82"/>
      <c r="E576" s="83"/>
      <c r="F576" s="82"/>
      <c r="G576" s="84"/>
      <c r="H576" s="84"/>
      <c r="I576" s="84"/>
    </row>
    <row r="577" spans="1:9" ht="14.5" x14ac:dyDescent="0.35">
      <c r="A577" s="81"/>
      <c r="B577" s="81"/>
      <c r="C577" s="82"/>
      <c r="D577" s="82"/>
      <c r="E577" s="83"/>
      <c r="F577" s="82"/>
      <c r="G577" s="84"/>
      <c r="H577" s="84"/>
      <c r="I577" s="84"/>
    </row>
    <row r="578" spans="1:9" ht="14.5" x14ac:dyDescent="0.35">
      <c r="A578" s="81"/>
      <c r="B578" s="81"/>
      <c r="C578" s="82"/>
      <c r="D578" s="82"/>
      <c r="E578" s="83"/>
      <c r="F578" s="82"/>
      <c r="G578" s="84"/>
      <c r="H578" s="84"/>
      <c r="I578" s="84"/>
    </row>
    <row r="579" spans="1:9" ht="14.5" x14ac:dyDescent="0.35">
      <c r="A579" s="81"/>
      <c r="B579" s="81"/>
      <c r="C579" s="82"/>
      <c r="D579" s="82"/>
      <c r="E579" s="83"/>
      <c r="F579" s="82"/>
      <c r="G579" s="84"/>
      <c r="H579" s="84"/>
      <c r="I579" s="84"/>
    </row>
    <row r="580" spans="1:9" ht="14.5" x14ac:dyDescent="0.35">
      <c r="A580" s="81"/>
      <c r="B580" s="81"/>
      <c r="C580" s="82"/>
      <c r="D580" s="82"/>
      <c r="E580" s="83"/>
      <c r="F580" s="82"/>
      <c r="G580" s="84"/>
      <c r="H580" s="84"/>
      <c r="I580" s="84"/>
    </row>
    <row r="581" spans="1:9" ht="14.5" x14ac:dyDescent="0.35">
      <c r="A581" s="81"/>
      <c r="B581" s="81"/>
      <c r="C581" s="82"/>
      <c r="D581" s="82"/>
      <c r="E581" s="83"/>
      <c r="F581" s="82"/>
      <c r="G581" s="84"/>
      <c r="H581" s="84"/>
      <c r="I581" s="84"/>
    </row>
    <row r="582" spans="1:9" ht="14.5" x14ac:dyDescent="0.35">
      <c r="A582" s="81"/>
      <c r="B582" s="81"/>
      <c r="C582" s="82"/>
      <c r="D582" s="82"/>
      <c r="E582" s="83"/>
      <c r="F582" s="82"/>
      <c r="G582" s="84"/>
      <c r="H582" s="84"/>
      <c r="I582" s="84"/>
    </row>
    <row r="583" spans="1:9" ht="14.5" x14ac:dyDescent="0.35">
      <c r="A583" s="81"/>
      <c r="B583" s="81"/>
      <c r="C583" s="82"/>
      <c r="D583" s="82"/>
      <c r="E583" s="83"/>
      <c r="F583" s="82"/>
      <c r="G583" s="84"/>
      <c r="H583" s="84"/>
      <c r="I583" s="84"/>
    </row>
    <row r="584" spans="1:9" ht="14.5" x14ac:dyDescent="0.35">
      <c r="A584" s="81"/>
      <c r="B584" s="81"/>
      <c r="C584" s="82"/>
      <c r="D584" s="82"/>
      <c r="E584" s="83"/>
      <c r="F584" s="82"/>
      <c r="G584" s="84"/>
      <c r="H584" s="84"/>
      <c r="I584" s="84"/>
    </row>
    <row r="585" spans="1:9" ht="14.5" x14ac:dyDescent="0.35">
      <c r="A585" s="81"/>
      <c r="B585" s="81"/>
      <c r="C585" s="82"/>
      <c r="D585" s="82"/>
      <c r="E585" s="83"/>
      <c r="F585" s="82"/>
      <c r="G585" s="84"/>
      <c r="H585" s="84"/>
      <c r="I585" s="84"/>
    </row>
    <row r="586" spans="1:9" ht="14.5" x14ac:dyDescent="0.35">
      <c r="A586" s="81"/>
      <c r="B586" s="81"/>
      <c r="C586" s="82"/>
      <c r="D586" s="82"/>
      <c r="E586" s="83"/>
      <c r="F586" s="82"/>
      <c r="G586" s="84"/>
      <c r="H586" s="84"/>
      <c r="I586" s="84"/>
    </row>
    <row r="587" spans="1:9" ht="14.5" x14ac:dyDescent="0.35">
      <c r="A587" s="81"/>
      <c r="B587" s="81"/>
      <c r="C587" s="82"/>
      <c r="D587" s="82"/>
      <c r="E587" s="83"/>
      <c r="F587" s="82"/>
      <c r="G587" s="84"/>
      <c r="H587" s="84"/>
      <c r="I587" s="84"/>
    </row>
    <row r="588" spans="1:9" ht="14.5" x14ac:dyDescent="0.35">
      <c r="A588" s="81"/>
      <c r="B588" s="81"/>
      <c r="C588" s="82"/>
      <c r="D588" s="82"/>
      <c r="E588" s="83"/>
      <c r="F588" s="82"/>
      <c r="G588" s="84"/>
      <c r="H588" s="84"/>
      <c r="I588" s="84"/>
    </row>
    <row r="589" spans="1:9" ht="14.5" x14ac:dyDescent="0.35">
      <c r="A589" s="81"/>
      <c r="B589" s="81"/>
      <c r="C589" s="82"/>
      <c r="D589" s="82"/>
      <c r="E589" s="83"/>
      <c r="F589" s="82"/>
      <c r="G589" s="84"/>
      <c r="H589" s="84"/>
      <c r="I589" s="84"/>
    </row>
    <row r="590" spans="1:9" ht="14.5" x14ac:dyDescent="0.35">
      <c r="A590" s="81"/>
      <c r="B590" s="81"/>
      <c r="C590" s="82"/>
      <c r="D590" s="82"/>
      <c r="E590" s="83"/>
      <c r="F590" s="82"/>
      <c r="G590" s="84"/>
      <c r="H590" s="84"/>
      <c r="I590" s="84"/>
    </row>
    <row r="591" spans="1:9" ht="14.5" x14ac:dyDescent="0.35">
      <c r="A591" s="81"/>
      <c r="B591" s="81"/>
      <c r="C591" s="82"/>
      <c r="D591" s="82"/>
      <c r="E591" s="83"/>
      <c r="F591" s="82"/>
      <c r="G591" s="84"/>
      <c r="H591" s="84"/>
      <c r="I591" s="84"/>
    </row>
    <row r="592" spans="1:9" ht="14.5" x14ac:dyDescent="0.35">
      <c r="A592" s="81"/>
      <c r="B592" s="81"/>
      <c r="C592" s="82"/>
      <c r="D592" s="82"/>
      <c r="E592" s="83"/>
      <c r="F592" s="82"/>
      <c r="G592" s="84"/>
      <c r="H592" s="84"/>
      <c r="I592" s="84"/>
    </row>
    <row r="593" spans="1:9" ht="14.5" x14ac:dyDescent="0.35">
      <c r="A593" s="81"/>
      <c r="B593" s="81"/>
      <c r="C593" s="82"/>
      <c r="D593" s="82"/>
      <c r="E593" s="83"/>
      <c r="F593" s="82"/>
      <c r="G593" s="84"/>
      <c r="H593" s="84"/>
      <c r="I593" s="84"/>
    </row>
    <row r="594" spans="1:9" ht="14.5" x14ac:dyDescent="0.35">
      <c r="A594" s="81"/>
      <c r="B594" s="81"/>
      <c r="C594" s="82"/>
      <c r="D594" s="82"/>
      <c r="E594" s="83"/>
      <c r="F594" s="82"/>
      <c r="G594" s="84"/>
      <c r="H594" s="84"/>
      <c r="I594" s="84"/>
    </row>
    <row r="595" spans="1:9" ht="14.5" x14ac:dyDescent="0.35">
      <c r="A595" s="81"/>
      <c r="B595" s="81"/>
      <c r="C595" s="82"/>
      <c r="D595" s="82"/>
      <c r="E595" s="83"/>
      <c r="F595" s="82"/>
      <c r="G595" s="84"/>
      <c r="H595" s="84"/>
      <c r="I595" s="84"/>
    </row>
    <row r="596" spans="1:9" ht="14.5" x14ac:dyDescent="0.35">
      <c r="A596" s="81"/>
      <c r="B596" s="81"/>
      <c r="C596" s="82"/>
      <c r="D596" s="82"/>
      <c r="E596" s="83"/>
      <c r="F596" s="82"/>
      <c r="G596" s="84"/>
      <c r="H596" s="84"/>
      <c r="I596" s="84"/>
    </row>
    <row r="597" spans="1:9" ht="14.5" x14ac:dyDescent="0.35">
      <c r="A597" s="81"/>
      <c r="B597" s="81"/>
      <c r="C597" s="82"/>
      <c r="D597" s="82"/>
      <c r="E597" s="83"/>
      <c r="F597" s="82"/>
      <c r="G597" s="84"/>
      <c r="H597" s="84"/>
      <c r="I597" s="84"/>
    </row>
    <row r="598" spans="1:9" ht="14.5" x14ac:dyDescent="0.35">
      <c r="A598" s="81"/>
      <c r="B598" s="81"/>
      <c r="C598" s="82"/>
      <c r="D598" s="82"/>
      <c r="E598" s="83"/>
      <c r="F598" s="82"/>
      <c r="G598" s="84"/>
      <c r="H598" s="84"/>
      <c r="I598" s="84"/>
    </row>
    <row r="599" spans="1:9" ht="14.5" x14ac:dyDescent="0.35">
      <c r="A599" s="81"/>
      <c r="B599" s="81"/>
      <c r="C599" s="82"/>
      <c r="D599" s="82"/>
      <c r="E599" s="83"/>
      <c r="F599" s="82"/>
      <c r="G599" s="84"/>
      <c r="H599" s="84"/>
      <c r="I599" s="84"/>
    </row>
    <row r="600" spans="1:9" ht="14.5" x14ac:dyDescent="0.35">
      <c r="A600" s="81"/>
      <c r="B600" s="81"/>
      <c r="C600" s="82"/>
      <c r="D600" s="82"/>
      <c r="E600" s="83"/>
      <c r="F600" s="82"/>
      <c r="G600" s="84"/>
      <c r="H600" s="84"/>
      <c r="I600" s="84"/>
    </row>
    <row r="601" spans="1:9" ht="14.5" x14ac:dyDescent="0.35">
      <c r="A601" s="81"/>
      <c r="B601" s="81"/>
      <c r="C601" s="82"/>
      <c r="D601" s="82"/>
      <c r="E601" s="83"/>
      <c r="F601" s="82"/>
      <c r="G601" s="84"/>
      <c r="H601" s="84"/>
      <c r="I601" s="84"/>
    </row>
    <row r="602" spans="1:9" ht="14.5" x14ac:dyDescent="0.35">
      <c r="A602" s="81"/>
      <c r="B602" s="81"/>
      <c r="C602" s="82"/>
      <c r="D602" s="82"/>
      <c r="E602" s="83"/>
      <c r="F602" s="82"/>
      <c r="G602" s="84"/>
      <c r="H602" s="84"/>
      <c r="I602" s="84"/>
    </row>
    <row r="603" spans="1:9" ht="14.5" x14ac:dyDescent="0.35">
      <c r="A603" s="81"/>
      <c r="B603" s="81"/>
      <c r="C603" s="82"/>
      <c r="D603" s="82"/>
      <c r="E603" s="83"/>
      <c r="F603" s="82"/>
      <c r="G603" s="84"/>
      <c r="H603" s="84"/>
      <c r="I603" s="84"/>
    </row>
    <row r="604" spans="1:9" ht="14.5" x14ac:dyDescent="0.35">
      <c r="A604" s="81"/>
      <c r="B604" s="81"/>
      <c r="C604" s="82"/>
      <c r="D604" s="82"/>
      <c r="E604" s="83"/>
      <c r="F604" s="82"/>
      <c r="G604" s="84"/>
      <c r="H604" s="84"/>
      <c r="I604" s="84"/>
    </row>
    <row r="605" spans="1:9" ht="14.5" x14ac:dyDescent="0.35">
      <c r="A605" s="81"/>
      <c r="B605" s="81"/>
      <c r="C605" s="82"/>
      <c r="D605" s="82"/>
      <c r="E605" s="83"/>
      <c r="F605" s="82"/>
      <c r="G605" s="84"/>
      <c r="H605" s="84"/>
      <c r="I605" s="84"/>
    </row>
    <row r="606" spans="1:9" ht="14.5" x14ac:dyDescent="0.35">
      <c r="A606" s="81"/>
      <c r="B606" s="81"/>
      <c r="C606" s="82"/>
      <c r="D606" s="82"/>
      <c r="E606" s="83"/>
      <c r="F606" s="82"/>
      <c r="G606" s="84"/>
      <c r="H606" s="84"/>
      <c r="I606" s="84"/>
    </row>
    <row r="607" spans="1:9" ht="14.5" x14ac:dyDescent="0.35">
      <c r="A607" s="81"/>
      <c r="B607" s="81"/>
      <c r="C607" s="82"/>
      <c r="D607" s="82"/>
      <c r="E607" s="83"/>
      <c r="F607" s="82"/>
      <c r="G607" s="84"/>
      <c r="H607" s="84"/>
      <c r="I607" s="84"/>
    </row>
    <row r="608" spans="1:9" ht="14.5" x14ac:dyDescent="0.35">
      <c r="A608" s="81"/>
      <c r="B608" s="81"/>
      <c r="C608" s="82"/>
      <c r="D608" s="82"/>
      <c r="E608" s="83"/>
      <c r="F608" s="82"/>
      <c r="G608" s="84"/>
      <c r="H608" s="84"/>
      <c r="I608" s="84"/>
    </row>
    <row r="609" spans="1:9" ht="14.5" x14ac:dyDescent="0.35">
      <c r="A609" s="81"/>
      <c r="B609" s="81"/>
      <c r="C609" s="82"/>
      <c r="D609" s="82"/>
      <c r="E609" s="83"/>
      <c r="F609" s="82"/>
      <c r="G609" s="84"/>
      <c r="H609" s="84"/>
      <c r="I609" s="84"/>
    </row>
    <row r="610" spans="1:9" ht="14.5" x14ac:dyDescent="0.35">
      <c r="A610" s="81"/>
      <c r="B610" s="81"/>
      <c r="C610" s="82"/>
      <c r="D610" s="82"/>
      <c r="E610" s="83"/>
      <c r="F610" s="82"/>
      <c r="G610" s="84"/>
      <c r="H610" s="84"/>
      <c r="I610" s="84"/>
    </row>
    <row r="611" spans="1:9" ht="14.5" x14ac:dyDescent="0.35">
      <c r="A611" s="81"/>
      <c r="B611" s="81"/>
      <c r="C611" s="82"/>
      <c r="D611" s="82"/>
      <c r="E611" s="83"/>
      <c r="F611" s="82"/>
      <c r="G611" s="84"/>
      <c r="H611" s="84"/>
      <c r="I611" s="84"/>
    </row>
    <row r="612" spans="1:9" ht="14.5" x14ac:dyDescent="0.35">
      <c r="A612" s="81"/>
      <c r="B612" s="81"/>
      <c r="C612" s="82"/>
      <c r="D612" s="82"/>
      <c r="E612" s="83"/>
      <c r="F612" s="82"/>
      <c r="G612" s="84"/>
      <c r="H612" s="84"/>
      <c r="I612" s="84"/>
    </row>
    <row r="613" spans="1:9" ht="14.5" x14ac:dyDescent="0.35">
      <c r="A613" s="81"/>
      <c r="B613" s="81"/>
      <c r="C613" s="82"/>
      <c r="D613" s="82"/>
      <c r="E613" s="83"/>
      <c r="F613" s="82"/>
      <c r="G613" s="84"/>
      <c r="H613" s="84"/>
      <c r="I613" s="84"/>
    </row>
    <row r="614" spans="1:9" ht="14.5" x14ac:dyDescent="0.35">
      <c r="A614" s="81"/>
      <c r="B614" s="81"/>
      <c r="C614" s="82"/>
      <c r="D614" s="82"/>
      <c r="E614" s="83"/>
      <c r="F614" s="82"/>
      <c r="G614" s="84"/>
      <c r="H614" s="84"/>
      <c r="I614" s="84"/>
    </row>
    <row r="615" spans="1:9" ht="14.5" x14ac:dyDescent="0.35">
      <c r="A615" s="81"/>
      <c r="B615" s="81"/>
      <c r="C615" s="82"/>
      <c r="D615" s="82"/>
      <c r="E615" s="83"/>
      <c r="F615" s="82"/>
      <c r="G615" s="84"/>
      <c r="H615" s="84"/>
      <c r="I615" s="84"/>
    </row>
    <row r="616" spans="1:9" ht="14.5" x14ac:dyDescent="0.35">
      <c r="A616" s="81"/>
      <c r="B616" s="81"/>
      <c r="C616" s="82"/>
      <c r="D616" s="82"/>
      <c r="E616" s="83"/>
      <c r="F616" s="82"/>
      <c r="G616" s="84"/>
      <c r="H616" s="84"/>
      <c r="I616" s="84"/>
    </row>
    <row r="617" spans="1:9" ht="14.5" x14ac:dyDescent="0.35">
      <c r="A617" s="81"/>
      <c r="B617" s="81"/>
      <c r="C617" s="82"/>
      <c r="D617" s="82"/>
      <c r="E617" s="83"/>
      <c r="F617" s="82"/>
      <c r="G617" s="84"/>
      <c r="H617" s="84"/>
      <c r="I617" s="84"/>
    </row>
    <row r="618" spans="1:9" ht="14.5" x14ac:dyDescent="0.35">
      <c r="A618" s="81"/>
      <c r="B618" s="81"/>
      <c r="C618" s="82"/>
      <c r="D618" s="82"/>
      <c r="E618" s="83"/>
      <c r="F618" s="82"/>
      <c r="G618" s="84"/>
      <c r="H618" s="84"/>
      <c r="I618" s="84"/>
    </row>
    <row r="619" spans="1:9" ht="14.5" x14ac:dyDescent="0.35">
      <c r="A619" s="81"/>
      <c r="B619" s="81"/>
      <c r="C619" s="82"/>
      <c r="D619" s="82"/>
      <c r="E619" s="83"/>
      <c r="F619" s="82"/>
      <c r="G619" s="84"/>
      <c r="H619" s="84"/>
      <c r="I619" s="84"/>
    </row>
    <row r="620" spans="1:9" ht="14.5" x14ac:dyDescent="0.35">
      <c r="A620" s="81"/>
      <c r="B620" s="81"/>
      <c r="C620" s="82"/>
      <c r="D620" s="82"/>
      <c r="E620" s="83"/>
      <c r="F620" s="82"/>
      <c r="G620" s="84"/>
      <c r="H620" s="84"/>
      <c r="I620" s="84"/>
    </row>
    <row r="621" spans="1:9" ht="14.5" x14ac:dyDescent="0.35">
      <c r="A621" s="81"/>
      <c r="B621" s="81"/>
      <c r="C621" s="82"/>
      <c r="D621" s="82"/>
      <c r="E621" s="83"/>
      <c r="F621" s="82"/>
      <c r="G621" s="84"/>
      <c r="H621" s="84"/>
      <c r="I621" s="84"/>
    </row>
    <row r="622" spans="1:9" ht="14.5" x14ac:dyDescent="0.35">
      <c r="A622" s="81"/>
      <c r="B622" s="81"/>
      <c r="C622" s="82"/>
      <c r="D622" s="82"/>
      <c r="E622" s="83"/>
      <c r="F622" s="82"/>
      <c r="G622" s="84"/>
      <c r="H622" s="84"/>
      <c r="I622" s="84"/>
    </row>
    <row r="623" spans="1:9" ht="14.5" x14ac:dyDescent="0.35">
      <c r="A623" s="81"/>
      <c r="B623" s="81"/>
      <c r="C623" s="82"/>
      <c r="D623" s="82"/>
      <c r="E623" s="83"/>
      <c r="F623" s="82"/>
      <c r="G623" s="84"/>
      <c r="H623" s="84"/>
      <c r="I623" s="84"/>
    </row>
    <row r="624" spans="1:9" ht="14.5" x14ac:dyDescent="0.35">
      <c r="A624" s="81"/>
      <c r="B624" s="81"/>
      <c r="C624" s="82"/>
      <c r="D624" s="82"/>
      <c r="E624" s="83"/>
      <c r="F624" s="82"/>
      <c r="G624" s="84"/>
      <c r="H624" s="84"/>
      <c r="I624" s="84"/>
    </row>
    <row r="625" spans="1:9" ht="14.5" x14ac:dyDescent="0.35">
      <c r="A625" s="81"/>
      <c r="B625" s="81"/>
      <c r="C625" s="82"/>
      <c r="D625" s="82"/>
      <c r="E625" s="83"/>
      <c r="F625" s="82"/>
      <c r="G625" s="84"/>
      <c r="H625" s="84"/>
      <c r="I625" s="84"/>
    </row>
    <row r="626" spans="1:9" ht="14.5" x14ac:dyDescent="0.35">
      <c r="A626" s="81"/>
      <c r="B626" s="81"/>
      <c r="C626" s="82"/>
      <c r="D626" s="82"/>
      <c r="E626" s="83"/>
      <c r="F626" s="82"/>
      <c r="G626" s="84"/>
      <c r="H626" s="84"/>
      <c r="I626" s="84"/>
    </row>
    <row r="627" spans="1:9" ht="14.5" x14ac:dyDescent="0.35">
      <c r="A627" s="81"/>
      <c r="B627" s="81"/>
      <c r="C627" s="82"/>
      <c r="D627" s="82"/>
      <c r="E627" s="83"/>
      <c r="F627" s="82"/>
      <c r="G627" s="84"/>
      <c r="H627" s="84"/>
      <c r="I627" s="84"/>
    </row>
    <row r="628" spans="1:9" ht="14.5" x14ac:dyDescent="0.35">
      <c r="A628" s="81"/>
      <c r="B628" s="81"/>
      <c r="C628" s="82"/>
      <c r="D628" s="82"/>
      <c r="E628" s="83"/>
      <c r="F628" s="82"/>
      <c r="G628" s="84"/>
      <c r="H628" s="84"/>
      <c r="I628" s="84"/>
    </row>
    <row r="629" spans="1:9" ht="14.5" x14ac:dyDescent="0.35">
      <c r="A629" s="81"/>
      <c r="B629" s="81"/>
      <c r="C629" s="82"/>
      <c r="D629" s="82"/>
      <c r="E629" s="83"/>
      <c r="F629" s="82"/>
      <c r="G629" s="84"/>
      <c r="H629" s="84"/>
      <c r="I629" s="84"/>
    </row>
    <row r="630" spans="1:9" ht="14.5" x14ac:dyDescent="0.35">
      <c r="A630" s="81"/>
      <c r="B630" s="81"/>
      <c r="C630" s="82"/>
      <c r="D630" s="82"/>
      <c r="E630" s="83"/>
      <c r="F630" s="82"/>
      <c r="G630" s="84"/>
      <c r="H630" s="84"/>
      <c r="I630" s="84"/>
    </row>
    <row r="631" spans="1:9" ht="14.5" x14ac:dyDescent="0.35">
      <c r="A631" s="81"/>
      <c r="B631" s="81"/>
      <c r="C631" s="82"/>
      <c r="D631" s="82"/>
      <c r="E631" s="83"/>
      <c r="F631" s="82"/>
      <c r="G631" s="84"/>
      <c r="H631" s="84"/>
      <c r="I631" s="84"/>
    </row>
    <row r="632" spans="1:9" ht="14.5" x14ac:dyDescent="0.35">
      <c r="A632" s="81"/>
      <c r="B632" s="81"/>
      <c r="C632" s="82"/>
      <c r="D632" s="82"/>
      <c r="E632" s="83"/>
      <c r="F632" s="82"/>
      <c r="G632" s="84"/>
      <c r="H632" s="84"/>
      <c r="I632" s="84"/>
    </row>
    <row r="633" spans="1:9" ht="14.5" x14ac:dyDescent="0.35">
      <c r="A633" s="81"/>
      <c r="B633" s="81"/>
      <c r="C633" s="82"/>
      <c r="D633" s="82"/>
      <c r="E633" s="83"/>
      <c r="F633" s="82"/>
      <c r="G633" s="84"/>
      <c r="H633" s="84"/>
      <c r="I633" s="84"/>
    </row>
    <row r="634" spans="1:9" ht="14.5" x14ac:dyDescent="0.35">
      <c r="A634" s="81"/>
      <c r="B634" s="81"/>
      <c r="C634" s="82"/>
      <c r="D634" s="82"/>
      <c r="E634" s="83"/>
      <c r="F634" s="82"/>
      <c r="G634" s="84"/>
      <c r="H634" s="84"/>
      <c r="I634" s="84"/>
    </row>
    <row r="635" spans="1:9" ht="14.5" x14ac:dyDescent="0.35">
      <c r="A635" s="81"/>
      <c r="B635" s="81"/>
      <c r="C635" s="82"/>
      <c r="D635" s="82"/>
      <c r="E635" s="83"/>
      <c r="F635" s="82"/>
      <c r="G635" s="84"/>
      <c r="H635" s="84"/>
      <c r="I635" s="84"/>
    </row>
    <row r="636" spans="1:9" ht="14.5" x14ac:dyDescent="0.35">
      <c r="A636" s="81"/>
      <c r="B636" s="81"/>
      <c r="C636" s="82"/>
      <c r="D636" s="82"/>
      <c r="E636" s="83"/>
      <c r="F636" s="82"/>
      <c r="G636" s="84"/>
      <c r="H636" s="84"/>
      <c r="I636" s="84"/>
    </row>
    <row r="637" spans="1:9" ht="14.5" x14ac:dyDescent="0.35">
      <c r="A637" s="81"/>
      <c r="B637" s="81"/>
      <c r="C637" s="82"/>
      <c r="D637" s="82"/>
      <c r="E637" s="83"/>
      <c r="F637" s="82"/>
      <c r="G637" s="84"/>
      <c r="H637" s="84"/>
      <c r="I637" s="84"/>
    </row>
    <row r="638" spans="1:9" ht="14.5" x14ac:dyDescent="0.35">
      <c r="A638" s="81"/>
      <c r="B638" s="81"/>
      <c r="C638" s="82"/>
      <c r="D638" s="82"/>
      <c r="E638" s="83"/>
      <c r="F638" s="82"/>
      <c r="G638" s="84"/>
      <c r="H638" s="84"/>
      <c r="I638" s="84"/>
    </row>
    <row r="639" spans="1:9" ht="14.5" x14ac:dyDescent="0.35">
      <c r="A639" s="81"/>
      <c r="B639" s="81"/>
      <c r="C639" s="82"/>
      <c r="D639" s="82"/>
      <c r="E639" s="83"/>
      <c r="F639" s="82"/>
      <c r="G639" s="84"/>
      <c r="H639" s="84"/>
      <c r="I639" s="84"/>
    </row>
    <row r="640" spans="1:9" ht="14.5" x14ac:dyDescent="0.35">
      <c r="A640" s="81"/>
      <c r="B640" s="81"/>
      <c r="C640" s="82"/>
      <c r="D640" s="82"/>
      <c r="E640" s="83"/>
      <c r="F640" s="82"/>
      <c r="G640" s="84"/>
      <c r="H640" s="84"/>
      <c r="I640" s="84"/>
    </row>
    <row r="641" spans="1:9" ht="14.5" x14ac:dyDescent="0.35">
      <c r="A641" s="81"/>
      <c r="B641" s="81"/>
      <c r="C641" s="82"/>
      <c r="D641" s="82"/>
      <c r="E641" s="83"/>
      <c r="F641" s="82"/>
      <c r="G641" s="84"/>
      <c r="H641" s="84"/>
      <c r="I641" s="84"/>
    </row>
    <row r="642" spans="1:9" ht="14.5" x14ac:dyDescent="0.35">
      <c r="A642" s="81"/>
      <c r="B642" s="81"/>
      <c r="C642" s="82"/>
      <c r="D642" s="82"/>
      <c r="E642" s="83"/>
      <c r="F642" s="82"/>
      <c r="G642" s="84"/>
      <c r="H642" s="84"/>
      <c r="I642" s="84"/>
    </row>
    <row r="643" spans="1:9" ht="14.5" x14ac:dyDescent="0.35">
      <c r="A643" s="81"/>
      <c r="B643" s="81"/>
      <c r="C643" s="82"/>
      <c r="D643" s="82"/>
      <c r="E643" s="83"/>
      <c r="F643" s="82"/>
      <c r="G643" s="84"/>
      <c r="H643" s="84"/>
      <c r="I643" s="84"/>
    </row>
    <row r="644" spans="1:9" ht="14.5" x14ac:dyDescent="0.35">
      <c r="A644" s="81"/>
      <c r="B644" s="81"/>
      <c r="C644" s="82"/>
      <c r="D644" s="82"/>
      <c r="E644" s="83"/>
      <c r="F644" s="82"/>
      <c r="G644" s="84"/>
      <c r="H644" s="84"/>
      <c r="I644" s="84"/>
    </row>
    <row r="645" spans="1:9" ht="14.5" x14ac:dyDescent="0.35">
      <c r="A645" s="81"/>
      <c r="B645" s="81"/>
      <c r="C645" s="82"/>
      <c r="D645" s="82"/>
      <c r="E645" s="83"/>
      <c r="F645" s="82"/>
      <c r="G645" s="84"/>
      <c r="H645" s="84"/>
      <c r="I645" s="84"/>
    </row>
    <row r="646" spans="1:9" ht="14.5" x14ac:dyDescent="0.35">
      <c r="A646" s="81"/>
      <c r="B646" s="81"/>
      <c r="C646" s="82"/>
      <c r="D646" s="82"/>
      <c r="E646" s="83"/>
      <c r="F646" s="82"/>
      <c r="G646" s="84"/>
      <c r="H646" s="84"/>
      <c r="I646" s="84"/>
    </row>
    <row r="647" spans="1:9" ht="14.5" x14ac:dyDescent="0.35">
      <c r="A647" s="81"/>
      <c r="B647" s="81"/>
      <c r="C647" s="82"/>
      <c r="D647" s="82"/>
      <c r="E647" s="83"/>
      <c r="F647" s="82"/>
      <c r="G647" s="84"/>
      <c r="H647" s="84"/>
      <c r="I647" s="84"/>
    </row>
    <row r="648" spans="1:9" ht="14.5" x14ac:dyDescent="0.35">
      <c r="A648" s="81"/>
      <c r="B648" s="81"/>
      <c r="C648" s="82"/>
      <c r="D648" s="82"/>
      <c r="E648" s="83"/>
      <c r="F648" s="82"/>
      <c r="G648" s="84"/>
      <c r="H648" s="84"/>
      <c r="I648" s="84"/>
    </row>
    <row r="649" spans="1:9" ht="14.5" x14ac:dyDescent="0.35">
      <c r="A649" s="81"/>
      <c r="B649" s="81"/>
      <c r="C649" s="82"/>
      <c r="D649" s="82"/>
      <c r="E649" s="83"/>
      <c r="F649" s="82"/>
      <c r="G649" s="84"/>
      <c r="H649" s="84"/>
      <c r="I649" s="84"/>
    </row>
    <row r="650" spans="1:9" ht="14.5" x14ac:dyDescent="0.35">
      <c r="A650" s="81"/>
      <c r="B650" s="81"/>
      <c r="C650" s="82"/>
      <c r="D650" s="82"/>
      <c r="E650" s="83"/>
      <c r="F650" s="82"/>
      <c r="G650" s="84"/>
      <c r="H650" s="84"/>
      <c r="I650" s="84"/>
    </row>
    <row r="651" spans="1:9" ht="14.5" x14ac:dyDescent="0.35">
      <c r="A651" s="81"/>
      <c r="B651" s="81"/>
      <c r="C651" s="82"/>
      <c r="D651" s="82"/>
      <c r="E651" s="83"/>
      <c r="F651" s="82"/>
      <c r="G651" s="84"/>
      <c r="H651" s="84"/>
      <c r="I651" s="84"/>
    </row>
    <row r="652" spans="1:9" ht="14.5" x14ac:dyDescent="0.35">
      <c r="A652" s="81"/>
      <c r="B652" s="81"/>
      <c r="C652" s="82"/>
      <c r="D652" s="82"/>
      <c r="E652" s="83"/>
      <c r="F652" s="82"/>
      <c r="G652" s="84"/>
      <c r="H652" s="84"/>
      <c r="I652" s="84"/>
    </row>
    <row r="653" spans="1:9" ht="14.5" x14ac:dyDescent="0.35">
      <c r="A653" s="81"/>
      <c r="B653" s="81"/>
      <c r="C653" s="82"/>
      <c r="D653" s="82"/>
      <c r="E653" s="83"/>
      <c r="F653" s="82"/>
      <c r="G653" s="84"/>
      <c r="H653" s="84"/>
      <c r="I653" s="84"/>
    </row>
    <row r="654" spans="1:9" ht="14.5" x14ac:dyDescent="0.35">
      <c r="A654" s="81"/>
      <c r="B654" s="81"/>
      <c r="C654" s="82"/>
      <c r="D654" s="82"/>
      <c r="E654" s="83"/>
      <c r="F654" s="82"/>
      <c r="G654" s="84"/>
      <c r="H654" s="84"/>
      <c r="I654" s="84"/>
    </row>
    <row r="655" spans="1:9" ht="14.5" x14ac:dyDescent="0.35">
      <c r="A655" s="81"/>
      <c r="B655" s="81"/>
      <c r="C655" s="82"/>
      <c r="D655" s="82"/>
      <c r="E655" s="83"/>
      <c r="F655" s="82"/>
      <c r="G655" s="84"/>
      <c r="H655" s="84"/>
      <c r="I655" s="84"/>
    </row>
    <row r="656" spans="1:9" ht="14.5" x14ac:dyDescent="0.35">
      <c r="A656" s="81"/>
      <c r="B656" s="81"/>
      <c r="C656" s="82"/>
      <c r="D656" s="82"/>
      <c r="E656" s="83"/>
      <c r="F656" s="82"/>
      <c r="G656" s="84"/>
      <c r="H656" s="84"/>
      <c r="I656" s="84"/>
    </row>
    <row r="657" spans="1:9" ht="14.5" x14ac:dyDescent="0.35">
      <c r="A657" s="81"/>
      <c r="B657" s="81"/>
      <c r="C657" s="82"/>
      <c r="D657" s="82"/>
      <c r="E657" s="83"/>
      <c r="F657" s="82"/>
      <c r="G657" s="84"/>
      <c r="H657" s="84"/>
      <c r="I657" s="84"/>
    </row>
    <row r="658" spans="1:9" ht="14.5" x14ac:dyDescent="0.35">
      <c r="A658" s="81"/>
      <c r="B658" s="81"/>
      <c r="C658" s="82"/>
      <c r="D658" s="82"/>
      <c r="E658" s="83"/>
      <c r="F658" s="82"/>
      <c r="G658" s="84"/>
      <c r="H658" s="84"/>
      <c r="I658" s="84"/>
    </row>
    <row r="659" spans="1:9" ht="14.5" x14ac:dyDescent="0.35">
      <c r="A659" s="81"/>
      <c r="B659" s="81"/>
      <c r="C659" s="82"/>
      <c r="D659" s="82"/>
      <c r="E659" s="83"/>
      <c r="F659" s="82"/>
      <c r="G659" s="84"/>
      <c r="H659" s="84"/>
      <c r="I659" s="84"/>
    </row>
    <row r="660" spans="1:9" ht="14.5" x14ac:dyDescent="0.35">
      <c r="A660" s="81"/>
      <c r="B660" s="81"/>
      <c r="C660" s="82"/>
      <c r="D660" s="82"/>
      <c r="E660" s="83"/>
      <c r="F660" s="82"/>
      <c r="G660" s="84"/>
      <c r="H660" s="84"/>
      <c r="I660" s="84"/>
    </row>
    <row r="661" spans="1:9" ht="14.5" x14ac:dyDescent="0.35">
      <c r="A661" s="81"/>
      <c r="B661" s="81"/>
      <c r="C661" s="82"/>
      <c r="D661" s="82"/>
      <c r="E661" s="83"/>
      <c r="F661" s="82"/>
      <c r="G661" s="84"/>
      <c r="H661" s="84"/>
      <c r="I661" s="84"/>
    </row>
    <row r="662" spans="1:9" ht="14.5" x14ac:dyDescent="0.35">
      <c r="A662" s="81"/>
      <c r="B662" s="81"/>
      <c r="C662" s="82"/>
      <c r="D662" s="82"/>
      <c r="E662" s="83"/>
      <c r="F662" s="82"/>
      <c r="G662" s="84"/>
      <c r="H662" s="84"/>
      <c r="I662" s="84"/>
    </row>
    <row r="663" spans="1:9" ht="14.5" x14ac:dyDescent="0.35">
      <c r="A663" s="81"/>
      <c r="B663" s="81"/>
      <c r="C663" s="82"/>
      <c r="D663" s="82"/>
      <c r="E663" s="83"/>
      <c r="F663" s="82"/>
      <c r="G663" s="84"/>
      <c r="H663" s="84"/>
      <c r="I663" s="84"/>
    </row>
    <row r="664" spans="1:9" ht="14.5" x14ac:dyDescent="0.35">
      <c r="A664" s="81"/>
      <c r="B664" s="81"/>
      <c r="C664" s="82"/>
      <c r="D664" s="82"/>
      <c r="E664" s="83"/>
      <c r="F664" s="82"/>
      <c r="G664" s="84"/>
      <c r="H664" s="84"/>
      <c r="I664" s="84"/>
    </row>
    <row r="665" spans="1:9" ht="14.5" x14ac:dyDescent="0.35">
      <c r="A665" s="81"/>
      <c r="B665" s="81"/>
      <c r="C665" s="82"/>
      <c r="D665" s="82"/>
      <c r="E665" s="83"/>
      <c r="F665" s="82"/>
      <c r="G665" s="84"/>
      <c r="H665" s="84"/>
      <c r="I665" s="84"/>
    </row>
    <row r="666" spans="1:9" ht="14.5" x14ac:dyDescent="0.35">
      <c r="A666" s="81"/>
      <c r="B666" s="81"/>
      <c r="C666" s="82"/>
      <c r="D666" s="82"/>
      <c r="E666" s="83"/>
      <c r="F666" s="82"/>
      <c r="G666" s="84"/>
      <c r="H666" s="84"/>
      <c r="I666" s="84"/>
    </row>
    <row r="667" spans="1:9" ht="14.5" x14ac:dyDescent="0.35">
      <c r="A667" s="81"/>
      <c r="B667" s="81"/>
      <c r="C667" s="82"/>
      <c r="D667" s="82"/>
      <c r="E667" s="83"/>
      <c r="F667" s="82"/>
      <c r="G667" s="84"/>
      <c r="H667" s="84"/>
      <c r="I667" s="84"/>
    </row>
    <row r="668" spans="1:9" ht="14.5" x14ac:dyDescent="0.35">
      <c r="A668" s="81"/>
      <c r="B668" s="81"/>
      <c r="C668" s="82"/>
      <c r="D668" s="82"/>
      <c r="E668" s="83"/>
      <c r="F668" s="82"/>
      <c r="G668" s="84"/>
      <c r="H668" s="84"/>
      <c r="I668" s="84"/>
    </row>
    <row r="669" spans="1:9" ht="14.5" x14ac:dyDescent="0.35">
      <c r="A669" s="81"/>
      <c r="B669" s="81"/>
      <c r="C669" s="82"/>
      <c r="D669" s="82"/>
      <c r="E669" s="83"/>
      <c r="F669" s="82"/>
      <c r="G669" s="84"/>
      <c r="H669" s="84"/>
      <c r="I669" s="84"/>
    </row>
    <row r="670" spans="1:9" ht="14.5" x14ac:dyDescent="0.35">
      <c r="A670" s="81"/>
      <c r="B670" s="81"/>
      <c r="C670" s="82"/>
      <c r="D670" s="82"/>
      <c r="E670" s="83"/>
      <c r="F670" s="82"/>
      <c r="G670" s="84"/>
      <c r="H670" s="84"/>
      <c r="I670" s="84"/>
    </row>
    <row r="671" spans="1:9" ht="14.5" x14ac:dyDescent="0.35">
      <c r="A671" s="81"/>
      <c r="B671" s="81"/>
      <c r="C671" s="82"/>
      <c r="D671" s="82"/>
      <c r="E671" s="83"/>
      <c r="F671" s="82"/>
      <c r="G671" s="84"/>
      <c r="H671" s="84"/>
      <c r="I671" s="84"/>
    </row>
    <row r="672" spans="1:9" ht="14.5" x14ac:dyDescent="0.35">
      <c r="A672" s="81"/>
      <c r="B672" s="81"/>
      <c r="C672" s="82"/>
      <c r="D672" s="82"/>
      <c r="E672" s="83"/>
      <c r="F672" s="82"/>
      <c r="G672" s="84"/>
      <c r="H672" s="84"/>
      <c r="I672" s="84"/>
    </row>
    <row r="673" spans="1:9" ht="14.5" x14ac:dyDescent="0.35">
      <c r="A673" s="81"/>
      <c r="B673" s="81"/>
      <c r="C673" s="82"/>
      <c r="D673" s="82"/>
      <c r="E673" s="83"/>
      <c r="F673" s="82"/>
      <c r="G673" s="84"/>
      <c r="H673" s="84"/>
      <c r="I673" s="84"/>
    </row>
    <row r="674" spans="1:9" ht="14.5" x14ac:dyDescent="0.35">
      <c r="A674" s="81"/>
      <c r="B674" s="81"/>
      <c r="C674" s="82"/>
      <c r="D674" s="82"/>
      <c r="E674" s="83"/>
      <c r="F674" s="82"/>
      <c r="G674" s="84"/>
      <c r="H674" s="84"/>
      <c r="I674" s="84"/>
    </row>
    <row r="675" spans="1:9" ht="14.5" x14ac:dyDescent="0.35">
      <c r="A675" s="81"/>
      <c r="B675" s="81"/>
      <c r="C675" s="82"/>
      <c r="D675" s="82"/>
      <c r="E675" s="83"/>
      <c r="F675" s="82"/>
      <c r="G675" s="84"/>
      <c r="H675" s="84"/>
      <c r="I675" s="84"/>
    </row>
    <row r="676" spans="1:9" ht="14.5" x14ac:dyDescent="0.35">
      <c r="A676" s="81"/>
      <c r="B676" s="81"/>
      <c r="C676" s="82"/>
      <c r="D676" s="82"/>
      <c r="E676" s="83"/>
      <c r="F676" s="82"/>
      <c r="G676" s="84"/>
      <c r="H676" s="84"/>
      <c r="I676" s="84"/>
    </row>
    <row r="677" spans="1:9" ht="14.5" x14ac:dyDescent="0.35">
      <c r="A677" s="81"/>
      <c r="B677" s="81"/>
      <c r="C677" s="82"/>
      <c r="D677" s="82"/>
      <c r="E677" s="83"/>
      <c r="F677" s="82"/>
      <c r="G677" s="84"/>
      <c r="H677" s="84"/>
      <c r="I677" s="84"/>
    </row>
    <row r="678" spans="1:9" ht="14.5" x14ac:dyDescent="0.35">
      <c r="A678" s="81"/>
      <c r="B678" s="81"/>
      <c r="C678" s="82"/>
      <c r="D678" s="82"/>
      <c r="E678" s="83"/>
      <c r="F678" s="82"/>
      <c r="G678" s="84"/>
      <c r="H678" s="84"/>
      <c r="I678" s="84"/>
    </row>
    <row r="679" spans="1:9" ht="14.5" x14ac:dyDescent="0.35">
      <c r="A679" s="81"/>
      <c r="B679" s="81"/>
      <c r="C679" s="82"/>
      <c r="D679" s="82"/>
      <c r="E679" s="83"/>
      <c r="F679" s="82"/>
      <c r="G679" s="84"/>
      <c r="H679" s="84"/>
      <c r="I679" s="84"/>
    </row>
    <row r="680" spans="1:9" ht="14.5" x14ac:dyDescent="0.35">
      <c r="A680" s="81"/>
      <c r="B680" s="81"/>
      <c r="C680" s="82"/>
      <c r="D680" s="82"/>
      <c r="E680" s="83"/>
      <c r="F680" s="82"/>
      <c r="G680" s="84"/>
      <c r="H680" s="84"/>
      <c r="I680" s="84"/>
    </row>
    <row r="681" spans="1:9" ht="14.5" x14ac:dyDescent="0.35">
      <c r="A681" s="81"/>
      <c r="B681" s="81"/>
      <c r="C681" s="82"/>
      <c r="D681" s="82"/>
      <c r="E681" s="83"/>
      <c r="F681" s="82"/>
      <c r="G681" s="84"/>
      <c r="H681" s="84"/>
      <c r="I681" s="84"/>
    </row>
    <row r="682" spans="1:9" ht="14.5" x14ac:dyDescent="0.35">
      <c r="A682" s="81"/>
      <c r="B682" s="81"/>
      <c r="C682" s="82"/>
      <c r="D682" s="82"/>
      <c r="E682" s="83"/>
      <c r="F682" s="82"/>
      <c r="G682" s="84"/>
      <c r="H682" s="84"/>
      <c r="I682" s="84"/>
    </row>
    <row r="683" spans="1:9" ht="14.5" x14ac:dyDescent="0.35">
      <c r="A683" s="81"/>
      <c r="B683" s="81"/>
      <c r="C683" s="82"/>
      <c r="D683" s="82"/>
      <c r="E683" s="83"/>
      <c r="F683" s="82"/>
      <c r="G683" s="84"/>
      <c r="H683" s="84"/>
      <c r="I683" s="84"/>
    </row>
    <row r="684" spans="1:9" ht="14.5" x14ac:dyDescent="0.35">
      <c r="A684" s="81"/>
      <c r="B684" s="81"/>
      <c r="C684" s="82"/>
      <c r="D684" s="82"/>
      <c r="E684" s="83"/>
      <c r="F684" s="82"/>
      <c r="G684" s="84"/>
      <c r="H684" s="84"/>
      <c r="I684" s="84"/>
    </row>
    <row r="685" spans="1:9" ht="14.5" x14ac:dyDescent="0.35">
      <c r="A685" s="81"/>
      <c r="B685" s="81"/>
      <c r="C685" s="82"/>
      <c r="D685" s="82"/>
      <c r="E685" s="83"/>
      <c r="F685" s="82"/>
      <c r="G685" s="84"/>
      <c r="H685" s="84"/>
      <c r="I685" s="84"/>
    </row>
    <row r="686" spans="1:9" ht="14.5" x14ac:dyDescent="0.35">
      <c r="A686" s="81"/>
      <c r="B686" s="81"/>
      <c r="C686" s="82"/>
      <c r="D686" s="82"/>
      <c r="E686" s="83"/>
      <c r="F686" s="82"/>
      <c r="G686" s="84"/>
      <c r="H686" s="84"/>
      <c r="I686" s="84"/>
    </row>
    <row r="687" spans="1:9" ht="14.5" x14ac:dyDescent="0.35">
      <c r="A687" s="81"/>
      <c r="B687" s="81"/>
      <c r="C687" s="82"/>
      <c r="D687" s="82"/>
      <c r="E687" s="83"/>
      <c r="F687" s="82"/>
      <c r="G687" s="84"/>
      <c r="H687" s="84"/>
      <c r="I687" s="84"/>
    </row>
    <row r="688" spans="1:9" ht="14.5" x14ac:dyDescent="0.35">
      <c r="A688" s="81"/>
      <c r="B688" s="81"/>
      <c r="C688" s="82"/>
      <c r="D688" s="82"/>
      <c r="E688" s="83"/>
      <c r="F688" s="82"/>
      <c r="G688" s="84"/>
      <c r="H688" s="84"/>
      <c r="I688" s="84"/>
    </row>
    <row r="689" spans="1:9" ht="14.5" x14ac:dyDescent="0.35">
      <c r="A689" s="81"/>
      <c r="B689" s="81"/>
      <c r="C689" s="82"/>
      <c r="D689" s="82"/>
      <c r="E689" s="83"/>
      <c r="F689" s="82"/>
      <c r="G689" s="84"/>
      <c r="H689" s="84"/>
      <c r="I689" s="84"/>
    </row>
    <row r="690" spans="1:9" ht="14.5" x14ac:dyDescent="0.35">
      <c r="A690" s="81"/>
      <c r="B690" s="81"/>
      <c r="C690" s="82"/>
      <c r="D690" s="82"/>
      <c r="E690" s="83"/>
      <c r="F690" s="82"/>
      <c r="G690" s="84"/>
      <c r="H690" s="84"/>
      <c r="I690" s="84"/>
    </row>
    <row r="691" spans="1:9" ht="14.5" x14ac:dyDescent="0.35">
      <c r="A691" s="81"/>
      <c r="B691" s="81"/>
      <c r="C691" s="82"/>
      <c r="D691" s="82"/>
      <c r="E691" s="83"/>
      <c r="F691" s="82"/>
      <c r="G691" s="84"/>
      <c r="H691" s="84"/>
      <c r="I691" s="84"/>
    </row>
    <row r="692" spans="1:9" ht="14.5" x14ac:dyDescent="0.35">
      <c r="A692" s="81"/>
      <c r="B692" s="81"/>
      <c r="C692" s="82"/>
      <c r="D692" s="82"/>
      <c r="E692" s="83"/>
      <c r="F692" s="82"/>
      <c r="G692" s="84"/>
      <c r="H692" s="84"/>
      <c r="I692" s="84"/>
    </row>
    <row r="693" spans="1:9" ht="14.5" x14ac:dyDescent="0.35">
      <c r="A693" s="81"/>
      <c r="B693" s="81"/>
      <c r="C693" s="82"/>
      <c r="D693" s="82"/>
      <c r="E693" s="83"/>
      <c r="F693" s="82"/>
      <c r="G693" s="84"/>
      <c r="H693" s="84"/>
      <c r="I693" s="84"/>
    </row>
    <row r="694" spans="1:9" ht="14.5" x14ac:dyDescent="0.35">
      <c r="A694" s="81"/>
      <c r="B694" s="81"/>
      <c r="C694" s="82"/>
      <c r="D694" s="82"/>
      <c r="E694" s="83"/>
      <c r="F694" s="82"/>
      <c r="G694" s="84"/>
      <c r="H694" s="84"/>
      <c r="I694" s="84"/>
    </row>
    <row r="695" spans="1:9" ht="14.5" x14ac:dyDescent="0.35">
      <c r="A695" s="81"/>
      <c r="B695" s="81"/>
      <c r="C695" s="82"/>
      <c r="D695" s="82"/>
      <c r="E695" s="83"/>
      <c r="F695" s="82"/>
      <c r="G695" s="84"/>
      <c r="H695" s="84"/>
      <c r="I695" s="84"/>
    </row>
    <row r="696" spans="1:9" ht="14.5" x14ac:dyDescent="0.35">
      <c r="A696" s="81"/>
      <c r="B696" s="81"/>
      <c r="C696" s="82"/>
      <c r="D696" s="82"/>
      <c r="E696" s="83"/>
      <c r="F696" s="82"/>
      <c r="G696" s="84"/>
      <c r="H696" s="84"/>
      <c r="I696" s="84"/>
    </row>
    <row r="697" spans="1:9" ht="14.5" x14ac:dyDescent="0.35">
      <c r="A697" s="81"/>
      <c r="B697" s="81"/>
      <c r="C697" s="82"/>
      <c r="D697" s="82"/>
      <c r="E697" s="83"/>
      <c r="F697" s="82"/>
      <c r="G697" s="84"/>
      <c r="H697" s="84"/>
      <c r="I697" s="84"/>
    </row>
    <row r="698" spans="1:9" ht="14.5" x14ac:dyDescent="0.35">
      <c r="A698" s="81"/>
      <c r="B698" s="81"/>
      <c r="C698" s="82"/>
      <c r="D698" s="82"/>
      <c r="E698" s="83"/>
      <c r="F698" s="82"/>
      <c r="G698" s="84"/>
      <c r="H698" s="84"/>
      <c r="I698" s="84"/>
    </row>
    <row r="699" spans="1:9" ht="14.5" x14ac:dyDescent="0.35">
      <c r="A699" s="81"/>
      <c r="B699" s="81"/>
      <c r="C699" s="82"/>
      <c r="D699" s="82"/>
      <c r="E699" s="83"/>
      <c r="F699" s="82"/>
      <c r="G699" s="84"/>
      <c r="H699" s="84"/>
      <c r="I699" s="84"/>
    </row>
    <row r="700" spans="1:9" ht="14.5" x14ac:dyDescent="0.35">
      <c r="A700" s="81"/>
      <c r="B700" s="81"/>
      <c r="C700" s="82"/>
      <c r="D700" s="82"/>
      <c r="E700" s="83"/>
      <c r="F700" s="82"/>
      <c r="G700" s="84"/>
      <c r="H700" s="84"/>
      <c r="I700" s="84"/>
    </row>
    <row r="701" spans="1:9" ht="14.5" x14ac:dyDescent="0.35">
      <c r="A701" s="81"/>
      <c r="B701" s="81"/>
      <c r="C701" s="82"/>
      <c r="D701" s="82"/>
      <c r="E701" s="83"/>
      <c r="F701" s="82"/>
      <c r="G701" s="84"/>
      <c r="H701" s="84"/>
      <c r="I701" s="84"/>
    </row>
    <row r="702" spans="1:9" ht="14.5" x14ac:dyDescent="0.35">
      <c r="A702" s="81"/>
      <c r="B702" s="81"/>
      <c r="C702" s="82"/>
      <c r="D702" s="82"/>
      <c r="E702" s="83"/>
      <c r="F702" s="82"/>
      <c r="G702" s="84"/>
      <c r="H702" s="84"/>
      <c r="I702" s="84"/>
    </row>
    <row r="703" spans="1:9" ht="14.5" x14ac:dyDescent="0.35">
      <c r="A703" s="81"/>
      <c r="B703" s="81"/>
      <c r="C703" s="82"/>
      <c r="D703" s="82"/>
      <c r="E703" s="83"/>
      <c r="F703" s="82"/>
      <c r="G703" s="84"/>
      <c r="H703" s="84"/>
      <c r="I703" s="84"/>
    </row>
    <row r="704" spans="1:9" ht="14.5" x14ac:dyDescent="0.35">
      <c r="A704" s="81"/>
      <c r="B704" s="81"/>
      <c r="C704" s="82"/>
      <c r="D704" s="82"/>
      <c r="E704" s="83"/>
      <c r="F704" s="82"/>
      <c r="G704" s="84"/>
      <c r="H704" s="84"/>
      <c r="I704" s="84"/>
    </row>
    <row r="705" spans="1:9" ht="14.5" x14ac:dyDescent="0.35">
      <c r="A705" s="81"/>
      <c r="B705" s="81"/>
      <c r="C705" s="82"/>
      <c r="D705" s="82"/>
      <c r="E705" s="83"/>
      <c r="F705" s="82"/>
      <c r="G705" s="84"/>
      <c r="H705" s="84"/>
      <c r="I705" s="84"/>
    </row>
    <row r="706" spans="1:9" ht="14.5" x14ac:dyDescent="0.35">
      <c r="A706" s="81"/>
      <c r="B706" s="81"/>
      <c r="C706" s="82"/>
      <c r="D706" s="82"/>
      <c r="E706" s="83"/>
      <c r="F706" s="82"/>
      <c r="G706" s="84"/>
      <c r="H706" s="84"/>
      <c r="I706" s="84"/>
    </row>
    <row r="707" spans="1:9" ht="14.5" x14ac:dyDescent="0.35">
      <c r="A707" s="81"/>
      <c r="B707" s="81"/>
      <c r="C707" s="82"/>
      <c r="D707" s="82"/>
      <c r="E707" s="83"/>
      <c r="F707" s="82"/>
      <c r="G707" s="84"/>
      <c r="H707" s="84"/>
      <c r="I707" s="84"/>
    </row>
    <row r="708" spans="1:9" ht="14.5" x14ac:dyDescent="0.35">
      <c r="A708" s="81"/>
      <c r="B708" s="81"/>
      <c r="C708" s="82"/>
      <c r="D708" s="82"/>
      <c r="E708" s="83"/>
      <c r="F708" s="82"/>
      <c r="G708" s="84"/>
      <c r="H708" s="84"/>
      <c r="I708" s="84"/>
    </row>
    <row r="709" spans="1:9" ht="14.5" x14ac:dyDescent="0.35">
      <c r="A709" s="81"/>
      <c r="B709" s="81"/>
      <c r="C709" s="82"/>
      <c r="D709" s="82"/>
      <c r="E709" s="83"/>
      <c r="F709" s="82"/>
      <c r="G709" s="84"/>
      <c r="H709" s="84"/>
      <c r="I709" s="84"/>
    </row>
    <row r="710" spans="1:9" ht="14.5" x14ac:dyDescent="0.35">
      <c r="A710" s="81"/>
      <c r="B710" s="81"/>
      <c r="C710" s="82"/>
      <c r="D710" s="82"/>
      <c r="E710" s="83"/>
      <c r="F710" s="82"/>
      <c r="G710" s="84"/>
      <c r="H710" s="84"/>
      <c r="I710" s="84"/>
    </row>
    <row r="711" spans="1:9" ht="14.5" x14ac:dyDescent="0.35">
      <c r="A711" s="81"/>
      <c r="B711" s="81"/>
      <c r="C711" s="82"/>
      <c r="D711" s="82"/>
      <c r="E711" s="83"/>
      <c r="F711" s="82"/>
      <c r="G711" s="84"/>
      <c r="H711" s="84"/>
      <c r="I711" s="84"/>
    </row>
    <row r="712" spans="1:9" ht="14.5" x14ac:dyDescent="0.35">
      <c r="A712" s="81"/>
      <c r="B712" s="81"/>
      <c r="C712" s="82"/>
      <c r="D712" s="82"/>
      <c r="E712" s="83"/>
      <c r="F712" s="82"/>
      <c r="G712" s="84"/>
      <c r="H712" s="84"/>
      <c r="I712" s="84"/>
    </row>
    <row r="713" spans="1:9" ht="14.5" x14ac:dyDescent="0.35">
      <c r="A713" s="81"/>
      <c r="B713" s="81"/>
      <c r="C713" s="82"/>
      <c r="D713" s="82"/>
      <c r="E713" s="83"/>
      <c r="F713" s="82"/>
      <c r="G713" s="84"/>
      <c r="H713" s="84"/>
      <c r="I713" s="84"/>
    </row>
    <row r="714" spans="1:9" ht="14.5" x14ac:dyDescent="0.35">
      <c r="A714" s="81"/>
      <c r="B714" s="81"/>
      <c r="C714" s="82"/>
      <c r="D714" s="82"/>
      <c r="E714" s="83"/>
      <c r="F714" s="82"/>
      <c r="G714" s="84"/>
      <c r="H714" s="84"/>
      <c r="I714" s="84"/>
    </row>
    <row r="715" spans="1:9" ht="14.5" x14ac:dyDescent="0.35">
      <c r="A715" s="81"/>
      <c r="B715" s="81"/>
      <c r="C715" s="82"/>
      <c r="D715" s="82"/>
      <c r="E715" s="83"/>
      <c r="F715" s="82"/>
      <c r="G715" s="84"/>
      <c r="H715" s="84"/>
      <c r="I715" s="84"/>
    </row>
    <row r="716" spans="1:9" ht="14.5" x14ac:dyDescent="0.35">
      <c r="A716" s="81"/>
      <c r="B716" s="81"/>
      <c r="C716" s="82"/>
      <c r="D716" s="82"/>
      <c r="E716" s="83"/>
      <c r="F716" s="82"/>
      <c r="G716" s="84"/>
      <c r="H716" s="84"/>
      <c r="I716" s="84"/>
    </row>
    <row r="717" spans="1:9" ht="14.5" x14ac:dyDescent="0.35">
      <c r="A717" s="81"/>
      <c r="B717" s="81"/>
      <c r="C717" s="82"/>
      <c r="D717" s="82"/>
      <c r="E717" s="83"/>
      <c r="F717" s="82"/>
      <c r="G717" s="84"/>
      <c r="H717" s="84"/>
      <c r="I717" s="84"/>
    </row>
    <row r="718" spans="1:9" ht="14.5" x14ac:dyDescent="0.35">
      <c r="A718" s="81"/>
      <c r="B718" s="81"/>
      <c r="C718" s="82"/>
      <c r="D718" s="82"/>
      <c r="E718" s="83"/>
      <c r="F718" s="82"/>
      <c r="G718" s="84"/>
      <c r="H718" s="84"/>
      <c r="I718" s="84"/>
    </row>
    <row r="719" spans="1:9" ht="14.5" x14ac:dyDescent="0.35">
      <c r="A719" s="81"/>
      <c r="B719" s="81"/>
      <c r="C719" s="82"/>
      <c r="D719" s="82"/>
      <c r="E719" s="83"/>
      <c r="F719" s="82"/>
      <c r="G719" s="84"/>
      <c r="H719" s="84"/>
      <c r="I719" s="84"/>
    </row>
    <row r="720" spans="1:9" ht="14.5" x14ac:dyDescent="0.35">
      <c r="A720" s="81"/>
      <c r="B720" s="81"/>
      <c r="C720" s="82"/>
      <c r="D720" s="82"/>
      <c r="E720" s="83"/>
      <c r="F720" s="82"/>
      <c r="G720" s="84"/>
      <c r="H720" s="84"/>
      <c r="I720" s="84"/>
    </row>
    <row r="721" spans="1:9" ht="14.5" x14ac:dyDescent="0.35">
      <c r="A721" s="81"/>
      <c r="B721" s="81"/>
      <c r="C721" s="82"/>
      <c r="D721" s="82"/>
      <c r="E721" s="83"/>
      <c r="F721" s="82"/>
      <c r="G721" s="84"/>
      <c r="H721" s="84"/>
      <c r="I721" s="84"/>
    </row>
    <row r="722" spans="1:9" ht="14.5" x14ac:dyDescent="0.35">
      <c r="A722" s="81"/>
      <c r="B722" s="81"/>
      <c r="C722" s="82"/>
      <c r="D722" s="82"/>
      <c r="E722" s="83"/>
      <c r="F722" s="82"/>
      <c r="G722" s="84"/>
      <c r="H722" s="84"/>
      <c r="I722" s="84"/>
    </row>
    <row r="723" spans="1:9" ht="14.5" x14ac:dyDescent="0.35">
      <c r="A723" s="81"/>
      <c r="B723" s="81"/>
      <c r="C723" s="82"/>
      <c r="D723" s="82"/>
      <c r="E723" s="83"/>
      <c r="F723" s="82"/>
      <c r="G723" s="84"/>
      <c r="H723" s="84"/>
      <c r="I723" s="84"/>
    </row>
    <row r="724" spans="1:9" ht="14.5" x14ac:dyDescent="0.35">
      <c r="A724" s="81"/>
      <c r="B724" s="81"/>
      <c r="C724" s="82"/>
      <c r="D724" s="82"/>
      <c r="E724" s="83"/>
      <c r="F724" s="82"/>
      <c r="G724" s="84"/>
      <c r="H724" s="84"/>
      <c r="I724" s="84"/>
    </row>
    <row r="725" spans="1:9" ht="14.5" x14ac:dyDescent="0.35">
      <c r="A725" s="81"/>
      <c r="B725" s="81"/>
      <c r="C725" s="82"/>
      <c r="D725" s="82"/>
      <c r="E725" s="83"/>
      <c r="F725" s="82"/>
      <c r="G725" s="84"/>
      <c r="H725" s="84"/>
      <c r="I725" s="84"/>
    </row>
    <row r="726" spans="1:9" ht="14.5" x14ac:dyDescent="0.35">
      <c r="A726" s="81"/>
      <c r="B726" s="81"/>
      <c r="C726" s="82"/>
      <c r="D726" s="82"/>
      <c r="E726" s="83"/>
      <c r="F726" s="82"/>
      <c r="G726" s="84"/>
      <c r="H726" s="84"/>
      <c r="I726" s="84"/>
    </row>
    <row r="727" spans="1:9" ht="14.5" x14ac:dyDescent="0.35">
      <c r="A727" s="81"/>
      <c r="B727" s="81"/>
      <c r="C727" s="82"/>
      <c r="D727" s="82"/>
      <c r="E727" s="83"/>
      <c r="F727" s="82"/>
      <c r="G727" s="84"/>
      <c r="H727" s="84"/>
      <c r="I727" s="84"/>
    </row>
    <row r="728" spans="1:9" ht="14.5" x14ac:dyDescent="0.35">
      <c r="A728" s="81"/>
      <c r="B728" s="81"/>
      <c r="C728" s="82"/>
      <c r="D728" s="82"/>
      <c r="E728" s="83"/>
      <c r="F728" s="82"/>
      <c r="G728" s="84"/>
      <c r="H728" s="84"/>
      <c r="I728" s="84"/>
    </row>
    <row r="729" spans="1:9" ht="14.5" x14ac:dyDescent="0.35">
      <c r="A729" s="81"/>
      <c r="B729" s="81"/>
      <c r="C729" s="82"/>
      <c r="D729" s="82"/>
      <c r="E729" s="83"/>
      <c r="F729" s="82"/>
      <c r="G729" s="84"/>
      <c r="H729" s="84"/>
      <c r="I729" s="84"/>
    </row>
    <row r="730" spans="1:9" ht="14.5" x14ac:dyDescent="0.35">
      <c r="A730" s="81"/>
      <c r="B730" s="81"/>
      <c r="C730" s="82"/>
      <c r="D730" s="82"/>
      <c r="E730" s="83"/>
      <c r="F730" s="82"/>
      <c r="G730" s="84"/>
      <c r="H730" s="84"/>
      <c r="I730" s="84"/>
    </row>
    <row r="731" spans="1:9" ht="14.5" x14ac:dyDescent="0.35">
      <c r="A731" s="81"/>
      <c r="B731" s="81"/>
      <c r="C731" s="81"/>
      <c r="D731" s="81"/>
      <c r="E731" s="83"/>
      <c r="F731" s="81"/>
      <c r="G731" s="81"/>
      <c r="H731" s="81"/>
      <c r="I731" s="81"/>
    </row>
    <row r="732" spans="1:9" ht="14.5" x14ac:dyDescent="0.35">
      <c r="A732" s="81"/>
      <c r="B732" s="81"/>
      <c r="C732" s="81"/>
      <c r="D732" s="81"/>
      <c r="E732" s="83"/>
      <c r="F732" s="81"/>
      <c r="G732" s="81"/>
      <c r="H732" s="81"/>
      <c r="I732" s="81"/>
    </row>
    <row r="733" spans="1:9" ht="14.5" x14ac:dyDescent="0.35">
      <c r="A733" s="81"/>
      <c r="B733" s="81"/>
      <c r="C733" s="81"/>
      <c r="D733" s="81"/>
      <c r="E733" s="83"/>
      <c r="F733" s="81"/>
      <c r="G733" s="81"/>
      <c r="H733" s="81"/>
      <c r="I733" s="81"/>
    </row>
    <row r="734" spans="1:9" ht="14.5" x14ac:dyDescent="0.35">
      <c r="A734" s="81"/>
      <c r="B734" s="81"/>
      <c r="C734" s="81"/>
      <c r="D734" s="81"/>
      <c r="E734" s="83"/>
      <c r="F734" s="81"/>
      <c r="G734" s="81"/>
      <c r="H734" s="81"/>
      <c r="I734" s="81"/>
    </row>
    <row r="735" spans="1:9" ht="14.5" x14ac:dyDescent="0.35">
      <c r="A735" s="81"/>
      <c r="B735" s="81"/>
      <c r="C735" s="81"/>
      <c r="D735" s="81"/>
      <c r="E735" s="83"/>
      <c r="F735" s="81"/>
      <c r="G735" s="81"/>
      <c r="H735" s="81"/>
      <c r="I735" s="81"/>
    </row>
    <row r="736" spans="1:9" ht="14.5" x14ac:dyDescent="0.35">
      <c r="A736" s="81"/>
      <c r="B736" s="81"/>
      <c r="C736" s="81"/>
      <c r="D736" s="81"/>
      <c r="E736" s="83"/>
      <c r="F736" s="81"/>
      <c r="G736" s="81"/>
      <c r="H736" s="81"/>
      <c r="I736" s="81"/>
    </row>
    <row r="737" spans="1:9" ht="14.5" x14ac:dyDescent="0.35">
      <c r="A737" s="81"/>
      <c r="B737" s="81"/>
      <c r="C737" s="81"/>
      <c r="D737" s="81"/>
      <c r="E737" s="83"/>
      <c r="F737" s="81"/>
      <c r="G737" s="81"/>
      <c r="H737" s="81"/>
      <c r="I737" s="81"/>
    </row>
    <row r="738" spans="1:9" ht="14.5" x14ac:dyDescent="0.35">
      <c r="A738" s="81"/>
      <c r="B738" s="81"/>
      <c r="C738" s="81"/>
      <c r="D738" s="81"/>
      <c r="E738" s="83"/>
      <c r="F738" s="81"/>
      <c r="G738" s="81"/>
      <c r="H738" s="81"/>
      <c r="I738" s="81"/>
    </row>
    <row r="739" spans="1:9" ht="14.5" x14ac:dyDescent="0.35">
      <c r="A739" s="81"/>
      <c r="B739" s="81"/>
      <c r="C739" s="81"/>
      <c r="D739" s="81"/>
      <c r="E739" s="83"/>
      <c r="F739" s="81"/>
      <c r="G739" s="81"/>
      <c r="H739" s="81"/>
      <c r="I739" s="81"/>
    </row>
    <row r="740" spans="1:9" ht="14.5" x14ac:dyDescent="0.35">
      <c r="A740" s="81"/>
      <c r="B740" s="81"/>
      <c r="C740" s="81"/>
      <c r="D740" s="81"/>
      <c r="E740" s="83"/>
      <c r="F740" s="81"/>
      <c r="G740" s="81"/>
      <c r="H740" s="81"/>
      <c r="I740" s="81"/>
    </row>
    <row r="741" spans="1:9" ht="14.5" x14ac:dyDescent="0.35">
      <c r="A741" s="81"/>
      <c r="B741" s="81"/>
      <c r="C741" s="81"/>
      <c r="D741" s="81"/>
      <c r="E741" s="83"/>
      <c r="F741" s="81"/>
      <c r="G741" s="81"/>
      <c r="H741" s="81"/>
      <c r="I741" s="81"/>
    </row>
    <row r="742" spans="1:9" ht="14.5" x14ac:dyDescent="0.35">
      <c r="A742" s="81"/>
      <c r="B742" s="81"/>
      <c r="C742" s="81"/>
      <c r="D742" s="81"/>
      <c r="E742" s="83"/>
      <c r="F742" s="81"/>
      <c r="G742" s="81"/>
      <c r="H742" s="81"/>
      <c r="I742" s="8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"/>
  <sheetViews>
    <sheetView tabSelected="1" topLeftCell="N1" workbookViewId="0">
      <selection activeCell="AA2" sqref="AA2"/>
    </sheetView>
  </sheetViews>
  <sheetFormatPr baseColWidth="10" defaultColWidth="12.6328125" defaultRowHeight="15.75" customHeight="1" x14ac:dyDescent="0.25"/>
  <cols>
    <col min="2" max="2" width="23.54296875" bestFit="1" customWidth="1"/>
  </cols>
  <sheetData>
    <row r="1" spans="1:26" ht="13" x14ac:dyDescent="0.3">
      <c r="A1" s="85" t="str">
        <f ca="1">IFERROR(__xludf.DUMMYFUNCTION("Importrange(""https://docs.google.com/spreadsheets/d/1bz3aRPyGMnWfjEk749doZVS9XJheKMtwsbfXqrUUWu4/edit?gid=1136507210#gid=1136507210"",""Comercial JUNIO!A1:Z100"")"),"Legajo")</f>
        <v>Legajo</v>
      </c>
      <c r="B1" s="85" t="str">
        <f ca="1">IFERROR(__xludf.DUMMYFUNCTION("""COMPUTED_VALUE"""),"Apellido y Nombre")</f>
        <v>Apellido y Nombre</v>
      </c>
      <c r="C1" s="85" t="str">
        <f ca="1">IFERROR(__xludf.DUMMYFUNCTION("""COMPUTED_VALUE"""),"Periodo")</f>
        <v>Periodo</v>
      </c>
      <c r="D1" s="85" t="str">
        <f ca="1">IFERROR(__xludf.DUMMYFUNCTION("""COMPUTED_VALUE"""),"Tienda asignada este mes")</f>
        <v>Tienda asignada este mes</v>
      </c>
      <c r="E1" s="86" t="str">
        <f ca="1">IFERROR(__xludf.DUMMYFUNCTION("""COMPUTED_VALUE"""),"Horas Totales ")</f>
        <v xml:space="preserve">Horas Totales </v>
      </c>
      <c r="F1" s="85" t="str">
        <f ca="1">IFERROR(__xludf.DUMMYFUNCTION("""COMPUTED_VALUE"""),"Hs Normales (con vacaciones y feriados NO trabajados)")</f>
        <v>Hs Normales (con vacaciones y feriados NO trabajados)</v>
      </c>
      <c r="G1" s="85" t="str">
        <f ca="1">IFERROR(__xludf.DUMMYFUNCTION("""COMPUTED_VALUE"""),"Hs Feriados (Horas)")</f>
        <v>Hs Feriados (Horas)</v>
      </c>
      <c r="H1" s="85" t="str">
        <f ca="1">IFERROR(__xludf.DUMMYFUNCTION("""COMPUTED_VALUE"""),"Feriados No trabajados (Hs)")</f>
        <v>Feriados No trabajados (Hs)</v>
      </c>
      <c r="I1" s="85" t="str">
        <f ca="1">IFERROR(__xludf.DUMMYFUNCTION("""COMPUTED_VALUE"""),"Licencias justificadas 
(en HORAS)")</f>
        <v>Licencias justificadas 
(en HORAS)</v>
      </c>
      <c r="J1" s="85" t="str">
        <f ca="1">IFERROR(__xludf.DUMMYFUNCTION("""COMPUTED_VALUE"""),"Plus vacacional")</f>
        <v>Plus vacacional</v>
      </c>
      <c r="K1" s="85" t="str">
        <f ca="1">IFERROR(__xludf.DUMMYFUNCTION("""COMPUTED_VALUE"""),"Cant dias vacaciones")</f>
        <v>Cant dias vacaciones</v>
      </c>
      <c r="L1" s="85" t="str">
        <f ca="1">IFERROR(__xludf.DUMMYFUNCTION("""COMPUTED_VALUE"""),"Premios")</f>
        <v>Premios</v>
      </c>
      <c r="M1" s="85" t="str">
        <f ca="1">IFERROR(__xludf.DUMMYFUNCTION("""COMPUTED_VALUE"""),"Sueldo Neto")</f>
        <v>Sueldo Neto</v>
      </c>
      <c r="N1" s="85" t="str">
        <f ca="1">IFERROR(__xludf.DUMMYFUNCTION("""COMPUTED_VALUE"""),"Sueldo Bruto")</f>
        <v>Sueldo Bruto</v>
      </c>
      <c r="O1" s="85" t="str">
        <f ca="1">IFERROR(__xludf.DUMMYFUNCTION("""COMPUTED_VALUE"""),"Contribuciones + ART")</f>
        <v>Contribuciones + ART</v>
      </c>
      <c r="P1" s="85" t="str">
        <f ca="1">IFERROR(__xludf.DUMMYFUNCTION("""COMPUTED_VALUE"""),"Costo total")</f>
        <v>Costo total</v>
      </c>
      <c r="Q1" s="85" t="str">
        <f ca="1">IFERROR(__xludf.DUMMYFUNCTION("""COMPUTED_VALUE"""),"Observaciones")</f>
        <v>Observaciones</v>
      </c>
      <c r="R1" s="5"/>
      <c r="S1" s="87" t="str">
        <f ca="1">IFERROR(__xludf.DUMMYFUNCTION("""COMPUTED_VALUE"""),"S.A.C. Junio 2025")</f>
        <v>S.A.C. Junio 2025</v>
      </c>
      <c r="T1" s="87" t="str">
        <f ca="1">IFERROR(__xludf.DUMMYFUNCTION("""COMPUTED_VALUE"""),"Legajo")</f>
        <v>Legajo</v>
      </c>
      <c r="U1" s="87" t="str">
        <f ca="1">IFERROR(__xludf.DUMMYFUNCTION("""COMPUTED_VALUE"""),"Apellido y Nombre")</f>
        <v>Apellido y Nombre</v>
      </c>
      <c r="V1" s="87" t="str">
        <f ca="1">IFERROR(__xludf.DUMMYFUNCTION("""COMPUTED_VALUE"""),"SAC 1er semestre")</f>
        <v>SAC 1er semestre</v>
      </c>
      <c r="W1" s="87" t="str">
        <f ca="1">IFERROR(__xludf.DUMMYFUNCTION("""COMPUTED_VALUE"""),"Ajuste SAC")</f>
        <v>Ajuste SAC</v>
      </c>
      <c r="X1" s="87" t="str">
        <f ca="1">IFERROR(__xludf.DUMMYFUNCTION("""COMPUTED_VALUE"""),"Contribuciones + ART")</f>
        <v>Contribuciones + ART</v>
      </c>
      <c r="Y1" s="87" t="str">
        <f ca="1">IFERROR(__xludf.DUMMYFUNCTION("""COMPUTED_VALUE"""),"Costo total")</f>
        <v>Costo total</v>
      </c>
      <c r="Z1" s="5"/>
    </row>
    <row r="2" spans="1:26" ht="13" x14ac:dyDescent="0.3">
      <c r="A2" s="5">
        <f ca="1">IFERROR(__xludf.DUMMYFUNCTION("""COMPUTED_VALUE"""),55)</f>
        <v>55</v>
      </c>
      <c r="B2" s="8" t="str">
        <f ca="1">IFERROR(__xludf.DUMMYFUNCTION("""COMPUTED_VALUE"""),"Carrizo Camila")</f>
        <v>Carrizo Camila</v>
      </c>
      <c r="C2" s="34">
        <f ca="1">IFERROR(__xludf.DUMMYFUNCTION("""COMPUTED_VALUE"""),44414)</f>
        <v>44414</v>
      </c>
      <c r="D2" s="8" t="str">
        <f ca="1">IFERROR(__xludf.DUMMYFUNCTION("""COMPUTED_VALUE"""),"AS San Telmo")</f>
        <v>AS San Telmo</v>
      </c>
      <c r="E2" s="11">
        <f ca="1">IFERROR(__xludf.DUMMYFUNCTION("""COMPUTED_VALUE"""),130)</f>
        <v>130</v>
      </c>
      <c r="F2" s="11">
        <f ca="1">IFERROR(__xludf.DUMMYFUNCTION("""COMPUTED_VALUE"""),113)</f>
        <v>113</v>
      </c>
      <c r="G2" s="11">
        <f ca="1">IFERROR(__xludf.DUMMYFUNCTION("""COMPUTED_VALUE"""),9)</f>
        <v>9</v>
      </c>
      <c r="H2" s="8"/>
      <c r="I2" s="9">
        <f ca="1">IFERROR(__xludf.DUMMYFUNCTION("""COMPUTED_VALUE"""),8)</f>
        <v>8</v>
      </c>
      <c r="J2" s="8" t="str">
        <f ca="1">IFERROR(__xludf.DUMMYFUNCTION("""COMPUTED_VALUE"""),"NO")</f>
        <v>NO</v>
      </c>
      <c r="K2" s="8"/>
      <c r="L2" s="9">
        <f ca="1">IFERROR(__xludf.DUMMYFUNCTION("""COMPUTED_VALUE"""),21488)</f>
        <v>21488</v>
      </c>
      <c r="M2" s="9">
        <f ca="1">IFERROR(__xludf.DUMMYFUNCTION("""COMPUTED_VALUE"""),756162)</f>
        <v>756162</v>
      </c>
      <c r="N2" s="9">
        <f ca="1">IFERROR(__xludf.DUMMYFUNCTION("""COMPUTED_VALUE"""),961404.1)</f>
        <v>961404.1</v>
      </c>
      <c r="O2" s="9">
        <f ca="1">IFERROR(__xludf.DUMMYFUNCTION("""COMPUTED_VALUE"""),530029.22415)</f>
        <v>530029.22415000002</v>
      </c>
      <c r="P2" s="9">
        <f ca="1">IFERROR(__xludf.DUMMYFUNCTION("""COMPUTED_VALUE"""),1491433.32415)</f>
        <v>1491433.32415</v>
      </c>
      <c r="Q2" s="8" t="str">
        <f ca="1">IFERROR(__xludf.DUMMYFUNCTION("""COMPUTED_VALUE"""),"Cobra comisión *")</f>
        <v>Cobra comisión *</v>
      </c>
      <c r="R2" s="8"/>
      <c r="S2" s="8"/>
      <c r="T2" s="5">
        <f ca="1">IFERROR(__xludf.DUMMYFUNCTION("""COMPUTED_VALUE"""),55)</f>
        <v>55</v>
      </c>
      <c r="U2" s="8" t="str">
        <f ca="1">IFERROR(__xludf.DUMMYFUNCTION("""COMPUTED_VALUE"""),"Carrizo Camila")</f>
        <v>Carrizo Camila</v>
      </c>
      <c r="V2" s="88">
        <f ca="1">IFERROR(__xludf.DUMMYFUNCTION("""COMPUTED_VALUE"""),373823)</f>
        <v>373823</v>
      </c>
      <c r="W2" s="88">
        <f ca="1">IFERROR(__xludf.DUMMYFUNCTION("""COMPUTED_VALUE"""),4072)</f>
        <v>4072</v>
      </c>
      <c r="X2" s="89">
        <f ca="1">IFERROR(__xludf.DUMMYFUNCTION("""COMPUTED_VALUE"""),265657.372365)</f>
        <v>265657.37236500002</v>
      </c>
      <c r="Y2" s="88">
        <f ca="1">IFERROR(__xludf.DUMMYFUNCTION("""COMPUTED_VALUE"""),643552.372365)</f>
        <v>643552.37236499996</v>
      </c>
      <c r="Z2" s="8"/>
    </row>
    <row r="3" spans="1:26" ht="13" x14ac:dyDescent="0.3">
      <c r="A3" s="5">
        <f ca="1">IFERROR(__xludf.DUMMYFUNCTION("""COMPUTED_VALUE"""),103)</f>
        <v>103</v>
      </c>
      <c r="B3" s="8" t="str">
        <f ca="1">IFERROR(__xludf.DUMMYFUNCTION("""COMPUTED_VALUE"""),"Esposito Candela")</f>
        <v>Esposito Candela</v>
      </c>
      <c r="C3" s="35">
        <f ca="1">IFERROR(__xludf.DUMMYFUNCTION("""COMPUTED_VALUE"""),44854)</f>
        <v>44854</v>
      </c>
      <c r="D3" s="8" t="str">
        <f ca="1">IFERROR(__xludf.DUMMYFUNCTION("""COMPUTED_VALUE"""),"Lucero San Telmo")</f>
        <v>Lucero San Telmo</v>
      </c>
      <c r="E3" s="11">
        <f ca="1">IFERROR(__xludf.DUMMYFUNCTION("""COMPUTED_VALUE"""),132)</f>
        <v>132</v>
      </c>
      <c r="F3" s="11">
        <f ca="1">IFERROR(__xludf.DUMMYFUNCTION("""COMPUTED_VALUE"""),118)</f>
        <v>118</v>
      </c>
      <c r="G3" s="11">
        <f ca="1">IFERROR(__xludf.DUMMYFUNCTION("""COMPUTED_VALUE"""),10)</f>
        <v>10</v>
      </c>
      <c r="H3" s="8"/>
      <c r="I3" s="9">
        <f ca="1">IFERROR(__xludf.DUMMYFUNCTION("""COMPUTED_VALUE"""),4)</f>
        <v>4</v>
      </c>
      <c r="J3" s="8" t="str">
        <f ca="1">IFERROR(__xludf.DUMMYFUNCTION("""COMPUTED_VALUE"""),"NO")</f>
        <v>NO</v>
      </c>
      <c r="K3" s="8"/>
      <c r="L3" s="9">
        <f ca="1">IFERROR(__xludf.DUMMYFUNCTION("""COMPUTED_VALUE"""),35364)</f>
        <v>35364</v>
      </c>
      <c r="M3" s="9">
        <f ca="1">IFERROR(__xludf.DUMMYFUNCTION("""COMPUTED_VALUE"""),775548.999999999)</f>
        <v>775548.99999999895</v>
      </c>
      <c r="N3" s="9">
        <f ca="1">IFERROR(__xludf.DUMMYFUNCTION("""COMPUTED_VALUE"""),986347.589999999)</f>
        <v>986347.58999999904</v>
      </c>
      <c r="O3" s="9">
        <f ca="1">IFERROR(__xludf.DUMMYFUNCTION("""COMPUTED_VALUE"""),544255.729635)</f>
        <v>544255.729635</v>
      </c>
      <c r="P3" s="9">
        <f ca="1">IFERROR(__xludf.DUMMYFUNCTION("""COMPUTED_VALUE"""),1530603.31963499)</f>
        <v>1530603.3196349901</v>
      </c>
      <c r="Q3" s="8" t="str">
        <f ca="1">IFERROR(__xludf.DUMMYFUNCTION("""COMPUTED_VALUE"""),"Cobra comisión *")</f>
        <v>Cobra comisión *</v>
      </c>
      <c r="R3" s="8"/>
      <c r="S3" s="8"/>
      <c r="T3" s="5">
        <f ca="1">IFERROR(__xludf.DUMMYFUNCTION("""COMPUTED_VALUE"""),103)</f>
        <v>103</v>
      </c>
      <c r="U3" s="8" t="str">
        <f ca="1">IFERROR(__xludf.DUMMYFUNCTION("""COMPUTED_VALUE"""),"Esposito Candela")</f>
        <v>Esposito Candela</v>
      </c>
      <c r="V3" s="88">
        <f ca="1">IFERROR(__xludf.DUMMYFUNCTION("""COMPUTED_VALUE"""),373465)</f>
        <v>373465</v>
      </c>
      <c r="W3" s="88">
        <f ca="1">IFERROR(__xludf.DUMMYFUNCTION("""COMPUTED_VALUE"""),14124)</f>
        <v>14124</v>
      </c>
      <c r="X3" s="89">
        <f ca="1">IFERROR(__xludf.DUMMYFUNCTION("""COMPUTED_VALUE"""),272194.366775)</f>
        <v>272194.366775</v>
      </c>
      <c r="Y3" s="88">
        <f ca="1">IFERROR(__xludf.DUMMYFUNCTION("""COMPUTED_VALUE"""),659783.366775)</f>
        <v>659783.366775</v>
      </c>
      <c r="Z3" s="8"/>
    </row>
    <row r="4" spans="1:26" ht="13" x14ac:dyDescent="0.3">
      <c r="A4" s="5">
        <f ca="1">IFERROR(__xludf.DUMMYFUNCTION("""COMPUTED_VALUE"""),120)</f>
        <v>120</v>
      </c>
      <c r="B4" s="8" t="str">
        <f ca="1">IFERROR(__xludf.DUMMYFUNCTION("""COMPUTED_VALUE"""),"Bertolo Milagros")</f>
        <v>Bertolo Milagros</v>
      </c>
      <c r="C4" s="34">
        <f ca="1">IFERROR(__xludf.DUMMYFUNCTION("""COMPUTED_VALUE"""),45020)</f>
        <v>45020</v>
      </c>
      <c r="D4" s="8" t="str">
        <f ca="1">IFERROR(__xludf.DUMMYFUNCTION("""COMPUTED_VALUE"""),"Lucero French")</f>
        <v>Lucero French</v>
      </c>
      <c r="E4" s="11">
        <f ca="1">IFERROR(__xludf.DUMMYFUNCTION("""COMPUTED_VALUE"""),122)</f>
        <v>122</v>
      </c>
      <c r="F4" s="11">
        <f ca="1">IFERROR(__xludf.DUMMYFUNCTION("""COMPUTED_VALUE"""),114)</f>
        <v>114</v>
      </c>
      <c r="G4" s="11">
        <f ca="1">IFERROR(__xludf.DUMMYFUNCTION("""COMPUTED_VALUE"""),8)</f>
        <v>8</v>
      </c>
      <c r="H4" s="8"/>
      <c r="I4" s="8"/>
      <c r="J4" s="8" t="str">
        <f ca="1">IFERROR(__xludf.DUMMYFUNCTION("""COMPUTED_VALUE"""),"NO")</f>
        <v>NO</v>
      </c>
      <c r="K4" s="8"/>
      <c r="L4" s="9">
        <f ca="1">IFERROR(__xludf.DUMMYFUNCTION("""COMPUTED_VALUE"""),26637)</f>
        <v>26637</v>
      </c>
      <c r="M4" s="9">
        <f ca="1">IFERROR(__xludf.DUMMYFUNCTION("""COMPUTED_VALUE"""),706709)</f>
        <v>706709</v>
      </c>
      <c r="N4" s="9">
        <f ca="1">IFERROR(__xludf.DUMMYFUNCTION("""COMPUTED_VALUE"""),898513.61)</f>
        <v>898513.61</v>
      </c>
      <c r="O4" s="9">
        <f ca="1">IFERROR(__xludf.DUMMYFUNCTION("""COMPUTED_VALUE"""),495431.120365)</f>
        <v>495431.12036499998</v>
      </c>
      <c r="P4" s="9">
        <f ca="1">IFERROR(__xludf.DUMMYFUNCTION("""COMPUTED_VALUE"""),1393944.730365)</f>
        <v>1393944.730365</v>
      </c>
      <c r="Q4" s="8" t="str">
        <f ca="1">IFERROR(__xludf.DUMMYFUNCTION("""COMPUTED_VALUE"""),"Cobra comisión *")</f>
        <v>Cobra comisión *</v>
      </c>
      <c r="R4" s="8"/>
      <c r="S4" s="8"/>
      <c r="T4" s="5">
        <f ca="1">IFERROR(__xludf.DUMMYFUNCTION("""COMPUTED_VALUE"""),120)</f>
        <v>120</v>
      </c>
      <c r="U4" s="8" t="str">
        <f ca="1">IFERROR(__xludf.DUMMYFUNCTION("""COMPUTED_VALUE"""),"Bertolo Milagros")</f>
        <v>Bertolo Milagros</v>
      </c>
      <c r="V4" s="88">
        <f ca="1">IFERROR(__xludf.DUMMYFUNCTION("""COMPUTED_VALUE"""),360943)</f>
        <v>360943</v>
      </c>
      <c r="W4" s="8"/>
      <c r="X4" s="89">
        <f ca="1">IFERROR(__xludf.DUMMYFUNCTION("""COMPUTED_VALUE"""),242800.992354999)</f>
        <v>242800.99235499901</v>
      </c>
      <c r="Y4" s="88">
        <f ca="1">IFERROR(__xludf.DUMMYFUNCTION("""COMPUTED_VALUE"""),603743.992355)</f>
        <v>603743.99235499999</v>
      </c>
      <c r="Z4" s="8"/>
    </row>
    <row r="5" spans="1:26" ht="13" x14ac:dyDescent="0.3">
      <c r="A5" s="5">
        <f ca="1">IFERROR(__xludf.DUMMYFUNCTION("""COMPUTED_VALUE"""),126)</f>
        <v>126</v>
      </c>
      <c r="B5" s="8" t="str">
        <f ca="1">IFERROR(__xludf.DUMMYFUNCTION("""COMPUTED_VALUE"""),"Barajas Barbara")</f>
        <v>Barajas Barbara</v>
      </c>
      <c r="C5" s="34">
        <f ca="1">IFERROR(__xludf.DUMMYFUNCTION("""COMPUTED_VALUE"""),45057)</f>
        <v>45057</v>
      </c>
      <c r="D5" s="8" t="str">
        <f ca="1">IFERROR(__xludf.DUMMYFUNCTION("""COMPUTED_VALUE"""),"Lucero Recoleta")</f>
        <v>Lucero Recoleta</v>
      </c>
      <c r="E5" s="11">
        <f ca="1">IFERROR(__xludf.DUMMYFUNCTION("""COMPUTED_VALUE"""),119)</f>
        <v>119</v>
      </c>
      <c r="F5" s="11">
        <f ca="1">IFERROR(__xludf.DUMMYFUNCTION("""COMPUTED_VALUE"""),111)</f>
        <v>111</v>
      </c>
      <c r="G5" s="11">
        <f ca="1">IFERROR(__xludf.DUMMYFUNCTION("""COMPUTED_VALUE"""),8)</f>
        <v>8</v>
      </c>
      <c r="H5" s="8"/>
      <c r="I5" s="8"/>
      <c r="J5" s="8" t="str">
        <f ca="1">IFERROR(__xludf.DUMMYFUNCTION("""COMPUTED_VALUE"""),"NO")</f>
        <v>NO</v>
      </c>
      <c r="K5" s="8"/>
      <c r="L5" s="9">
        <f ca="1">IFERROR(__xludf.DUMMYFUNCTION("""COMPUTED_VALUE"""),29522)</f>
        <v>29522</v>
      </c>
      <c r="M5" s="9">
        <f ca="1">IFERROR(__xludf.DUMMYFUNCTION("""COMPUTED_VALUE"""),693300)</f>
        <v>693300</v>
      </c>
      <c r="N5" s="9">
        <f ca="1">IFERROR(__xludf.DUMMYFUNCTION("""COMPUTED_VALUE"""),881508.96)</f>
        <v>881508.96</v>
      </c>
      <c r="O5" s="9">
        <f ca="1">IFERROR(__xludf.DUMMYFUNCTION("""COMPUTED_VALUE"""),486171.21534)</f>
        <v>486171.21534</v>
      </c>
      <c r="P5" s="9">
        <f ca="1">IFERROR(__xludf.DUMMYFUNCTION("""COMPUTED_VALUE"""),1367680.17534)</f>
        <v>1367680.1753400001</v>
      </c>
      <c r="Q5" s="8" t="str">
        <f ca="1">IFERROR(__xludf.DUMMYFUNCTION("""COMPUTED_VALUE"""),"Cobra comisión *")</f>
        <v>Cobra comisión *</v>
      </c>
      <c r="R5" s="8"/>
      <c r="S5" s="8"/>
      <c r="T5" s="5">
        <f ca="1">IFERROR(__xludf.DUMMYFUNCTION("""COMPUTED_VALUE"""),126)</f>
        <v>126</v>
      </c>
      <c r="U5" s="8" t="str">
        <f ca="1">IFERROR(__xludf.DUMMYFUNCTION("""COMPUTED_VALUE"""),"Barajas Barbara")</f>
        <v>Barajas Barbara</v>
      </c>
      <c r="V5" s="88">
        <f ca="1">IFERROR(__xludf.DUMMYFUNCTION("""COMPUTED_VALUE"""),353489)</f>
        <v>353489</v>
      </c>
      <c r="W5" s="8"/>
      <c r="X5" s="89">
        <f ca="1">IFERROR(__xludf.DUMMYFUNCTION("""COMPUTED_VALUE"""),241755.424815)</f>
        <v>241755.42481500001</v>
      </c>
      <c r="Y5" s="88">
        <f ca="1">IFERROR(__xludf.DUMMYFUNCTION("""COMPUTED_VALUE"""),595244.424815)</f>
        <v>595244.42481500003</v>
      </c>
      <c r="Z5" s="8"/>
    </row>
    <row r="6" spans="1:26" ht="13" x14ac:dyDescent="0.3">
      <c r="A6" s="5">
        <f ca="1">IFERROR(__xludf.DUMMYFUNCTION("""COMPUTED_VALUE"""),131)</f>
        <v>131</v>
      </c>
      <c r="B6" s="8" t="str">
        <f ca="1">IFERROR(__xludf.DUMMYFUNCTION("""COMPUTED_VALUE"""),"De Brito Rocio")</f>
        <v>De Brito Rocio</v>
      </c>
      <c r="C6" s="34">
        <f ca="1">IFERROR(__xludf.DUMMYFUNCTION("""COMPUTED_VALUE"""),45085)</f>
        <v>45085</v>
      </c>
      <c r="D6" s="8" t="str">
        <f ca="1">IFERROR(__xludf.DUMMYFUNCTION("""COMPUTED_VALUE"""),"Lucero Güemes")</f>
        <v>Lucero Güemes</v>
      </c>
      <c r="E6" s="11">
        <f ca="1">IFERROR(__xludf.DUMMYFUNCTION("""COMPUTED_VALUE"""),116)</f>
        <v>116</v>
      </c>
      <c r="F6" s="11">
        <f ca="1">IFERROR(__xludf.DUMMYFUNCTION("""COMPUTED_VALUE"""),116)</f>
        <v>116</v>
      </c>
      <c r="G6" s="8"/>
      <c r="H6" s="9">
        <f ca="1">IFERROR(__xludf.DUMMYFUNCTION("""COMPUTED_VALUE"""),8)</f>
        <v>8</v>
      </c>
      <c r="I6" s="8"/>
      <c r="J6" s="8" t="str">
        <f ca="1">IFERROR(__xludf.DUMMYFUNCTION("""COMPUTED_VALUE"""),"NO")</f>
        <v>NO</v>
      </c>
      <c r="K6" s="8"/>
      <c r="L6" s="9">
        <f ca="1">IFERROR(__xludf.DUMMYFUNCTION("""COMPUTED_VALUE"""),10146)</f>
        <v>10146</v>
      </c>
      <c r="M6" s="9">
        <f ca="1">IFERROR(__xludf.DUMMYFUNCTION("""COMPUTED_VALUE"""),632719)</f>
        <v>632719</v>
      </c>
      <c r="N6" s="9">
        <f ca="1">IFERROR(__xludf.DUMMYFUNCTION("""COMPUTED_VALUE"""),803637.59)</f>
        <v>803637.59</v>
      </c>
      <c r="O6" s="9">
        <f ca="1">IFERROR(__xludf.DUMMYFUNCTION("""COMPUTED_VALUE"""),441821.979535)</f>
        <v>441821.97953499999</v>
      </c>
      <c r="P6" s="9">
        <f ca="1">IFERROR(__xludf.DUMMYFUNCTION("""COMPUTED_VALUE"""),1245459.569535)</f>
        <v>1245459.569535</v>
      </c>
      <c r="Q6" s="8"/>
      <c r="R6" s="8"/>
      <c r="S6" s="8"/>
      <c r="T6" s="5">
        <f ca="1">IFERROR(__xludf.DUMMYFUNCTION("""COMPUTED_VALUE"""),131)</f>
        <v>131</v>
      </c>
      <c r="U6" s="8" t="str">
        <f ca="1">IFERROR(__xludf.DUMMYFUNCTION("""COMPUTED_VALUE"""),"De Brito Rocio")</f>
        <v>De Brito Rocio</v>
      </c>
      <c r="V6" s="88">
        <f ca="1">IFERROR(__xludf.DUMMYFUNCTION("""COMPUTED_VALUE"""),346069)</f>
        <v>346069</v>
      </c>
      <c r="W6" s="8"/>
      <c r="X6" s="89">
        <f ca="1">IFERROR(__xludf.DUMMYFUNCTION("""COMPUTED_VALUE"""),235738.237269999)</f>
        <v>235738.23726999899</v>
      </c>
      <c r="Y6" s="88">
        <f ca="1">IFERROR(__xludf.DUMMYFUNCTION("""COMPUTED_VALUE"""),581807.237269999)</f>
        <v>581807.23726999899</v>
      </c>
      <c r="Z6" s="8"/>
    </row>
    <row r="7" spans="1:26" ht="13" x14ac:dyDescent="0.3">
      <c r="A7" s="5">
        <f ca="1">IFERROR(__xludf.DUMMYFUNCTION("""COMPUTED_VALUE"""),138)</f>
        <v>138</v>
      </c>
      <c r="B7" s="8" t="str">
        <f ca="1">IFERROR(__xludf.DUMMYFUNCTION("""COMPUTED_VALUE"""),"Lara Robbio")</f>
        <v>Lara Robbio</v>
      </c>
      <c r="C7" s="34">
        <f ca="1">IFERROR(__xludf.DUMMYFUNCTION("""COMPUTED_VALUE"""),45139)</f>
        <v>45139</v>
      </c>
      <c r="D7" s="8" t="str">
        <f ca="1">IFERROR(__xludf.DUMMYFUNCTION("""COMPUTED_VALUE"""),"Lucero San Telmo")</f>
        <v>Lucero San Telmo</v>
      </c>
      <c r="E7" s="11">
        <f ca="1">IFERROR(__xludf.DUMMYFUNCTION("""COMPUTED_VALUE"""),119)</f>
        <v>119</v>
      </c>
      <c r="F7" s="11">
        <f ca="1">IFERROR(__xludf.DUMMYFUNCTION("""COMPUTED_VALUE"""),107)</f>
        <v>107</v>
      </c>
      <c r="G7" s="11">
        <f ca="1">IFERROR(__xludf.DUMMYFUNCTION("""COMPUTED_VALUE"""),8)</f>
        <v>8</v>
      </c>
      <c r="H7" s="8"/>
      <c r="I7" s="9">
        <f ca="1">IFERROR(__xludf.DUMMYFUNCTION("""COMPUTED_VALUE"""),4)</f>
        <v>4</v>
      </c>
      <c r="J7" s="8" t="str">
        <f ca="1">IFERROR(__xludf.DUMMYFUNCTION("""COMPUTED_VALUE"""),"NO")</f>
        <v>NO</v>
      </c>
      <c r="K7" s="8"/>
      <c r="L7" s="9">
        <f ca="1">IFERROR(__xludf.DUMMYFUNCTION("""COMPUTED_VALUE"""),31772)</f>
        <v>31772</v>
      </c>
      <c r="M7" s="9">
        <f ca="1">IFERROR(__xludf.DUMMYFUNCTION("""COMPUTED_VALUE"""),688454)</f>
        <v>688454</v>
      </c>
      <c r="N7" s="9">
        <f ca="1">IFERROR(__xludf.DUMMYFUNCTION("""COMPUTED_VALUE"""),875371.68)</f>
        <v>875371.68</v>
      </c>
      <c r="O7" s="9">
        <f ca="1">IFERROR(__xludf.DUMMYFUNCTION("""COMPUTED_VALUE"""),482844.33282)</f>
        <v>482844.33282000001</v>
      </c>
      <c r="P7" s="9">
        <f ca="1">IFERROR(__xludf.DUMMYFUNCTION("""COMPUTED_VALUE"""),1358216.01282)</f>
        <v>1358216.0128200001</v>
      </c>
      <c r="Q7" s="8"/>
      <c r="R7" s="8"/>
      <c r="S7" s="8"/>
      <c r="T7" s="5">
        <f ca="1">IFERROR(__xludf.DUMMYFUNCTION("""COMPUTED_VALUE"""),138)</f>
        <v>138</v>
      </c>
      <c r="U7" s="8" t="str">
        <f ca="1">IFERROR(__xludf.DUMMYFUNCTION("""COMPUTED_VALUE"""),"Lara Robbio")</f>
        <v>Lara Robbio</v>
      </c>
      <c r="V7" s="88">
        <f ca="1">IFERROR(__xludf.DUMMYFUNCTION("""COMPUTED_VALUE"""),359548)</f>
        <v>359548</v>
      </c>
      <c r="W7" s="8"/>
      <c r="X7" s="89">
        <f ca="1">IFERROR(__xludf.DUMMYFUNCTION("""COMPUTED_VALUE"""),242150.545415)</f>
        <v>242150.545415</v>
      </c>
      <c r="Y7" s="88">
        <f ca="1">IFERROR(__xludf.DUMMYFUNCTION("""COMPUTED_VALUE"""),601698.545415)</f>
        <v>601698.54541499994</v>
      </c>
      <c r="Z7" s="8"/>
    </row>
    <row r="8" spans="1:26" ht="13" x14ac:dyDescent="0.3">
      <c r="A8" s="5">
        <f ca="1">IFERROR(__xludf.DUMMYFUNCTION("""COMPUTED_VALUE"""),139)</f>
        <v>139</v>
      </c>
      <c r="B8" s="8" t="str">
        <f ca="1">IFERROR(__xludf.DUMMYFUNCTION("""COMPUTED_VALUE"""),"Viña Sofia")</f>
        <v>Viña Sofia</v>
      </c>
      <c r="C8" s="34">
        <f ca="1">IFERROR(__xludf.DUMMYFUNCTION("""COMPUTED_VALUE"""),45139)</f>
        <v>45139</v>
      </c>
      <c r="D8" s="8" t="str">
        <f ca="1">IFERROR(__xludf.DUMMYFUNCTION("""COMPUTED_VALUE"""),"Lucero Florida")</f>
        <v>Lucero Florida</v>
      </c>
      <c r="E8" s="11">
        <f ca="1">IFERROR(__xludf.DUMMYFUNCTION("""COMPUTED_VALUE"""),118)</f>
        <v>118</v>
      </c>
      <c r="F8" s="11">
        <f ca="1">IFERROR(__xludf.DUMMYFUNCTION("""COMPUTED_VALUE"""),109)</f>
        <v>109</v>
      </c>
      <c r="G8" s="11">
        <f ca="1">IFERROR(__xludf.DUMMYFUNCTION("""COMPUTED_VALUE"""),9)</f>
        <v>9</v>
      </c>
      <c r="H8" s="8"/>
      <c r="I8" s="8"/>
      <c r="J8" s="8" t="str">
        <f ca="1">IFERROR(__xludf.DUMMYFUNCTION("""COMPUTED_VALUE"""),"NO")</f>
        <v>NO</v>
      </c>
      <c r="K8" s="8"/>
      <c r="L8" s="9">
        <f ca="1">IFERROR(__xludf.DUMMYFUNCTION("""COMPUTED_VALUE"""),26730)</f>
        <v>26730</v>
      </c>
      <c r="M8" s="9">
        <f ca="1">IFERROR(__xludf.DUMMYFUNCTION("""COMPUTED_VALUE"""),683112)</f>
        <v>683112</v>
      </c>
      <c r="N8" s="9">
        <f ca="1">IFERROR(__xludf.DUMMYFUNCTION("""COMPUTED_VALUE"""),868577)</f>
        <v>868577</v>
      </c>
      <c r="O8" s="9">
        <f ca="1">IFERROR(__xludf.DUMMYFUNCTION("""COMPUTED_VALUE"""),479106.5515)</f>
        <v>479106.5515</v>
      </c>
      <c r="P8" s="9">
        <f ca="1">IFERROR(__xludf.DUMMYFUNCTION("""COMPUTED_VALUE"""),1347683.5515)</f>
        <v>1347683.5515000001</v>
      </c>
      <c r="Q8" s="8"/>
      <c r="R8" s="8"/>
      <c r="S8" s="8"/>
      <c r="T8" s="5">
        <f ca="1">IFERROR(__xludf.DUMMYFUNCTION("""COMPUTED_VALUE"""),139)</f>
        <v>139</v>
      </c>
      <c r="U8" s="8" t="str">
        <f ca="1">IFERROR(__xludf.DUMMYFUNCTION("""COMPUTED_VALUE"""),"Viña Sofia")</f>
        <v>Viña Sofia</v>
      </c>
      <c r="V8" s="88">
        <f ca="1">IFERROR(__xludf.DUMMYFUNCTION("""COMPUTED_VALUE"""),355802)</f>
        <v>355802</v>
      </c>
      <c r="W8" s="8"/>
      <c r="X8" s="89">
        <f ca="1">IFERROR(__xludf.DUMMYFUNCTION("""COMPUTED_VALUE"""),243527.00212)</f>
        <v>243527.00211999999</v>
      </c>
      <c r="Y8" s="88">
        <f ca="1">IFERROR(__xludf.DUMMYFUNCTION("""COMPUTED_VALUE"""),599329.00212)</f>
        <v>599329.00211999996</v>
      </c>
      <c r="Z8" s="8"/>
    </row>
    <row r="9" spans="1:26" ht="13" x14ac:dyDescent="0.3">
      <c r="A9" s="5">
        <f ca="1">IFERROR(__xludf.DUMMYFUNCTION("""COMPUTED_VALUE"""),143)</f>
        <v>143</v>
      </c>
      <c r="B9" s="8" t="str">
        <f ca="1">IFERROR(__xludf.DUMMYFUNCTION("""COMPUTED_VALUE"""),"Molina Agustina")</f>
        <v>Molina Agustina</v>
      </c>
      <c r="C9" s="34">
        <f ca="1">IFERROR(__xludf.DUMMYFUNCTION("""COMPUTED_VALUE"""),45184)</f>
        <v>45184</v>
      </c>
      <c r="D9" s="8" t="str">
        <f ca="1">IFERROR(__xludf.DUMMYFUNCTION("""COMPUTED_VALUE"""),"AS San Telmo")</f>
        <v>AS San Telmo</v>
      </c>
      <c r="E9" s="11">
        <f ca="1">IFERROR(__xludf.DUMMYFUNCTION("""COMPUTED_VALUE"""),117)</f>
        <v>117</v>
      </c>
      <c r="F9" s="11">
        <f ca="1">IFERROR(__xludf.DUMMYFUNCTION("""COMPUTED_VALUE"""),109)</f>
        <v>109</v>
      </c>
      <c r="G9" s="11">
        <f ca="1">IFERROR(__xludf.DUMMYFUNCTION("""COMPUTED_VALUE"""),8)</f>
        <v>8</v>
      </c>
      <c r="H9" s="8"/>
      <c r="I9" s="8"/>
      <c r="J9" s="8" t="str">
        <f ca="1">IFERROR(__xludf.DUMMYFUNCTION("""COMPUTED_VALUE"""),"NO")</f>
        <v>NO</v>
      </c>
      <c r="K9" s="8"/>
      <c r="L9" s="9">
        <f ca="1">IFERROR(__xludf.DUMMYFUNCTION("""COMPUTED_VALUE"""),20607)</f>
        <v>20607</v>
      </c>
      <c r="M9" s="9">
        <f ca="1">IFERROR(__xludf.DUMMYFUNCTION("""COMPUTED_VALUE"""),668502.999999999)</f>
        <v>668502.99999999895</v>
      </c>
      <c r="N9" s="9">
        <f ca="1">IFERROR(__xludf.DUMMYFUNCTION("""COMPUTED_VALUE"""),849825.069999999)</f>
        <v>849825.06999999902</v>
      </c>
      <c r="O9" s="9">
        <f ca="1">IFERROR(__xludf.DUMMYFUNCTION("""COMPUTED_VALUE"""),468475.659754999)</f>
        <v>468475.65975499898</v>
      </c>
      <c r="P9" s="9">
        <f ca="1">IFERROR(__xludf.DUMMYFUNCTION("""COMPUTED_VALUE"""),1318300.72975499)</f>
        <v>1318300.72975499</v>
      </c>
      <c r="Q9" s="8"/>
      <c r="R9" s="8"/>
      <c r="S9" s="8"/>
      <c r="T9" s="5">
        <f ca="1">IFERROR(__xludf.DUMMYFUNCTION("""COMPUTED_VALUE"""),143)</f>
        <v>143</v>
      </c>
      <c r="U9" s="8" t="str">
        <f ca="1">IFERROR(__xludf.DUMMYFUNCTION("""COMPUTED_VALUE"""),"Molina Agustina")</f>
        <v>Molina Agustina</v>
      </c>
      <c r="V9" s="88">
        <f ca="1">IFERROR(__xludf.DUMMYFUNCTION("""COMPUTED_VALUE"""),350900)</f>
        <v>350900</v>
      </c>
      <c r="W9" s="8"/>
      <c r="X9" s="89">
        <f ca="1">IFERROR(__xludf.DUMMYFUNCTION("""COMPUTED_VALUE"""),238827.886565)</f>
        <v>238827.88656499999</v>
      </c>
      <c r="Y9" s="88">
        <f ca="1">IFERROR(__xludf.DUMMYFUNCTION("""COMPUTED_VALUE"""),589727.886565)</f>
        <v>589727.88656500005</v>
      </c>
      <c r="Z9" s="8"/>
    </row>
    <row r="10" spans="1:26" ht="13" x14ac:dyDescent="0.3">
      <c r="A10" s="5">
        <f ca="1">IFERROR(__xludf.DUMMYFUNCTION("""COMPUTED_VALUE"""),151)</f>
        <v>151</v>
      </c>
      <c r="B10" s="8" t="str">
        <f ca="1">IFERROR(__xludf.DUMMYFUNCTION("""COMPUTED_VALUE"""),"Kiara Corbalan")</f>
        <v>Kiara Corbalan</v>
      </c>
      <c r="C10" s="34">
        <f ca="1">IFERROR(__xludf.DUMMYFUNCTION("""COMPUTED_VALUE"""),45201)</f>
        <v>45201</v>
      </c>
      <c r="D10" s="8" t="str">
        <f ca="1">IFERROR(__xludf.DUMMYFUNCTION("""COMPUTED_VALUE"""),"AS San Telmo")</f>
        <v>AS San Telmo</v>
      </c>
      <c r="E10" s="11">
        <f ca="1">IFERROR(__xludf.DUMMYFUNCTION("""COMPUTED_VALUE"""),117)</f>
        <v>117</v>
      </c>
      <c r="F10" s="11">
        <f ca="1">IFERROR(__xludf.DUMMYFUNCTION("""COMPUTED_VALUE"""),109)</f>
        <v>109</v>
      </c>
      <c r="G10" s="11">
        <f ca="1">IFERROR(__xludf.DUMMYFUNCTION("""COMPUTED_VALUE"""),8)</f>
        <v>8</v>
      </c>
      <c r="H10" s="8"/>
      <c r="I10" s="8"/>
      <c r="J10" s="8" t="str">
        <f ca="1">IFERROR(__xludf.DUMMYFUNCTION("""COMPUTED_VALUE"""),"NO")</f>
        <v>NO</v>
      </c>
      <c r="K10" s="8"/>
      <c r="L10" s="9">
        <f ca="1">IFERROR(__xludf.DUMMYFUNCTION("""COMPUTED_VALUE"""),20607)</f>
        <v>20607</v>
      </c>
      <c r="M10" s="9">
        <f ca="1">IFERROR(__xludf.DUMMYFUNCTION("""COMPUTED_VALUE"""),668502.999999999)</f>
        <v>668502.99999999895</v>
      </c>
      <c r="N10" s="9">
        <f ca="1">IFERROR(__xludf.DUMMYFUNCTION("""COMPUTED_VALUE"""),849825.069999999)</f>
        <v>849825.06999999902</v>
      </c>
      <c r="O10" s="9">
        <f ca="1">IFERROR(__xludf.DUMMYFUNCTION("""COMPUTED_VALUE"""),468475.659754999)</f>
        <v>468475.65975499898</v>
      </c>
      <c r="P10" s="9">
        <f ca="1">IFERROR(__xludf.DUMMYFUNCTION("""COMPUTED_VALUE"""),1318300.72975499)</f>
        <v>1318300.72975499</v>
      </c>
      <c r="Q10" s="8"/>
      <c r="R10" s="8"/>
      <c r="S10" s="8"/>
      <c r="T10" s="5">
        <f ca="1">IFERROR(__xludf.DUMMYFUNCTION("""COMPUTED_VALUE"""),151)</f>
        <v>151</v>
      </c>
      <c r="U10" s="8" t="str">
        <f ca="1">IFERROR(__xludf.DUMMYFUNCTION("""COMPUTED_VALUE"""),"Kiara Corbalan")</f>
        <v>Kiara Corbalan</v>
      </c>
      <c r="V10" s="88">
        <f ca="1">IFERROR(__xludf.DUMMYFUNCTION("""COMPUTED_VALUE"""),345266)</f>
        <v>345266</v>
      </c>
      <c r="W10" s="8"/>
      <c r="X10" s="89">
        <f ca="1">IFERROR(__xludf.DUMMYFUNCTION("""COMPUTED_VALUE"""),235149.90214)</f>
        <v>235149.90213999999</v>
      </c>
      <c r="Y10" s="88">
        <f ca="1">IFERROR(__xludf.DUMMYFUNCTION("""COMPUTED_VALUE"""),580415.90214)</f>
        <v>580415.90214000002</v>
      </c>
      <c r="Z10" s="8"/>
    </row>
    <row r="11" spans="1:26" ht="13" x14ac:dyDescent="0.3">
      <c r="A11" s="5">
        <f ca="1">IFERROR(__xludf.DUMMYFUNCTION("""COMPUTED_VALUE"""),161)</f>
        <v>161</v>
      </c>
      <c r="B11" s="8" t="str">
        <f ca="1">IFERROR(__xludf.DUMMYFUNCTION("""COMPUTED_VALUE"""),"Martínez Brisa")</f>
        <v>Martínez Brisa</v>
      </c>
      <c r="C11" s="35">
        <f ca="1">IFERROR(__xludf.DUMMYFUNCTION("""COMPUTED_VALUE"""),45272)</f>
        <v>45272</v>
      </c>
      <c r="D11" s="8" t="str">
        <f ca="1">IFERROR(__xludf.DUMMYFUNCTION("""COMPUTED_VALUE"""),"AS San Telmo")</f>
        <v>AS San Telmo</v>
      </c>
      <c r="E11" s="11">
        <f ca="1">IFERROR(__xludf.DUMMYFUNCTION("""COMPUTED_VALUE"""),113)</f>
        <v>113</v>
      </c>
      <c r="F11" s="11">
        <f ca="1">IFERROR(__xludf.DUMMYFUNCTION("""COMPUTED_VALUE"""),100)</f>
        <v>100</v>
      </c>
      <c r="G11" s="11">
        <f ca="1">IFERROR(__xludf.DUMMYFUNCTION("""COMPUTED_VALUE"""),9)</f>
        <v>9</v>
      </c>
      <c r="H11" s="8"/>
      <c r="I11" s="9">
        <f ca="1">IFERROR(__xludf.DUMMYFUNCTION("""COMPUTED_VALUE"""),4)</f>
        <v>4</v>
      </c>
      <c r="J11" s="8" t="str">
        <f ca="1">IFERROR(__xludf.DUMMYFUNCTION("""COMPUTED_VALUE"""),"NO")</f>
        <v>NO</v>
      </c>
      <c r="K11" s="8"/>
      <c r="L11" s="9">
        <f ca="1">IFERROR(__xludf.DUMMYFUNCTION("""COMPUTED_VALUE"""),19198)</f>
        <v>19198</v>
      </c>
      <c r="M11" s="9">
        <f ca="1">IFERROR(__xludf.DUMMYFUNCTION("""COMPUTED_VALUE"""),650516.999999999)</f>
        <v>650516.99999999895</v>
      </c>
      <c r="N11" s="9">
        <f ca="1">IFERROR(__xludf.DUMMYFUNCTION("""COMPUTED_VALUE"""),827010.129999999)</f>
        <v>827010.12999999896</v>
      </c>
      <c r="O11" s="9">
        <f ca="1">IFERROR(__xludf.DUMMYFUNCTION("""COMPUTED_VALUE"""),456040.392244999)</f>
        <v>456040.39224499901</v>
      </c>
      <c r="P11" s="9">
        <f ca="1">IFERROR(__xludf.DUMMYFUNCTION("""COMPUTED_VALUE"""),1283050.52224499)</f>
        <v>1283050.5222449901</v>
      </c>
      <c r="Q11" s="8"/>
      <c r="R11" s="8"/>
      <c r="S11" s="8"/>
      <c r="T11" s="5">
        <f ca="1">IFERROR(__xludf.DUMMYFUNCTION("""COMPUTED_VALUE"""),161)</f>
        <v>161</v>
      </c>
      <c r="U11" s="8" t="str">
        <f ca="1">IFERROR(__xludf.DUMMYFUNCTION("""COMPUTED_VALUE"""),"Martínez Brisa")</f>
        <v>Martínez Brisa</v>
      </c>
      <c r="V11" s="88">
        <f ca="1">IFERROR(__xludf.DUMMYFUNCTION("""COMPUTED_VALUE"""),344247)</f>
        <v>344247</v>
      </c>
      <c r="W11" s="8"/>
      <c r="X11" s="89">
        <f ca="1">IFERROR(__xludf.DUMMYFUNCTION("""COMPUTED_VALUE"""),234601.6237)</f>
        <v>234601.6237</v>
      </c>
      <c r="Y11" s="88">
        <f ca="1">IFERROR(__xludf.DUMMYFUNCTION("""COMPUTED_VALUE"""),578848.6237)</f>
        <v>578848.6237</v>
      </c>
      <c r="Z11" s="8"/>
    </row>
    <row r="12" spans="1:26" ht="13" x14ac:dyDescent="0.3">
      <c r="A12" s="5">
        <f ca="1">IFERROR(__xludf.DUMMYFUNCTION("""COMPUTED_VALUE"""),165)</f>
        <v>165</v>
      </c>
      <c r="B12" s="8" t="str">
        <f ca="1">IFERROR(__xludf.DUMMYFUNCTION("""COMPUTED_VALUE"""),"CORONEL Mailen")</f>
        <v>CORONEL Mailen</v>
      </c>
      <c r="C12" s="34">
        <f ca="1">IFERROR(__xludf.DUMMYFUNCTION("""COMPUTED_VALUE"""),45311)</f>
        <v>45311</v>
      </c>
      <c r="D12" s="8" t="str">
        <f ca="1">IFERROR(__xludf.DUMMYFUNCTION("""COMPUTED_VALUE"""),"Lucero Güemes")</f>
        <v>Lucero Güemes</v>
      </c>
      <c r="E12" s="11">
        <f ca="1">IFERROR(__xludf.DUMMYFUNCTION("""COMPUTED_VALUE"""),114)</f>
        <v>114</v>
      </c>
      <c r="F12" s="11">
        <f ca="1">IFERROR(__xludf.DUMMYFUNCTION("""COMPUTED_VALUE"""),114)</f>
        <v>114</v>
      </c>
      <c r="G12" s="8"/>
      <c r="H12" s="9">
        <f ca="1">IFERROR(__xludf.DUMMYFUNCTION("""COMPUTED_VALUE"""),8)</f>
        <v>8</v>
      </c>
      <c r="I12" s="8"/>
      <c r="J12" s="8" t="str">
        <f ca="1">IFERROR(__xludf.DUMMYFUNCTION("""COMPUTED_VALUE"""),"NO")</f>
        <v>NO</v>
      </c>
      <c r="K12" s="8"/>
      <c r="L12" s="9">
        <f ca="1">IFERROR(__xludf.DUMMYFUNCTION("""COMPUTED_VALUE"""),9971)</f>
        <v>9971</v>
      </c>
      <c r="M12" s="9">
        <f ca="1">IFERROR(__xludf.DUMMYFUNCTION("""COMPUTED_VALUE"""),615928)</f>
        <v>615928</v>
      </c>
      <c r="N12" s="9">
        <f ca="1">IFERROR(__xludf.DUMMYFUNCTION("""COMPUTED_VALUE"""),782280.78)</f>
        <v>782280.78</v>
      </c>
      <c r="O12" s="9">
        <f ca="1">IFERROR(__xludf.DUMMYFUNCTION("""COMPUTED_VALUE"""),383137.50567)</f>
        <v>383137.50566999998</v>
      </c>
      <c r="P12" s="9">
        <f ca="1">IFERROR(__xludf.DUMMYFUNCTION("""COMPUTED_VALUE"""),1165418.28567)</f>
        <v>1165418.2856699999</v>
      </c>
      <c r="Q12" s="8"/>
      <c r="R12" s="8"/>
      <c r="S12" s="8"/>
      <c r="T12" s="5">
        <f ca="1">IFERROR(__xludf.DUMMYFUNCTION("""COMPUTED_VALUE"""),165)</f>
        <v>165</v>
      </c>
      <c r="U12" s="8" t="str">
        <f ca="1">IFERROR(__xludf.DUMMYFUNCTION("""COMPUTED_VALUE"""),"CORONEL Mailen")</f>
        <v>CORONEL Mailen</v>
      </c>
      <c r="V12" s="88">
        <f ca="1">IFERROR(__xludf.DUMMYFUNCTION("""COMPUTED_VALUE"""),341877)</f>
        <v>341877</v>
      </c>
      <c r="W12" s="8"/>
      <c r="X12" s="89">
        <f ca="1">IFERROR(__xludf.DUMMYFUNCTION("""COMPUTED_VALUE"""),208069.87517)</f>
        <v>208069.87517000001</v>
      </c>
      <c r="Y12" s="88">
        <f ca="1">IFERROR(__xludf.DUMMYFUNCTION("""COMPUTED_VALUE"""),549946.87517)</f>
        <v>549946.87517000001</v>
      </c>
      <c r="Z12" s="8"/>
    </row>
    <row r="13" spans="1:26" ht="13" x14ac:dyDescent="0.3">
      <c r="A13" s="5">
        <f ca="1">IFERROR(__xludf.DUMMYFUNCTION("""COMPUTED_VALUE"""),170)</f>
        <v>170</v>
      </c>
      <c r="B13" s="8" t="str">
        <f ca="1">IFERROR(__xludf.DUMMYFUNCTION("""COMPUTED_VALUE"""),"Ruiz de la Torre Maitena")</f>
        <v>Ruiz de la Torre Maitena</v>
      </c>
      <c r="C13" s="34">
        <f ca="1">IFERROR(__xludf.DUMMYFUNCTION("""COMPUTED_VALUE"""),45345)</f>
        <v>45345</v>
      </c>
      <c r="D13" s="8" t="str">
        <f ca="1">IFERROR(__xludf.DUMMYFUNCTION("""COMPUTED_VALUE"""),"Lucero Florida")</f>
        <v>Lucero Florida</v>
      </c>
      <c r="E13" s="11">
        <f ca="1">IFERROR(__xludf.DUMMYFUNCTION("""COMPUTED_VALUE"""),117)</f>
        <v>117</v>
      </c>
      <c r="F13" s="11">
        <f ca="1">IFERROR(__xludf.DUMMYFUNCTION("""COMPUTED_VALUE"""),104)</f>
        <v>104</v>
      </c>
      <c r="G13" s="11">
        <f ca="1">IFERROR(__xludf.DUMMYFUNCTION("""COMPUTED_VALUE"""),5)</f>
        <v>5</v>
      </c>
      <c r="H13" s="9">
        <f ca="1">IFERROR(__xludf.DUMMYFUNCTION("""COMPUTED_VALUE"""),4)</f>
        <v>4</v>
      </c>
      <c r="I13" s="9">
        <f ca="1">IFERROR(__xludf.DUMMYFUNCTION("""COMPUTED_VALUE"""),8)</f>
        <v>8</v>
      </c>
      <c r="J13" s="8" t="str">
        <f ca="1">IFERROR(__xludf.DUMMYFUNCTION("""COMPUTED_VALUE"""),"NO")</f>
        <v>NO</v>
      </c>
      <c r="K13" s="8"/>
      <c r="L13" s="9">
        <f ca="1">IFERROR(__xludf.DUMMYFUNCTION("""COMPUTED_VALUE"""),24691)</f>
        <v>24691</v>
      </c>
      <c r="M13" s="9">
        <f ca="1">IFERROR(__xludf.DUMMYFUNCTION("""COMPUTED_VALUE"""),662225)</f>
        <v>662225</v>
      </c>
      <c r="N13" s="9">
        <f ca="1">IFERROR(__xludf.DUMMYFUNCTION("""COMPUTED_VALUE"""),841724.34)</f>
        <v>841724.34</v>
      </c>
      <c r="O13" s="9">
        <f ca="1">IFERROR(__xludf.DUMMYFUNCTION("""COMPUTED_VALUE"""),463805.51631)</f>
        <v>463805.51630999998</v>
      </c>
      <c r="P13" s="9">
        <f ca="1">IFERROR(__xludf.DUMMYFUNCTION("""COMPUTED_VALUE"""),1305529.85631)</f>
        <v>1305529.8563099999</v>
      </c>
      <c r="Q13" s="8"/>
      <c r="R13" s="8"/>
      <c r="S13" s="8"/>
      <c r="T13" s="5">
        <f ca="1">IFERROR(__xludf.DUMMYFUNCTION("""COMPUTED_VALUE"""),170)</f>
        <v>170</v>
      </c>
      <c r="U13" s="8" t="str">
        <f ca="1">IFERROR(__xludf.DUMMYFUNCTION("""COMPUTED_VALUE"""),"Ruiz de la Torre Maitena")</f>
        <v>Ruiz de la Torre Maitena</v>
      </c>
      <c r="V13" s="88">
        <f ca="1">IFERROR(__xludf.DUMMYFUNCTION("""COMPUTED_VALUE"""),355797)</f>
        <v>355797</v>
      </c>
      <c r="W13" s="8"/>
      <c r="X13" s="89">
        <f ca="1">IFERROR(__xludf.DUMMYFUNCTION("""COMPUTED_VALUE"""),242840.33941)</f>
        <v>242840.33940999999</v>
      </c>
      <c r="Y13" s="88">
        <f ca="1">IFERROR(__xludf.DUMMYFUNCTION("""COMPUTED_VALUE"""),598637.33941)</f>
        <v>598637.33941000002</v>
      </c>
      <c r="Z13" s="8"/>
    </row>
    <row r="14" spans="1:26" ht="13" x14ac:dyDescent="0.3">
      <c r="A14" s="5">
        <f ca="1">IFERROR(__xludf.DUMMYFUNCTION("""COMPUTED_VALUE"""),171)</f>
        <v>171</v>
      </c>
      <c r="B14" s="8" t="str">
        <f ca="1">IFERROR(__xludf.DUMMYFUNCTION("""COMPUTED_VALUE"""),"Gimenez Candela")</f>
        <v>Gimenez Candela</v>
      </c>
      <c r="C14" s="34">
        <f ca="1">IFERROR(__xludf.DUMMYFUNCTION("""COMPUTED_VALUE"""),45404)</f>
        <v>45404</v>
      </c>
      <c r="D14" s="8" t="str">
        <f ca="1">IFERROR(__xludf.DUMMYFUNCTION("""COMPUTED_VALUE"""),"Lucero Recoleta")</f>
        <v>Lucero Recoleta</v>
      </c>
      <c r="E14" s="11">
        <f ca="1">IFERROR(__xludf.DUMMYFUNCTION("""COMPUTED_VALUE"""),116)</f>
        <v>116</v>
      </c>
      <c r="F14" s="11">
        <f ca="1">IFERROR(__xludf.DUMMYFUNCTION("""COMPUTED_VALUE"""),100)</f>
        <v>100</v>
      </c>
      <c r="G14" s="11">
        <f ca="1">IFERROR(__xludf.DUMMYFUNCTION("""COMPUTED_VALUE"""),8)</f>
        <v>8</v>
      </c>
      <c r="H14" s="8"/>
      <c r="I14" s="9">
        <f ca="1">IFERROR(__xludf.DUMMYFUNCTION("""COMPUTED_VALUE"""),8)</f>
        <v>8</v>
      </c>
      <c r="J14" s="8" t="str">
        <f ca="1">IFERROR(__xludf.DUMMYFUNCTION("""COMPUTED_VALUE"""),"NO")</f>
        <v>NO</v>
      </c>
      <c r="K14" s="8"/>
      <c r="L14" s="9">
        <f ca="1">IFERROR(__xludf.DUMMYFUNCTION("""COMPUTED_VALUE"""),26793)</f>
        <v>26793</v>
      </c>
      <c r="M14" s="9">
        <f ca="1">IFERROR(__xludf.DUMMYFUNCTION("""COMPUTED_VALUE"""),668507)</f>
        <v>668507</v>
      </c>
      <c r="N14" s="9">
        <f ca="1">IFERROR(__xludf.DUMMYFUNCTION("""COMPUTED_VALUE"""),849928.38)</f>
        <v>849928.38</v>
      </c>
      <c r="O14" s="9">
        <f ca="1">IFERROR(__xludf.DUMMYFUNCTION("""COMPUTED_VALUE"""),468714.589469999)</f>
        <v>468714.58946999902</v>
      </c>
      <c r="P14" s="9">
        <f ca="1">IFERROR(__xludf.DUMMYFUNCTION("""COMPUTED_VALUE"""),1318642.96947)</f>
        <v>1318642.9694699999</v>
      </c>
      <c r="Q14" s="8"/>
      <c r="R14" s="8"/>
      <c r="S14" s="8"/>
      <c r="T14" s="5">
        <f ca="1">IFERROR(__xludf.DUMMYFUNCTION("""COMPUTED_VALUE"""),171)</f>
        <v>171</v>
      </c>
      <c r="U14" s="8" t="str">
        <f ca="1">IFERROR(__xludf.DUMMYFUNCTION("""COMPUTED_VALUE"""),"Gimenez Candela")</f>
        <v>Gimenez Candela</v>
      </c>
      <c r="V14" s="88">
        <f ca="1">IFERROR(__xludf.DUMMYFUNCTION("""COMPUTED_VALUE"""),357121)</f>
        <v>357121</v>
      </c>
      <c r="W14" s="8"/>
      <c r="X14" s="89">
        <f ca="1">IFERROR(__xludf.DUMMYFUNCTION("""COMPUTED_VALUE"""),243718.85938)</f>
        <v>243718.85938000001</v>
      </c>
      <c r="Y14" s="88">
        <f ca="1">IFERROR(__xludf.DUMMYFUNCTION("""COMPUTED_VALUE"""),600839.85938)</f>
        <v>600839.85938000004</v>
      </c>
      <c r="Z14" s="8"/>
    </row>
    <row r="15" spans="1:26" ht="13" x14ac:dyDescent="0.3">
      <c r="A15" s="5">
        <f ca="1">IFERROR(__xludf.DUMMYFUNCTION("""COMPUTED_VALUE"""),173)</f>
        <v>173</v>
      </c>
      <c r="B15" s="8" t="str">
        <f ca="1">IFERROR(__xludf.DUMMYFUNCTION("""COMPUTED_VALUE"""),"Imperiale Candela")</f>
        <v>Imperiale Candela</v>
      </c>
      <c r="C15" s="34">
        <f ca="1">IFERROR(__xludf.DUMMYFUNCTION("""COMPUTED_VALUE"""),45447)</f>
        <v>45447</v>
      </c>
      <c r="D15" s="8" t="str">
        <f ca="1">IFERROR(__xludf.DUMMYFUNCTION("""COMPUTED_VALUE"""),"Lucero Florida")</f>
        <v>Lucero Florida</v>
      </c>
      <c r="E15" s="11">
        <f ca="1">IFERROR(__xludf.DUMMYFUNCTION("""COMPUTED_VALUE"""),132)</f>
        <v>132</v>
      </c>
      <c r="F15" s="11">
        <f ca="1">IFERROR(__xludf.DUMMYFUNCTION("""COMPUTED_VALUE"""),122)</f>
        <v>122</v>
      </c>
      <c r="G15" s="11">
        <f ca="1">IFERROR(__xludf.DUMMYFUNCTION("""COMPUTED_VALUE"""),10)</f>
        <v>10</v>
      </c>
      <c r="H15" s="8"/>
      <c r="I15" s="8"/>
      <c r="J15" s="8" t="str">
        <f ca="1">IFERROR(__xludf.DUMMYFUNCTION("""COMPUTED_VALUE"""),"NO")</f>
        <v>NO</v>
      </c>
      <c r="K15" s="8"/>
      <c r="L15" s="9">
        <f ca="1">IFERROR(__xludf.DUMMYFUNCTION("""COMPUTED_VALUE"""),29901)</f>
        <v>29901</v>
      </c>
      <c r="M15" s="9">
        <f ca="1">IFERROR(__xludf.DUMMYFUNCTION("""COMPUTED_VALUE"""),763355.999999999)</f>
        <v>763355.99999999895</v>
      </c>
      <c r="N15" s="9">
        <f ca="1">IFERROR(__xludf.DUMMYFUNCTION("""COMPUTED_VALUE"""),970743.049999999)</f>
        <v>970743.049999999</v>
      </c>
      <c r="O15" s="9">
        <f ca="1">IFERROR(__xludf.DUMMYFUNCTION("""COMPUTED_VALUE"""),535494.187225)</f>
        <v>535494.187225</v>
      </c>
      <c r="P15" s="9">
        <f ca="1">IFERROR(__xludf.DUMMYFUNCTION("""COMPUTED_VALUE"""),1506237.23722499)</f>
        <v>1506237.23722499</v>
      </c>
      <c r="Q15" s="8" t="str">
        <f ca="1">IFERROR(__xludf.DUMMYFUNCTION("""COMPUTED_VALUE"""),"Cobra comisión *")</f>
        <v>Cobra comisión *</v>
      </c>
      <c r="R15" s="8"/>
      <c r="S15" s="8"/>
      <c r="T15" s="5">
        <f ca="1">IFERROR(__xludf.DUMMYFUNCTION("""COMPUTED_VALUE"""),173)</f>
        <v>173</v>
      </c>
      <c r="U15" s="8" t="str">
        <f ca="1">IFERROR(__xludf.DUMMYFUNCTION("""COMPUTED_VALUE"""),"Imperiale Candela")</f>
        <v>Imperiale Candela</v>
      </c>
      <c r="V15" s="88">
        <f ca="1">IFERROR(__xludf.DUMMYFUNCTION("""COMPUTED_VALUE"""),374635)</f>
        <v>374635</v>
      </c>
      <c r="W15" s="88">
        <f ca="1">IFERROR(__xludf.DUMMYFUNCTION("""COMPUTED_VALUE"""),6857)</f>
        <v>6857</v>
      </c>
      <c r="X15" s="89">
        <f ca="1">IFERROR(__xludf.DUMMYFUNCTION("""COMPUTED_VALUE"""),267995.49987)</f>
        <v>267995.49987</v>
      </c>
      <c r="Y15" s="88">
        <f ca="1">IFERROR(__xludf.DUMMYFUNCTION("""COMPUTED_VALUE"""),649487.499869999)</f>
        <v>649487.49986999901</v>
      </c>
      <c r="Z15" s="8"/>
    </row>
    <row r="16" spans="1:26" ht="13" x14ac:dyDescent="0.3">
      <c r="A16" s="5">
        <f ca="1">IFERROR(__xludf.DUMMYFUNCTION("""COMPUTED_VALUE"""),174)</f>
        <v>174</v>
      </c>
      <c r="B16" s="8" t="str">
        <f ca="1">IFERROR(__xludf.DUMMYFUNCTION("""COMPUTED_VALUE"""),"Machuca Araceli")</f>
        <v>Machuca Araceli</v>
      </c>
      <c r="C16" s="34">
        <f ca="1">IFERROR(__xludf.DUMMYFUNCTION("""COMPUTED_VALUE"""),45477)</f>
        <v>45477</v>
      </c>
      <c r="D16" s="8" t="str">
        <f ca="1">IFERROR(__xludf.DUMMYFUNCTION("""COMPUTED_VALUE"""),"Lucero French")</f>
        <v>Lucero French</v>
      </c>
      <c r="E16" s="11">
        <f ca="1">IFERROR(__xludf.DUMMYFUNCTION("""COMPUTED_VALUE"""),120)</f>
        <v>120</v>
      </c>
      <c r="F16" s="11">
        <f ca="1">IFERROR(__xludf.DUMMYFUNCTION("""COMPUTED_VALUE"""),108)</f>
        <v>108</v>
      </c>
      <c r="G16" s="11">
        <f ca="1">IFERROR(__xludf.DUMMYFUNCTION("""COMPUTED_VALUE"""),8)</f>
        <v>8</v>
      </c>
      <c r="H16" s="8"/>
      <c r="I16" s="9">
        <f ca="1">IFERROR(__xludf.DUMMYFUNCTION("""COMPUTED_VALUE"""),4)</f>
        <v>4</v>
      </c>
      <c r="J16" s="8" t="str">
        <f ca="1">IFERROR(__xludf.DUMMYFUNCTION("""COMPUTED_VALUE"""),"NO")</f>
        <v>NO</v>
      </c>
      <c r="K16" s="8"/>
      <c r="L16" s="9">
        <f ca="1">IFERROR(__xludf.DUMMYFUNCTION("""COMPUTED_VALUE"""),25327)</f>
        <v>25327</v>
      </c>
      <c r="M16" s="9">
        <f ca="1">IFERROR(__xludf.DUMMYFUNCTION("""COMPUTED_VALUE"""),681459)</f>
        <v>681459</v>
      </c>
      <c r="N16" s="9">
        <f ca="1">IFERROR(__xludf.DUMMYFUNCTION("""COMPUTED_VALUE"""),866364.52)</f>
        <v>866364.52</v>
      </c>
      <c r="O16" s="9">
        <f ca="1">IFERROR(__xludf.DUMMYFUNCTION("""COMPUTED_VALUE"""),477685.64888)</f>
        <v>477685.64887999999</v>
      </c>
      <c r="P16" s="9">
        <f ca="1">IFERROR(__xludf.DUMMYFUNCTION("""COMPUTED_VALUE"""),1344050.16888)</f>
        <v>1344050.16888</v>
      </c>
      <c r="Q16" s="8"/>
      <c r="R16" s="8"/>
      <c r="S16" s="8"/>
      <c r="T16" s="5">
        <f ca="1">IFERROR(__xludf.DUMMYFUNCTION("""COMPUTED_VALUE"""),174)</f>
        <v>174</v>
      </c>
      <c r="U16" s="8" t="str">
        <f ca="1">IFERROR(__xludf.DUMMYFUNCTION("""COMPUTED_VALUE"""),"Machuca Araceli")</f>
        <v>Machuca Araceli</v>
      </c>
      <c r="V16" s="88">
        <f ca="1">IFERROR(__xludf.DUMMYFUNCTION("""COMPUTED_VALUE"""),334169)</f>
        <v>334169</v>
      </c>
      <c r="W16" s="88">
        <f ca="1">IFERROR(__xludf.DUMMYFUNCTION("""COMPUTED_VALUE"""),6375)</f>
        <v>6375</v>
      </c>
      <c r="X16" s="89">
        <f ca="1">IFERROR(__xludf.DUMMYFUNCTION("""COMPUTED_VALUE"""),240654.09931)</f>
        <v>240654.09930999999</v>
      </c>
      <c r="Y16" s="88">
        <f ca="1">IFERROR(__xludf.DUMMYFUNCTION("""COMPUTED_VALUE"""),581198.09931)</f>
        <v>581198.09930999996</v>
      </c>
      <c r="Z16" s="8"/>
    </row>
    <row r="17" spans="1:26" ht="13" x14ac:dyDescent="0.3">
      <c r="A17" s="5">
        <f ca="1">IFERROR(__xludf.DUMMYFUNCTION("""COMPUTED_VALUE"""),186)</f>
        <v>186</v>
      </c>
      <c r="B17" s="8" t="str">
        <f ca="1">IFERROR(__xludf.DUMMYFUNCTION("""COMPUTED_VALUE"""),"Balmaceda Luciana")</f>
        <v>Balmaceda Luciana</v>
      </c>
      <c r="C17" s="35">
        <f ca="1">IFERROR(__xludf.DUMMYFUNCTION("""COMPUTED_VALUE"""),45587)</f>
        <v>45587</v>
      </c>
      <c r="D17" s="8" t="str">
        <f ca="1">IFERROR(__xludf.DUMMYFUNCTION("""COMPUTED_VALUE"""),"Lucero Florida")</f>
        <v>Lucero Florida</v>
      </c>
      <c r="E17" s="11">
        <f ca="1">IFERROR(__xludf.DUMMYFUNCTION("""COMPUTED_VALUE"""),117)</f>
        <v>117</v>
      </c>
      <c r="F17" s="11">
        <f ca="1">IFERROR(__xludf.DUMMYFUNCTION("""COMPUTED_VALUE"""),108)</f>
        <v>108</v>
      </c>
      <c r="G17" s="11">
        <f ca="1">IFERROR(__xludf.DUMMYFUNCTION("""COMPUTED_VALUE"""),9)</f>
        <v>9</v>
      </c>
      <c r="H17" s="8"/>
      <c r="I17" s="8"/>
      <c r="J17" s="8" t="str">
        <f ca="1">IFERROR(__xludf.DUMMYFUNCTION("""COMPUTED_VALUE"""),"NO")</f>
        <v>NO</v>
      </c>
      <c r="K17" s="8"/>
      <c r="L17" s="9">
        <f ca="1">IFERROR(__xludf.DUMMYFUNCTION("""COMPUTED_VALUE"""),26503)</f>
        <v>26503</v>
      </c>
      <c r="M17" s="9">
        <f ca="1">IFERROR(__xludf.DUMMYFUNCTION("""COMPUTED_VALUE"""),671010.999999999)</f>
        <v>671010.99999999895</v>
      </c>
      <c r="N17" s="9">
        <f ca="1">IFERROR(__xludf.DUMMYFUNCTION("""COMPUTED_VALUE"""),853174.929999999)</f>
        <v>853174.929999999</v>
      </c>
      <c r="O17" s="9">
        <f ca="1">IFERROR(__xludf.DUMMYFUNCTION("""COMPUTED_VALUE"""),470614.658344999)</f>
        <v>470614.65834499901</v>
      </c>
      <c r="P17" s="9">
        <f ca="1">IFERROR(__xludf.DUMMYFUNCTION("""COMPUTED_VALUE"""),1323789.58834499)</f>
        <v>1323789.58834499</v>
      </c>
      <c r="Q17" s="8"/>
      <c r="R17" s="8"/>
      <c r="S17" s="8"/>
      <c r="T17" s="5">
        <f ca="1">IFERROR(__xludf.DUMMYFUNCTION("""COMPUTED_VALUE"""),186)</f>
        <v>186</v>
      </c>
      <c r="U17" s="8" t="str">
        <f ca="1">IFERROR(__xludf.DUMMYFUNCTION("""COMPUTED_VALUE"""),"Balmaceda Luciana")</f>
        <v>Balmaceda Luciana</v>
      </c>
      <c r="V17" s="88">
        <f ca="1">IFERROR(__xludf.DUMMYFUNCTION("""COMPUTED_VALUE"""),348882)</f>
        <v>348882</v>
      </c>
      <c r="W17" s="8"/>
      <c r="X17" s="89">
        <f ca="1">IFERROR(__xludf.DUMMYFUNCTION("""COMPUTED_VALUE"""),238933.31688)</f>
        <v>238933.31688</v>
      </c>
      <c r="Y17" s="88">
        <f ca="1">IFERROR(__xludf.DUMMYFUNCTION("""COMPUTED_VALUE"""),587815.31688)</f>
        <v>587815.31688000006</v>
      </c>
      <c r="Z17" s="8"/>
    </row>
    <row r="18" spans="1:26" ht="13" x14ac:dyDescent="0.3">
      <c r="A18" s="5">
        <f ca="1">IFERROR(__xludf.DUMMYFUNCTION("""COMPUTED_VALUE"""),189)</f>
        <v>189</v>
      </c>
      <c r="B18" s="8" t="str">
        <f ca="1">IFERROR(__xludf.DUMMYFUNCTION("""COMPUTED_VALUE"""),"Oliva Micaela")</f>
        <v>Oliva Micaela</v>
      </c>
      <c r="C18" s="34">
        <f ca="1">IFERROR(__xludf.DUMMYFUNCTION("""COMPUTED_VALUE"""),45597)</f>
        <v>45597</v>
      </c>
      <c r="D18" s="8" t="str">
        <f ca="1">IFERROR(__xludf.DUMMYFUNCTION("""COMPUTED_VALUE"""),"Lucero Recoleta")</f>
        <v>Lucero Recoleta</v>
      </c>
      <c r="E18" s="11">
        <f ca="1">IFERROR(__xludf.DUMMYFUNCTION("""COMPUTED_VALUE"""),118)</f>
        <v>118</v>
      </c>
      <c r="F18" s="11">
        <f ca="1">IFERROR(__xludf.DUMMYFUNCTION("""COMPUTED_VALUE"""),109)</f>
        <v>109</v>
      </c>
      <c r="G18" s="11">
        <f ca="1">IFERROR(__xludf.DUMMYFUNCTION("""COMPUTED_VALUE"""),9)</f>
        <v>9</v>
      </c>
      <c r="H18" s="8"/>
      <c r="I18" s="8"/>
      <c r="J18" s="8" t="str">
        <f ca="1">IFERROR(__xludf.DUMMYFUNCTION("""COMPUTED_VALUE"""),"NO")</f>
        <v>NO</v>
      </c>
      <c r="K18" s="8"/>
      <c r="L18" s="9">
        <f ca="1">IFERROR(__xludf.DUMMYFUNCTION("""COMPUTED_VALUE"""),29058)</f>
        <v>29058</v>
      </c>
      <c r="M18" s="9">
        <f ca="1">IFERROR(__xludf.DUMMYFUNCTION("""COMPUTED_VALUE"""),678346)</f>
        <v>678346</v>
      </c>
      <c r="N18" s="9">
        <f ca="1">IFERROR(__xludf.DUMMYFUNCTION("""COMPUTED_VALUE"""),862542.1)</f>
        <v>862542.1</v>
      </c>
      <c r="O18" s="9">
        <f ca="1">IFERROR(__xludf.DUMMYFUNCTION("""COMPUTED_VALUE"""),475837.12685)</f>
        <v>475837.12685</v>
      </c>
      <c r="P18" s="9">
        <f ca="1">IFERROR(__xludf.DUMMYFUNCTION("""COMPUTED_VALUE"""),1338379.22685)</f>
        <v>1338379.22685</v>
      </c>
      <c r="Q18" s="8"/>
      <c r="R18" s="8"/>
      <c r="S18" s="8"/>
      <c r="T18" s="5">
        <f ca="1">IFERROR(__xludf.DUMMYFUNCTION("""COMPUTED_VALUE"""),189)</f>
        <v>189</v>
      </c>
      <c r="U18" s="8" t="str">
        <f ca="1">IFERROR(__xludf.DUMMYFUNCTION("""COMPUTED_VALUE"""),"Oliva Micaela")</f>
        <v>Oliva Micaela</v>
      </c>
      <c r="V18" s="88">
        <f ca="1">IFERROR(__xludf.DUMMYFUNCTION("""COMPUTED_VALUE"""),344366)</f>
        <v>344366</v>
      </c>
      <c r="W18" s="8"/>
      <c r="X18" s="89">
        <f ca="1">IFERROR(__xludf.DUMMYFUNCTION("""COMPUTED_VALUE"""),235826.592764999)</f>
        <v>235826.59276499899</v>
      </c>
      <c r="Y18" s="88">
        <f ca="1">IFERROR(__xludf.DUMMYFUNCTION("""COMPUTED_VALUE"""),580192.592765)</f>
        <v>580192.59276499995</v>
      </c>
      <c r="Z18" s="8"/>
    </row>
    <row r="19" spans="1:26" ht="13" x14ac:dyDescent="0.3">
      <c r="A19" s="5">
        <f ca="1">IFERROR(__xludf.DUMMYFUNCTION("""COMPUTED_VALUE"""),190)</f>
        <v>190</v>
      </c>
      <c r="B19" s="8" t="str">
        <f ca="1">IFERROR(__xludf.DUMMYFUNCTION("""COMPUTED_VALUE"""),"Mohamad Daila")</f>
        <v>Mohamad Daila</v>
      </c>
      <c r="C19" s="34">
        <f ca="1">IFERROR(__xludf.DUMMYFUNCTION("""COMPUTED_VALUE"""),45597)</f>
        <v>45597</v>
      </c>
      <c r="D19" s="8" t="str">
        <f ca="1">IFERROR(__xludf.DUMMYFUNCTION("""COMPUTED_VALUE"""),"Lucero San Telmo 2")</f>
        <v>Lucero San Telmo 2</v>
      </c>
      <c r="E19" s="11">
        <f ca="1">IFERROR(__xludf.DUMMYFUNCTION("""COMPUTED_VALUE"""),130)</f>
        <v>130</v>
      </c>
      <c r="F19" s="11">
        <f ca="1">IFERROR(__xludf.DUMMYFUNCTION("""COMPUTED_VALUE"""),121)</f>
        <v>121</v>
      </c>
      <c r="G19" s="11">
        <f ca="1">IFERROR(__xludf.DUMMYFUNCTION("""COMPUTED_VALUE"""),9)</f>
        <v>9</v>
      </c>
      <c r="H19" s="8"/>
      <c r="I19" s="8"/>
      <c r="J19" s="8" t="str">
        <f ca="1">IFERROR(__xludf.DUMMYFUNCTION("""COMPUTED_VALUE"""),"NO")</f>
        <v>NO</v>
      </c>
      <c r="K19" s="8"/>
      <c r="L19" s="9">
        <f ca="1">IFERROR(__xludf.DUMMYFUNCTION("""COMPUTED_VALUE"""),23197)</f>
        <v>23197</v>
      </c>
      <c r="M19" s="9">
        <f ca="1">IFERROR(__xludf.DUMMYFUNCTION("""COMPUTED_VALUE"""),735700)</f>
        <v>735700</v>
      </c>
      <c r="N19" s="9">
        <f ca="1">IFERROR(__xludf.DUMMYFUNCTION("""COMPUTED_VALUE"""),935380.74)</f>
        <v>935380.74</v>
      </c>
      <c r="O19" s="9">
        <f ca="1">IFERROR(__xludf.DUMMYFUNCTION("""COMPUTED_VALUE"""),515697.54531)</f>
        <v>515697.54531000002</v>
      </c>
      <c r="P19" s="9">
        <f ca="1">IFERROR(__xludf.DUMMYFUNCTION("""COMPUTED_VALUE"""),1451078.28531)</f>
        <v>1451078.2853099999</v>
      </c>
      <c r="Q19" s="8"/>
      <c r="R19" s="8"/>
      <c r="S19" s="8"/>
      <c r="T19" s="5">
        <f ca="1">IFERROR(__xludf.DUMMYFUNCTION("""COMPUTED_VALUE"""),190)</f>
        <v>190</v>
      </c>
      <c r="U19" s="8" t="str">
        <f ca="1">IFERROR(__xludf.DUMMYFUNCTION("""COMPUTED_VALUE"""),"Mohamad Daila")</f>
        <v>Mohamad Daila</v>
      </c>
      <c r="V19" s="88">
        <f ca="1">IFERROR(__xludf.DUMMYFUNCTION("""COMPUTED_VALUE"""),357942)</f>
        <v>357942</v>
      </c>
      <c r="W19" s="88">
        <f ca="1">IFERROR(__xludf.DUMMYFUNCTION("""COMPUTED_VALUE"""),9722)</f>
        <v>9722</v>
      </c>
      <c r="X19" s="89">
        <f ca="1">IFERROR(__xludf.DUMMYFUNCTION("""COMPUTED_VALUE"""),258042.702575)</f>
        <v>258042.702575</v>
      </c>
      <c r="Y19" s="88">
        <f ca="1">IFERROR(__xludf.DUMMYFUNCTION("""COMPUTED_VALUE"""),625706.702575)</f>
        <v>625706.702575</v>
      </c>
      <c r="Z19" s="8"/>
    </row>
    <row r="20" spans="1:26" ht="13" x14ac:dyDescent="0.3">
      <c r="A20" s="5">
        <f ca="1">IFERROR(__xludf.DUMMYFUNCTION("""COMPUTED_VALUE"""),192)</f>
        <v>192</v>
      </c>
      <c r="B20" s="8" t="str">
        <f ca="1">IFERROR(__xludf.DUMMYFUNCTION("""COMPUTED_VALUE"""),"Sarapura Rebecca")</f>
        <v>Sarapura Rebecca</v>
      </c>
      <c r="C20" s="34">
        <f ca="1">IFERROR(__xludf.DUMMYFUNCTION("""COMPUTED_VALUE"""),45597)</f>
        <v>45597</v>
      </c>
      <c r="D20" s="8" t="str">
        <f ca="1">IFERROR(__xludf.DUMMYFUNCTION("""COMPUTED_VALUE"""),"Lucero San Telmo")</f>
        <v>Lucero San Telmo</v>
      </c>
      <c r="E20" s="11">
        <f ca="1">IFERROR(__xludf.DUMMYFUNCTION("""COMPUTED_VALUE"""),116)</f>
        <v>116</v>
      </c>
      <c r="F20" s="11">
        <f ca="1">IFERROR(__xludf.DUMMYFUNCTION("""COMPUTED_VALUE"""),100)</f>
        <v>100</v>
      </c>
      <c r="G20" s="11">
        <f ca="1">IFERROR(__xludf.DUMMYFUNCTION("""COMPUTED_VALUE"""),8)</f>
        <v>8</v>
      </c>
      <c r="H20" s="8"/>
      <c r="I20" s="9">
        <f ca="1">IFERROR(__xludf.DUMMYFUNCTION("""COMPUTED_VALUE"""),8)</f>
        <v>8</v>
      </c>
      <c r="J20" s="8" t="str">
        <f ca="1">IFERROR(__xludf.DUMMYFUNCTION("""COMPUTED_VALUE"""),"NO")</f>
        <v>NO</v>
      </c>
      <c r="K20" s="8"/>
      <c r="L20" s="9">
        <f ca="1">IFERROR(__xludf.DUMMYFUNCTION("""COMPUTED_VALUE"""),28468)</f>
        <v>28468</v>
      </c>
      <c r="M20" s="9">
        <f ca="1">IFERROR(__xludf.DUMMYFUNCTION("""COMPUTED_VALUE"""),663338)</f>
        <v>663338</v>
      </c>
      <c r="N20" s="9">
        <f ca="1">IFERROR(__xludf.DUMMYFUNCTION("""COMPUTED_VALUE"""),843371.42)</f>
        <v>843371.42</v>
      </c>
      <c r="O20" s="9">
        <f ca="1">IFERROR(__xludf.DUMMYFUNCTION("""COMPUTED_VALUE"""),465140.41213)</f>
        <v>465140.41213000001</v>
      </c>
      <c r="P20" s="9">
        <f ca="1">IFERROR(__xludf.DUMMYFUNCTION("""COMPUTED_VALUE"""),1308511.83213)</f>
        <v>1308511.83213</v>
      </c>
      <c r="Q20" s="8"/>
      <c r="R20" s="8"/>
      <c r="S20" s="8"/>
      <c r="T20" s="5">
        <f ca="1">IFERROR(__xludf.DUMMYFUNCTION("""COMPUTED_VALUE"""),192)</f>
        <v>192</v>
      </c>
      <c r="U20" s="8" t="str">
        <f ca="1">IFERROR(__xludf.DUMMYFUNCTION("""COMPUTED_VALUE"""),"Sarapura Rebecca")</f>
        <v>Sarapura Rebecca</v>
      </c>
      <c r="V20" s="88">
        <f ca="1">IFERROR(__xludf.DUMMYFUNCTION("""COMPUTED_VALUE"""),342088)</f>
        <v>342088</v>
      </c>
      <c r="W20" s="8"/>
      <c r="X20" s="89">
        <f ca="1">IFERROR(__xludf.DUMMYFUNCTION("""COMPUTED_VALUE"""),229608.33765)</f>
        <v>229608.33765</v>
      </c>
      <c r="Y20" s="88">
        <f ca="1">IFERROR(__xludf.DUMMYFUNCTION("""COMPUTED_VALUE"""),571696.33765)</f>
        <v>571696.33765</v>
      </c>
      <c r="Z20" s="8"/>
    </row>
    <row r="21" spans="1:26" ht="13" x14ac:dyDescent="0.3">
      <c r="A21" s="5">
        <f ca="1">IFERROR(__xludf.DUMMYFUNCTION("""COMPUTED_VALUE"""),194)</f>
        <v>194</v>
      </c>
      <c r="B21" s="8" t="str">
        <f ca="1">IFERROR(__xludf.DUMMYFUNCTION("""COMPUTED_VALUE"""),"Scholler Chavez Ruth")</f>
        <v>Scholler Chavez Ruth</v>
      </c>
      <c r="C21" s="35">
        <f ca="1">IFERROR(__xludf.DUMMYFUNCTION("""COMPUTED_VALUE"""),45639)</f>
        <v>45639</v>
      </c>
      <c r="D21" s="8" t="str">
        <f ca="1">IFERROR(__xludf.DUMMYFUNCTION("""COMPUTED_VALUE"""),"Lucero French")</f>
        <v>Lucero French</v>
      </c>
      <c r="E21" s="11">
        <f ca="1">IFERROR(__xludf.DUMMYFUNCTION("""COMPUTED_VALUE"""),119)</f>
        <v>119</v>
      </c>
      <c r="F21" s="11">
        <f ca="1">IFERROR(__xludf.DUMMYFUNCTION("""COMPUTED_VALUE"""),111)</f>
        <v>111</v>
      </c>
      <c r="G21" s="11">
        <f ca="1">IFERROR(__xludf.DUMMYFUNCTION("""COMPUTED_VALUE"""),8)</f>
        <v>8</v>
      </c>
      <c r="H21" s="8"/>
      <c r="I21" s="8"/>
      <c r="J21" s="8" t="str">
        <f ca="1">IFERROR(__xludf.DUMMYFUNCTION("""COMPUTED_VALUE"""),"NO")</f>
        <v>NO</v>
      </c>
      <c r="K21" s="8"/>
      <c r="L21" s="9">
        <f ca="1">IFERROR(__xludf.DUMMYFUNCTION("""COMPUTED_VALUE"""),25982)</f>
        <v>25982</v>
      </c>
      <c r="M21" s="9">
        <f ca="1">IFERROR(__xludf.DUMMYFUNCTION("""COMPUTED_VALUE"""),676820)</f>
        <v>676820</v>
      </c>
      <c r="N21" s="9">
        <f ca="1">IFERROR(__xludf.DUMMYFUNCTION("""COMPUTED_VALUE"""),860475.75)</f>
        <v>860475.75</v>
      </c>
      <c r="O21" s="9">
        <f ca="1">IFERROR(__xludf.DUMMYFUNCTION("""COMPUTED_VALUE"""),474468.147975)</f>
        <v>474468.14797500003</v>
      </c>
      <c r="P21" s="9">
        <f ca="1">IFERROR(__xludf.DUMMYFUNCTION("""COMPUTED_VALUE"""),1334943.897975)</f>
        <v>1334943.8979750001</v>
      </c>
      <c r="Q21" s="8"/>
      <c r="R21" s="8"/>
      <c r="S21" s="8"/>
      <c r="T21" s="5">
        <f ca="1">IFERROR(__xludf.DUMMYFUNCTION("""COMPUTED_VALUE"""),194)</f>
        <v>194</v>
      </c>
      <c r="U21" s="8" t="str">
        <f ca="1">IFERROR(__xludf.DUMMYFUNCTION("""COMPUTED_VALUE"""),"Scholler Chavez Ruth")</f>
        <v>Scholler Chavez Ruth</v>
      </c>
      <c r="V21" s="88">
        <f ca="1">IFERROR(__xludf.DUMMYFUNCTION("""COMPUTED_VALUE"""),348101)</f>
        <v>348101</v>
      </c>
      <c r="W21" s="8"/>
      <c r="X21" s="89">
        <f ca="1">IFERROR(__xludf.DUMMYFUNCTION("""COMPUTED_VALUE"""),235275.247514999)</f>
        <v>235275.24751499901</v>
      </c>
      <c r="Y21" s="88">
        <f ca="1">IFERROR(__xludf.DUMMYFUNCTION("""COMPUTED_VALUE"""),583376.247514999)</f>
        <v>583376.24751499901</v>
      </c>
      <c r="Z21" s="8"/>
    </row>
    <row r="22" spans="1:26" ht="13" x14ac:dyDescent="0.3">
      <c r="A22" s="5">
        <f ca="1">IFERROR(__xludf.DUMMYFUNCTION("""COMPUTED_VALUE"""),206)</f>
        <v>206</v>
      </c>
      <c r="B22" s="8" t="str">
        <f ca="1">IFERROR(__xludf.DUMMYFUNCTION("""COMPUTED_VALUE"""),"Morena Martinez")</f>
        <v>Morena Martinez</v>
      </c>
      <c r="C22" s="34">
        <f ca="1">IFERROR(__xludf.DUMMYFUNCTION("""COMPUTED_VALUE"""),45713)</f>
        <v>45713</v>
      </c>
      <c r="D22" s="8" t="str">
        <f ca="1">IFERROR(__xludf.DUMMYFUNCTION("""COMPUTED_VALUE"""),"Lucero San Telmo")</f>
        <v>Lucero San Telmo</v>
      </c>
      <c r="E22" s="11">
        <f ca="1">IFERROR(__xludf.DUMMYFUNCTION("""COMPUTED_VALUE"""),118)</f>
        <v>118</v>
      </c>
      <c r="F22" s="11">
        <f ca="1">IFERROR(__xludf.DUMMYFUNCTION("""COMPUTED_VALUE"""),110)</f>
        <v>110</v>
      </c>
      <c r="G22" s="11">
        <f ca="1">IFERROR(__xludf.DUMMYFUNCTION("""COMPUTED_VALUE"""),8)</f>
        <v>8</v>
      </c>
      <c r="H22" s="8"/>
      <c r="I22" s="8"/>
      <c r="J22" s="8" t="str">
        <f ca="1">IFERROR(__xludf.DUMMYFUNCTION("""COMPUTED_VALUE"""),"NO")</f>
        <v>NO</v>
      </c>
      <c r="K22" s="8"/>
      <c r="L22" s="9">
        <f ca="1">IFERROR(__xludf.DUMMYFUNCTION("""COMPUTED_VALUE"""),29959)</f>
        <v>29959</v>
      </c>
      <c r="M22" s="9">
        <f ca="1">IFERROR(__xludf.DUMMYFUNCTION("""COMPUTED_VALUE"""),674968.999999999)</f>
        <v>674968.99999999895</v>
      </c>
      <c r="N22" s="9">
        <f ca="1">IFERROR(__xludf.DUMMYFUNCTION("""COMPUTED_VALUE"""),858184.69)</f>
        <v>858184.69</v>
      </c>
      <c r="O22" s="9">
        <f ca="1">IFERROR(__xludf.DUMMYFUNCTION("""COMPUTED_VALUE"""),473325.053585)</f>
        <v>473325.05358499999</v>
      </c>
      <c r="P22" s="9">
        <f ca="1">IFERROR(__xludf.DUMMYFUNCTION("""COMPUTED_VALUE"""),1331509.74358499)</f>
        <v>1331509.74358499</v>
      </c>
      <c r="Q22" s="8"/>
      <c r="R22" s="8"/>
      <c r="S22" s="8"/>
      <c r="T22" s="5">
        <f ca="1">IFERROR(__xludf.DUMMYFUNCTION("""COMPUTED_VALUE"""),206)</f>
        <v>206</v>
      </c>
      <c r="U22" s="8" t="str">
        <f ca="1">IFERROR(__xludf.DUMMYFUNCTION("""COMPUTED_VALUE"""),"Morena Martinez")</f>
        <v>Morena Martinez</v>
      </c>
      <c r="V22" s="88">
        <f ca="1">IFERROR(__xludf.DUMMYFUNCTION("""COMPUTED_VALUE"""),235676)</f>
        <v>235676</v>
      </c>
      <c r="W22" s="88">
        <f ca="1">IFERROR(__xludf.DUMMYFUNCTION("""COMPUTED_VALUE"""),433)</f>
        <v>433</v>
      </c>
      <c r="X22" s="89">
        <f ca="1">IFERROR(__xludf.DUMMYFUNCTION("""COMPUTED_VALUE"""),166686.645875)</f>
        <v>166686.64587499999</v>
      </c>
      <c r="Y22" s="88">
        <f ca="1">IFERROR(__xludf.DUMMYFUNCTION("""COMPUTED_VALUE"""),402795.645875)</f>
        <v>402795.64587499999</v>
      </c>
      <c r="Z22" s="8"/>
    </row>
    <row r="23" spans="1:26" ht="13" x14ac:dyDescent="0.3">
      <c r="A23" s="5">
        <f ca="1">IFERROR(__xludf.DUMMYFUNCTION("""COMPUTED_VALUE"""),210)</f>
        <v>210</v>
      </c>
      <c r="B23" s="8" t="str">
        <f ca="1">IFERROR(__xludf.DUMMYFUNCTION("""COMPUTED_VALUE"""),"Dettoni Leguizamon Oriana")</f>
        <v>Dettoni Leguizamon Oriana</v>
      </c>
      <c r="C23" s="34">
        <f ca="1">IFERROR(__xludf.DUMMYFUNCTION("""COMPUTED_VALUE"""),45759)</f>
        <v>45759</v>
      </c>
      <c r="D23" s="8" t="str">
        <f ca="1">IFERROR(__xludf.DUMMYFUNCTION("""COMPUTED_VALUE"""),"Lucero Florida")</f>
        <v>Lucero Florida</v>
      </c>
      <c r="E23" s="11">
        <f ca="1">IFERROR(__xludf.DUMMYFUNCTION("""COMPUTED_VALUE"""),118)</f>
        <v>118</v>
      </c>
      <c r="F23" s="11">
        <f ca="1">IFERROR(__xludf.DUMMYFUNCTION("""COMPUTED_VALUE"""),113)</f>
        <v>113</v>
      </c>
      <c r="G23" s="11">
        <f ca="1">IFERROR(__xludf.DUMMYFUNCTION("""COMPUTED_VALUE"""),5)</f>
        <v>5</v>
      </c>
      <c r="H23" s="9">
        <f ca="1">IFERROR(__xludf.DUMMYFUNCTION("""COMPUTED_VALUE"""),4)</f>
        <v>4</v>
      </c>
      <c r="I23" s="8"/>
      <c r="J23" s="8" t="str">
        <f ca="1">IFERROR(__xludf.DUMMYFUNCTION("""COMPUTED_VALUE"""),"NO")</f>
        <v>NO</v>
      </c>
      <c r="K23" s="8"/>
      <c r="L23" s="8"/>
      <c r="M23" s="88">
        <f ca="1">IFERROR(__xludf.DUMMYFUNCTION("""COMPUTED_VALUE"""),1159845)</f>
        <v>1159845</v>
      </c>
      <c r="N23" s="88">
        <f ca="1">IFERROR(__xludf.DUMMYFUNCTION("""COMPUTED_VALUE"""),745402.74)</f>
        <v>745402.74</v>
      </c>
      <c r="O23" s="9">
        <f ca="1">IFERROR(__xludf.DUMMYFUNCTION("""COMPUTED_VALUE"""),277154.0138)</f>
        <v>277154.01380000002</v>
      </c>
      <c r="P23" s="9">
        <f ca="1">IFERROR(__xludf.DUMMYFUNCTION("""COMPUTED_VALUE"""),1022556.7538)</f>
        <v>1022556.7537999999</v>
      </c>
      <c r="Q23" s="8"/>
      <c r="R23" s="8"/>
      <c r="S23" s="8"/>
      <c r="T23" s="5">
        <f ca="1">IFERROR(__xludf.DUMMYFUNCTION("""COMPUTED_VALUE"""),210)</f>
        <v>210</v>
      </c>
      <c r="U23" s="8" t="str">
        <f ca="1">IFERROR(__xludf.DUMMYFUNCTION("""COMPUTED_VALUE"""),"Dettoni Leguizamon Oriana")</f>
        <v>Dettoni Leguizamon Oriana</v>
      </c>
      <c r="V23" s="88">
        <f ca="1">IFERROR(__xludf.DUMMYFUNCTION("""COMPUTED_VALUE"""),148501)</f>
        <v>148501</v>
      </c>
      <c r="W23" s="8"/>
      <c r="X23" s="89">
        <f ca="1">IFERROR(__xludf.DUMMYFUNCTION("""COMPUTED_VALUE"""),101971.574664999)</f>
        <v>101971.574664999</v>
      </c>
      <c r="Y23" s="88">
        <f ca="1">IFERROR(__xludf.DUMMYFUNCTION("""COMPUTED_VALUE"""),250472.574664999)</f>
        <v>250472.574664999</v>
      </c>
      <c r="Z23" s="8"/>
    </row>
    <row r="24" spans="1:26" ht="13" x14ac:dyDescent="0.3">
      <c r="A24" s="5">
        <f ca="1">IFERROR(__xludf.DUMMYFUNCTION("""COMPUTED_VALUE"""),213)</f>
        <v>213</v>
      </c>
      <c r="B24" s="8" t="str">
        <f ca="1">IFERROR(__xludf.DUMMYFUNCTION("""COMPUTED_VALUE"""),"Gonzalez Valentina")</f>
        <v>Gonzalez Valentina</v>
      </c>
      <c r="C24" s="34">
        <f ca="1">IFERROR(__xludf.DUMMYFUNCTION("""COMPUTED_VALUE"""),45789)</f>
        <v>45789</v>
      </c>
      <c r="D24" s="8" t="str">
        <f ca="1">IFERROR(__xludf.DUMMYFUNCTION("""COMPUTED_VALUE"""),"Lucero San Telmo 2")</f>
        <v>Lucero San Telmo 2</v>
      </c>
      <c r="E24" s="11">
        <f ca="1">IFERROR(__xludf.DUMMYFUNCTION("""COMPUTED_VALUE"""),130)</f>
        <v>130</v>
      </c>
      <c r="F24" s="11">
        <f ca="1">IFERROR(__xludf.DUMMYFUNCTION("""COMPUTED_VALUE"""),121)</f>
        <v>121</v>
      </c>
      <c r="G24" s="11">
        <f ca="1">IFERROR(__xludf.DUMMYFUNCTION("""COMPUTED_VALUE"""),9)</f>
        <v>9</v>
      </c>
      <c r="H24" s="8"/>
      <c r="I24" s="8"/>
      <c r="J24" s="8" t="str">
        <f ca="1">IFERROR(__xludf.DUMMYFUNCTION("""COMPUTED_VALUE"""),"NO")</f>
        <v>NO</v>
      </c>
      <c r="K24" s="8"/>
      <c r="L24" s="8"/>
      <c r="M24" s="9">
        <f ca="1">IFERROR(__xludf.DUMMYFUNCTION("""COMPUTED_VALUE"""),716225)</f>
        <v>716225</v>
      </c>
      <c r="N24" s="9">
        <f ca="1">IFERROR(__xludf.DUMMYFUNCTION("""COMPUTED_VALUE"""),910251.66)</f>
        <v>910251.66</v>
      </c>
      <c r="O24" s="9">
        <f ca="1">IFERROR(__xludf.DUMMYFUNCTION("""COMPUTED_VALUE"""),500660.78829)</f>
        <v>500660.78829</v>
      </c>
      <c r="P24" s="9">
        <f ca="1">IFERROR(__xludf.DUMMYFUNCTION("""COMPUTED_VALUE"""),1410912.44829)</f>
        <v>1410912.44829</v>
      </c>
      <c r="Q24" s="8"/>
      <c r="R24" s="8"/>
      <c r="S24" s="8"/>
      <c r="T24" s="5">
        <f ca="1">IFERROR(__xludf.DUMMYFUNCTION("""COMPUTED_VALUE"""),213)</f>
        <v>213</v>
      </c>
      <c r="U24" s="8" t="str">
        <f ca="1">IFERROR(__xludf.DUMMYFUNCTION("""COMPUTED_VALUE"""),"Gonzalez Valentina")</f>
        <v>Gonzalez Valentina</v>
      </c>
      <c r="V24" s="88">
        <f ca="1">IFERROR(__xludf.DUMMYFUNCTION("""COMPUTED_VALUE"""),67563)</f>
        <v>67563</v>
      </c>
      <c r="W24" s="88">
        <f ca="1">IFERROR(__xludf.DUMMYFUNCTION("""COMPUTED_VALUE"""),29873)</f>
        <v>29873</v>
      </c>
      <c r="X24" s="89">
        <f ca="1">IFERROR(__xludf.DUMMYFUNCTION("""COMPUTED_VALUE"""),68974.4650099999)</f>
        <v>68974.465009999898</v>
      </c>
      <c r="Y24" s="88">
        <f ca="1">IFERROR(__xludf.DUMMYFUNCTION("""COMPUTED_VALUE"""),166410.465009999)</f>
        <v>166410.465009999</v>
      </c>
      <c r="Z24" s="8"/>
    </row>
    <row r="25" spans="1:26" ht="13" x14ac:dyDescent="0.3">
      <c r="A25" s="5"/>
      <c r="B25" s="8"/>
      <c r="C25" s="34"/>
      <c r="D25" s="8"/>
      <c r="E25" s="11"/>
      <c r="F25" s="11"/>
      <c r="G25" s="11"/>
      <c r="H25" s="8"/>
      <c r="I25" s="8"/>
      <c r="J25" s="8"/>
      <c r="K25" s="8"/>
      <c r="L25" s="8"/>
      <c r="M25" s="9"/>
      <c r="N25" s="9"/>
      <c r="O25" s="9"/>
      <c r="P25" s="9"/>
      <c r="Q25" s="8"/>
      <c r="R25" s="8"/>
      <c r="S25" s="8"/>
      <c r="T25" s="5"/>
      <c r="U25" s="8"/>
      <c r="V25" s="88"/>
      <c r="W25" s="88"/>
      <c r="X25" s="89"/>
      <c r="Y25" s="88"/>
      <c r="Z25" s="8"/>
    </row>
    <row r="26" spans="1:26" ht="13" x14ac:dyDescent="0.3">
      <c r="A26" s="5"/>
      <c r="B26" s="8"/>
      <c r="C26" s="34"/>
      <c r="D26" s="8"/>
      <c r="E26" s="11"/>
      <c r="F26" s="11"/>
      <c r="G26" s="11"/>
      <c r="H26" s="8"/>
      <c r="I26" s="8"/>
      <c r="J26" s="8"/>
      <c r="K26" s="8"/>
      <c r="L26" s="8"/>
      <c r="M26" s="9"/>
      <c r="N26" s="9"/>
      <c r="O26" s="9"/>
      <c r="P26" s="9"/>
      <c r="Q26" s="8"/>
      <c r="R26" s="8"/>
      <c r="S26" s="8"/>
      <c r="T26" s="5"/>
      <c r="U26" s="8"/>
      <c r="V26" s="88"/>
      <c r="W26" s="88"/>
      <c r="X26" s="89"/>
      <c r="Y26" s="88"/>
      <c r="Z26" s="8"/>
    </row>
    <row r="27" spans="1:26" ht="13" x14ac:dyDescent="0.3">
      <c r="A27" s="5">
        <f ca="1">IFERROR(__xludf.DUMMYFUNCTION("""COMPUTED_VALUE"""),10)</f>
        <v>10</v>
      </c>
      <c r="B27" s="8" t="str">
        <f ca="1">IFERROR(__xludf.DUMMYFUNCTION("""COMPUTED_VALUE"""),"Cabovianco Natalia")</f>
        <v>Cabovianco Natalia</v>
      </c>
      <c r="C27" s="34">
        <f ca="1">IFERROR(__xludf.DUMMYFUNCTION("""COMPUTED_VALUE"""),40030)</f>
        <v>40030</v>
      </c>
      <c r="D27" s="8" t="str">
        <f ca="1">IFERROR(__xludf.DUMMYFUNCTION("""COMPUTED_VALUE"""),"Supervisora")</f>
        <v>Supervisora</v>
      </c>
      <c r="E27" s="8"/>
      <c r="F27" s="8"/>
      <c r="G27" s="8"/>
      <c r="H27" s="8"/>
      <c r="I27" s="8"/>
      <c r="J27" s="8" t="str">
        <f ca="1">IFERROR(__xludf.DUMMYFUNCTION("""COMPUTED_VALUE"""),"NO")</f>
        <v>NO</v>
      </c>
      <c r="K27" s="8"/>
      <c r="L27" s="8"/>
      <c r="M27" s="9">
        <f ca="1">IFERROR(__xludf.DUMMYFUNCTION("""COMPUTED_VALUE"""),1186077)</f>
        <v>1186077</v>
      </c>
      <c r="N27" s="9">
        <f ca="1">IFERROR(__xludf.DUMMYFUNCTION("""COMPUTED_VALUE"""),1452242.05)</f>
        <v>1452242.05</v>
      </c>
      <c r="O27" s="9">
        <f ca="1">IFERROR(__xludf.DUMMYFUNCTION("""COMPUTED_VALUE"""),668403.766025)</f>
        <v>668403.76602500002</v>
      </c>
      <c r="P27" s="9">
        <f ca="1">IFERROR(__xludf.DUMMYFUNCTION("""COMPUTED_VALUE"""),2120645.816025)</f>
        <v>2120645.8160250001</v>
      </c>
      <c r="Q27" s="8" t="str">
        <f ca="1">IFERROR(__xludf.DUMMYFUNCTION("""COMPUTED_VALUE"""),"Cobra comisión *")</f>
        <v>Cobra comisión *</v>
      </c>
      <c r="R27" s="8"/>
      <c r="S27" s="8"/>
      <c r="T27" s="5">
        <f ca="1">IFERROR(__xludf.DUMMYFUNCTION("""COMPUTED_VALUE"""),10)</f>
        <v>10</v>
      </c>
      <c r="U27" s="8" t="str">
        <f ca="1">IFERROR(__xludf.DUMMYFUNCTION("""COMPUTED_VALUE"""),"Cabovianco Natalia")</f>
        <v>Cabovianco Natalia</v>
      </c>
      <c r="V27" s="88">
        <f ca="1">IFERROR(__xludf.DUMMYFUNCTION("""COMPUTED_VALUE"""),581549)</f>
        <v>581549</v>
      </c>
      <c r="W27" s="88">
        <f ca="1">IFERROR(__xludf.DUMMYFUNCTION("""COMPUTED_VALUE"""),32167)</f>
        <v>32167</v>
      </c>
      <c r="X27" s="89">
        <f ca="1">IFERROR(__xludf.DUMMYFUNCTION("""COMPUTED_VALUE"""),337687.06775)</f>
        <v>337687.06774999999</v>
      </c>
      <c r="Y27" s="88">
        <f ca="1">IFERROR(__xludf.DUMMYFUNCTION("""COMPUTED_VALUE"""),951403.067749999)</f>
        <v>951403.067749999</v>
      </c>
      <c r="Z27" s="8"/>
    </row>
    <row r="28" spans="1:26" ht="13" x14ac:dyDescent="0.3">
      <c r="A28" s="5">
        <f ca="1">IFERROR(__xludf.DUMMYFUNCTION("""COMPUTED_VALUE"""),47)</f>
        <v>47</v>
      </c>
      <c r="B28" s="8" t="str">
        <f ca="1">IFERROR(__xludf.DUMMYFUNCTION("""COMPUTED_VALUE"""),"Eredia Cintia")</f>
        <v>Eredia Cintia</v>
      </c>
      <c r="C28" s="34">
        <f ca="1">IFERROR(__xludf.DUMMYFUNCTION("""COMPUTED_VALUE"""),44295)</f>
        <v>44295</v>
      </c>
      <c r="D28" s="8" t="str">
        <f ca="1">IFERROR(__xludf.DUMMYFUNCTION("""COMPUTED_VALUE"""),"Visual")</f>
        <v>Visual</v>
      </c>
      <c r="E28" s="8"/>
      <c r="F28" s="8"/>
      <c r="G28" s="8"/>
      <c r="H28" s="8"/>
      <c r="I28" s="8"/>
      <c r="J28" s="8" t="str">
        <f ca="1">IFERROR(__xludf.DUMMYFUNCTION("""COMPUTED_VALUE"""),"NO")</f>
        <v>NO</v>
      </c>
      <c r="K28" s="8"/>
      <c r="L28" s="8"/>
      <c r="M28" s="9">
        <f ca="1">IFERROR(__xludf.DUMMYFUNCTION("""COMPUTED_VALUE"""),1003599)</f>
        <v>1003599</v>
      </c>
      <c r="N28" s="9">
        <f ca="1">IFERROR(__xludf.DUMMYFUNCTION("""COMPUTED_VALUE"""),1229927.1)</f>
        <v>1229927.1000000001</v>
      </c>
      <c r="O28" s="9">
        <f ca="1">IFERROR(__xludf.DUMMYFUNCTION("""COMPUTED_VALUE"""),567639.38225)</f>
        <v>567639.38225000002</v>
      </c>
      <c r="P28" s="9">
        <f ca="1">IFERROR(__xludf.DUMMYFUNCTION("""COMPUTED_VALUE"""),1797566.48225)</f>
        <v>1797566.4822499999</v>
      </c>
      <c r="Q28" s="8"/>
      <c r="R28" s="8"/>
      <c r="S28" s="8"/>
      <c r="T28" s="5">
        <f ca="1">IFERROR(__xludf.DUMMYFUNCTION("""COMPUTED_VALUE"""),47)</f>
        <v>47</v>
      </c>
      <c r="U28" s="8" t="str">
        <f ca="1">IFERROR(__xludf.DUMMYFUNCTION("""COMPUTED_VALUE"""),"Eredia Cintia")</f>
        <v>Eredia Cintia</v>
      </c>
      <c r="V28" s="88">
        <f ca="1">IFERROR(__xludf.DUMMYFUNCTION("""COMPUTED_VALUE"""),481833)</f>
        <v>481833</v>
      </c>
      <c r="W28" s="88">
        <f ca="1">IFERROR(__xludf.DUMMYFUNCTION("""COMPUTED_VALUE"""),19917)</f>
        <v>19917</v>
      </c>
      <c r="X28" s="89">
        <f ca="1">IFERROR(__xludf.DUMMYFUNCTION("""COMPUTED_VALUE"""),284497.264765)</f>
        <v>284497.26476500003</v>
      </c>
      <c r="Y28" s="88">
        <f ca="1">IFERROR(__xludf.DUMMYFUNCTION("""COMPUTED_VALUE"""),786247.264765)</f>
        <v>786247.26476499997</v>
      </c>
      <c r="Z28" s="8"/>
    </row>
    <row r="29" spans="1:26" ht="13" x14ac:dyDescent="0.3">
      <c r="A29" s="5">
        <f ca="1">IFERROR(__xludf.DUMMYFUNCTION("""COMPUTED_VALUE"""),169)</f>
        <v>169</v>
      </c>
      <c r="B29" s="8" t="str">
        <f ca="1">IFERROR(__xludf.DUMMYFUNCTION("""COMPUTED_VALUE"""),"Urbieta Barbara Giselle")</f>
        <v>Urbieta Barbara Giselle</v>
      </c>
      <c r="C29" s="34">
        <f ca="1">IFERROR(__xludf.DUMMYFUNCTION("""COMPUTED_VALUE"""),45341)</f>
        <v>45341</v>
      </c>
      <c r="D29" s="8" t="str">
        <f ca="1">IFERROR(__xludf.DUMMYFUNCTION("""COMPUTED_VALUE"""),"Supervisora")</f>
        <v>Supervisora</v>
      </c>
      <c r="E29" s="11">
        <f ca="1">IFERROR(__xludf.DUMMYFUNCTION("""COMPUTED_VALUE"""),8)</f>
        <v>8</v>
      </c>
      <c r="F29" s="8"/>
      <c r="G29" s="11">
        <f ca="1">IFERROR(__xludf.DUMMYFUNCTION("""COMPUTED_VALUE"""),8)</f>
        <v>8</v>
      </c>
      <c r="H29" s="9">
        <f ca="1">IFERROR(__xludf.DUMMYFUNCTION("""COMPUTED_VALUE"""),8)</f>
        <v>8</v>
      </c>
      <c r="I29" s="8"/>
      <c r="J29" s="8" t="str">
        <f ca="1">IFERROR(__xludf.DUMMYFUNCTION("""COMPUTED_VALUE"""),"NO")</f>
        <v>NO</v>
      </c>
      <c r="K29" s="8"/>
      <c r="L29" s="8"/>
      <c r="M29" s="9">
        <f ca="1">IFERROR(__xludf.DUMMYFUNCTION("""COMPUTED_VALUE"""),1013643.99999999)</f>
        <v>1013643.99999999</v>
      </c>
      <c r="N29" s="9">
        <f ca="1">IFERROR(__xludf.DUMMYFUNCTION("""COMPUTED_VALUE"""),1240354.46999999)</f>
        <v>1240354.46999999</v>
      </c>
      <c r="O29" s="9">
        <f ca="1">IFERROR(__xludf.DUMMYFUNCTION("""COMPUTED_VALUE"""),569955.846255)</f>
        <v>569955.84625499998</v>
      </c>
      <c r="P29" s="9">
        <f ca="1">IFERROR(__xludf.DUMMYFUNCTION("""COMPUTED_VALUE"""),1810310.31625499)</f>
        <v>1810310.3162549899</v>
      </c>
      <c r="Q29" s="8" t="str">
        <f ca="1">IFERROR(__xludf.DUMMYFUNCTION("""COMPUTED_VALUE"""),"Cobra comisión *")</f>
        <v>Cobra comisión *</v>
      </c>
      <c r="R29" s="8"/>
      <c r="S29" s="8"/>
      <c r="T29" s="5">
        <f ca="1">IFERROR(__xludf.DUMMYFUNCTION("""COMPUTED_VALUE"""),169)</f>
        <v>169</v>
      </c>
      <c r="U29" s="8" t="str">
        <f ca="1">IFERROR(__xludf.DUMMYFUNCTION("""COMPUTED_VALUE"""),"Urbieta Barbara Giselle")</f>
        <v>Urbieta Barbara Giselle</v>
      </c>
      <c r="V29" s="88">
        <f ca="1">IFERROR(__xludf.DUMMYFUNCTION("""COMPUTED_VALUE"""),511258)</f>
        <v>511258</v>
      </c>
      <c r="W29" s="88">
        <f ca="1">IFERROR(__xludf.DUMMYFUNCTION("""COMPUTED_VALUE"""),13695)</f>
        <v>13695</v>
      </c>
      <c r="X29" s="89">
        <f ca="1">IFERROR(__xludf.DUMMYFUNCTION("""COMPUTED_VALUE"""),287724.120224999)</f>
        <v>287724.12022499897</v>
      </c>
      <c r="Y29" s="88">
        <f ca="1">IFERROR(__xludf.DUMMYFUNCTION("""COMPUTED_VALUE"""),812677.120225)</f>
        <v>812677.12022499996</v>
      </c>
      <c r="Z29" s="8"/>
    </row>
    <row r="30" spans="1:26" ht="13" x14ac:dyDescent="0.3">
      <c r="A30" s="5">
        <f ca="1">IFERROR(__xludf.DUMMYFUNCTION("""COMPUTED_VALUE"""),184)</f>
        <v>184</v>
      </c>
      <c r="B30" s="8" t="str">
        <f ca="1">IFERROR(__xludf.DUMMYFUNCTION("""COMPUTED_VALUE"""),"Villarruel Candela")</f>
        <v>Villarruel Candela</v>
      </c>
      <c r="C30" s="34">
        <f ca="1">IFERROR(__xludf.DUMMYFUNCTION("""COMPUTED_VALUE"""),45569)</f>
        <v>45569</v>
      </c>
      <c r="D30" s="8" t="str">
        <f ca="1">IFERROR(__xludf.DUMMYFUNCTION("""COMPUTED_VALUE"""),"AS San Telmo")</f>
        <v>AS San Telmo</v>
      </c>
      <c r="E30" s="11">
        <f ca="1">IFERROR(__xludf.DUMMYFUNCTION("""COMPUTED_VALUE"""),20)</f>
        <v>20</v>
      </c>
      <c r="F30" s="11">
        <f ca="1">IFERROR(__xludf.DUMMYFUNCTION("""COMPUTED_VALUE"""),20)</f>
        <v>20</v>
      </c>
      <c r="G30" s="8"/>
      <c r="H30" s="8"/>
      <c r="I30" s="8"/>
      <c r="J30" s="8" t="str">
        <f ca="1">IFERROR(__xludf.DUMMYFUNCTION("""COMPUTED_VALUE"""),"NO")</f>
        <v>NO</v>
      </c>
      <c r="K30" s="8"/>
      <c r="L30" s="8"/>
      <c r="M30" s="9">
        <f ca="1">IFERROR(__xludf.DUMMYFUNCTION("""COMPUTED_VALUE"""),108171)</f>
        <v>108171</v>
      </c>
      <c r="N30" s="9">
        <f ca="1">IFERROR(__xludf.DUMMYFUNCTION("""COMPUTED_VALUE"""),136359.66)</f>
        <v>136359.66</v>
      </c>
      <c r="O30" s="9">
        <f ca="1">IFERROR(__xludf.DUMMYFUNCTION("""COMPUTED_VALUE"""),74596.99839)</f>
        <v>74596.998389999993</v>
      </c>
      <c r="P30" s="9">
        <f ca="1">IFERROR(__xludf.DUMMYFUNCTION("""COMPUTED_VALUE"""),210956.65839)</f>
        <v>210956.65839</v>
      </c>
      <c r="Q30" s="8" t="str">
        <f ca="1">IFERROR(__xludf.DUMMYFUNCTION("""COMPUTED_VALUE"""),"Licencia por maternidad desde 8/06/2025 - Fecha del nacimiento 14/06")</f>
        <v>Licencia por maternidad desde 8/06/2025 - Fecha del nacimiento 14/06</v>
      </c>
      <c r="R30" s="8"/>
      <c r="S30" s="8"/>
      <c r="T30" s="5">
        <f ca="1">IFERROR(__xludf.DUMMYFUNCTION("""COMPUTED_VALUE"""),184)</f>
        <v>184</v>
      </c>
      <c r="U30" s="8" t="str">
        <f ca="1">IFERROR(__xludf.DUMMYFUNCTION("""COMPUTED_VALUE"""),"Villarruel Candela")</f>
        <v>Villarruel Candela</v>
      </c>
      <c r="V30" s="88">
        <f ca="1">IFERROR(__xludf.DUMMYFUNCTION("""COMPUTED_VALUE"""),251057)</f>
        <v>251057</v>
      </c>
      <c r="W30" s="8"/>
      <c r="X30" s="89">
        <f ca="1">IFERROR(__xludf.DUMMYFUNCTION("""COMPUTED_VALUE"""),168032.446985)</f>
        <v>168032.44698499999</v>
      </c>
      <c r="Y30" s="88">
        <f ca="1">IFERROR(__xludf.DUMMYFUNCTION("""COMPUTED_VALUE"""),419089.446985)</f>
        <v>419089.44698499999</v>
      </c>
      <c r="Z30" s="8"/>
    </row>
    <row r="31" spans="1:26" ht="13" x14ac:dyDescent="0.3">
      <c r="A31" s="51" t="str">
        <f ca="1">IFERROR(__xludf.DUMMYFUNCTION("""COMPUTED_VALUE"""),"VENDEDOR B - tarifa standard")</f>
        <v>VENDEDOR B - tarifa standard</v>
      </c>
      <c r="B31" s="51"/>
      <c r="C31" s="51"/>
      <c r="D31" s="51"/>
      <c r="E31" s="51"/>
      <c r="F31" s="51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3" x14ac:dyDescent="0.3">
      <c r="A32" s="52"/>
      <c r="B32" s="52"/>
      <c r="C32" s="52" t="str">
        <f ca="1">IFERROR(__xludf.DUMMYFUNCTION("""COMPUTED_VALUE"""),"Vendedor B - S Neto")</f>
        <v>Vendedor B - S Neto</v>
      </c>
      <c r="D32" s="52" t="str">
        <f ca="1">IFERROR(__xludf.DUMMYFUNCTION("""COMPUTED_VALUE"""),"Vendedor B - S Bruto")</f>
        <v>Vendedor B - S Bruto</v>
      </c>
      <c r="E32" s="53" t="str">
        <f ca="1">IFERROR(__xludf.DUMMYFUNCTION("""COMPUTED_VALUE"""),"Contribuciones + ART ")</f>
        <v xml:space="preserve">Contribuciones + ART </v>
      </c>
      <c r="F32" s="52" t="str">
        <f ca="1">IFERROR(__xludf.DUMMYFUNCTION("""COMPUTED_VALUE"""),"COSTO TOTAL")</f>
        <v>COSTO TOTAL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 x14ac:dyDescent="0.25">
      <c r="A33" s="54">
        <f ca="1">IFERROR(__xludf.DUMMYFUNCTION("""COMPUTED_VALUE"""),500)</f>
        <v>500</v>
      </c>
      <c r="B33" s="54" t="str">
        <f ca="1">IFERROR(__xludf.DUMMYFUNCTION("""COMPUTED_VALUE"""),"VENDEDORA B 88 HS")</f>
        <v>VENDEDORA B 88 HS</v>
      </c>
      <c r="C33" s="55">
        <f ca="1">IFERROR(__xludf.DUMMYFUNCTION("""COMPUTED_VALUE"""),461062)</f>
        <v>461062</v>
      </c>
      <c r="D33" s="56">
        <f ca="1">IFERROR(__xludf.DUMMYFUNCTION("""COMPUTED_VALUE"""),585092.061073)</f>
        <v>585092.06107299996</v>
      </c>
      <c r="E33" s="56">
        <f ca="1">IFERROR(__xludf.DUMMYFUNCTION("""COMPUTED_VALUE"""),217839.06259701)</f>
        <v>217839.06259700999</v>
      </c>
      <c r="F33" s="56">
        <f ca="1">IFERROR(__xludf.DUMMYFUNCTION("""COMPUTED_VALUE"""),802931.12367001)</f>
        <v>802931.12367001001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 x14ac:dyDescent="0.25">
      <c r="A34" s="54">
        <f ca="1">IFERROR(__xludf.DUMMYFUNCTION("""COMPUTED_VALUE"""),501)</f>
        <v>501</v>
      </c>
      <c r="B34" s="54" t="str">
        <f ca="1">IFERROR(__xludf.DUMMYFUNCTION("""COMPUTED_VALUE"""),"VENDEDORA B 132 HS")</f>
        <v>VENDEDORA B 132 HS</v>
      </c>
      <c r="C34" s="55">
        <f ca="1">IFERROR(__xludf.DUMMYFUNCTION("""COMPUTED_VALUE"""),689403)</f>
        <v>689403</v>
      </c>
      <c r="D34" s="56">
        <f ca="1">IFERROR(__xludf.DUMMYFUNCTION("""COMPUTED_VALUE"""),875448.0916095)</f>
        <v>875448.0916095</v>
      </c>
      <c r="E34" s="56">
        <f ca="1">IFERROR(__xludf.DUMMYFUNCTION("""COMPUTED_VALUE"""),325270.793895515)</f>
        <v>325270.79389551497</v>
      </c>
      <c r="F34" s="56">
        <f ca="1">IFERROR(__xludf.DUMMYFUNCTION("""COMPUTED_VALUE"""),1200718.88550501)</f>
        <v>1200718.8855050099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 x14ac:dyDescent="0.25">
      <c r="A35" s="54"/>
      <c r="B35" s="54"/>
      <c r="C35" s="54"/>
      <c r="D35" s="54"/>
      <c r="E35" s="54"/>
      <c r="F35" s="54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3" x14ac:dyDescent="0.3">
      <c r="A36" s="54"/>
      <c r="B36" s="52" t="str">
        <f ca="1">IFERROR(__xludf.DUMMYFUNCTION("""COMPUTED_VALUE"""),"Dif plus vacacional 88hs")</f>
        <v>Dif plus vacacional 88hs</v>
      </c>
      <c r="C36" s="55">
        <f ca="1">IFERROR(__xludf.DUMMYFUNCTION("""COMPUTED_VALUE"""),43032.4533333333)</f>
        <v>43032.453333333302</v>
      </c>
      <c r="D36" s="54"/>
      <c r="E36" s="54"/>
      <c r="F36" s="54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3" x14ac:dyDescent="0.3">
      <c r="A37" s="54"/>
      <c r="B37" s="52" t="str">
        <f ca="1">IFERROR(__xludf.DUMMYFUNCTION("""COMPUTED_VALUE"""),"Dif plus vacacional 132 Hs")</f>
        <v>Dif plus vacacional 132 Hs</v>
      </c>
      <c r="C37" s="55">
        <f ca="1">IFERROR(__xludf.DUMMYFUNCTION("""COMPUTED_VALUE"""),64344.28)</f>
        <v>64344.28</v>
      </c>
      <c r="D37" s="54"/>
      <c r="E37" s="54"/>
      <c r="F37" s="54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 x14ac:dyDescent="0.25">
      <c r="A39" s="90" t="str">
        <f ca="1">IFERROR(__xludf.DUMMYFUNCTION("""COMPUTED_VALUE"""),"* Cobra comisión")</f>
        <v>* Cobra comisión</v>
      </c>
      <c r="B39" s="90"/>
      <c r="C39" s="90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 x14ac:dyDescent="0.25">
      <c r="A40" s="90">
        <f ca="1">IFERROR(__xludf.DUMMYFUNCTION("""COMPUTED_VALUE"""),10)</f>
        <v>10</v>
      </c>
      <c r="B40" s="90" t="str">
        <f ca="1">IFERROR(__xludf.DUMMYFUNCTION("""COMPUTED_VALUE"""),"Natalia Cavobianco")</f>
        <v>Natalia Cavobianco</v>
      </c>
      <c r="C40" s="91">
        <f ca="1">IFERROR(__xludf.DUMMYFUNCTION("""COMPUTED_VALUE"""),345100)</f>
        <v>345100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 x14ac:dyDescent="0.25">
      <c r="A41" s="90">
        <f ca="1">IFERROR(__xludf.DUMMYFUNCTION("""COMPUTED_VALUE"""),169)</f>
        <v>169</v>
      </c>
      <c r="B41" s="90" t="str">
        <f ca="1">IFERROR(__xludf.DUMMYFUNCTION("""COMPUTED_VALUE"""),"Barbara Urbieta")</f>
        <v>Barbara Urbieta</v>
      </c>
      <c r="C41" s="91">
        <f ca="1">IFERROR(__xludf.DUMMYFUNCTION("""COMPUTED_VALUE"""),236200)</f>
        <v>236200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 x14ac:dyDescent="0.25">
      <c r="A42" s="90">
        <f ca="1">IFERROR(__xludf.DUMMYFUNCTION("""COMPUTED_VALUE"""),103)</f>
        <v>103</v>
      </c>
      <c r="B42" s="90" t="str">
        <f ca="1">IFERROR(__xludf.DUMMYFUNCTION("""COMPUTED_VALUE"""),"Esposito Candela")</f>
        <v>Esposito Candela</v>
      </c>
      <c r="C42" s="91">
        <f ca="1">IFERROR(__xludf.DUMMYFUNCTION("""COMPUTED_VALUE"""),85200)</f>
        <v>85200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 x14ac:dyDescent="0.25">
      <c r="A43" s="90">
        <f ca="1">IFERROR(__xludf.DUMMYFUNCTION("""COMPUTED_VALUE"""),55)</f>
        <v>55</v>
      </c>
      <c r="B43" s="90" t="str">
        <f ca="1">IFERROR(__xludf.DUMMYFUNCTION("""COMPUTED_VALUE"""),"Carrizo Camila")</f>
        <v>Carrizo Camila</v>
      </c>
      <c r="C43" s="91">
        <f ca="1">IFERROR(__xludf.DUMMYFUNCTION("""COMPUTED_VALUE"""),65500)</f>
        <v>65500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 x14ac:dyDescent="0.25">
      <c r="A44" s="90">
        <f ca="1">IFERROR(__xludf.DUMMYFUNCTION("""COMPUTED_VALUE"""),120)</f>
        <v>120</v>
      </c>
      <c r="B44" s="90" t="str">
        <f ca="1">IFERROR(__xludf.DUMMYFUNCTION("""COMPUTED_VALUE"""),"Bertolo Milagros")</f>
        <v>Bertolo Milagros</v>
      </c>
      <c r="C44" s="91">
        <f ca="1">IFERROR(__xludf.DUMMYFUNCTION("""COMPUTED_VALUE"""),58100)</f>
        <v>58100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 x14ac:dyDescent="0.25">
      <c r="A45" s="90"/>
      <c r="B45" s="90"/>
      <c r="C45" s="91">
        <f ca="1">IFERROR(__xludf.DUMMYFUNCTION("""COMPUTED_VALUE"""),0)</f>
        <v>0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 x14ac:dyDescent="0.25">
      <c r="A46" s="90">
        <f ca="1">IFERROR(__xludf.DUMMYFUNCTION("""COMPUTED_VALUE"""),173)</f>
        <v>173</v>
      </c>
      <c r="B46" s="90" t="str">
        <f ca="1">IFERROR(__xludf.DUMMYFUNCTION("""COMPUTED_VALUE"""),"Imperiale Candela")</f>
        <v>Imperiale Candela</v>
      </c>
      <c r="C46" s="91">
        <f ca="1">IFERROR(__xludf.DUMMYFUNCTION("""COMPUTED_VALUE"""),100700)</f>
        <v>100700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 x14ac:dyDescent="0.25">
      <c r="A47" s="90">
        <f ca="1">IFERROR(__xludf.DUMMYFUNCTION("""COMPUTED_VALUE"""),126)</f>
        <v>126</v>
      </c>
      <c r="B47" s="90" t="str">
        <f ca="1">IFERROR(__xludf.DUMMYFUNCTION("""COMPUTED_VALUE"""),"Barajas Barbara")</f>
        <v>Barajas Barbara</v>
      </c>
      <c r="C47" s="91">
        <f ca="1">IFERROR(__xludf.DUMMYFUNCTION("""COMPUTED_VALUE"""),57200)</f>
        <v>57200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 x14ac:dyDescent="0.25">
      <c r="A48" s="90" t="str">
        <f ca="1">IFERROR(__xludf.DUMMYFUNCTION("""COMPUTED_VALUE"""),"Total")</f>
        <v>Total</v>
      </c>
      <c r="B48" s="90"/>
      <c r="C48" s="91">
        <f ca="1">IFERROR(__xludf.DUMMYFUNCTION("""COMPUTED_VALUE"""),948000)</f>
        <v>948000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</sheetData>
  <conditionalFormatting sqref="A1:B2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Sueldos 03-2025</vt:lpstr>
      <vt:lpstr>Gastos 03-2025</vt:lpstr>
      <vt:lpstr>Sueldos 04-2025</vt:lpstr>
      <vt:lpstr>Gastos 04-2025</vt:lpstr>
      <vt:lpstr>Sueldos 05-2025</vt:lpstr>
      <vt:lpstr>Gastos 05-2025</vt:lpstr>
      <vt:lpstr>Sueldos 06-2025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2025-07-21T15:30:26Z</dcterms:modified>
</cp:coreProperties>
</file>