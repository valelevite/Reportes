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23040" windowHeight="9192" activeTab="1"/>
  </bookViews>
  <sheets>
    <sheet name="Hoja2" sheetId="1" r:id="rId1"/>
    <sheet name="alquileres y expensas" sheetId="2" r:id="rId2"/>
  </sheets>
  <definedNames>
    <definedName name="_xlnm._FilterDatabase" localSheetId="0" hidden="1">Hoja2!$A$1:$G$322</definedName>
  </definedNames>
  <calcPr calcId="162913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2" i="1" l="1"/>
  <c r="Z41" i="1"/>
  <c r="Z40" i="1"/>
  <c r="Z39" i="1"/>
  <c r="Z38" i="1"/>
  <c r="Z37" i="1"/>
  <c r="Z36" i="1"/>
  <c r="Y42" i="1"/>
  <c r="Y41" i="1"/>
  <c r="Y40" i="1"/>
  <c r="Y39" i="1"/>
  <c r="Y38" i="1"/>
  <c r="Y37" i="1"/>
  <c r="Y36" i="1"/>
  <c r="X42" i="1"/>
  <c r="X41" i="1"/>
  <c r="X40" i="1"/>
  <c r="X39" i="1"/>
  <c r="X38" i="1"/>
  <c r="X37" i="1"/>
  <c r="X36" i="1"/>
  <c r="W42" i="1"/>
  <c r="W41" i="1"/>
  <c r="W40" i="1"/>
  <c r="W39" i="1"/>
  <c r="W38" i="1"/>
  <c r="W37" i="1"/>
  <c r="W36" i="1"/>
  <c r="V42" i="1"/>
  <c r="V41" i="1"/>
  <c r="V40" i="1"/>
  <c r="V39" i="1"/>
  <c r="V38" i="1"/>
  <c r="V37" i="1"/>
  <c r="V36" i="1"/>
  <c r="U38" i="1"/>
  <c r="U39" i="1"/>
  <c r="U40" i="1"/>
  <c r="U41" i="1"/>
  <c r="U42" i="1"/>
  <c r="U37" i="1"/>
  <c r="U36" i="1"/>
</calcChain>
</file>

<file path=xl/sharedStrings.xml><?xml version="1.0" encoding="utf-8"?>
<sst xmlns="http://schemas.openxmlformats.org/spreadsheetml/2006/main" count="1531" uniqueCount="256">
  <si>
    <t>TIENDA / DEPOSITO / OFICINA / FABRICA</t>
  </si>
  <si>
    <t>ITEM</t>
  </si>
  <si>
    <t>RAZON SOCIAL</t>
  </si>
  <si>
    <t>FACTURA</t>
  </si>
  <si>
    <t>FECHA EMISION</t>
  </si>
  <si>
    <t>IMPORTE</t>
  </si>
  <si>
    <t>ABL</t>
  </si>
  <si>
    <t>MAGECA S A</t>
  </si>
  <si>
    <t>ND 00002-00000061</t>
  </si>
  <si>
    <t>Etiquetas de columna</t>
  </si>
  <si>
    <t>ALARMA</t>
  </si>
  <si>
    <t>SANES JUAN MANUEL</t>
  </si>
  <si>
    <t>FC 00001-00000077</t>
  </si>
  <si>
    <t>FC 00001-00000076</t>
  </si>
  <si>
    <t>Etiquetas de fila</t>
  </si>
  <si>
    <t>ALQUILER</t>
  </si>
  <si>
    <t>FA 00002-00000215</t>
  </si>
  <si>
    <t>AYSA</t>
  </si>
  <si>
    <t>COM LUCERO FRENCH</t>
  </si>
  <si>
    <t>EDESUR</t>
  </si>
  <si>
    <t>FA 0501-02636593</t>
  </si>
  <si>
    <t>FA 0501-02636038</t>
  </si>
  <si>
    <t>FA 9904-0245536217</t>
  </si>
  <si>
    <t>EXPENSAS</t>
  </si>
  <si>
    <t>FUMIGACION</t>
  </si>
  <si>
    <t>MANOLIO MARIANO SERGIO</t>
  </si>
  <si>
    <t>FA 00003-00000996</t>
  </si>
  <si>
    <t>COM LUCERO RECOLETA</t>
  </si>
  <si>
    <t>INTERNET</t>
  </si>
  <si>
    <t>TELECOM ARGENTINA SOCIEDAD ANONIMA</t>
  </si>
  <si>
    <t>FA 4264-05521129</t>
  </si>
  <si>
    <t>COM LUCERO ST</t>
  </si>
  <si>
    <t>MANTENIMIENTO</t>
  </si>
  <si>
    <t>RETAMAR VICTOR</t>
  </si>
  <si>
    <t>FC 00004-00000022</t>
  </si>
  <si>
    <t>COM LUCERO ST 2</t>
  </si>
  <si>
    <t>Fideicomiso Laguna Oscura</t>
  </si>
  <si>
    <t>RA 00001-00000113</t>
  </si>
  <si>
    <t>FA 0501-02631330</t>
  </si>
  <si>
    <t>FA0501-02631329</t>
  </si>
  <si>
    <t>Solar de french</t>
  </si>
  <si>
    <t>S/C</t>
  </si>
  <si>
    <t>FA 4264-05508161</t>
  </si>
  <si>
    <t>GALERIA GRAL GUEMES S A I</t>
  </si>
  <si>
    <t>FA 00003-00019029</t>
  </si>
  <si>
    <t>FA 4264-05488775</t>
  </si>
  <si>
    <t>FORTIN MAURE S.A.</t>
  </si>
  <si>
    <t>FA 0030-00090846</t>
  </si>
  <si>
    <t>FA 0501-02614658</t>
  </si>
  <si>
    <t>FA 0030-00090767</t>
  </si>
  <si>
    <t>FA 4264-05609033</t>
  </si>
  <si>
    <t>MESATEL SA</t>
  </si>
  <si>
    <t>FA 00003-00007939</t>
  </si>
  <si>
    <t>FA 0501-02626440</t>
  </si>
  <si>
    <t>FA 00003-00007941</t>
  </si>
  <si>
    <t>MES ASJGNADO</t>
  </si>
  <si>
    <t>COM AS SAN TELMO</t>
  </si>
  <si>
    <t>FC 00001-00000075</t>
  </si>
  <si>
    <t>FA 00003-00007838</t>
  </si>
  <si>
    <t>FA 0501-02510981</t>
  </si>
  <si>
    <t>s/c</t>
  </si>
  <si>
    <t>FA 00003-00000986</t>
  </si>
  <si>
    <t>TELEFONICA MOVILES ARGENTINA SOCIEDAD ANONIMA</t>
  </si>
  <si>
    <t>FA 3103-00021534</t>
  </si>
  <si>
    <t>COM LUCERO FLORIDA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</si>
  <si>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</si>
  <si>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</si>
  <si>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</si>
  <si>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</si>
  <si>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</si>
  <si>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</si>
  <si>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COM LUCERO GUEMES</t>
  </si>
  <si>
    <t>FA 00003-00018889</t>
  </si>
  <si>
    <t>FA 00003-00018918</t>
  </si>
  <si>
    <t>FA 4264-05351455</t>
  </si>
  <si>
    <t>MATAFUEGO</t>
  </si>
  <si>
    <t>SEGURIDAD DENAPOLI SRL</t>
  </si>
  <si>
    <t>FA 00004-00009818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</si>
  <si>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</si>
  <si>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</si>
  <si>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</si>
  <si>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</si>
  <si>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</si>
  <si>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</si>
  <si>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</si>
  <si>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</si>
  <si>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</si>
  <si>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</si>
  <si>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</si>
  <si>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</si>
  <si>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FC</t>
  </si>
  <si>
    <t>FA 00003-00007698</t>
  </si>
  <si>
    <t>FA 0501-02399783</t>
  </si>
  <si>
    <t>FA 00003-00000974</t>
  </si>
  <si>
    <t>FA 3103-00021024</t>
  </si>
  <si>
    <t>ND 00002-00000057</t>
  </si>
  <si>
    <t>FC 00001-00000065</t>
  </si>
  <si>
    <t>FA 00002-00000202</t>
  </si>
  <si>
    <t>FA 0501-02399786</t>
  </si>
  <si>
    <t>FA 0501-02400314</t>
  </si>
  <si>
    <t>FA 9904-02414082</t>
  </si>
  <si>
    <t>FA 4264-05249336</t>
  </si>
  <si>
    <t>FA 00004-00009645</t>
  </si>
  <si>
    <t>FA 00003-00018750</t>
  </si>
  <si>
    <t>FA 4264-05217439</t>
  </si>
  <si>
    <t>FC 00001-00000066</t>
  </si>
  <si>
    <t>FA 0030-000090177</t>
  </si>
  <si>
    <t>FA 0501-02389941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</si>
  <si>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</si>
  <si>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</si>
  <si>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</si>
  <si>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</si>
  <si>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</si>
  <si>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</si>
  <si>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</si>
  <si>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RA 00001-00000056</t>
  </si>
  <si>
    <t>FA 0501-02399784</t>
  </si>
  <si>
    <t>FA 0501-02399785</t>
  </si>
  <si>
    <t>FA 4264-05236055</t>
  </si>
  <si>
    <t>FA 00004-00009640</t>
  </si>
  <si>
    <t>FA 00003-00007940</t>
  </si>
  <si>
    <t>FA 0501-02631328</t>
  </si>
  <si>
    <t>FA 3103-00024016</t>
  </si>
  <si>
    <t>Total 5</t>
  </si>
  <si>
    <t>Total 6</t>
  </si>
  <si>
    <t>Total 7</t>
  </si>
  <si>
    <t>Cuenta de IMPORTE</t>
  </si>
  <si>
    <t>French: 2 edesur x mes? 2 alarmas en julio?</t>
  </si>
  <si>
    <t>Suma de IMPORTE</t>
  </si>
  <si>
    <t>Son 3 tableros de luz</t>
  </si>
  <si>
    <t>40000 todos los meses y julio 4 tiendas 55000</t>
  </si>
  <si>
    <t>Florida:</t>
  </si>
  <si>
    <t>No se pagó aysa en junio (mayo)</t>
  </si>
  <si>
    <t>Guemes:  Dos facturas internet en mayo?</t>
  </si>
  <si>
    <t>En mayo, sólo se pagó por alarma en Florida, Recoleta (sólo gastos extras, no monitoreo)</t>
  </si>
  <si>
    <t>FC 00001-00000088</t>
  </si>
  <si>
    <t>FA 0501-02737818</t>
  </si>
  <si>
    <t>sin comprobante</t>
  </si>
  <si>
    <t>FA 00003-00001006</t>
  </si>
  <si>
    <t>FA 3103-00025772</t>
  </si>
  <si>
    <t>CHECK CLIMATIZACION</t>
  </si>
  <si>
    <t>FA 00001-00000188</t>
  </si>
  <si>
    <t>RETAMAR VICTOR ARMANDO</t>
  </si>
  <si>
    <t>FC 00004-00000029</t>
  </si>
  <si>
    <t>SERVICIOS</t>
  </si>
  <si>
    <t>SANABRIA GUSTAVO</t>
  </si>
  <si>
    <t>FA 0005-00002375</t>
  </si>
  <si>
    <t>00001-00000191</t>
  </si>
  <si>
    <t>FA 00003-00008096</t>
  </si>
  <si>
    <t>ND 00002-00000063</t>
  </si>
  <si>
    <t>FA 00002-00000220</t>
  </si>
  <si>
    <t>FA 00004-00010043</t>
  </si>
  <si>
    <t>FA 00003-00001007</t>
  </si>
  <si>
    <t>FA 0501-02743414</t>
  </si>
  <si>
    <t>FA 0501-02743784</t>
  </si>
  <si>
    <t>FA 9904-0247509417</t>
  </si>
  <si>
    <t>FA 4264-05658214</t>
  </si>
  <si>
    <t>FC 00001-00000089</t>
  </si>
  <si>
    <t>FA 00004-00010036</t>
  </si>
  <si>
    <t>RA</t>
  </si>
  <si>
    <t>FA 0501-02737820</t>
  </si>
  <si>
    <t>FA 0501-02737819</t>
  </si>
  <si>
    <t>FA 4264-05647876</t>
  </si>
  <si>
    <t>FA 4264-05624998</t>
  </si>
  <si>
    <t>FA 0005-00002371</t>
  </si>
  <si>
    <t>FA A00003-00019216</t>
  </si>
  <si>
    <t>MARKETING LUCERO</t>
  </si>
  <si>
    <t>NUEVA ATENEA SRL</t>
  </si>
  <si>
    <t>FA 0002-00000890</t>
  </si>
  <si>
    <t>FA 0501-02731127</t>
  </si>
  <si>
    <t>FA 0030-00091179</t>
  </si>
  <si>
    <t>FA 4264-05746386</t>
  </si>
  <si>
    <t>FA 0005-00002376</t>
  </si>
  <si>
    <t>FA 00004-00010039</t>
  </si>
  <si>
    <t>FA 0030-00091406</t>
  </si>
  <si>
    <t>FA 00004-00010052</t>
  </si>
  <si>
    <t>FA 0501-02735148</t>
  </si>
  <si>
    <t>FA 0005-00002373</t>
  </si>
  <si>
    <t>FA 00004-00010042</t>
  </si>
  <si>
    <t>FA 00003-00008098</t>
  </si>
  <si>
    <t>FA 0005-00002372</t>
  </si>
  <si>
    <t>FA 00003-00008097</t>
  </si>
  <si>
    <t>Total 8</t>
  </si>
  <si>
    <t>TIENDA</t>
  </si>
  <si>
    <t>FA 0501-0285295817</t>
  </si>
  <si>
    <t>FA 3103-00027437</t>
  </si>
  <si>
    <t>FC 00001-00000090</t>
  </si>
  <si>
    <t>FA 00003-00001016</t>
  </si>
  <si>
    <t>FA 0501-0286565617</t>
  </si>
  <si>
    <t>FA 0501-0286439217</t>
  </si>
  <si>
    <t>FA 9904-0249573917</t>
  </si>
  <si>
    <t>FA 4264-05797339</t>
  </si>
  <si>
    <t>FA 0501-0285295917</t>
  </si>
  <si>
    <t>FA 0501-0285296017</t>
  </si>
  <si>
    <t>FA 4264-05786439</t>
  </si>
  <si>
    <t>FA 4264-05761516</t>
  </si>
  <si>
    <t>FA 0501-02837979</t>
  </si>
  <si>
    <t>FA 4264-05885094</t>
  </si>
  <si>
    <t>FA 0501-0285288517</t>
  </si>
  <si>
    <t>FC 00001-00000091</t>
  </si>
  <si>
    <t>FA 00003-00008177</t>
  </si>
  <si>
    <t>FA 00003-00001017</t>
  </si>
  <si>
    <t>00001-00000194</t>
  </si>
  <si>
    <t>FA 00004-00010112</t>
  </si>
  <si>
    <t>ND 00002-00000065</t>
  </si>
  <si>
    <t>FA 00002-00000224</t>
  </si>
  <si>
    <t>FA 0005-00002415</t>
  </si>
  <si>
    <t>FA 00003-00019359</t>
  </si>
  <si>
    <t>FA 00004-00010111</t>
  </si>
  <si>
    <t>FA 0030-00091683</t>
  </si>
  <si>
    <t>FA 0030-00091550</t>
  </si>
  <si>
    <t>FA 00003-00008176</t>
  </si>
  <si>
    <t>FA 00004-00010110</t>
  </si>
  <si>
    <t>FA 00003-00008178</t>
  </si>
  <si>
    <t>S/C 0501-0285736117</t>
  </si>
  <si>
    <t>FC 00004-00000033</t>
  </si>
  <si>
    <t>S/C 0501-02967314</t>
  </si>
  <si>
    <t>Total 9</t>
  </si>
  <si>
    <t>FA 0501-0967727</t>
  </si>
  <si>
    <t>FA 0501-02972785</t>
  </si>
  <si>
    <t>FA 0501-02972802</t>
  </si>
  <si>
    <t>FA 9904-02514639</t>
  </si>
  <si>
    <t>FA 4264-05971278</t>
  </si>
  <si>
    <t>FA 0501-02967729</t>
  </si>
  <si>
    <t>FA 0501-02967728</t>
  </si>
  <si>
    <t>FA 4264-05926248</t>
  </si>
  <si>
    <t>FA 4264-05900157</t>
  </si>
  <si>
    <t>FA 0501-02955940</t>
  </si>
  <si>
    <t>FA 4264-06023609</t>
  </si>
  <si>
    <t>FA 0501-03070632</t>
  </si>
  <si>
    <t>FA 0501-02966199</t>
  </si>
  <si>
    <t>Total 10</t>
  </si>
  <si>
    <t>FA 00003-00008260</t>
  </si>
  <si>
    <t>FC 00001-0000099</t>
  </si>
  <si>
    <t>NCA 00003-00000368</t>
  </si>
  <si>
    <t>FA</t>
  </si>
  <si>
    <t>FA 00003-00001027</t>
  </si>
  <si>
    <t>FA 00001-00000205</t>
  </si>
  <si>
    <t>FA XXX-XXXXXXXX</t>
  </si>
  <si>
    <t>ND 00002-00000067</t>
  </si>
  <si>
    <t>FA 00002-00000228</t>
  </si>
  <si>
    <t>FA 00004-00010254</t>
  </si>
  <si>
    <t>RA 00001-00000202</t>
  </si>
  <si>
    <t>FA 00003-00019504</t>
  </si>
  <si>
    <t>FA 0030-00092156</t>
  </si>
  <si>
    <t>FA 0030-00091958</t>
  </si>
  <si>
    <t>FA 00003-00008263</t>
  </si>
  <si>
    <t>FA 00004-00010253</t>
  </si>
  <si>
    <t>FA 00003-00008262</t>
  </si>
  <si>
    <t>COM LUCERO SOLAR</t>
  </si>
  <si>
    <t>FA 0030-00092074</t>
  </si>
  <si>
    <t>MARTINEZ VANESA</t>
  </si>
  <si>
    <t>Grupo1</t>
  </si>
  <si>
    <t>ITEM2</t>
  </si>
  <si>
    <t>(Varios elementos)</t>
  </si>
  <si>
    <t>FA 3103-00029113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</si>
</sst>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.00_-;_-&quot;$&quot;* \-#,##0.00_-;_-&quot;$&quot;* &quot;-&quot;??_-;_-@"/>
    <numFmt numFmtId="166" formatCode="dd&quot;/&quot;mm&quot;/&quot;yyyy"/>
    <numFmt numFmtId="167" formatCode="&quot;$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Border="1" applyAlignment="1"/>
    <xf numFmtId="0" fontId="0" fillId="0" borderId="0" xfId="0" applyBorder="1"/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0" fillId="0" borderId="0" xfId="0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 applyBorder="1"/>
    <xf numFmtId="8" fontId="0" fillId="0" borderId="0" xfId="0" applyNumberFormat="1" applyBorder="1"/>
    <xf numFmtId="167" fontId="2" fillId="2" borderId="0" xfId="1" applyNumberFormat="1" applyFont="1" applyFill="1" applyBorder="1" applyAlignment="1"/>
    <xf numFmtId="167" fontId="3" fillId="0" borderId="0" xfId="1" applyNumberFormat="1" applyFont="1" applyBorder="1" applyAlignment="1"/>
    <xf numFmtId="167" fontId="3" fillId="0" borderId="0" xfId="1" applyNumberFormat="1" applyFont="1" applyBorder="1" applyAlignment="1">
      <alignment horizontal="right"/>
    </xf>
    <xf numFmtId="167" fontId="4" fillId="0" borderId="1" xfId="1" applyNumberFormat="1" applyFont="1" applyBorder="1"/>
    <xf numFmtId="167" fontId="5" fillId="0" borderId="1" xfId="1" applyNumberFormat="1" applyFont="1" applyBorder="1"/>
    <xf numFmtId="167" fontId="4" fillId="4" borderId="1" xfId="1" applyNumberFormat="1" applyFont="1" applyFill="1" applyBorder="1"/>
    <xf numFmtId="167" fontId="4" fillId="0" borderId="1" xfId="1" applyNumberFormat="1" applyFont="1" applyFill="1" applyBorder="1"/>
    <xf numFmtId="167" fontId="7" fillId="0" borderId="3" xfId="0" applyNumberFormat="1" applyFont="1" applyBorder="1" applyAlignment="1">
      <alignment wrapText="1"/>
    </xf>
    <xf numFmtId="167" fontId="3" fillId="0" borderId="3" xfId="0" applyNumberFormat="1" applyFont="1" applyBorder="1" applyAlignment="1">
      <alignment horizontal="right" wrapText="1"/>
    </xf>
    <xf numFmtId="167" fontId="3" fillId="6" borderId="3" xfId="0" applyNumberFormat="1" applyFont="1" applyFill="1" applyBorder="1" applyAlignment="1">
      <alignment horizontal="right" wrapText="1"/>
    </xf>
    <xf numFmtId="167" fontId="0" fillId="0" borderId="0" xfId="1" applyNumberFormat="1" applyFont="1" applyBorder="1"/>
    <xf numFmtId="0" fontId="0" fillId="0" borderId="4" xfId="0" applyBorder="1"/>
    <xf numFmtId="164" fontId="0" fillId="0" borderId="4" xfId="0" applyNumberFormat="1" applyBorder="1"/>
    <xf numFmtId="0" fontId="8" fillId="0" borderId="4" xfId="0" applyFont="1" applyBorder="1"/>
    <xf numFmtId="2" fontId="0" fillId="0" borderId="4" xfId="0" applyNumberFormat="1" applyBorder="1"/>
    <xf numFmtId="2" fontId="0" fillId="0" borderId="4" xfId="2" applyNumberFormat="1" applyFont="1" applyBorder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6">
    <dxf>
      <numFmt numFmtId="164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5972.58129652778" createdVersion="6" refreshedVersion="6" minRefreshableVersion="3" recordCount="321">
  <cacheSource type="worksheet">
    <worksheetSource ref="A1:G322" sheet="Hoja2"/>
  </cacheSource>
  <cacheFields count="8">
    <cacheField name="TIENDA / DEPOSITO / OFICINA / FABRICA" numFmtId="0">
      <sharedItems count="8">
        <s v="COM LUCERO FLORIDA"/>
        <s v="COM LUCERO FRENCH"/>
        <s v="COM LUCERO GUEMES"/>
        <s v="COM LUCERO RECOLETA"/>
        <s v="COM LUCERO ST"/>
        <s v="COM LUCERO ST 2"/>
        <s v="COM AS SAN TELMO"/>
        <s v="COM LUCERO SOLAR"/>
      </sharedItems>
    </cacheField>
    <cacheField name="ITEM" numFmtId="0">
      <sharedItems count="12">
        <s v="ABL"/>
        <s v="ALARMA"/>
        <s v="ALQUILER"/>
        <s v="AYSA"/>
        <s v="EDESUR"/>
        <s v="EXPENSAS"/>
        <s v="FUMIGACION"/>
        <s v="INTERNET"/>
        <s v="MANTENIMIENTO"/>
        <s v="MATAFUEGO"/>
        <s v="SERVICIOS"/>
        <s v="MARKETING LUCERO"/>
      </sharedItems>
      <fieldGroup par="7"/>
    </cacheField>
    <cacheField name="RAZON SOCIAL" numFmtId="0">
      <sharedItems/>
    </cacheField>
    <cacheField name="FACTURA" numFmtId="0">
      <sharedItems containsBlank="1"/>
    </cacheField>
    <cacheField name="FECHA EMISION" numFmtId="0">
      <sharedItems containsNonDate="0" containsDate="1" containsString="0" containsBlank="1" minDate="2025-04-18T00:00:00" maxDate="2025-10-25T00:00:00"/>
    </cacheField>
    <cacheField name="IMPORTE" numFmtId="0">
      <sharedItems containsString="0" containsBlank="1" containsNumber="1" minValue="-684480" maxValue="7275000"/>
    </cacheField>
    <cacheField name="MES ASJGNADO" numFmtId="0">
      <sharedItems containsSemiMixedTypes="0" containsString="0" containsNumber="1" containsInteger="1" minValue="5" maxValue="10" count="6">
        <n v="7"/>
        <n v="6"/>
        <n v="5"/>
        <n v="8"/>
        <n v="9"/>
        <n v="10"/>
      </sharedItems>
    </cacheField>
    <cacheField name="ITEM2" numFmtId="0" databaseField="0">
      <fieldGroup base="1">
        <discretePr count="12">
          <x v="0"/>
          <x v="1"/>
          <x v="10"/>
          <x v="2"/>
          <x v="3"/>
          <x v="10"/>
          <x v="4"/>
          <x v="5"/>
          <x v="6"/>
          <x v="7"/>
          <x v="8"/>
          <x v="9"/>
        </discretePr>
        <groupItems count="11">
          <s v="ABL"/>
          <s v="ALARMA"/>
          <s v="AYSA"/>
          <s v="EDESUR"/>
          <s v="FUMIGACION"/>
          <s v="INTERNET"/>
          <s v="MANTENIMIENTO"/>
          <s v="MATAFUEGO"/>
          <s v="SERVICIOS"/>
          <s v="MARKETING LUCERO"/>
          <s v="Grupo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1">
  <r>
    <x v="0"/>
    <x v="0"/>
    <s v="MAGECA S A"/>
    <s v="ND 00002-00000061"/>
    <d v="2025-07-10T00:00:00"/>
    <n v="514117.53"/>
    <x v="0"/>
  </r>
  <r>
    <x v="0"/>
    <x v="1"/>
    <s v="SANES JUAN MANUEL"/>
    <s v="FC 00001-00000077"/>
    <d v="2025-07-07T00:00:00"/>
    <n v="55000"/>
    <x v="0"/>
  </r>
  <r>
    <x v="0"/>
    <x v="1"/>
    <s v="SANES JUAN MANUEL"/>
    <s v="FC 00001-00000076"/>
    <d v="2025-07-07T00:00:00"/>
    <n v="40000"/>
    <x v="1"/>
  </r>
  <r>
    <x v="0"/>
    <x v="2"/>
    <s v="MAGECA S A"/>
    <s v="FA 00002-00000215"/>
    <d v="2025-07-08T00:00:00"/>
    <n v="6375000"/>
    <x v="0"/>
  </r>
  <r>
    <x v="0"/>
    <x v="3"/>
    <s v="MAGECA S A"/>
    <s v="ND 00002-00000061"/>
    <d v="2025-07-10T00:00:00"/>
    <n v="401304.17"/>
    <x v="0"/>
  </r>
  <r>
    <x v="0"/>
    <x v="4"/>
    <s v="EDESUR"/>
    <s v="FA 0501-02636593"/>
    <d v="2025-07-01T00:00:00"/>
    <n v="12233.15"/>
    <x v="0"/>
  </r>
  <r>
    <x v="0"/>
    <x v="4"/>
    <s v="EDESUR"/>
    <s v="FA 0501-02636038"/>
    <d v="2025-07-01T00:00:00"/>
    <n v="109617.29"/>
    <x v="0"/>
  </r>
  <r>
    <x v="0"/>
    <x v="4"/>
    <s v="EDESUR"/>
    <s v="FA 9904-0245536217"/>
    <d v="2025-07-04T00:00:00"/>
    <n v="518920.99"/>
    <x v="0"/>
  </r>
  <r>
    <x v="0"/>
    <x v="5"/>
    <s v="MAGECA S A"/>
    <s v="ND 00002-00000061"/>
    <d v="2025-07-10T00:00:00"/>
    <n v="515040.5"/>
    <x v="0"/>
  </r>
  <r>
    <x v="0"/>
    <x v="6"/>
    <s v="MANOLIO MARIANO SERGIO"/>
    <s v="FA 00003-00000996"/>
    <d v="2025-07-09T00:00:00"/>
    <n v="37650"/>
    <x v="0"/>
  </r>
  <r>
    <x v="0"/>
    <x v="7"/>
    <s v="TELECOM ARGENTINA SOCIEDAD ANONIMA"/>
    <s v="FA 4264-05521129"/>
    <d v="2025-06-18T00:00:00"/>
    <n v="142084"/>
    <x v="0"/>
  </r>
  <r>
    <x v="0"/>
    <x v="8"/>
    <s v="RETAMAR VICTOR"/>
    <s v="FC 00004-00000022"/>
    <d v="2025-06-30T00:00:00"/>
    <n v="198000"/>
    <x v="0"/>
  </r>
  <r>
    <x v="1"/>
    <x v="1"/>
    <s v="SANES JUAN MANUEL"/>
    <s v="FC 00001-00000077"/>
    <d v="2025-07-07T00:00:00"/>
    <n v="55000"/>
    <x v="0"/>
  </r>
  <r>
    <x v="1"/>
    <x v="1"/>
    <s v="SANES JUAN MANUEL"/>
    <s v="FC 00001-00000076"/>
    <d v="2025-07-07T00:00:00"/>
    <n v="40000"/>
    <x v="1"/>
  </r>
  <r>
    <x v="1"/>
    <x v="2"/>
    <s v="Fideicomiso Laguna Oscura"/>
    <s v="RA 00001-00000113"/>
    <d v="2025-07-10T00:00:00"/>
    <n v="667200"/>
    <x v="0"/>
  </r>
  <r>
    <x v="1"/>
    <x v="4"/>
    <s v="EDESUR"/>
    <s v="FA 0501-02631330"/>
    <d v="2025-06-30T00:00:00"/>
    <n v="95503.32"/>
    <x v="0"/>
  </r>
  <r>
    <x v="1"/>
    <x v="4"/>
    <s v="EDESUR"/>
    <s v="FA0501-02631329"/>
    <d v="2025-06-30T00:00:00"/>
    <n v="18468.88"/>
    <x v="0"/>
  </r>
  <r>
    <x v="1"/>
    <x v="5"/>
    <s v="Solar de french"/>
    <s v="S/C"/>
    <d v="2025-07-01T00:00:00"/>
    <n v="217135.92"/>
    <x v="0"/>
  </r>
  <r>
    <x v="1"/>
    <x v="6"/>
    <s v="MANOLIO MARIANO SERGIO"/>
    <s v="FA 00003-00000996"/>
    <d v="2025-07-09T00:00:00"/>
    <n v="30230"/>
    <x v="0"/>
  </r>
  <r>
    <x v="1"/>
    <x v="7"/>
    <s v="TELECOM ARGENTINA SOCIEDAD ANONIMA"/>
    <s v="FA 4264-05508161"/>
    <d v="2025-06-18T00:00:00"/>
    <n v="100700"/>
    <x v="0"/>
  </r>
  <r>
    <x v="2"/>
    <x v="1"/>
    <s v="SANES JUAN MANUEL"/>
    <s v="FC 00001-00000076"/>
    <d v="2025-07-07T00:00:00"/>
    <n v="40000"/>
    <x v="0"/>
  </r>
  <r>
    <x v="2"/>
    <x v="2"/>
    <s v="GALERIA GRAL GUEMES S A I"/>
    <s v="FA 00003-00019029"/>
    <d v="2025-07-01T00:00:00"/>
    <n v="599275.1"/>
    <x v="0"/>
  </r>
  <r>
    <x v="2"/>
    <x v="5"/>
    <s v="GALERIA GRAL GUEMES S A I"/>
    <s v="FA 00003-00019029"/>
    <d v="2025-07-01T00:00:00"/>
    <n v="306815.86"/>
    <x v="0"/>
  </r>
  <r>
    <x v="2"/>
    <x v="6"/>
    <s v="MANOLIO MARIANO SERGIO"/>
    <s v="FA 00003-00000996"/>
    <d v="2025-07-09T00:00:00"/>
    <n v="30230"/>
    <x v="0"/>
  </r>
  <r>
    <x v="2"/>
    <x v="7"/>
    <s v="TELECOM ARGENTINA SOCIEDAD ANONIMA"/>
    <s v="FA 4264-05488775"/>
    <d v="2025-06-18T00:00:00"/>
    <n v="34325"/>
    <x v="0"/>
  </r>
  <r>
    <x v="3"/>
    <x v="1"/>
    <s v="SANES JUAN MANUEL"/>
    <s v="FC 00001-00000076"/>
    <d v="2025-07-07T00:00:00"/>
    <n v="40000"/>
    <x v="1"/>
  </r>
  <r>
    <x v="3"/>
    <x v="1"/>
    <s v="SANES JUAN MANUEL"/>
    <s v="FC 00001-00000077"/>
    <d v="2025-07-07T00:00:00"/>
    <n v="55000"/>
    <x v="0"/>
  </r>
  <r>
    <x v="3"/>
    <x v="2"/>
    <s v="FORTIN MAURE S.A."/>
    <s v="FA 0030-00090846"/>
    <d v="2025-07-04T00:00:00"/>
    <n v="1299988.6000000001"/>
    <x v="0"/>
  </r>
  <r>
    <x v="3"/>
    <x v="4"/>
    <s v="EDESUR"/>
    <s v="FA 0501-02614658"/>
    <d v="2025-06-26T00:00:00"/>
    <n v="85254.03"/>
    <x v="0"/>
  </r>
  <r>
    <x v="3"/>
    <x v="5"/>
    <s v="FORTIN MAURE S.A."/>
    <s v="FA 0030-00090767"/>
    <d v="2025-07-04T00:00:00"/>
    <n v="1846064.21"/>
    <x v="0"/>
  </r>
  <r>
    <x v="3"/>
    <x v="6"/>
    <s v="MANOLIO MARIANO SERGIO"/>
    <s v="FA 00003-00000996"/>
    <d v="2025-07-09T00:00:00"/>
    <n v="30230"/>
    <x v="0"/>
  </r>
  <r>
    <x v="3"/>
    <x v="7"/>
    <s v="TELECOM ARGENTINA SOCIEDAD ANONIMA"/>
    <s v="FA 4264-05609033"/>
    <d v="2025-06-18T00:00:00"/>
    <n v="55892.57"/>
    <x v="0"/>
  </r>
  <r>
    <x v="4"/>
    <x v="1"/>
    <s v="SANES JUAN MANUEL"/>
    <s v="FC 00001-00000077"/>
    <d v="2025-07-07T00:00:00"/>
    <n v="55000"/>
    <x v="0"/>
  </r>
  <r>
    <x v="4"/>
    <x v="1"/>
    <s v="SANES JUAN MANUEL"/>
    <s v="FC 00001-00000076"/>
    <d v="2025-07-07T00:00:00"/>
    <n v="40000"/>
    <x v="1"/>
  </r>
  <r>
    <x v="4"/>
    <x v="2"/>
    <s v="MESATEL SA"/>
    <s v="FA 00003-00007939"/>
    <d v="2025-07-01T00:00:00"/>
    <n v="1594202.96"/>
    <x v="0"/>
  </r>
  <r>
    <x v="4"/>
    <x v="4"/>
    <s v="EDESUR"/>
    <s v="FA 0501-02626440"/>
    <d v="2025-06-30T00:00:00"/>
    <n v="55809.3"/>
    <x v="0"/>
  </r>
  <r>
    <x v="4"/>
    <x v="5"/>
    <s v="MESATEL SA"/>
    <s v="S/C"/>
    <m/>
    <n v="482202.15"/>
    <x v="0"/>
  </r>
  <r>
    <x v="4"/>
    <x v="6"/>
    <s v="MANOLIO MARIANO SERGIO"/>
    <s v="FA 00003-00000996"/>
    <d v="2025-07-09T00:00:00"/>
    <n v="30230"/>
    <x v="0"/>
  </r>
  <r>
    <x v="5"/>
    <x v="2"/>
    <s v="MESATEL SA"/>
    <s v="FA 00003-00007941"/>
    <d v="2025-07-01T00:00:00"/>
    <n v="903319.4"/>
    <x v="0"/>
  </r>
  <r>
    <x v="5"/>
    <x v="4"/>
    <s v="EDESUR"/>
    <s v="S/C"/>
    <m/>
    <n v="51498.47"/>
    <x v="0"/>
  </r>
  <r>
    <x v="5"/>
    <x v="5"/>
    <s v="MESATEL SA"/>
    <s v="S/C"/>
    <m/>
    <n v="482202.15"/>
    <x v="0"/>
  </r>
  <r>
    <x v="5"/>
    <x v="6"/>
    <s v="MANOLIO MARIANO SERGIO"/>
    <s v="FA 00003-00000996"/>
    <d v="2025-07-09T00:00:00"/>
    <n v="30230"/>
    <x v="0"/>
  </r>
  <r>
    <x v="6"/>
    <x v="1"/>
    <s v="SANES JUAN MANUEL"/>
    <s v="FC 00001-00000076"/>
    <d v="2025-07-07T00:00:00"/>
    <n v="40000"/>
    <x v="0"/>
  </r>
  <r>
    <x v="6"/>
    <x v="2"/>
    <s v="MESATEL SA"/>
    <s v="FA 00003-00007940"/>
    <d v="2025-07-01T00:00:00"/>
    <n v="1294257.8700000001"/>
    <x v="0"/>
  </r>
  <r>
    <x v="6"/>
    <x v="4"/>
    <s v="EDESUR"/>
    <s v="FA 0501-02631328"/>
    <d v="2025-06-30T00:00:00"/>
    <n v="38904.29"/>
    <x v="0"/>
  </r>
  <r>
    <x v="6"/>
    <x v="5"/>
    <s v="MESATEL SA"/>
    <s v="S/C"/>
    <m/>
    <n v="964404.3"/>
    <x v="0"/>
  </r>
  <r>
    <x v="6"/>
    <x v="6"/>
    <s v="MANOLIO MARIANO SERGIO"/>
    <s v="FA 00003-00000996"/>
    <d v="2025-07-09T00:00:00"/>
    <n v="30230"/>
    <x v="0"/>
  </r>
  <r>
    <x v="6"/>
    <x v="7"/>
    <s v="TELEFONICA MOVILES ARGENTINA SOCIEDAD ANONIMA"/>
    <s v="FA 3103-00024016"/>
    <d v="2025-07-13T00:00:00"/>
    <n v="91008"/>
    <x v="0"/>
  </r>
  <r>
    <x v="6"/>
    <x v="1"/>
    <s v="SANES JUAN MANUEL"/>
    <s v="FC 00001-00000075"/>
    <d v="2025-07-07T00:00:00"/>
    <n v="40000"/>
    <x v="1"/>
  </r>
  <r>
    <x v="6"/>
    <x v="2"/>
    <s v="MESATEL SA"/>
    <s v="FA 00003-00007838"/>
    <d v="2025-06-01T00:00:00"/>
    <n v="1045573.02"/>
    <x v="1"/>
  </r>
  <r>
    <x v="6"/>
    <x v="4"/>
    <s v="EDESUR"/>
    <s v="FA 0501-02510981"/>
    <d v="2025-05-29T00:00:00"/>
    <n v="36803.14"/>
    <x v="1"/>
  </r>
  <r>
    <x v="6"/>
    <x v="5"/>
    <s v="MESATEL SA"/>
    <s v="S/C"/>
    <m/>
    <n v="1059864.3999999999"/>
    <x v="1"/>
  </r>
  <r>
    <x v="6"/>
    <x v="6"/>
    <s v="MANOLIO MARIANO SERGIO"/>
    <s v="FA 00003-00000986"/>
    <d v="2025-06-06T00:00:00"/>
    <n v="27480"/>
    <x v="1"/>
  </r>
  <r>
    <x v="6"/>
    <x v="7"/>
    <s v="TELEFONICA MOVILES ARGENTINA SOCIEDAD ANONIMA"/>
    <s v="FA 3103-00021534"/>
    <d v="2025-06-13T00:00:00"/>
    <n v="86841.600000000006"/>
    <x v="1"/>
  </r>
  <r>
    <x v="0"/>
    <x v="0"/>
    <s v="MAGECA S A"/>
    <s v="ND 00002-00000058"/>
    <d v="2025-06-12T00:00:00"/>
    <n v="487475.77"/>
    <x v="1"/>
  </r>
  <r>
    <x v="0"/>
    <x v="1"/>
    <s v="SANES JUAN MANUEL"/>
    <s v="FC 00001-00000075"/>
    <d v="2025-07-07T00:00:00"/>
    <m/>
    <x v="2"/>
  </r>
  <r>
    <x v="0"/>
    <x v="2"/>
    <s v="MAGECA S A"/>
    <s v="FA 00002-00000208"/>
    <d v="2025-06-03T00:00:00"/>
    <n v="2338348.56"/>
    <x v="1"/>
  </r>
  <r>
    <x v="0"/>
    <x v="4"/>
    <s v="EDESUR"/>
    <s v="FA 9904-02434027"/>
    <d v="2025-06-03T00:00:00"/>
    <n v="391330.07"/>
    <x v="1"/>
  </r>
  <r>
    <x v="0"/>
    <x v="4"/>
    <s v="EDESUR"/>
    <s v="FA 0501-02518870"/>
    <d v="2025-05-30T00:00:00"/>
    <n v="11331.47"/>
    <x v="1"/>
  </r>
  <r>
    <x v="0"/>
    <x v="4"/>
    <s v="EDESUR"/>
    <s v="FA 0501-02518854"/>
    <d v="2025-05-30T00:00:00"/>
    <n v="107630"/>
    <x v="1"/>
  </r>
  <r>
    <x v="0"/>
    <x v="5"/>
    <s v="MAGECA S A"/>
    <s v="ND 00002-00000058"/>
    <d v="2025-06-12T00:00:00"/>
    <n v="515040.5"/>
    <x v="1"/>
  </r>
  <r>
    <x v="0"/>
    <x v="6"/>
    <s v="MANOLIO MARIANO SERGIO"/>
    <s v="FA 00003-00000986"/>
    <d v="2025-06-06T00:00:00"/>
    <n v="34220"/>
    <x v="1"/>
  </r>
  <r>
    <x v="0"/>
    <x v="7"/>
    <s v="TELECOM ARGENTINA SOCIEDAD ANONIMA"/>
    <s v="FA 4264-05384547"/>
    <d v="2025-05-21T00:00:00"/>
    <n v="136229"/>
    <x v="1"/>
  </r>
  <r>
    <x v="2"/>
    <x v="2"/>
    <s v="GALERIA GRAL GUEMES S A I"/>
    <s v="FA 00003-00018889"/>
    <m/>
    <n v="540862"/>
    <x v="1"/>
  </r>
  <r>
    <x v="2"/>
    <x v="2"/>
    <s v="GALERIA GRAL GUEMES S A I"/>
    <s v="FA 00003-00018918"/>
    <d v="2025-06-19T00:00:00"/>
    <n v="58413.1"/>
    <x v="1"/>
  </r>
  <r>
    <x v="2"/>
    <x v="5"/>
    <s v="GALERIA GRAL GUEMES S A I"/>
    <s v="FA 00003-00018889"/>
    <m/>
    <n v="282173.06"/>
    <x v="1"/>
  </r>
  <r>
    <x v="2"/>
    <x v="6"/>
    <s v="MANOLIO MARIANO SERGIO"/>
    <s v="FA 00003-00000986"/>
    <d v="2025-06-06T00:00:00"/>
    <n v="27480"/>
    <x v="1"/>
  </r>
  <r>
    <x v="2"/>
    <x v="7"/>
    <s v="TELECOM ARGENTINA SOCIEDAD ANONIMA"/>
    <s v="FA 4264-05351455"/>
    <d v="2025-05-21T00:00:00"/>
    <n v="33675"/>
    <x v="1"/>
  </r>
  <r>
    <x v="2"/>
    <x v="9"/>
    <s v="SEGURIDAD DENAPOLI SRL"/>
    <s v="FA 00004-00009818"/>
    <d v="2025-06-23T00:00:00"/>
    <n v="38096"/>
    <x v="1"/>
  </r>
  <r>
    <x v="2"/>
    <x v="1"/>
    <s v="SANES JUAN MANUEL"/>
    <s v="FC 00001-00000075"/>
    <d v="2025-07-07T00:00:00"/>
    <n v="40000"/>
    <x v="1"/>
  </r>
  <r>
    <x v="3"/>
    <x v="1"/>
    <s v="SANES JUAN MANUEL"/>
    <s v="FC 00001-00000075"/>
    <d v="2025-07-07T00:00:00"/>
    <m/>
    <x v="2"/>
  </r>
  <r>
    <x v="3"/>
    <x v="2"/>
    <s v="FORTIN MAURE S.A."/>
    <s v="FA 0030-00090551"/>
    <d v="2025-06-05T00:00:00"/>
    <n v="1201308.3899999999"/>
    <x v="1"/>
  </r>
  <r>
    <x v="3"/>
    <x v="4"/>
    <s v="EDESUR"/>
    <s v="FA 0501-02500692"/>
    <d v="2025-05-27T00:00:00"/>
    <n v="84071.59"/>
    <x v="1"/>
  </r>
  <r>
    <x v="3"/>
    <x v="5"/>
    <s v="FORTIN MAURE S.A."/>
    <s v="FA 0030-00090384"/>
    <d v="2025-06-05T00:00:00"/>
    <n v="1912694.22"/>
    <x v="1"/>
  </r>
  <r>
    <x v="3"/>
    <x v="6"/>
    <s v="MANOLIO MARIANO SERGIO"/>
    <s v="FA 00003-00000986"/>
    <d v="2025-06-06T00:00:00"/>
    <n v="27480"/>
    <x v="1"/>
  </r>
  <r>
    <x v="3"/>
    <x v="7"/>
    <s v="TELECOM ARGENTINA SOCIEDAD ANONIMA"/>
    <s v="FA 4264-05472122"/>
    <d v="2025-05-21T00:00:00"/>
    <n v="53247.94"/>
    <x v="1"/>
  </r>
  <r>
    <x v="4"/>
    <x v="2"/>
    <s v="MESATEL SA"/>
    <s v="FA 00003-00007837"/>
    <d v="2025-06-01T00:00:00"/>
    <n v="1533834"/>
    <x v="1"/>
  </r>
  <r>
    <x v="4"/>
    <x v="5"/>
    <s v="MESATEL SA"/>
    <s v="s/c"/>
    <m/>
    <n v="529932.19999999995"/>
    <x v="1"/>
  </r>
  <r>
    <x v="5"/>
    <x v="2"/>
    <s v="MESATEL SA"/>
    <s v="FA 00003-00007839"/>
    <d v="2025-06-01T00:00:00"/>
    <n v="887700"/>
    <x v="1"/>
  </r>
  <r>
    <x v="5"/>
    <x v="5"/>
    <s v="MESATEL SA"/>
    <s v="s/c"/>
    <m/>
    <n v="529932.19999999995"/>
    <x v="1"/>
  </r>
  <r>
    <x v="1"/>
    <x v="1"/>
    <s v="SANES JUAN MANUEL"/>
    <s v="FC 00001-00000075"/>
    <d v="2025-07-07T00:00:00"/>
    <m/>
    <x v="2"/>
  </r>
  <r>
    <x v="1"/>
    <x v="2"/>
    <s v="Fideicomiso Laguna Oscura"/>
    <s v="RA 00001-00000086"/>
    <d v="2025-06-17T00:00:00"/>
    <n v="667200"/>
    <x v="1"/>
  </r>
  <r>
    <x v="1"/>
    <x v="4"/>
    <s v="EDESUR"/>
    <s v="FA 0501-02510982"/>
    <d v="2025-05-29T00:00:00"/>
    <n v="17278.71"/>
    <x v="1"/>
  </r>
  <r>
    <x v="1"/>
    <x v="4"/>
    <s v="EDESUR"/>
    <s v="FA 0501-02510983"/>
    <d v="2025-05-29T00:00:00"/>
    <n v="90456.29"/>
    <x v="1"/>
  </r>
  <r>
    <x v="1"/>
    <x v="5"/>
    <s v="Solar de french"/>
    <s v="S/C"/>
    <m/>
    <n v="240529.21"/>
    <x v="1"/>
  </r>
  <r>
    <x v="1"/>
    <x v="6"/>
    <s v="MANOLIO MARIANO SERGIO"/>
    <s v="FA 00003-00000986"/>
    <d v="2025-06-06T00:00:00"/>
    <n v="27480"/>
    <x v="1"/>
  </r>
  <r>
    <x v="1"/>
    <x v="7"/>
    <s v="TELECOM ARGENTINA SOCIEDAD ANONIMA"/>
    <s v="FA 4264-05370347"/>
    <d v="2025-05-21T00:00:00"/>
    <n v="96500"/>
    <x v="1"/>
  </r>
  <r>
    <x v="4"/>
    <x v="4"/>
    <s v="EDESUR"/>
    <s v="FA 0501-02511329"/>
    <d v="2025-05-29T00:00:00"/>
    <n v="52854.86"/>
    <x v="1"/>
  </r>
  <r>
    <x v="4"/>
    <x v="6"/>
    <s v="MANOLIO MARIANO SERGIO"/>
    <s v="FA 00003-00000986"/>
    <d v="2025-06-06T00:00:00"/>
    <n v="27480"/>
    <x v="1"/>
  </r>
  <r>
    <x v="4"/>
    <x v="1"/>
    <s v="SANES JUAN MANUEL"/>
    <s v="FC 00001-00000075"/>
    <d v="2025-07-07T00:00:00"/>
    <m/>
    <x v="2"/>
  </r>
  <r>
    <x v="5"/>
    <x v="4"/>
    <s v="EDESUR"/>
    <s v="S/C"/>
    <d v="2025-05-29T00:00:00"/>
    <n v="47453.67"/>
    <x v="1"/>
  </r>
  <r>
    <x v="5"/>
    <x v="6"/>
    <s v="MANOLIO MARIANO SERGIO"/>
    <s v="FA 00003-00000986"/>
    <d v="2025-06-06T00:00:00"/>
    <n v="27480"/>
    <x v="1"/>
  </r>
  <r>
    <x v="5"/>
    <x v="9"/>
    <s v="SEGURIDAD DENAPOLI SRL"/>
    <s v="FA 00004-00009774"/>
    <m/>
    <n v="38096"/>
    <x v="1"/>
  </r>
  <r>
    <x v="6"/>
    <x v="1"/>
    <s v="SANES JUAN MANUEL"/>
    <s v="FC"/>
    <m/>
    <m/>
    <x v="2"/>
  </r>
  <r>
    <x v="6"/>
    <x v="2"/>
    <s v="MESATEL SA"/>
    <s v="FA 00003-00007698"/>
    <m/>
    <n v="1200553.02"/>
    <x v="2"/>
  </r>
  <r>
    <x v="6"/>
    <x v="4"/>
    <s v="EDESUR"/>
    <s v="FA 0501-02399783"/>
    <d v="2025-04-29T00:00:00"/>
    <n v="177166.59"/>
    <x v="2"/>
  </r>
  <r>
    <x v="6"/>
    <x v="5"/>
    <s v="MESATEL SA"/>
    <s v="S/C"/>
    <m/>
    <n v="955501.96"/>
    <x v="2"/>
  </r>
  <r>
    <x v="6"/>
    <x v="6"/>
    <s v="MANOLIO MARIANO SERGIO"/>
    <s v="FA 00003-00000974"/>
    <m/>
    <n v="27480"/>
    <x v="2"/>
  </r>
  <r>
    <x v="6"/>
    <x v="7"/>
    <s v="TELEFONICA MOVILES ARGENTINA SOCIEDAD ANONIMA"/>
    <s v="FA 3103-00021024"/>
    <m/>
    <n v="84973.6"/>
    <x v="2"/>
  </r>
  <r>
    <x v="0"/>
    <x v="0"/>
    <s v="MAGECA S A"/>
    <s v="ND 00002-00000057"/>
    <m/>
    <n v="471713.48"/>
    <x v="2"/>
  </r>
  <r>
    <x v="0"/>
    <x v="1"/>
    <s v="SANES JUAN MANUEL"/>
    <s v="FC 00001-00000065"/>
    <m/>
    <n v="361000"/>
    <x v="2"/>
  </r>
  <r>
    <x v="0"/>
    <x v="2"/>
    <s v="MAGECA S A"/>
    <s v="FA 00002-00000202"/>
    <m/>
    <n v="2139397.7599999998"/>
    <x v="2"/>
  </r>
  <r>
    <x v="0"/>
    <x v="3"/>
    <s v="MAGECA S A"/>
    <s v="ND 00002-00000057"/>
    <m/>
    <n v="393527.01"/>
    <x v="2"/>
  </r>
  <r>
    <x v="0"/>
    <x v="4"/>
    <s v="EDESUR"/>
    <s v="FA 0501-02399786"/>
    <d v="2025-04-29T00:00:00"/>
    <n v="12798.46"/>
    <x v="2"/>
  </r>
  <r>
    <x v="0"/>
    <x v="4"/>
    <s v="EDESUR"/>
    <s v="FA 0501-02400314"/>
    <d v="2025-04-29T00:00:00"/>
    <n v="120642.94"/>
    <x v="2"/>
  </r>
  <r>
    <x v="0"/>
    <x v="4"/>
    <s v="EDESUR"/>
    <s v="FA 9904-02414082"/>
    <d v="2025-05-07T00:00:00"/>
    <n v="268917.40999999997"/>
    <x v="2"/>
  </r>
  <r>
    <x v="0"/>
    <x v="5"/>
    <s v="MAGECA S A"/>
    <s v="ND 00002-00000057"/>
    <m/>
    <n v="515040.5"/>
    <x v="2"/>
  </r>
  <r>
    <x v="0"/>
    <x v="6"/>
    <s v="MANOLIO MARIANO SERGIO"/>
    <s v="FA 00003-00000974"/>
    <m/>
    <n v="34220"/>
    <x v="2"/>
  </r>
  <r>
    <x v="0"/>
    <x v="7"/>
    <s v="TELECOM ARGENTINA SOCIEDAD ANONIMA"/>
    <s v="FA 4264-05249336"/>
    <d v="2025-04-18T00:00:00"/>
    <n v="130551"/>
    <x v="2"/>
  </r>
  <r>
    <x v="0"/>
    <x v="9"/>
    <s v="SEGURIDAD DENAPOLI SRL"/>
    <s v="FA 00004-00009645"/>
    <m/>
    <n v="38096"/>
    <x v="2"/>
  </r>
  <r>
    <x v="2"/>
    <x v="2"/>
    <s v="GALERIA GRAL GUEMES S A I"/>
    <s v="FA 00003-00018750"/>
    <m/>
    <n v="540862"/>
    <x v="2"/>
  </r>
  <r>
    <x v="2"/>
    <x v="5"/>
    <s v="GALERIA GRAL GUEMES S A I"/>
    <s v="FA 00003-00018750"/>
    <m/>
    <n v="274476.14"/>
    <x v="2"/>
  </r>
  <r>
    <x v="2"/>
    <x v="6"/>
    <s v="MANOLIO MARIANO SERGIO"/>
    <s v="FA 00003-00000974"/>
    <m/>
    <n v="27480"/>
    <x v="2"/>
  </r>
  <r>
    <x v="2"/>
    <x v="7"/>
    <s v="TELECOM ARGENTINA SOCIEDAD ANONIMA"/>
    <s v="FA 4264-05217439"/>
    <d v="2025-04-18T00:00:00"/>
    <n v="32275"/>
    <x v="2"/>
  </r>
  <r>
    <x v="3"/>
    <x v="1"/>
    <s v="SANES JUAN MANUEL"/>
    <s v="FC 00001-00000066"/>
    <m/>
    <n v="143450"/>
    <x v="2"/>
  </r>
  <r>
    <x v="3"/>
    <x v="2"/>
    <s v="FORTIN MAURE S.A."/>
    <s v="FA 0030-000090177"/>
    <m/>
    <n v="1201308.3899999999"/>
    <x v="2"/>
  </r>
  <r>
    <x v="3"/>
    <x v="4"/>
    <s v="EDESUR"/>
    <s v="FA 0501-02389941"/>
    <d v="2025-04-28T00:00:00"/>
    <n v="82731.320000000007"/>
    <x v="2"/>
  </r>
  <r>
    <x v="3"/>
    <x v="5"/>
    <s v="FORTIN MAURE S.A."/>
    <s v="FA 0030-00089982"/>
    <m/>
    <n v="1997735.13"/>
    <x v="2"/>
  </r>
  <r>
    <x v="3"/>
    <x v="6"/>
    <s v="MANOLIO MARIANO SERGIO"/>
    <s v="FA 00003-00000974"/>
    <m/>
    <n v="27480"/>
    <x v="2"/>
  </r>
  <r>
    <x v="3"/>
    <x v="7"/>
    <s v="TELECOM ARGENTINA SOCIEDAD ANONIMA"/>
    <s v="FA 4264-05336176"/>
    <d v="2025-04-18T00:00:00"/>
    <n v="51942.15"/>
    <x v="2"/>
  </r>
  <r>
    <x v="3"/>
    <x v="9"/>
    <s v="SEGURIDAD DENAPOLI SRL"/>
    <s v="FA 00004-00009643"/>
    <m/>
    <n v="38096"/>
    <x v="2"/>
  </r>
  <r>
    <x v="4"/>
    <x v="2"/>
    <s v="MESATEL SA"/>
    <s v="FA 00003-00007697"/>
    <m/>
    <n v="1623633.2"/>
    <x v="2"/>
  </r>
  <r>
    <x v="4"/>
    <x v="4"/>
    <s v="EDESUR"/>
    <s v="FA 0501-02400315"/>
    <d v="2025-04-29T00:00:00"/>
    <n v="81062.570000000007"/>
    <x v="2"/>
  </r>
  <r>
    <x v="4"/>
    <x v="5"/>
    <s v="MESATEL SA"/>
    <s v="S/C"/>
    <m/>
    <n v="477750.98"/>
    <x v="2"/>
  </r>
  <r>
    <x v="4"/>
    <x v="6"/>
    <s v="MANOLIO MARIANO SERGIO"/>
    <s v="FA 00003-00000974"/>
    <m/>
    <n v="27480"/>
    <x v="2"/>
  </r>
  <r>
    <x v="5"/>
    <x v="2"/>
    <s v="MESATEL SA"/>
    <s v="FA 00003-00007699"/>
    <m/>
    <n v="825000"/>
    <x v="2"/>
  </r>
  <r>
    <x v="5"/>
    <x v="4"/>
    <s v="EDESUR"/>
    <s v="S/C"/>
    <m/>
    <n v="112692.44"/>
    <x v="2"/>
  </r>
  <r>
    <x v="5"/>
    <x v="5"/>
    <s v="MESATEL SA"/>
    <s v="S/C"/>
    <m/>
    <n v="477750.98"/>
    <x v="2"/>
  </r>
  <r>
    <x v="5"/>
    <x v="6"/>
    <s v="MANOLIO MARIANO SERGIO"/>
    <s v="FA 00003-00000974"/>
    <m/>
    <n v="27480"/>
    <x v="2"/>
  </r>
  <r>
    <x v="5"/>
    <x v="9"/>
    <s v="SEGURIDAD DENAPOLI SRL"/>
    <s v="FA 00004-00009644"/>
    <m/>
    <n v="38096"/>
    <x v="2"/>
  </r>
  <r>
    <x v="1"/>
    <x v="2"/>
    <s v="Fideicomiso Laguna Oscura"/>
    <s v="RA 00001-00000056"/>
    <m/>
    <n v="738584"/>
    <x v="2"/>
  </r>
  <r>
    <x v="1"/>
    <x v="4"/>
    <s v="EDESUR"/>
    <s v="FA 0501-02399784"/>
    <d v="2025-04-29T00:00:00"/>
    <n v="51659.38"/>
    <x v="2"/>
  </r>
  <r>
    <x v="1"/>
    <x v="4"/>
    <s v="EDESUR"/>
    <s v="FA 0501-02399785"/>
    <d v="2025-04-29T00:00:00"/>
    <n v="119742.24"/>
    <x v="2"/>
  </r>
  <r>
    <x v="1"/>
    <x v="5"/>
    <s v="Solar de french"/>
    <s v="S/C"/>
    <m/>
    <n v="262951.78999999998"/>
    <x v="2"/>
  </r>
  <r>
    <x v="1"/>
    <x v="6"/>
    <s v="MANOLIO MARIANO SERGIO"/>
    <s v="FA 00003-00000974"/>
    <m/>
    <n v="45480"/>
    <x v="2"/>
  </r>
  <r>
    <x v="1"/>
    <x v="7"/>
    <s v="TELECOM ARGENTINA SOCIEDAD ANONIMA"/>
    <s v="FA 4264-05236055"/>
    <d v="2025-04-18T00:00:00"/>
    <n v="92450"/>
    <x v="2"/>
  </r>
  <r>
    <x v="1"/>
    <x v="9"/>
    <s v="SEGURIDAD DENAPOLI SRL"/>
    <s v="FA 00004-00009640"/>
    <m/>
    <n v="38096"/>
    <x v="2"/>
  </r>
  <r>
    <x v="6"/>
    <x v="1"/>
    <s v="SANES JUAN MANUEL"/>
    <s v="FC 00001-00000088"/>
    <d v="2025-09-03T00:00:00"/>
    <n v="20000"/>
    <x v="3"/>
  </r>
  <r>
    <x v="6"/>
    <x v="4"/>
    <s v="EDESUR"/>
    <s v="FA 0501-02737818"/>
    <d v="2025-07-28T00:00:00"/>
    <n v="39282.269999999997"/>
    <x v="3"/>
  </r>
  <r>
    <x v="6"/>
    <x v="5"/>
    <s v="sin comprobante"/>
    <m/>
    <d v="2025-08-01T00:00:00"/>
    <n v="1146570.01"/>
    <x v="3"/>
  </r>
  <r>
    <x v="6"/>
    <x v="6"/>
    <s v="MANOLIO MARIANO SERGIO"/>
    <s v="FA 00003-00001006"/>
    <d v="2025-08-08T00:00:00"/>
    <n v="30230"/>
    <x v="3"/>
  </r>
  <r>
    <x v="6"/>
    <x v="7"/>
    <s v="TELEFONICA MOVILES ARGENTINA SOCIEDAD ANONIMA"/>
    <s v="FA 3103-00025772"/>
    <d v="2025-08-13T00:00:00"/>
    <n v="92918.399999999994"/>
    <x v="3"/>
  </r>
  <r>
    <x v="6"/>
    <x v="8"/>
    <s v="CHECK CLIMATIZACION"/>
    <s v="FA 00001-00000188"/>
    <d v="2025-07-30T00:00:00"/>
    <n v="692846.25"/>
    <x v="3"/>
  </r>
  <r>
    <x v="6"/>
    <x v="8"/>
    <s v="RETAMAR VICTOR ARMANDO"/>
    <s v="FC 00004-00000029"/>
    <d v="2025-08-18T00:00:00"/>
    <n v="292000"/>
    <x v="3"/>
  </r>
  <r>
    <x v="6"/>
    <x v="10"/>
    <s v="SANABRIA GUSTAVO"/>
    <s v="FA 0005-00002375"/>
    <d v="2025-08-04T00:00:00"/>
    <n v="90000"/>
    <x v="3"/>
  </r>
  <r>
    <x v="6"/>
    <x v="8"/>
    <s v="CHECK CLIMATIZACION"/>
    <s v="00001-00000191"/>
    <d v="2025-08-14T00:00:00"/>
    <n v="1638723.03"/>
    <x v="3"/>
  </r>
  <r>
    <x v="6"/>
    <x v="2"/>
    <s v="MESATEL SA"/>
    <s v="FA 00003-00008096"/>
    <d v="2025-08-01T00:00:00"/>
    <n v="1569764.97"/>
    <x v="3"/>
  </r>
  <r>
    <x v="0"/>
    <x v="0"/>
    <s v="MAGECA S A"/>
    <s v="ND 00002-00000063"/>
    <d v="2025-08-08T00:00:00"/>
    <n v="532322"/>
    <x v="3"/>
  </r>
  <r>
    <x v="0"/>
    <x v="2"/>
    <s v="MAGECA S A"/>
    <s v="FA 00002-00000220"/>
    <d v="2025-08-11T00:00:00"/>
    <n v="6550000"/>
    <x v="3"/>
  </r>
  <r>
    <x v="0"/>
    <x v="3"/>
    <s v="MAGECA S A"/>
    <s v="ND 00002-00000063"/>
    <d v="2025-08-08T00:00:00"/>
    <n v="405183.12"/>
    <x v="3"/>
  </r>
  <r>
    <x v="0"/>
    <x v="9"/>
    <s v="SEGURIDAD DENAPOLI SRL"/>
    <s v="FA 00004-00010043"/>
    <d v="2025-08-12T00:00:00"/>
    <n v="41895"/>
    <x v="3"/>
  </r>
  <r>
    <x v="0"/>
    <x v="5"/>
    <s v="MAGECA S A"/>
    <s v="ND 00002-00000063"/>
    <d v="2025-08-08T00:00:00"/>
    <n v="407740.5"/>
    <x v="3"/>
  </r>
  <r>
    <x v="0"/>
    <x v="6"/>
    <s v="MANOLIO MARIANO SERGIO"/>
    <s v="FA 00003-00001007"/>
    <d v="2025-08-08T00:00:00"/>
    <n v="37650"/>
    <x v="3"/>
  </r>
  <r>
    <x v="0"/>
    <x v="4"/>
    <s v="EDESUR"/>
    <s v="FA 0501-02743414"/>
    <d v="2025-07-29T00:00:00"/>
    <n v="150125.29999999999"/>
    <x v="3"/>
  </r>
  <r>
    <x v="0"/>
    <x v="4"/>
    <s v="EDESUR"/>
    <s v="FA 0501-02743784"/>
    <d v="2025-07-29T00:00:00"/>
    <n v="15564.05"/>
    <x v="3"/>
  </r>
  <r>
    <x v="0"/>
    <x v="4"/>
    <s v="EDESUR"/>
    <s v="FA 9904-0247509417"/>
    <d v="2025-08-04T00:00:00"/>
    <n v="477296.6"/>
    <x v="3"/>
  </r>
  <r>
    <x v="0"/>
    <x v="7"/>
    <s v="TELECOM ARGENTINA SOCIEDAD ANONIMA"/>
    <s v="FA 4264-05658214"/>
    <d v="2025-07-17T00:00:00"/>
    <n v="144997"/>
    <x v="3"/>
  </r>
  <r>
    <x v="0"/>
    <x v="1"/>
    <s v="SANES JUAN MANUEL"/>
    <s v="FC 00001-00000089"/>
    <d v="2025-09-03T00:00:00"/>
    <n v="40000"/>
    <x v="3"/>
  </r>
  <r>
    <x v="1"/>
    <x v="9"/>
    <s v="SEGURIDAD DENAPOLI SRL"/>
    <s v="FA 00004-00010036"/>
    <d v="2025-08-12T00:00:00"/>
    <n v="41895"/>
    <x v="3"/>
  </r>
  <r>
    <x v="1"/>
    <x v="1"/>
    <s v="SANES JUAN MANUEL"/>
    <s v="FC 00001-00000088"/>
    <d v="2025-09-03T00:00:00"/>
    <n v="40000"/>
    <x v="3"/>
  </r>
  <r>
    <x v="1"/>
    <x v="2"/>
    <s v="Fideicomiso Laguna Oscura"/>
    <s v="RA"/>
    <d v="2025-08-01T00:00:00"/>
    <n v="667200"/>
    <x v="3"/>
  </r>
  <r>
    <x v="1"/>
    <x v="4"/>
    <s v="EDESUR"/>
    <s v="FA 0501-02737820"/>
    <d v="2025-07-28T00:00:00"/>
    <n v="116796.22"/>
    <x v="3"/>
  </r>
  <r>
    <x v="1"/>
    <x v="4"/>
    <s v="EDESUR"/>
    <s v="FA 0501-02737819"/>
    <d v="2025-07-28T00:00:00"/>
    <n v="28181.54"/>
    <x v="3"/>
  </r>
  <r>
    <x v="1"/>
    <x v="5"/>
    <s v="Solar de french"/>
    <s v="S/C"/>
    <d v="2025-08-01T00:00:00"/>
    <n v="242602.21"/>
    <x v="3"/>
  </r>
  <r>
    <x v="1"/>
    <x v="6"/>
    <s v="MANOLIO MARIANO SERGIO"/>
    <s v="FA 00003-00001006"/>
    <d v="2025-08-08T00:00:00"/>
    <n v="30230"/>
    <x v="3"/>
  </r>
  <r>
    <x v="1"/>
    <x v="7"/>
    <s v="TELECOM ARGENTINA SOCIEDAD ANONIMA"/>
    <s v="FA 4264-05647876"/>
    <d v="2025-07-17T00:00:00"/>
    <n v="102700"/>
    <x v="3"/>
  </r>
  <r>
    <x v="1"/>
    <x v="7"/>
    <s v="TELECOM ARGENTINA SOCIEDAD ANONIMA"/>
    <s v="FA 4264-05647876"/>
    <d v="2025-07-17T00:00:00"/>
    <n v="102700"/>
    <x v="3"/>
  </r>
  <r>
    <x v="2"/>
    <x v="7"/>
    <s v="TELECOM ARGENTINA SOCIEDAD ANONIMA"/>
    <s v="FA 4264-05624998"/>
    <d v="2025-07-17T00:00:00"/>
    <n v="35325"/>
    <x v="3"/>
  </r>
  <r>
    <x v="2"/>
    <x v="10"/>
    <s v="SANABRIA GUSTAVO"/>
    <s v="FA 0005-00002371"/>
    <d v="2025-07-31T00:00:00"/>
    <n v="190000"/>
    <x v="3"/>
  </r>
  <r>
    <x v="2"/>
    <x v="2"/>
    <s v="GALERIA GRAL GUEMES S A I"/>
    <s v="FA A00003-00019216"/>
    <d v="2025-08-01T00:00:00"/>
    <n v="599275.1"/>
    <x v="3"/>
  </r>
  <r>
    <x v="2"/>
    <x v="5"/>
    <s v="GALERIA GRAL GUEMES S A I"/>
    <s v="FA A00003-00019216"/>
    <d v="2025-08-01T00:00:00"/>
    <n v="328003.06"/>
    <x v="3"/>
  </r>
  <r>
    <x v="2"/>
    <x v="11"/>
    <s v="NUEVA ATENEA SRL"/>
    <s v="FA 0002-00000890"/>
    <d v="2025-08-20T00:00:00"/>
    <n v="59500"/>
    <x v="3"/>
  </r>
  <r>
    <x v="2"/>
    <x v="6"/>
    <s v="MANOLIO MARIANO SERGIO"/>
    <s v="FA 00003-00001006"/>
    <d v="2025-08-08T00:00:00"/>
    <n v="30230"/>
    <x v="3"/>
  </r>
  <r>
    <x v="3"/>
    <x v="1"/>
    <s v="SANES JUAN MANUEL"/>
    <s v="FC 00001-00000088"/>
    <d v="2025-09-03T00:00:00"/>
    <n v="40000"/>
    <x v="3"/>
  </r>
  <r>
    <x v="3"/>
    <x v="4"/>
    <s v="EDESUR"/>
    <s v="FA 0501-02731127"/>
    <d v="2025-07-25T00:00:00"/>
    <n v="87365.62"/>
    <x v="3"/>
  </r>
  <r>
    <x v="3"/>
    <x v="5"/>
    <s v="FORTIN MAURE S.A."/>
    <s v="FA 0030-00091179"/>
    <d v="2025-08-05T00:00:00"/>
    <n v="1901854.12"/>
    <x v="3"/>
  </r>
  <r>
    <x v="3"/>
    <x v="6"/>
    <s v="MANOLIO MARIANO SERGIO"/>
    <s v="FA 00003-00001006"/>
    <d v="2025-08-08T00:00:00"/>
    <n v="30230"/>
    <x v="3"/>
  </r>
  <r>
    <x v="3"/>
    <x v="7"/>
    <s v="TELECOM ARGENTINA SOCIEDAD ANONIMA"/>
    <s v="FA 4264-05746386"/>
    <d v="2025-07-17T00:00:00"/>
    <n v="57553.73"/>
    <x v="3"/>
  </r>
  <r>
    <x v="3"/>
    <x v="10"/>
    <s v="SANABRIA GUSTAVO"/>
    <s v="FA 0005-00002376"/>
    <d v="2025-08-04T00:00:00"/>
    <n v="190000"/>
    <x v="3"/>
  </r>
  <r>
    <x v="3"/>
    <x v="9"/>
    <s v="SEGURIDAD DENAPOLI SRL"/>
    <s v="FA 00004-00010039"/>
    <d v="2025-08-12T00:00:00"/>
    <n v="41895"/>
    <x v="3"/>
  </r>
  <r>
    <x v="3"/>
    <x v="2"/>
    <s v="FORTIN MAURE S.A."/>
    <s v="FA 0030-00091406"/>
    <d v="2025-08-07T00:00:00"/>
    <n v="1299988.6000000001"/>
    <x v="3"/>
  </r>
  <r>
    <x v="3"/>
    <x v="9"/>
    <s v="SEGURIDAD DENAPOLI SRL"/>
    <s v="FA 00004-00010052"/>
    <d v="2025-08-14T00:00:00"/>
    <n v="62539"/>
    <x v="3"/>
  </r>
  <r>
    <x v="4"/>
    <x v="1"/>
    <s v="SANES JUAN MANUEL"/>
    <s v="FC 00001-00000088"/>
    <d v="2025-09-03T00:00:00"/>
    <n v="40000"/>
    <x v="3"/>
  </r>
  <r>
    <x v="4"/>
    <x v="4"/>
    <s v="EDESUR"/>
    <s v="FA 0501-02735148"/>
    <d v="2025-07-28T00:00:00"/>
    <n v="74279.91"/>
    <x v="3"/>
  </r>
  <r>
    <x v="4"/>
    <x v="6"/>
    <s v="MANOLIO MARIANO SERGIO"/>
    <s v="FA 00003-00001006"/>
    <d v="2025-08-08T00:00:00"/>
    <n v="30230"/>
    <x v="3"/>
  </r>
  <r>
    <x v="4"/>
    <x v="10"/>
    <s v="SANABRIA GUSTAVO"/>
    <s v="FA 0005-00002373"/>
    <d v="2025-07-31T00:00:00"/>
    <n v="90000"/>
    <x v="3"/>
  </r>
  <r>
    <x v="4"/>
    <x v="9"/>
    <s v="SEGURIDAD DENAPOLI SRL"/>
    <s v="FA 00004-00010042"/>
    <d v="2025-08-12T00:00:00"/>
    <n v="41895"/>
    <x v="3"/>
  </r>
  <r>
    <x v="4"/>
    <x v="2"/>
    <s v="MESATEL SA"/>
    <s v="FA 00003-00008098"/>
    <d v="2025-08-01T00:00:00"/>
    <n v="1741513.44"/>
    <x v="3"/>
  </r>
  <r>
    <x v="5"/>
    <x v="1"/>
    <s v="SANES JUAN MANUEL"/>
    <s v="FC 00001-00000088"/>
    <d v="2025-09-03T00:00:00"/>
    <n v="20000"/>
    <x v="3"/>
  </r>
  <r>
    <x v="5"/>
    <x v="6"/>
    <s v="MANOLIO MARIANO SERGIO"/>
    <s v="FA 00003-00001006"/>
    <d v="2025-08-08T00:00:00"/>
    <n v="30230"/>
    <x v="3"/>
  </r>
  <r>
    <x v="5"/>
    <x v="10"/>
    <s v="SANABRIA GUSTAVO"/>
    <s v="FA 0005-00002372"/>
    <d v="2025-07-31T00:00:00"/>
    <n v="290000"/>
    <x v="3"/>
  </r>
  <r>
    <x v="5"/>
    <x v="2"/>
    <s v="MESATEL SA"/>
    <s v="FA 00003-00008097"/>
    <d v="2025-08-01T00:00:00"/>
    <n v="887700"/>
    <x v="3"/>
  </r>
  <r>
    <x v="5"/>
    <x v="4"/>
    <s v="EDESUR"/>
    <s v="S/C"/>
    <m/>
    <n v="104085.8"/>
    <x v="3"/>
  </r>
  <r>
    <x v="6"/>
    <x v="4"/>
    <s v="EDESUR"/>
    <s v="FA 0501-0285295817"/>
    <d v="2025-09-27T00:00:00"/>
    <n v="41319.39"/>
    <x v="4"/>
  </r>
  <r>
    <x v="6"/>
    <x v="7"/>
    <s v="TELEFONICA MOVILES ARGENTINA SOCIEDAD ANONIMA"/>
    <s v="FA 3103-00027437"/>
    <d v="2025-09-13T00:00:00"/>
    <n v="95612"/>
    <x v="4"/>
  </r>
  <r>
    <x v="1"/>
    <x v="1"/>
    <s v="SANES JUAN MANUEL"/>
    <s v="FC 00001-00000090"/>
    <d v="2025-09-03T00:00:00"/>
    <n v="40000"/>
    <x v="4"/>
  </r>
  <r>
    <x v="1"/>
    <x v="6"/>
    <s v="MANOLIO MARIANO SERGIO"/>
    <s v="FA 00003-00001016"/>
    <d v="2025-09-05T00:00:00"/>
    <n v="32044"/>
    <x v="4"/>
  </r>
  <r>
    <x v="0"/>
    <x v="4"/>
    <s v="EDESUR"/>
    <s v="FA 0501-0286565617"/>
    <d v="2025-08-28T00:00:00"/>
    <n v="16035.9"/>
    <x v="4"/>
  </r>
  <r>
    <x v="0"/>
    <x v="4"/>
    <s v="EDESUR"/>
    <s v="FA 0501-0286439217"/>
    <d v="2025-08-28T00:00:00"/>
    <n v="152213.63"/>
    <x v="4"/>
  </r>
  <r>
    <x v="0"/>
    <x v="4"/>
    <s v="EDESUR"/>
    <s v="FA 9904-0249573917"/>
    <d v="2025-09-07T00:00:00"/>
    <n v="418303.83"/>
    <x v="4"/>
  </r>
  <r>
    <x v="0"/>
    <x v="7"/>
    <s v="TELECOM ARGENTINA SOCIEDAD ANONIMA"/>
    <s v="FA 4264-05797339"/>
    <d v="2025-08-19T00:00:00"/>
    <n v="148427"/>
    <x v="4"/>
  </r>
  <r>
    <x v="1"/>
    <x v="4"/>
    <s v="EDESUR"/>
    <s v="FA 0501-0285295917"/>
    <d v="2025-08-27T00:00:00"/>
    <n v="29590.880000000001"/>
    <x v="4"/>
  </r>
  <r>
    <x v="1"/>
    <x v="4"/>
    <s v="EDESUR"/>
    <s v="FA 0501-0285296017"/>
    <d v="2025-08-27T00:00:00"/>
    <n v="122558.97"/>
    <x v="4"/>
  </r>
  <r>
    <x v="1"/>
    <x v="7"/>
    <s v="TELECOM ARGENTINA SOCIEDAD ANONIMA"/>
    <s v="FA 4264-05786439"/>
    <d v="2025-08-19T00:00:00"/>
    <n v="105150"/>
    <x v="4"/>
  </r>
  <r>
    <x v="2"/>
    <x v="7"/>
    <s v="TELECOM ARGENTINA SOCIEDAD ANONIMA"/>
    <s v="FA 4264-05761516"/>
    <d v="2025-08-19T00:00:00"/>
    <n v="36375"/>
    <x v="4"/>
  </r>
  <r>
    <x v="3"/>
    <x v="4"/>
    <s v="EDESUR"/>
    <s v="FA 0501-02837979"/>
    <d v="2025-08-22T00:00:00"/>
    <n v="78366"/>
    <x v="4"/>
  </r>
  <r>
    <x v="3"/>
    <x v="7"/>
    <s v="TELECOM ARGENTINA SOCIEDAD ANONIMA"/>
    <s v="FA 4264-05885094"/>
    <d v="2025-08-20T00:00:00"/>
    <n v="59264.47"/>
    <x v="4"/>
  </r>
  <r>
    <x v="4"/>
    <x v="4"/>
    <s v="EDESUR"/>
    <s v="FA 0501-0285288517"/>
    <d v="2025-08-27T00:00:00"/>
    <n v="78066.63"/>
    <x v="4"/>
  </r>
  <r>
    <x v="6"/>
    <x v="1"/>
    <s v="SANES JUAN MANUEL"/>
    <s v="FC 00001-00000091"/>
    <d v="2025-09-03T00:00:00"/>
    <n v="20000"/>
    <x v="4"/>
  </r>
  <r>
    <x v="6"/>
    <x v="2"/>
    <s v="MESATEL SA"/>
    <s v="FA 00003-00008177"/>
    <d v="2025-09-01T00:00:00"/>
    <n v="1091639.7"/>
    <x v="4"/>
  </r>
  <r>
    <x v="6"/>
    <x v="5"/>
    <s v="sin comprobante"/>
    <m/>
    <m/>
    <n v="1062641.6000000001"/>
    <x v="4"/>
  </r>
  <r>
    <x v="6"/>
    <x v="6"/>
    <s v="MANOLIO MARIANO SERGIO"/>
    <s v="FA 00003-00001017"/>
    <d v="2025-09-05T00:00:00"/>
    <n v="32044"/>
    <x v="4"/>
  </r>
  <r>
    <x v="6"/>
    <x v="8"/>
    <s v="CHECK CLIMATIZACION"/>
    <s v="00001-00000194"/>
    <d v="2025-08-28T00:00:00"/>
    <n v="1638723.03"/>
    <x v="4"/>
  </r>
  <r>
    <x v="6"/>
    <x v="9"/>
    <s v="SEGURIDAD DENAPOLI SRL"/>
    <s v="FA 00004-00010112"/>
    <d v="2025-09-02T00:00:00"/>
    <n v="50705"/>
    <x v="4"/>
  </r>
  <r>
    <x v="0"/>
    <x v="0"/>
    <s v="MAGECA S A"/>
    <s v="ND 00002-00000065"/>
    <d v="2025-09-08T00:00:00"/>
    <n v="549364.85"/>
    <x v="4"/>
  </r>
  <r>
    <x v="0"/>
    <x v="1"/>
    <s v="SANES JUAN MANUEL"/>
    <s v="FC 00001-00000091"/>
    <d v="2025-09-03T00:00:00"/>
    <n v="40000"/>
    <x v="4"/>
  </r>
  <r>
    <x v="0"/>
    <x v="2"/>
    <s v="MAGECA S A"/>
    <s v="FA 00002-00000224"/>
    <d v="2025-09-08T00:00:00"/>
    <n v="7000000"/>
    <x v="4"/>
  </r>
  <r>
    <x v="0"/>
    <x v="3"/>
    <s v="MAGECA S A"/>
    <s v="ND 00002-00000065"/>
    <d v="2025-09-08T00:00:00"/>
    <n v="409234.95"/>
    <x v="4"/>
  </r>
  <r>
    <x v="0"/>
    <x v="5"/>
    <s v="MAGECA S A"/>
    <s v="ND 00002-00000065"/>
    <d v="2025-09-08T00:00:00"/>
    <n v="300440.5"/>
    <x v="4"/>
  </r>
  <r>
    <x v="0"/>
    <x v="6"/>
    <s v="MANOLIO MARIANO SERGIO"/>
    <s v="FA 00003-00001017"/>
    <d v="2025-09-05T00:00:00"/>
    <n v="39909"/>
    <x v="4"/>
  </r>
  <r>
    <x v="1"/>
    <x v="10"/>
    <s v="SANABRIA GUSTAVO"/>
    <s v="FA 0005-00002415"/>
    <d v="2025-09-05T00:00:00"/>
    <n v="90000"/>
    <x v="4"/>
  </r>
  <r>
    <x v="1"/>
    <x v="2"/>
    <s v="Fideicomiso Laguna Oscura"/>
    <s v="RA"/>
    <m/>
    <n v="703000"/>
    <x v="4"/>
  </r>
  <r>
    <x v="1"/>
    <x v="5"/>
    <s v="Solar de french"/>
    <s v="S/C"/>
    <m/>
    <n v="220840"/>
    <x v="4"/>
  </r>
  <r>
    <x v="2"/>
    <x v="2"/>
    <s v="GALERIA GRAL GUEMES S A I"/>
    <s v="FA 00003-00019359"/>
    <d v="2025-09-01T00:00:00"/>
    <n v="599275.1"/>
    <x v="4"/>
  </r>
  <r>
    <x v="2"/>
    <x v="5"/>
    <s v="GALERIA GRAL GUEMES S A I"/>
    <s v="FA 00003-00019359"/>
    <d v="2025-09-01T00:00:00"/>
    <n v="338831.14"/>
    <x v="4"/>
  </r>
  <r>
    <x v="2"/>
    <x v="6"/>
    <s v="MANOLIO MARIANO SERGIO"/>
    <s v="FA 00003-00001017"/>
    <d v="2025-09-05T00:00:00"/>
    <n v="32044"/>
    <x v="4"/>
  </r>
  <r>
    <x v="2"/>
    <x v="9"/>
    <s v="SEGURIDAD DENAPOLI SRL"/>
    <s v="FA 00004-00010111"/>
    <d v="2025-09-02T00:00:00"/>
    <n v="50705"/>
    <x v="4"/>
  </r>
  <r>
    <x v="2"/>
    <x v="1"/>
    <s v="SANES JUAN MANUEL"/>
    <s v="FC 00001-00000091"/>
    <d v="2025-09-03T00:00:00"/>
    <n v="40000"/>
    <x v="4"/>
  </r>
  <r>
    <x v="3"/>
    <x v="1"/>
    <s v="SANES JUAN MANUEL"/>
    <s v="FC 00001-00000091"/>
    <d v="2025-09-03T00:00:00"/>
    <n v="40000"/>
    <x v="4"/>
  </r>
  <r>
    <x v="3"/>
    <x v="2"/>
    <s v="FORTIN MAURE S.A."/>
    <s v="FA 0030-00091683"/>
    <d v="2025-09-05T00:00:00"/>
    <n v="1448355.71"/>
    <x v="4"/>
  </r>
  <r>
    <x v="3"/>
    <x v="5"/>
    <s v="FORTIN MAURE S.A."/>
    <s v="FA 0030-00091550"/>
    <d v="2025-09-03T00:00:00"/>
    <n v="1948016.5"/>
    <x v="4"/>
  </r>
  <r>
    <x v="3"/>
    <x v="6"/>
    <s v="MANOLIO MARIANO SERGIO"/>
    <s v="FA 00003-00001017"/>
    <d v="2025-09-05T00:00:00"/>
    <n v="32044"/>
    <x v="4"/>
  </r>
  <r>
    <x v="4"/>
    <x v="1"/>
    <s v="SANES JUAN MANUEL"/>
    <s v="FC 00001-00000091"/>
    <d v="2025-09-03T00:00:00"/>
    <n v="40000"/>
    <x v="4"/>
  </r>
  <r>
    <x v="4"/>
    <x v="2"/>
    <s v="MESATEL SA"/>
    <s v="FA 00003-00008176"/>
    <d v="2025-09-01T00:00:00"/>
    <n v="2250334.64"/>
    <x v="4"/>
  </r>
  <r>
    <x v="4"/>
    <x v="5"/>
    <s v="sin comprobante"/>
    <m/>
    <m/>
    <n v="531320.80000000005"/>
    <x v="4"/>
  </r>
  <r>
    <x v="4"/>
    <x v="6"/>
    <s v="MANOLIO MARIANO SERGIO"/>
    <s v="FA 00003-00001017"/>
    <d v="2025-09-05T00:00:00"/>
    <n v="32044"/>
    <x v="4"/>
  </r>
  <r>
    <x v="4"/>
    <x v="9"/>
    <s v="SEGURIDAD DENAPOLI SRL"/>
    <s v="FA 00004-00010110"/>
    <d v="2025-09-02T00:00:00"/>
    <n v="50705"/>
    <x v="4"/>
  </r>
  <r>
    <x v="5"/>
    <x v="1"/>
    <s v="SANES JUAN MANUEL"/>
    <s v="FC 00001-00000091"/>
    <d v="2025-09-03T00:00:00"/>
    <n v="20000"/>
    <x v="4"/>
  </r>
  <r>
    <x v="5"/>
    <x v="2"/>
    <s v="MESATEL SA"/>
    <s v="FA 00003-00008178"/>
    <d v="2025-09-01T00:00:00"/>
    <n v="900710.7"/>
    <x v="4"/>
  </r>
  <r>
    <x v="5"/>
    <x v="4"/>
    <s v="sin comprobante"/>
    <s v="S/C 0501-0285736117"/>
    <d v="2025-08-27T00:00:00"/>
    <n v="81878.8"/>
    <x v="4"/>
  </r>
  <r>
    <x v="5"/>
    <x v="5"/>
    <s v="sin comprobante"/>
    <m/>
    <m/>
    <n v="531320.80000000005"/>
    <x v="4"/>
  </r>
  <r>
    <x v="5"/>
    <x v="6"/>
    <s v="MANOLIO MARIANO SERGIO"/>
    <s v="FA 00003-00001017"/>
    <d v="2025-09-05T00:00:00"/>
    <n v="32044"/>
    <x v="4"/>
  </r>
  <r>
    <x v="6"/>
    <x v="8"/>
    <s v="RETAMAR VICTOR"/>
    <s v="FC 00004-00000033"/>
    <d v="2025-09-26T00:00:00"/>
    <n v="160000"/>
    <x v="4"/>
  </r>
  <r>
    <x v="5"/>
    <x v="4"/>
    <s v="sin comprobante"/>
    <s v="S/C 0501-02967314"/>
    <m/>
    <n v="55206.82"/>
    <x v="4"/>
  </r>
  <r>
    <x v="6"/>
    <x v="4"/>
    <s v="EDESUR"/>
    <s v="FA 0501-0967727"/>
    <d v="2025-09-25T00:00:00"/>
    <n v="35503.199999999997"/>
    <x v="5"/>
  </r>
  <r>
    <x v="6"/>
    <x v="7"/>
    <s v="TELEFONICA MOVILES ARGENTINA SOCIEDAD ANONIMA"/>
    <s v="FA 3103-00027437"/>
    <m/>
    <m/>
    <x v="5"/>
  </r>
  <r>
    <x v="0"/>
    <x v="4"/>
    <s v="EDESUR"/>
    <s v="FA 0501-02972785"/>
    <d v="2025-09-26T00:00:00"/>
    <n v="152944.91"/>
    <x v="5"/>
  </r>
  <r>
    <x v="0"/>
    <x v="4"/>
    <s v="EDESUR"/>
    <s v="FA 0501-02972802"/>
    <d v="2025-09-26T00:00:00"/>
    <n v="12808.44"/>
    <x v="5"/>
  </r>
  <r>
    <x v="0"/>
    <x v="4"/>
    <s v="EDESUR"/>
    <s v="FA 9904-02514639"/>
    <d v="2025-10-07T00:00:00"/>
    <n v="355731.05"/>
    <x v="5"/>
  </r>
  <r>
    <x v="0"/>
    <x v="7"/>
    <s v="TELECOM ARGENTINA SOCIEDAD ANONIMA"/>
    <s v="FA 4264-05971278"/>
    <d v="2025-09-18T00:00:00"/>
    <n v="43263"/>
    <x v="5"/>
  </r>
  <r>
    <x v="1"/>
    <x v="4"/>
    <s v="EDESUR"/>
    <s v="FA 0501-02967729"/>
    <d v="2025-09-25T00:00:00"/>
    <n v="80802.37"/>
    <x v="5"/>
  </r>
  <r>
    <x v="1"/>
    <x v="4"/>
    <s v="EDESUR"/>
    <s v="FA 0501-02967728"/>
    <d v="2025-09-25T00:00:00"/>
    <n v="13233.64"/>
    <x v="5"/>
  </r>
  <r>
    <x v="1"/>
    <x v="7"/>
    <s v="TELECOM ARGENTINA SOCIEDAD ANONIMA"/>
    <s v="FA 4264-05926248"/>
    <d v="2025-09-18T00:00:00"/>
    <n v="107250"/>
    <x v="5"/>
  </r>
  <r>
    <x v="2"/>
    <x v="7"/>
    <s v="TELECOM ARGENTINA SOCIEDAD ANONIMA"/>
    <s v="FA 4264-05900157"/>
    <d v="2025-09-18T00:00:00"/>
    <n v="37275"/>
    <x v="5"/>
  </r>
  <r>
    <x v="3"/>
    <x v="4"/>
    <s v="EDESUR"/>
    <s v="FA 0501-02955940"/>
    <d v="2025-09-23T00:00:00"/>
    <n v="82236.92"/>
    <x v="5"/>
  </r>
  <r>
    <x v="3"/>
    <x v="7"/>
    <s v="TELECOM ARGENTINA SOCIEDAD ANONIMA"/>
    <s v="FA 4264-06023609"/>
    <d v="2025-09-18T00:00:00"/>
    <n v="17015.21"/>
    <x v="5"/>
  </r>
  <r>
    <x v="3"/>
    <x v="4"/>
    <s v="EDESUR"/>
    <s v="FA 0501-03070632"/>
    <d v="2025-10-22T00:00:00"/>
    <n v="88730.1"/>
    <x v="5"/>
  </r>
  <r>
    <x v="4"/>
    <x v="4"/>
    <s v="EDESUR"/>
    <s v="FA 0501-02966199"/>
    <d v="2025-09-25T00:00:00"/>
    <n v="54955.59"/>
    <x v="5"/>
  </r>
  <r>
    <x v="5"/>
    <x v="4"/>
    <s v="sin comprobante"/>
    <s v="S/C 0501-02967314"/>
    <m/>
    <n v="55206.82"/>
    <x v="5"/>
  </r>
  <r>
    <x v="6"/>
    <x v="2"/>
    <s v="MESATEL SA"/>
    <s v="FA 00003-00008260"/>
    <d v="2025-10-01T00:00:00"/>
    <n v="957292.11"/>
    <x v="5"/>
  </r>
  <r>
    <x v="6"/>
    <x v="8"/>
    <s v="RETAMAR VICTOR"/>
    <s v="FC 00004-00000033"/>
    <d v="2025-09-26T00:00:00"/>
    <n v="160000"/>
    <x v="5"/>
  </r>
  <r>
    <x v="6"/>
    <x v="1"/>
    <s v="SANES JUAN MANUEL"/>
    <s v="FC 00001-0000099"/>
    <d v="2025-10-01T00:00:00"/>
    <n v="20000"/>
    <x v="5"/>
  </r>
  <r>
    <x v="6"/>
    <x v="2"/>
    <s v="MESATEL SA"/>
    <s v="NCA 00003-00000368"/>
    <d v="2025-10-06T00:00:00"/>
    <n v="-684480"/>
    <x v="5"/>
  </r>
  <r>
    <x v="6"/>
    <x v="4"/>
    <s v="EDESUR"/>
    <s v="FA"/>
    <m/>
    <m/>
    <x v="5"/>
  </r>
  <r>
    <x v="6"/>
    <x v="5"/>
    <s v="sin comprobante"/>
    <s v="S/C"/>
    <d v="2025-10-01T00:00:00"/>
    <n v="1077240.6200000001"/>
    <x v="5"/>
  </r>
  <r>
    <x v="6"/>
    <x v="6"/>
    <s v="MANOLIO MARIANO SERGIO"/>
    <s v="FA 00003-00001027"/>
    <d v="2025-10-06T00:00:00"/>
    <n v="32044"/>
    <x v="5"/>
  </r>
  <r>
    <x v="6"/>
    <x v="7"/>
    <s v="TELEFONICA MOVILES ARGENTINA SOCIEDAD ANONIMA"/>
    <s v="FA 3103-00029113"/>
    <d v="2025-10-13T00:00:00"/>
    <n v="97905.600000000006"/>
    <x v="5"/>
  </r>
  <r>
    <x v="6"/>
    <x v="8"/>
    <s v="CHECK CLIMATIZACION"/>
    <s v="FA 00001-00000205"/>
    <d v="2025-10-24T00:00:00"/>
    <n v="125000"/>
    <x v="5"/>
  </r>
  <r>
    <x v="6"/>
    <x v="9"/>
    <s v="SEGURIDAD DENAPOLI SRL"/>
    <m/>
    <m/>
    <m/>
    <x v="5"/>
  </r>
  <r>
    <x v="6"/>
    <x v="10"/>
    <s v="SANABRIA GUSTAVO"/>
    <s v="FA XXX-XXXXXXXX"/>
    <m/>
    <m/>
    <x v="5"/>
  </r>
  <r>
    <x v="0"/>
    <x v="0"/>
    <s v="MAGECA S A"/>
    <s v="ND 00002-00000067"/>
    <d v="2025-10-09T00:00:00"/>
    <n v="565431.96"/>
    <x v="5"/>
  </r>
  <r>
    <x v="0"/>
    <x v="1"/>
    <s v="SANES JUAN MANUEL"/>
    <s v="FC 00001-0000099"/>
    <d v="2025-10-01T00:00:00"/>
    <n v="40000"/>
    <x v="5"/>
  </r>
  <r>
    <x v="0"/>
    <x v="2"/>
    <s v="MAGECA S A"/>
    <s v="FA 00002-00000228"/>
    <d v="2025-10-09T00:00:00"/>
    <n v="7275000"/>
    <x v="5"/>
  </r>
  <r>
    <x v="0"/>
    <x v="3"/>
    <s v="MAGECA S A"/>
    <s v="ND 00002-00000067"/>
    <d v="2025-10-09T00:00:00"/>
    <n v="409234.95"/>
    <x v="5"/>
  </r>
  <r>
    <x v="0"/>
    <x v="5"/>
    <s v="MAGECA S A"/>
    <s v="ND 00002-00000067"/>
    <d v="2025-10-09T00:00:00"/>
    <n v="461390.5"/>
    <x v="5"/>
  </r>
  <r>
    <x v="0"/>
    <x v="6"/>
    <s v="MANOLIO MARIANO SERGIO"/>
    <s v="FA 00003-00001027"/>
    <d v="2025-10-06T00:00:00"/>
    <n v="39909"/>
    <x v="5"/>
  </r>
  <r>
    <x v="0"/>
    <x v="9"/>
    <s v="SEGURIDAD DENAPOLI SRL"/>
    <s v="FA 00004-00010254"/>
    <d v="2025-10-07T00:00:00"/>
    <n v="97447"/>
    <x v="5"/>
  </r>
  <r>
    <x v="1"/>
    <x v="10"/>
    <s v="SANABRIA GUSTAVO"/>
    <m/>
    <m/>
    <m/>
    <x v="5"/>
  </r>
  <r>
    <x v="1"/>
    <x v="2"/>
    <s v="Fideicomiso Laguna Oscura"/>
    <s v="RA 00001-00000202"/>
    <d v="2025-10-13T00:00:00"/>
    <n v="703000"/>
    <x v="5"/>
  </r>
  <r>
    <x v="1"/>
    <x v="4"/>
    <s v="EDESUR"/>
    <s v="FA"/>
    <m/>
    <m/>
    <x v="5"/>
  </r>
  <r>
    <x v="1"/>
    <x v="5"/>
    <s v="Solar de french"/>
    <s v="S/C"/>
    <d v="2025-10-01T00:00:00"/>
    <n v="249237.97"/>
    <x v="5"/>
  </r>
  <r>
    <x v="1"/>
    <x v="6"/>
    <s v="MANOLIO MARIANO SERGIO"/>
    <s v="FA 00003-00001027"/>
    <d v="2025-10-06T00:00:00"/>
    <n v="32044"/>
    <x v="5"/>
  </r>
  <r>
    <x v="1"/>
    <x v="7"/>
    <s v="TELECOM ARGENTINA SOCIEDAD ANONIMA"/>
    <s v="FA XXX-XXXXXXXX"/>
    <m/>
    <m/>
    <x v="5"/>
  </r>
  <r>
    <x v="1"/>
    <x v="1"/>
    <s v="SANES JUAN MANUEL"/>
    <s v="FC 00001-0000099"/>
    <d v="2025-10-01T00:00:00"/>
    <n v="40000"/>
    <x v="5"/>
  </r>
  <r>
    <x v="2"/>
    <x v="2"/>
    <s v="GALERIA GRAL GUEMES S A I"/>
    <s v="FA 00003-00019504"/>
    <d v="2025-10-01T00:00:00"/>
    <n v="599275.1"/>
    <x v="5"/>
  </r>
  <r>
    <x v="2"/>
    <x v="5"/>
    <s v="GALERIA GRAL GUEMES S A I"/>
    <s v="FA 00003-00019504"/>
    <d v="2025-10-01T00:00:00"/>
    <n v="355414"/>
    <x v="5"/>
  </r>
  <r>
    <x v="2"/>
    <x v="6"/>
    <s v="MANOLIO MARIANO SERGIO"/>
    <s v="FA 00003-00001027"/>
    <d v="2025-10-06T00:00:00"/>
    <n v="32044"/>
    <x v="5"/>
  </r>
  <r>
    <x v="2"/>
    <x v="9"/>
    <s v="SEGURIDAD DENAPOLI SRL"/>
    <m/>
    <m/>
    <m/>
    <x v="5"/>
  </r>
  <r>
    <x v="2"/>
    <x v="10"/>
    <s v="SANABRIA GUSTAVO"/>
    <m/>
    <m/>
    <m/>
    <x v="5"/>
  </r>
  <r>
    <x v="2"/>
    <x v="1"/>
    <s v="SANES JUAN MANUEL"/>
    <s v="FC 00001-0000099"/>
    <d v="2025-10-01T00:00:00"/>
    <n v="40000"/>
    <x v="5"/>
  </r>
  <r>
    <x v="2"/>
    <x v="2"/>
    <s v="GALERIA GRAL GUEMES S A I"/>
    <s v="FA 00003-00019504"/>
    <d v="2025-10-21T00:00:00"/>
    <n v="46204.11"/>
    <x v="5"/>
  </r>
  <r>
    <x v="3"/>
    <x v="1"/>
    <s v="SANES JUAN MANUEL"/>
    <s v="FC 00001-0000099"/>
    <d v="2025-10-01T00:00:00"/>
    <n v="40000"/>
    <x v="5"/>
  </r>
  <r>
    <x v="3"/>
    <x v="2"/>
    <s v="FORTIN MAURE S.A."/>
    <s v="FA 0030-00092156"/>
    <d v="2025-10-07T00:00:00"/>
    <n v="1572090.58"/>
    <x v="5"/>
  </r>
  <r>
    <x v="3"/>
    <x v="4"/>
    <s v="EDESUR"/>
    <s v="FA"/>
    <m/>
    <m/>
    <x v="5"/>
  </r>
  <r>
    <x v="3"/>
    <x v="5"/>
    <s v="FORTIN MAURE S.A."/>
    <s v="FA 0030-00091958"/>
    <d v="2025-10-03T00:00:00"/>
    <n v="2030009.81"/>
    <x v="5"/>
  </r>
  <r>
    <x v="3"/>
    <x v="6"/>
    <s v="MANOLIO MARIANO SERGIO"/>
    <s v="FA 00003-00001027"/>
    <d v="2025-10-06T00:00:00"/>
    <n v="32044"/>
    <x v="5"/>
  </r>
  <r>
    <x v="3"/>
    <x v="7"/>
    <s v="TELECOM ARGENTINA SOCIEDAD ANONIMA"/>
    <s v="FA"/>
    <m/>
    <m/>
    <x v="5"/>
  </r>
  <r>
    <x v="3"/>
    <x v="9"/>
    <s v="SEGURIDAD DENAPOLI SRL"/>
    <m/>
    <m/>
    <m/>
    <x v="5"/>
  </r>
  <r>
    <x v="3"/>
    <x v="10"/>
    <s v="SANABRIA GUSTAVO"/>
    <s v="FA XXX-XXXXXXXX"/>
    <m/>
    <m/>
    <x v="5"/>
  </r>
  <r>
    <x v="4"/>
    <x v="1"/>
    <s v="SANES JUAN MANUEL"/>
    <s v="FC 00001-0000099"/>
    <d v="2025-10-01T00:00:00"/>
    <n v="40000"/>
    <x v="5"/>
  </r>
  <r>
    <x v="4"/>
    <x v="2"/>
    <s v="MESATEL SA"/>
    <s v="FA 00003-00008263"/>
    <d v="2025-10-01T00:00:00"/>
    <n v="2190647.2000000002"/>
    <x v="5"/>
  </r>
  <r>
    <x v="4"/>
    <x v="4"/>
    <s v="EDESUR"/>
    <s v="FA"/>
    <m/>
    <m/>
    <x v="5"/>
  </r>
  <r>
    <x v="4"/>
    <x v="5"/>
    <s v="sin comprobante"/>
    <s v="S/C"/>
    <d v="2025-10-01T00:00:00"/>
    <n v="538620.31000000006"/>
    <x v="5"/>
  </r>
  <r>
    <x v="4"/>
    <x v="6"/>
    <s v="MANOLIO MARIANO SERGIO"/>
    <s v="FA 00003-00001027"/>
    <d v="2025-10-06T00:00:00"/>
    <n v="32044"/>
    <x v="5"/>
  </r>
  <r>
    <x v="5"/>
    <x v="9"/>
    <s v="SEGURIDAD DENAPOLI SRL"/>
    <s v="FA 00004-00010253"/>
    <d v="2025-10-07T00:00:00"/>
    <n v="39549"/>
    <x v="5"/>
  </r>
  <r>
    <x v="4"/>
    <x v="10"/>
    <s v="SANABRIA GUSTAVO"/>
    <s v="FA XXX-XXXXXXXX"/>
    <m/>
    <m/>
    <x v="5"/>
  </r>
  <r>
    <x v="5"/>
    <x v="1"/>
    <s v="SANES JUAN MANUEL"/>
    <s v="FC 00001-0000099"/>
    <d v="2025-10-01T00:00:00"/>
    <n v="20000"/>
    <x v="5"/>
  </r>
  <r>
    <x v="5"/>
    <x v="2"/>
    <s v="MESATEL SA"/>
    <s v="FA 00003-00008262"/>
    <d v="2025-10-01T00:00:00"/>
    <n v="1058553.7"/>
    <x v="5"/>
  </r>
  <r>
    <x v="5"/>
    <x v="4"/>
    <s v="sin comprobante"/>
    <m/>
    <m/>
    <m/>
    <x v="5"/>
  </r>
  <r>
    <x v="5"/>
    <x v="5"/>
    <s v="sin comprobante"/>
    <s v="S/C"/>
    <d v="2025-10-01T00:00:00"/>
    <n v="538620.31000000006"/>
    <x v="5"/>
  </r>
  <r>
    <x v="5"/>
    <x v="6"/>
    <s v="MANOLIO MARIANO SERGIO"/>
    <s v="FA 00003-00001027"/>
    <d v="2025-10-06T00:00:00"/>
    <n v="32044"/>
    <x v="5"/>
  </r>
  <r>
    <x v="5"/>
    <x v="10"/>
    <s v="SANABRIA GUSTAVO"/>
    <s v="FA XXX-XXXXXXXX"/>
    <m/>
    <m/>
    <x v="5"/>
  </r>
  <r>
    <x v="7"/>
    <x v="2"/>
    <s v="FORTIN MAURE S.A."/>
    <s v="FA 0030-00092074"/>
    <d v="2025-10-07T00:00:00"/>
    <n v="1635000"/>
    <x v="5"/>
  </r>
  <r>
    <x v="7"/>
    <x v="2"/>
    <s v="FORTIN MAURE S.A."/>
    <s v="FA 0030-00092074"/>
    <d v="2025-10-07T00:00:00"/>
    <m/>
    <x v="5"/>
  </r>
  <r>
    <x v="7"/>
    <x v="10"/>
    <s v="SANABRIA GUSTAVO"/>
    <m/>
    <m/>
    <m/>
    <x v="5"/>
  </r>
  <r>
    <x v="7"/>
    <x v="10"/>
    <s v="MARTINEZ VANESA"/>
    <m/>
    <m/>
    <m/>
    <x v="5"/>
  </r>
  <r>
    <x v="4"/>
    <x v="8"/>
    <s v="CHECK CLIMATIZACION"/>
    <s v="FA 00001-00000205"/>
    <d v="2025-10-24T00:00:00"/>
    <n v="125000"/>
    <x v="5"/>
  </r>
  <r>
    <x v="1"/>
    <x v="8"/>
    <s v="CHECK CLIMATIZACION"/>
    <s v="FA 00001-00000205"/>
    <d v="2025-10-24T00:00:00"/>
    <n v="250000"/>
    <x v="5"/>
  </r>
  <r>
    <x v="0"/>
    <x v="8"/>
    <s v="CHECK CLIMATIZACION"/>
    <s v="FA 00001-00000205"/>
    <d v="2025-10-24T00:00:00"/>
    <n v="250000"/>
    <x v="5"/>
  </r>
  <r>
    <x v="2"/>
    <x v="8"/>
    <s v="CHECK CLIMATIZACION"/>
    <s v="FA 00001-00000205"/>
    <d v="2025-10-24T00:00:00"/>
    <n v="300000"/>
    <x v="5"/>
  </r>
  <r>
    <x v="3"/>
    <x v="8"/>
    <s v="CHECK CLIMATIZACION"/>
    <s v="FA 00001-00000205"/>
    <d v="2025-10-24T00:00:00"/>
    <n v="3000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3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3:BN13" firstHeaderRow="1" firstDataRow="3" firstDataCol="1" rowPageCount="1" colPageCount="1"/>
  <pivotFields count="8">
    <pivotField axis="axisRow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t="default"/>
      </items>
    </pivotField>
    <pivotField showAll="0"/>
    <pivotField showAll="0"/>
    <pivotField showAll="0"/>
    <pivotField dataField="1" showAll="0"/>
    <pivotField axis="axisCol" showAll="0">
      <items count="7">
        <item x="2"/>
        <item x="1"/>
        <item x="0"/>
        <item x="3"/>
        <item x="4"/>
        <item x="5"/>
        <item t="default"/>
      </items>
    </pivotField>
    <pivotField axis="axisPage" multipleItemSelectionAllowed="1" showAll="0" defaultSubtotal="0">
      <items count="11">
        <item sd="0" x="0"/>
        <item sd="0" x="1"/>
        <item h="1" sd="0" x="10"/>
        <item sd="0" x="2"/>
        <item sd="0" x="3"/>
        <item sd="0" x="4"/>
        <item sd="0" x="5"/>
        <item sd="0" x="6"/>
        <item x="9"/>
        <item sd="0" x="7"/>
        <item sd="0" x="8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6"/>
    <field x="1"/>
  </colFields>
  <colItems count="54">
    <i>
      <x/>
      <x/>
    </i>
    <i r="1">
      <x v="1"/>
    </i>
    <i r="1">
      <x v="3"/>
    </i>
    <i r="1">
      <x v="4"/>
    </i>
    <i r="1">
      <x v="6"/>
    </i>
    <i r="1">
      <x v="7"/>
    </i>
    <i r="1">
      <x v="10"/>
    </i>
    <i t="default">
      <x/>
    </i>
    <i>
      <x v="1"/>
      <x/>
    </i>
    <i r="1">
      <x v="1"/>
    </i>
    <i r="1">
      <x v="4"/>
    </i>
    <i r="1">
      <x v="6"/>
    </i>
    <i r="1">
      <x v="7"/>
    </i>
    <i r="1">
      <x v="10"/>
    </i>
    <i t="default">
      <x v="1"/>
    </i>
    <i>
      <x v="2"/>
      <x/>
    </i>
    <i r="1">
      <x v="1"/>
    </i>
    <i r="1">
      <x v="3"/>
    </i>
    <i r="1">
      <x v="4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t="default">
      <x v="4"/>
    </i>
    <i>
      <x v="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t="default">
      <x v="5"/>
    </i>
  </colItems>
  <pageFields count="1">
    <pageField fld="7" hier="-1"/>
  </pageFields>
  <dataFields count="1">
    <dataField name="Cuenta de IMPOR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3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22:BN32" firstHeaderRow="1" firstDataRow="3" firstDataCol="1" rowPageCount="1" colPageCount="1"/>
  <pivotFields count="8">
    <pivotField axis="axisRow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t="default"/>
      </items>
    </pivotField>
    <pivotField showAll="0"/>
    <pivotField showAll="0"/>
    <pivotField showAll="0"/>
    <pivotField dataField="1" showAll="0"/>
    <pivotField axis="axisCol" showAll="0">
      <items count="7">
        <item x="2"/>
        <item x="1"/>
        <item x="0"/>
        <item x="3"/>
        <item x="4"/>
        <item x="5"/>
        <item t="default"/>
      </items>
    </pivotField>
    <pivotField axis="axisPage" multipleItemSelectionAllowed="1" showAll="0" defaultSubtotal="0">
      <items count="11">
        <item sd="0" x="0"/>
        <item sd="0" x="1"/>
        <item h="1" sd="0" x="10"/>
        <item sd="0" x="2"/>
        <item sd="0" x="3"/>
        <item sd="0" x="4"/>
        <item sd="0" x="5"/>
        <item sd="0" x="6"/>
        <item sd="0" x="9"/>
        <item sd="0" x="7"/>
        <item sd="0" x="8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6"/>
    <field x="1"/>
  </colFields>
  <colItems count="54">
    <i>
      <x/>
      <x/>
    </i>
    <i r="1">
      <x v="1"/>
    </i>
    <i r="1">
      <x v="3"/>
    </i>
    <i r="1">
      <x v="4"/>
    </i>
    <i r="1">
      <x v="6"/>
    </i>
    <i r="1">
      <x v="7"/>
    </i>
    <i r="1">
      <x v="10"/>
    </i>
    <i t="default">
      <x/>
    </i>
    <i>
      <x v="1"/>
      <x/>
    </i>
    <i r="1">
      <x v="1"/>
    </i>
    <i r="1">
      <x v="4"/>
    </i>
    <i r="1">
      <x v="6"/>
    </i>
    <i r="1">
      <x v="7"/>
    </i>
    <i r="1">
      <x v="10"/>
    </i>
    <i t="default">
      <x v="1"/>
    </i>
    <i>
      <x v="2"/>
      <x/>
    </i>
    <i r="1">
      <x v="1"/>
    </i>
    <i r="1">
      <x v="3"/>
    </i>
    <i r="1">
      <x v="4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t="default">
      <x v="4"/>
    </i>
    <i>
      <x v="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t="default">
      <x v="5"/>
    </i>
  </colItems>
  <pageFields count="1">
    <pageField fld="7" hier="-1"/>
  </pageFields>
  <dataFields count="1">
    <dataField name="Suma de IMPORTE" fld="5" baseField="0" baseItem="0" numFmtId="164"/>
  </dataFields>
  <formats count="3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" cacheId="3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A3:S13" firstHeaderRow="1" firstDataRow="3" firstDataCol="1" rowPageCount="1" colPageCount="1"/>
  <pivotFields count="8">
    <pivotField axis="axisRow" showAll="0">
      <items count="9">
        <item x="6"/>
        <item x="0"/>
        <item x="1"/>
        <item x="2"/>
        <item x="3"/>
        <item x="7"/>
        <item x="4"/>
        <item x="5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t="default"/>
      </items>
    </pivotField>
    <pivotField showAll="0"/>
    <pivotField showAll="0"/>
    <pivotField showAll="0"/>
    <pivotField dataField="1" showAll="0"/>
    <pivotField axis="axisCol" showAll="0">
      <items count="7">
        <item x="2"/>
        <item x="1"/>
        <item x="0"/>
        <item x="3"/>
        <item x="4"/>
        <item x="5"/>
        <item t="default"/>
      </items>
    </pivotField>
    <pivotField axis="axisPage" multipleItemSelectionAllowed="1" showAll="0" defaultSubtota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6"/>
    <field x="1"/>
  </colFields>
  <colItems count="18">
    <i>
      <x/>
      <x v="2"/>
    </i>
    <i r="1">
      <x v="5"/>
    </i>
    <i t="default">
      <x/>
    </i>
    <i>
      <x v="1"/>
      <x v="2"/>
    </i>
    <i r="1">
      <x v="5"/>
    </i>
    <i t="default">
      <x v="1"/>
    </i>
    <i>
      <x v="2"/>
      <x v="2"/>
    </i>
    <i r="1">
      <x v="5"/>
    </i>
    <i t="default">
      <x v="2"/>
    </i>
    <i>
      <x v="3"/>
      <x v="2"/>
    </i>
    <i r="1">
      <x v="5"/>
    </i>
    <i t="default">
      <x v="3"/>
    </i>
    <i>
      <x v="4"/>
      <x v="2"/>
    </i>
    <i r="1">
      <x v="5"/>
    </i>
    <i t="default">
      <x v="4"/>
    </i>
    <i>
      <x v="5"/>
      <x v="2"/>
    </i>
    <i r="1">
      <x v="5"/>
    </i>
    <i t="default">
      <x v="5"/>
    </i>
  </colItems>
  <pageFields count="1">
    <pageField fld="7" hier="-1"/>
  </pageFields>
  <dataFields count="1">
    <dataField name="Suma de IMPORTE" fld="5" baseField="0" baseItem="0" numFmtId="164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Z322"/>
  <sheetViews>
    <sheetView zoomScale="130" zoomScaleNormal="130" workbookViewId="0">
      <pane xSplit="1" ySplit="1" topLeftCell="D23" activePane="bottomRight" state="frozen"/>
      <selection pane="topRight" activeCell="B1" sqref="B1"/>
      <selection pane="bottomLeft" activeCell="A2" sqref="A2"/>
      <selection pane="bottomRight" activeCell="E286" sqref="E286"/>
    </sheetView>
  </sheetViews>
  <sheetFormatPr baseColWidth="10" defaultColWidth="12.88671875" defaultRowHeight="14.4" x14ac:dyDescent="0.3"/>
  <cols>
    <col min="1" max="1" width="39.88671875" style="2" bestFit="1" customWidth="1"/>
    <col min="2" max="2" width="17.6640625" style="2" bestFit="1" customWidth="1"/>
    <col min="3" max="3" width="53.21875" style="2" customWidth="1"/>
    <col min="4" max="4" width="22.5546875" style="2" customWidth="1"/>
    <col min="5" max="5" width="16" style="2" bestFit="1" customWidth="1"/>
    <col min="6" max="6" width="14.44140625" style="43" bestFit="1" customWidth="1"/>
    <col min="7" max="7" width="12.88671875" style="2"/>
    <col min="8" max="8" width="13.6640625" style="2" customWidth="1"/>
    <col min="9" max="9" width="11" style="2" customWidth="1"/>
    <col min="10" max="10" width="13.88671875" style="2" customWidth="1"/>
    <col min="11" max="11" width="11" style="2" customWidth="1"/>
    <col min="12" max="12" width="21.5546875" style="2" customWidth="1"/>
    <col min="13" max="13" width="21.44140625" style="2" customWidth="1"/>
    <col min="14" max="14" width="11.6640625" style="2" customWidth="1"/>
    <col min="15" max="15" width="10.77734375" style="2" customWidth="1"/>
    <col min="16" max="16" width="11.33203125" style="2" customWidth="1"/>
    <col min="17" max="17" width="12.33203125" style="2" customWidth="1"/>
    <col min="18" max="18" width="11.44140625" style="2" customWidth="1"/>
    <col min="19" max="19" width="12.109375" style="2" customWidth="1"/>
    <col min="20" max="20" width="11.5546875" style="2" customWidth="1"/>
    <col min="21" max="22" width="10.6640625" style="2" customWidth="1"/>
    <col min="23" max="23" width="10.44140625" style="2" customWidth="1"/>
    <col min="24" max="24" width="12.33203125" style="2" customWidth="1"/>
    <col min="25" max="25" width="12.44140625" style="2" customWidth="1"/>
    <col min="26" max="26" width="12.109375" style="2" customWidth="1"/>
    <col min="27" max="27" width="11.88671875" style="2" bestFit="1" customWidth="1"/>
    <col min="28" max="28" width="10.33203125" style="2" bestFit="1" customWidth="1"/>
    <col min="29" max="29" width="9.33203125" style="2" bestFit="1" customWidth="1"/>
    <col min="30" max="31" width="10.33203125" style="2" bestFit="1" customWidth="1"/>
    <col min="32" max="32" width="12.33203125" style="2" customWidth="1"/>
    <col min="33" max="33" width="9.33203125" style="2" customWidth="1"/>
    <col min="34" max="34" width="16.33203125" style="2" customWidth="1"/>
    <col min="35" max="35" width="6.6640625" style="2" customWidth="1"/>
    <col min="36" max="36" width="4.21875" style="2" customWidth="1"/>
    <col min="37" max="37" width="8.44140625" style="2" customWidth="1"/>
    <col min="38" max="38" width="5.44140625" style="2" customWidth="1"/>
    <col min="39" max="39" width="7.6640625" style="2" customWidth="1"/>
    <col min="40" max="40" width="12.33203125" style="2" customWidth="1"/>
    <col min="41" max="41" width="9.33203125" style="2" customWidth="1"/>
    <col min="42" max="42" width="16.33203125" style="2" customWidth="1"/>
    <col min="43" max="43" width="18.77734375" style="2" customWidth="1"/>
    <col min="44" max="44" width="12.109375" style="2" customWidth="1"/>
    <col min="45" max="45" width="9.88671875" style="2" customWidth="1"/>
    <col min="46" max="46" width="11.88671875" style="2" bestFit="1" customWidth="1"/>
    <col min="47" max="47" width="4.21875" style="2" customWidth="1"/>
    <col min="48" max="48" width="9.33203125" style="2" bestFit="1" customWidth="1"/>
    <col min="49" max="49" width="5.44140625" style="2" customWidth="1"/>
    <col min="50" max="50" width="10.33203125" style="2" bestFit="1" customWidth="1"/>
    <col min="51" max="51" width="12.33203125" style="2" customWidth="1"/>
    <col min="52" max="52" width="9.33203125" style="2" customWidth="1"/>
    <col min="53" max="53" width="16.33203125" style="2" customWidth="1"/>
    <col min="54" max="54" width="12.109375" style="2" customWidth="1"/>
    <col min="55" max="55" width="9.88671875" style="2" customWidth="1"/>
    <col min="56" max="56" width="11.88671875" style="2" bestFit="1" customWidth="1"/>
    <col min="57" max="57" width="5.21875" style="2" customWidth="1"/>
    <col min="58" max="58" width="9.33203125" style="2" bestFit="1" customWidth="1"/>
    <col min="59" max="59" width="5.44140625" style="2" customWidth="1"/>
    <col min="60" max="60" width="10.33203125" style="2" bestFit="1" customWidth="1"/>
    <col min="61" max="61" width="12.33203125" style="2" customWidth="1"/>
    <col min="62" max="62" width="9.33203125" style="2" customWidth="1"/>
    <col min="63" max="63" width="16.33203125" style="2" customWidth="1"/>
    <col min="64" max="64" width="12.109375" style="2" customWidth="1"/>
    <col min="65" max="65" width="9.88671875" style="2" customWidth="1"/>
    <col min="66" max="66" width="11.88671875" style="2" bestFit="1" customWidth="1"/>
    <col min="67" max="67" width="5.21875" style="2" customWidth="1"/>
    <col min="68" max="68" width="8.44140625" style="2" customWidth="1"/>
    <col min="69" max="69" width="9.33203125" style="2" customWidth="1"/>
    <col min="70" max="70" width="5.44140625" style="2" customWidth="1"/>
    <col min="71" max="71" width="7.6640625" style="2" customWidth="1"/>
    <col min="72" max="72" width="9.77734375" style="2" customWidth="1"/>
    <col min="73" max="73" width="12.33203125" style="2" customWidth="1"/>
    <col min="74" max="74" width="9.33203125" style="2" customWidth="1"/>
    <col min="75" max="75" width="16.33203125" style="2" customWidth="1"/>
    <col min="76" max="76" width="12.109375" style="2" customWidth="1"/>
    <col min="77" max="77" width="9.88671875" style="2" customWidth="1"/>
    <col min="78" max="78" width="7.6640625" style="2" customWidth="1"/>
    <col min="79" max="16384" width="12.88671875" style="2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3" t="s">
        <v>5</v>
      </c>
      <c r="G1" s="1" t="s">
        <v>55</v>
      </c>
      <c r="L1" s="28" t="s">
        <v>253</v>
      </c>
      <c r="M1" t="s">
        <v>254</v>
      </c>
    </row>
    <row r="2" spans="1:78" hidden="1" x14ac:dyDescent="0.3">
      <c r="A2" s="3" t="s">
        <v>64</v>
      </c>
      <c r="B2" s="3" t="s">
        <v>6</v>
      </c>
      <c r="C2" s="3" t="s">
        <v>7</v>
      </c>
      <c r="D2" s="3" t="s">
        <v>8</v>
      </c>
      <c r="E2" s="4">
        <v>45848</v>
      </c>
      <c r="F2" s="34">
        <v>514117.53</v>
      </c>
      <c r="G2" s="2">
        <v>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</row>
    <row r="3" spans="1:78" hidden="1" x14ac:dyDescent="0.3">
      <c r="A3" s="3" t="s">
        <v>64</v>
      </c>
      <c r="B3" s="3" t="s">
        <v>10</v>
      </c>
      <c r="C3" s="3" t="s">
        <v>11</v>
      </c>
      <c r="D3" s="3" t="s">
        <v>12</v>
      </c>
      <c r="E3" s="4">
        <v>45845</v>
      </c>
      <c r="F3" s="34">
        <v>55000</v>
      </c>
      <c r="G3" s="2">
        <v>7</v>
      </c>
      <c r="H3"/>
      <c r="I3"/>
      <c r="J3"/>
      <c r="K3"/>
      <c r="L3" s="28" t="s">
        <v>126</v>
      </c>
      <c r="M3" s="28" t="s">
        <v>9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hidden="1" x14ac:dyDescent="0.3">
      <c r="A4" s="3" t="s">
        <v>64</v>
      </c>
      <c r="B4" s="3" t="s">
        <v>10</v>
      </c>
      <c r="C4" s="3" t="s">
        <v>11</v>
      </c>
      <c r="D4" s="3" t="s">
        <v>13</v>
      </c>
      <c r="E4" s="4">
        <v>45845</v>
      </c>
      <c r="F4" s="34">
        <v>40000</v>
      </c>
      <c r="G4" s="2">
        <v>6</v>
      </c>
      <c r="H4"/>
      <c r="I4"/>
      <c r="J4"/>
      <c r="K4"/>
      <c r="L4"/>
      <c r="M4">
        <v>5</v>
      </c>
      <c r="N4"/>
      <c r="O4"/>
      <c r="P4"/>
      <c r="Q4"/>
      <c r="R4"/>
      <c r="S4"/>
      <c r="T4" t="s">
        <v>123</v>
      </c>
      <c r="U4">
        <v>6</v>
      </c>
      <c r="V4"/>
      <c r="W4"/>
      <c r="X4"/>
      <c r="Y4"/>
      <c r="Z4"/>
      <c r="AA4" t="s">
        <v>124</v>
      </c>
      <c r="AB4">
        <v>7</v>
      </c>
      <c r="AC4"/>
      <c r="AD4"/>
      <c r="AE4"/>
      <c r="AF4"/>
      <c r="AG4"/>
      <c r="AH4"/>
      <c r="AI4" t="s">
        <v>125</v>
      </c>
      <c r="AJ4">
        <v>8</v>
      </c>
      <c r="AK4"/>
      <c r="AL4"/>
      <c r="AM4"/>
      <c r="AN4"/>
      <c r="AO4"/>
      <c r="AP4"/>
      <c r="AQ4"/>
      <c r="AR4"/>
      <c r="AS4"/>
      <c r="AT4" t="s">
        <v>182</v>
      </c>
      <c r="AU4">
        <v>9</v>
      </c>
      <c r="AV4"/>
      <c r="AW4"/>
      <c r="AX4"/>
      <c r="AY4"/>
      <c r="AZ4"/>
      <c r="BA4"/>
      <c r="BB4"/>
      <c r="BC4"/>
      <c r="BD4" t="s">
        <v>217</v>
      </c>
      <c r="BE4">
        <v>10</v>
      </c>
      <c r="BF4"/>
      <c r="BG4"/>
      <c r="BH4"/>
      <c r="BI4"/>
      <c r="BJ4"/>
      <c r="BK4"/>
      <c r="BL4"/>
      <c r="BM4"/>
      <c r="BN4" t="s">
        <v>231</v>
      </c>
      <c r="BO4"/>
      <c r="BP4"/>
      <c r="BQ4"/>
      <c r="BR4"/>
      <c r="BS4"/>
      <c r="BT4"/>
      <c r="BU4"/>
      <c r="BV4"/>
      <c r="BW4"/>
      <c r="BX4"/>
      <c r="BY4"/>
      <c r="BZ4"/>
    </row>
    <row r="5" spans="1:78" hidden="1" x14ac:dyDescent="0.3">
      <c r="A5" s="3" t="s">
        <v>64</v>
      </c>
      <c r="B5" s="3" t="s">
        <v>15</v>
      </c>
      <c r="C5" s="3" t="s">
        <v>7</v>
      </c>
      <c r="D5" s="3" t="s">
        <v>16</v>
      </c>
      <c r="E5" s="4">
        <v>45846</v>
      </c>
      <c r="F5" s="35">
        <v>6375000</v>
      </c>
      <c r="G5" s="2">
        <v>7</v>
      </c>
      <c r="H5"/>
      <c r="I5"/>
      <c r="J5"/>
      <c r="K5"/>
      <c r="L5" s="28" t="s">
        <v>14</v>
      </c>
      <c r="M5" t="s">
        <v>6</v>
      </c>
      <c r="N5" t="s">
        <v>10</v>
      </c>
      <c r="O5" t="s">
        <v>17</v>
      </c>
      <c r="P5" t="s">
        <v>19</v>
      </c>
      <c r="Q5" t="s">
        <v>24</v>
      </c>
      <c r="R5" t="s">
        <v>28</v>
      </c>
      <c r="S5" t="s">
        <v>75</v>
      </c>
      <c r="T5"/>
      <c r="U5" t="s">
        <v>6</v>
      </c>
      <c r="V5" t="s">
        <v>10</v>
      </c>
      <c r="W5" t="s">
        <v>19</v>
      </c>
      <c r="X5" t="s">
        <v>24</v>
      </c>
      <c r="Y5" t="s">
        <v>28</v>
      </c>
      <c r="Z5" t="s">
        <v>75</v>
      </c>
      <c r="AA5"/>
      <c r="AB5" t="s">
        <v>6</v>
      </c>
      <c r="AC5" t="s">
        <v>10</v>
      </c>
      <c r="AD5" t="s">
        <v>17</v>
      </c>
      <c r="AE5" t="s">
        <v>19</v>
      </c>
      <c r="AF5" t="s">
        <v>24</v>
      </c>
      <c r="AG5" t="s">
        <v>28</v>
      </c>
      <c r="AH5" t="s">
        <v>32</v>
      </c>
      <c r="AI5"/>
      <c r="AJ5" t="s">
        <v>6</v>
      </c>
      <c r="AK5" t="s">
        <v>10</v>
      </c>
      <c r="AL5" t="s">
        <v>17</v>
      </c>
      <c r="AM5" t="s">
        <v>19</v>
      </c>
      <c r="AN5" t="s">
        <v>24</v>
      </c>
      <c r="AO5" t="s">
        <v>28</v>
      </c>
      <c r="AP5" t="s">
        <v>32</v>
      </c>
      <c r="AQ5" t="s">
        <v>166</v>
      </c>
      <c r="AR5" t="s">
        <v>75</v>
      </c>
      <c r="AS5" t="s">
        <v>144</v>
      </c>
      <c r="AT5"/>
      <c r="AU5" t="s">
        <v>6</v>
      </c>
      <c r="AV5" t="s">
        <v>10</v>
      </c>
      <c r="AW5" t="s">
        <v>17</v>
      </c>
      <c r="AX5" t="s">
        <v>19</v>
      </c>
      <c r="AY5" t="s">
        <v>24</v>
      </c>
      <c r="AZ5" t="s">
        <v>28</v>
      </c>
      <c r="BA5" t="s">
        <v>32</v>
      </c>
      <c r="BB5" t="s">
        <v>75</v>
      </c>
      <c r="BC5" t="s">
        <v>144</v>
      </c>
      <c r="BD5"/>
      <c r="BE5" t="s">
        <v>6</v>
      </c>
      <c r="BF5" t="s">
        <v>10</v>
      </c>
      <c r="BG5" t="s">
        <v>17</v>
      </c>
      <c r="BH5" t="s">
        <v>19</v>
      </c>
      <c r="BI5" t="s">
        <v>24</v>
      </c>
      <c r="BJ5" t="s">
        <v>28</v>
      </c>
      <c r="BK5" t="s">
        <v>32</v>
      </c>
      <c r="BL5" t="s">
        <v>75</v>
      </c>
      <c r="BM5" t="s">
        <v>144</v>
      </c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hidden="1" x14ac:dyDescent="0.3">
      <c r="A6" s="3" t="s">
        <v>64</v>
      </c>
      <c r="B6" s="3" t="s">
        <v>17</v>
      </c>
      <c r="C6" s="3" t="s">
        <v>7</v>
      </c>
      <c r="D6" s="3" t="s">
        <v>8</v>
      </c>
      <c r="E6" s="4">
        <v>45848</v>
      </c>
      <c r="F6" s="35">
        <v>401304.17</v>
      </c>
      <c r="G6" s="2">
        <v>7</v>
      </c>
      <c r="H6"/>
      <c r="I6"/>
      <c r="J6"/>
      <c r="K6"/>
      <c r="L6" s="5" t="s">
        <v>56</v>
      </c>
      <c r="M6" s="29"/>
      <c r="N6" s="29"/>
      <c r="O6" s="29"/>
      <c r="P6" s="29">
        <v>1</v>
      </c>
      <c r="Q6" s="29">
        <v>1</v>
      </c>
      <c r="R6" s="29">
        <v>1</v>
      </c>
      <c r="S6" s="29"/>
      <c r="T6" s="29">
        <v>3</v>
      </c>
      <c r="U6" s="29"/>
      <c r="V6" s="29">
        <v>1</v>
      </c>
      <c r="W6" s="29">
        <v>1</v>
      </c>
      <c r="X6" s="29">
        <v>1</v>
      </c>
      <c r="Y6" s="29">
        <v>1</v>
      </c>
      <c r="Z6" s="29"/>
      <c r="AA6" s="29">
        <v>4</v>
      </c>
      <c r="AB6" s="29"/>
      <c r="AC6" s="29">
        <v>1</v>
      </c>
      <c r="AD6" s="29"/>
      <c r="AE6" s="29">
        <v>1</v>
      </c>
      <c r="AF6" s="29">
        <v>1</v>
      </c>
      <c r="AG6" s="29">
        <v>1</v>
      </c>
      <c r="AH6" s="29"/>
      <c r="AI6" s="29">
        <v>4</v>
      </c>
      <c r="AJ6" s="29"/>
      <c r="AK6" s="29">
        <v>1</v>
      </c>
      <c r="AL6" s="29"/>
      <c r="AM6" s="29">
        <v>1</v>
      </c>
      <c r="AN6" s="29">
        <v>1</v>
      </c>
      <c r="AO6" s="29">
        <v>1</v>
      </c>
      <c r="AP6" s="29">
        <v>3</v>
      </c>
      <c r="AQ6" s="29"/>
      <c r="AR6" s="29"/>
      <c r="AS6" s="29">
        <v>1</v>
      </c>
      <c r="AT6" s="29">
        <v>8</v>
      </c>
      <c r="AU6" s="29"/>
      <c r="AV6" s="29">
        <v>1</v>
      </c>
      <c r="AW6" s="29"/>
      <c r="AX6" s="29">
        <v>1</v>
      </c>
      <c r="AY6" s="29">
        <v>1</v>
      </c>
      <c r="AZ6" s="29">
        <v>1</v>
      </c>
      <c r="BA6" s="29">
        <v>2</v>
      </c>
      <c r="BB6" s="29">
        <v>1</v>
      </c>
      <c r="BC6" s="29"/>
      <c r="BD6" s="29">
        <v>7</v>
      </c>
      <c r="BE6" s="29"/>
      <c r="BF6" s="29">
        <v>1</v>
      </c>
      <c r="BG6" s="29"/>
      <c r="BH6" s="29">
        <v>1</v>
      </c>
      <c r="BI6" s="29">
        <v>1</v>
      </c>
      <c r="BJ6" s="29">
        <v>1</v>
      </c>
      <c r="BK6" s="29">
        <v>2</v>
      </c>
      <c r="BL6" s="29"/>
      <c r="BM6" s="29"/>
      <c r="BN6" s="29">
        <v>6</v>
      </c>
      <c r="BO6"/>
      <c r="BP6"/>
      <c r="BQ6"/>
      <c r="BR6"/>
      <c r="BS6"/>
      <c r="BT6"/>
      <c r="BU6"/>
      <c r="BV6"/>
      <c r="BW6"/>
      <c r="BX6"/>
      <c r="BY6"/>
      <c r="BZ6"/>
    </row>
    <row r="7" spans="1:78" hidden="1" x14ac:dyDescent="0.3">
      <c r="A7" s="3" t="s">
        <v>64</v>
      </c>
      <c r="B7" s="3" t="s">
        <v>19</v>
      </c>
      <c r="C7" s="3" t="s">
        <v>19</v>
      </c>
      <c r="D7" s="3" t="s">
        <v>20</v>
      </c>
      <c r="E7" s="4">
        <v>45839</v>
      </c>
      <c r="F7" s="35">
        <v>12233.15</v>
      </c>
      <c r="G7" s="2">
        <v>7</v>
      </c>
      <c r="H7"/>
      <c r="I7"/>
      <c r="J7"/>
      <c r="K7"/>
      <c r="L7" s="5" t="s">
        <v>64</v>
      </c>
      <c r="M7" s="29">
        <v>1</v>
      </c>
      <c r="N7" s="29">
        <v>1</v>
      </c>
      <c r="O7" s="29">
        <v>1</v>
      </c>
      <c r="P7" s="29">
        <v>3</v>
      </c>
      <c r="Q7" s="29">
        <v>1</v>
      </c>
      <c r="R7" s="29">
        <v>1</v>
      </c>
      <c r="S7" s="29">
        <v>1</v>
      </c>
      <c r="T7" s="29">
        <v>9</v>
      </c>
      <c r="U7" s="29">
        <v>1</v>
      </c>
      <c r="V7" s="29">
        <v>1</v>
      </c>
      <c r="W7" s="29">
        <v>3</v>
      </c>
      <c r="X7" s="29">
        <v>1</v>
      </c>
      <c r="Y7" s="29">
        <v>1</v>
      </c>
      <c r="Z7" s="29"/>
      <c r="AA7" s="29">
        <v>7</v>
      </c>
      <c r="AB7" s="29">
        <v>1</v>
      </c>
      <c r="AC7" s="29">
        <v>1</v>
      </c>
      <c r="AD7" s="29">
        <v>1</v>
      </c>
      <c r="AE7" s="29">
        <v>3</v>
      </c>
      <c r="AF7" s="29">
        <v>1</v>
      </c>
      <c r="AG7" s="29">
        <v>1</v>
      </c>
      <c r="AH7" s="29">
        <v>1</v>
      </c>
      <c r="AI7" s="29">
        <v>9</v>
      </c>
      <c r="AJ7" s="29">
        <v>1</v>
      </c>
      <c r="AK7" s="29">
        <v>1</v>
      </c>
      <c r="AL7" s="29">
        <v>1</v>
      </c>
      <c r="AM7" s="29">
        <v>3</v>
      </c>
      <c r="AN7" s="29">
        <v>1</v>
      </c>
      <c r="AO7" s="29">
        <v>1</v>
      </c>
      <c r="AP7" s="29"/>
      <c r="AQ7" s="29"/>
      <c r="AR7" s="29">
        <v>1</v>
      </c>
      <c r="AS7" s="29"/>
      <c r="AT7" s="29">
        <v>9</v>
      </c>
      <c r="AU7" s="29">
        <v>1</v>
      </c>
      <c r="AV7" s="29">
        <v>1</v>
      </c>
      <c r="AW7" s="29">
        <v>1</v>
      </c>
      <c r="AX7" s="29">
        <v>3</v>
      </c>
      <c r="AY7" s="29">
        <v>1</v>
      </c>
      <c r="AZ7" s="29">
        <v>1</v>
      </c>
      <c r="BA7" s="29"/>
      <c r="BB7" s="29"/>
      <c r="BC7" s="29"/>
      <c r="BD7" s="29">
        <v>8</v>
      </c>
      <c r="BE7" s="29">
        <v>1</v>
      </c>
      <c r="BF7" s="29">
        <v>1</v>
      </c>
      <c r="BG7" s="29">
        <v>1</v>
      </c>
      <c r="BH7" s="29">
        <v>3</v>
      </c>
      <c r="BI7" s="29">
        <v>1</v>
      </c>
      <c r="BJ7" s="29">
        <v>1</v>
      </c>
      <c r="BK7" s="29">
        <v>1</v>
      </c>
      <c r="BL7" s="29">
        <v>1</v>
      </c>
      <c r="BM7" s="29"/>
      <c r="BN7" s="29">
        <v>10</v>
      </c>
      <c r="BO7"/>
      <c r="BP7"/>
      <c r="BQ7"/>
      <c r="BR7"/>
      <c r="BS7"/>
      <c r="BT7"/>
      <c r="BU7"/>
      <c r="BV7"/>
      <c r="BW7"/>
      <c r="BX7"/>
      <c r="BY7"/>
      <c r="BZ7"/>
    </row>
    <row r="8" spans="1:78" hidden="1" x14ac:dyDescent="0.3">
      <c r="A8" s="3" t="s">
        <v>64</v>
      </c>
      <c r="B8" s="3" t="s">
        <v>19</v>
      </c>
      <c r="C8" s="3" t="s">
        <v>19</v>
      </c>
      <c r="D8" s="3" t="s">
        <v>21</v>
      </c>
      <c r="E8" s="4">
        <v>45839</v>
      </c>
      <c r="F8" s="35">
        <v>109617.29</v>
      </c>
      <c r="G8" s="2">
        <v>7</v>
      </c>
      <c r="H8"/>
      <c r="I8"/>
      <c r="J8"/>
      <c r="K8"/>
      <c r="L8" s="5" t="s">
        <v>18</v>
      </c>
      <c r="M8" s="29"/>
      <c r="N8" s="29"/>
      <c r="O8" s="29"/>
      <c r="P8" s="29">
        <v>2</v>
      </c>
      <c r="Q8" s="29">
        <v>1</v>
      </c>
      <c r="R8" s="29">
        <v>1</v>
      </c>
      <c r="S8" s="29">
        <v>1</v>
      </c>
      <c r="T8" s="29">
        <v>5</v>
      </c>
      <c r="U8" s="29"/>
      <c r="V8" s="29">
        <v>1</v>
      </c>
      <c r="W8" s="29">
        <v>2</v>
      </c>
      <c r="X8" s="29">
        <v>1</v>
      </c>
      <c r="Y8" s="29">
        <v>1</v>
      </c>
      <c r="Z8" s="29"/>
      <c r="AA8" s="29">
        <v>5</v>
      </c>
      <c r="AB8" s="29"/>
      <c r="AC8" s="29">
        <v>1</v>
      </c>
      <c r="AD8" s="29"/>
      <c r="AE8" s="29">
        <v>2</v>
      </c>
      <c r="AF8" s="29">
        <v>1</v>
      </c>
      <c r="AG8" s="29">
        <v>1</v>
      </c>
      <c r="AH8" s="29"/>
      <c r="AI8" s="29">
        <v>5</v>
      </c>
      <c r="AJ8" s="29"/>
      <c r="AK8" s="29">
        <v>1</v>
      </c>
      <c r="AL8" s="29"/>
      <c r="AM8" s="29">
        <v>2</v>
      </c>
      <c r="AN8" s="29">
        <v>1</v>
      </c>
      <c r="AO8" s="29">
        <v>2</v>
      </c>
      <c r="AP8" s="29"/>
      <c r="AQ8" s="29"/>
      <c r="AR8" s="29">
        <v>1</v>
      </c>
      <c r="AS8" s="29"/>
      <c r="AT8" s="29">
        <v>7</v>
      </c>
      <c r="AU8" s="29"/>
      <c r="AV8" s="29">
        <v>1</v>
      </c>
      <c r="AW8" s="29"/>
      <c r="AX8" s="29">
        <v>2</v>
      </c>
      <c r="AY8" s="29">
        <v>1</v>
      </c>
      <c r="AZ8" s="29">
        <v>1</v>
      </c>
      <c r="BA8" s="29"/>
      <c r="BB8" s="29"/>
      <c r="BC8" s="29">
        <v>1</v>
      </c>
      <c r="BD8" s="29">
        <v>6</v>
      </c>
      <c r="BE8" s="29"/>
      <c r="BF8" s="29">
        <v>1</v>
      </c>
      <c r="BG8" s="29"/>
      <c r="BH8" s="29">
        <v>2</v>
      </c>
      <c r="BI8" s="29">
        <v>1</v>
      </c>
      <c r="BJ8" s="29">
        <v>1</v>
      </c>
      <c r="BK8" s="29">
        <v>1</v>
      </c>
      <c r="BL8" s="29"/>
      <c r="BM8" s="29"/>
      <c r="BN8" s="29">
        <v>6</v>
      </c>
      <c r="BO8"/>
      <c r="BP8"/>
      <c r="BQ8"/>
      <c r="BR8"/>
      <c r="BS8"/>
      <c r="BT8"/>
      <c r="BU8"/>
      <c r="BV8"/>
      <c r="BW8"/>
      <c r="BX8"/>
      <c r="BY8"/>
      <c r="BZ8"/>
    </row>
    <row r="9" spans="1:78" hidden="1" x14ac:dyDescent="0.3">
      <c r="A9" s="3" t="s">
        <v>64</v>
      </c>
      <c r="B9" s="3" t="s">
        <v>19</v>
      </c>
      <c r="C9" s="3" t="s">
        <v>19</v>
      </c>
      <c r="D9" s="3" t="s">
        <v>22</v>
      </c>
      <c r="E9" s="4">
        <v>45842</v>
      </c>
      <c r="F9" s="35">
        <v>518920.99</v>
      </c>
      <c r="G9" s="2">
        <v>7</v>
      </c>
      <c r="H9"/>
      <c r="I9"/>
      <c r="J9"/>
      <c r="K9"/>
      <c r="L9" s="5" t="s">
        <v>71</v>
      </c>
      <c r="M9" s="29"/>
      <c r="N9" s="29"/>
      <c r="O9" s="29"/>
      <c r="P9" s="29"/>
      <c r="Q9" s="29">
        <v>1</v>
      </c>
      <c r="R9" s="29">
        <v>1</v>
      </c>
      <c r="S9" s="29"/>
      <c r="T9" s="29">
        <v>2</v>
      </c>
      <c r="U9" s="29"/>
      <c r="V9" s="29">
        <v>1</v>
      </c>
      <c r="W9" s="29"/>
      <c r="X9" s="29">
        <v>1</v>
      </c>
      <c r="Y9" s="29">
        <v>1</v>
      </c>
      <c r="Z9" s="29">
        <v>1</v>
      </c>
      <c r="AA9" s="29">
        <v>4</v>
      </c>
      <c r="AB9" s="29"/>
      <c r="AC9" s="29">
        <v>1</v>
      </c>
      <c r="AD9" s="29"/>
      <c r="AE9" s="29"/>
      <c r="AF9" s="29">
        <v>1</v>
      </c>
      <c r="AG9" s="29">
        <v>1</v>
      </c>
      <c r="AH9" s="29"/>
      <c r="AI9" s="29">
        <v>3</v>
      </c>
      <c r="AJ9" s="29"/>
      <c r="AK9" s="29"/>
      <c r="AL9" s="29"/>
      <c r="AM9" s="29"/>
      <c r="AN9" s="29">
        <v>1</v>
      </c>
      <c r="AO9" s="29">
        <v>1</v>
      </c>
      <c r="AP9" s="29"/>
      <c r="AQ9" s="29">
        <v>1</v>
      </c>
      <c r="AR9" s="29"/>
      <c r="AS9" s="29">
        <v>1</v>
      </c>
      <c r="AT9" s="29">
        <v>4</v>
      </c>
      <c r="AU9" s="29"/>
      <c r="AV9" s="29">
        <v>1</v>
      </c>
      <c r="AW9" s="29"/>
      <c r="AX9" s="29"/>
      <c r="AY9" s="29">
        <v>1</v>
      </c>
      <c r="AZ9" s="29">
        <v>1</v>
      </c>
      <c r="BA9" s="29"/>
      <c r="BB9" s="29">
        <v>1</v>
      </c>
      <c r="BC9" s="29"/>
      <c r="BD9" s="29">
        <v>4</v>
      </c>
      <c r="BE9" s="29"/>
      <c r="BF9" s="29">
        <v>1</v>
      </c>
      <c r="BG9" s="29"/>
      <c r="BH9" s="29"/>
      <c r="BI9" s="29">
        <v>1</v>
      </c>
      <c r="BJ9" s="29">
        <v>1</v>
      </c>
      <c r="BK9" s="29">
        <v>1</v>
      </c>
      <c r="BL9" s="29"/>
      <c r="BM9" s="29"/>
      <c r="BN9" s="29">
        <v>4</v>
      </c>
      <c r="BO9"/>
      <c r="BP9"/>
      <c r="BQ9"/>
      <c r="BR9"/>
      <c r="BS9"/>
      <c r="BT9"/>
      <c r="BU9"/>
      <c r="BV9"/>
      <c r="BW9"/>
      <c r="BX9"/>
      <c r="BY9"/>
      <c r="BZ9"/>
    </row>
    <row r="10" spans="1:78" hidden="1" x14ac:dyDescent="0.3">
      <c r="A10" s="3" t="s">
        <v>64</v>
      </c>
      <c r="B10" s="3" t="s">
        <v>23</v>
      </c>
      <c r="C10" s="3" t="s">
        <v>7</v>
      </c>
      <c r="D10" s="3" t="s">
        <v>8</v>
      </c>
      <c r="E10" s="4">
        <v>45848</v>
      </c>
      <c r="F10" s="34">
        <v>515040.5</v>
      </c>
      <c r="G10" s="2">
        <v>7</v>
      </c>
      <c r="H10"/>
      <c r="I10"/>
      <c r="J10"/>
      <c r="K10"/>
      <c r="L10" s="5" t="s">
        <v>27</v>
      </c>
      <c r="M10" s="29"/>
      <c r="N10" s="29">
        <v>1</v>
      </c>
      <c r="O10" s="29"/>
      <c r="P10" s="29">
        <v>1</v>
      </c>
      <c r="Q10" s="29">
        <v>1</v>
      </c>
      <c r="R10" s="29">
        <v>1</v>
      </c>
      <c r="S10" s="29">
        <v>1</v>
      </c>
      <c r="T10" s="29">
        <v>5</v>
      </c>
      <c r="U10" s="29"/>
      <c r="V10" s="29">
        <v>1</v>
      </c>
      <c r="W10" s="29">
        <v>1</v>
      </c>
      <c r="X10" s="29">
        <v>1</v>
      </c>
      <c r="Y10" s="29">
        <v>1</v>
      </c>
      <c r="Z10" s="29"/>
      <c r="AA10" s="29">
        <v>4</v>
      </c>
      <c r="AB10" s="29"/>
      <c r="AC10" s="29">
        <v>1</v>
      </c>
      <c r="AD10" s="29"/>
      <c r="AE10" s="29">
        <v>1</v>
      </c>
      <c r="AF10" s="29">
        <v>1</v>
      </c>
      <c r="AG10" s="29">
        <v>1</v>
      </c>
      <c r="AH10" s="29"/>
      <c r="AI10" s="29">
        <v>4</v>
      </c>
      <c r="AJ10" s="29"/>
      <c r="AK10" s="29">
        <v>1</v>
      </c>
      <c r="AL10" s="29"/>
      <c r="AM10" s="29">
        <v>1</v>
      </c>
      <c r="AN10" s="29">
        <v>1</v>
      </c>
      <c r="AO10" s="29">
        <v>1</v>
      </c>
      <c r="AP10" s="29"/>
      <c r="AQ10" s="29"/>
      <c r="AR10" s="29">
        <v>2</v>
      </c>
      <c r="AS10" s="29">
        <v>1</v>
      </c>
      <c r="AT10" s="29">
        <v>7</v>
      </c>
      <c r="AU10" s="29"/>
      <c r="AV10" s="29">
        <v>1</v>
      </c>
      <c r="AW10" s="29"/>
      <c r="AX10" s="29">
        <v>1</v>
      </c>
      <c r="AY10" s="29">
        <v>1</v>
      </c>
      <c r="AZ10" s="29">
        <v>1</v>
      </c>
      <c r="BA10" s="29"/>
      <c r="BB10" s="29"/>
      <c r="BC10" s="29"/>
      <c r="BD10" s="29">
        <v>4</v>
      </c>
      <c r="BE10" s="29"/>
      <c r="BF10" s="29">
        <v>1</v>
      </c>
      <c r="BG10" s="29"/>
      <c r="BH10" s="29">
        <v>2</v>
      </c>
      <c r="BI10" s="29">
        <v>1</v>
      </c>
      <c r="BJ10" s="29">
        <v>1</v>
      </c>
      <c r="BK10" s="29">
        <v>1</v>
      </c>
      <c r="BL10" s="29"/>
      <c r="BM10" s="29"/>
      <c r="BN10" s="29">
        <v>6</v>
      </c>
      <c r="BO10"/>
      <c r="BP10"/>
      <c r="BQ10"/>
      <c r="BR10"/>
      <c r="BS10"/>
      <c r="BT10"/>
      <c r="BU10"/>
      <c r="BV10"/>
      <c r="BW10"/>
      <c r="BX10"/>
      <c r="BY10"/>
      <c r="BZ10"/>
    </row>
    <row r="11" spans="1:78" hidden="1" x14ac:dyDescent="0.3">
      <c r="A11" s="3" t="s">
        <v>64</v>
      </c>
      <c r="B11" s="3" t="s">
        <v>24</v>
      </c>
      <c r="C11" s="3" t="s">
        <v>25</v>
      </c>
      <c r="D11" s="3" t="s">
        <v>26</v>
      </c>
      <c r="E11" s="4">
        <v>45847</v>
      </c>
      <c r="F11" s="35">
        <v>37650</v>
      </c>
      <c r="G11" s="2">
        <v>7</v>
      </c>
      <c r="H11"/>
      <c r="I11"/>
      <c r="J11"/>
      <c r="K11"/>
      <c r="L11" s="5" t="s">
        <v>31</v>
      </c>
      <c r="M11" s="29"/>
      <c r="N11" s="29"/>
      <c r="O11" s="29"/>
      <c r="P11" s="29">
        <v>1</v>
      </c>
      <c r="Q11" s="29">
        <v>1</v>
      </c>
      <c r="R11" s="29"/>
      <c r="S11" s="29"/>
      <c r="T11" s="29">
        <v>2</v>
      </c>
      <c r="U11" s="29"/>
      <c r="V11" s="29">
        <v>1</v>
      </c>
      <c r="W11" s="29">
        <v>1</v>
      </c>
      <c r="X11" s="29">
        <v>1</v>
      </c>
      <c r="Y11" s="29"/>
      <c r="Z11" s="29"/>
      <c r="AA11" s="29">
        <v>3</v>
      </c>
      <c r="AB11" s="29"/>
      <c r="AC11" s="29">
        <v>1</v>
      </c>
      <c r="AD11" s="29"/>
      <c r="AE11" s="29">
        <v>1</v>
      </c>
      <c r="AF11" s="29">
        <v>1</v>
      </c>
      <c r="AG11" s="29"/>
      <c r="AH11" s="29"/>
      <c r="AI11" s="29">
        <v>3</v>
      </c>
      <c r="AJ11" s="29"/>
      <c r="AK11" s="29">
        <v>1</v>
      </c>
      <c r="AL11" s="29"/>
      <c r="AM11" s="29">
        <v>1</v>
      </c>
      <c r="AN11" s="29">
        <v>1</v>
      </c>
      <c r="AO11" s="29"/>
      <c r="AP11" s="29"/>
      <c r="AQ11" s="29"/>
      <c r="AR11" s="29">
        <v>1</v>
      </c>
      <c r="AS11" s="29">
        <v>1</v>
      </c>
      <c r="AT11" s="29">
        <v>5</v>
      </c>
      <c r="AU11" s="29"/>
      <c r="AV11" s="29">
        <v>1</v>
      </c>
      <c r="AW11" s="29"/>
      <c r="AX11" s="29">
        <v>1</v>
      </c>
      <c r="AY11" s="29">
        <v>1</v>
      </c>
      <c r="AZ11" s="29"/>
      <c r="BA11" s="29"/>
      <c r="BB11" s="29">
        <v>1</v>
      </c>
      <c r="BC11" s="29"/>
      <c r="BD11" s="29">
        <v>4</v>
      </c>
      <c r="BE11" s="29"/>
      <c r="BF11" s="29">
        <v>1</v>
      </c>
      <c r="BG11" s="29"/>
      <c r="BH11" s="29">
        <v>1</v>
      </c>
      <c r="BI11" s="29">
        <v>1</v>
      </c>
      <c r="BJ11" s="29"/>
      <c r="BK11" s="29">
        <v>1</v>
      </c>
      <c r="BL11" s="29"/>
      <c r="BM11" s="29"/>
      <c r="BN11" s="29">
        <v>4</v>
      </c>
      <c r="BO11"/>
      <c r="BP11"/>
      <c r="BQ11"/>
      <c r="BR11"/>
      <c r="BS11"/>
      <c r="BT11"/>
      <c r="BU11"/>
      <c r="BV11"/>
      <c r="BW11"/>
      <c r="BX11"/>
      <c r="BY11"/>
      <c r="BZ11"/>
    </row>
    <row r="12" spans="1:78" hidden="1" x14ac:dyDescent="0.3">
      <c r="A12" s="3" t="s">
        <v>64</v>
      </c>
      <c r="B12" s="3" t="s">
        <v>28</v>
      </c>
      <c r="C12" s="3" t="s">
        <v>29</v>
      </c>
      <c r="D12" s="3" t="s">
        <v>30</v>
      </c>
      <c r="E12" s="4">
        <v>45826</v>
      </c>
      <c r="F12" s="35">
        <v>142084</v>
      </c>
      <c r="G12" s="2">
        <v>7</v>
      </c>
      <c r="H12"/>
      <c r="I12"/>
      <c r="J12"/>
      <c r="K12"/>
      <c r="L12" s="5" t="s">
        <v>35</v>
      </c>
      <c r="M12" s="29"/>
      <c r="N12" s="29"/>
      <c r="O12" s="29"/>
      <c r="P12" s="29">
        <v>1</v>
      </c>
      <c r="Q12" s="29">
        <v>1</v>
      </c>
      <c r="R12" s="29"/>
      <c r="S12" s="29">
        <v>1</v>
      </c>
      <c r="T12" s="29">
        <v>3</v>
      </c>
      <c r="U12" s="29"/>
      <c r="V12" s="29"/>
      <c r="W12" s="29">
        <v>1</v>
      </c>
      <c r="X12" s="29">
        <v>1</v>
      </c>
      <c r="Y12" s="29"/>
      <c r="Z12" s="29">
        <v>1</v>
      </c>
      <c r="AA12" s="29">
        <v>3</v>
      </c>
      <c r="AB12" s="29"/>
      <c r="AC12" s="29"/>
      <c r="AD12" s="29"/>
      <c r="AE12" s="29">
        <v>1</v>
      </c>
      <c r="AF12" s="29">
        <v>1</v>
      </c>
      <c r="AG12" s="29"/>
      <c r="AH12" s="29"/>
      <c r="AI12" s="29">
        <v>2</v>
      </c>
      <c r="AJ12" s="29"/>
      <c r="AK12" s="29">
        <v>1</v>
      </c>
      <c r="AL12" s="29"/>
      <c r="AM12" s="29">
        <v>1</v>
      </c>
      <c r="AN12" s="29">
        <v>1</v>
      </c>
      <c r="AO12" s="29"/>
      <c r="AP12" s="29"/>
      <c r="AQ12" s="29"/>
      <c r="AR12" s="29"/>
      <c r="AS12" s="29">
        <v>1</v>
      </c>
      <c r="AT12" s="29">
        <v>4</v>
      </c>
      <c r="AU12" s="29"/>
      <c r="AV12" s="29">
        <v>1</v>
      </c>
      <c r="AW12" s="29"/>
      <c r="AX12" s="29">
        <v>2</v>
      </c>
      <c r="AY12" s="29">
        <v>1</v>
      </c>
      <c r="AZ12" s="29"/>
      <c r="BA12" s="29"/>
      <c r="BB12" s="29"/>
      <c r="BC12" s="29"/>
      <c r="BD12" s="29">
        <v>4</v>
      </c>
      <c r="BE12" s="29"/>
      <c r="BF12" s="29">
        <v>1</v>
      </c>
      <c r="BG12" s="29"/>
      <c r="BH12" s="29">
        <v>1</v>
      </c>
      <c r="BI12" s="29">
        <v>1</v>
      </c>
      <c r="BJ12" s="29"/>
      <c r="BK12" s="29"/>
      <c r="BL12" s="29">
        <v>1</v>
      </c>
      <c r="BM12" s="29"/>
      <c r="BN12" s="29">
        <v>4</v>
      </c>
      <c r="BO12"/>
      <c r="BP12"/>
      <c r="BQ12"/>
      <c r="BR12"/>
      <c r="BS12"/>
      <c r="BT12"/>
      <c r="BU12"/>
      <c r="BV12"/>
      <c r="BW12"/>
      <c r="BX12"/>
      <c r="BY12"/>
      <c r="BZ12"/>
    </row>
    <row r="13" spans="1:78" hidden="1" x14ac:dyDescent="0.3">
      <c r="A13" s="3" t="s">
        <v>64</v>
      </c>
      <c r="B13" s="3" t="s">
        <v>32</v>
      </c>
      <c r="C13" s="3" t="s">
        <v>33</v>
      </c>
      <c r="D13" s="3" t="s">
        <v>34</v>
      </c>
      <c r="E13" s="4">
        <v>45838</v>
      </c>
      <c r="F13" s="34">
        <v>198000</v>
      </c>
      <c r="G13" s="2">
        <v>7</v>
      </c>
      <c r="H13"/>
      <c r="I13"/>
      <c r="J13"/>
      <c r="K13"/>
      <c r="L13" s="5" t="s">
        <v>249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ht="14.4" hidden="1" customHeight="1" x14ac:dyDescent="0.3">
      <c r="A14" s="3" t="s">
        <v>18</v>
      </c>
      <c r="B14" s="3" t="s">
        <v>10</v>
      </c>
      <c r="C14" s="3" t="s">
        <v>11</v>
      </c>
      <c r="D14" s="3" t="s">
        <v>12</v>
      </c>
      <c r="E14" s="4">
        <v>45845</v>
      </c>
      <c r="F14" s="34">
        <v>55000</v>
      </c>
      <c r="G14" s="2">
        <v>7</v>
      </c>
      <c r="H14"/>
      <c r="I14"/>
      <c r="J14"/>
      <c r="K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78" ht="14.4" hidden="1" customHeight="1" x14ac:dyDescent="0.3">
      <c r="A15" s="3" t="s">
        <v>18</v>
      </c>
      <c r="B15" s="3" t="s">
        <v>10</v>
      </c>
      <c r="C15" s="3" t="s">
        <v>11</v>
      </c>
      <c r="D15" s="3" t="s">
        <v>13</v>
      </c>
      <c r="E15" s="4">
        <v>45845</v>
      </c>
      <c r="F15" s="34">
        <v>40000</v>
      </c>
      <c r="G15" s="2">
        <v>6</v>
      </c>
      <c r="L15" s="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78" ht="14.4" hidden="1" customHeight="1" x14ac:dyDescent="0.3">
      <c r="A16" s="3" t="s">
        <v>18</v>
      </c>
      <c r="B16" s="3" t="s">
        <v>15</v>
      </c>
      <c r="C16" s="3" t="s">
        <v>36</v>
      </c>
      <c r="D16" s="3" t="s">
        <v>37</v>
      </c>
      <c r="E16" s="4">
        <v>45848</v>
      </c>
      <c r="F16" s="35">
        <v>667200</v>
      </c>
      <c r="G16" s="2">
        <v>7</v>
      </c>
      <c r="L16" s="5" t="s">
        <v>131</v>
      </c>
      <c r="M16"/>
      <c r="N16" t="s">
        <v>129</v>
      </c>
      <c r="O16"/>
      <c r="P16" t="s">
        <v>132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78" ht="14.4" hidden="1" customHeight="1" x14ac:dyDescent="0.3">
      <c r="A17" s="3" t="s">
        <v>18</v>
      </c>
      <c r="B17" s="3" t="s">
        <v>19</v>
      </c>
      <c r="C17" s="3" t="s">
        <v>19</v>
      </c>
      <c r="D17" s="3" t="s">
        <v>38</v>
      </c>
      <c r="E17" s="4">
        <v>45838</v>
      </c>
      <c r="F17" s="35">
        <v>95503.32</v>
      </c>
      <c r="G17" s="2">
        <v>7</v>
      </c>
      <c r="L17" s="5" t="s">
        <v>127</v>
      </c>
      <c r="M17"/>
      <c r="N17" t="s">
        <v>130</v>
      </c>
    </row>
    <row r="18" spans="1:78" ht="14.4" hidden="1" customHeight="1" x14ac:dyDescent="0.3">
      <c r="A18" s="3" t="s">
        <v>18</v>
      </c>
      <c r="B18" s="3" t="s">
        <v>19</v>
      </c>
      <c r="C18" s="3" t="s">
        <v>19</v>
      </c>
      <c r="D18" s="3" t="s">
        <v>39</v>
      </c>
      <c r="E18" s="4">
        <v>45838</v>
      </c>
      <c r="F18" s="35">
        <v>18468.88</v>
      </c>
      <c r="G18" s="2">
        <v>7</v>
      </c>
      <c r="L18" s="5" t="s">
        <v>133</v>
      </c>
      <c r="M18"/>
      <c r="N18"/>
    </row>
    <row r="19" spans="1:78" ht="14.4" hidden="1" customHeight="1" x14ac:dyDescent="0.3">
      <c r="A19" s="3" t="s">
        <v>18</v>
      </c>
      <c r="B19" s="3" t="s">
        <v>23</v>
      </c>
      <c r="C19" s="3" t="s">
        <v>40</v>
      </c>
      <c r="D19" s="3" t="s">
        <v>41</v>
      </c>
      <c r="E19" s="4">
        <v>45839</v>
      </c>
      <c r="F19" s="34">
        <v>217135.92</v>
      </c>
      <c r="G19" s="2">
        <v>7</v>
      </c>
      <c r="L19" s="5" t="s">
        <v>134</v>
      </c>
      <c r="M19"/>
      <c r="N19"/>
    </row>
    <row r="20" spans="1:78" ht="14.4" hidden="1" customHeight="1" x14ac:dyDescent="0.3">
      <c r="A20" s="3" t="s">
        <v>18</v>
      </c>
      <c r="B20" s="3" t="s">
        <v>24</v>
      </c>
      <c r="C20" s="3" t="s">
        <v>25</v>
      </c>
      <c r="D20" s="3" t="s">
        <v>26</v>
      </c>
      <c r="E20" s="4">
        <v>45847</v>
      </c>
      <c r="F20" s="35">
        <v>30230</v>
      </c>
      <c r="G20" s="2">
        <v>7</v>
      </c>
      <c r="L20" s="28" t="s">
        <v>253</v>
      </c>
      <c r="M20" t="s">
        <v>254</v>
      </c>
    </row>
    <row r="21" spans="1:78" ht="14.4" hidden="1" customHeight="1" x14ac:dyDescent="0.3">
      <c r="A21" s="3" t="s">
        <v>18</v>
      </c>
      <c r="B21" s="3" t="s">
        <v>28</v>
      </c>
      <c r="C21" s="3" t="s">
        <v>29</v>
      </c>
      <c r="D21" s="3" t="s">
        <v>42</v>
      </c>
      <c r="E21" s="4">
        <v>45826</v>
      </c>
      <c r="F21" s="35">
        <v>100700</v>
      </c>
      <c r="G21" s="2">
        <v>7</v>
      </c>
    </row>
    <row r="22" spans="1:78" ht="14.4" hidden="1" customHeight="1" x14ac:dyDescent="0.3">
      <c r="A22" s="3" t="s">
        <v>71</v>
      </c>
      <c r="B22" s="3" t="s">
        <v>10</v>
      </c>
      <c r="C22" s="3" t="s">
        <v>11</v>
      </c>
      <c r="D22" s="3" t="s">
        <v>13</v>
      </c>
      <c r="E22" s="4">
        <v>45845</v>
      </c>
      <c r="F22" s="34">
        <v>40000</v>
      </c>
      <c r="G22" s="2">
        <v>7</v>
      </c>
      <c r="L22" s="28" t="s">
        <v>128</v>
      </c>
      <c r="M22" s="28" t="s">
        <v>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ht="14.4" customHeight="1" x14ac:dyDescent="0.3">
      <c r="A23" s="3" t="s">
        <v>71</v>
      </c>
      <c r="B23" s="3" t="s">
        <v>15</v>
      </c>
      <c r="C23" s="3" t="s">
        <v>43</v>
      </c>
      <c r="D23" s="3" t="s">
        <v>44</v>
      </c>
      <c r="E23" s="4">
        <v>45839</v>
      </c>
      <c r="F23" s="35">
        <v>599275.1</v>
      </c>
      <c r="G23" s="2">
        <v>7</v>
      </c>
      <c r="L23"/>
      <c r="M23">
        <v>5</v>
      </c>
      <c r="N23"/>
      <c r="O23"/>
      <c r="P23"/>
      <c r="Q23"/>
      <c r="R23"/>
      <c r="S23"/>
      <c r="T23" t="s">
        <v>123</v>
      </c>
      <c r="U23">
        <v>6</v>
      </c>
      <c r="V23"/>
      <c r="W23"/>
      <c r="X23"/>
      <c r="Y23"/>
      <c r="Z23"/>
      <c r="AA23" t="s">
        <v>124</v>
      </c>
      <c r="AB23">
        <v>7</v>
      </c>
      <c r="AC23"/>
      <c r="AD23"/>
      <c r="AE23"/>
      <c r="AF23"/>
      <c r="AG23"/>
      <c r="AH23"/>
      <c r="AI23" t="s">
        <v>125</v>
      </c>
      <c r="AJ23">
        <v>8</v>
      </c>
      <c r="AK23"/>
      <c r="AL23"/>
      <c r="AM23"/>
      <c r="AN23"/>
      <c r="AO23"/>
      <c r="AP23"/>
      <c r="AQ23"/>
      <c r="AR23"/>
      <c r="AS23"/>
      <c r="AT23" t="s">
        <v>182</v>
      </c>
      <c r="AU23">
        <v>9</v>
      </c>
      <c r="AV23"/>
      <c r="AW23"/>
      <c r="AX23"/>
      <c r="AY23"/>
      <c r="AZ23"/>
      <c r="BA23"/>
      <c r="BB23"/>
      <c r="BC23"/>
      <c r="BD23" t="s">
        <v>217</v>
      </c>
      <c r="BE23">
        <v>10</v>
      </c>
      <c r="BF23"/>
      <c r="BG23"/>
      <c r="BH23"/>
      <c r="BI23"/>
      <c r="BJ23"/>
      <c r="BK23"/>
      <c r="BL23"/>
      <c r="BM23"/>
      <c r="BN23" t="s">
        <v>231</v>
      </c>
      <c r="BO23"/>
      <c r="BP23"/>
      <c r="BQ23"/>
      <c r="BR23"/>
      <c r="BS23"/>
      <c r="BT23"/>
      <c r="BU23"/>
      <c r="BV23"/>
      <c r="BW23"/>
      <c r="BX23"/>
      <c r="BY23"/>
      <c r="BZ23"/>
    </row>
    <row r="24" spans="1:78" ht="14.4" customHeight="1" x14ac:dyDescent="0.3">
      <c r="A24" s="3" t="s">
        <v>71</v>
      </c>
      <c r="B24" s="3" t="s">
        <v>23</v>
      </c>
      <c r="C24" s="3" t="s">
        <v>43</v>
      </c>
      <c r="D24" s="3" t="s">
        <v>44</v>
      </c>
      <c r="E24" s="4">
        <v>45839</v>
      </c>
      <c r="F24" s="34">
        <v>306815.86</v>
      </c>
      <c r="G24" s="2">
        <v>7</v>
      </c>
      <c r="L24" s="28" t="s">
        <v>14</v>
      </c>
      <c r="M24" t="s">
        <v>6</v>
      </c>
      <c r="N24" t="s">
        <v>10</v>
      </c>
      <c r="O24" t="s">
        <v>17</v>
      </c>
      <c r="P24" t="s">
        <v>19</v>
      </c>
      <c r="Q24" t="s">
        <v>24</v>
      </c>
      <c r="R24" t="s">
        <v>28</v>
      </c>
      <c r="S24" t="s">
        <v>75</v>
      </c>
      <c r="T24"/>
      <c r="U24" t="s">
        <v>6</v>
      </c>
      <c r="V24" t="s">
        <v>10</v>
      </c>
      <c r="W24" t="s">
        <v>19</v>
      </c>
      <c r="X24" t="s">
        <v>24</v>
      </c>
      <c r="Y24" t="s">
        <v>28</v>
      </c>
      <c r="Z24" t="s">
        <v>75</v>
      </c>
      <c r="AA24"/>
      <c r="AB24" t="s">
        <v>6</v>
      </c>
      <c r="AC24" t="s">
        <v>10</v>
      </c>
      <c r="AD24" t="s">
        <v>17</v>
      </c>
      <c r="AE24" t="s">
        <v>19</v>
      </c>
      <c r="AF24" t="s">
        <v>24</v>
      </c>
      <c r="AG24" t="s">
        <v>28</v>
      </c>
      <c r="AH24" t="s">
        <v>32</v>
      </c>
      <c r="AI24"/>
      <c r="AJ24" t="s">
        <v>6</v>
      </c>
      <c r="AK24" t="s">
        <v>10</v>
      </c>
      <c r="AL24" t="s">
        <v>17</v>
      </c>
      <c r="AM24" t="s">
        <v>19</v>
      </c>
      <c r="AN24" t="s">
        <v>24</v>
      </c>
      <c r="AO24" t="s">
        <v>28</v>
      </c>
      <c r="AP24" t="s">
        <v>32</v>
      </c>
      <c r="AQ24" t="s">
        <v>166</v>
      </c>
      <c r="AR24" t="s">
        <v>75</v>
      </c>
      <c r="AS24" t="s">
        <v>144</v>
      </c>
      <c r="AT24"/>
      <c r="AU24" t="s">
        <v>6</v>
      </c>
      <c r="AV24" t="s">
        <v>10</v>
      </c>
      <c r="AW24" t="s">
        <v>17</v>
      </c>
      <c r="AX24" t="s">
        <v>19</v>
      </c>
      <c r="AY24" t="s">
        <v>24</v>
      </c>
      <c r="AZ24" t="s">
        <v>28</v>
      </c>
      <c r="BA24" t="s">
        <v>32</v>
      </c>
      <c r="BB24" t="s">
        <v>75</v>
      </c>
      <c r="BC24" t="s">
        <v>144</v>
      </c>
      <c r="BD24"/>
      <c r="BE24" t="s">
        <v>6</v>
      </c>
      <c r="BF24" t="s">
        <v>10</v>
      </c>
      <c r="BG24" t="s">
        <v>17</v>
      </c>
      <c r="BH24" t="s">
        <v>19</v>
      </c>
      <c r="BI24" t="s">
        <v>24</v>
      </c>
      <c r="BJ24" t="s">
        <v>28</v>
      </c>
      <c r="BK24" t="s">
        <v>32</v>
      </c>
      <c r="BL24" t="s">
        <v>75</v>
      </c>
      <c r="BM24" t="s">
        <v>144</v>
      </c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1:78" ht="14.4" hidden="1" customHeight="1" x14ac:dyDescent="0.3">
      <c r="A25" s="3" t="s">
        <v>71</v>
      </c>
      <c r="B25" s="3" t="s">
        <v>24</v>
      </c>
      <c r="C25" s="3" t="s">
        <v>25</v>
      </c>
      <c r="D25" s="3" t="s">
        <v>26</v>
      </c>
      <c r="E25" s="4">
        <v>45847</v>
      </c>
      <c r="F25" s="35">
        <v>30230</v>
      </c>
      <c r="G25" s="2">
        <v>7</v>
      </c>
      <c r="L25" s="5" t="s">
        <v>56</v>
      </c>
      <c r="M25" s="30"/>
      <c r="N25" s="30"/>
      <c r="O25" s="30"/>
      <c r="P25" s="30">
        <v>177166.59</v>
      </c>
      <c r="Q25" s="30">
        <v>27480</v>
      </c>
      <c r="R25" s="30">
        <v>84973.6</v>
      </c>
      <c r="S25" s="30"/>
      <c r="T25" s="30">
        <v>289620.19</v>
      </c>
      <c r="U25" s="30"/>
      <c r="V25" s="30">
        <v>40000</v>
      </c>
      <c r="W25" s="30">
        <v>36803.14</v>
      </c>
      <c r="X25" s="30">
        <v>27480</v>
      </c>
      <c r="Y25" s="30">
        <v>86841.600000000006</v>
      </c>
      <c r="Z25" s="30"/>
      <c r="AA25" s="30">
        <v>191124.74</v>
      </c>
      <c r="AB25" s="30"/>
      <c r="AC25" s="30">
        <v>40000</v>
      </c>
      <c r="AD25" s="30"/>
      <c r="AE25" s="30">
        <v>38904.29</v>
      </c>
      <c r="AF25" s="30">
        <v>30230</v>
      </c>
      <c r="AG25" s="30">
        <v>91008</v>
      </c>
      <c r="AH25" s="30"/>
      <c r="AI25" s="30">
        <v>200142.29</v>
      </c>
      <c r="AJ25" s="30"/>
      <c r="AK25" s="30">
        <v>20000</v>
      </c>
      <c r="AL25" s="30"/>
      <c r="AM25" s="30">
        <v>39282.269999999997</v>
      </c>
      <c r="AN25" s="30">
        <v>30230</v>
      </c>
      <c r="AO25" s="30">
        <v>92918.399999999994</v>
      </c>
      <c r="AP25" s="30">
        <v>2623569.2800000003</v>
      </c>
      <c r="AQ25" s="30"/>
      <c r="AR25" s="30"/>
      <c r="AS25" s="30">
        <v>90000</v>
      </c>
      <c r="AT25" s="30">
        <v>2895999.95</v>
      </c>
      <c r="AU25" s="30"/>
      <c r="AV25" s="30">
        <v>20000</v>
      </c>
      <c r="AW25" s="30"/>
      <c r="AX25" s="30">
        <v>41319.39</v>
      </c>
      <c r="AY25" s="30">
        <v>32044</v>
      </c>
      <c r="AZ25" s="30">
        <v>95612</v>
      </c>
      <c r="BA25" s="30">
        <v>1798723.03</v>
      </c>
      <c r="BB25" s="30">
        <v>50705</v>
      </c>
      <c r="BC25" s="30"/>
      <c r="BD25" s="30">
        <v>2038403.42</v>
      </c>
      <c r="BE25" s="30"/>
      <c r="BF25" s="30">
        <v>20000</v>
      </c>
      <c r="BG25" s="30"/>
      <c r="BH25" s="30">
        <v>35503.199999999997</v>
      </c>
      <c r="BI25" s="30">
        <v>32044</v>
      </c>
      <c r="BJ25" s="30">
        <v>97905.600000000006</v>
      </c>
      <c r="BK25" s="30">
        <v>285000</v>
      </c>
      <c r="BL25" s="30"/>
      <c r="BM25" s="30"/>
      <c r="BN25" s="30">
        <v>470452.8</v>
      </c>
      <c r="BO25"/>
      <c r="BP25"/>
      <c r="BQ25"/>
      <c r="BR25"/>
      <c r="BS25"/>
      <c r="BT25"/>
      <c r="BU25"/>
      <c r="BV25"/>
      <c r="BW25"/>
      <c r="BX25"/>
      <c r="BY25"/>
      <c r="BZ25"/>
    </row>
    <row r="26" spans="1:78" ht="14.4" hidden="1" customHeight="1" x14ac:dyDescent="0.3">
      <c r="A26" s="3" t="s">
        <v>71</v>
      </c>
      <c r="B26" s="3" t="s">
        <v>28</v>
      </c>
      <c r="C26" s="3" t="s">
        <v>29</v>
      </c>
      <c r="D26" s="3" t="s">
        <v>45</v>
      </c>
      <c r="E26" s="4">
        <v>45826</v>
      </c>
      <c r="F26" s="35">
        <v>34325</v>
      </c>
      <c r="G26" s="2">
        <v>7</v>
      </c>
      <c r="L26" s="5" t="s">
        <v>64</v>
      </c>
      <c r="M26" s="30">
        <v>471713.48</v>
      </c>
      <c r="N26" s="30">
        <v>361000</v>
      </c>
      <c r="O26" s="30">
        <v>393527.01</v>
      </c>
      <c r="P26" s="30">
        <v>402358.80999999994</v>
      </c>
      <c r="Q26" s="30">
        <v>34220</v>
      </c>
      <c r="R26" s="30">
        <v>130551</v>
      </c>
      <c r="S26" s="30">
        <v>38096</v>
      </c>
      <c r="T26" s="30">
        <v>1831466.2999999998</v>
      </c>
      <c r="U26" s="30">
        <v>487475.77</v>
      </c>
      <c r="V26" s="30">
        <v>40000</v>
      </c>
      <c r="W26" s="30">
        <v>510291.54</v>
      </c>
      <c r="X26" s="30">
        <v>34220</v>
      </c>
      <c r="Y26" s="30">
        <v>136229</v>
      </c>
      <c r="Z26" s="30"/>
      <c r="AA26" s="30">
        <v>1208216.31</v>
      </c>
      <c r="AB26" s="30">
        <v>514117.53</v>
      </c>
      <c r="AC26" s="30">
        <v>55000</v>
      </c>
      <c r="AD26" s="30">
        <v>401304.17</v>
      </c>
      <c r="AE26" s="30">
        <v>640771.42999999993</v>
      </c>
      <c r="AF26" s="30">
        <v>37650</v>
      </c>
      <c r="AG26" s="30">
        <v>142084</v>
      </c>
      <c r="AH26" s="30">
        <v>198000</v>
      </c>
      <c r="AI26" s="30">
        <v>1988927.13</v>
      </c>
      <c r="AJ26" s="30">
        <v>532322</v>
      </c>
      <c r="AK26" s="30">
        <v>40000</v>
      </c>
      <c r="AL26" s="30">
        <v>405183.12</v>
      </c>
      <c r="AM26" s="30">
        <v>642985.94999999995</v>
      </c>
      <c r="AN26" s="30">
        <v>37650</v>
      </c>
      <c r="AO26" s="30">
        <v>144997</v>
      </c>
      <c r="AP26" s="30"/>
      <c r="AQ26" s="30"/>
      <c r="AR26" s="30">
        <v>41895</v>
      </c>
      <c r="AS26" s="30"/>
      <c r="AT26" s="30">
        <v>1845033.0699999998</v>
      </c>
      <c r="AU26" s="30">
        <v>549364.85</v>
      </c>
      <c r="AV26" s="30">
        <v>40000</v>
      </c>
      <c r="AW26" s="30">
        <v>409234.95</v>
      </c>
      <c r="AX26" s="30">
        <v>586553.36</v>
      </c>
      <c r="AY26" s="30">
        <v>39909</v>
      </c>
      <c r="AZ26" s="30">
        <v>148427</v>
      </c>
      <c r="BA26" s="30"/>
      <c r="BB26" s="30"/>
      <c r="BC26" s="30"/>
      <c r="BD26" s="30">
        <v>1773489.1600000001</v>
      </c>
      <c r="BE26" s="30">
        <v>565431.96</v>
      </c>
      <c r="BF26" s="30">
        <v>40000</v>
      </c>
      <c r="BG26" s="30">
        <v>409234.95</v>
      </c>
      <c r="BH26" s="30">
        <v>521484.4</v>
      </c>
      <c r="BI26" s="30">
        <v>39909</v>
      </c>
      <c r="BJ26" s="30">
        <v>43263</v>
      </c>
      <c r="BK26" s="30">
        <v>250000</v>
      </c>
      <c r="BL26" s="30">
        <v>97447</v>
      </c>
      <c r="BM26" s="30"/>
      <c r="BN26" s="30">
        <v>1966770.31</v>
      </c>
      <c r="BO26"/>
      <c r="BP26"/>
      <c r="BQ26"/>
      <c r="BR26"/>
      <c r="BS26"/>
      <c r="BT26"/>
      <c r="BU26"/>
      <c r="BV26"/>
      <c r="BW26"/>
      <c r="BX26"/>
      <c r="BY26"/>
      <c r="BZ26"/>
    </row>
    <row r="27" spans="1:78" ht="14.4" hidden="1" customHeight="1" x14ac:dyDescent="0.3">
      <c r="A27" s="3" t="s">
        <v>27</v>
      </c>
      <c r="B27" s="3" t="s">
        <v>10</v>
      </c>
      <c r="C27" s="3" t="s">
        <v>11</v>
      </c>
      <c r="D27" s="3" t="s">
        <v>13</v>
      </c>
      <c r="E27" s="4">
        <v>45845</v>
      </c>
      <c r="F27" s="34">
        <v>40000</v>
      </c>
      <c r="G27" s="2">
        <v>6</v>
      </c>
      <c r="L27" s="5" t="s">
        <v>18</v>
      </c>
      <c r="M27" s="30"/>
      <c r="N27" s="30"/>
      <c r="O27" s="30"/>
      <c r="P27" s="30">
        <v>171401.62</v>
      </c>
      <c r="Q27" s="30">
        <v>45480</v>
      </c>
      <c r="R27" s="30">
        <v>92450</v>
      </c>
      <c r="S27" s="30">
        <v>38096</v>
      </c>
      <c r="T27" s="30">
        <v>347427.62</v>
      </c>
      <c r="U27" s="30"/>
      <c r="V27" s="30">
        <v>40000</v>
      </c>
      <c r="W27" s="30">
        <v>107735</v>
      </c>
      <c r="X27" s="30">
        <v>27480</v>
      </c>
      <c r="Y27" s="30">
        <v>96500</v>
      </c>
      <c r="Z27" s="30"/>
      <c r="AA27" s="30">
        <v>271715</v>
      </c>
      <c r="AB27" s="30"/>
      <c r="AC27" s="30">
        <v>55000</v>
      </c>
      <c r="AD27" s="30"/>
      <c r="AE27" s="30">
        <v>113972.20000000001</v>
      </c>
      <c r="AF27" s="30">
        <v>30230</v>
      </c>
      <c r="AG27" s="30">
        <v>100700</v>
      </c>
      <c r="AH27" s="30"/>
      <c r="AI27" s="30">
        <v>299902.2</v>
      </c>
      <c r="AJ27" s="30"/>
      <c r="AK27" s="30">
        <v>40000</v>
      </c>
      <c r="AL27" s="30"/>
      <c r="AM27" s="30">
        <v>144977.76</v>
      </c>
      <c r="AN27" s="30">
        <v>30230</v>
      </c>
      <c r="AO27" s="30">
        <v>205400</v>
      </c>
      <c r="AP27" s="30"/>
      <c r="AQ27" s="30"/>
      <c r="AR27" s="30">
        <v>41895</v>
      </c>
      <c r="AS27" s="30"/>
      <c r="AT27" s="30">
        <v>462502.76</v>
      </c>
      <c r="AU27" s="30"/>
      <c r="AV27" s="30">
        <v>40000</v>
      </c>
      <c r="AW27" s="30"/>
      <c r="AX27" s="30">
        <v>152149.85</v>
      </c>
      <c r="AY27" s="30">
        <v>32044</v>
      </c>
      <c r="AZ27" s="30">
        <v>105150</v>
      </c>
      <c r="BA27" s="30"/>
      <c r="BB27" s="30"/>
      <c r="BC27" s="30">
        <v>90000</v>
      </c>
      <c r="BD27" s="30">
        <v>419343.85</v>
      </c>
      <c r="BE27" s="30"/>
      <c r="BF27" s="30">
        <v>40000</v>
      </c>
      <c r="BG27" s="30"/>
      <c r="BH27" s="30">
        <v>94036.01</v>
      </c>
      <c r="BI27" s="30">
        <v>32044</v>
      </c>
      <c r="BJ27" s="30">
        <v>107250</v>
      </c>
      <c r="BK27" s="30">
        <v>250000</v>
      </c>
      <c r="BL27" s="30"/>
      <c r="BM27" s="30"/>
      <c r="BN27" s="30">
        <v>523330.01</v>
      </c>
      <c r="BO27"/>
      <c r="BP27"/>
      <c r="BQ27"/>
      <c r="BR27"/>
      <c r="BS27"/>
      <c r="BT27"/>
      <c r="BU27"/>
      <c r="BV27"/>
      <c r="BW27"/>
      <c r="BX27"/>
      <c r="BY27"/>
      <c r="BZ27"/>
    </row>
    <row r="28" spans="1:78" ht="14.4" hidden="1" customHeight="1" x14ac:dyDescent="0.3">
      <c r="A28" s="3" t="s">
        <v>27</v>
      </c>
      <c r="B28" s="3" t="s">
        <v>10</v>
      </c>
      <c r="C28" s="3" t="s">
        <v>11</v>
      </c>
      <c r="D28" s="3" t="s">
        <v>12</v>
      </c>
      <c r="E28" s="4">
        <v>45845</v>
      </c>
      <c r="F28" s="34">
        <v>55000</v>
      </c>
      <c r="G28" s="2">
        <v>7</v>
      </c>
      <c r="L28" s="5" t="s">
        <v>71</v>
      </c>
      <c r="M28" s="30"/>
      <c r="N28" s="30"/>
      <c r="O28" s="30"/>
      <c r="P28" s="30"/>
      <c r="Q28" s="30">
        <v>27480</v>
      </c>
      <c r="R28" s="30">
        <v>32275</v>
      </c>
      <c r="S28" s="30"/>
      <c r="T28" s="30">
        <v>59755</v>
      </c>
      <c r="U28" s="30"/>
      <c r="V28" s="30">
        <v>40000</v>
      </c>
      <c r="W28" s="30"/>
      <c r="X28" s="30">
        <v>27480</v>
      </c>
      <c r="Y28" s="30">
        <v>33675</v>
      </c>
      <c r="Z28" s="30">
        <v>38096</v>
      </c>
      <c r="AA28" s="30">
        <v>139251</v>
      </c>
      <c r="AB28" s="30"/>
      <c r="AC28" s="30">
        <v>40000</v>
      </c>
      <c r="AD28" s="30"/>
      <c r="AE28" s="30"/>
      <c r="AF28" s="30">
        <v>30230</v>
      </c>
      <c r="AG28" s="30">
        <v>34325</v>
      </c>
      <c r="AH28" s="30"/>
      <c r="AI28" s="30">
        <v>104555</v>
      </c>
      <c r="AJ28" s="30"/>
      <c r="AK28" s="30"/>
      <c r="AL28" s="30"/>
      <c r="AM28" s="30"/>
      <c r="AN28" s="30">
        <v>30230</v>
      </c>
      <c r="AO28" s="30">
        <v>35325</v>
      </c>
      <c r="AP28" s="30"/>
      <c r="AQ28" s="30">
        <v>59500</v>
      </c>
      <c r="AR28" s="30"/>
      <c r="AS28" s="30">
        <v>190000</v>
      </c>
      <c r="AT28" s="30">
        <v>315055</v>
      </c>
      <c r="AU28" s="30"/>
      <c r="AV28" s="30">
        <v>40000</v>
      </c>
      <c r="AW28" s="30"/>
      <c r="AX28" s="30"/>
      <c r="AY28" s="30">
        <v>32044</v>
      </c>
      <c r="AZ28" s="30">
        <v>36375</v>
      </c>
      <c r="BA28" s="30"/>
      <c r="BB28" s="30">
        <v>50705</v>
      </c>
      <c r="BC28" s="30"/>
      <c r="BD28" s="30">
        <v>159124</v>
      </c>
      <c r="BE28" s="30"/>
      <c r="BF28" s="30">
        <v>40000</v>
      </c>
      <c r="BG28" s="30"/>
      <c r="BH28" s="30"/>
      <c r="BI28" s="30">
        <v>32044</v>
      </c>
      <c r="BJ28" s="30">
        <v>37275</v>
      </c>
      <c r="BK28" s="30">
        <v>300000</v>
      </c>
      <c r="BL28" s="30"/>
      <c r="BM28" s="30"/>
      <c r="BN28" s="30">
        <v>409319</v>
      </c>
      <c r="BO28"/>
      <c r="BP28"/>
      <c r="BQ28"/>
      <c r="BR28"/>
      <c r="BS28"/>
      <c r="BT28"/>
      <c r="BU28"/>
      <c r="BV28"/>
      <c r="BW28"/>
      <c r="BX28"/>
      <c r="BY28"/>
      <c r="BZ28"/>
    </row>
    <row r="29" spans="1:78" ht="14.4" hidden="1" customHeight="1" x14ac:dyDescent="0.3">
      <c r="A29" s="3" t="s">
        <v>27</v>
      </c>
      <c r="B29" s="3" t="s">
        <v>15</v>
      </c>
      <c r="C29" s="3" t="s">
        <v>46</v>
      </c>
      <c r="D29" s="3" t="s">
        <v>47</v>
      </c>
      <c r="E29" s="4">
        <v>45842</v>
      </c>
      <c r="F29" s="35">
        <v>1299988.6000000001</v>
      </c>
      <c r="G29" s="2">
        <v>7</v>
      </c>
      <c r="L29" s="5" t="s">
        <v>27</v>
      </c>
      <c r="M29" s="30"/>
      <c r="N29" s="30">
        <v>143450</v>
      </c>
      <c r="O29" s="30"/>
      <c r="P29" s="30">
        <v>82731.320000000007</v>
      </c>
      <c r="Q29" s="30">
        <v>27480</v>
      </c>
      <c r="R29" s="30">
        <v>51942.15</v>
      </c>
      <c r="S29" s="30">
        <v>38096</v>
      </c>
      <c r="T29" s="30">
        <v>343699.47000000003</v>
      </c>
      <c r="U29" s="30"/>
      <c r="V29" s="30">
        <v>40000</v>
      </c>
      <c r="W29" s="30">
        <v>84071.59</v>
      </c>
      <c r="X29" s="30">
        <v>27480</v>
      </c>
      <c r="Y29" s="30">
        <v>53247.94</v>
      </c>
      <c r="Z29" s="30"/>
      <c r="AA29" s="30">
        <v>204799.53</v>
      </c>
      <c r="AB29" s="30"/>
      <c r="AC29" s="30">
        <v>55000</v>
      </c>
      <c r="AD29" s="30"/>
      <c r="AE29" s="30">
        <v>85254.03</v>
      </c>
      <c r="AF29" s="30">
        <v>30230</v>
      </c>
      <c r="AG29" s="30">
        <v>55892.57</v>
      </c>
      <c r="AH29" s="30"/>
      <c r="AI29" s="30">
        <v>226376.6</v>
      </c>
      <c r="AJ29" s="30"/>
      <c r="AK29" s="30">
        <v>40000</v>
      </c>
      <c r="AL29" s="30"/>
      <c r="AM29" s="30">
        <v>87365.62</v>
      </c>
      <c r="AN29" s="30">
        <v>30230</v>
      </c>
      <c r="AO29" s="30">
        <v>57553.73</v>
      </c>
      <c r="AP29" s="30"/>
      <c r="AQ29" s="30"/>
      <c r="AR29" s="30">
        <v>104434</v>
      </c>
      <c r="AS29" s="30">
        <v>190000</v>
      </c>
      <c r="AT29" s="30">
        <v>509583.35</v>
      </c>
      <c r="AU29" s="30"/>
      <c r="AV29" s="30">
        <v>40000</v>
      </c>
      <c r="AW29" s="30"/>
      <c r="AX29" s="30">
        <v>78366</v>
      </c>
      <c r="AY29" s="30">
        <v>32044</v>
      </c>
      <c r="AZ29" s="30">
        <v>59264.47</v>
      </c>
      <c r="BA29" s="30"/>
      <c r="BB29" s="30"/>
      <c r="BC29" s="30"/>
      <c r="BD29" s="30">
        <v>209674.47</v>
      </c>
      <c r="BE29" s="30"/>
      <c r="BF29" s="30">
        <v>40000</v>
      </c>
      <c r="BG29" s="30"/>
      <c r="BH29" s="30">
        <v>170967.02000000002</v>
      </c>
      <c r="BI29" s="30">
        <v>32044</v>
      </c>
      <c r="BJ29" s="30">
        <v>17015.21</v>
      </c>
      <c r="BK29" s="30">
        <v>300000</v>
      </c>
      <c r="BL29" s="30"/>
      <c r="BM29" s="30"/>
      <c r="BN29" s="30">
        <v>560026.23</v>
      </c>
      <c r="BO29"/>
      <c r="BP29"/>
      <c r="BQ29"/>
      <c r="BR29"/>
      <c r="BS29"/>
      <c r="BT29"/>
      <c r="BU29"/>
      <c r="BV29"/>
      <c r="BW29"/>
      <c r="BX29"/>
      <c r="BY29"/>
      <c r="BZ29"/>
    </row>
    <row r="30" spans="1:78" ht="14.4" hidden="1" customHeight="1" x14ac:dyDescent="0.3">
      <c r="A30" s="3" t="s">
        <v>27</v>
      </c>
      <c r="B30" s="3" t="s">
        <v>19</v>
      </c>
      <c r="C30" s="3" t="s">
        <v>19</v>
      </c>
      <c r="D30" s="3" t="s">
        <v>48</v>
      </c>
      <c r="E30" s="4">
        <v>45834</v>
      </c>
      <c r="F30" s="35">
        <v>85254.03</v>
      </c>
      <c r="G30" s="2">
        <v>7</v>
      </c>
      <c r="L30" s="5" t="s">
        <v>31</v>
      </c>
      <c r="M30" s="30"/>
      <c r="N30" s="30"/>
      <c r="O30" s="30"/>
      <c r="P30" s="30">
        <v>81062.570000000007</v>
      </c>
      <c r="Q30" s="30">
        <v>27480</v>
      </c>
      <c r="R30" s="30"/>
      <c r="S30" s="30"/>
      <c r="T30" s="30">
        <v>108542.57</v>
      </c>
      <c r="U30" s="30"/>
      <c r="V30" s="30">
        <v>40000</v>
      </c>
      <c r="W30" s="30">
        <v>52854.86</v>
      </c>
      <c r="X30" s="30">
        <v>27480</v>
      </c>
      <c r="Y30" s="30"/>
      <c r="Z30" s="30"/>
      <c r="AA30" s="30">
        <v>120334.86</v>
      </c>
      <c r="AB30" s="30"/>
      <c r="AC30" s="30">
        <v>55000</v>
      </c>
      <c r="AD30" s="30"/>
      <c r="AE30" s="30">
        <v>55809.3</v>
      </c>
      <c r="AF30" s="30">
        <v>30230</v>
      </c>
      <c r="AG30" s="30"/>
      <c r="AH30" s="30"/>
      <c r="AI30" s="30">
        <v>141039.29999999999</v>
      </c>
      <c r="AJ30" s="30"/>
      <c r="AK30" s="30">
        <v>40000</v>
      </c>
      <c r="AL30" s="30"/>
      <c r="AM30" s="30">
        <v>74279.91</v>
      </c>
      <c r="AN30" s="30">
        <v>30230</v>
      </c>
      <c r="AO30" s="30"/>
      <c r="AP30" s="30"/>
      <c r="AQ30" s="30"/>
      <c r="AR30" s="30">
        <v>41895</v>
      </c>
      <c r="AS30" s="30">
        <v>90000</v>
      </c>
      <c r="AT30" s="30">
        <v>276404.91000000003</v>
      </c>
      <c r="AU30" s="30"/>
      <c r="AV30" s="30">
        <v>40000</v>
      </c>
      <c r="AW30" s="30"/>
      <c r="AX30" s="30">
        <v>78066.63</v>
      </c>
      <c r="AY30" s="30">
        <v>32044</v>
      </c>
      <c r="AZ30" s="30"/>
      <c r="BA30" s="30"/>
      <c r="BB30" s="30">
        <v>50705</v>
      </c>
      <c r="BC30" s="30"/>
      <c r="BD30" s="30">
        <v>200815.63</v>
      </c>
      <c r="BE30" s="30"/>
      <c r="BF30" s="30">
        <v>40000</v>
      </c>
      <c r="BG30" s="30"/>
      <c r="BH30" s="30">
        <v>54955.59</v>
      </c>
      <c r="BI30" s="30">
        <v>32044</v>
      </c>
      <c r="BJ30" s="30"/>
      <c r="BK30" s="30">
        <v>125000</v>
      </c>
      <c r="BL30" s="30"/>
      <c r="BM30" s="30"/>
      <c r="BN30" s="30">
        <v>251999.59</v>
      </c>
      <c r="BO30"/>
      <c r="BP30"/>
      <c r="BQ30"/>
      <c r="BR30"/>
      <c r="BS30"/>
      <c r="BT30"/>
      <c r="BU30"/>
      <c r="BV30"/>
      <c r="BW30"/>
      <c r="BX30"/>
      <c r="BY30"/>
      <c r="BZ30"/>
    </row>
    <row r="31" spans="1:78" ht="14.4" hidden="1" customHeight="1" x14ac:dyDescent="0.3">
      <c r="A31" s="3" t="s">
        <v>27</v>
      </c>
      <c r="B31" s="3" t="s">
        <v>23</v>
      </c>
      <c r="C31" s="3" t="s">
        <v>46</v>
      </c>
      <c r="D31" s="3" t="s">
        <v>49</v>
      </c>
      <c r="E31" s="4">
        <v>45842</v>
      </c>
      <c r="F31" s="35">
        <v>1846064.21</v>
      </c>
      <c r="G31" s="2">
        <v>7</v>
      </c>
      <c r="L31" s="5" t="s">
        <v>35</v>
      </c>
      <c r="M31" s="30"/>
      <c r="N31" s="30"/>
      <c r="O31" s="30"/>
      <c r="P31" s="30">
        <v>112692.44</v>
      </c>
      <c r="Q31" s="30">
        <v>27480</v>
      </c>
      <c r="R31" s="30"/>
      <c r="S31" s="30">
        <v>38096</v>
      </c>
      <c r="T31" s="30">
        <v>178268.44</v>
      </c>
      <c r="U31" s="30"/>
      <c r="V31" s="30"/>
      <c r="W31" s="30">
        <v>47453.67</v>
      </c>
      <c r="X31" s="30">
        <v>27480</v>
      </c>
      <c r="Y31" s="30"/>
      <c r="Z31" s="30">
        <v>38096</v>
      </c>
      <c r="AA31" s="30">
        <v>113029.67</v>
      </c>
      <c r="AB31" s="30"/>
      <c r="AC31" s="30"/>
      <c r="AD31" s="30"/>
      <c r="AE31" s="30">
        <v>51498.47</v>
      </c>
      <c r="AF31" s="30">
        <v>30230</v>
      </c>
      <c r="AG31" s="30"/>
      <c r="AH31" s="30"/>
      <c r="AI31" s="30">
        <v>81728.47</v>
      </c>
      <c r="AJ31" s="30"/>
      <c r="AK31" s="30">
        <v>20000</v>
      </c>
      <c r="AL31" s="30"/>
      <c r="AM31" s="30">
        <v>104085.8</v>
      </c>
      <c r="AN31" s="30">
        <v>30230</v>
      </c>
      <c r="AO31" s="30"/>
      <c r="AP31" s="30"/>
      <c r="AQ31" s="30"/>
      <c r="AR31" s="30"/>
      <c r="AS31" s="30">
        <v>290000</v>
      </c>
      <c r="AT31" s="30">
        <v>444315.8</v>
      </c>
      <c r="AU31" s="30"/>
      <c r="AV31" s="30">
        <v>20000</v>
      </c>
      <c r="AW31" s="30"/>
      <c r="AX31" s="30">
        <v>137085.62</v>
      </c>
      <c r="AY31" s="30">
        <v>32044</v>
      </c>
      <c r="AZ31" s="30"/>
      <c r="BA31" s="30"/>
      <c r="BB31" s="30"/>
      <c r="BC31" s="30"/>
      <c r="BD31" s="30">
        <v>189129.62</v>
      </c>
      <c r="BE31" s="30"/>
      <c r="BF31" s="30">
        <v>20000</v>
      </c>
      <c r="BG31" s="30"/>
      <c r="BH31" s="30">
        <v>55206.82</v>
      </c>
      <c r="BI31" s="30">
        <v>32044</v>
      </c>
      <c r="BJ31" s="30"/>
      <c r="BK31" s="30"/>
      <c r="BL31" s="30">
        <v>39549</v>
      </c>
      <c r="BM31" s="30"/>
      <c r="BN31" s="30">
        <v>146799.82</v>
      </c>
      <c r="BO31"/>
      <c r="BP31"/>
      <c r="BQ31"/>
      <c r="BR31"/>
      <c r="BS31"/>
      <c r="BT31"/>
      <c r="BU31"/>
      <c r="BV31"/>
      <c r="BW31"/>
      <c r="BX31"/>
      <c r="BY31"/>
      <c r="BZ31"/>
    </row>
    <row r="32" spans="1:78" ht="14.4" hidden="1" customHeight="1" x14ac:dyDescent="0.3">
      <c r="A32" s="3" t="s">
        <v>27</v>
      </c>
      <c r="B32" s="3" t="s">
        <v>24</v>
      </c>
      <c r="C32" s="3" t="s">
        <v>25</v>
      </c>
      <c r="D32" s="3" t="s">
        <v>26</v>
      </c>
      <c r="E32" s="4">
        <v>45847</v>
      </c>
      <c r="F32" s="35">
        <v>30230</v>
      </c>
      <c r="G32" s="2">
        <v>7</v>
      </c>
      <c r="L32" s="5" t="s">
        <v>249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/>
      <c r="BP32"/>
      <c r="BQ32"/>
      <c r="BR32"/>
      <c r="BS32"/>
      <c r="BT32"/>
      <c r="BU32"/>
      <c r="BV32"/>
      <c r="BW32"/>
      <c r="BX32"/>
      <c r="BY32"/>
      <c r="BZ32"/>
    </row>
    <row r="33" spans="1:78" ht="14.4" hidden="1" customHeight="1" x14ac:dyDescent="0.3">
      <c r="A33" s="3" t="s">
        <v>27</v>
      </c>
      <c r="B33" s="3" t="s">
        <v>28</v>
      </c>
      <c r="C33" s="3" t="s">
        <v>29</v>
      </c>
      <c r="D33" s="3" t="s">
        <v>50</v>
      </c>
      <c r="E33" s="4">
        <v>45826</v>
      </c>
      <c r="F33" s="35">
        <v>55892.57</v>
      </c>
      <c r="G33" s="2">
        <v>7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1:78" ht="14.4" hidden="1" customHeight="1" x14ac:dyDescent="0.3">
      <c r="A34" s="3" t="s">
        <v>31</v>
      </c>
      <c r="B34" s="3" t="s">
        <v>10</v>
      </c>
      <c r="C34" s="3" t="s">
        <v>11</v>
      </c>
      <c r="D34" s="3" t="s">
        <v>12</v>
      </c>
      <c r="E34" s="4">
        <v>45845</v>
      </c>
      <c r="F34" s="34">
        <v>55000</v>
      </c>
      <c r="G34" s="2">
        <v>7</v>
      </c>
      <c r="L34" s="49" t="s">
        <v>183</v>
      </c>
      <c r="M34" s="53">
        <v>5</v>
      </c>
      <c r="N34" s="53"/>
      <c r="O34" s="53"/>
      <c r="P34" s="53"/>
      <c r="Q34" s="53"/>
      <c r="R34" s="53"/>
      <c r="S34" s="53"/>
      <c r="T34" s="51" t="s">
        <v>123</v>
      </c>
      <c r="U34" s="53">
        <v>6</v>
      </c>
      <c r="V34" s="53"/>
      <c r="W34" s="53"/>
      <c r="X34" s="53"/>
      <c r="Y34" s="53"/>
      <c r="Z34" s="53"/>
      <c r="AA34" s="51" t="s">
        <v>124</v>
      </c>
      <c r="AB34" s="53">
        <v>7</v>
      </c>
      <c r="AC34" s="53"/>
      <c r="AD34" s="53"/>
      <c r="AE34" s="53"/>
      <c r="AF34" s="53"/>
      <c r="AG34" s="53"/>
      <c r="AH34" s="53"/>
      <c r="AI34" s="51" t="s">
        <v>125</v>
      </c>
      <c r="AJ34" s="53">
        <v>8</v>
      </c>
      <c r="AK34" s="53"/>
      <c r="AL34" s="53"/>
      <c r="AM34" s="53"/>
      <c r="AN34" s="53"/>
      <c r="AO34" s="53"/>
      <c r="AP34" s="53"/>
      <c r="AQ34" s="53"/>
      <c r="AR34" s="51" t="s">
        <v>182</v>
      </c>
    </row>
    <row r="35" spans="1:78" ht="14.4" hidden="1" customHeight="1" x14ac:dyDescent="0.3">
      <c r="A35" s="3" t="s">
        <v>31</v>
      </c>
      <c r="B35" s="3" t="s">
        <v>10</v>
      </c>
      <c r="C35" s="3" t="s">
        <v>11</v>
      </c>
      <c r="D35" s="3" t="s">
        <v>13</v>
      </c>
      <c r="E35" s="4">
        <v>45845</v>
      </c>
      <c r="F35" s="34">
        <v>40000</v>
      </c>
      <c r="G35" s="2">
        <v>6</v>
      </c>
      <c r="L35" s="50"/>
      <c r="M35" s="46" t="s">
        <v>6</v>
      </c>
      <c r="N35" s="46" t="s">
        <v>10</v>
      </c>
      <c r="O35" s="46" t="s">
        <v>17</v>
      </c>
      <c r="P35" s="46" t="s">
        <v>19</v>
      </c>
      <c r="Q35" s="46" t="s">
        <v>24</v>
      </c>
      <c r="R35" s="46" t="s">
        <v>28</v>
      </c>
      <c r="S35" s="46" t="s">
        <v>75</v>
      </c>
      <c r="T35" s="52"/>
      <c r="U35" s="46" t="s">
        <v>6</v>
      </c>
      <c r="V35" s="46" t="s">
        <v>10</v>
      </c>
      <c r="W35" s="46" t="s">
        <v>19</v>
      </c>
      <c r="X35" s="46" t="s">
        <v>24</v>
      </c>
      <c r="Y35" s="46" t="s">
        <v>28</v>
      </c>
      <c r="Z35" s="46" t="s">
        <v>75</v>
      </c>
      <c r="AA35" s="52"/>
      <c r="AB35" s="46" t="s">
        <v>6</v>
      </c>
      <c r="AC35" s="46" t="s">
        <v>10</v>
      </c>
      <c r="AD35" s="46" t="s">
        <v>17</v>
      </c>
      <c r="AE35" s="46" t="s">
        <v>19</v>
      </c>
      <c r="AF35" s="46" t="s">
        <v>24</v>
      </c>
      <c r="AG35" s="46" t="s">
        <v>28</v>
      </c>
      <c r="AH35" s="46" t="s">
        <v>32</v>
      </c>
      <c r="AI35" s="52"/>
      <c r="AJ35" s="46" t="s">
        <v>6</v>
      </c>
      <c r="AK35" s="46" t="s">
        <v>10</v>
      </c>
      <c r="AL35" s="46" t="s">
        <v>17</v>
      </c>
      <c r="AM35" s="46" t="s">
        <v>19</v>
      </c>
      <c r="AN35" s="46" t="s">
        <v>24</v>
      </c>
      <c r="AO35" s="46" t="s">
        <v>28</v>
      </c>
      <c r="AP35" s="46" t="s">
        <v>32</v>
      </c>
      <c r="AQ35" s="46" t="s">
        <v>75</v>
      </c>
      <c r="AR35" s="52"/>
    </row>
    <row r="36" spans="1:78" ht="14.4" hidden="1" customHeight="1" x14ac:dyDescent="0.3">
      <c r="A36" s="3" t="s">
        <v>31</v>
      </c>
      <c r="B36" s="3" t="s">
        <v>15</v>
      </c>
      <c r="C36" s="3" t="s">
        <v>51</v>
      </c>
      <c r="D36" s="3" t="s">
        <v>52</v>
      </c>
      <c r="E36" s="4">
        <v>45839</v>
      </c>
      <c r="F36" s="35">
        <v>1594202.96</v>
      </c>
      <c r="G36" s="2">
        <v>7</v>
      </c>
      <c r="L36" s="44" t="s">
        <v>56</v>
      </c>
      <c r="M36" s="45"/>
      <c r="N36" s="45"/>
      <c r="O36" s="45"/>
      <c r="P36" s="45"/>
      <c r="Q36" s="45"/>
      <c r="R36" s="45"/>
      <c r="S36" s="45"/>
      <c r="T36" s="45"/>
      <c r="U36" s="47" t="e">
        <f>U47/M47</f>
        <v>#DIV/0!</v>
      </c>
      <c r="V36" s="47" t="e">
        <f>V47/N47</f>
        <v>#DIV/0!</v>
      </c>
      <c r="W36" s="48">
        <f>W47/P47</f>
        <v>0.20773183025083905</v>
      </c>
      <c r="X36" s="47">
        <f>X47/Q47</f>
        <v>1</v>
      </c>
      <c r="Y36" s="47">
        <f>Y47/R47</f>
        <v>1.0219832983420734</v>
      </c>
      <c r="Z36" s="45" t="e">
        <f>Z47/S47</f>
        <v>#DIV/0!</v>
      </c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</row>
    <row r="37" spans="1:78" ht="14.4" hidden="1" customHeight="1" x14ac:dyDescent="0.3">
      <c r="A37" s="3" t="s">
        <v>31</v>
      </c>
      <c r="B37" s="3" t="s">
        <v>19</v>
      </c>
      <c r="C37" s="3" t="s">
        <v>19</v>
      </c>
      <c r="D37" s="3" t="s">
        <v>53</v>
      </c>
      <c r="E37" s="4">
        <v>45838</v>
      </c>
      <c r="F37" s="35">
        <v>55809.3</v>
      </c>
      <c r="G37" s="2">
        <v>7</v>
      </c>
      <c r="L37" s="44" t="s">
        <v>64</v>
      </c>
      <c r="M37" s="45"/>
      <c r="N37" s="45"/>
      <c r="O37" s="45"/>
      <c r="P37" s="45"/>
      <c r="Q37" s="45"/>
      <c r="R37" s="45"/>
      <c r="S37" s="45"/>
      <c r="T37" s="45"/>
      <c r="U37" s="47">
        <f>U48/M48</f>
        <v>1.0334149662205965</v>
      </c>
      <c r="V37" s="47">
        <f>V48/N48</f>
        <v>0.11080332409972299</v>
      </c>
      <c r="W37" s="48">
        <f t="shared" ref="W37:W42" si="0">W48/P48</f>
        <v>1.2682499483483414</v>
      </c>
      <c r="X37" s="47">
        <f t="shared" ref="X37:X42" si="1">X48/Q48</f>
        <v>1</v>
      </c>
      <c r="Y37" s="47">
        <f t="shared" ref="Y37:Y42" si="2">Y48/R48</f>
        <v>1.0434925814432674</v>
      </c>
      <c r="Z37" s="45">
        <f t="shared" ref="Z37:Z42" si="3">Z48/S48</f>
        <v>0</v>
      </c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</row>
    <row r="38" spans="1:78" ht="14.4" hidden="1" customHeight="1" x14ac:dyDescent="0.3">
      <c r="A38" s="3" t="s">
        <v>31</v>
      </c>
      <c r="B38" s="3" t="s">
        <v>23</v>
      </c>
      <c r="C38" s="3" t="s">
        <v>51</v>
      </c>
      <c r="D38" s="3" t="s">
        <v>41</v>
      </c>
      <c r="E38" s="3"/>
      <c r="F38" s="34">
        <v>482202.15</v>
      </c>
      <c r="G38" s="2">
        <v>7</v>
      </c>
      <c r="L38" s="44" t="s">
        <v>18</v>
      </c>
      <c r="M38" s="45"/>
      <c r="N38" s="45"/>
      <c r="O38" s="45"/>
      <c r="P38" s="45"/>
      <c r="Q38" s="45"/>
      <c r="R38" s="45"/>
      <c r="S38" s="45"/>
      <c r="T38" s="45"/>
      <c r="U38" s="47" t="e">
        <f t="shared" ref="U38:V42" si="4">U49/M49</f>
        <v>#DIV/0!</v>
      </c>
      <c r="V38" s="47" t="e">
        <f t="shared" si="4"/>
        <v>#DIV/0!</v>
      </c>
      <c r="W38" s="48">
        <f t="shared" si="0"/>
        <v>0.62855298567189744</v>
      </c>
      <c r="X38" s="47">
        <f t="shared" si="1"/>
        <v>0.60422163588390498</v>
      </c>
      <c r="Y38" s="47">
        <f t="shared" si="2"/>
        <v>1.0438074634937804</v>
      </c>
      <c r="Z38" s="45">
        <f t="shared" si="3"/>
        <v>0</v>
      </c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</row>
    <row r="39" spans="1:78" ht="14.4" hidden="1" customHeight="1" x14ac:dyDescent="0.3">
      <c r="A39" s="3" t="s">
        <v>31</v>
      </c>
      <c r="B39" s="3" t="s">
        <v>24</v>
      </c>
      <c r="C39" s="3" t="s">
        <v>25</v>
      </c>
      <c r="D39" s="3" t="s">
        <v>26</v>
      </c>
      <c r="E39" s="4">
        <v>45847</v>
      </c>
      <c r="F39" s="35">
        <v>30230</v>
      </c>
      <c r="G39" s="2">
        <v>7</v>
      </c>
      <c r="L39" s="44" t="s">
        <v>71</v>
      </c>
      <c r="M39" s="45"/>
      <c r="N39" s="45"/>
      <c r="O39" s="45"/>
      <c r="P39" s="45"/>
      <c r="Q39" s="45"/>
      <c r="R39" s="45"/>
      <c r="S39" s="45"/>
      <c r="T39" s="45"/>
      <c r="U39" s="47" t="e">
        <f t="shared" si="4"/>
        <v>#DIV/0!</v>
      </c>
      <c r="V39" s="47" t="e">
        <f t="shared" si="4"/>
        <v>#DIV/0!</v>
      </c>
      <c r="W39" s="48" t="e">
        <f t="shared" si="0"/>
        <v>#DIV/0!</v>
      </c>
      <c r="X39" s="47">
        <f t="shared" si="1"/>
        <v>1</v>
      </c>
      <c r="Y39" s="47">
        <f t="shared" si="2"/>
        <v>1.0433772269558481</v>
      </c>
      <c r="Z39" s="45" t="e">
        <f t="shared" si="3"/>
        <v>#DIV/0!</v>
      </c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</row>
    <row r="40" spans="1:78" ht="14.4" hidden="1" customHeight="1" x14ac:dyDescent="0.3">
      <c r="A40" s="3" t="s">
        <v>35</v>
      </c>
      <c r="B40" s="3" t="s">
        <v>15</v>
      </c>
      <c r="C40" s="3" t="s">
        <v>51</v>
      </c>
      <c r="D40" s="3" t="s">
        <v>54</v>
      </c>
      <c r="E40" s="4">
        <v>45839</v>
      </c>
      <c r="F40" s="35">
        <v>903319.4</v>
      </c>
      <c r="G40" s="2">
        <v>7</v>
      </c>
      <c r="L40" s="44" t="s">
        <v>27</v>
      </c>
      <c r="M40" s="45"/>
      <c r="N40" s="45"/>
      <c r="O40" s="45"/>
      <c r="P40" s="45"/>
      <c r="Q40" s="45"/>
      <c r="R40" s="45"/>
      <c r="S40" s="45"/>
      <c r="T40" s="45"/>
      <c r="U40" s="47" t="e">
        <f t="shared" si="4"/>
        <v>#DIV/0!</v>
      </c>
      <c r="V40" s="47">
        <f t="shared" si="4"/>
        <v>0.27884280237016384</v>
      </c>
      <c r="W40" s="48">
        <f t="shared" si="0"/>
        <v>1.0162002733668456</v>
      </c>
      <c r="X40" s="47">
        <f t="shared" si="1"/>
        <v>1</v>
      </c>
      <c r="Y40" s="47">
        <f t="shared" si="2"/>
        <v>1.0251393136402709</v>
      </c>
      <c r="Z40" s="45">
        <f t="shared" si="3"/>
        <v>0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</row>
    <row r="41" spans="1:78" ht="14.4" hidden="1" customHeight="1" x14ac:dyDescent="0.3">
      <c r="A41" s="3" t="s">
        <v>35</v>
      </c>
      <c r="B41" s="3" t="s">
        <v>19</v>
      </c>
      <c r="C41" s="3" t="s">
        <v>19</v>
      </c>
      <c r="D41" s="3" t="s">
        <v>41</v>
      </c>
      <c r="E41" s="3"/>
      <c r="F41" s="34">
        <v>51498.47</v>
      </c>
      <c r="G41" s="2">
        <v>7</v>
      </c>
      <c r="L41" s="44" t="s">
        <v>31</v>
      </c>
      <c r="M41" s="45"/>
      <c r="N41" s="45"/>
      <c r="O41" s="45"/>
      <c r="P41" s="45"/>
      <c r="Q41" s="45"/>
      <c r="R41" s="45"/>
      <c r="S41" s="45"/>
      <c r="T41" s="45"/>
      <c r="U41" s="47" t="e">
        <f t="shared" si="4"/>
        <v>#DIV/0!</v>
      </c>
      <c r="V41" s="47" t="e">
        <f t="shared" si="4"/>
        <v>#DIV/0!</v>
      </c>
      <c r="W41" s="48">
        <f t="shared" si="0"/>
        <v>0.65202546625403068</v>
      </c>
      <c r="X41" s="47">
        <f t="shared" si="1"/>
        <v>1</v>
      </c>
      <c r="Y41" s="47" t="e">
        <f t="shared" si="2"/>
        <v>#DIV/0!</v>
      </c>
      <c r="Z41" s="45" t="e">
        <f t="shared" si="3"/>
        <v>#DIV/0!</v>
      </c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</row>
    <row r="42" spans="1:78" ht="14.4" hidden="1" customHeight="1" x14ac:dyDescent="0.3">
      <c r="A42" s="3" t="s">
        <v>35</v>
      </c>
      <c r="B42" s="3" t="s">
        <v>23</v>
      </c>
      <c r="C42" s="3" t="s">
        <v>51</v>
      </c>
      <c r="D42" s="3" t="s">
        <v>41</v>
      </c>
      <c r="E42" s="3"/>
      <c r="F42" s="34">
        <v>482202.15</v>
      </c>
      <c r="G42" s="2">
        <v>7</v>
      </c>
      <c r="L42" s="44" t="s">
        <v>35</v>
      </c>
      <c r="M42" s="45"/>
      <c r="N42" s="45"/>
      <c r="O42" s="45"/>
      <c r="P42" s="45"/>
      <c r="Q42" s="45"/>
      <c r="R42" s="45"/>
      <c r="S42" s="45"/>
      <c r="T42" s="45"/>
      <c r="U42" s="47" t="e">
        <f t="shared" si="4"/>
        <v>#DIV/0!</v>
      </c>
      <c r="V42" s="47" t="e">
        <f t="shared" si="4"/>
        <v>#DIV/0!</v>
      </c>
      <c r="W42" s="48">
        <f t="shared" si="0"/>
        <v>0.42109009264507891</v>
      </c>
      <c r="X42" s="47">
        <f t="shared" si="1"/>
        <v>1</v>
      </c>
      <c r="Y42" s="47" t="e">
        <f t="shared" si="2"/>
        <v>#DIV/0!</v>
      </c>
      <c r="Z42" s="45">
        <f t="shared" si="3"/>
        <v>1</v>
      </c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</row>
    <row r="43" spans="1:78" ht="14.4" hidden="1" customHeight="1" x14ac:dyDescent="0.3">
      <c r="A43" s="3" t="s">
        <v>35</v>
      </c>
      <c r="B43" s="3" t="s">
        <v>24</v>
      </c>
      <c r="C43" s="3" t="s">
        <v>25</v>
      </c>
      <c r="D43" s="3" t="s">
        <v>26</v>
      </c>
      <c r="E43" s="4">
        <v>45847</v>
      </c>
      <c r="F43" s="35">
        <v>30230</v>
      </c>
      <c r="G43" s="2">
        <v>7</v>
      </c>
    </row>
    <row r="44" spans="1:78" ht="14.4" hidden="1" customHeight="1" x14ac:dyDescent="0.3">
      <c r="A44" s="3" t="s">
        <v>56</v>
      </c>
      <c r="B44" s="3" t="s">
        <v>10</v>
      </c>
      <c r="C44" s="3" t="s">
        <v>11</v>
      </c>
      <c r="D44" s="3" t="s">
        <v>13</v>
      </c>
      <c r="E44" s="4">
        <v>45845</v>
      </c>
      <c r="F44" s="35">
        <v>40000</v>
      </c>
      <c r="G44" s="2">
        <v>7</v>
      </c>
    </row>
    <row r="45" spans="1:78" ht="14.4" hidden="1" customHeight="1" x14ac:dyDescent="0.3">
      <c r="A45" s="3" t="s">
        <v>56</v>
      </c>
      <c r="B45" s="3" t="s">
        <v>15</v>
      </c>
      <c r="C45" s="3" t="s">
        <v>51</v>
      </c>
      <c r="D45" s="3" t="s">
        <v>120</v>
      </c>
      <c r="E45" s="4">
        <v>45839</v>
      </c>
      <c r="F45" s="35">
        <v>1294257.8700000001</v>
      </c>
      <c r="G45" s="2">
        <v>7</v>
      </c>
      <c r="M45" s="2">
        <v>5</v>
      </c>
      <c r="T45" s="2" t="s">
        <v>123</v>
      </c>
      <c r="U45" s="2">
        <v>6</v>
      </c>
      <c r="AA45" s="2" t="s">
        <v>124</v>
      </c>
      <c r="AB45" s="2">
        <v>7</v>
      </c>
      <c r="AI45" s="2" t="s">
        <v>125</v>
      </c>
      <c r="AJ45" s="2">
        <v>8</v>
      </c>
      <c r="AR45" s="2" t="s">
        <v>182</v>
      </c>
    </row>
    <row r="46" spans="1:78" ht="14.4" hidden="1" customHeight="1" x14ac:dyDescent="0.3">
      <c r="A46" s="3" t="s">
        <v>56</v>
      </c>
      <c r="B46" s="3" t="s">
        <v>19</v>
      </c>
      <c r="C46" s="3" t="s">
        <v>19</v>
      </c>
      <c r="D46" s="3" t="s">
        <v>121</v>
      </c>
      <c r="E46" s="4">
        <v>45838</v>
      </c>
      <c r="F46" s="35">
        <v>38904.29</v>
      </c>
      <c r="G46" s="2">
        <v>7</v>
      </c>
      <c r="L46" s="2" t="s">
        <v>14</v>
      </c>
      <c r="M46" s="2" t="s">
        <v>6</v>
      </c>
      <c r="N46" s="2" t="s">
        <v>10</v>
      </c>
      <c r="O46" s="2" t="s">
        <v>17</v>
      </c>
      <c r="P46" s="2" t="s">
        <v>19</v>
      </c>
      <c r="Q46" s="2" t="s">
        <v>24</v>
      </c>
      <c r="R46" s="2" t="s">
        <v>28</v>
      </c>
      <c r="S46" s="2" t="s">
        <v>75</v>
      </c>
      <c r="U46" s="2" t="s">
        <v>6</v>
      </c>
      <c r="V46" s="2" t="s">
        <v>10</v>
      </c>
      <c r="W46" s="2" t="s">
        <v>19</v>
      </c>
      <c r="X46" s="2" t="s">
        <v>24</v>
      </c>
      <c r="Y46" s="2" t="s">
        <v>28</v>
      </c>
      <c r="Z46" s="2" t="s">
        <v>75</v>
      </c>
      <c r="AB46" s="2" t="s">
        <v>6</v>
      </c>
      <c r="AC46" s="2" t="s">
        <v>10</v>
      </c>
      <c r="AD46" s="2" t="s">
        <v>17</v>
      </c>
      <c r="AE46" s="2" t="s">
        <v>19</v>
      </c>
      <c r="AF46" s="2" t="s">
        <v>24</v>
      </c>
      <c r="AG46" s="2" t="s">
        <v>28</v>
      </c>
      <c r="AH46" s="2" t="s">
        <v>32</v>
      </c>
      <c r="AJ46" s="2" t="s">
        <v>6</v>
      </c>
      <c r="AK46" s="2" t="s">
        <v>10</v>
      </c>
      <c r="AL46" s="2" t="s">
        <v>17</v>
      </c>
      <c r="AM46" s="2" t="s">
        <v>19</v>
      </c>
      <c r="AN46" s="2" t="s">
        <v>24</v>
      </c>
      <c r="AO46" s="2" t="s">
        <v>28</v>
      </c>
      <c r="AP46" s="2" t="s">
        <v>32</v>
      </c>
      <c r="AQ46" s="2" t="s">
        <v>75</v>
      </c>
    </row>
    <row r="47" spans="1:78" ht="14.4" hidden="1" customHeight="1" x14ac:dyDescent="0.3">
      <c r="A47" s="3" t="s">
        <v>56</v>
      </c>
      <c r="B47" s="3" t="s">
        <v>23</v>
      </c>
      <c r="C47" s="3" t="s">
        <v>51</v>
      </c>
      <c r="D47" s="3" t="s">
        <v>41</v>
      </c>
      <c r="E47" s="4"/>
      <c r="F47" s="35">
        <v>964404.3</v>
      </c>
      <c r="G47" s="2">
        <v>7</v>
      </c>
      <c r="L47" s="2" t="s">
        <v>56</v>
      </c>
      <c r="P47" s="2">
        <v>177166.59</v>
      </c>
      <c r="Q47" s="2">
        <v>27480</v>
      </c>
      <c r="R47" s="2">
        <v>84973.6</v>
      </c>
      <c r="T47" s="2">
        <v>289620.19</v>
      </c>
      <c r="V47" s="2">
        <v>40000</v>
      </c>
      <c r="W47" s="2">
        <v>36803.14</v>
      </c>
      <c r="X47" s="2">
        <v>27480</v>
      </c>
      <c r="Y47" s="2">
        <v>86841.600000000006</v>
      </c>
      <c r="AA47" s="2">
        <v>191124.74</v>
      </c>
      <c r="AC47" s="2">
        <v>40000</v>
      </c>
      <c r="AE47" s="2">
        <v>38904.29</v>
      </c>
      <c r="AF47" s="2">
        <v>30230</v>
      </c>
      <c r="AG47" s="2">
        <v>91008</v>
      </c>
      <c r="AI47" s="2">
        <v>200142.29</v>
      </c>
      <c r="AK47" s="2">
        <v>20000</v>
      </c>
      <c r="AM47" s="2">
        <v>39282.269999999997</v>
      </c>
      <c r="AN47" s="2">
        <v>30230</v>
      </c>
      <c r="AO47" s="2">
        <v>92918.399999999994</v>
      </c>
      <c r="AP47" s="2">
        <v>2623569.2800000003</v>
      </c>
      <c r="AR47" s="2">
        <v>2805999.95</v>
      </c>
    </row>
    <row r="48" spans="1:78" ht="14.4" hidden="1" customHeight="1" x14ac:dyDescent="0.3">
      <c r="A48" s="3" t="s">
        <v>56</v>
      </c>
      <c r="B48" s="3" t="s">
        <v>24</v>
      </c>
      <c r="C48" s="3" t="s">
        <v>25</v>
      </c>
      <c r="D48" s="3" t="s">
        <v>26</v>
      </c>
      <c r="E48" s="4">
        <v>45847</v>
      </c>
      <c r="F48" s="35">
        <v>30230</v>
      </c>
      <c r="G48" s="2">
        <v>7</v>
      </c>
      <c r="L48" s="2" t="s">
        <v>64</v>
      </c>
      <c r="M48" s="2">
        <v>471713.48</v>
      </c>
      <c r="N48" s="2">
        <v>361000</v>
      </c>
      <c r="O48" s="2">
        <v>393527.01</v>
      </c>
      <c r="P48" s="2">
        <v>402358.80999999994</v>
      </c>
      <c r="Q48" s="2">
        <v>34220</v>
      </c>
      <c r="R48" s="2">
        <v>130551</v>
      </c>
      <c r="S48" s="2">
        <v>38096</v>
      </c>
      <c r="T48" s="2">
        <v>1831466.2999999998</v>
      </c>
      <c r="U48" s="2">
        <v>487475.77</v>
      </c>
      <c r="V48" s="2">
        <v>40000</v>
      </c>
      <c r="W48" s="2">
        <v>510291.54</v>
      </c>
      <c r="X48" s="2">
        <v>34220</v>
      </c>
      <c r="Y48" s="2">
        <v>136229</v>
      </c>
      <c r="AA48" s="2">
        <v>1208216.31</v>
      </c>
      <c r="AB48" s="2">
        <v>514117.53</v>
      </c>
      <c r="AC48" s="2">
        <v>55000</v>
      </c>
      <c r="AD48" s="2">
        <v>401304.17</v>
      </c>
      <c r="AE48" s="2">
        <v>640771.42999999993</v>
      </c>
      <c r="AF48" s="2">
        <v>37650</v>
      </c>
      <c r="AG48" s="2">
        <v>142084</v>
      </c>
      <c r="AH48" s="2">
        <v>198000</v>
      </c>
      <c r="AI48" s="2">
        <v>1988927.13</v>
      </c>
      <c r="AJ48" s="2">
        <v>532322</v>
      </c>
      <c r="AK48" s="2">
        <v>40000</v>
      </c>
      <c r="AL48" s="2">
        <v>405183.12</v>
      </c>
      <c r="AM48" s="2">
        <v>642985.94999999995</v>
      </c>
      <c r="AN48" s="2">
        <v>37650</v>
      </c>
      <c r="AO48" s="2">
        <v>144997</v>
      </c>
      <c r="AQ48" s="2">
        <v>41895</v>
      </c>
      <c r="AR48" s="2">
        <v>1845033.0699999998</v>
      </c>
    </row>
    <row r="49" spans="1:44" ht="14.4" hidden="1" customHeight="1" x14ac:dyDescent="0.3">
      <c r="A49" s="3" t="s">
        <v>56</v>
      </c>
      <c r="B49" s="3" t="s">
        <v>28</v>
      </c>
      <c r="C49" s="3" t="s">
        <v>62</v>
      </c>
      <c r="D49" s="3" t="s">
        <v>122</v>
      </c>
      <c r="E49" s="4">
        <v>45851</v>
      </c>
      <c r="F49" s="35">
        <v>91008</v>
      </c>
      <c r="G49" s="2">
        <v>7</v>
      </c>
      <c r="L49" s="2" t="s">
        <v>18</v>
      </c>
      <c r="P49" s="2">
        <v>171401.62</v>
      </c>
      <c r="Q49" s="2">
        <v>45480</v>
      </c>
      <c r="R49" s="2">
        <v>92450</v>
      </c>
      <c r="S49" s="2">
        <v>38096</v>
      </c>
      <c r="T49" s="2">
        <v>347427.62</v>
      </c>
      <c r="V49" s="2">
        <v>40000</v>
      </c>
      <c r="W49" s="2">
        <v>107735</v>
      </c>
      <c r="X49" s="2">
        <v>27480</v>
      </c>
      <c r="Y49" s="2">
        <v>96500</v>
      </c>
      <c r="AA49" s="2">
        <v>271715</v>
      </c>
      <c r="AC49" s="2">
        <v>55000</v>
      </c>
      <c r="AE49" s="2">
        <v>113972.20000000001</v>
      </c>
      <c r="AF49" s="2">
        <v>30230</v>
      </c>
      <c r="AG49" s="2">
        <v>100700</v>
      </c>
      <c r="AI49" s="2">
        <v>299902.2</v>
      </c>
      <c r="AK49" s="2">
        <v>40000</v>
      </c>
      <c r="AM49" s="2">
        <v>144977.76</v>
      </c>
      <c r="AN49" s="2">
        <v>30230</v>
      </c>
      <c r="AO49" s="2">
        <v>205400</v>
      </c>
      <c r="AQ49" s="2">
        <v>41895</v>
      </c>
      <c r="AR49" s="2">
        <v>462502.76</v>
      </c>
    </row>
    <row r="50" spans="1:44" hidden="1" x14ac:dyDescent="0.3">
      <c r="A50" s="6" t="s">
        <v>56</v>
      </c>
      <c r="B50" s="7" t="s">
        <v>10</v>
      </c>
      <c r="C50" s="8" t="s">
        <v>11</v>
      </c>
      <c r="D50" s="9" t="s">
        <v>57</v>
      </c>
      <c r="E50" s="10">
        <v>45845</v>
      </c>
      <c r="F50" s="36">
        <v>40000</v>
      </c>
      <c r="G50" s="19">
        <v>6</v>
      </c>
      <c r="L50" s="2" t="s">
        <v>71</v>
      </c>
      <c r="Q50" s="2">
        <v>27480</v>
      </c>
      <c r="R50" s="2">
        <v>32275</v>
      </c>
      <c r="T50" s="2">
        <v>59755</v>
      </c>
      <c r="V50" s="2">
        <v>40000</v>
      </c>
      <c r="X50" s="2">
        <v>27480</v>
      </c>
      <c r="Y50" s="2">
        <v>33675</v>
      </c>
      <c r="Z50" s="2">
        <v>38096</v>
      </c>
      <c r="AA50" s="2">
        <v>139251</v>
      </c>
      <c r="AC50" s="2">
        <v>40000</v>
      </c>
      <c r="AF50" s="2">
        <v>30230</v>
      </c>
      <c r="AG50" s="2">
        <v>34325</v>
      </c>
      <c r="AI50" s="2">
        <v>104555</v>
      </c>
      <c r="AN50" s="2">
        <v>30230</v>
      </c>
      <c r="AO50" s="2">
        <v>35325</v>
      </c>
      <c r="AR50" s="2">
        <v>65555</v>
      </c>
    </row>
    <row r="51" spans="1:44" hidden="1" x14ac:dyDescent="0.3">
      <c r="A51" s="6" t="s">
        <v>56</v>
      </c>
      <c r="B51" s="7" t="s">
        <v>15</v>
      </c>
      <c r="C51" s="8" t="s">
        <v>51</v>
      </c>
      <c r="D51" s="9" t="s">
        <v>58</v>
      </c>
      <c r="E51" s="10">
        <v>45809</v>
      </c>
      <c r="F51" s="36">
        <v>1045573.02</v>
      </c>
      <c r="G51" s="19">
        <v>6</v>
      </c>
      <c r="L51" s="2" t="s">
        <v>27</v>
      </c>
      <c r="N51" s="2">
        <v>143450</v>
      </c>
      <c r="P51" s="2">
        <v>82731.320000000007</v>
      </c>
      <c r="Q51" s="2">
        <v>27480</v>
      </c>
      <c r="R51" s="2">
        <v>51942.15</v>
      </c>
      <c r="S51" s="2">
        <v>38096</v>
      </c>
      <c r="T51" s="2">
        <v>343699.47000000003</v>
      </c>
      <c r="V51" s="2">
        <v>40000</v>
      </c>
      <c r="W51" s="2">
        <v>84071.59</v>
      </c>
      <c r="X51" s="2">
        <v>27480</v>
      </c>
      <c r="Y51" s="2">
        <v>53247.94</v>
      </c>
      <c r="AA51" s="2">
        <v>204799.53</v>
      </c>
      <c r="AC51" s="2">
        <v>55000</v>
      </c>
      <c r="AE51" s="2">
        <v>85254.03</v>
      </c>
      <c r="AF51" s="2">
        <v>30230</v>
      </c>
      <c r="AG51" s="2">
        <v>55892.57</v>
      </c>
      <c r="AI51" s="2">
        <v>226376.6</v>
      </c>
      <c r="AK51" s="2">
        <v>40000</v>
      </c>
      <c r="AM51" s="2">
        <v>87365.62</v>
      </c>
      <c r="AN51" s="2">
        <v>30230</v>
      </c>
      <c r="AO51" s="2">
        <v>57553.73</v>
      </c>
      <c r="AQ51" s="2">
        <v>104434</v>
      </c>
      <c r="AR51" s="2">
        <v>319583.34999999998</v>
      </c>
    </row>
    <row r="52" spans="1:44" hidden="1" x14ac:dyDescent="0.3">
      <c r="A52" s="6" t="s">
        <v>56</v>
      </c>
      <c r="B52" s="7" t="s">
        <v>19</v>
      </c>
      <c r="C52" s="8" t="s">
        <v>19</v>
      </c>
      <c r="D52" s="9" t="s">
        <v>59</v>
      </c>
      <c r="E52" s="10">
        <v>45806</v>
      </c>
      <c r="F52" s="36">
        <v>36803.14</v>
      </c>
      <c r="G52" s="19">
        <v>6</v>
      </c>
      <c r="L52" s="2" t="s">
        <v>31</v>
      </c>
      <c r="P52" s="2">
        <v>81062.570000000007</v>
      </c>
      <c r="Q52" s="2">
        <v>27480</v>
      </c>
      <c r="T52" s="2">
        <v>108542.57</v>
      </c>
      <c r="V52" s="2">
        <v>40000</v>
      </c>
      <c r="W52" s="2">
        <v>52854.86</v>
      </c>
      <c r="X52" s="2">
        <v>27480</v>
      </c>
      <c r="AA52" s="2">
        <v>120334.86</v>
      </c>
      <c r="AC52" s="2">
        <v>55000</v>
      </c>
      <c r="AE52" s="2">
        <v>55809.3</v>
      </c>
      <c r="AF52" s="2">
        <v>30230</v>
      </c>
      <c r="AI52" s="2">
        <v>141039.29999999999</v>
      </c>
      <c r="AK52" s="2">
        <v>40000</v>
      </c>
      <c r="AM52" s="2">
        <v>74279.91</v>
      </c>
      <c r="AN52" s="2">
        <v>30230</v>
      </c>
      <c r="AQ52" s="2">
        <v>41895</v>
      </c>
      <c r="AR52" s="2">
        <v>186404.91</v>
      </c>
    </row>
    <row r="53" spans="1:44" hidden="1" x14ac:dyDescent="0.3">
      <c r="A53" s="11" t="s">
        <v>56</v>
      </c>
      <c r="B53" s="12" t="s">
        <v>23</v>
      </c>
      <c r="C53" s="13" t="s">
        <v>51</v>
      </c>
      <c r="D53" s="13" t="s">
        <v>60</v>
      </c>
      <c r="E53" s="14"/>
      <c r="F53" s="37">
        <v>1059864.3999999999</v>
      </c>
      <c r="G53" s="19">
        <v>6</v>
      </c>
      <c r="L53" s="2" t="s">
        <v>35</v>
      </c>
      <c r="P53" s="2">
        <v>112692.44</v>
      </c>
      <c r="Q53" s="2">
        <v>27480</v>
      </c>
      <c r="S53" s="2">
        <v>38096</v>
      </c>
      <c r="T53" s="2">
        <v>178268.44</v>
      </c>
      <c r="W53" s="2">
        <v>47453.67</v>
      </c>
      <c r="X53" s="2">
        <v>27480</v>
      </c>
      <c r="Z53" s="2">
        <v>38096</v>
      </c>
      <c r="AA53" s="2">
        <v>113029.67</v>
      </c>
      <c r="AE53" s="2">
        <v>51498.47</v>
      </c>
      <c r="AF53" s="2">
        <v>30230</v>
      </c>
      <c r="AI53" s="2">
        <v>81728.47</v>
      </c>
      <c r="AK53" s="2">
        <v>20000</v>
      </c>
      <c r="AM53" s="2">
        <v>104085.8</v>
      </c>
      <c r="AN53" s="2">
        <v>30230</v>
      </c>
      <c r="AR53" s="2">
        <v>154315.79999999999</v>
      </c>
    </row>
    <row r="54" spans="1:44" hidden="1" x14ac:dyDescent="0.3">
      <c r="A54" s="6" t="s">
        <v>56</v>
      </c>
      <c r="B54" s="7" t="s">
        <v>24</v>
      </c>
      <c r="C54" s="8" t="s">
        <v>25</v>
      </c>
      <c r="D54" s="9" t="s">
        <v>61</v>
      </c>
      <c r="E54" s="10">
        <v>45814</v>
      </c>
      <c r="F54" s="36">
        <v>27480</v>
      </c>
      <c r="G54" s="19">
        <v>6</v>
      </c>
    </row>
    <row r="55" spans="1:44" hidden="1" x14ac:dyDescent="0.3">
      <c r="A55" s="6" t="s">
        <v>56</v>
      </c>
      <c r="B55" s="7" t="s">
        <v>28</v>
      </c>
      <c r="C55" s="8" t="s">
        <v>62</v>
      </c>
      <c r="D55" s="9" t="s">
        <v>63</v>
      </c>
      <c r="E55" s="10">
        <v>45821</v>
      </c>
      <c r="F55" s="36">
        <v>86841.600000000006</v>
      </c>
      <c r="G55" s="19">
        <v>6</v>
      </c>
    </row>
    <row r="56" spans="1:44" hidden="1" x14ac:dyDescent="0.3">
      <c r="A56" s="6" t="s">
        <v>64</v>
      </c>
      <c r="B56" s="7" t="s">
        <v>6</v>
      </c>
      <c r="C56" s="8" t="s">
        <v>7</v>
      </c>
      <c r="D56" s="9" t="s">
        <v>65</v>
      </c>
      <c r="E56" s="10">
        <v>45820</v>
      </c>
      <c r="F56" s="36">
        <v>487475.77</v>
      </c>
      <c r="G56" s="19">
        <v>6</v>
      </c>
    </row>
    <row r="57" spans="1:44" hidden="1" x14ac:dyDescent="0.3">
      <c r="A57" s="6" t="s">
        <v>64</v>
      </c>
      <c r="B57" s="7" t="s">
        <v>10</v>
      </c>
      <c r="C57" s="8" t="s">
        <v>11</v>
      </c>
      <c r="D57" s="9" t="s">
        <v>57</v>
      </c>
      <c r="E57" s="10">
        <v>45845</v>
      </c>
      <c r="F57" s="36"/>
      <c r="G57" s="19">
        <v>5</v>
      </c>
    </row>
    <row r="58" spans="1:44" hidden="1" x14ac:dyDescent="0.3">
      <c r="A58" s="6" t="s">
        <v>64</v>
      </c>
      <c r="B58" s="7" t="s">
        <v>15</v>
      </c>
      <c r="C58" s="8" t="s">
        <v>7</v>
      </c>
      <c r="D58" s="9" t="s">
        <v>66</v>
      </c>
      <c r="E58" s="10">
        <v>45811</v>
      </c>
      <c r="F58" s="36">
        <v>2338348.56</v>
      </c>
      <c r="G58" s="19">
        <v>6</v>
      </c>
    </row>
    <row r="59" spans="1:44" hidden="1" x14ac:dyDescent="0.3">
      <c r="A59" s="6" t="s">
        <v>64</v>
      </c>
      <c r="B59" s="7" t="s">
        <v>19</v>
      </c>
      <c r="C59" s="8" t="s">
        <v>19</v>
      </c>
      <c r="D59" s="9" t="s">
        <v>67</v>
      </c>
      <c r="E59" s="10">
        <v>45811</v>
      </c>
      <c r="F59" s="36">
        <v>391330.07</v>
      </c>
      <c r="G59" s="19">
        <v>6</v>
      </c>
    </row>
    <row r="60" spans="1:44" hidden="1" x14ac:dyDescent="0.3">
      <c r="A60" s="6" t="s">
        <v>64</v>
      </c>
      <c r="B60" s="7" t="s">
        <v>19</v>
      </c>
      <c r="C60" s="8" t="s">
        <v>19</v>
      </c>
      <c r="D60" s="9" t="s">
        <v>68</v>
      </c>
      <c r="E60" s="10">
        <v>45807</v>
      </c>
      <c r="F60" s="36">
        <v>11331.47</v>
      </c>
      <c r="G60" s="19">
        <v>6</v>
      </c>
    </row>
    <row r="61" spans="1:44" hidden="1" x14ac:dyDescent="0.3">
      <c r="A61" s="6" t="s">
        <v>64</v>
      </c>
      <c r="B61" s="7" t="s">
        <v>19</v>
      </c>
      <c r="C61" s="8" t="s">
        <v>19</v>
      </c>
      <c r="D61" s="9" t="s">
        <v>69</v>
      </c>
      <c r="E61" s="10">
        <v>45807</v>
      </c>
      <c r="F61" s="36">
        <v>107630</v>
      </c>
      <c r="G61" s="19">
        <v>6</v>
      </c>
    </row>
    <row r="62" spans="1:44" hidden="1" x14ac:dyDescent="0.3">
      <c r="A62" s="6" t="s">
        <v>64</v>
      </c>
      <c r="B62" s="7" t="s">
        <v>23</v>
      </c>
      <c r="C62" s="8" t="s">
        <v>7</v>
      </c>
      <c r="D62" s="9" t="s">
        <v>65</v>
      </c>
      <c r="E62" s="10">
        <v>45820</v>
      </c>
      <c r="F62" s="36">
        <v>515040.5</v>
      </c>
      <c r="G62" s="19">
        <v>6</v>
      </c>
    </row>
    <row r="63" spans="1:44" hidden="1" x14ac:dyDescent="0.3">
      <c r="A63" s="6" t="s">
        <v>64</v>
      </c>
      <c r="B63" s="7" t="s">
        <v>24</v>
      </c>
      <c r="C63" s="8" t="s">
        <v>25</v>
      </c>
      <c r="D63" s="9" t="s">
        <v>61</v>
      </c>
      <c r="E63" s="10">
        <v>45814</v>
      </c>
      <c r="F63" s="36">
        <v>34220</v>
      </c>
      <c r="G63" s="19">
        <v>6</v>
      </c>
    </row>
    <row r="64" spans="1:44" hidden="1" x14ac:dyDescent="0.3">
      <c r="A64" s="6" t="s">
        <v>64</v>
      </c>
      <c r="B64" s="7" t="s">
        <v>28</v>
      </c>
      <c r="C64" s="8" t="s">
        <v>29</v>
      </c>
      <c r="D64" s="9" t="s">
        <v>70</v>
      </c>
      <c r="E64" s="10">
        <v>45798</v>
      </c>
      <c r="F64" s="36">
        <v>136229</v>
      </c>
      <c r="G64" s="19">
        <v>6</v>
      </c>
    </row>
    <row r="65" spans="1:7" x14ac:dyDescent="0.3">
      <c r="A65" s="6" t="s">
        <v>71</v>
      </c>
      <c r="B65" s="7" t="s">
        <v>15</v>
      </c>
      <c r="C65" s="15" t="s">
        <v>43</v>
      </c>
      <c r="D65" s="9" t="s">
        <v>72</v>
      </c>
      <c r="E65" s="10"/>
      <c r="F65" s="36">
        <v>540862</v>
      </c>
      <c r="G65" s="19">
        <v>6</v>
      </c>
    </row>
    <row r="66" spans="1:7" x14ac:dyDescent="0.3">
      <c r="A66" s="6" t="s">
        <v>71</v>
      </c>
      <c r="B66" s="7" t="s">
        <v>15</v>
      </c>
      <c r="C66" s="15" t="s">
        <v>43</v>
      </c>
      <c r="D66" s="9" t="s">
        <v>73</v>
      </c>
      <c r="E66" s="10">
        <v>45827</v>
      </c>
      <c r="F66" s="36">
        <v>58413.1</v>
      </c>
      <c r="G66" s="19">
        <v>6</v>
      </c>
    </row>
    <row r="67" spans="1:7" ht="15" thickBot="1" x14ac:dyDescent="0.35">
      <c r="A67" s="6" t="s">
        <v>71</v>
      </c>
      <c r="B67" s="7" t="s">
        <v>23</v>
      </c>
      <c r="C67" s="15" t="s">
        <v>43</v>
      </c>
      <c r="D67" s="9" t="s">
        <v>72</v>
      </c>
      <c r="E67" s="10"/>
      <c r="F67" s="36">
        <v>282173.06</v>
      </c>
      <c r="G67" s="19">
        <v>6</v>
      </c>
    </row>
    <row r="68" spans="1:7" ht="15" hidden="1" thickBot="1" x14ac:dyDescent="0.35">
      <c r="A68" s="6" t="s">
        <v>71</v>
      </c>
      <c r="B68" s="7" t="s">
        <v>24</v>
      </c>
      <c r="C68" s="15" t="s">
        <v>25</v>
      </c>
      <c r="D68" s="9" t="s">
        <v>61</v>
      </c>
      <c r="E68" s="10">
        <v>45814</v>
      </c>
      <c r="F68" s="36">
        <v>27480</v>
      </c>
      <c r="G68" s="19">
        <v>6</v>
      </c>
    </row>
    <row r="69" spans="1:7" ht="15" hidden="1" thickBot="1" x14ac:dyDescent="0.35">
      <c r="A69" s="6" t="s">
        <v>71</v>
      </c>
      <c r="B69" s="7" t="s">
        <v>28</v>
      </c>
      <c r="C69" s="8" t="s">
        <v>29</v>
      </c>
      <c r="D69" s="16" t="s">
        <v>74</v>
      </c>
      <c r="E69" s="17">
        <v>45798</v>
      </c>
      <c r="F69" s="38">
        <v>33675</v>
      </c>
      <c r="G69" s="19">
        <v>6</v>
      </c>
    </row>
    <row r="70" spans="1:7" ht="15" hidden="1" thickBot="1" x14ac:dyDescent="0.35">
      <c r="A70" s="6" t="s">
        <v>71</v>
      </c>
      <c r="B70" s="7" t="s">
        <v>75</v>
      </c>
      <c r="C70" s="8" t="s">
        <v>76</v>
      </c>
      <c r="D70" s="9" t="s">
        <v>77</v>
      </c>
      <c r="E70" s="10">
        <v>45831</v>
      </c>
      <c r="F70" s="36">
        <v>38096</v>
      </c>
      <c r="G70" s="19">
        <v>6</v>
      </c>
    </row>
    <row r="71" spans="1:7" ht="15" hidden="1" thickBot="1" x14ac:dyDescent="0.35">
      <c r="A71" s="6" t="s">
        <v>71</v>
      </c>
      <c r="B71" s="7" t="s">
        <v>10</v>
      </c>
      <c r="C71" s="8" t="s">
        <v>11</v>
      </c>
      <c r="D71" s="9" t="s">
        <v>57</v>
      </c>
      <c r="E71" s="10">
        <v>45845</v>
      </c>
      <c r="F71" s="36">
        <v>40000</v>
      </c>
      <c r="G71" s="19">
        <v>6</v>
      </c>
    </row>
    <row r="72" spans="1:7" ht="15" hidden="1" thickBot="1" x14ac:dyDescent="0.35">
      <c r="A72" s="6" t="s">
        <v>27</v>
      </c>
      <c r="B72" s="7" t="s">
        <v>10</v>
      </c>
      <c r="C72" s="8" t="s">
        <v>11</v>
      </c>
      <c r="D72" s="9" t="s">
        <v>57</v>
      </c>
      <c r="E72" s="10">
        <v>45845</v>
      </c>
      <c r="F72" s="36"/>
      <c r="G72" s="19">
        <v>5</v>
      </c>
    </row>
    <row r="73" spans="1:7" ht="15" hidden="1" thickBot="1" x14ac:dyDescent="0.35">
      <c r="A73" s="6" t="s">
        <v>27</v>
      </c>
      <c r="B73" s="7" t="s">
        <v>15</v>
      </c>
      <c r="C73" s="8" t="s">
        <v>46</v>
      </c>
      <c r="D73" s="9" t="s">
        <v>78</v>
      </c>
      <c r="E73" s="10">
        <v>45813</v>
      </c>
      <c r="F73" s="36">
        <v>1201308.3899999999</v>
      </c>
      <c r="G73" s="19">
        <v>6</v>
      </c>
    </row>
    <row r="74" spans="1:7" ht="15" hidden="1" thickBot="1" x14ac:dyDescent="0.35">
      <c r="A74" s="6" t="s">
        <v>27</v>
      </c>
      <c r="B74" s="7" t="s">
        <v>19</v>
      </c>
      <c r="C74" s="8" t="s">
        <v>19</v>
      </c>
      <c r="D74" s="9" t="s">
        <v>79</v>
      </c>
      <c r="E74" s="10">
        <v>45804</v>
      </c>
      <c r="F74" s="36">
        <v>84071.59</v>
      </c>
      <c r="G74" s="19">
        <v>6</v>
      </c>
    </row>
    <row r="75" spans="1:7" ht="15" hidden="1" thickBot="1" x14ac:dyDescent="0.35">
      <c r="A75" s="6" t="s">
        <v>27</v>
      </c>
      <c r="B75" s="7" t="s">
        <v>23</v>
      </c>
      <c r="C75" s="8" t="s">
        <v>46</v>
      </c>
      <c r="D75" s="9" t="s">
        <v>80</v>
      </c>
      <c r="E75" s="10">
        <v>45813</v>
      </c>
      <c r="F75" s="36">
        <v>1912694.22</v>
      </c>
      <c r="G75" s="19">
        <v>6</v>
      </c>
    </row>
    <row r="76" spans="1:7" ht="15" hidden="1" thickBot="1" x14ac:dyDescent="0.35">
      <c r="A76" s="6" t="s">
        <v>27</v>
      </c>
      <c r="B76" s="7" t="s">
        <v>24</v>
      </c>
      <c r="C76" s="8" t="s">
        <v>25</v>
      </c>
      <c r="D76" s="9" t="s">
        <v>61</v>
      </c>
      <c r="E76" s="10">
        <v>45814</v>
      </c>
      <c r="F76" s="36">
        <v>27480</v>
      </c>
      <c r="G76" s="19">
        <v>6</v>
      </c>
    </row>
    <row r="77" spans="1:7" ht="15" hidden="1" thickBot="1" x14ac:dyDescent="0.35">
      <c r="A77" s="6" t="s">
        <v>27</v>
      </c>
      <c r="B77" s="7" t="s">
        <v>28</v>
      </c>
      <c r="C77" s="8" t="s">
        <v>29</v>
      </c>
      <c r="D77" s="9" t="s">
        <v>81</v>
      </c>
      <c r="E77" s="10">
        <v>45798</v>
      </c>
      <c r="F77" s="36">
        <v>53247.94</v>
      </c>
      <c r="G77" s="19">
        <v>6</v>
      </c>
    </row>
    <row r="78" spans="1:7" ht="15" hidden="1" thickBot="1" x14ac:dyDescent="0.35">
      <c r="A78" s="11" t="s">
        <v>31</v>
      </c>
      <c r="B78" s="7" t="s">
        <v>15</v>
      </c>
      <c r="C78" s="8" t="s">
        <v>51</v>
      </c>
      <c r="D78" s="9" t="s">
        <v>82</v>
      </c>
      <c r="E78" s="10">
        <v>45809</v>
      </c>
      <c r="F78" s="36">
        <v>1533834</v>
      </c>
      <c r="G78" s="19">
        <v>6</v>
      </c>
    </row>
    <row r="79" spans="1:7" ht="15" hidden="1" thickBot="1" x14ac:dyDescent="0.35">
      <c r="A79" s="11" t="s">
        <v>31</v>
      </c>
      <c r="B79" s="12" t="s">
        <v>23</v>
      </c>
      <c r="C79" s="13" t="s">
        <v>51</v>
      </c>
      <c r="D79" s="13" t="s">
        <v>60</v>
      </c>
      <c r="E79" s="10"/>
      <c r="F79" s="37">
        <v>529932.19999999995</v>
      </c>
      <c r="G79" s="19">
        <v>6</v>
      </c>
    </row>
    <row r="80" spans="1:7" ht="15" hidden="1" thickBot="1" x14ac:dyDescent="0.35">
      <c r="A80" s="6" t="s">
        <v>35</v>
      </c>
      <c r="B80" s="7" t="s">
        <v>15</v>
      </c>
      <c r="C80" s="8" t="s">
        <v>51</v>
      </c>
      <c r="D80" s="9" t="s">
        <v>83</v>
      </c>
      <c r="E80" s="10">
        <v>45809</v>
      </c>
      <c r="F80" s="36">
        <v>887700</v>
      </c>
      <c r="G80" s="19">
        <v>6</v>
      </c>
    </row>
    <row r="81" spans="1:7" ht="15" hidden="1" thickBot="1" x14ac:dyDescent="0.35">
      <c r="A81" s="11" t="s">
        <v>35</v>
      </c>
      <c r="B81" s="12" t="s">
        <v>23</v>
      </c>
      <c r="C81" s="13" t="s">
        <v>51</v>
      </c>
      <c r="D81" s="13" t="s">
        <v>60</v>
      </c>
      <c r="E81" s="14"/>
      <c r="F81" s="37">
        <v>529932.19999999995</v>
      </c>
      <c r="G81" s="19">
        <v>6</v>
      </c>
    </row>
    <row r="82" spans="1:7" ht="15" hidden="1" thickBot="1" x14ac:dyDescent="0.35">
      <c r="A82" s="6" t="s">
        <v>18</v>
      </c>
      <c r="B82" s="7" t="s">
        <v>10</v>
      </c>
      <c r="C82" s="8" t="s">
        <v>11</v>
      </c>
      <c r="D82" s="9" t="s">
        <v>57</v>
      </c>
      <c r="E82" s="10">
        <v>45845</v>
      </c>
      <c r="F82" s="36"/>
      <c r="G82" s="19">
        <v>5</v>
      </c>
    </row>
    <row r="83" spans="1:7" ht="15" hidden="1" thickBot="1" x14ac:dyDescent="0.35">
      <c r="A83" s="6" t="s">
        <v>18</v>
      </c>
      <c r="B83" s="7" t="s">
        <v>15</v>
      </c>
      <c r="C83" s="8" t="s">
        <v>36</v>
      </c>
      <c r="D83" s="9" t="s">
        <v>84</v>
      </c>
      <c r="E83" s="10">
        <v>45825</v>
      </c>
      <c r="F83" s="36">
        <v>667200</v>
      </c>
      <c r="G83" s="19">
        <v>6</v>
      </c>
    </row>
    <row r="84" spans="1:7" ht="15" hidden="1" thickBot="1" x14ac:dyDescent="0.35">
      <c r="A84" s="6" t="s">
        <v>18</v>
      </c>
      <c r="B84" s="7" t="s">
        <v>19</v>
      </c>
      <c r="C84" s="8" t="s">
        <v>19</v>
      </c>
      <c r="D84" s="9" t="s">
        <v>85</v>
      </c>
      <c r="E84" s="10">
        <v>45806</v>
      </c>
      <c r="F84" s="36">
        <v>17278.71</v>
      </c>
      <c r="G84" s="19">
        <v>6</v>
      </c>
    </row>
    <row r="85" spans="1:7" ht="15" hidden="1" thickBot="1" x14ac:dyDescent="0.35">
      <c r="A85" s="6" t="s">
        <v>18</v>
      </c>
      <c r="B85" s="7" t="s">
        <v>19</v>
      </c>
      <c r="C85" s="8" t="s">
        <v>19</v>
      </c>
      <c r="D85" s="9" t="s">
        <v>86</v>
      </c>
      <c r="E85" s="10">
        <v>45806</v>
      </c>
      <c r="F85" s="36">
        <v>90456.29</v>
      </c>
      <c r="G85" s="19">
        <v>6</v>
      </c>
    </row>
    <row r="86" spans="1:7" ht="15" hidden="1" thickBot="1" x14ac:dyDescent="0.35">
      <c r="A86" s="6" t="s">
        <v>18</v>
      </c>
      <c r="B86" s="7" t="s">
        <v>23</v>
      </c>
      <c r="C86" s="8" t="s">
        <v>40</v>
      </c>
      <c r="D86" s="9" t="s">
        <v>41</v>
      </c>
      <c r="E86" s="10"/>
      <c r="F86" s="36">
        <v>240529.21</v>
      </c>
      <c r="G86" s="19">
        <v>6</v>
      </c>
    </row>
    <row r="87" spans="1:7" ht="15" hidden="1" thickBot="1" x14ac:dyDescent="0.35">
      <c r="A87" s="6" t="s">
        <v>18</v>
      </c>
      <c r="B87" s="7" t="s">
        <v>24</v>
      </c>
      <c r="C87" s="8" t="s">
        <v>25</v>
      </c>
      <c r="D87" s="9" t="s">
        <v>61</v>
      </c>
      <c r="E87" s="10">
        <v>45814</v>
      </c>
      <c r="F87" s="36">
        <v>27480</v>
      </c>
      <c r="G87" s="19">
        <v>6</v>
      </c>
    </row>
    <row r="88" spans="1:7" ht="15" hidden="1" thickBot="1" x14ac:dyDescent="0.35">
      <c r="A88" s="6" t="s">
        <v>18</v>
      </c>
      <c r="B88" s="7" t="s">
        <v>28</v>
      </c>
      <c r="C88" s="8" t="s">
        <v>29</v>
      </c>
      <c r="D88" s="9" t="s">
        <v>87</v>
      </c>
      <c r="E88" s="10">
        <v>45798</v>
      </c>
      <c r="F88" s="36">
        <v>96500</v>
      </c>
      <c r="G88" s="19">
        <v>6</v>
      </c>
    </row>
    <row r="89" spans="1:7" ht="15" hidden="1" thickBot="1" x14ac:dyDescent="0.35">
      <c r="A89" s="6" t="s">
        <v>31</v>
      </c>
      <c r="B89" s="7" t="s">
        <v>19</v>
      </c>
      <c r="C89" s="8" t="s">
        <v>19</v>
      </c>
      <c r="D89" s="9" t="s">
        <v>88</v>
      </c>
      <c r="E89" s="10">
        <v>45806</v>
      </c>
      <c r="F89" s="36">
        <v>52854.86</v>
      </c>
      <c r="G89" s="19">
        <v>6</v>
      </c>
    </row>
    <row r="90" spans="1:7" ht="15" hidden="1" thickBot="1" x14ac:dyDescent="0.35">
      <c r="A90" s="6" t="s">
        <v>31</v>
      </c>
      <c r="B90" s="7" t="s">
        <v>24</v>
      </c>
      <c r="C90" s="8" t="s">
        <v>25</v>
      </c>
      <c r="D90" s="9" t="s">
        <v>61</v>
      </c>
      <c r="E90" s="10">
        <v>45814</v>
      </c>
      <c r="F90" s="36">
        <v>27480</v>
      </c>
      <c r="G90" s="19">
        <v>6</v>
      </c>
    </row>
    <row r="91" spans="1:7" ht="15" hidden="1" thickBot="1" x14ac:dyDescent="0.35">
      <c r="A91" s="6" t="s">
        <v>31</v>
      </c>
      <c r="B91" s="7" t="s">
        <v>10</v>
      </c>
      <c r="C91" s="8" t="s">
        <v>11</v>
      </c>
      <c r="D91" s="9" t="s">
        <v>57</v>
      </c>
      <c r="E91" s="10">
        <v>45845</v>
      </c>
      <c r="F91" s="36"/>
      <c r="G91" s="19">
        <v>5</v>
      </c>
    </row>
    <row r="92" spans="1:7" ht="15" hidden="1" thickBot="1" x14ac:dyDescent="0.35">
      <c r="A92" s="6" t="s">
        <v>35</v>
      </c>
      <c r="B92" s="7" t="s">
        <v>19</v>
      </c>
      <c r="C92" s="8" t="s">
        <v>19</v>
      </c>
      <c r="D92" s="9" t="s">
        <v>41</v>
      </c>
      <c r="E92" s="18">
        <v>45806</v>
      </c>
      <c r="F92" s="39">
        <v>47453.67</v>
      </c>
      <c r="G92" s="19">
        <v>6</v>
      </c>
    </row>
    <row r="93" spans="1:7" ht="15" hidden="1" thickBot="1" x14ac:dyDescent="0.35">
      <c r="A93" s="6" t="s">
        <v>35</v>
      </c>
      <c r="B93" s="7" t="s">
        <v>24</v>
      </c>
      <c r="C93" s="8" t="s">
        <v>25</v>
      </c>
      <c r="D93" s="9" t="s">
        <v>61</v>
      </c>
      <c r="E93" s="10">
        <v>45814</v>
      </c>
      <c r="F93" s="36">
        <v>27480</v>
      </c>
      <c r="G93" s="19">
        <v>6</v>
      </c>
    </row>
    <row r="94" spans="1:7" ht="15" hidden="1" thickBot="1" x14ac:dyDescent="0.35">
      <c r="A94" s="6" t="s">
        <v>35</v>
      </c>
      <c r="B94" s="7" t="s">
        <v>75</v>
      </c>
      <c r="C94" s="8" t="s">
        <v>76</v>
      </c>
      <c r="D94" s="9" t="s">
        <v>89</v>
      </c>
      <c r="E94" s="10"/>
      <c r="F94" s="36">
        <v>38096</v>
      </c>
      <c r="G94" s="19">
        <v>6</v>
      </c>
    </row>
    <row r="95" spans="1:7" ht="15" hidden="1" thickBot="1" x14ac:dyDescent="0.35">
      <c r="A95" s="20" t="s">
        <v>56</v>
      </c>
      <c r="B95" s="21" t="s">
        <v>10</v>
      </c>
      <c r="C95" s="22" t="s">
        <v>11</v>
      </c>
      <c r="D95" s="22" t="s">
        <v>90</v>
      </c>
      <c r="E95" s="23"/>
      <c r="F95" s="40"/>
      <c r="G95" s="19">
        <v>5</v>
      </c>
    </row>
    <row r="96" spans="1:7" ht="15" hidden="1" thickBot="1" x14ac:dyDescent="0.35">
      <c r="A96" s="20" t="s">
        <v>56</v>
      </c>
      <c r="B96" s="21" t="s">
        <v>15</v>
      </c>
      <c r="C96" s="22" t="s">
        <v>51</v>
      </c>
      <c r="D96" s="22" t="s">
        <v>91</v>
      </c>
      <c r="E96" s="23"/>
      <c r="F96" s="41">
        <v>1200553.02</v>
      </c>
      <c r="G96" s="19">
        <v>5</v>
      </c>
    </row>
    <row r="97" spans="1:7" ht="15" hidden="1" thickBot="1" x14ac:dyDescent="0.35">
      <c r="A97" s="20" t="s">
        <v>56</v>
      </c>
      <c r="B97" s="21" t="s">
        <v>19</v>
      </c>
      <c r="C97" s="22" t="s">
        <v>19</v>
      </c>
      <c r="D97" s="22" t="s">
        <v>92</v>
      </c>
      <c r="E97" s="24">
        <v>45776</v>
      </c>
      <c r="F97" s="41">
        <v>177166.59</v>
      </c>
      <c r="G97" s="19">
        <v>5</v>
      </c>
    </row>
    <row r="98" spans="1:7" ht="15" hidden="1" thickBot="1" x14ac:dyDescent="0.35">
      <c r="A98" s="20" t="s">
        <v>56</v>
      </c>
      <c r="B98" s="21" t="s">
        <v>23</v>
      </c>
      <c r="C98" s="22" t="s">
        <v>51</v>
      </c>
      <c r="D98" s="22" t="s">
        <v>41</v>
      </c>
      <c r="E98" s="23"/>
      <c r="F98" s="41">
        <v>955501.96</v>
      </c>
      <c r="G98" s="19">
        <v>5</v>
      </c>
    </row>
    <row r="99" spans="1:7" ht="15" hidden="1" thickBot="1" x14ac:dyDescent="0.35">
      <c r="A99" s="20" t="s">
        <v>56</v>
      </c>
      <c r="B99" s="21" t="s">
        <v>24</v>
      </c>
      <c r="C99" s="22" t="s">
        <v>25</v>
      </c>
      <c r="D99" s="22" t="s">
        <v>93</v>
      </c>
      <c r="E99" s="23"/>
      <c r="F99" s="41">
        <v>27480</v>
      </c>
      <c r="G99" s="19">
        <v>5</v>
      </c>
    </row>
    <row r="100" spans="1:7" ht="15" hidden="1" thickBot="1" x14ac:dyDescent="0.35">
      <c r="A100" s="20" t="s">
        <v>56</v>
      </c>
      <c r="B100" s="21" t="s">
        <v>28</v>
      </c>
      <c r="C100" s="22" t="s">
        <v>62</v>
      </c>
      <c r="D100" s="22" t="s">
        <v>94</v>
      </c>
      <c r="E100" s="23"/>
      <c r="F100" s="41">
        <v>84973.6</v>
      </c>
      <c r="G100" s="19">
        <v>5</v>
      </c>
    </row>
    <row r="101" spans="1:7" ht="15" hidden="1" thickBot="1" x14ac:dyDescent="0.35">
      <c r="A101" s="20" t="s">
        <v>64</v>
      </c>
      <c r="B101" s="21" t="s">
        <v>6</v>
      </c>
      <c r="C101" s="22" t="s">
        <v>7</v>
      </c>
      <c r="D101" s="22" t="s">
        <v>95</v>
      </c>
      <c r="E101" s="23"/>
      <c r="F101" s="41">
        <v>471713.48</v>
      </c>
      <c r="G101" s="19">
        <v>5</v>
      </c>
    </row>
    <row r="102" spans="1:7" ht="15" hidden="1" thickBot="1" x14ac:dyDescent="0.35">
      <c r="A102" s="20" t="s">
        <v>64</v>
      </c>
      <c r="B102" s="21" t="s">
        <v>10</v>
      </c>
      <c r="C102" s="22" t="s">
        <v>11</v>
      </c>
      <c r="D102" s="22" t="s">
        <v>96</v>
      </c>
      <c r="E102" s="23"/>
      <c r="F102" s="41">
        <v>361000</v>
      </c>
      <c r="G102" s="19">
        <v>5</v>
      </c>
    </row>
    <row r="103" spans="1:7" ht="15" hidden="1" thickBot="1" x14ac:dyDescent="0.35">
      <c r="A103" s="20" t="s">
        <v>64</v>
      </c>
      <c r="B103" s="21" t="s">
        <v>15</v>
      </c>
      <c r="C103" s="22" t="s">
        <v>7</v>
      </c>
      <c r="D103" s="22" t="s">
        <v>97</v>
      </c>
      <c r="E103" s="23"/>
      <c r="F103" s="41">
        <v>2139397.7599999998</v>
      </c>
      <c r="G103" s="19">
        <v>5</v>
      </c>
    </row>
    <row r="104" spans="1:7" ht="15" hidden="1" thickBot="1" x14ac:dyDescent="0.35">
      <c r="A104" s="20" t="s">
        <v>64</v>
      </c>
      <c r="B104" s="21" t="s">
        <v>17</v>
      </c>
      <c r="C104" s="22" t="s">
        <v>7</v>
      </c>
      <c r="D104" s="22" t="s">
        <v>95</v>
      </c>
      <c r="E104" s="23"/>
      <c r="F104" s="41">
        <v>393527.01</v>
      </c>
      <c r="G104" s="19">
        <v>5</v>
      </c>
    </row>
    <row r="105" spans="1:7" ht="15" hidden="1" thickBot="1" x14ac:dyDescent="0.35">
      <c r="A105" s="20" t="s">
        <v>64</v>
      </c>
      <c r="B105" s="21" t="s">
        <v>19</v>
      </c>
      <c r="C105" s="22" t="s">
        <v>19</v>
      </c>
      <c r="D105" s="22" t="s">
        <v>98</v>
      </c>
      <c r="E105" s="24">
        <v>45776</v>
      </c>
      <c r="F105" s="41">
        <v>12798.46</v>
      </c>
      <c r="G105" s="19">
        <v>5</v>
      </c>
    </row>
    <row r="106" spans="1:7" ht="15" hidden="1" thickBot="1" x14ac:dyDescent="0.35">
      <c r="A106" s="20" t="s">
        <v>64</v>
      </c>
      <c r="B106" s="21" t="s">
        <v>19</v>
      </c>
      <c r="C106" s="22" t="s">
        <v>19</v>
      </c>
      <c r="D106" s="22" t="s">
        <v>99</v>
      </c>
      <c r="E106" s="24">
        <v>45776</v>
      </c>
      <c r="F106" s="41">
        <v>120642.94</v>
      </c>
      <c r="G106" s="19">
        <v>5</v>
      </c>
    </row>
    <row r="107" spans="1:7" ht="15" hidden="1" thickBot="1" x14ac:dyDescent="0.35">
      <c r="A107" s="20" t="s">
        <v>64</v>
      </c>
      <c r="B107" s="21" t="s">
        <v>19</v>
      </c>
      <c r="C107" s="22" t="s">
        <v>19</v>
      </c>
      <c r="D107" s="25" t="s">
        <v>100</v>
      </c>
      <c r="E107" s="26">
        <v>45784</v>
      </c>
      <c r="F107" s="42">
        <v>268917.40999999997</v>
      </c>
      <c r="G107" s="19">
        <v>5</v>
      </c>
    </row>
    <row r="108" spans="1:7" ht="15" hidden="1" thickBot="1" x14ac:dyDescent="0.35">
      <c r="A108" s="20" t="s">
        <v>64</v>
      </c>
      <c r="B108" s="21" t="s">
        <v>23</v>
      </c>
      <c r="C108" s="22" t="s">
        <v>7</v>
      </c>
      <c r="D108" s="22" t="s">
        <v>95</v>
      </c>
      <c r="E108" s="23"/>
      <c r="F108" s="41">
        <v>515040.5</v>
      </c>
      <c r="G108" s="19">
        <v>5</v>
      </c>
    </row>
    <row r="109" spans="1:7" ht="15" hidden="1" thickBot="1" x14ac:dyDescent="0.35">
      <c r="A109" s="20" t="s">
        <v>64</v>
      </c>
      <c r="B109" s="21" t="s">
        <v>24</v>
      </c>
      <c r="C109" s="22" t="s">
        <v>25</v>
      </c>
      <c r="D109" s="22" t="s">
        <v>93</v>
      </c>
      <c r="E109" s="23"/>
      <c r="F109" s="41">
        <v>34220</v>
      </c>
      <c r="G109" s="19">
        <v>5</v>
      </c>
    </row>
    <row r="110" spans="1:7" ht="15" hidden="1" thickBot="1" x14ac:dyDescent="0.35">
      <c r="A110" s="20" t="s">
        <v>64</v>
      </c>
      <c r="B110" s="21" t="s">
        <v>28</v>
      </c>
      <c r="C110" s="22" t="s">
        <v>29</v>
      </c>
      <c r="D110" s="22" t="s">
        <v>101</v>
      </c>
      <c r="E110" s="24">
        <v>45765</v>
      </c>
      <c r="F110" s="41">
        <v>130551</v>
      </c>
      <c r="G110" s="19">
        <v>5</v>
      </c>
    </row>
    <row r="111" spans="1:7" ht="15" hidden="1" thickBot="1" x14ac:dyDescent="0.35">
      <c r="A111" s="20" t="s">
        <v>64</v>
      </c>
      <c r="B111" s="21" t="s">
        <v>75</v>
      </c>
      <c r="C111" s="22" t="s">
        <v>76</v>
      </c>
      <c r="D111" s="22" t="s">
        <v>102</v>
      </c>
      <c r="E111" s="23"/>
      <c r="F111" s="41">
        <v>38096</v>
      </c>
      <c r="G111" s="19">
        <v>5</v>
      </c>
    </row>
    <row r="112" spans="1:7" ht="15" thickBot="1" x14ac:dyDescent="0.35">
      <c r="A112" s="20" t="s">
        <v>71</v>
      </c>
      <c r="B112" s="21" t="s">
        <v>15</v>
      </c>
      <c r="C112" s="22" t="s">
        <v>43</v>
      </c>
      <c r="D112" s="25" t="s">
        <v>103</v>
      </c>
      <c r="E112" s="23"/>
      <c r="F112" s="41">
        <v>540862</v>
      </c>
      <c r="G112" s="19">
        <v>5</v>
      </c>
    </row>
    <row r="113" spans="1:7" ht="15" thickBot="1" x14ac:dyDescent="0.35">
      <c r="A113" s="20" t="s">
        <v>71</v>
      </c>
      <c r="B113" s="21" t="s">
        <v>23</v>
      </c>
      <c r="C113" s="22" t="s">
        <v>43</v>
      </c>
      <c r="D113" s="25" t="s">
        <v>103</v>
      </c>
      <c r="E113" s="23"/>
      <c r="F113" s="41">
        <v>274476.14</v>
      </c>
      <c r="G113" s="19">
        <v>5</v>
      </c>
    </row>
    <row r="114" spans="1:7" ht="15" hidden="1" thickBot="1" x14ac:dyDescent="0.35">
      <c r="A114" s="20" t="s">
        <v>71</v>
      </c>
      <c r="B114" s="21" t="s">
        <v>24</v>
      </c>
      <c r="C114" s="22" t="s">
        <v>25</v>
      </c>
      <c r="D114" s="22" t="s">
        <v>93</v>
      </c>
      <c r="E114" s="23"/>
      <c r="F114" s="41">
        <v>27480</v>
      </c>
      <c r="G114" s="19">
        <v>5</v>
      </c>
    </row>
    <row r="115" spans="1:7" ht="15" hidden="1" thickBot="1" x14ac:dyDescent="0.35">
      <c r="A115" s="20" t="s">
        <v>71</v>
      </c>
      <c r="B115" s="21" t="s">
        <v>28</v>
      </c>
      <c r="C115" s="22" t="s">
        <v>29</v>
      </c>
      <c r="D115" s="22" t="s">
        <v>104</v>
      </c>
      <c r="E115" s="24">
        <v>45765</v>
      </c>
      <c r="F115" s="41">
        <v>32275</v>
      </c>
      <c r="G115" s="19">
        <v>5</v>
      </c>
    </row>
    <row r="116" spans="1:7" ht="15" hidden="1" thickBot="1" x14ac:dyDescent="0.35">
      <c r="A116" s="20" t="s">
        <v>27</v>
      </c>
      <c r="B116" s="21" t="s">
        <v>10</v>
      </c>
      <c r="C116" s="22" t="s">
        <v>11</v>
      </c>
      <c r="D116" s="22" t="s">
        <v>105</v>
      </c>
      <c r="E116" s="23"/>
      <c r="F116" s="41">
        <v>143450</v>
      </c>
      <c r="G116" s="19">
        <v>5</v>
      </c>
    </row>
    <row r="117" spans="1:7" ht="15" hidden="1" thickBot="1" x14ac:dyDescent="0.35">
      <c r="A117" s="20" t="s">
        <v>27</v>
      </c>
      <c r="B117" s="21" t="s">
        <v>15</v>
      </c>
      <c r="C117" s="22" t="s">
        <v>46</v>
      </c>
      <c r="D117" s="22" t="s">
        <v>106</v>
      </c>
      <c r="E117" s="23"/>
      <c r="F117" s="41">
        <v>1201308.3899999999</v>
      </c>
      <c r="G117" s="19">
        <v>5</v>
      </c>
    </row>
    <row r="118" spans="1:7" ht="15" hidden="1" thickBot="1" x14ac:dyDescent="0.35">
      <c r="A118" s="20" t="s">
        <v>27</v>
      </c>
      <c r="B118" s="21" t="s">
        <v>19</v>
      </c>
      <c r="C118" s="22" t="s">
        <v>19</v>
      </c>
      <c r="D118" s="22" t="s">
        <v>107</v>
      </c>
      <c r="E118" s="24">
        <v>45775</v>
      </c>
      <c r="F118" s="41">
        <v>82731.320000000007</v>
      </c>
      <c r="G118" s="19">
        <v>5</v>
      </c>
    </row>
    <row r="119" spans="1:7" ht="15" hidden="1" thickBot="1" x14ac:dyDescent="0.35">
      <c r="A119" s="20" t="s">
        <v>27</v>
      </c>
      <c r="B119" s="21" t="s">
        <v>23</v>
      </c>
      <c r="C119" s="22" t="s">
        <v>46</v>
      </c>
      <c r="D119" s="22" t="s">
        <v>108</v>
      </c>
      <c r="E119" s="23"/>
      <c r="F119" s="41">
        <v>1997735.13</v>
      </c>
      <c r="G119" s="19">
        <v>5</v>
      </c>
    </row>
    <row r="120" spans="1:7" ht="15" hidden="1" thickBot="1" x14ac:dyDescent="0.35">
      <c r="A120" s="20" t="s">
        <v>27</v>
      </c>
      <c r="B120" s="21" t="s">
        <v>24</v>
      </c>
      <c r="C120" s="22" t="s">
        <v>25</v>
      </c>
      <c r="D120" s="22" t="s">
        <v>93</v>
      </c>
      <c r="E120" s="23"/>
      <c r="F120" s="41">
        <v>27480</v>
      </c>
      <c r="G120" s="19">
        <v>5</v>
      </c>
    </row>
    <row r="121" spans="1:7" ht="15" hidden="1" thickBot="1" x14ac:dyDescent="0.35">
      <c r="A121" s="20" t="s">
        <v>27</v>
      </c>
      <c r="B121" s="21" t="s">
        <v>28</v>
      </c>
      <c r="C121" s="22" t="s">
        <v>29</v>
      </c>
      <c r="D121" s="22" t="s">
        <v>109</v>
      </c>
      <c r="E121" s="24">
        <v>45765</v>
      </c>
      <c r="F121" s="41">
        <v>51942.15</v>
      </c>
      <c r="G121" s="19">
        <v>5</v>
      </c>
    </row>
    <row r="122" spans="1:7" ht="15" hidden="1" thickBot="1" x14ac:dyDescent="0.35">
      <c r="A122" s="20" t="s">
        <v>27</v>
      </c>
      <c r="B122" s="21" t="s">
        <v>75</v>
      </c>
      <c r="C122" s="22" t="s">
        <v>76</v>
      </c>
      <c r="D122" s="22" t="s">
        <v>110</v>
      </c>
      <c r="E122" s="23"/>
      <c r="F122" s="41">
        <v>38096</v>
      </c>
      <c r="G122" s="19">
        <v>5</v>
      </c>
    </row>
    <row r="123" spans="1:7" ht="15" hidden="1" thickBot="1" x14ac:dyDescent="0.35">
      <c r="A123" s="20" t="s">
        <v>31</v>
      </c>
      <c r="B123" s="21" t="s">
        <v>15</v>
      </c>
      <c r="C123" s="22" t="s">
        <v>51</v>
      </c>
      <c r="D123" s="22" t="s">
        <v>111</v>
      </c>
      <c r="E123" s="23"/>
      <c r="F123" s="41">
        <v>1623633.2</v>
      </c>
      <c r="G123" s="19">
        <v>5</v>
      </c>
    </row>
    <row r="124" spans="1:7" ht="15" hidden="1" thickBot="1" x14ac:dyDescent="0.35">
      <c r="A124" s="20" t="s">
        <v>31</v>
      </c>
      <c r="B124" s="21" t="s">
        <v>19</v>
      </c>
      <c r="C124" s="22" t="s">
        <v>19</v>
      </c>
      <c r="D124" s="22" t="s">
        <v>112</v>
      </c>
      <c r="E124" s="24">
        <v>45776</v>
      </c>
      <c r="F124" s="41">
        <v>81062.570000000007</v>
      </c>
      <c r="G124" s="19">
        <v>5</v>
      </c>
    </row>
    <row r="125" spans="1:7" ht="15" hidden="1" thickBot="1" x14ac:dyDescent="0.35">
      <c r="A125" s="20" t="s">
        <v>31</v>
      </c>
      <c r="B125" s="21" t="s">
        <v>23</v>
      </c>
      <c r="C125" s="22" t="s">
        <v>51</v>
      </c>
      <c r="D125" s="22" t="s">
        <v>41</v>
      </c>
      <c r="E125" s="23"/>
      <c r="F125" s="41">
        <v>477750.98</v>
      </c>
      <c r="G125" s="19">
        <v>5</v>
      </c>
    </row>
    <row r="126" spans="1:7" ht="15" hidden="1" thickBot="1" x14ac:dyDescent="0.35">
      <c r="A126" s="20" t="s">
        <v>31</v>
      </c>
      <c r="B126" s="21" t="s">
        <v>24</v>
      </c>
      <c r="C126" s="22" t="s">
        <v>25</v>
      </c>
      <c r="D126" s="22" t="s">
        <v>93</v>
      </c>
      <c r="E126" s="23"/>
      <c r="F126" s="41">
        <v>27480</v>
      </c>
      <c r="G126" s="19">
        <v>5</v>
      </c>
    </row>
    <row r="127" spans="1:7" ht="15" hidden="1" thickBot="1" x14ac:dyDescent="0.35">
      <c r="A127" s="20" t="s">
        <v>35</v>
      </c>
      <c r="B127" s="21" t="s">
        <v>15</v>
      </c>
      <c r="C127" s="22" t="s">
        <v>51</v>
      </c>
      <c r="D127" s="22" t="s">
        <v>113</v>
      </c>
      <c r="E127" s="23"/>
      <c r="F127" s="41">
        <v>825000</v>
      </c>
      <c r="G127" s="19">
        <v>5</v>
      </c>
    </row>
    <row r="128" spans="1:7" ht="15" hidden="1" thickBot="1" x14ac:dyDescent="0.35">
      <c r="A128" s="20" t="s">
        <v>35</v>
      </c>
      <c r="B128" s="21" t="s">
        <v>19</v>
      </c>
      <c r="C128" s="22" t="s">
        <v>19</v>
      </c>
      <c r="D128" s="22" t="s">
        <v>41</v>
      </c>
      <c r="E128" s="23"/>
      <c r="F128" s="41">
        <v>112692.44</v>
      </c>
      <c r="G128" s="19">
        <v>5</v>
      </c>
    </row>
    <row r="129" spans="1:9" ht="15" hidden="1" thickBot="1" x14ac:dyDescent="0.35">
      <c r="A129" s="20" t="s">
        <v>35</v>
      </c>
      <c r="B129" s="21" t="s">
        <v>23</v>
      </c>
      <c r="C129" s="22" t="s">
        <v>51</v>
      </c>
      <c r="D129" s="22" t="s">
        <v>41</v>
      </c>
      <c r="E129" s="23"/>
      <c r="F129" s="41">
        <v>477750.98</v>
      </c>
      <c r="G129" s="19">
        <v>5</v>
      </c>
    </row>
    <row r="130" spans="1:9" ht="15" hidden="1" thickBot="1" x14ac:dyDescent="0.35">
      <c r="A130" s="20" t="s">
        <v>35</v>
      </c>
      <c r="B130" s="21" t="s">
        <v>24</v>
      </c>
      <c r="C130" s="22" t="s">
        <v>25</v>
      </c>
      <c r="D130" s="22" t="s">
        <v>93</v>
      </c>
      <c r="E130" s="23"/>
      <c r="F130" s="41">
        <v>27480</v>
      </c>
      <c r="G130" s="19">
        <v>5</v>
      </c>
    </row>
    <row r="131" spans="1:9" ht="15" hidden="1" thickBot="1" x14ac:dyDescent="0.35">
      <c r="A131" s="20" t="s">
        <v>35</v>
      </c>
      <c r="B131" s="21" t="s">
        <v>75</v>
      </c>
      <c r="C131" s="22" t="s">
        <v>76</v>
      </c>
      <c r="D131" s="22" t="s">
        <v>114</v>
      </c>
      <c r="E131" s="23"/>
      <c r="F131" s="41">
        <v>38096</v>
      </c>
      <c r="G131" s="19">
        <v>5</v>
      </c>
    </row>
    <row r="132" spans="1:9" ht="15" hidden="1" thickBot="1" x14ac:dyDescent="0.35">
      <c r="A132" s="27" t="s">
        <v>18</v>
      </c>
      <c r="B132" s="21" t="s">
        <v>15</v>
      </c>
      <c r="C132" s="22" t="s">
        <v>36</v>
      </c>
      <c r="D132" s="22" t="s">
        <v>115</v>
      </c>
      <c r="E132" s="23"/>
      <c r="F132" s="41">
        <v>738584</v>
      </c>
      <c r="G132" s="19">
        <v>5</v>
      </c>
    </row>
    <row r="133" spans="1:9" ht="15" hidden="1" thickBot="1" x14ac:dyDescent="0.35">
      <c r="A133" s="27" t="s">
        <v>18</v>
      </c>
      <c r="B133" s="21" t="s">
        <v>19</v>
      </c>
      <c r="C133" s="22" t="s">
        <v>19</v>
      </c>
      <c r="D133" s="22" t="s">
        <v>116</v>
      </c>
      <c r="E133" s="24">
        <v>45776</v>
      </c>
      <c r="F133" s="41">
        <v>51659.38</v>
      </c>
      <c r="G133" s="19">
        <v>5</v>
      </c>
    </row>
    <row r="134" spans="1:9" ht="15" hidden="1" thickBot="1" x14ac:dyDescent="0.35">
      <c r="A134" s="27" t="s">
        <v>18</v>
      </c>
      <c r="B134" s="21" t="s">
        <v>19</v>
      </c>
      <c r="C134" s="22" t="s">
        <v>19</v>
      </c>
      <c r="D134" s="22" t="s">
        <v>117</v>
      </c>
      <c r="E134" s="24">
        <v>45776</v>
      </c>
      <c r="F134" s="41">
        <v>119742.24</v>
      </c>
      <c r="G134" s="19">
        <v>5</v>
      </c>
    </row>
    <row r="135" spans="1:9" ht="15" hidden="1" thickBot="1" x14ac:dyDescent="0.35">
      <c r="A135" s="27" t="s">
        <v>18</v>
      </c>
      <c r="B135" s="21" t="s">
        <v>23</v>
      </c>
      <c r="C135" s="22" t="s">
        <v>40</v>
      </c>
      <c r="D135" s="22" t="s">
        <v>41</v>
      </c>
      <c r="E135" s="23"/>
      <c r="F135" s="41">
        <v>262951.78999999998</v>
      </c>
      <c r="G135" s="19">
        <v>5</v>
      </c>
    </row>
    <row r="136" spans="1:9" ht="15" hidden="1" thickBot="1" x14ac:dyDescent="0.35">
      <c r="A136" s="27" t="s">
        <v>18</v>
      </c>
      <c r="B136" s="21" t="s">
        <v>24</v>
      </c>
      <c r="C136" s="22" t="s">
        <v>25</v>
      </c>
      <c r="D136" s="22" t="s">
        <v>93</v>
      </c>
      <c r="E136" s="23"/>
      <c r="F136" s="41">
        <v>45480</v>
      </c>
      <c r="G136" s="19">
        <v>5</v>
      </c>
    </row>
    <row r="137" spans="1:9" ht="15" hidden="1" thickBot="1" x14ac:dyDescent="0.35">
      <c r="A137" s="27" t="s">
        <v>18</v>
      </c>
      <c r="B137" s="21" t="s">
        <v>28</v>
      </c>
      <c r="C137" s="22" t="s">
        <v>29</v>
      </c>
      <c r="D137" s="22" t="s">
        <v>118</v>
      </c>
      <c r="E137" s="24">
        <v>45765</v>
      </c>
      <c r="F137" s="41">
        <v>92450</v>
      </c>
      <c r="G137" s="19">
        <v>5</v>
      </c>
    </row>
    <row r="138" spans="1:9" ht="15" hidden="1" thickBot="1" x14ac:dyDescent="0.35">
      <c r="A138" s="27" t="s">
        <v>18</v>
      </c>
      <c r="B138" s="21" t="s">
        <v>75</v>
      </c>
      <c r="C138" s="22" t="s">
        <v>76</v>
      </c>
      <c r="D138" s="22" t="s">
        <v>119</v>
      </c>
      <c r="E138" s="23"/>
      <c r="F138" s="41">
        <v>38096</v>
      </c>
      <c r="G138" s="19">
        <v>5</v>
      </c>
    </row>
    <row r="139" spans="1:9" hidden="1" x14ac:dyDescent="0.3">
      <c r="A139" s="2" t="s">
        <v>56</v>
      </c>
      <c r="B139" s="2" t="s">
        <v>10</v>
      </c>
      <c r="C139" s="2" t="s">
        <v>11</v>
      </c>
      <c r="D139" s="2" t="s">
        <v>135</v>
      </c>
      <c r="E139" s="31">
        <v>45903</v>
      </c>
      <c r="F139" s="43">
        <v>20000</v>
      </c>
      <c r="G139" s="19">
        <v>8</v>
      </c>
    </row>
    <row r="140" spans="1:9" hidden="1" x14ac:dyDescent="0.3">
      <c r="A140" s="2" t="s">
        <v>56</v>
      </c>
      <c r="B140" s="2" t="s">
        <v>19</v>
      </c>
      <c r="C140" s="2" t="s">
        <v>19</v>
      </c>
      <c r="D140" s="2" t="s">
        <v>136</v>
      </c>
      <c r="E140" s="31">
        <v>45866</v>
      </c>
      <c r="F140" s="43">
        <v>39282.269999999997</v>
      </c>
      <c r="G140" s="19">
        <v>8</v>
      </c>
    </row>
    <row r="141" spans="1:9" hidden="1" x14ac:dyDescent="0.3">
      <c r="A141" s="2" t="s">
        <v>56</v>
      </c>
      <c r="B141" s="2" t="s">
        <v>23</v>
      </c>
      <c r="C141" s="2" t="s">
        <v>137</v>
      </c>
      <c r="E141" s="31">
        <v>45870</v>
      </c>
      <c r="F141" s="43">
        <v>1146570.01</v>
      </c>
      <c r="G141" s="19">
        <v>8</v>
      </c>
      <c r="I141" s="32"/>
    </row>
    <row r="142" spans="1:9" hidden="1" x14ac:dyDescent="0.3">
      <c r="A142" s="2" t="s">
        <v>56</v>
      </c>
      <c r="B142" s="2" t="s">
        <v>24</v>
      </c>
      <c r="C142" s="2" t="s">
        <v>25</v>
      </c>
      <c r="D142" s="2" t="s">
        <v>138</v>
      </c>
      <c r="E142" s="31">
        <v>45877</v>
      </c>
      <c r="F142" s="43">
        <v>30230</v>
      </c>
      <c r="G142" s="19">
        <v>8</v>
      </c>
    </row>
    <row r="143" spans="1:9" hidden="1" x14ac:dyDescent="0.3">
      <c r="A143" s="2" t="s">
        <v>56</v>
      </c>
      <c r="B143" s="2" t="s">
        <v>28</v>
      </c>
      <c r="C143" s="2" t="s">
        <v>62</v>
      </c>
      <c r="D143" s="2" t="s">
        <v>139</v>
      </c>
      <c r="E143" s="31">
        <v>45882</v>
      </c>
      <c r="F143" s="43">
        <v>92918.399999999994</v>
      </c>
      <c r="G143" s="19">
        <v>8</v>
      </c>
    </row>
    <row r="144" spans="1:9" hidden="1" x14ac:dyDescent="0.3">
      <c r="A144" s="2" t="s">
        <v>56</v>
      </c>
      <c r="B144" s="2" t="s">
        <v>32</v>
      </c>
      <c r="C144" s="2" t="s">
        <v>140</v>
      </c>
      <c r="D144" s="2" t="s">
        <v>141</v>
      </c>
      <c r="E144" s="31">
        <v>45868</v>
      </c>
      <c r="F144" s="43">
        <v>692846.25</v>
      </c>
      <c r="G144" s="19">
        <v>8</v>
      </c>
    </row>
    <row r="145" spans="1:8" hidden="1" x14ac:dyDescent="0.3">
      <c r="A145" s="2" t="s">
        <v>56</v>
      </c>
      <c r="B145" s="2" t="s">
        <v>32</v>
      </c>
      <c r="C145" s="2" t="s">
        <v>142</v>
      </c>
      <c r="D145" s="2" t="s">
        <v>143</v>
      </c>
      <c r="E145" s="31">
        <v>45887</v>
      </c>
      <c r="F145" s="43">
        <v>292000</v>
      </c>
      <c r="G145" s="19">
        <v>8</v>
      </c>
    </row>
    <row r="146" spans="1:8" hidden="1" x14ac:dyDescent="0.3">
      <c r="A146" s="2" t="s">
        <v>56</v>
      </c>
      <c r="B146" s="2" t="s">
        <v>144</v>
      </c>
      <c r="C146" s="2" t="s">
        <v>145</v>
      </c>
      <c r="D146" s="2" t="s">
        <v>146</v>
      </c>
      <c r="E146" s="31">
        <v>45873</v>
      </c>
      <c r="F146" s="43">
        <v>90000</v>
      </c>
      <c r="G146" s="19">
        <v>8</v>
      </c>
    </row>
    <row r="147" spans="1:8" hidden="1" x14ac:dyDescent="0.3">
      <c r="A147" s="2" t="s">
        <v>56</v>
      </c>
      <c r="B147" s="2" t="s">
        <v>32</v>
      </c>
      <c r="C147" s="2" t="s">
        <v>140</v>
      </c>
      <c r="D147" s="2" t="s">
        <v>147</v>
      </c>
      <c r="E147" s="31">
        <v>45883</v>
      </c>
      <c r="F147" s="43">
        <v>1638723.03</v>
      </c>
      <c r="G147" s="19">
        <v>8</v>
      </c>
    </row>
    <row r="148" spans="1:8" hidden="1" x14ac:dyDescent="0.3">
      <c r="A148" s="2" t="s">
        <v>56</v>
      </c>
      <c r="B148" s="2" t="s">
        <v>15</v>
      </c>
      <c r="C148" s="2" t="s">
        <v>51</v>
      </c>
      <c r="D148" s="2" t="s">
        <v>148</v>
      </c>
      <c r="E148" s="31">
        <v>45870</v>
      </c>
      <c r="F148" s="43">
        <v>1569764.97</v>
      </c>
      <c r="G148" s="19">
        <v>8</v>
      </c>
    </row>
    <row r="149" spans="1:8" hidden="1" x14ac:dyDescent="0.3">
      <c r="A149" s="2" t="s">
        <v>64</v>
      </c>
      <c r="B149" s="2" t="s">
        <v>6</v>
      </c>
      <c r="C149" s="2" t="s">
        <v>7</v>
      </c>
      <c r="D149" s="2" t="s">
        <v>149</v>
      </c>
      <c r="E149" s="31">
        <v>45877</v>
      </c>
      <c r="F149" s="43">
        <v>532322</v>
      </c>
      <c r="G149" s="19">
        <v>8</v>
      </c>
    </row>
    <row r="150" spans="1:8" hidden="1" x14ac:dyDescent="0.3">
      <c r="A150" s="2" t="s">
        <v>64</v>
      </c>
      <c r="B150" s="2" t="s">
        <v>15</v>
      </c>
      <c r="C150" s="2" t="s">
        <v>7</v>
      </c>
      <c r="D150" s="2" t="s">
        <v>150</v>
      </c>
      <c r="E150" s="31">
        <v>45880</v>
      </c>
      <c r="F150" s="43">
        <v>6550000</v>
      </c>
      <c r="G150" s="19">
        <v>8</v>
      </c>
    </row>
    <row r="151" spans="1:8" hidden="1" x14ac:dyDescent="0.3">
      <c r="A151" s="2" t="s">
        <v>64</v>
      </c>
      <c r="B151" s="2" t="s">
        <v>17</v>
      </c>
      <c r="C151" s="2" t="s">
        <v>7</v>
      </c>
      <c r="D151" s="2" t="s">
        <v>149</v>
      </c>
      <c r="E151" s="31">
        <v>45877</v>
      </c>
      <c r="F151" s="43">
        <v>405183.12</v>
      </c>
      <c r="G151" s="19">
        <v>8</v>
      </c>
    </row>
    <row r="152" spans="1:8" hidden="1" x14ac:dyDescent="0.3">
      <c r="A152" s="2" t="s">
        <v>64</v>
      </c>
      <c r="B152" s="2" t="s">
        <v>75</v>
      </c>
      <c r="C152" s="2" t="s">
        <v>76</v>
      </c>
      <c r="D152" s="2" t="s">
        <v>151</v>
      </c>
      <c r="E152" s="31">
        <v>45881</v>
      </c>
      <c r="F152" s="43">
        <v>41895</v>
      </c>
      <c r="G152" s="19">
        <v>8</v>
      </c>
    </row>
    <row r="153" spans="1:8" hidden="1" x14ac:dyDescent="0.3">
      <c r="A153" s="2" t="s">
        <v>64</v>
      </c>
      <c r="B153" s="2" t="s">
        <v>23</v>
      </c>
      <c r="C153" s="2" t="s">
        <v>7</v>
      </c>
      <c r="D153" s="2" t="s">
        <v>149</v>
      </c>
      <c r="E153" s="31">
        <v>45877</v>
      </c>
      <c r="F153" s="43">
        <v>407740.5</v>
      </c>
      <c r="G153" s="19">
        <v>8</v>
      </c>
      <c r="H153" s="32"/>
    </row>
    <row r="154" spans="1:8" hidden="1" x14ac:dyDescent="0.3">
      <c r="A154" s="2" t="s">
        <v>64</v>
      </c>
      <c r="B154" s="2" t="s">
        <v>24</v>
      </c>
      <c r="C154" s="2" t="s">
        <v>25</v>
      </c>
      <c r="D154" s="2" t="s">
        <v>152</v>
      </c>
      <c r="E154" s="31">
        <v>45877</v>
      </c>
      <c r="F154" s="43">
        <v>37650</v>
      </c>
      <c r="G154" s="19">
        <v>8</v>
      </c>
    </row>
    <row r="155" spans="1:8" hidden="1" x14ac:dyDescent="0.3">
      <c r="A155" s="2" t="s">
        <v>64</v>
      </c>
      <c r="B155" s="2" t="s">
        <v>19</v>
      </c>
      <c r="C155" s="2" t="s">
        <v>19</v>
      </c>
      <c r="D155" s="2" t="s">
        <v>153</v>
      </c>
      <c r="E155" s="31">
        <v>45867</v>
      </c>
      <c r="F155" s="43">
        <v>150125.29999999999</v>
      </c>
      <c r="G155" s="2">
        <v>8</v>
      </c>
    </row>
    <row r="156" spans="1:8" hidden="1" x14ac:dyDescent="0.3">
      <c r="A156" s="2" t="s">
        <v>64</v>
      </c>
      <c r="B156" s="2" t="s">
        <v>19</v>
      </c>
      <c r="C156" s="2" t="s">
        <v>19</v>
      </c>
      <c r="D156" s="2" t="s">
        <v>154</v>
      </c>
      <c r="E156" s="31">
        <v>45867</v>
      </c>
      <c r="F156" s="43">
        <v>15564.05</v>
      </c>
      <c r="G156" s="2">
        <v>8</v>
      </c>
    </row>
    <row r="157" spans="1:8" hidden="1" x14ac:dyDescent="0.3">
      <c r="A157" s="2" t="s">
        <v>64</v>
      </c>
      <c r="B157" s="2" t="s">
        <v>19</v>
      </c>
      <c r="C157" s="2" t="s">
        <v>19</v>
      </c>
      <c r="D157" s="2" t="s">
        <v>155</v>
      </c>
      <c r="E157" s="31">
        <v>45873</v>
      </c>
      <c r="F157" s="43">
        <v>477296.6</v>
      </c>
      <c r="G157" s="2">
        <v>8</v>
      </c>
    </row>
    <row r="158" spans="1:8" hidden="1" x14ac:dyDescent="0.3">
      <c r="A158" s="2" t="s">
        <v>64</v>
      </c>
      <c r="B158" s="2" t="s">
        <v>28</v>
      </c>
      <c r="C158" s="2" t="s">
        <v>29</v>
      </c>
      <c r="D158" s="2" t="s">
        <v>156</v>
      </c>
      <c r="E158" s="31">
        <v>45855</v>
      </c>
      <c r="F158" s="43">
        <v>144997</v>
      </c>
      <c r="G158" s="19">
        <v>8</v>
      </c>
    </row>
    <row r="159" spans="1:8" hidden="1" x14ac:dyDescent="0.3">
      <c r="A159" s="2" t="s">
        <v>64</v>
      </c>
      <c r="B159" s="2" t="s">
        <v>10</v>
      </c>
      <c r="C159" s="2" t="s">
        <v>11</v>
      </c>
      <c r="D159" s="2" t="s">
        <v>157</v>
      </c>
      <c r="E159" s="31">
        <v>45903</v>
      </c>
      <c r="F159" s="43">
        <v>40000</v>
      </c>
      <c r="G159" s="19">
        <v>8</v>
      </c>
    </row>
    <row r="160" spans="1:8" hidden="1" x14ac:dyDescent="0.3">
      <c r="A160" s="2" t="s">
        <v>18</v>
      </c>
      <c r="B160" s="2" t="s">
        <v>75</v>
      </c>
      <c r="C160" s="2" t="s">
        <v>76</v>
      </c>
      <c r="D160" s="2" t="s">
        <v>158</v>
      </c>
      <c r="E160" s="31">
        <v>45881</v>
      </c>
      <c r="F160" s="43">
        <v>41895</v>
      </c>
      <c r="G160" s="19">
        <v>8</v>
      </c>
    </row>
    <row r="161" spans="1:9" hidden="1" x14ac:dyDescent="0.3">
      <c r="A161" s="2" t="s">
        <v>18</v>
      </c>
      <c r="B161" s="2" t="s">
        <v>10</v>
      </c>
      <c r="C161" s="2" t="s">
        <v>11</v>
      </c>
      <c r="D161" s="2" t="s">
        <v>135</v>
      </c>
      <c r="E161" s="31">
        <v>45903</v>
      </c>
      <c r="F161" s="43">
        <v>40000</v>
      </c>
      <c r="G161" s="19">
        <v>8</v>
      </c>
    </row>
    <row r="162" spans="1:9" hidden="1" x14ac:dyDescent="0.3">
      <c r="A162" s="2" t="s">
        <v>18</v>
      </c>
      <c r="B162" s="2" t="s">
        <v>15</v>
      </c>
      <c r="C162" s="2" t="s">
        <v>36</v>
      </c>
      <c r="D162" s="2" t="s">
        <v>159</v>
      </c>
      <c r="E162" s="31">
        <v>45870</v>
      </c>
      <c r="F162" s="43">
        <v>667200</v>
      </c>
      <c r="G162" s="19">
        <v>8</v>
      </c>
      <c r="I162" s="32"/>
    </row>
    <row r="163" spans="1:9" hidden="1" x14ac:dyDescent="0.3">
      <c r="A163" s="2" t="s">
        <v>18</v>
      </c>
      <c r="B163" s="2" t="s">
        <v>19</v>
      </c>
      <c r="C163" s="2" t="s">
        <v>19</v>
      </c>
      <c r="D163" s="2" t="s">
        <v>160</v>
      </c>
      <c r="E163" s="31">
        <v>45866</v>
      </c>
      <c r="F163" s="43">
        <v>116796.22</v>
      </c>
      <c r="G163" s="19">
        <v>8</v>
      </c>
    </row>
    <row r="164" spans="1:9" hidden="1" x14ac:dyDescent="0.3">
      <c r="A164" s="2" t="s">
        <v>18</v>
      </c>
      <c r="B164" s="2" t="s">
        <v>19</v>
      </c>
      <c r="C164" s="2" t="s">
        <v>19</v>
      </c>
      <c r="D164" s="2" t="s">
        <v>161</v>
      </c>
      <c r="E164" s="31">
        <v>45866</v>
      </c>
      <c r="F164" s="43">
        <v>28181.54</v>
      </c>
      <c r="G164" s="19">
        <v>8</v>
      </c>
    </row>
    <row r="165" spans="1:9" hidden="1" x14ac:dyDescent="0.3">
      <c r="A165" s="2" t="s">
        <v>18</v>
      </c>
      <c r="B165" s="2" t="s">
        <v>23</v>
      </c>
      <c r="C165" s="2" t="s">
        <v>40</v>
      </c>
      <c r="D165" s="2" t="s">
        <v>41</v>
      </c>
      <c r="E165" s="31">
        <v>45870</v>
      </c>
      <c r="F165" s="43">
        <v>242602.21</v>
      </c>
      <c r="G165" s="19">
        <v>8</v>
      </c>
      <c r="I165" s="32"/>
    </row>
    <row r="166" spans="1:9" hidden="1" x14ac:dyDescent="0.3">
      <c r="A166" s="2" t="s">
        <v>18</v>
      </c>
      <c r="B166" s="2" t="s">
        <v>24</v>
      </c>
      <c r="C166" s="2" t="s">
        <v>25</v>
      </c>
      <c r="D166" s="2" t="s">
        <v>138</v>
      </c>
      <c r="E166" s="31">
        <v>45877</v>
      </c>
      <c r="F166" s="43">
        <v>30230</v>
      </c>
      <c r="G166" s="19">
        <v>8</v>
      </c>
    </row>
    <row r="167" spans="1:9" hidden="1" x14ac:dyDescent="0.3">
      <c r="A167" s="2" t="s">
        <v>18</v>
      </c>
      <c r="B167" s="2" t="s">
        <v>28</v>
      </c>
      <c r="C167" s="2" t="s">
        <v>29</v>
      </c>
      <c r="D167" s="2" t="s">
        <v>162</v>
      </c>
      <c r="E167" s="31">
        <v>45855</v>
      </c>
      <c r="F167" s="43">
        <v>102700</v>
      </c>
      <c r="G167" s="19">
        <v>8</v>
      </c>
    </row>
    <row r="168" spans="1:9" hidden="1" x14ac:dyDescent="0.3">
      <c r="A168" s="2" t="s">
        <v>18</v>
      </c>
      <c r="B168" s="2" t="s">
        <v>28</v>
      </c>
      <c r="C168" s="2" t="s">
        <v>29</v>
      </c>
      <c r="D168" s="2" t="s">
        <v>162</v>
      </c>
      <c r="E168" s="31">
        <v>45855</v>
      </c>
      <c r="F168" s="43">
        <v>102700</v>
      </c>
      <c r="G168" s="2">
        <v>8</v>
      </c>
    </row>
    <row r="169" spans="1:9" hidden="1" x14ac:dyDescent="0.3">
      <c r="A169" s="2" t="s">
        <v>71</v>
      </c>
      <c r="B169" s="2" t="s">
        <v>28</v>
      </c>
      <c r="C169" s="2" t="s">
        <v>29</v>
      </c>
      <c r="D169" s="2" t="s">
        <v>163</v>
      </c>
      <c r="E169" s="31">
        <v>45855</v>
      </c>
      <c r="F169" s="43">
        <v>35325</v>
      </c>
      <c r="G169" s="2">
        <v>8</v>
      </c>
    </row>
    <row r="170" spans="1:9" hidden="1" x14ac:dyDescent="0.3">
      <c r="A170" s="2" t="s">
        <v>71</v>
      </c>
      <c r="B170" s="2" t="s">
        <v>144</v>
      </c>
      <c r="C170" s="2" t="s">
        <v>145</v>
      </c>
      <c r="D170" s="2" t="s">
        <v>164</v>
      </c>
      <c r="E170" s="31">
        <v>45869</v>
      </c>
      <c r="F170" s="43">
        <v>190000</v>
      </c>
      <c r="G170" s="2">
        <v>8</v>
      </c>
    </row>
    <row r="171" spans="1:9" x14ac:dyDescent="0.3">
      <c r="A171" s="2" t="s">
        <v>71</v>
      </c>
      <c r="B171" s="2" t="s">
        <v>15</v>
      </c>
      <c r="C171" s="2" t="s">
        <v>43</v>
      </c>
      <c r="D171" s="2" t="s">
        <v>165</v>
      </c>
      <c r="E171" s="31">
        <v>45870</v>
      </c>
      <c r="F171" s="43">
        <v>599275.1</v>
      </c>
      <c r="G171" s="19">
        <v>8</v>
      </c>
    </row>
    <row r="172" spans="1:9" x14ac:dyDescent="0.3">
      <c r="A172" s="2" t="s">
        <v>71</v>
      </c>
      <c r="B172" s="2" t="s">
        <v>23</v>
      </c>
      <c r="C172" s="2" t="s">
        <v>43</v>
      </c>
      <c r="D172" s="2" t="s">
        <v>165</v>
      </c>
      <c r="E172" s="31">
        <v>45870</v>
      </c>
      <c r="F172" s="43">
        <v>328003.06</v>
      </c>
      <c r="G172" s="19">
        <v>8</v>
      </c>
      <c r="H172" s="32"/>
    </row>
    <row r="173" spans="1:9" hidden="1" x14ac:dyDescent="0.3">
      <c r="A173" s="2" t="s">
        <v>71</v>
      </c>
      <c r="B173" s="2" t="s">
        <v>166</v>
      </c>
      <c r="C173" s="2" t="s">
        <v>167</v>
      </c>
      <c r="D173" s="2" t="s">
        <v>168</v>
      </c>
      <c r="E173" s="31">
        <v>45889</v>
      </c>
      <c r="F173" s="43">
        <v>59500</v>
      </c>
      <c r="G173" s="19">
        <v>8</v>
      </c>
    </row>
    <row r="174" spans="1:9" hidden="1" x14ac:dyDescent="0.3">
      <c r="A174" s="2" t="s">
        <v>71</v>
      </c>
      <c r="B174" s="2" t="s">
        <v>24</v>
      </c>
      <c r="C174" s="2" t="s">
        <v>25</v>
      </c>
      <c r="D174" s="2" t="s">
        <v>138</v>
      </c>
      <c r="E174" s="31">
        <v>45877</v>
      </c>
      <c r="F174" s="43">
        <v>30230</v>
      </c>
      <c r="G174" s="19">
        <v>8</v>
      </c>
    </row>
    <row r="175" spans="1:9" hidden="1" x14ac:dyDescent="0.3">
      <c r="A175" s="2" t="s">
        <v>27</v>
      </c>
      <c r="B175" s="2" t="s">
        <v>10</v>
      </c>
      <c r="C175" s="2" t="s">
        <v>11</v>
      </c>
      <c r="D175" s="2" t="s">
        <v>135</v>
      </c>
      <c r="E175" s="31">
        <v>45903</v>
      </c>
      <c r="F175" s="43">
        <v>40000</v>
      </c>
      <c r="G175" s="19">
        <v>8</v>
      </c>
    </row>
    <row r="176" spans="1:9" hidden="1" x14ac:dyDescent="0.3">
      <c r="A176" s="2" t="s">
        <v>27</v>
      </c>
      <c r="B176" s="2" t="s">
        <v>19</v>
      </c>
      <c r="C176" s="2" t="s">
        <v>19</v>
      </c>
      <c r="D176" s="2" t="s">
        <v>169</v>
      </c>
      <c r="E176" s="31">
        <v>45863</v>
      </c>
      <c r="F176" s="43">
        <v>87365.62</v>
      </c>
      <c r="G176" s="19">
        <v>8</v>
      </c>
    </row>
    <row r="177" spans="1:7" hidden="1" x14ac:dyDescent="0.3">
      <c r="A177" s="2" t="s">
        <v>27</v>
      </c>
      <c r="B177" s="2" t="s">
        <v>23</v>
      </c>
      <c r="C177" s="2" t="s">
        <v>46</v>
      </c>
      <c r="D177" s="2" t="s">
        <v>170</v>
      </c>
      <c r="E177" s="31">
        <v>45874</v>
      </c>
      <c r="F177" s="43">
        <v>1901854.12</v>
      </c>
      <c r="G177" s="19">
        <v>8</v>
      </c>
    </row>
    <row r="178" spans="1:7" hidden="1" x14ac:dyDescent="0.3">
      <c r="A178" s="2" t="s">
        <v>27</v>
      </c>
      <c r="B178" s="2" t="s">
        <v>24</v>
      </c>
      <c r="C178" s="2" t="s">
        <v>25</v>
      </c>
      <c r="D178" s="2" t="s">
        <v>138</v>
      </c>
      <c r="E178" s="31">
        <v>45877</v>
      </c>
      <c r="F178" s="43">
        <v>30230</v>
      </c>
      <c r="G178" s="19">
        <v>8</v>
      </c>
    </row>
    <row r="179" spans="1:7" hidden="1" x14ac:dyDescent="0.3">
      <c r="A179" s="2" t="s">
        <v>27</v>
      </c>
      <c r="B179" s="2" t="s">
        <v>28</v>
      </c>
      <c r="C179" s="2" t="s">
        <v>29</v>
      </c>
      <c r="D179" s="2" t="s">
        <v>171</v>
      </c>
      <c r="E179" s="31">
        <v>45855</v>
      </c>
      <c r="F179" s="43">
        <v>57553.73</v>
      </c>
      <c r="G179" s="19">
        <v>8</v>
      </c>
    </row>
    <row r="180" spans="1:7" hidden="1" x14ac:dyDescent="0.3">
      <c r="A180" s="2" t="s">
        <v>27</v>
      </c>
      <c r="B180" s="2" t="s">
        <v>144</v>
      </c>
      <c r="C180" s="2" t="s">
        <v>145</v>
      </c>
      <c r="D180" s="2" t="s">
        <v>172</v>
      </c>
      <c r="E180" s="31">
        <v>45873</v>
      </c>
      <c r="F180" s="43">
        <v>190000</v>
      </c>
      <c r="G180" s="19">
        <v>8</v>
      </c>
    </row>
    <row r="181" spans="1:7" hidden="1" x14ac:dyDescent="0.3">
      <c r="A181" s="2" t="s">
        <v>27</v>
      </c>
      <c r="B181" s="2" t="s">
        <v>75</v>
      </c>
      <c r="C181" s="2" t="s">
        <v>76</v>
      </c>
      <c r="D181" s="2" t="s">
        <v>173</v>
      </c>
      <c r="E181" s="31">
        <v>45881</v>
      </c>
      <c r="F181" s="43">
        <v>41895</v>
      </c>
      <c r="G181" s="19">
        <v>8</v>
      </c>
    </row>
    <row r="182" spans="1:7" hidden="1" x14ac:dyDescent="0.3">
      <c r="A182" s="2" t="s">
        <v>27</v>
      </c>
      <c r="B182" s="2" t="s">
        <v>15</v>
      </c>
      <c r="C182" s="2" t="s">
        <v>46</v>
      </c>
      <c r="D182" s="2" t="s">
        <v>174</v>
      </c>
      <c r="E182" s="31">
        <v>45876</v>
      </c>
      <c r="F182" s="43">
        <v>1299988.6000000001</v>
      </c>
      <c r="G182" s="19">
        <v>8</v>
      </c>
    </row>
    <row r="183" spans="1:7" hidden="1" x14ac:dyDescent="0.3">
      <c r="A183" s="2" t="s">
        <v>27</v>
      </c>
      <c r="B183" s="2" t="s">
        <v>75</v>
      </c>
      <c r="C183" s="2" t="s">
        <v>76</v>
      </c>
      <c r="D183" s="2" t="s">
        <v>175</v>
      </c>
      <c r="E183" s="31">
        <v>45883</v>
      </c>
      <c r="F183" s="43">
        <v>62539</v>
      </c>
      <c r="G183" s="19">
        <v>8</v>
      </c>
    </row>
    <row r="184" spans="1:7" hidden="1" x14ac:dyDescent="0.3">
      <c r="A184" s="2" t="s">
        <v>31</v>
      </c>
      <c r="B184" s="2" t="s">
        <v>10</v>
      </c>
      <c r="C184" s="2" t="s">
        <v>11</v>
      </c>
      <c r="D184" s="2" t="s">
        <v>135</v>
      </c>
      <c r="E184" s="31">
        <v>45903</v>
      </c>
      <c r="F184" s="43">
        <v>40000</v>
      </c>
      <c r="G184" s="19">
        <v>8</v>
      </c>
    </row>
    <row r="185" spans="1:7" hidden="1" x14ac:dyDescent="0.3">
      <c r="A185" s="2" t="s">
        <v>31</v>
      </c>
      <c r="B185" s="2" t="s">
        <v>19</v>
      </c>
      <c r="C185" s="2" t="s">
        <v>19</v>
      </c>
      <c r="D185" s="2" t="s">
        <v>176</v>
      </c>
      <c r="E185" s="31">
        <v>45866</v>
      </c>
      <c r="F185" s="43">
        <v>74279.91</v>
      </c>
      <c r="G185" s="19">
        <v>8</v>
      </c>
    </row>
    <row r="186" spans="1:7" hidden="1" x14ac:dyDescent="0.3">
      <c r="A186" s="2" t="s">
        <v>31</v>
      </c>
      <c r="B186" s="2" t="s">
        <v>24</v>
      </c>
      <c r="C186" s="2" t="s">
        <v>25</v>
      </c>
      <c r="D186" s="2" t="s">
        <v>138</v>
      </c>
      <c r="E186" s="31">
        <v>45877</v>
      </c>
      <c r="F186" s="43">
        <v>30230</v>
      </c>
      <c r="G186" s="19">
        <v>8</v>
      </c>
    </row>
    <row r="187" spans="1:7" hidden="1" x14ac:dyDescent="0.3">
      <c r="A187" s="2" t="s">
        <v>31</v>
      </c>
      <c r="B187" s="2" t="s">
        <v>144</v>
      </c>
      <c r="C187" s="2" t="s">
        <v>145</v>
      </c>
      <c r="D187" s="2" t="s">
        <v>177</v>
      </c>
      <c r="E187" s="31">
        <v>45869</v>
      </c>
      <c r="F187" s="43">
        <v>90000</v>
      </c>
      <c r="G187" s="19">
        <v>8</v>
      </c>
    </row>
    <row r="188" spans="1:7" hidden="1" x14ac:dyDescent="0.3">
      <c r="A188" s="2" t="s">
        <v>31</v>
      </c>
      <c r="B188" s="2" t="s">
        <v>75</v>
      </c>
      <c r="C188" s="2" t="s">
        <v>76</v>
      </c>
      <c r="D188" s="2" t="s">
        <v>178</v>
      </c>
      <c r="E188" s="31">
        <v>45881</v>
      </c>
      <c r="F188" s="43">
        <v>41895</v>
      </c>
      <c r="G188" s="19">
        <v>8</v>
      </c>
    </row>
    <row r="189" spans="1:7" hidden="1" x14ac:dyDescent="0.3">
      <c r="A189" s="2" t="s">
        <v>31</v>
      </c>
      <c r="B189" s="2" t="s">
        <v>15</v>
      </c>
      <c r="C189" s="2" t="s">
        <v>51</v>
      </c>
      <c r="D189" s="2" t="s">
        <v>179</v>
      </c>
      <c r="E189" s="31">
        <v>45870</v>
      </c>
      <c r="F189" s="43">
        <v>1741513.44</v>
      </c>
      <c r="G189" s="19">
        <v>8</v>
      </c>
    </row>
    <row r="190" spans="1:7" hidden="1" x14ac:dyDescent="0.3">
      <c r="A190" s="2" t="s">
        <v>35</v>
      </c>
      <c r="B190" s="2" t="s">
        <v>10</v>
      </c>
      <c r="C190" s="2" t="s">
        <v>11</v>
      </c>
      <c r="D190" s="2" t="s">
        <v>135</v>
      </c>
      <c r="E190" s="31">
        <v>45903</v>
      </c>
      <c r="F190" s="43">
        <v>20000</v>
      </c>
      <c r="G190" s="19">
        <v>8</v>
      </c>
    </row>
    <row r="191" spans="1:7" hidden="1" x14ac:dyDescent="0.3">
      <c r="A191" s="2" t="s">
        <v>35</v>
      </c>
      <c r="B191" s="2" t="s">
        <v>24</v>
      </c>
      <c r="C191" s="2" t="s">
        <v>25</v>
      </c>
      <c r="D191" s="2" t="s">
        <v>138</v>
      </c>
      <c r="E191" s="31">
        <v>45877</v>
      </c>
      <c r="F191" s="43">
        <v>30230</v>
      </c>
      <c r="G191" s="19">
        <v>8</v>
      </c>
    </row>
    <row r="192" spans="1:7" hidden="1" x14ac:dyDescent="0.3">
      <c r="A192" s="2" t="s">
        <v>35</v>
      </c>
      <c r="B192" s="2" t="s">
        <v>144</v>
      </c>
      <c r="C192" s="2" t="s">
        <v>145</v>
      </c>
      <c r="D192" s="2" t="s">
        <v>180</v>
      </c>
      <c r="E192" s="31">
        <v>45869</v>
      </c>
      <c r="F192" s="43">
        <v>290000</v>
      </c>
      <c r="G192" s="19">
        <v>8</v>
      </c>
    </row>
    <row r="193" spans="1:7" hidden="1" x14ac:dyDescent="0.3">
      <c r="A193" s="2" t="s">
        <v>35</v>
      </c>
      <c r="B193" s="2" t="s">
        <v>15</v>
      </c>
      <c r="C193" s="2" t="s">
        <v>51</v>
      </c>
      <c r="D193" s="2" t="s">
        <v>181</v>
      </c>
      <c r="E193" s="31">
        <v>45870</v>
      </c>
      <c r="F193" s="43">
        <v>887700</v>
      </c>
      <c r="G193" s="19">
        <v>8</v>
      </c>
    </row>
    <row r="194" spans="1:7" hidden="1" x14ac:dyDescent="0.3">
      <c r="A194" s="2" t="s">
        <v>35</v>
      </c>
      <c r="B194" s="2" t="s">
        <v>19</v>
      </c>
      <c r="C194" s="2" t="s">
        <v>19</v>
      </c>
      <c r="D194" s="2" t="s">
        <v>41</v>
      </c>
      <c r="F194" s="43">
        <v>104085.8</v>
      </c>
      <c r="G194" s="19">
        <v>8</v>
      </c>
    </row>
    <row r="195" spans="1:7" hidden="1" x14ac:dyDescent="0.3">
      <c r="A195" s="2" t="s">
        <v>56</v>
      </c>
      <c r="B195" s="2" t="s">
        <v>19</v>
      </c>
      <c r="C195" s="2" t="s">
        <v>19</v>
      </c>
      <c r="D195" s="2" t="s">
        <v>184</v>
      </c>
      <c r="E195" s="31">
        <v>45927</v>
      </c>
      <c r="F195" s="43">
        <v>41319.39</v>
      </c>
      <c r="G195" s="19">
        <v>9</v>
      </c>
    </row>
    <row r="196" spans="1:7" hidden="1" x14ac:dyDescent="0.3">
      <c r="A196" s="2" t="s">
        <v>56</v>
      </c>
      <c r="B196" s="2" t="s">
        <v>28</v>
      </c>
      <c r="C196" s="2" t="s">
        <v>62</v>
      </c>
      <c r="D196" s="2" t="s">
        <v>185</v>
      </c>
      <c r="E196" s="31">
        <v>45913</v>
      </c>
      <c r="F196" s="43">
        <v>95612</v>
      </c>
      <c r="G196" s="19">
        <v>9</v>
      </c>
    </row>
    <row r="197" spans="1:7" hidden="1" x14ac:dyDescent="0.3">
      <c r="A197" s="2" t="s">
        <v>18</v>
      </c>
      <c r="B197" s="2" t="s">
        <v>10</v>
      </c>
      <c r="C197" s="2" t="s">
        <v>11</v>
      </c>
      <c r="D197" s="2" t="s">
        <v>186</v>
      </c>
      <c r="E197" s="31">
        <v>45903</v>
      </c>
      <c r="F197" s="43">
        <v>40000</v>
      </c>
      <c r="G197" s="19">
        <v>9</v>
      </c>
    </row>
    <row r="198" spans="1:7" hidden="1" x14ac:dyDescent="0.3">
      <c r="A198" s="2" t="s">
        <v>18</v>
      </c>
      <c r="B198" s="2" t="s">
        <v>24</v>
      </c>
      <c r="C198" s="2" t="s">
        <v>25</v>
      </c>
      <c r="D198" s="2" t="s">
        <v>187</v>
      </c>
      <c r="E198" s="31">
        <v>45905</v>
      </c>
      <c r="F198" s="43">
        <v>32044</v>
      </c>
      <c r="G198" s="19">
        <v>9</v>
      </c>
    </row>
    <row r="199" spans="1:7" hidden="1" x14ac:dyDescent="0.3">
      <c r="A199" s="2" t="s">
        <v>64</v>
      </c>
      <c r="B199" s="2" t="s">
        <v>19</v>
      </c>
      <c r="C199" s="2" t="s">
        <v>19</v>
      </c>
      <c r="D199" s="2" t="s">
        <v>188</v>
      </c>
      <c r="E199" s="31">
        <v>45897</v>
      </c>
      <c r="F199" s="43">
        <v>16035.9</v>
      </c>
      <c r="G199" s="19">
        <v>9</v>
      </c>
    </row>
    <row r="200" spans="1:7" hidden="1" x14ac:dyDescent="0.3">
      <c r="A200" s="2" t="s">
        <v>64</v>
      </c>
      <c r="B200" s="2" t="s">
        <v>19</v>
      </c>
      <c r="C200" s="2" t="s">
        <v>19</v>
      </c>
      <c r="D200" s="2" t="s">
        <v>189</v>
      </c>
      <c r="E200" s="31">
        <v>45897</v>
      </c>
      <c r="F200" s="43">
        <v>152213.63</v>
      </c>
      <c r="G200" s="19">
        <v>9</v>
      </c>
    </row>
    <row r="201" spans="1:7" hidden="1" x14ac:dyDescent="0.3">
      <c r="A201" s="2" t="s">
        <v>64</v>
      </c>
      <c r="B201" s="2" t="s">
        <v>19</v>
      </c>
      <c r="C201" s="2" t="s">
        <v>19</v>
      </c>
      <c r="D201" s="2" t="s">
        <v>190</v>
      </c>
      <c r="E201" s="31">
        <v>45907</v>
      </c>
      <c r="F201" s="43">
        <v>418303.83</v>
      </c>
      <c r="G201" s="19">
        <v>9</v>
      </c>
    </row>
    <row r="202" spans="1:7" hidden="1" x14ac:dyDescent="0.3">
      <c r="A202" s="2" t="s">
        <v>64</v>
      </c>
      <c r="B202" s="2" t="s">
        <v>28</v>
      </c>
      <c r="C202" s="2" t="s">
        <v>29</v>
      </c>
      <c r="D202" s="2" t="s">
        <v>191</v>
      </c>
      <c r="E202" s="31">
        <v>45888</v>
      </c>
      <c r="F202" s="43">
        <v>148427</v>
      </c>
      <c r="G202" s="19">
        <v>9</v>
      </c>
    </row>
    <row r="203" spans="1:7" hidden="1" x14ac:dyDescent="0.3">
      <c r="A203" s="2" t="s">
        <v>18</v>
      </c>
      <c r="B203" s="2" t="s">
        <v>19</v>
      </c>
      <c r="C203" s="2" t="s">
        <v>19</v>
      </c>
      <c r="D203" s="2" t="s">
        <v>192</v>
      </c>
      <c r="E203" s="31">
        <v>45896</v>
      </c>
      <c r="F203" s="43">
        <v>29590.880000000001</v>
      </c>
      <c r="G203" s="19">
        <v>9</v>
      </c>
    </row>
    <row r="204" spans="1:7" hidden="1" x14ac:dyDescent="0.3">
      <c r="A204" s="2" t="s">
        <v>18</v>
      </c>
      <c r="B204" s="2" t="s">
        <v>19</v>
      </c>
      <c r="C204" s="2" t="s">
        <v>19</v>
      </c>
      <c r="D204" s="2" t="s">
        <v>193</v>
      </c>
      <c r="E204" s="31">
        <v>45896</v>
      </c>
      <c r="F204" s="43">
        <v>122558.97</v>
      </c>
      <c r="G204" s="19">
        <v>9</v>
      </c>
    </row>
    <row r="205" spans="1:7" hidden="1" x14ac:dyDescent="0.3">
      <c r="A205" s="2" t="s">
        <v>18</v>
      </c>
      <c r="B205" s="2" t="s">
        <v>28</v>
      </c>
      <c r="C205" s="2" t="s">
        <v>29</v>
      </c>
      <c r="D205" s="2" t="s">
        <v>194</v>
      </c>
      <c r="E205" s="31">
        <v>45888</v>
      </c>
      <c r="F205" s="43">
        <v>105150</v>
      </c>
      <c r="G205" s="19">
        <v>9</v>
      </c>
    </row>
    <row r="206" spans="1:7" hidden="1" x14ac:dyDescent="0.3">
      <c r="A206" s="2" t="s">
        <v>71</v>
      </c>
      <c r="B206" s="2" t="s">
        <v>28</v>
      </c>
      <c r="C206" s="2" t="s">
        <v>29</v>
      </c>
      <c r="D206" s="2" t="s">
        <v>195</v>
      </c>
      <c r="E206" s="31">
        <v>45888</v>
      </c>
      <c r="F206" s="43">
        <v>36375</v>
      </c>
      <c r="G206" s="19">
        <v>9</v>
      </c>
    </row>
    <row r="207" spans="1:7" hidden="1" x14ac:dyDescent="0.3">
      <c r="A207" s="2" t="s">
        <v>27</v>
      </c>
      <c r="B207" s="2" t="s">
        <v>19</v>
      </c>
      <c r="C207" s="2" t="s">
        <v>19</v>
      </c>
      <c r="D207" s="2" t="s">
        <v>196</v>
      </c>
      <c r="E207" s="31">
        <v>45891</v>
      </c>
      <c r="F207" s="43">
        <v>78366</v>
      </c>
      <c r="G207" s="19">
        <v>9</v>
      </c>
    </row>
    <row r="208" spans="1:7" hidden="1" x14ac:dyDescent="0.3">
      <c r="A208" s="2" t="s">
        <v>27</v>
      </c>
      <c r="B208" s="2" t="s">
        <v>28</v>
      </c>
      <c r="C208" s="2" t="s">
        <v>29</v>
      </c>
      <c r="D208" s="2" t="s">
        <v>197</v>
      </c>
      <c r="E208" s="31">
        <v>45889</v>
      </c>
      <c r="F208" s="43">
        <v>59264.47</v>
      </c>
      <c r="G208" s="19">
        <v>9</v>
      </c>
    </row>
    <row r="209" spans="1:7" hidden="1" x14ac:dyDescent="0.3">
      <c r="A209" s="2" t="s">
        <v>31</v>
      </c>
      <c r="B209" s="2" t="s">
        <v>19</v>
      </c>
      <c r="C209" s="2" t="s">
        <v>19</v>
      </c>
      <c r="D209" s="2" t="s">
        <v>198</v>
      </c>
      <c r="E209" s="31">
        <v>45896</v>
      </c>
      <c r="F209" s="43">
        <v>78066.63</v>
      </c>
      <c r="G209" s="19">
        <v>9</v>
      </c>
    </row>
    <row r="210" spans="1:7" hidden="1" x14ac:dyDescent="0.3">
      <c r="A210" s="2" t="s">
        <v>56</v>
      </c>
      <c r="B210" s="2" t="s">
        <v>10</v>
      </c>
      <c r="C210" s="2" t="s">
        <v>11</v>
      </c>
      <c r="D210" s="2" t="s">
        <v>199</v>
      </c>
      <c r="E210" s="31">
        <v>45903</v>
      </c>
      <c r="F210" s="43">
        <v>20000</v>
      </c>
      <c r="G210" s="19">
        <v>9</v>
      </c>
    </row>
    <row r="211" spans="1:7" hidden="1" x14ac:dyDescent="0.3">
      <c r="A211" s="2" t="s">
        <v>56</v>
      </c>
      <c r="B211" s="2" t="s">
        <v>15</v>
      </c>
      <c r="C211" s="2" t="s">
        <v>51</v>
      </c>
      <c r="D211" s="2" t="s">
        <v>200</v>
      </c>
      <c r="E211" s="31">
        <v>45901</v>
      </c>
      <c r="F211" s="43">
        <v>1091639.7</v>
      </c>
      <c r="G211" s="19">
        <v>9</v>
      </c>
    </row>
    <row r="212" spans="1:7" hidden="1" x14ac:dyDescent="0.3">
      <c r="A212" s="2" t="s">
        <v>56</v>
      </c>
      <c r="B212" s="2" t="s">
        <v>23</v>
      </c>
      <c r="C212" s="2" t="s">
        <v>137</v>
      </c>
      <c r="E212" s="31"/>
      <c r="F212" s="43">
        <v>1062641.6000000001</v>
      </c>
      <c r="G212" s="19">
        <v>9</v>
      </c>
    </row>
    <row r="213" spans="1:7" hidden="1" x14ac:dyDescent="0.3">
      <c r="A213" s="2" t="s">
        <v>56</v>
      </c>
      <c r="B213" s="2" t="s">
        <v>24</v>
      </c>
      <c r="C213" s="2" t="s">
        <v>25</v>
      </c>
      <c r="D213" s="2" t="s">
        <v>201</v>
      </c>
      <c r="E213" s="31">
        <v>45905</v>
      </c>
      <c r="F213" s="43">
        <v>32044</v>
      </c>
      <c r="G213" s="19">
        <v>9</v>
      </c>
    </row>
    <row r="214" spans="1:7" hidden="1" x14ac:dyDescent="0.3">
      <c r="A214" s="2" t="s">
        <v>56</v>
      </c>
      <c r="B214" s="2" t="s">
        <v>32</v>
      </c>
      <c r="C214" s="2" t="s">
        <v>140</v>
      </c>
      <c r="D214" s="2" t="s">
        <v>202</v>
      </c>
      <c r="E214" s="31">
        <v>45897</v>
      </c>
      <c r="F214" s="43">
        <v>1638723.03</v>
      </c>
      <c r="G214" s="19">
        <v>9</v>
      </c>
    </row>
    <row r="215" spans="1:7" hidden="1" x14ac:dyDescent="0.3">
      <c r="A215" s="2" t="s">
        <v>56</v>
      </c>
      <c r="B215" s="2" t="s">
        <v>75</v>
      </c>
      <c r="C215" s="2" t="s">
        <v>76</v>
      </c>
      <c r="D215" s="2" t="s">
        <v>203</v>
      </c>
      <c r="E215" s="31">
        <v>45902</v>
      </c>
      <c r="F215" s="43">
        <v>50705</v>
      </c>
      <c r="G215" s="19">
        <v>9</v>
      </c>
    </row>
    <row r="216" spans="1:7" hidden="1" x14ac:dyDescent="0.3">
      <c r="A216" s="2" t="s">
        <v>64</v>
      </c>
      <c r="B216" s="2" t="s">
        <v>6</v>
      </c>
      <c r="C216" s="2" t="s">
        <v>7</v>
      </c>
      <c r="D216" s="2" t="s">
        <v>204</v>
      </c>
      <c r="E216" s="31">
        <v>45908</v>
      </c>
      <c r="F216" s="43">
        <v>549364.85</v>
      </c>
      <c r="G216" s="19">
        <v>9</v>
      </c>
    </row>
    <row r="217" spans="1:7" hidden="1" x14ac:dyDescent="0.3">
      <c r="A217" s="2" t="s">
        <v>64</v>
      </c>
      <c r="B217" s="2" t="s">
        <v>10</v>
      </c>
      <c r="C217" s="2" t="s">
        <v>11</v>
      </c>
      <c r="D217" s="2" t="s">
        <v>199</v>
      </c>
      <c r="E217" s="31">
        <v>45903</v>
      </c>
      <c r="F217" s="43">
        <v>40000</v>
      </c>
      <c r="G217" s="19">
        <v>9</v>
      </c>
    </row>
    <row r="218" spans="1:7" hidden="1" x14ac:dyDescent="0.3">
      <c r="A218" s="2" t="s">
        <v>64</v>
      </c>
      <c r="B218" s="2" t="s">
        <v>15</v>
      </c>
      <c r="C218" s="2" t="s">
        <v>7</v>
      </c>
      <c r="D218" s="2" t="s">
        <v>205</v>
      </c>
      <c r="E218" s="31">
        <v>45908</v>
      </c>
      <c r="F218" s="43">
        <v>7000000</v>
      </c>
      <c r="G218" s="19">
        <v>9</v>
      </c>
    </row>
    <row r="219" spans="1:7" hidden="1" x14ac:dyDescent="0.3">
      <c r="A219" s="2" t="s">
        <v>64</v>
      </c>
      <c r="B219" s="2" t="s">
        <v>17</v>
      </c>
      <c r="C219" s="2" t="s">
        <v>7</v>
      </c>
      <c r="D219" s="2" t="s">
        <v>204</v>
      </c>
      <c r="E219" s="31">
        <v>45908</v>
      </c>
      <c r="F219" s="43">
        <v>409234.95</v>
      </c>
      <c r="G219" s="19">
        <v>9</v>
      </c>
    </row>
    <row r="220" spans="1:7" hidden="1" x14ac:dyDescent="0.3">
      <c r="A220" s="2" t="s">
        <v>64</v>
      </c>
      <c r="B220" s="2" t="s">
        <v>23</v>
      </c>
      <c r="C220" s="2" t="s">
        <v>7</v>
      </c>
      <c r="D220" s="2" t="s">
        <v>204</v>
      </c>
      <c r="E220" s="31">
        <v>45908</v>
      </c>
      <c r="F220" s="43">
        <v>300440.5</v>
      </c>
      <c r="G220" s="19">
        <v>9</v>
      </c>
    </row>
    <row r="221" spans="1:7" hidden="1" x14ac:dyDescent="0.3">
      <c r="A221" s="2" t="s">
        <v>64</v>
      </c>
      <c r="B221" s="2" t="s">
        <v>24</v>
      </c>
      <c r="C221" s="2" t="s">
        <v>25</v>
      </c>
      <c r="D221" s="2" t="s">
        <v>201</v>
      </c>
      <c r="E221" s="31">
        <v>45905</v>
      </c>
      <c r="F221" s="43">
        <v>39909</v>
      </c>
      <c r="G221" s="19">
        <v>9</v>
      </c>
    </row>
    <row r="222" spans="1:7" hidden="1" x14ac:dyDescent="0.3">
      <c r="A222" s="2" t="s">
        <v>18</v>
      </c>
      <c r="B222" s="2" t="s">
        <v>144</v>
      </c>
      <c r="C222" s="2" t="s">
        <v>145</v>
      </c>
      <c r="D222" s="2" t="s">
        <v>206</v>
      </c>
      <c r="E222" s="31">
        <v>45905</v>
      </c>
      <c r="F222" s="43">
        <v>90000</v>
      </c>
      <c r="G222" s="19">
        <v>9</v>
      </c>
    </row>
    <row r="223" spans="1:7" hidden="1" x14ac:dyDescent="0.3">
      <c r="A223" s="2" t="s">
        <v>18</v>
      </c>
      <c r="B223" s="2" t="s">
        <v>15</v>
      </c>
      <c r="C223" s="2" t="s">
        <v>36</v>
      </c>
      <c r="D223" s="2" t="s">
        <v>159</v>
      </c>
      <c r="E223" s="31"/>
      <c r="F223" s="43">
        <v>703000</v>
      </c>
      <c r="G223" s="19">
        <v>9</v>
      </c>
    </row>
    <row r="224" spans="1:7" hidden="1" x14ac:dyDescent="0.3">
      <c r="A224" s="2" t="s">
        <v>18</v>
      </c>
      <c r="B224" s="2" t="s">
        <v>23</v>
      </c>
      <c r="C224" s="2" t="s">
        <v>40</v>
      </c>
      <c r="D224" s="2" t="s">
        <v>41</v>
      </c>
      <c r="E224" s="31"/>
      <c r="F224" s="43">
        <v>220840</v>
      </c>
      <c r="G224" s="19">
        <v>9</v>
      </c>
    </row>
    <row r="225" spans="1:7" x14ac:dyDescent="0.3">
      <c r="A225" s="2" t="s">
        <v>71</v>
      </c>
      <c r="B225" s="2" t="s">
        <v>15</v>
      </c>
      <c r="C225" s="2" t="s">
        <v>43</v>
      </c>
      <c r="D225" s="2" t="s">
        <v>207</v>
      </c>
      <c r="E225" s="31">
        <v>45901</v>
      </c>
      <c r="F225" s="43">
        <v>599275.1</v>
      </c>
      <c r="G225" s="19">
        <v>9</v>
      </c>
    </row>
    <row r="226" spans="1:7" x14ac:dyDescent="0.3">
      <c r="A226" s="2" t="s">
        <v>71</v>
      </c>
      <c r="B226" s="2" t="s">
        <v>23</v>
      </c>
      <c r="C226" s="2" t="s">
        <v>43</v>
      </c>
      <c r="D226" s="2" t="s">
        <v>207</v>
      </c>
      <c r="E226" s="31">
        <v>45901</v>
      </c>
      <c r="F226" s="43">
        <v>338831.14</v>
      </c>
      <c r="G226" s="19">
        <v>9</v>
      </c>
    </row>
    <row r="227" spans="1:7" hidden="1" x14ac:dyDescent="0.3">
      <c r="A227" s="2" t="s">
        <v>71</v>
      </c>
      <c r="B227" s="2" t="s">
        <v>24</v>
      </c>
      <c r="C227" s="2" t="s">
        <v>25</v>
      </c>
      <c r="D227" s="2" t="s">
        <v>201</v>
      </c>
      <c r="E227" s="31">
        <v>45905</v>
      </c>
      <c r="F227" s="43">
        <v>32044</v>
      </c>
      <c r="G227" s="19">
        <v>9</v>
      </c>
    </row>
    <row r="228" spans="1:7" hidden="1" x14ac:dyDescent="0.3">
      <c r="A228" s="2" t="s">
        <v>71</v>
      </c>
      <c r="B228" s="2" t="s">
        <v>75</v>
      </c>
      <c r="C228" s="2" t="s">
        <v>76</v>
      </c>
      <c r="D228" s="2" t="s">
        <v>208</v>
      </c>
      <c r="E228" s="31">
        <v>45902</v>
      </c>
      <c r="F228" s="43">
        <v>50705</v>
      </c>
      <c r="G228" s="19">
        <v>9</v>
      </c>
    </row>
    <row r="229" spans="1:7" hidden="1" x14ac:dyDescent="0.3">
      <c r="A229" s="2" t="s">
        <v>71</v>
      </c>
      <c r="B229" s="2" t="s">
        <v>10</v>
      </c>
      <c r="C229" s="2" t="s">
        <v>11</v>
      </c>
      <c r="D229" s="2" t="s">
        <v>199</v>
      </c>
      <c r="E229" s="31">
        <v>45903</v>
      </c>
      <c r="F229" s="43">
        <v>40000</v>
      </c>
      <c r="G229" s="19">
        <v>9</v>
      </c>
    </row>
    <row r="230" spans="1:7" hidden="1" x14ac:dyDescent="0.3">
      <c r="A230" s="2" t="s">
        <v>27</v>
      </c>
      <c r="B230" s="2" t="s">
        <v>10</v>
      </c>
      <c r="C230" s="2" t="s">
        <v>11</v>
      </c>
      <c r="D230" s="2" t="s">
        <v>199</v>
      </c>
      <c r="E230" s="31">
        <v>45903</v>
      </c>
      <c r="F230" s="43">
        <v>40000</v>
      </c>
      <c r="G230" s="19">
        <v>9</v>
      </c>
    </row>
    <row r="231" spans="1:7" hidden="1" x14ac:dyDescent="0.3">
      <c r="A231" s="2" t="s">
        <v>27</v>
      </c>
      <c r="B231" s="2" t="s">
        <v>15</v>
      </c>
      <c r="C231" s="2" t="s">
        <v>46</v>
      </c>
      <c r="D231" s="2" t="s">
        <v>209</v>
      </c>
      <c r="E231" s="31">
        <v>45905</v>
      </c>
      <c r="F231" s="43">
        <v>1448355.71</v>
      </c>
      <c r="G231" s="19">
        <v>9</v>
      </c>
    </row>
    <row r="232" spans="1:7" hidden="1" x14ac:dyDescent="0.3">
      <c r="A232" s="2" t="s">
        <v>27</v>
      </c>
      <c r="B232" s="2" t="s">
        <v>23</v>
      </c>
      <c r="C232" s="2" t="s">
        <v>46</v>
      </c>
      <c r="D232" s="2" t="s">
        <v>210</v>
      </c>
      <c r="E232" s="31">
        <v>45903</v>
      </c>
      <c r="F232" s="43">
        <v>1948016.5</v>
      </c>
      <c r="G232" s="19">
        <v>9</v>
      </c>
    </row>
    <row r="233" spans="1:7" hidden="1" x14ac:dyDescent="0.3">
      <c r="A233" s="2" t="s">
        <v>27</v>
      </c>
      <c r="B233" s="2" t="s">
        <v>24</v>
      </c>
      <c r="C233" s="2" t="s">
        <v>25</v>
      </c>
      <c r="D233" s="2" t="s">
        <v>201</v>
      </c>
      <c r="E233" s="31">
        <v>45905</v>
      </c>
      <c r="F233" s="43">
        <v>32044</v>
      </c>
      <c r="G233" s="19">
        <v>9</v>
      </c>
    </row>
    <row r="234" spans="1:7" hidden="1" x14ac:dyDescent="0.3">
      <c r="A234" s="2" t="s">
        <v>31</v>
      </c>
      <c r="B234" s="2" t="s">
        <v>10</v>
      </c>
      <c r="C234" s="2" t="s">
        <v>11</v>
      </c>
      <c r="D234" s="2" t="s">
        <v>199</v>
      </c>
      <c r="E234" s="31">
        <v>45903</v>
      </c>
      <c r="F234" s="43">
        <v>40000</v>
      </c>
      <c r="G234" s="19">
        <v>9</v>
      </c>
    </row>
    <row r="235" spans="1:7" hidden="1" x14ac:dyDescent="0.3">
      <c r="A235" s="2" t="s">
        <v>31</v>
      </c>
      <c r="B235" s="2" t="s">
        <v>15</v>
      </c>
      <c r="C235" s="2" t="s">
        <v>51</v>
      </c>
      <c r="D235" s="2" t="s">
        <v>211</v>
      </c>
      <c r="E235" s="31">
        <v>45901</v>
      </c>
      <c r="F235" s="43">
        <v>2250334.64</v>
      </c>
      <c r="G235" s="19">
        <v>9</v>
      </c>
    </row>
    <row r="236" spans="1:7" hidden="1" x14ac:dyDescent="0.3">
      <c r="A236" s="2" t="s">
        <v>31</v>
      </c>
      <c r="B236" s="2" t="s">
        <v>23</v>
      </c>
      <c r="C236" s="2" t="s">
        <v>137</v>
      </c>
      <c r="E236" s="31"/>
      <c r="F236" s="43">
        <v>531320.80000000005</v>
      </c>
      <c r="G236" s="19">
        <v>9</v>
      </c>
    </row>
    <row r="237" spans="1:7" hidden="1" x14ac:dyDescent="0.3">
      <c r="A237" s="2" t="s">
        <v>31</v>
      </c>
      <c r="B237" s="2" t="s">
        <v>24</v>
      </c>
      <c r="C237" s="2" t="s">
        <v>25</v>
      </c>
      <c r="D237" s="2" t="s">
        <v>201</v>
      </c>
      <c r="E237" s="31">
        <v>45905</v>
      </c>
      <c r="F237" s="43">
        <v>32044</v>
      </c>
      <c r="G237" s="19">
        <v>9</v>
      </c>
    </row>
    <row r="238" spans="1:7" hidden="1" x14ac:dyDescent="0.3">
      <c r="A238" s="2" t="s">
        <v>31</v>
      </c>
      <c r="B238" s="2" t="s">
        <v>75</v>
      </c>
      <c r="C238" s="2" t="s">
        <v>76</v>
      </c>
      <c r="D238" s="2" t="s">
        <v>212</v>
      </c>
      <c r="E238" s="31">
        <v>45902</v>
      </c>
      <c r="F238" s="43">
        <v>50705</v>
      </c>
      <c r="G238" s="19">
        <v>9</v>
      </c>
    </row>
    <row r="239" spans="1:7" hidden="1" x14ac:dyDescent="0.3">
      <c r="A239" s="2" t="s">
        <v>35</v>
      </c>
      <c r="B239" s="2" t="s">
        <v>10</v>
      </c>
      <c r="C239" s="2" t="s">
        <v>11</v>
      </c>
      <c r="D239" s="2" t="s">
        <v>199</v>
      </c>
      <c r="E239" s="31">
        <v>45903</v>
      </c>
      <c r="F239" s="43">
        <v>20000</v>
      </c>
      <c r="G239" s="19">
        <v>9</v>
      </c>
    </row>
    <row r="240" spans="1:7" hidden="1" x14ac:dyDescent="0.3">
      <c r="A240" s="2" t="s">
        <v>35</v>
      </c>
      <c r="B240" s="2" t="s">
        <v>15</v>
      </c>
      <c r="C240" s="2" t="s">
        <v>51</v>
      </c>
      <c r="D240" s="2" t="s">
        <v>213</v>
      </c>
      <c r="E240" s="31">
        <v>45901</v>
      </c>
      <c r="F240" s="43">
        <v>900710.7</v>
      </c>
      <c r="G240" s="19">
        <v>9</v>
      </c>
    </row>
    <row r="241" spans="1:12" hidden="1" x14ac:dyDescent="0.3">
      <c r="A241" s="2" t="s">
        <v>35</v>
      </c>
      <c r="B241" s="2" t="s">
        <v>19</v>
      </c>
      <c r="C241" s="2" t="s">
        <v>137</v>
      </c>
      <c r="D241" s="2" t="s">
        <v>214</v>
      </c>
      <c r="E241" s="31">
        <v>45896</v>
      </c>
      <c r="F241" s="43">
        <v>81878.8</v>
      </c>
      <c r="G241" s="19">
        <v>9</v>
      </c>
    </row>
    <row r="242" spans="1:12" hidden="1" x14ac:dyDescent="0.3">
      <c r="A242" s="2" t="s">
        <v>35</v>
      </c>
      <c r="B242" s="2" t="s">
        <v>23</v>
      </c>
      <c r="C242" s="2" t="s">
        <v>137</v>
      </c>
      <c r="E242" s="31"/>
      <c r="F242" s="43">
        <v>531320.80000000005</v>
      </c>
      <c r="G242" s="19">
        <v>9</v>
      </c>
    </row>
    <row r="243" spans="1:12" hidden="1" x14ac:dyDescent="0.3">
      <c r="A243" s="2" t="s">
        <v>35</v>
      </c>
      <c r="B243" s="2" t="s">
        <v>24</v>
      </c>
      <c r="C243" s="2" t="s">
        <v>25</v>
      </c>
      <c r="D243" s="2" t="s">
        <v>201</v>
      </c>
      <c r="E243" s="31">
        <v>45905</v>
      </c>
      <c r="F243" s="43">
        <v>32044</v>
      </c>
      <c r="G243" s="19">
        <v>9</v>
      </c>
    </row>
    <row r="244" spans="1:12" hidden="1" x14ac:dyDescent="0.3">
      <c r="A244" s="2" t="s">
        <v>56</v>
      </c>
      <c r="B244" s="2" t="s">
        <v>32</v>
      </c>
      <c r="C244" s="2" t="s">
        <v>33</v>
      </c>
      <c r="D244" s="2" t="s">
        <v>215</v>
      </c>
      <c r="E244" s="31">
        <v>45926</v>
      </c>
      <c r="F244" s="43">
        <v>160000</v>
      </c>
      <c r="G244" s="19">
        <v>9</v>
      </c>
    </row>
    <row r="245" spans="1:12" hidden="1" x14ac:dyDescent="0.3">
      <c r="A245" s="2" t="s">
        <v>35</v>
      </c>
      <c r="B245" s="2" t="s">
        <v>19</v>
      </c>
      <c r="C245" s="2" t="s">
        <v>137</v>
      </c>
      <c r="D245" s="2" t="s">
        <v>216</v>
      </c>
      <c r="E245" s="31"/>
      <c r="F245" s="43">
        <v>55206.82</v>
      </c>
      <c r="G245" s="19">
        <v>9</v>
      </c>
    </row>
    <row r="246" spans="1:12" hidden="1" x14ac:dyDescent="0.3">
      <c r="A246" s="2" t="s">
        <v>56</v>
      </c>
      <c r="B246" s="2" t="s">
        <v>19</v>
      </c>
      <c r="C246" s="2" t="s">
        <v>19</v>
      </c>
      <c r="D246" s="2" t="s">
        <v>218</v>
      </c>
      <c r="E246" s="31">
        <v>45925</v>
      </c>
      <c r="F246" s="43">
        <v>35503.199999999997</v>
      </c>
      <c r="G246" s="19">
        <v>10</v>
      </c>
      <c r="K246" s="31"/>
      <c r="L246" s="31"/>
    </row>
    <row r="247" spans="1:12" hidden="1" x14ac:dyDescent="0.3">
      <c r="A247" s="2" t="s">
        <v>56</v>
      </c>
      <c r="B247" s="2" t="s">
        <v>28</v>
      </c>
      <c r="C247" s="2" t="s">
        <v>62</v>
      </c>
      <c r="D247" s="2" t="s">
        <v>185</v>
      </c>
      <c r="G247" s="19">
        <v>10</v>
      </c>
    </row>
    <row r="248" spans="1:12" hidden="1" x14ac:dyDescent="0.3">
      <c r="A248" s="2" t="s">
        <v>64</v>
      </c>
      <c r="B248" s="2" t="s">
        <v>19</v>
      </c>
      <c r="C248" s="2" t="s">
        <v>19</v>
      </c>
      <c r="D248" s="2" t="s">
        <v>219</v>
      </c>
      <c r="E248" s="31">
        <v>45926</v>
      </c>
      <c r="F248" s="43">
        <v>152944.91</v>
      </c>
      <c r="G248" s="19">
        <v>10</v>
      </c>
      <c r="K248" s="31"/>
      <c r="L248" s="31"/>
    </row>
    <row r="249" spans="1:12" hidden="1" x14ac:dyDescent="0.3">
      <c r="A249" s="2" t="s">
        <v>64</v>
      </c>
      <c r="B249" s="2" t="s">
        <v>19</v>
      </c>
      <c r="C249" s="2" t="s">
        <v>19</v>
      </c>
      <c r="D249" s="2" t="s">
        <v>220</v>
      </c>
      <c r="E249" s="31">
        <v>45926</v>
      </c>
      <c r="F249" s="43">
        <v>12808.44</v>
      </c>
      <c r="G249" s="19">
        <v>10</v>
      </c>
      <c r="K249" s="31"/>
      <c r="L249" s="31"/>
    </row>
    <row r="250" spans="1:12" hidden="1" x14ac:dyDescent="0.3">
      <c r="A250" s="2" t="s">
        <v>64</v>
      </c>
      <c r="B250" s="2" t="s">
        <v>19</v>
      </c>
      <c r="C250" s="2" t="s">
        <v>19</v>
      </c>
      <c r="D250" s="2" t="s">
        <v>221</v>
      </c>
      <c r="E250" s="31">
        <v>45937</v>
      </c>
      <c r="F250" s="43">
        <v>355731.05</v>
      </c>
      <c r="G250" s="19">
        <v>10</v>
      </c>
      <c r="K250" s="31"/>
      <c r="L250" s="31"/>
    </row>
    <row r="251" spans="1:12" hidden="1" x14ac:dyDescent="0.3">
      <c r="A251" s="2" t="s">
        <v>64</v>
      </c>
      <c r="B251" s="2" t="s">
        <v>28</v>
      </c>
      <c r="C251" s="2" t="s">
        <v>29</v>
      </c>
      <c r="D251" s="2" t="s">
        <v>222</v>
      </c>
      <c r="E251" s="31">
        <v>45918</v>
      </c>
      <c r="F251" s="43">
        <v>43263</v>
      </c>
      <c r="G251" s="19">
        <v>10</v>
      </c>
      <c r="K251" s="31"/>
      <c r="L251" s="31"/>
    </row>
    <row r="252" spans="1:12" hidden="1" x14ac:dyDescent="0.3">
      <c r="A252" s="2" t="s">
        <v>18</v>
      </c>
      <c r="B252" s="2" t="s">
        <v>19</v>
      </c>
      <c r="C252" s="2" t="s">
        <v>19</v>
      </c>
      <c r="D252" s="2" t="s">
        <v>223</v>
      </c>
      <c r="E252" s="31">
        <v>45925</v>
      </c>
      <c r="F252" s="43">
        <v>80802.37</v>
      </c>
      <c r="G252" s="19">
        <v>10</v>
      </c>
      <c r="K252" s="31"/>
      <c r="L252" s="31"/>
    </row>
    <row r="253" spans="1:12" hidden="1" x14ac:dyDescent="0.3">
      <c r="A253" s="2" t="s">
        <v>18</v>
      </c>
      <c r="B253" s="2" t="s">
        <v>19</v>
      </c>
      <c r="C253" s="2" t="s">
        <v>19</v>
      </c>
      <c r="D253" s="2" t="s">
        <v>224</v>
      </c>
      <c r="E253" s="31">
        <v>45925</v>
      </c>
      <c r="F253" s="43">
        <v>13233.64</v>
      </c>
      <c r="G253" s="19">
        <v>10</v>
      </c>
      <c r="K253" s="31"/>
      <c r="L253" s="31"/>
    </row>
    <row r="254" spans="1:12" hidden="1" x14ac:dyDescent="0.3">
      <c r="A254" s="2" t="s">
        <v>18</v>
      </c>
      <c r="B254" s="2" t="s">
        <v>28</v>
      </c>
      <c r="C254" s="2" t="s">
        <v>29</v>
      </c>
      <c r="D254" s="2" t="s">
        <v>225</v>
      </c>
      <c r="E254" s="31">
        <v>45918</v>
      </c>
      <c r="F254" s="43">
        <v>107250</v>
      </c>
      <c r="G254" s="19">
        <v>10</v>
      </c>
      <c r="K254" s="31"/>
      <c r="L254" s="31"/>
    </row>
    <row r="255" spans="1:12" hidden="1" x14ac:dyDescent="0.3">
      <c r="A255" s="2" t="s">
        <v>71</v>
      </c>
      <c r="B255" s="2" t="s">
        <v>28</v>
      </c>
      <c r="C255" s="2" t="s">
        <v>29</v>
      </c>
      <c r="D255" s="2" t="s">
        <v>226</v>
      </c>
      <c r="E255" s="31">
        <v>45918</v>
      </c>
      <c r="F255" s="43">
        <v>37275</v>
      </c>
      <c r="G255" s="19">
        <v>10</v>
      </c>
      <c r="K255" s="31"/>
      <c r="L255" s="31"/>
    </row>
    <row r="256" spans="1:12" hidden="1" x14ac:dyDescent="0.3">
      <c r="A256" s="2" t="s">
        <v>27</v>
      </c>
      <c r="B256" s="2" t="s">
        <v>19</v>
      </c>
      <c r="C256" s="2" t="s">
        <v>19</v>
      </c>
      <c r="D256" s="2" t="s">
        <v>227</v>
      </c>
      <c r="E256" s="31">
        <v>45923</v>
      </c>
      <c r="F256" s="43">
        <v>82236.92</v>
      </c>
      <c r="G256" s="19">
        <v>10</v>
      </c>
      <c r="K256" s="31"/>
      <c r="L256" s="31"/>
    </row>
    <row r="257" spans="1:12" hidden="1" x14ac:dyDescent="0.3">
      <c r="A257" s="2" t="s">
        <v>27</v>
      </c>
      <c r="B257" s="2" t="s">
        <v>28</v>
      </c>
      <c r="C257" s="2" t="s">
        <v>29</v>
      </c>
      <c r="D257" s="2" t="s">
        <v>228</v>
      </c>
      <c r="E257" s="31">
        <v>45918</v>
      </c>
      <c r="F257" s="43">
        <v>17015.21</v>
      </c>
      <c r="G257" s="19">
        <v>10</v>
      </c>
      <c r="K257" s="31"/>
      <c r="L257" s="31"/>
    </row>
    <row r="258" spans="1:12" hidden="1" x14ac:dyDescent="0.3">
      <c r="A258" s="2" t="s">
        <v>27</v>
      </c>
      <c r="B258" s="2" t="s">
        <v>19</v>
      </c>
      <c r="C258" s="2" t="s">
        <v>19</v>
      </c>
      <c r="D258" s="2" t="s">
        <v>229</v>
      </c>
      <c r="E258" s="31">
        <v>45952</v>
      </c>
      <c r="F258" s="43">
        <v>88730.1</v>
      </c>
      <c r="G258" s="19">
        <v>10</v>
      </c>
      <c r="K258" s="31"/>
      <c r="L258" s="31"/>
    </row>
    <row r="259" spans="1:12" hidden="1" x14ac:dyDescent="0.3">
      <c r="A259" s="2" t="s">
        <v>31</v>
      </c>
      <c r="B259" s="2" t="s">
        <v>19</v>
      </c>
      <c r="C259" s="2" t="s">
        <v>19</v>
      </c>
      <c r="D259" s="2" t="s">
        <v>230</v>
      </c>
      <c r="E259" s="31">
        <v>45925</v>
      </c>
      <c r="F259" s="43">
        <v>54955.59</v>
      </c>
      <c r="G259" s="19">
        <v>10</v>
      </c>
      <c r="K259" s="31"/>
      <c r="L259" s="31"/>
    </row>
    <row r="260" spans="1:12" hidden="1" x14ac:dyDescent="0.3">
      <c r="A260" s="2" t="s">
        <v>35</v>
      </c>
      <c r="B260" s="2" t="s">
        <v>19</v>
      </c>
      <c r="C260" s="2" t="s">
        <v>137</v>
      </c>
      <c r="D260" s="2" t="s">
        <v>216</v>
      </c>
      <c r="F260" s="32">
        <v>55206.82</v>
      </c>
      <c r="G260" s="19">
        <v>10</v>
      </c>
      <c r="K260" s="31"/>
      <c r="L260" s="31"/>
    </row>
    <row r="261" spans="1:12" hidden="1" x14ac:dyDescent="0.3">
      <c r="A261" s="2" t="s">
        <v>56</v>
      </c>
      <c r="B261" s="2" t="s">
        <v>15</v>
      </c>
      <c r="C261" s="2" t="s">
        <v>51</v>
      </c>
      <c r="D261" s="2" t="s">
        <v>232</v>
      </c>
      <c r="E261" s="31">
        <v>45931</v>
      </c>
      <c r="F261" s="43">
        <v>957292.11</v>
      </c>
      <c r="G261" s="19">
        <v>10</v>
      </c>
      <c r="K261" s="31"/>
      <c r="L261" s="31"/>
    </row>
    <row r="262" spans="1:12" hidden="1" x14ac:dyDescent="0.3">
      <c r="A262" s="2" t="s">
        <v>56</v>
      </c>
      <c r="B262" s="2" t="s">
        <v>32</v>
      </c>
      <c r="C262" s="2" t="s">
        <v>33</v>
      </c>
      <c r="D262" s="2" t="s">
        <v>215</v>
      </c>
      <c r="E262" s="31">
        <v>45926</v>
      </c>
      <c r="F262" s="43">
        <v>160000</v>
      </c>
      <c r="G262" s="19">
        <v>10</v>
      </c>
      <c r="K262" s="31"/>
      <c r="L262" s="31"/>
    </row>
    <row r="263" spans="1:12" hidden="1" x14ac:dyDescent="0.3">
      <c r="A263" s="2" t="s">
        <v>56</v>
      </c>
      <c r="B263" s="2" t="s">
        <v>10</v>
      </c>
      <c r="C263" s="2" t="s">
        <v>11</v>
      </c>
      <c r="D263" s="2" t="s">
        <v>233</v>
      </c>
      <c r="E263" s="31">
        <v>45931</v>
      </c>
      <c r="F263" s="32">
        <v>20000</v>
      </c>
      <c r="G263" s="19">
        <v>10</v>
      </c>
      <c r="K263" s="31"/>
      <c r="L263" s="31"/>
    </row>
    <row r="264" spans="1:12" hidden="1" x14ac:dyDescent="0.3">
      <c r="A264" s="2" t="s">
        <v>56</v>
      </c>
      <c r="B264" s="2" t="s">
        <v>15</v>
      </c>
      <c r="C264" s="2" t="s">
        <v>51</v>
      </c>
      <c r="D264" s="2" t="s">
        <v>234</v>
      </c>
      <c r="E264" s="31">
        <v>45936</v>
      </c>
      <c r="F264" s="43">
        <v>-684480</v>
      </c>
      <c r="G264" s="19">
        <v>10</v>
      </c>
      <c r="K264" s="31"/>
      <c r="L264" s="31"/>
    </row>
    <row r="265" spans="1:12" hidden="1" x14ac:dyDescent="0.3">
      <c r="A265" s="2" t="s">
        <v>56</v>
      </c>
      <c r="B265" s="2" t="s">
        <v>19</v>
      </c>
      <c r="C265" s="2" t="s">
        <v>19</v>
      </c>
      <c r="D265" s="2" t="s">
        <v>235</v>
      </c>
      <c r="G265" s="19">
        <v>10</v>
      </c>
    </row>
    <row r="266" spans="1:12" hidden="1" x14ac:dyDescent="0.3">
      <c r="A266" s="2" t="s">
        <v>56</v>
      </c>
      <c r="B266" s="2" t="s">
        <v>23</v>
      </c>
      <c r="C266" s="2" t="s">
        <v>137</v>
      </c>
      <c r="D266" s="2" t="s">
        <v>41</v>
      </c>
      <c r="E266" s="31">
        <v>45931</v>
      </c>
      <c r="F266" s="32">
        <v>1077240.6200000001</v>
      </c>
      <c r="G266" s="19">
        <v>10</v>
      </c>
      <c r="K266" s="31"/>
      <c r="L266" s="31"/>
    </row>
    <row r="267" spans="1:12" hidden="1" x14ac:dyDescent="0.3">
      <c r="A267" s="2" t="s">
        <v>56</v>
      </c>
      <c r="B267" s="2" t="s">
        <v>24</v>
      </c>
      <c r="C267" s="2" t="s">
        <v>25</v>
      </c>
      <c r="D267" s="2" t="s">
        <v>236</v>
      </c>
      <c r="E267" s="31">
        <v>45936</v>
      </c>
      <c r="F267" s="43">
        <v>32044</v>
      </c>
      <c r="G267" s="19">
        <v>10</v>
      </c>
      <c r="K267" s="31"/>
      <c r="L267" s="31"/>
    </row>
    <row r="268" spans="1:12" hidden="1" x14ac:dyDescent="0.3">
      <c r="A268" s="2" t="s">
        <v>56</v>
      </c>
      <c r="B268" s="2" t="s">
        <v>28</v>
      </c>
      <c r="C268" s="2" t="s">
        <v>62</v>
      </c>
      <c r="D268" s="2" t="s">
        <v>255</v>
      </c>
      <c r="E268" s="31">
        <v>45943</v>
      </c>
      <c r="F268" s="43">
        <v>97905.600000000006</v>
      </c>
      <c r="G268" s="19">
        <v>10</v>
      </c>
    </row>
    <row r="269" spans="1:12" hidden="1" x14ac:dyDescent="0.3">
      <c r="A269" s="2" t="s">
        <v>56</v>
      </c>
      <c r="B269" s="2" t="s">
        <v>32</v>
      </c>
      <c r="C269" s="2" t="s">
        <v>140</v>
      </c>
      <c r="D269" s="2" t="s">
        <v>237</v>
      </c>
      <c r="E269" s="31">
        <v>45954</v>
      </c>
      <c r="F269" s="43">
        <v>125000</v>
      </c>
      <c r="G269" s="19">
        <v>10</v>
      </c>
      <c r="K269" s="31"/>
      <c r="L269" s="31"/>
    </row>
    <row r="270" spans="1:12" hidden="1" x14ac:dyDescent="0.3">
      <c r="A270" s="2" t="s">
        <v>56</v>
      </c>
      <c r="B270" s="2" t="s">
        <v>75</v>
      </c>
      <c r="C270" s="2" t="s">
        <v>76</v>
      </c>
      <c r="G270" s="19">
        <v>10</v>
      </c>
    </row>
    <row r="271" spans="1:12" hidden="1" x14ac:dyDescent="0.3">
      <c r="A271" s="2" t="s">
        <v>56</v>
      </c>
      <c r="B271" s="2" t="s">
        <v>144</v>
      </c>
      <c r="C271" s="2" t="s">
        <v>145</v>
      </c>
      <c r="D271" s="2" t="s">
        <v>238</v>
      </c>
      <c r="G271" s="19">
        <v>10</v>
      </c>
    </row>
    <row r="272" spans="1:12" hidden="1" x14ac:dyDescent="0.3">
      <c r="A272" s="2" t="s">
        <v>64</v>
      </c>
      <c r="B272" s="2" t="s">
        <v>6</v>
      </c>
      <c r="C272" s="2" t="s">
        <v>7</v>
      </c>
      <c r="D272" s="2" t="s">
        <v>239</v>
      </c>
      <c r="E272" s="31">
        <v>45939</v>
      </c>
      <c r="F272" s="32">
        <v>565431.96</v>
      </c>
      <c r="G272" s="19">
        <v>10</v>
      </c>
      <c r="K272" s="31"/>
      <c r="L272" s="31"/>
    </row>
    <row r="273" spans="1:12" hidden="1" x14ac:dyDescent="0.3">
      <c r="A273" s="2" t="s">
        <v>64</v>
      </c>
      <c r="B273" s="2" t="s">
        <v>10</v>
      </c>
      <c r="C273" s="2" t="s">
        <v>11</v>
      </c>
      <c r="D273" s="2" t="s">
        <v>233</v>
      </c>
      <c r="E273" s="31">
        <v>45931</v>
      </c>
      <c r="F273" s="32">
        <v>40000</v>
      </c>
      <c r="G273" s="19">
        <v>10</v>
      </c>
      <c r="K273" s="31"/>
      <c r="L273" s="31"/>
    </row>
    <row r="274" spans="1:12" hidden="1" x14ac:dyDescent="0.3">
      <c r="A274" s="2" t="s">
        <v>64</v>
      </c>
      <c r="B274" s="2" t="s">
        <v>15</v>
      </c>
      <c r="C274" s="2" t="s">
        <v>7</v>
      </c>
      <c r="D274" s="2" t="s">
        <v>240</v>
      </c>
      <c r="E274" s="31">
        <v>45939</v>
      </c>
      <c r="F274" s="43">
        <v>7275000</v>
      </c>
      <c r="G274" s="19">
        <v>10</v>
      </c>
      <c r="K274" s="31"/>
      <c r="L274" s="31"/>
    </row>
    <row r="275" spans="1:12" hidden="1" x14ac:dyDescent="0.3">
      <c r="A275" s="2" t="s">
        <v>64</v>
      </c>
      <c r="B275" s="2" t="s">
        <v>17</v>
      </c>
      <c r="C275" s="2" t="s">
        <v>7</v>
      </c>
      <c r="D275" s="2" t="s">
        <v>239</v>
      </c>
      <c r="E275" s="31">
        <v>45939</v>
      </c>
      <c r="F275" s="43">
        <v>409234.95</v>
      </c>
      <c r="G275" s="19">
        <v>10</v>
      </c>
      <c r="K275" s="31"/>
      <c r="L275" s="31"/>
    </row>
    <row r="276" spans="1:12" hidden="1" x14ac:dyDescent="0.3">
      <c r="A276" s="2" t="s">
        <v>64</v>
      </c>
      <c r="B276" s="2" t="s">
        <v>23</v>
      </c>
      <c r="C276" s="2" t="s">
        <v>7</v>
      </c>
      <c r="D276" s="2" t="s">
        <v>239</v>
      </c>
      <c r="E276" s="31">
        <v>45939</v>
      </c>
      <c r="F276" s="32">
        <v>461390.5</v>
      </c>
      <c r="G276" s="19">
        <v>10</v>
      </c>
      <c r="K276" s="31"/>
      <c r="L276" s="31"/>
    </row>
    <row r="277" spans="1:12" hidden="1" x14ac:dyDescent="0.3">
      <c r="A277" s="2" t="s">
        <v>64</v>
      </c>
      <c r="B277" s="2" t="s">
        <v>24</v>
      </c>
      <c r="C277" s="2" t="s">
        <v>25</v>
      </c>
      <c r="D277" s="2" t="s">
        <v>236</v>
      </c>
      <c r="E277" s="31">
        <v>45936</v>
      </c>
      <c r="F277" s="43">
        <v>39909</v>
      </c>
      <c r="G277" s="19">
        <v>10</v>
      </c>
      <c r="K277" s="31"/>
      <c r="L277" s="31"/>
    </row>
    <row r="278" spans="1:12" hidden="1" x14ac:dyDescent="0.3">
      <c r="A278" s="2" t="s">
        <v>64</v>
      </c>
      <c r="B278" s="2" t="s">
        <v>75</v>
      </c>
      <c r="C278" s="2" t="s">
        <v>76</v>
      </c>
      <c r="D278" s="2" t="s">
        <v>241</v>
      </c>
      <c r="E278" s="31">
        <v>45937</v>
      </c>
      <c r="F278" s="43">
        <v>97447</v>
      </c>
      <c r="G278" s="19">
        <v>10</v>
      </c>
      <c r="K278" s="31"/>
      <c r="L278" s="31"/>
    </row>
    <row r="279" spans="1:12" hidden="1" x14ac:dyDescent="0.3">
      <c r="A279" s="2" t="s">
        <v>18</v>
      </c>
      <c r="B279" s="2" t="s">
        <v>144</v>
      </c>
      <c r="C279" s="2" t="s">
        <v>145</v>
      </c>
      <c r="G279" s="19">
        <v>10</v>
      </c>
    </row>
    <row r="280" spans="1:12" hidden="1" x14ac:dyDescent="0.3">
      <c r="A280" s="2" t="s">
        <v>18</v>
      </c>
      <c r="B280" s="2" t="s">
        <v>15</v>
      </c>
      <c r="C280" s="2" t="s">
        <v>36</v>
      </c>
      <c r="D280" s="2" t="s">
        <v>242</v>
      </c>
      <c r="E280" s="31">
        <v>45943</v>
      </c>
      <c r="F280" s="43">
        <v>703000</v>
      </c>
      <c r="G280" s="19">
        <v>10</v>
      </c>
      <c r="K280" s="31"/>
      <c r="L280" s="31"/>
    </row>
    <row r="281" spans="1:12" hidden="1" x14ac:dyDescent="0.3">
      <c r="A281" s="2" t="s">
        <v>18</v>
      </c>
      <c r="B281" s="2" t="s">
        <v>19</v>
      </c>
      <c r="C281" s="2" t="s">
        <v>19</v>
      </c>
      <c r="D281" s="2" t="s">
        <v>235</v>
      </c>
      <c r="G281" s="19">
        <v>10</v>
      </c>
    </row>
    <row r="282" spans="1:12" hidden="1" x14ac:dyDescent="0.3">
      <c r="A282" s="2" t="s">
        <v>18</v>
      </c>
      <c r="B282" s="2" t="s">
        <v>23</v>
      </c>
      <c r="C282" s="2" t="s">
        <v>40</v>
      </c>
      <c r="D282" s="2" t="s">
        <v>41</v>
      </c>
      <c r="E282" s="31">
        <v>45931</v>
      </c>
      <c r="F282" s="32">
        <v>249237.97</v>
      </c>
      <c r="G282" s="19">
        <v>10</v>
      </c>
      <c r="K282" s="31"/>
      <c r="L282" s="31"/>
    </row>
    <row r="283" spans="1:12" hidden="1" x14ac:dyDescent="0.3">
      <c r="A283" s="2" t="s">
        <v>18</v>
      </c>
      <c r="B283" s="2" t="s">
        <v>24</v>
      </c>
      <c r="C283" s="2" t="s">
        <v>25</v>
      </c>
      <c r="D283" s="2" t="s">
        <v>236</v>
      </c>
      <c r="E283" s="31">
        <v>45936</v>
      </c>
      <c r="F283" s="43">
        <v>32044</v>
      </c>
      <c r="G283" s="19">
        <v>10</v>
      </c>
      <c r="K283" s="31"/>
      <c r="L283" s="31"/>
    </row>
    <row r="284" spans="1:12" hidden="1" x14ac:dyDescent="0.3">
      <c r="A284" s="2" t="s">
        <v>18</v>
      </c>
      <c r="B284" s="2" t="s">
        <v>28</v>
      </c>
      <c r="C284" s="2" t="s">
        <v>29</v>
      </c>
      <c r="D284" s="2" t="s">
        <v>238</v>
      </c>
      <c r="G284" s="19">
        <v>10</v>
      </c>
    </row>
    <row r="285" spans="1:12" hidden="1" x14ac:dyDescent="0.3">
      <c r="A285" s="2" t="s">
        <v>18</v>
      </c>
      <c r="B285" s="2" t="s">
        <v>10</v>
      </c>
      <c r="C285" s="2" t="s">
        <v>11</v>
      </c>
      <c r="D285" s="2" t="s">
        <v>233</v>
      </c>
      <c r="E285" s="31">
        <v>45931</v>
      </c>
      <c r="F285" s="32">
        <v>40000</v>
      </c>
      <c r="G285" s="19">
        <v>10</v>
      </c>
      <c r="K285" s="31"/>
      <c r="L285" s="31"/>
    </row>
    <row r="286" spans="1:12" x14ac:dyDescent="0.3">
      <c r="A286" s="2" t="s">
        <v>71</v>
      </c>
      <c r="B286" s="2" t="s">
        <v>15</v>
      </c>
      <c r="C286" s="2" t="s">
        <v>43</v>
      </c>
      <c r="D286" s="2" t="s">
        <v>243</v>
      </c>
      <c r="E286" s="31">
        <v>45931</v>
      </c>
      <c r="F286" s="43">
        <v>599275.1</v>
      </c>
      <c r="G286" s="19">
        <v>10</v>
      </c>
      <c r="K286" s="31"/>
      <c r="L286" s="31"/>
    </row>
    <row r="287" spans="1:12" x14ac:dyDescent="0.3">
      <c r="A287" s="2" t="s">
        <v>71</v>
      </c>
      <c r="B287" s="2" t="s">
        <v>23</v>
      </c>
      <c r="C287" s="2" t="s">
        <v>43</v>
      </c>
      <c r="D287" s="2" t="s">
        <v>243</v>
      </c>
      <c r="E287" s="31">
        <v>45931</v>
      </c>
      <c r="F287" s="32">
        <v>355414</v>
      </c>
      <c r="G287" s="19">
        <v>10</v>
      </c>
      <c r="K287" s="31"/>
      <c r="L287" s="31"/>
    </row>
    <row r="288" spans="1:12" hidden="1" x14ac:dyDescent="0.3">
      <c r="A288" s="2" t="s">
        <v>71</v>
      </c>
      <c r="B288" s="2" t="s">
        <v>24</v>
      </c>
      <c r="C288" s="2" t="s">
        <v>25</v>
      </c>
      <c r="D288" s="2" t="s">
        <v>236</v>
      </c>
      <c r="E288" s="31">
        <v>45936</v>
      </c>
      <c r="F288" s="43">
        <v>32044</v>
      </c>
      <c r="G288" s="19">
        <v>10</v>
      </c>
      <c r="K288" s="31"/>
      <c r="L288" s="31"/>
    </row>
    <row r="289" spans="1:12" hidden="1" x14ac:dyDescent="0.3">
      <c r="A289" s="2" t="s">
        <v>71</v>
      </c>
      <c r="B289" s="2" t="s">
        <v>75</v>
      </c>
      <c r="C289" s="2" t="s">
        <v>76</v>
      </c>
      <c r="G289" s="19">
        <v>10</v>
      </c>
    </row>
    <row r="290" spans="1:12" hidden="1" x14ac:dyDescent="0.3">
      <c r="A290" s="2" t="s">
        <v>71</v>
      </c>
      <c r="B290" s="2" t="s">
        <v>144</v>
      </c>
      <c r="C290" s="2" t="s">
        <v>145</v>
      </c>
      <c r="G290" s="19">
        <v>10</v>
      </c>
    </row>
    <row r="291" spans="1:12" hidden="1" x14ac:dyDescent="0.3">
      <c r="A291" s="2" t="s">
        <v>71</v>
      </c>
      <c r="B291" s="2" t="s">
        <v>10</v>
      </c>
      <c r="C291" s="2" t="s">
        <v>11</v>
      </c>
      <c r="D291" s="2" t="s">
        <v>233</v>
      </c>
      <c r="E291" s="31">
        <v>45931</v>
      </c>
      <c r="F291" s="32">
        <v>40000</v>
      </c>
      <c r="G291" s="19">
        <v>10</v>
      </c>
      <c r="K291" s="31"/>
      <c r="L291" s="31"/>
    </row>
    <row r="292" spans="1:12" x14ac:dyDescent="0.3">
      <c r="A292" s="2" t="s">
        <v>71</v>
      </c>
      <c r="B292" s="2" t="s">
        <v>15</v>
      </c>
      <c r="C292" s="2" t="s">
        <v>43</v>
      </c>
      <c r="D292" s="2" t="s">
        <v>243</v>
      </c>
      <c r="E292" s="31">
        <v>45951</v>
      </c>
      <c r="F292" s="43">
        <v>46204.11</v>
      </c>
      <c r="G292" s="19">
        <v>10</v>
      </c>
      <c r="K292" s="31"/>
      <c r="L292" s="31"/>
    </row>
    <row r="293" spans="1:12" hidden="1" x14ac:dyDescent="0.3">
      <c r="A293" s="2" t="s">
        <v>27</v>
      </c>
      <c r="B293" s="2" t="s">
        <v>10</v>
      </c>
      <c r="C293" s="2" t="s">
        <v>11</v>
      </c>
      <c r="D293" s="2" t="s">
        <v>233</v>
      </c>
      <c r="E293" s="31">
        <v>45931</v>
      </c>
      <c r="F293" s="32">
        <v>40000</v>
      </c>
      <c r="G293" s="19">
        <v>10</v>
      </c>
      <c r="K293" s="31"/>
      <c r="L293" s="31"/>
    </row>
    <row r="294" spans="1:12" hidden="1" x14ac:dyDescent="0.3">
      <c r="A294" s="2" t="s">
        <v>27</v>
      </c>
      <c r="B294" s="2" t="s">
        <v>15</v>
      </c>
      <c r="C294" s="2" t="s">
        <v>46</v>
      </c>
      <c r="D294" s="2" t="s">
        <v>244</v>
      </c>
      <c r="E294" s="31">
        <v>45937</v>
      </c>
      <c r="F294" s="43">
        <v>1572090.58</v>
      </c>
      <c r="G294" s="19">
        <v>10</v>
      </c>
      <c r="K294" s="31"/>
      <c r="L294" s="31"/>
    </row>
    <row r="295" spans="1:12" hidden="1" x14ac:dyDescent="0.3">
      <c r="A295" s="2" t="s">
        <v>27</v>
      </c>
      <c r="B295" s="2" t="s">
        <v>19</v>
      </c>
      <c r="C295" s="2" t="s">
        <v>19</v>
      </c>
      <c r="D295" s="2" t="s">
        <v>235</v>
      </c>
      <c r="G295" s="19">
        <v>10</v>
      </c>
    </row>
    <row r="296" spans="1:12" hidden="1" x14ac:dyDescent="0.3">
      <c r="A296" s="2" t="s">
        <v>27</v>
      </c>
      <c r="B296" s="2" t="s">
        <v>23</v>
      </c>
      <c r="C296" s="2" t="s">
        <v>46</v>
      </c>
      <c r="D296" s="2" t="s">
        <v>245</v>
      </c>
      <c r="E296" s="31">
        <v>45933</v>
      </c>
      <c r="F296" s="43">
        <v>2030009.81</v>
      </c>
      <c r="G296" s="19">
        <v>10</v>
      </c>
      <c r="K296" s="31"/>
      <c r="L296" s="31"/>
    </row>
    <row r="297" spans="1:12" hidden="1" x14ac:dyDescent="0.3">
      <c r="A297" s="2" t="s">
        <v>27</v>
      </c>
      <c r="B297" s="2" t="s">
        <v>24</v>
      </c>
      <c r="C297" s="2" t="s">
        <v>25</v>
      </c>
      <c r="D297" s="2" t="s">
        <v>236</v>
      </c>
      <c r="E297" s="31">
        <v>45936</v>
      </c>
      <c r="F297" s="43">
        <v>32044</v>
      </c>
      <c r="G297" s="19">
        <v>10</v>
      </c>
      <c r="K297" s="31"/>
      <c r="L297" s="31"/>
    </row>
    <row r="298" spans="1:12" hidden="1" x14ac:dyDescent="0.3">
      <c r="A298" s="2" t="s">
        <v>27</v>
      </c>
      <c r="B298" s="2" t="s">
        <v>28</v>
      </c>
      <c r="C298" s="2" t="s">
        <v>29</v>
      </c>
      <c r="D298" s="2" t="s">
        <v>235</v>
      </c>
      <c r="G298" s="19">
        <v>10</v>
      </c>
    </row>
    <row r="299" spans="1:12" hidden="1" x14ac:dyDescent="0.3">
      <c r="A299" s="2" t="s">
        <v>27</v>
      </c>
      <c r="B299" s="2" t="s">
        <v>75</v>
      </c>
      <c r="C299" s="2" t="s">
        <v>76</v>
      </c>
      <c r="G299" s="19">
        <v>10</v>
      </c>
    </row>
    <row r="300" spans="1:12" hidden="1" x14ac:dyDescent="0.3">
      <c r="A300" s="2" t="s">
        <v>27</v>
      </c>
      <c r="B300" s="2" t="s">
        <v>144</v>
      </c>
      <c r="C300" s="2" t="s">
        <v>145</v>
      </c>
      <c r="D300" s="2" t="s">
        <v>238</v>
      </c>
      <c r="G300" s="19">
        <v>10</v>
      </c>
    </row>
    <row r="301" spans="1:12" hidden="1" x14ac:dyDescent="0.3">
      <c r="A301" s="2" t="s">
        <v>31</v>
      </c>
      <c r="B301" s="2" t="s">
        <v>10</v>
      </c>
      <c r="C301" s="2" t="s">
        <v>11</v>
      </c>
      <c r="D301" s="2" t="s">
        <v>233</v>
      </c>
      <c r="E301" s="31">
        <v>45931</v>
      </c>
      <c r="F301" s="32">
        <v>40000</v>
      </c>
      <c r="G301" s="19">
        <v>10</v>
      </c>
      <c r="K301" s="31"/>
      <c r="L301" s="31"/>
    </row>
    <row r="302" spans="1:12" hidden="1" x14ac:dyDescent="0.3">
      <c r="A302" s="2" t="s">
        <v>31</v>
      </c>
      <c r="B302" s="2" t="s">
        <v>15</v>
      </c>
      <c r="C302" s="2" t="s">
        <v>51</v>
      </c>
      <c r="D302" s="2" t="s">
        <v>246</v>
      </c>
      <c r="E302" s="31">
        <v>45931</v>
      </c>
      <c r="F302" s="43">
        <v>2190647.2000000002</v>
      </c>
      <c r="G302" s="19">
        <v>10</v>
      </c>
      <c r="K302" s="31"/>
      <c r="L302" s="31"/>
    </row>
    <row r="303" spans="1:12" hidden="1" x14ac:dyDescent="0.3">
      <c r="A303" s="2" t="s">
        <v>31</v>
      </c>
      <c r="B303" s="2" t="s">
        <v>19</v>
      </c>
      <c r="C303" s="2" t="s">
        <v>19</v>
      </c>
      <c r="D303" s="2" t="s">
        <v>235</v>
      </c>
      <c r="G303" s="19">
        <v>10</v>
      </c>
    </row>
    <row r="304" spans="1:12" hidden="1" x14ac:dyDescent="0.3">
      <c r="A304" s="2" t="s">
        <v>31</v>
      </c>
      <c r="B304" s="2" t="s">
        <v>23</v>
      </c>
      <c r="C304" s="2" t="s">
        <v>137</v>
      </c>
      <c r="D304" s="2" t="s">
        <v>41</v>
      </c>
      <c r="E304" s="31">
        <v>45931</v>
      </c>
      <c r="F304" s="32">
        <v>538620.31000000006</v>
      </c>
      <c r="G304" s="19">
        <v>10</v>
      </c>
      <c r="K304" s="31"/>
      <c r="L304" s="31"/>
    </row>
    <row r="305" spans="1:12" hidden="1" x14ac:dyDescent="0.3">
      <c r="A305" s="2" t="s">
        <v>31</v>
      </c>
      <c r="B305" s="2" t="s">
        <v>24</v>
      </c>
      <c r="C305" s="2" t="s">
        <v>25</v>
      </c>
      <c r="D305" s="2" t="s">
        <v>236</v>
      </c>
      <c r="E305" s="31">
        <v>45936</v>
      </c>
      <c r="F305" s="43">
        <v>32044</v>
      </c>
      <c r="G305" s="19">
        <v>10</v>
      </c>
      <c r="K305" s="31"/>
      <c r="L305" s="31"/>
    </row>
    <row r="306" spans="1:12" hidden="1" x14ac:dyDescent="0.3">
      <c r="A306" s="2" t="s">
        <v>35</v>
      </c>
      <c r="B306" s="2" t="s">
        <v>75</v>
      </c>
      <c r="C306" s="2" t="s">
        <v>76</v>
      </c>
      <c r="D306" s="2" t="s">
        <v>247</v>
      </c>
      <c r="E306" s="31">
        <v>45937</v>
      </c>
      <c r="F306" s="43">
        <v>39549</v>
      </c>
      <c r="G306" s="19">
        <v>10</v>
      </c>
      <c r="K306" s="31"/>
      <c r="L306" s="31"/>
    </row>
    <row r="307" spans="1:12" hidden="1" x14ac:dyDescent="0.3">
      <c r="A307" s="2" t="s">
        <v>31</v>
      </c>
      <c r="B307" s="2" t="s">
        <v>144</v>
      </c>
      <c r="C307" s="2" t="s">
        <v>145</v>
      </c>
      <c r="D307" s="2" t="s">
        <v>238</v>
      </c>
      <c r="G307" s="19">
        <v>10</v>
      </c>
    </row>
    <row r="308" spans="1:12" hidden="1" x14ac:dyDescent="0.3">
      <c r="A308" s="2" t="s">
        <v>35</v>
      </c>
      <c r="B308" s="2" t="s">
        <v>10</v>
      </c>
      <c r="C308" s="2" t="s">
        <v>11</v>
      </c>
      <c r="D308" s="2" t="s">
        <v>233</v>
      </c>
      <c r="E308" s="31">
        <v>45931</v>
      </c>
      <c r="F308" s="32">
        <v>20000</v>
      </c>
      <c r="G308" s="19">
        <v>10</v>
      </c>
      <c r="K308" s="31"/>
      <c r="L308" s="31"/>
    </row>
    <row r="309" spans="1:12" hidden="1" x14ac:dyDescent="0.3">
      <c r="A309" s="2" t="s">
        <v>35</v>
      </c>
      <c r="B309" s="2" t="s">
        <v>15</v>
      </c>
      <c r="C309" s="2" t="s">
        <v>51</v>
      </c>
      <c r="D309" s="2" t="s">
        <v>248</v>
      </c>
      <c r="E309" s="31">
        <v>45931</v>
      </c>
      <c r="F309" s="43">
        <v>1058553.7</v>
      </c>
      <c r="G309" s="19">
        <v>10</v>
      </c>
      <c r="K309" s="31"/>
      <c r="L309" s="31"/>
    </row>
    <row r="310" spans="1:12" hidden="1" x14ac:dyDescent="0.3">
      <c r="A310" s="2" t="s">
        <v>35</v>
      </c>
      <c r="B310" s="2" t="s">
        <v>19</v>
      </c>
      <c r="C310" s="2" t="s">
        <v>137</v>
      </c>
      <c r="G310" s="19">
        <v>10</v>
      </c>
    </row>
    <row r="311" spans="1:12" hidden="1" x14ac:dyDescent="0.3">
      <c r="A311" s="2" t="s">
        <v>35</v>
      </c>
      <c r="B311" s="2" t="s">
        <v>23</v>
      </c>
      <c r="C311" s="2" t="s">
        <v>137</v>
      </c>
      <c r="D311" s="2" t="s">
        <v>41</v>
      </c>
      <c r="E311" s="31">
        <v>45931</v>
      </c>
      <c r="F311" s="32">
        <v>538620.31000000006</v>
      </c>
      <c r="G311" s="19">
        <v>10</v>
      </c>
      <c r="K311" s="31"/>
      <c r="L311" s="31"/>
    </row>
    <row r="312" spans="1:12" hidden="1" x14ac:dyDescent="0.3">
      <c r="A312" s="2" t="s">
        <v>35</v>
      </c>
      <c r="B312" s="2" t="s">
        <v>24</v>
      </c>
      <c r="C312" s="2" t="s">
        <v>25</v>
      </c>
      <c r="D312" s="2" t="s">
        <v>236</v>
      </c>
      <c r="E312" s="31">
        <v>45936</v>
      </c>
      <c r="F312" s="43">
        <v>32044</v>
      </c>
      <c r="G312" s="19">
        <v>10</v>
      </c>
      <c r="K312" s="31"/>
      <c r="L312" s="31"/>
    </row>
    <row r="313" spans="1:12" hidden="1" x14ac:dyDescent="0.3">
      <c r="A313" s="2" t="s">
        <v>35</v>
      </c>
      <c r="B313" s="2" t="s">
        <v>144</v>
      </c>
      <c r="C313" s="2" t="s">
        <v>145</v>
      </c>
      <c r="D313" s="2" t="s">
        <v>238</v>
      </c>
      <c r="G313" s="19">
        <v>10</v>
      </c>
    </row>
    <row r="314" spans="1:12" hidden="1" x14ac:dyDescent="0.3">
      <c r="A314" s="2" t="s">
        <v>249</v>
      </c>
      <c r="B314" s="2" t="s">
        <v>15</v>
      </c>
      <c r="C314" s="2" t="s">
        <v>46</v>
      </c>
      <c r="D314" s="2" t="s">
        <v>250</v>
      </c>
      <c r="E314" s="31">
        <v>45937</v>
      </c>
      <c r="F314" s="43">
        <v>1635000</v>
      </c>
      <c r="G314" s="19">
        <v>10</v>
      </c>
      <c r="K314" s="31"/>
      <c r="L314" s="31"/>
    </row>
    <row r="315" spans="1:12" hidden="1" x14ac:dyDescent="0.3">
      <c r="A315" s="2" t="s">
        <v>249</v>
      </c>
      <c r="B315" s="2" t="s">
        <v>15</v>
      </c>
      <c r="C315" s="2" t="s">
        <v>46</v>
      </c>
      <c r="D315" s="2" t="s">
        <v>250</v>
      </c>
      <c r="E315" s="31">
        <v>45937</v>
      </c>
      <c r="G315" s="19">
        <v>10</v>
      </c>
      <c r="K315" s="31"/>
      <c r="L315" s="31"/>
    </row>
    <row r="316" spans="1:12" hidden="1" x14ac:dyDescent="0.3">
      <c r="A316" s="2" t="s">
        <v>249</v>
      </c>
      <c r="B316" s="2" t="s">
        <v>144</v>
      </c>
      <c r="C316" s="2" t="s">
        <v>145</v>
      </c>
      <c r="G316" s="19">
        <v>10</v>
      </c>
    </row>
    <row r="317" spans="1:12" hidden="1" x14ac:dyDescent="0.3">
      <c r="A317" s="2" t="s">
        <v>249</v>
      </c>
      <c r="B317" s="2" t="s">
        <v>144</v>
      </c>
      <c r="C317" s="2" t="s">
        <v>251</v>
      </c>
      <c r="G317" s="19">
        <v>10</v>
      </c>
    </row>
    <row r="318" spans="1:12" hidden="1" x14ac:dyDescent="0.3">
      <c r="A318" s="2" t="s">
        <v>31</v>
      </c>
      <c r="B318" s="2" t="s">
        <v>32</v>
      </c>
      <c r="C318" s="2" t="s">
        <v>140</v>
      </c>
      <c r="D318" s="2" t="s">
        <v>237</v>
      </c>
      <c r="E318" s="31">
        <v>45954</v>
      </c>
      <c r="F318" s="43">
        <v>125000</v>
      </c>
      <c r="G318" s="19">
        <v>10</v>
      </c>
      <c r="K318" s="31"/>
      <c r="L318" s="31"/>
    </row>
    <row r="319" spans="1:12" hidden="1" x14ac:dyDescent="0.3">
      <c r="A319" s="2" t="s">
        <v>18</v>
      </c>
      <c r="B319" s="2" t="s">
        <v>32</v>
      </c>
      <c r="C319" s="2" t="s">
        <v>140</v>
      </c>
      <c r="D319" s="2" t="s">
        <v>237</v>
      </c>
      <c r="E319" s="31">
        <v>45954</v>
      </c>
      <c r="F319" s="43">
        <v>250000</v>
      </c>
      <c r="G319" s="19">
        <v>10</v>
      </c>
      <c r="K319" s="31"/>
      <c r="L319" s="31"/>
    </row>
    <row r="320" spans="1:12" hidden="1" x14ac:dyDescent="0.3">
      <c r="A320" s="2" t="s">
        <v>64</v>
      </c>
      <c r="B320" s="2" t="s">
        <v>32</v>
      </c>
      <c r="C320" s="2" t="s">
        <v>140</v>
      </c>
      <c r="D320" s="2" t="s">
        <v>237</v>
      </c>
      <c r="E320" s="31">
        <v>45954</v>
      </c>
      <c r="F320" s="43">
        <v>250000</v>
      </c>
      <c r="G320" s="19">
        <v>10</v>
      </c>
      <c r="K320" s="31"/>
      <c r="L320" s="31"/>
    </row>
    <row r="321" spans="1:12" hidden="1" x14ac:dyDescent="0.3">
      <c r="A321" s="2" t="s">
        <v>71</v>
      </c>
      <c r="B321" s="2" t="s">
        <v>32</v>
      </c>
      <c r="C321" s="2" t="s">
        <v>140</v>
      </c>
      <c r="D321" s="2" t="s">
        <v>237</v>
      </c>
      <c r="E321" s="31">
        <v>45954</v>
      </c>
      <c r="F321" s="43">
        <v>300000</v>
      </c>
      <c r="G321" s="19">
        <v>10</v>
      </c>
      <c r="K321" s="31"/>
      <c r="L321" s="31"/>
    </row>
    <row r="322" spans="1:12" hidden="1" x14ac:dyDescent="0.3">
      <c r="A322" s="2" t="s">
        <v>27</v>
      </c>
      <c r="B322" s="2" t="s">
        <v>32</v>
      </c>
      <c r="C322" s="2" t="s">
        <v>140</v>
      </c>
      <c r="D322" s="2" t="s">
        <v>237</v>
      </c>
      <c r="E322" s="31">
        <v>45954</v>
      </c>
      <c r="F322" s="43">
        <v>300000</v>
      </c>
      <c r="G322" s="19">
        <v>10</v>
      </c>
      <c r="K322" s="31"/>
      <c r="L322" s="31"/>
    </row>
  </sheetData>
  <autoFilter ref="A1:G322">
    <filterColumn colId="0">
      <filters>
        <filter val="COM LUCERO GUEMES"/>
      </filters>
    </filterColumn>
    <filterColumn colId="1">
      <filters>
        <filter val="ALQUILER"/>
        <filter val="EXPENSAS"/>
      </filters>
    </filterColumn>
  </autoFilter>
  <mergeCells count="9">
    <mergeCell ref="L34:L35"/>
    <mergeCell ref="AR34:AR35"/>
    <mergeCell ref="AI34:AI35"/>
    <mergeCell ref="AA34:AA35"/>
    <mergeCell ref="T34:T35"/>
    <mergeCell ref="M34:S34"/>
    <mergeCell ref="U34:Z34"/>
    <mergeCell ref="AB34:AH34"/>
    <mergeCell ref="AJ34:AQ34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topLeftCell="F1" workbookViewId="0">
      <selection activeCell="S11" sqref="S11"/>
    </sheetView>
  </sheetViews>
  <sheetFormatPr baseColWidth="10" defaultRowHeight="14.4" x14ac:dyDescent="0.3"/>
  <cols>
    <col min="1" max="1" width="21.5546875" bestFit="1" customWidth="1"/>
    <col min="2" max="2" width="21.44140625" bestFit="1" customWidth="1"/>
    <col min="3" max="19" width="11.88671875" bestFit="1" customWidth="1"/>
    <col min="20" max="20" width="11.88671875" customWidth="1"/>
    <col min="21" max="21" width="4.21875" customWidth="1"/>
    <col min="22" max="22" width="8.44140625" customWidth="1"/>
    <col min="23" max="23" width="9.33203125" customWidth="1"/>
    <col min="24" max="24" width="5.44140625" customWidth="1"/>
    <col min="25" max="25" width="7.6640625" customWidth="1"/>
    <col min="26" max="26" width="9.77734375" customWidth="1"/>
    <col min="27" max="27" width="12.33203125" customWidth="1"/>
    <col min="28" max="28" width="9.33203125" customWidth="1"/>
    <col min="29" max="29" width="16.33203125" customWidth="1"/>
    <col min="30" max="30" width="6.6640625" customWidth="1"/>
    <col min="31" max="31" width="4.21875" customWidth="1"/>
    <col min="32" max="32" width="8.44140625" customWidth="1"/>
    <col min="33" max="33" width="9.33203125" customWidth="1"/>
    <col min="34" max="34" width="5.44140625" customWidth="1"/>
    <col min="35" max="35" width="7.6640625" customWidth="1"/>
    <col min="36" max="36" width="9.77734375" customWidth="1"/>
    <col min="37" max="37" width="12.33203125" customWidth="1"/>
    <col min="38" max="38" width="9.33203125" customWidth="1"/>
    <col min="39" max="39" width="16.33203125" customWidth="1"/>
    <col min="40" max="40" width="18.6640625" bestFit="1" customWidth="1"/>
    <col min="41" max="41" width="12" customWidth="1"/>
    <col min="42" max="42" width="9.88671875" customWidth="1"/>
    <col min="43" max="43" width="6.6640625" customWidth="1"/>
    <col min="44" max="44" width="4.21875" customWidth="1"/>
    <col min="45" max="45" width="8.44140625" customWidth="1"/>
    <col min="46" max="46" width="9.33203125" customWidth="1"/>
    <col min="47" max="47" width="5.44140625" customWidth="1"/>
    <col min="48" max="48" width="7.6640625" customWidth="1"/>
    <col min="49" max="49" width="9.77734375" customWidth="1"/>
    <col min="50" max="50" width="12.33203125" customWidth="1"/>
    <col min="51" max="51" width="9.33203125" customWidth="1"/>
    <col min="52" max="52" width="16.33203125" bestFit="1" customWidth="1"/>
    <col min="53" max="53" width="12" customWidth="1"/>
    <col min="54" max="54" width="9.88671875" customWidth="1"/>
    <col min="55" max="55" width="6.6640625" customWidth="1"/>
    <col min="56" max="56" width="5" customWidth="1"/>
    <col min="57" max="57" width="8.44140625" customWidth="1"/>
    <col min="58" max="58" width="9.33203125" customWidth="1"/>
    <col min="59" max="59" width="5.44140625" customWidth="1"/>
    <col min="60" max="60" width="7.6640625" customWidth="1"/>
    <col min="61" max="61" width="9.77734375" customWidth="1"/>
    <col min="62" max="62" width="12.33203125" customWidth="1"/>
    <col min="63" max="63" width="9.33203125" customWidth="1"/>
    <col min="64" max="64" width="16.33203125" bestFit="1" customWidth="1"/>
    <col min="65" max="65" width="12" customWidth="1"/>
    <col min="66" max="66" width="9.88671875" customWidth="1"/>
    <col min="67" max="67" width="7.6640625" customWidth="1"/>
    <col min="68" max="68" width="11.88671875" bestFit="1" customWidth="1"/>
  </cols>
  <sheetData>
    <row r="1" spans="1:19" x14ac:dyDescent="0.3">
      <c r="A1" s="28" t="s">
        <v>253</v>
      </c>
      <c r="B1" t="s">
        <v>252</v>
      </c>
    </row>
    <row r="3" spans="1:19" x14ac:dyDescent="0.3">
      <c r="A3" s="28" t="s">
        <v>128</v>
      </c>
      <c r="B3" s="28" t="s">
        <v>9</v>
      </c>
    </row>
    <row r="4" spans="1:19" x14ac:dyDescent="0.3">
      <c r="B4">
        <v>5</v>
      </c>
      <c r="D4" t="s">
        <v>123</v>
      </c>
      <c r="E4">
        <v>6</v>
      </c>
      <c r="G4" t="s">
        <v>124</v>
      </c>
      <c r="H4">
        <v>7</v>
      </c>
      <c r="J4" t="s">
        <v>125</v>
      </c>
      <c r="K4">
        <v>8</v>
      </c>
      <c r="M4" t="s">
        <v>182</v>
      </c>
      <c r="N4">
        <v>9</v>
      </c>
      <c r="P4" t="s">
        <v>217</v>
      </c>
      <c r="Q4">
        <v>10</v>
      </c>
      <c r="S4" t="s">
        <v>231</v>
      </c>
    </row>
    <row r="5" spans="1:19" x14ac:dyDescent="0.3">
      <c r="A5" s="28" t="s">
        <v>14</v>
      </c>
      <c r="B5" t="s">
        <v>15</v>
      </c>
      <c r="C5" t="s">
        <v>23</v>
      </c>
      <c r="E5" t="s">
        <v>15</v>
      </c>
      <c r="F5" t="s">
        <v>23</v>
      </c>
      <c r="H5" t="s">
        <v>15</v>
      </c>
      <c r="I5" t="s">
        <v>23</v>
      </c>
      <c r="K5" t="s">
        <v>15</v>
      </c>
      <c r="L5" t="s">
        <v>23</v>
      </c>
      <c r="N5" t="s">
        <v>15</v>
      </c>
      <c r="O5" t="s">
        <v>23</v>
      </c>
      <c r="Q5" t="s">
        <v>15</v>
      </c>
      <c r="R5" t="s">
        <v>23</v>
      </c>
    </row>
    <row r="6" spans="1:19" x14ac:dyDescent="0.3">
      <c r="A6" s="5" t="s">
        <v>56</v>
      </c>
      <c r="B6" s="30">
        <v>1200553.02</v>
      </c>
      <c r="C6" s="30">
        <v>955501.96</v>
      </c>
      <c r="D6" s="30">
        <v>2156054.98</v>
      </c>
      <c r="E6" s="30">
        <v>1045573.02</v>
      </c>
      <c r="F6" s="30">
        <v>1059864.3999999999</v>
      </c>
      <c r="G6" s="30">
        <v>2105437.42</v>
      </c>
      <c r="H6" s="30">
        <v>1294257.8700000001</v>
      </c>
      <c r="I6" s="30">
        <v>964404.3</v>
      </c>
      <c r="J6" s="30">
        <v>2258662.17</v>
      </c>
      <c r="K6" s="30">
        <v>1569764.97</v>
      </c>
      <c r="L6" s="30">
        <v>1146570.01</v>
      </c>
      <c r="M6" s="30">
        <v>2716334.98</v>
      </c>
      <c r="N6" s="30">
        <v>1091639.7</v>
      </c>
      <c r="O6" s="30">
        <v>1062641.6000000001</v>
      </c>
      <c r="P6" s="30">
        <v>2154281.2999999998</v>
      </c>
      <c r="Q6" s="30">
        <v>272812.11</v>
      </c>
      <c r="R6" s="30">
        <v>1077240.6200000001</v>
      </c>
      <c r="S6" s="30">
        <v>1350052.73</v>
      </c>
    </row>
    <row r="7" spans="1:19" x14ac:dyDescent="0.3">
      <c r="A7" s="5" t="s">
        <v>64</v>
      </c>
      <c r="B7" s="30">
        <v>2139397.7599999998</v>
      </c>
      <c r="C7" s="30">
        <v>515040.5</v>
      </c>
      <c r="D7" s="30">
        <v>2654438.2599999998</v>
      </c>
      <c r="E7" s="30">
        <v>2338348.56</v>
      </c>
      <c r="F7" s="30">
        <v>515040.5</v>
      </c>
      <c r="G7" s="30">
        <v>2853389.06</v>
      </c>
      <c r="H7" s="30">
        <v>6375000</v>
      </c>
      <c r="I7" s="30">
        <v>515040.5</v>
      </c>
      <c r="J7" s="30">
        <v>6890040.5</v>
      </c>
      <c r="K7" s="30">
        <v>6550000</v>
      </c>
      <c r="L7" s="30">
        <v>407740.5</v>
      </c>
      <c r="M7" s="30">
        <v>6957740.5</v>
      </c>
      <c r="N7" s="30">
        <v>7000000</v>
      </c>
      <c r="O7" s="30">
        <v>300440.5</v>
      </c>
      <c r="P7" s="30">
        <v>7300440.5</v>
      </c>
      <c r="Q7" s="30">
        <v>7275000</v>
      </c>
      <c r="R7" s="30">
        <v>461390.5</v>
      </c>
      <c r="S7" s="30">
        <v>7736390.5</v>
      </c>
    </row>
    <row r="8" spans="1:19" x14ac:dyDescent="0.3">
      <c r="A8" s="5" t="s">
        <v>18</v>
      </c>
      <c r="B8" s="30">
        <v>738584</v>
      </c>
      <c r="C8" s="30">
        <v>262951.78999999998</v>
      </c>
      <c r="D8" s="30">
        <v>1001535.79</v>
      </c>
      <c r="E8" s="30">
        <v>667200</v>
      </c>
      <c r="F8" s="30">
        <v>240529.21</v>
      </c>
      <c r="G8" s="30">
        <v>907729.21</v>
      </c>
      <c r="H8" s="30">
        <v>667200</v>
      </c>
      <c r="I8" s="30">
        <v>217135.92</v>
      </c>
      <c r="J8" s="30">
        <v>884335.92</v>
      </c>
      <c r="K8" s="30">
        <v>667200</v>
      </c>
      <c r="L8" s="30">
        <v>242602.21</v>
      </c>
      <c r="M8" s="30">
        <v>909802.21</v>
      </c>
      <c r="N8" s="30">
        <v>703000</v>
      </c>
      <c r="O8" s="30">
        <v>220840</v>
      </c>
      <c r="P8" s="30">
        <v>923840</v>
      </c>
      <c r="Q8" s="30">
        <v>703000</v>
      </c>
      <c r="R8" s="30">
        <v>249237.97</v>
      </c>
      <c r="S8" s="30">
        <v>952237.97</v>
      </c>
    </row>
    <row r="9" spans="1:19" x14ac:dyDescent="0.3">
      <c r="A9" s="5" t="s">
        <v>71</v>
      </c>
      <c r="B9" s="30">
        <v>540862</v>
      </c>
      <c r="C9" s="30">
        <v>274476.14</v>
      </c>
      <c r="D9" s="30">
        <v>815338.14</v>
      </c>
      <c r="E9" s="30">
        <v>599275.1</v>
      </c>
      <c r="F9" s="30">
        <v>282173.06</v>
      </c>
      <c r="G9" s="30">
        <v>881448.15999999992</v>
      </c>
      <c r="H9" s="30">
        <v>599275.1</v>
      </c>
      <c r="I9" s="30">
        <v>306815.86</v>
      </c>
      <c r="J9" s="30">
        <v>906090.96</v>
      </c>
      <c r="K9" s="30">
        <v>599275.1</v>
      </c>
      <c r="L9" s="30">
        <v>328003.06</v>
      </c>
      <c r="M9" s="30">
        <v>927278.15999999992</v>
      </c>
      <c r="N9" s="30">
        <v>599275.1</v>
      </c>
      <c r="O9" s="30">
        <v>338831.14</v>
      </c>
      <c r="P9" s="30">
        <v>938106.24</v>
      </c>
      <c r="Q9" s="30">
        <v>645479.21</v>
      </c>
      <c r="R9" s="30">
        <v>355414</v>
      </c>
      <c r="S9" s="30">
        <v>1000893.21</v>
      </c>
    </row>
    <row r="10" spans="1:19" x14ac:dyDescent="0.3">
      <c r="A10" s="5" t="s">
        <v>27</v>
      </c>
      <c r="B10" s="30">
        <v>1201308.3899999999</v>
      </c>
      <c r="C10" s="30">
        <v>1997735.13</v>
      </c>
      <c r="D10" s="30">
        <v>3199043.5199999996</v>
      </c>
      <c r="E10" s="30">
        <v>1201308.3899999999</v>
      </c>
      <c r="F10" s="30">
        <v>1912694.22</v>
      </c>
      <c r="G10" s="30">
        <v>3114002.61</v>
      </c>
      <c r="H10" s="30">
        <v>1299988.6000000001</v>
      </c>
      <c r="I10" s="30">
        <v>1846064.21</v>
      </c>
      <c r="J10" s="30">
        <v>3146052.81</v>
      </c>
      <c r="K10" s="30">
        <v>1299988.6000000001</v>
      </c>
      <c r="L10" s="30">
        <v>1901854.12</v>
      </c>
      <c r="M10" s="30">
        <v>3201842.72</v>
      </c>
      <c r="N10" s="30">
        <v>1448355.71</v>
      </c>
      <c r="O10" s="30">
        <v>1948016.5</v>
      </c>
      <c r="P10" s="30">
        <v>3396372.21</v>
      </c>
      <c r="Q10" s="30">
        <v>1572090.58</v>
      </c>
      <c r="R10" s="30">
        <v>2030009.81</v>
      </c>
      <c r="S10" s="30">
        <v>3602100.39</v>
      </c>
    </row>
    <row r="11" spans="1:19" x14ac:dyDescent="0.3">
      <c r="A11" s="5" t="s">
        <v>249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>
        <v>1635000</v>
      </c>
      <c r="R11" s="30"/>
      <c r="S11" s="30">
        <v>1635000</v>
      </c>
    </row>
    <row r="12" spans="1:19" x14ac:dyDescent="0.3">
      <c r="A12" s="5" t="s">
        <v>31</v>
      </c>
      <c r="B12" s="30">
        <v>1623633.2</v>
      </c>
      <c r="C12" s="30">
        <v>477750.98</v>
      </c>
      <c r="D12" s="30">
        <v>2101384.1799999997</v>
      </c>
      <c r="E12" s="30">
        <v>1533834</v>
      </c>
      <c r="F12" s="30">
        <v>529932.19999999995</v>
      </c>
      <c r="G12" s="30">
        <v>2063766.2</v>
      </c>
      <c r="H12" s="30">
        <v>1594202.96</v>
      </c>
      <c r="I12" s="30">
        <v>482202.15</v>
      </c>
      <c r="J12" s="30">
        <v>2076405.1099999999</v>
      </c>
      <c r="K12" s="30">
        <v>1741513.44</v>
      </c>
      <c r="L12" s="30"/>
      <c r="M12" s="30">
        <v>1741513.44</v>
      </c>
      <c r="N12" s="30">
        <v>2250334.64</v>
      </c>
      <c r="O12" s="30">
        <v>531320.80000000005</v>
      </c>
      <c r="P12" s="30">
        <v>2781655.4400000004</v>
      </c>
      <c r="Q12" s="30">
        <v>2190647.2000000002</v>
      </c>
      <c r="R12" s="30">
        <v>538620.31000000006</v>
      </c>
      <c r="S12" s="30">
        <v>2729267.5100000002</v>
      </c>
    </row>
    <row r="13" spans="1:19" x14ac:dyDescent="0.3">
      <c r="A13" s="5" t="s">
        <v>35</v>
      </c>
      <c r="B13" s="30">
        <v>825000</v>
      </c>
      <c r="C13" s="30">
        <v>477750.98</v>
      </c>
      <c r="D13" s="30">
        <v>1302750.98</v>
      </c>
      <c r="E13" s="30">
        <v>887700</v>
      </c>
      <c r="F13" s="30">
        <v>529932.19999999995</v>
      </c>
      <c r="G13" s="30">
        <v>1417632.2</v>
      </c>
      <c r="H13" s="30">
        <v>903319.4</v>
      </c>
      <c r="I13" s="30">
        <v>482202.15</v>
      </c>
      <c r="J13" s="30">
        <v>1385521.55</v>
      </c>
      <c r="K13" s="30">
        <v>887700</v>
      </c>
      <c r="L13" s="30"/>
      <c r="M13" s="30">
        <v>887700</v>
      </c>
      <c r="N13" s="30">
        <v>900710.7</v>
      </c>
      <c r="O13" s="30">
        <v>531320.80000000005</v>
      </c>
      <c r="P13" s="30">
        <v>1432031.5</v>
      </c>
      <c r="Q13" s="30">
        <v>1058553.7</v>
      </c>
      <c r="R13" s="30">
        <v>538620.31000000006</v>
      </c>
      <c r="S13" s="30">
        <v>1597174.01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alquileres y expensas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2025-08-26T17:55:58Z</dcterms:created>
  <dcterms:modified xsi:type="dcterms:W3CDTF">2025-11-11T18:27:09Z</dcterms:modified>
</cp:coreProperties>
</file>