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Sueldos\"/>
    </mc:Choice>
  </mc:AlternateContent>
  <bookViews>
    <workbookView xWindow="0" yWindow="0" windowWidth="19200" windowHeight="7050"/>
  </bookViews>
  <sheets>
    <sheet name="LC" sheetId="1" r:id="rId1"/>
  </sheets>
  <definedNames>
    <definedName name="_xlnm._FilterDatabase" localSheetId="0" hidden="1">LC!$A$1:$AA$40</definedName>
  </definedNames>
  <calcPr calcId="162913"/>
</workbook>
</file>

<file path=xl/calcChain.xml><?xml version="1.0" encoding="utf-8"?>
<calcChain xmlns="http://schemas.openxmlformats.org/spreadsheetml/2006/main">
  <c r="I40" i="1" l="1"/>
  <c r="H40" i="1"/>
  <c r="G40" i="1"/>
  <c r="F40" i="1"/>
  <c r="E40" i="1"/>
  <c r="D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1" i="1"/>
  <c r="C10" i="1"/>
  <c r="C9" i="1"/>
  <c r="C8" i="1"/>
  <c r="C7" i="1"/>
  <c r="C6" i="1"/>
  <c r="C5" i="1"/>
  <c r="C4" i="1"/>
  <c r="C3" i="1"/>
  <c r="C2" i="1"/>
  <c r="C40" i="1" l="1"/>
</calcChain>
</file>

<file path=xl/sharedStrings.xml><?xml version="1.0" encoding="utf-8"?>
<sst xmlns="http://schemas.openxmlformats.org/spreadsheetml/2006/main" count="99" uniqueCount="74">
  <si>
    <t>Legajo</t>
  </si>
  <si>
    <t>Empleado</t>
  </si>
  <si>
    <t>Hs totales</t>
  </si>
  <si>
    <t>Hs trabajadas</t>
  </si>
  <si>
    <t>Hs feriado</t>
  </si>
  <si>
    <t>Hs de vacaciones</t>
  </si>
  <si>
    <t>Hs nocturnas</t>
  </si>
  <si>
    <t>Licencias pagas</t>
  </si>
  <si>
    <t>HS injustificados</t>
  </si>
  <si>
    <t>Tienda asignada este mes</t>
  </si>
  <si>
    <t>Observaciones</t>
  </si>
  <si>
    <t>Fin de período de prueba</t>
  </si>
  <si>
    <t>Anabella Baragatti</t>
  </si>
  <si>
    <t>AS Güemes</t>
  </si>
  <si>
    <t>Desvinculada el 28-2</t>
  </si>
  <si>
    <t>Bogarin Gomez Noelia</t>
  </si>
  <si>
    <t>Cabovianco Natalia</t>
  </si>
  <si>
    <t>AS San Telmo</t>
  </si>
  <si>
    <t>Carrizo Camila</t>
  </si>
  <si>
    <t>Licencia por enfermedad( choque)</t>
  </si>
  <si>
    <t>Molina Agustina</t>
  </si>
  <si>
    <t>Imperiale Agustina</t>
  </si>
  <si>
    <t>esta chica vino 1 dia hace 2 meses, no se porque esta aca</t>
  </si>
  <si>
    <t>Gimenes Ayala Noelia</t>
  </si>
  <si>
    <t>1 feriado no trabajado</t>
  </si>
  <si>
    <t>Gimenez Candela</t>
  </si>
  <si>
    <t>El Solar</t>
  </si>
  <si>
    <t>Schiavone Fiona Ludmila</t>
  </si>
  <si>
    <t>Martinez Franzi Lourdes</t>
  </si>
  <si>
    <t>1 Feriado no trabajado. De las horas normales, 9 fueron en Güemes 2</t>
  </si>
  <si>
    <t xml:space="preserve">Urbieta Barbara Giselle </t>
  </si>
  <si>
    <t>Lucero Florida</t>
  </si>
  <si>
    <t>Imperiale Candela</t>
  </si>
  <si>
    <t>Ochoa Duran Thalia</t>
  </si>
  <si>
    <t>2 dias de vacaciones.</t>
  </si>
  <si>
    <t>Pavez Anahi</t>
  </si>
  <si>
    <t>Cardoso Trinidad</t>
  </si>
  <si>
    <t>1 Feriado no trabajado. De las horas normales, 52 fueron en Güemes 1</t>
  </si>
  <si>
    <t>Federica Figueroa</t>
  </si>
  <si>
    <t>1 Feriado no trabajado. De las horas normales, 32 fueron en Recoleta.</t>
  </si>
  <si>
    <t>Carolina Rivulgo</t>
  </si>
  <si>
    <t>Bertolo Milagros</t>
  </si>
  <si>
    <t>Lucero French</t>
  </si>
  <si>
    <t xml:space="preserve">Machuca Araceli </t>
  </si>
  <si>
    <t>Scholler Chavez Ruth</t>
  </si>
  <si>
    <t>de las horas normales 67hs en lucero French y 27 hs en lucero 2. 2 dias de estudio</t>
  </si>
  <si>
    <t>Viña Sofia</t>
  </si>
  <si>
    <t>Lucero Güemes</t>
  </si>
  <si>
    <t>Renunció el 7-3</t>
  </si>
  <si>
    <t>CORONEL Mailen</t>
  </si>
  <si>
    <t>1 Feriado no trabajado. De las horas normales, 10 fueron en florida</t>
  </si>
  <si>
    <t>De Brito Rocio</t>
  </si>
  <si>
    <t>Lucero Güemes 2</t>
  </si>
  <si>
    <t>1 Feriado no trabajado. De las horas normales, 23 fueron en Güemes 1 y 16 en Solar. 3 dias de vacaciones</t>
  </si>
  <si>
    <t>Delgado Maria Paz</t>
  </si>
  <si>
    <t xml:space="preserve">1 feriado no trabajado. De las horas normales, 24 fueron en Solar </t>
  </si>
  <si>
    <t>Sayariy Choque</t>
  </si>
  <si>
    <t>Desvinculada el 16-3</t>
  </si>
  <si>
    <t>Ruiz de la Torre Maitena</t>
  </si>
  <si>
    <t>Lucero Recoleta</t>
  </si>
  <si>
    <t>1 dia de estudio x examen. Certificado entregado</t>
  </si>
  <si>
    <t>Barajas Barbara</t>
  </si>
  <si>
    <t>14 dias de vacaciones.</t>
  </si>
  <si>
    <t>Oliva Micaela</t>
  </si>
  <si>
    <t>Esposito Candela</t>
  </si>
  <si>
    <t>Lucero ST1</t>
  </si>
  <si>
    <t>Lara Robbio</t>
  </si>
  <si>
    <t>Giordano Carolina Inez</t>
  </si>
  <si>
    <t>paso a Lucero 1 en marzo. de las horas normales 86 fueron en lucero 1 y el feriado. 19 en lucero 2 y la licencia por enfermedad</t>
  </si>
  <si>
    <t>Gisela Bonino</t>
  </si>
  <si>
    <t>Lucero ST2</t>
  </si>
  <si>
    <t>Johanna Gil Marquez</t>
  </si>
  <si>
    <t>de las horas normales son 82hs en lucero 2 y 27hs en lucero 1</t>
  </si>
  <si>
    <t>Eredia Cintia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</si>
</sst>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dd/mm/yyyy"/>
  </numFmts>
  <fonts count="6" x14ac:knownFonts="1">
    <font>
      <sz val="11"/>
      <color theme="1"/>
      <name val="Calibri"/>
      <scheme val="minor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/>
    <xf numFmtId="2" fontId="4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/>
    <xf numFmtId="164" fontId="1" fillId="0" borderId="1" xfId="0" applyNumberFormat="1" applyFont="1" applyBorder="1" applyAlignment="1"/>
    <xf numFmtId="0" fontId="3" fillId="0" borderId="0" xfId="0" applyFont="1" applyAlignment="1"/>
    <xf numFmtId="0" fontId="3" fillId="0" borderId="0" xfId="0" applyFont="1" applyAlignment="1"/>
    <xf numFmtId="165" fontId="3" fillId="0" borderId="0" xfId="0" applyNumberFormat="1" applyFont="1" applyAlignment="1"/>
    <xf numFmtId="49" fontId="3" fillId="0" borderId="1" xfId="0" applyNumberFormat="1" applyFont="1" applyBorder="1" applyAlignment="1"/>
    <xf numFmtId="164" fontId="3" fillId="5" borderId="1" xfId="0" applyNumberFormat="1" applyFont="1" applyFill="1" applyBorder="1" applyAlignment="1"/>
    <xf numFmtId="14" fontId="3" fillId="0" borderId="0" xfId="0" applyNumberFormat="1" applyFont="1" applyAlignment="1"/>
    <xf numFmtId="0" fontId="4" fillId="6" borderId="1" xfId="0" applyFont="1" applyFill="1" applyBorder="1" applyAlignment="1">
      <alignment horizontal="center"/>
    </xf>
    <xf numFmtId="49" fontId="3" fillId="7" borderId="1" xfId="0" applyNumberFormat="1" applyFont="1" applyFill="1" applyBorder="1" applyAlignment="1"/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/>
    <xf numFmtId="164" fontId="3" fillId="0" borderId="1" xfId="0" applyNumberFormat="1" applyFont="1" applyBorder="1" applyAlignment="1"/>
    <xf numFmtId="0" fontId="4" fillId="8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/>
    <xf numFmtId="0" fontId="4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7" borderId="1" xfId="0" applyFont="1" applyFill="1" applyBorder="1" applyAlignment="1"/>
    <xf numFmtId="2" fontId="4" fillId="4" borderId="1" xfId="0" applyNumberFormat="1" applyFont="1" applyFill="1" applyBorder="1" applyAlignment="1">
      <alignment horizontal="right"/>
    </xf>
    <xf numFmtId="14" fontId="3" fillId="0" borderId="0" xfId="0" applyNumberFormat="1" applyFont="1" applyAlignment="1"/>
    <xf numFmtId="164" fontId="3" fillId="3" borderId="1" xfId="0" applyNumberFormat="1" applyFont="1" applyFill="1" applyBorder="1" applyAlignment="1"/>
    <xf numFmtId="2" fontId="3" fillId="0" borderId="1" xfId="0" applyNumberFormat="1" applyFont="1" applyBorder="1" applyAlignment="1"/>
    <xf numFmtId="2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0" xfId="0" applyFont="1"/>
    <xf numFmtId="0" fontId="5" fillId="0" borderId="1" xfId="0" applyFont="1" applyBorder="1"/>
    <xf numFmtId="0" fontId="4" fillId="3" borderId="1" xfId="0" applyFont="1" applyFill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/>
    <xf numFmtId="0" fontId="3" fillId="0" borderId="4" xfId="0" applyFont="1" applyBorder="1" applyAlignment="1"/>
    <xf numFmtId="0" fontId="3" fillId="0" borderId="4" xfId="0" applyFont="1" applyBorder="1" applyAlignment="1">
      <alignment horizontal="center" wrapText="1"/>
    </xf>
    <xf numFmtId="0" fontId="3" fillId="5" borderId="1" xfId="0" applyFont="1" applyFill="1" applyBorder="1" applyAlignment="1"/>
    <xf numFmtId="49" fontId="3" fillId="0" borderId="1" xfId="0" applyNumberFormat="1" applyFont="1" applyBorder="1" applyAlignment="1"/>
    <xf numFmtId="4" fontId="3" fillId="3" borderId="1" xfId="0" applyNumberFormat="1" applyFont="1" applyFill="1" applyBorder="1" applyAlignment="1">
      <alignment horizontal="right"/>
    </xf>
    <xf numFmtId="49" fontId="3" fillId="3" borderId="1" xfId="0" applyNumberFormat="1" applyFont="1" applyFill="1" applyBorder="1" applyAlignment="1"/>
    <xf numFmtId="49" fontId="5" fillId="0" borderId="1" xfId="0" applyNumberFormat="1" applyFont="1" applyBorder="1" applyAlignment="1"/>
    <xf numFmtId="2" fontId="3" fillId="0" borderId="0" xfId="0" applyNumberFormat="1" applyFont="1" applyAlignment="1"/>
    <xf numFmtId="164" fontId="3" fillId="0" borderId="0" xfId="0" applyNumberFormat="1" applyFont="1" applyAlignme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A6BD"/>
    <outlinePr summaryBelow="0" summaryRight="0"/>
  </sheetPr>
  <dimension ref="A1:AA100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1" sqref="A41"/>
    </sheetView>
  </sheetViews>
  <sheetFormatPr baseColWidth="10" defaultColWidth="14.453125" defaultRowHeight="15" customHeight="1" x14ac:dyDescent="0.35"/>
  <cols>
    <col min="1" max="1" width="7.54296875" customWidth="1"/>
    <col min="2" max="2" width="25.08984375" customWidth="1"/>
    <col min="3" max="3" width="11.26953125" customWidth="1"/>
    <col min="4" max="4" width="9.7265625" customWidth="1"/>
    <col min="5" max="5" width="10.08984375" customWidth="1"/>
    <col min="6" max="6" width="9.81640625" customWidth="1"/>
    <col min="7" max="7" width="14.453125" hidden="1"/>
    <col min="8" max="8" width="10.54296875" customWidth="1"/>
    <col min="10" max="10" width="17.08984375" customWidth="1"/>
    <col min="11" max="11" width="80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35">
      <c r="A2" s="6">
        <v>30</v>
      </c>
      <c r="B2" s="7" t="s">
        <v>12</v>
      </c>
      <c r="C2" s="8">
        <f t="shared" ref="C2:C11" si="0">SUM(D2:I2)</f>
        <v>0</v>
      </c>
      <c r="D2" s="7"/>
      <c r="E2" s="7"/>
      <c r="F2" s="9"/>
      <c r="G2" s="9"/>
      <c r="H2" s="9"/>
      <c r="I2" s="9"/>
      <c r="J2" s="10" t="s">
        <v>13</v>
      </c>
      <c r="K2" s="11" t="s">
        <v>14</v>
      </c>
      <c r="L2" s="12">
        <v>45992</v>
      </c>
      <c r="M2" s="13"/>
      <c r="N2" s="14"/>
      <c r="O2" s="15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35">
      <c r="A3" s="6">
        <v>45</v>
      </c>
      <c r="B3" s="16" t="s">
        <v>15</v>
      </c>
      <c r="C3" s="8">
        <f t="shared" si="0"/>
        <v>0</v>
      </c>
      <c r="D3" s="7"/>
      <c r="E3" s="7"/>
      <c r="F3" s="9"/>
      <c r="G3" s="9"/>
      <c r="H3" s="9"/>
      <c r="I3" s="9"/>
      <c r="J3" s="10" t="s">
        <v>13</v>
      </c>
      <c r="K3" s="11" t="s">
        <v>14</v>
      </c>
      <c r="L3" s="17">
        <v>46064</v>
      </c>
      <c r="M3" s="13"/>
      <c r="N3" s="14"/>
      <c r="O3" s="18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35">
      <c r="A4" s="19">
        <v>9</v>
      </c>
      <c r="B4" s="20" t="s">
        <v>16</v>
      </c>
      <c r="C4" s="8">
        <f t="shared" si="0"/>
        <v>8</v>
      </c>
      <c r="D4" s="21"/>
      <c r="E4" s="22">
        <v>8</v>
      </c>
      <c r="F4" s="7"/>
      <c r="G4" s="9"/>
      <c r="H4" s="9"/>
      <c r="I4" s="9"/>
      <c r="J4" s="10" t="s">
        <v>17</v>
      </c>
      <c r="K4" s="7"/>
      <c r="L4" s="2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35">
      <c r="A5" s="24">
        <v>10</v>
      </c>
      <c r="B5" s="16" t="s">
        <v>18</v>
      </c>
      <c r="C5" s="8">
        <f t="shared" si="0"/>
        <v>117</v>
      </c>
      <c r="D5" s="21">
        <v>81</v>
      </c>
      <c r="E5" s="22">
        <v>4</v>
      </c>
      <c r="F5" s="7">
        <v>28</v>
      </c>
      <c r="G5" s="9"/>
      <c r="H5" s="7">
        <v>4</v>
      </c>
      <c r="I5" s="9"/>
      <c r="J5" s="10" t="s">
        <v>17</v>
      </c>
      <c r="K5" s="7" t="s">
        <v>19</v>
      </c>
      <c r="L5" s="2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35">
      <c r="A6" s="25">
        <v>15</v>
      </c>
      <c r="B6" s="16" t="s">
        <v>20</v>
      </c>
      <c r="C6" s="8">
        <f t="shared" si="0"/>
        <v>113</v>
      </c>
      <c r="D6" s="21">
        <v>109</v>
      </c>
      <c r="E6" s="22">
        <v>4</v>
      </c>
      <c r="F6" s="7"/>
      <c r="G6" s="9"/>
      <c r="H6" s="7"/>
      <c r="I6" s="9"/>
      <c r="J6" s="10" t="s">
        <v>17</v>
      </c>
      <c r="K6" s="7"/>
      <c r="L6" s="2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35">
      <c r="A7" s="26">
        <v>51</v>
      </c>
      <c r="B7" s="7" t="s">
        <v>21</v>
      </c>
      <c r="C7" s="8">
        <f t="shared" si="0"/>
        <v>0</v>
      </c>
      <c r="D7" s="7"/>
      <c r="E7" s="7"/>
      <c r="F7" s="9"/>
      <c r="G7" s="9"/>
      <c r="H7" s="9"/>
      <c r="I7" s="9"/>
      <c r="J7" s="10" t="s">
        <v>17</v>
      </c>
      <c r="K7" s="7" t="s">
        <v>22</v>
      </c>
      <c r="L7" s="27">
        <v>46110</v>
      </c>
      <c r="M7" s="13"/>
      <c r="N7" s="1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35">
      <c r="A8" s="26">
        <v>52</v>
      </c>
      <c r="B8" s="7" t="s">
        <v>23</v>
      </c>
      <c r="C8" s="8">
        <f t="shared" si="0"/>
        <v>99</v>
      </c>
      <c r="D8" s="7">
        <v>99</v>
      </c>
      <c r="E8" s="7"/>
      <c r="F8" s="9"/>
      <c r="G8" s="9"/>
      <c r="H8" s="9"/>
      <c r="I8" s="9"/>
      <c r="J8" s="10" t="s">
        <v>17</v>
      </c>
      <c r="K8" s="7" t="s">
        <v>24</v>
      </c>
      <c r="L8" s="23">
        <v>46114</v>
      </c>
      <c r="M8" s="13"/>
      <c r="N8" s="1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35">
      <c r="A9" s="28">
        <v>19</v>
      </c>
      <c r="B9" s="16" t="s">
        <v>25</v>
      </c>
      <c r="C9" s="8">
        <f t="shared" si="0"/>
        <v>116</v>
      </c>
      <c r="D9" s="21">
        <v>111</v>
      </c>
      <c r="E9" s="22">
        <v>5</v>
      </c>
      <c r="F9" s="9"/>
      <c r="G9" s="9"/>
      <c r="H9" s="7"/>
      <c r="I9" s="9"/>
      <c r="J9" s="10" t="s">
        <v>26</v>
      </c>
      <c r="K9" s="7"/>
      <c r="L9" s="2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35">
      <c r="A10" s="6">
        <v>36</v>
      </c>
      <c r="B10" s="16" t="s">
        <v>27</v>
      </c>
      <c r="C10" s="8">
        <f t="shared" si="0"/>
        <v>110</v>
      </c>
      <c r="D10" s="29">
        <v>104</v>
      </c>
      <c r="E10" s="22">
        <v>6</v>
      </c>
      <c r="F10" s="7"/>
      <c r="G10" s="9"/>
      <c r="H10" s="9"/>
      <c r="I10" s="9"/>
      <c r="J10" s="10" t="s">
        <v>26</v>
      </c>
      <c r="K10" s="14"/>
      <c r="L10" s="12">
        <v>46033</v>
      </c>
      <c r="M10" s="13"/>
      <c r="N10" s="14"/>
      <c r="O10" s="18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35">
      <c r="A11" s="6">
        <v>40</v>
      </c>
      <c r="B11" s="16" t="s">
        <v>28</v>
      </c>
      <c r="C11" s="8">
        <f t="shared" si="0"/>
        <v>110</v>
      </c>
      <c r="D11" s="22">
        <v>110</v>
      </c>
      <c r="E11" s="22"/>
      <c r="F11" s="22"/>
      <c r="G11" s="30"/>
      <c r="H11" s="22"/>
      <c r="I11" s="30"/>
      <c r="J11" s="31" t="s">
        <v>26</v>
      </c>
      <c r="K11" s="7" t="s">
        <v>29</v>
      </c>
      <c r="L11" s="12">
        <v>46036</v>
      </c>
      <c r="M11" s="13"/>
      <c r="N11" s="14"/>
      <c r="O11" s="18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35">
      <c r="A12" s="19">
        <v>2</v>
      </c>
      <c r="B12" s="32" t="s">
        <v>30</v>
      </c>
      <c r="C12" s="33">
        <v>8</v>
      </c>
      <c r="D12" s="7"/>
      <c r="E12" s="7"/>
      <c r="F12" s="9"/>
      <c r="G12" s="9"/>
      <c r="H12" s="7"/>
      <c r="I12" s="9"/>
      <c r="J12" s="31" t="s">
        <v>31</v>
      </c>
      <c r="K12" s="7"/>
      <c r="L12" s="23"/>
      <c r="M12" s="3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35">
      <c r="A13" s="24">
        <v>4</v>
      </c>
      <c r="B13" s="9" t="s">
        <v>32</v>
      </c>
      <c r="C13" s="8">
        <f t="shared" ref="C13:C39" si="1">SUM(D13:I13)</f>
        <v>121</v>
      </c>
      <c r="D13" s="7">
        <v>116</v>
      </c>
      <c r="E13" s="7">
        <v>5</v>
      </c>
      <c r="F13" s="9"/>
      <c r="G13" s="9"/>
      <c r="H13" s="7"/>
      <c r="I13" s="9"/>
      <c r="J13" s="31" t="s">
        <v>31</v>
      </c>
      <c r="K13" s="7"/>
      <c r="L13" s="3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35">
      <c r="A14" s="6">
        <v>41</v>
      </c>
      <c r="B14" s="16" t="s">
        <v>33</v>
      </c>
      <c r="C14" s="8">
        <f t="shared" si="1"/>
        <v>117</v>
      </c>
      <c r="D14" s="36">
        <v>104</v>
      </c>
      <c r="E14" s="36">
        <v>5</v>
      </c>
      <c r="F14" s="36">
        <v>8</v>
      </c>
      <c r="G14" s="37"/>
      <c r="H14" s="36"/>
      <c r="I14" s="37"/>
      <c r="J14" s="31" t="s">
        <v>31</v>
      </c>
      <c r="K14" s="11" t="s">
        <v>34</v>
      </c>
      <c r="L14" s="12">
        <v>46042</v>
      </c>
      <c r="M14" s="13"/>
      <c r="N14" s="14"/>
      <c r="O14" s="18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35">
      <c r="A15" s="6">
        <v>42</v>
      </c>
      <c r="B15" s="16" t="s">
        <v>35</v>
      </c>
      <c r="C15" s="8">
        <f t="shared" si="1"/>
        <v>119</v>
      </c>
      <c r="D15" s="7">
        <v>115</v>
      </c>
      <c r="E15" s="7">
        <v>4</v>
      </c>
      <c r="F15" s="9"/>
      <c r="G15" s="9"/>
      <c r="H15" s="9"/>
      <c r="I15" s="9"/>
      <c r="J15" s="31" t="s">
        <v>31</v>
      </c>
      <c r="K15" s="11"/>
      <c r="L15" s="35"/>
      <c r="M15" s="13"/>
      <c r="N15" s="14"/>
      <c r="O15" s="18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35">
      <c r="A16" s="6">
        <v>44</v>
      </c>
      <c r="B16" s="16" t="s">
        <v>36</v>
      </c>
      <c r="C16" s="8">
        <f t="shared" si="1"/>
        <v>105</v>
      </c>
      <c r="D16" s="7">
        <v>105</v>
      </c>
      <c r="E16" s="7"/>
      <c r="F16" s="9"/>
      <c r="G16" s="9"/>
      <c r="H16" s="9"/>
      <c r="I16" s="9"/>
      <c r="J16" s="31" t="s">
        <v>31</v>
      </c>
      <c r="K16" s="7" t="s">
        <v>37</v>
      </c>
      <c r="L16" s="35"/>
      <c r="M16" s="13"/>
      <c r="N16" s="14"/>
      <c r="O16" s="18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35">
      <c r="A17" s="26">
        <v>47</v>
      </c>
      <c r="B17" s="7" t="s">
        <v>38</v>
      </c>
      <c r="C17" s="8">
        <f t="shared" si="1"/>
        <v>120</v>
      </c>
      <c r="D17" s="7">
        <v>120</v>
      </c>
      <c r="E17" s="7"/>
      <c r="F17" s="9"/>
      <c r="G17" s="9"/>
      <c r="H17" s="9"/>
      <c r="I17" s="9"/>
      <c r="J17" s="31" t="s">
        <v>31</v>
      </c>
      <c r="K17" s="7" t="s">
        <v>39</v>
      </c>
      <c r="L17" s="27">
        <v>46082</v>
      </c>
      <c r="M17" s="13"/>
      <c r="N17" s="1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35">
      <c r="A18" s="26">
        <v>54</v>
      </c>
      <c r="B18" s="7" t="s">
        <v>40</v>
      </c>
      <c r="C18" s="8">
        <f t="shared" si="1"/>
        <v>49</v>
      </c>
      <c r="D18" s="7">
        <v>45</v>
      </c>
      <c r="E18" s="7">
        <v>4</v>
      </c>
      <c r="F18" s="9"/>
      <c r="G18" s="9"/>
      <c r="H18" s="9"/>
      <c r="I18" s="9"/>
      <c r="J18" s="38" t="s">
        <v>31</v>
      </c>
      <c r="K18" s="7"/>
      <c r="L18" s="23"/>
      <c r="M18" s="13"/>
      <c r="N18" s="1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35">
      <c r="A19" s="39">
        <v>27</v>
      </c>
      <c r="B19" s="30" t="s">
        <v>41</v>
      </c>
      <c r="C19" s="8">
        <f t="shared" si="1"/>
        <v>105</v>
      </c>
      <c r="D19" s="22">
        <v>101</v>
      </c>
      <c r="E19" s="36">
        <v>4</v>
      </c>
      <c r="F19" s="22"/>
      <c r="G19" s="30"/>
      <c r="H19" s="22"/>
      <c r="I19" s="30"/>
      <c r="J19" s="40" t="s">
        <v>42</v>
      </c>
      <c r="K19" s="11"/>
      <c r="L19" s="23"/>
      <c r="M19" s="13"/>
      <c r="N19" s="41"/>
      <c r="O19" s="41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35">
      <c r="A20" s="6">
        <v>28</v>
      </c>
      <c r="B20" s="22" t="s">
        <v>43</v>
      </c>
      <c r="C20" s="8">
        <f t="shared" si="1"/>
        <v>105</v>
      </c>
      <c r="D20" s="22">
        <v>105</v>
      </c>
      <c r="E20" s="36"/>
      <c r="F20" s="11"/>
      <c r="G20" s="42"/>
      <c r="H20" s="11"/>
      <c r="I20" s="11"/>
      <c r="J20" s="40" t="s">
        <v>42</v>
      </c>
      <c r="K20" s="11" t="s">
        <v>24</v>
      </c>
      <c r="L20" s="23"/>
      <c r="M20" s="13"/>
      <c r="N20" s="41"/>
      <c r="O20" s="41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35">
      <c r="A21" s="6">
        <v>29</v>
      </c>
      <c r="B21" s="22" t="s">
        <v>44</v>
      </c>
      <c r="C21" s="8">
        <f t="shared" si="1"/>
        <v>106</v>
      </c>
      <c r="D21" s="36">
        <v>94</v>
      </c>
      <c r="E21" s="36">
        <v>4</v>
      </c>
      <c r="F21" s="36"/>
      <c r="G21" s="37"/>
      <c r="H21" s="36">
        <v>8</v>
      </c>
      <c r="I21" s="37"/>
      <c r="J21" s="40" t="s">
        <v>42</v>
      </c>
      <c r="K21" s="11" t="s">
        <v>45</v>
      </c>
      <c r="L21" s="12">
        <v>45991</v>
      </c>
      <c r="M21" s="13"/>
      <c r="N21" s="14"/>
      <c r="O21" s="15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35">
      <c r="A22" s="43">
        <v>1</v>
      </c>
      <c r="B22" s="9" t="s">
        <v>46</v>
      </c>
      <c r="C22" s="8">
        <f t="shared" si="1"/>
        <v>0</v>
      </c>
      <c r="D22" s="7"/>
      <c r="E22" s="7"/>
      <c r="F22" s="7"/>
      <c r="G22" s="9"/>
      <c r="H22" s="7"/>
      <c r="I22" s="9"/>
      <c r="J22" s="31" t="s">
        <v>47</v>
      </c>
      <c r="K22" s="7" t="s">
        <v>48</v>
      </c>
      <c r="L22" s="3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35">
      <c r="A23" s="28">
        <v>18</v>
      </c>
      <c r="B23" s="16" t="s">
        <v>49</v>
      </c>
      <c r="C23" s="8">
        <f t="shared" si="1"/>
        <v>108</v>
      </c>
      <c r="D23" s="21">
        <v>108</v>
      </c>
      <c r="E23" s="22"/>
      <c r="F23" s="7"/>
      <c r="G23" s="9"/>
      <c r="H23" s="7"/>
      <c r="I23" s="9"/>
      <c r="J23" s="31" t="s">
        <v>47</v>
      </c>
      <c r="K23" s="7" t="s">
        <v>50</v>
      </c>
      <c r="L23" s="2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35">
      <c r="A24" s="28">
        <v>13</v>
      </c>
      <c r="B24" s="16" t="s">
        <v>51</v>
      </c>
      <c r="C24" s="8">
        <f t="shared" si="1"/>
        <v>123</v>
      </c>
      <c r="D24" s="21">
        <v>111</v>
      </c>
      <c r="E24" s="44"/>
      <c r="F24" s="45">
        <v>12</v>
      </c>
      <c r="G24" s="46"/>
      <c r="H24" s="45"/>
      <c r="I24" s="46"/>
      <c r="J24" s="47" t="s">
        <v>52</v>
      </c>
      <c r="K24" s="7" t="s">
        <v>53</v>
      </c>
      <c r="L24" s="2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35">
      <c r="A25" s="6">
        <v>38</v>
      </c>
      <c r="B25" s="16" t="s">
        <v>54</v>
      </c>
      <c r="C25" s="8">
        <f t="shared" si="1"/>
        <v>122</v>
      </c>
      <c r="D25" s="22">
        <v>122</v>
      </c>
      <c r="E25" s="36"/>
      <c r="F25" s="22"/>
      <c r="G25" s="30"/>
      <c r="H25" s="48"/>
      <c r="I25" s="30"/>
      <c r="J25" s="31" t="s">
        <v>52</v>
      </c>
      <c r="K25" s="14" t="s">
        <v>55</v>
      </c>
      <c r="L25" s="12">
        <v>46033</v>
      </c>
      <c r="M25" s="13"/>
      <c r="N25" s="14"/>
      <c r="O25" s="18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35">
      <c r="A26" s="26">
        <v>46</v>
      </c>
      <c r="B26" s="49" t="s">
        <v>56</v>
      </c>
      <c r="C26" s="8">
        <f t="shared" si="1"/>
        <v>0</v>
      </c>
      <c r="D26" s="50"/>
      <c r="E26" s="22"/>
      <c r="F26" s="9"/>
      <c r="G26" s="9"/>
      <c r="H26" s="9"/>
      <c r="I26" s="9"/>
      <c r="J26" s="31" t="s">
        <v>52</v>
      </c>
      <c r="K26" s="7" t="s">
        <v>57</v>
      </c>
      <c r="L26" s="27">
        <v>46082</v>
      </c>
      <c r="M26" s="13"/>
      <c r="N26" s="1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35">
      <c r="A27" s="43">
        <v>3</v>
      </c>
      <c r="B27" s="9" t="s">
        <v>58</v>
      </c>
      <c r="C27" s="8">
        <f t="shared" si="1"/>
        <v>125</v>
      </c>
      <c r="D27" s="7">
        <v>117</v>
      </c>
      <c r="E27" s="7">
        <v>4</v>
      </c>
      <c r="F27" s="7"/>
      <c r="G27" s="9"/>
      <c r="H27" s="7">
        <v>4</v>
      </c>
      <c r="I27" s="9"/>
      <c r="J27" s="31" t="s">
        <v>59</v>
      </c>
      <c r="K27" s="7" t="s">
        <v>60</v>
      </c>
      <c r="L27" s="23"/>
      <c r="M27" s="3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35">
      <c r="A28" s="24">
        <v>12</v>
      </c>
      <c r="B28" s="16" t="s">
        <v>61</v>
      </c>
      <c r="C28" s="8">
        <f t="shared" si="1"/>
        <v>122</v>
      </c>
      <c r="D28" s="21">
        <v>62</v>
      </c>
      <c r="E28" s="22">
        <v>4</v>
      </c>
      <c r="F28" s="7">
        <v>56</v>
      </c>
      <c r="G28" s="9"/>
      <c r="H28" s="7"/>
      <c r="I28" s="9"/>
      <c r="J28" s="10" t="s">
        <v>59</v>
      </c>
      <c r="K28" s="7" t="s">
        <v>62</v>
      </c>
      <c r="L28" s="2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35">
      <c r="A29" s="28">
        <v>20</v>
      </c>
      <c r="B29" s="51" t="s">
        <v>63</v>
      </c>
      <c r="C29" s="8">
        <f t="shared" si="1"/>
        <v>122</v>
      </c>
      <c r="D29" s="21">
        <v>118</v>
      </c>
      <c r="E29" s="22">
        <v>4</v>
      </c>
      <c r="F29" s="9"/>
      <c r="G29" s="9"/>
      <c r="H29" s="7"/>
      <c r="I29" s="9"/>
      <c r="J29" s="10" t="s">
        <v>59</v>
      </c>
      <c r="K29" s="7"/>
      <c r="L29" s="23"/>
      <c r="M29" s="13"/>
      <c r="N29" s="41"/>
      <c r="O29" s="41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35">
      <c r="A30" s="24">
        <v>11</v>
      </c>
      <c r="B30" s="16" t="s">
        <v>64</v>
      </c>
      <c r="C30" s="8">
        <f t="shared" si="1"/>
        <v>125</v>
      </c>
      <c r="D30" s="21">
        <v>65</v>
      </c>
      <c r="E30" s="22">
        <v>4</v>
      </c>
      <c r="F30" s="7">
        <v>56</v>
      </c>
      <c r="G30" s="9"/>
      <c r="H30" s="7"/>
      <c r="I30" s="7"/>
      <c r="J30" s="10" t="s">
        <v>65</v>
      </c>
      <c r="K30" s="7"/>
      <c r="L30" s="23"/>
      <c r="M30" s="1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35">
      <c r="A31" s="28">
        <v>14</v>
      </c>
      <c r="B31" s="52" t="s">
        <v>66</v>
      </c>
      <c r="C31" s="8">
        <f t="shared" si="1"/>
        <v>125</v>
      </c>
      <c r="D31" s="21">
        <v>121</v>
      </c>
      <c r="E31" s="22">
        <v>4</v>
      </c>
      <c r="F31" s="7"/>
      <c r="G31" s="9"/>
      <c r="H31" s="7"/>
      <c r="I31" s="9"/>
      <c r="J31" s="10" t="s">
        <v>65</v>
      </c>
      <c r="K31" s="11"/>
      <c r="L31" s="2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35">
      <c r="A32" s="6">
        <v>39</v>
      </c>
      <c r="B32" s="16" t="s">
        <v>67</v>
      </c>
      <c r="C32" s="8">
        <f t="shared" si="1"/>
        <v>121</v>
      </c>
      <c r="D32" s="22">
        <v>105</v>
      </c>
      <c r="E32" s="36">
        <v>4</v>
      </c>
      <c r="F32" s="11"/>
      <c r="G32" s="42"/>
      <c r="H32" s="11">
        <v>12</v>
      </c>
      <c r="I32" s="11"/>
      <c r="J32" s="40" t="s">
        <v>65</v>
      </c>
      <c r="K32" s="11" t="s">
        <v>68</v>
      </c>
      <c r="L32" s="12">
        <v>46034</v>
      </c>
      <c r="M32" s="13"/>
      <c r="N32" s="14"/>
      <c r="O32" s="15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35">
      <c r="A33" s="6">
        <v>31</v>
      </c>
      <c r="B33" s="7" t="s">
        <v>69</v>
      </c>
      <c r="C33" s="8">
        <f t="shared" si="1"/>
        <v>126</v>
      </c>
      <c r="D33" s="7">
        <v>122</v>
      </c>
      <c r="E33" s="7">
        <v>4</v>
      </c>
      <c r="F33" s="7"/>
      <c r="G33" s="9"/>
      <c r="H33" s="7"/>
      <c r="I33" s="7"/>
      <c r="J33" s="40" t="s">
        <v>70</v>
      </c>
      <c r="K33" s="11"/>
      <c r="L33" s="12">
        <v>46015</v>
      </c>
      <c r="M33" s="13"/>
      <c r="N33" s="14"/>
      <c r="O33" s="18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35">
      <c r="A34" s="26">
        <v>49</v>
      </c>
      <c r="B34" s="7" t="s">
        <v>71</v>
      </c>
      <c r="C34" s="8">
        <f t="shared" si="1"/>
        <v>114</v>
      </c>
      <c r="D34" s="7">
        <v>109</v>
      </c>
      <c r="E34" s="7">
        <v>5</v>
      </c>
      <c r="F34" s="7"/>
      <c r="G34" s="9"/>
      <c r="H34" s="7"/>
      <c r="I34" s="9"/>
      <c r="J34" s="10" t="s">
        <v>70</v>
      </c>
      <c r="K34" s="7" t="s">
        <v>72</v>
      </c>
      <c r="L34" s="27">
        <v>46107</v>
      </c>
      <c r="M34" s="13"/>
      <c r="N34" s="14"/>
      <c r="O34" s="18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35">
      <c r="A35" s="26"/>
      <c r="B35" s="7"/>
      <c r="C35" s="8">
        <f t="shared" si="1"/>
        <v>0</v>
      </c>
      <c r="D35" s="7"/>
      <c r="E35" s="7"/>
      <c r="F35" s="9"/>
      <c r="G35" s="9"/>
      <c r="H35" s="9"/>
      <c r="I35" s="9"/>
      <c r="J35" s="38"/>
      <c r="K35" s="7"/>
      <c r="L35" s="23"/>
      <c r="M35" s="13"/>
      <c r="N35" s="14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35">
      <c r="A36" s="26"/>
      <c r="B36" s="7"/>
      <c r="C36" s="8">
        <f t="shared" si="1"/>
        <v>0</v>
      </c>
      <c r="D36" s="7"/>
      <c r="E36" s="7"/>
      <c r="F36" s="9"/>
      <c r="G36" s="9"/>
      <c r="H36" s="9"/>
      <c r="I36" s="9"/>
      <c r="J36" s="38"/>
      <c r="K36" s="7"/>
      <c r="L36" s="23"/>
      <c r="M36" s="13"/>
      <c r="N36" s="1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35">
      <c r="A37" s="26"/>
      <c r="B37" s="7"/>
      <c r="C37" s="8">
        <f t="shared" si="1"/>
        <v>0</v>
      </c>
      <c r="D37" s="7"/>
      <c r="E37" s="7"/>
      <c r="F37" s="9"/>
      <c r="G37" s="9"/>
      <c r="H37" s="9"/>
      <c r="I37" s="9"/>
      <c r="J37" s="38"/>
      <c r="K37" s="7"/>
      <c r="L37" s="23"/>
      <c r="M37" s="13"/>
      <c r="N37" s="1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35">
      <c r="A38" s="26"/>
      <c r="B38" s="7"/>
      <c r="C38" s="8">
        <f t="shared" si="1"/>
        <v>0</v>
      </c>
      <c r="D38" s="7"/>
      <c r="E38" s="7"/>
      <c r="F38" s="9"/>
      <c r="G38" s="9"/>
      <c r="H38" s="9"/>
      <c r="I38" s="9"/>
      <c r="J38" s="38"/>
      <c r="K38" s="7"/>
      <c r="L38" s="23"/>
      <c r="M38" s="13"/>
      <c r="N38" s="1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35">
      <c r="A39" s="26"/>
      <c r="B39" s="7" t="s">
        <v>73</v>
      </c>
      <c r="C39" s="8">
        <f t="shared" si="1"/>
        <v>0</v>
      </c>
      <c r="D39" s="7"/>
      <c r="E39" s="7"/>
      <c r="F39" s="9"/>
      <c r="G39" s="9"/>
      <c r="H39" s="9"/>
      <c r="I39" s="9"/>
      <c r="J39" s="38"/>
      <c r="K39" s="7"/>
      <c r="L39" s="23"/>
      <c r="M39" s="13"/>
      <c r="N39" s="14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35">
      <c r="A40" s="13"/>
      <c r="B40" s="13"/>
      <c r="C40" s="53">
        <f t="shared" ref="C40:I40" si="2">SUM(C2:C39)</f>
        <v>2961</v>
      </c>
      <c r="D40" s="13">
        <f t="shared" si="2"/>
        <v>2679</v>
      </c>
      <c r="E40" s="13">
        <f t="shared" si="2"/>
        <v>86</v>
      </c>
      <c r="F40" s="13">
        <f t="shared" si="2"/>
        <v>160</v>
      </c>
      <c r="G40" s="13">
        <f t="shared" si="2"/>
        <v>0</v>
      </c>
      <c r="H40" s="13">
        <f t="shared" si="2"/>
        <v>28</v>
      </c>
      <c r="I40" s="13">
        <f t="shared" si="2"/>
        <v>0</v>
      </c>
      <c r="J40" s="13"/>
      <c r="K40" s="13"/>
      <c r="L40" s="54"/>
      <c r="M40" s="13"/>
      <c r="N40" s="14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54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54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54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54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54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54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54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54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54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54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54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54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54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54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54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54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54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54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54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54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54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54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54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54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54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54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54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54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54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54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54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54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54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54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54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54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54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54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54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54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54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54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54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54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54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54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54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54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54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54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54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54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54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54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54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54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54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54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54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54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54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54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54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54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54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54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54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54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54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54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54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54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54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54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54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54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54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54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54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54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54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54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54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54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54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54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54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54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54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54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54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54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54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54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54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54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54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54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54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54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54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54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54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54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54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54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54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54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54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54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54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54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54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54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54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54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54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54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54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54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54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54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54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54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54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54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54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54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54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54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54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54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54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54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54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54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54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54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54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54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54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54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54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54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54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54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54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54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54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54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54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54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54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54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54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54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54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54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54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54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54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54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54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54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54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54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54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54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54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54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54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54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54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54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54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54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54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54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54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54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54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54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54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54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54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54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54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54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54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54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54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54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54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54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54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54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54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54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54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54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54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54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54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54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54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54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54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54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54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54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54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54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54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54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54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54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54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54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54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54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54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54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54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54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54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54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54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54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54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54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54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54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54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54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54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54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54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54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54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54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54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54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54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54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54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54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54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54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54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54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54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54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54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54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54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54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54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54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54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54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3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54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54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3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54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3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54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3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54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3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54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3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54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3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54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3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54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3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54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3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54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3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54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3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54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3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54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3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54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3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54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3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54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3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54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3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54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3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54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3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54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3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54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3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54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3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54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54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3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54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3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54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3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54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3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54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3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54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3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54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3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54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3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54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3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54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54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3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54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3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54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3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54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3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54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3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54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3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54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3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54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3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54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3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54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3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54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3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54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3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54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3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54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3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54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3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54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3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54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54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3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54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3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54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3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54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3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54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3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54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3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54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3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54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3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54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3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54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3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54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3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54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3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54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3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54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3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54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3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54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3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54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3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54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3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54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3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54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3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54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3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54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3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54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3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54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3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54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3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54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3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54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54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3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54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3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54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3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54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3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54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3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54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3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54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3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54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3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54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3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54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3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54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3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54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3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54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3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54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3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54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3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54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3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54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3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54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3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54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3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54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3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54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3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54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3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54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54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3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54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54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3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54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54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3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54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3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54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3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54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3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54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3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54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3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54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3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54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3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54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3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54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3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54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3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54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3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54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3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54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3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54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3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54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3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54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3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54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3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54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3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54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3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54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3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54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3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54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3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54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3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54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3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54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3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54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3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54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3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54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54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3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54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3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54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3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54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3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54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3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54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3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54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3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54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3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54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3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54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3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54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3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54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3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54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3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54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3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54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3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54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3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54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3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54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3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54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3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54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3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54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3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54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3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54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3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54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3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54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3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54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3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54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3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54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3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54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3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54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3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54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3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54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3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54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3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54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3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54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3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54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3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54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3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54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3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54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3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54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3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54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3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54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3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54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3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54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3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54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3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54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3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54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3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54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3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54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3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54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3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54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3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54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3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54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3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54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3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54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3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54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3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54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3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54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3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54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3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54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3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54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3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54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3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54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3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54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3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54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3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54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3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54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3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54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3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54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3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54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3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54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3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54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3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54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3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54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3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54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3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54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3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54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3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54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3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54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3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54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3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54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3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54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3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54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3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54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3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54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3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54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3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54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3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54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3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54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3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54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3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54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3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54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3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54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3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54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3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54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3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54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3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54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3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54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3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54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3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54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54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3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54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3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54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3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54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3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54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3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54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3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54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3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54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3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54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3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54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3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54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3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54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3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54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3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54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3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54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3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54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3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54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3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54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3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54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3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54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3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54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3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54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3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54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3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54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3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54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3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54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3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54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3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54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3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54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3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54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54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54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3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54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3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54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3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54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3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54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3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54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3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54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3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54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3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54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3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54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3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54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3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54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3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54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3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54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3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54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3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54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3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54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3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54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3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54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3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54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3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54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3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54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3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54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3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54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3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54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3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54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3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54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3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54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3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54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3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54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3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54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3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54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3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54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3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54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3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54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3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54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3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54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3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54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3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54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3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54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3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54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3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54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3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54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3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54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3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54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3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54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3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54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3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54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3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54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3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54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3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54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3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54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3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54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3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54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3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54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3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54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3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54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3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54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3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54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3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54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3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54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3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54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3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54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3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54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3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54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3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54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3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54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3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54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3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54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54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3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54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3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54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3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54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3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54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3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54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3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54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3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54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3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54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3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54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3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54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3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54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3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54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3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54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3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54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3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54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3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54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3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54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3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54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3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54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3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54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3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54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3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54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3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54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3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54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3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54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3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54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3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54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3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54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3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54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3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54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3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54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3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54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3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54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3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54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3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54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3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54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3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54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3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54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3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54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3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54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3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54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3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54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3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54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3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54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3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54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3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54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3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54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3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54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3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54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3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54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3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54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3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54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3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54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3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54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3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54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3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54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3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54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3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54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3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54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3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54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3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54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3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54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3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54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3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54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3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54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3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54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3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54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3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54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3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54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3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54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3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54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3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54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3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54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3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54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3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54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3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54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3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54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3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54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3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54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3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54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3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54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3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54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3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54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3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54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3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54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3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54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3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54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3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54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3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54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3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54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3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54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3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54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3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54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3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54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3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54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3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54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3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54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3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54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3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54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54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3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54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3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54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3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54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3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54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3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54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3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54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3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54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3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54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3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54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3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54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3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54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3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54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3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54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3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54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3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54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3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54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3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54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3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54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3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54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3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54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3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54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3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54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3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54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3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54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3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54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3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54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3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54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3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54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3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54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3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54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3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54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3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54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3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54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3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54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3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54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3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54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3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54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3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54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3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54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3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54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3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54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3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54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3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54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3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54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3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54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3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54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3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54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3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54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3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54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3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54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3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54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3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54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3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54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3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54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3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54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3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54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3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54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3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54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3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54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3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54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3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54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3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54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3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54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3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54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3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54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3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54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3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54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3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54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3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54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3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54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3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54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3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54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3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54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3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54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3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54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3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54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3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54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3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54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3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54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3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54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3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54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3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54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3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54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3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54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3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54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3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54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3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54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3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54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3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54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3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54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3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54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3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54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3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54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3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54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3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54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3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54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3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54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3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54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3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54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54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3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54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3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54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3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54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3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54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3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54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3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54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3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54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3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54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3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54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3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54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3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54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3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54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3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54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3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54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3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54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3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54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3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54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3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54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3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54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3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54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3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54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3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54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3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54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3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54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3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54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3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54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3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54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3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54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3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54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3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54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3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54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3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54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3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54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3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54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3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54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3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54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3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54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3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54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3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54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3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54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3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54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3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54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3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54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3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54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3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54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3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54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3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54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3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54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3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54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3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54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3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54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3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54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3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54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3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54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3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54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3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54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3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54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3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54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3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54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3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54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3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54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3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54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3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54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3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54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3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54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3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54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3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54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3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54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3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54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3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54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3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54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3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54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3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54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3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54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3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54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3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54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3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54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3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54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3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54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3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54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3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54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3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54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3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54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3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54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3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54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3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54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3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54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3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54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3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54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3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54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3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54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3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54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3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54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3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54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3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54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3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54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3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54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3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54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3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54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54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3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54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3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54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3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54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3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54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3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54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3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54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3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54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3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54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3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54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3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54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3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54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3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54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3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54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3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54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3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54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3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54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3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54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3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54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3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54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3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54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3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54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3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54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3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54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3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54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3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54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3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54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3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54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3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54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3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54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3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54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3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54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3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54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3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54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3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54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3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54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3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54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3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54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3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54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3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54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3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54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3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54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3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54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3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54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3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54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3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54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3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54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3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54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3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54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35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55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x14ac:dyDescent="0.3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55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x14ac:dyDescent="0.35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55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x14ac:dyDescent="0.35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55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x14ac:dyDescent="0.35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55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x14ac:dyDescent="0.35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55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x14ac:dyDescent="0.35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55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x14ac:dyDescent="0.35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55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x14ac:dyDescent="0.35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55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x14ac:dyDescent="0.35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55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x14ac:dyDescent="0.35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55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x14ac:dyDescent="0.3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55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x14ac:dyDescent="0.35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55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x14ac:dyDescent="0.35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55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x14ac:dyDescent="0.35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55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x14ac:dyDescent="0.35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55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x14ac:dyDescent="0.35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55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 spans="1:27" x14ac:dyDescent="0.35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55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</row>
    <row r="1002" spans="1:27" x14ac:dyDescent="0.35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55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</row>
    <row r="1003" spans="1:27" x14ac:dyDescent="0.35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55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</row>
    <row r="1004" spans="1:27" x14ac:dyDescent="0.35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55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</row>
    <row r="1005" spans="1:27" x14ac:dyDescent="0.3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55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</row>
    <row r="1006" spans="1:27" x14ac:dyDescent="0.35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55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</row>
    <row r="1007" spans="1:27" x14ac:dyDescent="0.35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55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</row>
    <row r="1008" spans="1:27" x14ac:dyDescent="0.35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55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</row>
  </sheetData>
  <autoFilter ref="A1:AA40"/>
  <printOptions horizontalCentered="1" gridLines="1"/>
  <pageMargins left="0.7" right="0.7" top="0.75" bottom="0.75" header="0" footer="0"/>
  <pageSetup paperSize="9" scale="71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Levite</cp:lastModifiedBy>
  <dcterms:modified xsi:type="dcterms:W3CDTF">2026-04-10T18:10:11Z</dcterms:modified>
</cp:coreProperties>
</file>