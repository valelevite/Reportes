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310" firstSheet="3" activeTab="11"/>
  </bookViews>
  <sheets>
    <sheet name="08-2025" sheetId="1" r:id="rId1"/>
    <sheet name="09-2025" sheetId="2" r:id="rId2"/>
    <sheet name="10-2025" sheetId="3" r:id="rId3"/>
    <sheet name="11-2025" sheetId="4" r:id="rId4"/>
    <sheet name="12-2025" sheetId="5" r:id="rId5"/>
    <sheet name="01-2026" sheetId="6" r:id="rId6"/>
    <sheet name="02-2026" sheetId="7" r:id="rId7"/>
    <sheet name="03-2026" sheetId="8" r:id="rId8"/>
    <sheet name="04-2026" sheetId="9" r:id="rId9"/>
    <sheet name="05-2026" sheetId="10" r:id="rId10"/>
    <sheet name="06-2026" sheetId="11" r:id="rId11"/>
    <sheet name="07-2026" sheetId="12" r:id="rId12"/>
  </sheets>
  <calcPr calcId="162913"/>
</workbook>
</file>

<file path=xl/calcChain.xml><?xml version="1.0" encoding="utf-8"?>
<calcChain xmlns="http://schemas.openxmlformats.org/spreadsheetml/2006/main">
  <c r="B82" i="11" l="1"/>
  <c r="C191" i="5" l="1"/>
  <c r="B191" i="5"/>
  <c r="B190" i="5"/>
  <c r="C190" i="5" s="1"/>
  <c r="B189" i="5"/>
  <c r="C189" i="5" s="1"/>
  <c r="B188" i="5"/>
  <c r="C188" i="5" s="1"/>
  <c r="C187" i="5"/>
  <c r="B187" i="5"/>
  <c r="B186" i="5"/>
  <c r="B193" i="5" s="1"/>
  <c r="C180" i="5"/>
  <c r="B179" i="5"/>
  <c r="C179" i="5" s="1"/>
  <c r="C178" i="5"/>
  <c r="B178" i="5"/>
  <c r="C177" i="5"/>
  <c r="B177" i="5"/>
  <c r="C176" i="5"/>
  <c r="C182" i="5" s="1"/>
  <c r="B176" i="5"/>
  <c r="G175" i="5"/>
  <c r="G174" i="5"/>
  <c r="G173" i="5"/>
  <c r="D173" i="5"/>
  <c r="G172" i="5"/>
  <c r="C172" i="5"/>
  <c r="G171" i="5"/>
  <c r="C171" i="5"/>
  <c r="G170" i="5"/>
  <c r="C170" i="5"/>
  <c r="H169" i="5"/>
  <c r="G169" i="5"/>
  <c r="C169" i="5"/>
  <c r="G168" i="5"/>
  <c r="G176" i="5" s="1"/>
  <c r="C168" i="5"/>
  <c r="C167" i="5"/>
  <c r="C166" i="5"/>
  <c r="C165" i="5"/>
  <c r="C164" i="5"/>
  <c r="G163" i="5"/>
  <c r="H163" i="5" s="1"/>
  <c r="C163" i="5"/>
  <c r="H162" i="5"/>
  <c r="G162" i="5"/>
  <c r="C162" i="5"/>
  <c r="G161" i="5"/>
  <c r="H161" i="5" s="1"/>
  <c r="C161" i="5"/>
  <c r="H160" i="5"/>
  <c r="G160" i="5"/>
  <c r="G159" i="5"/>
  <c r="H159" i="5" s="1"/>
  <c r="B153" i="5"/>
  <c r="C152" i="5"/>
  <c r="B149" i="5"/>
  <c r="B148" i="5"/>
  <c r="B147" i="5"/>
  <c r="B144" i="5"/>
  <c r="D144" i="5" s="1"/>
  <c r="B154" i="5" s="1"/>
  <c r="D143" i="5"/>
  <c r="C136" i="5"/>
  <c r="B135" i="5"/>
  <c r="B138" i="5" s="1"/>
  <c r="B134" i="5"/>
  <c r="D131" i="5"/>
  <c r="B139" i="5" s="1"/>
  <c r="B131" i="5"/>
  <c r="D130" i="5"/>
  <c r="B125" i="5"/>
  <c r="B115" i="5"/>
  <c r="D114" i="5"/>
  <c r="D115" i="5" s="1"/>
  <c r="B126" i="5" s="1"/>
  <c r="B105" i="5"/>
  <c r="B104" i="5"/>
  <c r="B101" i="5"/>
  <c r="D101" i="5" s="1"/>
  <c r="D100" i="5"/>
  <c r="B95" i="5"/>
  <c r="B87" i="5"/>
  <c r="D86" i="5"/>
  <c r="D87" i="5" s="1"/>
  <c r="B96" i="5" s="1"/>
  <c r="B81" i="5"/>
  <c r="B71" i="5"/>
  <c r="B68" i="5"/>
  <c r="D67" i="5"/>
  <c r="D68" i="5" s="1"/>
  <c r="B82" i="5" s="1"/>
  <c r="B62" i="5"/>
  <c r="B56" i="5"/>
  <c r="D56" i="5" s="1"/>
  <c r="B63" i="5" s="1"/>
  <c r="D55" i="5"/>
  <c r="B50" i="5"/>
  <c r="B45" i="5"/>
  <c r="D46" i="5" s="1"/>
  <c r="B51" i="5" s="1"/>
  <c r="B39" i="5"/>
  <c r="D31" i="5"/>
  <c r="B40" i="5" s="1"/>
  <c r="B31" i="5"/>
  <c r="D30" i="5"/>
  <c r="B25" i="5"/>
  <c r="B18" i="5"/>
  <c r="D17" i="5"/>
  <c r="D18" i="5" s="1"/>
  <c r="B26" i="5" s="1"/>
  <c r="B12" i="5"/>
  <c r="B3" i="5"/>
  <c r="D3" i="5" s="1"/>
  <c r="B13" i="5" s="1"/>
  <c r="D2" i="5"/>
  <c r="C189" i="4"/>
  <c r="B189" i="4"/>
  <c r="B188" i="4"/>
  <c r="C188" i="4" s="1"/>
  <c r="C187" i="4"/>
  <c r="B187" i="4"/>
  <c r="C186" i="4"/>
  <c r="B186" i="4"/>
  <c r="C185" i="4"/>
  <c r="B185" i="4"/>
  <c r="B184" i="4"/>
  <c r="B191" i="4" s="1"/>
  <c r="C179" i="4"/>
  <c r="B179" i="4"/>
  <c r="B178" i="4"/>
  <c r="C178" i="4" s="1"/>
  <c r="B177" i="4"/>
  <c r="C177" i="4" s="1"/>
  <c r="C176" i="4"/>
  <c r="B176" i="4"/>
  <c r="B181" i="4" s="1"/>
  <c r="G175" i="4"/>
  <c r="G174" i="4"/>
  <c r="G173" i="4"/>
  <c r="D173" i="4"/>
  <c r="G172" i="4"/>
  <c r="C172" i="4"/>
  <c r="G171" i="4"/>
  <c r="C171" i="4"/>
  <c r="G170" i="4"/>
  <c r="G179" i="4" s="1"/>
  <c r="G181" i="4" s="1"/>
  <c r="C170" i="4"/>
  <c r="G169" i="4"/>
  <c r="G180" i="4" s="1"/>
  <c r="C169" i="4"/>
  <c r="G168" i="4"/>
  <c r="G176" i="4" s="1"/>
  <c r="C168" i="4"/>
  <c r="C167" i="4"/>
  <c r="C166" i="4"/>
  <c r="C165" i="4"/>
  <c r="C164" i="4"/>
  <c r="G163" i="4"/>
  <c r="H163" i="4" s="1"/>
  <c r="C163" i="4"/>
  <c r="H162" i="4"/>
  <c r="G162" i="4"/>
  <c r="C162" i="4"/>
  <c r="H161" i="4"/>
  <c r="G161" i="4"/>
  <c r="C161" i="4"/>
  <c r="H160" i="4"/>
  <c r="G160" i="4"/>
  <c r="G159" i="4"/>
  <c r="H159" i="4" s="1"/>
  <c r="B153" i="4"/>
  <c r="C152" i="4"/>
  <c r="B144" i="4"/>
  <c r="D144" i="4" s="1"/>
  <c r="B154" i="4" s="1"/>
  <c r="B138" i="4"/>
  <c r="C136" i="4"/>
  <c r="D131" i="4"/>
  <c r="B139" i="4" s="1"/>
  <c r="B131" i="4"/>
  <c r="B125" i="4"/>
  <c r="C120" i="4"/>
  <c r="B115" i="4"/>
  <c r="D115" i="4" s="1"/>
  <c r="B126" i="4" s="1"/>
  <c r="D114" i="4"/>
  <c r="B108" i="4"/>
  <c r="D101" i="4"/>
  <c r="B109" i="4" s="1"/>
  <c r="B101" i="4"/>
  <c r="D100" i="4"/>
  <c r="B95" i="4"/>
  <c r="B87" i="4"/>
  <c r="D87" i="4" s="1"/>
  <c r="B96" i="4" s="1"/>
  <c r="D86" i="4"/>
  <c r="B81" i="4"/>
  <c r="B67" i="4"/>
  <c r="D67" i="4" s="1"/>
  <c r="B82" i="4" s="1"/>
  <c r="D66" i="4"/>
  <c r="B61" i="4"/>
  <c r="B55" i="4"/>
  <c r="D54" i="4"/>
  <c r="D55" i="4" s="1"/>
  <c r="B62" i="4" s="1"/>
  <c r="B49" i="4"/>
  <c r="B50" i="4" s="1"/>
  <c r="D45" i="4"/>
  <c r="B44" i="4"/>
  <c r="B38" i="4"/>
  <c r="D31" i="4"/>
  <c r="B39" i="4" s="1"/>
  <c r="B31" i="4"/>
  <c r="D30" i="4"/>
  <c r="B25" i="4"/>
  <c r="B18" i="4"/>
  <c r="D17" i="4"/>
  <c r="D18" i="4" s="1"/>
  <c r="B26" i="4" s="1"/>
  <c r="B12" i="4"/>
  <c r="B3" i="4"/>
  <c r="D2" i="4"/>
  <c r="D3" i="4" s="1"/>
  <c r="B13" i="4" s="1"/>
  <c r="B157" i="3"/>
  <c r="C157" i="3" s="1"/>
  <c r="B156" i="3"/>
  <c r="C156" i="3" s="1"/>
  <c r="B155" i="3"/>
  <c r="C155" i="3" s="1"/>
  <c r="C131" i="3" s="1"/>
  <c r="C154" i="3"/>
  <c r="C159" i="3" s="1"/>
  <c r="B154" i="3"/>
  <c r="B159" i="3" s="1"/>
  <c r="G150" i="3"/>
  <c r="C148" i="3"/>
  <c r="B147" i="3"/>
  <c r="C147" i="3" s="1"/>
  <c r="G146" i="3"/>
  <c r="B146" i="3"/>
  <c r="C146" i="3" s="1"/>
  <c r="G145" i="3"/>
  <c r="C145" i="3"/>
  <c r="B145" i="3"/>
  <c r="G144" i="3"/>
  <c r="B144" i="3"/>
  <c r="C144" i="3" s="1"/>
  <c r="G143" i="3"/>
  <c r="G142" i="3"/>
  <c r="G141" i="3"/>
  <c r="D141" i="3"/>
  <c r="G140" i="3"/>
  <c r="C140" i="3"/>
  <c r="G139" i="3"/>
  <c r="G149" i="3" s="1"/>
  <c r="G151" i="3" s="1"/>
  <c r="C139" i="3"/>
  <c r="C138" i="3"/>
  <c r="C137" i="3"/>
  <c r="C136" i="3"/>
  <c r="C135" i="3"/>
  <c r="H134" i="3"/>
  <c r="G134" i="3"/>
  <c r="C134" i="3"/>
  <c r="H133" i="3"/>
  <c r="G133" i="3"/>
  <c r="C133" i="3"/>
  <c r="H132" i="3"/>
  <c r="G132" i="3"/>
  <c r="C132" i="3"/>
  <c r="G131" i="3"/>
  <c r="H131" i="3" s="1"/>
  <c r="H130" i="3"/>
  <c r="G130" i="3"/>
  <c r="B124" i="3"/>
  <c r="C121" i="3" s="1"/>
  <c r="B123" i="3"/>
  <c r="C116" i="3"/>
  <c r="D113" i="3"/>
  <c r="B113" i="3"/>
  <c r="B106" i="3"/>
  <c r="D99" i="3"/>
  <c r="B107" i="3" s="1"/>
  <c r="B99" i="3"/>
  <c r="D98" i="3"/>
  <c r="B93" i="3"/>
  <c r="B85" i="3"/>
  <c r="D85" i="3" s="1"/>
  <c r="B94" i="3" s="1"/>
  <c r="D84" i="3"/>
  <c r="B79" i="3"/>
  <c r="B68" i="3"/>
  <c r="D68" i="3" s="1"/>
  <c r="B80" i="3" s="1"/>
  <c r="D67" i="3"/>
  <c r="B62" i="3"/>
  <c r="B56" i="3"/>
  <c r="D55" i="3"/>
  <c r="D56" i="3" s="1"/>
  <c r="B63" i="3" s="1"/>
  <c r="B50" i="3"/>
  <c r="B45" i="3"/>
  <c r="D46" i="3" s="1"/>
  <c r="B51" i="3" s="1"/>
  <c r="B39" i="3"/>
  <c r="D31" i="3"/>
  <c r="B40" i="3" s="1"/>
  <c r="B31" i="3"/>
  <c r="D30" i="3"/>
  <c r="B25" i="3"/>
  <c r="B18" i="3"/>
  <c r="D18" i="3" s="1"/>
  <c r="B26" i="3" s="1"/>
  <c r="D17" i="3"/>
  <c r="B12" i="3"/>
  <c r="C118" i="3" s="1"/>
  <c r="B3" i="3"/>
  <c r="D2" i="3"/>
  <c r="D3" i="3" s="1"/>
  <c r="B13" i="3" s="1"/>
  <c r="C102" i="3" l="1"/>
  <c r="C105" i="3"/>
  <c r="D105" i="3" s="1"/>
  <c r="C104" i="3"/>
  <c r="C103" i="3"/>
  <c r="C149" i="4"/>
  <c r="C151" i="4"/>
  <c r="C150" i="4"/>
  <c r="C148" i="4"/>
  <c r="C147" i="4"/>
  <c r="C38" i="5"/>
  <c r="C37" i="5"/>
  <c r="C36" i="5"/>
  <c r="C35" i="5"/>
  <c r="C34" i="5"/>
  <c r="C74" i="4"/>
  <c r="C73" i="4"/>
  <c r="C70" i="4"/>
  <c r="C80" i="4"/>
  <c r="C72" i="4"/>
  <c r="I159" i="4" s="1"/>
  <c r="C78" i="4"/>
  <c r="C79" i="4"/>
  <c r="C71" i="4"/>
  <c r="C76" i="4"/>
  <c r="C77" i="4"/>
  <c r="C75" i="4"/>
  <c r="C137" i="5"/>
  <c r="C134" i="5"/>
  <c r="J130" i="3"/>
  <c r="C34" i="3"/>
  <c r="C37" i="3"/>
  <c r="C36" i="3"/>
  <c r="C38" i="3"/>
  <c r="C35" i="3"/>
  <c r="C23" i="4"/>
  <c r="C21" i="4"/>
  <c r="C24" i="4"/>
  <c r="C22" i="4"/>
  <c r="C122" i="4"/>
  <c r="C121" i="4"/>
  <c r="C119" i="4"/>
  <c r="C124" i="4"/>
  <c r="C118" i="4"/>
  <c r="C123" i="4"/>
  <c r="C181" i="4"/>
  <c r="C7" i="5"/>
  <c r="C11" i="5"/>
  <c r="C6" i="5"/>
  <c r="C10" i="5"/>
  <c r="C9" i="5"/>
  <c r="C8" i="5"/>
  <c r="D8" i="5" s="1"/>
  <c r="C71" i="5"/>
  <c r="C48" i="5"/>
  <c r="C49" i="5"/>
  <c r="C123" i="5"/>
  <c r="C122" i="5"/>
  <c r="C118" i="5"/>
  <c r="C121" i="5"/>
  <c r="C119" i="5"/>
  <c r="C120" i="5"/>
  <c r="C124" i="5"/>
  <c r="C130" i="3"/>
  <c r="C141" i="3" s="1"/>
  <c r="C150" i="3"/>
  <c r="C11" i="3"/>
  <c r="C10" i="3"/>
  <c r="C9" i="3"/>
  <c r="C8" i="3"/>
  <c r="C7" i="3"/>
  <c r="C6" i="3"/>
  <c r="J159" i="4"/>
  <c r="C94" i="5"/>
  <c r="C93" i="5"/>
  <c r="C92" i="5"/>
  <c r="C91" i="5"/>
  <c r="D91" i="5" s="1"/>
  <c r="C90" i="5"/>
  <c r="C48" i="3"/>
  <c r="C49" i="3"/>
  <c r="C150" i="5"/>
  <c r="C151" i="5"/>
  <c r="C149" i="5"/>
  <c r="C148" i="5"/>
  <c r="C78" i="5"/>
  <c r="C76" i="5"/>
  <c r="C75" i="5"/>
  <c r="C74" i="5"/>
  <c r="C73" i="5"/>
  <c r="C80" i="5"/>
  <c r="C72" i="5"/>
  <c r="I159" i="5" s="1"/>
  <c r="J159" i="5" s="1"/>
  <c r="C77" i="5"/>
  <c r="C79" i="5"/>
  <c r="C76" i="3"/>
  <c r="C78" i="3"/>
  <c r="C77" i="3"/>
  <c r="C71" i="3"/>
  <c r="C74" i="3"/>
  <c r="C75" i="3"/>
  <c r="C73" i="3"/>
  <c r="I130" i="3" s="1"/>
  <c r="C72" i="3"/>
  <c r="D72" i="3" s="1"/>
  <c r="C93" i="4"/>
  <c r="C91" i="4"/>
  <c r="C90" i="4"/>
  <c r="C94" i="4"/>
  <c r="C92" i="4"/>
  <c r="C60" i="4"/>
  <c r="D60" i="4" s="1"/>
  <c r="C59" i="4"/>
  <c r="C58" i="4"/>
  <c r="C23" i="5"/>
  <c r="C24" i="5"/>
  <c r="C21" i="5"/>
  <c r="C22" i="5"/>
  <c r="C24" i="3"/>
  <c r="C22" i="3"/>
  <c r="C21" i="3"/>
  <c r="C23" i="3"/>
  <c r="C134" i="4"/>
  <c r="C135" i="4"/>
  <c r="C137" i="4"/>
  <c r="C61" i="5"/>
  <c r="D61" i="5" s="1"/>
  <c r="C60" i="5"/>
  <c r="C59" i="5"/>
  <c r="C147" i="5"/>
  <c r="C47" i="4"/>
  <c r="C48" i="4"/>
  <c r="C91" i="3"/>
  <c r="C89" i="3"/>
  <c r="C88" i="3"/>
  <c r="C93" i="3" s="1"/>
  <c r="C90" i="3"/>
  <c r="C92" i="3"/>
  <c r="C61" i="3"/>
  <c r="C59" i="3"/>
  <c r="C60" i="3"/>
  <c r="D60" i="3" s="1"/>
  <c r="C11" i="4"/>
  <c r="C10" i="4"/>
  <c r="C8" i="4"/>
  <c r="C9" i="4"/>
  <c r="C7" i="4"/>
  <c r="C6" i="4"/>
  <c r="C34" i="4"/>
  <c r="C37" i="4"/>
  <c r="C36" i="4"/>
  <c r="C35" i="4"/>
  <c r="D35" i="4" s="1"/>
  <c r="C104" i="4"/>
  <c r="C108" i="4" s="1"/>
  <c r="C106" i="4"/>
  <c r="C107" i="4"/>
  <c r="C105" i="4"/>
  <c r="D105" i="4" s="1"/>
  <c r="C122" i="3"/>
  <c r="B150" i="3"/>
  <c r="B182" i="5"/>
  <c r="C120" i="3"/>
  <c r="C159" i="4"/>
  <c r="C159" i="5"/>
  <c r="C186" i="5"/>
  <c r="C184" i="4"/>
  <c r="B108" i="5"/>
  <c r="B109" i="5" s="1"/>
  <c r="C117" i="3"/>
  <c r="C123" i="3" s="1"/>
  <c r="C135" i="5"/>
  <c r="C119" i="3"/>
  <c r="G147" i="3"/>
  <c r="C106" i="5" l="1"/>
  <c r="C107" i="5"/>
  <c r="C105" i="5"/>
  <c r="D105" i="5" s="1"/>
  <c r="C104" i="5"/>
  <c r="I131" i="3"/>
  <c r="J131" i="3" s="1"/>
  <c r="C39" i="3"/>
  <c r="I160" i="5"/>
  <c r="J160" i="5" s="1"/>
  <c r="C39" i="5"/>
  <c r="C79" i="3"/>
  <c r="D71" i="3"/>
  <c r="C25" i="5"/>
  <c r="I161" i="5"/>
  <c r="J161" i="5" s="1"/>
  <c r="C95" i="4"/>
  <c r="C81" i="5"/>
  <c r="D71" i="5"/>
  <c r="I161" i="4"/>
  <c r="J161" i="4" s="1"/>
  <c r="C25" i="4"/>
  <c r="C138" i="5"/>
  <c r="D134" i="5"/>
  <c r="C138" i="4"/>
  <c r="C125" i="4"/>
  <c r="D118" i="4"/>
  <c r="D103" i="3"/>
  <c r="C125" i="5"/>
  <c r="D35" i="3"/>
  <c r="C81" i="4"/>
  <c r="D70" i="4"/>
  <c r="D24" i="3"/>
  <c r="C191" i="4"/>
  <c r="C160" i="4"/>
  <c r="C173" i="4" s="1"/>
  <c r="C38" i="4"/>
  <c r="I160" i="4"/>
  <c r="J160" i="4" s="1"/>
  <c r="C62" i="3"/>
  <c r="I134" i="3"/>
  <c r="J134" i="3" s="1"/>
  <c r="C193" i="5"/>
  <c r="C160" i="5"/>
  <c r="C173" i="5" s="1"/>
  <c r="I162" i="4"/>
  <c r="J162" i="4" s="1"/>
  <c r="C12" i="4"/>
  <c r="D61" i="3"/>
  <c r="C153" i="5"/>
  <c r="D147" i="5"/>
  <c r="C62" i="5"/>
  <c r="I163" i="5"/>
  <c r="J163" i="5" s="1"/>
  <c r="C25" i="3"/>
  <c r="I132" i="3"/>
  <c r="J132" i="3" s="1"/>
  <c r="C61" i="4"/>
  <c r="I163" i="4"/>
  <c r="J163" i="4" s="1"/>
  <c r="C95" i="5"/>
  <c r="C12" i="3"/>
  <c r="I133" i="3"/>
  <c r="J133" i="3" s="1"/>
  <c r="I162" i="5"/>
  <c r="J162" i="5" s="1"/>
  <c r="C12" i="5"/>
  <c r="C153" i="4"/>
  <c r="C106" i="3"/>
  <c r="D104" i="5" l="1"/>
  <c r="C108" i="5"/>
</calcChain>
</file>

<file path=xl/comments1.xml><?xml version="1.0" encoding="utf-8"?>
<comments xmlns="http://schemas.openxmlformats.org/spreadsheetml/2006/main">
  <authors>
    <author/>
  </authors>
  <commentList>
    <comment ref="G142" authorId="0" shapeId="0">
      <text>
        <r>
          <rPr>
            <sz val="10"/>
            <color rgb="FF000000"/>
            <rFont val="Arial"/>
            <family val="2"/>
            <scheme val="minor"/>
          </rPr>
          <t>se descuenta $
9790 x fallo de caja</t>
        </r>
      </text>
    </comment>
  </commentList>
</comments>
</file>

<file path=xl/sharedStrings.xml><?xml version="1.0" encoding="utf-8"?>
<sst xmlns="http://schemas.openxmlformats.org/spreadsheetml/2006/main" count="1709" uniqueCount="169">
  <si>
    <t>Legajos</t>
  </si>
  <si>
    <t>Facturación San Telmo (Accesories)</t>
  </si>
  <si>
    <t>Incentivo (0,50%)</t>
  </si>
  <si>
    <t>0.5%</t>
  </si>
  <si>
    <t>64456.00</t>
  </si>
  <si>
    <t>Horas Personal</t>
  </si>
  <si>
    <t>Carrizo Camila</t>
  </si>
  <si>
    <t>Molina agustina</t>
  </si>
  <si>
    <t>Molina Agustina</t>
  </si>
  <si>
    <t>Villarruel candela</t>
  </si>
  <si>
    <t>Kiara Corvalan</t>
  </si>
  <si>
    <t>Ramirez Dana</t>
  </si>
  <si>
    <t>Martinez Brisa</t>
  </si>
  <si>
    <t>Total de Horas:</t>
  </si>
  <si>
    <t>Valor hora para incentivo Agosto</t>
  </si>
  <si>
    <t>228.57</t>
  </si>
  <si>
    <t>Facturación San Telmo 1 (Lucero)</t>
  </si>
  <si>
    <t>Facturación San Telmo (Lucero)</t>
  </si>
  <si>
    <t>162252.55</t>
  </si>
  <si>
    <t>Esposito Candela</t>
  </si>
  <si>
    <t>Lara Robbio</t>
  </si>
  <si>
    <t>Robbio Lara</t>
  </si>
  <si>
    <t>Si</t>
  </si>
  <si>
    <t>Morena Martinez</t>
  </si>
  <si>
    <t>Bonino Gisela</t>
  </si>
  <si>
    <t xml:space="preserve">Martinez Morena </t>
  </si>
  <si>
    <t>si</t>
  </si>
  <si>
    <t>Sarapura Rebecca</t>
  </si>
  <si>
    <t>571.31</t>
  </si>
  <si>
    <t>Mohamad Daila</t>
  </si>
  <si>
    <t>Facturación Recoleta (Lucero)</t>
  </si>
  <si>
    <t>De Brito Rocio</t>
  </si>
  <si>
    <t>Barajas Barbara</t>
  </si>
  <si>
    <t>no</t>
  </si>
  <si>
    <t>Gimenez Candela</t>
  </si>
  <si>
    <t>Rosbelis Barajas Barbara</t>
  </si>
  <si>
    <t>Oliva Micaela</t>
  </si>
  <si>
    <t>De Brito</t>
  </si>
  <si>
    <t>255.26</t>
  </si>
  <si>
    <t>Diaz Dulcinea</t>
  </si>
  <si>
    <t>Facturación TODO BIJOU</t>
  </si>
  <si>
    <t>Viña Sofia</t>
  </si>
  <si>
    <t>Facturación Solar de French (Lucero)</t>
  </si>
  <si>
    <t>91186.2</t>
  </si>
  <si>
    <t>Bertolo Milagros</t>
  </si>
  <si>
    <t>Machuca Araceli</t>
  </si>
  <si>
    <t>sí</t>
  </si>
  <si>
    <t>Scholler Chavez Ruth</t>
  </si>
  <si>
    <t>393.04</t>
  </si>
  <si>
    <t>Facturación  de Florida (Lucero)</t>
  </si>
  <si>
    <t>Ruiz de la Torre Maitena</t>
  </si>
  <si>
    <t>Imperiale Candela</t>
  </si>
  <si>
    <t>Martina Migueles</t>
  </si>
  <si>
    <t>Coronel Mailen</t>
  </si>
  <si>
    <t>Facturación San Telmo 2 (Lucero)</t>
  </si>
  <si>
    <t>Balmaceda Luciana</t>
  </si>
  <si>
    <t>Martinez Morena</t>
  </si>
  <si>
    <t>Mohamad Dalila</t>
  </si>
  <si>
    <t>Migueles Martina</t>
  </si>
  <si>
    <t>Baragatti Anabela</t>
  </si>
  <si>
    <t>616.47</t>
  </si>
  <si>
    <t>Gonzalez Valentina</t>
  </si>
  <si>
    <t>Facturación Güemes (Lucero)</t>
  </si>
  <si>
    <t>Bonino Gisella</t>
  </si>
  <si>
    <t>Morena martinez</t>
  </si>
  <si>
    <t>Pavez Anahi</t>
  </si>
  <si>
    <t>Ristagno Giovanna</t>
  </si>
  <si>
    <t>Ochoa Duran Thalia</t>
  </si>
  <si>
    <t>273.63</t>
  </si>
  <si>
    <t>Total vta</t>
  </si>
  <si>
    <t>0.50%</t>
  </si>
  <si>
    <t>Ljos</t>
  </si>
  <si>
    <t>24045.45</t>
  </si>
  <si>
    <t>Venta</t>
  </si>
  <si>
    <t>pagado</t>
  </si>
  <si>
    <t>Diferencia</t>
  </si>
  <si>
    <t>redondeo</t>
  </si>
  <si>
    <t>Natalia Cavobianco</t>
  </si>
  <si>
    <t>CORONEL Mailen</t>
  </si>
  <si>
    <t>Barbara Urbieta</t>
  </si>
  <si>
    <t>117.29</t>
  </si>
  <si>
    <t>LU San Telmo - Esposito Candela</t>
  </si>
  <si>
    <t>AS San Telmo - Carrizo Camila</t>
  </si>
  <si>
    <t>AS Quilmes</t>
  </si>
  <si>
    <t>LU Recoleta - Barajas Barbara</t>
  </si>
  <si>
    <t>LU French - Bertolo Milagros</t>
  </si>
  <si>
    <t>62713661.00</t>
  </si>
  <si>
    <t>LU Florida - Imperiale Candela</t>
  </si>
  <si>
    <t>22885150.00</t>
  </si>
  <si>
    <t>Giordano Caroline</t>
  </si>
  <si>
    <t>TB Todo Bijou</t>
  </si>
  <si>
    <t>LU San Telmo 2</t>
  </si>
  <si>
    <t>LU Güemes</t>
  </si>
  <si>
    <t>NATY</t>
  </si>
  <si>
    <t>AS San Telmo</t>
  </si>
  <si>
    <t>Ruiz de la torre Maitena</t>
  </si>
  <si>
    <t>LU San Telmo</t>
  </si>
  <si>
    <t>FLORIDA</t>
  </si>
  <si>
    <t>LU French</t>
  </si>
  <si>
    <t>RECOLETA</t>
  </si>
  <si>
    <t>Baragatti Anabella</t>
  </si>
  <si>
    <t>final a pagar</t>
  </si>
  <si>
    <t>Facturación LU El Solar (Joyeria)</t>
  </si>
  <si>
    <t>Schiavone Fiona Ludmila</t>
  </si>
  <si>
    <t>Perazzo Juana</t>
  </si>
  <si>
    <t>Delgado Maria Paz</t>
  </si>
  <si>
    <t>Martinez Franzi Lourdes</t>
  </si>
  <si>
    <t>Cardozo Trinidad</t>
  </si>
  <si>
    <t>Facturación AS Güemes G13 (Chalinas)</t>
  </si>
  <si>
    <t>BARBARA U</t>
  </si>
  <si>
    <t>LU Recoleta</t>
  </si>
  <si>
    <t>LU Florida</t>
  </si>
  <si>
    <t>Facturación LU Güemes 2 (Joyeria)</t>
  </si>
  <si>
    <t>Facturación El Solar (Lucero)</t>
  </si>
  <si>
    <t>33,133,540.00</t>
  </si>
  <si>
    <t>33133540.00</t>
  </si>
  <si>
    <t>12,870,480.00</t>
  </si>
  <si>
    <t>12870480.00</t>
  </si>
  <si>
    <t>19997040.00</t>
  </si>
  <si>
    <t>22,885,150.00</t>
  </si>
  <si>
    <t>19,997,040.00</t>
  </si>
  <si>
    <t>62,713,661.00</t>
  </si>
  <si>
    <t>Resumen a pagar</t>
  </si>
  <si>
    <t>Ronald Julieta</t>
  </si>
  <si>
    <t>12,808,500.00</t>
  </si>
  <si>
    <t>4814090.00</t>
  </si>
  <si>
    <t>ST1</t>
  </si>
  <si>
    <t>AS ST</t>
  </si>
  <si>
    <t>FREnch</t>
  </si>
  <si>
    <t>$ 1,351,700</t>
  </si>
  <si>
    <t>12808500.00</t>
  </si>
  <si>
    <t>66001060.00</t>
  </si>
  <si>
    <t>90412901.00</t>
  </si>
  <si>
    <t>LU El Solar</t>
  </si>
  <si>
    <t>AS Güemes</t>
  </si>
  <si>
    <t>LU Güemes 2</t>
  </si>
  <si>
    <t>Zona Nati</t>
  </si>
  <si>
    <t>Zona Barbi</t>
  </si>
  <si>
    <t>zona Naty</t>
  </si>
  <si>
    <t>zona Barbi</t>
  </si>
  <si>
    <t>Figueroa Federica</t>
  </si>
  <si>
    <t>Bogaron gomez Noelia</t>
  </si>
  <si>
    <t>Gil Marquez Johana</t>
  </si>
  <si>
    <t>Noelia Gomez Ayala</t>
  </si>
  <si>
    <t>Imperiale Agustina</t>
  </si>
  <si>
    <t>Nicole Leon</t>
  </si>
  <si>
    <t>De brito Rocio</t>
  </si>
  <si>
    <t>Sayarly Choque</t>
  </si>
  <si>
    <t>Bogarin Gomez noelia</t>
  </si>
  <si>
    <t>descontar 3000</t>
  </si>
  <si>
    <t>Gil Matquez Johana</t>
  </si>
  <si>
    <t>Giordano Carolina</t>
  </si>
  <si>
    <t>Federica Figueroa</t>
  </si>
  <si>
    <t>Rivulgo Carolina</t>
  </si>
  <si>
    <t>Cardozo trinidad</t>
  </si>
  <si>
    <t>Gisela Bonino</t>
  </si>
  <si>
    <t>Gil Marquwz Johana</t>
  </si>
  <si>
    <t>Nayla Rotela</t>
  </si>
  <si>
    <t>Frade Sofia</t>
  </si>
  <si>
    <t>Arguello Melina</t>
  </si>
  <si>
    <t>Hernandez Guerrero Helen</t>
  </si>
  <si>
    <t>Ochoa Duran Talia</t>
  </si>
  <si>
    <t>Ariganello Melina</t>
  </si>
  <si>
    <t>barbara barajas tiene 17 dias de lic sin goce, se proporciona a la cantidad de dias trabajados</t>
  </si>
  <si>
    <t>Aguirre Camila</t>
  </si>
  <si>
    <t>Ruiz de La torre Maitena</t>
  </si>
  <si>
    <t>Lola Martin</t>
  </si>
  <si>
    <t>Ariganiello Melina</t>
  </si>
  <si>
    <t>estaba en 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</si>
</sst>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_-* #,##0.00_-;\-* #,##0.00_-;_-* &quot;-&quot;??_-;_-@"/>
    <numFmt numFmtId="166" formatCode="&quot;$&quot;\ #,##0"/>
  </numFmts>
  <fonts count="10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Arial"/>
      <family val="2"/>
    </font>
    <font>
      <sz val="11"/>
      <color theme="1"/>
      <name val="Quattrocento Sans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" fontId="1" fillId="0" borderId="0" xfId="0" applyNumberFormat="1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/>
    <xf numFmtId="49" fontId="4" fillId="2" borderId="1" xfId="0" applyNumberFormat="1" applyFont="1" applyFill="1" applyBorder="1" applyAlignment="1"/>
    <xf numFmtId="49" fontId="4" fillId="2" borderId="1" xfId="0" applyNumberFormat="1" applyFont="1" applyFill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0" fontId="4" fillId="0" borderId="1" xfId="0" applyFont="1" applyBorder="1"/>
    <xf numFmtId="0" fontId="4" fillId="0" borderId="3" xfId="0" applyFont="1" applyBorder="1" applyAlignment="1"/>
    <xf numFmtId="0" fontId="4" fillId="0" borderId="3" xfId="0" applyFont="1" applyBorder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vertical="top"/>
    </xf>
    <xf numFmtId="0" fontId="1" fillId="0" borderId="3" xfId="0" applyFont="1" applyBorder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2" fontId="2" fillId="0" borderId="0" xfId="0" applyNumberFormat="1" applyFont="1" applyAlignment="1">
      <alignment horizontal="right"/>
    </xf>
    <xf numFmtId="0" fontId="1" fillId="3" borderId="4" xfId="0" applyFont="1" applyFill="1" applyBorder="1" applyAlignment="1"/>
    <xf numFmtId="2" fontId="1" fillId="3" borderId="4" xfId="0" applyNumberFormat="1" applyFont="1" applyFill="1" applyBorder="1" applyAlignment="1"/>
    <xf numFmtId="1" fontId="1" fillId="3" borderId="4" xfId="0" applyNumberFormat="1" applyFont="1" applyFill="1" applyBorder="1" applyAlignment="1"/>
    <xf numFmtId="0" fontId="1" fillId="0" borderId="0" xfId="0" applyFont="1" applyAlignment="1">
      <alignment horizontal="right"/>
    </xf>
    <xf numFmtId="0" fontId="5" fillId="2" borderId="5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49" fontId="4" fillId="2" borderId="6" xfId="0" applyNumberFormat="1" applyFont="1" applyFill="1" applyBorder="1" applyAlignment="1"/>
    <xf numFmtId="0" fontId="5" fillId="2" borderId="5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0" fontId="6" fillId="0" borderId="1" xfId="0" applyFont="1" applyBorder="1" applyAlignment="1"/>
    <xf numFmtId="0" fontId="5" fillId="4" borderId="5" xfId="0" applyFont="1" applyFill="1" applyBorder="1" applyAlignment="1">
      <alignment horizontal="right"/>
    </xf>
    <xf numFmtId="49" fontId="4" fillId="2" borderId="6" xfId="0" applyNumberFormat="1" applyFont="1" applyFill="1" applyBorder="1"/>
    <xf numFmtId="16" fontId="1" fillId="0" borderId="0" xfId="0" applyNumberFormat="1" applyFont="1" applyAlignment="1"/>
    <xf numFmtId="0" fontId="6" fillId="0" borderId="1" xfId="0" applyFont="1" applyBorder="1" applyAlignment="1"/>
    <xf numFmtId="0" fontId="5" fillId="4" borderId="5" xfId="0" applyFont="1" applyFill="1" applyBorder="1" applyAlignment="1">
      <alignment horizontal="right"/>
    </xf>
    <xf numFmtId="49" fontId="1" fillId="2" borderId="6" xfId="0" applyNumberFormat="1" applyFont="1" applyFill="1" applyBorder="1"/>
    <xf numFmtId="0" fontId="2" fillId="2" borderId="1" xfId="0" applyFont="1" applyFill="1" applyBorder="1" applyAlignment="1"/>
    <xf numFmtId="0" fontId="2" fillId="0" borderId="2" xfId="0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1" fontId="2" fillId="2" borderId="4" xfId="0" applyNumberFormat="1" applyFont="1" applyFill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1" fontId="5" fillId="4" borderId="5" xfId="0" applyNumberFormat="1" applyFont="1" applyFill="1" applyBorder="1" applyAlignment="1">
      <alignment horizontal="right"/>
    </xf>
    <xf numFmtId="1" fontId="5" fillId="4" borderId="5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right"/>
    </xf>
    <xf numFmtId="1" fontId="2" fillId="5" borderId="4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vertical="top"/>
    </xf>
    <xf numFmtId="1" fontId="1" fillId="0" borderId="1" xfId="0" applyNumberFormat="1" applyFont="1" applyBorder="1" applyAlignment="1"/>
    <xf numFmtId="0" fontId="1" fillId="0" borderId="2" xfId="0" applyFont="1" applyBorder="1" applyAlignment="1">
      <alignment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0" fontId="4" fillId="2" borderId="1" xfId="0" applyFont="1" applyFill="1" applyBorder="1" applyAlignment="1"/>
    <xf numFmtId="0" fontId="4" fillId="2" borderId="1" xfId="0" applyFont="1" applyFill="1" applyBorder="1"/>
    <xf numFmtId="1" fontId="7" fillId="2" borderId="4" xfId="0" applyNumberFormat="1" applyFont="1" applyFill="1" applyBorder="1" applyAlignment="1">
      <alignment horizontal="right"/>
    </xf>
    <xf numFmtId="1" fontId="7" fillId="2" borderId="4" xfId="0" applyNumberFormat="1" applyFont="1" applyFill="1" applyBorder="1" applyAlignment="1">
      <alignment horizontal="right"/>
    </xf>
    <xf numFmtId="1" fontId="7" fillId="5" borderId="4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1" fontId="2" fillId="4" borderId="5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1" fontId="2" fillId="2" borderId="5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0" borderId="2" xfId="0" applyNumberFormat="1" applyFont="1" applyBorder="1" applyAlignment="1"/>
    <xf numFmtId="1" fontId="2" fillId="4" borderId="5" xfId="0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0" fontId="6" fillId="2" borderId="1" xfId="0" applyFont="1" applyFill="1" applyBorder="1" applyAlignment="1"/>
    <xf numFmtId="0" fontId="2" fillId="0" borderId="1" xfId="0" applyFont="1" applyBorder="1" applyAlignment="1"/>
    <xf numFmtId="1" fontId="2" fillId="2" borderId="5" xfId="0" applyNumberFormat="1" applyFont="1" applyFill="1" applyBorder="1" applyAlignment="1">
      <alignment horizontal="right"/>
    </xf>
    <xf numFmtId="49" fontId="1" fillId="0" borderId="0" xfId="0" applyNumberFormat="1" applyFont="1" applyAlignment="1"/>
    <xf numFmtId="0" fontId="2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0" xfId="0" applyFont="1" applyAlignment="1">
      <alignment horizontal="right" wrapText="1"/>
    </xf>
    <xf numFmtId="2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2" fillId="6" borderId="1" xfId="0" applyNumberFormat="1" applyFont="1" applyFill="1" applyBorder="1" applyAlignment="1">
      <alignment horizontal="right"/>
    </xf>
    <xf numFmtId="49" fontId="1" fillId="0" borderId="0" xfId="0" applyNumberFormat="1" applyFont="1" applyAlignment="1"/>
    <xf numFmtId="0" fontId="1" fillId="7" borderId="4" xfId="0" applyFont="1" applyFill="1" applyBorder="1" applyAlignment="1">
      <alignment horizontal="right" wrapText="1"/>
    </xf>
    <xf numFmtId="165" fontId="2" fillId="7" borderId="4" xfId="0" applyNumberFormat="1" applyFont="1" applyFill="1" applyBorder="1" applyAlignment="1">
      <alignment horizontal="right"/>
    </xf>
    <xf numFmtId="1" fontId="2" fillId="7" borderId="4" xfId="0" applyNumberFormat="1" applyFont="1" applyFill="1" applyBorder="1" applyAlignment="1">
      <alignment horizontal="right"/>
    </xf>
    <xf numFmtId="165" fontId="1" fillId="8" borderId="4" xfId="0" applyNumberFormat="1" applyFont="1" applyFill="1" applyBorder="1" applyAlignment="1"/>
    <xf numFmtId="49" fontId="1" fillId="0" borderId="1" xfId="0" applyNumberFormat="1" applyFont="1" applyBorder="1"/>
    <xf numFmtId="1" fontId="1" fillId="4" borderId="5" xfId="0" applyNumberFormat="1" applyFont="1" applyFill="1" applyBorder="1" applyAlignment="1"/>
    <xf numFmtId="0" fontId="1" fillId="9" borderId="4" xfId="0" applyFont="1" applyFill="1" applyBorder="1" applyAlignment="1">
      <alignment horizontal="right" wrapText="1"/>
    </xf>
    <xf numFmtId="165" fontId="2" fillId="9" borderId="4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1" fontId="2" fillId="9" borderId="4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165" fontId="2" fillId="10" borderId="4" xfId="0" applyNumberFormat="1" applyFont="1" applyFill="1" applyBorder="1" applyAlignment="1">
      <alignment horizontal="right"/>
    </xf>
    <xf numFmtId="0" fontId="1" fillId="0" borderId="1" xfId="0" applyFont="1" applyBorder="1" applyAlignment="1"/>
    <xf numFmtId="1" fontId="2" fillId="10" borderId="4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/>
    <xf numFmtId="1" fontId="1" fillId="0" borderId="1" xfId="0" applyNumberFormat="1" applyFont="1" applyBorder="1" applyAlignment="1">
      <alignment horizontal="right"/>
    </xf>
    <xf numFmtId="1" fontId="1" fillId="6" borderId="1" xfId="0" applyNumberFormat="1" applyFont="1" applyFill="1" applyBorder="1" applyAlignment="1"/>
    <xf numFmtId="1" fontId="2" fillId="6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" fontId="1" fillId="0" borderId="1" xfId="0" applyNumberFormat="1" applyFont="1" applyBorder="1" applyAlignment="1"/>
    <xf numFmtId="1" fontId="2" fillId="0" borderId="8" xfId="0" applyNumberFormat="1" applyFont="1" applyBorder="1" applyAlignment="1">
      <alignment horizontal="right"/>
    </xf>
    <xf numFmtId="0" fontId="1" fillId="0" borderId="9" xfId="0" applyFont="1" applyBorder="1" applyAlignment="1"/>
    <xf numFmtId="0" fontId="1" fillId="0" borderId="12" xfId="0" applyFont="1" applyBorder="1" applyAlignment="1"/>
    <xf numFmtId="1" fontId="2" fillId="0" borderId="13" xfId="0" applyNumberFormat="1" applyFont="1" applyBorder="1" applyAlignment="1">
      <alignment horizontal="right"/>
    </xf>
    <xf numFmtId="0" fontId="2" fillId="3" borderId="4" xfId="0" applyFont="1" applyFill="1" applyBorder="1" applyAlignment="1">
      <alignment horizontal="right" wrapText="1"/>
    </xf>
    <xf numFmtId="49" fontId="4" fillId="0" borderId="1" xfId="0" applyNumberFormat="1" applyFont="1" applyBorder="1"/>
    <xf numFmtId="0" fontId="1" fillId="0" borderId="1" xfId="0" applyFont="1" applyBorder="1" applyAlignment="1">
      <alignment horizontal="right"/>
    </xf>
    <xf numFmtId="1" fontId="1" fillId="4" borderId="4" xfId="0" applyNumberFormat="1" applyFont="1" applyFill="1" applyBorder="1" applyAlignment="1"/>
    <xf numFmtId="166" fontId="2" fillId="11" borderId="1" xfId="0" applyNumberFormat="1" applyFont="1" applyFill="1" applyBorder="1" applyAlignment="1">
      <alignment horizontal="right"/>
    </xf>
    <xf numFmtId="1" fontId="2" fillId="12" borderId="4" xfId="0" applyNumberFormat="1" applyFont="1" applyFill="1" applyBorder="1" applyAlignment="1">
      <alignment horizontal="right"/>
    </xf>
    <xf numFmtId="1" fontId="1" fillId="12" borderId="4" xfId="0" applyNumberFormat="1" applyFont="1" applyFill="1" applyBorder="1" applyAlignment="1"/>
    <xf numFmtId="165" fontId="1" fillId="0" borderId="0" xfId="0" applyNumberFormat="1" applyFont="1" applyAlignment="1"/>
    <xf numFmtId="0" fontId="1" fillId="0" borderId="18" xfId="0" applyFont="1" applyBorder="1" applyAlignment="1"/>
    <xf numFmtId="165" fontId="1" fillId="0" borderId="18" xfId="0" applyNumberFormat="1" applyFont="1" applyBorder="1" applyAlignment="1"/>
    <xf numFmtId="1" fontId="1" fillId="0" borderId="18" xfId="0" applyNumberFormat="1" applyFont="1" applyBorder="1" applyAlignment="1"/>
    <xf numFmtId="166" fontId="1" fillId="0" borderId="0" xfId="0" applyNumberFormat="1" applyFont="1" applyAlignment="1"/>
    <xf numFmtId="0" fontId="1" fillId="7" borderId="4" xfId="0" applyFont="1" applyFill="1" applyBorder="1" applyAlignment="1">
      <alignment horizontal="right" wrapText="1"/>
    </xf>
    <xf numFmtId="165" fontId="2" fillId="7" borderId="4" xfId="0" applyNumberFormat="1" applyFont="1" applyFill="1" applyBorder="1" applyAlignment="1">
      <alignment horizontal="right"/>
    </xf>
    <xf numFmtId="1" fontId="2" fillId="7" borderId="4" xfId="0" applyNumberFormat="1" applyFont="1" applyFill="1" applyBorder="1" applyAlignment="1">
      <alignment horizontal="right"/>
    </xf>
    <xf numFmtId="0" fontId="1" fillId="9" borderId="4" xfId="0" applyFont="1" applyFill="1" applyBorder="1" applyAlignment="1">
      <alignment horizontal="right" wrapText="1"/>
    </xf>
    <xf numFmtId="165" fontId="2" fillId="9" borderId="4" xfId="0" applyNumberFormat="1" applyFont="1" applyFill="1" applyBorder="1" applyAlignment="1">
      <alignment horizontal="right"/>
    </xf>
    <xf numFmtId="1" fontId="2" fillId="9" borderId="4" xfId="0" applyNumberFormat="1" applyFont="1" applyFill="1" applyBorder="1" applyAlignment="1">
      <alignment horizontal="right"/>
    </xf>
    <xf numFmtId="0" fontId="1" fillId="10" borderId="4" xfId="0" applyFont="1" applyFill="1" applyBorder="1" applyAlignment="1">
      <alignment horizontal="right" wrapText="1"/>
    </xf>
    <xf numFmtId="165" fontId="2" fillId="10" borderId="4" xfId="0" applyNumberFormat="1" applyFont="1" applyFill="1" applyBorder="1" applyAlignment="1">
      <alignment horizontal="right"/>
    </xf>
    <xf numFmtId="1" fontId="2" fillId="10" borderId="4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10" xfId="0" applyFont="1" applyBorder="1" applyAlignment="1"/>
    <xf numFmtId="0" fontId="1" fillId="0" borderId="11" xfId="0" applyFont="1" applyBorder="1" applyAlignment="1"/>
    <xf numFmtId="1" fontId="2" fillId="0" borderId="13" xfId="0" applyNumberFormat="1" applyFont="1" applyBorder="1" applyAlignment="1">
      <alignment horizontal="right"/>
    </xf>
    <xf numFmtId="1" fontId="1" fillId="0" borderId="0" xfId="0" applyNumberFormat="1" applyFont="1" applyAlignment="1"/>
    <xf numFmtId="0" fontId="1" fillId="0" borderId="14" xfId="0" applyFont="1" applyBorder="1" applyAlignment="1"/>
    <xf numFmtId="0" fontId="2" fillId="3" borderId="4" xfId="0" applyFont="1" applyFill="1" applyBorder="1" applyAlignment="1">
      <alignment horizontal="right" wrapText="1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" xfId="0" applyFont="1" applyBorder="1" applyAlignment="1">
      <alignment horizontal="right"/>
    </xf>
    <xf numFmtId="166" fontId="2" fillId="11" borderId="1" xfId="0" applyNumberFormat="1" applyFont="1" applyFill="1" applyBorder="1" applyAlignment="1">
      <alignment horizontal="right"/>
    </xf>
    <xf numFmtId="1" fontId="2" fillId="12" borderId="4" xfId="0" applyNumberFormat="1" applyFont="1" applyFill="1" applyBorder="1" applyAlignment="1">
      <alignment horizontal="right"/>
    </xf>
    <xf numFmtId="0" fontId="1" fillId="12" borderId="4" xfId="0" applyFont="1" applyFill="1" applyBorder="1" applyAlignment="1"/>
    <xf numFmtId="0" fontId="1" fillId="0" borderId="8" xfId="0" applyFont="1" applyBorder="1" applyAlignment="1"/>
    <xf numFmtId="0" fontId="2" fillId="13" borderId="4" xfId="0" applyFont="1" applyFill="1" applyBorder="1" applyAlignment="1">
      <alignment horizontal="right" wrapText="1"/>
    </xf>
    <xf numFmtId="2" fontId="1" fillId="13" borderId="0" xfId="0" applyNumberFormat="1" applyFont="1" applyFill="1" applyAlignment="1"/>
    <xf numFmtId="1" fontId="2" fillId="13" borderId="0" xfId="0" applyNumberFormat="1" applyFont="1" applyFill="1" applyAlignment="1">
      <alignment horizontal="right"/>
    </xf>
    <xf numFmtId="0" fontId="1" fillId="13" borderId="0" xfId="0" applyFont="1" applyFill="1" applyAlignment="1"/>
    <xf numFmtId="0" fontId="1" fillId="12" borderId="4" xfId="0" applyFont="1" applyFill="1" applyBorder="1" applyAlignment="1"/>
    <xf numFmtId="165" fontId="1" fillId="13" borderId="0" xfId="0" applyNumberFormat="1" applyFont="1" applyFill="1" applyAlignment="1"/>
    <xf numFmtId="0" fontId="1" fillId="4" borderId="0" xfId="0" applyFont="1" applyFill="1" applyAlignment="1"/>
    <xf numFmtId="1" fontId="1" fillId="4" borderId="0" xfId="0" applyNumberFormat="1" applyFont="1" applyFill="1" applyAlignment="1"/>
    <xf numFmtId="0" fontId="1" fillId="4" borderId="4" xfId="0" applyFont="1" applyFill="1" applyBorder="1" applyAlignment="1"/>
    <xf numFmtId="0" fontId="4" fillId="2" borderId="6" xfId="0" applyFont="1" applyFill="1" applyBorder="1"/>
    <xf numFmtId="1" fontId="2" fillId="14" borderId="4" xfId="0" applyNumberFormat="1" applyFont="1" applyFill="1" applyBorder="1" applyAlignment="1">
      <alignment horizontal="right"/>
    </xf>
    <xf numFmtId="0" fontId="6" fillId="0" borderId="1" xfId="0" applyFont="1" applyBorder="1" applyAlignment="1">
      <alignment vertical="top"/>
    </xf>
    <xf numFmtId="1" fontId="7" fillId="14" borderId="4" xfId="0" applyNumberFormat="1" applyFont="1" applyFill="1" applyBorder="1" applyAlignment="1">
      <alignment horizontal="right"/>
    </xf>
    <xf numFmtId="0" fontId="2" fillId="0" borderId="0" xfId="0" applyFont="1" applyAlignment="1"/>
    <xf numFmtId="0" fontId="3" fillId="0" borderId="1" xfId="0" applyFont="1" applyBorder="1" applyAlignment="1">
      <alignment horizontal="right"/>
    </xf>
    <xf numFmtId="0" fontId="1" fillId="0" borderId="0" xfId="0" applyFont="1" applyAlignment="1"/>
    <xf numFmtId="0" fontId="5" fillId="0" borderId="2" xfId="0" applyFont="1" applyBorder="1" applyAlignment="1">
      <alignment horizontal="right"/>
    </xf>
    <xf numFmtId="0" fontId="4" fillId="2" borderId="6" xfId="0" applyFont="1" applyFill="1" applyBorder="1"/>
    <xf numFmtId="0" fontId="4" fillId="0" borderId="3" xfId="0" applyFont="1" applyBorder="1"/>
    <xf numFmtId="0" fontId="2" fillId="0" borderId="1" xfId="0" applyFont="1" applyBorder="1" applyAlignment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/>
    <xf numFmtId="0" fontId="1" fillId="0" borderId="0" xfId="0" applyFont="1" applyAlignment="1">
      <alignment horizontal="right"/>
    </xf>
    <xf numFmtId="0" fontId="6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49" fontId="4" fillId="4" borderId="6" xfId="0" applyNumberFormat="1" applyFont="1" applyFill="1" applyBorder="1"/>
    <xf numFmtId="0" fontId="4" fillId="2" borderId="1" xfId="0" applyFont="1" applyFill="1" applyBorder="1"/>
    <xf numFmtId="49" fontId="1" fillId="2" borderId="1" xfId="0" applyNumberFormat="1" applyFont="1" applyFill="1" applyBorder="1"/>
    <xf numFmtId="0" fontId="6" fillId="0" borderId="1" xfId="0" applyFont="1" applyBorder="1" applyAlignment="1"/>
    <xf numFmtId="165" fontId="1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5" borderId="0" xfId="0" applyFont="1" applyFill="1" applyAlignment="1">
      <alignment horizontal="right" wrapText="1"/>
    </xf>
    <xf numFmtId="2" fontId="1" fillId="15" borderId="0" xfId="0" applyNumberFormat="1" applyFont="1" applyFill="1" applyAlignment="1"/>
    <xf numFmtId="1" fontId="2" fillId="15" borderId="0" xfId="0" applyNumberFormat="1" applyFont="1" applyFill="1" applyAlignment="1">
      <alignment horizontal="right"/>
    </xf>
    <xf numFmtId="0" fontId="1" fillId="0" borderId="1" xfId="0" applyFont="1" applyBorder="1" applyAlignment="1"/>
    <xf numFmtId="0" fontId="1" fillId="7" borderId="4" xfId="0" applyFont="1" applyFill="1" applyBorder="1" applyAlignment="1">
      <alignment horizontal="right" wrapText="1"/>
    </xf>
    <xf numFmtId="0" fontId="1" fillId="9" borderId="4" xfId="0" applyFont="1" applyFill="1" applyBorder="1" applyAlignment="1">
      <alignment horizontal="right" wrapText="1"/>
    </xf>
    <xf numFmtId="0" fontId="1" fillId="10" borderId="4" xfId="0" applyFont="1" applyFill="1" applyBorder="1" applyAlignment="1">
      <alignment horizontal="right" wrapText="1"/>
    </xf>
    <xf numFmtId="0" fontId="4" fillId="4" borderId="1" xfId="0" applyFont="1" applyFill="1" applyBorder="1"/>
    <xf numFmtId="0" fontId="1" fillId="0" borderId="0" xfId="0" applyFont="1" applyAlignment="1">
      <alignment horizontal="right" wrapText="1"/>
    </xf>
    <xf numFmtId="0" fontId="1" fillId="2" borderId="6" xfId="0" applyFont="1" applyFill="1" applyBorder="1"/>
    <xf numFmtId="0" fontId="1" fillId="0" borderId="1" xfId="0" applyFont="1" applyBorder="1" applyAlignment="1">
      <alignment horizontal="right"/>
    </xf>
    <xf numFmtId="0" fontId="2" fillId="3" borderId="4" xfId="0" applyFont="1" applyFill="1" applyBorder="1" applyAlignment="1">
      <alignment horizontal="right" wrapText="1"/>
    </xf>
    <xf numFmtId="0" fontId="2" fillId="15" borderId="1" xfId="0" applyFont="1" applyFill="1" applyBorder="1" applyAlignment="1"/>
    <xf numFmtId="1" fontId="2" fillId="16" borderId="0" xfId="0" applyNumberFormat="1" applyFont="1" applyFill="1" applyAlignment="1">
      <alignment horizontal="right"/>
    </xf>
    <xf numFmtId="0" fontId="1" fillId="12" borderId="4" xfId="0" applyFont="1" applyFill="1" applyBorder="1" applyAlignment="1"/>
    <xf numFmtId="1" fontId="7" fillId="16" borderId="0" xfId="0" applyNumberFormat="1" applyFont="1" applyFill="1" applyAlignment="1">
      <alignment horizontal="right"/>
    </xf>
    <xf numFmtId="0" fontId="1" fillId="4" borderId="1" xfId="0" applyFont="1" applyFill="1" applyBorder="1"/>
    <xf numFmtId="49" fontId="4" fillId="15" borderId="6" xfId="0" applyNumberFormat="1" applyFont="1" applyFill="1" applyBorder="1"/>
    <xf numFmtId="1" fontId="7" fillId="16" borderId="4" xfId="0" applyNumberFormat="1" applyFont="1" applyFill="1" applyBorder="1" applyAlignment="1">
      <alignment horizontal="right"/>
    </xf>
    <xf numFmtId="0" fontId="6" fillId="15" borderId="1" xfId="0" applyFont="1" applyFill="1" applyBorder="1" applyAlignment="1"/>
    <xf numFmtId="1" fontId="2" fillId="16" borderId="4" xfId="0" applyNumberFormat="1" applyFont="1" applyFill="1" applyBorder="1" applyAlignment="1">
      <alignment horizontal="right"/>
    </xf>
    <xf numFmtId="1" fontId="2" fillId="17" borderId="4" xfId="0" applyNumberFormat="1" applyFont="1" applyFill="1" applyBorder="1" applyAlignment="1">
      <alignment horizontal="right"/>
    </xf>
    <xf numFmtId="1" fontId="7" fillId="17" borderId="0" xfId="0" applyNumberFormat="1" applyFont="1" applyFill="1" applyAlignment="1">
      <alignment horizontal="right"/>
    </xf>
    <xf numFmtId="1" fontId="7" fillId="17" borderId="4" xfId="0" applyNumberFormat="1" applyFont="1" applyFill="1" applyBorder="1" applyAlignment="1">
      <alignment horizontal="right"/>
    </xf>
    <xf numFmtId="0" fontId="4" fillId="4" borderId="6" xfId="0" applyFont="1" applyFill="1" applyBorder="1"/>
    <xf numFmtId="1" fontId="2" fillId="17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center"/>
    </xf>
    <xf numFmtId="1" fontId="2" fillId="18" borderId="1" xfId="0" applyNumberFormat="1" applyFont="1" applyFill="1" applyBorder="1" applyAlignment="1">
      <alignment horizontal="right"/>
    </xf>
    <xf numFmtId="49" fontId="4" fillId="4" borderId="1" xfId="0" applyNumberFormat="1" applyFont="1" applyFill="1" applyBorder="1"/>
    <xf numFmtId="1" fontId="2" fillId="19" borderId="0" xfId="0" applyNumberFormat="1" applyFont="1" applyFill="1" applyAlignment="1">
      <alignment horizontal="right"/>
    </xf>
    <xf numFmtId="0" fontId="1" fillId="15" borderId="1" xfId="0" applyFont="1" applyFill="1" applyBorder="1" applyAlignment="1"/>
    <xf numFmtId="1" fontId="2" fillId="19" borderId="4" xfId="0" applyNumberFormat="1" applyFont="1" applyFill="1" applyBorder="1" applyAlignment="1">
      <alignment horizontal="right"/>
    </xf>
    <xf numFmtId="0" fontId="1" fillId="2" borderId="1" xfId="0" applyFont="1" applyFill="1" applyBorder="1"/>
    <xf numFmtId="1" fontId="7" fillId="19" borderId="4" xfId="0" applyNumberFormat="1" applyFont="1" applyFill="1" applyBorder="1" applyAlignment="1">
      <alignment horizontal="right"/>
    </xf>
    <xf numFmtId="1" fontId="7" fillId="19" borderId="0" xfId="0" applyNumberFormat="1" applyFont="1" applyFill="1" applyAlignment="1">
      <alignment horizontal="right"/>
    </xf>
    <xf numFmtId="0" fontId="4" fillId="15" borderId="6" xfId="0" applyFont="1" applyFill="1" applyBorder="1"/>
    <xf numFmtId="49" fontId="1" fillId="15" borderId="6" xfId="0" applyNumberFormat="1" applyFont="1" applyFill="1" applyBorder="1"/>
    <xf numFmtId="0" fontId="4" fillId="15" borderId="1" xfId="0" applyFont="1" applyFill="1" applyBorder="1"/>
    <xf numFmtId="0" fontId="1" fillId="0" borderId="0" xfId="0" applyFont="1" applyAlignment="1"/>
    <xf numFmtId="0" fontId="0" fillId="0" borderId="0" xfId="0" applyFont="1" applyAlignment="1"/>
    <xf numFmtId="0" fontId="2" fillId="2" borderId="7" xfId="0" applyFont="1" applyFill="1" applyBorder="1" applyAlignment="1">
      <alignment horizontal="center"/>
    </xf>
    <xf numFmtId="0" fontId="8" fillId="0" borderId="2" xfId="0" applyFont="1" applyBorder="1"/>
    <xf numFmtId="0" fontId="1" fillId="0" borderId="9" xfId="0" applyFont="1" applyBorder="1" applyAlignment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0</v>
      </c>
      <c r="B2" s="1" t="s">
        <v>1</v>
      </c>
      <c r="C2" s="3"/>
      <c r="D2" s="5"/>
      <c r="E2" s="1">
        <v>15651600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8" t="s">
        <v>2</v>
      </c>
      <c r="C3" s="3">
        <v>5.0000000000000001E-3</v>
      </c>
      <c r="D3" s="10"/>
      <c r="E3" s="12">
        <v>78258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/>
      <c r="B5" s="1" t="s">
        <v>5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>
        <v>15</v>
      </c>
      <c r="B6" s="16" t="s">
        <v>7</v>
      </c>
      <c r="C6" s="18">
        <v>108</v>
      </c>
      <c r="D6" s="3">
        <v>24010.977272727272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>
        <v>10</v>
      </c>
      <c r="B7" s="16" t="s">
        <v>6</v>
      </c>
      <c r="C7" s="18">
        <v>108</v>
      </c>
      <c r="D7" s="3">
        <v>24010.977272727272</v>
      </c>
      <c r="E7" s="1"/>
      <c r="F7" s="1"/>
      <c r="G7" s="3"/>
      <c r="H7" s="3">
        <v>142986838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0">
        <v>16</v>
      </c>
      <c r="B8" s="16" t="s">
        <v>10</v>
      </c>
      <c r="C8" s="18">
        <v>108</v>
      </c>
      <c r="D8" s="3">
        <v>24010.977272727272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2"/>
      <c r="B9" s="16" t="s">
        <v>12</v>
      </c>
      <c r="C9" s="18">
        <v>28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/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/>
      <c r="D11" s="3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30" t="s">
        <v>13</v>
      </c>
      <c r="C12" s="32">
        <v>352</v>
      </c>
      <c r="D12" s="3">
        <v>72032.931818181823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3"/>
      <c r="B13" s="34" t="s">
        <v>14</v>
      </c>
      <c r="C13" s="3">
        <v>222.32386363636363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/>
      <c r="B17" s="1" t="s">
        <v>17</v>
      </c>
      <c r="C17" s="3"/>
      <c r="D17" s="5"/>
      <c r="E17" s="1">
        <v>33790170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8" t="s">
        <v>2</v>
      </c>
      <c r="C18" s="3">
        <v>5.0000000000000001E-3</v>
      </c>
      <c r="D18" s="38"/>
      <c r="E18" s="1">
        <v>168950.85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4"/>
      <c r="B20" s="1" t="s">
        <v>5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>
        <v>14</v>
      </c>
      <c r="B21" s="16" t="s">
        <v>21</v>
      </c>
      <c r="C21" s="18">
        <v>69</v>
      </c>
      <c r="D21" s="3">
        <v>38096.760294117645</v>
      </c>
      <c r="E21" s="3">
        <v>46327.7781512605</v>
      </c>
      <c r="F21" s="1" t="s">
        <v>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>
        <v>11</v>
      </c>
      <c r="B22" s="42" t="s">
        <v>19</v>
      </c>
      <c r="C22" s="18">
        <v>127</v>
      </c>
      <c r="D22" s="43">
        <v>70120.124019607843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46">
        <v>22</v>
      </c>
      <c r="B23" s="16" t="s">
        <v>25</v>
      </c>
      <c r="C23" s="18">
        <v>71</v>
      </c>
      <c r="D23" s="43">
        <v>39201.014215686271</v>
      </c>
      <c r="E23" s="3">
        <v>48255.133858543413</v>
      </c>
      <c r="F23" s="3" t="s">
        <v>26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48"/>
      <c r="B24" s="49" t="s">
        <v>27</v>
      </c>
      <c r="C24" s="18">
        <v>39</v>
      </c>
      <c r="D24" s="3">
        <v>21532.951470588236</v>
      </c>
      <c r="E24" s="4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23"/>
      <c r="B25" s="24"/>
      <c r="C25" s="18"/>
      <c r="D25" s="3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1"/>
      <c r="B26" s="30" t="s">
        <v>13</v>
      </c>
      <c r="C26" s="32">
        <v>306</v>
      </c>
      <c r="D26" s="3">
        <v>168950.85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33"/>
      <c r="B27" s="34" t="s">
        <v>14</v>
      </c>
      <c r="C27" s="3">
        <v>552.12696078431372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1"/>
      <c r="B28" s="1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>
      <c r="A29" s="35"/>
      <c r="B29" s="36"/>
      <c r="C29" s="37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1"/>
    </row>
    <row r="30" spans="1:26" ht="14.5">
      <c r="A30" s="1"/>
      <c r="B30" s="1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4"/>
      <c r="B31" s="1" t="s">
        <v>30</v>
      </c>
      <c r="C31" s="3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8" t="s">
        <v>2</v>
      </c>
      <c r="C32" s="3">
        <v>5.0000000000000001E-3</v>
      </c>
      <c r="D32" s="38"/>
      <c r="E32" s="1">
        <v>20341394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"/>
      <c r="B33" s="1"/>
      <c r="C33" s="3"/>
      <c r="D33" s="1"/>
      <c r="E33" s="1">
        <v>101706.97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4"/>
      <c r="B34" s="1" t="s">
        <v>5</v>
      </c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/>
      <c r="B35" s="55" t="s">
        <v>31</v>
      </c>
      <c r="C35" s="18">
        <v>8</v>
      </c>
      <c r="D35" s="3">
        <v>2488.2439143730885</v>
      </c>
      <c r="E35" s="1" t="s">
        <v>33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>
        <v>12</v>
      </c>
      <c r="B36" s="57" t="s">
        <v>35</v>
      </c>
      <c r="C36" s="18">
        <v>132</v>
      </c>
      <c r="D36" s="54">
        <v>41056.02458715596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4"/>
      <c r="B37" s="57" t="s">
        <v>34</v>
      </c>
      <c r="C37" s="18">
        <v>57</v>
      </c>
      <c r="D37" s="3">
        <v>17728.737889908254</v>
      </c>
      <c r="E37" s="1" t="s">
        <v>33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60">
        <v>20</v>
      </c>
      <c r="B38" s="62" t="s">
        <v>36</v>
      </c>
      <c r="C38" s="64">
        <v>130</v>
      </c>
      <c r="D38" s="3">
        <v>40433.963608562692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"/>
      <c r="B39" s="32" t="s">
        <v>13</v>
      </c>
      <c r="C39" s="32">
        <v>327</v>
      </c>
      <c r="D39" s="3">
        <v>101706.97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33"/>
      <c r="B40" s="34" t="s">
        <v>14</v>
      </c>
      <c r="C40" s="3">
        <v>311.03048929663606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35"/>
      <c r="B42" s="36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1"/>
    </row>
    <row r="43" spans="1:26" ht="14.5">
      <c r="A43" s="1"/>
      <c r="B43" s="1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4"/>
      <c r="B44" s="1" t="s">
        <v>40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/>
      <c r="B45" s="8" t="s">
        <v>2</v>
      </c>
      <c r="C45" s="3">
        <v>5.0000000000000001E-3</v>
      </c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3"/>
      <c r="D46" s="38"/>
      <c r="E46" s="1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4"/>
      <c r="B47" s="1" t="s">
        <v>5</v>
      </c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7"/>
      <c r="B48" s="68"/>
      <c r="C48" s="18"/>
      <c r="D48" s="3" t="e">
        <v>#DIV/0!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9"/>
      <c r="B49" s="68"/>
      <c r="C49" s="18"/>
      <c r="D49" s="3" t="e">
        <v>#DIV/0!</v>
      </c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1"/>
      <c r="B50" s="32" t="s">
        <v>13</v>
      </c>
      <c r="C50" s="3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33"/>
      <c r="B51" s="71" t="s">
        <v>14</v>
      </c>
      <c r="C51" s="3" t="e">
        <v>#DIV/0!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35"/>
      <c r="B53" s="35"/>
      <c r="C53" s="3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</row>
    <row r="54" spans="1:26" ht="14.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4"/>
      <c r="B55" s="1" t="s">
        <v>42</v>
      </c>
      <c r="C55" s="3"/>
      <c r="D55" s="5"/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/>
      <c r="B56" s="8" t="s">
        <v>2</v>
      </c>
      <c r="C56" s="3">
        <v>5.0000000000000001E-3</v>
      </c>
      <c r="D56" s="38"/>
      <c r="E56" s="1">
        <v>17319363</v>
      </c>
      <c r="F56" s="1"/>
      <c r="G56" s="1"/>
      <c r="H56" s="72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3"/>
      <c r="D57" s="1"/>
      <c r="E57" s="1">
        <v>86596.815000000002</v>
      </c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4"/>
      <c r="B58" s="1" t="s">
        <v>5</v>
      </c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74">
        <v>120</v>
      </c>
      <c r="B59" s="16" t="s">
        <v>44</v>
      </c>
      <c r="C59" s="18">
        <v>109</v>
      </c>
      <c r="D59" s="3">
        <v>35485.161033834585</v>
      </c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74">
        <v>174</v>
      </c>
      <c r="B60" s="16" t="s">
        <v>45</v>
      </c>
      <c r="C60" s="18">
        <v>82</v>
      </c>
      <c r="D60" s="76">
        <v>26695.258759398497</v>
      </c>
      <c r="E60" s="3">
        <v>31633.869473684212</v>
      </c>
      <c r="F60" s="1" t="s">
        <v>46</v>
      </c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74">
        <v>194</v>
      </c>
      <c r="B61" s="42" t="s">
        <v>47</v>
      </c>
      <c r="C61" s="18">
        <v>75</v>
      </c>
      <c r="D61" s="76">
        <v>24416.39520676692</v>
      </c>
      <c r="E61" s="3">
        <v>30178.107706766921</v>
      </c>
      <c r="F61" s="1" t="s">
        <v>46</v>
      </c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"/>
      <c r="B62" s="30" t="s">
        <v>13</v>
      </c>
      <c r="C62" s="32">
        <v>266</v>
      </c>
      <c r="D62" s="3">
        <v>86596.815000000002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33"/>
      <c r="B63" s="34" t="s">
        <v>14</v>
      </c>
      <c r="C63" s="3">
        <v>325.55193609022558</v>
      </c>
      <c r="D63" s="1"/>
      <c r="E63" s="1"/>
      <c r="F63" s="1"/>
      <c r="G63" s="1"/>
      <c r="H63" s="12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35"/>
      <c r="B65" s="35"/>
      <c r="C65" s="37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1"/>
    </row>
    <row r="66" spans="1:26" ht="14.5">
      <c r="A66" s="1"/>
      <c r="B66" s="1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4"/>
      <c r="B67" s="1" t="s">
        <v>49</v>
      </c>
      <c r="C67" s="3"/>
      <c r="D67" s="5"/>
      <c r="E67" s="1">
        <v>42093824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/>
      <c r="B68" s="8" t="s">
        <v>2</v>
      </c>
      <c r="C68" s="3">
        <v>5.0000000000000001E-3</v>
      </c>
      <c r="D68" s="38"/>
      <c r="E68" s="1">
        <v>210469.12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4"/>
      <c r="B70" s="1" t="s">
        <v>5</v>
      </c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4">
        <v>3</v>
      </c>
      <c r="B71" s="16" t="s">
        <v>50</v>
      </c>
      <c r="C71" s="18">
        <v>122</v>
      </c>
      <c r="D71" s="3">
        <v>46856.263941605837</v>
      </c>
      <c r="E71" s="1"/>
      <c r="F71" s="240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4">
        <v>1</v>
      </c>
      <c r="B72" s="16" t="s">
        <v>41</v>
      </c>
      <c r="C72" s="18">
        <v>117</v>
      </c>
      <c r="D72" s="3">
        <v>44935.925255474453</v>
      </c>
      <c r="E72" s="1"/>
      <c r="F72" s="241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>
        <v>4</v>
      </c>
      <c r="B73" s="57" t="s">
        <v>51</v>
      </c>
      <c r="C73" s="18">
        <v>130</v>
      </c>
      <c r="D73" s="3">
        <v>49928.805839416054</v>
      </c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>
        <v>19</v>
      </c>
      <c r="B74" s="57" t="s">
        <v>34</v>
      </c>
      <c r="C74" s="18">
        <v>69</v>
      </c>
      <c r="D74" s="3">
        <v>26500.673868613139</v>
      </c>
      <c r="E74" s="3">
        <v>44229.411758521397</v>
      </c>
      <c r="F74" s="3" t="s">
        <v>26</v>
      </c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>
        <v>6</v>
      </c>
      <c r="B75" s="57" t="s">
        <v>52</v>
      </c>
      <c r="C75" s="18">
        <v>102</v>
      </c>
      <c r="D75" s="3">
        <v>39174.909197080291</v>
      </c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4"/>
      <c r="B76" s="57" t="s">
        <v>53</v>
      </c>
      <c r="C76" s="18">
        <v>8</v>
      </c>
      <c r="D76" s="3">
        <v>3072.5418978102189</v>
      </c>
      <c r="E76" s="3" t="s">
        <v>33</v>
      </c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4"/>
      <c r="B77" s="57" t="s">
        <v>13</v>
      </c>
      <c r="C77" s="18">
        <v>548</v>
      </c>
      <c r="D77" s="3">
        <v>210469.12</v>
      </c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20"/>
      <c r="B78" s="62" t="s">
        <v>14</v>
      </c>
      <c r="C78" s="64">
        <v>384.06773722627736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0"/>
      <c r="B79" s="57"/>
      <c r="C79" s="18"/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"/>
      <c r="B80" s="30"/>
      <c r="C80" s="3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33"/>
      <c r="B81" s="34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2" t="s">
        <v>54</v>
      </c>
      <c r="C82" s="3"/>
      <c r="D82" s="1"/>
      <c r="E82" s="3">
        <v>9218740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35"/>
      <c r="B83" s="36" t="s">
        <v>2</v>
      </c>
      <c r="C83" s="37">
        <v>5.0000000000000001E-3</v>
      </c>
      <c r="D83" s="35"/>
      <c r="E83" s="37">
        <v>46093.700000000004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1"/>
    </row>
    <row r="84" spans="1:26" ht="14.5">
      <c r="A84" s="1"/>
      <c r="B84" s="1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4"/>
      <c r="B85" s="1" t="s">
        <v>5</v>
      </c>
      <c r="C85" s="3"/>
      <c r="D85" s="7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"/>
      <c r="B86" s="8" t="s">
        <v>56</v>
      </c>
      <c r="C86" s="3">
        <v>44</v>
      </c>
      <c r="D86" s="79">
        <v>9054.1196428571438</v>
      </c>
      <c r="E86" s="1" t="s">
        <v>33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>
        <v>21</v>
      </c>
      <c r="B87" s="1" t="s">
        <v>57</v>
      </c>
      <c r="C87" s="3">
        <v>112</v>
      </c>
      <c r="D87" s="3">
        <v>23046.850000000002</v>
      </c>
      <c r="E87" s="1"/>
      <c r="F87" s="1"/>
      <c r="G87" s="1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4"/>
      <c r="B88" s="1" t="s">
        <v>20</v>
      </c>
      <c r="C88" s="3">
        <v>40</v>
      </c>
      <c r="D88" s="3">
        <v>8231.0178571428587</v>
      </c>
      <c r="E88" s="3" t="s">
        <v>33</v>
      </c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4"/>
      <c r="B89" s="80" t="s">
        <v>45</v>
      </c>
      <c r="C89" s="64">
        <v>24</v>
      </c>
      <c r="D89" s="3">
        <v>4938.6107142857145</v>
      </c>
      <c r="E89" s="3" t="s">
        <v>33</v>
      </c>
      <c r="F89" s="3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20"/>
      <c r="B90" s="57" t="s">
        <v>61</v>
      </c>
      <c r="C90" s="18">
        <v>4</v>
      </c>
      <c r="D90" s="3">
        <v>0</v>
      </c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81"/>
      <c r="B91" s="57" t="s">
        <v>47</v>
      </c>
      <c r="C91" s="18">
        <v>28</v>
      </c>
      <c r="D91" s="3">
        <v>5761.7125000000005</v>
      </c>
      <c r="E91" s="47" t="s">
        <v>33</v>
      </c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81"/>
      <c r="B92" s="57" t="s">
        <v>13</v>
      </c>
      <c r="C92" s="18">
        <v>224</v>
      </c>
      <c r="D92" s="3">
        <v>51032.310714285719</v>
      </c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74"/>
      <c r="B93" s="82" t="s">
        <v>14</v>
      </c>
      <c r="C93" s="18">
        <v>205.77544642857146</v>
      </c>
      <c r="D93" s="3"/>
      <c r="E93" s="1"/>
      <c r="F93" s="3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51"/>
      <c r="B94" s="55"/>
      <c r="C94" s="18"/>
      <c r="D94" s="3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32"/>
      <c r="C95" s="32"/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33"/>
      <c r="B96" s="34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2" t="s">
        <v>62</v>
      </c>
      <c r="C97" s="3"/>
      <c r="D97" s="1"/>
      <c r="E97" s="1">
        <v>4571747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35"/>
      <c r="B98" s="36" t="s">
        <v>2</v>
      </c>
      <c r="C98" s="37">
        <v>5.0000000000000001E-3</v>
      </c>
      <c r="D98" s="35"/>
      <c r="E98" s="35">
        <v>22858.735000000001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1"/>
    </row>
    <row r="99" spans="1:26" ht="14.5">
      <c r="A99" s="1"/>
      <c r="B99" s="1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4"/>
      <c r="B100" s="12" t="s">
        <v>5</v>
      </c>
      <c r="C100" s="3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>
        <v>13</v>
      </c>
      <c r="B101" s="8" t="s">
        <v>31</v>
      </c>
      <c r="C101" s="3">
        <v>102</v>
      </c>
      <c r="D101" s="79">
        <v>11373.614487804878</v>
      </c>
      <c r="E101" s="3">
        <v>13861.858402177966</v>
      </c>
      <c r="F101" s="1" t="s">
        <v>46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>
        <v>18</v>
      </c>
      <c r="B102" s="72" t="s">
        <v>53</v>
      </c>
      <c r="C102" s="3">
        <v>103</v>
      </c>
      <c r="D102" s="3">
        <v>11485.120512195123</v>
      </c>
      <c r="E102" s="3">
        <v>14557.662410005341</v>
      </c>
      <c r="F102" s="3" t="s">
        <v>26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4"/>
      <c r="B103" s="1"/>
      <c r="C103" s="3"/>
      <c r="D103" s="3"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4"/>
      <c r="B104" s="87" t="s">
        <v>13</v>
      </c>
      <c r="C104" s="18">
        <v>205</v>
      </c>
      <c r="D104" s="76">
        <v>22858.735000000001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/>
      <c r="B105" s="16" t="s">
        <v>14</v>
      </c>
      <c r="C105" s="18">
        <v>111.50602439024391</v>
      </c>
      <c r="D105" s="54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23"/>
      <c r="B106" s="24"/>
      <c r="C106" s="18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/>
      <c r="B107" s="30"/>
      <c r="C107" s="3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33"/>
      <c r="B108" s="34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35"/>
      <c r="B112" s="3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1"/>
    </row>
    <row r="113" spans="1:26" ht="14.5">
      <c r="A113" s="1"/>
      <c r="B113" s="1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"/>
      <c r="B114" s="71"/>
      <c r="C114" s="32" t="s">
        <v>69</v>
      </c>
      <c r="D114" s="3" t="s">
        <v>70</v>
      </c>
      <c r="E114" s="1"/>
      <c r="F114" s="23" t="s">
        <v>71</v>
      </c>
      <c r="G114" s="93"/>
      <c r="H114" s="93" t="s">
        <v>73</v>
      </c>
      <c r="I114" s="93" t="s">
        <v>70</v>
      </c>
      <c r="J114" s="93" t="s">
        <v>74</v>
      </c>
      <c r="K114" s="94" t="s">
        <v>75</v>
      </c>
      <c r="L114" s="1" t="s">
        <v>76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95"/>
      <c r="B115" s="12" t="s">
        <v>77</v>
      </c>
      <c r="C115" s="32"/>
      <c r="D115" s="32">
        <v>378769.96499999997</v>
      </c>
      <c r="E115" s="3">
        <v>378800</v>
      </c>
      <c r="F115" s="68">
        <v>4</v>
      </c>
      <c r="G115" s="96" t="s">
        <v>51</v>
      </c>
      <c r="H115" s="97">
        <v>45735238.490000002</v>
      </c>
      <c r="I115" s="97">
        <v>228676.19245</v>
      </c>
      <c r="J115" s="97">
        <v>49928.805839416054</v>
      </c>
      <c r="K115" s="98">
        <v>178747.38661058396</v>
      </c>
      <c r="L115" s="3">
        <v>178700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95"/>
      <c r="B116" s="12" t="s">
        <v>79</v>
      </c>
      <c r="C116" s="32"/>
      <c r="D116" s="32">
        <v>358371.85865000001</v>
      </c>
      <c r="E116" s="3">
        <v>358400</v>
      </c>
      <c r="F116" s="68">
        <v>12</v>
      </c>
      <c r="G116" s="96" t="s">
        <v>32</v>
      </c>
      <c r="H116" s="97">
        <v>21770315.739999998</v>
      </c>
      <c r="I116" s="97">
        <v>108851.5787</v>
      </c>
      <c r="J116" s="97">
        <v>41056.02458715596</v>
      </c>
      <c r="K116" s="98">
        <v>67795.554112844038</v>
      </c>
      <c r="L116" s="3">
        <v>67800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100"/>
      <c r="B117" s="101" t="s">
        <v>81</v>
      </c>
      <c r="C117" s="102">
        <v>34037280</v>
      </c>
      <c r="D117" s="32">
        <v>170186.4</v>
      </c>
      <c r="E117" s="3">
        <v>170200</v>
      </c>
      <c r="F117" s="23">
        <v>11</v>
      </c>
      <c r="G117" s="96" t="s">
        <v>19</v>
      </c>
      <c r="H117" s="97">
        <v>34037280</v>
      </c>
      <c r="I117" s="97">
        <v>170186.4</v>
      </c>
      <c r="J117" s="97">
        <v>70120.124019607843</v>
      </c>
      <c r="K117" s="98">
        <v>100066.27598039215</v>
      </c>
      <c r="L117" s="3">
        <v>100100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00"/>
      <c r="B118" s="101" t="s">
        <v>82</v>
      </c>
      <c r="C118" s="102">
        <v>14676490</v>
      </c>
      <c r="D118" s="32">
        <v>73382.45</v>
      </c>
      <c r="E118" s="1">
        <v>73400</v>
      </c>
      <c r="F118" s="23">
        <v>10</v>
      </c>
      <c r="G118" s="96" t="s">
        <v>6</v>
      </c>
      <c r="H118" s="97">
        <v>14676490</v>
      </c>
      <c r="I118" s="97">
        <v>73382.45</v>
      </c>
      <c r="J118" s="97">
        <v>24010.977272727272</v>
      </c>
      <c r="K118" s="98">
        <v>49371.472727272725</v>
      </c>
      <c r="L118" s="3">
        <v>49400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95"/>
      <c r="B119" s="103" t="s">
        <v>83</v>
      </c>
      <c r="C119" s="32"/>
      <c r="D119" s="3">
        <v>0</v>
      </c>
      <c r="E119" s="1"/>
      <c r="F119" s="23">
        <v>120</v>
      </c>
      <c r="G119" s="96" t="s">
        <v>44</v>
      </c>
      <c r="H119" s="97">
        <v>16141623</v>
      </c>
      <c r="I119" s="97">
        <v>80708.115000000005</v>
      </c>
      <c r="J119" s="97">
        <v>35485.161033834585</v>
      </c>
      <c r="K119" s="98">
        <v>45222.95396616542</v>
      </c>
      <c r="L119" s="3">
        <v>45200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06"/>
      <c r="B120" s="107" t="s">
        <v>84</v>
      </c>
      <c r="C120" s="109">
        <v>21770315.739999998</v>
      </c>
      <c r="D120" s="32">
        <v>108851.5787</v>
      </c>
      <c r="E120" s="1">
        <v>108900</v>
      </c>
      <c r="F120" s="1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11"/>
      <c r="B121" s="113" t="s">
        <v>85</v>
      </c>
      <c r="C121" s="115">
        <v>16141623</v>
      </c>
      <c r="D121" s="32">
        <v>80708.115000000005</v>
      </c>
      <c r="E121" s="1">
        <v>80700</v>
      </c>
      <c r="F121" s="23"/>
      <c r="G121" s="117"/>
      <c r="H121" s="68"/>
      <c r="I121" s="68"/>
      <c r="J121" s="68"/>
      <c r="K121" s="11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95"/>
      <c r="B122" s="121" t="s">
        <v>87</v>
      </c>
      <c r="C122" s="32">
        <v>45735238.490000002</v>
      </c>
      <c r="D122" s="32">
        <v>228676.19245</v>
      </c>
      <c r="E122" s="1">
        <v>228700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95"/>
      <c r="B123" s="103" t="s">
        <v>90</v>
      </c>
      <c r="C123" s="32"/>
      <c r="D123" s="3">
        <v>0</v>
      </c>
      <c r="E123" s="1"/>
      <c r="F123" s="242"/>
      <c r="G123" s="24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5"/>
      <c r="B124" s="121" t="s">
        <v>91</v>
      </c>
      <c r="C124" s="32">
        <v>10898600</v>
      </c>
      <c r="D124" s="32">
        <v>54493</v>
      </c>
      <c r="E124" s="1">
        <v>54500</v>
      </c>
      <c r="F124" s="23">
        <v>9</v>
      </c>
      <c r="G124" s="97" t="s">
        <v>77</v>
      </c>
      <c r="H124" s="3">
        <v>378800</v>
      </c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95"/>
      <c r="B125" s="34" t="s">
        <v>92</v>
      </c>
      <c r="C125" s="32">
        <v>4168817.5</v>
      </c>
      <c r="D125" s="123">
        <v>20844.087500000001</v>
      </c>
      <c r="E125" s="1">
        <v>20800</v>
      </c>
      <c r="F125" s="23">
        <v>2</v>
      </c>
      <c r="G125" s="97" t="s">
        <v>79</v>
      </c>
      <c r="H125" s="3">
        <v>358400</v>
      </c>
      <c r="I125" s="244"/>
      <c r="J125" s="245"/>
      <c r="K125" s="246"/>
      <c r="L125" s="125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18"/>
      <c r="D126" s="126">
        <v>1474283.6472999998</v>
      </c>
      <c r="E126" s="3">
        <v>1474400</v>
      </c>
      <c r="F126" s="23">
        <v>11</v>
      </c>
      <c r="G126" s="97" t="s">
        <v>19</v>
      </c>
      <c r="H126" s="3">
        <v>100100</v>
      </c>
      <c r="I126" s="247"/>
      <c r="J126" s="241"/>
      <c r="K126" s="248"/>
      <c r="L126" s="125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2"/>
      <c r="C127" s="3"/>
      <c r="D127" s="1"/>
      <c r="E127" s="1"/>
      <c r="F127" s="23">
        <v>10</v>
      </c>
      <c r="G127" s="97" t="s">
        <v>6</v>
      </c>
      <c r="H127" s="3">
        <v>49400</v>
      </c>
      <c r="I127" s="247"/>
      <c r="J127" s="241"/>
      <c r="K127" s="248"/>
      <c r="L127" s="125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127"/>
      <c r="B128" s="12" t="s">
        <v>93</v>
      </c>
      <c r="C128" s="32"/>
      <c r="D128" s="3" t="s">
        <v>70</v>
      </c>
      <c r="E128" s="1"/>
      <c r="F128" s="23">
        <v>120</v>
      </c>
      <c r="G128" s="97" t="s">
        <v>44</v>
      </c>
      <c r="H128" s="3">
        <v>45200</v>
      </c>
      <c r="I128" s="249"/>
      <c r="J128" s="250"/>
      <c r="K128" s="251"/>
      <c r="L128" s="125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95"/>
      <c r="B129" s="10" t="s">
        <v>94</v>
      </c>
      <c r="C129" s="32">
        <v>14676490</v>
      </c>
      <c r="D129" s="3">
        <v>73382.45</v>
      </c>
      <c r="E129" s="1"/>
      <c r="F129" s="23"/>
      <c r="G129" s="129"/>
      <c r="H129" s="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95"/>
      <c r="B130" s="10" t="s">
        <v>96</v>
      </c>
      <c r="C130" s="32">
        <v>34037280</v>
      </c>
      <c r="D130" s="3">
        <v>170186.4</v>
      </c>
      <c r="E130" s="1"/>
      <c r="F130" s="23">
        <v>4</v>
      </c>
      <c r="G130" s="97" t="s">
        <v>51</v>
      </c>
      <c r="H130" s="3">
        <v>178700</v>
      </c>
      <c r="I130" s="3" t="s">
        <v>97</v>
      </c>
      <c r="J130" s="3"/>
      <c r="K130" s="3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95"/>
      <c r="B131" s="10" t="s">
        <v>98</v>
      </c>
      <c r="C131" s="32">
        <v>16141623</v>
      </c>
      <c r="D131" s="3">
        <v>80708.115000000005</v>
      </c>
      <c r="E131" s="1"/>
      <c r="F131" s="23">
        <v>12</v>
      </c>
      <c r="G131" s="97" t="s">
        <v>32</v>
      </c>
      <c r="H131" s="3">
        <v>67800</v>
      </c>
      <c r="I131" s="3" t="s">
        <v>99</v>
      </c>
      <c r="J131" s="3"/>
      <c r="K131" s="3"/>
      <c r="L131" s="3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95"/>
      <c r="B132" s="12" t="s">
        <v>90</v>
      </c>
      <c r="C132" s="32"/>
      <c r="D132" s="3">
        <v>0</v>
      </c>
      <c r="E132" s="1"/>
      <c r="F132" s="1"/>
      <c r="G132" s="131"/>
      <c r="H132" s="3">
        <v>1178400</v>
      </c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95"/>
      <c r="B133" s="12" t="s">
        <v>83</v>
      </c>
      <c r="C133" s="32"/>
      <c r="D133" s="3">
        <v>0</v>
      </c>
      <c r="E133" s="1"/>
      <c r="F133" s="1"/>
      <c r="G133" s="3"/>
      <c r="H133" s="3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95"/>
      <c r="B134" s="10" t="s">
        <v>91</v>
      </c>
      <c r="C134" s="32">
        <v>10898600</v>
      </c>
      <c r="D134" s="3">
        <v>54493</v>
      </c>
      <c r="E134" s="1"/>
      <c r="F134" s="1"/>
      <c r="G134" s="3"/>
      <c r="H134" s="3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"/>
      <c r="B135" s="12"/>
      <c r="C135" s="3"/>
      <c r="D135" s="1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1"/>
      <c r="B136" s="34"/>
      <c r="C136" s="132">
        <v>64855393</v>
      </c>
      <c r="D136" s="133">
        <v>378769.96499999997</v>
      </c>
      <c r="E136" s="1" t="s">
        <v>101</v>
      </c>
      <c r="F136" s="1"/>
      <c r="G136" s="3"/>
      <c r="H136" s="3">
        <v>573500</v>
      </c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1"/>
      <c r="B137" s="134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135"/>
      <c r="B138" s="136"/>
      <c r="C138" s="137"/>
      <c r="D138" s="13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27"/>
      <c r="B139" s="134" t="s">
        <v>109</v>
      </c>
      <c r="C139" s="32"/>
      <c r="D139" s="3" t="s">
        <v>70</v>
      </c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95"/>
      <c r="B140" s="10" t="s">
        <v>110</v>
      </c>
      <c r="C140" s="32">
        <v>21770315.739999998</v>
      </c>
      <c r="D140" s="3">
        <v>108851.5787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95"/>
      <c r="B141" s="10" t="s">
        <v>111</v>
      </c>
      <c r="C141" s="32">
        <v>45735238.490000002</v>
      </c>
      <c r="D141" s="3">
        <v>228676.19245</v>
      </c>
      <c r="E141" s="1"/>
      <c r="F141" s="1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95"/>
      <c r="B142" s="10" t="s">
        <v>92</v>
      </c>
      <c r="C142" s="32">
        <v>4168817.5</v>
      </c>
      <c r="D142" s="3">
        <v>20844.087500000001</v>
      </c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"/>
      <c r="B143" s="12"/>
      <c r="C143" s="3"/>
      <c r="D143" s="1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34"/>
      <c r="C144" s="132">
        <v>71674371.730000004</v>
      </c>
      <c r="D144" s="133">
        <v>358371.85865000001</v>
      </c>
      <c r="E144" s="35" t="s">
        <v>101</v>
      </c>
      <c r="F144" s="3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12"/>
      <c r="C145" s="3"/>
      <c r="D145" s="1"/>
      <c r="E145" s="1"/>
      <c r="F145" s="1"/>
      <c r="G145" s="3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"/>
      <c r="B146" s="12"/>
      <c r="C146" s="37"/>
      <c r="D146" s="35"/>
      <c r="E146" s="1"/>
      <c r="F146" s="1"/>
      <c r="G146" s="3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"/>
      <c r="B147" s="12"/>
      <c r="C147" s="3"/>
      <c r="D147" s="1"/>
      <c r="E147" s="1"/>
      <c r="F147" s="1"/>
      <c r="G147" s="138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"/>
      <c r="B148" s="12"/>
      <c r="C148" s="3"/>
      <c r="D148" s="1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1"/>
      <c r="B149" s="12"/>
      <c r="C149" s="3"/>
      <c r="D149" s="1"/>
      <c r="E149" s="1"/>
      <c r="F149" s="1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1"/>
      <c r="B150" s="12"/>
      <c r="C150" s="3"/>
      <c r="D150" s="1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"/>
      <c r="B151" s="12"/>
      <c r="C151" s="3"/>
      <c r="D151" s="1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1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1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1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1:F72"/>
    <mergeCell ref="F123:G123"/>
    <mergeCell ref="I125:K1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1</v>
      </c>
      <c r="B2" s="1"/>
      <c r="C2" s="3"/>
      <c r="D2" s="6">
        <v>12891200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7" t="s">
        <v>2</v>
      </c>
      <c r="B3" s="9" t="s">
        <v>3</v>
      </c>
      <c r="C3" s="3"/>
      <c r="D3" s="11" t="s">
        <v>4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3" t="s">
        <v>6</v>
      </c>
      <c r="B6" s="15">
        <v>116</v>
      </c>
      <c r="C6" s="17">
        <v>26514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3" t="s">
        <v>8</v>
      </c>
      <c r="B7" s="15">
        <v>122</v>
      </c>
      <c r="C7" s="17">
        <v>27885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9" t="s">
        <v>9</v>
      </c>
      <c r="B8" s="15">
        <v>24</v>
      </c>
      <c r="C8" s="17">
        <v>5486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1" t="s">
        <v>11</v>
      </c>
      <c r="B9" s="15">
        <v>20</v>
      </c>
      <c r="C9" s="17">
        <v>4571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7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7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 t="s">
        <v>13</v>
      </c>
      <c r="B12" s="27">
        <v>282</v>
      </c>
      <c r="C12" s="28">
        <v>64456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9" t="s">
        <v>14</v>
      </c>
      <c r="B13" s="31" t="s">
        <v>15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" t="s">
        <v>16</v>
      </c>
      <c r="B17" s="1"/>
      <c r="C17" s="3"/>
      <c r="D17" s="6">
        <v>32450510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 t="s">
        <v>2</v>
      </c>
      <c r="B18" s="9" t="s">
        <v>3</v>
      </c>
      <c r="C18" s="3"/>
      <c r="D18" s="9" t="s">
        <v>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2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3" t="s">
        <v>19</v>
      </c>
      <c r="B21" s="15">
        <v>124</v>
      </c>
      <c r="C21" s="17">
        <v>70843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3" t="s">
        <v>20</v>
      </c>
      <c r="B22" s="39">
        <v>72</v>
      </c>
      <c r="C22" s="17">
        <v>41134</v>
      </c>
      <c r="D22" s="40">
        <v>48796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41" t="s">
        <v>23</v>
      </c>
      <c r="B23" s="15">
        <v>72</v>
      </c>
      <c r="C23" s="17">
        <v>41134</v>
      </c>
      <c r="D23" s="40">
        <v>49891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44" t="s">
        <v>24</v>
      </c>
      <c r="B24" s="45">
        <v>16</v>
      </c>
      <c r="C24" s="17">
        <v>9141</v>
      </c>
      <c r="D24" s="3"/>
      <c r="E24" s="4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23"/>
      <c r="B25" s="24"/>
      <c r="C25" s="17">
        <v>0</v>
      </c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7" t="s">
        <v>13</v>
      </c>
      <c r="B26" s="27">
        <v>284</v>
      </c>
      <c r="C26" s="28">
        <v>162253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>
      <c r="A27" s="29" t="s">
        <v>14</v>
      </c>
      <c r="B27" s="31" t="s">
        <v>28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1"/>
      <c r="B28" s="1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>
      <c r="A29" s="35"/>
      <c r="B29" s="36"/>
      <c r="C29" s="37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1"/>
    </row>
    <row r="30" spans="1:26" ht="14.5">
      <c r="A30" s="1"/>
      <c r="B30" s="1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2" t="s">
        <v>30</v>
      </c>
      <c r="B31" s="1"/>
      <c r="C31" s="3"/>
      <c r="D31" s="6">
        <v>16490101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7" t="s">
        <v>2</v>
      </c>
      <c r="B32" s="9" t="s">
        <v>3</v>
      </c>
      <c r="C32" s="3"/>
      <c r="D32" s="53">
        <v>82450505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2" t="s">
        <v>5</v>
      </c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3" t="s">
        <v>32</v>
      </c>
      <c r="B35" s="56">
        <v>124</v>
      </c>
      <c r="C35" s="17">
        <v>31653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3" t="s">
        <v>34</v>
      </c>
      <c r="B36" s="58">
        <v>66</v>
      </c>
      <c r="C36" s="17">
        <v>16847</v>
      </c>
      <c r="D36" s="59">
        <v>56918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3" t="s">
        <v>36</v>
      </c>
      <c r="B37" s="58">
        <v>125</v>
      </c>
      <c r="C37" s="17">
        <v>31908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61" t="s">
        <v>37</v>
      </c>
      <c r="B38" s="63">
        <v>8</v>
      </c>
      <c r="C38" s="65">
        <v>2042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7" t="s">
        <v>13</v>
      </c>
      <c r="B39" s="28">
        <v>323</v>
      </c>
      <c r="C39" s="28">
        <v>82451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3.5">
      <c r="A40" s="29" t="s">
        <v>14</v>
      </c>
      <c r="B40" s="31" t="s">
        <v>38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35"/>
      <c r="B42" s="36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1"/>
    </row>
    <row r="43" spans="1:26" ht="14.5">
      <c r="A43" s="1"/>
      <c r="B43" s="1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2" t="s">
        <v>40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7" t="s">
        <v>2</v>
      </c>
      <c r="B45" s="9" t="s">
        <v>3</v>
      </c>
      <c r="C45" s="3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3"/>
      <c r="D46" s="9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2" t="s">
        <v>5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7"/>
      <c r="B48" s="68"/>
      <c r="C48" s="17" t="e"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9"/>
      <c r="B49" s="68"/>
      <c r="C49" s="17" t="e"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7" t="s">
        <v>13</v>
      </c>
      <c r="B50" s="28">
        <v>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3.5">
      <c r="A51" s="29" t="s">
        <v>14</v>
      </c>
      <c r="B51" s="70" t="e"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35"/>
      <c r="B53" s="35"/>
      <c r="C53" s="3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</row>
    <row r="54" spans="1:26" ht="14.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2" t="s">
        <v>42</v>
      </c>
      <c r="B55" s="1"/>
      <c r="C55" s="3"/>
      <c r="D55" s="6">
        <v>18237240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7" t="s">
        <v>2</v>
      </c>
      <c r="B56" s="9" t="s">
        <v>3</v>
      </c>
      <c r="C56" s="3"/>
      <c r="D56" s="9" t="s">
        <v>43</v>
      </c>
      <c r="E56" s="1"/>
      <c r="F56" s="1"/>
      <c r="G56" s="1"/>
      <c r="H56" s="72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2" t="s">
        <v>5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73" t="s">
        <v>44</v>
      </c>
      <c r="B59" s="15">
        <v>110</v>
      </c>
      <c r="C59" s="17">
        <v>43235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73" t="s">
        <v>45</v>
      </c>
      <c r="B60" s="15">
        <v>62</v>
      </c>
      <c r="C60" s="17">
        <v>24369</v>
      </c>
      <c r="D60" s="75">
        <v>34767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73" t="s">
        <v>47</v>
      </c>
      <c r="B61" s="39">
        <v>60</v>
      </c>
      <c r="C61" s="17">
        <v>23583</v>
      </c>
      <c r="D61" s="75">
        <v>34802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7" t="s">
        <v>13</v>
      </c>
      <c r="B62" s="27">
        <v>232</v>
      </c>
      <c r="C62" s="28">
        <v>91186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3.5">
      <c r="A63" s="29" t="s">
        <v>14</v>
      </c>
      <c r="B63" s="31" t="s">
        <v>48</v>
      </c>
      <c r="C63" s="3"/>
      <c r="D63" s="1"/>
      <c r="E63" s="1"/>
      <c r="F63" s="1"/>
      <c r="G63" s="1"/>
      <c r="H63" s="12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35"/>
      <c r="B65" s="35"/>
      <c r="C65" s="37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1"/>
    </row>
    <row r="66" spans="1:26" ht="14.5">
      <c r="A66" s="1"/>
      <c r="B66" s="1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2" t="s">
        <v>49</v>
      </c>
      <c r="B67" s="1"/>
      <c r="C67" s="3"/>
      <c r="D67" s="6">
        <v>64359281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7" t="s">
        <v>2</v>
      </c>
      <c r="B68" s="9" t="s">
        <v>3</v>
      </c>
      <c r="C68" s="3"/>
      <c r="D68" s="53">
        <v>321796405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2" t="s">
        <v>5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3" t="s">
        <v>41</v>
      </c>
      <c r="B71" s="15">
        <v>108</v>
      </c>
      <c r="C71" s="17">
        <v>66579</v>
      </c>
      <c r="D71" s="3"/>
      <c r="E71" s="1"/>
      <c r="F71" s="1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3" t="s">
        <v>50</v>
      </c>
      <c r="B72" s="15">
        <v>102</v>
      </c>
      <c r="C72" s="17">
        <v>62880</v>
      </c>
      <c r="D72" s="3"/>
      <c r="E72" s="1"/>
      <c r="F72" s="1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3" t="s">
        <v>51</v>
      </c>
      <c r="B73" s="58">
        <v>130</v>
      </c>
      <c r="C73" s="17">
        <v>80141</v>
      </c>
      <c r="D73" s="3"/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3" t="s">
        <v>55</v>
      </c>
      <c r="B74" s="58">
        <v>0</v>
      </c>
      <c r="C74" s="17">
        <v>0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3" t="s">
        <v>53</v>
      </c>
      <c r="B75" s="58">
        <v>12</v>
      </c>
      <c r="C75" s="17">
        <v>7398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3" t="s">
        <v>32</v>
      </c>
      <c r="B76" s="58">
        <v>5</v>
      </c>
      <c r="C76" s="17">
        <v>3082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3" t="s">
        <v>34</v>
      </c>
      <c r="B77" s="58">
        <v>65</v>
      </c>
      <c r="C77" s="17">
        <v>40070</v>
      </c>
      <c r="D77" s="3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9" t="s">
        <v>58</v>
      </c>
      <c r="B78" s="63">
        <v>0</v>
      </c>
      <c r="C78" s="65">
        <v>0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9" t="s">
        <v>59</v>
      </c>
      <c r="B79" s="58">
        <v>100</v>
      </c>
      <c r="C79" s="17">
        <v>61647</v>
      </c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7" t="s">
        <v>13</v>
      </c>
      <c r="B80" s="27">
        <v>522</v>
      </c>
      <c r="C80" s="28">
        <v>321796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3.5">
      <c r="A81" s="29" t="s">
        <v>14</v>
      </c>
      <c r="B81" s="31" t="s">
        <v>60</v>
      </c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35"/>
      <c r="B83" s="36"/>
      <c r="C83" s="37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1"/>
    </row>
    <row r="84" spans="1:26" ht="14.5">
      <c r="A84" s="1"/>
      <c r="B84" s="1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2" t="s">
        <v>54</v>
      </c>
      <c r="B85" s="1"/>
      <c r="C85" s="3"/>
      <c r="D85" s="83">
        <v>13736380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7" t="s">
        <v>2</v>
      </c>
      <c r="B86" s="9" t="s">
        <v>3</v>
      </c>
      <c r="C86" s="3"/>
      <c r="D86" s="84">
        <v>68682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/>
      <c r="B87" s="1"/>
      <c r="C87" s="3"/>
      <c r="D87" s="3"/>
      <c r="E87" s="1"/>
      <c r="F87" s="1"/>
      <c r="G87" s="1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2" t="s">
        <v>5</v>
      </c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3" t="s">
        <v>29</v>
      </c>
      <c r="B89" s="86">
        <v>108</v>
      </c>
      <c r="C89" s="65">
        <v>29552</v>
      </c>
      <c r="D89" s="1"/>
      <c r="E89" s="1"/>
      <c r="F89" s="3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9" t="s">
        <v>63</v>
      </c>
      <c r="B90" s="58">
        <v>4</v>
      </c>
      <c r="C90" s="17">
        <v>1095</v>
      </c>
      <c r="D90" s="3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88" t="s">
        <v>64</v>
      </c>
      <c r="B91" s="58">
        <v>32</v>
      </c>
      <c r="C91" s="17">
        <v>8756</v>
      </c>
      <c r="D91" s="3"/>
      <c r="E91" s="47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88" t="s">
        <v>45</v>
      </c>
      <c r="B92" s="58">
        <v>38</v>
      </c>
      <c r="C92" s="17">
        <v>10398</v>
      </c>
      <c r="D92" s="3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73" t="s">
        <v>47</v>
      </c>
      <c r="B93" s="90">
        <v>41</v>
      </c>
      <c r="C93" s="17">
        <v>11219</v>
      </c>
      <c r="D93" s="3"/>
      <c r="E93" s="1"/>
      <c r="F93" s="3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92" t="s">
        <v>20</v>
      </c>
      <c r="B94" s="56">
        <v>28</v>
      </c>
      <c r="C94" s="17">
        <v>7662</v>
      </c>
      <c r="D94" s="3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7" t="s">
        <v>13</v>
      </c>
      <c r="B95" s="28">
        <v>251</v>
      </c>
      <c r="C95" s="28">
        <v>68682</v>
      </c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5">
      <c r="A96" s="29" t="s">
        <v>14</v>
      </c>
      <c r="B96" s="31" t="s">
        <v>68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35"/>
      <c r="B98" s="36"/>
      <c r="C98" s="3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1"/>
    </row>
    <row r="99" spans="1:26" ht="14.5">
      <c r="A99" s="1"/>
      <c r="B99" s="1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2" t="s">
        <v>62</v>
      </c>
      <c r="B100" s="12"/>
      <c r="C100" s="3"/>
      <c r="D100" s="6">
        <v>4809090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7" t="s">
        <v>2</v>
      </c>
      <c r="B101" s="9" t="s">
        <v>3</v>
      </c>
      <c r="C101" s="3"/>
      <c r="D101" s="9" t="s">
        <v>72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/>
      <c r="B102" s="7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2" t="s">
        <v>5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3" t="s">
        <v>31</v>
      </c>
      <c r="B104" s="15">
        <v>103</v>
      </c>
      <c r="C104" s="17">
        <v>12081</v>
      </c>
      <c r="D104" s="75">
        <v>14123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3" t="s">
        <v>78</v>
      </c>
      <c r="B105" s="15">
        <v>102</v>
      </c>
      <c r="C105" s="17">
        <v>11964</v>
      </c>
      <c r="D105" s="59">
        <v>19362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23"/>
      <c r="B106" s="24"/>
      <c r="C106" s="17">
        <v>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9" t="s">
        <v>13</v>
      </c>
      <c r="B107" s="27">
        <v>205</v>
      </c>
      <c r="C107" s="28">
        <v>24045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3.5">
      <c r="A108" s="29" t="s">
        <v>14</v>
      </c>
      <c r="B108" s="31" t="s">
        <v>80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35"/>
      <c r="B112" s="3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1"/>
    </row>
    <row r="113" spans="1:26" ht="14.5">
      <c r="A113" s="1"/>
      <c r="B113" s="1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"/>
      <c r="B114" s="70" t="s">
        <v>69</v>
      </c>
      <c r="C114" s="28" t="s">
        <v>70</v>
      </c>
      <c r="D114" s="3"/>
      <c r="E114" s="1"/>
      <c r="F114" s="23"/>
      <c r="G114" s="108" t="s">
        <v>73</v>
      </c>
      <c r="H114" s="108" t="s">
        <v>70</v>
      </c>
      <c r="I114" s="108" t="s">
        <v>74</v>
      </c>
      <c r="J114" s="108" t="s">
        <v>75</v>
      </c>
      <c r="K114" s="110" t="s">
        <v>76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9">
      <c r="A115" s="112" t="s">
        <v>77</v>
      </c>
      <c r="B115" s="12"/>
      <c r="C115" s="28">
        <v>394048</v>
      </c>
      <c r="D115" s="28">
        <v>394000</v>
      </c>
      <c r="E115" s="3"/>
      <c r="F115" s="114" t="s">
        <v>51</v>
      </c>
      <c r="G115" s="116" t="s">
        <v>86</v>
      </c>
      <c r="H115" s="118">
        <v>313568</v>
      </c>
      <c r="I115" s="118">
        <v>80141</v>
      </c>
      <c r="J115" s="118">
        <v>233427</v>
      </c>
      <c r="K115" s="120">
        <v>233400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9">
      <c r="A116" s="112" t="s">
        <v>79</v>
      </c>
      <c r="B116" s="12"/>
      <c r="C116" s="28">
        <v>452065</v>
      </c>
      <c r="D116" s="28">
        <v>452100</v>
      </c>
      <c r="E116" s="1"/>
      <c r="F116" s="122" t="s">
        <v>32</v>
      </c>
      <c r="G116" s="116" t="s">
        <v>88</v>
      </c>
      <c r="H116" s="118">
        <v>114426</v>
      </c>
      <c r="I116" s="118">
        <v>31653</v>
      </c>
      <c r="J116" s="118">
        <v>82773</v>
      </c>
      <c r="K116" s="120">
        <v>82800</v>
      </c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43.5">
      <c r="A117" s="139" t="s">
        <v>81</v>
      </c>
      <c r="B117" s="140" t="s">
        <v>114</v>
      </c>
      <c r="C117" s="141">
        <v>165668</v>
      </c>
      <c r="D117" s="28">
        <v>165700</v>
      </c>
      <c r="E117" s="1"/>
      <c r="F117" s="114" t="s">
        <v>19</v>
      </c>
      <c r="G117" s="116" t="s">
        <v>115</v>
      </c>
      <c r="H117" s="118">
        <v>165668</v>
      </c>
      <c r="I117" s="118">
        <v>70843</v>
      </c>
      <c r="J117" s="118">
        <v>94825</v>
      </c>
      <c r="K117" s="120">
        <v>94800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3.5">
      <c r="A118" s="139" t="s">
        <v>82</v>
      </c>
      <c r="B118" s="140" t="s">
        <v>116</v>
      </c>
      <c r="C118" s="141">
        <v>64352</v>
      </c>
      <c r="D118" s="27">
        <v>64400</v>
      </c>
      <c r="E118" s="1"/>
      <c r="F118" s="114" t="s">
        <v>6</v>
      </c>
      <c r="G118" s="116" t="s">
        <v>117</v>
      </c>
      <c r="H118" s="118">
        <v>64352</v>
      </c>
      <c r="I118" s="118">
        <v>26514</v>
      </c>
      <c r="J118" s="118">
        <v>37839</v>
      </c>
      <c r="K118" s="120">
        <v>37800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12" t="s">
        <v>83</v>
      </c>
      <c r="B119" s="103"/>
      <c r="C119" s="28">
        <v>0</v>
      </c>
      <c r="D119" s="1"/>
      <c r="E119" s="1"/>
      <c r="F119" s="114" t="s">
        <v>44</v>
      </c>
      <c r="G119" s="116" t="s">
        <v>118</v>
      </c>
      <c r="H119" s="118">
        <v>99985</v>
      </c>
      <c r="I119" s="118">
        <v>43235</v>
      </c>
      <c r="J119" s="118">
        <v>56750</v>
      </c>
      <c r="K119" s="120">
        <v>56800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43.5">
      <c r="A120" s="142" t="s">
        <v>84</v>
      </c>
      <c r="B120" s="143" t="s">
        <v>119</v>
      </c>
      <c r="C120" s="144">
        <v>114426</v>
      </c>
      <c r="D120" s="27">
        <v>114400</v>
      </c>
      <c r="E120" s="1"/>
      <c r="F120" s="1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43.5">
      <c r="A121" s="145" t="s">
        <v>85</v>
      </c>
      <c r="B121" s="146" t="s">
        <v>120</v>
      </c>
      <c r="C121" s="147">
        <v>99985</v>
      </c>
      <c r="D121" s="27">
        <v>100000</v>
      </c>
      <c r="E121" s="1"/>
      <c r="F121" s="23"/>
      <c r="G121" s="117"/>
      <c r="H121" s="68"/>
      <c r="I121" s="68"/>
      <c r="J121" s="68"/>
      <c r="K121" s="11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3.5">
      <c r="A122" s="112" t="s">
        <v>87</v>
      </c>
      <c r="B122" s="148" t="s">
        <v>121</v>
      </c>
      <c r="C122" s="28">
        <v>313568</v>
      </c>
      <c r="D122" s="27">
        <v>313600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112" t="s">
        <v>90</v>
      </c>
      <c r="B123" s="103"/>
      <c r="C123" s="28">
        <v>0</v>
      </c>
      <c r="D123" s="1"/>
      <c r="E123" s="1"/>
      <c r="F123" s="149" t="s">
        <v>122</v>
      </c>
      <c r="G123" s="15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9">
      <c r="A124" s="112" t="s">
        <v>91</v>
      </c>
      <c r="B124" s="148" t="s">
        <v>124</v>
      </c>
      <c r="C124" s="28">
        <v>64043</v>
      </c>
      <c r="D124" s="27">
        <v>64000</v>
      </c>
      <c r="E124" s="1"/>
      <c r="F124" s="114" t="s">
        <v>77</v>
      </c>
      <c r="G124" s="118">
        <v>394000</v>
      </c>
      <c r="H124" s="3"/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112" t="s">
        <v>92</v>
      </c>
      <c r="B125" s="31" t="s">
        <v>125</v>
      </c>
      <c r="C125" s="28">
        <v>24070</v>
      </c>
      <c r="D125" s="152">
        <v>24100</v>
      </c>
      <c r="E125" s="1"/>
      <c r="F125" s="114" t="s">
        <v>79</v>
      </c>
      <c r="G125" s="118">
        <v>452100</v>
      </c>
      <c r="H125" s="1"/>
      <c r="I125" s="124"/>
      <c r="J125" s="153"/>
      <c r="K125" s="154"/>
      <c r="L125" s="125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17">
        <v>1692225</v>
      </c>
      <c r="D126" s="155">
        <v>1692300</v>
      </c>
      <c r="E126" s="1"/>
      <c r="F126" s="114" t="s">
        <v>19</v>
      </c>
      <c r="G126" s="118">
        <v>94800</v>
      </c>
      <c r="H126" s="156" t="s">
        <v>126</v>
      </c>
      <c r="I126" s="125"/>
      <c r="J126" s="1"/>
      <c r="K126" s="157"/>
      <c r="L126" s="125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2"/>
      <c r="C127" s="3"/>
      <c r="D127" s="1"/>
      <c r="E127" s="1"/>
      <c r="F127" s="114" t="s">
        <v>6</v>
      </c>
      <c r="G127" s="118">
        <v>37800</v>
      </c>
      <c r="H127" s="7" t="s">
        <v>127</v>
      </c>
      <c r="I127" s="125"/>
      <c r="J127" s="1"/>
      <c r="K127" s="157"/>
      <c r="L127" s="125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158" t="s">
        <v>93</v>
      </c>
      <c r="B128" s="12"/>
      <c r="C128" s="28" t="s">
        <v>70</v>
      </c>
      <c r="D128" s="1"/>
      <c r="E128" s="1"/>
      <c r="F128" s="114" t="s">
        <v>44</v>
      </c>
      <c r="G128" s="118">
        <v>56800</v>
      </c>
      <c r="H128" s="156" t="s">
        <v>128</v>
      </c>
      <c r="I128" s="159"/>
      <c r="J128" s="160"/>
      <c r="K128" s="161"/>
      <c r="L128" s="125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12" t="s">
        <v>94</v>
      </c>
      <c r="B129" s="11" t="s">
        <v>117</v>
      </c>
      <c r="C129" s="28">
        <v>64352</v>
      </c>
      <c r="D129" s="1"/>
      <c r="E129" s="1"/>
      <c r="F129" s="23"/>
      <c r="G129" s="162">
        <v>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12" t="s">
        <v>96</v>
      </c>
      <c r="B130" s="11" t="s">
        <v>115</v>
      </c>
      <c r="C130" s="28">
        <v>165668</v>
      </c>
      <c r="D130" s="1"/>
      <c r="E130" s="1"/>
      <c r="F130" s="114" t="s">
        <v>51</v>
      </c>
      <c r="G130" s="118">
        <v>233400</v>
      </c>
      <c r="H130" s="156" t="s">
        <v>97</v>
      </c>
      <c r="I130" s="3"/>
      <c r="J130" s="3"/>
      <c r="K130" s="3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12" t="s">
        <v>98</v>
      </c>
      <c r="B131" s="11" t="s">
        <v>118</v>
      </c>
      <c r="C131" s="28">
        <v>99985</v>
      </c>
      <c r="D131" s="1"/>
      <c r="E131" s="1"/>
      <c r="F131" s="114" t="s">
        <v>32</v>
      </c>
      <c r="G131" s="118">
        <v>82800</v>
      </c>
      <c r="H131" s="156" t="s">
        <v>99</v>
      </c>
      <c r="I131" s="3"/>
      <c r="J131" s="3"/>
      <c r="K131" s="3"/>
      <c r="L131" s="3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12" t="s">
        <v>90</v>
      </c>
      <c r="B132" s="12"/>
      <c r="C132" s="28">
        <v>0</v>
      </c>
      <c r="D132" s="1"/>
      <c r="E132" s="1"/>
      <c r="F132" s="1"/>
      <c r="G132" s="163" t="s">
        <v>129</v>
      </c>
      <c r="H132" s="3"/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12" t="s">
        <v>83</v>
      </c>
      <c r="B133" s="12"/>
      <c r="C133" s="28">
        <v>0</v>
      </c>
      <c r="D133" s="1"/>
      <c r="E133" s="1"/>
      <c r="F133" s="1"/>
      <c r="G133" s="3"/>
      <c r="H133" s="3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9">
      <c r="A134" s="112" t="s">
        <v>91</v>
      </c>
      <c r="B134" s="11" t="s">
        <v>130</v>
      </c>
      <c r="C134" s="28">
        <v>64043</v>
      </c>
      <c r="D134" s="1"/>
      <c r="E134" s="1"/>
      <c r="F134" s="1"/>
      <c r="G134" s="3"/>
      <c r="H134" s="3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"/>
      <c r="B135" s="12"/>
      <c r="C135" s="3"/>
      <c r="D135" s="1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1"/>
      <c r="B136" s="31" t="s">
        <v>131</v>
      </c>
      <c r="C136" s="164">
        <v>394048</v>
      </c>
      <c r="D136" s="165" t="s">
        <v>101</v>
      </c>
      <c r="E136" s="1"/>
      <c r="F136" s="1"/>
      <c r="G136" s="3"/>
      <c r="H136" s="3"/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1"/>
      <c r="B137" s="134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135"/>
      <c r="B138" s="136"/>
      <c r="C138" s="137"/>
      <c r="D138" s="13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58" t="s">
        <v>109</v>
      </c>
      <c r="B139" s="134"/>
      <c r="C139" s="28" t="s">
        <v>70</v>
      </c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12" t="s">
        <v>110</v>
      </c>
      <c r="B140" s="11" t="s">
        <v>88</v>
      </c>
      <c r="C140" s="28">
        <v>114426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112" t="s">
        <v>111</v>
      </c>
      <c r="B141" s="11" t="s">
        <v>86</v>
      </c>
      <c r="C141" s="28">
        <v>313568</v>
      </c>
      <c r="D141" s="1"/>
      <c r="E141" s="1"/>
      <c r="F141" s="1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12" t="s">
        <v>92</v>
      </c>
      <c r="B142" s="11" t="s">
        <v>125</v>
      </c>
      <c r="C142" s="28">
        <v>24070</v>
      </c>
      <c r="D142" s="1"/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"/>
      <c r="B143" s="12"/>
      <c r="C143" s="3"/>
      <c r="D143" s="1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31" t="s">
        <v>132</v>
      </c>
      <c r="C144" s="164">
        <v>452065</v>
      </c>
      <c r="D144" s="165" t="s">
        <v>101</v>
      </c>
      <c r="E144" s="35"/>
      <c r="F144" s="3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12"/>
      <c r="C145" s="3"/>
      <c r="D145" s="1"/>
      <c r="E145" s="1"/>
      <c r="F145" s="1"/>
      <c r="G145" s="3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"/>
      <c r="B146" s="12"/>
      <c r="C146" s="37"/>
      <c r="D146" s="35"/>
      <c r="E146" s="1"/>
      <c r="F146" s="1"/>
      <c r="G146" s="3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"/>
      <c r="B147" s="12"/>
      <c r="C147" s="3"/>
      <c r="D147" s="1"/>
      <c r="E147" s="1"/>
      <c r="F147" s="1"/>
      <c r="G147" s="138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"/>
      <c r="B148" s="12"/>
      <c r="C148" s="3"/>
      <c r="D148" s="1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1"/>
      <c r="B149" s="12"/>
      <c r="C149" s="3"/>
      <c r="D149" s="1"/>
      <c r="E149" s="1"/>
      <c r="F149" s="1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1"/>
      <c r="B150" s="12"/>
      <c r="C150" s="3"/>
      <c r="D150" s="1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"/>
      <c r="B151" s="12"/>
      <c r="C151" s="3"/>
      <c r="D151" s="1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1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1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1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1</v>
      </c>
      <c r="B2" s="1"/>
      <c r="C2" s="3"/>
      <c r="D2" s="5">
        <f>2153650+17426518</f>
        <v>19580168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2</v>
      </c>
      <c r="B3" s="8">
        <f>0.5%</f>
        <v>5.0000000000000001E-3</v>
      </c>
      <c r="C3" s="3"/>
      <c r="D3" s="10">
        <f>D2*B3</f>
        <v>97900.84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6">
        <v>124</v>
      </c>
      <c r="C6" s="18">
        <f>B6*B13</f>
        <v>33535.094364640885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6">
        <v>121</v>
      </c>
      <c r="C7" s="18">
        <f>B7*B13</f>
        <v>32723.76143646409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2" t="s">
        <v>11</v>
      </c>
      <c r="B8" s="16">
        <v>117</v>
      </c>
      <c r="C8" s="18">
        <f>B8*B13</f>
        <v>31641.984198895028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13</v>
      </c>
      <c r="B12" s="30">
        <f t="shared" ref="B12:C12" si="0">SUM(B6:B11)</f>
        <v>362</v>
      </c>
      <c r="C12" s="32">
        <f t="shared" si="0"/>
        <v>97900.84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3" t="s">
        <v>14</v>
      </c>
      <c r="B13" s="34">
        <f>D3/B12</f>
        <v>270.44430939226521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 t="s">
        <v>16</v>
      </c>
      <c r="B17" s="1"/>
      <c r="C17" s="3"/>
      <c r="D17" s="5">
        <f>5373189+28079209</f>
        <v>33452398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2</v>
      </c>
      <c r="B18" s="8">
        <f>0.5%</f>
        <v>5.0000000000000001E-3</v>
      </c>
      <c r="C18" s="3"/>
      <c r="D18" s="38">
        <f>D17*B18</f>
        <v>167261.99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4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6">
        <v>107</v>
      </c>
      <c r="C21" s="18">
        <f>B21*B26</f>
        <v>59261.698443708614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6">
        <v>113</v>
      </c>
      <c r="C22" s="18">
        <f>B22*B26</f>
        <v>62584.784337748344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50"/>
      <c r="B23" s="24"/>
      <c r="C23" s="18">
        <f>B23*B26</f>
        <v>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51" t="s">
        <v>29</v>
      </c>
      <c r="B24" s="52">
        <v>82</v>
      </c>
      <c r="C24" s="18">
        <f>B24*B26</f>
        <v>45415.507218543047</v>
      </c>
      <c r="D24" s="54">
        <f>+C24+C88</f>
        <v>54834.710045398169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" t="s">
        <v>13</v>
      </c>
      <c r="B25" s="30">
        <f t="shared" ref="B25:C25" si="1">SUM(B21:B24)</f>
        <v>302</v>
      </c>
      <c r="C25" s="32">
        <f t="shared" si="1"/>
        <v>167261.99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33" t="s">
        <v>14</v>
      </c>
      <c r="B26" s="34">
        <f>D18/B25</f>
        <v>553.84764900662253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4" t="s">
        <v>30</v>
      </c>
      <c r="B30" s="1"/>
      <c r="C30" s="3"/>
      <c r="D30" s="5">
        <f>3594190+25879956</f>
        <v>29474146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" t="s">
        <v>2</v>
      </c>
      <c r="B31" s="8">
        <f>0.5%</f>
        <v>5.0000000000000001E-3</v>
      </c>
      <c r="C31" s="3"/>
      <c r="D31" s="38">
        <f>D30*B31</f>
        <v>147370.73000000001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4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132</v>
      </c>
      <c r="C34" s="18">
        <f>B34*B40</f>
        <v>54186.452256267417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34</v>
      </c>
      <c r="B35" s="57">
        <v>46</v>
      </c>
      <c r="C35" s="18">
        <f>B35*B40</f>
        <v>18883.157604456828</v>
      </c>
      <c r="D35" s="54">
        <f>+C35+C117</f>
        <v>22620.618611651073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132</v>
      </c>
      <c r="C36" s="18">
        <f>B36*B40</f>
        <v>54186.452256267417</v>
      </c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4" t="s">
        <v>31</v>
      </c>
      <c r="B37" s="57">
        <v>4</v>
      </c>
      <c r="C37" s="18">
        <f>B37*B40</f>
        <v>1642.0137047353762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60" t="s">
        <v>41</v>
      </c>
      <c r="B38" s="62">
        <v>45</v>
      </c>
      <c r="C38" s="64">
        <f>B38*B40</f>
        <v>18472.654178272984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" t="s">
        <v>13</v>
      </c>
      <c r="B39" s="32">
        <f t="shared" ref="B39:C39" si="2">SUM(B34:B38)</f>
        <v>359</v>
      </c>
      <c r="C39" s="32">
        <f t="shared" si="2"/>
        <v>147370.73000000004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3.5">
      <c r="A40" s="33" t="s">
        <v>14</v>
      </c>
      <c r="B40" s="34">
        <f>D31/B39</f>
        <v>410.50342618384406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35"/>
      <c r="B42" s="36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1"/>
    </row>
    <row r="43" spans="1:26" ht="14.5">
      <c r="A43" s="1"/>
      <c r="B43" s="1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4" t="s">
        <v>40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 t="s">
        <v>2</v>
      </c>
      <c r="B45" s="8">
        <f>0.5%</f>
        <v>5.0000000000000001E-3</v>
      </c>
      <c r="C45" s="3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3"/>
      <c r="D46" s="38">
        <f>D45*B45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4" t="s">
        <v>5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7"/>
      <c r="B48" s="68"/>
      <c r="C48" s="18" t="e">
        <f>B48*B51</f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9"/>
      <c r="B49" s="68"/>
      <c r="C49" s="18" t="e">
        <f>B49*B51</f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1" t="s">
        <v>13</v>
      </c>
      <c r="B50" s="32">
        <f>SUM(B48:B49)</f>
        <v>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3.5">
      <c r="A51" s="33" t="s">
        <v>14</v>
      </c>
      <c r="B51" s="71" t="e">
        <f>D46/B50</f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35"/>
      <c r="B53" s="35"/>
      <c r="C53" s="3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</row>
    <row r="54" spans="1:26" ht="14.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4" t="s">
        <v>42</v>
      </c>
      <c r="B55" s="1"/>
      <c r="C55" s="3"/>
      <c r="D55" s="5">
        <f>3546520+17869029</f>
        <v>21415549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 t="s">
        <v>2</v>
      </c>
      <c r="B56" s="8">
        <f>0.5%</f>
        <v>5.0000000000000001E-3</v>
      </c>
      <c r="C56" s="3"/>
      <c r="D56" s="38">
        <f>D55*B56</f>
        <v>107077.745</v>
      </c>
      <c r="E56" s="1"/>
      <c r="F56" s="1"/>
      <c r="G56" s="1"/>
      <c r="H56" s="72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4" t="s">
        <v>5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74" t="s">
        <v>44</v>
      </c>
      <c r="B59" s="16">
        <v>115</v>
      </c>
      <c r="C59" s="18">
        <f>B59*B63</f>
        <v>47914.166050583655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74" t="s">
        <v>45</v>
      </c>
      <c r="B60" s="16">
        <v>73</v>
      </c>
      <c r="C60" s="18">
        <f>B60*B63</f>
        <v>30415.079319066146</v>
      </c>
      <c r="D60" s="76">
        <f t="shared" ref="D60:D61" si="3">+C60+C90</f>
        <v>38787.704054048481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74" t="s">
        <v>47</v>
      </c>
      <c r="B61" s="42">
        <v>69</v>
      </c>
      <c r="C61" s="18">
        <f>B61*B63</f>
        <v>28748.49963035019</v>
      </c>
      <c r="D61" s="76">
        <f t="shared" si="3"/>
        <v>38167.70245720532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" t="s">
        <v>13</v>
      </c>
      <c r="B62" s="30">
        <f t="shared" ref="B62:C62" si="4">SUM(B59:B61)</f>
        <v>257</v>
      </c>
      <c r="C62" s="32">
        <f t="shared" si="4"/>
        <v>107077.745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3.5">
      <c r="A63" s="33" t="s">
        <v>14</v>
      </c>
      <c r="B63" s="34">
        <f>D56/B62</f>
        <v>416.64492217898828</v>
      </c>
      <c r="C63" s="3"/>
      <c r="D63" s="1"/>
      <c r="E63" s="1"/>
      <c r="F63" s="1"/>
      <c r="G63" s="1"/>
      <c r="H63" s="12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35"/>
      <c r="B65" s="35"/>
      <c r="C65" s="37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1"/>
    </row>
    <row r="66" spans="1:26" ht="14.5">
      <c r="A66" s="1"/>
      <c r="B66" s="1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4" t="s">
        <v>49</v>
      </c>
      <c r="B67" s="1"/>
      <c r="C67" s="3"/>
      <c r="D67" s="5">
        <f>6600820+47801069</f>
        <v>54401889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 t="s">
        <v>2</v>
      </c>
      <c r="B68" s="8">
        <f>0.5%</f>
        <v>5.0000000000000001E-3</v>
      </c>
      <c r="C68" s="3"/>
      <c r="D68" s="38">
        <f>D67*B68</f>
        <v>272009.44500000001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4" t="s">
        <v>5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4" t="s">
        <v>41</v>
      </c>
      <c r="B71" s="16">
        <v>82</v>
      </c>
      <c r="C71" s="18">
        <f>B71*B80</f>
        <v>40480.534464609802</v>
      </c>
      <c r="D71" s="54">
        <f>+C71+C38</f>
        <v>58953.188642882786</v>
      </c>
      <c r="E71" s="1"/>
      <c r="F71" s="240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4" t="s">
        <v>50</v>
      </c>
      <c r="B72" s="16">
        <v>117</v>
      </c>
      <c r="C72" s="18">
        <f>B72*B80</f>
        <v>57758.811370235941</v>
      </c>
      <c r="D72" s="54">
        <f>+C72+C102</f>
        <v>58903.687733872306</v>
      </c>
      <c r="E72" s="1"/>
      <c r="F72" s="241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51</v>
      </c>
      <c r="B73" s="57">
        <v>132</v>
      </c>
      <c r="C73" s="18">
        <f>B73*B80</f>
        <v>65163.787186932852</v>
      </c>
      <c r="D73" s="3"/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55</v>
      </c>
      <c r="B74" s="57">
        <v>0</v>
      </c>
      <c r="C74" s="18">
        <f>B74*B80</f>
        <v>0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53</v>
      </c>
      <c r="B75" s="57">
        <v>18</v>
      </c>
      <c r="C75" s="18">
        <f>B75*B80</f>
        <v>8885.970980036298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28" t="s">
        <v>39</v>
      </c>
      <c r="B76" s="57">
        <v>117</v>
      </c>
      <c r="C76" s="18">
        <f>B76*B80</f>
        <v>57758.811370235941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20" t="s">
        <v>67</v>
      </c>
      <c r="B77" s="62">
        <v>42</v>
      </c>
      <c r="C77" s="64">
        <f>B77*B80</f>
        <v>20733.932286751362</v>
      </c>
      <c r="D77" s="3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20" t="s">
        <v>59</v>
      </c>
      <c r="B78" s="57">
        <v>43</v>
      </c>
      <c r="C78" s="18">
        <f>B78*B80</f>
        <v>21227.597341197823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" t="s">
        <v>13</v>
      </c>
      <c r="B79" s="30">
        <f t="shared" ref="B79:C79" si="5">SUM(B71:B78)</f>
        <v>551</v>
      </c>
      <c r="C79" s="32">
        <f t="shared" si="5"/>
        <v>272009.44500000001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43.5">
      <c r="A80" s="33" t="s">
        <v>14</v>
      </c>
      <c r="B80" s="34">
        <f>D68/B79</f>
        <v>493.665054446461</v>
      </c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/>
      <c r="B81" s="1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35"/>
      <c r="B82" s="36"/>
      <c r="C82" s="37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4" t="s">
        <v>54</v>
      </c>
      <c r="B84" s="1"/>
      <c r="C84" s="3"/>
      <c r="D84" s="78">
        <f>1469850+13339230</f>
        <v>14809080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1" t="s">
        <v>2</v>
      </c>
      <c r="B85" s="8">
        <f>0.5%</f>
        <v>5.0000000000000001E-3</v>
      </c>
      <c r="C85" s="3"/>
      <c r="D85" s="79">
        <f>D84*B85</f>
        <v>74045.400000000009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"/>
      <c r="B86" s="1"/>
      <c r="C86" s="3"/>
      <c r="D86" s="3"/>
      <c r="E86" s="1"/>
      <c r="F86" s="1"/>
      <c r="G86" s="1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4" t="s">
        <v>5</v>
      </c>
      <c r="B87" s="1"/>
      <c r="C87" s="3"/>
      <c r="D87" s="3"/>
      <c r="E87" s="1"/>
      <c r="F87" s="1"/>
      <c r="G87" s="1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4" t="s">
        <v>29</v>
      </c>
      <c r="B88" s="80">
        <v>36</v>
      </c>
      <c r="C88" s="64">
        <f>B88*B94</f>
        <v>9419.2028268551257</v>
      </c>
      <c r="D88" s="1"/>
      <c r="E88" s="1"/>
      <c r="F88" s="3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20" t="s">
        <v>63</v>
      </c>
      <c r="B89" s="57">
        <v>112</v>
      </c>
      <c r="C89" s="18">
        <f>B89*B94</f>
        <v>29304.186572438168</v>
      </c>
      <c r="D89" s="3"/>
      <c r="E89" s="1"/>
      <c r="F89" s="3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81" t="s">
        <v>45</v>
      </c>
      <c r="B90" s="57">
        <v>32</v>
      </c>
      <c r="C90" s="18">
        <f>B90*B94</f>
        <v>8372.6247349823334</v>
      </c>
      <c r="D90" s="3"/>
      <c r="E90" s="47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74" t="s">
        <v>47</v>
      </c>
      <c r="B91" s="55">
        <v>36</v>
      </c>
      <c r="C91" s="18">
        <f>B91*B94</f>
        <v>9419.2028268551257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89" t="s">
        <v>89</v>
      </c>
      <c r="B92" s="55">
        <v>67</v>
      </c>
      <c r="C92" s="18">
        <f>B92*B94</f>
        <v>17530.183038869262</v>
      </c>
      <c r="D92" s="3"/>
      <c r="E92" s="1"/>
      <c r="F92" s="1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" t="s">
        <v>13</v>
      </c>
      <c r="B93" s="32">
        <f t="shared" ref="B93:C93" si="6">SUM(B88:B92)</f>
        <v>283</v>
      </c>
      <c r="C93" s="32">
        <f t="shared" si="6"/>
        <v>74045.400000000009</v>
      </c>
      <c r="D93" s="1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3.5">
      <c r="A94" s="33" t="s">
        <v>14</v>
      </c>
      <c r="B94" s="34">
        <f>D85/B93</f>
        <v>261.64452296819792</v>
      </c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35"/>
      <c r="B96" s="36"/>
      <c r="C96" s="3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4" t="s">
        <v>62</v>
      </c>
      <c r="B98" s="12"/>
      <c r="C98" s="3"/>
      <c r="D98" s="5">
        <f>364950+4672506</f>
        <v>5037456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 t="s">
        <v>2</v>
      </c>
      <c r="B99" s="8">
        <f>0.5%</f>
        <v>5.0000000000000001E-3</v>
      </c>
      <c r="C99" s="3"/>
      <c r="D99" s="38">
        <f>D98*B99</f>
        <v>25187.279999999999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7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4" t="s">
        <v>5</v>
      </c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4" t="s">
        <v>95</v>
      </c>
      <c r="B102" s="16">
        <v>10</v>
      </c>
      <c r="C102" s="18">
        <f>B102*B107</f>
        <v>1144.8763636363635</v>
      </c>
      <c r="D102" s="13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4" t="s">
        <v>78</v>
      </c>
      <c r="B103" s="16">
        <v>101</v>
      </c>
      <c r="C103" s="18">
        <f>B103*B107</f>
        <v>11563.251272727271</v>
      </c>
      <c r="D103" s="54">
        <f>+C103+C75</f>
        <v>20449.222252763568</v>
      </c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28" t="s">
        <v>100</v>
      </c>
      <c r="B104" s="16">
        <v>77</v>
      </c>
      <c r="C104" s="18">
        <f>B104*B107</f>
        <v>8815.5479999999989</v>
      </c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31</v>
      </c>
      <c r="B105" s="52">
        <v>32</v>
      </c>
      <c r="C105" s="18">
        <f>B105*B107</f>
        <v>3663.6043636363634</v>
      </c>
      <c r="D105" s="54">
        <f>+C105+C116+C37</f>
        <v>9173.4556223285745</v>
      </c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91" t="s">
        <v>13</v>
      </c>
      <c r="B106" s="30">
        <f t="shared" ref="B106:C106" si="7">SUM(B102:B105)</f>
        <v>220</v>
      </c>
      <c r="C106" s="32">
        <f t="shared" si="7"/>
        <v>25187.279999999999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3.5">
      <c r="A107" s="33" t="s">
        <v>14</v>
      </c>
      <c r="B107" s="34">
        <f>D99/B106</f>
        <v>114.48763636363635</v>
      </c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1"/>
      <c r="B108" s="1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35"/>
      <c r="B110" s="36"/>
      <c r="C110" s="37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4" t="s">
        <v>113</v>
      </c>
      <c r="B112" s="12"/>
      <c r="C112" s="3"/>
      <c r="D112" s="5">
        <v>4832624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" t="s">
        <v>2</v>
      </c>
      <c r="B113" s="8">
        <f>0.5%</f>
        <v>5.0000000000000001E-3</v>
      </c>
      <c r="C113" s="3"/>
      <c r="D113" s="38">
        <f>D112*B113</f>
        <v>24163.119999999999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"/>
      <c r="B114" s="7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4" t="s">
        <v>5</v>
      </c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4" t="s">
        <v>31</v>
      </c>
      <c r="B116" s="16">
        <v>89</v>
      </c>
      <c r="C116" s="18">
        <f>B116*B124</f>
        <v>3867.8375539568347</v>
      </c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6">
        <v>86</v>
      </c>
      <c r="C117" s="18">
        <f>B117*B124</f>
        <v>3737.4610071942448</v>
      </c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22" t="s">
        <v>103</v>
      </c>
      <c r="B118" s="16">
        <v>89</v>
      </c>
      <c r="C118" s="18">
        <f>B118*B12</f>
        <v>32218</v>
      </c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22" t="s">
        <v>104</v>
      </c>
      <c r="B119" s="16">
        <v>87</v>
      </c>
      <c r="C119" s="18">
        <f>B119*B124</f>
        <v>3780.9198561151079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22" t="s">
        <v>105</v>
      </c>
      <c r="B120" s="16">
        <v>88</v>
      </c>
      <c r="C120" s="18">
        <f>B120*B124</f>
        <v>3824.3787050359715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22" t="s">
        <v>106</v>
      </c>
      <c r="B121" s="16">
        <v>76</v>
      </c>
      <c r="C121" s="18">
        <f>B121*B124</f>
        <v>3302.8725179856115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89" t="s">
        <v>123</v>
      </c>
      <c r="B122" s="151">
        <v>41</v>
      </c>
      <c r="C122" s="18">
        <f>B122*B124</f>
        <v>1781.8128057553956</v>
      </c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91" t="s">
        <v>13</v>
      </c>
      <c r="B123" s="30">
        <f t="shared" ref="B123:C123" si="8">SUM(B116:B122)</f>
        <v>556</v>
      </c>
      <c r="C123" s="32">
        <f t="shared" si="8"/>
        <v>52513.282446043173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43.5">
      <c r="A124" s="33" t="s">
        <v>14</v>
      </c>
      <c r="B124" s="34">
        <f>D113/B123</f>
        <v>43.458848920863311</v>
      </c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1"/>
      <c r="B125" s="1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"/>
      <c r="B129" s="71" t="s">
        <v>69</v>
      </c>
      <c r="C129" s="32" t="s">
        <v>70</v>
      </c>
      <c r="D129" s="3"/>
      <c r="E129" s="1"/>
      <c r="F129" s="23"/>
      <c r="G129" s="93" t="s">
        <v>73</v>
      </c>
      <c r="H129" s="93" t="s">
        <v>70</v>
      </c>
      <c r="I129" s="93" t="s">
        <v>74</v>
      </c>
      <c r="J129" s="93" t="s">
        <v>75</v>
      </c>
      <c r="K129" s="94" t="s">
        <v>76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9">
      <c r="A130" s="95" t="s">
        <v>77</v>
      </c>
      <c r="B130" s="12"/>
      <c r="C130" s="32">
        <f>SUM(C144:C148)</f>
        <v>428973.98499999999</v>
      </c>
      <c r="D130" s="32">
        <v>429000</v>
      </c>
      <c r="E130" s="3"/>
      <c r="F130" s="23" t="s">
        <v>51</v>
      </c>
      <c r="G130" s="96">
        <f>B136</f>
        <v>58604767</v>
      </c>
      <c r="H130" s="97">
        <f t="shared" ref="H130:H134" si="9">+G130*0.5%</f>
        <v>293023.83500000002</v>
      </c>
      <c r="I130" s="97">
        <f>C73</f>
        <v>65163.787186932852</v>
      </c>
      <c r="J130" s="97">
        <f t="shared" ref="J130:J134" si="10">+H130-I130</f>
        <v>227860.04781306715</v>
      </c>
      <c r="K130" s="98">
        <v>227900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9">
      <c r="A131" s="95" t="s">
        <v>79</v>
      </c>
      <c r="B131" s="12"/>
      <c r="C131" s="32">
        <f>SUM(C154:C158)</f>
        <v>514292.91500000004</v>
      </c>
      <c r="D131" s="32">
        <v>514300</v>
      </c>
      <c r="E131" s="1"/>
      <c r="F131" s="68" t="s">
        <v>32</v>
      </c>
      <c r="G131" s="96">
        <f>B134</f>
        <v>31723946</v>
      </c>
      <c r="H131" s="97">
        <f t="shared" si="9"/>
        <v>158619.73000000001</v>
      </c>
      <c r="I131" s="97">
        <f>C34</f>
        <v>54186.452256267417</v>
      </c>
      <c r="J131" s="97">
        <f t="shared" si="10"/>
        <v>104433.27774373259</v>
      </c>
      <c r="K131" s="98">
        <v>104400</v>
      </c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3.5">
      <c r="A132" s="100" t="s">
        <v>81</v>
      </c>
      <c r="B132" s="101">
        <v>32348520</v>
      </c>
      <c r="C132" s="102">
        <f t="shared" ref="C132:C140" si="11">+B132*0.5%</f>
        <v>161742.6</v>
      </c>
      <c r="D132" s="32">
        <v>161700</v>
      </c>
      <c r="E132" s="1"/>
      <c r="F132" s="23" t="s">
        <v>19</v>
      </c>
      <c r="G132" s="96">
        <f t="shared" ref="G132:G133" si="12">B132</f>
        <v>32348520</v>
      </c>
      <c r="H132" s="97">
        <f t="shared" si="9"/>
        <v>161742.6</v>
      </c>
      <c r="I132" s="97">
        <f>C21</f>
        <v>59261.698443708614</v>
      </c>
      <c r="J132" s="97">
        <f t="shared" si="10"/>
        <v>102480.90155629138</v>
      </c>
      <c r="K132" s="98">
        <v>105500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43.5">
      <c r="A133" s="100" t="s">
        <v>82</v>
      </c>
      <c r="B133" s="101">
        <v>19169518</v>
      </c>
      <c r="C133" s="102">
        <f t="shared" si="11"/>
        <v>95847.59</v>
      </c>
      <c r="D133" s="30">
        <v>95800</v>
      </c>
      <c r="E133" s="1"/>
      <c r="F133" s="23" t="s">
        <v>6</v>
      </c>
      <c r="G133" s="96">
        <f t="shared" si="12"/>
        <v>19169518</v>
      </c>
      <c r="H133" s="97">
        <f t="shared" si="9"/>
        <v>95847.59</v>
      </c>
      <c r="I133" s="97">
        <f>C6</f>
        <v>33535.094364640885</v>
      </c>
      <c r="J133" s="97">
        <f t="shared" si="10"/>
        <v>62312.495635359111</v>
      </c>
      <c r="K133" s="98">
        <v>62300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43.5">
      <c r="A134" s="106" t="s">
        <v>84</v>
      </c>
      <c r="B134" s="107">
        <v>31723946</v>
      </c>
      <c r="C134" s="109">
        <f t="shared" si="11"/>
        <v>158619.73000000001</v>
      </c>
      <c r="D134" s="30">
        <v>158600</v>
      </c>
      <c r="E134" s="1"/>
      <c r="F134" s="23" t="s">
        <v>44</v>
      </c>
      <c r="G134" s="96">
        <f>B135</f>
        <v>19749649</v>
      </c>
      <c r="H134" s="97">
        <f t="shared" si="9"/>
        <v>98748.244999999995</v>
      </c>
      <c r="I134" s="97">
        <f>C59</f>
        <v>47914.166050583655</v>
      </c>
      <c r="J134" s="97">
        <f t="shared" si="10"/>
        <v>50834.07894941634</v>
      </c>
      <c r="K134" s="98">
        <v>50800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3.5">
      <c r="A135" s="111" t="s">
        <v>85</v>
      </c>
      <c r="B135" s="113">
        <v>19749649</v>
      </c>
      <c r="C135" s="115">
        <f t="shared" si="11"/>
        <v>98748.244999999995</v>
      </c>
      <c r="D135" s="30">
        <v>98700</v>
      </c>
      <c r="E135" s="1"/>
      <c r="F135" s="1"/>
      <c r="G135" s="1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43.5">
      <c r="A136" s="95" t="s">
        <v>87</v>
      </c>
      <c r="B136" s="121">
        <v>58604767</v>
      </c>
      <c r="C136" s="32">
        <f t="shared" si="11"/>
        <v>293023.83500000002</v>
      </c>
      <c r="D136" s="30">
        <v>293000</v>
      </c>
      <c r="E136" s="1"/>
      <c r="F136" s="23"/>
      <c r="G136" s="117"/>
      <c r="H136" s="68"/>
      <c r="I136" s="68"/>
      <c r="J136" s="68"/>
      <c r="K136" s="11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9">
      <c r="A137" s="95" t="s">
        <v>91</v>
      </c>
      <c r="B137" s="121">
        <v>14527110</v>
      </c>
      <c r="C137" s="32">
        <f t="shared" si="11"/>
        <v>72635.55</v>
      </c>
      <c r="D137" s="30">
        <v>72600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95" t="s">
        <v>92</v>
      </c>
      <c r="B138" s="121">
        <v>5985346</v>
      </c>
      <c r="C138" s="32">
        <f t="shared" si="11"/>
        <v>29926.73</v>
      </c>
      <c r="D138" s="30">
        <v>29900</v>
      </c>
      <c r="E138" s="1"/>
      <c r="F138" s="242" t="s">
        <v>122</v>
      </c>
      <c r="G138" s="24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95" t="s">
        <v>133</v>
      </c>
      <c r="B139" s="34">
        <v>6544524</v>
      </c>
      <c r="C139" s="32">
        <f t="shared" si="11"/>
        <v>32722.62</v>
      </c>
      <c r="D139" s="30">
        <v>32700</v>
      </c>
      <c r="E139" s="1"/>
      <c r="F139" s="23" t="s">
        <v>77</v>
      </c>
      <c r="G139" s="97">
        <f t="shared" ref="G139:G140" si="13">D130</f>
        <v>429000</v>
      </c>
      <c r="H139" s="3"/>
      <c r="I139" s="1"/>
      <c r="J139" s="1"/>
      <c r="K139" s="1"/>
      <c r="L139" s="1"/>
      <c r="M139" s="1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"/>
      <c r="B140" s="12"/>
      <c r="C140" s="32">
        <f t="shared" si="11"/>
        <v>0</v>
      </c>
      <c r="D140" s="166"/>
      <c r="E140" s="1"/>
      <c r="F140" s="23" t="s">
        <v>79</v>
      </c>
      <c r="G140" s="97">
        <f t="shared" si="13"/>
        <v>514300</v>
      </c>
      <c r="H140" s="1"/>
      <c r="I140" s="244"/>
      <c r="J140" s="245"/>
      <c r="K140" s="246"/>
      <c r="L140" s="125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1"/>
      <c r="B141" s="12"/>
      <c r="C141" s="18">
        <f t="shared" ref="C141:D141" si="14">SUM(C130:C140)</f>
        <v>1886533.8</v>
      </c>
      <c r="D141" s="126">
        <f t="shared" si="14"/>
        <v>1886300</v>
      </c>
      <c r="E141" s="1"/>
      <c r="F141" s="23" t="s">
        <v>19</v>
      </c>
      <c r="G141" s="97">
        <f>K132</f>
        <v>105500</v>
      </c>
      <c r="H141" s="3" t="s">
        <v>126</v>
      </c>
      <c r="I141" s="247"/>
      <c r="J141" s="241"/>
      <c r="K141" s="248"/>
      <c r="L141" s="125"/>
      <c r="M141" s="1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"/>
      <c r="B142" s="12"/>
      <c r="C142" s="3"/>
      <c r="D142" s="1"/>
      <c r="E142" s="1"/>
      <c r="F142" s="23" t="s">
        <v>6</v>
      </c>
      <c r="G142" s="97">
        <f>K133-9790</f>
        <v>52510</v>
      </c>
      <c r="H142" s="1" t="s">
        <v>127</v>
      </c>
      <c r="I142" s="247"/>
      <c r="J142" s="241"/>
      <c r="K142" s="248"/>
      <c r="L142" s="125"/>
      <c r="M142" s="1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27" t="s">
        <v>93</v>
      </c>
      <c r="B143" s="12"/>
      <c r="C143" s="32" t="s">
        <v>70</v>
      </c>
      <c r="D143" s="1"/>
      <c r="E143" s="1"/>
      <c r="F143" s="23" t="s">
        <v>44</v>
      </c>
      <c r="G143" s="97">
        <f>K134</f>
        <v>50800</v>
      </c>
      <c r="H143" s="3" t="s">
        <v>128</v>
      </c>
      <c r="I143" s="249"/>
      <c r="J143" s="250"/>
      <c r="K143" s="251"/>
      <c r="L143" s="125"/>
      <c r="M143" s="1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95" t="s">
        <v>94</v>
      </c>
      <c r="B144" s="10">
        <f>B133</f>
        <v>19169518</v>
      </c>
      <c r="C144" s="32">
        <f t="shared" ref="C144:C148" si="15">B144*0.5%</f>
        <v>95847.59</v>
      </c>
      <c r="D144" s="1"/>
      <c r="E144" s="1"/>
      <c r="F144" s="23"/>
      <c r="G144" s="129">
        <f>D134*0</f>
        <v>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95" t="s">
        <v>96</v>
      </c>
      <c r="B145" s="10">
        <f>B132</f>
        <v>32348520</v>
      </c>
      <c r="C145" s="32">
        <f t="shared" si="15"/>
        <v>161742.6</v>
      </c>
      <c r="D145" s="1"/>
      <c r="E145" s="1"/>
      <c r="F145" s="23" t="s">
        <v>51</v>
      </c>
      <c r="G145" s="97">
        <f t="shared" ref="G145:G146" si="16">K130</f>
        <v>227900</v>
      </c>
      <c r="H145" s="3" t="s">
        <v>97</v>
      </c>
      <c r="I145" s="3"/>
      <c r="J145" s="3"/>
      <c r="K145" s="3"/>
      <c r="L145" s="1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95" t="s">
        <v>98</v>
      </c>
      <c r="B146" s="10">
        <f>B135</f>
        <v>19749649</v>
      </c>
      <c r="C146" s="32">
        <f t="shared" si="15"/>
        <v>98748.244999999995</v>
      </c>
      <c r="D146" s="1"/>
      <c r="E146" s="1"/>
      <c r="F146" s="23" t="s">
        <v>32</v>
      </c>
      <c r="G146" s="97">
        <f t="shared" si="16"/>
        <v>104400</v>
      </c>
      <c r="H146" s="3" t="s">
        <v>99</v>
      </c>
      <c r="I146" s="3"/>
      <c r="J146" s="3"/>
      <c r="K146" s="3"/>
      <c r="L146" s="3"/>
      <c r="M146" s="1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9">
      <c r="A147" s="95" t="s">
        <v>91</v>
      </c>
      <c r="B147" s="10">
        <f>B137</f>
        <v>14527110</v>
      </c>
      <c r="C147" s="32">
        <f t="shared" si="15"/>
        <v>72635.55</v>
      </c>
      <c r="D147" s="1"/>
      <c r="E147" s="1"/>
      <c r="F147" s="1"/>
      <c r="G147" s="131">
        <f>SUM(G139:G146)</f>
        <v>1484410</v>
      </c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"/>
      <c r="B148" s="12"/>
      <c r="C148" s="32">
        <f t="shared" si="15"/>
        <v>0</v>
      </c>
      <c r="D148" s="1"/>
      <c r="E148" s="1"/>
      <c r="F148" s="1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1"/>
      <c r="B149" s="12"/>
      <c r="C149" s="3"/>
      <c r="D149" s="1"/>
      <c r="E149" s="1"/>
      <c r="F149" s="89" t="s">
        <v>138</v>
      </c>
      <c r="G149" s="18">
        <f>G139+G141+G142+G143</f>
        <v>637810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1"/>
      <c r="B150" s="34">
        <f>SUM(B144:B148)</f>
        <v>85794797</v>
      </c>
      <c r="C150" s="132">
        <f>SUM(C144:C149)</f>
        <v>428973.98499999999</v>
      </c>
      <c r="D150" s="171" t="s">
        <v>101</v>
      </c>
      <c r="E150" s="1"/>
      <c r="F150" s="89" t="s">
        <v>139</v>
      </c>
      <c r="G150" s="18">
        <f>G140+G145+G146</f>
        <v>846600</v>
      </c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"/>
      <c r="B151" s="134"/>
      <c r="C151" s="3"/>
      <c r="D151" s="1"/>
      <c r="E151" s="1"/>
      <c r="F151" s="23"/>
      <c r="G151" s="18">
        <f>SUM(G149:G150)</f>
        <v>1484410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35"/>
      <c r="B152" s="136"/>
      <c r="C152" s="137"/>
      <c r="D152" s="13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27" t="s">
        <v>109</v>
      </c>
      <c r="B153" s="134"/>
      <c r="C153" s="32" t="s">
        <v>70</v>
      </c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95" t="s">
        <v>110</v>
      </c>
      <c r="B154" s="10">
        <f>B134</f>
        <v>31723946</v>
      </c>
      <c r="C154" s="32">
        <f t="shared" ref="C154:C157" si="17">B154*0.5%</f>
        <v>158619.73000000001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95" t="s">
        <v>111</v>
      </c>
      <c r="B155" s="10">
        <f>B136</f>
        <v>58604767</v>
      </c>
      <c r="C155" s="32">
        <f t="shared" si="17"/>
        <v>293023.83500000002</v>
      </c>
      <c r="D155" s="1"/>
      <c r="E155" s="1"/>
      <c r="F155" s="1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95" t="s">
        <v>92</v>
      </c>
      <c r="B156" s="10">
        <f t="shared" ref="B156:B157" si="18">B138</f>
        <v>5985346</v>
      </c>
      <c r="C156" s="32">
        <f t="shared" si="17"/>
        <v>29926.73</v>
      </c>
      <c r="D156" s="1"/>
      <c r="E156" s="1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95" t="s">
        <v>133</v>
      </c>
      <c r="B157" s="10">
        <f t="shared" si="18"/>
        <v>6544524</v>
      </c>
      <c r="C157" s="32">
        <f t="shared" si="17"/>
        <v>32722.62</v>
      </c>
      <c r="D157" s="1"/>
      <c r="E157" s="1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12"/>
      <c r="C158" s="3"/>
      <c r="D158" s="1"/>
      <c r="E158" s="1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34">
        <f t="shared" ref="B159:C159" si="19">SUM(B154:B158)</f>
        <v>102858583</v>
      </c>
      <c r="C159" s="132">
        <f t="shared" si="19"/>
        <v>514292.91500000004</v>
      </c>
      <c r="D159" s="171" t="s">
        <v>101</v>
      </c>
      <c r="E159" s="35"/>
      <c r="F159" s="3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1"/>
      <c r="B160" s="12"/>
      <c r="C160" s="3"/>
      <c r="D160" s="1"/>
      <c r="E160" s="1"/>
      <c r="F160" s="1"/>
      <c r="G160" s="3"/>
      <c r="H160" s="1"/>
      <c r="I160" s="1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1"/>
      <c r="B161" s="12"/>
      <c r="C161" s="37"/>
      <c r="D161" s="35"/>
      <c r="E161" s="1"/>
      <c r="F161" s="1"/>
      <c r="G161" s="3"/>
      <c r="H161" s="1"/>
      <c r="I161" s="1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1"/>
      <c r="B162" s="12"/>
      <c r="C162" s="3"/>
      <c r="D162" s="1"/>
      <c r="E162" s="1"/>
      <c r="F162" s="1"/>
      <c r="G162" s="138"/>
      <c r="H162" s="1"/>
      <c r="I162" s="1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12"/>
      <c r="C163" s="3"/>
      <c r="D163" s="1"/>
      <c r="E163" s="1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12"/>
      <c r="C164" s="3"/>
      <c r="D164" s="1"/>
      <c r="E164" s="1"/>
      <c r="F164" s="1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12"/>
      <c r="C165" s="3"/>
      <c r="D165" s="1"/>
      <c r="E165" s="1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12"/>
      <c r="C166" s="3"/>
      <c r="D166" s="1"/>
      <c r="E166" s="1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1:F72"/>
    <mergeCell ref="F138:G138"/>
    <mergeCell ref="I140:K14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1</v>
      </c>
      <c r="B2" s="1"/>
      <c r="C2" s="3"/>
      <c r="D2" s="5">
        <f>1743000+17852600</f>
        <v>19595600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2</v>
      </c>
      <c r="B3" s="8">
        <f>0.5%</f>
        <v>5.0000000000000001E-3</v>
      </c>
      <c r="C3" s="3"/>
      <c r="D3" s="10">
        <f>D2*B3</f>
        <v>97978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6">
        <v>112</v>
      </c>
      <c r="C6" s="18">
        <f>B6*B13</f>
        <v>32370.312684365781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6">
        <v>115</v>
      </c>
      <c r="C7" s="18">
        <f>B7*B13</f>
        <v>33237.374631268438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2" t="s">
        <v>11</v>
      </c>
      <c r="B8" s="16">
        <v>112</v>
      </c>
      <c r="C8" s="18">
        <f>B8*B13</f>
        <v>32370.312684365781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13</v>
      </c>
      <c r="B12" s="30">
        <f t="shared" ref="B12:C12" si="0">SUM(B6:B11)</f>
        <v>339</v>
      </c>
      <c r="C12" s="32">
        <f t="shared" si="0"/>
        <v>97978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3" t="s">
        <v>14</v>
      </c>
      <c r="B13" s="34">
        <f>D3/B12</f>
        <v>289.02064896755161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 t="s">
        <v>16</v>
      </c>
      <c r="B17" s="1"/>
      <c r="C17" s="3"/>
      <c r="D17" s="5">
        <f>3469310+52528750</f>
        <v>55998060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2</v>
      </c>
      <c r="B18" s="8">
        <f>0.5%</f>
        <v>5.0000000000000001E-3</v>
      </c>
      <c r="C18" s="3"/>
      <c r="D18" s="38">
        <f>D17*B18</f>
        <v>279990.3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4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6">
        <v>111</v>
      </c>
      <c r="C21" s="18">
        <f>B21*B26</f>
        <v>93894.028096676731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6">
        <v>108</v>
      </c>
      <c r="C22" s="18">
        <f>B22*B26</f>
        <v>91356.351661631415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50"/>
      <c r="B23" s="24"/>
      <c r="C23" s="18">
        <f>B23*B26</f>
        <v>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51" t="s">
        <v>29</v>
      </c>
      <c r="B24" s="52">
        <v>112</v>
      </c>
      <c r="C24" s="18">
        <f>B24*B26</f>
        <v>94739.920241691842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" t="s">
        <v>13</v>
      </c>
      <c r="B25" s="30">
        <f t="shared" ref="B25:C25" si="1">SUM(B21:B24)</f>
        <v>331</v>
      </c>
      <c r="C25" s="32">
        <f t="shared" si="1"/>
        <v>279990.3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33" t="s">
        <v>14</v>
      </c>
      <c r="B26" s="34">
        <f>D18/B25</f>
        <v>845.89214501510571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4" t="s">
        <v>30</v>
      </c>
      <c r="B30" s="1"/>
      <c r="C30" s="3"/>
      <c r="D30" s="5">
        <f>5774000+29050805</f>
        <v>34824805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" t="s">
        <v>2</v>
      </c>
      <c r="B31" s="8">
        <f>0.5%</f>
        <v>5.0000000000000001E-3</v>
      </c>
      <c r="C31" s="3"/>
      <c r="D31" s="38">
        <f>D30*B31</f>
        <v>174124.02499999999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4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127</v>
      </c>
      <c r="C34" s="18">
        <f>B34*B39</f>
        <v>59928.864972899726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36</v>
      </c>
      <c r="B35" s="57">
        <v>113</v>
      </c>
      <c r="C35" s="18">
        <f>B35*B39</f>
        <v>53322.533401084009</v>
      </c>
      <c r="D35" s="66">
        <f>+C35+C75</f>
        <v>62204.72109578806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23" t="s">
        <v>39</v>
      </c>
      <c r="B36" s="57">
        <v>118</v>
      </c>
      <c r="C36" s="18">
        <f>B36*B39</f>
        <v>55681.937533875331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60" t="s">
        <v>41</v>
      </c>
      <c r="B37" s="62">
        <v>11</v>
      </c>
      <c r="C37" s="64">
        <f>B37*B39</f>
        <v>5190.6890921409213</v>
      </c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" t="s">
        <v>13</v>
      </c>
      <c r="B38" s="32">
        <f t="shared" ref="B38:C38" si="2">SUM(B34:B37)</f>
        <v>369</v>
      </c>
      <c r="C38" s="32">
        <f t="shared" si="2"/>
        <v>174124.02500000002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3.5">
      <c r="A39" s="33" t="s">
        <v>14</v>
      </c>
      <c r="B39" s="34">
        <f>D31/B38</f>
        <v>471.88082655826554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"/>
      <c r="B40" s="1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35"/>
      <c r="B41" s="36"/>
      <c r="C41" s="37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4" t="s">
        <v>40</v>
      </c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1" t="s">
        <v>2</v>
      </c>
      <c r="B44" s="8">
        <f>0.5%</f>
        <v>5.0000000000000001E-3</v>
      </c>
      <c r="C44" s="3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/>
      <c r="B45" s="1"/>
      <c r="C45" s="3"/>
      <c r="D45" s="38">
        <f>D44*B44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4" t="s">
        <v>5</v>
      </c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67"/>
      <c r="B47" s="68"/>
      <c r="C47" s="18" t="e">
        <f>B47*B50</f>
        <v>#DIV/0!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9"/>
      <c r="B48" s="68"/>
      <c r="C48" s="18" t="e">
        <f>B48*B50</f>
        <v>#DIV/0!</v>
      </c>
      <c r="D48" s="1"/>
      <c r="E48" s="1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1" t="s">
        <v>13</v>
      </c>
      <c r="B49" s="32">
        <f>SUM(B47:B48)</f>
        <v>0</v>
      </c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3.5">
      <c r="A50" s="33" t="s">
        <v>14</v>
      </c>
      <c r="B50" s="71" t="e">
        <f>D45/B49</f>
        <v>#DIV/0!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35"/>
      <c r="B52" s="35"/>
      <c r="C52" s="37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4" t="s">
        <v>42</v>
      </c>
      <c r="B54" s="1"/>
      <c r="C54" s="3"/>
      <c r="D54" s="5">
        <f>1880620+26710920</f>
        <v>28591540</v>
      </c>
      <c r="E54" s="1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1" t="s">
        <v>2</v>
      </c>
      <c r="B55" s="8">
        <f>0.5%</f>
        <v>5.0000000000000001E-3</v>
      </c>
      <c r="C55" s="3"/>
      <c r="D55" s="38">
        <f>D54*B55</f>
        <v>142957.70000000001</v>
      </c>
      <c r="E55" s="1"/>
      <c r="F55" s="1"/>
      <c r="G55" s="1"/>
      <c r="H55" s="72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/>
      <c r="B56" s="1"/>
      <c r="C56" s="3"/>
      <c r="D56" s="1"/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4" t="s">
        <v>5</v>
      </c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74" t="s">
        <v>44</v>
      </c>
      <c r="B58" s="16">
        <v>105</v>
      </c>
      <c r="C58" s="18">
        <f>B58*B62</f>
        <v>53040.842756183752</v>
      </c>
      <c r="D58" s="3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74" t="s">
        <v>45</v>
      </c>
      <c r="B59" s="16">
        <v>99</v>
      </c>
      <c r="C59" s="18">
        <f>B59*B62</f>
        <v>50009.937455830397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74" t="s">
        <v>47</v>
      </c>
      <c r="B60" s="42">
        <v>79</v>
      </c>
      <c r="C60" s="18">
        <f>B60*B62</f>
        <v>39906.919787985869</v>
      </c>
      <c r="D60" s="77">
        <f>+C60+C93</f>
        <v>49887.208457187393</v>
      </c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" t="s">
        <v>13</v>
      </c>
      <c r="B61" s="30">
        <f t="shared" ref="B61:C61" si="3">SUM(B58:B60)</f>
        <v>283</v>
      </c>
      <c r="C61" s="32">
        <f t="shared" si="3"/>
        <v>142957.70000000001</v>
      </c>
      <c r="D61" s="1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3.5">
      <c r="A62" s="33" t="s">
        <v>14</v>
      </c>
      <c r="B62" s="34">
        <f>D55/B61</f>
        <v>505.15088339222621</v>
      </c>
      <c r="C62" s="3"/>
      <c r="D62" s="1"/>
      <c r="E62" s="1"/>
      <c r="F62" s="1"/>
      <c r="G62" s="1"/>
      <c r="H62" s="12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35"/>
      <c r="B64" s="35"/>
      <c r="C64" s="37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1"/>
    </row>
    <row r="65" spans="1:26" ht="14.5">
      <c r="A65" s="1"/>
      <c r="B65" s="1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4" t="s">
        <v>49</v>
      </c>
      <c r="B66" s="1"/>
      <c r="C66" s="3"/>
      <c r="D66" s="5">
        <f>10803698+70658652</f>
        <v>81462350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1" t="s">
        <v>2</v>
      </c>
      <c r="B67" s="8">
        <f>0.5%</f>
        <v>5.0000000000000001E-3</v>
      </c>
      <c r="C67" s="3"/>
      <c r="D67" s="38">
        <f>D66*B67</f>
        <v>407311.75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4" t="s">
        <v>5</v>
      </c>
      <c r="B69" s="1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4" t="s">
        <v>41</v>
      </c>
      <c r="B70" s="16">
        <v>47</v>
      </c>
      <c r="C70" s="18">
        <f>B70*B82</f>
        <v>29818.772975077882</v>
      </c>
      <c r="D70" s="66">
        <f>+C70+C37+C134</f>
        <v>38876.712067218803</v>
      </c>
      <c r="E70" s="1"/>
      <c r="F70" s="240"/>
      <c r="G70" s="1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4" t="s">
        <v>50</v>
      </c>
      <c r="B71" s="16">
        <v>115</v>
      </c>
      <c r="C71" s="18">
        <f>B71*B82</f>
        <v>72960.827492211829</v>
      </c>
      <c r="D71" s="3"/>
      <c r="E71" s="1"/>
      <c r="F71" s="241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4" t="s">
        <v>51</v>
      </c>
      <c r="B72" s="57">
        <v>132</v>
      </c>
      <c r="C72" s="18">
        <f>B72*B82</f>
        <v>83746.341121495323</v>
      </c>
      <c r="D72" s="3"/>
      <c r="E72" s="1"/>
      <c r="F72" s="3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55</v>
      </c>
      <c r="B73" s="85"/>
      <c r="C73" s="18">
        <f>B73*B82</f>
        <v>0</v>
      </c>
      <c r="D73" s="3"/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53</v>
      </c>
      <c r="B74" s="57">
        <v>23</v>
      </c>
      <c r="C74" s="18">
        <f>B74*B82</f>
        <v>14592.165498442368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36</v>
      </c>
      <c r="B75" s="57">
        <v>14</v>
      </c>
      <c r="C75" s="18">
        <f>B75*B82</f>
        <v>8882.1876947040491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89" t="s">
        <v>39</v>
      </c>
      <c r="B76" s="57">
        <v>11</v>
      </c>
      <c r="C76" s="18">
        <f>B76*B82</f>
        <v>6978.8617601246106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89" t="s">
        <v>65</v>
      </c>
      <c r="B77" s="57">
        <v>111</v>
      </c>
      <c r="C77" s="18">
        <f>B77*B82</f>
        <v>70423.059579439243</v>
      </c>
      <c r="D77" s="3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89" t="s">
        <v>66</v>
      </c>
      <c r="B78" s="57">
        <v>53</v>
      </c>
      <c r="C78" s="18">
        <f>B78*B82</f>
        <v>33625.424844236761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0" t="s">
        <v>67</v>
      </c>
      <c r="B79" s="62">
        <v>117</v>
      </c>
      <c r="C79" s="64">
        <f>B79*B82</f>
        <v>74229.711448598129</v>
      </c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20" t="s">
        <v>59</v>
      </c>
      <c r="B80" s="57">
        <v>19</v>
      </c>
      <c r="C80" s="18">
        <f>B80*B82</f>
        <v>12054.397585669782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 t="s">
        <v>13</v>
      </c>
      <c r="B81" s="30">
        <f t="shared" ref="B81:C81" si="4">SUM(B70:B80)</f>
        <v>642</v>
      </c>
      <c r="C81" s="32">
        <f t="shared" si="4"/>
        <v>407311.74999999994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33" t="s">
        <v>14</v>
      </c>
      <c r="B82" s="34">
        <f>D67/B81</f>
        <v>634.44197819314638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4" t="s">
        <v>54</v>
      </c>
      <c r="B86" s="1"/>
      <c r="C86" s="3"/>
      <c r="D86" s="78">
        <f>1187880+20685586</f>
        <v>21873466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 t="s">
        <v>2</v>
      </c>
      <c r="B87" s="8">
        <f>0.5%</f>
        <v>5.0000000000000001E-3</v>
      </c>
      <c r="C87" s="3"/>
      <c r="D87" s="79">
        <f>D86*B87</f>
        <v>109367.33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4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04"/>
      <c r="B90" s="105"/>
      <c r="C90" s="64">
        <f>B90*B96</f>
        <v>0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20" t="s">
        <v>63</v>
      </c>
      <c r="B91" s="57">
        <v>116</v>
      </c>
      <c r="C91" s="18">
        <f>B91*B96</f>
        <v>48238.061901140689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23"/>
      <c r="B92" s="85"/>
      <c r="C92" s="18">
        <f>B92*B96</f>
        <v>0</v>
      </c>
      <c r="D92" s="3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74" t="s">
        <v>47</v>
      </c>
      <c r="B93" s="55">
        <v>24</v>
      </c>
      <c r="C93" s="18">
        <f>B93*B96</f>
        <v>9980.2886692015218</v>
      </c>
      <c r="D93" s="3"/>
      <c r="E93" s="1"/>
      <c r="F93" s="3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89" t="s">
        <v>89</v>
      </c>
      <c r="B94" s="55">
        <v>123</v>
      </c>
      <c r="C94" s="18">
        <f>B94*B96</f>
        <v>51148.979429657797</v>
      </c>
      <c r="D94" s="3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 t="s">
        <v>13</v>
      </c>
      <c r="B95" s="32">
        <f t="shared" ref="B95:C95" si="5">SUM(B90:B94)</f>
        <v>263</v>
      </c>
      <c r="C95" s="32">
        <f t="shared" si="5"/>
        <v>109367.33000000002</v>
      </c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5">
      <c r="A96" s="33" t="s">
        <v>14</v>
      </c>
      <c r="B96" s="34">
        <f>D87/B95</f>
        <v>415.84536121673005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35"/>
      <c r="B98" s="36"/>
      <c r="C98" s="3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1"/>
    </row>
    <row r="99" spans="1:26" ht="14.5">
      <c r="A99" s="1"/>
      <c r="B99" s="1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4" t="s">
        <v>62</v>
      </c>
      <c r="B100" s="12"/>
      <c r="C100" s="3"/>
      <c r="D100" s="5">
        <f>1312840+4687220</f>
        <v>6000060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 t="s">
        <v>2</v>
      </c>
      <c r="B101" s="8">
        <f>0.5%</f>
        <v>5.0000000000000001E-3</v>
      </c>
      <c r="C101" s="3"/>
      <c r="D101" s="38">
        <f>D100*B101</f>
        <v>30000.3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/>
      <c r="B102" s="7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4" t="s">
        <v>5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95</v>
      </c>
      <c r="B104" s="24"/>
      <c r="C104" s="18">
        <f>B104*B109</f>
        <v>0</v>
      </c>
      <c r="D104" s="13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78</v>
      </c>
      <c r="B105" s="16">
        <v>87</v>
      </c>
      <c r="C105" s="18">
        <f>B105*B109</f>
        <v>15000.150000000001</v>
      </c>
      <c r="D105" s="66">
        <f>+C105+C74</f>
        <v>29592.315498442367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28" t="s">
        <v>100</v>
      </c>
      <c r="B106" s="16">
        <v>87</v>
      </c>
      <c r="C106" s="18">
        <f>B106*B109</f>
        <v>15000.150000000001</v>
      </c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104"/>
      <c r="B107" s="24"/>
      <c r="C107" s="18">
        <f>B107*B109</f>
        <v>0</v>
      </c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91" t="s">
        <v>13</v>
      </c>
      <c r="B108" s="30">
        <f t="shared" ref="B108:C108" si="6">SUM(B104:B107)</f>
        <v>174</v>
      </c>
      <c r="C108" s="32">
        <f t="shared" si="6"/>
        <v>30000.300000000003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3.5">
      <c r="A109" s="33" t="s">
        <v>14</v>
      </c>
      <c r="B109" s="34">
        <f>D101/B108</f>
        <v>172.41551724137932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35"/>
      <c r="B112" s="3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1"/>
    </row>
    <row r="113" spans="1:26" ht="14.5">
      <c r="A113" s="1"/>
      <c r="B113" s="1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4" t="s">
        <v>102</v>
      </c>
      <c r="B114" s="12"/>
      <c r="C114" s="3"/>
      <c r="D114" s="5">
        <f>1910900+5404890</f>
        <v>7315790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 t="s">
        <v>2</v>
      </c>
      <c r="B115" s="8">
        <f>0.5%</f>
        <v>5.0000000000000001E-3</v>
      </c>
      <c r="C115" s="3"/>
      <c r="D115" s="38">
        <f>D114*B115</f>
        <v>36578.950000000004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"/>
      <c r="B116" s="7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" t="s">
        <v>5</v>
      </c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4" t="s">
        <v>31</v>
      </c>
      <c r="B118" s="16">
        <v>84</v>
      </c>
      <c r="C118" s="18">
        <f>B118*B126</f>
        <v>5297.6410344827591</v>
      </c>
      <c r="D118" s="77">
        <f>+C118+C147</f>
        <v>6319.4167354173387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46" t="s">
        <v>34</v>
      </c>
      <c r="B119" s="16">
        <v>126</v>
      </c>
      <c r="C119" s="18">
        <f>B119*B126</f>
        <v>7946.4615517241382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22" t="s">
        <v>103</v>
      </c>
      <c r="B120" s="16">
        <v>117</v>
      </c>
      <c r="C120" s="18">
        <f>B120*B12</f>
        <v>39663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22" t="s">
        <v>104</v>
      </c>
      <c r="B121" s="16">
        <v>12</v>
      </c>
      <c r="C121" s="18">
        <f>B121*B126</f>
        <v>756.80586206896555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22" t="s">
        <v>105</v>
      </c>
      <c r="B122" s="16">
        <v>119</v>
      </c>
      <c r="C122" s="18">
        <f>B122*B126</f>
        <v>7504.9914655172424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2" t="s">
        <v>106</v>
      </c>
      <c r="B123" s="16">
        <v>87</v>
      </c>
      <c r="C123" s="18">
        <f>B123*B126</f>
        <v>5486.8425000000007</v>
      </c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89" t="s">
        <v>107</v>
      </c>
      <c r="B124" s="52">
        <v>35</v>
      </c>
      <c r="C124" s="18">
        <f>B124*B126</f>
        <v>2207.3504310344829</v>
      </c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91" t="s">
        <v>13</v>
      </c>
      <c r="B125" s="30">
        <f t="shared" ref="B125:C125" si="7">SUM(B118:B124)</f>
        <v>580</v>
      </c>
      <c r="C125" s="32">
        <f t="shared" si="7"/>
        <v>68863.092844827581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3.5">
      <c r="A126" s="33" t="s">
        <v>14</v>
      </c>
      <c r="B126" s="34">
        <f>D115/B125</f>
        <v>63.067155172413798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35"/>
      <c r="B128" s="36"/>
      <c r="C128" s="3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1"/>
    </row>
    <row r="129" spans="1:26" ht="14.5">
      <c r="A129" s="1"/>
      <c r="B129" s="1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4" t="s">
        <v>108</v>
      </c>
      <c r="B130" s="12"/>
      <c r="C130" s="3"/>
      <c r="D130" s="5">
        <v>773450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 t="s">
        <v>2</v>
      </c>
      <c r="B131" s="8">
        <f>0.5%</f>
        <v>5.0000000000000001E-3</v>
      </c>
      <c r="C131" s="3"/>
      <c r="D131" s="38">
        <f>D130*B131</f>
        <v>3867.25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"/>
      <c r="B132" s="7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4" t="s">
        <v>5</v>
      </c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14" t="s">
        <v>41</v>
      </c>
      <c r="B134" s="16">
        <v>65</v>
      </c>
      <c r="C134" s="18">
        <f>B134*B139</f>
        <v>3867.25</v>
      </c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50"/>
      <c r="B135" s="24"/>
      <c r="C135" s="18">
        <f>B135*B139</f>
        <v>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6"/>
      <c r="B136" s="24"/>
      <c r="C136" s="18">
        <f>B136*B28</f>
        <v>0</v>
      </c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23"/>
      <c r="B137" s="24"/>
      <c r="C137" s="18">
        <f>B137*B139</f>
        <v>0</v>
      </c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91" t="s">
        <v>13</v>
      </c>
      <c r="B138" s="30">
        <f t="shared" ref="B138:C138" si="8">SUM(B134:B137)</f>
        <v>65</v>
      </c>
      <c r="C138" s="32">
        <f t="shared" si="8"/>
        <v>3867.25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5">
      <c r="A139" s="33" t="s">
        <v>14</v>
      </c>
      <c r="B139" s="34">
        <f>D131/B138</f>
        <v>59.496153846153845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"/>
      <c r="B140" s="1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35"/>
      <c r="B141" s="36"/>
      <c r="C141" s="3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1"/>
    </row>
    <row r="142" spans="1:26" ht="14.5">
      <c r="A142" s="1"/>
      <c r="B142" s="1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4" t="s">
        <v>112</v>
      </c>
      <c r="B143" s="12"/>
      <c r="C143" s="3"/>
      <c r="D143" s="5">
        <v>754000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 t="s">
        <v>2</v>
      </c>
      <c r="B144" s="8">
        <f>0.5%</f>
        <v>5.0000000000000001E-3</v>
      </c>
      <c r="C144" s="3"/>
      <c r="D144" s="38">
        <f>D143*B144</f>
        <v>3770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7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4" t="s">
        <v>5</v>
      </c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4" t="s">
        <v>31</v>
      </c>
      <c r="B147" s="16">
        <v>29</v>
      </c>
      <c r="C147" s="18">
        <f>B147*B154</f>
        <v>1021.7757009345794</v>
      </c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89" t="s">
        <v>66</v>
      </c>
      <c r="B148" s="16">
        <v>23</v>
      </c>
      <c r="C148" s="18">
        <f>B148*B154</f>
        <v>810.37383177570086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89" t="s">
        <v>107</v>
      </c>
      <c r="B149" s="16">
        <v>28</v>
      </c>
      <c r="C149" s="18">
        <f>B149*B154</f>
        <v>986.54205607476638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3"/>
      <c r="B150" s="24"/>
      <c r="C150" s="18">
        <f>B150*B154</f>
        <v>0</v>
      </c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2" t="s">
        <v>106</v>
      </c>
      <c r="B151" s="16">
        <v>27</v>
      </c>
      <c r="C151" s="18">
        <f>B151*B154</f>
        <v>951.30841121495325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26"/>
      <c r="B152" s="24"/>
      <c r="C152" s="18">
        <f>B152*B43</f>
        <v>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91" t="s">
        <v>13</v>
      </c>
      <c r="B153" s="30">
        <f t="shared" ref="B153:C153" si="9">SUM(B147:B152)</f>
        <v>107</v>
      </c>
      <c r="C153" s="32">
        <f t="shared" si="9"/>
        <v>3769.9999999999995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43.5">
      <c r="A154" s="33" t="s">
        <v>14</v>
      </c>
      <c r="B154" s="34">
        <f>D144/B153</f>
        <v>35.233644859813083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35"/>
      <c r="B156" s="36"/>
      <c r="C156" s="3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1"/>
    </row>
    <row r="157" spans="1:26" ht="14.5">
      <c r="A157" s="1"/>
      <c r="B157" s="1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71" t="s">
        <v>69</v>
      </c>
      <c r="C158" s="32" t="s">
        <v>3</v>
      </c>
      <c r="D158" s="3"/>
      <c r="E158" s="1"/>
      <c r="F158" s="23"/>
      <c r="G158" s="93" t="s">
        <v>73</v>
      </c>
      <c r="H158" s="93" t="s">
        <v>3</v>
      </c>
      <c r="I158" s="93" t="s">
        <v>74</v>
      </c>
      <c r="J158" s="93" t="s">
        <v>75</v>
      </c>
      <c r="K158" s="94" t="s">
        <v>76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95" t="s">
        <v>77</v>
      </c>
      <c r="B159" s="12"/>
      <c r="C159" s="32">
        <f>SUM(C176:C180)</f>
        <v>695560.92999999993</v>
      </c>
      <c r="D159" s="32">
        <v>695600</v>
      </c>
      <c r="E159" s="3"/>
      <c r="F159" s="23" t="s">
        <v>51</v>
      </c>
      <c r="G159" s="96">
        <f>B165</f>
        <v>84288372</v>
      </c>
      <c r="H159" s="97">
        <f t="shared" ref="H159:H163" si="10">+G159*0.5%</f>
        <v>421441.86</v>
      </c>
      <c r="I159" s="97">
        <f>C72</f>
        <v>83746.341121495323</v>
      </c>
      <c r="J159" s="97">
        <f t="shared" ref="J159:J163" si="11">+H159-I159</f>
        <v>337695.51887850463</v>
      </c>
      <c r="K159" s="98">
        <v>337700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9">
      <c r="A160" s="95" t="s">
        <v>79</v>
      </c>
      <c r="B160" s="12"/>
      <c r="C160" s="32">
        <f>SUM(C184:C189)</f>
        <v>667130.09499999986</v>
      </c>
      <c r="D160" s="32">
        <v>667100</v>
      </c>
      <c r="E160" s="1"/>
      <c r="F160" s="68" t="s">
        <v>32</v>
      </c>
      <c r="G160" s="96">
        <f>B163</f>
        <v>35080566</v>
      </c>
      <c r="H160" s="97">
        <f t="shared" si="10"/>
        <v>175402.83000000002</v>
      </c>
      <c r="I160" s="97">
        <f>C34</f>
        <v>59928.864972899726</v>
      </c>
      <c r="J160" s="97">
        <f t="shared" si="11"/>
        <v>115473.96502710029</v>
      </c>
      <c r="K160" s="98">
        <v>115500</v>
      </c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100" t="s">
        <v>81</v>
      </c>
      <c r="B161" s="101">
        <v>62909140</v>
      </c>
      <c r="C161" s="102">
        <f t="shared" ref="C161:C172" si="12">+B161*0.5%</f>
        <v>314545.7</v>
      </c>
      <c r="D161" s="32">
        <v>314500</v>
      </c>
      <c r="E161" s="1"/>
      <c r="F161" s="23" t="s">
        <v>19</v>
      </c>
      <c r="G161" s="96">
        <f t="shared" ref="G161:G162" si="13">B161</f>
        <v>62909140</v>
      </c>
      <c r="H161" s="97">
        <f t="shared" si="10"/>
        <v>314545.7</v>
      </c>
      <c r="I161" s="97">
        <f>C21</f>
        <v>93894.028096676731</v>
      </c>
      <c r="J161" s="97">
        <f t="shared" si="11"/>
        <v>220651.67190332327</v>
      </c>
      <c r="K161" s="98">
        <v>220700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100" t="s">
        <v>82</v>
      </c>
      <c r="B162" s="101">
        <v>20563510</v>
      </c>
      <c r="C162" s="102">
        <f t="shared" si="12"/>
        <v>102817.55</v>
      </c>
      <c r="D162" s="30">
        <v>102800</v>
      </c>
      <c r="E162" s="1"/>
      <c r="F162" s="23" t="s">
        <v>6</v>
      </c>
      <c r="G162" s="96">
        <f t="shared" si="13"/>
        <v>20563510</v>
      </c>
      <c r="H162" s="97">
        <f t="shared" si="10"/>
        <v>102817.55</v>
      </c>
      <c r="I162" s="97">
        <f>C6</f>
        <v>32370.312684365781</v>
      </c>
      <c r="J162" s="97">
        <f t="shared" si="11"/>
        <v>70447.237315634222</v>
      </c>
      <c r="K162" s="98">
        <v>70400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106" t="s">
        <v>84</v>
      </c>
      <c r="B163" s="107">
        <v>35080566</v>
      </c>
      <c r="C163" s="109">
        <f t="shared" si="12"/>
        <v>175402.83000000002</v>
      </c>
      <c r="D163" s="30">
        <v>175400</v>
      </c>
      <c r="E163" s="1"/>
      <c r="F163" s="23" t="s">
        <v>44</v>
      </c>
      <c r="G163" s="96">
        <f>B164</f>
        <v>31448390</v>
      </c>
      <c r="H163" s="97">
        <f t="shared" si="10"/>
        <v>157241.95000000001</v>
      </c>
      <c r="I163" s="97">
        <f>C58</f>
        <v>53040.842756183752</v>
      </c>
      <c r="J163" s="97">
        <f t="shared" si="11"/>
        <v>104201.10724381625</v>
      </c>
      <c r="K163" s="98">
        <v>104200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111" t="s">
        <v>85</v>
      </c>
      <c r="B164" s="113">
        <v>31448390</v>
      </c>
      <c r="C164" s="115">
        <f t="shared" si="12"/>
        <v>157241.95000000001</v>
      </c>
      <c r="D164" s="30">
        <v>157200</v>
      </c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3.5">
      <c r="A165" s="95" t="s">
        <v>87</v>
      </c>
      <c r="B165" s="121">
        <v>84288372</v>
      </c>
      <c r="C165" s="32">
        <f t="shared" si="12"/>
        <v>421441.86</v>
      </c>
      <c r="D165" s="30">
        <v>421400</v>
      </c>
      <c r="E165" s="1"/>
      <c r="F165" s="23"/>
      <c r="G165" s="117"/>
      <c r="H165" s="68"/>
      <c r="I165" s="68"/>
      <c r="J165" s="68"/>
      <c r="K165" s="11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9">
      <c r="A166" s="95" t="s">
        <v>91</v>
      </c>
      <c r="B166" s="121">
        <v>24191146</v>
      </c>
      <c r="C166" s="32">
        <f t="shared" si="12"/>
        <v>120955.73</v>
      </c>
      <c r="D166" s="30">
        <v>121000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95" t="s">
        <v>92</v>
      </c>
      <c r="B167" s="121">
        <v>5000090</v>
      </c>
      <c r="C167" s="32">
        <f t="shared" si="12"/>
        <v>25000.45</v>
      </c>
      <c r="D167" s="30">
        <v>25000</v>
      </c>
      <c r="E167" s="1"/>
      <c r="F167" s="242" t="s">
        <v>122</v>
      </c>
      <c r="G167" s="24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95" t="s">
        <v>133</v>
      </c>
      <c r="B168" s="34">
        <v>6889990</v>
      </c>
      <c r="C168" s="32">
        <f t="shared" si="12"/>
        <v>34449.949999999997</v>
      </c>
      <c r="D168" s="30">
        <v>34500</v>
      </c>
      <c r="E168" s="1"/>
      <c r="F168" s="23" t="s">
        <v>77</v>
      </c>
      <c r="G168" s="97">
        <f t="shared" ref="G168:G169" si="14">D159</f>
        <v>695600</v>
      </c>
      <c r="H168" s="3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95" t="s">
        <v>134</v>
      </c>
      <c r="B169" s="34">
        <v>898200</v>
      </c>
      <c r="C169" s="32">
        <f t="shared" si="12"/>
        <v>4491</v>
      </c>
      <c r="D169" s="30">
        <v>4500</v>
      </c>
      <c r="E169" s="1"/>
      <c r="F169" s="23" t="s">
        <v>79</v>
      </c>
      <c r="G169" s="97">
        <f t="shared" si="14"/>
        <v>667100</v>
      </c>
      <c r="H169" s="1"/>
      <c r="I169" s="244"/>
      <c r="J169" s="245"/>
      <c r="K169" s="246"/>
      <c r="L169" s="125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95" t="s">
        <v>135</v>
      </c>
      <c r="B170" s="34">
        <v>1268801</v>
      </c>
      <c r="C170" s="32">
        <f t="shared" si="12"/>
        <v>6344.0050000000001</v>
      </c>
      <c r="D170" s="30">
        <v>6300</v>
      </c>
      <c r="E170" s="1"/>
      <c r="F170" s="23" t="s">
        <v>19</v>
      </c>
      <c r="G170" s="97">
        <f t="shared" ref="G170:G172" si="15">K161</f>
        <v>220700</v>
      </c>
      <c r="H170" s="3" t="s">
        <v>126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f t="shared" si="12"/>
        <v>0</v>
      </c>
      <c r="D171" s="1"/>
      <c r="E171" s="1"/>
      <c r="F171" s="23" t="s">
        <v>6</v>
      </c>
      <c r="G171" s="97">
        <f t="shared" si="15"/>
        <v>70400</v>
      </c>
      <c r="H171" s="1" t="s">
        <v>127</v>
      </c>
      <c r="I171" s="247"/>
      <c r="J171" s="241"/>
      <c r="K171" s="248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32">
        <f t="shared" si="12"/>
        <v>0</v>
      </c>
      <c r="D172" s="166"/>
      <c r="E172" s="1"/>
      <c r="F172" s="23" t="s">
        <v>44</v>
      </c>
      <c r="G172" s="97">
        <f t="shared" si="15"/>
        <v>104200</v>
      </c>
      <c r="H172" s="3" t="s">
        <v>128</v>
      </c>
      <c r="I172" s="249"/>
      <c r="J172" s="250"/>
      <c r="K172" s="251"/>
      <c r="L172" s="125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18">
        <f t="shared" ref="C173:D173" si="16">SUM(C159:C172)</f>
        <v>2725382.0500000003</v>
      </c>
      <c r="D173" s="126">
        <f t="shared" si="16"/>
        <v>2725300</v>
      </c>
      <c r="E173" s="1"/>
      <c r="F173" s="23"/>
      <c r="G173" s="129">
        <f>D163*0</f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2"/>
      <c r="C174" s="3"/>
      <c r="D174" s="1"/>
      <c r="E174" s="1"/>
      <c r="F174" s="23" t="s">
        <v>51</v>
      </c>
      <c r="G174" s="97">
        <f t="shared" ref="G174:G175" si="17">K159</f>
        <v>337700</v>
      </c>
      <c r="H174" s="3" t="s">
        <v>97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67" t="s">
        <v>93</v>
      </c>
      <c r="B175" s="168"/>
      <c r="C175" s="169" t="s">
        <v>3</v>
      </c>
      <c r="D175" s="170"/>
      <c r="E175" s="1"/>
      <c r="F175" s="23" t="s">
        <v>32</v>
      </c>
      <c r="G175" s="97">
        <f t="shared" si="17"/>
        <v>115500</v>
      </c>
      <c r="H175" s="3" t="s">
        <v>99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95" t="s">
        <v>94</v>
      </c>
      <c r="B176" s="10">
        <f>B162</f>
        <v>20563510</v>
      </c>
      <c r="C176" s="32">
        <f t="shared" ref="C176:C179" si="18">B176*0.5%</f>
        <v>102817.55</v>
      </c>
      <c r="D176" s="1"/>
      <c r="E176" s="1"/>
      <c r="F176" s="1"/>
      <c r="G176" s="131">
        <f>SUM(G168:G175)</f>
        <v>2211200</v>
      </c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95" t="s">
        <v>96</v>
      </c>
      <c r="B177" s="10">
        <f>B161</f>
        <v>62909140</v>
      </c>
      <c r="C177" s="32">
        <f t="shared" si="18"/>
        <v>314545.7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95" t="s">
        <v>98</v>
      </c>
      <c r="B178" s="10">
        <f>B164</f>
        <v>31448390</v>
      </c>
      <c r="C178" s="32">
        <f t="shared" si="18"/>
        <v>157241.95000000001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9">
      <c r="A179" s="95" t="s">
        <v>91</v>
      </c>
      <c r="B179" s="10">
        <f>B166</f>
        <v>24191146</v>
      </c>
      <c r="C179" s="32">
        <f t="shared" si="18"/>
        <v>120955.73</v>
      </c>
      <c r="D179" s="1"/>
      <c r="E179" s="1"/>
      <c r="F179" s="1" t="s">
        <v>136</v>
      </c>
      <c r="G179" s="79">
        <f>G168+G170+G171+G172</f>
        <v>1090900</v>
      </c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"/>
      <c r="D180" s="1"/>
      <c r="E180" s="1"/>
      <c r="F180" s="1" t="s">
        <v>137</v>
      </c>
      <c r="G180" s="79">
        <f>G169+G174+G175</f>
        <v>1120300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34">
        <f t="shared" ref="B181:C181" si="19">SUM(B176:B180)</f>
        <v>139112186</v>
      </c>
      <c r="C181" s="132">
        <f t="shared" si="19"/>
        <v>695560.92999999993</v>
      </c>
      <c r="D181" s="171" t="s">
        <v>101</v>
      </c>
      <c r="E181" s="1"/>
      <c r="F181" s="1"/>
      <c r="G181" s="79">
        <f>SUM(G179:G180)</f>
        <v>2211200</v>
      </c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34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67" t="s">
        <v>109</v>
      </c>
      <c r="B183" s="172"/>
      <c r="C183" s="169" t="s">
        <v>3</v>
      </c>
      <c r="D183" s="170"/>
      <c r="E183" s="173"/>
      <c r="F183" s="173"/>
      <c r="G183" s="174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</row>
    <row r="184" spans="1:26" ht="14.5">
      <c r="A184" s="95" t="s">
        <v>110</v>
      </c>
      <c r="B184" s="10">
        <f>B163</f>
        <v>35080566</v>
      </c>
      <c r="C184" s="32">
        <f t="shared" ref="C184:C189" si="20">B184*0.5%</f>
        <v>175402.83000000002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95" t="s">
        <v>111</v>
      </c>
      <c r="B185" s="10">
        <f>B165</f>
        <v>84288372</v>
      </c>
      <c r="C185" s="32">
        <f t="shared" si="20"/>
        <v>421441.86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95" t="s">
        <v>92</v>
      </c>
      <c r="B186" s="10">
        <f t="shared" ref="B186:B189" si="21">B167</f>
        <v>5000090</v>
      </c>
      <c r="C186" s="32">
        <f t="shared" si="20"/>
        <v>25000.45</v>
      </c>
      <c r="D186" s="1"/>
      <c r="E186" s="175"/>
      <c r="F186" s="17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95" t="s">
        <v>133</v>
      </c>
      <c r="B187" s="10">
        <f t="shared" si="21"/>
        <v>6889990</v>
      </c>
      <c r="C187" s="32">
        <f t="shared" si="20"/>
        <v>34449.949999999997</v>
      </c>
      <c r="D187" s="1"/>
      <c r="E187" s="1"/>
      <c r="F187" s="1"/>
      <c r="G187" s="3"/>
      <c r="H187" s="1"/>
      <c r="I187" s="1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95" t="s">
        <v>134</v>
      </c>
      <c r="B188" s="10">
        <f t="shared" si="21"/>
        <v>898200</v>
      </c>
      <c r="C188" s="32">
        <f t="shared" si="20"/>
        <v>4491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95" t="s">
        <v>135</v>
      </c>
      <c r="B189" s="10">
        <f t="shared" si="21"/>
        <v>1268801</v>
      </c>
      <c r="C189" s="32">
        <f t="shared" si="20"/>
        <v>6344.0050000000001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2"/>
      <c r="C190" s="3"/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34">
        <f t="shared" ref="B191:C191" si="22">SUM(B184:B190)</f>
        <v>133426019</v>
      </c>
      <c r="C191" s="132">
        <f t="shared" si="22"/>
        <v>667130.09499999986</v>
      </c>
      <c r="D191" s="171" t="s">
        <v>101</v>
      </c>
      <c r="E191" s="1"/>
      <c r="F191" s="1"/>
      <c r="G191" s="138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2"/>
      <c r="C192" s="3"/>
      <c r="D192" s="1"/>
      <c r="E192" s="1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130"/>
      <c r="D193" s="175"/>
      <c r="E193" s="1"/>
      <c r="F193" s="1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70:F71"/>
    <mergeCell ref="F167:G167"/>
    <mergeCell ref="I169:K1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1</v>
      </c>
      <c r="B2" s="1"/>
      <c r="C2" s="3"/>
      <c r="D2" s="5">
        <f>2710910+15438847</f>
        <v>18149757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2</v>
      </c>
      <c r="B3" s="8">
        <f>0.5%</f>
        <v>5.0000000000000001E-3</v>
      </c>
      <c r="C3" s="3"/>
      <c r="D3" s="10">
        <f>D2*B3</f>
        <v>90748.785000000003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6">
        <v>100</v>
      </c>
      <c r="C6" s="18">
        <f>B6*B13</f>
        <v>30249.595000000001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6">
        <v>103</v>
      </c>
      <c r="C7" s="18">
        <f>B7*B13</f>
        <v>31157.082849999999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76" t="s">
        <v>11</v>
      </c>
      <c r="B8" s="16">
        <v>97</v>
      </c>
      <c r="C8" s="18">
        <f>B8*B13</f>
        <v>29342.10715</v>
      </c>
      <c r="D8" s="177">
        <f>+C8/30*6</f>
        <v>5868.4214300000003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f>B9*B13</f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f>B10*B13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f>B11*B13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13</v>
      </c>
      <c r="B12" s="30">
        <f t="shared" ref="B12:C12" si="0">SUM(B6:B11)</f>
        <v>300</v>
      </c>
      <c r="C12" s="32">
        <f t="shared" si="0"/>
        <v>90748.785000000003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3" t="s">
        <v>14</v>
      </c>
      <c r="B13" s="34">
        <f>D3/B12</f>
        <v>302.49594999999999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 t="s">
        <v>16</v>
      </c>
      <c r="B17" s="1"/>
      <c r="C17" s="3"/>
      <c r="D17" s="5">
        <f>10380390+37504963</f>
        <v>47885353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2</v>
      </c>
      <c r="B18" s="8">
        <f>0.5%</f>
        <v>5.0000000000000001E-3</v>
      </c>
      <c r="C18" s="3"/>
      <c r="D18" s="79">
        <f>D17*B18</f>
        <v>239426.76500000001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4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6">
        <v>123</v>
      </c>
      <c r="C21" s="18">
        <f>B21*B26</f>
        <v>85114.139002890181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6">
        <v>121</v>
      </c>
      <c r="C22" s="18">
        <f>B22*B26</f>
        <v>83730.169263005795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51" t="s">
        <v>29</v>
      </c>
      <c r="B23" s="16">
        <v>102</v>
      </c>
      <c r="C23" s="18">
        <f>B23*B26</f>
        <v>70582.456734104053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23"/>
      <c r="B24" s="24"/>
      <c r="C24" s="18">
        <f>B24*B26</f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" t="s">
        <v>13</v>
      </c>
      <c r="B25" s="30">
        <f t="shared" ref="B25:C25" si="1">SUM(B21:B24)</f>
        <v>346</v>
      </c>
      <c r="C25" s="32">
        <f t="shared" si="1"/>
        <v>239426.76500000004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33" t="s">
        <v>14</v>
      </c>
      <c r="B26" s="34">
        <f>D18/B25</f>
        <v>691.98486994219661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4" t="s">
        <v>30</v>
      </c>
      <c r="B30" s="1"/>
      <c r="C30" s="3"/>
      <c r="D30" s="5">
        <f>6029760+28502748</f>
        <v>34532508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" t="s">
        <v>2</v>
      </c>
      <c r="B31" s="8">
        <f>0.5%</f>
        <v>5.0000000000000001E-3</v>
      </c>
      <c r="C31" s="3"/>
      <c r="D31" s="38">
        <f>D30*B31</f>
        <v>172662.54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4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128</v>
      </c>
      <c r="C34" s="18">
        <f>B34*B40</f>
        <v>60716.497582417585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36</v>
      </c>
      <c r="B35" s="57">
        <v>131</v>
      </c>
      <c r="C35" s="18">
        <f>B35*B40</f>
        <v>62139.540494505498</v>
      </c>
      <c r="D35" s="13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50</v>
      </c>
      <c r="B36" s="57">
        <v>62</v>
      </c>
      <c r="C36" s="18">
        <f>B36*B40</f>
        <v>29409.553516483516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60" t="s">
        <v>41</v>
      </c>
      <c r="B37" s="62">
        <v>16</v>
      </c>
      <c r="C37" s="18">
        <f>B37*B40</f>
        <v>7589.5621978021982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78" t="s">
        <v>39</v>
      </c>
      <c r="B38" s="57">
        <v>27</v>
      </c>
      <c r="C38" s="64">
        <f>B38*B40</f>
        <v>12807.386208791209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" t="s">
        <v>13</v>
      </c>
      <c r="B39" s="32">
        <f t="shared" ref="B39:C39" si="2">SUM(B34:B38)</f>
        <v>364</v>
      </c>
      <c r="C39" s="32">
        <f t="shared" si="2"/>
        <v>172662.54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3.5">
      <c r="A40" s="33" t="s">
        <v>14</v>
      </c>
      <c r="B40" s="34">
        <f>D31/B39</f>
        <v>474.34763736263739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35"/>
      <c r="B42" s="36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1"/>
    </row>
    <row r="43" spans="1:26" ht="14.5">
      <c r="A43" s="1"/>
      <c r="B43" s="1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4" t="s">
        <v>40</v>
      </c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 t="s">
        <v>2</v>
      </c>
      <c r="B45" s="8">
        <f>0.5%</f>
        <v>5.0000000000000001E-3</v>
      </c>
      <c r="C45" s="3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3"/>
      <c r="D46" s="38">
        <f>D45*B45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4" t="s">
        <v>5</v>
      </c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7"/>
      <c r="B48" s="68"/>
      <c r="C48" s="18" t="e">
        <f>B48*B51</f>
        <v>#DIV/0!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9"/>
      <c r="B49" s="68"/>
      <c r="C49" s="18" t="e">
        <f>B49*B51</f>
        <v>#DIV/0!</v>
      </c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1" t="s">
        <v>13</v>
      </c>
      <c r="B50" s="32">
        <f>SUM(B48:B49)</f>
        <v>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3.5">
      <c r="A51" s="33" t="s">
        <v>14</v>
      </c>
      <c r="B51" s="71" t="e">
        <f>D46/B50</f>
        <v>#DIV/0!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35"/>
      <c r="B53" s="35"/>
      <c r="C53" s="3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1"/>
    </row>
    <row r="54" spans="1:26" ht="14.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4" t="s">
        <v>42</v>
      </c>
      <c r="B55" s="1"/>
      <c r="C55" s="3"/>
      <c r="D55" s="5">
        <f>4737470+20586490</f>
        <v>25323960</v>
      </c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 t="s">
        <v>2</v>
      </c>
      <c r="B56" s="8">
        <f>0.5%</f>
        <v>5.0000000000000001E-3</v>
      </c>
      <c r="C56" s="3"/>
      <c r="D56" s="38">
        <f>D55*B56</f>
        <v>126619.8</v>
      </c>
      <c r="E56" s="1"/>
      <c r="F56" s="1"/>
      <c r="G56" s="1"/>
      <c r="H56" s="72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3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4" t="s">
        <v>5</v>
      </c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74" t="s">
        <v>44</v>
      </c>
      <c r="B59" s="16">
        <v>100</v>
      </c>
      <c r="C59" s="18">
        <f>B59*B63</f>
        <v>46896.222222222226</v>
      </c>
      <c r="D59" s="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74" t="s">
        <v>45</v>
      </c>
      <c r="B60" s="16">
        <v>86</v>
      </c>
      <c r="C60" s="18">
        <f>B60*B63</f>
        <v>40330.751111111109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74" t="s">
        <v>47</v>
      </c>
      <c r="B61" s="16">
        <v>84</v>
      </c>
      <c r="C61" s="18">
        <f>B61*B63</f>
        <v>39392.826666666668</v>
      </c>
      <c r="D61" s="179">
        <f>+C61+C93</f>
        <v>43507.11885997522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" t="s">
        <v>13</v>
      </c>
      <c r="B62" s="30">
        <f t="shared" ref="B62:C62" si="3">SUM(B59:B61)</f>
        <v>270</v>
      </c>
      <c r="C62" s="32">
        <f t="shared" si="3"/>
        <v>126619.79999999999</v>
      </c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3.5">
      <c r="A63" s="33" t="s">
        <v>14</v>
      </c>
      <c r="B63" s="34">
        <f>D56/B62</f>
        <v>468.96222222222224</v>
      </c>
      <c r="C63" s="3"/>
      <c r="D63" s="1"/>
      <c r="E63" s="1"/>
      <c r="F63" s="1"/>
      <c r="G63" s="1"/>
      <c r="H63" s="12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35"/>
      <c r="B65" s="35"/>
      <c r="C65" s="37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1"/>
    </row>
    <row r="66" spans="1:26" ht="14.5">
      <c r="A66" s="1"/>
      <c r="B66" s="1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4" t="s">
        <v>49</v>
      </c>
      <c r="B67" s="1"/>
      <c r="C67" s="3"/>
      <c r="D67" s="5">
        <f>13629720+61700460</f>
        <v>75330180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 t="s">
        <v>2</v>
      </c>
      <c r="B68" s="8">
        <f>0.5%</f>
        <v>5.0000000000000001E-3</v>
      </c>
      <c r="C68" s="3"/>
      <c r="D68" s="38">
        <f>D67*B68</f>
        <v>376650.9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4" t="s">
        <v>5</v>
      </c>
      <c r="B70" s="1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4" t="s">
        <v>50</v>
      </c>
      <c r="B71" s="16">
        <f>123-62-33</f>
        <v>28</v>
      </c>
      <c r="C71" s="18">
        <f>B71*B82</f>
        <v>14348.605714285715</v>
      </c>
      <c r="D71" s="177">
        <f>+C71+C36+C106</f>
        <v>48076.145705769231</v>
      </c>
      <c r="E71" s="1"/>
      <c r="F71" s="1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4" t="s">
        <v>51</v>
      </c>
      <c r="B72" s="57">
        <v>128</v>
      </c>
      <c r="C72" s="18">
        <f>B72*B82</f>
        <v>65593.626122448986</v>
      </c>
      <c r="D72" s="3"/>
      <c r="E72" s="1"/>
      <c r="F72" s="3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53</v>
      </c>
      <c r="B73" s="57">
        <v>19</v>
      </c>
      <c r="C73" s="18">
        <f>B73*B82</f>
        <v>9736.5538775510213</v>
      </c>
      <c r="D73" s="3"/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28" t="s">
        <v>140</v>
      </c>
      <c r="B74" s="57">
        <v>121</v>
      </c>
      <c r="C74" s="18">
        <f>B74*B82</f>
        <v>62006.474693877557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28" t="s">
        <v>67</v>
      </c>
      <c r="B75" s="57">
        <v>121</v>
      </c>
      <c r="C75" s="18">
        <f>B75*B82</f>
        <v>62006.474693877557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89" t="s">
        <v>107</v>
      </c>
      <c r="B76" s="57">
        <v>118</v>
      </c>
      <c r="C76" s="18">
        <f>B76*B82</f>
        <v>60469.124081632661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89" t="s">
        <v>65</v>
      </c>
      <c r="B77" s="57">
        <v>127</v>
      </c>
      <c r="C77" s="18">
        <f>B77*B82</f>
        <v>65081.175918367357</v>
      </c>
      <c r="D77" s="3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89" t="s">
        <v>66</v>
      </c>
      <c r="B78" s="57">
        <v>51</v>
      </c>
      <c r="C78" s="18">
        <f>B78*B82</f>
        <v>26134.960408163268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0" t="s">
        <v>141</v>
      </c>
      <c r="B79" s="62">
        <v>13</v>
      </c>
      <c r="C79" s="64">
        <f>B79*B82</f>
        <v>6661.8526530612253</v>
      </c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74" t="s">
        <v>59</v>
      </c>
      <c r="B80" s="57">
        <v>9</v>
      </c>
      <c r="C80" s="18">
        <f>B80*B82</f>
        <v>4612.051836734694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 t="s">
        <v>13</v>
      </c>
      <c r="B81" s="30">
        <f t="shared" ref="B81:C81" si="4">SUM(B71:B80)</f>
        <v>735</v>
      </c>
      <c r="C81" s="32">
        <f t="shared" si="4"/>
        <v>376650.9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33" t="s">
        <v>14</v>
      </c>
      <c r="B82" s="34">
        <f>D68/B81</f>
        <v>512.45020408163271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4" t="s">
        <v>54</v>
      </c>
      <c r="B86" s="1"/>
      <c r="C86" s="3"/>
      <c r="D86" s="78">
        <f>3505560+13521280</f>
        <v>17026840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 t="s">
        <v>2</v>
      </c>
      <c r="B87" s="8">
        <f>0.5%</f>
        <v>5.0000000000000001E-3</v>
      </c>
      <c r="C87" s="3"/>
      <c r="D87" s="79">
        <f>D86*B87</f>
        <v>85134.2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4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04"/>
      <c r="B90" s="105"/>
      <c r="C90" s="64">
        <f>B90*B96</f>
        <v>0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74" t="s">
        <v>63</v>
      </c>
      <c r="B91" s="57">
        <v>118</v>
      </c>
      <c r="C91" s="18">
        <f>B91*B96</f>
        <v>37345.113754646838</v>
      </c>
      <c r="D91" s="177">
        <f>+C91/30*7</f>
        <v>8713.8598760842633</v>
      </c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48" t="s">
        <v>142</v>
      </c>
      <c r="B92" s="57">
        <v>21</v>
      </c>
      <c r="C92" s="18">
        <f>B92*B96</f>
        <v>6646.1643122676578</v>
      </c>
      <c r="D92" s="3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74" t="s">
        <v>47</v>
      </c>
      <c r="B93" s="55">
        <v>13</v>
      </c>
      <c r="C93" s="18">
        <f>B93*B96</f>
        <v>4114.2921933085499</v>
      </c>
      <c r="D93" s="3"/>
      <c r="E93" s="1"/>
      <c r="F93" s="3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89" t="s">
        <v>89</v>
      </c>
      <c r="B94" s="55">
        <v>117</v>
      </c>
      <c r="C94" s="18">
        <f>B94*B96</f>
        <v>37028.629739776952</v>
      </c>
      <c r="D94" s="3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 t="s">
        <v>13</v>
      </c>
      <c r="B95" s="32">
        <f t="shared" ref="B95:C95" si="5">SUM(B90:B94)</f>
        <v>269</v>
      </c>
      <c r="C95" s="32">
        <f t="shared" si="5"/>
        <v>85134.200000000012</v>
      </c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5">
      <c r="A96" s="33" t="s">
        <v>14</v>
      </c>
      <c r="B96" s="34">
        <f>D87/B95</f>
        <v>316.48401486988848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35"/>
      <c r="B98" s="36"/>
      <c r="C98" s="3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1"/>
    </row>
    <row r="99" spans="1:26" ht="14.5">
      <c r="A99" s="1"/>
      <c r="B99" s="1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4" t="s">
        <v>62</v>
      </c>
      <c r="B100" s="12"/>
      <c r="C100" s="3"/>
      <c r="D100" s="5">
        <f>312870+4921053</f>
        <v>5233923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 t="s">
        <v>2</v>
      </c>
      <c r="B101" s="8">
        <f>0.5%</f>
        <v>5.0000000000000001E-3</v>
      </c>
      <c r="C101" s="3"/>
      <c r="D101" s="38">
        <f>D100*B101</f>
        <v>26169.615000000002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/>
      <c r="B102" s="7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4" t="s">
        <v>5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4" t="s">
        <v>41</v>
      </c>
      <c r="B104" s="16">
        <f>106-16</f>
        <v>90</v>
      </c>
      <c r="C104" s="18">
        <f>B104*B109</f>
        <v>11776.32675</v>
      </c>
      <c r="D104" s="179">
        <f>+C104+C38</f>
        <v>24583.71295879121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78</v>
      </c>
      <c r="B105" s="16">
        <f>89-19+7</f>
        <v>77</v>
      </c>
      <c r="C105" s="18">
        <f>B105*B109</f>
        <v>10075.301775</v>
      </c>
      <c r="D105" s="177">
        <f>+C105+C73</f>
        <v>19811.855652551021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4" t="s">
        <v>50</v>
      </c>
      <c r="B106" s="16">
        <v>33</v>
      </c>
      <c r="C106" s="18">
        <f>B106*B109</f>
        <v>4317.9864749999997</v>
      </c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104"/>
      <c r="B107" s="24"/>
      <c r="C107" s="18">
        <f>B107*B109</f>
        <v>0</v>
      </c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91" t="s">
        <v>13</v>
      </c>
      <c r="B108" s="30">
        <f t="shared" ref="B108:C108" si="6">SUM(B104:B107)</f>
        <v>200</v>
      </c>
      <c r="C108" s="32">
        <f t="shared" si="6"/>
        <v>26169.614999999998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3.5">
      <c r="A109" s="33" t="s">
        <v>14</v>
      </c>
      <c r="B109" s="34">
        <f>D101/B108</f>
        <v>130.84807499999999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35"/>
      <c r="B112" s="3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1"/>
    </row>
    <row r="113" spans="1:26" ht="14.5">
      <c r="A113" s="1"/>
      <c r="B113" s="1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4" t="s">
        <v>102</v>
      </c>
      <c r="B114" s="12"/>
      <c r="C114" s="3"/>
      <c r="D114" s="5">
        <f>1485100+17347200</f>
        <v>18832300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 t="s">
        <v>2</v>
      </c>
      <c r="B115" s="8">
        <f>0.5%</f>
        <v>5.0000000000000001E-3</v>
      </c>
      <c r="C115" s="3"/>
      <c r="D115" s="38">
        <f>D114*B115</f>
        <v>94161.5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"/>
      <c r="B116" s="7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" t="s">
        <v>5</v>
      </c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46" t="s">
        <v>34</v>
      </c>
      <c r="B118" s="16">
        <v>127</v>
      </c>
      <c r="C118" s="18">
        <f>B118*B126</f>
        <v>29310.074754901962</v>
      </c>
      <c r="D118" s="13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22" t="s">
        <v>103</v>
      </c>
      <c r="B119" s="16">
        <v>120</v>
      </c>
      <c r="C119" s="18">
        <f>B119*B126</f>
        <v>27694.558823529413</v>
      </c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22" t="s">
        <v>105</v>
      </c>
      <c r="B120" s="16">
        <v>114</v>
      </c>
      <c r="C120" s="18">
        <f>B120*B126</f>
        <v>26309.830882352941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76" t="s">
        <v>146</v>
      </c>
      <c r="B121" s="16">
        <v>11</v>
      </c>
      <c r="C121" s="18">
        <f>B121*B126</f>
        <v>2538.6678921568628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22" t="s">
        <v>106</v>
      </c>
      <c r="B122" s="16">
        <v>20</v>
      </c>
      <c r="C122" s="18">
        <f>B122*B126</f>
        <v>4615.7598039215682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89" t="s">
        <v>147</v>
      </c>
      <c r="B123" s="16">
        <v>16</v>
      </c>
      <c r="C123" s="18">
        <f>B123*B126</f>
        <v>3692.6078431372548</v>
      </c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23"/>
      <c r="B124" s="24"/>
      <c r="C124" s="18">
        <f>B124*B126</f>
        <v>0</v>
      </c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91" t="s">
        <v>13</v>
      </c>
      <c r="B125" s="30">
        <f t="shared" ref="B125:C125" si="7">SUM(B118:B124)</f>
        <v>408</v>
      </c>
      <c r="C125" s="32">
        <f t="shared" si="7"/>
        <v>94161.5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3.5">
      <c r="A126" s="33" t="s">
        <v>14</v>
      </c>
      <c r="B126" s="34">
        <f>D115/B125</f>
        <v>230.78799019607843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35"/>
      <c r="B128" s="36"/>
      <c r="C128" s="3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1"/>
    </row>
    <row r="129" spans="1:26" ht="14.5">
      <c r="A129" s="1"/>
      <c r="B129" s="1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4" t="s">
        <v>108</v>
      </c>
      <c r="B130" s="12"/>
      <c r="C130" s="3"/>
      <c r="D130" s="5">
        <f>124750+1052891</f>
        <v>1177641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 t="s">
        <v>2</v>
      </c>
      <c r="B131" s="8">
        <f>0.5%</f>
        <v>5.0000000000000001E-3</v>
      </c>
      <c r="C131" s="3"/>
      <c r="D131" s="38">
        <f>D130*B131</f>
        <v>5888.2049999999999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"/>
      <c r="B132" s="7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4" t="s">
        <v>5</v>
      </c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4" t="s">
        <v>100</v>
      </c>
      <c r="B134" s="16">
        <f>107-9</f>
        <v>98</v>
      </c>
      <c r="C134" s="18">
        <f>B134*B139</f>
        <v>2959.2004615384617</v>
      </c>
      <c r="D134" s="179">
        <f>+C134+C80</f>
        <v>7571.2522982731552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94" t="s">
        <v>148</v>
      </c>
      <c r="B135" s="16">
        <f>110-13</f>
        <v>97</v>
      </c>
      <c r="C135" s="18">
        <f>B135*B139</f>
        <v>2929.0045384615382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6"/>
      <c r="B136" s="24"/>
      <c r="C136" s="18">
        <f>B136*B28</f>
        <v>0</v>
      </c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23"/>
      <c r="B137" s="24"/>
      <c r="C137" s="18">
        <f>B137*B139</f>
        <v>0</v>
      </c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91" t="s">
        <v>13</v>
      </c>
      <c r="B138" s="30">
        <f t="shared" ref="B138:C138" si="8">SUM(B134:B137)</f>
        <v>195</v>
      </c>
      <c r="C138" s="32">
        <f t="shared" si="8"/>
        <v>5888.2049999999999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5">
      <c r="A139" s="33" t="s">
        <v>14</v>
      </c>
      <c r="B139" s="34">
        <f>D131/B138</f>
        <v>30.195923076923076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"/>
      <c r="B140" s="1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35"/>
      <c r="B141" s="36"/>
      <c r="C141" s="3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1"/>
    </row>
    <row r="142" spans="1:26" ht="14.5">
      <c r="A142" s="1"/>
      <c r="B142" s="1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4" t="s">
        <v>112</v>
      </c>
      <c r="B143" s="12"/>
      <c r="C143" s="3"/>
      <c r="D143" s="5">
        <f>514800+10559789</f>
        <v>11074589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 t="s">
        <v>2</v>
      </c>
      <c r="B144" s="8">
        <f>0.5%</f>
        <v>5.0000000000000001E-3</v>
      </c>
      <c r="C144" s="3"/>
      <c r="D144" s="38">
        <f>D143*B144</f>
        <v>55372.945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7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4" t="s">
        <v>5</v>
      </c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4" t="s">
        <v>31</v>
      </c>
      <c r="B147" s="16">
        <f>112-11</f>
        <v>101</v>
      </c>
      <c r="C147" s="18">
        <f>B147*B154</f>
        <v>18642.224816666665</v>
      </c>
      <c r="D147" s="179">
        <f>+C147+C121</f>
        <v>21180.892708823529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22" t="s">
        <v>106</v>
      </c>
      <c r="B148" s="16">
        <f>118-20</f>
        <v>98</v>
      </c>
      <c r="C148" s="18">
        <f>B148*B154</f>
        <v>18088.495366666666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89" t="s">
        <v>147</v>
      </c>
      <c r="B149" s="16">
        <f>117-16</f>
        <v>101</v>
      </c>
      <c r="C149" s="18">
        <f>B149*B154</f>
        <v>18642.224816666665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3"/>
      <c r="B150" s="24"/>
      <c r="C150" s="18">
        <f>B150*B154</f>
        <v>0</v>
      </c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6"/>
      <c r="B151" s="24"/>
      <c r="C151" s="18">
        <f>B151*B154</f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26"/>
      <c r="B152" s="24"/>
      <c r="C152" s="18">
        <f>B152*B44</f>
        <v>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91" t="s">
        <v>13</v>
      </c>
      <c r="B153" s="30">
        <f t="shared" ref="B153:C153" si="9">SUM(B147:B152)</f>
        <v>300</v>
      </c>
      <c r="C153" s="32">
        <f t="shared" si="9"/>
        <v>55372.944999999992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43.5">
      <c r="A154" s="33" t="s">
        <v>14</v>
      </c>
      <c r="B154" s="34">
        <f>D144/B153</f>
        <v>184.57648333333333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35"/>
      <c r="B156" s="36"/>
      <c r="C156" s="3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1"/>
    </row>
    <row r="157" spans="1:26" ht="14.5">
      <c r="A157" s="1"/>
      <c r="B157" s="1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71" t="s">
        <v>69</v>
      </c>
      <c r="C158" s="32" t="s">
        <v>70</v>
      </c>
      <c r="D158" s="3"/>
      <c r="E158" s="1"/>
      <c r="F158" s="23"/>
      <c r="G158" s="93" t="s">
        <v>73</v>
      </c>
      <c r="H158" s="93" t="s">
        <v>70</v>
      </c>
      <c r="I158" s="93" t="s">
        <v>74</v>
      </c>
      <c r="J158" s="93" t="s">
        <v>75</v>
      </c>
      <c r="K158" s="94" t="s">
        <v>76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95" t="s">
        <v>77</v>
      </c>
      <c r="B159" s="12"/>
      <c r="C159" s="32">
        <f>SUM(C176:C180)</f>
        <v>554310.85</v>
      </c>
      <c r="D159" s="32">
        <v>554300</v>
      </c>
      <c r="E159" s="3"/>
      <c r="F159" s="23" t="s">
        <v>51</v>
      </c>
      <c r="G159" s="96">
        <f>B165</f>
        <v>75154430</v>
      </c>
      <c r="H159" s="97">
        <f t="shared" ref="H159:H163" si="10">+G159*0.5%</f>
        <v>375772.15</v>
      </c>
      <c r="I159" s="97">
        <f>C72</f>
        <v>65593.626122448986</v>
      </c>
      <c r="J159" s="97">
        <f t="shared" ref="J159:J163" si="11">+H159-I159</f>
        <v>310178.52387755102</v>
      </c>
      <c r="K159" s="98">
        <v>310200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9">
      <c r="A160" s="95" t="s">
        <v>79</v>
      </c>
      <c r="B160" s="12"/>
      <c r="C160" s="32">
        <f>SUM(C186:C191)</f>
        <v>742872.5199999999</v>
      </c>
      <c r="D160" s="32">
        <v>742900</v>
      </c>
      <c r="E160" s="1"/>
      <c r="F160" s="68" t="s">
        <v>32</v>
      </c>
      <c r="G160" s="96">
        <f>B163</f>
        <v>34597889</v>
      </c>
      <c r="H160" s="97">
        <f t="shared" si="10"/>
        <v>172989.44500000001</v>
      </c>
      <c r="I160" s="97">
        <f>C34</f>
        <v>60716.497582417585</v>
      </c>
      <c r="J160" s="97">
        <f t="shared" si="11"/>
        <v>112272.94741758241</v>
      </c>
      <c r="K160" s="98">
        <v>112300</v>
      </c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100" t="s">
        <v>81</v>
      </c>
      <c r="B161" s="101">
        <v>50266585</v>
      </c>
      <c r="C161" s="102">
        <f t="shared" ref="C161:C172" si="12">+B161*0.5%</f>
        <v>251332.92500000002</v>
      </c>
      <c r="D161" s="32">
        <v>251300</v>
      </c>
      <c r="E161" s="1"/>
      <c r="F161" s="23" t="s">
        <v>19</v>
      </c>
      <c r="G161" s="96">
        <f t="shared" ref="G161:G162" si="13">B161</f>
        <v>50266585</v>
      </c>
      <c r="H161" s="97">
        <f t="shared" si="10"/>
        <v>251332.92500000002</v>
      </c>
      <c r="I161" s="97">
        <f>C21</f>
        <v>85114.139002890181</v>
      </c>
      <c r="J161" s="97">
        <f t="shared" si="11"/>
        <v>166218.78599710984</v>
      </c>
      <c r="K161" s="98">
        <v>166200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100" t="s">
        <v>82</v>
      </c>
      <c r="B162" s="101">
        <v>18417509</v>
      </c>
      <c r="C162" s="102">
        <f t="shared" si="12"/>
        <v>92087.544999999998</v>
      </c>
      <c r="D162" s="30">
        <v>92100</v>
      </c>
      <c r="E162" s="1"/>
      <c r="F162" s="23" t="s">
        <v>6</v>
      </c>
      <c r="G162" s="96">
        <f t="shared" si="13"/>
        <v>18417509</v>
      </c>
      <c r="H162" s="97">
        <f t="shared" si="10"/>
        <v>92087.544999999998</v>
      </c>
      <c r="I162" s="97">
        <f>C6</f>
        <v>30249.595000000001</v>
      </c>
      <c r="J162" s="97">
        <f t="shared" si="11"/>
        <v>61837.95</v>
      </c>
      <c r="K162" s="98">
        <v>61800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106" t="s">
        <v>84</v>
      </c>
      <c r="B163" s="107">
        <v>34597889</v>
      </c>
      <c r="C163" s="109">
        <f t="shared" si="12"/>
        <v>172989.44500000001</v>
      </c>
      <c r="D163" s="32">
        <v>173000</v>
      </c>
      <c r="E163" s="1"/>
      <c r="F163" s="23" t="s">
        <v>44</v>
      </c>
      <c r="G163" s="96">
        <f>B164</f>
        <v>25547206</v>
      </c>
      <c r="H163" s="97">
        <f t="shared" si="10"/>
        <v>127736.03</v>
      </c>
      <c r="I163" s="97">
        <f>C59</f>
        <v>46896.222222222226</v>
      </c>
      <c r="J163" s="97">
        <f t="shared" si="11"/>
        <v>80839.80777777778</v>
      </c>
      <c r="K163" s="98">
        <v>80800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111" t="s">
        <v>85</v>
      </c>
      <c r="B164" s="113">
        <v>25547206</v>
      </c>
      <c r="C164" s="115">
        <f t="shared" si="12"/>
        <v>127736.03</v>
      </c>
      <c r="D164" s="30">
        <v>127700</v>
      </c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3.5">
      <c r="A165" s="95" t="s">
        <v>87</v>
      </c>
      <c r="B165" s="121">
        <v>75154430</v>
      </c>
      <c r="C165" s="32">
        <f t="shared" si="12"/>
        <v>375772.15</v>
      </c>
      <c r="D165" s="30">
        <v>375800</v>
      </c>
      <c r="E165" s="1"/>
      <c r="F165" s="23"/>
      <c r="G165" s="117"/>
      <c r="H165" s="68"/>
      <c r="I165" s="68"/>
      <c r="J165" s="68"/>
      <c r="K165" s="11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9">
      <c r="A166" s="95" t="s">
        <v>91</v>
      </c>
      <c r="B166" s="198">
        <v>16630870</v>
      </c>
      <c r="C166" s="32">
        <f t="shared" si="12"/>
        <v>83154.350000000006</v>
      </c>
      <c r="D166" s="30">
        <v>83200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95" t="s">
        <v>92</v>
      </c>
      <c r="B167" s="121">
        <v>5451414</v>
      </c>
      <c r="C167" s="32">
        <f t="shared" si="12"/>
        <v>27257.07</v>
      </c>
      <c r="D167" s="30">
        <v>27300</v>
      </c>
      <c r="E167" s="1"/>
      <c r="F167" s="242" t="s">
        <v>122</v>
      </c>
      <c r="G167" s="24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95" t="s">
        <v>133</v>
      </c>
      <c r="B168" s="34">
        <v>21238500</v>
      </c>
      <c r="C168" s="32">
        <f t="shared" si="12"/>
        <v>106192.5</v>
      </c>
      <c r="D168" s="30">
        <v>106200</v>
      </c>
      <c r="E168" s="1"/>
      <c r="F168" s="23" t="s">
        <v>77</v>
      </c>
      <c r="G168" s="18">
        <f t="shared" ref="G168:G169" si="14">D159</f>
        <v>554300</v>
      </c>
      <c r="H168" s="3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95" t="s">
        <v>134</v>
      </c>
      <c r="B169" s="34">
        <v>1162671</v>
      </c>
      <c r="C169" s="32">
        <f t="shared" si="12"/>
        <v>5813.3550000000005</v>
      </c>
      <c r="D169" s="30">
        <v>5800</v>
      </c>
      <c r="E169" s="1"/>
      <c r="F169" s="23" t="s">
        <v>79</v>
      </c>
      <c r="G169" s="97">
        <f t="shared" si="14"/>
        <v>742900</v>
      </c>
      <c r="H169" s="79">
        <f>+G169-576000</f>
        <v>166900</v>
      </c>
      <c r="I169" s="244"/>
      <c r="J169" s="245"/>
      <c r="K169" s="246"/>
      <c r="L169" s="125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95" t="s">
        <v>135</v>
      </c>
      <c r="B170" s="34">
        <v>10969600</v>
      </c>
      <c r="C170" s="32">
        <f t="shared" si="12"/>
        <v>54848</v>
      </c>
      <c r="D170" s="30">
        <v>54800</v>
      </c>
      <c r="E170" s="1"/>
      <c r="F170" s="23" t="s">
        <v>19</v>
      </c>
      <c r="G170" s="18">
        <f t="shared" ref="G170:G172" si="15">K161</f>
        <v>166200</v>
      </c>
      <c r="H170" s="3" t="s">
        <v>126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f t="shared" si="12"/>
        <v>0</v>
      </c>
      <c r="D171" s="1"/>
      <c r="E171" s="1"/>
      <c r="F171" s="23" t="s">
        <v>6</v>
      </c>
      <c r="G171" s="18">
        <f t="shared" si="15"/>
        <v>61800</v>
      </c>
      <c r="H171" s="1" t="s">
        <v>127</v>
      </c>
      <c r="I171" s="247"/>
      <c r="J171" s="241"/>
      <c r="K171" s="248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32">
        <f t="shared" si="12"/>
        <v>0</v>
      </c>
      <c r="D172" s="166"/>
      <c r="E172" s="1"/>
      <c r="F172" s="23" t="s">
        <v>44</v>
      </c>
      <c r="G172" s="18">
        <f t="shared" si="15"/>
        <v>80800</v>
      </c>
      <c r="H172" s="3" t="s">
        <v>128</v>
      </c>
      <c r="I172" s="249"/>
      <c r="J172" s="250"/>
      <c r="K172" s="251"/>
      <c r="L172" s="125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18">
        <f t="shared" ref="C173:D173" si="16">SUM(C159:C172)</f>
        <v>2594366.7399999998</v>
      </c>
      <c r="D173" s="126">
        <f t="shared" si="16"/>
        <v>2594400</v>
      </c>
      <c r="E173" s="1"/>
      <c r="F173" s="23"/>
      <c r="G173" s="129">
        <f>D163*0</f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2"/>
      <c r="C174" s="3"/>
      <c r="D174" s="1"/>
      <c r="E174" s="1"/>
      <c r="F174" s="23" t="s">
        <v>51</v>
      </c>
      <c r="G174" s="18">
        <f t="shared" ref="G174:G175" si="17">K159</f>
        <v>310200</v>
      </c>
      <c r="H174" s="3" t="s">
        <v>97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27" t="s">
        <v>93</v>
      </c>
      <c r="B175" s="12"/>
      <c r="C175" s="32" t="s">
        <v>70</v>
      </c>
      <c r="D175" s="1"/>
      <c r="E175" s="1"/>
      <c r="F175" s="23" t="s">
        <v>32</v>
      </c>
      <c r="G175" s="97">
        <f t="shared" si="17"/>
        <v>112300</v>
      </c>
      <c r="H175" s="3" t="s">
        <v>99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95" t="s">
        <v>94</v>
      </c>
      <c r="B176" s="10">
        <f>B162</f>
        <v>18417509</v>
      </c>
      <c r="C176" s="32">
        <f t="shared" ref="C176:C180" si="18">B176*0.5%</f>
        <v>92087.544999999998</v>
      </c>
      <c r="D176" s="1"/>
      <c r="E176" s="1"/>
      <c r="F176" s="1"/>
      <c r="G176" s="131">
        <f>SUM(G168:G175)</f>
        <v>2028500</v>
      </c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95" t="s">
        <v>96</v>
      </c>
      <c r="B177" s="10">
        <f>B161</f>
        <v>50266585</v>
      </c>
      <c r="C177" s="32">
        <f t="shared" si="18"/>
        <v>251332.92500000002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95" t="s">
        <v>98</v>
      </c>
      <c r="B178" s="10">
        <f>B164</f>
        <v>25547206</v>
      </c>
      <c r="C178" s="32">
        <f t="shared" si="18"/>
        <v>127736.03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9">
      <c r="A179" s="95" t="s">
        <v>91</v>
      </c>
      <c r="B179" s="10">
        <f>B166</f>
        <v>16630870</v>
      </c>
      <c r="C179" s="32">
        <f t="shared" si="18"/>
        <v>83154.350000000006</v>
      </c>
      <c r="D179" s="1"/>
      <c r="E179" s="1"/>
      <c r="F179" s="1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2">
        <f t="shared" si="18"/>
        <v>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34">
        <f>SUM(B176:B180)</f>
        <v>110862170</v>
      </c>
      <c r="C182" s="132">
        <f>SUM(C176:C181)</f>
        <v>554310.85</v>
      </c>
      <c r="D182" s="171" t="s">
        <v>101</v>
      </c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34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35"/>
      <c r="B184" s="136"/>
      <c r="C184" s="137"/>
      <c r="D184" s="135"/>
      <c r="E184" s="1"/>
      <c r="F184" s="1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27" t="s">
        <v>109</v>
      </c>
      <c r="B185" s="134"/>
      <c r="C185" s="32" t="s">
        <v>70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95" t="s">
        <v>110</v>
      </c>
      <c r="B186" s="10">
        <f>B163</f>
        <v>34597889</v>
      </c>
      <c r="C186" s="32">
        <f t="shared" ref="C186:C191" si="19">B186*0.5%</f>
        <v>172989.44500000001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95" t="s">
        <v>111</v>
      </c>
      <c r="B187" s="10">
        <f>B165</f>
        <v>75154430</v>
      </c>
      <c r="C187" s="32">
        <f t="shared" si="19"/>
        <v>375772.15</v>
      </c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95" t="s">
        <v>92</v>
      </c>
      <c r="B188" s="10">
        <f t="shared" ref="B188:B189" si="20">B167</f>
        <v>5451414</v>
      </c>
      <c r="C188" s="32">
        <f t="shared" si="19"/>
        <v>27257.07</v>
      </c>
      <c r="D188" s="1"/>
      <c r="E188" s="35"/>
      <c r="F188" s="3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95" t="s">
        <v>133</v>
      </c>
      <c r="B189" s="10">
        <f t="shared" si="20"/>
        <v>21238500</v>
      </c>
      <c r="C189" s="32">
        <f t="shared" si="19"/>
        <v>106192.5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95" t="s">
        <v>135</v>
      </c>
      <c r="B190" s="10">
        <f>B170</f>
        <v>10969600</v>
      </c>
      <c r="C190" s="32">
        <f t="shared" si="19"/>
        <v>54848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95" t="s">
        <v>134</v>
      </c>
      <c r="B191" s="10">
        <f>B169</f>
        <v>1162671</v>
      </c>
      <c r="C191" s="32">
        <f t="shared" si="19"/>
        <v>5813.3550000000005</v>
      </c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2"/>
      <c r="C192" s="3"/>
      <c r="D192" s="1"/>
      <c r="E192" s="1"/>
      <c r="F192" s="1"/>
      <c r="G192" s="3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34">
        <f t="shared" ref="B193:C193" si="21">SUM(B186:B192)</f>
        <v>148574504</v>
      </c>
      <c r="C193" s="132">
        <f t="shared" si="21"/>
        <v>742872.5199999999</v>
      </c>
      <c r="D193" s="171" t="s">
        <v>101</v>
      </c>
      <c r="E193" s="1"/>
      <c r="F193" s="1"/>
      <c r="G193" s="138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7"/>
      <c r="D195" s="35"/>
      <c r="E195" s="1"/>
      <c r="F195" s="1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7:G167"/>
    <mergeCell ref="I169:K1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17420561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87102.81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81</v>
      </c>
      <c r="C6" s="18">
        <v>19383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100</v>
      </c>
      <c r="C7" s="18">
        <v>23929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11</v>
      </c>
      <c r="B8" s="183">
        <v>79</v>
      </c>
      <c r="C8" s="18">
        <v>18904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85" t="s">
        <v>143</v>
      </c>
      <c r="B9" s="183">
        <v>100</v>
      </c>
      <c r="C9" s="18">
        <v>23929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86" t="s">
        <v>144</v>
      </c>
      <c r="B10" s="187">
        <v>4</v>
      </c>
      <c r="C10" s="18">
        <v>957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364</v>
      </c>
      <c r="C12" s="32">
        <v>87103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239.29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46988150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234941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127</v>
      </c>
      <c r="C21" s="18">
        <v>82882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124</v>
      </c>
      <c r="C22" s="18">
        <v>80924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90" t="s">
        <v>29</v>
      </c>
      <c r="B23" s="183">
        <v>0</v>
      </c>
      <c r="C23" s="18">
        <v>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86" t="s">
        <v>142</v>
      </c>
      <c r="B24" s="183">
        <v>68</v>
      </c>
      <c r="C24" s="18">
        <v>44378</v>
      </c>
      <c r="D24" s="3"/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6" t="s">
        <v>145</v>
      </c>
      <c r="B25" s="187">
        <v>41</v>
      </c>
      <c r="C25" s="18">
        <v>26757</v>
      </c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182" t="s">
        <v>13</v>
      </c>
      <c r="B26" s="188">
        <v>360</v>
      </c>
      <c r="C26" s="32">
        <v>234941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>
      <c r="A27" s="189" t="s">
        <v>14</v>
      </c>
      <c r="B27" s="34">
        <v>652.61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1"/>
      <c r="B28" s="1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>
      <c r="A29" s="35"/>
      <c r="B29" s="36"/>
      <c r="C29" s="37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1"/>
    </row>
    <row r="30" spans="1:26" ht="14.5">
      <c r="A30" s="1"/>
      <c r="B30" s="1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0" t="s">
        <v>30</v>
      </c>
      <c r="B31" s="1"/>
      <c r="C31" s="3"/>
      <c r="D31" s="181">
        <v>26997165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82" t="s">
        <v>2</v>
      </c>
      <c r="B32" s="8">
        <v>5.0000000000000001E-3</v>
      </c>
      <c r="C32" s="3"/>
      <c r="D32" s="191">
        <v>134985.82500000001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80" t="s">
        <v>5</v>
      </c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32</v>
      </c>
      <c r="B35" s="55">
        <v>132</v>
      </c>
      <c r="C35" s="18">
        <v>54490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95</v>
      </c>
      <c r="B36" s="55">
        <v>18</v>
      </c>
      <c r="C36" s="18">
        <v>7430</v>
      </c>
      <c r="D36" s="54">
        <v>12382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4" t="s">
        <v>36</v>
      </c>
      <c r="B37" s="57">
        <v>130</v>
      </c>
      <c r="C37" s="18">
        <v>53664</v>
      </c>
      <c r="D37" s="13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4" t="s">
        <v>53</v>
      </c>
      <c r="B38" s="57">
        <v>12</v>
      </c>
      <c r="C38" s="18">
        <v>4954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92" t="s">
        <v>41</v>
      </c>
      <c r="B39" s="62">
        <v>6</v>
      </c>
      <c r="C39" s="18">
        <v>2477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93" t="s">
        <v>107</v>
      </c>
      <c r="B40" s="57">
        <v>29</v>
      </c>
      <c r="C40" s="64">
        <v>11971</v>
      </c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82" t="s">
        <v>13</v>
      </c>
      <c r="B41" s="32">
        <v>327</v>
      </c>
      <c r="C41" s="32">
        <v>134986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3.5">
      <c r="A42" s="189" t="s">
        <v>14</v>
      </c>
      <c r="B42" s="34">
        <v>412.8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1"/>
      <c r="B43" s="1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35"/>
      <c r="B44" s="36"/>
      <c r="C44" s="37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1"/>
    </row>
    <row r="45" spans="1:26" ht="14.5">
      <c r="A45" s="1"/>
      <c r="B45" s="1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0" t="s">
        <v>40</v>
      </c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82" t="s">
        <v>2</v>
      </c>
      <c r="B47" s="8">
        <v>5.0000000000000001E-3</v>
      </c>
      <c r="C47" s="3"/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"/>
      <c r="B48" s="1"/>
      <c r="C48" s="3"/>
      <c r="D48" s="191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180" t="s">
        <v>5</v>
      </c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7"/>
      <c r="B50" s="68"/>
      <c r="C50" s="18" t="e">
        <v>#DIV/0!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69"/>
      <c r="B51" s="68"/>
      <c r="C51" s="18" t="e">
        <v>#DIV/0!</v>
      </c>
      <c r="D51" s="1"/>
      <c r="E51" s="1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82" t="s">
        <v>13</v>
      </c>
      <c r="B52" s="32">
        <v>0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3.5">
      <c r="A53" s="189" t="s">
        <v>14</v>
      </c>
      <c r="B53" s="71" t="e">
        <v>#DIV/0!</v>
      </c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35"/>
      <c r="B55" s="35"/>
      <c r="C55" s="37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1"/>
    </row>
    <row r="56" spans="1:26" ht="14.5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0" t="s">
        <v>42</v>
      </c>
      <c r="B57" s="1"/>
      <c r="C57" s="3"/>
      <c r="D57" s="181">
        <v>22905996</v>
      </c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82" t="s">
        <v>2</v>
      </c>
      <c r="B58" s="8">
        <v>5.0000000000000001E-3</v>
      </c>
      <c r="C58" s="3"/>
      <c r="D58" s="191">
        <v>114529.98</v>
      </c>
      <c r="E58" s="1"/>
      <c r="F58" s="1"/>
      <c r="G58" s="1"/>
      <c r="H58" s="72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"/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80" t="s">
        <v>5</v>
      </c>
      <c r="B60" s="1"/>
      <c r="C60" s="3"/>
      <c r="D60" s="1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44</v>
      </c>
      <c r="B61" s="183">
        <v>108</v>
      </c>
      <c r="C61" s="18">
        <v>48507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95" t="s">
        <v>45</v>
      </c>
      <c r="B62" s="183">
        <v>87</v>
      </c>
      <c r="C62" s="18">
        <v>39075</v>
      </c>
      <c r="D62" s="3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95" t="s">
        <v>47</v>
      </c>
      <c r="B63" s="183">
        <v>60</v>
      </c>
      <c r="C63" s="18">
        <v>26948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82" t="s">
        <v>13</v>
      </c>
      <c r="B64" s="188">
        <v>255</v>
      </c>
      <c r="C64" s="32">
        <v>114530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3.5">
      <c r="A65" s="189" t="s">
        <v>14</v>
      </c>
      <c r="B65" s="34">
        <v>449.14</v>
      </c>
      <c r="C65" s="3"/>
      <c r="D65" s="1"/>
      <c r="E65" s="1"/>
      <c r="F65" s="1"/>
      <c r="G65" s="1"/>
      <c r="H65" s="12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35"/>
      <c r="B67" s="35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1"/>
    </row>
    <row r="68" spans="1:26" ht="14.5">
      <c r="A68" s="1"/>
      <c r="B68" s="1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0" t="s">
        <v>49</v>
      </c>
      <c r="B69" s="1"/>
      <c r="C69" s="3"/>
      <c r="D69" s="181">
        <v>54904242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2" t="s">
        <v>2</v>
      </c>
      <c r="B70" s="8">
        <v>5.0000000000000001E-3</v>
      </c>
      <c r="C70" s="3"/>
      <c r="D70" s="191">
        <v>274521.21000000002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80" t="s">
        <v>5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96"/>
      <c r="B73" s="24"/>
      <c r="C73" s="18">
        <v>0</v>
      </c>
      <c r="D73" s="3"/>
      <c r="E73" s="1"/>
      <c r="F73" s="1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51</v>
      </c>
      <c r="B74" s="57">
        <v>124</v>
      </c>
      <c r="C74" s="18">
        <v>57211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96"/>
      <c r="B75" s="85"/>
      <c r="C75" s="18">
        <v>0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28" t="s">
        <v>140</v>
      </c>
      <c r="B76" s="57">
        <v>120</v>
      </c>
      <c r="C76" s="18">
        <v>55366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4" t="s">
        <v>67</v>
      </c>
      <c r="B77" s="57">
        <v>125</v>
      </c>
      <c r="C77" s="18">
        <v>57673</v>
      </c>
      <c r="D77" s="76">
        <v>21147</v>
      </c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86" t="s">
        <v>107</v>
      </c>
      <c r="B78" s="57">
        <v>95</v>
      </c>
      <c r="C78" s="18">
        <v>43831</v>
      </c>
      <c r="D78" s="3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86" t="s">
        <v>65</v>
      </c>
      <c r="B79" s="57">
        <v>121</v>
      </c>
      <c r="C79" s="18">
        <v>55827</v>
      </c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95" t="s">
        <v>59</v>
      </c>
      <c r="B80" s="57">
        <v>10</v>
      </c>
      <c r="C80" s="18">
        <v>4614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82" t="s">
        <v>13</v>
      </c>
      <c r="B81" s="188">
        <v>595</v>
      </c>
      <c r="C81" s="32">
        <v>274521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189" t="s">
        <v>14</v>
      </c>
      <c r="B82" s="34">
        <v>461.38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0" t="s">
        <v>54</v>
      </c>
      <c r="B86" s="1"/>
      <c r="C86" s="3"/>
      <c r="D86" s="78">
        <v>19200820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2" t="s">
        <v>2</v>
      </c>
      <c r="B87" s="8">
        <v>5.0000000000000001E-3</v>
      </c>
      <c r="C87" s="3"/>
      <c r="D87" s="79">
        <v>96004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80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04"/>
      <c r="B90" s="105"/>
      <c r="C90" s="64">
        <v>0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63</v>
      </c>
      <c r="B91" s="57">
        <v>122</v>
      </c>
      <c r="C91" s="18">
        <v>43220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97" t="s">
        <v>142</v>
      </c>
      <c r="B92" s="57">
        <v>41</v>
      </c>
      <c r="C92" s="18">
        <v>14525</v>
      </c>
      <c r="D92" s="3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90" t="s">
        <v>89</v>
      </c>
      <c r="B93" s="55">
        <v>108</v>
      </c>
      <c r="C93" s="18">
        <v>38260</v>
      </c>
      <c r="D93" s="54">
        <v>24231</v>
      </c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82" t="s">
        <v>13</v>
      </c>
      <c r="B94" s="32">
        <v>271</v>
      </c>
      <c r="C94" s="32">
        <v>96004</v>
      </c>
      <c r="D94" s="1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3.5">
      <c r="A95" s="189" t="s">
        <v>14</v>
      </c>
      <c r="B95" s="34">
        <v>354.26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35"/>
      <c r="B97" s="36"/>
      <c r="C97" s="3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1"/>
    </row>
    <row r="98" spans="1:26" ht="14.5">
      <c r="A98" s="1"/>
      <c r="B98" s="1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0" t="s">
        <v>62</v>
      </c>
      <c r="B99" s="12"/>
      <c r="C99" s="3"/>
      <c r="D99" s="181">
        <v>3786770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2" t="s">
        <v>2</v>
      </c>
      <c r="B100" s="8">
        <v>5.0000000000000001E-3</v>
      </c>
      <c r="C100" s="3"/>
      <c r="D100" s="191">
        <v>18933.849999999999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7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80" t="s">
        <v>5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4" t="s">
        <v>41</v>
      </c>
      <c r="B103" s="183">
        <v>52</v>
      </c>
      <c r="C103" s="18">
        <v>5049</v>
      </c>
      <c r="D103" s="76">
        <v>7526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78</v>
      </c>
      <c r="B104" s="183">
        <v>92</v>
      </c>
      <c r="C104" s="18">
        <v>8933</v>
      </c>
      <c r="D104" s="54">
        <v>13887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50</v>
      </c>
      <c r="B105" s="183">
        <v>51</v>
      </c>
      <c r="C105" s="18">
        <v>4952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04"/>
      <c r="B106" s="24"/>
      <c r="C106" s="18">
        <v>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 t="s">
        <v>13</v>
      </c>
      <c r="B107" s="188">
        <v>195</v>
      </c>
      <c r="C107" s="32">
        <v>18934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3.5">
      <c r="A108" s="189" t="s">
        <v>14</v>
      </c>
      <c r="B108" s="34">
        <v>97.1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35"/>
      <c r="B111" s="36"/>
      <c r="C111" s="3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1"/>
    </row>
    <row r="112" spans="1:26" ht="14.5">
      <c r="A112" s="1"/>
      <c r="B112" s="1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80" t="s">
        <v>102</v>
      </c>
      <c r="B113" s="12"/>
      <c r="C113" s="3"/>
      <c r="D113" s="181">
        <v>7094000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2" t="s">
        <v>2</v>
      </c>
      <c r="B114" s="8">
        <v>5.0000000000000001E-3</v>
      </c>
      <c r="C114" s="3"/>
      <c r="D114" s="191">
        <v>35470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7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0" t="s">
        <v>5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83">
        <v>119</v>
      </c>
      <c r="C117" s="18">
        <v>11596</v>
      </c>
      <c r="D117" s="1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84" t="s">
        <v>103</v>
      </c>
      <c r="B118" s="183">
        <v>92</v>
      </c>
      <c r="C118" s="18">
        <v>8965</v>
      </c>
      <c r="D118" s="54">
        <v>5977</v>
      </c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84" t="s">
        <v>105</v>
      </c>
      <c r="B119" s="183">
        <v>117</v>
      </c>
      <c r="C119" s="18">
        <v>11401</v>
      </c>
      <c r="D119" s="54">
        <v>7601</v>
      </c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84" t="s">
        <v>146</v>
      </c>
      <c r="B120" s="183">
        <v>18</v>
      </c>
      <c r="C120" s="18">
        <v>1754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84" t="s">
        <v>106</v>
      </c>
      <c r="B121" s="183">
        <v>18</v>
      </c>
      <c r="C121" s="18">
        <v>1754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23"/>
      <c r="B122" s="24"/>
      <c r="C122" s="18">
        <v>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3"/>
      <c r="B123" s="24"/>
      <c r="C123" s="18">
        <v>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1" t="s">
        <v>13</v>
      </c>
      <c r="B124" s="188">
        <v>364</v>
      </c>
      <c r="C124" s="32">
        <v>35470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3.5">
      <c r="A125" s="189" t="s">
        <v>14</v>
      </c>
      <c r="B125" s="34">
        <v>97.45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108</v>
      </c>
      <c r="B129" s="12"/>
      <c r="C129" s="3"/>
      <c r="D129" s="181">
        <v>658680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2" t="s">
        <v>2</v>
      </c>
      <c r="B130" s="8">
        <v>5.0000000000000001E-3</v>
      </c>
      <c r="C130" s="3"/>
      <c r="D130" s="191">
        <v>3293.4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7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80" t="s">
        <v>5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4" t="s">
        <v>100</v>
      </c>
      <c r="B133" s="183">
        <v>97</v>
      </c>
      <c r="C133" s="18">
        <v>1605</v>
      </c>
      <c r="D133" s="76">
        <v>6219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194" t="s">
        <v>148</v>
      </c>
      <c r="B134" s="183">
        <v>102</v>
      </c>
      <c r="C134" s="18">
        <v>1688</v>
      </c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26"/>
      <c r="B135" s="24"/>
      <c r="C135" s="18">
        <v>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3"/>
      <c r="B136" s="24"/>
      <c r="C136" s="18">
        <v>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91" t="s">
        <v>13</v>
      </c>
      <c r="B137" s="188">
        <v>199</v>
      </c>
      <c r="C137" s="32">
        <v>3293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3.5">
      <c r="A138" s="189" t="s">
        <v>14</v>
      </c>
      <c r="B138" s="34">
        <v>16.55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35"/>
      <c r="B140" s="36"/>
      <c r="C140" s="3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1"/>
    </row>
    <row r="141" spans="1:26" ht="14.5">
      <c r="A141" s="1"/>
      <c r="B141" s="1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112</v>
      </c>
      <c r="B142" s="12"/>
      <c r="C142" s="3"/>
      <c r="D142" s="181">
        <v>5136700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2" t="s">
        <v>2</v>
      </c>
      <c r="B143" s="8">
        <v>5.0000000000000001E-3</v>
      </c>
      <c r="C143" s="3"/>
      <c r="D143" s="191">
        <v>25683.5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7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80" t="s">
        <v>5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4" t="s">
        <v>31</v>
      </c>
      <c r="B146" s="183">
        <v>93</v>
      </c>
      <c r="C146" s="18">
        <v>8913</v>
      </c>
      <c r="D146" s="76">
        <v>10667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84" t="s">
        <v>106</v>
      </c>
      <c r="B147" s="183">
        <v>73</v>
      </c>
      <c r="C147" s="18">
        <v>6996</v>
      </c>
      <c r="D147" s="76">
        <v>8750</v>
      </c>
      <c r="E147" s="1"/>
      <c r="F147" s="79">
        <v>4958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86" t="s">
        <v>147</v>
      </c>
      <c r="B148" s="183">
        <v>102</v>
      </c>
      <c r="C148" s="18">
        <v>9775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3"/>
      <c r="B149" s="24"/>
      <c r="C149" s="18">
        <v>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6"/>
      <c r="B150" s="24"/>
      <c r="C150" s="18">
        <v>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6"/>
      <c r="B151" s="24"/>
      <c r="C151" s="18"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91" t="s">
        <v>13</v>
      </c>
      <c r="B152" s="188">
        <v>268</v>
      </c>
      <c r="C152" s="32">
        <v>25684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3.5">
      <c r="A153" s="189" t="s">
        <v>14</v>
      </c>
      <c r="B153" s="34">
        <v>95.83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35"/>
      <c r="B155" s="36"/>
      <c r="C155" s="3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71" t="s">
        <v>69</v>
      </c>
      <c r="C157" s="32" t="s">
        <v>70</v>
      </c>
      <c r="D157" s="3"/>
      <c r="E157" s="1"/>
      <c r="F157" s="23"/>
      <c r="G157" s="200" t="s">
        <v>73</v>
      </c>
      <c r="H157" s="200" t="s">
        <v>70</v>
      </c>
      <c r="I157" s="200" t="s">
        <v>74</v>
      </c>
      <c r="J157" s="200" t="s">
        <v>75</v>
      </c>
      <c r="K157" s="201" t="s">
        <v>76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9">
      <c r="A158" s="202" t="s">
        <v>77</v>
      </c>
      <c r="B158" s="203"/>
      <c r="C158" s="204">
        <v>476904</v>
      </c>
      <c r="D158" s="32">
        <v>476900</v>
      </c>
      <c r="E158" s="3"/>
      <c r="F158" s="205" t="s">
        <v>51</v>
      </c>
      <c r="G158" s="96">
        <v>49769692</v>
      </c>
      <c r="H158" s="97">
        <v>248848</v>
      </c>
      <c r="I158" s="97">
        <v>57211</v>
      </c>
      <c r="J158" s="97">
        <v>191637</v>
      </c>
      <c r="K158" s="98">
        <v>191600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202" t="s">
        <v>79</v>
      </c>
      <c r="B159" s="203"/>
      <c r="C159" s="204">
        <v>447175</v>
      </c>
      <c r="D159" s="32">
        <v>447200</v>
      </c>
      <c r="E159" s="1"/>
      <c r="F159" s="68" t="s">
        <v>32</v>
      </c>
      <c r="G159" s="96">
        <v>25475593</v>
      </c>
      <c r="H159" s="97">
        <v>127378</v>
      </c>
      <c r="I159" s="97">
        <v>54490</v>
      </c>
      <c r="J159" s="97">
        <v>72888</v>
      </c>
      <c r="K159" s="98">
        <v>72900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43.5">
      <c r="A160" s="206" t="s">
        <v>81</v>
      </c>
      <c r="B160" s="101">
        <v>39663000</v>
      </c>
      <c r="C160" s="102">
        <v>198315</v>
      </c>
      <c r="D160" s="32">
        <v>198300</v>
      </c>
      <c r="E160" s="1"/>
      <c r="F160" s="205" t="s">
        <v>19</v>
      </c>
      <c r="G160" s="96">
        <v>39663000</v>
      </c>
      <c r="H160" s="97">
        <v>198315</v>
      </c>
      <c r="I160" s="97">
        <v>82882</v>
      </c>
      <c r="J160" s="97">
        <v>115433</v>
      </c>
      <c r="K160" s="98">
        <v>115400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206" t="s">
        <v>82</v>
      </c>
      <c r="B161" s="101">
        <v>16123930</v>
      </c>
      <c r="C161" s="102">
        <v>80620</v>
      </c>
      <c r="D161" s="188">
        <v>80600</v>
      </c>
      <c r="E161" s="1"/>
      <c r="F161" s="205" t="s">
        <v>6</v>
      </c>
      <c r="G161" s="96">
        <v>16123930</v>
      </c>
      <c r="H161" s="97">
        <v>80620</v>
      </c>
      <c r="I161" s="97">
        <v>19383</v>
      </c>
      <c r="J161" s="97">
        <v>61237</v>
      </c>
      <c r="K161" s="98">
        <v>61200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207" t="s">
        <v>84</v>
      </c>
      <c r="B162" s="107">
        <v>25475593</v>
      </c>
      <c r="C162" s="109">
        <v>127378</v>
      </c>
      <c r="D162" s="32">
        <v>127400</v>
      </c>
      <c r="E162" s="1"/>
      <c r="F162" s="205" t="s">
        <v>44</v>
      </c>
      <c r="G162" s="96">
        <v>21769882</v>
      </c>
      <c r="H162" s="97">
        <v>108849</v>
      </c>
      <c r="I162" s="97">
        <v>48507</v>
      </c>
      <c r="J162" s="97">
        <v>60343</v>
      </c>
      <c r="K162" s="98">
        <v>57300</v>
      </c>
      <c r="L162" s="182" t="s">
        <v>149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208" t="s">
        <v>85</v>
      </c>
      <c r="B163" s="113">
        <v>21769882</v>
      </c>
      <c r="C163" s="115">
        <v>108849</v>
      </c>
      <c r="D163" s="188">
        <v>108800</v>
      </c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210" t="s">
        <v>87</v>
      </c>
      <c r="B164" s="121">
        <v>49769692</v>
      </c>
      <c r="C164" s="32">
        <v>248848</v>
      </c>
      <c r="D164" s="188">
        <v>248800</v>
      </c>
      <c r="E164" s="1"/>
      <c r="F164" s="23"/>
      <c r="G164" s="117"/>
      <c r="H164" s="68"/>
      <c r="I164" s="68"/>
      <c r="J164" s="68"/>
      <c r="K164" s="1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9">
      <c r="A165" s="210" t="s">
        <v>91</v>
      </c>
      <c r="B165" s="198">
        <v>17824030</v>
      </c>
      <c r="C165" s="32">
        <v>89120</v>
      </c>
      <c r="D165" s="188">
        <v>89100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210" t="s">
        <v>92</v>
      </c>
      <c r="B166" s="121">
        <v>3623340</v>
      </c>
      <c r="C166" s="32">
        <v>18117</v>
      </c>
      <c r="D166" s="188">
        <v>18100</v>
      </c>
      <c r="E166" s="1"/>
      <c r="F166" s="242" t="s">
        <v>122</v>
      </c>
      <c r="G166" s="24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210" t="s">
        <v>133</v>
      </c>
      <c r="B167" s="34">
        <v>4959713</v>
      </c>
      <c r="C167" s="32">
        <v>24799</v>
      </c>
      <c r="D167" s="188">
        <v>24800</v>
      </c>
      <c r="E167" s="1"/>
      <c r="F167" s="205" t="s">
        <v>77</v>
      </c>
      <c r="G167" s="18">
        <v>476900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134</v>
      </c>
      <c r="B168" s="34">
        <v>623750</v>
      </c>
      <c r="C168" s="32">
        <v>3119</v>
      </c>
      <c r="D168" s="188">
        <v>3100</v>
      </c>
      <c r="E168" s="1"/>
      <c r="F168" s="205" t="s">
        <v>79</v>
      </c>
      <c r="G168" s="18">
        <v>447200</v>
      </c>
      <c r="H168" s="3"/>
      <c r="I168" s="244"/>
      <c r="J168" s="245"/>
      <c r="K168" s="246"/>
      <c r="L168" s="125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135</v>
      </c>
      <c r="B169" s="34">
        <v>4983000</v>
      </c>
      <c r="C169" s="32">
        <v>24915</v>
      </c>
      <c r="D169" s="188">
        <v>24900</v>
      </c>
      <c r="E169" s="1"/>
      <c r="F169" s="205" t="s">
        <v>19</v>
      </c>
      <c r="G169" s="18">
        <v>115400</v>
      </c>
      <c r="H169" s="3" t="s">
        <v>126</v>
      </c>
      <c r="I169" s="247"/>
      <c r="J169" s="241"/>
      <c r="K169" s="248"/>
      <c r="L169" s="125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2"/>
      <c r="C170" s="32">
        <v>0</v>
      </c>
      <c r="D170" s="1"/>
      <c r="E170" s="1"/>
      <c r="F170" s="205" t="s">
        <v>6</v>
      </c>
      <c r="G170" s="18">
        <v>61200</v>
      </c>
      <c r="H170" s="182" t="s">
        <v>127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v>0</v>
      </c>
      <c r="D171" s="166"/>
      <c r="E171" s="1"/>
      <c r="F171" s="205" t="s">
        <v>44</v>
      </c>
      <c r="G171" s="18">
        <v>57300</v>
      </c>
      <c r="H171" s="3" t="s">
        <v>128</v>
      </c>
      <c r="I171" s="249"/>
      <c r="J171" s="250"/>
      <c r="K171" s="251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18">
        <v>1848159</v>
      </c>
      <c r="D172" s="126">
        <v>1848000</v>
      </c>
      <c r="E172" s="1"/>
      <c r="F172" s="23"/>
      <c r="G172" s="212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"/>
      <c r="D173" s="1"/>
      <c r="E173" s="1"/>
      <c r="F173" s="205" t="s">
        <v>51</v>
      </c>
      <c r="G173" s="18">
        <v>191600</v>
      </c>
      <c r="H173" s="3" t="s">
        <v>97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213" t="s">
        <v>93</v>
      </c>
      <c r="B174" s="12"/>
      <c r="C174" s="32" t="s">
        <v>70</v>
      </c>
      <c r="D174" s="1"/>
      <c r="E174" s="1"/>
      <c r="F174" s="205" t="s">
        <v>32</v>
      </c>
      <c r="G174" s="18">
        <v>72900</v>
      </c>
      <c r="H174" s="3" t="s">
        <v>99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210" t="s">
        <v>94</v>
      </c>
      <c r="B175" s="10">
        <v>16123930</v>
      </c>
      <c r="C175" s="32">
        <v>80620</v>
      </c>
      <c r="D175" s="1"/>
      <c r="E175" s="1"/>
      <c r="F175" s="1"/>
      <c r="G175" s="131">
        <v>1422500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0" t="s">
        <v>96</v>
      </c>
      <c r="B176" s="10">
        <v>39663000</v>
      </c>
      <c r="C176" s="32">
        <v>198315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98</v>
      </c>
      <c r="B177" s="10">
        <v>21769882</v>
      </c>
      <c r="C177" s="32">
        <v>108849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9">
      <c r="A178" s="210" t="s">
        <v>91</v>
      </c>
      <c r="B178" s="10">
        <v>17824030</v>
      </c>
      <c r="C178" s="32">
        <v>89120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2"/>
      <c r="C179" s="32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34">
        <v>95380842</v>
      </c>
      <c r="C181" s="132">
        <v>476904</v>
      </c>
      <c r="D181" s="216" t="s">
        <v>101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34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35"/>
      <c r="B183" s="136"/>
      <c r="C183" s="137"/>
      <c r="D183" s="135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213" t="s">
        <v>109</v>
      </c>
      <c r="B184" s="134"/>
      <c r="C184" s="32" t="s">
        <v>70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210" t="s">
        <v>110</v>
      </c>
      <c r="B185" s="10">
        <v>25475593</v>
      </c>
      <c r="C185" s="32">
        <v>127378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0" t="s">
        <v>111</v>
      </c>
      <c r="B186" s="10">
        <v>49769692</v>
      </c>
      <c r="C186" s="32">
        <v>248848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92</v>
      </c>
      <c r="B187" s="10">
        <v>3623340</v>
      </c>
      <c r="C187" s="32">
        <v>18117</v>
      </c>
      <c r="D187" s="1"/>
      <c r="E187" s="35"/>
      <c r="F187" s="3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133</v>
      </c>
      <c r="B188" s="10">
        <v>4959713</v>
      </c>
      <c r="C188" s="32">
        <v>24799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135</v>
      </c>
      <c r="B189" s="10">
        <v>4983000</v>
      </c>
      <c r="C189" s="32">
        <v>24915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134</v>
      </c>
      <c r="B190" s="10">
        <v>623750</v>
      </c>
      <c r="C190" s="32">
        <v>3119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2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34">
        <v>89435088</v>
      </c>
      <c r="C192" s="132">
        <v>447175</v>
      </c>
      <c r="D192" s="216" t="s">
        <v>101</v>
      </c>
      <c r="E192" s="1"/>
      <c r="F192" s="1"/>
      <c r="G192" s="138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7"/>
      <c r="D194" s="35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14577249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72886.25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98</v>
      </c>
      <c r="C6" s="18">
        <v>23889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44</v>
      </c>
      <c r="C7" s="18">
        <v>10726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11</v>
      </c>
      <c r="B8" s="183">
        <v>69</v>
      </c>
      <c r="C8" s="18">
        <v>16820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85" t="s">
        <v>143</v>
      </c>
      <c r="B9" s="183">
        <v>88</v>
      </c>
      <c r="C9" s="18">
        <v>21451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299</v>
      </c>
      <c r="C12" s="32">
        <v>72886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243.77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35017230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175086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116</v>
      </c>
      <c r="C21" s="18">
        <v>65305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75</v>
      </c>
      <c r="C22" s="18">
        <v>42223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86" t="s">
        <v>142</v>
      </c>
      <c r="B23" s="183">
        <v>47</v>
      </c>
      <c r="C23" s="18">
        <v>26460</v>
      </c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86" t="s">
        <v>145</v>
      </c>
      <c r="B24" s="187">
        <v>73</v>
      </c>
      <c r="C24" s="18">
        <v>41097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311</v>
      </c>
      <c r="C25" s="32">
        <v>175086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189" t="s">
        <v>14</v>
      </c>
      <c r="B26" s="34">
        <v>562.98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23915110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119575.55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114</v>
      </c>
      <c r="C34" s="18">
        <v>44548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95</v>
      </c>
      <c r="B35" s="55">
        <v>113</v>
      </c>
      <c r="C35" s="18">
        <v>44157</v>
      </c>
      <c r="D35" s="13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43</v>
      </c>
      <c r="C36" s="18">
        <v>16803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93" t="s">
        <v>107</v>
      </c>
      <c r="B37" s="57">
        <v>36</v>
      </c>
      <c r="C37" s="64">
        <v>14068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99"/>
      <c r="B38" s="105"/>
      <c r="C38" s="18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25"/>
      <c r="B39" s="85"/>
      <c r="C39" s="64">
        <v>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82" t="s">
        <v>13</v>
      </c>
      <c r="B40" s="32">
        <v>306</v>
      </c>
      <c r="C40" s="32">
        <v>119576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>
      <c r="A41" s="189" t="s">
        <v>14</v>
      </c>
      <c r="B41" s="34">
        <v>390.77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35"/>
      <c r="B43" s="36"/>
      <c r="C43" s="37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"/>
    </row>
    <row r="44" spans="1:26" ht="14.5">
      <c r="A44" s="1"/>
      <c r="B44" s="1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80" t="s">
        <v>40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2" t="s">
        <v>2</v>
      </c>
      <c r="B46" s="8">
        <v>5.0000000000000001E-3</v>
      </c>
      <c r="C46" s="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3"/>
      <c r="D47" s="191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80" t="s">
        <v>5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7"/>
      <c r="B49" s="68"/>
      <c r="C49" s="18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9"/>
      <c r="B50" s="68"/>
      <c r="C50" s="18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82" t="s">
        <v>13</v>
      </c>
      <c r="B51" s="32">
        <v>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5">
      <c r="A52" s="189" t="s">
        <v>14</v>
      </c>
      <c r="B52" s="71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35"/>
      <c r="B54" s="35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</row>
    <row r="55" spans="1:26" ht="14.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80" t="s">
        <v>42</v>
      </c>
      <c r="B56" s="1"/>
      <c r="C56" s="3"/>
      <c r="D56" s="181">
        <v>19378421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2" t="s">
        <v>2</v>
      </c>
      <c r="B57" s="8">
        <v>5.0000000000000001E-3</v>
      </c>
      <c r="C57" s="3"/>
      <c r="D57" s="191">
        <v>96892.104999999996</v>
      </c>
      <c r="E57" s="1"/>
      <c r="F57" s="1"/>
      <c r="G57" s="1"/>
      <c r="H57" s="7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80" t="s">
        <v>5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44</v>
      </c>
      <c r="B60" s="183">
        <v>50</v>
      </c>
      <c r="C60" s="18">
        <v>18633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45</v>
      </c>
      <c r="B61" s="183">
        <v>97</v>
      </c>
      <c r="C61" s="18">
        <v>36148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95" t="s">
        <v>47</v>
      </c>
      <c r="B62" s="183">
        <v>101</v>
      </c>
      <c r="C62" s="18">
        <v>37639</v>
      </c>
      <c r="D62" s="3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209" t="s">
        <v>150</v>
      </c>
      <c r="B63" s="183">
        <v>12</v>
      </c>
      <c r="C63" s="18">
        <v>4472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82" t="s">
        <v>13</v>
      </c>
      <c r="B64" s="188">
        <v>260</v>
      </c>
      <c r="C64" s="32">
        <v>96892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3.5">
      <c r="A65" s="189" t="s">
        <v>14</v>
      </c>
      <c r="B65" s="34">
        <v>372.66</v>
      </c>
      <c r="C65" s="3"/>
      <c r="D65" s="1"/>
      <c r="E65" s="1"/>
      <c r="F65" s="1"/>
      <c r="G65" s="1"/>
      <c r="H65" s="12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35"/>
      <c r="B67" s="35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1"/>
    </row>
    <row r="68" spans="1:26" ht="14.5">
      <c r="A68" s="1"/>
      <c r="B68" s="1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0" t="s">
        <v>49</v>
      </c>
      <c r="B69" s="1"/>
      <c r="C69" s="3"/>
      <c r="D69" s="181">
        <v>52821916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2" t="s">
        <v>2</v>
      </c>
      <c r="B70" s="8">
        <v>5.0000000000000001E-3</v>
      </c>
      <c r="C70" s="3"/>
      <c r="D70" s="191">
        <v>264109.58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80" t="s">
        <v>5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96"/>
      <c r="B73" s="24"/>
      <c r="C73" s="18">
        <v>0</v>
      </c>
      <c r="D73" s="3"/>
      <c r="E73" s="1"/>
      <c r="F73" s="1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51</v>
      </c>
      <c r="B74" s="57">
        <v>80</v>
      </c>
      <c r="C74" s="18">
        <v>41839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53</v>
      </c>
      <c r="B75" s="57">
        <v>15</v>
      </c>
      <c r="C75" s="18">
        <v>7845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28" t="s">
        <v>140</v>
      </c>
      <c r="B76" s="57">
        <v>108</v>
      </c>
      <c r="C76" s="18">
        <v>56483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4" t="s">
        <v>67</v>
      </c>
      <c r="B77" s="57">
        <v>110</v>
      </c>
      <c r="C77" s="18">
        <v>57529</v>
      </c>
      <c r="D77" s="130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214" t="s">
        <v>107</v>
      </c>
      <c r="B78" s="57">
        <v>80</v>
      </c>
      <c r="C78" s="18">
        <v>41839</v>
      </c>
      <c r="D78" s="76">
        <v>27893</v>
      </c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14" t="s">
        <v>65</v>
      </c>
      <c r="B79" s="57">
        <v>103</v>
      </c>
      <c r="C79" s="18">
        <v>53868</v>
      </c>
      <c r="D79" s="130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95" t="s">
        <v>59</v>
      </c>
      <c r="B80" s="57">
        <v>9</v>
      </c>
      <c r="C80" s="18">
        <v>4707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82" t="s">
        <v>13</v>
      </c>
      <c r="B81" s="188">
        <v>505</v>
      </c>
      <c r="C81" s="32">
        <v>264110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189" t="s">
        <v>14</v>
      </c>
      <c r="B82" s="34">
        <v>522.99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0" t="s">
        <v>54</v>
      </c>
      <c r="B86" s="1"/>
      <c r="C86" s="3"/>
      <c r="D86" s="78">
        <v>14045343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2" t="s">
        <v>2</v>
      </c>
      <c r="B87" s="8">
        <v>5.0000000000000001E-3</v>
      </c>
      <c r="C87" s="3"/>
      <c r="D87" s="79">
        <v>70227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80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04"/>
      <c r="B90" s="105"/>
      <c r="C90" s="64">
        <v>0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63</v>
      </c>
      <c r="B91" s="57">
        <v>97</v>
      </c>
      <c r="C91" s="18">
        <v>27579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97" t="s">
        <v>142</v>
      </c>
      <c r="B92" s="57">
        <v>39</v>
      </c>
      <c r="C92" s="18">
        <v>11088</v>
      </c>
      <c r="D92" s="3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90" t="s">
        <v>89</v>
      </c>
      <c r="B93" s="55">
        <v>111</v>
      </c>
      <c r="C93" s="18">
        <v>31559</v>
      </c>
      <c r="D93" s="130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82" t="s">
        <v>13</v>
      </c>
      <c r="B94" s="32">
        <v>247</v>
      </c>
      <c r="C94" s="32">
        <v>70227</v>
      </c>
      <c r="D94" s="1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3.5">
      <c r="A95" s="189" t="s">
        <v>14</v>
      </c>
      <c r="B95" s="34">
        <v>284.32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35"/>
      <c r="B97" s="36"/>
      <c r="C97" s="3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1"/>
    </row>
    <row r="98" spans="1:26" ht="14.5">
      <c r="A98" s="1"/>
      <c r="B98" s="1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0" t="s">
        <v>62</v>
      </c>
      <c r="B99" s="12"/>
      <c r="C99" s="3"/>
      <c r="D99" s="181">
        <v>3043380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2" t="s">
        <v>2</v>
      </c>
      <c r="B100" s="8">
        <v>5.0000000000000001E-3</v>
      </c>
      <c r="C100" s="3"/>
      <c r="D100" s="191">
        <v>15216.9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7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80" t="s">
        <v>5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4" t="s">
        <v>100</v>
      </c>
      <c r="B103" s="183">
        <v>6</v>
      </c>
      <c r="C103" s="18">
        <v>557</v>
      </c>
      <c r="D103" s="76">
        <v>557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78</v>
      </c>
      <c r="B104" s="183">
        <v>79</v>
      </c>
      <c r="C104" s="18">
        <v>7330</v>
      </c>
      <c r="D104" s="54">
        <v>15175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41</v>
      </c>
      <c r="B105" s="183">
        <v>79</v>
      </c>
      <c r="C105" s="18">
        <v>7330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04"/>
      <c r="B106" s="24"/>
      <c r="C106" s="18">
        <v>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 t="s">
        <v>13</v>
      </c>
      <c r="B107" s="188">
        <v>164</v>
      </c>
      <c r="C107" s="32">
        <v>15217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3.5">
      <c r="A108" s="189" t="s">
        <v>14</v>
      </c>
      <c r="B108" s="34">
        <v>92.79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35"/>
      <c r="B111" s="36"/>
      <c r="C111" s="3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1"/>
    </row>
    <row r="112" spans="1:26" ht="14.5">
      <c r="A112" s="1"/>
      <c r="B112" s="1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80" t="s">
        <v>102</v>
      </c>
      <c r="B113" s="12"/>
      <c r="C113" s="3"/>
      <c r="D113" s="181">
        <v>8516942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2" t="s">
        <v>2</v>
      </c>
      <c r="B114" s="8">
        <v>5.0000000000000001E-3</v>
      </c>
      <c r="C114" s="3"/>
      <c r="D114" s="191">
        <v>42584.71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7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0" t="s">
        <v>5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83">
        <v>70</v>
      </c>
      <c r="C117" s="18">
        <v>9088</v>
      </c>
      <c r="D117" s="1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84" t="s">
        <v>103</v>
      </c>
      <c r="B118" s="183">
        <v>110</v>
      </c>
      <c r="C118" s="18">
        <v>14281</v>
      </c>
      <c r="D118" s="130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84" t="s">
        <v>105</v>
      </c>
      <c r="B119" s="183">
        <v>84</v>
      </c>
      <c r="C119" s="18">
        <v>10906</v>
      </c>
      <c r="D119" s="130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84" t="s">
        <v>146</v>
      </c>
      <c r="B120" s="183">
        <v>14</v>
      </c>
      <c r="C120" s="18">
        <v>1818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84" t="s">
        <v>106</v>
      </c>
      <c r="B121" s="183">
        <v>10</v>
      </c>
      <c r="C121" s="18">
        <v>1298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186" t="s">
        <v>147</v>
      </c>
      <c r="B122" s="183">
        <v>40</v>
      </c>
      <c r="C122" s="18">
        <v>5193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3"/>
      <c r="B123" s="24"/>
      <c r="C123" s="18">
        <v>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1" t="s">
        <v>13</v>
      </c>
      <c r="B124" s="188">
        <v>328</v>
      </c>
      <c r="C124" s="32">
        <v>42585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3.5">
      <c r="A125" s="189" t="s">
        <v>14</v>
      </c>
      <c r="B125" s="34">
        <v>129.83000000000001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108</v>
      </c>
      <c r="B129" s="12"/>
      <c r="C129" s="3"/>
      <c r="D129" s="181">
        <v>244510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2" t="s">
        <v>2</v>
      </c>
      <c r="B130" s="8">
        <v>5.0000000000000001E-3</v>
      </c>
      <c r="C130" s="3"/>
      <c r="D130" s="191">
        <v>1222.55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7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80" t="s">
        <v>5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4" t="s">
        <v>100</v>
      </c>
      <c r="B133" s="183">
        <v>77</v>
      </c>
      <c r="C133" s="18">
        <v>603</v>
      </c>
      <c r="D133" s="76">
        <v>5867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219" t="s">
        <v>148</v>
      </c>
      <c r="B134" s="183">
        <v>79</v>
      </c>
      <c r="C134" s="18">
        <v>619</v>
      </c>
      <c r="D134" s="204">
        <v>413</v>
      </c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26"/>
      <c r="B135" s="24"/>
      <c r="C135" s="18">
        <v>0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3"/>
      <c r="B136" s="24"/>
      <c r="C136" s="18">
        <v>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91" t="s">
        <v>13</v>
      </c>
      <c r="B137" s="188">
        <v>156</v>
      </c>
      <c r="C137" s="32">
        <v>1223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3.5">
      <c r="A138" s="189" t="s">
        <v>14</v>
      </c>
      <c r="B138" s="34">
        <v>7.84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35"/>
      <c r="B140" s="36"/>
      <c r="C140" s="3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1"/>
    </row>
    <row r="141" spans="1:26" ht="14.5">
      <c r="A141" s="1"/>
      <c r="B141" s="1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112</v>
      </c>
      <c r="B142" s="12"/>
      <c r="C142" s="3"/>
      <c r="D142" s="181">
        <v>9239300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2" t="s">
        <v>2</v>
      </c>
      <c r="B143" s="8">
        <v>5.0000000000000001E-3</v>
      </c>
      <c r="C143" s="3"/>
      <c r="D143" s="191">
        <v>46196.5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7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80" t="s">
        <v>5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4" t="s">
        <v>31</v>
      </c>
      <c r="B146" s="183">
        <v>46</v>
      </c>
      <c r="C146" s="18">
        <v>11244</v>
      </c>
      <c r="D146" s="76">
        <v>13061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84" t="s">
        <v>106</v>
      </c>
      <c r="B147" s="183">
        <v>86</v>
      </c>
      <c r="C147" s="18">
        <v>21021</v>
      </c>
      <c r="D147" s="76">
        <v>22319</v>
      </c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86" t="s">
        <v>147</v>
      </c>
      <c r="B148" s="183">
        <v>57</v>
      </c>
      <c r="C148" s="18">
        <v>13932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3"/>
      <c r="B149" s="24"/>
      <c r="C149" s="18">
        <v>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6"/>
      <c r="B150" s="24"/>
      <c r="C150" s="18">
        <v>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6"/>
      <c r="B151" s="24"/>
      <c r="C151" s="18"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91" t="s">
        <v>13</v>
      </c>
      <c r="B152" s="188">
        <v>189</v>
      </c>
      <c r="C152" s="32">
        <v>46197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3.5">
      <c r="A153" s="189" t="s">
        <v>14</v>
      </c>
      <c r="B153" s="34">
        <v>244.43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35"/>
      <c r="B155" s="36"/>
      <c r="C155" s="3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71" t="s">
        <v>69</v>
      </c>
      <c r="C157" s="32" t="s">
        <v>70</v>
      </c>
      <c r="D157" s="3"/>
      <c r="E157" s="1"/>
      <c r="F157" s="23"/>
      <c r="G157" s="200" t="s">
        <v>73</v>
      </c>
      <c r="H157" s="200" t="s">
        <v>70</v>
      </c>
      <c r="I157" s="200" t="s">
        <v>74</v>
      </c>
      <c r="J157" s="200" t="s">
        <v>75</v>
      </c>
      <c r="K157" s="201" t="s">
        <v>76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9">
      <c r="A158" s="210" t="s">
        <v>77</v>
      </c>
      <c r="B158" s="12"/>
      <c r="C158" s="32">
        <v>367340</v>
      </c>
      <c r="D158" s="32">
        <v>367300</v>
      </c>
      <c r="E158" s="3"/>
      <c r="F158" s="205" t="s">
        <v>51</v>
      </c>
      <c r="G158" s="96">
        <v>56105566</v>
      </c>
      <c r="H158" s="97">
        <v>280528</v>
      </c>
      <c r="I158" s="97">
        <v>41839</v>
      </c>
      <c r="J158" s="97">
        <v>238689</v>
      </c>
      <c r="K158" s="98">
        <v>238700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210" t="s">
        <v>79</v>
      </c>
      <c r="B159" s="12"/>
      <c r="C159" s="32">
        <v>488002</v>
      </c>
      <c r="D159" s="32">
        <v>488000</v>
      </c>
      <c r="E159" s="1"/>
      <c r="F159" s="68" t="s">
        <v>32</v>
      </c>
      <c r="G159" s="96">
        <v>20943355</v>
      </c>
      <c r="H159" s="97">
        <v>104717</v>
      </c>
      <c r="I159" s="97">
        <v>44548</v>
      </c>
      <c r="J159" s="97">
        <v>60169</v>
      </c>
      <c r="K159" s="98">
        <v>60200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43.5">
      <c r="A160" s="206" t="s">
        <v>81</v>
      </c>
      <c r="B160" s="101">
        <v>30438640</v>
      </c>
      <c r="C160" s="102">
        <v>152193</v>
      </c>
      <c r="D160" s="32">
        <v>152200</v>
      </c>
      <c r="E160" s="1"/>
      <c r="F160" s="205" t="s">
        <v>19</v>
      </c>
      <c r="G160" s="96">
        <v>30438640</v>
      </c>
      <c r="H160" s="97">
        <v>152193</v>
      </c>
      <c r="I160" s="97">
        <v>65305</v>
      </c>
      <c r="J160" s="97">
        <v>86888</v>
      </c>
      <c r="K160" s="98">
        <v>86900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206" t="s">
        <v>82</v>
      </c>
      <c r="B161" s="101">
        <v>13799300</v>
      </c>
      <c r="C161" s="102">
        <v>68997</v>
      </c>
      <c r="D161" s="188">
        <v>69000</v>
      </c>
      <c r="E161" s="1"/>
      <c r="F161" s="205" t="s">
        <v>6</v>
      </c>
      <c r="G161" s="96">
        <v>13799300</v>
      </c>
      <c r="H161" s="97">
        <v>68997</v>
      </c>
      <c r="I161" s="97">
        <v>23889</v>
      </c>
      <c r="J161" s="97">
        <v>45107</v>
      </c>
      <c r="K161" s="98">
        <v>45100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207" t="s">
        <v>84</v>
      </c>
      <c r="B162" s="107">
        <v>20943355</v>
      </c>
      <c r="C162" s="109">
        <v>104717</v>
      </c>
      <c r="D162" s="32">
        <v>104700</v>
      </c>
      <c r="E162" s="1"/>
      <c r="F162" s="205" t="s">
        <v>44</v>
      </c>
      <c r="G162" s="96">
        <v>16278682</v>
      </c>
      <c r="H162" s="97">
        <v>81393</v>
      </c>
      <c r="I162" s="97">
        <v>18633</v>
      </c>
      <c r="J162" s="97">
        <v>62760</v>
      </c>
      <c r="K162" s="98">
        <v>62800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208" t="s">
        <v>85</v>
      </c>
      <c r="B163" s="113">
        <v>16278682</v>
      </c>
      <c r="C163" s="115">
        <v>81393</v>
      </c>
      <c r="D163" s="188">
        <v>81400</v>
      </c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210" t="s">
        <v>87</v>
      </c>
      <c r="B164" s="121">
        <v>56105566</v>
      </c>
      <c r="C164" s="32">
        <v>280528</v>
      </c>
      <c r="D164" s="188">
        <v>280500</v>
      </c>
      <c r="E164" s="1"/>
      <c r="F164" s="23"/>
      <c r="G164" s="117"/>
      <c r="H164" s="68"/>
      <c r="I164" s="68"/>
      <c r="J164" s="68"/>
      <c r="K164" s="1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9">
      <c r="A165" s="210" t="s">
        <v>91</v>
      </c>
      <c r="B165" s="121">
        <v>12951444</v>
      </c>
      <c r="C165" s="32">
        <v>64757</v>
      </c>
      <c r="D165" s="188">
        <v>64600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210" t="s">
        <v>92</v>
      </c>
      <c r="B166" s="121">
        <v>2967397</v>
      </c>
      <c r="C166" s="32">
        <v>14837</v>
      </c>
      <c r="D166" s="188">
        <v>14800</v>
      </c>
      <c r="E166" s="1"/>
      <c r="F166" s="242" t="s">
        <v>122</v>
      </c>
      <c r="G166" s="24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210" t="s">
        <v>133</v>
      </c>
      <c r="B167" s="34">
        <v>7961630</v>
      </c>
      <c r="C167" s="32">
        <v>39808</v>
      </c>
      <c r="D167" s="188">
        <v>39800</v>
      </c>
      <c r="E167" s="1"/>
      <c r="F167" s="205" t="s">
        <v>77</v>
      </c>
      <c r="G167" s="18">
        <v>367300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134</v>
      </c>
      <c r="B168" s="34">
        <v>174650</v>
      </c>
      <c r="C168" s="32">
        <v>873</v>
      </c>
      <c r="D168" s="188">
        <v>900</v>
      </c>
      <c r="E168" s="1"/>
      <c r="F168" s="205" t="s">
        <v>79</v>
      </c>
      <c r="G168" s="97">
        <v>488000</v>
      </c>
      <c r="H168" s="3"/>
      <c r="I168" s="244"/>
      <c r="J168" s="245"/>
      <c r="K168" s="246"/>
      <c r="L168" s="125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135</v>
      </c>
      <c r="B169" s="34">
        <v>9447800</v>
      </c>
      <c r="C169" s="32">
        <v>47239</v>
      </c>
      <c r="D169" s="188">
        <v>47200</v>
      </c>
      <c r="E169" s="1"/>
      <c r="F169" s="205" t="s">
        <v>19</v>
      </c>
      <c r="G169" s="18">
        <v>86900</v>
      </c>
      <c r="H169" s="3" t="s">
        <v>126</v>
      </c>
      <c r="I169" s="247"/>
      <c r="J169" s="241"/>
      <c r="K169" s="248"/>
      <c r="L169" s="125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2"/>
      <c r="C170" s="32">
        <v>0</v>
      </c>
      <c r="D170" s="1"/>
      <c r="E170" s="1"/>
      <c r="F170" s="205" t="s">
        <v>6</v>
      </c>
      <c r="G170" s="18">
        <v>45100</v>
      </c>
      <c r="H170" s="182" t="s">
        <v>127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v>0</v>
      </c>
      <c r="D171" s="166"/>
      <c r="E171" s="1"/>
      <c r="F171" s="205" t="s">
        <v>44</v>
      </c>
      <c r="G171" s="18">
        <v>62800</v>
      </c>
      <c r="H171" s="3" t="s">
        <v>128</v>
      </c>
      <c r="I171" s="249"/>
      <c r="J171" s="250"/>
      <c r="K171" s="251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18">
        <v>1710685</v>
      </c>
      <c r="D172" s="126">
        <v>1710400</v>
      </c>
      <c r="E172" s="1"/>
      <c r="F172" s="23"/>
      <c r="G172" s="212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"/>
      <c r="D173" s="1"/>
      <c r="E173" s="1"/>
      <c r="F173" s="205" t="s">
        <v>51</v>
      </c>
      <c r="G173" s="18">
        <v>238700</v>
      </c>
      <c r="H173" s="3" t="s">
        <v>97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213" t="s">
        <v>93</v>
      </c>
      <c r="B174" s="12"/>
      <c r="C174" s="32" t="s">
        <v>70</v>
      </c>
      <c r="D174" s="1"/>
      <c r="E174" s="1"/>
      <c r="F174" s="205" t="s">
        <v>32</v>
      </c>
      <c r="G174" s="97">
        <v>60200</v>
      </c>
      <c r="H174" s="3" t="s">
        <v>99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210" t="s">
        <v>94</v>
      </c>
      <c r="B175" s="10">
        <v>13799300</v>
      </c>
      <c r="C175" s="32">
        <v>68997</v>
      </c>
      <c r="D175" s="1"/>
      <c r="E175" s="1"/>
      <c r="F175" s="1"/>
      <c r="G175" s="131">
        <v>1349000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0" t="s">
        <v>96</v>
      </c>
      <c r="B176" s="10">
        <v>30438640</v>
      </c>
      <c r="C176" s="32">
        <v>152193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98</v>
      </c>
      <c r="B177" s="10">
        <v>16278682</v>
      </c>
      <c r="C177" s="32">
        <v>81393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9">
      <c r="A178" s="210" t="s">
        <v>91</v>
      </c>
      <c r="B178" s="10">
        <v>12951444</v>
      </c>
      <c r="C178" s="32">
        <v>64757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2"/>
      <c r="C179" s="32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34">
        <v>73468066</v>
      </c>
      <c r="C181" s="132">
        <v>367340</v>
      </c>
      <c r="D181" s="216" t="s">
        <v>101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34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35"/>
      <c r="B183" s="136"/>
      <c r="C183" s="137"/>
      <c r="D183" s="135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213" t="s">
        <v>109</v>
      </c>
      <c r="B184" s="134"/>
      <c r="C184" s="32" t="s">
        <v>70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210" t="s">
        <v>110</v>
      </c>
      <c r="B185" s="10">
        <v>20943355</v>
      </c>
      <c r="C185" s="32">
        <v>104717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0" t="s">
        <v>111</v>
      </c>
      <c r="B186" s="10">
        <v>56105566</v>
      </c>
      <c r="C186" s="32">
        <v>280528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92</v>
      </c>
      <c r="B187" s="10">
        <v>2967397</v>
      </c>
      <c r="C187" s="32">
        <v>14837</v>
      </c>
      <c r="D187" s="1"/>
      <c r="E187" s="35"/>
      <c r="F187" s="3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133</v>
      </c>
      <c r="B188" s="10">
        <v>7961630</v>
      </c>
      <c r="C188" s="32">
        <v>39808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135</v>
      </c>
      <c r="B189" s="10">
        <v>9447800</v>
      </c>
      <c r="C189" s="32">
        <v>47239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134</v>
      </c>
      <c r="B190" s="10">
        <v>174650</v>
      </c>
      <c r="C190" s="32">
        <v>873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2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34">
        <v>97600398</v>
      </c>
      <c r="C192" s="132">
        <v>488002</v>
      </c>
      <c r="D192" s="216" t="s">
        <v>101</v>
      </c>
      <c r="E192" s="1"/>
      <c r="F192" s="1"/>
      <c r="G192" s="138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7"/>
      <c r="D194" s="35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13107670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65538.350000000006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85</v>
      </c>
      <c r="C6" s="18">
        <v>18757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113</v>
      </c>
      <c r="C7" s="18">
        <v>24935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11"/>
      <c r="B8" s="24"/>
      <c r="C8" s="18">
        <v>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85" t="s">
        <v>143</v>
      </c>
      <c r="B9" s="183">
        <v>99</v>
      </c>
      <c r="C9" s="18">
        <v>21846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297</v>
      </c>
      <c r="C12" s="32">
        <v>65538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220.67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29392260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146961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70</v>
      </c>
      <c r="C21" s="18">
        <v>33400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125</v>
      </c>
      <c r="C22" s="18">
        <v>59643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4" t="s">
        <v>151</v>
      </c>
      <c r="B23" s="183">
        <v>86</v>
      </c>
      <c r="C23" s="18">
        <v>41035</v>
      </c>
      <c r="D23" s="215">
        <v>45613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4" t="s">
        <v>142</v>
      </c>
      <c r="B24" s="187">
        <v>27</v>
      </c>
      <c r="C24" s="18">
        <v>12883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308</v>
      </c>
      <c r="C25" s="32">
        <v>146961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189" t="s">
        <v>14</v>
      </c>
      <c r="B26" s="34">
        <v>477.15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25193095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125965.47500000001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70</v>
      </c>
      <c r="C34" s="18">
        <v>25558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95</v>
      </c>
      <c r="B35" s="55">
        <v>121</v>
      </c>
      <c r="C35" s="18">
        <v>44179</v>
      </c>
      <c r="D35" s="13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122</v>
      </c>
      <c r="C36" s="18">
        <v>44544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25"/>
      <c r="B37" s="85"/>
      <c r="C37" s="64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92" t="s">
        <v>152</v>
      </c>
      <c r="B38" s="62">
        <v>32</v>
      </c>
      <c r="C38" s="18">
        <v>11684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25"/>
      <c r="B39" s="85"/>
      <c r="C39" s="64">
        <v>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82" t="s">
        <v>13</v>
      </c>
      <c r="B40" s="32">
        <v>345</v>
      </c>
      <c r="C40" s="32">
        <v>125965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>
      <c r="A41" s="189" t="s">
        <v>14</v>
      </c>
      <c r="B41" s="34">
        <v>365.12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35"/>
      <c r="B43" s="36"/>
      <c r="C43" s="37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"/>
    </row>
    <row r="44" spans="1:26" ht="14.5">
      <c r="A44" s="1"/>
      <c r="B44" s="1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80" t="s">
        <v>40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2" t="s">
        <v>2</v>
      </c>
      <c r="B46" s="8">
        <v>5.0000000000000001E-3</v>
      </c>
      <c r="C46" s="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3"/>
      <c r="D47" s="191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80" t="s">
        <v>5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7"/>
      <c r="B49" s="68"/>
      <c r="C49" s="18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9"/>
      <c r="B50" s="68"/>
      <c r="C50" s="18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82" t="s">
        <v>13</v>
      </c>
      <c r="B51" s="32">
        <v>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5">
      <c r="A52" s="189" t="s">
        <v>14</v>
      </c>
      <c r="B52" s="71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35"/>
      <c r="B54" s="35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</row>
    <row r="55" spans="1:26" ht="14.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80" t="s">
        <v>42</v>
      </c>
      <c r="B56" s="1"/>
      <c r="C56" s="3"/>
      <c r="D56" s="181">
        <v>17935210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2" t="s">
        <v>2</v>
      </c>
      <c r="B57" s="8">
        <v>5.0000000000000001E-3</v>
      </c>
      <c r="C57" s="3"/>
      <c r="D57" s="191">
        <v>89676.05</v>
      </c>
      <c r="E57" s="1"/>
      <c r="F57" s="1"/>
      <c r="G57" s="1"/>
      <c r="H57" s="7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80" t="s">
        <v>5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44</v>
      </c>
      <c r="B60" s="183">
        <v>105</v>
      </c>
      <c r="C60" s="18">
        <v>33993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45</v>
      </c>
      <c r="B61" s="183">
        <v>105</v>
      </c>
      <c r="C61" s="18">
        <v>33993</v>
      </c>
      <c r="D61" s="3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95" t="s">
        <v>47</v>
      </c>
      <c r="B62" s="183">
        <v>67</v>
      </c>
      <c r="C62" s="18">
        <v>21691</v>
      </c>
      <c r="D62" s="217">
        <v>28197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218"/>
      <c r="B63" s="24"/>
      <c r="C63" s="18">
        <v>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82" t="s">
        <v>13</v>
      </c>
      <c r="B64" s="188">
        <v>277</v>
      </c>
      <c r="C64" s="32">
        <v>89676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3.5">
      <c r="A65" s="189" t="s">
        <v>14</v>
      </c>
      <c r="B65" s="34">
        <v>323.74</v>
      </c>
      <c r="C65" s="3"/>
      <c r="D65" s="1"/>
      <c r="E65" s="1"/>
      <c r="F65" s="1"/>
      <c r="G65" s="1"/>
      <c r="H65" s="12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35"/>
      <c r="B67" s="35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1"/>
    </row>
    <row r="68" spans="1:26" ht="14.5">
      <c r="A68" s="1"/>
      <c r="B68" s="1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0" t="s">
        <v>49</v>
      </c>
      <c r="B69" s="1"/>
      <c r="C69" s="3"/>
      <c r="D69" s="181">
        <v>54912411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2" t="s">
        <v>2</v>
      </c>
      <c r="B70" s="8">
        <v>5.0000000000000001E-3</v>
      </c>
      <c r="C70" s="3"/>
      <c r="D70" s="191">
        <v>274562.05499999999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80" t="s">
        <v>5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96"/>
      <c r="B73" s="24"/>
      <c r="C73" s="18">
        <v>0</v>
      </c>
      <c r="D73" s="3"/>
      <c r="E73" s="1"/>
      <c r="F73" s="1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51</v>
      </c>
      <c r="B74" s="57">
        <v>121</v>
      </c>
      <c r="C74" s="18">
        <v>60514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53</v>
      </c>
      <c r="B75" s="57">
        <v>10</v>
      </c>
      <c r="C75" s="18">
        <v>5001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4" t="s">
        <v>140</v>
      </c>
      <c r="B76" s="57">
        <v>88</v>
      </c>
      <c r="C76" s="18">
        <v>44010</v>
      </c>
      <c r="D76" s="217">
        <v>55694</v>
      </c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4" t="s">
        <v>67</v>
      </c>
      <c r="B77" s="57">
        <v>109</v>
      </c>
      <c r="C77" s="18">
        <v>54512</v>
      </c>
      <c r="D77" s="130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214" t="s">
        <v>107</v>
      </c>
      <c r="B78" s="57">
        <v>53</v>
      </c>
      <c r="C78" s="18">
        <v>26506</v>
      </c>
      <c r="D78" s="220">
        <v>30651</v>
      </c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14" t="s">
        <v>65</v>
      </c>
      <c r="B79" s="57">
        <v>119</v>
      </c>
      <c r="C79" s="18">
        <v>59513</v>
      </c>
      <c r="D79" s="130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209" t="s">
        <v>153</v>
      </c>
      <c r="B80" s="57">
        <v>49</v>
      </c>
      <c r="C80" s="18">
        <v>24506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82" t="s">
        <v>13</v>
      </c>
      <c r="B81" s="188">
        <v>549</v>
      </c>
      <c r="C81" s="32">
        <v>274562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189" t="s">
        <v>14</v>
      </c>
      <c r="B82" s="34">
        <v>500.11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0" t="s">
        <v>54</v>
      </c>
      <c r="B86" s="1"/>
      <c r="C86" s="3"/>
      <c r="D86" s="78">
        <v>12241328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2" t="s">
        <v>2</v>
      </c>
      <c r="B87" s="8">
        <v>5.0000000000000001E-3</v>
      </c>
      <c r="C87" s="3"/>
      <c r="D87" s="79">
        <v>61207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80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95" t="s">
        <v>47</v>
      </c>
      <c r="B90" s="80">
        <v>27</v>
      </c>
      <c r="C90" s="64">
        <v>6506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63</v>
      </c>
      <c r="B91" s="57">
        <v>126</v>
      </c>
      <c r="C91" s="18">
        <v>30362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221" t="s">
        <v>142</v>
      </c>
      <c r="B92" s="57">
        <v>82</v>
      </c>
      <c r="C92" s="18">
        <v>19760</v>
      </c>
      <c r="D92" s="215">
        <v>5440</v>
      </c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90" t="s">
        <v>89</v>
      </c>
      <c r="B93" s="55">
        <v>19</v>
      </c>
      <c r="C93" s="18">
        <v>4578</v>
      </c>
      <c r="D93" s="130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82" t="s">
        <v>13</v>
      </c>
      <c r="B94" s="32">
        <v>254</v>
      </c>
      <c r="C94" s="32">
        <v>61207</v>
      </c>
      <c r="D94" s="1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3.5">
      <c r="A95" s="189" t="s">
        <v>14</v>
      </c>
      <c r="B95" s="34">
        <v>240.97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35"/>
      <c r="B97" s="36"/>
      <c r="C97" s="3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1"/>
    </row>
    <row r="98" spans="1:26" ht="14.5">
      <c r="A98" s="1"/>
      <c r="B98" s="1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0" t="s">
        <v>62</v>
      </c>
      <c r="B99" s="12"/>
      <c r="C99" s="3"/>
      <c r="D99" s="181">
        <v>3204049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2" t="s">
        <v>2</v>
      </c>
      <c r="B100" s="8">
        <v>5.0000000000000001E-3</v>
      </c>
      <c r="C100" s="3"/>
      <c r="D100" s="191">
        <v>16020.245000000001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7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80" t="s">
        <v>5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4" t="s">
        <v>41</v>
      </c>
      <c r="B103" s="183">
        <v>28</v>
      </c>
      <c r="C103" s="18">
        <v>2232</v>
      </c>
      <c r="D103" s="13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78</v>
      </c>
      <c r="B104" s="183">
        <v>98</v>
      </c>
      <c r="C104" s="18">
        <v>7811</v>
      </c>
      <c r="D104" s="222">
        <v>12812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154</v>
      </c>
      <c r="B105" s="183">
        <v>52</v>
      </c>
      <c r="C105" s="18">
        <v>4145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4" t="s">
        <v>31</v>
      </c>
      <c r="B106" s="187">
        <v>23</v>
      </c>
      <c r="C106" s="18">
        <v>1833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 t="s">
        <v>13</v>
      </c>
      <c r="B107" s="188">
        <v>201</v>
      </c>
      <c r="C107" s="32">
        <v>16020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3.5">
      <c r="A108" s="189" t="s">
        <v>14</v>
      </c>
      <c r="B108" s="34">
        <v>79.7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35"/>
      <c r="B111" s="36"/>
      <c r="C111" s="3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1"/>
    </row>
    <row r="112" spans="1:26" ht="14.5">
      <c r="A112" s="1"/>
      <c r="B112" s="1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80" t="s">
        <v>102</v>
      </c>
      <c r="B113" s="12"/>
      <c r="C113" s="3"/>
      <c r="D113" s="181">
        <v>10010500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2" t="s">
        <v>2</v>
      </c>
      <c r="B114" s="8">
        <v>5.0000000000000001E-3</v>
      </c>
      <c r="C114" s="3"/>
      <c r="D114" s="191">
        <v>50052.5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7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0" t="s">
        <v>5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83">
        <v>116</v>
      </c>
      <c r="C117" s="18">
        <v>15820</v>
      </c>
      <c r="D117" s="1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84" t="s">
        <v>103</v>
      </c>
      <c r="B118" s="183">
        <v>110</v>
      </c>
      <c r="C118" s="18">
        <v>15002</v>
      </c>
      <c r="D118" s="130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84" t="s">
        <v>105</v>
      </c>
      <c r="B119" s="183">
        <v>24</v>
      </c>
      <c r="C119" s="18">
        <v>3273</v>
      </c>
      <c r="D119" s="130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84" t="s">
        <v>146</v>
      </c>
      <c r="B120" s="183">
        <v>16</v>
      </c>
      <c r="C120" s="18">
        <v>2182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84" t="s">
        <v>106</v>
      </c>
      <c r="B121" s="183">
        <v>101</v>
      </c>
      <c r="C121" s="18">
        <v>13775</v>
      </c>
      <c r="D121" s="215">
        <v>13850</v>
      </c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186" t="s">
        <v>147</v>
      </c>
      <c r="B122" s="24"/>
      <c r="C122" s="18">
        <v>0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3"/>
      <c r="B123" s="24"/>
      <c r="C123" s="18">
        <v>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1" t="s">
        <v>13</v>
      </c>
      <c r="B124" s="188">
        <v>367</v>
      </c>
      <c r="C124" s="32">
        <v>50053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3.5">
      <c r="A125" s="189" t="s">
        <v>14</v>
      </c>
      <c r="B125" s="34">
        <v>136.38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108</v>
      </c>
      <c r="B129" s="12"/>
      <c r="C129" s="3"/>
      <c r="D129" s="181">
        <v>14970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2" t="s">
        <v>2</v>
      </c>
      <c r="B130" s="8">
        <v>5.0000000000000001E-3</v>
      </c>
      <c r="C130" s="3"/>
      <c r="D130" s="191">
        <v>74.849999999999994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7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80" t="s">
        <v>5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4" t="s">
        <v>100</v>
      </c>
      <c r="B133" s="24"/>
      <c r="C133" s="18">
        <v>0</v>
      </c>
      <c r="D133" s="13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219" t="s">
        <v>148</v>
      </c>
      <c r="B134" s="24"/>
      <c r="C134" s="18">
        <v>0</v>
      </c>
      <c r="D134" s="174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84" t="s">
        <v>106</v>
      </c>
      <c r="B135" s="183">
        <v>9</v>
      </c>
      <c r="C135" s="18">
        <v>75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3"/>
      <c r="B136" s="24"/>
      <c r="C136" s="18">
        <v>0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91" t="s">
        <v>13</v>
      </c>
      <c r="B137" s="188">
        <v>9</v>
      </c>
      <c r="C137" s="32">
        <v>75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3.5">
      <c r="A138" s="189" t="s">
        <v>14</v>
      </c>
      <c r="B138" s="34">
        <v>8.32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35"/>
      <c r="B140" s="36"/>
      <c r="C140" s="3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1"/>
    </row>
    <row r="141" spans="1:26" ht="14.5">
      <c r="A141" s="1"/>
      <c r="B141" s="1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112</v>
      </c>
      <c r="B142" s="12"/>
      <c r="C142" s="3"/>
      <c r="D142" s="181">
        <v>8032900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2" t="s">
        <v>2</v>
      </c>
      <c r="B143" s="8">
        <v>5.0000000000000001E-3</v>
      </c>
      <c r="C143" s="3"/>
      <c r="D143" s="191">
        <v>40164.5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7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80" t="s">
        <v>5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4" t="s">
        <v>31</v>
      </c>
      <c r="B146" s="183">
        <v>72</v>
      </c>
      <c r="C146" s="18">
        <v>17011</v>
      </c>
      <c r="D146" s="220">
        <v>21026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84" t="s">
        <v>147</v>
      </c>
      <c r="B147" s="24"/>
      <c r="C147" s="18">
        <v>0</v>
      </c>
      <c r="D147" s="130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84" t="s">
        <v>105</v>
      </c>
      <c r="B148" s="183">
        <v>98</v>
      </c>
      <c r="C148" s="18">
        <v>23154</v>
      </c>
      <c r="D148" s="217">
        <v>26427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3"/>
      <c r="B149" s="24"/>
      <c r="C149" s="18">
        <v>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6"/>
      <c r="B150" s="24"/>
      <c r="C150" s="18">
        <v>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6"/>
      <c r="B151" s="24"/>
      <c r="C151" s="18"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91" t="s">
        <v>13</v>
      </c>
      <c r="B152" s="188">
        <v>170</v>
      </c>
      <c r="C152" s="32">
        <v>40165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3.5">
      <c r="A153" s="189" t="s">
        <v>14</v>
      </c>
      <c r="B153" s="34">
        <v>236.26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35"/>
      <c r="B155" s="36"/>
      <c r="C155" s="3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71" t="s">
        <v>69</v>
      </c>
      <c r="C157" s="32" t="s">
        <v>70</v>
      </c>
      <c r="D157" s="3"/>
      <c r="E157" s="1"/>
      <c r="F157" s="23"/>
      <c r="G157" s="200" t="s">
        <v>73</v>
      </c>
      <c r="H157" s="200" t="s">
        <v>70</v>
      </c>
      <c r="I157" s="200" t="s">
        <v>74</v>
      </c>
      <c r="J157" s="200" t="s">
        <v>75</v>
      </c>
      <c r="K157" s="201" t="s">
        <v>76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9">
      <c r="A158" s="210" t="s">
        <v>77</v>
      </c>
      <c r="B158" s="12"/>
      <c r="C158" s="32">
        <v>429700</v>
      </c>
      <c r="D158" s="32">
        <v>429700</v>
      </c>
      <c r="E158" s="3"/>
      <c r="F158" s="205" t="s">
        <v>51</v>
      </c>
      <c r="G158" s="96">
        <v>63788150</v>
      </c>
      <c r="H158" s="97">
        <v>318941</v>
      </c>
      <c r="I158" s="97">
        <v>60514</v>
      </c>
      <c r="J158" s="97">
        <v>258427</v>
      </c>
      <c r="K158" s="98">
        <v>258400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210" t="s">
        <v>79</v>
      </c>
      <c r="B159" s="12"/>
      <c r="C159" s="32">
        <v>581061</v>
      </c>
      <c r="D159" s="32">
        <v>581100</v>
      </c>
      <c r="E159" s="1"/>
      <c r="F159" s="68" t="s">
        <v>32</v>
      </c>
      <c r="G159" s="96">
        <v>29585271</v>
      </c>
      <c r="H159" s="97">
        <v>147926</v>
      </c>
      <c r="I159" s="97">
        <v>25558</v>
      </c>
      <c r="J159" s="97">
        <v>122368</v>
      </c>
      <c r="K159" s="98">
        <v>122400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43.5">
      <c r="A160" s="206" t="s">
        <v>81</v>
      </c>
      <c r="B160" s="101">
        <v>34125460</v>
      </c>
      <c r="C160" s="102">
        <v>170627</v>
      </c>
      <c r="D160" s="3"/>
      <c r="E160" s="1"/>
      <c r="F160" s="205" t="s">
        <v>19</v>
      </c>
      <c r="G160" s="96">
        <v>34125460</v>
      </c>
      <c r="H160" s="97">
        <v>170627</v>
      </c>
      <c r="I160" s="97">
        <v>33400</v>
      </c>
      <c r="J160" s="97">
        <v>137227</v>
      </c>
      <c r="K160" s="98">
        <v>137200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206" t="s">
        <v>82</v>
      </c>
      <c r="B161" s="101">
        <v>14868870</v>
      </c>
      <c r="C161" s="102">
        <v>74344</v>
      </c>
      <c r="D161" s="1"/>
      <c r="E161" s="1"/>
      <c r="F161" s="205" t="s">
        <v>6</v>
      </c>
      <c r="G161" s="96">
        <v>14868870</v>
      </c>
      <c r="H161" s="97">
        <v>74344</v>
      </c>
      <c r="I161" s="97">
        <v>18757</v>
      </c>
      <c r="J161" s="97">
        <v>55588</v>
      </c>
      <c r="K161" s="98">
        <v>55600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207" t="s">
        <v>84</v>
      </c>
      <c r="B162" s="107">
        <v>29585271</v>
      </c>
      <c r="C162" s="109">
        <v>147926</v>
      </c>
      <c r="D162" s="3"/>
      <c r="E162" s="1"/>
      <c r="F162" s="205" t="s">
        <v>44</v>
      </c>
      <c r="G162" s="96">
        <v>22059684</v>
      </c>
      <c r="H162" s="97">
        <v>110298</v>
      </c>
      <c r="I162" s="97">
        <v>33993</v>
      </c>
      <c r="J162" s="97">
        <v>76306</v>
      </c>
      <c r="K162" s="98">
        <v>76300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208" t="s">
        <v>85</v>
      </c>
      <c r="B163" s="113">
        <v>22059684</v>
      </c>
      <c r="C163" s="115">
        <v>110298</v>
      </c>
      <c r="D163" s="1"/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210" t="s">
        <v>87</v>
      </c>
      <c r="B164" s="121">
        <v>63788150</v>
      </c>
      <c r="C164" s="32">
        <v>318941</v>
      </c>
      <c r="D164" s="1"/>
      <c r="E164" s="1"/>
      <c r="F164" s="23"/>
      <c r="G164" s="117"/>
      <c r="H164" s="68"/>
      <c r="I164" s="68"/>
      <c r="J164" s="68"/>
      <c r="K164" s="1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9">
      <c r="A165" s="210" t="s">
        <v>91</v>
      </c>
      <c r="B165" s="121">
        <v>14886004</v>
      </c>
      <c r="C165" s="32">
        <v>74430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210" t="s">
        <v>92</v>
      </c>
      <c r="B166" s="121">
        <v>3804987</v>
      </c>
      <c r="C166" s="32">
        <v>19025</v>
      </c>
      <c r="D166" s="1"/>
      <c r="E166" s="1"/>
      <c r="F166" s="242" t="s">
        <v>122</v>
      </c>
      <c r="G166" s="24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210" t="s">
        <v>133</v>
      </c>
      <c r="B167" s="34">
        <v>10328000</v>
      </c>
      <c r="C167" s="32">
        <v>51640</v>
      </c>
      <c r="D167" s="1"/>
      <c r="E167" s="1"/>
      <c r="F167" s="205" t="s">
        <v>77</v>
      </c>
      <c r="G167" s="18">
        <v>429700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134</v>
      </c>
      <c r="B168" s="34">
        <v>9980</v>
      </c>
      <c r="C168" s="32">
        <v>50</v>
      </c>
      <c r="D168" s="1"/>
      <c r="E168" s="1"/>
      <c r="F168" s="205" t="s">
        <v>79</v>
      </c>
      <c r="G168" s="18">
        <v>581100</v>
      </c>
      <c r="H168" s="3"/>
      <c r="I168" s="244"/>
      <c r="J168" s="245"/>
      <c r="K168" s="246"/>
      <c r="L168" s="125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135</v>
      </c>
      <c r="B169" s="34">
        <v>8695900</v>
      </c>
      <c r="C169" s="32">
        <v>43480</v>
      </c>
      <c r="D169" s="1"/>
      <c r="E169" s="1"/>
      <c r="F169" s="205" t="s">
        <v>19</v>
      </c>
      <c r="G169" s="18">
        <v>137200</v>
      </c>
      <c r="H169" s="3" t="s">
        <v>126</v>
      </c>
      <c r="I169" s="247"/>
      <c r="J169" s="241"/>
      <c r="K169" s="248"/>
      <c r="L169" s="125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2"/>
      <c r="C170" s="32">
        <v>0</v>
      </c>
      <c r="D170" s="1"/>
      <c r="E170" s="1"/>
      <c r="F170" s="205" t="s">
        <v>6</v>
      </c>
      <c r="G170" s="18">
        <v>55600</v>
      </c>
      <c r="H170" s="182" t="s">
        <v>127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v>0</v>
      </c>
      <c r="D171" s="166"/>
      <c r="E171" s="1"/>
      <c r="F171" s="205" t="s">
        <v>44</v>
      </c>
      <c r="G171" s="18">
        <v>76300</v>
      </c>
      <c r="H171" s="3" t="s">
        <v>128</v>
      </c>
      <c r="I171" s="249"/>
      <c r="J171" s="250"/>
      <c r="K171" s="251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18">
        <v>2021523</v>
      </c>
      <c r="D172" s="126">
        <v>1010800</v>
      </c>
      <c r="E172" s="1"/>
      <c r="F172" s="23"/>
      <c r="G172" s="212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"/>
      <c r="D173" s="1"/>
      <c r="E173" s="1"/>
      <c r="F173" s="205" t="s">
        <v>51</v>
      </c>
      <c r="G173" s="18">
        <v>258400</v>
      </c>
      <c r="H173" s="3" t="s">
        <v>97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213" t="s">
        <v>93</v>
      </c>
      <c r="B174" s="12"/>
      <c r="C174" s="32" t="s">
        <v>70</v>
      </c>
      <c r="D174" s="1"/>
      <c r="E174" s="1"/>
      <c r="F174" s="205" t="s">
        <v>32</v>
      </c>
      <c r="G174" s="18">
        <v>122400</v>
      </c>
      <c r="H174" s="3" t="s">
        <v>99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210" t="s">
        <v>94</v>
      </c>
      <c r="B175" s="10">
        <v>14868870</v>
      </c>
      <c r="C175" s="32">
        <v>74344</v>
      </c>
      <c r="D175" s="1"/>
      <c r="E175" s="1"/>
      <c r="F175" s="1"/>
      <c r="G175" s="131">
        <v>1660700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0" t="s">
        <v>96</v>
      </c>
      <c r="B176" s="10">
        <v>34125460</v>
      </c>
      <c r="C176" s="32">
        <v>170627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98</v>
      </c>
      <c r="B177" s="10">
        <v>22059684</v>
      </c>
      <c r="C177" s="32">
        <v>110298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9">
      <c r="A178" s="210" t="s">
        <v>91</v>
      </c>
      <c r="B178" s="10">
        <v>14886004</v>
      </c>
      <c r="C178" s="32">
        <v>74430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2"/>
      <c r="C179" s="32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34">
        <v>85940018</v>
      </c>
      <c r="C181" s="132">
        <v>429700</v>
      </c>
      <c r="D181" s="216" t="s">
        <v>101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34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35"/>
      <c r="B183" s="136"/>
      <c r="C183" s="137"/>
      <c r="D183" s="135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213" t="s">
        <v>109</v>
      </c>
      <c r="B184" s="134"/>
      <c r="C184" s="32" t="s">
        <v>70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210" t="s">
        <v>110</v>
      </c>
      <c r="B185" s="10">
        <v>29585271</v>
      </c>
      <c r="C185" s="32">
        <v>147926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0" t="s">
        <v>111</v>
      </c>
      <c r="B186" s="10">
        <v>63788150</v>
      </c>
      <c r="C186" s="32">
        <v>318941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92</v>
      </c>
      <c r="B187" s="10">
        <v>3804987</v>
      </c>
      <c r="C187" s="32">
        <v>19025</v>
      </c>
      <c r="D187" s="1"/>
      <c r="E187" s="35"/>
      <c r="F187" s="3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133</v>
      </c>
      <c r="B188" s="10">
        <v>10328000</v>
      </c>
      <c r="C188" s="32">
        <v>51640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135</v>
      </c>
      <c r="B189" s="10">
        <v>8695900</v>
      </c>
      <c r="C189" s="32">
        <v>43480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134</v>
      </c>
      <c r="B190" s="10">
        <v>9980</v>
      </c>
      <c r="C190" s="32">
        <v>50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2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34">
        <v>116212288</v>
      </c>
      <c r="C192" s="132">
        <v>581061</v>
      </c>
      <c r="D192" s="216" t="s">
        <v>101</v>
      </c>
      <c r="E192" s="1"/>
      <c r="F192" s="1"/>
      <c r="G192" s="138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7"/>
      <c r="D194" s="35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/>
  <cols>
    <col min="1" max="1" width="30.08984375" customWidth="1"/>
    <col min="2" max="2" width="12.7265625" customWidth="1"/>
    <col min="3" max="3" width="7.453125" customWidth="1"/>
    <col min="4" max="4" width="10.08984375" customWidth="1"/>
    <col min="6" max="6" width="15.26953125" customWidth="1"/>
    <col min="7" max="7" width="10.7265625" customWidth="1"/>
    <col min="8" max="8" width="8.453125" customWidth="1"/>
    <col min="9" max="9" width="6.6328125" customWidth="1"/>
    <col min="10" max="10" width="8.7265625" customWidth="1"/>
    <col min="11" max="11" width="8.363281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15971060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79855.3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98</v>
      </c>
      <c r="C6" s="18">
        <v>26618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108</v>
      </c>
      <c r="C7" s="18">
        <v>29335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143</v>
      </c>
      <c r="B8" s="183">
        <v>88</v>
      </c>
      <c r="C8" s="18">
        <v>23902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294</v>
      </c>
      <c r="C12" s="32">
        <v>79855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271.62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33053813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165269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113</v>
      </c>
      <c r="C21" s="18">
        <v>56421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109</v>
      </c>
      <c r="C22" s="18">
        <v>54424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4" t="s">
        <v>151</v>
      </c>
      <c r="B23" s="183">
        <v>109</v>
      </c>
      <c r="C23" s="18">
        <v>54424</v>
      </c>
      <c r="D23" s="174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96"/>
      <c r="B24" s="24"/>
      <c r="C24" s="18"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331</v>
      </c>
      <c r="C25" s="32">
        <v>165269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189" t="s">
        <v>14</v>
      </c>
      <c r="B26" s="34">
        <v>499.3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24399751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121998.755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132</v>
      </c>
      <c r="C34" s="18">
        <v>48506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95</v>
      </c>
      <c r="B35" s="55">
        <v>68</v>
      </c>
      <c r="C35" s="18">
        <v>24988</v>
      </c>
      <c r="D35" s="223">
        <v>53471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132</v>
      </c>
      <c r="C36" s="18">
        <v>48506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25"/>
      <c r="B37" s="85"/>
      <c r="C37" s="64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99"/>
      <c r="B38" s="105"/>
      <c r="C38" s="18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25"/>
      <c r="B39" s="85"/>
      <c r="C39" s="64">
        <v>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82" t="s">
        <v>13</v>
      </c>
      <c r="B40" s="32">
        <v>332</v>
      </c>
      <c r="C40" s="32">
        <v>121999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89" t="s">
        <v>14</v>
      </c>
      <c r="B41" s="34">
        <v>367.47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35"/>
      <c r="B43" s="36"/>
      <c r="C43" s="37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"/>
    </row>
    <row r="44" spans="1:26" ht="14.5">
      <c r="A44" s="1"/>
      <c r="B44" s="1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80" t="s">
        <v>40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2" t="s">
        <v>2</v>
      </c>
      <c r="B46" s="8">
        <v>5.0000000000000001E-3</v>
      </c>
      <c r="C46" s="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3"/>
      <c r="D47" s="191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80" t="s">
        <v>5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7"/>
      <c r="B49" s="68"/>
      <c r="C49" s="18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9"/>
      <c r="B50" s="68"/>
      <c r="C50" s="18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82" t="s">
        <v>13</v>
      </c>
      <c r="B51" s="32">
        <v>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89" t="s">
        <v>14</v>
      </c>
      <c r="B52" s="71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35"/>
      <c r="B54" s="35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</row>
    <row r="55" spans="1:26" ht="14.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80" t="s">
        <v>42</v>
      </c>
      <c r="B56" s="1"/>
      <c r="C56" s="3"/>
      <c r="D56" s="181">
        <v>20320378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2" t="s">
        <v>2</v>
      </c>
      <c r="B57" s="8">
        <v>5.0000000000000001E-3</v>
      </c>
      <c r="C57" s="3"/>
      <c r="D57" s="191">
        <v>101601.89</v>
      </c>
      <c r="E57" s="1"/>
      <c r="F57" s="1"/>
      <c r="G57" s="1"/>
      <c r="H57" s="7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80" t="s">
        <v>5</v>
      </c>
      <c r="B59" s="1"/>
      <c r="C59" s="3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44</v>
      </c>
      <c r="B60" s="183">
        <v>100</v>
      </c>
      <c r="C60" s="18">
        <v>37911</v>
      </c>
      <c r="D60" s="3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95" t="s">
        <v>45</v>
      </c>
      <c r="B61" s="183">
        <v>91</v>
      </c>
      <c r="C61" s="18">
        <v>34499</v>
      </c>
      <c r="D61" s="224">
        <v>36587</v>
      </c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95" t="s">
        <v>47</v>
      </c>
      <c r="B62" s="183">
        <v>77</v>
      </c>
      <c r="C62" s="18">
        <v>29192</v>
      </c>
      <c r="D62" s="224">
        <v>35223</v>
      </c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218"/>
      <c r="B63" s="24"/>
      <c r="C63" s="18">
        <v>0</v>
      </c>
      <c r="D63" s="3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82" t="s">
        <v>13</v>
      </c>
      <c r="B64" s="188">
        <v>268</v>
      </c>
      <c r="C64" s="32">
        <v>101602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89" t="s">
        <v>14</v>
      </c>
      <c r="B65" s="34">
        <v>379.11</v>
      </c>
      <c r="C65" s="3"/>
      <c r="D65" s="1"/>
      <c r="E65" s="1"/>
      <c r="F65" s="1"/>
      <c r="G65" s="1"/>
      <c r="H65" s="12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35"/>
      <c r="B67" s="35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1"/>
    </row>
    <row r="68" spans="1:26" ht="14.5">
      <c r="A68" s="1"/>
      <c r="B68" s="1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0" t="s">
        <v>49</v>
      </c>
      <c r="B69" s="1"/>
      <c r="C69" s="3"/>
      <c r="D69" s="181">
        <v>59705178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2" t="s">
        <v>2</v>
      </c>
      <c r="B70" s="8">
        <v>5.0000000000000001E-3</v>
      </c>
      <c r="C70" s="3"/>
      <c r="D70" s="191">
        <v>298525.89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80" t="s">
        <v>5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95</v>
      </c>
      <c r="B73" s="183">
        <v>52</v>
      </c>
      <c r="C73" s="18">
        <v>28483</v>
      </c>
      <c r="D73" s="3"/>
      <c r="E73" s="1"/>
      <c r="F73" s="1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51</v>
      </c>
      <c r="B74" s="57">
        <v>132</v>
      </c>
      <c r="C74" s="18">
        <v>72304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53</v>
      </c>
      <c r="B75" s="57">
        <v>26</v>
      </c>
      <c r="C75" s="18">
        <v>14242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4" t="s">
        <v>140</v>
      </c>
      <c r="B76" s="57">
        <v>114</v>
      </c>
      <c r="C76" s="18">
        <v>62444</v>
      </c>
      <c r="D76" s="174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4" t="s">
        <v>67</v>
      </c>
      <c r="B77" s="57">
        <v>41</v>
      </c>
      <c r="C77" s="18">
        <v>22458</v>
      </c>
      <c r="D77" s="225">
        <v>31783</v>
      </c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214" t="s">
        <v>107</v>
      </c>
      <c r="B78" s="57">
        <v>27</v>
      </c>
      <c r="C78" s="18">
        <v>14789</v>
      </c>
      <c r="D78" s="225">
        <v>23123</v>
      </c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14" t="s">
        <v>65</v>
      </c>
      <c r="B79" s="57">
        <v>113</v>
      </c>
      <c r="C79" s="18">
        <v>61896</v>
      </c>
      <c r="D79" s="130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209" t="s">
        <v>153</v>
      </c>
      <c r="B80" s="57">
        <v>40</v>
      </c>
      <c r="C80" s="18">
        <v>21910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82" t="s">
        <v>13</v>
      </c>
      <c r="B81" s="188">
        <v>545</v>
      </c>
      <c r="C81" s="32">
        <v>298526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89" t="s">
        <v>14</v>
      </c>
      <c r="B82" s="34">
        <v>547.75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0" t="s">
        <v>54</v>
      </c>
      <c r="B86" s="1"/>
      <c r="C86" s="3"/>
      <c r="D86" s="78">
        <v>12015538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2" t="s">
        <v>2</v>
      </c>
      <c r="B87" s="8">
        <v>5.0000000000000001E-3</v>
      </c>
      <c r="C87" s="3"/>
      <c r="D87" s="79">
        <v>60078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80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95" t="s">
        <v>47</v>
      </c>
      <c r="B90" s="80">
        <v>26</v>
      </c>
      <c r="C90" s="64">
        <v>6031</v>
      </c>
      <c r="D90" s="1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45</v>
      </c>
      <c r="B91" s="57">
        <v>9</v>
      </c>
      <c r="C91" s="18">
        <v>2088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221" t="s">
        <v>155</v>
      </c>
      <c r="B92" s="57">
        <v>117</v>
      </c>
      <c r="C92" s="18">
        <v>27139</v>
      </c>
      <c r="D92" s="174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90" t="s">
        <v>156</v>
      </c>
      <c r="B93" s="55">
        <v>107</v>
      </c>
      <c r="C93" s="18">
        <v>24820</v>
      </c>
      <c r="D93" s="130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82" t="s">
        <v>13</v>
      </c>
      <c r="B94" s="32">
        <v>259</v>
      </c>
      <c r="C94" s="32">
        <v>60078</v>
      </c>
      <c r="D94" s="1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89" t="s">
        <v>14</v>
      </c>
      <c r="B95" s="34">
        <v>231.96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35"/>
      <c r="B97" s="36"/>
      <c r="C97" s="3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1"/>
    </row>
    <row r="98" spans="1:26" ht="14.5">
      <c r="A98" s="1"/>
      <c r="B98" s="1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0" t="s">
        <v>62</v>
      </c>
      <c r="B99" s="12"/>
      <c r="C99" s="3"/>
      <c r="D99" s="181">
        <v>3493431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2" t="s">
        <v>2</v>
      </c>
      <c r="B100" s="8">
        <v>5.0000000000000001E-3</v>
      </c>
      <c r="C100" s="3"/>
      <c r="D100" s="191">
        <v>17467.154999999999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7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80" t="s">
        <v>5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96"/>
      <c r="B103" s="24"/>
      <c r="C103" s="18">
        <v>0</v>
      </c>
      <c r="D103" s="13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78</v>
      </c>
      <c r="B104" s="183">
        <v>80</v>
      </c>
      <c r="C104" s="18">
        <v>9133</v>
      </c>
      <c r="D104" s="223">
        <v>23375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154</v>
      </c>
      <c r="B105" s="183">
        <v>73</v>
      </c>
      <c r="C105" s="18">
        <v>8334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96"/>
      <c r="B106" s="24"/>
      <c r="C106" s="18">
        <v>0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 t="s">
        <v>13</v>
      </c>
      <c r="B107" s="188">
        <v>153</v>
      </c>
      <c r="C107" s="32">
        <v>17467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189" t="s">
        <v>14</v>
      </c>
      <c r="B108" s="34">
        <v>114.16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35"/>
      <c r="B111" s="36"/>
      <c r="C111" s="3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1"/>
    </row>
    <row r="112" spans="1:26" ht="14.5">
      <c r="A112" s="1"/>
      <c r="B112" s="1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80" t="s">
        <v>102</v>
      </c>
      <c r="B113" s="12"/>
      <c r="C113" s="3"/>
      <c r="D113" s="181">
        <v>10428851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2" t="s">
        <v>2</v>
      </c>
      <c r="B114" s="8">
        <v>5.0000000000000001E-3</v>
      </c>
      <c r="C114" s="3"/>
      <c r="D114" s="191">
        <v>52144.254999999997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7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0" t="s">
        <v>5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83">
        <v>130</v>
      </c>
      <c r="C117" s="18">
        <v>17075</v>
      </c>
      <c r="D117" s="1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84" t="s">
        <v>103</v>
      </c>
      <c r="B118" s="183">
        <v>123</v>
      </c>
      <c r="C118" s="18">
        <v>16156</v>
      </c>
      <c r="D118" s="130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211"/>
      <c r="B119" s="24"/>
      <c r="C119" s="18">
        <v>0</v>
      </c>
      <c r="D119" s="130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84" t="s">
        <v>146</v>
      </c>
      <c r="B120" s="183">
        <v>30</v>
      </c>
      <c r="C120" s="18">
        <v>3940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226" t="s">
        <v>106</v>
      </c>
      <c r="B121" s="183">
        <v>43</v>
      </c>
      <c r="C121" s="18">
        <v>5648</v>
      </c>
      <c r="D121" s="174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14" t="s">
        <v>67</v>
      </c>
      <c r="B122" s="183">
        <v>71</v>
      </c>
      <c r="C122" s="18">
        <v>9326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3"/>
      <c r="B123" s="24"/>
      <c r="C123" s="18">
        <v>0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1" t="s">
        <v>13</v>
      </c>
      <c r="B124" s="188">
        <v>397</v>
      </c>
      <c r="C124" s="32">
        <v>52144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189" t="s">
        <v>14</v>
      </c>
      <c r="B125" s="34">
        <v>131.35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108</v>
      </c>
      <c r="B129" s="12"/>
      <c r="C129" s="3"/>
      <c r="D129" s="181">
        <v>6524988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2" t="s">
        <v>2</v>
      </c>
      <c r="B130" s="8">
        <v>5.0000000000000001E-3</v>
      </c>
      <c r="C130" s="3"/>
      <c r="D130" s="191">
        <v>32624.94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7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80" t="s">
        <v>5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4" t="s">
        <v>100</v>
      </c>
      <c r="B133" s="24"/>
      <c r="C133" s="18" t="e">
        <v>#DIV/0!</v>
      </c>
      <c r="D133" s="13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219" t="s">
        <v>148</v>
      </c>
      <c r="B134" s="24"/>
      <c r="C134" s="18" t="e">
        <v>#DIV/0!</v>
      </c>
      <c r="D134" s="174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84" t="s">
        <v>106</v>
      </c>
      <c r="B135" s="24"/>
      <c r="C135" s="18" t="e">
        <v>#DIV/0!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3"/>
      <c r="B136" s="24"/>
      <c r="C136" s="18" t="e">
        <v>#DIV/0!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91" t="s">
        <v>13</v>
      </c>
      <c r="B137" s="188">
        <v>0</v>
      </c>
      <c r="C137" s="228" t="e">
        <v>#DIV/0!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189" t="s">
        <v>14</v>
      </c>
      <c r="B138" s="34" t="e">
        <v>#DIV/0!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35"/>
      <c r="B140" s="36"/>
      <c r="C140" s="3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1"/>
    </row>
    <row r="141" spans="1:26" ht="14.5">
      <c r="A141" s="1"/>
      <c r="B141" s="1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112</v>
      </c>
      <c r="B142" s="12"/>
      <c r="C142" s="3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2" t="s">
        <v>2</v>
      </c>
      <c r="B143" s="8">
        <v>5.0000000000000001E-3</v>
      </c>
      <c r="C143" s="3"/>
      <c r="D143" s="191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7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80" t="s">
        <v>5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4" t="s">
        <v>31</v>
      </c>
      <c r="B146" s="183">
        <v>98</v>
      </c>
      <c r="C146" s="18">
        <v>0</v>
      </c>
      <c r="D146" s="225">
        <v>3940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211"/>
      <c r="B147" s="24"/>
      <c r="C147" s="18">
        <v>0</v>
      </c>
      <c r="D147" s="130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84" t="s">
        <v>105</v>
      </c>
      <c r="B148" s="183">
        <v>37</v>
      </c>
      <c r="C148" s="18">
        <v>0</v>
      </c>
      <c r="D148" s="17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09" t="s">
        <v>153</v>
      </c>
      <c r="B149" s="183">
        <v>85</v>
      </c>
      <c r="C149" s="18">
        <v>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26"/>
      <c r="B150" s="24"/>
      <c r="C150" s="18">
        <v>0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26"/>
      <c r="B151" s="24"/>
      <c r="C151" s="18">
        <v>0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91" t="s">
        <v>13</v>
      </c>
      <c r="B152" s="188">
        <v>220</v>
      </c>
      <c r="C152" s="32">
        <v>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89" t="s">
        <v>14</v>
      </c>
      <c r="B153" s="34">
        <v>0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35"/>
      <c r="B155" s="36"/>
      <c r="C155" s="3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71" t="s">
        <v>69</v>
      </c>
      <c r="C157" s="32" t="s">
        <v>70</v>
      </c>
      <c r="D157" s="3"/>
      <c r="E157" s="1"/>
      <c r="F157" s="23"/>
      <c r="G157" s="200" t="s">
        <v>73</v>
      </c>
      <c r="H157" s="200" t="s">
        <v>70</v>
      </c>
      <c r="I157" s="200" t="s">
        <v>74</v>
      </c>
      <c r="J157" s="200" t="s">
        <v>75</v>
      </c>
      <c r="K157" s="201" t="s">
        <v>76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210" t="s">
        <v>77</v>
      </c>
      <c r="B158" s="12"/>
      <c r="C158" s="32">
        <v>355233</v>
      </c>
      <c r="D158" s="32">
        <v>355200</v>
      </c>
      <c r="E158" s="3"/>
      <c r="F158" s="205" t="s">
        <v>51</v>
      </c>
      <c r="G158" s="96">
        <v>50187137</v>
      </c>
      <c r="H158" s="97">
        <v>250936</v>
      </c>
      <c r="I158" s="97">
        <v>72304</v>
      </c>
      <c r="J158" s="97">
        <v>178632</v>
      </c>
      <c r="K158" s="98">
        <v>178600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210" t="s">
        <v>79</v>
      </c>
      <c r="B159" s="12"/>
      <c r="C159" s="32">
        <v>458992</v>
      </c>
      <c r="D159" s="32">
        <v>459000</v>
      </c>
      <c r="E159" s="1"/>
      <c r="F159" s="68" t="s">
        <v>32</v>
      </c>
      <c r="G159" s="96">
        <v>20708446</v>
      </c>
      <c r="H159" s="97">
        <v>103542</v>
      </c>
      <c r="I159" s="97">
        <v>48506</v>
      </c>
      <c r="J159" s="97">
        <v>55037</v>
      </c>
      <c r="K159" s="98">
        <v>55000</v>
      </c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206" t="s">
        <v>81</v>
      </c>
      <c r="B160" s="101">
        <v>31099293</v>
      </c>
      <c r="C160" s="102">
        <v>155496</v>
      </c>
      <c r="D160" s="3"/>
      <c r="E160" s="1"/>
      <c r="F160" s="205" t="s">
        <v>19</v>
      </c>
      <c r="G160" s="96">
        <v>31099293</v>
      </c>
      <c r="H160" s="97">
        <v>155496</v>
      </c>
      <c r="I160" s="97">
        <v>56421</v>
      </c>
      <c r="J160" s="97">
        <v>99075</v>
      </c>
      <c r="K160" s="98">
        <v>99100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206" t="s">
        <v>82</v>
      </c>
      <c r="B161" s="101">
        <v>14072099</v>
      </c>
      <c r="C161" s="102">
        <v>70360</v>
      </c>
      <c r="D161" s="1"/>
      <c r="E161" s="1"/>
      <c r="F161" s="205" t="s">
        <v>6</v>
      </c>
      <c r="G161" s="96">
        <v>14072099</v>
      </c>
      <c r="H161" s="97">
        <v>70360</v>
      </c>
      <c r="I161" s="97">
        <v>26618</v>
      </c>
      <c r="J161" s="97">
        <v>43742</v>
      </c>
      <c r="K161" s="98">
        <v>43700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207" t="s">
        <v>84</v>
      </c>
      <c r="B162" s="107">
        <v>20708446</v>
      </c>
      <c r="C162" s="109">
        <v>103542</v>
      </c>
      <c r="D162" s="3"/>
      <c r="E162" s="1"/>
      <c r="F162" s="205" t="s">
        <v>44</v>
      </c>
      <c r="G162" s="96">
        <v>15741035</v>
      </c>
      <c r="H162" s="97">
        <v>78705</v>
      </c>
      <c r="I162" s="97">
        <v>37911</v>
      </c>
      <c r="J162" s="97">
        <v>40794</v>
      </c>
      <c r="K162" s="98">
        <v>40800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208" t="s">
        <v>85</v>
      </c>
      <c r="B163" s="113">
        <v>15741035</v>
      </c>
      <c r="C163" s="115">
        <v>78705</v>
      </c>
      <c r="D163" s="1"/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210" t="s">
        <v>87</v>
      </c>
      <c r="B164" s="121">
        <v>50187137</v>
      </c>
      <c r="C164" s="32">
        <v>250936</v>
      </c>
      <c r="D164" s="1"/>
      <c r="E164" s="1"/>
      <c r="F164" s="23"/>
      <c r="G164" s="117"/>
      <c r="H164" s="68"/>
      <c r="I164" s="68"/>
      <c r="J164" s="68"/>
      <c r="K164" s="1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210" t="s">
        <v>91</v>
      </c>
      <c r="B165" s="121">
        <v>10134261</v>
      </c>
      <c r="C165" s="32">
        <v>50671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210" t="s">
        <v>92</v>
      </c>
      <c r="B166" s="121">
        <v>3226471</v>
      </c>
      <c r="C166" s="32">
        <v>16132</v>
      </c>
      <c r="D166" s="1"/>
      <c r="E166" s="1"/>
      <c r="F166" s="242" t="s">
        <v>122</v>
      </c>
      <c r="G166" s="24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210" t="s">
        <v>133</v>
      </c>
      <c r="B167" s="34">
        <v>10038251</v>
      </c>
      <c r="C167" s="32">
        <v>50191</v>
      </c>
      <c r="D167" s="1"/>
      <c r="E167" s="1"/>
      <c r="F167" s="205" t="s">
        <v>77</v>
      </c>
      <c r="G167" s="229">
        <v>355200</v>
      </c>
      <c r="H167" s="3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134</v>
      </c>
      <c r="B168" s="12"/>
      <c r="C168" s="32">
        <v>0</v>
      </c>
      <c r="D168" s="1"/>
      <c r="E168" s="1"/>
      <c r="F168" s="205" t="s">
        <v>79</v>
      </c>
      <c r="G168" s="229">
        <v>459000</v>
      </c>
      <c r="H168" s="3"/>
      <c r="I168" s="244"/>
      <c r="J168" s="245"/>
      <c r="K168" s="246"/>
      <c r="L168" s="125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135</v>
      </c>
      <c r="B169" s="34">
        <v>7638188</v>
      </c>
      <c r="C169" s="32">
        <v>38191</v>
      </c>
      <c r="D169" s="1"/>
      <c r="E169" s="1"/>
      <c r="F169" s="205" t="s">
        <v>19</v>
      </c>
      <c r="G169" s="229">
        <v>99100</v>
      </c>
      <c r="H169" s="3" t="s">
        <v>126</v>
      </c>
      <c r="I169" s="247"/>
      <c r="J169" s="241"/>
      <c r="K169" s="248"/>
      <c r="L169" s="125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2"/>
      <c r="C170" s="32">
        <v>0</v>
      </c>
      <c r="D170" s="1"/>
      <c r="E170" s="1"/>
      <c r="F170" s="205" t="s">
        <v>6</v>
      </c>
      <c r="G170" s="229">
        <v>43700</v>
      </c>
      <c r="H170" s="182" t="s">
        <v>127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v>0</v>
      </c>
      <c r="D171" s="166"/>
      <c r="E171" s="1"/>
      <c r="F171" s="205" t="s">
        <v>44</v>
      </c>
      <c r="G171" s="18">
        <v>40800</v>
      </c>
      <c r="H171" s="3" t="s">
        <v>128</v>
      </c>
      <c r="I171" s="249"/>
      <c r="J171" s="250"/>
      <c r="K171" s="251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18">
        <v>1628452</v>
      </c>
      <c r="D172" s="126">
        <v>814200</v>
      </c>
      <c r="E172" s="1"/>
      <c r="F172" s="23"/>
      <c r="G172" s="212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"/>
      <c r="D173" s="1"/>
      <c r="E173" s="1"/>
      <c r="F173" s="205" t="s">
        <v>51</v>
      </c>
      <c r="G173" s="18">
        <v>178600</v>
      </c>
      <c r="H173" s="3" t="s">
        <v>97</v>
      </c>
      <c r="I173" s="3"/>
      <c r="J173" s="3"/>
      <c r="K173" s="3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213" t="s">
        <v>93</v>
      </c>
      <c r="B174" s="12"/>
      <c r="C174" s="32" t="s">
        <v>70</v>
      </c>
      <c r="D174" s="1"/>
      <c r="E174" s="1"/>
      <c r="F174" s="205" t="s">
        <v>32</v>
      </c>
      <c r="G174" s="229">
        <v>55000</v>
      </c>
      <c r="H174" s="3" t="s">
        <v>99</v>
      </c>
      <c r="I174" s="3"/>
      <c r="J174" s="3"/>
      <c r="K174" s="3"/>
      <c r="L174" s="3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210" t="s">
        <v>94</v>
      </c>
      <c r="B175" s="10">
        <v>14072099</v>
      </c>
      <c r="C175" s="32">
        <v>70360</v>
      </c>
      <c r="D175" s="1"/>
      <c r="E175" s="1"/>
      <c r="F175" s="1"/>
      <c r="G175" s="131">
        <v>1231400</v>
      </c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0" t="s">
        <v>96</v>
      </c>
      <c r="B176" s="10">
        <v>31099293</v>
      </c>
      <c r="C176" s="32">
        <v>155496</v>
      </c>
      <c r="D176" s="1"/>
      <c r="E176" s="1"/>
      <c r="F176" s="1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98</v>
      </c>
      <c r="B177" s="10">
        <v>15741035</v>
      </c>
      <c r="C177" s="32">
        <v>78705</v>
      </c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210" t="s">
        <v>91</v>
      </c>
      <c r="B178" s="10">
        <v>10134261</v>
      </c>
      <c r="C178" s="32">
        <v>50671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2"/>
      <c r="C179" s="32">
        <v>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34">
        <v>71046688</v>
      </c>
      <c r="C181" s="132">
        <v>355233</v>
      </c>
      <c r="D181" s="216" t="s">
        <v>101</v>
      </c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34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35"/>
      <c r="B183" s="136"/>
      <c r="C183" s="137"/>
      <c r="D183" s="135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213" t="s">
        <v>109</v>
      </c>
      <c r="B184" s="134"/>
      <c r="C184" s="32" t="s">
        <v>70</v>
      </c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210" t="s">
        <v>110</v>
      </c>
      <c r="B185" s="10">
        <v>20708446</v>
      </c>
      <c r="C185" s="32">
        <v>103542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0" t="s">
        <v>111</v>
      </c>
      <c r="B186" s="10">
        <v>50187137</v>
      </c>
      <c r="C186" s="32">
        <v>250936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92</v>
      </c>
      <c r="B187" s="10">
        <v>3226471</v>
      </c>
      <c r="C187" s="32">
        <v>16132</v>
      </c>
      <c r="D187" s="1"/>
      <c r="E187" s="35"/>
      <c r="F187" s="3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133</v>
      </c>
      <c r="B188" s="10">
        <v>10038251</v>
      </c>
      <c r="C188" s="32">
        <v>50191</v>
      </c>
      <c r="D188" s="1"/>
      <c r="E188" s="1"/>
      <c r="F188" s="1"/>
      <c r="G188" s="3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135</v>
      </c>
      <c r="B189" s="10">
        <v>7638188</v>
      </c>
      <c r="C189" s="32">
        <v>38191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134</v>
      </c>
      <c r="B190" s="12"/>
      <c r="C190" s="32">
        <v>0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2"/>
      <c r="C191" s="3"/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34">
        <v>91798493</v>
      </c>
      <c r="C192" s="132">
        <v>458992</v>
      </c>
      <c r="D192" s="216" t="s">
        <v>101</v>
      </c>
      <c r="E192" s="1"/>
      <c r="F192" s="1"/>
      <c r="G192" s="138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7"/>
      <c r="D194" s="35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F166:G166"/>
    <mergeCell ref="I168:K17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15514260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77571.3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104</v>
      </c>
      <c r="C6" s="18">
        <v>27534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100</v>
      </c>
      <c r="C7" s="18">
        <v>26475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143</v>
      </c>
      <c r="B8" s="183">
        <v>89</v>
      </c>
      <c r="C8" s="18">
        <v>23563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293</v>
      </c>
      <c r="C12" s="32">
        <v>77571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264.75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31385130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156926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108</v>
      </c>
      <c r="C21" s="18">
        <v>56306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99</v>
      </c>
      <c r="C22" s="18">
        <v>51613</v>
      </c>
      <c r="D22" s="3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4" t="s">
        <v>151</v>
      </c>
      <c r="B23" s="183">
        <v>94</v>
      </c>
      <c r="C23" s="18">
        <v>49007</v>
      </c>
      <c r="D23" s="227">
        <v>52644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96"/>
      <c r="B24" s="24"/>
      <c r="C24" s="18"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301</v>
      </c>
      <c r="C25" s="32">
        <v>156926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189" t="s">
        <v>14</v>
      </c>
      <c r="B26" s="34">
        <v>521.35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14347470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71737.350000000006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69</v>
      </c>
      <c r="C34" s="18">
        <v>14732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4" t="s">
        <v>95</v>
      </c>
      <c r="B35" s="55">
        <v>45</v>
      </c>
      <c r="C35" s="18">
        <v>9608</v>
      </c>
      <c r="D35" s="223">
        <v>40764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132</v>
      </c>
      <c r="C36" s="18">
        <v>28183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92" t="s">
        <v>53</v>
      </c>
      <c r="B37" s="57">
        <v>21</v>
      </c>
      <c r="C37" s="64">
        <v>4484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92" t="s">
        <v>140</v>
      </c>
      <c r="B38" s="62">
        <v>69</v>
      </c>
      <c r="C38" s="18">
        <v>14732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25"/>
      <c r="B39" s="85"/>
      <c r="C39" s="64">
        <v>0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82" t="s">
        <v>13</v>
      </c>
      <c r="B40" s="32">
        <v>336</v>
      </c>
      <c r="C40" s="32">
        <v>71737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>
      <c r="A41" s="189" t="s">
        <v>14</v>
      </c>
      <c r="B41" s="34">
        <v>213.5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35"/>
      <c r="B43" s="36"/>
      <c r="C43" s="37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"/>
    </row>
    <row r="44" spans="1:26" ht="14.5">
      <c r="A44" s="1"/>
      <c r="B44" s="1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80" t="s">
        <v>40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2" t="s">
        <v>2</v>
      </c>
      <c r="B46" s="8">
        <v>5.0000000000000001E-3</v>
      </c>
      <c r="C46" s="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3"/>
      <c r="D47" s="191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80" t="s">
        <v>5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7"/>
      <c r="B49" s="68"/>
      <c r="C49" s="18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9"/>
      <c r="B50" s="68"/>
      <c r="C50" s="18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82" t="s">
        <v>13</v>
      </c>
      <c r="B51" s="32">
        <v>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5">
      <c r="A52" s="189" t="s">
        <v>14</v>
      </c>
      <c r="B52" s="71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35"/>
      <c r="B54" s="35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</row>
    <row r="55" spans="1:26" ht="14.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80" t="s">
        <v>42</v>
      </c>
      <c r="B56" s="1"/>
      <c r="C56" s="3"/>
      <c r="D56" s="181">
        <v>16913420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2" t="s">
        <v>2</v>
      </c>
      <c r="B57" s="8">
        <v>5.0000000000000001E-3</v>
      </c>
      <c r="C57" s="3"/>
      <c r="D57" s="191">
        <v>84567.1</v>
      </c>
      <c r="E57" s="1"/>
      <c r="F57" s="1"/>
      <c r="G57" s="1"/>
      <c r="H57" s="7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80" t="s">
        <v>5</v>
      </c>
      <c r="B59" s="1"/>
      <c r="C59" s="3"/>
      <c r="D59" s="17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44</v>
      </c>
      <c r="B60" s="183">
        <v>113</v>
      </c>
      <c r="C60" s="18">
        <v>34251</v>
      </c>
      <c r="D60" s="174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45</v>
      </c>
      <c r="B61" s="183">
        <v>105</v>
      </c>
      <c r="C61" s="18">
        <v>31826</v>
      </c>
      <c r="D61" s="174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95" t="s">
        <v>47</v>
      </c>
      <c r="B62" s="183">
        <v>49</v>
      </c>
      <c r="C62" s="18">
        <v>14852</v>
      </c>
      <c r="D62" s="174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95" t="s">
        <v>151</v>
      </c>
      <c r="B63" s="183">
        <v>12</v>
      </c>
      <c r="C63" s="18">
        <v>3637</v>
      </c>
      <c r="D63" s="174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82" t="s">
        <v>13</v>
      </c>
      <c r="B64" s="188">
        <v>279</v>
      </c>
      <c r="C64" s="32">
        <v>84567</v>
      </c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3.5">
      <c r="A65" s="189" t="s">
        <v>14</v>
      </c>
      <c r="B65" s="34">
        <v>303.11</v>
      </c>
      <c r="C65" s="3"/>
      <c r="D65" s="1"/>
      <c r="E65" s="1"/>
      <c r="F65" s="1"/>
      <c r="G65" s="1"/>
      <c r="H65" s="12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35"/>
      <c r="B67" s="35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1"/>
    </row>
    <row r="68" spans="1:26" ht="14.5">
      <c r="A68" s="1"/>
      <c r="B68" s="1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0" t="s">
        <v>49</v>
      </c>
      <c r="B69" s="1"/>
      <c r="C69" s="3"/>
      <c r="D69" s="181">
        <v>47274890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2" t="s">
        <v>2</v>
      </c>
      <c r="B70" s="8">
        <v>5.0000000000000001E-3</v>
      </c>
      <c r="C70" s="3"/>
      <c r="D70" s="191">
        <v>236374.45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80" t="s">
        <v>5</v>
      </c>
      <c r="B72" s="1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95</v>
      </c>
      <c r="B73" s="183">
        <v>75</v>
      </c>
      <c r="C73" s="18">
        <v>31157</v>
      </c>
      <c r="D73" s="3"/>
      <c r="E73" s="1"/>
      <c r="F73" s="1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51</v>
      </c>
      <c r="B74" s="57">
        <v>132</v>
      </c>
      <c r="C74" s="18">
        <v>54836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53</v>
      </c>
      <c r="B75" s="57">
        <v>12</v>
      </c>
      <c r="C75" s="18">
        <v>4985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4" t="s">
        <v>140</v>
      </c>
      <c r="B76" s="57">
        <v>37</v>
      </c>
      <c r="C76" s="18">
        <v>15371</v>
      </c>
      <c r="D76" s="224">
        <v>30102</v>
      </c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230" t="s">
        <v>157</v>
      </c>
      <c r="B77" s="57">
        <v>53</v>
      </c>
      <c r="C77" s="18">
        <v>22017</v>
      </c>
      <c r="D77" s="130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214" t="s">
        <v>107</v>
      </c>
      <c r="B78" s="57">
        <v>20</v>
      </c>
      <c r="C78" s="18">
        <v>8308</v>
      </c>
      <c r="D78" s="130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14" t="s">
        <v>65</v>
      </c>
      <c r="B79" s="57">
        <v>125</v>
      </c>
      <c r="C79" s="18">
        <v>51928</v>
      </c>
      <c r="D79" s="130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209" t="s">
        <v>158</v>
      </c>
      <c r="B80" s="57">
        <v>115</v>
      </c>
      <c r="C80" s="18">
        <v>47773</v>
      </c>
      <c r="D80" s="3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82" t="s">
        <v>13</v>
      </c>
      <c r="B81" s="188">
        <v>569</v>
      </c>
      <c r="C81" s="32">
        <v>236374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5">
      <c r="A82" s="189" t="s">
        <v>14</v>
      </c>
      <c r="B82" s="34">
        <v>415.42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35"/>
      <c r="B84" s="36"/>
      <c r="C84" s="3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1"/>
    </row>
    <row r="85" spans="1:26" ht="14.5">
      <c r="A85" s="1"/>
      <c r="B85" s="1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0" t="s">
        <v>54</v>
      </c>
      <c r="B86" s="1"/>
      <c r="C86" s="3"/>
      <c r="D86" s="78">
        <v>5136530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2" t="s">
        <v>2</v>
      </c>
      <c r="B87" s="8">
        <v>5.0000000000000001E-3</v>
      </c>
      <c r="C87" s="3"/>
      <c r="D87" s="79">
        <v>25683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80" t="s">
        <v>5</v>
      </c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95" t="s">
        <v>47</v>
      </c>
      <c r="B90" s="80">
        <v>63</v>
      </c>
      <c r="C90" s="64">
        <v>6060</v>
      </c>
      <c r="D90" s="227">
        <v>20912</v>
      </c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45</v>
      </c>
      <c r="B91" s="85"/>
      <c r="C91" s="18">
        <v>0</v>
      </c>
      <c r="D91" s="3"/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221" t="s">
        <v>155</v>
      </c>
      <c r="B92" s="57">
        <v>110</v>
      </c>
      <c r="C92" s="18">
        <v>10581</v>
      </c>
      <c r="D92" s="174"/>
      <c r="E92" s="47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90" t="s">
        <v>156</v>
      </c>
      <c r="B93" s="55">
        <v>94</v>
      </c>
      <c r="C93" s="18">
        <v>9042</v>
      </c>
      <c r="D93" s="130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82" t="s">
        <v>13</v>
      </c>
      <c r="B94" s="32">
        <v>267</v>
      </c>
      <c r="C94" s="32">
        <v>25683</v>
      </c>
      <c r="D94" s="1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3.5">
      <c r="A95" s="189" t="s">
        <v>14</v>
      </c>
      <c r="B95" s="34">
        <v>96.19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35"/>
      <c r="B97" s="36"/>
      <c r="C97" s="3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1"/>
    </row>
    <row r="98" spans="1:26" ht="14.5">
      <c r="A98" s="1"/>
      <c r="B98" s="1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0" t="s">
        <v>62</v>
      </c>
      <c r="B99" s="12"/>
      <c r="C99" s="3"/>
      <c r="D99" s="181">
        <v>1995636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2" t="s">
        <v>2</v>
      </c>
      <c r="B100" s="8">
        <v>5.0000000000000001E-3</v>
      </c>
      <c r="C100" s="3"/>
      <c r="D100" s="191">
        <v>9978.18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7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80" t="s">
        <v>5</v>
      </c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96"/>
      <c r="B103" s="24"/>
      <c r="C103" s="18">
        <v>0</v>
      </c>
      <c r="D103" s="13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4" t="s">
        <v>78</v>
      </c>
      <c r="B104" s="183">
        <v>95</v>
      </c>
      <c r="C104" s="18">
        <v>8389</v>
      </c>
      <c r="D104" s="223">
        <v>17857</v>
      </c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154</v>
      </c>
      <c r="B105" s="24"/>
      <c r="C105" s="18">
        <v>0</v>
      </c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230" t="s">
        <v>153</v>
      </c>
      <c r="B106" s="187">
        <v>18</v>
      </c>
      <c r="C106" s="18">
        <v>1589</v>
      </c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91" t="s">
        <v>13</v>
      </c>
      <c r="B107" s="188">
        <v>113</v>
      </c>
      <c r="C107" s="32">
        <v>9978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3.5">
      <c r="A108" s="189" t="s">
        <v>14</v>
      </c>
      <c r="B108" s="34">
        <v>88.3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35"/>
      <c r="B111" s="36"/>
      <c r="C111" s="3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1"/>
    </row>
    <row r="112" spans="1:26" ht="14.5">
      <c r="A112" s="1"/>
      <c r="B112" s="1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80" t="s">
        <v>102</v>
      </c>
      <c r="B113" s="12"/>
      <c r="C113" s="3"/>
      <c r="D113" s="181">
        <v>7684980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2" t="s">
        <v>2</v>
      </c>
      <c r="B114" s="8">
        <v>5.0000000000000001E-3</v>
      </c>
      <c r="C114" s="3"/>
      <c r="D114" s="191">
        <v>38424.9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7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0" t="s">
        <v>5</v>
      </c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46" t="s">
        <v>34</v>
      </c>
      <c r="B117" s="183">
        <v>120</v>
      </c>
      <c r="C117" s="18">
        <v>10927</v>
      </c>
      <c r="D117" s="1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84" t="s">
        <v>103</v>
      </c>
      <c r="B118" s="183">
        <v>55</v>
      </c>
      <c r="C118" s="18">
        <v>5008</v>
      </c>
      <c r="D118" s="223">
        <v>19956</v>
      </c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4" t="s">
        <v>67</v>
      </c>
      <c r="B119" s="183">
        <v>109</v>
      </c>
      <c r="C119" s="18">
        <v>9925</v>
      </c>
      <c r="D119" s="223">
        <v>11903</v>
      </c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211"/>
      <c r="B120" s="24"/>
      <c r="C120" s="18">
        <v>0</v>
      </c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226" t="s">
        <v>153</v>
      </c>
      <c r="B121" s="183">
        <v>12</v>
      </c>
      <c r="C121" s="18">
        <v>1093</v>
      </c>
      <c r="D121" s="174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230" t="s">
        <v>159</v>
      </c>
      <c r="B122" s="183">
        <v>61</v>
      </c>
      <c r="C122" s="18">
        <v>5554</v>
      </c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186" t="s">
        <v>160</v>
      </c>
      <c r="B123" s="187">
        <v>65</v>
      </c>
      <c r="C123" s="18">
        <v>5919</v>
      </c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91" t="s">
        <v>13</v>
      </c>
      <c r="B124" s="188">
        <v>422</v>
      </c>
      <c r="C124" s="32">
        <v>38425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3.5">
      <c r="A125" s="189" t="s">
        <v>14</v>
      </c>
      <c r="B125" s="34">
        <v>91.05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35"/>
      <c r="B127" s="36"/>
      <c r="C127" s="3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1"/>
    </row>
    <row r="128" spans="1:26" ht="14.5">
      <c r="A128" s="1"/>
      <c r="B128" s="1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108</v>
      </c>
      <c r="B129" s="12"/>
      <c r="C129" s="3"/>
      <c r="D129" s="2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2" t="s">
        <v>2</v>
      </c>
      <c r="B130" s="8">
        <v>5.0000000000000001E-3</v>
      </c>
      <c r="C130" s="3"/>
      <c r="D130" s="191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7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80" t="s">
        <v>5</v>
      </c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4" t="s">
        <v>100</v>
      </c>
      <c r="B133" s="24"/>
      <c r="C133" s="18" t="e">
        <v>#DIV/0!</v>
      </c>
      <c r="D133" s="13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219" t="s">
        <v>148</v>
      </c>
      <c r="B134" s="24"/>
      <c r="C134" s="18" t="e">
        <v>#DIV/0!</v>
      </c>
      <c r="D134" s="174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84" t="s">
        <v>106</v>
      </c>
      <c r="B135" s="24"/>
      <c r="C135" s="18" t="e">
        <v>#DIV/0!</v>
      </c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23"/>
      <c r="B136" s="24"/>
      <c r="C136" s="18" t="e">
        <v>#DIV/0!</v>
      </c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91" t="s">
        <v>13</v>
      </c>
      <c r="B137" s="188">
        <v>0</v>
      </c>
      <c r="C137" s="228" t="e">
        <v>#DIV/0!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3.5">
      <c r="A138" s="189" t="s">
        <v>14</v>
      </c>
      <c r="B138" s="34" t="e">
        <v>#DIV/0!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35"/>
      <c r="B140" s="36"/>
      <c r="C140" s="3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1"/>
    </row>
    <row r="141" spans="1:26" ht="14.5">
      <c r="A141" s="1"/>
      <c r="B141" s="1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112</v>
      </c>
      <c r="B142" s="12"/>
      <c r="C142" s="3"/>
      <c r="D142" s="181">
        <v>8309540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2" t="s">
        <v>2</v>
      </c>
      <c r="B143" s="8">
        <v>5.0000000000000001E-3</v>
      </c>
      <c r="C143" s="3"/>
      <c r="D143" s="191">
        <v>41547.699999999997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7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80" t="s">
        <v>5</v>
      </c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4" t="s">
        <v>161</v>
      </c>
      <c r="B146" s="183">
        <v>9</v>
      </c>
      <c r="C146" s="18">
        <v>1978</v>
      </c>
      <c r="D146" s="13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84" t="s">
        <v>103</v>
      </c>
      <c r="B147" s="183">
        <v>68</v>
      </c>
      <c r="C147" s="18">
        <v>14948</v>
      </c>
      <c r="D147" s="130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84" t="s">
        <v>105</v>
      </c>
      <c r="B148" s="24"/>
      <c r="C148" s="18">
        <v>0</v>
      </c>
      <c r="D148" s="17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09" t="s">
        <v>153</v>
      </c>
      <c r="B149" s="183">
        <v>79</v>
      </c>
      <c r="C149" s="18">
        <v>17366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185" t="s">
        <v>160</v>
      </c>
      <c r="B150" s="183">
        <v>17</v>
      </c>
      <c r="C150" s="18">
        <v>3737</v>
      </c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85" t="s">
        <v>162</v>
      </c>
      <c r="B151" s="183">
        <v>16</v>
      </c>
      <c r="C151" s="18">
        <v>3517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26"/>
      <c r="B152" s="24"/>
      <c r="C152" s="18">
        <v>0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91" t="s">
        <v>13</v>
      </c>
      <c r="B153" s="188">
        <v>189</v>
      </c>
      <c r="C153" s="32">
        <v>41548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43.5">
      <c r="A154" s="189" t="s">
        <v>14</v>
      </c>
      <c r="B154" s="34">
        <v>219.83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35"/>
      <c r="B156" s="36"/>
      <c r="C156" s="3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1"/>
    </row>
    <row r="157" spans="1:26" ht="14.5">
      <c r="A157" s="1"/>
      <c r="B157" s="1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71" t="s">
        <v>69</v>
      </c>
      <c r="C158" s="32" t="s">
        <v>70</v>
      </c>
      <c r="D158" s="3"/>
      <c r="E158" s="1"/>
      <c r="F158" s="23"/>
      <c r="G158" s="200" t="s">
        <v>73</v>
      </c>
      <c r="H158" s="200" t="s">
        <v>70</v>
      </c>
      <c r="I158" s="200" t="s">
        <v>74</v>
      </c>
      <c r="J158" s="200" t="s">
        <v>75</v>
      </c>
      <c r="K158" s="201" t="s">
        <v>76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">
      <c r="A159" s="210" t="s">
        <v>77</v>
      </c>
      <c r="B159" s="12"/>
      <c r="C159" s="32">
        <v>371124</v>
      </c>
      <c r="D159" s="32">
        <v>371100</v>
      </c>
      <c r="E159" s="3"/>
      <c r="F159" s="205" t="s">
        <v>51</v>
      </c>
      <c r="G159" s="96">
        <v>46311462</v>
      </c>
      <c r="H159" s="97">
        <v>231557</v>
      </c>
      <c r="I159" s="97">
        <v>54836</v>
      </c>
      <c r="J159" s="97">
        <v>176722</v>
      </c>
      <c r="K159" s="98">
        <v>176700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9">
      <c r="A160" s="210" t="s">
        <v>79</v>
      </c>
      <c r="B160" s="12"/>
      <c r="C160" s="32">
        <v>388522</v>
      </c>
      <c r="D160" s="32">
        <v>388500</v>
      </c>
      <c r="E160" s="1"/>
      <c r="F160" s="68" t="s">
        <v>32</v>
      </c>
      <c r="G160" s="96">
        <v>14240375</v>
      </c>
      <c r="H160" s="97">
        <v>71202</v>
      </c>
      <c r="I160" s="97">
        <v>14732</v>
      </c>
      <c r="J160" s="97">
        <v>56470</v>
      </c>
      <c r="K160" s="98">
        <v>56500</v>
      </c>
      <c r="L160" s="79">
        <v>32017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3.5">
      <c r="A161" s="206" t="s">
        <v>81</v>
      </c>
      <c r="B161" s="101">
        <v>33349970</v>
      </c>
      <c r="C161" s="102">
        <v>166750</v>
      </c>
      <c r="D161" s="3"/>
      <c r="E161" s="1"/>
      <c r="F161" s="205" t="s">
        <v>19</v>
      </c>
      <c r="G161" s="96">
        <v>33349970</v>
      </c>
      <c r="H161" s="97">
        <v>166750</v>
      </c>
      <c r="I161" s="97">
        <v>56306</v>
      </c>
      <c r="J161" s="97">
        <v>110444</v>
      </c>
      <c r="K161" s="98">
        <v>110400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206" t="s">
        <v>82</v>
      </c>
      <c r="B162" s="101">
        <v>16696719</v>
      </c>
      <c r="C162" s="102">
        <v>83484</v>
      </c>
      <c r="D162" s="1"/>
      <c r="E162" s="1"/>
      <c r="F162" s="205" t="s">
        <v>6</v>
      </c>
      <c r="G162" s="96">
        <v>16696719</v>
      </c>
      <c r="H162" s="97">
        <v>83484</v>
      </c>
      <c r="I162" s="97">
        <v>27534</v>
      </c>
      <c r="J162" s="97">
        <v>55950</v>
      </c>
      <c r="K162" s="98">
        <v>56000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207" t="s">
        <v>84</v>
      </c>
      <c r="B163" s="107">
        <v>14240375</v>
      </c>
      <c r="C163" s="109">
        <v>71202</v>
      </c>
      <c r="D163" s="3"/>
      <c r="E163" s="1"/>
      <c r="F163" s="205" t="s">
        <v>44</v>
      </c>
      <c r="G163" s="96">
        <v>19982040</v>
      </c>
      <c r="H163" s="97">
        <v>99910</v>
      </c>
      <c r="I163" s="97">
        <v>34251</v>
      </c>
      <c r="J163" s="97">
        <v>65659</v>
      </c>
      <c r="K163" s="98">
        <v>65700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208" t="s">
        <v>85</v>
      </c>
      <c r="B164" s="113">
        <v>19982040</v>
      </c>
      <c r="C164" s="115">
        <v>99910</v>
      </c>
      <c r="D164" s="1"/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3.5">
      <c r="A165" s="210" t="s">
        <v>87</v>
      </c>
      <c r="B165" s="121">
        <v>46311462</v>
      </c>
      <c r="C165" s="32">
        <v>231557</v>
      </c>
      <c r="D165" s="1"/>
      <c r="E165" s="1"/>
      <c r="F165" s="23"/>
      <c r="G165" s="117"/>
      <c r="H165" s="68"/>
      <c r="I165" s="68"/>
      <c r="J165" s="68"/>
      <c r="K165" s="11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9">
      <c r="A166" s="210" t="s">
        <v>91</v>
      </c>
      <c r="B166" s="121">
        <v>4196030</v>
      </c>
      <c r="C166" s="32">
        <v>20980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210" t="s">
        <v>92</v>
      </c>
      <c r="B167" s="121">
        <v>1967146</v>
      </c>
      <c r="C167" s="32">
        <v>9836</v>
      </c>
      <c r="D167" s="1"/>
      <c r="E167" s="1"/>
      <c r="F167" s="242" t="s">
        <v>122</v>
      </c>
      <c r="G167" s="24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133</v>
      </c>
      <c r="B168" s="34">
        <v>8053770</v>
      </c>
      <c r="C168" s="32">
        <v>40269</v>
      </c>
      <c r="D168" s="1"/>
      <c r="E168" s="1"/>
      <c r="F168" s="205" t="s">
        <v>77</v>
      </c>
      <c r="G168" s="229">
        <v>371100</v>
      </c>
      <c r="H168" s="32">
        <v>371100</v>
      </c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134</v>
      </c>
      <c r="B169" s="12"/>
      <c r="C169" s="32">
        <v>0</v>
      </c>
      <c r="D169" s="1"/>
      <c r="E169" s="1"/>
      <c r="F169" s="205" t="s">
        <v>79</v>
      </c>
      <c r="G169" s="229">
        <v>388500</v>
      </c>
      <c r="H169" s="32">
        <v>388500</v>
      </c>
      <c r="I169" s="252" t="s">
        <v>163</v>
      </c>
      <c r="J169" s="245"/>
      <c r="K169" s="246"/>
      <c r="L169" s="125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210" t="s">
        <v>135</v>
      </c>
      <c r="B170" s="34">
        <v>7131740</v>
      </c>
      <c r="C170" s="32">
        <v>35659</v>
      </c>
      <c r="D170" s="1"/>
      <c r="E170" s="1"/>
      <c r="F170" s="205" t="s">
        <v>19</v>
      </c>
      <c r="G170" s="229">
        <v>110400</v>
      </c>
      <c r="H170" s="32">
        <v>110400</v>
      </c>
      <c r="I170" s="247"/>
      <c r="J170" s="241"/>
      <c r="K170" s="248"/>
      <c r="L170" s="125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2"/>
      <c r="C171" s="32">
        <v>0</v>
      </c>
      <c r="D171" s="1"/>
      <c r="E171" s="1"/>
      <c r="F171" s="205" t="s">
        <v>6</v>
      </c>
      <c r="G171" s="229">
        <v>56000</v>
      </c>
      <c r="H171" s="188">
        <v>56000</v>
      </c>
      <c r="I171" s="247"/>
      <c r="J171" s="241"/>
      <c r="K171" s="248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32">
        <v>0</v>
      </c>
      <c r="D172" s="166"/>
      <c r="E172" s="1"/>
      <c r="F172" s="205" t="s">
        <v>44</v>
      </c>
      <c r="G172" s="18">
        <v>65700</v>
      </c>
      <c r="H172" s="32">
        <v>66000</v>
      </c>
      <c r="I172" s="249"/>
      <c r="J172" s="250"/>
      <c r="K172" s="251"/>
      <c r="L172" s="125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18">
        <v>1519293</v>
      </c>
      <c r="D173" s="126">
        <v>759600</v>
      </c>
      <c r="E173" s="1"/>
      <c r="F173" s="23"/>
      <c r="G173" s="212"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2"/>
      <c r="C174" s="3"/>
      <c r="D174" s="1"/>
      <c r="E174" s="1"/>
      <c r="F174" s="205" t="s">
        <v>51</v>
      </c>
      <c r="G174" s="18">
        <v>176700</v>
      </c>
      <c r="H174" s="32">
        <v>177000</v>
      </c>
      <c r="I174" s="3"/>
      <c r="J174" s="3"/>
      <c r="K174" s="3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213" t="s">
        <v>93</v>
      </c>
      <c r="B175" s="12"/>
      <c r="C175" s="32" t="s">
        <v>70</v>
      </c>
      <c r="D175" s="1"/>
      <c r="E175" s="1"/>
      <c r="F175" s="205" t="s">
        <v>32</v>
      </c>
      <c r="G175" s="229">
        <v>32000</v>
      </c>
      <c r="H175" s="32">
        <v>32000</v>
      </c>
      <c r="I175" s="3"/>
      <c r="J175" s="3"/>
      <c r="K175" s="3"/>
      <c r="L175" s="3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0" t="s">
        <v>94</v>
      </c>
      <c r="B176" s="10">
        <v>16696719</v>
      </c>
      <c r="C176" s="32">
        <v>83484</v>
      </c>
      <c r="D176" s="1"/>
      <c r="E176" s="1"/>
      <c r="F176" s="1"/>
      <c r="G176" s="131">
        <v>1200400</v>
      </c>
      <c r="H176" s="79">
        <v>1201000</v>
      </c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96</v>
      </c>
      <c r="B177" s="10">
        <v>33349970</v>
      </c>
      <c r="C177" s="32">
        <v>166750</v>
      </c>
      <c r="D177" s="1"/>
      <c r="E177" s="1"/>
      <c r="F177" s="1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210" t="s">
        <v>98</v>
      </c>
      <c r="B178" s="10">
        <v>19982040</v>
      </c>
      <c r="C178" s="32">
        <v>99910</v>
      </c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9">
      <c r="A179" s="210" t="s">
        <v>91</v>
      </c>
      <c r="B179" s="10">
        <v>4196030</v>
      </c>
      <c r="C179" s="32">
        <v>20980</v>
      </c>
      <c r="D179" s="1"/>
      <c r="E179" s="1"/>
      <c r="F179" s="1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2"/>
      <c r="C180" s="32">
        <v>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34">
        <v>74224759</v>
      </c>
      <c r="C182" s="132">
        <v>371124</v>
      </c>
      <c r="D182" s="216" t="s">
        <v>101</v>
      </c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34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35"/>
      <c r="B184" s="136"/>
      <c r="C184" s="137"/>
      <c r="D184" s="135"/>
      <c r="E184" s="1"/>
      <c r="F184" s="1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213" t="s">
        <v>109</v>
      </c>
      <c r="B185" s="134"/>
      <c r="C185" s="32" t="s">
        <v>70</v>
      </c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0" t="s">
        <v>110</v>
      </c>
      <c r="B186" s="10">
        <v>14240375</v>
      </c>
      <c r="C186" s="32">
        <v>71202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111</v>
      </c>
      <c r="B187" s="10">
        <v>46311462</v>
      </c>
      <c r="C187" s="32">
        <v>231557</v>
      </c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92</v>
      </c>
      <c r="B188" s="10">
        <v>1967146</v>
      </c>
      <c r="C188" s="32">
        <v>9836</v>
      </c>
      <c r="D188" s="1"/>
      <c r="E188" s="35"/>
      <c r="F188" s="3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133</v>
      </c>
      <c r="B189" s="10">
        <v>8053770</v>
      </c>
      <c r="C189" s="32">
        <v>40269</v>
      </c>
      <c r="D189" s="1"/>
      <c r="E189" s="1"/>
      <c r="F189" s="1"/>
      <c r="G189" s="3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135</v>
      </c>
      <c r="B190" s="10">
        <v>7131740</v>
      </c>
      <c r="C190" s="32">
        <v>35659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210" t="s">
        <v>134</v>
      </c>
      <c r="B191" s="12"/>
      <c r="C191" s="32">
        <v>0</v>
      </c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2"/>
      <c r="C192" s="3"/>
      <c r="D192" s="1"/>
      <c r="E192" s="1"/>
      <c r="F192" s="1"/>
      <c r="G192" s="3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34">
        <v>77704493</v>
      </c>
      <c r="C193" s="132">
        <v>388522</v>
      </c>
      <c r="D193" s="216" t="s">
        <v>101</v>
      </c>
      <c r="E193" s="1"/>
      <c r="F193" s="1"/>
      <c r="G193" s="138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2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7"/>
      <c r="D195" s="35"/>
      <c r="E195" s="1"/>
      <c r="F195" s="1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F167:G167"/>
    <mergeCell ref="I169:K17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opLeftCell="A67" workbookViewId="0">
      <selection activeCell="B82" sqref="B82"/>
    </sheetView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11811550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59057.75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92</v>
      </c>
      <c r="C6" s="18">
        <v>19131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104</v>
      </c>
      <c r="C7" s="18">
        <v>21627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143</v>
      </c>
      <c r="B8" s="183">
        <v>88</v>
      </c>
      <c r="C8" s="18">
        <v>18300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284</v>
      </c>
      <c r="C12" s="32">
        <v>59058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207.95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25294536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126473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112</v>
      </c>
      <c r="C21" s="18">
        <v>45990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95</v>
      </c>
      <c r="C22" s="18">
        <v>39009</v>
      </c>
      <c r="D22" s="231">
        <v>44176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4" t="s">
        <v>151</v>
      </c>
      <c r="B23" s="183">
        <v>101</v>
      </c>
      <c r="C23" s="18">
        <v>41473</v>
      </c>
      <c r="D23" s="231">
        <v>45348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96"/>
      <c r="B24" s="24"/>
      <c r="C24" s="18"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308</v>
      </c>
      <c r="C25" s="32">
        <v>126473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189" t="s">
        <v>14</v>
      </c>
      <c r="B26" s="34">
        <v>410.63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20757736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103788.68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117</v>
      </c>
      <c r="C34" s="18">
        <v>25089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6" spans="1:26" ht="14.5">
      <c r="A36" s="14" t="s">
        <v>36</v>
      </c>
      <c r="B36" s="57">
        <v>123</v>
      </c>
      <c r="C36" s="18">
        <v>26376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99"/>
      <c r="B37" s="85"/>
      <c r="C37" s="64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99"/>
      <c r="B38" s="105"/>
      <c r="C38" s="18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93" t="s">
        <v>157</v>
      </c>
      <c r="B39" s="57">
        <v>121</v>
      </c>
      <c r="C39" s="64">
        <v>25947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82" t="s">
        <v>13</v>
      </c>
      <c r="B40" s="32">
        <v>484</v>
      </c>
      <c r="C40" s="32">
        <v>103789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>
      <c r="A41" s="189" t="s">
        <v>14</v>
      </c>
      <c r="B41" s="34">
        <v>214.44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35"/>
      <c r="B43" s="36"/>
      <c r="C43" s="37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"/>
    </row>
    <row r="44" spans="1:26" ht="14.5">
      <c r="A44" s="1"/>
      <c r="B44" s="1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80" t="s">
        <v>40</v>
      </c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2" t="s">
        <v>2</v>
      </c>
      <c r="B46" s="8">
        <v>5.0000000000000001E-3</v>
      </c>
      <c r="C46" s="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3"/>
      <c r="D47" s="191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80" t="s">
        <v>5</v>
      </c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67"/>
      <c r="B49" s="68"/>
      <c r="C49" s="18" t="e">
        <v>#DIV/0!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69"/>
      <c r="B50" s="68"/>
      <c r="C50" s="18" t="e">
        <v>#DIV/0!</v>
      </c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82" t="s">
        <v>13</v>
      </c>
      <c r="B51" s="32">
        <v>0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5">
      <c r="A52" s="189" t="s">
        <v>14</v>
      </c>
      <c r="B52" s="71" t="e">
        <v>#DIV/0!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35"/>
      <c r="B54" s="35"/>
      <c r="C54" s="3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1"/>
    </row>
    <row r="55" spans="1:26" ht="14.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80" t="s">
        <v>42</v>
      </c>
      <c r="B56" s="1"/>
      <c r="C56" s="3"/>
      <c r="D56" s="181">
        <v>17372560</v>
      </c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2" t="s">
        <v>2</v>
      </c>
      <c r="B57" s="8">
        <v>5.0000000000000001E-3</v>
      </c>
      <c r="C57" s="3"/>
      <c r="D57" s="191">
        <v>86862.8</v>
      </c>
      <c r="E57" s="1"/>
      <c r="F57" s="1"/>
      <c r="G57" s="1"/>
      <c r="H57" s="72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3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80" t="s">
        <v>5</v>
      </c>
      <c r="B59" s="1"/>
      <c r="C59" s="3"/>
      <c r="D59" s="173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21</v>
      </c>
      <c r="B60" s="183">
        <v>16</v>
      </c>
      <c r="C60" s="18">
        <v>5167</v>
      </c>
      <c r="D60" s="174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45</v>
      </c>
      <c r="B61" s="183">
        <v>114</v>
      </c>
      <c r="C61" s="18">
        <v>36812</v>
      </c>
      <c r="D61" s="174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95" t="s">
        <v>44</v>
      </c>
      <c r="B62" s="183">
        <v>115</v>
      </c>
      <c r="C62" s="18">
        <v>37135</v>
      </c>
      <c r="D62" s="174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95" t="s">
        <v>47</v>
      </c>
      <c r="B63" s="183">
        <v>12</v>
      </c>
      <c r="C63" s="18">
        <v>3875</v>
      </c>
      <c r="D63" s="174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95" t="s">
        <v>151</v>
      </c>
      <c r="B64" s="183">
        <v>12</v>
      </c>
      <c r="C64" s="18">
        <v>3875</v>
      </c>
      <c r="D64" s="174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82" t="s">
        <v>13</v>
      </c>
      <c r="B65" s="188">
        <v>269</v>
      </c>
      <c r="C65" s="32">
        <v>86863</v>
      </c>
      <c r="D65" s="1"/>
      <c r="E65" s="1"/>
      <c r="F65" s="1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3.5">
      <c r="A66" s="189" t="s">
        <v>14</v>
      </c>
      <c r="B66" s="34">
        <v>322.91000000000003</v>
      </c>
      <c r="C66" s="3"/>
      <c r="D66" s="1"/>
      <c r="E66" s="1"/>
      <c r="F66" s="1"/>
      <c r="G66" s="1"/>
      <c r="H66" s="12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35"/>
      <c r="B68" s="35"/>
      <c r="C68" s="37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1"/>
    </row>
    <row r="69" spans="1:26" ht="14.5">
      <c r="A69" s="1"/>
      <c r="B69" s="1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80" t="s">
        <v>49</v>
      </c>
      <c r="B70" s="1"/>
      <c r="C70" s="3"/>
      <c r="D70" s="181">
        <v>34668247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82" t="s">
        <v>2</v>
      </c>
      <c r="B71" s="8">
        <v>5.0000000000000001E-3</v>
      </c>
      <c r="C71" s="3"/>
      <c r="D71" s="191">
        <v>173341.23499999999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80" t="s">
        <v>5</v>
      </c>
      <c r="B73" s="1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96"/>
      <c r="B74" s="24"/>
      <c r="C74" s="18">
        <v>0</v>
      </c>
      <c r="D74" s="3"/>
      <c r="E74" s="1"/>
      <c r="F74" s="1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4" t="s">
        <v>51</v>
      </c>
      <c r="B75" s="57">
        <v>132</v>
      </c>
      <c r="C75" s="18">
        <v>54220</v>
      </c>
      <c r="D75" s="3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4" t="s">
        <v>53</v>
      </c>
      <c r="B76" s="57">
        <v>38</v>
      </c>
      <c r="C76" s="18">
        <v>15609</v>
      </c>
      <c r="D76" s="3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230" t="s">
        <v>164</v>
      </c>
      <c r="B77" s="57">
        <v>14</v>
      </c>
      <c r="C77" s="18">
        <v>5751</v>
      </c>
      <c r="D77" s="174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4" t="s">
        <v>95</v>
      </c>
      <c r="B78" s="55">
        <v>123</v>
      </c>
      <c r="C78" s="18"/>
      <c r="D78" s="130" t="s">
        <v>168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32"/>
      <c r="B79" s="85"/>
      <c r="C79" s="18">
        <v>0</v>
      </c>
      <c r="D79" s="130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214" t="s">
        <v>65</v>
      </c>
      <c r="B80" s="57">
        <v>114</v>
      </c>
      <c r="C80" s="18">
        <v>46827</v>
      </c>
      <c r="D80" s="130"/>
      <c r="E80" s="1"/>
      <c r="F80" s="3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209" t="s">
        <v>158</v>
      </c>
      <c r="B81" s="57">
        <v>124</v>
      </c>
      <c r="C81" s="18">
        <v>50934</v>
      </c>
      <c r="D81" s="3"/>
      <c r="E81" s="1"/>
      <c r="F81" s="3"/>
      <c r="G81" s="1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82" t="s">
        <v>13</v>
      </c>
      <c r="B82" s="32">
        <f>SUM(B75:B81)</f>
        <v>545</v>
      </c>
      <c r="C82" s="32">
        <v>173341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43.5">
      <c r="A83" s="189" t="s">
        <v>14</v>
      </c>
      <c r="B83" s="34">
        <v>410.76</v>
      </c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1"/>
      <c r="B84" s="1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35"/>
      <c r="B85" s="36"/>
      <c r="C85" s="3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1"/>
    </row>
    <row r="86" spans="1:26" ht="14.5">
      <c r="A86" s="1"/>
      <c r="B86" s="1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80" t="s">
        <v>54</v>
      </c>
      <c r="B87" s="1"/>
      <c r="C87" s="3"/>
      <c r="D87" s="78">
        <v>2633410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82" t="s">
        <v>2</v>
      </c>
      <c r="B88" s="8">
        <v>5.0000000000000001E-3</v>
      </c>
      <c r="C88" s="3"/>
      <c r="D88" s="79">
        <v>13167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"/>
      <c r="B89" s="1"/>
      <c r="C89" s="3"/>
      <c r="D89" s="3"/>
      <c r="E89" s="1"/>
      <c r="F89" s="1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80" t="s">
        <v>5</v>
      </c>
      <c r="B90" s="1"/>
      <c r="C90" s="3"/>
      <c r="D90" s="3"/>
      <c r="E90" s="1"/>
      <c r="F90" s="1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95" t="s">
        <v>47</v>
      </c>
      <c r="B91" s="80">
        <v>100</v>
      </c>
      <c r="C91" s="64">
        <v>4167</v>
      </c>
      <c r="D91" s="231">
        <v>8042</v>
      </c>
      <c r="E91" s="1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95" t="s">
        <v>45</v>
      </c>
      <c r="B92" s="85"/>
      <c r="C92" s="18">
        <v>0</v>
      </c>
      <c r="D92" s="3"/>
      <c r="E92" s="1"/>
      <c r="F92" s="3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221" t="s">
        <v>155</v>
      </c>
      <c r="B93" s="57">
        <v>110</v>
      </c>
      <c r="C93" s="18">
        <v>4583</v>
      </c>
      <c r="D93" s="174"/>
      <c r="E93" s="47"/>
      <c r="F93" s="3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90" t="s">
        <v>156</v>
      </c>
      <c r="B94" s="55">
        <v>106</v>
      </c>
      <c r="C94" s="18">
        <v>4417</v>
      </c>
      <c r="D94" s="130"/>
      <c r="E94" s="1"/>
      <c r="F94" s="1"/>
      <c r="G94" s="1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82" t="s">
        <v>13</v>
      </c>
      <c r="B95" s="32">
        <v>316</v>
      </c>
      <c r="C95" s="32">
        <v>13167</v>
      </c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5">
      <c r="A96" s="189" t="s">
        <v>14</v>
      </c>
      <c r="B96" s="34">
        <v>41.67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35"/>
      <c r="B98" s="36"/>
      <c r="C98" s="3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1"/>
    </row>
    <row r="99" spans="1:26" ht="14.5">
      <c r="A99" s="1"/>
      <c r="B99" s="1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80" t="s">
        <v>62</v>
      </c>
      <c r="B100" s="12"/>
      <c r="C100" s="3"/>
      <c r="D100" s="181">
        <v>3180585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82" t="s">
        <v>2</v>
      </c>
      <c r="B101" s="8">
        <v>5.0000000000000001E-3</v>
      </c>
      <c r="C101" s="3"/>
      <c r="D101" s="191">
        <v>15902.924999999999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/>
      <c r="B102" s="7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80" t="s">
        <v>5</v>
      </c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96"/>
      <c r="B104" s="24"/>
      <c r="C104" s="18">
        <v>0</v>
      </c>
      <c r="D104" s="13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4" t="s">
        <v>78</v>
      </c>
      <c r="B105" s="183">
        <v>74</v>
      </c>
      <c r="C105" s="18">
        <v>7592</v>
      </c>
      <c r="D105" s="233">
        <v>23201</v>
      </c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96"/>
      <c r="B106" s="24"/>
      <c r="C106" s="18">
        <v>0</v>
      </c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230" t="s">
        <v>160</v>
      </c>
      <c r="B107" s="187">
        <v>81</v>
      </c>
      <c r="C107" s="18">
        <v>8311</v>
      </c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91" t="s">
        <v>13</v>
      </c>
      <c r="B108" s="188">
        <v>155</v>
      </c>
      <c r="C108" s="32">
        <v>15903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3.5">
      <c r="A109" s="189" t="s">
        <v>14</v>
      </c>
      <c r="B109" s="34">
        <v>102.6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35"/>
      <c r="B112" s="3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1"/>
    </row>
    <row r="113" spans="1:26" ht="14.5">
      <c r="A113" s="1"/>
      <c r="B113" s="1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0" t="s">
        <v>102</v>
      </c>
      <c r="B114" s="12"/>
      <c r="C114" s="3"/>
      <c r="D114" s="181">
        <v>7318110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82" t="s">
        <v>2</v>
      </c>
      <c r="B115" s="8">
        <v>5.0000000000000001E-3</v>
      </c>
      <c r="C115" s="3"/>
      <c r="D115" s="191">
        <v>36590.550000000003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"/>
      <c r="B116" s="7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180" t="s">
        <v>5</v>
      </c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46" t="s">
        <v>34</v>
      </c>
      <c r="B118" s="183">
        <v>125</v>
      </c>
      <c r="C118" s="18">
        <v>12262</v>
      </c>
      <c r="D118" s="13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84" t="s">
        <v>103</v>
      </c>
      <c r="B119" s="183">
        <v>36</v>
      </c>
      <c r="C119" s="18">
        <v>3532</v>
      </c>
      <c r="D119" s="130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4" t="s">
        <v>67</v>
      </c>
      <c r="B120" s="183">
        <v>107</v>
      </c>
      <c r="C120" s="18">
        <v>10496</v>
      </c>
      <c r="D120" s="130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211"/>
      <c r="B121" s="24"/>
      <c r="C121" s="18">
        <v>0</v>
      </c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226" t="s">
        <v>153</v>
      </c>
      <c r="B122" s="183">
        <v>8</v>
      </c>
      <c r="C122" s="18">
        <v>785</v>
      </c>
      <c r="D122" s="174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230" t="s">
        <v>159</v>
      </c>
      <c r="B123" s="183">
        <v>97</v>
      </c>
      <c r="C123" s="18">
        <v>9516</v>
      </c>
      <c r="D123" s="174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186" t="s">
        <v>160</v>
      </c>
      <c r="B124" s="24"/>
      <c r="C124" s="18">
        <v>0</v>
      </c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91" t="s">
        <v>13</v>
      </c>
      <c r="B125" s="188">
        <v>373</v>
      </c>
      <c r="C125" s="32">
        <v>36591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3.5">
      <c r="A126" s="189" t="s">
        <v>14</v>
      </c>
      <c r="B126" s="34">
        <v>98.1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35"/>
      <c r="B128" s="36"/>
      <c r="C128" s="3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1"/>
    </row>
    <row r="129" spans="1:26" ht="14.5">
      <c r="A129" s="1"/>
      <c r="B129" s="1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80" t="s">
        <v>108</v>
      </c>
      <c r="B130" s="12"/>
      <c r="C130" s="3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82" t="s">
        <v>2</v>
      </c>
      <c r="B131" s="8">
        <v>5.0000000000000001E-3</v>
      </c>
      <c r="C131" s="3"/>
      <c r="D131" s="191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"/>
      <c r="B132" s="7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80" t="s">
        <v>5</v>
      </c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14" t="s">
        <v>100</v>
      </c>
      <c r="B134" s="24"/>
      <c r="C134" s="18" t="e">
        <v>#DIV/0!</v>
      </c>
      <c r="D134" s="13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219" t="s">
        <v>148</v>
      </c>
      <c r="B135" s="24"/>
      <c r="C135" s="18" t="e">
        <v>#DIV/0!</v>
      </c>
      <c r="D135" s="174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184" t="s">
        <v>106</v>
      </c>
      <c r="B136" s="24"/>
      <c r="C136" s="18" t="e">
        <v>#DIV/0!</v>
      </c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23"/>
      <c r="B137" s="24"/>
      <c r="C137" s="18" t="e">
        <v>#DIV/0!</v>
      </c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91" t="s">
        <v>13</v>
      </c>
      <c r="B138" s="188">
        <v>0</v>
      </c>
      <c r="C138" s="228" t="e">
        <v>#DIV/0!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5">
      <c r="A139" s="189" t="s">
        <v>14</v>
      </c>
      <c r="B139" s="34" t="e">
        <v>#DIV/0!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"/>
      <c r="B140" s="1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35"/>
      <c r="B141" s="36"/>
      <c r="C141" s="3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1"/>
    </row>
    <row r="142" spans="1:26" ht="14.5">
      <c r="A142" s="1"/>
      <c r="B142" s="1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80" t="s">
        <v>112</v>
      </c>
      <c r="B143" s="12"/>
      <c r="C143" s="3"/>
      <c r="D143" s="181">
        <v>7653100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82" t="s">
        <v>2</v>
      </c>
      <c r="B144" s="8">
        <v>5.0000000000000001E-3</v>
      </c>
      <c r="C144" s="3"/>
      <c r="D144" s="191">
        <v>38265.5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7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80" t="s">
        <v>5</v>
      </c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96"/>
      <c r="B147" s="24"/>
      <c r="C147" s="18">
        <v>0</v>
      </c>
      <c r="D147" s="13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84" t="s">
        <v>103</v>
      </c>
      <c r="B148" s="183">
        <v>73</v>
      </c>
      <c r="C148" s="18">
        <v>8729</v>
      </c>
      <c r="D148" s="235">
        <v>12261</v>
      </c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26" t="s">
        <v>166</v>
      </c>
      <c r="B149" s="183">
        <v>91</v>
      </c>
      <c r="C149" s="18">
        <v>10882</v>
      </c>
      <c r="D149" s="17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209" t="s">
        <v>153</v>
      </c>
      <c r="B150" s="183">
        <v>112</v>
      </c>
      <c r="C150" s="18">
        <v>13393</v>
      </c>
      <c r="D150" s="236">
        <v>14178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85" t="s">
        <v>160</v>
      </c>
      <c r="B151" s="183">
        <v>30</v>
      </c>
      <c r="C151" s="18">
        <v>3587</v>
      </c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85" t="s">
        <v>162</v>
      </c>
      <c r="B152" s="183">
        <v>14</v>
      </c>
      <c r="C152" s="18">
        <v>1674</v>
      </c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26"/>
      <c r="B153" s="24"/>
      <c r="C153" s="18">
        <v>0</v>
      </c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91" t="s">
        <v>13</v>
      </c>
      <c r="B154" s="188">
        <v>320</v>
      </c>
      <c r="C154" s="32">
        <v>38266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43.5">
      <c r="A155" s="189" t="s">
        <v>14</v>
      </c>
      <c r="B155" s="34">
        <v>119.58</v>
      </c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1"/>
      <c r="B156" s="1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35"/>
      <c r="B157" s="36"/>
      <c r="C157" s="37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1"/>
    </row>
    <row r="158" spans="1:26" ht="14.5">
      <c r="A158" s="1"/>
      <c r="B158" s="1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71" t="s">
        <v>69</v>
      </c>
      <c r="C159" s="32" t="s">
        <v>70</v>
      </c>
      <c r="D159" s="3"/>
      <c r="E159" s="1"/>
      <c r="F159" s="23"/>
      <c r="G159" s="200" t="s">
        <v>73</v>
      </c>
      <c r="H159" s="200" t="s">
        <v>70</v>
      </c>
      <c r="I159" s="200" t="s">
        <v>74</v>
      </c>
      <c r="J159" s="200" t="s">
        <v>75</v>
      </c>
      <c r="K159" s="201" t="s">
        <v>76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9">
      <c r="A160" s="210" t="s">
        <v>77</v>
      </c>
      <c r="B160" s="12"/>
      <c r="C160" s="32">
        <v>277579</v>
      </c>
      <c r="D160" s="32">
        <v>277600</v>
      </c>
      <c r="E160" s="3"/>
      <c r="F160" s="205" t="s">
        <v>51</v>
      </c>
      <c r="G160" s="96">
        <v>34652652.299999997</v>
      </c>
      <c r="H160" s="97">
        <v>173263</v>
      </c>
      <c r="I160" s="97">
        <v>54220</v>
      </c>
      <c r="J160" s="97">
        <v>119043</v>
      </c>
      <c r="K160" s="98">
        <v>119000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9">
      <c r="A161" s="210" t="s">
        <v>79</v>
      </c>
      <c r="B161" s="12"/>
      <c r="C161" s="32">
        <v>363477</v>
      </c>
      <c r="D161" s="32">
        <v>363500</v>
      </c>
      <c r="E161" s="1"/>
      <c r="F161" s="68" t="s">
        <v>32</v>
      </c>
      <c r="G161" s="96">
        <v>20445875.899999999</v>
      </c>
      <c r="H161" s="97">
        <v>102229</v>
      </c>
      <c r="I161" s="97">
        <v>25089</v>
      </c>
      <c r="J161" s="97">
        <v>77140</v>
      </c>
      <c r="K161" s="98">
        <v>77100</v>
      </c>
      <c r="L161" s="79">
        <v>43690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3.5">
      <c r="A162" s="206" t="s">
        <v>81</v>
      </c>
      <c r="B162" s="101">
        <v>24815656</v>
      </c>
      <c r="C162" s="102">
        <v>124078</v>
      </c>
      <c r="D162" s="3"/>
      <c r="E162" s="1"/>
      <c r="F162" s="205" t="s">
        <v>19</v>
      </c>
      <c r="G162" s="96">
        <v>24815656</v>
      </c>
      <c r="H162" s="97">
        <v>124078</v>
      </c>
      <c r="I162" s="97">
        <v>45990</v>
      </c>
      <c r="J162" s="97">
        <v>78088</v>
      </c>
      <c r="K162" s="98">
        <v>78100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3.5">
      <c r="A163" s="206" t="s">
        <v>82</v>
      </c>
      <c r="B163" s="101">
        <v>11790140</v>
      </c>
      <c r="C163" s="102">
        <v>58951</v>
      </c>
      <c r="D163" s="1"/>
      <c r="E163" s="1"/>
      <c r="F163" s="205" t="s">
        <v>6</v>
      </c>
      <c r="G163" s="96">
        <v>11790140</v>
      </c>
      <c r="H163" s="97">
        <v>58951</v>
      </c>
      <c r="I163" s="97">
        <v>19131</v>
      </c>
      <c r="J163" s="97">
        <v>39819</v>
      </c>
      <c r="K163" s="98">
        <v>39800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3.5">
      <c r="A164" s="207" t="s">
        <v>84</v>
      </c>
      <c r="B164" s="107">
        <v>20445875.899999999</v>
      </c>
      <c r="C164" s="109">
        <v>102229</v>
      </c>
      <c r="D164" s="3"/>
      <c r="E164" s="1"/>
      <c r="F164" s="205" t="s">
        <v>44</v>
      </c>
      <c r="G164" s="96">
        <v>16141613.800000001</v>
      </c>
      <c r="H164" s="97">
        <v>80708</v>
      </c>
      <c r="I164" s="97">
        <v>5167</v>
      </c>
      <c r="J164" s="97">
        <v>75542</v>
      </c>
      <c r="K164" s="98">
        <v>75500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3.5">
      <c r="A165" s="208" t="s">
        <v>85</v>
      </c>
      <c r="B165" s="113">
        <v>16141613.800000001</v>
      </c>
      <c r="C165" s="115">
        <v>80708</v>
      </c>
      <c r="D165" s="1"/>
      <c r="E165" s="1"/>
      <c r="F165" s="1"/>
      <c r="G165" s="1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43.5">
      <c r="A166" s="210" t="s">
        <v>87</v>
      </c>
      <c r="B166" s="121">
        <v>34652652.299999997</v>
      </c>
      <c r="C166" s="32">
        <v>173263</v>
      </c>
      <c r="D166" s="1"/>
      <c r="E166" s="1"/>
      <c r="F166" s="23"/>
      <c r="G166" s="117"/>
      <c r="H166" s="68"/>
      <c r="I166" s="68"/>
      <c r="J166" s="68"/>
      <c r="K166" s="11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9">
      <c r="A167" s="210" t="s">
        <v>91</v>
      </c>
      <c r="B167" s="121">
        <v>2768400</v>
      </c>
      <c r="C167" s="32">
        <v>13842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210" t="s">
        <v>92</v>
      </c>
      <c r="B168" s="121">
        <v>2753695.3</v>
      </c>
      <c r="C168" s="32">
        <v>13768</v>
      </c>
      <c r="D168" s="1"/>
      <c r="E168" s="1"/>
      <c r="F168" s="242" t="s">
        <v>122</v>
      </c>
      <c r="G168" s="24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210" t="s">
        <v>133</v>
      </c>
      <c r="B169" s="34">
        <v>7338710.4000000004</v>
      </c>
      <c r="C169" s="32">
        <v>36694</v>
      </c>
      <c r="D169" s="1"/>
      <c r="E169" s="1"/>
      <c r="F169" s="205" t="s">
        <v>77</v>
      </c>
      <c r="G169" s="229">
        <v>277600</v>
      </c>
      <c r="H169" s="3"/>
      <c r="I169" s="1"/>
      <c r="J169" s="1"/>
      <c r="K169" s="1"/>
      <c r="L169" s="1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210" t="s">
        <v>134</v>
      </c>
      <c r="B170" s="12"/>
      <c r="C170" s="32">
        <v>0</v>
      </c>
      <c r="D170" s="1"/>
      <c r="E170" s="1"/>
      <c r="F170" s="205" t="s">
        <v>79</v>
      </c>
      <c r="G170" s="229">
        <v>363500</v>
      </c>
      <c r="H170" s="3"/>
      <c r="I170" s="244"/>
      <c r="J170" s="245"/>
      <c r="K170" s="246"/>
      <c r="L170" s="125"/>
      <c r="M170" s="1"/>
      <c r="N170" s="1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210" t="s">
        <v>135</v>
      </c>
      <c r="B171" s="34">
        <v>7504370</v>
      </c>
      <c r="C171" s="32">
        <v>37522</v>
      </c>
      <c r="D171" s="1"/>
      <c r="E171" s="1"/>
      <c r="F171" s="205" t="s">
        <v>19</v>
      </c>
      <c r="G171" s="229">
        <v>78100</v>
      </c>
      <c r="H171" s="3"/>
      <c r="I171" s="247"/>
      <c r="J171" s="241"/>
      <c r="K171" s="248"/>
      <c r="L171" s="125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2"/>
      <c r="C172" s="32">
        <v>0</v>
      </c>
      <c r="D172" s="1"/>
      <c r="E172" s="1"/>
      <c r="F172" s="205" t="s">
        <v>6</v>
      </c>
      <c r="G172" s="229">
        <v>39800</v>
      </c>
      <c r="H172" s="1"/>
      <c r="I172" s="247"/>
      <c r="J172" s="241"/>
      <c r="K172" s="248"/>
      <c r="L172" s="125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2"/>
      <c r="C173" s="32">
        <v>0</v>
      </c>
      <c r="D173" s="166"/>
      <c r="E173" s="1"/>
      <c r="F173" s="205" t="s">
        <v>44</v>
      </c>
      <c r="G173" s="18">
        <v>75500</v>
      </c>
      <c r="H173" s="3"/>
      <c r="I173" s="249"/>
      <c r="J173" s="250"/>
      <c r="K173" s="251"/>
      <c r="L173" s="125"/>
      <c r="M173" s="1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2"/>
      <c r="C174" s="18">
        <v>1282111</v>
      </c>
      <c r="D174" s="126">
        <v>641100</v>
      </c>
      <c r="E174" s="1"/>
      <c r="F174" s="23"/>
      <c r="G174" s="212">
        <v>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2"/>
      <c r="C175" s="3"/>
      <c r="D175" s="1"/>
      <c r="E175" s="1"/>
      <c r="F175" s="205" t="s">
        <v>51</v>
      </c>
      <c r="G175" s="18">
        <v>119000</v>
      </c>
      <c r="H175" s="3"/>
      <c r="I175" s="3"/>
      <c r="J175" s="3"/>
      <c r="K175" s="3"/>
      <c r="L175" s="1"/>
      <c r="M175" s="1"/>
      <c r="N175" s="1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213" t="s">
        <v>93</v>
      </c>
      <c r="B176" s="12"/>
      <c r="C176" s="32" t="s">
        <v>70</v>
      </c>
      <c r="D176" s="1"/>
      <c r="E176" s="1"/>
      <c r="F176" s="205" t="s">
        <v>32</v>
      </c>
      <c r="G176" s="229">
        <v>77100</v>
      </c>
      <c r="H176" s="3"/>
      <c r="I176" s="3"/>
      <c r="J176" s="3"/>
      <c r="K176" s="3"/>
      <c r="L176" s="3"/>
      <c r="M176" s="1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210" t="s">
        <v>94</v>
      </c>
      <c r="B177" s="10">
        <v>11790140</v>
      </c>
      <c r="C177" s="32">
        <v>58951</v>
      </c>
      <c r="D177" s="1"/>
      <c r="E177" s="1"/>
      <c r="F177" s="1"/>
      <c r="G177" s="131">
        <v>1030600</v>
      </c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210" t="s">
        <v>96</v>
      </c>
      <c r="B178" s="10">
        <v>24815656</v>
      </c>
      <c r="C178" s="32">
        <v>124078</v>
      </c>
      <c r="D178" s="1"/>
      <c r="E178" s="1"/>
      <c r="F178" s="1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210" t="s">
        <v>98</v>
      </c>
      <c r="B179" s="10">
        <v>16141613.800000001</v>
      </c>
      <c r="C179" s="32">
        <v>80708</v>
      </c>
      <c r="D179" s="1"/>
      <c r="E179" s="1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9">
      <c r="A180" s="210" t="s">
        <v>91</v>
      </c>
      <c r="B180" s="10">
        <v>2768400</v>
      </c>
      <c r="C180" s="32">
        <v>13842</v>
      </c>
      <c r="D180" s="1"/>
      <c r="E180" s="1"/>
      <c r="F180" s="1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2"/>
      <c r="C181" s="32">
        <v>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34">
        <v>55515809.799999997</v>
      </c>
      <c r="C183" s="132">
        <v>277579</v>
      </c>
      <c r="D183" s="216" t="s">
        <v>101</v>
      </c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34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35"/>
      <c r="B185" s="136"/>
      <c r="C185" s="137"/>
      <c r="D185" s="135"/>
      <c r="E185" s="1"/>
      <c r="F185" s="1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213" t="s">
        <v>109</v>
      </c>
      <c r="B186" s="134"/>
      <c r="C186" s="32" t="s">
        <v>70</v>
      </c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210" t="s">
        <v>110</v>
      </c>
      <c r="B187" s="10">
        <v>20445875.899999999</v>
      </c>
      <c r="C187" s="32">
        <v>102229</v>
      </c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210" t="s">
        <v>111</v>
      </c>
      <c r="B188" s="10">
        <v>34652652.299999997</v>
      </c>
      <c r="C188" s="32">
        <v>173263</v>
      </c>
      <c r="D188" s="1"/>
      <c r="E188" s="1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210" t="s">
        <v>92</v>
      </c>
      <c r="B189" s="10">
        <v>2753695.3</v>
      </c>
      <c r="C189" s="32">
        <v>13768</v>
      </c>
      <c r="D189" s="1"/>
      <c r="E189" s="35"/>
      <c r="F189" s="3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210" t="s">
        <v>133</v>
      </c>
      <c r="B190" s="10">
        <v>7338710.4000000004</v>
      </c>
      <c r="C190" s="32">
        <v>36694</v>
      </c>
      <c r="D190" s="1"/>
      <c r="E190" s="1"/>
      <c r="F190" s="1"/>
      <c r="G190" s="3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210" t="s">
        <v>135</v>
      </c>
      <c r="B191" s="10">
        <v>7504370</v>
      </c>
      <c r="C191" s="32">
        <v>37522</v>
      </c>
      <c r="D191" s="1"/>
      <c r="E191" s="1"/>
      <c r="F191" s="1"/>
      <c r="G191" s="3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210" t="s">
        <v>134</v>
      </c>
      <c r="B192" s="12"/>
      <c r="C192" s="32">
        <v>0</v>
      </c>
      <c r="D192" s="1"/>
      <c r="E192" s="1"/>
      <c r="F192" s="1"/>
      <c r="G192" s="3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2"/>
      <c r="C193" s="3"/>
      <c r="D193" s="1"/>
      <c r="E193" s="1"/>
      <c r="F193" s="1"/>
      <c r="G193" s="3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34">
        <v>72695303.900000006</v>
      </c>
      <c r="C194" s="132">
        <v>363477</v>
      </c>
      <c r="D194" s="216" t="s">
        <v>101</v>
      </c>
      <c r="E194" s="1"/>
      <c r="F194" s="1"/>
      <c r="G194" s="138"/>
      <c r="H194" s="1"/>
      <c r="I194" s="1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2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2"/>
      <c r="C196" s="37"/>
      <c r="D196" s="35"/>
      <c r="E196" s="1"/>
      <c r="F196" s="1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2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2"/>
      <c r="C198" s="3"/>
      <c r="D198" s="1"/>
      <c r="E198" s="1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F168:G168"/>
    <mergeCell ref="I170:K17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37"/>
  <sheetViews>
    <sheetView tabSelected="1" topLeftCell="A8" workbookViewId="0">
      <selection activeCell="A8" sqref="A8"/>
    </sheetView>
  </sheetViews>
  <sheetFormatPr baseColWidth="10" defaultColWidth="12.6328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80" t="s">
        <v>1</v>
      </c>
      <c r="B2" s="1"/>
      <c r="C2" s="3"/>
      <c r="D2" s="181">
        <v>17530010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82" t="s">
        <v>2</v>
      </c>
      <c r="B3" s="8">
        <v>5.0000000000000001E-3</v>
      </c>
      <c r="C3" s="3"/>
      <c r="D3" s="10">
        <v>87650.05</v>
      </c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80" t="s">
        <v>5</v>
      </c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" t="s">
        <v>6</v>
      </c>
      <c r="B6" s="183">
        <v>104</v>
      </c>
      <c r="C6" s="18">
        <v>32556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" t="s">
        <v>8</v>
      </c>
      <c r="B7" s="183">
        <v>88</v>
      </c>
      <c r="C7" s="18">
        <v>27547</v>
      </c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84" t="s">
        <v>143</v>
      </c>
      <c r="B8" s="183">
        <v>88</v>
      </c>
      <c r="C8" s="18">
        <v>27547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6"/>
      <c r="B9" s="24"/>
      <c r="C9" s="18">
        <v>0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"/>
      <c r="B10" s="24"/>
      <c r="C10" s="18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/>
      <c r="B11" s="24"/>
      <c r="C11" s="18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82" t="s">
        <v>13</v>
      </c>
      <c r="B12" s="188">
        <v>280</v>
      </c>
      <c r="C12" s="32">
        <v>87650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89" t="s">
        <v>14</v>
      </c>
      <c r="B13" s="34">
        <v>313.04000000000002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5"/>
      <c r="B15" s="36"/>
      <c r="C15" s="3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1"/>
    </row>
    <row r="16" spans="1:26" ht="15.75" customHeight="1">
      <c r="A16" s="1"/>
      <c r="B16" s="1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0" t="s">
        <v>16</v>
      </c>
      <c r="B17" s="1"/>
      <c r="C17" s="3"/>
      <c r="D17" s="181">
        <v>32658120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2" t="s">
        <v>2</v>
      </c>
      <c r="B18" s="8">
        <v>5.0000000000000001E-3</v>
      </c>
      <c r="C18" s="3"/>
      <c r="D18" s="79">
        <v>163291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80" t="s">
        <v>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4" t="s">
        <v>19</v>
      </c>
      <c r="B21" s="183">
        <v>110</v>
      </c>
      <c r="C21" s="18">
        <v>62804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4" t="s">
        <v>20</v>
      </c>
      <c r="B22" s="183">
        <v>80</v>
      </c>
      <c r="C22" s="18">
        <v>45676</v>
      </c>
      <c r="D22" s="231">
        <v>50902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4" t="s">
        <v>151</v>
      </c>
      <c r="B23" s="183">
        <v>96</v>
      </c>
      <c r="C23" s="18">
        <v>54811</v>
      </c>
      <c r="D23" s="231">
        <v>60037</v>
      </c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96"/>
      <c r="B24" s="24"/>
      <c r="C24" s="18">
        <v>0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82" t="s">
        <v>13</v>
      </c>
      <c r="B25" s="188">
        <v>286</v>
      </c>
      <c r="C25" s="32">
        <v>163291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>
      <c r="A26" s="189" t="s">
        <v>14</v>
      </c>
      <c r="B26" s="34">
        <v>570.95000000000005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35"/>
      <c r="B28" s="36"/>
      <c r="C28" s="37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"/>
    </row>
    <row r="29" spans="1:26" ht="14.5">
      <c r="A29" s="1"/>
      <c r="B29" s="1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80" t="s">
        <v>30</v>
      </c>
      <c r="B30" s="1"/>
      <c r="C30" s="3"/>
      <c r="D30" s="181">
        <v>18643184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82" t="s">
        <v>2</v>
      </c>
      <c r="B31" s="8">
        <v>5.0000000000000001E-3</v>
      </c>
      <c r="C31" s="3"/>
      <c r="D31" s="191">
        <v>93215.92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80" t="s">
        <v>5</v>
      </c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4" t="s">
        <v>32</v>
      </c>
      <c r="B34" s="55">
        <v>118</v>
      </c>
      <c r="C34" s="18">
        <v>31160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96"/>
      <c r="B35" s="85"/>
      <c r="C35" s="18">
        <v>0</v>
      </c>
      <c r="D35" s="13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4" t="s">
        <v>36</v>
      </c>
      <c r="B36" s="57">
        <v>116</v>
      </c>
      <c r="C36" s="18">
        <v>30632</v>
      </c>
      <c r="D36" s="13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93" t="s">
        <v>157</v>
      </c>
      <c r="B37" s="57">
        <v>119</v>
      </c>
      <c r="C37" s="64">
        <v>31424</v>
      </c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82" t="s">
        <v>13</v>
      </c>
      <c r="B38" s="32">
        <v>353</v>
      </c>
      <c r="C38" s="32">
        <v>93216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3.5">
      <c r="A39" s="189" t="s">
        <v>14</v>
      </c>
      <c r="B39" s="34">
        <v>264.07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"/>
      <c r="B40" s="1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35"/>
      <c r="B41" s="36"/>
      <c r="C41" s="37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1"/>
    </row>
    <row r="42" spans="1:26" ht="14.5">
      <c r="A42" s="1"/>
      <c r="B42" s="1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180" t="s">
        <v>40</v>
      </c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182" t="s">
        <v>2</v>
      </c>
      <c r="B44" s="8">
        <v>5.0000000000000001E-3</v>
      </c>
      <c r="C44" s="3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/>
      <c r="B45" s="1"/>
      <c r="C45" s="3"/>
      <c r="D45" s="191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80" t="s">
        <v>5</v>
      </c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67"/>
      <c r="B47" s="68"/>
      <c r="C47" s="18" t="e">
        <v>#DIV/0!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69"/>
      <c r="B48" s="68"/>
      <c r="C48" s="18" t="e">
        <v>#DIV/0!</v>
      </c>
      <c r="D48" s="1"/>
      <c r="E48" s="1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182" t="s">
        <v>13</v>
      </c>
      <c r="B49" s="32">
        <v>0</v>
      </c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3.5">
      <c r="A50" s="189" t="s">
        <v>14</v>
      </c>
      <c r="B50" s="71" t="e">
        <v>#DIV/0!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35"/>
      <c r="B52" s="35"/>
      <c r="C52" s="37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1"/>
    </row>
    <row r="53" spans="1:26" ht="14.5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180" t="s">
        <v>42</v>
      </c>
      <c r="B54" s="1"/>
      <c r="C54" s="3"/>
      <c r="D54" s="181">
        <v>16527496</v>
      </c>
      <c r="E54" s="1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182" t="s">
        <v>2</v>
      </c>
      <c r="B55" s="8">
        <v>5.0000000000000001E-3</v>
      </c>
      <c r="C55" s="3"/>
      <c r="D55" s="191">
        <v>82637.48</v>
      </c>
      <c r="E55" s="1"/>
      <c r="F55" s="1"/>
      <c r="G55" s="1"/>
      <c r="H55" s="72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/>
      <c r="B56" s="1"/>
      <c r="C56" s="3"/>
      <c r="D56" s="1"/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80" t="s">
        <v>5</v>
      </c>
      <c r="B57" s="1"/>
      <c r="C57" s="3"/>
      <c r="D57" s="173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95" t="s">
        <v>21</v>
      </c>
      <c r="B58" s="183">
        <v>16</v>
      </c>
      <c r="C58" s="18">
        <v>5226</v>
      </c>
      <c r="D58" s="174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95" t="s">
        <v>45</v>
      </c>
      <c r="B59" s="183">
        <v>114</v>
      </c>
      <c r="C59" s="18">
        <v>37236</v>
      </c>
      <c r="D59" s="174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95" t="s">
        <v>44</v>
      </c>
      <c r="B60" s="183">
        <v>95</v>
      </c>
      <c r="C60" s="18">
        <v>31030</v>
      </c>
      <c r="D60" s="174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95" t="s">
        <v>47</v>
      </c>
      <c r="B61" s="183">
        <v>14</v>
      </c>
      <c r="C61" s="18">
        <v>4573</v>
      </c>
      <c r="D61" s="174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95" t="s">
        <v>151</v>
      </c>
      <c r="B62" s="183">
        <v>14</v>
      </c>
      <c r="C62" s="18">
        <v>4573</v>
      </c>
      <c r="D62" s="174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82" t="s">
        <v>13</v>
      </c>
      <c r="B63" s="188">
        <v>253</v>
      </c>
      <c r="C63" s="32">
        <v>82637</v>
      </c>
      <c r="D63" s="1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3.5">
      <c r="A64" s="189" t="s">
        <v>14</v>
      </c>
      <c r="B64" s="34">
        <v>326.63</v>
      </c>
      <c r="C64" s="3"/>
      <c r="D64" s="1"/>
      <c r="E64" s="1"/>
      <c r="F64" s="1"/>
      <c r="G64" s="1"/>
      <c r="H64" s="12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35"/>
      <c r="B66" s="35"/>
      <c r="C66" s="37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1"/>
    </row>
    <row r="67" spans="1:26" ht="14.5">
      <c r="A67" s="1"/>
      <c r="B67" s="1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80" t="s">
        <v>49</v>
      </c>
      <c r="B68" s="1"/>
      <c r="C68" s="3"/>
      <c r="D68" s="181">
        <v>42462312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82" t="s">
        <v>2</v>
      </c>
      <c r="B69" s="8">
        <v>5.0000000000000001E-3</v>
      </c>
      <c r="C69" s="3"/>
      <c r="D69" s="191">
        <v>212311.56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80" t="s">
        <v>5</v>
      </c>
      <c r="B71" s="1"/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4" t="s">
        <v>165</v>
      </c>
      <c r="B72" s="183">
        <v>117</v>
      </c>
      <c r="C72" s="18">
        <v>47046</v>
      </c>
      <c r="D72" s="3"/>
      <c r="E72" s="1"/>
      <c r="F72" s="1"/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4" t="s">
        <v>51</v>
      </c>
      <c r="B73" s="57">
        <v>132</v>
      </c>
      <c r="C73" s="18">
        <v>53078</v>
      </c>
      <c r="D73" s="3"/>
      <c r="E73" s="1"/>
      <c r="F73" s="3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4" t="s">
        <v>53</v>
      </c>
      <c r="B74" s="57">
        <v>22</v>
      </c>
      <c r="C74" s="18">
        <v>8846</v>
      </c>
      <c r="D74" s="3"/>
      <c r="E74" s="1"/>
      <c r="F74" s="3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230" t="s">
        <v>164</v>
      </c>
      <c r="B75" s="85"/>
      <c r="C75" s="18">
        <v>0</v>
      </c>
      <c r="D75" s="174"/>
      <c r="E75" s="1"/>
      <c r="F75" s="3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86" t="s">
        <v>160</v>
      </c>
      <c r="B76" s="57">
        <v>22</v>
      </c>
      <c r="C76" s="18">
        <v>8846</v>
      </c>
      <c r="D76" s="130"/>
      <c r="E76" s="1"/>
      <c r="F76" s="3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214" t="s">
        <v>158</v>
      </c>
      <c r="B77" s="57">
        <v>118</v>
      </c>
      <c r="C77" s="18">
        <v>47448</v>
      </c>
      <c r="D77" s="130"/>
      <c r="E77" s="1"/>
      <c r="F77" s="3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214" t="s">
        <v>65</v>
      </c>
      <c r="B78" s="57">
        <v>117</v>
      </c>
      <c r="C78" s="18">
        <v>47046</v>
      </c>
      <c r="D78" s="130"/>
      <c r="E78" s="1"/>
      <c r="F78" s="3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218"/>
      <c r="B79" s="85"/>
      <c r="C79" s="18">
        <v>0</v>
      </c>
      <c r="D79" s="3"/>
      <c r="E79" s="1"/>
      <c r="F79" s="3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82" t="s">
        <v>13</v>
      </c>
      <c r="B80" s="188">
        <v>528</v>
      </c>
      <c r="C80" s="32">
        <v>212312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3.5">
      <c r="A81" s="189" t="s">
        <v>14</v>
      </c>
      <c r="B81" s="34">
        <v>402.11</v>
      </c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35"/>
      <c r="B83" s="36"/>
      <c r="C83" s="37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1"/>
    </row>
    <row r="84" spans="1:26" ht="14.5">
      <c r="A84" s="1"/>
      <c r="B84" s="1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180" t="s">
        <v>54</v>
      </c>
      <c r="B85" s="1"/>
      <c r="C85" s="3"/>
      <c r="D85" s="78">
        <v>3550250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82" t="s">
        <v>2</v>
      </c>
      <c r="B86" s="8">
        <v>5.0000000000000001E-3</v>
      </c>
      <c r="C86" s="3"/>
      <c r="D86" s="79">
        <v>17751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/>
      <c r="B87" s="1"/>
      <c r="C87" s="3"/>
      <c r="D87" s="3"/>
      <c r="E87" s="1"/>
      <c r="F87" s="1"/>
      <c r="G87" s="1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80" t="s">
        <v>5</v>
      </c>
      <c r="B88" s="1"/>
      <c r="C88" s="3"/>
      <c r="D88" s="3"/>
      <c r="E88" s="1"/>
      <c r="F88" s="1"/>
      <c r="G88" s="1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95" t="s">
        <v>47</v>
      </c>
      <c r="B89" s="80">
        <v>96</v>
      </c>
      <c r="C89" s="64">
        <v>5680</v>
      </c>
      <c r="D89" s="231">
        <v>10253</v>
      </c>
      <c r="E89" s="1"/>
      <c r="F89" s="3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234"/>
      <c r="B90" s="85"/>
      <c r="C90" s="18">
        <v>0</v>
      </c>
      <c r="D90" s="3"/>
      <c r="E90" s="1"/>
      <c r="F90" s="3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221" t="s">
        <v>155</v>
      </c>
      <c r="B91" s="57">
        <v>108</v>
      </c>
      <c r="C91" s="18">
        <v>6390</v>
      </c>
      <c r="D91" s="174"/>
      <c r="E91" s="47"/>
      <c r="F91" s="3"/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90" t="s">
        <v>156</v>
      </c>
      <c r="B92" s="55">
        <v>96</v>
      </c>
      <c r="C92" s="18">
        <v>5680</v>
      </c>
      <c r="D92" s="130"/>
      <c r="E92" s="1"/>
      <c r="F92" s="1"/>
      <c r="G92" s="1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82" t="s">
        <v>13</v>
      </c>
      <c r="B93" s="32">
        <v>300</v>
      </c>
      <c r="C93" s="32">
        <v>17751</v>
      </c>
      <c r="D93" s="1"/>
      <c r="E93" s="1"/>
      <c r="F93" s="1"/>
      <c r="G93" s="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3.5">
      <c r="A94" s="189" t="s">
        <v>14</v>
      </c>
      <c r="B94" s="34">
        <v>59.17</v>
      </c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35"/>
      <c r="B96" s="36"/>
      <c r="C96" s="3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1"/>
    </row>
    <row r="97" spans="1:26" ht="14.5">
      <c r="A97" s="1"/>
      <c r="B97" s="1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180" t="s">
        <v>62</v>
      </c>
      <c r="B98" s="12"/>
      <c r="C98" s="3"/>
      <c r="D98" s="181">
        <v>3465973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82" t="s">
        <v>2</v>
      </c>
      <c r="B99" s="8">
        <v>5.0000000000000001E-3</v>
      </c>
      <c r="C99" s="3"/>
      <c r="D99" s="191">
        <v>17329.865000000002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7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80" t="s">
        <v>5</v>
      </c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96"/>
      <c r="B102" s="24"/>
      <c r="C102" s="18">
        <v>0</v>
      </c>
      <c r="D102" s="13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4" t="s">
        <v>78</v>
      </c>
      <c r="B103" s="183">
        <v>83</v>
      </c>
      <c r="C103" s="18">
        <v>8613</v>
      </c>
      <c r="D103" s="233">
        <v>17459</v>
      </c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230" t="s">
        <v>160</v>
      </c>
      <c r="B104" s="187">
        <v>84</v>
      </c>
      <c r="C104" s="18">
        <v>8717</v>
      </c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91" t="s">
        <v>13</v>
      </c>
      <c r="B105" s="188">
        <v>167</v>
      </c>
      <c r="C105" s="32">
        <v>17330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3.5">
      <c r="A106" s="189" t="s">
        <v>14</v>
      </c>
      <c r="B106" s="34">
        <v>103.77</v>
      </c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1"/>
      <c r="B107" s="1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1"/>
      <c r="B108" s="1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35"/>
      <c r="B109" s="36"/>
      <c r="C109" s="37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1"/>
    </row>
    <row r="110" spans="1:26" ht="14.5">
      <c r="A110" s="1"/>
      <c r="B110" s="1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80" t="s">
        <v>102</v>
      </c>
      <c r="B111" s="12"/>
      <c r="C111" s="3"/>
      <c r="D111" s="181">
        <v>8118130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182" t="s">
        <v>2</v>
      </c>
      <c r="B112" s="8">
        <v>5.0000000000000001E-3</v>
      </c>
      <c r="C112" s="3"/>
      <c r="D112" s="191">
        <v>40590.65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"/>
      <c r="B113" s="7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80" t="s">
        <v>5</v>
      </c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46" t="s">
        <v>34</v>
      </c>
      <c r="B115" s="183">
        <v>78</v>
      </c>
      <c r="C115" s="18">
        <v>8398</v>
      </c>
      <c r="D115" s="235">
        <v>15388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84" t="s">
        <v>103</v>
      </c>
      <c r="B116" s="183">
        <v>76</v>
      </c>
      <c r="C116" s="18">
        <v>8183</v>
      </c>
      <c r="D116" s="130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14" t="s">
        <v>67</v>
      </c>
      <c r="B117" s="183">
        <v>125</v>
      </c>
      <c r="C117" s="18">
        <v>13458</v>
      </c>
      <c r="D117" s="130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237" t="s">
        <v>153</v>
      </c>
      <c r="B118" s="183">
        <v>17</v>
      </c>
      <c r="C118" s="18">
        <v>1830</v>
      </c>
      <c r="D118" s="174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230" t="s">
        <v>167</v>
      </c>
      <c r="B119" s="183">
        <v>17</v>
      </c>
      <c r="C119" s="18">
        <v>1830</v>
      </c>
      <c r="D119" s="174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86" t="s">
        <v>166</v>
      </c>
      <c r="B120" s="187">
        <v>64</v>
      </c>
      <c r="C120" s="18">
        <v>6891</v>
      </c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91" t="s">
        <v>13</v>
      </c>
      <c r="B121" s="188">
        <v>377</v>
      </c>
      <c r="C121" s="32">
        <v>40591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3.5">
      <c r="A122" s="189" t="s">
        <v>14</v>
      </c>
      <c r="B122" s="34">
        <v>107.67</v>
      </c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1"/>
      <c r="B123" s="1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35"/>
      <c r="B124" s="36"/>
      <c r="C124" s="37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1"/>
    </row>
    <row r="125" spans="1:26" ht="14.5">
      <c r="A125" s="1"/>
      <c r="B125" s="1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80" t="s">
        <v>108</v>
      </c>
      <c r="B126" s="12"/>
      <c r="C126" s="3"/>
      <c r="D126" s="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82" t="s">
        <v>2</v>
      </c>
      <c r="B127" s="8">
        <v>5.0000000000000001E-3</v>
      </c>
      <c r="C127" s="3"/>
      <c r="D127" s="191"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1"/>
      <c r="B128" s="7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80" t="s">
        <v>5</v>
      </c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96"/>
      <c r="B130" s="24"/>
      <c r="C130" s="18" t="e">
        <v>#DIV/0!</v>
      </c>
      <c r="D130" s="13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238"/>
      <c r="B131" s="24"/>
      <c r="C131" s="18" t="e">
        <v>#DIV/0!</v>
      </c>
      <c r="D131" s="174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211"/>
      <c r="B132" s="24"/>
      <c r="C132" s="18" t="e">
        <v>#DIV/0!</v>
      </c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23"/>
      <c r="B133" s="24"/>
      <c r="C133" s="18" t="e">
        <v>#DIV/0!</v>
      </c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91" t="s">
        <v>13</v>
      </c>
      <c r="B134" s="188">
        <v>0</v>
      </c>
      <c r="C134" s="228" t="e">
        <v>#DIV/0!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3.5">
      <c r="A135" s="189" t="s">
        <v>14</v>
      </c>
      <c r="B135" s="34" t="e">
        <v>#DIV/0!</v>
      </c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1"/>
      <c r="B136" s="1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35"/>
      <c r="B137" s="36"/>
      <c r="C137" s="3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1"/>
    </row>
    <row r="138" spans="1:26" ht="14.5">
      <c r="A138" s="1"/>
      <c r="B138" s="1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80" t="s">
        <v>112</v>
      </c>
      <c r="B139" s="12"/>
      <c r="C139" s="3"/>
      <c r="D139" s="181">
        <v>8355187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82" t="s">
        <v>2</v>
      </c>
      <c r="B140" s="8">
        <v>5.0000000000000001E-3</v>
      </c>
      <c r="C140" s="3"/>
      <c r="D140" s="191">
        <v>41775.934999999998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1"/>
      <c r="B141" s="7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80" t="s">
        <v>5</v>
      </c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4" t="s">
        <v>34</v>
      </c>
      <c r="B143" s="183">
        <v>42</v>
      </c>
      <c r="C143" s="18">
        <v>6990</v>
      </c>
      <c r="D143" s="13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84" t="s">
        <v>103</v>
      </c>
      <c r="B144" s="183">
        <v>49</v>
      </c>
      <c r="C144" s="18">
        <v>8155</v>
      </c>
      <c r="D144" s="235">
        <v>16338</v>
      </c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226" t="s">
        <v>166</v>
      </c>
      <c r="B145" s="183">
        <v>61</v>
      </c>
      <c r="C145" s="18">
        <v>10153</v>
      </c>
      <c r="D145" s="17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239" t="s">
        <v>153</v>
      </c>
      <c r="B146" s="183">
        <v>99</v>
      </c>
      <c r="C146" s="18">
        <v>16477</v>
      </c>
      <c r="D146" s="236">
        <v>18308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26"/>
      <c r="B147" s="24"/>
      <c r="C147" s="18">
        <v>0</v>
      </c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26"/>
      <c r="B148" s="24"/>
      <c r="C148" s="18">
        <v>0</v>
      </c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26"/>
      <c r="B149" s="24"/>
      <c r="C149" s="18">
        <v>0</v>
      </c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91" t="s">
        <v>13</v>
      </c>
      <c r="B150" s="188">
        <v>251</v>
      </c>
      <c r="C150" s="32">
        <v>41776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3.5">
      <c r="A151" s="189" t="s">
        <v>14</v>
      </c>
      <c r="B151" s="34">
        <v>166.44</v>
      </c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"/>
      <c r="B152" s="1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08-2025</vt:lpstr>
      <vt:lpstr>09-2025</vt:lpstr>
      <vt:lpstr>10-2025</vt:lpstr>
      <vt:lpstr>11-2025</vt:lpstr>
      <vt:lpstr>12-2025</vt:lpstr>
      <vt:lpstr>01-2026</vt:lpstr>
      <vt:lpstr>02-2026</vt:lpstr>
      <vt:lpstr>03-2026</vt:lpstr>
      <vt:lpstr>04-2026</vt:lpstr>
      <vt:lpstr>05-2026</vt:lpstr>
      <vt:lpstr>06-2026</vt:lpstr>
      <vt:lpstr>07-2026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2026-08-20T16:03:07Z</dcterms:modified>
</cp:coreProperties>
</file>