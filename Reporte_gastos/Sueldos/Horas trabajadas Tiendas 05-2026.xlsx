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" sheetId="1" r:id="rId5"/>
  </sheets>
  <definedNames>
    <definedName hidden="1" localSheetId="0" name="_xlnm._FilterDatabase">LC!$A$1:$AA$35</definedName>
  </definedNames>
  <calcPr/>
</workbook>
</file>

<file path=xl/sharedStrings.xml><?xml version="1.0" encoding="utf-8"?>
<sst xmlns="http://schemas.openxmlformats.org/spreadsheetml/2006/main" count="101" uniqueCount="73">
  <si>
    <t>Legajo</t>
  </si>
  <si>
    <t>Empleado</t>
  </si>
  <si>
    <t>Hs totales</t>
  </si>
  <si>
    <t>Hs trabajadas</t>
  </si>
  <si>
    <t>Hs feriado</t>
  </si>
  <si>
    <t>Hs de vacaciones</t>
  </si>
  <si>
    <t>Hs nocturnas</t>
  </si>
  <si>
    <t>Licencias pagas</t>
  </si>
  <si>
    <t>HS injustificados</t>
  </si>
  <si>
    <t>Tienda asignada este mes</t>
  </si>
  <si>
    <t>Observaciones</t>
  </si>
  <si>
    <t>Fin de período de prueba</t>
  </si>
  <si>
    <t xml:space="preserve">Urbieta Barbara Giselle </t>
  </si>
  <si>
    <t>Lucero Florida</t>
  </si>
  <si>
    <t xml:space="preserve">1 feriado no trabajado. 1 dia lic medica. </t>
  </si>
  <si>
    <t>Ruiz de la Torre Maitena</t>
  </si>
  <si>
    <t>Lucero Recoleta</t>
  </si>
  <si>
    <t>1 feriado no trabajado. 45 hs en recoleta y 75 hs en florida inclusive feriado.</t>
  </si>
  <si>
    <t>Imperiale Candela</t>
  </si>
  <si>
    <t>1 feriado no trabajado</t>
  </si>
  <si>
    <t>Cabovianco Natalia</t>
  </si>
  <si>
    <t>AS San Telmo</t>
  </si>
  <si>
    <t>Carrizo Camila</t>
  </si>
  <si>
    <t>Esposito Candela</t>
  </si>
  <si>
    <t>Lucero ST1</t>
  </si>
  <si>
    <t>1 feriado no trabajado- 4hs licencia por enfermedad</t>
  </si>
  <si>
    <t>Barajas Barbara</t>
  </si>
  <si>
    <t>2 feriados no trabajados. 13 Dias de licencia sin goce de sueldo.</t>
  </si>
  <si>
    <t>Lara Robbio</t>
  </si>
  <si>
    <t>1 feriado no trabajado- 4hs dia de estudio-4hs de dia de enfermedad</t>
  </si>
  <si>
    <t>Molina Agustina</t>
  </si>
  <si>
    <t>1 feriano no trabajado</t>
  </si>
  <si>
    <t>CORONEL Mailen</t>
  </si>
  <si>
    <t>Lucero Güemes</t>
  </si>
  <si>
    <t>1 feriado no trabajado. 21 hs en Recoleta (con feriado) , 12 hs en Florida, 95 en Guemes . 1 dia lic x examen.</t>
  </si>
  <si>
    <t>Gimenez Candela</t>
  </si>
  <si>
    <t>El Solar</t>
  </si>
  <si>
    <t>1 feriado no trabajado. 1 dia x examen</t>
  </si>
  <si>
    <t>Oliva Micaela</t>
  </si>
  <si>
    <t>Bertolo Milagros</t>
  </si>
  <si>
    <t>Lucero French</t>
  </si>
  <si>
    <t xml:space="preserve">Machuca Araceli </t>
  </si>
  <si>
    <t>1 feriado no trabajado- 8 hs dia de estudio</t>
  </si>
  <si>
    <t>Scholler Chavez Ruth</t>
  </si>
  <si>
    <t>Lucero ST2</t>
  </si>
  <si>
    <t>paso a Lucero 2 en Mayo.1 feriado no trabajado. De las horas normales 49hs en French, 57hs en Lucero 2. El feriado es en Lucero 2</t>
  </si>
  <si>
    <t>Gisela Bonino</t>
  </si>
  <si>
    <t>Schiavone Fiona Ludmila</t>
  </si>
  <si>
    <t xml:space="preserve">1 feriado no trabajado. 55 hs en Solar (con feriado)  y 68 hs en Guemes 2 </t>
  </si>
  <si>
    <t>Giordano Carolina Inez</t>
  </si>
  <si>
    <t>1 feriado no trabajado. de las horas normales 90hs en Lucero 1 y 12 hs en French</t>
  </si>
  <si>
    <t>Ochoa Duran Thalia</t>
  </si>
  <si>
    <t>2  feriados no trabajados. 1 dia x examen. 9 horas en Guemes 2 y 109 hs en Solar.</t>
  </si>
  <si>
    <t>Pavez Anahi</t>
  </si>
  <si>
    <t>Cardoso Trinidad</t>
  </si>
  <si>
    <t>Desvinculada el dia 7-5</t>
  </si>
  <si>
    <t>Federica Figueroa</t>
  </si>
  <si>
    <t>2 feriados no trabajados. 3 dias de licencia medica. 69 hs en Recoleta y 37 hs en Florida. Baja 29/05</t>
  </si>
  <si>
    <t>Johanna Gil Marquez</t>
  </si>
  <si>
    <t>2 feriados no trabajados- 8hs licencia por mudanza</t>
  </si>
  <si>
    <t>Gimenes Ayala Noelia</t>
  </si>
  <si>
    <t>2 feriados no trabajados</t>
  </si>
  <si>
    <t>Carolina Rivulgo</t>
  </si>
  <si>
    <t>Lucero Güemes 2</t>
  </si>
  <si>
    <t>1 Feriado no trabajado. 79 hs en guemes 2, 12 hs en Solar ( con feriado) y 18 hs en Guemes 1. 2 dias de licencia medica.</t>
  </si>
  <si>
    <t xml:space="preserve">Frade Sofia </t>
  </si>
  <si>
    <t>Ariganello Melina</t>
  </si>
  <si>
    <t>1 feriado no trabajado. 61 hs en Solar, 16 hs en Guemes 2. Ingreso 11/05</t>
  </si>
  <si>
    <t>Hernandez Guerrero Helen Siloe</t>
  </si>
  <si>
    <t>1 feriado no trabajado. 65 hs en Solar y 17 hs en Guemes 2. Ingreso 11/05</t>
  </si>
  <si>
    <t>Nayla Rotela</t>
  </si>
  <si>
    <t>1 feriado no trabajado Ingreso 19/05</t>
  </si>
  <si>
    <t>Eredia Cintia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</si>
</sst>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&quot;/&quot;yyyy"/>
    <numFmt numFmtId="165" formatCode="dd/mm/yyyy"/>
    <numFmt numFmtId="166" formatCode="d/m/yyyy"/>
  </numFmts>
  <fonts count="6">
    <font>
      <sz val="11.0"/>
      <color theme="1"/>
      <name val="Calibri"/>
      <scheme val="minor"/>
    </font>
    <font>
      <sz val="10.0"/>
      <color rgb="FFFFFFFF"/>
      <name val="Calibri"/>
    </font>
    <font>
      <b/>
      <sz val="10.0"/>
      <color rgb="FFFFFFFF"/>
      <name val="Calibri"/>
    </font>
    <font>
      <sz val="10.0"/>
      <color theme="1"/>
      <name val="Calibri"/>
    </font>
    <font>
      <b/>
      <sz val="10.0"/>
      <color theme="1"/>
      <name val="Calibri"/>
    </font>
    <font>
      <sz val="10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2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1" fillId="3" fontId="4" numFmtId="0" xfId="0" applyAlignment="1" applyBorder="1" applyFill="1" applyFont="1">
      <alignment horizontal="center" vertical="bottom"/>
    </xf>
    <xf borderId="1" fillId="4" fontId="3" numFmtId="0" xfId="0" applyAlignment="1" applyBorder="1" applyFill="1" applyFont="1">
      <alignment vertical="bottom"/>
    </xf>
    <xf borderId="1" fillId="5" fontId="4" numFmtId="2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6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1" fillId="6" fontId="3" numFmtId="164" xfId="0" applyAlignment="1" applyBorder="1" applyFont="1" applyNumberFormat="1">
      <alignment vertical="bottom"/>
    </xf>
    <xf borderId="0" fillId="3" fontId="4" numFmtId="0" xfId="0" applyAlignment="1" applyFont="1">
      <alignment horizontal="center" vertical="bottom"/>
    </xf>
    <xf borderId="1" fillId="4" fontId="3" numFmtId="49" xfId="0" applyAlignment="1" applyBorder="1" applyFont="1" applyNumberFormat="1">
      <alignment vertical="bottom"/>
    </xf>
    <xf borderId="1" fillId="0" fontId="3" numFmtId="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/>
    </xf>
    <xf borderId="1" fillId="0" fontId="3" numFmtId="49" xfId="0" applyAlignment="1" applyBorder="1" applyFont="1" applyNumberFormat="1">
      <alignment horizontal="center" readingOrder="0" vertical="bottom"/>
    </xf>
    <xf borderId="1" fillId="0" fontId="3" numFmtId="49" xfId="0" applyAlignment="1" applyBorder="1" applyFont="1" applyNumberForma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horizontal="center" vertical="bottom"/>
    </xf>
    <xf borderId="1" fillId="0" fontId="5" numFmtId="49" xfId="0" applyAlignment="1" applyBorder="1" applyFont="1" applyNumberFormat="1">
      <alignment vertical="bottom"/>
    </xf>
    <xf borderId="1" fillId="0" fontId="5" numFmtId="0" xfId="0" applyAlignment="1" applyBorder="1" applyFont="1">
      <alignment readingOrder="0"/>
    </xf>
    <xf borderId="1" fillId="6" fontId="3" numFmtId="49" xfId="0" applyAlignment="1" applyBorder="1" applyFont="1" applyNumberFormat="1">
      <alignment vertical="bottom"/>
    </xf>
    <xf borderId="0" fillId="0" fontId="3" numFmtId="0" xfId="0" applyFont="1"/>
    <xf borderId="1" fillId="7" fontId="4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2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1" fillId="6" fontId="4" numFmtId="0" xfId="0" applyAlignment="1" applyBorder="1" applyFont="1">
      <alignment horizontal="center" readingOrder="0"/>
    </xf>
    <xf borderId="1" fillId="0" fontId="5" numFmtId="0" xfId="0" applyBorder="1" applyFont="1"/>
    <xf borderId="1" fillId="0" fontId="3" numFmtId="2" xfId="0" applyBorder="1" applyFont="1" applyNumberFormat="1"/>
    <xf borderId="1" fillId="0" fontId="1" numFmtId="164" xfId="0" applyAlignment="1" applyBorder="1" applyFont="1" applyNumberForma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3" numFmtId="166" xfId="0" applyAlignment="1" applyFont="1" applyNumberFormat="1">
      <alignment readingOrder="0" vertical="bottom"/>
    </xf>
    <xf borderId="1" fillId="0" fontId="3" numFmtId="4" xfId="0" applyAlignment="1" applyBorder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3" numFmtId="2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57"/>
    <col customWidth="1" min="2" max="2" width="25.14"/>
    <col customWidth="1" min="3" max="3" width="11.29"/>
    <col customWidth="1" min="4" max="4" width="9.71"/>
    <col customWidth="1" min="5" max="5" width="10.14"/>
    <col customWidth="1" min="6" max="6" width="9.86"/>
    <col hidden="1" min="7" max="7" width="14.43"/>
    <col customWidth="1" min="8" max="8" width="10.57"/>
    <col customWidth="1" min="10" max="10" width="17.14"/>
    <col customWidth="1" min="11" max="11" width="10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>
        <v>2.0</v>
      </c>
      <c r="B2" s="7" t="s">
        <v>12</v>
      </c>
      <c r="C2" s="8">
        <f t="shared" ref="C2:C34" si="1">SUM(D2:I2)</f>
        <v>8</v>
      </c>
      <c r="D2" s="9"/>
      <c r="E2" s="9"/>
      <c r="F2" s="10"/>
      <c r="G2" s="10"/>
      <c r="H2" s="9">
        <v>8.0</v>
      </c>
      <c r="I2" s="10"/>
      <c r="J2" s="11" t="s">
        <v>13</v>
      </c>
      <c r="K2" s="9" t="s">
        <v>14</v>
      </c>
      <c r="L2" s="1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5">
        <v>3.0</v>
      </c>
      <c r="B3" s="10" t="s">
        <v>15</v>
      </c>
      <c r="C3" s="8">
        <f t="shared" si="1"/>
        <v>120</v>
      </c>
      <c r="D3" s="9">
        <v>116.0</v>
      </c>
      <c r="E3" s="9">
        <v>4.0</v>
      </c>
      <c r="F3" s="9"/>
      <c r="G3" s="10"/>
      <c r="H3" s="9"/>
      <c r="I3" s="10"/>
      <c r="J3" s="11" t="s">
        <v>16</v>
      </c>
      <c r="K3" s="9" t="s">
        <v>17</v>
      </c>
      <c r="L3" s="12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6">
        <v>4.0</v>
      </c>
      <c r="B4" s="10" t="s">
        <v>18</v>
      </c>
      <c r="C4" s="8">
        <f t="shared" si="1"/>
        <v>132</v>
      </c>
      <c r="D4" s="9">
        <v>126.0</v>
      </c>
      <c r="E4" s="9">
        <v>6.0</v>
      </c>
      <c r="F4" s="10"/>
      <c r="G4" s="10"/>
      <c r="H4" s="9"/>
      <c r="I4" s="10"/>
      <c r="J4" s="11" t="s">
        <v>13</v>
      </c>
      <c r="K4" s="9" t="s">
        <v>19</v>
      </c>
      <c r="L4" s="17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8">
        <v>9.0</v>
      </c>
      <c r="B5" s="19" t="s">
        <v>20</v>
      </c>
      <c r="C5" s="8">
        <f t="shared" si="1"/>
        <v>8</v>
      </c>
      <c r="D5" s="20"/>
      <c r="E5" s="21">
        <v>8.0</v>
      </c>
      <c r="F5" s="9"/>
      <c r="G5" s="10"/>
      <c r="H5" s="10"/>
      <c r="I5" s="10"/>
      <c r="J5" s="22" t="s">
        <v>21</v>
      </c>
      <c r="K5" s="9" t="s">
        <v>19</v>
      </c>
      <c r="L5" s="12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6">
        <v>10.0</v>
      </c>
      <c r="B6" s="23" t="s">
        <v>22</v>
      </c>
      <c r="C6" s="8">
        <f t="shared" si="1"/>
        <v>104</v>
      </c>
      <c r="D6" s="20">
        <v>100.0</v>
      </c>
      <c r="E6" s="21">
        <v>4.0</v>
      </c>
      <c r="F6" s="9"/>
      <c r="G6" s="10"/>
      <c r="H6" s="9"/>
      <c r="I6" s="10"/>
      <c r="J6" s="22" t="s">
        <v>21</v>
      </c>
      <c r="K6" s="9" t="s">
        <v>19</v>
      </c>
      <c r="L6" s="12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6">
        <v>11.0</v>
      </c>
      <c r="B7" s="23" t="s">
        <v>23</v>
      </c>
      <c r="C7" s="8">
        <f t="shared" si="1"/>
        <v>112</v>
      </c>
      <c r="D7" s="20">
        <v>104.0</v>
      </c>
      <c r="E7" s="21">
        <v>4.0</v>
      </c>
      <c r="F7" s="9"/>
      <c r="G7" s="10"/>
      <c r="H7" s="9">
        <v>4.0</v>
      </c>
      <c r="I7" s="9"/>
      <c r="J7" s="22" t="s">
        <v>24</v>
      </c>
      <c r="K7" s="9" t="s">
        <v>25</v>
      </c>
      <c r="L7" s="12"/>
      <c r="M7" s="2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6">
        <v>12.0</v>
      </c>
      <c r="B8" s="23" t="s">
        <v>26</v>
      </c>
      <c r="C8" s="8">
        <f t="shared" si="1"/>
        <v>121</v>
      </c>
      <c r="D8" s="20">
        <v>69.0</v>
      </c>
      <c r="E8" s="21"/>
      <c r="F8" s="9"/>
      <c r="G8" s="10"/>
      <c r="H8" s="9"/>
      <c r="I8" s="25">
        <v>52.0</v>
      </c>
      <c r="J8" s="22" t="s">
        <v>16</v>
      </c>
      <c r="K8" s="9" t="s">
        <v>27</v>
      </c>
      <c r="L8" s="12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26">
        <v>14.0</v>
      </c>
      <c r="B9" s="27" t="s">
        <v>28</v>
      </c>
      <c r="C9" s="8">
        <f t="shared" si="1"/>
        <v>107</v>
      </c>
      <c r="D9" s="20">
        <v>95.0</v>
      </c>
      <c r="E9" s="21">
        <v>4.0</v>
      </c>
      <c r="F9" s="9"/>
      <c r="G9" s="10"/>
      <c r="H9" s="9">
        <v>8.0</v>
      </c>
      <c r="I9" s="10"/>
      <c r="J9" s="22" t="s">
        <v>24</v>
      </c>
      <c r="K9" s="28" t="s">
        <v>29</v>
      </c>
      <c r="L9" s="12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26">
        <v>15.0</v>
      </c>
      <c r="B10" s="23" t="s">
        <v>30</v>
      </c>
      <c r="C10" s="8">
        <f t="shared" si="1"/>
        <v>100</v>
      </c>
      <c r="D10" s="20">
        <v>96.0</v>
      </c>
      <c r="E10" s="21">
        <v>4.0</v>
      </c>
      <c r="F10" s="9"/>
      <c r="G10" s="10"/>
      <c r="H10" s="9"/>
      <c r="I10" s="10"/>
      <c r="J10" s="22" t="s">
        <v>21</v>
      </c>
      <c r="K10" s="9" t="s">
        <v>31</v>
      </c>
      <c r="L10" s="12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26">
        <v>18.0</v>
      </c>
      <c r="B11" s="23" t="s">
        <v>32</v>
      </c>
      <c r="C11" s="8">
        <f t="shared" si="1"/>
        <v>132</v>
      </c>
      <c r="D11" s="20">
        <v>122.0</v>
      </c>
      <c r="E11" s="21">
        <v>6.0</v>
      </c>
      <c r="F11" s="9"/>
      <c r="G11" s="10"/>
      <c r="H11" s="9">
        <v>4.0</v>
      </c>
      <c r="I11" s="10"/>
      <c r="J11" s="11" t="s">
        <v>33</v>
      </c>
      <c r="K11" s="9" t="s">
        <v>34</v>
      </c>
      <c r="L11" s="12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26">
        <v>19.0</v>
      </c>
      <c r="B12" s="23" t="s">
        <v>35</v>
      </c>
      <c r="C12" s="8">
        <f t="shared" si="1"/>
        <v>124</v>
      </c>
      <c r="D12" s="20">
        <v>114.0</v>
      </c>
      <c r="E12" s="21">
        <v>6.0</v>
      </c>
      <c r="F12" s="10"/>
      <c r="G12" s="10"/>
      <c r="H12" s="9">
        <v>4.0</v>
      </c>
      <c r="I12" s="10"/>
      <c r="J12" s="22" t="s">
        <v>36</v>
      </c>
      <c r="K12" s="28" t="s">
        <v>37</v>
      </c>
      <c r="L12" s="12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26">
        <v>20.0</v>
      </c>
      <c r="B13" s="29" t="s">
        <v>38</v>
      </c>
      <c r="C13" s="8">
        <f t="shared" si="1"/>
        <v>132</v>
      </c>
      <c r="D13" s="20">
        <v>126.0</v>
      </c>
      <c r="E13" s="21">
        <v>6.0</v>
      </c>
      <c r="F13" s="10"/>
      <c r="G13" s="10"/>
      <c r="H13" s="9"/>
      <c r="I13" s="10"/>
      <c r="J13" s="22" t="s">
        <v>16</v>
      </c>
      <c r="K13" s="28" t="s">
        <v>19</v>
      </c>
      <c r="L13" s="12"/>
      <c r="M13" s="14"/>
      <c r="N13" s="30"/>
      <c r="O13" s="30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31">
        <v>27.0</v>
      </c>
      <c r="B14" s="32" t="s">
        <v>39</v>
      </c>
      <c r="C14" s="8">
        <f t="shared" si="1"/>
        <v>113</v>
      </c>
      <c r="D14" s="21">
        <v>108.0</v>
      </c>
      <c r="E14" s="33">
        <v>5.0</v>
      </c>
      <c r="F14" s="21"/>
      <c r="G14" s="32"/>
      <c r="H14" s="21"/>
      <c r="I14" s="32"/>
      <c r="J14" s="34" t="s">
        <v>40</v>
      </c>
      <c r="K14" s="28" t="s">
        <v>19</v>
      </c>
      <c r="L14" s="12"/>
      <c r="M14" s="14"/>
      <c r="N14" s="30"/>
      <c r="O14" s="30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35">
        <v>28.0</v>
      </c>
      <c r="B15" s="21" t="s">
        <v>41</v>
      </c>
      <c r="C15" s="8">
        <f t="shared" si="1"/>
        <v>113</v>
      </c>
      <c r="D15" s="21">
        <v>100.0</v>
      </c>
      <c r="E15" s="33">
        <v>5.0</v>
      </c>
      <c r="F15" s="28"/>
      <c r="G15" s="36"/>
      <c r="H15" s="28">
        <v>8.0</v>
      </c>
      <c r="I15" s="28"/>
      <c r="J15" s="34" t="s">
        <v>40</v>
      </c>
      <c r="K15" s="28" t="s">
        <v>42</v>
      </c>
      <c r="L15" s="12"/>
      <c r="M15" s="14"/>
      <c r="N15" s="30"/>
      <c r="O15" s="30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35">
        <v>29.0</v>
      </c>
      <c r="B16" s="21" t="s">
        <v>43</v>
      </c>
      <c r="C16" s="8">
        <f t="shared" si="1"/>
        <v>112</v>
      </c>
      <c r="D16" s="33">
        <v>106.0</v>
      </c>
      <c r="E16" s="33">
        <v>6.0</v>
      </c>
      <c r="F16" s="33"/>
      <c r="G16" s="37"/>
      <c r="H16" s="33"/>
      <c r="I16" s="37"/>
      <c r="J16" s="34" t="s">
        <v>44</v>
      </c>
      <c r="K16" s="28" t="s">
        <v>45</v>
      </c>
      <c r="L16" s="38">
        <v>45991.0</v>
      </c>
      <c r="M16" s="14"/>
      <c r="N16" s="24"/>
      <c r="O16" s="39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35">
        <v>31.0</v>
      </c>
      <c r="B17" s="9" t="s">
        <v>46</v>
      </c>
      <c r="C17" s="8">
        <f t="shared" si="1"/>
        <v>110</v>
      </c>
      <c r="D17" s="9">
        <v>104.0</v>
      </c>
      <c r="E17" s="9">
        <v>6.0</v>
      </c>
      <c r="F17" s="9"/>
      <c r="G17" s="10"/>
      <c r="H17" s="9"/>
      <c r="I17" s="9"/>
      <c r="J17" s="34" t="s">
        <v>44</v>
      </c>
      <c r="K17" s="28" t="s">
        <v>19</v>
      </c>
      <c r="L17" s="38">
        <v>46015.0</v>
      </c>
      <c r="M17" s="14"/>
      <c r="N17" s="24"/>
      <c r="O17" s="40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35">
        <v>36.0</v>
      </c>
      <c r="B18" s="23" t="s">
        <v>47</v>
      </c>
      <c r="C18" s="8">
        <f t="shared" si="1"/>
        <v>123</v>
      </c>
      <c r="D18" s="41">
        <v>119.0</v>
      </c>
      <c r="E18" s="21">
        <v>4.0</v>
      </c>
      <c r="F18" s="9"/>
      <c r="G18" s="10"/>
      <c r="H18" s="10"/>
      <c r="I18" s="10"/>
      <c r="J18" s="22" t="s">
        <v>36</v>
      </c>
      <c r="K18" s="9" t="s">
        <v>48</v>
      </c>
      <c r="L18" s="38">
        <v>46033.0</v>
      </c>
      <c r="M18" s="14"/>
      <c r="N18" s="24"/>
      <c r="O18" s="40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35">
        <v>39.0</v>
      </c>
      <c r="B19" s="23" t="s">
        <v>49</v>
      </c>
      <c r="C19" s="8">
        <f t="shared" si="1"/>
        <v>106</v>
      </c>
      <c r="D19" s="21">
        <v>102.0</v>
      </c>
      <c r="E19" s="33">
        <v>4.0</v>
      </c>
      <c r="F19" s="28"/>
      <c r="G19" s="36"/>
      <c r="H19" s="28"/>
      <c r="I19" s="28"/>
      <c r="J19" s="34" t="s">
        <v>24</v>
      </c>
      <c r="K19" s="28" t="s">
        <v>50</v>
      </c>
      <c r="L19" s="38">
        <v>46034.0</v>
      </c>
      <c r="M19" s="14"/>
      <c r="N19" s="24"/>
      <c r="O19" s="39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35">
        <v>41.0</v>
      </c>
      <c r="B20" s="23" t="s">
        <v>51</v>
      </c>
      <c r="C20" s="8">
        <f t="shared" si="1"/>
        <v>122</v>
      </c>
      <c r="D20" s="33">
        <v>118.0</v>
      </c>
      <c r="E20" s="33"/>
      <c r="F20" s="33"/>
      <c r="G20" s="37"/>
      <c r="H20" s="33">
        <v>4.0</v>
      </c>
      <c r="I20" s="37"/>
      <c r="J20" s="22" t="s">
        <v>36</v>
      </c>
      <c r="K20" s="42" t="s">
        <v>52</v>
      </c>
      <c r="L20" s="38">
        <v>46042.0</v>
      </c>
      <c r="M20" s="14"/>
      <c r="N20" s="24"/>
      <c r="O20" s="40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35">
        <v>42.0</v>
      </c>
      <c r="B21" s="23" t="s">
        <v>53</v>
      </c>
      <c r="C21" s="8">
        <f t="shared" si="1"/>
        <v>125</v>
      </c>
      <c r="D21" s="9">
        <v>121.0</v>
      </c>
      <c r="E21" s="9">
        <v>4.0</v>
      </c>
      <c r="F21" s="10"/>
      <c r="G21" s="10"/>
      <c r="H21" s="10"/>
      <c r="I21" s="10"/>
      <c r="J21" s="11" t="s">
        <v>13</v>
      </c>
      <c r="K21" s="28" t="s">
        <v>19</v>
      </c>
      <c r="L21" s="17"/>
      <c r="M21" s="14"/>
      <c r="N21" s="24"/>
      <c r="O21" s="40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35">
        <v>44.0</v>
      </c>
      <c r="B22" s="23" t="s">
        <v>54</v>
      </c>
      <c r="C22" s="8">
        <f t="shared" si="1"/>
        <v>20</v>
      </c>
      <c r="D22" s="9">
        <v>20.0</v>
      </c>
      <c r="E22" s="9"/>
      <c r="F22" s="10"/>
      <c r="G22" s="10"/>
      <c r="H22" s="9"/>
      <c r="I22" s="10"/>
      <c r="J22" s="11" t="s">
        <v>13</v>
      </c>
      <c r="K22" s="9" t="s">
        <v>55</v>
      </c>
      <c r="L22" s="17"/>
      <c r="M22" s="14"/>
      <c r="N22" s="24"/>
      <c r="O22" s="40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43">
        <v>47.0</v>
      </c>
      <c r="B23" s="9" t="s">
        <v>56</v>
      </c>
      <c r="C23" s="8">
        <f t="shared" si="1"/>
        <v>118</v>
      </c>
      <c r="D23" s="9">
        <v>106.0</v>
      </c>
      <c r="E23" s="9"/>
      <c r="F23" s="10"/>
      <c r="G23" s="10"/>
      <c r="H23" s="9">
        <v>12.0</v>
      </c>
      <c r="I23" s="10"/>
      <c r="J23" s="11" t="s">
        <v>13</v>
      </c>
      <c r="K23" s="9" t="s">
        <v>57</v>
      </c>
      <c r="L23" s="38">
        <v>46082.0</v>
      </c>
      <c r="M23" s="14"/>
      <c r="N23" s="2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43">
        <v>49.0</v>
      </c>
      <c r="B24" s="9" t="s">
        <v>58</v>
      </c>
      <c r="C24" s="8">
        <f t="shared" si="1"/>
        <v>102</v>
      </c>
      <c r="D24" s="9">
        <v>94.0</v>
      </c>
      <c r="E24" s="9"/>
      <c r="F24" s="9"/>
      <c r="G24" s="10"/>
      <c r="H24" s="9">
        <v>8.0</v>
      </c>
      <c r="I24" s="10"/>
      <c r="J24" s="22" t="s">
        <v>44</v>
      </c>
      <c r="K24" s="9" t="s">
        <v>59</v>
      </c>
      <c r="L24" s="38">
        <v>46107.0</v>
      </c>
      <c r="M24" s="14"/>
      <c r="N24" s="24"/>
      <c r="O24" s="40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43">
        <v>52.0</v>
      </c>
      <c r="B25" s="9" t="s">
        <v>60</v>
      </c>
      <c r="C25" s="8">
        <f t="shared" si="1"/>
        <v>89</v>
      </c>
      <c r="D25" s="9">
        <v>89.0</v>
      </c>
      <c r="E25" s="9"/>
      <c r="F25" s="10"/>
      <c r="G25" s="10"/>
      <c r="H25" s="10"/>
      <c r="I25" s="10"/>
      <c r="J25" s="22" t="s">
        <v>21</v>
      </c>
      <c r="K25" s="9" t="s">
        <v>61</v>
      </c>
      <c r="L25" s="38">
        <v>46114.0</v>
      </c>
      <c r="M25" s="14"/>
      <c r="N25" s="2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43">
        <v>54.0</v>
      </c>
      <c r="B26" s="9" t="s">
        <v>62</v>
      </c>
      <c r="C26" s="8">
        <f t="shared" si="1"/>
        <v>117</v>
      </c>
      <c r="D26" s="9">
        <v>105.0</v>
      </c>
      <c r="E26" s="9">
        <v>4.0</v>
      </c>
      <c r="F26" s="10"/>
      <c r="G26" s="10"/>
      <c r="H26" s="9">
        <v>8.0</v>
      </c>
      <c r="I26" s="10"/>
      <c r="J26" s="11" t="s">
        <v>63</v>
      </c>
      <c r="K26" s="9" t="s">
        <v>64</v>
      </c>
      <c r="L26" s="44">
        <v>46204.0</v>
      </c>
      <c r="M26" s="14"/>
      <c r="N26" s="2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43">
        <v>58.0</v>
      </c>
      <c r="B27" s="9" t="s">
        <v>65</v>
      </c>
      <c r="C27" s="8">
        <f t="shared" si="1"/>
        <v>115</v>
      </c>
      <c r="D27" s="9">
        <v>111.0</v>
      </c>
      <c r="E27" s="9">
        <v>4.0</v>
      </c>
      <c r="F27" s="10"/>
      <c r="G27" s="10"/>
      <c r="H27" s="10"/>
      <c r="I27" s="10"/>
      <c r="J27" s="45" t="s">
        <v>13</v>
      </c>
      <c r="K27" s="28" t="s">
        <v>19</v>
      </c>
      <c r="L27" s="44">
        <v>46231.0</v>
      </c>
      <c r="M27" s="14"/>
      <c r="N27" s="2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43">
        <v>59.0</v>
      </c>
      <c r="B28" s="9" t="s">
        <v>66</v>
      </c>
      <c r="C28" s="8">
        <f t="shared" si="1"/>
        <v>77</v>
      </c>
      <c r="D28" s="9">
        <v>77.0</v>
      </c>
      <c r="E28" s="9"/>
      <c r="F28" s="10"/>
      <c r="G28" s="10"/>
      <c r="H28" s="10"/>
      <c r="I28" s="10"/>
      <c r="J28" s="22" t="s">
        <v>36</v>
      </c>
      <c r="K28" s="9" t="s">
        <v>67</v>
      </c>
      <c r="L28" s="12"/>
      <c r="M28" s="14"/>
      <c r="N28" s="2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43">
        <v>60.0</v>
      </c>
      <c r="B29" s="9" t="s">
        <v>68</v>
      </c>
      <c r="C29" s="8">
        <f t="shared" si="1"/>
        <v>82</v>
      </c>
      <c r="D29" s="9">
        <v>82.0</v>
      </c>
      <c r="E29" s="9"/>
      <c r="F29" s="10"/>
      <c r="G29" s="10"/>
      <c r="H29" s="10"/>
      <c r="I29" s="10"/>
      <c r="J29" s="11" t="s">
        <v>63</v>
      </c>
      <c r="K29" s="9" t="s">
        <v>69</v>
      </c>
      <c r="L29" s="12"/>
      <c r="M29" s="14"/>
      <c r="N29" s="2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43">
        <v>61.0</v>
      </c>
      <c r="B30" s="9" t="s">
        <v>70</v>
      </c>
      <c r="C30" s="8">
        <f t="shared" si="1"/>
        <v>53</v>
      </c>
      <c r="D30" s="9">
        <v>53.0</v>
      </c>
      <c r="E30" s="9"/>
      <c r="F30" s="10"/>
      <c r="G30" s="10"/>
      <c r="H30" s="10"/>
      <c r="I30" s="10"/>
      <c r="J30" s="11" t="s">
        <v>13</v>
      </c>
      <c r="K30" s="28" t="s">
        <v>71</v>
      </c>
      <c r="L30" s="12"/>
      <c r="M30" s="14"/>
      <c r="N30" s="2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43"/>
      <c r="B31" s="9"/>
      <c r="C31" s="8">
        <f t="shared" si="1"/>
        <v>0</v>
      </c>
      <c r="D31" s="9"/>
      <c r="E31" s="9"/>
      <c r="F31" s="10"/>
      <c r="G31" s="10"/>
      <c r="H31" s="10"/>
      <c r="I31" s="10"/>
      <c r="J31" s="45"/>
      <c r="K31" s="9"/>
      <c r="L31" s="12"/>
      <c r="M31" s="14"/>
      <c r="N31" s="2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43"/>
      <c r="B32" s="9"/>
      <c r="C32" s="8">
        <f t="shared" si="1"/>
        <v>0</v>
      </c>
      <c r="D32" s="9"/>
      <c r="E32" s="9"/>
      <c r="F32" s="10"/>
      <c r="G32" s="10"/>
      <c r="H32" s="10"/>
      <c r="I32" s="10"/>
      <c r="J32" s="45"/>
      <c r="K32" s="9"/>
      <c r="L32" s="12"/>
      <c r="M32" s="14"/>
      <c r="N32" s="2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43"/>
      <c r="B33" s="9"/>
      <c r="C33" s="8">
        <f t="shared" si="1"/>
        <v>0</v>
      </c>
      <c r="D33" s="9"/>
      <c r="E33" s="9"/>
      <c r="F33" s="10"/>
      <c r="G33" s="10"/>
      <c r="H33" s="10"/>
      <c r="I33" s="10"/>
      <c r="J33" s="45"/>
      <c r="K33" s="9"/>
      <c r="L33" s="12"/>
      <c r="M33" s="14"/>
      <c r="N33" s="2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43"/>
      <c r="B34" s="9" t="s">
        <v>72</v>
      </c>
      <c r="C34" s="8">
        <f t="shared" si="1"/>
        <v>0</v>
      </c>
      <c r="D34" s="9"/>
      <c r="E34" s="9"/>
      <c r="F34" s="10"/>
      <c r="G34" s="10"/>
      <c r="H34" s="10"/>
      <c r="I34" s="10"/>
      <c r="J34" s="45"/>
      <c r="K34" s="9" t="s">
        <v>61</v>
      </c>
      <c r="L34" s="12"/>
      <c r="M34" s="14"/>
      <c r="N34" s="2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4"/>
      <c r="B35" s="14"/>
      <c r="C35" s="46">
        <f t="shared" ref="C35:I35" si="2">SUM(C2:C34)</f>
        <v>2897</v>
      </c>
      <c r="D35" s="14">
        <f t="shared" si="2"/>
        <v>2683</v>
      </c>
      <c r="E35" s="14">
        <f t="shared" si="2"/>
        <v>94</v>
      </c>
      <c r="F35" s="14">
        <f t="shared" si="2"/>
        <v>0</v>
      </c>
      <c r="G35" s="14">
        <f t="shared" si="2"/>
        <v>0</v>
      </c>
      <c r="H35" s="14">
        <f t="shared" si="2"/>
        <v>68</v>
      </c>
      <c r="I35" s="14">
        <f t="shared" si="2"/>
        <v>52</v>
      </c>
      <c r="J35" s="14"/>
      <c r="K35" s="14"/>
      <c r="L35" s="47"/>
      <c r="M35" s="14"/>
      <c r="N35" s="2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47"/>
      <c r="M36" s="14"/>
      <c r="N36" s="2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47"/>
      <c r="M37" s="14"/>
      <c r="N37" s="2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47"/>
      <c r="M38" s="14"/>
      <c r="N38" s="2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47"/>
      <c r="M39" s="14"/>
      <c r="N39" s="2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47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47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47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47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47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47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47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47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47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47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47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47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47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47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47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47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47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47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47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47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47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47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47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47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47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47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47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47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47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47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47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47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47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47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47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47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47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47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47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47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47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47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47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47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47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47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47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47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47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47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47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47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47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47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47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47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47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47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47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47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47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47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47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47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47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47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47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47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47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47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47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47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47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47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47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47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47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47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47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47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47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47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47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47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47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47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47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47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47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47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47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47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47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47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47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47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47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47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47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47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47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47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47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47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47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47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47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47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47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47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47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47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47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47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47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47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47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47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47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47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47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47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47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47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47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47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47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47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47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47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47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47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47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47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47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47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47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47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47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47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47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47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47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47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47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47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47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47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47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47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47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47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47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47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47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47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47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47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47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47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47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47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47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47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47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47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47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47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47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47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47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47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47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47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47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47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47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47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47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47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47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47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47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47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47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47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47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47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47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47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47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47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47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47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47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47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47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47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47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47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47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47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47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47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47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47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47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47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47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47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47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47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47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47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47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47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47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47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47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47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47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47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47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47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47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47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47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47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47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47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47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47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47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47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47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47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47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47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47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47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47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47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47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47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47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47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47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47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47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47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47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47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47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47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47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47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47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47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47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47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47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47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47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47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47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47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47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47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47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47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47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47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47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47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47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47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47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47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47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47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47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47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47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47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47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47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47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47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47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47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47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47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47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47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47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47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47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47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47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47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47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47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47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47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47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47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47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47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47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47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47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47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47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47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47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47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47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47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47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47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47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47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47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47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47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47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47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47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47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47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47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47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47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47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47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47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47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47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47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47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47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47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47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47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47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47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47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47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47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47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47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47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47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47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47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47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47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47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47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47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47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47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47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47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47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47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47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47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47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47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47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47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47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47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47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47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47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47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47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47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47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47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47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47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47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47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47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47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47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47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47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47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47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47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47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47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47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47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47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47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47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47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47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47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47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47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47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47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47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47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47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47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47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47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47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47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47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47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47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47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47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47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47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47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47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47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47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47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47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47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47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47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47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47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47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47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47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47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47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47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47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47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47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47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47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47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47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47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47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47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47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47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47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47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47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47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47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47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47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47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47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47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47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47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47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47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47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47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47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47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47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47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47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47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47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47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47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47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47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47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47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47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47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47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47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47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47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47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47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47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47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47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47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47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47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47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47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47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47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47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47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47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47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47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47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47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47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47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47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47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47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47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47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47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47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47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47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47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47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47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47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47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47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47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47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47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47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47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47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47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47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47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47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47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47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47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47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47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47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47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47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47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47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47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47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47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47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47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47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47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47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47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47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47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47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47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47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47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47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47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47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47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47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47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47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47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47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47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47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47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47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47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47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47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47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47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47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47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47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47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47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47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47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47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47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47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47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47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47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47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47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47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47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47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47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47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47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47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47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47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47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47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47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47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47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47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47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47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47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47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47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47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47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47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47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47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47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47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47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47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47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47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47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47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47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47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47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47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47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47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47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47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47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47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47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47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47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47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47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47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47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47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47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47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47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47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47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47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47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47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47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47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47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47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47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47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47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47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47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47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47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47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47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47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47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47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47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47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47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47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47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47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47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47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47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47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47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47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47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47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47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47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47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47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47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47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47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47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47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47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47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47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47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47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47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47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47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47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47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47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47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47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47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47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47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47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47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47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47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47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47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47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47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47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47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47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47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47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47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47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47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47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47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47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47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47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47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47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47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47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47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47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47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47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47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47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47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47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47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47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47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47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47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47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47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47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47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47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47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47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47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47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47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47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47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47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47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47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47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47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47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47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47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47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47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47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47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47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47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47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47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47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47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47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47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47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47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47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47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47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47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47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47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47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47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47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47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47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47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47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47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47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47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47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47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47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47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47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47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47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47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47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47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47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47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47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47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47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47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47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47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47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47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47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47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47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47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47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47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47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47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47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47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47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47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47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47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47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47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47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47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47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47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47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47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47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47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47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47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47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47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47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47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47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47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47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47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47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47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47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47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47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47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47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47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47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47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47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47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47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47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47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47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47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47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47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47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47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47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47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47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47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47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47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47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47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47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47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47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47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47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47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47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47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47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47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47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47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47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47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47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47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47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47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47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47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47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47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47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47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47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47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47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47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47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47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47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47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47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47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47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47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47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47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47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47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47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47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47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47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47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47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47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47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47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47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47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47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47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47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47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47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47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47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47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47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47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47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47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47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47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47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47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48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48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48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48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48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48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48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48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48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48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48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48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48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48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48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48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48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48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48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48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48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48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48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</row>
    <row r="1006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48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</row>
    <row r="1007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48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</row>
  </sheetData>
  <autoFilter ref="$A$1:$AA$35">
    <sortState ref="A1:AA35">
      <sortCondition ref="A1:A35"/>
      <sortCondition ref="J1:J35"/>
    </sortState>
  </autoFilter>
  <printOptions gridLines="1" horizontalCentered="1"/>
  <pageMargins bottom="0.75" footer="0.0" header="0.0" left="0.7" right="0.7" top="0.75"/>
  <pageSetup paperSize="9" scale="60" cellComments="atEnd" orientation="landscape" pageOrder="overThenDown"/>
  <drawing r:id="rId1"/>
</worksheet>
</file>