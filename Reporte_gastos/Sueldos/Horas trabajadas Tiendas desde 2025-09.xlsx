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Sueldos\"/>
    </mc:Choice>
  </mc:AlternateContent>
  <bookViews>
    <workbookView xWindow="0" yWindow="0" windowWidth="19200" windowHeight="6310"/>
  </bookViews>
  <sheets>
    <sheet name="tabla x hora" sheetId="1" r:id="rId1"/>
    <sheet name="vendedora-tienda" sheetId="3" r:id="rId2"/>
  </sheets>
  <externalReferences>
    <externalReference r:id="rId3"/>
  </externalReferences>
  <definedNames>
    <definedName name="_xlnm._FilterDatabase" localSheetId="0" hidden="1">'tabla x hora'!$A$1:$O$233</definedName>
    <definedName name="_xlnm._FilterDatabase" localSheetId="1" hidden="1">'vendedora-tienda'!$A$1:$F$37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4" i="1" l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06" i="1" l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178" i="1" l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D159" i="1" l="1"/>
  <c r="N147" i="1" l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D128" i="1"/>
  <c r="N128" i="1" s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D99" i="1" l="1"/>
  <c r="N99" i="1" s="1"/>
  <c r="F98" i="1"/>
  <c r="N98" i="1" s="1"/>
  <c r="E95" i="1"/>
  <c r="N95" i="1" s="1"/>
  <c r="F96" i="1"/>
  <c r="E94" i="1"/>
  <c r="N94" i="1" s="1"/>
  <c r="G84" i="1"/>
  <c r="N84" i="1" s="1"/>
  <c r="N85" i="1"/>
  <c r="N86" i="1"/>
  <c r="N87" i="1"/>
  <c r="N88" i="1"/>
  <c r="N89" i="1"/>
  <c r="N90" i="1"/>
  <c r="N91" i="1"/>
  <c r="N92" i="1"/>
  <c r="N93" i="1"/>
  <c r="N96" i="1"/>
  <c r="N97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G83" i="1"/>
  <c r="N83" i="1" s="1"/>
  <c r="N82" i="1" l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O27" i="1" l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26" i="1"/>
  <c r="N46" i="1" l="1"/>
  <c r="N47" i="1"/>
  <c r="N48" i="1"/>
  <c r="N49" i="1"/>
  <c r="N50" i="1"/>
  <c r="N51" i="1"/>
  <c r="N52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26" i="1"/>
  <c r="K20" i="1" l="1"/>
  <c r="I11" i="1"/>
</calcChain>
</file>

<file path=xl/sharedStrings.xml><?xml version="1.0" encoding="utf-8"?>
<sst xmlns="http://schemas.openxmlformats.org/spreadsheetml/2006/main" count="360" uniqueCount="67">
  <si>
    <t>Florida</t>
  </si>
  <si>
    <t>Recoleta</t>
  </si>
  <si>
    <t>French</t>
  </si>
  <si>
    <t>Viña Sofia</t>
  </si>
  <si>
    <t>Ruiz de la Torre Maitena</t>
  </si>
  <si>
    <t>Imperiale Candela</t>
  </si>
  <si>
    <t>Balmaceda Luciana</t>
  </si>
  <si>
    <t>Martina Migueles</t>
  </si>
  <si>
    <t>Carrizo Camila</t>
  </si>
  <si>
    <t>Esposito Candela</t>
  </si>
  <si>
    <t>Barajas Barbara</t>
  </si>
  <si>
    <t>De Brito Rocio</t>
  </si>
  <si>
    <t>Lara Robbio</t>
  </si>
  <si>
    <t>Molina Agustina</t>
  </si>
  <si>
    <t>Kiara Corbalan</t>
  </si>
  <si>
    <t>CORONEL Mailen</t>
  </si>
  <si>
    <t>Gimenez Candela</t>
  </si>
  <si>
    <t>Oliva Micaela</t>
  </si>
  <si>
    <t>Mohamad Daila</t>
  </si>
  <si>
    <t>Bertolo Milagros</t>
  </si>
  <si>
    <t>Scholler Chavez Ruth</t>
  </si>
  <si>
    <t>Villarruel Candela</t>
  </si>
  <si>
    <t>Periodo</t>
  </si>
  <si>
    <t>Empleado</t>
  </si>
  <si>
    <t>Nombre</t>
  </si>
  <si>
    <t xml:space="preserve">Morena Martinez </t>
  </si>
  <si>
    <t xml:space="preserve">Machuca Araceli </t>
  </si>
  <si>
    <t>Anabella Baragatti</t>
  </si>
  <si>
    <t>Gisela Bonino</t>
  </si>
  <si>
    <t>Dana Ramirez</t>
  </si>
  <si>
    <t>HORAS</t>
  </si>
  <si>
    <t>Diaz Dulcinea</t>
  </si>
  <si>
    <t>Schiavone Fiona Ludmila</t>
  </si>
  <si>
    <t>Perazzo Juana</t>
  </si>
  <si>
    <t>Delgado Maria Paz</t>
  </si>
  <si>
    <t>Giordano Carolina Inez</t>
  </si>
  <si>
    <t>Martinez Franzi Lourdes</t>
  </si>
  <si>
    <t>Ochoa Duran Thalia</t>
  </si>
  <si>
    <t>Valor hora</t>
  </si>
  <si>
    <t>Güemes 2</t>
  </si>
  <si>
    <t>AS Güemes</t>
  </si>
  <si>
    <t>Pavez Anahi</t>
  </si>
  <si>
    <t>Ristagno Giovanna</t>
  </si>
  <si>
    <t>Cardoso Trinidad</t>
  </si>
  <si>
    <t>Bogarin Gomez Noelia</t>
  </si>
  <si>
    <t>Machuca Araceli</t>
  </si>
  <si>
    <t>Sayariy Choque</t>
  </si>
  <si>
    <t>Federica Figueroa</t>
  </si>
  <si>
    <t>Johanna Gil Marquez</t>
  </si>
  <si>
    <t>Imperiale Agustina</t>
  </si>
  <si>
    <t>Nicole Leon</t>
  </si>
  <si>
    <t>Gimenes Ayala Noelia</t>
  </si>
  <si>
    <t>Tienda</t>
  </si>
  <si>
    <t>Güemes</t>
  </si>
  <si>
    <t>AS San Telmo</t>
  </si>
  <si>
    <t>San Telmo</t>
  </si>
  <si>
    <t>El Solar</t>
  </si>
  <si>
    <t>San Telmo 2</t>
  </si>
  <si>
    <t>Finalizacion</t>
  </si>
  <si>
    <t>Carolina Rivulgo</t>
  </si>
  <si>
    <t>Benedetti Julieta</t>
  </si>
  <si>
    <t xml:space="preserve">Frade Sofia </t>
  </si>
  <si>
    <t>Fecha_nueva_tienda</t>
  </si>
  <si>
    <t>Nueva_tienda</t>
  </si>
  <si>
    <t>Ariganello Melina</t>
  </si>
  <si>
    <t>Hernandez Guerrero Helen Siloe</t>
  </si>
  <si>
    <t>Nayla Rotela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</si>
</sst>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4" fontId="0" fillId="0" borderId="0" xfId="0" applyNumberFormat="1" applyBorder="1"/>
    <xf numFmtId="0" fontId="0" fillId="0" borderId="0" xfId="0" applyBorder="1"/>
    <xf numFmtId="0" fontId="0" fillId="0" borderId="0" xfId="0" applyFill="1" applyBorder="1"/>
    <xf numFmtId="1" fontId="0" fillId="0" borderId="0" xfId="0" applyNumberFormat="1" applyBorder="1"/>
    <xf numFmtId="164" fontId="0" fillId="0" borderId="0" xfId="1" applyNumberFormat="1" applyFont="1" applyFill="1" applyBorder="1"/>
    <xf numFmtId="1" fontId="0" fillId="0" borderId="0" xfId="0" applyNumberFormat="1" applyFill="1" applyBorder="1"/>
    <xf numFmtId="0" fontId="0" fillId="2" borderId="0" xfId="0" applyFill="1" applyBorder="1"/>
    <xf numFmtId="14" fontId="0" fillId="0" borderId="0" xfId="0" applyNumberFormat="1"/>
    <xf numFmtId="0" fontId="0" fillId="0" borderId="0" xfId="0" applyFill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eldos%20Comercial%20a%202025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eldos LC 10-2025"/>
    </sheetNames>
    <sheetDataSet>
      <sheetData sheetId="0">
        <row r="1">
          <cell r="A1" t="str">
            <v>Legajo</v>
          </cell>
          <cell r="B1" t="str">
            <v>Apellido y Nombre</v>
          </cell>
          <cell r="C1" t="str">
            <v>Periodo</v>
          </cell>
          <cell r="D1" t="str">
            <v>Tienda asignada este mes</v>
          </cell>
          <cell r="E1" t="str">
            <v xml:space="preserve">Horas Totales </v>
          </cell>
          <cell r="F1" t="str">
            <v>Hs Normales (con vacaciones y feriados NO trabajados)</v>
          </cell>
          <cell r="G1" t="str">
            <v>Hs Feriados (Horas)</v>
          </cell>
          <cell r="H1" t="str">
            <v>Feriados No trabajados (Hs)</v>
          </cell>
          <cell r="I1" t="str">
            <v>Licencias justificadas 
(en HORAS)</v>
          </cell>
          <cell r="J1" t="str">
            <v>Plus vacacional</v>
          </cell>
          <cell r="K1" t="str">
            <v>Cant dias vacaciones anticipadas 2025-2026 *</v>
          </cell>
          <cell r="L1" t="str">
            <v>Premios</v>
          </cell>
          <cell r="M1" t="str">
            <v>Sueldo Neto</v>
          </cell>
          <cell r="N1" t="str">
            <v>Sueldo Bruto</v>
          </cell>
          <cell r="O1" t="str">
            <v>Contribuciones + ART</v>
          </cell>
          <cell r="P1" t="str">
            <v>Costo total</v>
          </cell>
          <cell r="Q1" t="str">
            <v>Valor por hora</v>
          </cell>
        </row>
        <row r="2">
          <cell r="A2">
            <v>1</v>
          </cell>
          <cell r="B2" t="str">
            <v>Viña Sofia</v>
          </cell>
          <cell r="C2"/>
          <cell r="D2" t="str">
            <v>LU Florida</v>
          </cell>
          <cell r="E2">
            <v>127</v>
          </cell>
          <cell r="F2">
            <v>122</v>
          </cell>
          <cell r="G2">
            <v>5</v>
          </cell>
          <cell r="H2"/>
          <cell r="I2"/>
          <cell r="J2" t="str">
            <v>NO</v>
          </cell>
          <cell r="K2"/>
          <cell r="L2">
            <v>58953</v>
          </cell>
          <cell r="M2">
            <v>770317</v>
          </cell>
          <cell r="N2">
            <v>950651.34</v>
          </cell>
          <cell r="O2">
            <v>312122.05794999999</v>
          </cell>
          <cell r="P2">
            <v>1262773.3979499999</v>
          </cell>
          <cell r="Q2">
            <v>9943.0976216535419</v>
          </cell>
        </row>
        <row r="3">
          <cell r="A3">
            <v>2</v>
          </cell>
          <cell r="B3" t="str">
            <v>Urbieta Barbara Giselle</v>
          </cell>
          <cell r="C3"/>
          <cell r="D3" t="str">
            <v>LU Florida</v>
          </cell>
          <cell r="E3">
            <v>8</v>
          </cell>
          <cell r="F3"/>
          <cell r="G3">
            <v>8</v>
          </cell>
          <cell r="H3"/>
          <cell r="I3"/>
          <cell r="J3" t="str">
            <v>NO</v>
          </cell>
          <cell r="K3"/>
          <cell r="L3">
            <v>0</v>
          </cell>
          <cell r="M3">
            <v>1040270.99999999</v>
          </cell>
          <cell r="N3">
            <v>1229958.8399999901</v>
          </cell>
          <cell r="O3">
            <v>327272.97771999898</v>
          </cell>
          <cell r="P3">
            <v>1557231.8177199899</v>
          </cell>
          <cell r="Q3"/>
        </row>
        <row r="4">
          <cell r="A4">
            <v>3</v>
          </cell>
          <cell r="B4" t="str">
            <v>Ruiz de la Torre Maitena</v>
          </cell>
          <cell r="C4"/>
          <cell r="D4" t="str">
            <v>LU Florida</v>
          </cell>
          <cell r="E4">
            <v>127</v>
          </cell>
          <cell r="F4">
            <v>122</v>
          </cell>
          <cell r="G4">
            <v>5</v>
          </cell>
          <cell r="H4"/>
          <cell r="I4"/>
          <cell r="J4" t="str">
            <v>NO</v>
          </cell>
          <cell r="K4"/>
          <cell r="L4">
            <v>58904</v>
          </cell>
          <cell r="M4">
            <v>762767</v>
          </cell>
          <cell r="N4">
            <v>941277.62</v>
          </cell>
          <cell r="O4">
            <v>309064.26462999999</v>
          </cell>
          <cell r="P4">
            <v>1250341.88463</v>
          </cell>
          <cell r="Q4">
            <v>9845.2116900000001</v>
          </cell>
        </row>
        <row r="5">
          <cell r="A5">
            <v>4</v>
          </cell>
          <cell r="B5" t="str">
            <v>Imperiale Candela</v>
          </cell>
          <cell r="C5"/>
          <cell r="D5" t="str">
            <v>LU Florida</v>
          </cell>
          <cell r="E5">
            <v>132</v>
          </cell>
          <cell r="F5">
            <v>127</v>
          </cell>
          <cell r="G5">
            <v>5</v>
          </cell>
          <cell r="H5"/>
          <cell r="I5"/>
          <cell r="J5" t="str">
            <v>NO</v>
          </cell>
          <cell r="K5"/>
          <cell r="L5">
            <v>65164</v>
          </cell>
          <cell r="M5">
            <v>795070</v>
          </cell>
          <cell r="N5">
            <v>981491.77</v>
          </cell>
          <cell r="O5">
            <v>322168.95731999999</v>
          </cell>
          <cell r="P5">
            <v>1303660.7273200001</v>
          </cell>
          <cell r="Q5">
            <v>9876.217631212121</v>
          </cell>
        </row>
        <row r="6">
          <cell r="A6">
            <v>5</v>
          </cell>
          <cell r="B6" t="str">
            <v>Balmaceda Luciana</v>
          </cell>
          <cell r="C6"/>
          <cell r="D6" t="str">
            <v>LU Florida</v>
          </cell>
          <cell r="E6">
            <v>0</v>
          </cell>
          <cell r="F6"/>
          <cell r="G6"/>
          <cell r="H6"/>
          <cell r="I6"/>
          <cell r="J6" t="str">
            <v>NO</v>
          </cell>
          <cell r="K6"/>
          <cell r="L6">
            <v>0</v>
          </cell>
          <cell r="M6">
            <v>0</v>
          </cell>
          <cell r="N6">
            <v>0</v>
          </cell>
          <cell r="O6">
            <v>1355</v>
          </cell>
          <cell r="P6">
            <v>1355</v>
          </cell>
          <cell r="Q6"/>
        </row>
        <row r="7">
          <cell r="A7">
            <v>9</v>
          </cell>
          <cell r="B7" t="str">
            <v>Cabovianco Natalia</v>
          </cell>
          <cell r="C7"/>
          <cell r="D7" t="str">
            <v>AS San Telmo</v>
          </cell>
          <cell r="E7">
            <v>8</v>
          </cell>
          <cell r="F7"/>
          <cell r="G7">
            <v>8</v>
          </cell>
          <cell r="H7"/>
          <cell r="I7"/>
          <cell r="J7" t="str">
            <v>NO</v>
          </cell>
          <cell r="K7"/>
          <cell r="L7">
            <v>0</v>
          </cell>
          <cell r="M7">
            <v>1193459.99999999</v>
          </cell>
          <cell r="N7">
            <v>1412626.00999999</v>
          </cell>
          <cell r="O7">
            <v>375570.14377499901</v>
          </cell>
          <cell r="P7">
            <v>1788196.15377499</v>
          </cell>
          <cell r="Q7"/>
        </row>
        <row r="8">
          <cell r="A8">
            <v>10</v>
          </cell>
          <cell r="B8" t="str">
            <v>Carrizo Camila</v>
          </cell>
          <cell r="C8"/>
          <cell r="D8" t="str">
            <v>AS San Telmo</v>
          </cell>
          <cell r="E8">
            <v>124</v>
          </cell>
          <cell r="F8" t="str">
            <v>120.00</v>
          </cell>
          <cell r="G8">
            <v>4</v>
          </cell>
          <cell r="H8"/>
          <cell r="I8"/>
          <cell r="J8" t="str">
            <v>NO</v>
          </cell>
          <cell r="K8"/>
          <cell r="L8">
            <v>33535</v>
          </cell>
          <cell r="M8">
            <v>741778</v>
          </cell>
          <cell r="N8">
            <v>913994.65</v>
          </cell>
          <cell r="O8">
            <v>300316.80798500002</v>
          </cell>
          <cell r="P8">
            <v>1214311.457985</v>
          </cell>
          <cell r="Q8">
            <v>9792.8343385887092</v>
          </cell>
        </row>
        <row r="9">
          <cell r="A9">
            <v>11</v>
          </cell>
          <cell r="B9" t="str">
            <v>Esposito Candela</v>
          </cell>
          <cell r="C9"/>
          <cell r="D9" t="str">
            <v>Lucero ST1</v>
          </cell>
          <cell r="E9">
            <v>119</v>
          </cell>
          <cell r="F9" t="str">
            <v>102.00</v>
          </cell>
          <cell r="G9">
            <v>5</v>
          </cell>
          <cell r="H9"/>
          <cell r="I9">
            <v>12</v>
          </cell>
          <cell r="J9" t="str">
            <v>NO</v>
          </cell>
          <cell r="K9"/>
          <cell r="L9">
            <v>59262</v>
          </cell>
          <cell r="M9">
            <v>734046</v>
          </cell>
          <cell r="N9">
            <v>905875.34</v>
          </cell>
          <cell r="O9">
            <v>297483.83636000002</v>
          </cell>
          <cell r="P9">
            <v>1203359.1763599999</v>
          </cell>
          <cell r="Q9">
            <v>10112.261986218487</v>
          </cell>
        </row>
        <row r="10">
          <cell r="A10">
            <v>12</v>
          </cell>
          <cell r="B10" t="str">
            <v>Barajas Barbara</v>
          </cell>
          <cell r="C10"/>
          <cell r="D10" t="str">
            <v>Recoleta</v>
          </cell>
          <cell r="E10">
            <v>132</v>
          </cell>
          <cell r="F10" t="str">
            <v>126.00</v>
          </cell>
          <cell r="G10">
            <v>6</v>
          </cell>
          <cell r="H10"/>
          <cell r="I10"/>
          <cell r="J10" t="str">
            <v>NO</v>
          </cell>
          <cell r="K10"/>
          <cell r="L10">
            <v>54186</v>
          </cell>
          <cell r="M10">
            <v>798094</v>
          </cell>
          <cell r="N10">
            <v>985009.55</v>
          </cell>
          <cell r="O10">
            <v>323345.96203</v>
          </cell>
          <cell r="P10">
            <v>1308355.5120300001</v>
          </cell>
          <cell r="Q10">
            <v>9911.784182045456</v>
          </cell>
        </row>
        <row r="11">
          <cell r="A11">
            <v>13</v>
          </cell>
          <cell r="B11" t="str">
            <v>De Brito Rocio</v>
          </cell>
          <cell r="C11"/>
          <cell r="D11" t="str">
            <v>Güemes</v>
          </cell>
          <cell r="E11">
            <v>125</v>
          </cell>
          <cell r="F11" t="str">
            <v>125.00</v>
          </cell>
          <cell r="G11"/>
          <cell r="H11"/>
          <cell r="I11"/>
          <cell r="J11" t="str">
            <v>NO</v>
          </cell>
          <cell r="K11"/>
          <cell r="L11">
            <v>9173</v>
          </cell>
          <cell r="M11">
            <v>696867</v>
          </cell>
          <cell r="N11">
            <v>856469.82</v>
          </cell>
          <cell r="O11">
            <v>281771.66061000002</v>
          </cell>
          <cell r="P11">
            <v>1138241.48061</v>
          </cell>
          <cell r="Q11">
            <v>9105.9318448800004</v>
          </cell>
        </row>
        <row r="12">
          <cell r="A12">
            <v>14</v>
          </cell>
          <cell r="B12" t="str">
            <v>Lara Robbio</v>
          </cell>
          <cell r="C12"/>
          <cell r="D12" t="str">
            <v>Lucero ST1</v>
          </cell>
          <cell r="E12">
            <v>118</v>
          </cell>
          <cell r="F12" t="str">
            <v>105.00</v>
          </cell>
          <cell r="G12">
            <v>5</v>
          </cell>
          <cell r="H12"/>
          <cell r="I12">
            <v>8</v>
          </cell>
          <cell r="J12" t="str">
            <v>NO</v>
          </cell>
          <cell r="K12"/>
          <cell r="L12">
            <v>62585</v>
          </cell>
          <cell r="M12">
            <v>738143</v>
          </cell>
          <cell r="N12">
            <v>911804.25</v>
          </cell>
          <cell r="O12">
            <v>299312.98369999998</v>
          </cell>
          <cell r="P12">
            <v>1211117.2337</v>
          </cell>
          <cell r="Q12">
            <v>10263.705370338983</v>
          </cell>
        </row>
        <row r="13">
          <cell r="A13">
            <v>15</v>
          </cell>
          <cell r="B13" t="str">
            <v>Molina Agustina</v>
          </cell>
          <cell r="C13"/>
          <cell r="D13" t="str">
            <v>AS San Telmo</v>
          </cell>
          <cell r="E13">
            <v>121</v>
          </cell>
          <cell r="F13" t="str">
            <v>117.00</v>
          </cell>
          <cell r="G13">
            <v>4</v>
          </cell>
          <cell r="H13"/>
          <cell r="I13"/>
          <cell r="J13" t="str">
            <v>NO</v>
          </cell>
          <cell r="K13"/>
          <cell r="L13">
            <v>32724</v>
          </cell>
          <cell r="M13">
            <v>710544.99999999895</v>
          </cell>
          <cell r="N13">
            <v>875304.57</v>
          </cell>
          <cell r="O13">
            <v>287684.92428499903</v>
          </cell>
          <cell r="P13">
            <v>1162989.494285</v>
          </cell>
          <cell r="Q13">
            <v>9611.4834238429758</v>
          </cell>
        </row>
        <row r="14">
          <cell r="A14">
            <v>18</v>
          </cell>
          <cell r="B14" t="str">
            <v>CORONEL Mailen</v>
          </cell>
          <cell r="C14"/>
          <cell r="D14" t="str">
            <v>Güemes</v>
          </cell>
          <cell r="E14">
            <v>127</v>
          </cell>
          <cell r="F14" t="str">
            <v>114.00</v>
          </cell>
          <cell r="G14">
            <v>5</v>
          </cell>
          <cell r="H14"/>
          <cell r="I14">
            <v>8</v>
          </cell>
          <cell r="J14" t="str">
            <v>NO</v>
          </cell>
          <cell r="K14"/>
          <cell r="L14">
            <v>20449</v>
          </cell>
          <cell r="M14">
            <v>730159</v>
          </cell>
          <cell r="N14">
            <v>899202.73</v>
          </cell>
          <cell r="O14">
            <v>295537.19032499997</v>
          </cell>
          <cell r="P14">
            <v>1194739.9203249901</v>
          </cell>
          <cell r="Q14">
            <v>9407.4009474408667</v>
          </cell>
        </row>
        <row r="15">
          <cell r="A15">
            <v>19</v>
          </cell>
          <cell r="B15" t="str">
            <v>Gimenez Candela</v>
          </cell>
          <cell r="C15"/>
          <cell r="D15" t="str">
            <v>Recoleta</v>
          </cell>
          <cell r="E15">
            <v>132</v>
          </cell>
          <cell r="F15" t="str">
            <v>132.00</v>
          </cell>
          <cell r="G15"/>
          <cell r="H15"/>
          <cell r="I15"/>
          <cell r="J15" t="str">
            <v>NO</v>
          </cell>
          <cell r="K15"/>
          <cell r="L15">
            <v>22621</v>
          </cell>
          <cell r="M15">
            <v>739275</v>
          </cell>
          <cell r="N15">
            <v>909497.79</v>
          </cell>
          <cell r="O15">
            <v>299022.94085999997</v>
          </cell>
          <cell r="P15">
            <v>1208520.73086</v>
          </cell>
          <cell r="Q15">
            <v>9155.460082272728</v>
          </cell>
        </row>
        <row r="16">
          <cell r="A16">
            <v>20</v>
          </cell>
          <cell r="B16" t="str">
            <v>Oliva Micaela</v>
          </cell>
          <cell r="C16"/>
          <cell r="D16" t="str">
            <v>Recoleta</v>
          </cell>
          <cell r="E16">
            <v>132</v>
          </cell>
          <cell r="F16" t="str">
            <v>127.00</v>
          </cell>
          <cell r="G16">
            <v>5</v>
          </cell>
          <cell r="H16"/>
          <cell r="I16"/>
          <cell r="J16" t="str">
            <v>NO</v>
          </cell>
          <cell r="K16"/>
          <cell r="L16">
            <v>54186</v>
          </cell>
          <cell r="M16">
            <v>778025</v>
          </cell>
          <cell r="N16">
            <v>959881.56</v>
          </cell>
          <cell r="O16">
            <v>315175.33117000002</v>
          </cell>
          <cell r="P16">
            <v>1275056.89117</v>
          </cell>
          <cell r="Q16">
            <v>9659.5219028030297</v>
          </cell>
        </row>
        <row r="17">
          <cell r="A17">
            <v>21</v>
          </cell>
          <cell r="B17" t="str">
            <v>Mohamad Daila</v>
          </cell>
          <cell r="C17"/>
          <cell r="D17" t="str">
            <v>Lucero ST1</v>
          </cell>
          <cell r="E17">
            <v>118</v>
          </cell>
          <cell r="F17" t="str">
            <v>114.00</v>
          </cell>
          <cell r="G17">
            <v>4</v>
          </cell>
          <cell r="H17"/>
          <cell r="I17"/>
          <cell r="J17" t="str">
            <v>NO</v>
          </cell>
          <cell r="K17"/>
          <cell r="L17">
            <v>54835</v>
          </cell>
          <cell r="M17">
            <v>699224.99999999895</v>
          </cell>
          <cell r="N17">
            <v>862273.87</v>
          </cell>
          <cell r="O17">
            <v>283306.70409000001</v>
          </cell>
          <cell r="P17">
            <v>1145580.57409</v>
          </cell>
          <cell r="Q17">
            <v>9708.309949915254</v>
          </cell>
        </row>
        <row r="18">
          <cell r="A18">
            <v>27</v>
          </cell>
          <cell r="B18" t="str">
            <v>Bertolo Milagros</v>
          </cell>
          <cell r="C18"/>
          <cell r="D18" t="str">
            <v>French</v>
          </cell>
          <cell r="E18">
            <v>115</v>
          </cell>
          <cell r="F18">
            <v>115</v>
          </cell>
          <cell r="G18"/>
          <cell r="H18"/>
          <cell r="I18"/>
          <cell r="J18" t="str">
            <v>NO</v>
          </cell>
          <cell r="K18"/>
          <cell r="L18">
            <v>47914</v>
          </cell>
          <cell r="M18">
            <v>675518</v>
          </cell>
          <cell r="N18">
            <v>831886.88</v>
          </cell>
          <cell r="O18">
            <v>273512.98700999998</v>
          </cell>
          <cell r="P18">
            <v>1105399.8670099999</v>
          </cell>
          <cell r="Q18">
            <v>9612.1727566086956</v>
          </cell>
        </row>
        <row r="19">
          <cell r="A19">
            <v>28</v>
          </cell>
          <cell r="B19" t="str">
            <v>Machuca Araceli</v>
          </cell>
          <cell r="C19"/>
          <cell r="D19" t="str">
            <v>French</v>
          </cell>
          <cell r="E19">
            <v>109</v>
          </cell>
          <cell r="F19">
            <v>105</v>
          </cell>
          <cell r="G19" t="str">
            <v>4.00</v>
          </cell>
          <cell r="H19"/>
          <cell r="I19"/>
          <cell r="J19" t="str">
            <v>NO</v>
          </cell>
          <cell r="K19"/>
          <cell r="L19">
            <v>38788</v>
          </cell>
          <cell r="M19">
            <v>697965.99999999895</v>
          </cell>
          <cell r="N19">
            <v>860012.01999999897</v>
          </cell>
          <cell r="O19">
            <v>282655.89535499999</v>
          </cell>
          <cell r="P19">
            <v>1142667.9153549999</v>
          </cell>
          <cell r="Q19">
            <v>10483.191883990825</v>
          </cell>
        </row>
        <row r="20">
          <cell r="A20">
            <v>29</v>
          </cell>
          <cell r="B20" t="str">
            <v>Scholler Chavez Ruth</v>
          </cell>
          <cell r="C20"/>
          <cell r="D20" t="str">
            <v>French</v>
          </cell>
          <cell r="E20">
            <v>109</v>
          </cell>
          <cell r="F20" t="str">
            <v>105.00</v>
          </cell>
          <cell r="G20" t="str">
            <v>4.00</v>
          </cell>
          <cell r="H20"/>
          <cell r="I20"/>
          <cell r="J20" t="str">
            <v>NO</v>
          </cell>
          <cell r="K20"/>
          <cell r="L20">
            <v>38168</v>
          </cell>
          <cell r="M20">
            <v>637122</v>
          </cell>
          <cell r="N20">
            <v>784756.36</v>
          </cell>
          <cell r="O20">
            <v>258071.362505</v>
          </cell>
          <cell r="P20">
            <v>1042827.722505</v>
          </cell>
          <cell r="Q20">
            <v>9567.2268119724758</v>
          </cell>
        </row>
        <row r="21">
          <cell r="A21">
            <v>30</v>
          </cell>
          <cell r="B21" t="str">
            <v>Anabella Baragatti</v>
          </cell>
          <cell r="C21"/>
          <cell r="D21" t="str">
            <v>LU Florida</v>
          </cell>
          <cell r="E21">
            <v>120</v>
          </cell>
          <cell r="F21">
            <v>116</v>
          </cell>
          <cell r="G21">
            <v>4</v>
          </cell>
          <cell r="H21"/>
          <cell r="I21"/>
          <cell r="J21" t="str">
            <v>NO</v>
          </cell>
          <cell r="K21"/>
          <cell r="L21">
            <v>0</v>
          </cell>
          <cell r="M21">
            <v>663878.99999999895</v>
          </cell>
          <cell r="N21">
            <v>816084.91999999899</v>
          </cell>
          <cell r="O21">
            <v>268526.61569999898</v>
          </cell>
          <cell r="P21">
            <v>1084611.5356999999</v>
          </cell>
          <cell r="Q21">
            <v>9038.4294641666656</v>
          </cell>
        </row>
        <row r="22">
          <cell r="A22">
            <v>31</v>
          </cell>
          <cell r="B22" t="str">
            <v>Gisela Bonino</v>
          </cell>
          <cell r="C22"/>
          <cell r="D22" t="str">
            <v>Lucero ST2</v>
          </cell>
          <cell r="E22">
            <v>112</v>
          </cell>
          <cell r="F22">
            <v>107</v>
          </cell>
          <cell r="G22">
            <v>5</v>
          </cell>
          <cell r="H22"/>
          <cell r="I22"/>
          <cell r="J22" t="str">
            <v>NO</v>
          </cell>
          <cell r="K22"/>
          <cell r="L22">
            <v>0</v>
          </cell>
          <cell r="M22">
            <v>625620</v>
          </cell>
          <cell r="N22">
            <v>769043.76</v>
          </cell>
          <cell r="O22">
            <v>253124.194265</v>
          </cell>
          <cell r="P22">
            <v>1022167.9542649999</v>
          </cell>
          <cell r="Q22">
            <v>9126.4995916517855</v>
          </cell>
        </row>
        <row r="23">
          <cell r="A23">
            <v>32</v>
          </cell>
          <cell r="B23" t="str">
            <v>Dana Ramirez</v>
          </cell>
          <cell r="C23"/>
          <cell r="D23" t="str">
            <v>AS San Telmo</v>
          </cell>
          <cell r="E23">
            <v>117</v>
          </cell>
          <cell r="F23">
            <v>113</v>
          </cell>
          <cell r="G23">
            <v>4</v>
          </cell>
          <cell r="H23"/>
          <cell r="I23"/>
          <cell r="J23" t="str">
            <v>NO</v>
          </cell>
          <cell r="K23"/>
          <cell r="L23">
            <v>0</v>
          </cell>
          <cell r="M23">
            <v>647842</v>
          </cell>
          <cell r="N23">
            <v>796264.21</v>
          </cell>
          <cell r="O23">
            <v>262049.72714</v>
          </cell>
          <cell r="P23">
            <v>1058313.9371400001</v>
          </cell>
          <cell r="Q23">
            <v>9045.4182661538471</v>
          </cell>
        </row>
        <row r="24">
          <cell r="A24">
            <v>34</v>
          </cell>
          <cell r="B24" t="str">
            <v>Diaz Dulcinea</v>
          </cell>
          <cell r="C24"/>
          <cell r="D24" t="str">
            <v>LU Florida</v>
          </cell>
          <cell r="E24">
            <v>117</v>
          </cell>
          <cell r="F24">
            <v>117</v>
          </cell>
          <cell r="G24"/>
          <cell r="H24"/>
          <cell r="I24"/>
          <cell r="J24" t="str">
            <v>NO</v>
          </cell>
          <cell r="K24"/>
          <cell r="L24">
            <v>0</v>
          </cell>
          <cell r="M24">
            <v>632823</v>
          </cell>
          <cell r="N24">
            <v>776883.95</v>
          </cell>
          <cell r="O24">
            <v>255819.072599999</v>
          </cell>
          <cell r="P24">
            <v>1032703.02259999</v>
          </cell>
          <cell r="Q24">
            <v>8826.5215606836755</v>
          </cell>
        </row>
        <row r="25">
          <cell r="A25">
            <v>36</v>
          </cell>
          <cell r="B25" t="str">
            <v>Schiavone Fiona Ludmila</v>
          </cell>
          <cell r="C25"/>
          <cell r="D25" t="str">
            <v>El Solar</v>
          </cell>
          <cell r="E25">
            <v>89</v>
          </cell>
          <cell r="F25" t="str">
            <v>89.00</v>
          </cell>
          <cell r="G25"/>
          <cell r="H25"/>
          <cell r="I25"/>
          <cell r="J25" t="str">
            <v>NO</v>
          </cell>
          <cell r="K25"/>
          <cell r="L25">
            <v>0</v>
          </cell>
          <cell r="M25">
            <v>480141</v>
          </cell>
          <cell r="N25">
            <v>588014.56000000006</v>
          </cell>
          <cell r="O25">
            <v>194122.03583000001</v>
          </cell>
          <cell r="P25">
            <v>782136.59583000001</v>
          </cell>
          <cell r="Q25">
            <v>8788.0516385393257</v>
          </cell>
        </row>
        <row r="26">
          <cell r="A26">
            <v>37</v>
          </cell>
          <cell r="B26" t="str">
            <v>Perazzo Juana</v>
          </cell>
          <cell r="C26"/>
          <cell r="D26" t="str">
            <v>El Solar</v>
          </cell>
          <cell r="E26">
            <v>87</v>
          </cell>
          <cell r="F26" t="str">
            <v>87.00</v>
          </cell>
          <cell r="G26"/>
          <cell r="H26"/>
          <cell r="I26"/>
          <cell r="J26" t="str">
            <v>NO</v>
          </cell>
          <cell r="K26"/>
          <cell r="L26">
            <v>0</v>
          </cell>
          <cell r="M26">
            <v>469450</v>
          </cell>
          <cell r="N26">
            <v>574800.75</v>
          </cell>
          <cell r="O26">
            <v>189804.153859999</v>
          </cell>
          <cell r="P26">
            <v>764604.90385999996</v>
          </cell>
          <cell r="Q26">
            <v>8788.5621133333334</v>
          </cell>
        </row>
        <row r="27">
          <cell r="A27">
            <v>38</v>
          </cell>
          <cell r="B27" t="str">
            <v>Delgado Maria Paz</v>
          </cell>
          <cell r="C27"/>
          <cell r="D27" t="str">
            <v>El Solar</v>
          </cell>
          <cell r="E27">
            <v>88</v>
          </cell>
          <cell r="F27">
            <v>88</v>
          </cell>
          <cell r="G27"/>
          <cell r="H27"/>
          <cell r="I27"/>
          <cell r="J27" t="str">
            <v>NO</v>
          </cell>
          <cell r="K27"/>
          <cell r="L27">
            <v>0</v>
          </cell>
          <cell r="M27">
            <v>474795</v>
          </cell>
          <cell r="N27">
            <v>581407.65</v>
          </cell>
          <cell r="O27">
            <v>191963.02319499999</v>
          </cell>
          <cell r="P27">
            <v>773370.67319500004</v>
          </cell>
          <cell r="Q27">
            <v>8788.3031044886375</v>
          </cell>
        </row>
        <row r="28">
          <cell r="A28">
            <v>39</v>
          </cell>
          <cell r="B28" t="str">
            <v>Giordano Carolina Inez</v>
          </cell>
          <cell r="C28"/>
          <cell r="D28" t="str">
            <v>Lucero ST 2</v>
          </cell>
          <cell r="E28">
            <v>67</v>
          </cell>
          <cell r="F28">
            <v>67</v>
          </cell>
          <cell r="G28"/>
          <cell r="H28"/>
          <cell r="I28"/>
          <cell r="J28" t="str">
            <v>NO</v>
          </cell>
          <cell r="K28"/>
          <cell r="L28">
            <v>0</v>
          </cell>
          <cell r="M28">
            <v>362537</v>
          </cell>
          <cell r="N28">
            <v>442662.64</v>
          </cell>
          <cell r="O28">
            <v>146624.93333</v>
          </cell>
          <cell r="P28">
            <v>589287.57333000004</v>
          </cell>
          <cell r="Q28">
            <v>8795.3369153731346</v>
          </cell>
        </row>
        <row r="29">
          <cell r="A29">
            <v>40</v>
          </cell>
          <cell r="B29" t="str">
            <v>Martinez Franzi Lourdes</v>
          </cell>
          <cell r="C29"/>
          <cell r="D29" t="str">
            <v>El Solar</v>
          </cell>
          <cell r="E29">
            <v>76</v>
          </cell>
          <cell r="F29">
            <v>76</v>
          </cell>
          <cell r="G29"/>
          <cell r="H29"/>
          <cell r="I29"/>
          <cell r="J29" t="str">
            <v>NO</v>
          </cell>
          <cell r="K29"/>
          <cell r="L29">
            <v>0</v>
          </cell>
          <cell r="M29">
            <v>410648</v>
          </cell>
          <cell r="N29">
            <v>502124.79</v>
          </cell>
          <cell r="O29">
            <v>166055.60544000001</v>
          </cell>
          <cell r="P29">
            <v>668180.39543999999</v>
          </cell>
          <cell r="Q29">
            <v>8791.8473084210527</v>
          </cell>
        </row>
        <row r="30">
          <cell r="A30">
            <v>41</v>
          </cell>
          <cell r="B30" t="str">
            <v>Ochoa Duran Thalia</v>
          </cell>
          <cell r="C30"/>
          <cell r="D30" t="str">
            <v>LU Florida</v>
          </cell>
          <cell r="E30">
            <v>42</v>
          </cell>
          <cell r="F30" t="str">
            <v>42.00</v>
          </cell>
          <cell r="G30"/>
          <cell r="H30"/>
          <cell r="I30"/>
          <cell r="J30" t="str">
            <v>NO</v>
          </cell>
          <cell r="K30"/>
          <cell r="L30">
            <v>0</v>
          </cell>
          <cell r="M30">
            <v>228897</v>
          </cell>
          <cell r="N30">
            <v>277490.01</v>
          </cell>
          <cell r="O30">
            <v>92651.086599999995</v>
          </cell>
          <cell r="P30">
            <v>370141.09659999999</v>
          </cell>
          <cell r="Q30">
            <v>8812.8832523809524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tabSelected="1" topLeftCell="C1" zoomScale="120" zoomScaleNormal="120" workbookViewId="0">
      <pane ySplit="1" topLeftCell="A245" activePane="bottomLeft" state="frozen"/>
      <selection pane="bottomLeft" activeCell="D261" sqref="D261"/>
    </sheetView>
  </sheetViews>
  <sheetFormatPr baseColWidth="10" defaultColWidth="11.54296875" defaultRowHeight="14.5" x14ac:dyDescent="0.35"/>
  <cols>
    <col min="1" max="1" width="11.54296875" style="4"/>
    <col min="2" max="2" width="9.453125" style="4" bestFit="1" customWidth="1"/>
    <col min="3" max="3" width="20.90625" style="4" bestFit="1" customWidth="1"/>
    <col min="4" max="4" width="6.54296875" style="4" bestFit="1" customWidth="1"/>
    <col min="5" max="5" width="7.81640625" style="4" bestFit="1" customWidth="1"/>
    <col min="6" max="6" width="13.54296875" style="4" customWidth="1"/>
    <col min="7" max="7" width="10.453125" style="4" bestFit="1" customWidth="1"/>
    <col min="8" max="8" width="8" style="4" bestFit="1" customWidth="1"/>
    <col min="9" max="9" width="11.453125" style="4" customWidth="1"/>
    <col min="10" max="10" width="14.453125" style="4" customWidth="1"/>
    <col min="11" max="11" width="6.453125" style="4" customWidth="1"/>
    <col min="12" max="12" width="13.08984375" style="4" customWidth="1"/>
    <col min="13" max="13" width="7.453125" style="4" bestFit="1" customWidth="1"/>
    <col min="14" max="14" width="6.81640625" style="4" bestFit="1" customWidth="1"/>
    <col min="15" max="15" width="11.54296875" style="4"/>
    <col min="16" max="16" width="14.08984375" style="4" bestFit="1" customWidth="1"/>
    <col min="17" max="16384" width="11.54296875" style="4"/>
  </cols>
  <sheetData>
    <row r="1" spans="1:15" s="1" customFormat="1" x14ac:dyDescent="0.35">
      <c r="A1" s="1" t="s">
        <v>22</v>
      </c>
      <c r="B1" s="1" t="s">
        <v>23</v>
      </c>
      <c r="C1" s="2" t="s">
        <v>24</v>
      </c>
      <c r="D1" s="1" t="s">
        <v>0</v>
      </c>
      <c r="E1" s="1" t="s">
        <v>53</v>
      </c>
      <c r="F1" s="1" t="s">
        <v>39</v>
      </c>
      <c r="G1" s="1" t="s">
        <v>40</v>
      </c>
      <c r="H1" s="1" t="s">
        <v>1</v>
      </c>
      <c r="I1" s="1" t="s">
        <v>55</v>
      </c>
      <c r="J1" s="1" t="s">
        <v>57</v>
      </c>
      <c r="K1" s="1" t="s">
        <v>2</v>
      </c>
      <c r="L1" s="1" t="s">
        <v>54</v>
      </c>
      <c r="M1" s="1" t="s">
        <v>56</v>
      </c>
      <c r="N1" s="1" t="s">
        <v>30</v>
      </c>
      <c r="O1" s="1" t="s">
        <v>38</v>
      </c>
    </row>
    <row r="2" spans="1:15" x14ac:dyDescent="0.35">
      <c r="A2" s="3">
        <v>45901</v>
      </c>
      <c r="B2" s="4">
        <v>1</v>
      </c>
      <c r="C2" s="4" t="s">
        <v>3</v>
      </c>
      <c r="D2" s="4">
        <v>116</v>
      </c>
      <c r="N2" s="4">
        <v>116</v>
      </c>
    </row>
    <row r="3" spans="1:15" x14ac:dyDescent="0.35">
      <c r="A3" s="3">
        <v>45901</v>
      </c>
      <c r="B3" s="4">
        <v>3</v>
      </c>
      <c r="C3" s="4" t="s">
        <v>4</v>
      </c>
      <c r="D3" s="4">
        <v>112</v>
      </c>
      <c r="N3" s="4">
        <v>112</v>
      </c>
    </row>
    <row r="4" spans="1:15" x14ac:dyDescent="0.35">
      <c r="A4" s="3">
        <v>45901</v>
      </c>
      <c r="B4" s="4">
        <v>4</v>
      </c>
      <c r="C4" s="4" t="s">
        <v>5</v>
      </c>
      <c r="D4" s="4">
        <v>130</v>
      </c>
      <c r="N4" s="4">
        <v>130</v>
      </c>
    </row>
    <row r="5" spans="1:15" x14ac:dyDescent="0.35">
      <c r="A5" s="3">
        <v>45901</v>
      </c>
      <c r="B5" s="4">
        <v>5</v>
      </c>
      <c r="C5" s="4" t="s">
        <v>6</v>
      </c>
      <c r="N5" s="4">
        <v>0</v>
      </c>
    </row>
    <row r="6" spans="1:15" x14ac:dyDescent="0.35">
      <c r="A6" s="3">
        <v>45901</v>
      </c>
      <c r="B6" s="4">
        <v>6</v>
      </c>
      <c r="C6" s="4" t="s">
        <v>7</v>
      </c>
      <c r="N6" s="4">
        <v>0</v>
      </c>
    </row>
    <row r="7" spans="1:15" x14ac:dyDescent="0.35">
      <c r="A7" s="3">
        <v>45901</v>
      </c>
      <c r="B7" s="4">
        <v>10</v>
      </c>
      <c r="C7" s="4" t="s">
        <v>8</v>
      </c>
      <c r="L7" s="4">
        <v>124</v>
      </c>
      <c r="N7" s="4">
        <v>124</v>
      </c>
    </row>
    <row r="8" spans="1:15" x14ac:dyDescent="0.35">
      <c r="A8" s="3">
        <v>45901</v>
      </c>
      <c r="B8" s="4">
        <v>11</v>
      </c>
      <c r="C8" s="4" t="s">
        <v>9</v>
      </c>
      <c r="I8" s="4">
        <v>124</v>
      </c>
      <c r="N8" s="4">
        <v>124</v>
      </c>
    </row>
    <row r="9" spans="1:15" x14ac:dyDescent="0.35">
      <c r="A9" s="3">
        <v>45901</v>
      </c>
      <c r="B9" s="4">
        <v>12</v>
      </c>
      <c r="C9" s="4" t="s">
        <v>10</v>
      </c>
      <c r="D9" s="4">
        <v>5</v>
      </c>
      <c r="H9" s="4">
        <v>124</v>
      </c>
      <c r="N9" s="4">
        <v>129</v>
      </c>
    </row>
    <row r="10" spans="1:15" x14ac:dyDescent="0.35">
      <c r="A10" s="3">
        <v>45901</v>
      </c>
      <c r="B10" s="4">
        <v>13</v>
      </c>
      <c r="C10" s="4" t="s">
        <v>11</v>
      </c>
      <c r="E10" s="4">
        <v>103</v>
      </c>
      <c r="H10" s="4">
        <v>8</v>
      </c>
      <c r="N10" s="4">
        <v>111</v>
      </c>
    </row>
    <row r="11" spans="1:15" x14ac:dyDescent="0.35">
      <c r="A11" s="3">
        <v>45901</v>
      </c>
      <c r="B11" s="4">
        <v>14</v>
      </c>
      <c r="C11" s="4" t="s">
        <v>12</v>
      </c>
      <c r="I11" s="4">
        <f>116-28</f>
        <v>88</v>
      </c>
      <c r="J11" s="4">
        <v>28</v>
      </c>
      <c r="N11" s="4">
        <v>116</v>
      </c>
    </row>
    <row r="12" spans="1:15" x14ac:dyDescent="0.35">
      <c r="A12" s="3">
        <v>45901</v>
      </c>
      <c r="B12" s="4">
        <v>15</v>
      </c>
      <c r="C12" s="4" t="s">
        <v>13</v>
      </c>
      <c r="L12" s="4">
        <v>122</v>
      </c>
      <c r="N12" s="4">
        <v>122</v>
      </c>
    </row>
    <row r="13" spans="1:15" x14ac:dyDescent="0.35">
      <c r="A13" s="3">
        <v>45901</v>
      </c>
      <c r="B13" s="4">
        <v>16</v>
      </c>
      <c r="C13" s="4" t="s">
        <v>14</v>
      </c>
      <c r="N13" s="4">
        <v>0</v>
      </c>
    </row>
    <row r="14" spans="1:15" x14ac:dyDescent="0.35">
      <c r="A14" s="3">
        <v>45901</v>
      </c>
      <c r="B14" s="4">
        <v>18</v>
      </c>
      <c r="C14" s="4" t="s">
        <v>15</v>
      </c>
      <c r="D14" s="4">
        <v>12</v>
      </c>
      <c r="E14" s="4">
        <v>102</v>
      </c>
      <c r="N14" s="4">
        <v>114</v>
      </c>
    </row>
    <row r="15" spans="1:15" x14ac:dyDescent="0.35">
      <c r="A15" s="3">
        <v>45901</v>
      </c>
      <c r="B15" s="4">
        <v>19</v>
      </c>
      <c r="C15" s="4" t="s">
        <v>16</v>
      </c>
      <c r="D15" s="4">
        <v>65</v>
      </c>
      <c r="H15" s="4">
        <v>66</v>
      </c>
      <c r="N15" s="4">
        <v>131</v>
      </c>
    </row>
    <row r="16" spans="1:15" x14ac:dyDescent="0.35">
      <c r="A16" s="3">
        <v>45901</v>
      </c>
      <c r="B16" s="4">
        <v>20</v>
      </c>
      <c r="C16" s="4" t="s">
        <v>17</v>
      </c>
      <c r="H16" s="4">
        <v>125</v>
      </c>
      <c r="N16" s="4">
        <v>125</v>
      </c>
    </row>
    <row r="17" spans="1:15" x14ac:dyDescent="0.35">
      <c r="A17" s="3">
        <v>45901</v>
      </c>
      <c r="B17" s="4">
        <v>21</v>
      </c>
      <c r="C17" s="4" t="s">
        <v>18</v>
      </c>
      <c r="J17" s="4">
        <v>108</v>
      </c>
      <c r="N17" s="4">
        <v>108</v>
      </c>
    </row>
    <row r="18" spans="1:15" x14ac:dyDescent="0.35">
      <c r="A18" s="3">
        <v>45901</v>
      </c>
      <c r="B18" s="4">
        <v>22</v>
      </c>
      <c r="C18" s="4" t="s">
        <v>25</v>
      </c>
      <c r="N18" s="4">
        <v>104</v>
      </c>
    </row>
    <row r="19" spans="1:15" x14ac:dyDescent="0.35">
      <c r="A19" s="3">
        <v>45901</v>
      </c>
      <c r="B19" s="4">
        <v>27</v>
      </c>
      <c r="C19" s="4" t="s">
        <v>19</v>
      </c>
      <c r="K19" s="4">
        <v>114</v>
      </c>
      <c r="N19" s="4">
        <v>114</v>
      </c>
    </row>
    <row r="20" spans="1:15" x14ac:dyDescent="0.35">
      <c r="A20" s="3">
        <v>45901</v>
      </c>
      <c r="B20" s="4">
        <v>28</v>
      </c>
      <c r="C20" s="4" t="s">
        <v>26</v>
      </c>
      <c r="J20" s="4">
        <v>38</v>
      </c>
      <c r="K20" s="4">
        <f>N20-J20</f>
        <v>68</v>
      </c>
      <c r="N20" s="4">
        <v>106</v>
      </c>
    </row>
    <row r="21" spans="1:15" x14ac:dyDescent="0.35">
      <c r="A21" s="3">
        <v>45901</v>
      </c>
      <c r="B21" s="4">
        <v>26</v>
      </c>
      <c r="C21" s="4" t="s">
        <v>21</v>
      </c>
      <c r="L21" s="4">
        <v>24</v>
      </c>
      <c r="N21" s="4">
        <v>24</v>
      </c>
    </row>
    <row r="22" spans="1:15" x14ac:dyDescent="0.35">
      <c r="A22" s="3">
        <v>45901</v>
      </c>
      <c r="B22" s="4">
        <v>29</v>
      </c>
      <c r="C22" s="4" t="s">
        <v>20</v>
      </c>
      <c r="J22" s="4">
        <v>40</v>
      </c>
      <c r="K22" s="4">
        <v>65</v>
      </c>
      <c r="N22" s="4">
        <v>105</v>
      </c>
    </row>
    <row r="23" spans="1:15" x14ac:dyDescent="0.35">
      <c r="A23" s="3">
        <v>45901</v>
      </c>
      <c r="B23" s="4">
        <v>30</v>
      </c>
      <c r="C23" s="4" t="s">
        <v>27</v>
      </c>
      <c r="D23" s="4">
        <v>100</v>
      </c>
      <c r="N23" s="4">
        <v>100</v>
      </c>
    </row>
    <row r="24" spans="1:15" x14ac:dyDescent="0.35">
      <c r="A24" s="3">
        <v>45901</v>
      </c>
      <c r="B24" s="4">
        <v>31</v>
      </c>
      <c r="C24" s="4" t="s">
        <v>28</v>
      </c>
      <c r="I24" s="4">
        <v>16</v>
      </c>
      <c r="J24" s="4">
        <v>4</v>
      </c>
      <c r="N24" s="4">
        <v>20</v>
      </c>
    </row>
    <row r="25" spans="1:15" x14ac:dyDescent="0.35">
      <c r="A25" s="3">
        <v>45901</v>
      </c>
      <c r="B25" s="4">
        <v>32</v>
      </c>
      <c r="C25" s="4" t="s">
        <v>29</v>
      </c>
      <c r="L25" s="4">
        <v>20</v>
      </c>
      <c r="N25" s="4">
        <v>20</v>
      </c>
    </row>
    <row r="26" spans="1:15" x14ac:dyDescent="0.35">
      <c r="A26" s="3">
        <v>45931</v>
      </c>
      <c r="B26" s="4">
        <v>1</v>
      </c>
      <c r="C26" s="4" t="s">
        <v>3</v>
      </c>
      <c r="D26" s="4">
        <v>82</v>
      </c>
      <c r="H26" s="5">
        <v>45</v>
      </c>
      <c r="N26" s="4">
        <f>SUM(D26:M26)</f>
        <v>127</v>
      </c>
      <c r="O26" s="6">
        <f>VLOOKUP(B26,'[1]Sueldos LC 10-2025'!$A$1:$Q$30,17,FALSE)</f>
        <v>9943.0976216535419</v>
      </c>
    </row>
    <row r="27" spans="1:15" x14ac:dyDescent="0.35">
      <c r="A27" s="3">
        <v>45931</v>
      </c>
      <c r="B27" s="4">
        <v>3</v>
      </c>
      <c r="C27" s="4" t="s">
        <v>4</v>
      </c>
      <c r="D27" s="4">
        <v>117</v>
      </c>
      <c r="E27" s="4">
        <v>10</v>
      </c>
      <c r="N27" s="4">
        <f t="shared" ref="N27:N52" si="0">SUM(D27:M27)</f>
        <v>127</v>
      </c>
      <c r="O27" s="6">
        <f>VLOOKUP(B27,'[1]Sueldos LC 10-2025'!$A$1:$Q$30,17,FALSE)</f>
        <v>9845.2116900000001</v>
      </c>
    </row>
    <row r="28" spans="1:15" x14ac:dyDescent="0.35">
      <c r="A28" s="3">
        <v>45931</v>
      </c>
      <c r="B28" s="4">
        <v>4</v>
      </c>
      <c r="C28" s="4" t="s">
        <v>5</v>
      </c>
      <c r="D28" s="4">
        <v>132</v>
      </c>
      <c r="N28" s="4">
        <f t="shared" si="0"/>
        <v>132</v>
      </c>
      <c r="O28" s="6">
        <f>VLOOKUP(B28,'[1]Sueldos LC 10-2025'!$A$1:$Q$30,17,FALSE)</f>
        <v>9876.217631212121</v>
      </c>
    </row>
    <row r="29" spans="1:15" x14ac:dyDescent="0.35">
      <c r="A29" s="3">
        <v>45931</v>
      </c>
      <c r="B29" s="4">
        <v>5</v>
      </c>
      <c r="C29" s="4" t="s">
        <v>6</v>
      </c>
      <c r="N29" s="4">
        <f t="shared" si="0"/>
        <v>0</v>
      </c>
      <c r="O29" s="6">
        <f>VLOOKUP(B29,'[1]Sueldos LC 10-2025'!$A$1:$Q$30,17,FALSE)</f>
        <v>0</v>
      </c>
    </row>
    <row r="30" spans="1:15" x14ac:dyDescent="0.35">
      <c r="A30" s="3">
        <v>45931</v>
      </c>
      <c r="B30" s="4">
        <v>10</v>
      </c>
      <c r="C30" s="4" t="s">
        <v>8</v>
      </c>
      <c r="L30" s="4">
        <v>124</v>
      </c>
      <c r="N30" s="4">
        <f t="shared" si="0"/>
        <v>124</v>
      </c>
      <c r="O30" s="6">
        <f>VLOOKUP(B30,'[1]Sueldos LC 10-2025'!$A$1:$Q$30,17,FALSE)</f>
        <v>9792.8343385887092</v>
      </c>
    </row>
    <row r="31" spans="1:15" x14ac:dyDescent="0.35">
      <c r="A31" s="3">
        <v>45931</v>
      </c>
      <c r="B31" s="4">
        <v>11</v>
      </c>
      <c r="C31" s="4" t="s">
        <v>9</v>
      </c>
      <c r="I31" s="4">
        <v>119</v>
      </c>
      <c r="N31" s="4">
        <f t="shared" si="0"/>
        <v>119</v>
      </c>
      <c r="O31" s="6">
        <f>VLOOKUP(B31,'[1]Sueldos LC 10-2025'!$A$1:$Q$30,17,FALSE)</f>
        <v>10112.261986218487</v>
      </c>
    </row>
    <row r="32" spans="1:15" x14ac:dyDescent="0.35">
      <c r="A32" s="3">
        <v>45931</v>
      </c>
      <c r="B32" s="4">
        <v>12</v>
      </c>
      <c r="C32" s="4" t="s">
        <v>10</v>
      </c>
      <c r="H32" s="4">
        <v>132</v>
      </c>
      <c r="N32" s="4">
        <f t="shared" si="0"/>
        <v>132</v>
      </c>
      <c r="O32" s="6">
        <f>VLOOKUP(B32,'[1]Sueldos LC 10-2025'!$A$1:$Q$30,17,FALSE)</f>
        <v>9911.784182045456</v>
      </c>
    </row>
    <row r="33" spans="1:15" x14ac:dyDescent="0.35">
      <c r="A33" s="3">
        <v>45931</v>
      </c>
      <c r="B33" s="4">
        <v>13</v>
      </c>
      <c r="C33" s="4" t="s">
        <v>11</v>
      </c>
      <c r="E33" s="4">
        <v>32</v>
      </c>
      <c r="H33" s="5">
        <v>4</v>
      </c>
      <c r="M33" s="4">
        <v>89</v>
      </c>
      <c r="N33" s="4">
        <f t="shared" si="0"/>
        <v>125</v>
      </c>
      <c r="O33" s="6">
        <f>VLOOKUP(B33,'[1]Sueldos LC 10-2025'!$A$1:$Q$30,17,FALSE)</f>
        <v>9105.9318448800004</v>
      </c>
    </row>
    <row r="34" spans="1:15" x14ac:dyDescent="0.35">
      <c r="A34" s="3">
        <v>45931</v>
      </c>
      <c r="B34" s="4">
        <v>14</v>
      </c>
      <c r="C34" s="4" t="s">
        <v>12</v>
      </c>
      <c r="I34" s="4">
        <v>118</v>
      </c>
      <c r="N34" s="4">
        <f t="shared" si="0"/>
        <v>118</v>
      </c>
      <c r="O34" s="6">
        <f>VLOOKUP(B34,'[1]Sueldos LC 10-2025'!$A$1:$Q$30,17,FALSE)</f>
        <v>10263.705370338983</v>
      </c>
    </row>
    <row r="35" spans="1:15" x14ac:dyDescent="0.35">
      <c r="A35" s="3">
        <v>45931</v>
      </c>
      <c r="B35" s="4">
        <v>15</v>
      </c>
      <c r="C35" s="4" t="s">
        <v>13</v>
      </c>
      <c r="L35" s="4">
        <v>121</v>
      </c>
      <c r="N35" s="4">
        <f t="shared" si="0"/>
        <v>121</v>
      </c>
      <c r="O35" s="6">
        <f>VLOOKUP(B35,'[1]Sueldos LC 10-2025'!$A$1:$Q$30,17,FALSE)</f>
        <v>9611.4834238429758</v>
      </c>
    </row>
    <row r="36" spans="1:15" x14ac:dyDescent="0.35">
      <c r="A36" s="3">
        <v>45931</v>
      </c>
      <c r="B36" s="4">
        <v>18</v>
      </c>
      <c r="C36" s="4" t="s">
        <v>15</v>
      </c>
      <c r="D36" s="4">
        <v>18</v>
      </c>
      <c r="E36" s="4">
        <v>109</v>
      </c>
      <c r="N36" s="4">
        <f t="shared" si="0"/>
        <v>127</v>
      </c>
      <c r="O36" s="6">
        <f>VLOOKUP(B36,'[1]Sueldos LC 10-2025'!$A$1:$Q$30,17,FALSE)</f>
        <v>9407.4009474408667</v>
      </c>
    </row>
    <row r="37" spans="1:15" x14ac:dyDescent="0.35">
      <c r="A37" s="3">
        <v>45931</v>
      </c>
      <c r="B37" s="4">
        <v>19</v>
      </c>
      <c r="C37" s="4" t="s">
        <v>16</v>
      </c>
      <c r="H37" s="4">
        <v>46</v>
      </c>
      <c r="M37" s="4">
        <v>86</v>
      </c>
      <c r="N37" s="4">
        <f t="shared" si="0"/>
        <v>132</v>
      </c>
      <c r="O37" s="6">
        <f>VLOOKUP(B37,'[1]Sueldos LC 10-2025'!$A$1:$Q$30,17,FALSE)</f>
        <v>9155.460082272728</v>
      </c>
    </row>
    <row r="38" spans="1:15" x14ac:dyDescent="0.35">
      <c r="A38" s="3">
        <v>45931</v>
      </c>
      <c r="B38" s="4">
        <v>20</v>
      </c>
      <c r="C38" s="4" t="s">
        <v>17</v>
      </c>
      <c r="H38" s="4">
        <v>132</v>
      </c>
      <c r="N38" s="4">
        <f t="shared" si="0"/>
        <v>132</v>
      </c>
      <c r="O38" s="6">
        <f>VLOOKUP(B38,'[1]Sueldos LC 10-2025'!$A$1:$Q$30,17,FALSE)</f>
        <v>9659.5219028030297</v>
      </c>
    </row>
    <row r="39" spans="1:15" x14ac:dyDescent="0.35">
      <c r="A39" s="3">
        <v>45931</v>
      </c>
      <c r="B39" s="4">
        <v>21</v>
      </c>
      <c r="C39" s="4" t="s">
        <v>18</v>
      </c>
      <c r="I39" s="4">
        <v>82</v>
      </c>
      <c r="J39" s="4">
        <v>36</v>
      </c>
      <c r="N39" s="4">
        <f t="shared" si="0"/>
        <v>118</v>
      </c>
      <c r="O39" s="6">
        <f>VLOOKUP(B39,'[1]Sueldos LC 10-2025'!$A$1:$Q$30,17,FALSE)</f>
        <v>9708.309949915254</v>
      </c>
    </row>
    <row r="40" spans="1:15" x14ac:dyDescent="0.35">
      <c r="A40" s="3">
        <v>45931</v>
      </c>
      <c r="B40" s="4">
        <v>27</v>
      </c>
      <c r="C40" s="4" t="s">
        <v>19</v>
      </c>
      <c r="K40" s="4">
        <v>115</v>
      </c>
      <c r="N40" s="4">
        <f t="shared" si="0"/>
        <v>115</v>
      </c>
      <c r="O40" s="6">
        <f>VLOOKUP(B40,'[1]Sueldos LC 10-2025'!$A$1:$Q$30,17,FALSE)</f>
        <v>9612.1727566086956</v>
      </c>
    </row>
    <row r="41" spans="1:15" x14ac:dyDescent="0.35">
      <c r="A41" s="3">
        <v>45931</v>
      </c>
      <c r="B41" s="4">
        <v>28</v>
      </c>
      <c r="C41" s="4" t="s">
        <v>26</v>
      </c>
      <c r="J41" s="4">
        <v>32</v>
      </c>
      <c r="K41" s="4">
        <v>77</v>
      </c>
      <c r="N41" s="4">
        <f t="shared" si="0"/>
        <v>109</v>
      </c>
      <c r="O41" s="6">
        <f>VLOOKUP(B41,'[1]Sueldos LC 10-2025'!$A$1:$Q$30,17,FALSE)</f>
        <v>10483.191883990825</v>
      </c>
    </row>
    <row r="42" spans="1:15" x14ac:dyDescent="0.35">
      <c r="A42" s="3">
        <v>45931</v>
      </c>
      <c r="B42" s="4">
        <v>29</v>
      </c>
      <c r="C42" s="4" t="s">
        <v>20</v>
      </c>
      <c r="J42" s="4">
        <v>36</v>
      </c>
      <c r="K42" s="4">
        <v>73</v>
      </c>
      <c r="N42" s="4">
        <f t="shared" si="0"/>
        <v>109</v>
      </c>
      <c r="O42" s="6">
        <f>VLOOKUP(B42,'[1]Sueldos LC 10-2025'!$A$1:$Q$30,17,FALSE)</f>
        <v>9567.2268119724758</v>
      </c>
    </row>
    <row r="43" spans="1:15" x14ac:dyDescent="0.35">
      <c r="A43" s="3">
        <v>45931</v>
      </c>
      <c r="B43" s="4">
        <v>30</v>
      </c>
      <c r="C43" s="4" t="s">
        <v>27</v>
      </c>
      <c r="D43" s="4">
        <v>43</v>
      </c>
      <c r="E43" s="5">
        <v>77</v>
      </c>
      <c r="F43" s="5"/>
      <c r="G43" s="5"/>
      <c r="N43" s="4">
        <f t="shared" si="0"/>
        <v>120</v>
      </c>
      <c r="O43" s="6">
        <f>VLOOKUP(B43,'[1]Sueldos LC 10-2025'!$A$1:$Q$30,17,FALSE)</f>
        <v>9038.4294641666656</v>
      </c>
    </row>
    <row r="44" spans="1:15" x14ac:dyDescent="0.35">
      <c r="A44" s="3">
        <v>45931</v>
      </c>
      <c r="B44" s="4">
        <v>31</v>
      </c>
      <c r="C44" s="4" t="s">
        <v>28</v>
      </c>
      <c r="J44" s="5">
        <v>112</v>
      </c>
      <c r="N44" s="4">
        <f t="shared" si="0"/>
        <v>112</v>
      </c>
      <c r="O44" s="6">
        <f>VLOOKUP(B44,'[1]Sueldos LC 10-2025'!$A$1:$Q$30,17,FALSE)</f>
        <v>9126.4995916517855</v>
      </c>
    </row>
    <row r="45" spans="1:15" x14ac:dyDescent="0.35">
      <c r="A45" s="3">
        <v>45931</v>
      </c>
      <c r="B45" s="4">
        <v>32</v>
      </c>
      <c r="C45" s="4" t="s">
        <v>29</v>
      </c>
      <c r="L45" s="4">
        <v>117</v>
      </c>
      <c r="N45" s="4">
        <f t="shared" si="0"/>
        <v>117</v>
      </c>
      <c r="O45" s="6">
        <f>VLOOKUP(B45,'[1]Sueldos LC 10-2025'!$A$1:$Q$30,17,FALSE)</f>
        <v>9045.4182661538471</v>
      </c>
    </row>
    <row r="46" spans="1:15" x14ac:dyDescent="0.35">
      <c r="A46" s="3">
        <v>45931</v>
      </c>
      <c r="B46" s="4">
        <v>34</v>
      </c>
      <c r="C46" s="4" t="s">
        <v>31</v>
      </c>
      <c r="D46" s="4">
        <v>117</v>
      </c>
      <c r="N46" s="4">
        <f t="shared" si="0"/>
        <v>117</v>
      </c>
      <c r="O46" s="6">
        <f>VLOOKUP(B46,'[1]Sueldos LC 10-2025'!$A$1:$Q$30,17,FALSE)</f>
        <v>8826.5215606836755</v>
      </c>
    </row>
    <row r="47" spans="1:15" x14ac:dyDescent="0.35">
      <c r="A47" s="3">
        <v>45931</v>
      </c>
      <c r="B47" s="4">
        <v>36</v>
      </c>
      <c r="C47" s="4" t="s">
        <v>32</v>
      </c>
      <c r="M47" s="4">
        <v>89</v>
      </c>
      <c r="N47" s="4">
        <f t="shared" si="0"/>
        <v>89</v>
      </c>
      <c r="O47" s="6">
        <f>VLOOKUP(B47,'[1]Sueldos LC 10-2025'!$A$1:$Q$30,17,FALSE)</f>
        <v>8788.0516385393257</v>
      </c>
    </row>
    <row r="48" spans="1:15" x14ac:dyDescent="0.35">
      <c r="A48" s="3">
        <v>45931</v>
      </c>
      <c r="B48" s="4">
        <v>37</v>
      </c>
      <c r="C48" s="4" t="s">
        <v>33</v>
      </c>
      <c r="M48" s="4">
        <v>87</v>
      </c>
      <c r="N48" s="4">
        <f t="shared" si="0"/>
        <v>87</v>
      </c>
      <c r="O48" s="6">
        <f>VLOOKUP(B48,'[1]Sueldos LC 10-2025'!$A$1:$Q$30,17,FALSE)</f>
        <v>8788.5621133333334</v>
      </c>
    </row>
    <row r="49" spans="1:16" x14ac:dyDescent="0.35">
      <c r="A49" s="3">
        <v>45931</v>
      </c>
      <c r="B49" s="4">
        <v>38</v>
      </c>
      <c r="C49" s="4" t="s">
        <v>34</v>
      </c>
      <c r="M49" s="4">
        <v>88</v>
      </c>
      <c r="N49" s="4">
        <f t="shared" si="0"/>
        <v>88</v>
      </c>
      <c r="O49" s="6">
        <f>VLOOKUP(B49,'[1]Sueldos LC 10-2025'!$A$1:$Q$30,17,FALSE)</f>
        <v>8788.3031044886375</v>
      </c>
    </row>
    <row r="50" spans="1:16" x14ac:dyDescent="0.35">
      <c r="A50" s="3">
        <v>45931</v>
      </c>
      <c r="B50" s="4">
        <v>39</v>
      </c>
      <c r="C50" s="4" t="s">
        <v>35</v>
      </c>
      <c r="J50" s="4">
        <v>67</v>
      </c>
      <c r="N50" s="4">
        <f t="shared" si="0"/>
        <v>67</v>
      </c>
      <c r="O50" s="6">
        <f>VLOOKUP(B50,'[1]Sueldos LC 10-2025'!$A$1:$Q$30,17,FALSE)</f>
        <v>8795.3369153731346</v>
      </c>
    </row>
    <row r="51" spans="1:16" x14ac:dyDescent="0.35">
      <c r="A51" s="3">
        <v>45931</v>
      </c>
      <c r="B51" s="4">
        <v>40</v>
      </c>
      <c r="C51" s="4" t="s">
        <v>36</v>
      </c>
      <c r="M51" s="5">
        <v>76</v>
      </c>
      <c r="N51" s="4">
        <f t="shared" si="0"/>
        <v>76</v>
      </c>
      <c r="O51" s="6">
        <f>VLOOKUP(B51,'[1]Sueldos LC 10-2025'!$A$1:$Q$30,17,FALSE)</f>
        <v>8791.8473084210527</v>
      </c>
    </row>
    <row r="52" spans="1:16" x14ac:dyDescent="0.35">
      <c r="A52" s="3">
        <v>45931</v>
      </c>
      <c r="B52" s="4">
        <v>41</v>
      </c>
      <c r="C52" s="4" t="s">
        <v>37</v>
      </c>
      <c r="D52" s="4">
        <v>42</v>
      </c>
      <c r="N52" s="4">
        <f t="shared" si="0"/>
        <v>42</v>
      </c>
      <c r="O52" s="6">
        <f>VLOOKUP(B52,'[1]Sueldos LC 10-2025'!$A$1:$Q$30,17,FALSE)</f>
        <v>8812.8832523809524</v>
      </c>
    </row>
    <row r="53" spans="1:16" x14ac:dyDescent="0.35">
      <c r="A53" s="3">
        <v>45962</v>
      </c>
      <c r="B53" s="4">
        <v>1</v>
      </c>
      <c r="C53" s="4" t="s">
        <v>3</v>
      </c>
      <c r="D53" s="4">
        <v>47</v>
      </c>
      <c r="G53" s="4">
        <v>65</v>
      </c>
      <c r="H53" s="5">
        <v>11</v>
      </c>
      <c r="N53" s="4">
        <f t="shared" ref="N53:N112" si="1">SUM(D53:M53)</f>
        <v>123</v>
      </c>
      <c r="O53" s="6"/>
      <c r="P53" s="7"/>
    </row>
    <row r="54" spans="1:16" x14ac:dyDescent="0.35">
      <c r="A54" s="3">
        <v>45962</v>
      </c>
      <c r="B54" s="4">
        <v>3</v>
      </c>
      <c r="C54" s="4" t="s">
        <v>4</v>
      </c>
      <c r="D54" s="4">
        <v>123</v>
      </c>
      <c r="N54" s="4">
        <f t="shared" si="1"/>
        <v>123</v>
      </c>
      <c r="O54" s="6"/>
    </row>
    <row r="55" spans="1:16" x14ac:dyDescent="0.35">
      <c r="A55" s="3">
        <v>45962</v>
      </c>
      <c r="B55" s="4">
        <v>4</v>
      </c>
      <c r="C55" s="4" t="s">
        <v>5</v>
      </c>
      <c r="D55" s="5">
        <v>132</v>
      </c>
      <c r="N55" s="4">
        <f t="shared" si="1"/>
        <v>132</v>
      </c>
      <c r="O55" s="6"/>
    </row>
    <row r="56" spans="1:16" x14ac:dyDescent="0.35">
      <c r="A56" s="3">
        <v>45962</v>
      </c>
      <c r="B56" s="4">
        <v>5</v>
      </c>
      <c r="C56" s="4" t="s">
        <v>6</v>
      </c>
      <c r="N56" s="4">
        <f t="shared" si="1"/>
        <v>0</v>
      </c>
      <c r="O56" s="6"/>
    </row>
    <row r="57" spans="1:16" x14ac:dyDescent="0.35">
      <c r="A57" s="3">
        <v>45962</v>
      </c>
      <c r="B57" s="4">
        <v>10</v>
      </c>
      <c r="C57" s="4" t="s">
        <v>8</v>
      </c>
      <c r="L57" s="4">
        <v>120</v>
      </c>
      <c r="N57" s="4">
        <f t="shared" si="1"/>
        <v>120</v>
      </c>
      <c r="O57" s="6"/>
    </row>
    <row r="58" spans="1:16" x14ac:dyDescent="0.35">
      <c r="A58" s="3">
        <v>45962</v>
      </c>
      <c r="B58" s="4">
        <v>11</v>
      </c>
      <c r="C58" s="4" t="s">
        <v>9</v>
      </c>
      <c r="I58" s="4">
        <v>123</v>
      </c>
      <c r="N58" s="4">
        <f t="shared" si="1"/>
        <v>123</v>
      </c>
      <c r="O58" s="6"/>
    </row>
    <row r="59" spans="1:16" x14ac:dyDescent="0.35">
      <c r="A59" s="3">
        <v>45962</v>
      </c>
      <c r="B59" s="4">
        <v>12</v>
      </c>
      <c r="C59" s="4" t="s">
        <v>10</v>
      </c>
      <c r="H59" s="4">
        <v>127</v>
      </c>
      <c r="N59" s="4">
        <f t="shared" si="1"/>
        <v>127</v>
      </c>
      <c r="O59" s="6"/>
    </row>
    <row r="60" spans="1:16" x14ac:dyDescent="0.35">
      <c r="A60" s="3">
        <v>45962</v>
      </c>
      <c r="B60" s="4">
        <v>13</v>
      </c>
      <c r="C60" s="4" t="s">
        <v>11</v>
      </c>
      <c r="F60" s="4">
        <v>29</v>
      </c>
      <c r="M60" s="4">
        <v>84</v>
      </c>
      <c r="N60" s="4">
        <f t="shared" si="1"/>
        <v>113</v>
      </c>
      <c r="O60" s="6"/>
    </row>
    <row r="61" spans="1:16" x14ac:dyDescent="0.35">
      <c r="A61" s="3">
        <v>45962</v>
      </c>
      <c r="B61" s="4">
        <v>14</v>
      </c>
      <c r="C61" s="4" t="s">
        <v>12</v>
      </c>
      <c r="I61" s="4">
        <v>116</v>
      </c>
      <c r="N61" s="4">
        <f t="shared" si="1"/>
        <v>116</v>
      </c>
      <c r="O61" s="6"/>
    </row>
    <row r="62" spans="1:16" x14ac:dyDescent="0.35">
      <c r="A62" s="3">
        <v>45962</v>
      </c>
      <c r="B62" s="4">
        <v>15</v>
      </c>
      <c r="C62" s="4" t="s">
        <v>13</v>
      </c>
      <c r="L62" s="4">
        <v>119</v>
      </c>
      <c r="N62" s="4">
        <f t="shared" si="1"/>
        <v>119</v>
      </c>
      <c r="O62" s="6"/>
    </row>
    <row r="63" spans="1:16" x14ac:dyDescent="0.35">
      <c r="A63" s="3">
        <v>45962</v>
      </c>
      <c r="B63" s="4">
        <v>18</v>
      </c>
      <c r="C63" s="4" t="s">
        <v>15</v>
      </c>
      <c r="D63" s="4">
        <v>23</v>
      </c>
      <c r="E63" s="4">
        <v>87</v>
      </c>
      <c r="N63" s="4">
        <f t="shared" si="1"/>
        <v>110</v>
      </c>
      <c r="O63" s="6"/>
    </row>
    <row r="64" spans="1:16" x14ac:dyDescent="0.35">
      <c r="A64" s="3">
        <v>45962</v>
      </c>
      <c r="B64" s="4">
        <v>19</v>
      </c>
      <c r="C64" s="4" t="s">
        <v>16</v>
      </c>
      <c r="M64" s="4">
        <v>126</v>
      </c>
      <c r="N64" s="4">
        <f t="shared" si="1"/>
        <v>126</v>
      </c>
      <c r="O64" s="6"/>
    </row>
    <row r="65" spans="1:15" x14ac:dyDescent="0.35">
      <c r="A65" s="3">
        <v>45962</v>
      </c>
      <c r="B65" s="4">
        <v>20</v>
      </c>
      <c r="C65" s="4" t="s">
        <v>17</v>
      </c>
      <c r="D65" s="4">
        <v>14</v>
      </c>
      <c r="H65" s="4">
        <v>117</v>
      </c>
      <c r="N65" s="4">
        <f t="shared" si="1"/>
        <v>131</v>
      </c>
      <c r="O65" s="6"/>
    </row>
    <row r="66" spans="1:15" x14ac:dyDescent="0.35">
      <c r="A66" s="3">
        <v>45962</v>
      </c>
      <c r="B66" s="4">
        <v>21</v>
      </c>
      <c r="C66" s="4" t="s">
        <v>18</v>
      </c>
      <c r="I66" s="4">
        <v>120</v>
      </c>
      <c r="N66" s="4">
        <f t="shared" si="1"/>
        <v>120</v>
      </c>
      <c r="O66" s="6"/>
    </row>
    <row r="67" spans="1:15" x14ac:dyDescent="0.35">
      <c r="A67" s="3">
        <v>45962</v>
      </c>
      <c r="B67" s="4">
        <v>27</v>
      </c>
      <c r="C67" s="4" t="s">
        <v>19</v>
      </c>
      <c r="K67" s="4">
        <v>105</v>
      </c>
      <c r="N67" s="4">
        <f t="shared" si="1"/>
        <v>105</v>
      </c>
      <c r="O67" s="6"/>
    </row>
    <row r="68" spans="1:15" x14ac:dyDescent="0.35">
      <c r="A68" s="3">
        <v>45962</v>
      </c>
      <c r="B68" s="4">
        <v>28</v>
      </c>
      <c r="C68" s="5" t="s">
        <v>26</v>
      </c>
      <c r="J68" s="5">
        <v>12</v>
      </c>
      <c r="K68" s="5">
        <v>83</v>
      </c>
      <c r="L68" s="5"/>
      <c r="M68" s="5"/>
      <c r="N68" s="5">
        <f t="shared" si="1"/>
        <v>95</v>
      </c>
      <c r="O68" s="6"/>
    </row>
    <row r="69" spans="1:15" x14ac:dyDescent="0.35">
      <c r="A69" s="3">
        <v>45962</v>
      </c>
      <c r="B69" s="4">
        <v>29</v>
      </c>
      <c r="C69" s="4" t="s">
        <v>20</v>
      </c>
      <c r="J69" s="4">
        <v>24</v>
      </c>
      <c r="K69" s="4">
        <v>79</v>
      </c>
      <c r="N69" s="4">
        <f t="shared" si="1"/>
        <v>103</v>
      </c>
      <c r="O69" s="6"/>
    </row>
    <row r="70" spans="1:15" x14ac:dyDescent="0.35">
      <c r="A70" s="3">
        <v>45962</v>
      </c>
      <c r="B70" s="4">
        <v>30</v>
      </c>
      <c r="C70" s="4" t="s">
        <v>27</v>
      </c>
      <c r="D70" s="4">
        <v>19</v>
      </c>
      <c r="E70" s="4">
        <v>87</v>
      </c>
      <c r="N70" s="4">
        <f t="shared" si="1"/>
        <v>106</v>
      </c>
      <c r="O70" s="6"/>
    </row>
    <row r="71" spans="1:15" x14ac:dyDescent="0.35">
      <c r="A71" s="3">
        <v>45962</v>
      </c>
      <c r="B71" s="4">
        <v>31</v>
      </c>
      <c r="C71" s="4" t="s">
        <v>28</v>
      </c>
      <c r="J71" s="4">
        <v>116</v>
      </c>
      <c r="N71" s="4">
        <f t="shared" si="1"/>
        <v>116</v>
      </c>
      <c r="O71" s="6"/>
    </row>
    <row r="72" spans="1:15" x14ac:dyDescent="0.35">
      <c r="A72" s="3">
        <v>45962</v>
      </c>
      <c r="B72" s="4">
        <v>32</v>
      </c>
      <c r="C72" s="4" t="s">
        <v>29</v>
      </c>
      <c r="L72" s="4">
        <v>112</v>
      </c>
      <c r="N72" s="4">
        <f t="shared" si="1"/>
        <v>112</v>
      </c>
      <c r="O72" s="6"/>
    </row>
    <row r="73" spans="1:15" x14ac:dyDescent="0.35">
      <c r="A73" s="3">
        <v>45962</v>
      </c>
      <c r="B73" s="4">
        <v>34</v>
      </c>
      <c r="C73" s="4" t="s">
        <v>31</v>
      </c>
      <c r="D73" s="4">
        <v>11</v>
      </c>
      <c r="H73" s="4">
        <v>118</v>
      </c>
      <c r="N73" s="4">
        <f t="shared" si="1"/>
        <v>129</v>
      </c>
      <c r="O73" s="6"/>
    </row>
    <row r="74" spans="1:15" x14ac:dyDescent="0.35">
      <c r="A74" s="3">
        <v>45962</v>
      </c>
      <c r="B74" s="4">
        <v>36</v>
      </c>
      <c r="C74" s="4" t="s">
        <v>32</v>
      </c>
      <c r="M74" s="4">
        <v>117</v>
      </c>
      <c r="N74" s="4">
        <f t="shared" si="1"/>
        <v>117</v>
      </c>
      <c r="O74" s="6"/>
    </row>
    <row r="75" spans="1:15" x14ac:dyDescent="0.35">
      <c r="A75" s="3">
        <v>45962</v>
      </c>
      <c r="B75" s="4">
        <v>38</v>
      </c>
      <c r="C75" s="4" t="s">
        <v>34</v>
      </c>
      <c r="M75" s="4">
        <v>119</v>
      </c>
      <c r="N75" s="4">
        <f t="shared" si="1"/>
        <v>119</v>
      </c>
      <c r="O75" s="6"/>
    </row>
    <row r="76" spans="1:15" x14ac:dyDescent="0.35">
      <c r="A76" s="3">
        <v>45962</v>
      </c>
      <c r="B76" s="4">
        <v>39</v>
      </c>
      <c r="C76" s="4" t="s">
        <v>35</v>
      </c>
      <c r="J76" s="4">
        <v>123</v>
      </c>
      <c r="N76" s="4">
        <f t="shared" si="1"/>
        <v>123</v>
      </c>
      <c r="O76" s="6"/>
    </row>
    <row r="77" spans="1:15" s="5" customFormat="1" x14ac:dyDescent="0.35">
      <c r="A77" s="3">
        <v>45962</v>
      </c>
      <c r="B77" s="5">
        <v>40</v>
      </c>
      <c r="C77" s="5" t="s">
        <v>36</v>
      </c>
      <c r="F77" s="5">
        <v>27</v>
      </c>
      <c r="M77" s="5">
        <v>84</v>
      </c>
      <c r="N77" s="5">
        <f t="shared" si="1"/>
        <v>111</v>
      </c>
      <c r="O77" s="8"/>
    </row>
    <row r="78" spans="1:15" x14ac:dyDescent="0.35">
      <c r="A78" s="3">
        <v>45962</v>
      </c>
      <c r="B78" s="4">
        <v>41</v>
      </c>
      <c r="C78" s="4" t="s">
        <v>37</v>
      </c>
      <c r="D78" s="4">
        <v>117</v>
      </c>
      <c r="N78" s="4">
        <f t="shared" si="1"/>
        <v>117</v>
      </c>
      <c r="O78" s="6"/>
    </row>
    <row r="79" spans="1:15" x14ac:dyDescent="0.35">
      <c r="A79" s="3">
        <v>45962</v>
      </c>
      <c r="B79" s="4">
        <v>42</v>
      </c>
      <c r="C79" s="4" t="s">
        <v>41</v>
      </c>
      <c r="D79" s="4">
        <v>111</v>
      </c>
      <c r="N79" s="4">
        <f t="shared" si="1"/>
        <v>111</v>
      </c>
    </row>
    <row r="80" spans="1:15" x14ac:dyDescent="0.35">
      <c r="A80" s="3">
        <v>45962</v>
      </c>
      <c r="B80" s="4">
        <v>43</v>
      </c>
      <c r="C80" s="4" t="s">
        <v>42</v>
      </c>
      <c r="D80" s="4">
        <v>73</v>
      </c>
      <c r="F80" s="4">
        <v>23</v>
      </c>
      <c r="N80" s="4">
        <f t="shared" si="1"/>
        <v>96</v>
      </c>
    </row>
    <row r="81" spans="1:14" x14ac:dyDescent="0.35">
      <c r="A81" s="3">
        <v>45962</v>
      </c>
      <c r="B81" s="4">
        <v>44</v>
      </c>
      <c r="C81" s="4" t="s">
        <v>43</v>
      </c>
      <c r="F81" s="4">
        <v>28</v>
      </c>
      <c r="M81" s="4">
        <v>35</v>
      </c>
      <c r="N81" s="4">
        <f t="shared" si="1"/>
        <v>63</v>
      </c>
    </row>
    <row r="82" spans="1:14" x14ac:dyDescent="0.35">
      <c r="A82" s="3">
        <v>45962</v>
      </c>
      <c r="B82" s="4">
        <v>45</v>
      </c>
      <c r="C82" s="4" t="s">
        <v>44</v>
      </c>
      <c r="G82" s="4">
        <v>59</v>
      </c>
      <c r="N82" s="4">
        <f t="shared" si="1"/>
        <v>59</v>
      </c>
    </row>
    <row r="83" spans="1:14" x14ac:dyDescent="0.35">
      <c r="A83" s="3">
        <v>45992</v>
      </c>
      <c r="B83" s="4">
        <v>30</v>
      </c>
      <c r="C83" s="4" t="s">
        <v>27</v>
      </c>
      <c r="D83" s="5">
        <v>9</v>
      </c>
      <c r="G83" s="4">
        <f>107-9</f>
        <v>98</v>
      </c>
      <c r="N83" s="4">
        <f t="shared" si="1"/>
        <v>107</v>
      </c>
    </row>
    <row r="84" spans="1:14" x14ac:dyDescent="0.35">
      <c r="A84" s="3">
        <v>45992</v>
      </c>
      <c r="B84" s="4">
        <v>45</v>
      </c>
      <c r="C84" s="4" t="s">
        <v>44</v>
      </c>
      <c r="D84" s="5">
        <v>13</v>
      </c>
      <c r="G84" s="4">
        <f>110-13</f>
        <v>97</v>
      </c>
      <c r="N84" s="4">
        <f t="shared" si="1"/>
        <v>110</v>
      </c>
    </row>
    <row r="85" spans="1:14" x14ac:dyDescent="0.35">
      <c r="A85" s="3">
        <v>45992</v>
      </c>
      <c r="B85" s="4">
        <v>10</v>
      </c>
      <c r="C85" s="4" t="s">
        <v>8</v>
      </c>
      <c r="L85" s="4">
        <v>108</v>
      </c>
      <c r="N85" s="4">
        <f t="shared" si="1"/>
        <v>108</v>
      </c>
    </row>
    <row r="86" spans="1:14" x14ac:dyDescent="0.35">
      <c r="A86" s="3">
        <v>45992</v>
      </c>
      <c r="B86" s="4">
        <v>15</v>
      </c>
      <c r="C86" s="4" t="s">
        <v>13</v>
      </c>
      <c r="L86" s="4">
        <v>103</v>
      </c>
      <c r="N86" s="4">
        <f t="shared" si="1"/>
        <v>103</v>
      </c>
    </row>
    <row r="87" spans="1:14" x14ac:dyDescent="0.35">
      <c r="A87" s="3">
        <v>45992</v>
      </c>
      <c r="B87" s="4">
        <v>32</v>
      </c>
      <c r="C87" s="4" t="s">
        <v>29</v>
      </c>
      <c r="L87" s="4">
        <v>105</v>
      </c>
      <c r="N87" s="4">
        <f t="shared" si="1"/>
        <v>105</v>
      </c>
    </row>
    <row r="88" spans="1:14" x14ac:dyDescent="0.35">
      <c r="A88" s="3">
        <v>45992</v>
      </c>
      <c r="B88" s="4">
        <v>19</v>
      </c>
      <c r="C88" s="4" t="s">
        <v>16</v>
      </c>
      <c r="M88" s="4">
        <v>127</v>
      </c>
      <c r="N88" s="4">
        <f t="shared" si="1"/>
        <v>127</v>
      </c>
    </row>
    <row r="89" spans="1:14" x14ac:dyDescent="0.35">
      <c r="A89" s="3">
        <v>45992</v>
      </c>
      <c r="B89" s="4">
        <v>36</v>
      </c>
      <c r="C89" s="4" t="s">
        <v>32</v>
      </c>
      <c r="M89" s="4">
        <v>120</v>
      </c>
      <c r="N89" s="4">
        <f t="shared" si="1"/>
        <v>120</v>
      </c>
    </row>
    <row r="90" spans="1:14" x14ac:dyDescent="0.35">
      <c r="A90" s="3">
        <v>45992</v>
      </c>
      <c r="B90" s="4">
        <v>38</v>
      </c>
      <c r="C90" s="4" t="s">
        <v>34</v>
      </c>
      <c r="M90" s="4">
        <v>118</v>
      </c>
      <c r="N90" s="4">
        <f t="shared" si="1"/>
        <v>118</v>
      </c>
    </row>
    <row r="91" spans="1:14" x14ac:dyDescent="0.35">
      <c r="A91" s="3">
        <v>45992</v>
      </c>
      <c r="B91" s="4">
        <v>27</v>
      </c>
      <c r="C91" s="4" t="s">
        <v>19</v>
      </c>
      <c r="K91" s="4">
        <v>108</v>
      </c>
      <c r="N91" s="4">
        <f t="shared" si="1"/>
        <v>108</v>
      </c>
    </row>
    <row r="92" spans="1:14" x14ac:dyDescent="0.35">
      <c r="A92" s="3">
        <v>45992</v>
      </c>
      <c r="B92" s="4">
        <v>28</v>
      </c>
      <c r="C92" s="4" t="s">
        <v>45</v>
      </c>
      <c r="K92" s="4">
        <v>86</v>
      </c>
      <c r="N92" s="4">
        <f t="shared" si="1"/>
        <v>86</v>
      </c>
    </row>
    <row r="93" spans="1:14" x14ac:dyDescent="0.35">
      <c r="A93" s="3">
        <v>45992</v>
      </c>
      <c r="B93" s="4">
        <v>29</v>
      </c>
      <c r="C93" s="4" t="s">
        <v>20</v>
      </c>
      <c r="J93" s="4">
        <v>13</v>
      </c>
      <c r="K93" s="4">
        <v>88</v>
      </c>
      <c r="N93" s="4">
        <f t="shared" si="1"/>
        <v>101</v>
      </c>
    </row>
    <row r="94" spans="1:14" x14ac:dyDescent="0.35">
      <c r="A94" s="3">
        <v>45992</v>
      </c>
      <c r="B94" s="4">
        <v>1</v>
      </c>
      <c r="C94" s="4" t="s">
        <v>3</v>
      </c>
      <c r="E94" s="4">
        <f>114-H94</f>
        <v>98</v>
      </c>
      <c r="H94" s="4">
        <v>16</v>
      </c>
      <c r="N94" s="4">
        <f t="shared" si="1"/>
        <v>114</v>
      </c>
    </row>
    <row r="95" spans="1:14" x14ac:dyDescent="0.35">
      <c r="A95" s="3">
        <v>45992</v>
      </c>
      <c r="B95" s="4">
        <v>18</v>
      </c>
      <c r="C95" s="4" t="s">
        <v>15</v>
      </c>
      <c r="D95" s="4">
        <v>24</v>
      </c>
      <c r="E95" s="5">
        <f>89-D95</f>
        <v>65</v>
      </c>
      <c r="N95" s="4">
        <f t="shared" si="1"/>
        <v>89</v>
      </c>
    </row>
    <row r="96" spans="1:14" x14ac:dyDescent="0.35">
      <c r="A96" s="3">
        <v>45992</v>
      </c>
      <c r="B96" s="4">
        <v>46</v>
      </c>
      <c r="C96" s="4" t="s">
        <v>46</v>
      </c>
      <c r="F96" s="4">
        <f>117-16</f>
        <v>101</v>
      </c>
      <c r="M96" s="4">
        <v>16</v>
      </c>
      <c r="N96" s="4">
        <f t="shared" si="1"/>
        <v>117</v>
      </c>
    </row>
    <row r="97" spans="1:14" x14ac:dyDescent="0.35">
      <c r="A97" s="3">
        <v>45992</v>
      </c>
      <c r="B97" s="4">
        <v>13</v>
      </c>
      <c r="C97" s="4" t="s">
        <v>11</v>
      </c>
      <c r="F97" s="4">
        <v>101</v>
      </c>
      <c r="M97" s="4">
        <v>11</v>
      </c>
      <c r="N97" s="4">
        <f t="shared" si="1"/>
        <v>112</v>
      </c>
    </row>
    <row r="98" spans="1:14" x14ac:dyDescent="0.35">
      <c r="A98" s="3">
        <v>45992</v>
      </c>
      <c r="B98" s="4">
        <v>40</v>
      </c>
      <c r="C98" s="4" t="s">
        <v>36</v>
      </c>
      <c r="F98" s="4">
        <f>118-20</f>
        <v>98</v>
      </c>
      <c r="M98" s="4">
        <v>20</v>
      </c>
      <c r="N98" s="4">
        <f t="shared" si="1"/>
        <v>118</v>
      </c>
    </row>
    <row r="99" spans="1:14" x14ac:dyDescent="0.35">
      <c r="A99" s="3">
        <v>45992</v>
      </c>
      <c r="B99" s="4">
        <v>3</v>
      </c>
      <c r="C99" s="4" t="s">
        <v>4</v>
      </c>
      <c r="D99" s="4">
        <f>123-E99-H99</f>
        <v>28</v>
      </c>
      <c r="E99" s="4">
        <v>33</v>
      </c>
      <c r="H99" s="4">
        <v>62</v>
      </c>
      <c r="N99" s="4">
        <f t="shared" si="1"/>
        <v>123</v>
      </c>
    </row>
    <row r="100" spans="1:14" x14ac:dyDescent="0.35">
      <c r="A100" s="3">
        <v>45992</v>
      </c>
      <c r="B100" s="4">
        <v>4</v>
      </c>
      <c r="C100" s="4" t="s">
        <v>5</v>
      </c>
      <c r="D100" s="4">
        <v>128</v>
      </c>
      <c r="N100" s="4">
        <f t="shared" si="1"/>
        <v>128</v>
      </c>
    </row>
    <row r="101" spans="1:14" x14ac:dyDescent="0.35">
      <c r="A101" s="3">
        <v>45992</v>
      </c>
      <c r="B101" s="4">
        <v>41</v>
      </c>
      <c r="C101" s="4" t="s">
        <v>37</v>
      </c>
      <c r="D101" s="4">
        <v>121</v>
      </c>
      <c r="N101" s="4">
        <f t="shared" si="1"/>
        <v>121</v>
      </c>
    </row>
    <row r="102" spans="1:14" x14ac:dyDescent="0.35">
      <c r="A102" s="3">
        <v>45992</v>
      </c>
      <c r="B102" s="4">
        <v>42</v>
      </c>
      <c r="C102" s="4" t="s">
        <v>41</v>
      </c>
      <c r="D102" s="4">
        <v>127</v>
      </c>
      <c r="N102" s="4">
        <f t="shared" si="1"/>
        <v>127</v>
      </c>
    </row>
    <row r="103" spans="1:14" x14ac:dyDescent="0.35">
      <c r="A103" s="3">
        <v>45992</v>
      </c>
      <c r="B103" s="9">
        <v>43</v>
      </c>
      <c r="C103" s="9" t="s">
        <v>42</v>
      </c>
      <c r="D103" s="5">
        <v>51</v>
      </c>
      <c r="N103" s="4">
        <f t="shared" si="1"/>
        <v>51</v>
      </c>
    </row>
    <row r="104" spans="1:14" x14ac:dyDescent="0.35">
      <c r="A104" s="3">
        <v>45992</v>
      </c>
      <c r="B104" s="4">
        <v>44</v>
      </c>
      <c r="C104" s="4" t="s">
        <v>43</v>
      </c>
      <c r="D104" s="5">
        <v>118</v>
      </c>
      <c r="N104" s="4">
        <f t="shared" si="1"/>
        <v>118</v>
      </c>
    </row>
    <row r="105" spans="1:14" x14ac:dyDescent="0.35">
      <c r="A105" s="3">
        <v>45992</v>
      </c>
      <c r="B105" s="4">
        <v>47</v>
      </c>
      <c r="C105" s="4" t="s">
        <v>47</v>
      </c>
      <c r="D105" s="5">
        <v>121</v>
      </c>
      <c r="N105" s="4">
        <f t="shared" si="1"/>
        <v>121</v>
      </c>
    </row>
    <row r="106" spans="1:14" x14ac:dyDescent="0.35">
      <c r="A106" s="3">
        <v>45992</v>
      </c>
      <c r="B106" s="4">
        <v>11</v>
      </c>
      <c r="C106" s="4" t="s">
        <v>9</v>
      </c>
      <c r="I106" s="4">
        <v>123</v>
      </c>
      <c r="N106" s="4">
        <f t="shared" si="1"/>
        <v>123</v>
      </c>
    </row>
    <row r="107" spans="1:14" x14ac:dyDescent="0.35">
      <c r="A107" s="3">
        <v>45992</v>
      </c>
      <c r="B107" s="4">
        <v>14</v>
      </c>
      <c r="C107" s="4" t="s">
        <v>12</v>
      </c>
      <c r="I107" s="4">
        <v>121</v>
      </c>
      <c r="N107" s="4">
        <f t="shared" si="1"/>
        <v>121</v>
      </c>
    </row>
    <row r="108" spans="1:14" x14ac:dyDescent="0.35">
      <c r="A108" s="3">
        <v>45992</v>
      </c>
      <c r="B108" s="4">
        <v>21</v>
      </c>
      <c r="C108" s="4" t="s">
        <v>18</v>
      </c>
      <c r="I108" s="4">
        <v>102</v>
      </c>
      <c r="N108" s="4">
        <f t="shared" si="1"/>
        <v>102</v>
      </c>
    </row>
    <row r="109" spans="1:14" x14ac:dyDescent="0.35">
      <c r="A109" s="3">
        <v>45992</v>
      </c>
      <c r="B109" s="4">
        <v>31</v>
      </c>
      <c r="C109" s="4" t="s">
        <v>28</v>
      </c>
      <c r="J109" s="4">
        <v>118</v>
      </c>
      <c r="N109" s="4">
        <f t="shared" si="1"/>
        <v>118</v>
      </c>
    </row>
    <row r="110" spans="1:14" x14ac:dyDescent="0.35">
      <c r="A110" s="3">
        <v>45992</v>
      </c>
      <c r="B110" s="4">
        <v>39</v>
      </c>
      <c r="C110" s="4" t="s">
        <v>35</v>
      </c>
      <c r="J110" s="4">
        <v>117</v>
      </c>
      <c r="N110" s="4">
        <f t="shared" si="1"/>
        <v>117</v>
      </c>
    </row>
    <row r="111" spans="1:14" x14ac:dyDescent="0.35">
      <c r="A111" s="3">
        <v>45992</v>
      </c>
      <c r="B111" s="4">
        <v>49</v>
      </c>
      <c r="C111" s="4" t="s">
        <v>48</v>
      </c>
      <c r="J111" s="4">
        <v>21</v>
      </c>
      <c r="N111" s="4">
        <f t="shared" si="1"/>
        <v>21</v>
      </c>
    </row>
    <row r="112" spans="1:14" x14ac:dyDescent="0.35">
      <c r="A112" s="3">
        <v>45992</v>
      </c>
      <c r="B112" s="4">
        <v>12</v>
      </c>
      <c r="C112" s="4" t="s">
        <v>10</v>
      </c>
      <c r="H112" s="4">
        <v>132</v>
      </c>
      <c r="N112" s="4">
        <f t="shared" si="1"/>
        <v>132</v>
      </c>
    </row>
    <row r="113" spans="1:14" x14ac:dyDescent="0.35">
      <c r="A113" s="3">
        <v>45992</v>
      </c>
      <c r="B113" s="4">
        <v>20</v>
      </c>
      <c r="C113" s="4" t="s">
        <v>17</v>
      </c>
      <c r="H113" s="4">
        <v>131</v>
      </c>
      <c r="N113" s="4">
        <f t="shared" ref="N113:N172" si="2">SUM(D113:M113)</f>
        <v>131</v>
      </c>
    </row>
    <row r="114" spans="1:14" x14ac:dyDescent="0.35">
      <c r="A114" s="3">
        <v>45992</v>
      </c>
      <c r="B114" s="9">
        <v>34</v>
      </c>
      <c r="C114" s="9" t="s">
        <v>31</v>
      </c>
      <c r="H114" s="4">
        <v>27</v>
      </c>
      <c r="N114" s="4">
        <f t="shared" si="2"/>
        <v>27</v>
      </c>
    </row>
    <row r="115" spans="1:14" x14ac:dyDescent="0.35">
      <c r="A115" s="3">
        <v>46023</v>
      </c>
      <c r="B115" s="4">
        <v>30</v>
      </c>
      <c r="C115" s="4" t="s">
        <v>27</v>
      </c>
      <c r="D115" s="4">
        <v>10</v>
      </c>
      <c r="G115" s="4">
        <v>97</v>
      </c>
      <c r="N115" s="4">
        <f t="shared" si="2"/>
        <v>107</v>
      </c>
    </row>
    <row r="116" spans="1:14" x14ac:dyDescent="0.35">
      <c r="A116" s="3">
        <v>46023</v>
      </c>
      <c r="B116" s="4">
        <v>45</v>
      </c>
      <c r="C116" s="4" t="s">
        <v>44</v>
      </c>
      <c r="G116" s="4">
        <v>102</v>
      </c>
      <c r="N116" s="4">
        <f t="shared" si="2"/>
        <v>102</v>
      </c>
    </row>
    <row r="117" spans="1:14" x14ac:dyDescent="0.35">
      <c r="A117" s="3">
        <v>46023</v>
      </c>
      <c r="B117" s="4">
        <v>10</v>
      </c>
      <c r="C117" s="4" t="s">
        <v>8</v>
      </c>
      <c r="L117" s="4">
        <v>81</v>
      </c>
      <c r="N117" s="4">
        <f t="shared" si="2"/>
        <v>81</v>
      </c>
    </row>
    <row r="118" spans="1:14" x14ac:dyDescent="0.35">
      <c r="A118" s="3">
        <v>46023</v>
      </c>
      <c r="B118" s="4">
        <v>15</v>
      </c>
      <c r="C118" s="4" t="s">
        <v>13</v>
      </c>
      <c r="L118" s="4">
        <v>100</v>
      </c>
      <c r="N118" s="4">
        <f t="shared" si="2"/>
        <v>100</v>
      </c>
    </row>
    <row r="119" spans="1:14" x14ac:dyDescent="0.35">
      <c r="A119" s="3">
        <v>46023</v>
      </c>
      <c r="B119" s="4">
        <v>32</v>
      </c>
      <c r="C119" s="4" t="s">
        <v>29</v>
      </c>
      <c r="L119" s="4">
        <v>87</v>
      </c>
      <c r="N119" s="4">
        <f t="shared" si="2"/>
        <v>87</v>
      </c>
    </row>
    <row r="120" spans="1:14" x14ac:dyDescent="0.35">
      <c r="A120" s="3">
        <v>46023</v>
      </c>
      <c r="B120" s="4">
        <v>52</v>
      </c>
      <c r="C120" s="4" t="s">
        <v>51</v>
      </c>
      <c r="L120" s="5">
        <v>100</v>
      </c>
      <c r="N120" s="4">
        <f t="shared" si="2"/>
        <v>100</v>
      </c>
    </row>
    <row r="121" spans="1:14" x14ac:dyDescent="0.35">
      <c r="A121" s="3">
        <v>46023</v>
      </c>
      <c r="B121" s="4">
        <v>51</v>
      </c>
      <c r="C121" s="9" t="s">
        <v>49</v>
      </c>
      <c r="L121" s="5">
        <v>4</v>
      </c>
      <c r="N121" s="4">
        <f t="shared" si="2"/>
        <v>4</v>
      </c>
    </row>
    <row r="122" spans="1:14" x14ac:dyDescent="0.35">
      <c r="A122" s="3">
        <v>46023</v>
      </c>
      <c r="B122" s="4">
        <v>19</v>
      </c>
      <c r="C122" s="4" t="s">
        <v>16</v>
      </c>
      <c r="M122" s="4">
        <v>119</v>
      </c>
      <c r="N122" s="4">
        <f t="shared" si="2"/>
        <v>119</v>
      </c>
    </row>
    <row r="123" spans="1:14" x14ac:dyDescent="0.35">
      <c r="A123" s="3">
        <v>46023</v>
      </c>
      <c r="B123" s="4">
        <v>36</v>
      </c>
      <c r="C123" s="4" t="s">
        <v>32</v>
      </c>
      <c r="M123" s="4">
        <v>92</v>
      </c>
      <c r="N123" s="4">
        <f t="shared" si="2"/>
        <v>92</v>
      </c>
    </row>
    <row r="124" spans="1:14" x14ac:dyDescent="0.35">
      <c r="A124" s="3">
        <v>46023</v>
      </c>
      <c r="B124" s="4">
        <v>38</v>
      </c>
      <c r="C124" s="4" t="s">
        <v>34</v>
      </c>
      <c r="M124" s="4">
        <v>117</v>
      </c>
      <c r="N124" s="4">
        <f t="shared" si="2"/>
        <v>117</v>
      </c>
    </row>
    <row r="125" spans="1:14" x14ac:dyDescent="0.35">
      <c r="A125" s="3">
        <v>46023</v>
      </c>
      <c r="B125" s="4">
        <v>4</v>
      </c>
      <c r="C125" s="4" t="s">
        <v>5</v>
      </c>
      <c r="D125" s="4">
        <v>124</v>
      </c>
      <c r="N125" s="4">
        <f t="shared" si="2"/>
        <v>124</v>
      </c>
    </row>
    <row r="126" spans="1:14" x14ac:dyDescent="0.35">
      <c r="A126" s="3">
        <v>46023</v>
      </c>
      <c r="B126" s="4">
        <v>41</v>
      </c>
      <c r="C126" s="4" t="s">
        <v>37</v>
      </c>
      <c r="D126" s="4">
        <v>125</v>
      </c>
      <c r="N126" s="4">
        <f t="shared" si="2"/>
        <v>125</v>
      </c>
    </row>
    <row r="127" spans="1:14" x14ac:dyDescent="0.35">
      <c r="A127" s="3">
        <v>46023</v>
      </c>
      <c r="B127" s="4">
        <v>42</v>
      </c>
      <c r="C127" s="4" t="s">
        <v>41</v>
      </c>
      <c r="D127" s="4">
        <v>121</v>
      </c>
      <c r="N127" s="4">
        <f t="shared" si="2"/>
        <v>121</v>
      </c>
    </row>
    <row r="128" spans="1:14" x14ac:dyDescent="0.35">
      <c r="A128" s="3">
        <v>46023</v>
      </c>
      <c r="B128" s="4">
        <v>44</v>
      </c>
      <c r="C128" s="4" t="s">
        <v>43</v>
      </c>
      <c r="D128" s="4">
        <f>124-29</f>
        <v>95</v>
      </c>
      <c r="H128" s="4">
        <v>29</v>
      </c>
      <c r="N128" s="4">
        <f t="shared" si="2"/>
        <v>124</v>
      </c>
    </row>
    <row r="129" spans="1:14" x14ac:dyDescent="0.35">
      <c r="A129" s="3">
        <v>46023</v>
      </c>
      <c r="B129" s="4">
        <v>47</v>
      </c>
      <c r="C129" s="4" t="s">
        <v>47</v>
      </c>
      <c r="D129" s="5">
        <v>120</v>
      </c>
      <c r="N129" s="4">
        <f t="shared" si="2"/>
        <v>120</v>
      </c>
    </row>
    <row r="130" spans="1:14" x14ac:dyDescent="0.35">
      <c r="A130" s="3">
        <v>46023</v>
      </c>
      <c r="B130" s="4">
        <v>28</v>
      </c>
      <c r="C130" s="4" t="s">
        <v>45</v>
      </c>
      <c r="K130" s="4">
        <v>87</v>
      </c>
      <c r="N130" s="4">
        <f t="shared" si="2"/>
        <v>87</v>
      </c>
    </row>
    <row r="131" spans="1:14" x14ac:dyDescent="0.35">
      <c r="A131" s="3">
        <v>46023</v>
      </c>
      <c r="B131" s="4">
        <v>27</v>
      </c>
      <c r="C131" s="4" t="s">
        <v>19</v>
      </c>
      <c r="K131" s="4">
        <v>116</v>
      </c>
      <c r="N131" s="4">
        <f t="shared" si="2"/>
        <v>116</v>
      </c>
    </row>
    <row r="132" spans="1:14" x14ac:dyDescent="0.35">
      <c r="A132" s="3">
        <v>46023</v>
      </c>
      <c r="B132" s="4">
        <v>29</v>
      </c>
      <c r="C132" s="4" t="s">
        <v>20</v>
      </c>
      <c r="K132" s="4">
        <v>60</v>
      </c>
      <c r="N132" s="4">
        <f t="shared" si="2"/>
        <v>60</v>
      </c>
    </row>
    <row r="133" spans="1:14" x14ac:dyDescent="0.35">
      <c r="A133" s="3">
        <v>46023</v>
      </c>
      <c r="B133" s="4">
        <v>1</v>
      </c>
      <c r="C133" s="4" t="s">
        <v>3</v>
      </c>
      <c r="E133" s="4">
        <v>52</v>
      </c>
      <c r="H133" s="4">
        <v>6</v>
      </c>
      <c r="N133" s="4">
        <f t="shared" si="2"/>
        <v>58</v>
      </c>
    </row>
    <row r="134" spans="1:14" x14ac:dyDescent="0.35">
      <c r="A134" s="3">
        <v>46023</v>
      </c>
      <c r="B134" s="4">
        <v>18</v>
      </c>
      <c r="C134" s="4" t="s">
        <v>15</v>
      </c>
      <c r="E134" s="4">
        <v>92</v>
      </c>
      <c r="H134" s="4">
        <v>12</v>
      </c>
      <c r="N134" s="4">
        <f t="shared" si="2"/>
        <v>104</v>
      </c>
    </row>
    <row r="135" spans="1:14" x14ac:dyDescent="0.35">
      <c r="A135" s="3">
        <v>46023</v>
      </c>
      <c r="B135" s="4">
        <v>13</v>
      </c>
      <c r="C135" s="4" t="s">
        <v>11</v>
      </c>
      <c r="F135" s="4">
        <v>93</v>
      </c>
      <c r="M135" s="4">
        <v>18</v>
      </c>
      <c r="N135" s="4">
        <f t="shared" si="2"/>
        <v>111</v>
      </c>
    </row>
    <row r="136" spans="1:14" x14ac:dyDescent="0.35">
      <c r="A136" s="3">
        <v>46023</v>
      </c>
      <c r="B136" s="4">
        <v>40</v>
      </c>
      <c r="C136" s="4" t="s">
        <v>36</v>
      </c>
      <c r="F136" s="4">
        <v>73</v>
      </c>
      <c r="M136" s="4">
        <v>18</v>
      </c>
      <c r="N136" s="4">
        <f t="shared" si="2"/>
        <v>91</v>
      </c>
    </row>
    <row r="137" spans="1:14" x14ac:dyDescent="0.35">
      <c r="A137" s="3">
        <v>46023</v>
      </c>
      <c r="B137" s="4">
        <v>46</v>
      </c>
      <c r="C137" s="4" t="s">
        <v>46</v>
      </c>
      <c r="F137" s="4">
        <v>102</v>
      </c>
      <c r="N137" s="4">
        <f t="shared" si="2"/>
        <v>102</v>
      </c>
    </row>
    <row r="138" spans="1:14" x14ac:dyDescent="0.35">
      <c r="A138" s="3">
        <v>46023</v>
      </c>
      <c r="B138" s="4">
        <v>3</v>
      </c>
      <c r="C138" s="4" t="s">
        <v>4</v>
      </c>
      <c r="E138" s="4">
        <v>51</v>
      </c>
      <c r="H138" s="4">
        <v>18</v>
      </c>
      <c r="N138" s="4">
        <f t="shared" si="2"/>
        <v>69</v>
      </c>
    </row>
    <row r="139" spans="1:14" x14ac:dyDescent="0.35">
      <c r="A139" s="3">
        <v>46023</v>
      </c>
      <c r="B139" s="4">
        <v>12</v>
      </c>
      <c r="C139" s="4" t="s">
        <v>10</v>
      </c>
      <c r="H139" s="4">
        <v>132</v>
      </c>
      <c r="N139" s="4">
        <f t="shared" si="2"/>
        <v>132</v>
      </c>
    </row>
    <row r="140" spans="1:14" x14ac:dyDescent="0.35">
      <c r="A140" s="3">
        <v>46023</v>
      </c>
      <c r="B140" s="4">
        <v>20</v>
      </c>
      <c r="C140" s="4" t="s">
        <v>17</v>
      </c>
      <c r="H140" s="4">
        <v>130</v>
      </c>
      <c r="N140" s="4">
        <f t="shared" si="2"/>
        <v>130</v>
      </c>
    </row>
    <row r="141" spans="1:14" x14ac:dyDescent="0.35">
      <c r="A141" s="3">
        <v>46023</v>
      </c>
      <c r="B141" s="4">
        <v>53</v>
      </c>
      <c r="C141" s="4" t="s">
        <v>50</v>
      </c>
      <c r="I141" s="4">
        <v>41</v>
      </c>
      <c r="N141" s="4">
        <f t="shared" si="2"/>
        <v>41</v>
      </c>
    </row>
    <row r="142" spans="1:14" x14ac:dyDescent="0.35">
      <c r="A142" s="3">
        <v>46023</v>
      </c>
      <c r="B142" s="4">
        <v>11</v>
      </c>
      <c r="C142" s="4" t="s">
        <v>9</v>
      </c>
      <c r="I142" s="4">
        <v>127</v>
      </c>
      <c r="N142" s="4">
        <f t="shared" si="2"/>
        <v>127</v>
      </c>
    </row>
    <row r="143" spans="1:14" x14ac:dyDescent="0.35">
      <c r="A143" s="3">
        <v>46023</v>
      </c>
      <c r="B143" s="4">
        <v>14</v>
      </c>
      <c r="C143" s="4" t="s">
        <v>12</v>
      </c>
      <c r="I143" s="4">
        <v>124</v>
      </c>
      <c r="N143" s="4">
        <f t="shared" si="2"/>
        <v>124</v>
      </c>
    </row>
    <row r="144" spans="1:14" x14ac:dyDescent="0.35">
      <c r="A144" s="3">
        <v>46023</v>
      </c>
      <c r="B144" s="4">
        <v>31</v>
      </c>
      <c r="C144" s="4" t="s">
        <v>28</v>
      </c>
      <c r="J144" s="4">
        <v>122</v>
      </c>
      <c r="N144" s="4">
        <f t="shared" si="2"/>
        <v>122</v>
      </c>
    </row>
    <row r="145" spans="1:14" x14ac:dyDescent="0.35">
      <c r="A145" s="3">
        <v>46023</v>
      </c>
      <c r="B145" s="4">
        <v>39</v>
      </c>
      <c r="C145" s="4" t="s">
        <v>35</v>
      </c>
      <c r="J145" s="4">
        <v>108</v>
      </c>
      <c r="N145" s="4">
        <f t="shared" si="2"/>
        <v>108</v>
      </c>
    </row>
    <row r="146" spans="1:14" x14ac:dyDescent="0.35">
      <c r="A146" s="3">
        <v>46023</v>
      </c>
      <c r="B146" s="4">
        <v>49</v>
      </c>
      <c r="C146" s="4" t="s">
        <v>48</v>
      </c>
      <c r="I146" s="4">
        <v>68</v>
      </c>
      <c r="J146" s="4">
        <v>41</v>
      </c>
      <c r="N146" s="4">
        <f t="shared" si="2"/>
        <v>109</v>
      </c>
    </row>
    <row r="147" spans="1:14" x14ac:dyDescent="0.35">
      <c r="A147" s="3">
        <v>46054</v>
      </c>
      <c r="B147" s="4">
        <v>30</v>
      </c>
      <c r="C147" s="4" t="s">
        <v>27</v>
      </c>
      <c r="D147" s="4">
        <v>9</v>
      </c>
      <c r="E147" s="5">
        <v>6</v>
      </c>
      <c r="G147" s="5">
        <v>77</v>
      </c>
      <c r="N147" s="4">
        <f t="shared" si="2"/>
        <v>92</v>
      </c>
    </row>
    <row r="148" spans="1:14" x14ac:dyDescent="0.35">
      <c r="A148" s="3">
        <v>46054</v>
      </c>
      <c r="B148" s="4">
        <v>45</v>
      </c>
      <c r="C148" s="4" t="s">
        <v>44</v>
      </c>
      <c r="G148" s="4">
        <v>79</v>
      </c>
      <c r="N148" s="4">
        <f t="shared" si="2"/>
        <v>79</v>
      </c>
    </row>
    <row r="149" spans="1:14" x14ac:dyDescent="0.35">
      <c r="A149" s="3">
        <v>46054</v>
      </c>
      <c r="B149" s="4">
        <v>10</v>
      </c>
      <c r="C149" s="4" t="s">
        <v>8</v>
      </c>
      <c r="L149" s="4">
        <v>98</v>
      </c>
      <c r="N149" s="4">
        <f t="shared" si="2"/>
        <v>98</v>
      </c>
    </row>
    <row r="150" spans="1:14" x14ac:dyDescent="0.35">
      <c r="A150" s="3">
        <v>46054</v>
      </c>
      <c r="B150" s="4">
        <v>15</v>
      </c>
      <c r="C150" s="4" t="s">
        <v>13</v>
      </c>
      <c r="L150" s="4">
        <v>44</v>
      </c>
      <c r="N150" s="4">
        <f t="shared" si="2"/>
        <v>44</v>
      </c>
    </row>
    <row r="151" spans="1:14" x14ac:dyDescent="0.35">
      <c r="A151" s="3">
        <v>46054</v>
      </c>
      <c r="B151" s="9">
        <v>32</v>
      </c>
      <c r="C151" s="9" t="s">
        <v>29</v>
      </c>
      <c r="L151" s="4">
        <v>69</v>
      </c>
      <c r="N151" s="4">
        <f t="shared" si="2"/>
        <v>69</v>
      </c>
    </row>
    <row r="152" spans="1:14" x14ac:dyDescent="0.35">
      <c r="A152" s="3">
        <v>46054</v>
      </c>
      <c r="B152" s="4">
        <v>52</v>
      </c>
      <c r="C152" s="4" t="s">
        <v>51</v>
      </c>
      <c r="L152" s="5">
        <v>88</v>
      </c>
      <c r="N152" s="4">
        <f t="shared" si="2"/>
        <v>88</v>
      </c>
    </row>
    <row r="153" spans="1:14" x14ac:dyDescent="0.35">
      <c r="A153" s="3">
        <v>46054</v>
      </c>
      <c r="B153" s="4">
        <v>19</v>
      </c>
      <c r="C153" s="4" t="s">
        <v>16</v>
      </c>
      <c r="M153" s="4">
        <v>70</v>
      </c>
      <c r="N153" s="4">
        <f t="shared" si="2"/>
        <v>70</v>
      </c>
    </row>
    <row r="154" spans="1:14" x14ac:dyDescent="0.35">
      <c r="A154" s="3">
        <v>46054</v>
      </c>
      <c r="B154" s="4">
        <v>36</v>
      </c>
      <c r="C154" s="4" t="s">
        <v>32</v>
      </c>
      <c r="M154" s="4">
        <v>110</v>
      </c>
      <c r="N154" s="4">
        <f t="shared" si="2"/>
        <v>110</v>
      </c>
    </row>
    <row r="155" spans="1:14" x14ac:dyDescent="0.35">
      <c r="A155" s="3">
        <v>46054</v>
      </c>
      <c r="B155" s="4">
        <v>38</v>
      </c>
      <c r="C155" s="4" t="s">
        <v>34</v>
      </c>
      <c r="M155" s="4">
        <v>84</v>
      </c>
      <c r="N155" s="4">
        <f t="shared" si="2"/>
        <v>84</v>
      </c>
    </row>
    <row r="156" spans="1:14" x14ac:dyDescent="0.35">
      <c r="A156" s="3">
        <v>46054</v>
      </c>
      <c r="B156" s="4">
        <v>4</v>
      </c>
      <c r="C156" s="4" t="s">
        <v>5</v>
      </c>
      <c r="D156" s="4">
        <v>80</v>
      </c>
      <c r="N156" s="4">
        <f t="shared" si="2"/>
        <v>80</v>
      </c>
    </row>
    <row r="157" spans="1:14" x14ac:dyDescent="0.35">
      <c r="A157" s="3">
        <v>46054</v>
      </c>
      <c r="B157" s="4">
        <v>41</v>
      </c>
      <c r="C157" s="4" t="s">
        <v>37</v>
      </c>
      <c r="D157" s="4">
        <v>110</v>
      </c>
      <c r="N157" s="4">
        <f t="shared" si="2"/>
        <v>110</v>
      </c>
    </row>
    <row r="158" spans="1:14" x14ac:dyDescent="0.35">
      <c r="A158" s="3">
        <v>46054</v>
      </c>
      <c r="B158" s="4">
        <v>42</v>
      </c>
      <c r="C158" s="4" t="s">
        <v>41</v>
      </c>
      <c r="D158" s="4">
        <v>103</v>
      </c>
      <c r="N158" s="4">
        <f t="shared" si="2"/>
        <v>103</v>
      </c>
    </row>
    <row r="159" spans="1:14" x14ac:dyDescent="0.35">
      <c r="A159" s="3">
        <v>46054</v>
      </c>
      <c r="B159" s="4">
        <v>44</v>
      </c>
      <c r="C159" s="4" t="s">
        <v>43</v>
      </c>
      <c r="D159" s="4">
        <f>113-36</f>
        <v>77</v>
      </c>
      <c r="H159" s="4">
        <v>36</v>
      </c>
      <c r="N159" s="4">
        <f t="shared" si="2"/>
        <v>113</v>
      </c>
    </row>
    <row r="160" spans="1:14" x14ac:dyDescent="0.35">
      <c r="A160" s="3">
        <v>46054</v>
      </c>
      <c r="B160" s="4">
        <v>47</v>
      </c>
      <c r="C160" s="4" t="s">
        <v>47</v>
      </c>
      <c r="D160" s="5">
        <v>108</v>
      </c>
      <c r="N160" s="4">
        <f t="shared" si="2"/>
        <v>108</v>
      </c>
    </row>
    <row r="161" spans="1:14" x14ac:dyDescent="0.35">
      <c r="A161" s="3">
        <v>46054</v>
      </c>
      <c r="B161" s="4">
        <v>27</v>
      </c>
      <c r="C161" s="4" t="s">
        <v>19</v>
      </c>
      <c r="K161" s="4">
        <v>50</v>
      </c>
      <c r="N161" s="4">
        <f t="shared" si="2"/>
        <v>50</v>
      </c>
    </row>
    <row r="162" spans="1:14" x14ac:dyDescent="0.35">
      <c r="A162" s="3">
        <v>46054</v>
      </c>
      <c r="B162" s="4">
        <v>28</v>
      </c>
      <c r="C162" s="4" t="s">
        <v>45</v>
      </c>
      <c r="K162" s="4">
        <v>101</v>
      </c>
      <c r="N162" s="4">
        <f t="shared" si="2"/>
        <v>101</v>
      </c>
    </row>
    <row r="163" spans="1:14" x14ac:dyDescent="0.35">
      <c r="A163" s="3">
        <v>46054</v>
      </c>
      <c r="B163" s="4">
        <v>29</v>
      </c>
      <c r="C163" s="4" t="s">
        <v>20</v>
      </c>
      <c r="K163" s="4">
        <v>101</v>
      </c>
      <c r="N163" s="4">
        <f t="shared" si="2"/>
        <v>101</v>
      </c>
    </row>
    <row r="164" spans="1:14" x14ac:dyDescent="0.35">
      <c r="A164" s="3">
        <v>46054</v>
      </c>
      <c r="B164" s="4">
        <v>1</v>
      </c>
      <c r="C164" s="4" t="s">
        <v>3</v>
      </c>
      <c r="E164" s="4">
        <v>79</v>
      </c>
      <c r="N164" s="4">
        <f t="shared" si="2"/>
        <v>79</v>
      </c>
    </row>
    <row r="165" spans="1:14" x14ac:dyDescent="0.35">
      <c r="A165" s="3">
        <v>46054</v>
      </c>
      <c r="B165" s="4">
        <v>18</v>
      </c>
      <c r="C165" s="4" t="s">
        <v>15</v>
      </c>
      <c r="D165" s="4">
        <v>15</v>
      </c>
      <c r="E165" s="5">
        <v>79</v>
      </c>
      <c r="N165" s="4">
        <f t="shared" si="2"/>
        <v>94</v>
      </c>
    </row>
    <row r="166" spans="1:14" x14ac:dyDescent="0.35">
      <c r="A166" s="3">
        <v>46054</v>
      </c>
      <c r="B166" s="4">
        <v>13</v>
      </c>
      <c r="C166" s="4" t="s">
        <v>11</v>
      </c>
      <c r="F166" s="4">
        <v>46</v>
      </c>
      <c r="M166" s="4">
        <v>14</v>
      </c>
      <c r="N166" s="4">
        <f t="shared" si="2"/>
        <v>60</v>
      </c>
    </row>
    <row r="167" spans="1:14" x14ac:dyDescent="0.35">
      <c r="A167" s="3">
        <v>46054</v>
      </c>
      <c r="B167" s="4">
        <v>40</v>
      </c>
      <c r="C167" s="4" t="s">
        <v>36</v>
      </c>
      <c r="F167" s="4">
        <v>86</v>
      </c>
      <c r="M167" s="4">
        <v>10</v>
      </c>
      <c r="N167" s="4">
        <f t="shared" si="2"/>
        <v>96</v>
      </c>
    </row>
    <row r="168" spans="1:14" x14ac:dyDescent="0.35">
      <c r="A168" s="3">
        <v>46054</v>
      </c>
      <c r="B168" s="4">
        <v>46</v>
      </c>
      <c r="C168" s="4" t="s">
        <v>46</v>
      </c>
      <c r="F168" s="4">
        <v>57</v>
      </c>
      <c r="M168" s="4">
        <v>40</v>
      </c>
      <c r="N168" s="4">
        <f t="shared" si="2"/>
        <v>97</v>
      </c>
    </row>
    <row r="169" spans="1:14" x14ac:dyDescent="0.35">
      <c r="A169" s="3">
        <v>46054</v>
      </c>
      <c r="B169" s="4">
        <v>3</v>
      </c>
      <c r="C169" s="4" t="s">
        <v>4</v>
      </c>
      <c r="H169" s="4">
        <v>113</v>
      </c>
      <c r="N169" s="4">
        <f t="shared" si="2"/>
        <v>113</v>
      </c>
    </row>
    <row r="170" spans="1:14" x14ac:dyDescent="0.35">
      <c r="A170" s="3">
        <v>46054</v>
      </c>
      <c r="B170" s="4">
        <v>12</v>
      </c>
      <c r="C170" s="4" t="s">
        <v>10</v>
      </c>
      <c r="H170" s="4">
        <v>114</v>
      </c>
      <c r="N170" s="4">
        <f t="shared" si="2"/>
        <v>114</v>
      </c>
    </row>
    <row r="171" spans="1:14" x14ac:dyDescent="0.35">
      <c r="A171" s="3">
        <v>46054</v>
      </c>
      <c r="B171" s="4">
        <v>20</v>
      </c>
      <c r="C171" s="4" t="s">
        <v>17</v>
      </c>
      <c r="H171" s="4">
        <v>43</v>
      </c>
      <c r="N171" s="4">
        <f t="shared" si="2"/>
        <v>43</v>
      </c>
    </row>
    <row r="172" spans="1:14" x14ac:dyDescent="0.35">
      <c r="A172" s="3">
        <v>46054</v>
      </c>
      <c r="B172" s="4">
        <v>11</v>
      </c>
      <c r="C172" s="4" t="s">
        <v>9</v>
      </c>
      <c r="I172" s="4">
        <v>120</v>
      </c>
      <c r="N172" s="4">
        <f t="shared" si="2"/>
        <v>120</v>
      </c>
    </row>
    <row r="173" spans="1:14" x14ac:dyDescent="0.35">
      <c r="A173" s="3">
        <v>46054</v>
      </c>
      <c r="B173" s="4">
        <v>14</v>
      </c>
      <c r="C173" s="4" t="s">
        <v>12</v>
      </c>
      <c r="I173" s="4">
        <v>75</v>
      </c>
      <c r="N173" s="4">
        <f t="shared" ref="N173:N235" si="3">SUM(D173:M173)</f>
        <v>75</v>
      </c>
    </row>
    <row r="174" spans="1:14" x14ac:dyDescent="0.35">
      <c r="A174" s="3">
        <v>46054</v>
      </c>
      <c r="B174" s="9">
        <v>53</v>
      </c>
      <c r="C174" s="9" t="s">
        <v>50</v>
      </c>
      <c r="I174" s="4">
        <v>73</v>
      </c>
      <c r="N174" s="4">
        <f t="shared" si="3"/>
        <v>73</v>
      </c>
    </row>
    <row r="175" spans="1:14" x14ac:dyDescent="0.35">
      <c r="A175" s="3">
        <v>46054</v>
      </c>
      <c r="B175" s="4">
        <v>31</v>
      </c>
      <c r="C175" s="4" t="s">
        <v>28</v>
      </c>
      <c r="J175" s="4">
        <v>97</v>
      </c>
      <c r="N175" s="4">
        <f t="shared" si="3"/>
        <v>97</v>
      </c>
    </row>
    <row r="176" spans="1:14" x14ac:dyDescent="0.35">
      <c r="A176" s="3">
        <v>46054</v>
      </c>
      <c r="B176" s="4">
        <v>39</v>
      </c>
      <c r="C176" s="4" t="s">
        <v>35</v>
      </c>
      <c r="J176" s="4">
        <v>110</v>
      </c>
      <c r="N176" s="4">
        <f t="shared" si="3"/>
        <v>110</v>
      </c>
    </row>
    <row r="177" spans="1:14" x14ac:dyDescent="0.35">
      <c r="A177" s="3">
        <v>46054</v>
      </c>
      <c r="B177" s="4">
        <v>49</v>
      </c>
      <c r="C177" s="4" t="s">
        <v>48</v>
      </c>
      <c r="I177" s="5">
        <v>47</v>
      </c>
      <c r="J177" s="4">
        <v>43</v>
      </c>
      <c r="K177" s="4">
        <v>12</v>
      </c>
      <c r="N177" s="4">
        <f t="shared" si="3"/>
        <v>102</v>
      </c>
    </row>
    <row r="178" spans="1:14" x14ac:dyDescent="0.35">
      <c r="A178" s="3">
        <v>46082</v>
      </c>
      <c r="B178" s="4">
        <v>10</v>
      </c>
      <c r="C178" s="4" t="s">
        <v>8</v>
      </c>
      <c r="L178" s="4">
        <v>89</v>
      </c>
      <c r="N178" s="4">
        <f t="shared" si="3"/>
        <v>89</v>
      </c>
    </row>
    <row r="179" spans="1:14" x14ac:dyDescent="0.35">
      <c r="A179" s="3">
        <v>46082</v>
      </c>
      <c r="B179" s="4">
        <v>15</v>
      </c>
      <c r="C179" s="4" t="s">
        <v>13</v>
      </c>
      <c r="L179" s="4">
        <v>113</v>
      </c>
      <c r="N179" s="4">
        <f t="shared" si="3"/>
        <v>113</v>
      </c>
    </row>
    <row r="180" spans="1:14" x14ac:dyDescent="0.35">
      <c r="A180" s="3">
        <v>46082</v>
      </c>
      <c r="B180" s="4">
        <v>52</v>
      </c>
      <c r="C180" s="4" t="s">
        <v>51</v>
      </c>
      <c r="L180" s="4">
        <v>99</v>
      </c>
      <c r="N180" s="4">
        <f t="shared" si="3"/>
        <v>99</v>
      </c>
    </row>
    <row r="181" spans="1:14" x14ac:dyDescent="0.35">
      <c r="A181" s="3">
        <v>46082</v>
      </c>
      <c r="B181" s="4">
        <v>19</v>
      </c>
      <c r="C181" s="4" t="s">
        <v>16</v>
      </c>
      <c r="M181" s="4">
        <v>116</v>
      </c>
      <c r="N181" s="4">
        <f t="shared" si="3"/>
        <v>116</v>
      </c>
    </row>
    <row r="182" spans="1:14" x14ac:dyDescent="0.35">
      <c r="A182" s="3">
        <v>46082</v>
      </c>
      <c r="B182" s="4">
        <v>36</v>
      </c>
      <c r="C182" s="4" t="s">
        <v>32</v>
      </c>
      <c r="M182" s="4">
        <v>104</v>
      </c>
      <c r="N182" s="4">
        <f t="shared" si="3"/>
        <v>104</v>
      </c>
    </row>
    <row r="183" spans="1:14" x14ac:dyDescent="0.35">
      <c r="A183" s="3">
        <v>46082</v>
      </c>
      <c r="B183" s="4">
        <v>40</v>
      </c>
      <c r="C183" s="4" t="s">
        <v>36</v>
      </c>
      <c r="F183" s="4">
        <v>9</v>
      </c>
      <c r="M183" s="4">
        <v>101</v>
      </c>
      <c r="N183" s="4">
        <f t="shared" si="3"/>
        <v>110</v>
      </c>
    </row>
    <row r="184" spans="1:14" x14ac:dyDescent="0.35">
      <c r="A184" s="3">
        <v>46082</v>
      </c>
      <c r="B184" s="4">
        <v>4</v>
      </c>
      <c r="C184" s="4" t="s">
        <v>5</v>
      </c>
      <c r="D184" s="4">
        <v>121</v>
      </c>
      <c r="N184" s="4">
        <f t="shared" si="3"/>
        <v>121</v>
      </c>
    </row>
    <row r="185" spans="1:14" x14ac:dyDescent="0.35">
      <c r="A185" s="3">
        <v>46082</v>
      </c>
      <c r="B185" s="4">
        <v>41</v>
      </c>
      <c r="C185" s="4" t="s">
        <v>37</v>
      </c>
      <c r="D185" s="4">
        <v>109</v>
      </c>
      <c r="N185" s="4">
        <f t="shared" si="3"/>
        <v>109</v>
      </c>
    </row>
    <row r="186" spans="1:14" x14ac:dyDescent="0.35">
      <c r="A186" s="3">
        <v>46082</v>
      </c>
      <c r="B186" s="4">
        <v>42</v>
      </c>
      <c r="C186" s="4" t="s">
        <v>41</v>
      </c>
      <c r="D186" s="4">
        <v>119</v>
      </c>
      <c r="N186" s="4">
        <f t="shared" si="3"/>
        <v>119</v>
      </c>
    </row>
    <row r="187" spans="1:14" x14ac:dyDescent="0.35">
      <c r="A187" s="3">
        <v>46082</v>
      </c>
      <c r="B187" s="4">
        <v>44</v>
      </c>
      <c r="C187" s="4" t="s">
        <v>43</v>
      </c>
      <c r="D187" s="5">
        <v>53</v>
      </c>
      <c r="E187" s="4">
        <v>52</v>
      </c>
      <c r="N187" s="4">
        <f t="shared" si="3"/>
        <v>105</v>
      </c>
    </row>
    <row r="188" spans="1:14" x14ac:dyDescent="0.35">
      <c r="A188" s="3">
        <v>46082</v>
      </c>
      <c r="B188" s="4">
        <v>47</v>
      </c>
      <c r="C188" s="4" t="s">
        <v>47</v>
      </c>
      <c r="D188" s="5">
        <v>88</v>
      </c>
      <c r="H188" s="4">
        <v>32</v>
      </c>
      <c r="N188" s="4">
        <f t="shared" si="3"/>
        <v>120</v>
      </c>
    </row>
    <row r="189" spans="1:14" x14ac:dyDescent="0.35">
      <c r="A189" s="3">
        <v>46082</v>
      </c>
      <c r="B189" s="4">
        <v>54</v>
      </c>
      <c r="C189" s="4" t="s">
        <v>59</v>
      </c>
      <c r="D189" s="5">
        <v>49</v>
      </c>
      <c r="N189" s="4">
        <f t="shared" si="3"/>
        <v>49</v>
      </c>
    </row>
    <row r="190" spans="1:14" x14ac:dyDescent="0.35">
      <c r="A190" s="3">
        <v>46082</v>
      </c>
      <c r="B190" s="4">
        <v>27</v>
      </c>
      <c r="C190" s="4" t="s">
        <v>19</v>
      </c>
      <c r="K190" s="4">
        <v>105</v>
      </c>
      <c r="N190" s="4">
        <f t="shared" si="3"/>
        <v>105</v>
      </c>
    </row>
    <row r="191" spans="1:14" x14ac:dyDescent="0.35">
      <c r="A191" s="3">
        <v>46082</v>
      </c>
      <c r="B191" s="4">
        <v>28</v>
      </c>
      <c r="C191" s="4" t="s">
        <v>26</v>
      </c>
      <c r="K191" s="4">
        <v>105</v>
      </c>
      <c r="N191" s="4">
        <f t="shared" si="3"/>
        <v>105</v>
      </c>
    </row>
    <row r="192" spans="1:14" x14ac:dyDescent="0.35">
      <c r="A192" s="3">
        <v>46082</v>
      </c>
      <c r="B192" s="4">
        <v>29</v>
      </c>
      <c r="C192" s="4" t="s">
        <v>20</v>
      </c>
      <c r="J192" s="4">
        <v>27</v>
      </c>
      <c r="K192" s="4">
        <v>79</v>
      </c>
      <c r="N192" s="4">
        <f t="shared" si="3"/>
        <v>106</v>
      </c>
    </row>
    <row r="193" spans="1:14" x14ac:dyDescent="0.35">
      <c r="A193" s="3">
        <v>46082</v>
      </c>
      <c r="B193" s="4">
        <v>1</v>
      </c>
      <c r="C193" s="4" t="s">
        <v>3</v>
      </c>
      <c r="N193" s="4">
        <f t="shared" si="3"/>
        <v>0</v>
      </c>
    </row>
    <row r="194" spans="1:14" x14ac:dyDescent="0.35">
      <c r="A194" s="3">
        <v>46082</v>
      </c>
      <c r="B194" s="4">
        <v>18</v>
      </c>
      <c r="C194" s="4" t="s">
        <v>15</v>
      </c>
      <c r="D194" s="4">
        <v>10</v>
      </c>
      <c r="E194" s="5">
        <v>98</v>
      </c>
      <c r="N194" s="4">
        <f t="shared" si="3"/>
        <v>108</v>
      </c>
    </row>
    <row r="195" spans="1:14" x14ac:dyDescent="0.35">
      <c r="A195" s="3">
        <v>46082</v>
      </c>
      <c r="B195" s="4">
        <v>13</v>
      </c>
      <c r="C195" s="4" t="s">
        <v>11</v>
      </c>
      <c r="E195" s="4">
        <v>23</v>
      </c>
      <c r="F195" s="5">
        <v>71</v>
      </c>
      <c r="M195" s="4">
        <v>16</v>
      </c>
      <c r="N195" s="4">
        <f t="shared" si="3"/>
        <v>110</v>
      </c>
    </row>
    <row r="196" spans="1:14" x14ac:dyDescent="0.35">
      <c r="A196" s="3">
        <v>46082</v>
      </c>
      <c r="B196" s="4">
        <v>38</v>
      </c>
      <c r="C196" s="4" t="s">
        <v>34</v>
      </c>
      <c r="F196" s="4">
        <v>98</v>
      </c>
      <c r="M196" s="4">
        <v>24</v>
      </c>
      <c r="N196" s="4">
        <f t="shared" si="3"/>
        <v>122</v>
      </c>
    </row>
    <row r="197" spans="1:14" x14ac:dyDescent="0.35">
      <c r="A197" s="3">
        <v>46082</v>
      </c>
      <c r="B197" s="4">
        <v>46</v>
      </c>
      <c r="C197" s="4" t="s">
        <v>46</v>
      </c>
      <c r="N197" s="4">
        <f t="shared" si="3"/>
        <v>0</v>
      </c>
    </row>
    <row r="198" spans="1:14" x14ac:dyDescent="0.35">
      <c r="A198" s="3">
        <v>46082</v>
      </c>
      <c r="B198" s="4">
        <v>3</v>
      </c>
      <c r="C198" s="4" t="s">
        <v>4</v>
      </c>
      <c r="H198" s="4">
        <v>125</v>
      </c>
      <c r="N198" s="4">
        <f t="shared" si="3"/>
        <v>125</v>
      </c>
    </row>
    <row r="199" spans="1:14" x14ac:dyDescent="0.35">
      <c r="A199" s="3">
        <v>46082</v>
      </c>
      <c r="B199" s="4">
        <v>12</v>
      </c>
      <c r="C199" s="4" t="s">
        <v>10</v>
      </c>
      <c r="H199" s="4">
        <v>66</v>
      </c>
      <c r="N199" s="4">
        <f t="shared" si="3"/>
        <v>66</v>
      </c>
    </row>
    <row r="200" spans="1:14" x14ac:dyDescent="0.35">
      <c r="A200" s="3">
        <v>46082</v>
      </c>
      <c r="B200" s="4">
        <v>20</v>
      </c>
      <c r="C200" s="4" t="s">
        <v>17</v>
      </c>
      <c r="H200" s="4">
        <v>122</v>
      </c>
      <c r="N200" s="4">
        <f t="shared" si="3"/>
        <v>122</v>
      </c>
    </row>
    <row r="201" spans="1:14" x14ac:dyDescent="0.35">
      <c r="A201" s="3">
        <v>46082</v>
      </c>
      <c r="B201" s="4">
        <v>11</v>
      </c>
      <c r="C201" s="4" t="s">
        <v>9</v>
      </c>
      <c r="I201" s="4">
        <v>69</v>
      </c>
      <c r="N201" s="4">
        <f t="shared" si="3"/>
        <v>69</v>
      </c>
    </row>
    <row r="202" spans="1:14" x14ac:dyDescent="0.35">
      <c r="A202" s="3">
        <v>46082</v>
      </c>
      <c r="B202" s="4">
        <v>14</v>
      </c>
      <c r="C202" s="4" t="s">
        <v>12</v>
      </c>
      <c r="I202" s="4">
        <v>125</v>
      </c>
      <c r="N202" s="4">
        <f t="shared" si="3"/>
        <v>125</v>
      </c>
    </row>
    <row r="203" spans="1:14" x14ac:dyDescent="0.35">
      <c r="A203" s="3">
        <v>46082</v>
      </c>
      <c r="B203" s="4">
        <v>39</v>
      </c>
      <c r="C203" s="4" t="s">
        <v>35</v>
      </c>
      <c r="I203" s="4">
        <v>90</v>
      </c>
      <c r="J203" s="4">
        <v>31</v>
      </c>
      <c r="N203" s="4">
        <f t="shared" si="3"/>
        <v>121</v>
      </c>
    </row>
    <row r="204" spans="1:14" x14ac:dyDescent="0.35">
      <c r="A204" s="3">
        <v>46082</v>
      </c>
      <c r="B204" s="4">
        <v>31</v>
      </c>
      <c r="C204" s="4" t="s">
        <v>28</v>
      </c>
      <c r="J204" s="4">
        <v>126</v>
      </c>
      <c r="N204" s="4">
        <f t="shared" si="3"/>
        <v>126</v>
      </c>
    </row>
    <row r="205" spans="1:14" x14ac:dyDescent="0.35">
      <c r="A205" s="3">
        <v>46082</v>
      </c>
      <c r="B205" s="4">
        <v>49</v>
      </c>
      <c r="C205" s="4" t="s">
        <v>48</v>
      </c>
      <c r="I205" s="5">
        <v>27</v>
      </c>
      <c r="J205" s="4">
        <v>87</v>
      </c>
      <c r="N205" s="4">
        <f t="shared" si="3"/>
        <v>114</v>
      </c>
    </row>
    <row r="206" spans="1:14" x14ac:dyDescent="0.35">
      <c r="A206" s="3">
        <v>46113</v>
      </c>
      <c r="B206" s="4">
        <v>3</v>
      </c>
      <c r="C206" s="4" t="s">
        <v>4</v>
      </c>
      <c r="D206" s="4">
        <v>52</v>
      </c>
      <c r="H206" s="4">
        <v>68</v>
      </c>
      <c r="N206" s="4">
        <f t="shared" si="3"/>
        <v>120</v>
      </c>
    </row>
    <row r="207" spans="1:14" x14ac:dyDescent="0.35">
      <c r="A207" s="3">
        <v>46113</v>
      </c>
      <c r="B207" s="4">
        <v>4</v>
      </c>
      <c r="C207" s="4" t="s">
        <v>5</v>
      </c>
      <c r="D207" s="4">
        <v>132</v>
      </c>
      <c r="N207" s="4">
        <f t="shared" si="3"/>
        <v>132</v>
      </c>
    </row>
    <row r="208" spans="1:14" x14ac:dyDescent="0.35">
      <c r="A208" s="3">
        <v>46113</v>
      </c>
      <c r="B208" s="4">
        <v>10</v>
      </c>
      <c r="C208" s="4" t="s">
        <v>8</v>
      </c>
      <c r="L208" s="4">
        <v>106</v>
      </c>
      <c r="N208" s="4">
        <f t="shared" si="3"/>
        <v>106</v>
      </c>
    </row>
    <row r="209" spans="1:14" x14ac:dyDescent="0.35">
      <c r="A209" s="3">
        <v>46113</v>
      </c>
      <c r="B209" s="4">
        <v>11</v>
      </c>
      <c r="C209" s="4" t="s">
        <v>9</v>
      </c>
      <c r="I209" s="4">
        <v>113</v>
      </c>
      <c r="N209" s="4">
        <f t="shared" si="3"/>
        <v>113</v>
      </c>
    </row>
    <row r="210" spans="1:14" x14ac:dyDescent="0.35">
      <c r="A210" s="3">
        <v>46113</v>
      </c>
      <c r="B210" s="4">
        <v>12</v>
      </c>
      <c r="C210" s="4" t="s">
        <v>10</v>
      </c>
      <c r="H210" s="4">
        <v>132</v>
      </c>
      <c r="N210" s="4">
        <f t="shared" si="3"/>
        <v>132</v>
      </c>
    </row>
    <row r="211" spans="1:14" x14ac:dyDescent="0.35">
      <c r="A211" s="3">
        <v>46113</v>
      </c>
      <c r="B211" s="4">
        <v>13</v>
      </c>
      <c r="C211" s="4" t="s">
        <v>11</v>
      </c>
      <c r="F211" s="4">
        <v>91</v>
      </c>
      <c r="M211" s="4">
        <v>41</v>
      </c>
      <c r="N211" s="4">
        <f t="shared" si="3"/>
        <v>132</v>
      </c>
    </row>
    <row r="212" spans="1:14" x14ac:dyDescent="0.35">
      <c r="A212" s="3">
        <v>46113</v>
      </c>
      <c r="B212" s="4">
        <v>14</v>
      </c>
      <c r="C212" s="4" t="s">
        <v>12</v>
      </c>
      <c r="I212" s="4">
        <v>109</v>
      </c>
      <c r="N212" s="4">
        <f t="shared" si="3"/>
        <v>109</v>
      </c>
    </row>
    <row r="213" spans="1:14" x14ac:dyDescent="0.35">
      <c r="A213" s="3">
        <v>46113</v>
      </c>
      <c r="B213" s="4">
        <v>15</v>
      </c>
      <c r="C213" s="4" t="s">
        <v>13</v>
      </c>
      <c r="L213" s="4">
        <v>108</v>
      </c>
      <c r="N213" s="4">
        <f t="shared" si="3"/>
        <v>108</v>
      </c>
    </row>
    <row r="214" spans="1:14" x14ac:dyDescent="0.35">
      <c r="A214" s="3">
        <v>46113</v>
      </c>
      <c r="B214" s="4">
        <v>18</v>
      </c>
      <c r="C214" s="4" t="s">
        <v>15</v>
      </c>
      <c r="D214" s="4">
        <v>30</v>
      </c>
      <c r="E214" s="5">
        <v>76</v>
      </c>
      <c r="N214" s="4">
        <f t="shared" si="3"/>
        <v>106</v>
      </c>
    </row>
    <row r="215" spans="1:14" x14ac:dyDescent="0.35">
      <c r="A215" s="3">
        <v>46113</v>
      </c>
      <c r="B215" s="4">
        <v>19</v>
      </c>
      <c r="C215" s="4" t="s">
        <v>16</v>
      </c>
      <c r="M215" s="4">
        <v>130</v>
      </c>
      <c r="N215" s="4">
        <f t="shared" si="3"/>
        <v>130</v>
      </c>
    </row>
    <row r="216" spans="1:14" x14ac:dyDescent="0.35">
      <c r="A216" s="3">
        <v>46113</v>
      </c>
      <c r="B216" s="4">
        <v>20</v>
      </c>
      <c r="C216" s="4" t="s">
        <v>17</v>
      </c>
      <c r="H216" s="4">
        <v>132</v>
      </c>
      <c r="N216" s="4">
        <f t="shared" si="3"/>
        <v>132</v>
      </c>
    </row>
    <row r="217" spans="1:14" x14ac:dyDescent="0.35">
      <c r="A217" s="3">
        <v>46113</v>
      </c>
      <c r="B217" s="4">
        <v>27</v>
      </c>
      <c r="C217" s="4" t="s">
        <v>19</v>
      </c>
      <c r="K217" s="4">
        <v>100</v>
      </c>
      <c r="N217" s="4">
        <f t="shared" si="3"/>
        <v>100</v>
      </c>
    </row>
    <row r="218" spans="1:14" x14ac:dyDescent="0.35">
      <c r="A218" s="3">
        <v>46113</v>
      </c>
      <c r="B218" s="4">
        <v>28</v>
      </c>
      <c r="C218" s="4" t="s">
        <v>26</v>
      </c>
      <c r="J218" s="4">
        <v>9</v>
      </c>
      <c r="K218" s="4">
        <v>91</v>
      </c>
      <c r="N218" s="4">
        <f t="shared" si="3"/>
        <v>100</v>
      </c>
    </row>
    <row r="219" spans="1:14" x14ac:dyDescent="0.35">
      <c r="A219" s="3">
        <v>46113</v>
      </c>
      <c r="B219" s="4">
        <v>29</v>
      </c>
      <c r="C219" s="4" t="s">
        <v>20</v>
      </c>
      <c r="J219" s="4">
        <v>23</v>
      </c>
      <c r="K219" s="4">
        <v>80</v>
      </c>
      <c r="N219" s="4">
        <f t="shared" si="3"/>
        <v>103</v>
      </c>
    </row>
    <row r="220" spans="1:14" x14ac:dyDescent="0.35">
      <c r="A220" s="3">
        <v>46113</v>
      </c>
      <c r="B220" s="4">
        <v>31</v>
      </c>
      <c r="C220" s="4" t="s">
        <v>28</v>
      </c>
      <c r="J220" s="4">
        <v>117</v>
      </c>
      <c r="N220" s="4">
        <f t="shared" si="3"/>
        <v>117</v>
      </c>
    </row>
    <row r="221" spans="1:14" x14ac:dyDescent="0.35">
      <c r="A221" s="3">
        <v>46113</v>
      </c>
      <c r="B221" s="4">
        <v>36</v>
      </c>
      <c r="C221" s="4" t="s">
        <v>32</v>
      </c>
      <c r="M221" s="4">
        <v>123</v>
      </c>
      <c r="N221" s="4">
        <f t="shared" si="3"/>
        <v>123</v>
      </c>
    </row>
    <row r="222" spans="1:14" x14ac:dyDescent="0.35">
      <c r="A222" s="3">
        <v>46113</v>
      </c>
      <c r="B222" s="9">
        <v>38</v>
      </c>
      <c r="C222" s="9" t="s">
        <v>34</v>
      </c>
      <c r="F222" s="4">
        <v>37</v>
      </c>
      <c r="N222" s="4">
        <f t="shared" si="3"/>
        <v>37</v>
      </c>
    </row>
    <row r="223" spans="1:14" x14ac:dyDescent="0.35">
      <c r="A223" s="3">
        <v>46113</v>
      </c>
      <c r="B223" s="4">
        <v>39</v>
      </c>
      <c r="C223" s="4" t="s">
        <v>35</v>
      </c>
      <c r="I223" s="4">
        <v>109</v>
      </c>
      <c r="N223" s="4">
        <f t="shared" si="3"/>
        <v>109</v>
      </c>
    </row>
    <row r="224" spans="1:14" x14ac:dyDescent="0.35">
      <c r="A224" s="3">
        <v>46113</v>
      </c>
      <c r="B224" s="9">
        <v>40</v>
      </c>
      <c r="C224" s="9" t="s">
        <v>36</v>
      </c>
      <c r="M224" s="4">
        <v>43</v>
      </c>
      <c r="N224" s="4">
        <f t="shared" si="3"/>
        <v>43</v>
      </c>
    </row>
    <row r="225" spans="1:14" x14ac:dyDescent="0.35">
      <c r="A225" s="3">
        <v>46113</v>
      </c>
      <c r="B225" s="4">
        <v>41</v>
      </c>
      <c r="C225" s="4" t="s">
        <v>37</v>
      </c>
      <c r="D225" s="4">
        <v>44</v>
      </c>
      <c r="M225" s="4">
        <v>71</v>
      </c>
      <c r="N225" s="4">
        <f t="shared" si="3"/>
        <v>115</v>
      </c>
    </row>
    <row r="226" spans="1:14" x14ac:dyDescent="0.35">
      <c r="A226" s="3">
        <v>46113</v>
      </c>
      <c r="B226" s="4">
        <v>42</v>
      </c>
      <c r="C226" s="4" t="s">
        <v>41</v>
      </c>
      <c r="D226" s="4">
        <v>113</v>
      </c>
      <c r="N226" s="4">
        <f t="shared" si="3"/>
        <v>113</v>
      </c>
    </row>
    <row r="227" spans="1:14" x14ac:dyDescent="0.35">
      <c r="A227" s="3">
        <v>46113</v>
      </c>
      <c r="B227" s="4">
        <v>44</v>
      </c>
      <c r="C227" s="4" t="s">
        <v>43</v>
      </c>
      <c r="D227" s="4">
        <v>31</v>
      </c>
      <c r="E227" s="5">
        <v>73</v>
      </c>
      <c r="N227" s="4">
        <f t="shared" si="3"/>
        <v>104</v>
      </c>
    </row>
    <row r="228" spans="1:14" x14ac:dyDescent="0.35">
      <c r="A228" s="3">
        <v>46113</v>
      </c>
      <c r="B228" s="4">
        <v>47</v>
      </c>
      <c r="C228" s="4" t="s">
        <v>47</v>
      </c>
      <c r="D228" s="5">
        <v>114</v>
      </c>
      <c r="N228" s="4">
        <f t="shared" si="3"/>
        <v>114</v>
      </c>
    </row>
    <row r="229" spans="1:14" x14ac:dyDescent="0.35">
      <c r="A229" s="3">
        <v>46113</v>
      </c>
      <c r="B229" s="4">
        <v>49</v>
      </c>
      <c r="C229" s="4" t="s">
        <v>48</v>
      </c>
      <c r="J229" s="4">
        <v>111</v>
      </c>
      <c r="N229" s="4">
        <f t="shared" si="3"/>
        <v>111</v>
      </c>
    </row>
    <row r="230" spans="1:14" x14ac:dyDescent="0.35">
      <c r="A230" s="3">
        <v>46113</v>
      </c>
      <c r="B230" s="4">
        <v>52</v>
      </c>
      <c r="C230" s="4" t="s">
        <v>51</v>
      </c>
      <c r="L230" s="4">
        <v>88</v>
      </c>
      <c r="N230" s="4">
        <f t="shared" si="3"/>
        <v>88</v>
      </c>
    </row>
    <row r="231" spans="1:14" x14ac:dyDescent="0.35">
      <c r="A231" s="3">
        <v>46113</v>
      </c>
      <c r="B231" s="4">
        <v>54</v>
      </c>
      <c r="C231" s="4" t="s">
        <v>59</v>
      </c>
      <c r="D231" s="5">
        <v>40</v>
      </c>
      <c r="F231" s="5">
        <v>85</v>
      </c>
      <c r="N231" s="4">
        <f t="shared" si="3"/>
        <v>125</v>
      </c>
    </row>
    <row r="232" spans="1:14" x14ac:dyDescent="0.35">
      <c r="A232" s="3">
        <v>46113</v>
      </c>
      <c r="B232" s="4">
        <v>55</v>
      </c>
      <c r="C232" s="4" t="s">
        <v>60</v>
      </c>
      <c r="E232" s="4">
        <v>4</v>
      </c>
      <c r="N232" s="4">
        <f t="shared" si="3"/>
        <v>4</v>
      </c>
    </row>
    <row r="233" spans="1:14" x14ac:dyDescent="0.35">
      <c r="A233" s="3">
        <v>46113</v>
      </c>
      <c r="B233" s="4">
        <v>58</v>
      </c>
      <c r="C233" s="4" t="s">
        <v>61</v>
      </c>
      <c r="D233" s="4">
        <v>13</v>
      </c>
      <c r="N233" s="4">
        <f t="shared" si="3"/>
        <v>13</v>
      </c>
    </row>
    <row r="234" spans="1:14" x14ac:dyDescent="0.35">
      <c r="A234" s="3">
        <v>46143</v>
      </c>
      <c r="B234" s="4">
        <v>3</v>
      </c>
      <c r="C234" s="4" t="s">
        <v>4</v>
      </c>
      <c r="D234" s="4">
        <v>75</v>
      </c>
      <c r="H234" s="4">
        <v>45</v>
      </c>
      <c r="N234" s="4">
        <f t="shared" si="3"/>
        <v>120</v>
      </c>
    </row>
    <row r="235" spans="1:14" x14ac:dyDescent="0.35">
      <c r="A235" s="3">
        <v>46143</v>
      </c>
      <c r="B235" s="4">
        <v>4</v>
      </c>
      <c r="C235" s="4" t="s">
        <v>5</v>
      </c>
      <c r="D235" s="5">
        <v>126</v>
      </c>
      <c r="N235" s="4">
        <f t="shared" si="3"/>
        <v>126</v>
      </c>
    </row>
    <row r="236" spans="1:14" x14ac:dyDescent="0.35">
      <c r="A236" s="3">
        <v>46143</v>
      </c>
      <c r="B236" s="4">
        <v>10</v>
      </c>
      <c r="C236" s="4" t="s">
        <v>8</v>
      </c>
      <c r="L236" s="4">
        <v>104</v>
      </c>
      <c r="N236" s="4">
        <f t="shared" ref="N236:N260" si="4">SUM(D236:M236)</f>
        <v>104</v>
      </c>
    </row>
    <row r="237" spans="1:14" x14ac:dyDescent="0.35">
      <c r="A237" s="3">
        <v>46143</v>
      </c>
      <c r="B237" s="4">
        <v>11</v>
      </c>
      <c r="C237" s="4" t="s">
        <v>9</v>
      </c>
      <c r="I237" s="4">
        <v>112</v>
      </c>
      <c r="N237" s="4">
        <f t="shared" si="4"/>
        <v>112</v>
      </c>
    </row>
    <row r="238" spans="1:14" x14ac:dyDescent="0.35">
      <c r="A238" s="3">
        <v>46143</v>
      </c>
      <c r="B238" s="4">
        <v>12</v>
      </c>
      <c r="C238" s="4" t="s">
        <v>10</v>
      </c>
      <c r="H238" s="4">
        <v>69</v>
      </c>
      <c r="N238" s="4">
        <f t="shared" si="4"/>
        <v>69</v>
      </c>
    </row>
    <row r="239" spans="1:14" x14ac:dyDescent="0.35">
      <c r="A239" s="3">
        <v>46143</v>
      </c>
      <c r="B239" s="4">
        <v>14</v>
      </c>
      <c r="C239" s="4" t="s">
        <v>12</v>
      </c>
      <c r="I239" s="4">
        <v>107</v>
      </c>
      <c r="N239" s="4">
        <f t="shared" si="4"/>
        <v>107</v>
      </c>
    </row>
    <row r="240" spans="1:14" x14ac:dyDescent="0.35">
      <c r="A240" s="3">
        <v>46143</v>
      </c>
      <c r="B240" s="4">
        <v>15</v>
      </c>
      <c r="C240" s="4" t="s">
        <v>13</v>
      </c>
      <c r="L240" s="4">
        <v>100</v>
      </c>
      <c r="N240" s="4">
        <f t="shared" si="4"/>
        <v>100</v>
      </c>
    </row>
    <row r="241" spans="1:14" x14ac:dyDescent="0.35">
      <c r="A241" s="3">
        <v>46143</v>
      </c>
      <c r="B241" s="4">
        <v>18</v>
      </c>
      <c r="C241" s="4" t="s">
        <v>15</v>
      </c>
      <c r="D241" s="4">
        <v>12</v>
      </c>
      <c r="E241" s="5">
        <v>99</v>
      </c>
      <c r="H241" s="4">
        <v>21</v>
      </c>
      <c r="N241" s="4">
        <f t="shared" si="4"/>
        <v>132</v>
      </c>
    </row>
    <row r="242" spans="1:14" x14ac:dyDescent="0.35">
      <c r="A242" s="3">
        <v>46143</v>
      </c>
      <c r="B242" s="4">
        <v>19</v>
      </c>
      <c r="C242" s="4" t="s">
        <v>16</v>
      </c>
      <c r="E242" s="4">
        <v>132</v>
      </c>
      <c r="N242" s="4">
        <f t="shared" si="4"/>
        <v>132</v>
      </c>
    </row>
    <row r="243" spans="1:14" x14ac:dyDescent="0.35">
      <c r="A243" s="3">
        <v>46143</v>
      </c>
      <c r="B243" s="4">
        <v>20</v>
      </c>
      <c r="C243" s="4" t="s">
        <v>17</v>
      </c>
      <c r="H243" s="4">
        <v>132</v>
      </c>
      <c r="N243" s="4">
        <f t="shared" si="4"/>
        <v>132</v>
      </c>
    </row>
    <row r="244" spans="1:14" x14ac:dyDescent="0.35">
      <c r="A244" s="3">
        <v>46143</v>
      </c>
      <c r="B244" s="4">
        <v>27</v>
      </c>
      <c r="C244" s="4" t="s">
        <v>19</v>
      </c>
      <c r="K244" s="4">
        <v>113</v>
      </c>
      <c r="N244" s="4">
        <f t="shared" si="4"/>
        <v>113</v>
      </c>
    </row>
    <row r="245" spans="1:14" x14ac:dyDescent="0.35">
      <c r="A245" s="3">
        <v>46143</v>
      </c>
      <c r="B245" s="4">
        <v>28</v>
      </c>
      <c r="C245" s="4" t="s">
        <v>26</v>
      </c>
      <c r="K245" s="4">
        <v>113</v>
      </c>
      <c r="N245" s="4">
        <f t="shared" si="4"/>
        <v>113</v>
      </c>
    </row>
    <row r="246" spans="1:14" x14ac:dyDescent="0.35">
      <c r="A246" s="3">
        <v>46143</v>
      </c>
      <c r="B246" s="4">
        <v>29</v>
      </c>
      <c r="C246" s="4" t="s">
        <v>20</v>
      </c>
      <c r="J246" s="4">
        <v>63</v>
      </c>
      <c r="K246" s="4">
        <v>49</v>
      </c>
      <c r="N246" s="4">
        <f t="shared" si="4"/>
        <v>112</v>
      </c>
    </row>
    <row r="247" spans="1:14" x14ac:dyDescent="0.35">
      <c r="A247" s="3">
        <v>46143</v>
      </c>
      <c r="B247" s="4">
        <v>31</v>
      </c>
      <c r="C247" s="4" t="s">
        <v>28</v>
      </c>
      <c r="J247" s="4">
        <v>110</v>
      </c>
      <c r="N247" s="4">
        <f t="shared" si="4"/>
        <v>110</v>
      </c>
    </row>
    <row r="248" spans="1:14" x14ac:dyDescent="0.35">
      <c r="A248" s="3">
        <v>46143</v>
      </c>
      <c r="B248" s="4">
        <v>36</v>
      </c>
      <c r="C248" s="4" t="s">
        <v>32</v>
      </c>
      <c r="F248" s="4">
        <v>68</v>
      </c>
      <c r="M248" s="4">
        <v>55</v>
      </c>
      <c r="N248" s="4">
        <f t="shared" si="4"/>
        <v>123</v>
      </c>
    </row>
    <row r="249" spans="1:14" x14ac:dyDescent="0.35">
      <c r="A249" s="3">
        <v>46143</v>
      </c>
      <c r="B249" s="4">
        <v>39</v>
      </c>
      <c r="C249" s="4" t="s">
        <v>35</v>
      </c>
      <c r="I249" s="4">
        <v>94</v>
      </c>
      <c r="K249" s="5">
        <v>12</v>
      </c>
      <c r="N249" s="4">
        <f t="shared" si="4"/>
        <v>106</v>
      </c>
    </row>
    <row r="250" spans="1:14" x14ac:dyDescent="0.35">
      <c r="A250" s="3">
        <v>46143</v>
      </c>
      <c r="B250" s="4">
        <v>41</v>
      </c>
      <c r="C250" s="4" t="s">
        <v>37</v>
      </c>
      <c r="F250" s="4">
        <v>9</v>
      </c>
      <c r="M250" s="4">
        <v>113</v>
      </c>
      <c r="N250" s="4">
        <f t="shared" si="4"/>
        <v>122</v>
      </c>
    </row>
    <row r="251" spans="1:14" x14ac:dyDescent="0.35">
      <c r="A251" s="3">
        <v>46143</v>
      </c>
      <c r="B251" s="4">
        <v>42</v>
      </c>
      <c r="C251" s="4" t="s">
        <v>41</v>
      </c>
      <c r="D251" s="4">
        <v>125</v>
      </c>
      <c r="N251" s="4">
        <f t="shared" si="4"/>
        <v>125</v>
      </c>
    </row>
    <row r="252" spans="1:14" x14ac:dyDescent="0.35">
      <c r="A252" s="3">
        <v>46143</v>
      </c>
      <c r="B252" s="4">
        <v>44</v>
      </c>
      <c r="C252" s="4" t="s">
        <v>43</v>
      </c>
      <c r="D252" s="4">
        <v>20</v>
      </c>
      <c r="N252" s="4">
        <f t="shared" si="4"/>
        <v>20</v>
      </c>
    </row>
    <row r="253" spans="1:14" x14ac:dyDescent="0.35">
      <c r="A253" s="3">
        <v>46143</v>
      </c>
      <c r="B253" s="4">
        <v>47</v>
      </c>
      <c r="C253" s="4" t="s">
        <v>47</v>
      </c>
      <c r="D253" s="4">
        <v>49</v>
      </c>
      <c r="H253" s="4">
        <v>69</v>
      </c>
      <c r="N253" s="4">
        <f t="shared" si="4"/>
        <v>118</v>
      </c>
    </row>
    <row r="254" spans="1:14" x14ac:dyDescent="0.35">
      <c r="A254" s="3">
        <v>46143</v>
      </c>
      <c r="B254" s="4">
        <v>49</v>
      </c>
      <c r="C254" s="4" t="s">
        <v>48</v>
      </c>
      <c r="J254" s="4">
        <v>102</v>
      </c>
      <c r="N254" s="4">
        <f t="shared" si="4"/>
        <v>102</v>
      </c>
    </row>
    <row r="255" spans="1:14" x14ac:dyDescent="0.35">
      <c r="A255" s="3">
        <v>46143</v>
      </c>
      <c r="B255" s="4">
        <v>52</v>
      </c>
      <c r="C255" s="4" t="s">
        <v>51</v>
      </c>
      <c r="L255" s="4">
        <v>89</v>
      </c>
      <c r="N255" s="4">
        <f t="shared" si="4"/>
        <v>89</v>
      </c>
    </row>
    <row r="256" spans="1:14" x14ac:dyDescent="0.35">
      <c r="A256" s="3">
        <v>46143</v>
      </c>
      <c r="B256" s="4">
        <v>54</v>
      </c>
      <c r="C256" s="4" t="s">
        <v>59</v>
      </c>
      <c r="E256" s="4">
        <v>18</v>
      </c>
      <c r="F256" s="4">
        <v>87</v>
      </c>
      <c r="M256" s="4">
        <v>12</v>
      </c>
      <c r="N256" s="4">
        <f t="shared" si="4"/>
        <v>117</v>
      </c>
    </row>
    <row r="257" spans="1:14" x14ac:dyDescent="0.35">
      <c r="A257" s="3">
        <v>46143</v>
      </c>
      <c r="B257" s="4">
        <v>58</v>
      </c>
      <c r="C257" s="4" t="s">
        <v>61</v>
      </c>
      <c r="D257" s="4">
        <v>115</v>
      </c>
      <c r="N257" s="4">
        <f t="shared" si="4"/>
        <v>115</v>
      </c>
    </row>
    <row r="258" spans="1:14" x14ac:dyDescent="0.35">
      <c r="A258" s="3">
        <v>46143</v>
      </c>
      <c r="B258" s="4">
        <v>59</v>
      </c>
      <c r="C258" s="4" t="s">
        <v>64</v>
      </c>
      <c r="F258" s="4">
        <v>16</v>
      </c>
      <c r="M258" s="4">
        <v>61</v>
      </c>
      <c r="N258" s="4">
        <f t="shared" si="4"/>
        <v>77</v>
      </c>
    </row>
    <row r="259" spans="1:14" x14ac:dyDescent="0.35">
      <c r="A259" s="3">
        <v>46143</v>
      </c>
      <c r="B259" s="4">
        <v>60</v>
      </c>
      <c r="C259" s="4" t="s">
        <v>65</v>
      </c>
      <c r="F259" s="4">
        <v>17</v>
      </c>
      <c r="M259" s="4">
        <v>65</v>
      </c>
      <c r="N259" s="4">
        <f t="shared" si="4"/>
        <v>82</v>
      </c>
    </row>
    <row r="260" spans="1:14" x14ac:dyDescent="0.35">
      <c r="A260" s="3">
        <v>46143</v>
      </c>
      <c r="B260" s="4">
        <v>61</v>
      </c>
      <c r="C260" s="4" t="s">
        <v>66</v>
      </c>
      <c r="D260" s="4">
        <v>53</v>
      </c>
      <c r="N260" s="4">
        <f t="shared" si="4"/>
        <v>53</v>
      </c>
    </row>
  </sheetData>
  <autoFilter ref="A1:O2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140" zoomScaleNormal="140" workbookViewId="0">
      <pane ySplit="1" topLeftCell="A24" activePane="bottomLeft" state="frozen"/>
      <selection pane="bottomLeft" activeCell="D32" sqref="D32"/>
    </sheetView>
  </sheetViews>
  <sheetFormatPr baseColWidth="10" defaultRowHeight="14.5" x14ac:dyDescent="0.35"/>
  <cols>
    <col min="2" max="2" width="21.36328125" bestFit="1" customWidth="1"/>
  </cols>
  <sheetData>
    <row r="1" spans="1:6" x14ac:dyDescent="0.35">
      <c r="A1" t="s">
        <v>23</v>
      </c>
      <c r="B1" t="s">
        <v>24</v>
      </c>
      <c r="C1" t="s">
        <v>52</v>
      </c>
      <c r="D1" t="s">
        <v>58</v>
      </c>
      <c r="E1" t="s">
        <v>62</v>
      </c>
      <c r="F1" t="s">
        <v>63</v>
      </c>
    </row>
    <row r="2" spans="1:6" x14ac:dyDescent="0.35">
      <c r="A2" s="4">
        <v>1</v>
      </c>
      <c r="B2" s="4" t="s">
        <v>3</v>
      </c>
      <c r="C2" t="s">
        <v>53</v>
      </c>
      <c r="D2" s="10">
        <v>46088</v>
      </c>
    </row>
    <row r="3" spans="1:6" x14ac:dyDescent="0.35">
      <c r="A3" s="4">
        <v>3</v>
      </c>
      <c r="B3" s="4" t="s">
        <v>4</v>
      </c>
      <c r="C3" t="s">
        <v>1</v>
      </c>
    </row>
    <row r="4" spans="1:6" x14ac:dyDescent="0.35">
      <c r="A4" s="4">
        <v>4</v>
      </c>
      <c r="B4" s="4" t="s">
        <v>5</v>
      </c>
      <c r="C4" t="s">
        <v>0</v>
      </c>
    </row>
    <row r="5" spans="1:6" x14ac:dyDescent="0.35">
      <c r="A5" s="4">
        <v>10</v>
      </c>
      <c r="B5" s="4" t="s">
        <v>8</v>
      </c>
      <c r="C5" t="s">
        <v>54</v>
      </c>
    </row>
    <row r="6" spans="1:6" x14ac:dyDescent="0.35">
      <c r="A6" s="4">
        <v>11</v>
      </c>
      <c r="B6" s="4" t="s">
        <v>9</v>
      </c>
      <c r="C6" t="s">
        <v>55</v>
      </c>
    </row>
    <row r="7" spans="1:6" x14ac:dyDescent="0.35">
      <c r="A7" s="4">
        <v>12</v>
      </c>
      <c r="B7" s="4" t="s">
        <v>10</v>
      </c>
      <c r="C7" t="s">
        <v>1</v>
      </c>
    </row>
    <row r="8" spans="1:6" x14ac:dyDescent="0.35">
      <c r="A8" s="4">
        <v>13</v>
      </c>
      <c r="B8" s="4" t="s">
        <v>11</v>
      </c>
      <c r="C8" t="s">
        <v>39</v>
      </c>
    </row>
    <row r="9" spans="1:6" x14ac:dyDescent="0.35">
      <c r="A9" s="4">
        <v>14</v>
      </c>
      <c r="B9" s="4" t="s">
        <v>12</v>
      </c>
      <c r="C9" t="s">
        <v>55</v>
      </c>
    </row>
    <row r="10" spans="1:6" x14ac:dyDescent="0.35">
      <c r="A10" s="4">
        <v>15</v>
      </c>
      <c r="B10" s="4" t="s">
        <v>13</v>
      </c>
      <c r="C10" t="s">
        <v>54</v>
      </c>
    </row>
    <row r="11" spans="1:6" x14ac:dyDescent="0.35">
      <c r="A11" s="4">
        <v>18</v>
      </c>
      <c r="B11" s="4" t="s">
        <v>15</v>
      </c>
      <c r="C11" t="s">
        <v>53</v>
      </c>
    </row>
    <row r="12" spans="1:6" x14ac:dyDescent="0.35">
      <c r="A12" s="4">
        <v>19</v>
      </c>
      <c r="B12" s="4" t="s">
        <v>16</v>
      </c>
      <c r="C12" t="s">
        <v>56</v>
      </c>
    </row>
    <row r="13" spans="1:6" x14ac:dyDescent="0.35">
      <c r="A13" s="4">
        <v>20</v>
      </c>
      <c r="B13" s="4" t="s">
        <v>17</v>
      </c>
      <c r="C13" t="s">
        <v>1</v>
      </c>
    </row>
    <row r="14" spans="1:6" x14ac:dyDescent="0.35">
      <c r="A14" s="4">
        <v>21</v>
      </c>
      <c r="B14" s="4" t="s">
        <v>18</v>
      </c>
      <c r="C14" t="s">
        <v>55</v>
      </c>
      <c r="D14" s="10">
        <v>46034</v>
      </c>
    </row>
    <row r="15" spans="1:6" x14ac:dyDescent="0.35">
      <c r="A15" s="4">
        <v>27</v>
      </c>
      <c r="B15" s="4" t="s">
        <v>19</v>
      </c>
      <c r="C15" t="s">
        <v>2</v>
      </c>
    </row>
    <row r="16" spans="1:6" x14ac:dyDescent="0.35">
      <c r="A16" s="4">
        <v>28</v>
      </c>
      <c r="B16" s="4" t="s">
        <v>45</v>
      </c>
      <c r="C16" t="s">
        <v>2</v>
      </c>
    </row>
    <row r="17" spans="1:6" x14ac:dyDescent="0.35">
      <c r="A17" s="4">
        <v>29</v>
      </c>
      <c r="B17" s="4" t="s">
        <v>20</v>
      </c>
      <c r="C17" t="s">
        <v>2</v>
      </c>
      <c r="D17" s="10"/>
      <c r="E17" s="10">
        <v>46143</v>
      </c>
      <c r="F17" t="s">
        <v>57</v>
      </c>
    </row>
    <row r="18" spans="1:6" x14ac:dyDescent="0.35">
      <c r="A18" s="4">
        <v>30</v>
      </c>
      <c r="B18" s="4" t="s">
        <v>27</v>
      </c>
      <c r="C18" t="s">
        <v>40</v>
      </c>
      <c r="D18" s="10">
        <v>46081</v>
      </c>
    </row>
    <row r="19" spans="1:6" x14ac:dyDescent="0.35">
      <c r="A19" s="4">
        <v>31</v>
      </c>
      <c r="B19" s="4" t="s">
        <v>28</v>
      </c>
      <c r="C19" t="s">
        <v>57</v>
      </c>
    </row>
    <row r="20" spans="1:6" x14ac:dyDescent="0.35">
      <c r="A20" s="4">
        <v>32</v>
      </c>
      <c r="B20" s="4" t="s">
        <v>29</v>
      </c>
      <c r="C20" t="s">
        <v>54</v>
      </c>
      <c r="D20" s="10">
        <v>46076</v>
      </c>
    </row>
    <row r="21" spans="1:6" x14ac:dyDescent="0.35">
      <c r="A21" s="5">
        <v>34</v>
      </c>
      <c r="B21" s="5" t="s">
        <v>31</v>
      </c>
      <c r="C21" t="s">
        <v>1</v>
      </c>
      <c r="D21" s="10">
        <v>45998</v>
      </c>
    </row>
    <row r="22" spans="1:6" x14ac:dyDescent="0.35">
      <c r="A22" s="4">
        <v>36</v>
      </c>
      <c r="B22" s="4" t="s">
        <v>32</v>
      </c>
      <c r="C22" t="s">
        <v>56</v>
      </c>
    </row>
    <row r="23" spans="1:6" x14ac:dyDescent="0.35">
      <c r="A23" s="4">
        <v>38</v>
      </c>
      <c r="B23" s="4" t="s">
        <v>34</v>
      </c>
      <c r="C23" t="s">
        <v>56</v>
      </c>
      <c r="D23" s="10">
        <v>46123</v>
      </c>
    </row>
    <row r="24" spans="1:6" x14ac:dyDescent="0.35">
      <c r="A24" s="4">
        <v>39</v>
      </c>
      <c r="B24" s="4" t="s">
        <v>35</v>
      </c>
      <c r="C24" t="s">
        <v>57</v>
      </c>
      <c r="D24" s="11"/>
      <c r="E24" s="10">
        <v>46082</v>
      </c>
      <c r="F24" t="s">
        <v>55</v>
      </c>
    </row>
    <row r="25" spans="1:6" x14ac:dyDescent="0.35">
      <c r="A25" s="4">
        <v>40</v>
      </c>
      <c r="B25" s="4" t="s">
        <v>36</v>
      </c>
      <c r="C25" t="s">
        <v>39</v>
      </c>
      <c r="D25" s="10">
        <v>46123</v>
      </c>
    </row>
    <row r="26" spans="1:6" x14ac:dyDescent="0.35">
      <c r="A26" s="4">
        <v>41</v>
      </c>
      <c r="B26" s="4" t="s">
        <v>37</v>
      </c>
      <c r="C26" t="s">
        <v>0</v>
      </c>
      <c r="E26" s="10">
        <v>46113</v>
      </c>
      <c r="F26" t="s">
        <v>56</v>
      </c>
    </row>
    <row r="27" spans="1:6" x14ac:dyDescent="0.35">
      <c r="A27" s="4">
        <v>42</v>
      </c>
      <c r="B27" s="4" t="s">
        <v>41</v>
      </c>
      <c r="C27" t="s">
        <v>0</v>
      </c>
    </row>
    <row r="28" spans="1:6" x14ac:dyDescent="0.35">
      <c r="A28" s="5">
        <v>43</v>
      </c>
      <c r="B28" s="5" t="s">
        <v>42</v>
      </c>
      <c r="C28" t="s">
        <v>0</v>
      </c>
      <c r="D28" s="10">
        <v>46007</v>
      </c>
    </row>
    <row r="29" spans="1:6" x14ac:dyDescent="0.35">
      <c r="A29" s="4">
        <v>44</v>
      </c>
      <c r="B29" s="4" t="s">
        <v>43</v>
      </c>
      <c r="C29" t="s">
        <v>0</v>
      </c>
      <c r="D29" s="10">
        <v>46149</v>
      </c>
      <c r="E29" s="10">
        <v>46113</v>
      </c>
      <c r="F29" t="s">
        <v>53</v>
      </c>
    </row>
    <row r="30" spans="1:6" x14ac:dyDescent="0.35">
      <c r="A30" s="4">
        <v>45</v>
      </c>
      <c r="B30" s="4" t="s">
        <v>44</v>
      </c>
      <c r="C30" t="s">
        <v>40</v>
      </c>
      <c r="D30" s="10">
        <v>46081</v>
      </c>
    </row>
    <row r="31" spans="1:6" x14ac:dyDescent="0.35">
      <c r="A31" s="4">
        <v>46</v>
      </c>
      <c r="B31" s="4" t="s">
        <v>46</v>
      </c>
      <c r="C31" t="s">
        <v>39</v>
      </c>
      <c r="D31" s="10">
        <v>46097</v>
      </c>
    </row>
    <row r="32" spans="1:6" x14ac:dyDescent="0.35">
      <c r="A32" s="4">
        <v>47</v>
      </c>
      <c r="B32" s="4" t="s">
        <v>47</v>
      </c>
      <c r="C32" t="s">
        <v>0</v>
      </c>
      <c r="D32" s="10">
        <v>46171</v>
      </c>
    </row>
    <row r="33" spans="1:4" x14ac:dyDescent="0.35">
      <c r="A33" s="4">
        <v>49</v>
      </c>
      <c r="B33" s="4" t="s">
        <v>48</v>
      </c>
      <c r="C33" t="s">
        <v>57</v>
      </c>
    </row>
    <row r="34" spans="1:4" x14ac:dyDescent="0.35">
      <c r="A34" s="5">
        <v>51</v>
      </c>
      <c r="B34" s="5" t="s">
        <v>49</v>
      </c>
      <c r="C34" t="s">
        <v>54</v>
      </c>
      <c r="D34" s="10">
        <v>46032</v>
      </c>
    </row>
    <row r="35" spans="1:4" x14ac:dyDescent="0.35">
      <c r="A35" s="4">
        <v>52</v>
      </c>
      <c r="B35" s="4" t="s">
        <v>51</v>
      </c>
      <c r="C35" t="s">
        <v>54</v>
      </c>
    </row>
    <row r="36" spans="1:4" x14ac:dyDescent="0.35">
      <c r="A36" s="4">
        <v>53</v>
      </c>
      <c r="B36" s="4" t="s">
        <v>50</v>
      </c>
      <c r="C36" t="s">
        <v>55</v>
      </c>
      <c r="D36" s="10">
        <v>46076</v>
      </c>
    </row>
    <row r="37" spans="1:4" x14ac:dyDescent="0.35">
      <c r="A37" s="4">
        <v>54</v>
      </c>
      <c r="B37" s="4" t="s">
        <v>59</v>
      </c>
      <c r="C37" t="s">
        <v>0</v>
      </c>
    </row>
    <row r="38" spans="1:4" x14ac:dyDescent="0.35">
      <c r="A38" s="4">
        <v>55</v>
      </c>
      <c r="B38" s="4" t="s">
        <v>60</v>
      </c>
      <c r="C38" t="s">
        <v>53</v>
      </c>
      <c r="D38" s="10">
        <v>46119</v>
      </c>
    </row>
    <row r="39" spans="1:4" x14ac:dyDescent="0.35">
      <c r="A39" s="4">
        <v>58</v>
      </c>
      <c r="B39" s="4" t="s">
        <v>61</v>
      </c>
      <c r="C39" t="s">
        <v>0</v>
      </c>
      <c r="D39" s="10"/>
    </row>
  </sheetData>
  <autoFilter ref="A1:F37"/>
  <sortState ref="A2:B169">
    <sortCondition ref="A1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x hora</vt:lpstr>
      <vt:lpstr>vendedora-tienda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2025-10-17T20:24:13Z</dcterms:created>
  <dcterms:modified xsi:type="dcterms:W3CDTF">2026-06-12T16:24:25Z</dcterms:modified>
</cp:coreProperties>
</file>