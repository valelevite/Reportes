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 defaultThemeVersion="164011"/>
  <mc:AlternateContent xmlns:mc="http://schemas.openxmlformats.org/markup-compatibility/2006">
    <mc:Choice Requires="x15">
      <x15ac:absPath xmlns:x15ac="http://schemas.microsoft.com/office/spreadsheetml/2010/11/ac" url="C:\Users\PC\Documents\Valeria\Reportes\Reporte_gastos\Sueldos\"/>
    </mc:Choice>
  </mc:AlternateContent>
  <bookViews>
    <workbookView xWindow="0" yWindow="0" windowWidth="19200" windowHeight="6310"/>
  </bookViews>
  <sheets>
    <sheet name="tabla x hora" sheetId="1" r:id="rId1"/>
    <sheet name="vendedora-tienda" sheetId="3" r:id="rId2"/>
  </sheets>
  <definedNames>
    <definedName name="_xlnm._FilterDatabase" localSheetId="0" hidden="1">'tabla x hora'!$A$1:$O$315</definedName>
    <definedName name="_xlnm._FilterDatabase" localSheetId="1" hidden="1">'vendedora-tienda'!$A$1:$F$40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14" i="1" l="1"/>
  <c r="O313" i="1"/>
  <c r="O312" i="1"/>
  <c r="O311" i="1"/>
  <c r="O310" i="1"/>
  <c r="O309" i="1"/>
  <c r="O308" i="1"/>
  <c r="O307" i="1"/>
  <c r="O306" i="1"/>
  <c r="O305" i="1"/>
  <c r="O304" i="1"/>
  <c r="O303" i="1"/>
  <c r="O302" i="1"/>
  <c r="O301" i="1"/>
  <c r="O300" i="1"/>
  <c r="O299" i="1"/>
  <c r="O298" i="1"/>
  <c r="O297" i="1"/>
  <c r="O296" i="1"/>
  <c r="O295" i="1"/>
  <c r="O294" i="1"/>
  <c r="O293" i="1"/>
  <c r="O292" i="1"/>
  <c r="O291" i="1"/>
  <c r="O290" i="1"/>
  <c r="O289" i="1"/>
  <c r="O141" i="1" l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3" i="1"/>
  <c r="O4" i="1"/>
  <c r="O5" i="1"/>
  <c r="O6" i="1"/>
  <c r="O7" i="1"/>
  <c r="O8" i="1"/>
  <c r="O9" i="1"/>
  <c r="O10" i="1"/>
  <c r="O12" i="1"/>
  <c r="O13" i="1"/>
  <c r="O14" i="1"/>
  <c r="O15" i="1"/>
  <c r="O16" i="1"/>
  <c r="O17" i="1"/>
  <c r="O18" i="1"/>
  <c r="O19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5" i="1"/>
  <c r="O86" i="1"/>
  <c r="O87" i="1"/>
  <c r="O88" i="1"/>
  <c r="O89" i="1"/>
  <c r="O90" i="1"/>
  <c r="O91" i="1"/>
  <c r="O92" i="1"/>
  <c r="O93" i="1"/>
  <c r="O97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9" i="1"/>
  <c r="O130" i="1"/>
  <c r="O132" i="1"/>
  <c r="O133" i="1"/>
  <c r="O134" i="1"/>
  <c r="O135" i="1"/>
  <c r="O136" i="1"/>
  <c r="O137" i="1"/>
  <c r="O138" i="1"/>
  <c r="O139" i="1"/>
  <c r="O140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" i="1"/>
  <c r="D160" i="1" l="1"/>
  <c r="O160" i="1" s="1"/>
  <c r="D128" i="1" l="1"/>
  <c r="O128" i="1" s="1"/>
  <c r="D99" i="1" l="1"/>
  <c r="F98" i="1"/>
  <c r="O98" i="1" s="1"/>
  <c r="E95" i="1"/>
  <c r="O95" i="1" s="1"/>
  <c r="F96" i="1"/>
  <c r="O96" i="1" s="1"/>
  <c r="E94" i="1"/>
  <c r="G84" i="1"/>
  <c r="O84" i="1" s="1"/>
  <c r="G83" i="1"/>
  <c r="O83" i="1" s="1"/>
  <c r="O94" i="1" l="1"/>
  <c r="O99" i="1"/>
  <c r="I11" i="1"/>
  <c r="O11" i="1" s="1"/>
  <c r="O20" i="1"/>
</calcChain>
</file>

<file path=xl/sharedStrings.xml><?xml version="1.0" encoding="utf-8"?>
<sst xmlns="http://schemas.openxmlformats.org/spreadsheetml/2006/main" count="427" uniqueCount="76">
  <si>
    <t>Florida</t>
  </si>
  <si>
    <t>Recoleta</t>
  </si>
  <si>
    <t>French</t>
  </si>
  <si>
    <t>Viña Sofia</t>
  </si>
  <si>
    <t>Ruiz de la Torre Maitena</t>
  </si>
  <si>
    <t>Imperiale Candela</t>
  </si>
  <si>
    <t>Balmaceda Luciana</t>
  </si>
  <si>
    <t>Martina Migueles</t>
  </si>
  <si>
    <t>Carrizo Camila</t>
  </si>
  <si>
    <t>Esposito Candela</t>
  </si>
  <si>
    <t>Barajas Barbara</t>
  </si>
  <si>
    <t>De Brito Rocio</t>
  </si>
  <si>
    <t>Lara Robbio</t>
  </si>
  <si>
    <t>Molina Agustina</t>
  </si>
  <si>
    <t>Kiara Corbalan</t>
  </si>
  <si>
    <t>CORONEL Mailen</t>
  </si>
  <si>
    <t>Gimenez Candela</t>
  </si>
  <si>
    <t>Oliva Micaela</t>
  </si>
  <si>
    <t>Mohamad Daila</t>
  </si>
  <si>
    <t>Bertolo Milagros</t>
  </si>
  <si>
    <t>Scholler Chavez Ruth</t>
  </si>
  <si>
    <t>Villarruel Candela</t>
  </si>
  <si>
    <t>Periodo</t>
  </si>
  <si>
    <t>Empleado</t>
  </si>
  <si>
    <t>Nombre</t>
  </si>
  <si>
    <t xml:space="preserve">Morena Martinez </t>
  </si>
  <si>
    <t xml:space="preserve">Machuca Araceli </t>
  </si>
  <si>
    <t>Anabella Baragatti</t>
  </si>
  <si>
    <t>Gisela Bonino</t>
  </si>
  <si>
    <t>Dana Ramirez</t>
  </si>
  <si>
    <t>HORAS</t>
  </si>
  <si>
    <t>Diaz Dulcinea</t>
  </si>
  <si>
    <t>Schiavone Fiona Ludmila</t>
  </si>
  <si>
    <t>Perazzo Juana</t>
  </si>
  <si>
    <t>Delgado Maria Paz</t>
  </si>
  <si>
    <t>Giordano Carolina Inez</t>
  </si>
  <si>
    <t>Martinez Franzi Lourdes</t>
  </si>
  <si>
    <t>Ochoa Duran Thalia</t>
  </si>
  <si>
    <t>Güemes 2</t>
  </si>
  <si>
    <t>AS Güemes</t>
  </si>
  <si>
    <t>Pavez Anahi</t>
  </si>
  <si>
    <t>Ristagno Giovanna</t>
  </si>
  <si>
    <t>Cardoso Trinidad</t>
  </si>
  <si>
    <t>Bogarin Gomez Noelia</t>
  </si>
  <si>
    <t>Machuca Araceli</t>
  </si>
  <si>
    <t>Sayariy Choque</t>
  </si>
  <si>
    <t>Federica Figueroa</t>
  </si>
  <si>
    <t>Johanna Gil Marquez</t>
  </si>
  <si>
    <t>Imperiale Agustina</t>
  </si>
  <si>
    <t>Nicole Leon</t>
  </si>
  <si>
    <t>Gimenes Ayala Noelia</t>
  </si>
  <si>
    <t>Tienda</t>
  </si>
  <si>
    <t>Güemes</t>
  </si>
  <si>
    <t>AS San Telmo</t>
  </si>
  <si>
    <t>San Telmo</t>
  </si>
  <si>
    <t>El Solar</t>
  </si>
  <si>
    <t>San Telmo 2</t>
  </si>
  <si>
    <t>Finalizacion</t>
  </si>
  <si>
    <t>Carolina Rivulgo</t>
  </si>
  <si>
    <t>Benedetti Julieta</t>
  </si>
  <si>
    <t xml:space="preserve">Frade Sofia </t>
  </si>
  <si>
    <t>Fecha_nueva_tienda</t>
  </si>
  <si>
    <t>Nueva_tienda</t>
  </si>
  <si>
    <t>Ariganello Melina</t>
  </si>
  <si>
    <t>Hernandez Guerrero Helen Siloe</t>
  </si>
  <si>
    <t>Nayla Rotela</t>
  </si>
  <si>
    <t>Lola Martin</t>
  </si>
  <si>
    <t xml:space="preserve">Aguirre Camila </t>
  </si>
  <si>
    <t>Vacaciones</t>
  </si>
  <si>
    <t>son 14 días de vacaciones según el recibo. En archivo horas figuran 11</t>
  </si>
  <si>
    <t>Observaciones</t>
  </si>
  <si>
    <t>renunció el 7/3 y en el excel no están las horas. Las agrego según el recibo</t>
  </si>
  <si>
    <t>le agrego las horas según el recibo, no están en el excel. Desvinculada este mes</t>
  </si>
  <si>
    <t>las horas son del recibo, no estaban en el excel. Se desvinculó este mes</t>
  </si>
  <si>
    <t>No le sumo 2 días injustificados que se le descontaron</t>
  </si>
  <si>
    <t>Estaba en Recoleta en el original x 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</si>
</sst>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11">
    <xf numFmtId="0" fontId="0" fillId="0" borderId="0" xfId="0"/>
    <xf numFmtId="0" fontId="1" fillId="0" borderId="0" xfId="0" applyFont="1" applyBorder="1" applyAlignment="1">
      <alignment horizontal="center"/>
    </xf>
    <xf numFmtId="0" fontId="1" fillId="0" borderId="0" xfId="0" applyFont="1" applyBorder="1" applyAlignment="1">
      <alignment horizontal="left"/>
    </xf>
    <xf numFmtId="14" fontId="0" fillId="0" borderId="0" xfId="0" applyNumberFormat="1" applyBorder="1"/>
    <xf numFmtId="0" fontId="0" fillId="0" borderId="0" xfId="0" applyBorder="1"/>
    <xf numFmtId="0" fontId="0" fillId="0" borderId="0" xfId="0" applyFill="1" applyBorder="1"/>
    <xf numFmtId="164" fontId="0" fillId="0" borderId="0" xfId="1" applyNumberFormat="1" applyFont="1" applyFill="1" applyBorder="1"/>
    <xf numFmtId="0" fontId="0" fillId="2" borderId="0" xfId="0" applyFill="1" applyBorder="1"/>
    <xf numFmtId="14" fontId="0" fillId="0" borderId="0" xfId="0" applyNumberFormat="1"/>
    <xf numFmtId="0" fontId="0" fillId="0" borderId="0" xfId="0" applyFill="1"/>
    <xf numFmtId="0" fontId="3" fillId="0" borderId="0" xfId="0" applyFont="1" applyFill="1" applyBorder="1"/>
  </cellXfs>
  <cellStyles count="2">
    <cellStyle name="Moneda" xfId="1" builtinId="4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14"/>
  <sheetViews>
    <sheetView tabSelected="1" zoomScale="120" zoomScaleNormal="120" workbookViewId="0">
      <pane ySplit="1" topLeftCell="A258" activePane="bottomLeft" state="frozen"/>
      <selection pane="bottomLeft" activeCell="C265" sqref="C265"/>
    </sheetView>
  </sheetViews>
  <sheetFormatPr baseColWidth="10" defaultColWidth="11.54296875" defaultRowHeight="14.5" x14ac:dyDescent="0.35"/>
  <cols>
    <col min="1" max="1" width="11.54296875" style="4"/>
    <col min="2" max="2" width="9.453125" style="4" bestFit="1" customWidth="1"/>
    <col min="3" max="3" width="20.90625" style="4" bestFit="1" customWidth="1"/>
    <col min="4" max="4" width="6.54296875" style="4" bestFit="1" customWidth="1"/>
    <col min="5" max="5" width="7.81640625" style="4" bestFit="1" customWidth="1"/>
    <col min="6" max="6" width="13.54296875" style="4" customWidth="1"/>
    <col min="7" max="7" width="10.453125" style="4" bestFit="1" customWidth="1"/>
    <col min="8" max="8" width="8" style="4" bestFit="1" customWidth="1"/>
    <col min="9" max="9" width="11.453125" style="4" customWidth="1"/>
    <col min="10" max="10" width="14.453125" style="4" customWidth="1"/>
    <col min="11" max="11" width="6.453125" style="4" customWidth="1"/>
    <col min="12" max="12" width="13.08984375" style="4" customWidth="1"/>
    <col min="13" max="13" width="7.453125" style="4" bestFit="1" customWidth="1"/>
    <col min="14" max="14" width="7.453125" style="4" customWidth="1"/>
    <col min="15" max="15" width="6.81640625" style="4" bestFit="1" customWidth="1"/>
    <col min="16" max="16" width="14.08984375" style="4" bestFit="1" customWidth="1"/>
    <col min="17" max="16384" width="11.54296875" style="4"/>
  </cols>
  <sheetData>
    <row r="1" spans="1:16" s="1" customFormat="1" x14ac:dyDescent="0.35">
      <c r="A1" s="1" t="s">
        <v>22</v>
      </c>
      <c r="B1" s="1" t="s">
        <v>23</v>
      </c>
      <c r="C1" s="2" t="s">
        <v>24</v>
      </c>
      <c r="D1" s="1" t="s">
        <v>0</v>
      </c>
      <c r="E1" s="1" t="s">
        <v>52</v>
      </c>
      <c r="F1" s="1" t="s">
        <v>38</v>
      </c>
      <c r="G1" s="1" t="s">
        <v>39</v>
      </c>
      <c r="H1" s="1" t="s">
        <v>1</v>
      </c>
      <c r="I1" s="1" t="s">
        <v>54</v>
      </c>
      <c r="J1" s="1" t="s">
        <v>56</v>
      </c>
      <c r="K1" s="1" t="s">
        <v>2</v>
      </c>
      <c r="L1" s="1" t="s">
        <v>53</v>
      </c>
      <c r="M1" s="1" t="s">
        <v>55</v>
      </c>
      <c r="N1" s="1" t="s">
        <v>68</v>
      </c>
      <c r="O1" s="1" t="s">
        <v>30</v>
      </c>
      <c r="P1" s="1" t="s">
        <v>70</v>
      </c>
    </row>
    <row r="2" spans="1:16" x14ac:dyDescent="0.35">
      <c r="A2" s="3">
        <v>45901</v>
      </c>
      <c r="B2" s="4">
        <v>1</v>
      </c>
      <c r="C2" s="4" t="s">
        <v>3</v>
      </c>
      <c r="D2" s="4">
        <v>116</v>
      </c>
      <c r="O2" s="4">
        <f>SUM(D2:N2)</f>
        <v>116</v>
      </c>
    </row>
    <row r="3" spans="1:16" x14ac:dyDescent="0.35">
      <c r="A3" s="3">
        <v>45901</v>
      </c>
      <c r="B3" s="4">
        <v>3</v>
      </c>
      <c r="C3" s="4" t="s">
        <v>4</v>
      </c>
      <c r="D3" s="4">
        <v>112</v>
      </c>
      <c r="O3" s="4">
        <f t="shared" ref="O3:O66" si="0">SUM(D3:N3)</f>
        <v>112</v>
      </c>
    </row>
    <row r="4" spans="1:16" x14ac:dyDescent="0.35">
      <c r="A4" s="3">
        <v>45901</v>
      </c>
      <c r="B4" s="4">
        <v>4</v>
      </c>
      <c r="C4" s="4" t="s">
        <v>5</v>
      </c>
      <c r="D4" s="4">
        <v>130</v>
      </c>
      <c r="O4" s="4">
        <f t="shared" si="0"/>
        <v>130</v>
      </c>
    </row>
    <row r="5" spans="1:16" x14ac:dyDescent="0.35">
      <c r="A5" s="3">
        <v>45901</v>
      </c>
      <c r="B5" s="4">
        <v>5</v>
      </c>
      <c r="C5" s="4" t="s">
        <v>6</v>
      </c>
      <c r="O5" s="4">
        <f t="shared" si="0"/>
        <v>0</v>
      </c>
    </row>
    <row r="6" spans="1:16" x14ac:dyDescent="0.35">
      <c r="A6" s="3">
        <v>45901</v>
      </c>
      <c r="B6" s="4">
        <v>6</v>
      </c>
      <c r="C6" s="4" t="s">
        <v>7</v>
      </c>
      <c r="O6" s="4">
        <f t="shared" si="0"/>
        <v>0</v>
      </c>
    </row>
    <row r="7" spans="1:16" x14ac:dyDescent="0.35">
      <c r="A7" s="3">
        <v>45901</v>
      </c>
      <c r="B7" s="4">
        <v>10</v>
      </c>
      <c r="C7" s="4" t="s">
        <v>8</v>
      </c>
      <c r="L7" s="4">
        <v>124</v>
      </c>
      <c r="O7" s="4">
        <f t="shared" si="0"/>
        <v>124</v>
      </c>
    </row>
    <row r="8" spans="1:16" x14ac:dyDescent="0.35">
      <c r="A8" s="3">
        <v>45901</v>
      </c>
      <c r="B8" s="4">
        <v>11</v>
      </c>
      <c r="C8" s="4" t="s">
        <v>9</v>
      </c>
      <c r="I8" s="4">
        <v>124</v>
      </c>
      <c r="O8" s="4">
        <f t="shared" si="0"/>
        <v>124</v>
      </c>
    </row>
    <row r="9" spans="1:16" x14ac:dyDescent="0.35">
      <c r="A9" s="3">
        <v>45901</v>
      </c>
      <c r="B9" s="4">
        <v>12</v>
      </c>
      <c r="C9" s="4" t="s">
        <v>10</v>
      </c>
      <c r="D9" s="4">
        <v>5</v>
      </c>
      <c r="H9" s="4">
        <v>124</v>
      </c>
      <c r="O9" s="4">
        <f t="shared" si="0"/>
        <v>129</v>
      </c>
    </row>
    <row r="10" spans="1:16" x14ac:dyDescent="0.35">
      <c r="A10" s="3">
        <v>45901</v>
      </c>
      <c r="B10" s="4">
        <v>13</v>
      </c>
      <c r="C10" s="4" t="s">
        <v>11</v>
      </c>
      <c r="E10" s="4">
        <v>103</v>
      </c>
      <c r="H10" s="4">
        <v>8</v>
      </c>
      <c r="O10" s="4">
        <f t="shared" si="0"/>
        <v>111</v>
      </c>
    </row>
    <row r="11" spans="1:16" x14ac:dyDescent="0.35">
      <c r="A11" s="3">
        <v>45901</v>
      </c>
      <c r="B11" s="4">
        <v>14</v>
      </c>
      <c r="C11" s="4" t="s">
        <v>12</v>
      </c>
      <c r="I11" s="4">
        <f>116-28</f>
        <v>88</v>
      </c>
      <c r="J11" s="4">
        <v>28</v>
      </c>
      <c r="O11" s="4">
        <f t="shared" si="0"/>
        <v>116</v>
      </c>
    </row>
    <row r="12" spans="1:16" x14ac:dyDescent="0.35">
      <c r="A12" s="3">
        <v>45901</v>
      </c>
      <c r="B12" s="4">
        <v>15</v>
      </c>
      <c r="C12" s="4" t="s">
        <v>13</v>
      </c>
      <c r="L12" s="4">
        <v>122</v>
      </c>
      <c r="O12" s="4">
        <f t="shared" si="0"/>
        <v>122</v>
      </c>
    </row>
    <row r="13" spans="1:16" x14ac:dyDescent="0.35">
      <c r="A13" s="3">
        <v>45901</v>
      </c>
      <c r="B13" s="4">
        <v>16</v>
      </c>
      <c r="C13" s="4" t="s">
        <v>14</v>
      </c>
      <c r="O13" s="4">
        <f t="shared" si="0"/>
        <v>0</v>
      </c>
    </row>
    <row r="14" spans="1:16" x14ac:dyDescent="0.35">
      <c r="A14" s="3">
        <v>45901</v>
      </c>
      <c r="B14" s="4">
        <v>18</v>
      </c>
      <c r="C14" s="4" t="s">
        <v>15</v>
      </c>
      <c r="D14" s="4">
        <v>12</v>
      </c>
      <c r="E14" s="4">
        <v>102</v>
      </c>
      <c r="O14" s="4">
        <f t="shared" si="0"/>
        <v>114</v>
      </c>
    </row>
    <row r="15" spans="1:16" x14ac:dyDescent="0.35">
      <c r="A15" s="3">
        <v>45901</v>
      </c>
      <c r="B15" s="4">
        <v>19</v>
      </c>
      <c r="C15" s="4" t="s">
        <v>16</v>
      </c>
      <c r="D15" s="4">
        <v>65</v>
      </c>
      <c r="H15" s="4">
        <v>66</v>
      </c>
      <c r="O15" s="4">
        <f t="shared" si="0"/>
        <v>131</v>
      </c>
    </row>
    <row r="16" spans="1:16" x14ac:dyDescent="0.35">
      <c r="A16" s="3">
        <v>45901</v>
      </c>
      <c r="B16" s="4">
        <v>20</v>
      </c>
      <c r="C16" s="4" t="s">
        <v>17</v>
      </c>
      <c r="H16" s="4">
        <v>125</v>
      </c>
      <c r="O16" s="4">
        <f t="shared" si="0"/>
        <v>125</v>
      </c>
    </row>
    <row r="17" spans="1:15" x14ac:dyDescent="0.35">
      <c r="A17" s="3">
        <v>45901</v>
      </c>
      <c r="B17" s="4">
        <v>21</v>
      </c>
      <c r="C17" s="4" t="s">
        <v>18</v>
      </c>
      <c r="J17" s="4">
        <v>108</v>
      </c>
      <c r="O17" s="4">
        <f t="shared" si="0"/>
        <v>108</v>
      </c>
    </row>
    <row r="18" spans="1:15" x14ac:dyDescent="0.35">
      <c r="A18" s="3">
        <v>45901</v>
      </c>
      <c r="B18" s="4">
        <v>22</v>
      </c>
      <c r="C18" s="4" t="s">
        <v>25</v>
      </c>
      <c r="O18" s="4">
        <f t="shared" si="0"/>
        <v>0</v>
      </c>
    </row>
    <row r="19" spans="1:15" x14ac:dyDescent="0.35">
      <c r="A19" s="3">
        <v>45901</v>
      </c>
      <c r="B19" s="4">
        <v>27</v>
      </c>
      <c r="C19" s="4" t="s">
        <v>19</v>
      </c>
      <c r="K19" s="4">
        <v>114</v>
      </c>
      <c r="O19" s="4">
        <f t="shared" si="0"/>
        <v>114</v>
      </c>
    </row>
    <row r="20" spans="1:15" x14ac:dyDescent="0.35">
      <c r="A20" s="3">
        <v>45901</v>
      </c>
      <c r="B20" s="4">
        <v>28</v>
      </c>
      <c r="C20" s="4" t="s">
        <v>26</v>
      </c>
      <c r="J20" s="4">
        <v>38</v>
      </c>
      <c r="K20" s="4">
        <v>68</v>
      </c>
      <c r="O20" s="4">
        <f t="shared" si="0"/>
        <v>106</v>
      </c>
    </row>
    <row r="21" spans="1:15" x14ac:dyDescent="0.35">
      <c r="A21" s="3">
        <v>45901</v>
      </c>
      <c r="B21" s="4">
        <v>26</v>
      </c>
      <c r="C21" s="4" t="s">
        <v>21</v>
      </c>
      <c r="L21" s="4">
        <v>24</v>
      </c>
      <c r="O21" s="4">
        <f t="shared" si="0"/>
        <v>24</v>
      </c>
    </row>
    <row r="22" spans="1:15" x14ac:dyDescent="0.35">
      <c r="A22" s="3">
        <v>45901</v>
      </c>
      <c r="B22" s="4">
        <v>29</v>
      </c>
      <c r="C22" s="4" t="s">
        <v>20</v>
      </c>
      <c r="J22" s="4">
        <v>40</v>
      </c>
      <c r="K22" s="4">
        <v>65</v>
      </c>
      <c r="O22" s="4">
        <f t="shared" si="0"/>
        <v>105</v>
      </c>
    </row>
    <row r="23" spans="1:15" x14ac:dyDescent="0.35">
      <c r="A23" s="3">
        <v>45901</v>
      </c>
      <c r="B23" s="4">
        <v>30</v>
      </c>
      <c r="C23" s="4" t="s">
        <v>27</v>
      </c>
      <c r="D23" s="4">
        <v>100</v>
      </c>
      <c r="O23" s="4">
        <f t="shared" si="0"/>
        <v>100</v>
      </c>
    </row>
    <row r="24" spans="1:15" x14ac:dyDescent="0.35">
      <c r="A24" s="3">
        <v>45901</v>
      </c>
      <c r="B24" s="4">
        <v>31</v>
      </c>
      <c r="C24" s="4" t="s">
        <v>28</v>
      </c>
      <c r="I24" s="4">
        <v>16</v>
      </c>
      <c r="J24" s="4">
        <v>4</v>
      </c>
      <c r="O24" s="4">
        <f t="shared" si="0"/>
        <v>20</v>
      </c>
    </row>
    <row r="25" spans="1:15" x14ac:dyDescent="0.35">
      <c r="A25" s="3">
        <v>45901</v>
      </c>
      <c r="B25" s="4">
        <v>32</v>
      </c>
      <c r="C25" s="4" t="s">
        <v>29</v>
      </c>
      <c r="L25" s="4">
        <v>20</v>
      </c>
      <c r="O25" s="4">
        <f t="shared" si="0"/>
        <v>20</v>
      </c>
    </row>
    <row r="26" spans="1:15" x14ac:dyDescent="0.35">
      <c r="A26" s="3">
        <v>45931</v>
      </c>
      <c r="B26" s="4">
        <v>1</v>
      </c>
      <c r="C26" s="4" t="s">
        <v>3</v>
      </c>
      <c r="D26" s="4">
        <v>82</v>
      </c>
      <c r="H26" s="5">
        <v>45</v>
      </c>
      <c r="O26" s="4">
        <f t="shared" si="0"/>
        <v>127</v>
      </c>
    </row>
    <row r="27" spans="1:15" x14ac:dyDescent="0.35">
      <c r="A27" s="3">
        <v>45931</v>
      </c>
      <c r="B27" s="4">
        <v>3</v>
      </c>
      <c r="C27" s="4" t="s">
        <v>4</v>
      </c>
      <c r="D27" s="4">
        <v>117</v>
      </c>
      <c r="E27" s="4">
        <v>10</v>
      </c>
      <c r="O27" s="4">
        <f t="shared" si="0"/>
        <v>127</v>
      </c>
    </row>
    <row r="28" spans="1:15" x14ac:dyDescent="0.35">
      <c r="A28" s="3">
        <v>45931</v>
      </c>
      <c r="B28" s="4">
        <v>4</v>
      </c>
      <c r="C28" s="4" t="s">
        <v>5</v>
      </c>
      <c r="D28" s="4">
        <v>132</v>
      </c>
      <c r="O28" s="4">
        <f t="shared" si="0"/>
        <v>132</v>
      </c>
    </row>
    <row r="29" spans="1:15" x14ac:dyDescent="0.35">
      <c r="A29" s="3">
        <v>45931</v>
      </c>
      <c r="B29" s="4">
        <v>5</v>
      </c>
      <c r="C29" s="4" t="s">
        <v>6</v>
      </c>
      <c r="O29" s="4">
        <f t="shared" si="0"/>
        <v>0</v>
      </c>
    </row>
    <row r="30" spans="1:15" x14ac:dyDescent="0.35">
      <c r="A30" s="3">
        <v>45931</v>
      </c>
      <c r="B30" s="4">
        <v>10</v>
      </c>
      <c r="C30" s="4" t="s">
        <v>8</v>
      </c>
      <c r="L30" s="4">
        <v>124</v>
      </c>
      <c r="O30" s="4">
        <f t="shared" si="0"/>
        <v>124</v>
      </c>
    </row>
    <row r="31" spans="1:15" x14ac:dyDescent="0.35">
      <c r="A31" s="3">
        <v>45931</v>
      </c>
      <c r="B31" s="4">
        <v>11</v>
      </c>
      <c r="C31" s="4" t="s">
        <v>9</v>
      </c>
      <c r="I31" s="4">
        <v>119</v>
      </c>
      <c r="O31" s="4">
        <f t="shared" si="0"/>
        <v>119</v>
      </c>
    </row>
    <row r="32" spans="1:15" x14ac:dyDescent="0.35">
      <c r="A32" s="3">
        <v>45931</v>
      </c>
      <c r="B32" s="4">
        <v>12</v>
      </c>
      <c r="C32" s="4" t="s">
        <v>10</v>
      </c>
      <c r="H32" s="4">
        <v>132</v>
      </c>
      <c r="O32" s="4">
        <f t="shared" si="0"/>
        <v>132</v>
      </c>
    </row>
    <row r="33" spans="1:15" x14ac:dyDescent="0.35">
      <c r="A33" s="3">
        <v>45931</v>
      </c>
      <c r="B33" s="4">
        <v>13</v>
      </c>
      <c r="C33" s="4" t="s">
        <v>11</v>
      </c>
      <c r="E33" s="4">
        <v>32</v>
      </c>
      <c r="H33" s="5">
        <v>4</v>
      </c>
      <c r="M33" s="4">
        <v>89</v>
      </c>
      <c r="O33" s="4">
        <f t="shared" si="0"/>
        <v>125</v>
      </c>
    </row>
    <row r="34" spans="1:15" x14ac:dyDescent="0.35">
      <c r="A34" s="3">
        <v>45931</v>
      </c>
      <c r="B34" s="4">
        <v>14</v>
      </c>
      <c r="C34" s="4" t="s">
        <v>12</v>
      </c>
      <c r="I34" s="4">
        <v>118</v>
      </c>
      <c r="O34" s="4">
        <f t="shared" si="0"/>
        <v>118</v>
      </c>
    </row>
    <row r="35" spans="1:15" x14ac:dyDescent="0.35">
      <c r="A35" s="3">
        <v>45931</v>
      </c>
      <c r="B35" s="4">
        <v>15</v>
      </c>
      <c r="C35" s="4" t="s">
        <v>13</v>
      </c>
      <c r="L35" s="4">
        <v>121</v>
      </c>
      <c r="O35" s="4">
        <f t="shared" si="0"/>
        <v>121</v>
      </c>
    </row>
    <row r="36" spans="1:15" x14ac:dyDescent="0.35">
      <c r="A36" s="3">
        <v>45931</v>
      </c>
      <c r="B36" s="4">
        <v>18</v>
      </c>
      <c r="C36" s="4" t="s">
        <v>15</v>
      </c>
      <c r="D36" s="4">
        <v>18</v>
      </c>
      <c r="E36" s="4">
        <v>109</v>
      </c>
      <c r="O36" s="4">
        <f t="shared" si="0"/>
        <v>127</v>
      </c>
    </row>
    <row r="37" spans="1:15" x14ac:dyDescent="0.35">
      <c r="A37" s="3">
        <v>45931</v>
      </c>
      <c r="B37" s="4">
        <v>19</v>
      </c>
      <c r="C37" s="4" t="s">
        <v>16</v>
      </c>
      <c r="H37" s="4">
        <v>46</v>
      </c>
      <c r="M37" s="4">
        <v>86</v>
      </c>
      <c r="O37" s="4">
        <f t="shared" si="0"/>
        <v>132</v>
      </c>
    </row>
    <row r="38" spans="1:15" x14ac:dyDescent="0.35">
      <c r="A38" s="3">
        <v>45931</v>
      </c>
      <c r="B38" s="4">
        <v>20</v>
      </c>
      <c r="C38" s="4" t="s">
        <v>17</v>
      </c>
      <c r="H38" s="4">
        <v>132</v>
      </c>
      <c r="O38" s="4">
        <f t="shared" si="0"/>
        <v>132</v>
      </c>
    </row>
    <row r="39" spans="1:15" x14ac:dyDescent="0.35">
      <c r="A39" s="3">
        <v>45931</v>
      </c>
      <c r="B39" s="4">
        <v>21</v>
      </c>
      <c r="C39" s="4" t="s">
        <v>18</v>
      </c>
      <c r="I39" s="4">
        <v>82</v>
      </c>
      <c r="J39" s="4">
        <v>36</v>
      </c>
      <c r="O39" s="4">
        <f t="shared" si="0"/>
        <v>118</v>
      </c>
    </row>
    <row r="40" spans="1:15" x14ac:dyDescent="0.35">
      <c r="A40" s="3">
        <v>45931</v>
      </c>
      <c r="B40" s="4">
        <v>27</v>
      </c>
      <c r="C40" s="4" t="s">
        <v>19</v>
      </c>
      <c r="K40" s="4">
        <v>115</v>
      </c>
      <c r="O40" s="4">
        <f t="shared" si="0"/>
        <v>115</v>
      </c>
    </row>
    <row r="41" spans="1:15" x14ac:dyDescent="0.35">
      <c r="A41" s="3">
        <v>45931</v>
      </c>
      <c r="B41" s="4">
        <v>28</v>
      </c>
      <c r="C41" s="4" t="s">
        <v>26</v>
      </c>
      <c r="J41" s="4">
        <v>32</v>
      </c>
      <c r="K41" s="4">
        <v>77</v>
      </c>
      <c r="O41" s="4">
        <f t="shared" si="0"/>
        <v>109</v>
      </c>
    </row>
    <row r="42" spans="1:15" x14ac:dyDescent="0.35">
      <c r="A42" s="3">
        <v>45931</v>
      </c>
      <c r="B42" s="4">
        <v>29</v>
      </c>
      <c r="C42" s="4" t="s">
        <v>20</v>
      </c>
      <c r="J42" s="4">
        <v>36</v>
      </c>
      <c r="K42" s="4">
        <v>73</v>
      </c>
      <c r="O42" s="4">
        <f t="shared" si="0"/>
        <v>109</v>
      </c>
    </row>
    <row r="43" spans="1:15" x14ac:dyDescent="0.35">
      <c r="A43" s="3">
        <v>45931</v>
      </c>
      <c r="B43" s="4">
        <v>30</v>
      </c>
      <c r="C43" s="4" t="s">
        <v>27</v>
      </c>
      <c r="D43" s="4">
        <v>43</v>
      </c>
      <c r="E43" s="5">
        <v>77</v>
      </c>
      <c r="F43" s="5"/>
      <c r="G43" s="5"/>
      <c r="O43" s="4">
        <f t="shared" si="0"/>
        <v>120</v>
      </c>
    </row>
    <row r="44" spans="1:15" x14ac:dyDescent="0.35">
      <c r="A44" s="3">
        <v>45931</v>
      </c>
      <c r="B44" s="4">
        <v>31</v>
      </c>
      <c r="C44" s="4" t="s">
        <v>28</v>
      </c>
      <c r="J44" s="5">
        <v>112</v>
      </c>
      <c r="O44" s="4">
        <f t="shared" si="0"/>
        <v>112</v>
      </c>
    </row>
    <row r="45" spans="1:15" x14ac:dyDescent="0.35">
      <c r="A45" s="3">
        <v>45931</v>
      </c>
      <c r="B45" s="4">
        <v>32</v>
      </c>
      <c r="C45" s="4" t="s">
        <v>29</v>
      </c>
      <c r="L45" s="4">
        <v>117</v>
      </c>
      <c r="O45" s="4">
        <f t="shared" si="0"/>
        <v>117</v>
      </c>
    </row>
    <row r="46" spans="1:15" x14ac:dyDescent="0.35">
      <c r="A46" s="3">
        <v>45931</v>
      </c>
      <c r="B46" s="4">
        <v>34</v>
      </c>
      <c r="C46" s="4" t="s">
        <v>31</v>
      </c>
      <c r="D46" s="4">
        <v>117</v>
      </c>
      <c r="O46" s="4">
        <f t="shared" si="0"/>
        <v>117</v>
      </c>
    </row>
    <row r="47" spans="1:15" x14ac:dyDescent="0.35">
      <c r="A47" s="3">
        <v>45931</v>
      </c>
      <c r="B47" s="4">
        <v>36</v>
      </c>
      <c r="C47" s="4" t="s">
        <v>32</v>
      </c>
      <c r="M47" s="4">
        <v>89</v>
      </c>
      <c r="O47" s="4">
        <f t="shared" si="0"/>
        <v>89</v>
      </c>
    </row>
    <row r="48" spans="1:15" x14ac:dyDescent="0.35">
      <c r="A48" s="3">
        <v>45931</v>
      </c>
      <c r="B48" s="4">
        <v>37</v>
      </c>
      <c r="C48" s="4" t="s">
        <v>33</v>
      </c>
      <c r="M48" s="4">
        <v>87</v>
      </c>
      <c r="O48" s="4">
        <f t="shared" si="0"/>
        <v>87</v>
      </c>
    </row>
    <row r="49" spans="1:16" x14ac:dyDescent="0.35">
      <c r="A49" s="3">
        <v>45931</v>
      </c>
      <c r="B49" s="4">
        <v>38</v>
      </c>
      <c r="C49" s="4" t="s">
        <v>34</v>
      </c>
      <c r="M49" s="4">
        <v>88</v>
      </c>
      <c r="O49" s="4">
        <f t="shared" si="0"/>
        <v>88</v>
      </c>
    </row>
    <row r="50" spans="1:16" x14ac:dyDescent="0.35">
      <c r="A50" s="3">
        <v>45931</v>
      </c>
      <c r="B50" s="4">
        <v>39</v>
      </c>
      <c r="C50" s="4" t="s">
        <v>35</v>
      </c>
      <c r="J50" s="4">
        <v>67</v>
      </c>
      <c r="O50" s="4">
        <f t="shared" si="0"/>
        <v>67</v>
      </c>
    </row>
    <row r="51" spans="1:16" x14ac:dyDescent="0.35">
      <c r="A51" s="3">
        <v>45931</v>
      </c>
      <c r="B51" s="4">
        <v>40</v>
      </c>
      <c r="C51" s="4" t="s">
        <v>36</v>
      </c>
      <c r="M51" s="5">
        <v>76</v>
      </c>
      <c r="N51" s="5"/>
      <c r="O51" s="4">
        <f t="shared" si="0"/>
        <v>76</v>
      </c>
    </row>
    <row r="52" spans="1:16" x14ac:dyDescent="0.35">
      <c r="A52" s="3">
        <v>45931</v>
      </c>
      <c r="B52" s="4">
        <v>41</v>
      </c>
      <c r="C52" s="4" t="s">
        <v>37</v>
      </c>
      <c r="D52" s="4">
        <v>42</v>
      </c>
      <c r="O52" s="4">
        <f t="shared" si="0"/>
        <v>42</v>
      </c>
    </row>
    <row r="53" spans="1:16" x14ac:dyDescent="0.35">
      <c r="A53" s="3">
        <v>45962</v>
      </c>
      <c r="B53" s="4">
        <v>1</v>
      </c>
      <c r="C53" s="4" t="s">
        <v>3</v>
      </c>
      <c r="D53" s="4">
        <v>47</v>
      </c>
      <c r="G53" s="4">
        <v>65</v>
      </c>
      <c r="H53" s="5">
        <v>11</v>
      </c>
      <c r="O53" s="4">
        <f t="shared" si="0"/>
        <v>123</v>
      </c>
      <c r="P53" s="6"/>
    </row>
    <row r="54" spans="1:16" x14ac:dyDescent="0.35">
      <c r="A54" s="3">
        <v>45962</v>
      </c>
      <c r="B54" s="4">
        <v>3</v>
      </c>
      <c r="C54" s="4" t="s">
        <v>4</v>
      </c>
      <c r="D54" s="4">
        <v>123</v>
      </c>
      <c r="O54" s="4">
        <f t="shared" si="0"/>
        <v>123</v>
      </c>
    </row>
    <row r="55" spans="1:16" x14ac:dyDescent="0.35">
      <c r="A55" s="3">
        <v>45962</v>
      </c>
      <c r="B55" s="4">
        <v>4</v>
      </c>
      <c r="C55" s="4" t="s">
        <v>5</v>
      </c>
      <c r="D55" s="5">
        <v>132</v>
      </c>
      <c r="O55" s="4">
        <f t="shared" si="0"/>
        <v>132</v>
      </c>
    </row>
    <row r="56" spans="1:16" x14ac:dyDescent="0.35">
      <c r="A56" s="3">
        <v>45962</v>
      </c>
      <c r="B56" s="4">
        <v>5</v>
      </c>
      <c r="C56" s="4" t="s">
        <v>6</v>
      </c>
      <c r="O56" s="4">
        <f t="shared" si="0"/>
        <v>0</v>
      </c>
    </row>
    <row r="57" spans="1:16" x14ac:dyDescent="0.35">
      <c r="A57" s="3">
        <v>45962</v>
      </c>
      <c r="B57" s="4">
        <v>10</v>
      </c>
      <c r="C57" s="4" t="s">
        <v>8</v>
      </c>
      <c r="L57" s="4">
        <v>120</v>
      </c>
      <c r="O57" s="4">
        <f t="shared" si="0"/>
        <v>120</v>
      </c>
    </row>
    <row r="58" spans="1:16" x14ac:dyDescent="0.35">
      <c r="A58" s="3">
        <v>45962</v>
      </c>
      <c r="B58" s="4">
        <v>11</v>
      </c>
      <c r="C58" s="4" t="s">
        <v>9</v>
      </c>
      <c r="I58" s="4">
        <v>123</v>
      </c>
      <c r="O58" s="4">
        <f t="shared" si="0"/>
        <v>123</v>
      </c>
    </row>
    <row r="59" spans="1:16" x14ac:dyDescent="0.35">
      <c r="A59" s="3">
        <v>45962</v>
      </c>
      <c r="B59" s="4">
        <v>12</v>
      </c>
      <c r="C59" s="4" t="s">
        <v>10</v>
      </c>
      <c r="H59" s="4">
        <v>127</v>
      </c>
      <c r="O59" s="4">
        <f t="shared" si="0"/>
        <v>127</v>
      </c>
    </row>
    <row r="60" spans="1:16" x14ac:dyDescent="0.35">
      <c r="A60" s="3">
        <v>45962</v>
      </c>
      <c r="B60" s="4">
        <v>13</v>
      </c>
      <c r="C60" s="4" t="s">
        <v>11</v>
      </c>
      <c r="F60" s="4">
        <v>29</v>
      </c>
      <c r="M60" s="4">
        <v>84</v>
      </c>
      <c r="O60" s="4">
        <f t="shared" si="0"/>
        <v>113</v>
      </c>
    </row>
    <row r="61" spans="1:16" x14ac:dyDescent="0.35">
      <c r="A61" s="3">
        <v>45962</v>
      </c>
      <c r="B61" s="4">
        <v>14</v>
      </c>
      <c r="C61" s="4" t="s">
        <v>12</v>
      </c>
      <c r="I61" s="4">
        <v>116</v>
      </c>
      <c r="O61" s="4">
        <f t="shared" si="0"/>
        <v>116</v>
      </c>
    </row>
    <row r="62" spans="1:16" x14ac:dyDescent="0.35">
      <c r="A62" s="3">
        <v>45962</v>
      </c>
      <c r="B62" s="4">
        <v>15</v>
      </c>
      <c r="C62" s="4" t="s">
        <v>13</v>
      </c>
      <c r="L62" s="4">
        <v>119</v>
      </c>
      <c r="O62" s="4">
        <f t="shared" si="0"/>
        <v>119</v>
      </c>
    </row>
    <row r="63" spans="1:16" x14ac:dyDescent="0.35">
      <c r="A63" s="3">
        <v>45962</v>
      </c>
      <c r="B63" s="4">
        <v>18</v>
      </c>
      <c r="C63" s="4" t="s">
        <v>15</v>
      </c>
      <c r="D63" s="4">
        <v>23</v>
      </c>
      <c r="E63" s="4">
        <v>87</v>
      </c>
      <c r="O63" s="4">
        <f t="shared" si="0"/>
        <v>110</v>
      </c>
    </row>
    <row r="64" spans="1:16" x14ac:dyDescent="0.35">
      <c r="A64" s="3">
        <v>45962</v>
      </c>
      <c r="B64" s="4">
        <v>19</v>
      </c>
      <c r="C64" s="4" t="s">
        <v>16</v>
      </c>
      <c r="M64" s="4">
        <v>126</v>
      </c>
      <c r="O64" s="4">
        <f t="shared" si="0"/>
        <v>126</v>
      </c>
    </row>
    <row r="65" spans="1:15" x14ac:dyDescent="0.35">
      <c r="A65" s="3">
        <v>45962</v>
      </c>
      <c r="B65" s="4">
        <v>20</v>
      </c>
      <c r="C65" s="4" t="s">
        <v>17</v>
      </c>
      <c r="D65" s="4">
        <v>14</v>
      </c>
      <c r="H65" s="4">
        <v>117</v>
      </c>
      <c r="O65" s="4">
        <f t="shared" si="0"/>
        <v>131</v>
      </c>
    </row>
    <row r="66" spans="1:15" x14ac:dyDescent="0.35">
      <c r="A66" s="3">
        <v>45962</v>
      </c>
      <c r="B66" s="4">
        <v>21</v>
      </c>
      <c r="C66" s="4" t="s">
        <v>18</v>
      </c>
      <c r="I66" s="4">
        <v>120</v>
      </c>
      <c r="O66" s="4">
        <f t="shared" si="0"/>
        <v>120</v>
      </c>
    </row>
    <row r="67" spans="1:15" x14ac:dyDescent="0.35">
      <c r="A67" s="3">
        <v>45962</v>
      </c>
      <c r="B67" s="4">
        <v>27</v>
      </c>
      <c r="C67" s="4" t="s">
        <v>19</v>
      </c>
      <c r="K67" s="4">
        <v>105</v>
      </c>
      <c r="O67" s="4">
        <f t="shared" ref="O67:O130" si="1">SUM(D67:N67)</f>
        <v>105</v>
      </c>
    </row>
    <row r="68" spans="1:15" x14ac:dyDescent="0.35">
      <c r="A68" s="3">
        <v>45962</v>
      </c>
      <c r="B68" s="4">
        <v>28</v>
      </c>
      <c r="C68" s="5" t="s">
        <v>26</v>
      </c>
      <c r="J68" s="5">
        <v>12</v>
      </c>
      <c r="K68" s="5">
        <v>83</v>
      </c>
      <c r="L68" s="5"/>
      <c r="M68" s="5"/>
      <c r="N68" s="5"/>
      <c r="O68" s="4">
        <f t="shared" si="1"/>
        <v>95</v>
      </c>
    </row>
    <row r="69" spans="1:15" x14ac:dyDescent="0.35">
      <c r="A69" s="3">
        <v>45962</v>
      </c>
      <c r="B69" s="4">
        <v>29</v>
      </c>
      <c r="C69" s="4" t="s">
        <v>20</v>
      </c>
      <c r="J69" s="4">
        <v>24</v>
      </c>
      <c r="K69" s="4">
        <v>79</v>
      </c>
      <c r="O69" s="4">
        <f t="shared" si="1"/>
        <v>103</v>
      </c>
    </row>
    <row r="70" spans="1:15" x14ac:dyDescent="0.35">
      <c r="A70" s="3">
        <v>45962</v>
      </c>
      <c r="B70" s="4">
        <v>30</v>
      </c>
      <c r="C70" s="4" t="s">
        <v>27</v>
      </c>
      <c r="D70" s="4">
        <v>19</v>
      </c>
      <c r="E70" s="4">
        <v>87</v>
      </c>
      <c r="O70" s="4">
        <f t="shared" si="1"/>
        <v>106</v>
      </c>
    </row>
    <row r="71" spans="1:15" x14ac:dyDescent="0.35">
      <c r="A71" s="3">
        <v>45962</v>
      </c>
      <c r="B71" s="4">
        <v>31</v>
      </c>
      <c r="C71" s="4" t="s">
        <v>28</v>
      </c>
      <c r="J71" s="4">
        <v>116</v>
      </c>
      <c r="O71" s="4">
        <f t="shared" si="1"/>
        <v>116</v>
      </c>
    </row>
    <row r="72" spans="1:15" x14ac:dyDescent="0.35">
      <c r="A72" s="3">
        <v>45962</v>
      </c>
      <c r="B72" s="4">
        <v>32</v>
      </c>
      <c r="C72" s="4" t="s">
        <v>29</v>
      </c>
      <c r="L72" s="4">
        <v>112</v>
      </c>
      <c r="O72" s="4">
        <f t="shared" si="1"/>
        <v>112</v>
      </c>
    </row>
    <row r="73" spans="1:15" x14ac:dyDescent="0.35">
      <c r="A73" s="3">
        <v>45962</v>
      </c>
      <c r="B73" s="4">
        <v>34</v>
      </c>
      <c r="C73" s="4" t="s">
        <v>31</v>
      </c>
      <c r="D73" s="4">
        <v>11</v>
      </c>
      <c r="H73" s="4">
        <v>118</v>
      </c>
      <c r="O73" s="4">
        <f t="shared" si="1"/>
        <v>129</v>
      </c>
    </row>
    <row r="74" spans="1:15" x14ac:dyDescent="0.35">
      <c r="A74" s="3">
        <v>45962</v>
      </c>
      <c r="B74" s="4">
        <v>36</v>
      </c>
      <c r="C74" s="4" t="s">
        <v>32</v>
      </c>
      <c r="M74" s="4">
        <v>117</v>
      </c>
      <c r="O74" s="4">
        <f t="shared" si="1"/>
        <v>117</v>
      </c>
    </row>
    <row r="75" spans="1:15" x14ac:dyDescent="0.35">
      <c r="A75" s="3">
        <v>45962</v>
      </c>
      <c r="B75" s="4">
        <v>38</v>
      </c>
      <c r="C75" s="4" t="s">
        <v>34</v>
      </c>
      <c r="M75" s="4">
        <v>119</v>
      </c>
      <c r="O75" s="4">
        <f t="shared" si="1"/>
        <v>119</v>
      </c>
    </row>
    <row r="76" spans="1:15" x14ac:dyDescent="0.35">
      <c r="A76" s="3">
        <v>45962</v>
      </c>
      <c r="B76" s="4">
        <v>39</v>
      </c>
      <c r="C76" s="4" t="s">
        <v>35</v>
      </c>
      <c r="J76" s="4">
        <v>123</v>
      </c>
      <c r="O76" s="4">
        <f t="shared" si="1"/>
        <v>123</v>
      </c>
    </row>
    <row r="77" spans="1:15" s="5" customFormat="1" x14ac:dyDescent="0.35">
      <c r="A77" s="3">
        <v>45962</v>
      </c>
      <c r="B77" s="5">
        <v>40</v>
      </c>
      <c r="C77" s="5" t="s">
        <v>36</v>
      </c>
      <c r="F77" s="5">
        <v>27</v>
      </c>
      <c r="M77" s="5">
        <v>84</v>
      </c>
      <c r="O77" s="4">
        <f t="shared" si="1"/>
        <v>111</v>
      </c>
    </row>
    <row r="78" spans="1:15" x14ac:dyDescent="0.35">
      <c r="A78" s="3">
        <v>45962</v>
      </c>
      <c r="B78" s="4">
        <v>41</v>
      </c>
      <c r="C78" s="4" t="s">
        <v>37</v>
      </c>
      <c r="D78" s="4">
        <v>117</v>
      </c>
      <c r="O78" s="4">
        <f t="shared" si="1"/>
        <v>117</v>
      </c>
    </row>
    <row r="79" spans="1:15" x14ac:dyDescent="0.35">
      <c r="A79" s="3">
        <v>45962</v>
      </c>
      <c r="B79" s="4">
        <v>42</v>
      </c>
      <c r="C79" s="4" t="s">
        <v>40</v>
      </c>
      <c r="D79" s="4">
        <v>111</v>
      </c>
      <c r="O79" s="4">
        <f t="shared" si="1"/>
        <v>111</v>
      </c>
    </row>
    <row r="80" spans="1:15" x14ac:dyDescent="0.35">
      <c r="A80" s="3">
        <v>45962</v>
      </c>
      <c r="B80" s="4">
        <v>43</v>
      </c>
      <c r="C80" s="4" t="s">
        <v>41</v>
      </c>
      <c r="D80" s="4">
        <v>73</v>
      </c>
      <c r="F80" s="4">
        <v>23</v>
      </c>
      <c r="O80" s="4">
        <f t="shared" si="1"/>
        <v>96</v>
      </c>
    </row>
    <row r="81" spans="1:15" x14ac:dyDescent="0.35">
      <c r="A81" s="3">
        <v>45962</v>
      </c>
      <c r="B81" s="4">
        <v>44</v>
      </c>
      <c r="C81" s="4" t="s">
        <v>42</v>
      </c>
      <c r="F81" s="4">
        <v>28</v>
      </c>
      <c r="M81" s="4">
        <v>35</v>
      </c>
      <c r="O81" s="4">
        <f t="shared" si="1"/>
        <v>63</v>
      </c>
    </row>
    <row r="82" spans="1:15" x14ac:dyDescent="0.35">
      <c r="A82" s="3">
        <v>45962</v>
      </c>
      <c r="B82" s="4">
        <v>45</v>
      </c>
      <c r="C82" s="4" t="s">
        <v>43</v>
      </c>
      <c r="G82" s="4">
        <v>59</v>
      </c>
      <c r="O82" s="4">
        <f t="shared" si="1"/>
        <v>59</v>
      </c>
    </row>
    <row r="83" spans="1:15" x14ac:dyDescent="0.35">
      <c r="A83" s="3">
        <v>45992</v>
      </c>
      <c r="B83" s="4">
        <v>30</v>
      </c>
      <c r="C83" s="4" t="s">
        <v>27</v>
      </c>
      <c r="D83" s="5">
        <v>9</v>
      </c>
      <c r="G83" s="4">
        <f>107-9</f>
        <v>98</v>
      </c>
      <c r="O83" s="4">
        <f t="shared" si="1"/>
        <v>107</v>
      </c>
    </row>
    <row r="84" spans="1:15" x14ac:dyDescent="0.35">
      <c r="A84" s="3">
        <v>45992</v>
      </c>
      <c r="B84" s="4">
        <v>45</v>
      </c>
      <c r="C84" s="4" t="s">
        <v>43</v>
      </c>
      <c r="D84" s="5">
        <v>13</v>
      </c>
      <c r="G84" s="4">
        <f>110-13</f>
        <v>97</v>
      </c>
      <c r="O84" s="4">
        <f t="shared" si="1"/>
        <v>110</v>
      </c>
    </row>
    <row r="85" spans="1:15" x14ac:dyDescent="0.35">
      <c r="A85" s="3">
        <v>45992</v>
      </c>
      <c r="B85" s="4">
        <v>10</v>
      </c>
      <c r="C85" s="4" t="s">
        <v>8</v>
      </c>
      <c r="L85" s="4">
        <v>108</v>
      </c>
      <c r="O85" s="4">
        <f t="shared" si="1"/>
        <v>108</v>
      </c>
    </row>
    <row r="86" spans="1:15" x14ac:dyDescent="0.35">
      <c r="A86" s="3">
        <v>45992</v>
      </c>
      <c r="B86" s="4">
        <v>15</v>
      </c>
      <c r="C86" s="4" t="s">
        <v>13</v>
      </c>
      <c r="L86" s="4">
        <v>103</v>
      </c>
      <c r="O86" s="4">
        <f t="shared" si="1"/>
        <v>103</v>
      </c>
    </row>
    <row r="87" spans="1:15" x14ac:dyDescent="0.35">
      <c r="A87" s="3">
        <v>45992</v>
      </c>
      <c r="B87" s="4">
        <v>32</v>
      </c>
      <c r="C87" s="4" t="s">
        <v>29</v>
      </c>
      <c r="L87" s="4">
        <v>105</v>
      </c>
      <c r="O87" s="4">
        <f t="shared" si="1"/>
        <v>105</v>
      </c>
    </row>
    <row r="88" spans="1:15" x14ac:dyDescent="0.35">
      <c r="A88" s="3">
        <v>45992</v>
      </c>
      <c r="B88" s="4">
        <v>19</v>
      </c>
      <c r="C88" s="4" t="s">
        <v>16</v>
      </c>
      <c r="M88" s="4">
        <v>127</v>
      </c>
      <c r="O88" s="4">
        <f t="shared" si="1"/>
        <v>127</v>
      </c>
    </row>
    <row r="89" spans="1:15" x14ac:dyDescent="0.35">
      <c r="A89" s="3">
        <v>45992</v>
      </c>
      <c r="B89" s="4">
        <v>36</v>
      </c>
      <c r="C89" s="4" t="s">
        <v>32</v>
      </c>
      <c r="M89" s="4">
        <v>120</v>
      </c>
      <c r="O89" s="4">
        <f t="shared" si="1"/>
        <v>120</v>
      </c>
    </row>
    <row r="90" spans="1:15" x14ac:dyDescent="0.35">
      <c r="A90" s="3">
        <v>45992</v>
      </c>
      <c r="B90" s="4">
        <v>38</v>
      </c>
      <c r="C90" s="4" t="s">
        <v>34</v>
      </c>
      <c r="M90" s="4">
        <v>118</v>
      </c>
      <c r="O90" s="4">
        <f t="shared" si="1"/>
        <v>118</v>
      </c>
    </row>
    <row r="91" spans="1:15" x14ac:dyDescent="0.35">
      <c r="A91" s="3">
        <v>45992</v>
      </c>
      <c r="B91" s="4">
        <v>27</v>
      </c>
      <c r="C91" s="4" t="s">
        <v>19</v>
      </c>
      <c r="K91" s="4">
        <v>108</v>
      </c>
      <c r="O91" s="4">
        <f t="shared" si="1"/>
        <v>108</v>
      </c>
    </row>
    <row r="92" spans="1:15" x14ac:dyDescent="0.35">
      <c r="A92" s="3">
        <v>45992</v>
      </c>
      <c r="B92" s="4">
        <v>28</v>
      </c>
      <c r="C92" s="4" t="s">
        <v>44</v>
      </c>
      <c r="K92" s="4">
        <v>86</v>
      </c>
      <c r="O92" s="4">
        <f t="shared" si="1"/>
        <v>86</v>
      </c>
    </row>
    <row r="93" spans="1:15" x14ac:dyDescent="0.35">
      <c r="A93" s="3">
        <v>45992</v>
      </c>
      <c r="B93" s="4">
        <v>29</v>
      </c>
      <c r="C93" s="4" t="s">
        <v>20</v>
      </c>
      <c r="J93" s="4">
        <v>13</v>
      </c>
      <c r="K93" s="4">
        <v>88</v>
      </c>
      <c r="O93" s="4">
        <f t="shared" si="1"/>
        <v>101</v>
      </c>
    </row>
    <row r="94" spans="1:15" x14ac:dyDescent="0.35">
      <c r="A94" s="3">
        <v>45992</v>
      </c>
      <c r="B94" s="4">
        <v>1</v>
      </c>
      <c r="C94" s="4" t="s">
        <v>3</v>
      </c>
      <c r="E94" s="4">
        <f>114-H94</f>
        <v>98</v>
      </c>
      <c r="H94" s="4">
        <v>16</v>
      </c>
      <c r="O94" s="4">
        <f t="shared" si="1"/>
        <v>114</v>
      </c>
    </row>
    <row r="95" spans="1:15" x14ac:dyDescent="0.35">
      <c r="A95" s="3">
        <v>45992</v>
      </c>
      <c r="B95" s="4">
        <v>18</v>
      </c>
      <c r="C95" s="4" t="s">
        <v>15</v>
      </c>
      <c r="D95" s="4">
        <v>24</v>
      </c>
      <c r="E95" s="5">
        <f>89-D95</f>
        <v>65</v>
      </c>
      <c r="O95" s="4">
        <f t="shared" si="1"/>
        <v>89</v>
      </c>
    </row>
    <row r="96" spans="1:15" x14ac:dyDescent="0.35">
      <c r="A96" s="3">
        <v>45992</v>
      </c>
      <c r="B96" s="4">
        <v>46</v>
      </c>
      <c r="C96" s="4" t="s">
        <v>45</v>
      </c>
      <c r="F96" s="4">
        <f>117-16</f>
        <v>101</v>
      </c>
      <c r="M96" s="4">
        <v>16</v>
      </c>
      <c r="O96" s="4">
        <f t="shared" si="1"/>
        <v>117</v>
      </c>
    </row>
    <row r="97" spans="1:15" x14ac:dyDescent="0.35">
      <c r="A97" s="3">
        <v>45992</v>
      </c>
      <c r="B97" s="4">
        <v>13</v>
      </c>
      <c r="C97" s="4" t="s">
        <v>11</v>
      </c>
      <c r="F97" s="4">
        <v>101</v>
      </c>
      <c r="M97" s="4">
        <v>11</v>
      </c>
      <c r="O97" s="4">
        <f t="shared" si="1"/>
        <v>112</v>
      </c>
    </row>
    <row r="98" spans="1:15" x14ac:dyDescent="0.35">
      <c r="A98" s="3">
        <v>45992</v>
      </c>
      <c r="B98" s="4">
        <v>40</v>
      </c>
      <c r="C98" s="4" t="s">
        <v>36</v>
      </c>
      <c r="F98" s="4">
        <f>118-20</f>
        <v>98</v>
      </c>
      <c r="M98" s="4">
        <v>20</v>
      </c>
      <c r="O98" s="4">
        <f t="shared" si="1"/>
        <v>118</v>
      </c>
    </row>
    <row r="99" spans="1:15" x14ac:dyDescent="0.35">
      <c r="A99" s="3">
        <v>45992</v>
      </c>
      <c r="B99" s="4">
        <v>3</v>
      </c>
      <c r="C99" s="4" t="s">
        <v>4</v>
      </c>
      <c r="D99" s="4">
        <f>123-E99-H99</f>
        <v>28</v>
      </c>
      <c r="E99" s="4">
        <v>33</v>
      </c>
      <c r="H99" s="4">
        <v>62</v>
      </c>
      <c r="O99" s="4">
        <f t="shared" si="1"/>
        <v>123</v>
      </c>
    </row>
    <row r="100" spans="1:15" x14ac:dyDescent="0.35">
      <c r="A100" s="3">
        <v>45992</v>
      </c>
      <c r="B100" s="4">
        <v>4</v>
      </c>
      <c r="C100" s="4" t="s">
        <v>5</v>
      </c>
      <c r="D100" s="4">
        <v>128</v>
      </c>
      <c r="O100" s="4">
        <f t="shared" si="1"/>
        <v>128</v>
      </c>
    </row>
    <row r="101" spans="1:15" x14ac:dyDescent="0.35">
      <c r="A101" s="3">
        <v>45992</v>
      </c>
      <c r="B101" s="4">
        <v>41</v>
      </c>
      <c r="C101" s="4" t="s">
        <v>37</v>
      </c>
      <c r="D101" s="4">
        <v>121</v>
      </c>
      <c r="O101" s="4">
        <f t="shared" si="1"/>
        <v>121</v>
      </c>
    </row>
    <row r="102" spans="1:15" x14ac:dyDescent="0.35">
      <c r="A102" s="3">
        <v>45992</v>
      </c>
      <c r="B102" s="4">
        <v>42</v>
      </c>
      <c r="C102" s="4" t="s">
        <v>40</v>
      </c>
      <c r="D102" s="4">
        <v>127</v>
      </c>
      <c r="O102" s="4">
        <f t="shared" si="1"/>
        <v>127</v>
      </c>
    </row>
    <row r="103" spans="1:15" x14ac:dyDescent="0.35">
      <c r="A103" s="3">
        <v>45992</v>
      </c>
      <c r="B103" s="7">
        <v>43</v>
      </c>
      <c r="C103" s="7" t="s">
        <v>41</v>
      </c>
      <c r="D103" s="5">
        <v>51</v>
      </c>
      <c r="O103" s="4">
        <f t="shared" si="1"/>
        <v>51</v>
      </c>
    </row>
    <row r="104" spans="1:15" x14ac:dyDescent="0.35">
      <c r="A104" s="3">
        <v>45992</v>
      </c>
      <c r="B104" s="4">
        <v>44</v>
      </c>
      <c r="C104" s="4" t="s">
        <v>42</v>
      </c>
      <c r="D104" s="5">
        <v>118</v>
      </c>
      <c r="O104" s="4">
        <f t="shared" si="1"/>
        <v>118</v>
      </c>
    </row>
    <row r="105" spans="1:15" x14ac:dyDescent="0.35">
      <c r="A105" s="3">
        <v>45992</v>
      </c>
      <c r="B105" s="4">
        <v>47</v>
      </c>
      <c r="C105" s="4" t="s">
        <v>46</v>
      </c>
      <c r="D105" s="5">
        <v>121</v>
      </c>
      <c r="O105" s="4">
        <f t="shared" si="1"/>
        <v>121</v>
      </c>
    </row>
    <row r="106" spans="1:15" x14ac:dyDescent="0.35">
      <c r="A106" s="3">
        <v>45992</v>
      </c>
      <c r="B106" s="4">
        <v>11</v>
      </c>
      <c r="C106" s="4" t="s">
        <v>9</v>
      </c>
      <c r="I106" s="4">
        <v>123</v>
      </c>
      <c r="O106" s="4">
        <f t="shared" si="1"/>
        <v>123</v>
      </c>
    </row>
    <row r="107" spans="1:15" x14ac:dyDescent="0.35">
      <c r="A107" s="3">
        <v>45992</v>
      </c>
      <c r="B107" s="4">
        <v>14</v>
      </c>
      <c r="C107" s="4" t="s">
        <v>12</v>
      </c>
      <c r="I107" s="4">
        <v>121</v>
      </c>
      <c r="O107" s="4">
        <f t="shared" si="1"/>
        <v>121</v>
      </c>
    </row>
    <row r="108" spans="1:15" x14ac:dyDescent="0.35">
      <c r="A108" s="3">
        <v>45992</v>
      </c>
      <c r="B108" s="4">
        <v>21</v>
      </c>
      <c r="C108" s="4" t="s">
        <v>18</v>
      </c>
      <c r="I108" s="4">
        <v>102</v>
      </c>
      <c r="O108" s="4">
        <f t="shared" si="1"/>
        <v>102</v>
      </c>
    </row>
    <row r="109" spans="1:15" x14ac:dyDescent="0.35">
      <c r="A109" s="3">
        <v>45992</v>
      </c>
      <c r="B109" s="4">
        <v>31</v>
      </c>
      <c r="C109" s="4" t="s">
        <v>28</v>
      </c>
      <c r="J109" s="4">
        <v>118</v>
      </c>
      <c r="O109" s="4">
        <f t="shared" si="1"/>
        <v>118</v>
      </c>
    </row>
    <row r="110" spans="1:15" x14ac:dyDescent="0.35">
      <c r="A110" s="3">
        <v>45992</v>
      </c>
      <c r="B110" s="4">
        <v>39</v>
      </c>
      <c r="C110" s="4" t="s">
        <v>35</v>
      </c>
      <c r="J110" s="4">
        <v>117</v>
      </c>
      <c r="O110" s="4">
        <f t="shared" si="1"/>
        <v>117</v>
      </c>
    </row>
    <row r="111" spans="1:15" x14ac:dyDescent="0.35">
      <c r="A111" s="3">
        <v>45992</v>
      </c>
      <c r="B111" s="4">
        <v>49</v>
      </c>
      <c r="C111" s="4" t="s">
        <v>47</v>
      </c>
      <c r="J111" s="4">
        <v>21</v>
      </c>
      <c r="O111" s="4">
        <f t="shared" si="1"/>
        <v>21</v>
      </c>
    </row>
    <row r="112" spans="1:15" x14ac:dyDescent="0.35">
      <c r="A112" s="3">
        <v>45992</v>
      </c>
      <c r="B112" s="4">
        <v>12</v>
      </c>
      <c r="C112" s="4" t="s">
        <v>10</v>
      </c>
      <c r="H112" s="4">
        <v>132</v>
      </c>
      <c r="O112" s="4">
        <f t="shared" si="1"/>
        <v>132</v>
      </c>
    </row>
    <row r="113" spans="1:15" x14ac:dyDescent="0.35">
      <c r="A113" s="3">
        <v>45992</v>
      </c>
      <c r="B113" s="4">
        <v>20</v>
      </c>
      <c r="C113" s="4" t="s">
        <v>17</v>
      </c>
      <c r="H113" s="4">
        <v>131</v>
      </c>
      <c r="O113" s="4">
        <f t="shared" si="1"/>
        <v>131</v>
      </c>
    </row>
    <row r="114" spans="1:15" x14ac:dyDescent="0.35">
      <c r="A114" s="3">
        <v>45992</v>
      </c>
      <c r="B114" s="7">
        <v>34</v>
      </c>
      <c r="C114" s="7" t="s">
        <v>31</v>
      </c>
      <c r="H114" s="4">
        <v>27</v>
      </c>
      <c r="O114" s="4">
        <f t="shared" si="1"/>
        <v>27</v>
      </c>
    </row>
    <row r="115" spans="1:15" x14ac:dyDescent="0.35">
      <c r="A115" s="3">
        <v>46023</v>
      </c>
      <c r="B115" s="4">
        <v>30</v>
      </c>
      <c r="C115" s="4" t="s">
        <v>27</v>
      </c>
      <c r="D115" s="4">
        <v>10</v>
      </c>
      <c r="G115" s="4">
        <v>97</v>
      </c>
      <c r="O115" s="5">
        <f t="shared" si="1"/>
        <v>107</v>
      </c>
    </row>
    <row r="116" spans="1:15" x14ac:dyDescent="0.35">
      <c r="A116" s="3">
        <v>46023</v>
      </c>
      <c r="B116" s="4">
        <v>45</v>
      </c>
      <c r="C116" s="4" t="s">
        <v>43</v>
      </c>
      <c r="G116" s="4">
        <v>102</v>
      </c>
      <c r="O116" s="5">
        <f t="shared" si="1"/>
        <v>102</v>
      </c>
    </row>
    <row r="117" spans="1:15" x14ac:dyDescent="0.35">
      <c r="A117" s="3">
        <v>46023</v>
      </c>
      <c r="B117" s="4">
        <v>10</v>
      </c>
      <c r="C117" s="5" t="s">
        <v>8</v>
      </c>
      <c r="L117" s="4">
        <v>81</v>
      </c>
      <c r="N117" s="4">
        <v>28</v>
      </c>
      <c r="O117" s="5">
        <f t="shared" si="1"/>
        <v>109</v>
      </c>
    </row>
    <row r="118" spans="1:15" x14ac:dyDescent="0.35">
      <c r="A118" s="3">
        <v>46023</v>
      </c>
      <c r="B118" s="4">
        <v>15</v>
      </c>
      <c r="C118" s="4" t="s">
        <v>13</v>
      </c>
      <c r="L118" s="4">
        <v>100</v>
      </c>
      <c r="O118" s="5">
        <f t="shared" si="1"/>
        <v>100</v>
      </c>
    </row>
    <row r="119" spans="1:15" x14ac:dyDescent="0.35">
      <c r="A119" s="3">
        <v>46023</v>
      </c>
      <c r="B119" s="4">
        <v>32</v>
      </c>
      <c r="C119" s="5" t="s">
        <v>29</v>
      </c>
      <c r="L119" s="4">
        <v>87</v>
      </c>
      <c r="N119" s="4">
        <v>12</v>
      </c>
      <c r="O119" s="5">
        <f t="shared" si="1"/>
        <v>99</v>
      </c>
    </row>
    <row r="120" spans="1:15" x14ac:dyDescent="0.35">
      <c r="A120" s="3">
        <v>46023</v>
      </c>
      <c r="B120" s="4">
        <v>52</v>
      </c>
      <c r="C120" s="4" t="s">
        <v>50</v>
      </c>
      <c r="L120" s="5">
        <v>100</v>
      </c>
      <c r="O120" s="5">
        <f t="shared" si="1"/>
        <v>100</v>
      </c>
    </row>
    <row r="121" spans="1:15" x14ac:dyDescent="0.35">
      <c r="A121" s="3">
        <v>46023</v>
      </c>
      <c r="B121" s="4">
        <v>51</v>
      </c>
      <c r="C121" s="7" t="s">
        <v>48</v>
      </c>
      <c r="L121" s="5">
        <v>4</v>
      </c>
      <c r="O121" s="5">
        <f t="shared" si="1"/>
        <v>4</v>
      </c>
    </row>
    <row r="122" spans="1:15" x14ac:dyDescent="0.35">
      <c r="A122" s="3">
        <v>46023</v>
      </c>
      <c r="B122" s="4">
        <v>19</v>
      </c>
      <c r="C122" s="4" t="s">
        <v>16</v>
      </c>
      <c r="M122" s="4">
        <v>119</v>
      </c>
      <c r="O122" s="5">
        <f t="shared" si="1"/>
        <v>119</v>
      </c>
    </row>
    <row r="123" spans="1:15" x14ac:dyDescent="0.35">
      <c r="A123" s="3">
        <v>46023</v>
      </c>
      <c r="B123" s="4">
        <v>36</v>
      </c>
      <c r="C123" s="5" t="s">
        <v>32</v>
      </c>
      <c r="M123" s="4">
        <v>92</v>
      </c>
      <c r="N123" s="4">
        <v>12</v>
      </c>
      <c r="O123" s="5">
        <f t="shared" si="1"/>
        <v>104</v>
      </c>
    </row>
    <row r="124" spans="1:15" x14ac:dyDescent="0.35">
      <c r="A124" s="3">
        <v>46023</v>
      </c>
      <c r="B124" s="4">
        <v>38</v>
      </c>
      <c r="C124" s="4" t="s">
        <v>34</v>
      </c>
      <c r="M124" s="4">
        <v>117</v>
      </c>
      <c r="O124" s="5">
        <f t="shared" si="1"/>
        <v>117</v>
      </c>
    </row>
    <row r="125" spans="1:15" x14ac:dyDescent="0.35">
      <c r="A125" s="3">
        <v>46023</v>
      </c>
      <c r="B125" s="4">
        <v>4</v>
      </c>
      <c r="C125" s="4" t="s">
        <v>5</v>
      </c>
      <c r="D125" s="4">
        <v>124</v>
      </c>
      <c r="O125" s="5">
        <f t="shared" si="1"/>
        <v>124</v>
      </c>
    </row>
    <row r="126" spans="1:15" x14ac:dyDescent="0.35">
      <c r="A126" s="3">
        <v>46023</v>
      </c>
      <c r="B126" s="4">
        <v>41</v>
      </c>
      <c r="C126" s="4" t="s">
        <v>37</v>
      </c>
      <c r="D126" s="4">
        <v>125</v>
      </c>
      <c r="O126" s="5">
        <f t="shared" si="1"/>
        <v>125</v>
      </c>
    </row>
    <row r="127" spans="1:15" x14ac:dyDescent="0.35">
      <c r="A127" s="3">
        <v>46023</v>
      </c>
      <c r="B127" s="4">
        <v>42</v>
      </c>
      <c r="C127" s="4" t="s">
        <v>40</v>
      </c>
      <c r="D127" s="4">
        <v>121</v>
      </c>
      <c r="O127" s="5">
        <f t="shared" si="1"/>
        <v>121</v>
      </c>
    </row>
    <row r="128" spans="1:15" x14ac:dyDescent="0.35">
      <c r="A128" s="3">
        <v>46023</v>
      </c>
      <c r="B128" s="4">
        <v>44</v>
      </c>
      <c r="C128" s="4" t="s">
        <v>42</v>
      </c>
      <c r="D128" s="4">
        <f>124-29</f>
        <v>95</v>
      </c>
      <c r="H128" s="4">
        <v>29</v>
      </c>
      <c r="O128" s="5">
        <f t="shared" si="1"/>
        <v>124</v>
      </c>
    </row>
    <row r="129" spans="1:16" x14ac:dyDescent="0.35">
      <c r="A129" s="3">
        <v>46023</v>
      </c>
      <c r="B129" s="4">
        <v>47</v>
      </c>
      <c r="C129" s="4" t="s">
        <v>46</v>
      </c>
      <c r="D129" s="5">
        <v>120</v>
      </c>
      <c r="O129" s="5">
        <f t="shared" si="1"/>
        <v>120</v>
      </c>
    </row>
    <row r="130" spans="1:16" x14ac:dyDescent="0.35">
      <c r="A130" s="3">
        <v>46023</v>
      </c>
      <c r="B130" s="4">
        <v>28</v>
      </c>
      <c r="C130" s="4" t="s">
        <v>44</v>
      </c>
      <c r="K130" s="4">
        <v>87</v>
      </c>
      <c r="O130" s="10">
        <f t="shared" si="1"/>
        <v>87</v>
      </c>
    </row>
    <row r="131" spans="1:16" x14ac:dyDescent="0.35">
      <c r="A131" s="3">
        <v>46023</v>
      </c>
      <c r="B131" s="4">
        <v>27</v>
      </c>
      <c r="C131" s="4" t="s">
        <v>19</v>
      </c>
      <c r="K131" s="4">
        <v>116</v>
      </c>
      <c r="O131" s="10">
        <v>116</v>
      </c>
    </row>
    <row r="132" spans="1:16" x14ac:dyDescent="0.35">
      <c r="A132" s="3">
        <v>46023</v>
      </c>
      <c r="B132" s="4">
        <v>29</v>
      </c>
      <c r="C132" s="5" t="s">
        <v>20</v>
      </c>
      <c r="K132" s="4">
        <v>60</v>
      </c>
      <c r="N132" s="4">
        <v>56</v>
      </c>
      <c r="O132" s="10">
        <f t="shared" ref="O132:O195" si="2">SUM(D132:N132)</f>
        <v>116</v>
      </c>
    </row>
    <row r="133" spans="1:16" x14ac:dyDescent="0.35">
      <c r="A133" s="3">
        <v>46023</v>
      </c>
      <c r="B133" s="4">
        <v>1</v>
      </c>
      <c r="C133" s="5" t="s">
        <v>3</v>
      </c>
      <c r="E133" s="4">
        <v>52</v>
      </c>
      <c r="H133" s="4">
        <v>6</v>
      </c>
      <c r="N133" s="4">
        <v>56</v>
      </c>
      <c r="O133" s="10">
        <f t="shared" si="2"/>
        <v>114</v>
      </c>
    </row>
    <row r="134" spans="1:16" x14ac:dyDescent="0.35">
      <c r="A134" s="3">
        <v>46023</v>
      </c>
      <c r="B134" s="4">
        <v>18</v>
      </c>
      <c r="C134" s="4" t="s">
        <v>15</v>
      </c>
      <c r="E134" s="4">
        <v>92</v>
      </c>
      <c r="H134" s="4">
        <v>12</v>
      </c>
      <c r="N134" s="5"/>
      <c r="O134" s="10">
        <f t="shared" si="2"/>
        <v>104</v>
      </c>
    </row>
    <row r="135" spans="1:16" x14ac:dyDescent="0.35">
      <c r="A135" s="3">
        <v>46023</v>
      </c>
      <c r="B135" s="4">
        <v>13</v>
      </c>
      <c r="C135" s="4" t="s">
        <v>11</v>
      </c>
      <c r="F135" s="4">
        <v>93</v>
      </c>
      <c r="M135" s="4">
        <v>18</v>
      </c>
      <c r="O135" s="10">
        <f t="shared" si="2"/>
        <v>111</v>
      </c>
    </row>
    <row r="136" spans="1:16" x14ac:dyDescent="0.35">
      <c r="A136" s="3">
        <v>46023</v>
      </c>
      <c r="B136" s="4">
        <v>40</v>
      </c>
      <c r="C136" s="5" t="s">
        <v>36</v>
      </c>
      <c r="F136" s="4">
        <v>73</v>
      </c>
      <c r="M136" s="4">
        <v>18</v>
      </c>
      <c r="N136" s="5">
        <v>12</v>
      </c>
      <c r="O136" s="10">
        <f t="shared" si="2"/>
        <v>103</v>
      </c>
    </row>
    <row r="137" spans="1:16" x14ac:dyDescent="0.35">
      <c r="A137" s="3">
        <v>46023</v>
      </c>
      <c r="B137" s="4">
        <v>46</v>
      </c>
      <c r="C137" s="4" t="s">
        <v>45</v>
      </c>
      <c r="F137" s="4">
        <v>102</v>
      </c>
      <c r="O137" s="10">
        <f t="shared" si="2"/>
        <v>102</v>
      </c>
    </row>
    <row r="138" spans="1:16" x14ac:dyDescent="0.35">
      <c r="A138" s="3">
        <v>46023</v>
      </c>
      <c r="B138" s="4">
        <v>3</v>
      </c>
      <c r="C138" s="5" t="s">
        <v>4</v>
      </c>
      <c r="E138" s="4">
        <v>51</v>
      </c>
      <c r="H138" s="4">
        <v>18</v>
      </c>
      <c r="N138" s="5">
        <v>56</v>
      </c>
      <c r="O138" s="10">
        <f t="shared" si="2"/>
        <v>125</v>
      </c>
    </row>
    <row r="139" spans="1:16" x14ac:dyDescent="0.35">
      <c r="A139" s="3">
        <v>46023</v>
      </c>
      <c r="B139" s="4">
        <v>12</v>
      </c>
      <c r="C139" s="4" t="s">
        <v>10</v>
      </c>
      <c r="H139" s="4">
        <v>132</v>
      </c>
      <c r="O139" s="10">
        <f t="shared" si="2"/>
        <v>132</v>
      </c>
    </row>
    <row r="140" spans="1:16" x14ac:dyDescent="0.35">
      <c r="A140" s="3">
        <v>46023</v>
      </c>
      <c r="B140" s="4">
        <v>20</v>
      </c>
      <c r="C140" s="4" t="s">
        <v>17</v>
      </c>
      <c r="H140" s="4">
        <v>130</v>
      </c>
      <c r="O140" s="10">
        <f t="shared" si="2"/>
        <v>130</v>
      </c>
    </row>
    <row r="141" spans="1:16" x14ac:dyDescent="0.35">
      <c r="A141" s="3">
        <v>46023</v>
      </c>
      <c r="B141" s="5">
        <v>21</v>
      </c>
      <c r="C141" s="5" t="s">
        <v>18</v>
      </c>
      <c r="I141" s="5">
        <v>34</v>
      </c>
      <c r="O141" s="10">
        <f t="shared" si="2"/>
        <v>34</v>
      </c>
      <c r="P141" s="4" t="s">
        <v>73</v>
      </c>
    </row>
    <row r="142" spans="1:16" x14ac:dyDescent="0.35">
      <c r="A142" s="3">
        <v>46023</v>
      </c>
      <c r="B142" s="4">
        <v>53</v>
      </c>
      <c r="C142" s="4" t="s">
        <v>49</v>
      </c>
      <c r="I142" s="4">
        <v>41</v>
      </c>
      <c r="O142" s="10">
        <f t="shared" si="2"/>
        <v>41</v>
      </c>
    </row>
    <row r="143" spans="1:16" x14ac:dyDescent="0.35">
      <c r="A143" s="3">
        <v>46023</v>
      </c>
      <c r="B143" s="4">
        <v>11</v>
      </c>
      <c r="C143" s="4" t="s">
        <v>9</v>
      </c>
      <c r="I143" s="4">
        <v>127</v>
      </c>
      <c r="O143" s="10">
        <f t="shared" si="2"/>
        <v>127</v>
      </c>
    </row>
    <row r="144" spans="1:16" x14ac:dyDescent="0.35">
      <c r="A144" s="3">
        <v>46023</v>
      </c>
      <c r="B144" s="4">
        <v>14</v>
      </c>
      <c r="C144" s="4" t="s">
        <v>12</v>
      </c>
      <c r="I144" s="4">
        <v>124</v>
      </c>
      <c r="O144" s="10">
        <f t="shared" si="2"/>
        <v>124</v>
      </c>
    </row>
    <row r="145" spans="1:16" x14ac:dyDescent="0.35">
      <c r="A145" s="3">
        <v>46023</v>
      </c>
      <c r="B145" s="4">
        <v>31</v>
      </c>
      <c r="C145" s="4" t="s">
        <v>28</v>
      </c>
      <c r="J145" s="4">
        <v>122</v>
      </c>
      <c r="O145" s="10">
        <f t="shared" si="2"/>
        <v>122</v>
      </c>
    </row>
    <row r="146" spans="1:16" x14ac:dyDescent="0.35">
      <c r="A146" s="3">
        <v>46023</v>
      </c>
      <c r="B146" s="4">
        <v>39</v>
      </c>
      <c r="C146" s="5" t="s">
        <v>35</v>
      </c>
      <c r="J146" s="4">
        <v>108</v>
      </c>
      <c r="N146" s="4">
        <v>12</v>
      </c>
      <c r="O146" s="10">
        <f t="shared" si="2"/>
        <v>120</v>
      </c>
    </row>
    <row r="147" spans="1:16" x14ac:dyDescent="0.35">
      <c r="A147" s="3">
        <v>46023</v>
      </c>
      <c r="B147" s="4">
        <v>49</v>
      </c>
      <c r="C147" s="4" t="s">
        <v>47</v>
      </c>
      <c r="I147" s="4">
        <v>68</v>
      </c>
      <c r="J147" s="4">
        <v>41</v>
      </c>
      <c r="O147" s="10">
        <f t="shared" si="2"/>
        <v>109</v>
      </c>
    </row>
    <row r="148" spans="1:16" x14ac:dyDescent="0.35">
      <c r="A148" s="3">
        <v>46054</v>
      </c>
      <c r="B148" s="4">
        <v>30</v>
      </c>
      <c r="C148" s="4" t="s">
        <v>27</v>
      </c>
      <c r="D148" s="4">
        <v>9</v>
      </c>
      <c r="E148" s="5">
        <v>6</v>
      </c>
      <c r="G148" s="5">
        <v>77</v>
      </c>
      <c r="O148" s="4">
        <f t="shared" si="2"/>
        <v>92</v>
      </c>
    </row>
    <row r="149" spans="1:16" x14ac:dyDescent="0.35">
      <c r="A149" s="3">
        <v>46054</v>
      </c>
      <c r="B149" s="4">
        <v>45</v>
      </c>
      <c r="C149" s="4" t="s">
        <v>43</v>
      </c>
      <c r="G149" s="4">
        <v>79</v>
      </c>
      <c r="O149" s="4">
        <f t="shared" si="2"/>
        <v>79</v>
      </c>
    </row>
    <row r="150" spans="1:16" x14ac:dyDescent="0.35">
      <c r="A150" s="3">
        <v>46054</v>
      </c>
      <c r="B150" s="4">
        <v>10</v>
      </c>
      <c r="C150" s="4" t="s">
        <v>8</v>
      </c>
      <c r="L150" s="4">
        <v>98</v>
      </c>
      <c r="O150" s="4">
        <f t="shared" si="2"/>
        <v>98</v>
      </c>
    </row>
    <row r="151" spans="1:16" x14ac:dyDescent="0.35">
      <c r="A151" s="3">
        <v>46054</v>
      </c>
      <c r="B151" s="4">
        <v>15</v>
      </c>
      <c r="C151" s="4" t="s">
        <v>13</v>
      </c>
      <c r="L151" s="4">
        <v>44</v>
      </c>
      <c r="N151" s="4">
        <v>56</v>
      </c>
      <c r="O151" s="4">
        <f t="shared" si="2"/>
        <v>100</v>
      </c>
    </row>
    <row r="152" spans="1:16" x14ac:dyDescent="0.35">
      <c r="A152" s="3">
        <v>46054</v>
      </c>
      <c r="B152" s="7">
        <v>32</v>
      </c>
      <c r="C152" s="7" t="s">
        <v>29</v>
      </c>
      <c r="L152" s="4">
        <v>69</v>
      </c>
      <c r="O152" s="4">
        <f t="shared" si="2"/>
        <v>69</v>
      </c>
    </row>
    <row r="153" spans="1:16" x14ac:dyDescent="0.35">
      <c r="A153" s="3">
        <v>46054</v>
      </c>
      <c r="B153" s="4">
        <v>52</v>
      </c>
      <c r="C153" s="4" t="s">
        <v>50</v>
      </c>
      <c r="L153" s="5">
        <v>88</v>
      </c>
      <c r="O153" s="4">
        <f t="shared" si="2"/>
        <v>88</v>
      </c>
    </row>
    <row r="154" spans="1:16" x14ac:dyDescent="0.35">
      <c r="A154" s="3">
        <v>46054</v>
      </c>
      <c r="B154" s="4">
        <v>19</v>
      </c>
      <c r="C154" s="4" t="s">
        <v>16</v>
      </c>
      <c r="M154" s="4">
        <v>70</v>
      </c>
      <c r="N154" s="4">
        <v>56</v>
      </c>
      <c r="O154" s="4">
        <f t="shared" si="2"/>
        <v>126</v>
      </c>
    </row>
    <row r="155" spans="1:16" x14ac:dyDescent="0.35">
      <c r="A155" s="3">
        <v>46054</v>
      </c>
      <c r="B155" s="4">
        <v>36</v>
      </c>
      <c r="C155" s="4" t="s">
        <v>32</v>
      </c>
      <c r="M155" s="4">
        <v>110</v>
      </c>
      <c r="O155" s="4">
        <f t="shared" si="2"/>
        <v>110</v>
      </c>
    </row>
    <row r="156" spans="1:16" x14ac:dyDescent="0.35">
      <c r="A156" s="3">
        <v>46054</v>
      </c>
      <c r="B156" s="4">
        <v>38</v>
      </c>
      <c r="C156" s="4" t="s">
        <v>34</v>
      </c>
      <c r="M156" s="4">
        <v>84</v>
      </c>
      <c r="N156" s="4">
        <v>12</v>
      </c>
      <c r="O156" s="4">
        <f t="shared" si="2"/>
        <v>96</v>
      </c>
    </row>
    <row r="157" spans="1:16" x14ac:dyDescent="0.35">
      <c r="A157" s="3">
        <v>46054</v>
      </c>
      <c r="B157" s="4">
        <v>4</v>
      </c>
      <c r="C157" s="4" t="s">
        <v>5</v>
      </c>
      <c r="D157" s="4">
        <v>80</v>
      </c>
      <c r="N157" s="4">
        <v>56</v>
      </c>
      <c r="O157" s="4">
        <f t="shared" si="2"/>
        <v>136</v>
      </c>
      <c r="P157" s="4" t="s">
        <v>69</v>
      </c>
    </row>
    <row r="158" spans="1:16" x14ac:dyDescent="0.35">
      <c r="A158" s="3">
        <v>46054</v>
      </c>
      <c r="B158" s="4">
        <v>41</v>
      </c>
      <c r="C158" s="4" t="s">
        <v>37</v>
      </c>
      <c r="D158" s="4">
        <v>110</v>
      </c>
      <c r="O158" s="4">
        <f t="shared" si="2"/>
        <v>110</v>
      </c>
    </row>
    <row r="159" spans="1:16" x14ac:dyDescent="0.35">
      <c r="A159" s="3">
        <v>46054</v>
      </c>
      <c r="B159" s="4">
        <v>42</v>
      </c>
      <c r="C159" s="4" t="s">
        <v>40</v>
      </c>
      <c r="D159" s="4">
        <v>103</v>
      </c>
      <c r="O159" s="4">
        <f t="shared" si="2"/>
        <v>103</v>
      </c>
    </row>
    <row r="160" spans="1:16" x14ac:dyDescent="0.35">
      <c r="A160" s="3">
        <v>46054</v>
      </c>
      <c r="B160" s="4">
        <v>44</v>
      </c>
      <c r="C160" s="4" t="s">
        <v>42</v>
      </c>
      <c r="D160" s="4">
        <f>113-36</f>
        <v>77</v>
      </c>
      <c r="H160" s="4">
        <v>36</v>
      </c>
      <c r="O160" s="4">
        <f t="shared" si="2"/>
        <v>113</v>
      </c>
    </row>
    <row r="161" spans="1:16" x14ac:dyDescent="0.35">
      <c r="A161" s="3">
        <v>46054</v>
      </c>
      <c r="B161" s="4">
        <v>47</v>
      </c>
      <c r="C161" s="4" t="s">
        <v>46</v>
      </c>
      <c r="D161" s="5">
        <v>108</v>
      </c>
      <c r="O161" s="4">
        <f t="shared" si="2"/>
        <v>108</v>
      </c>
    </row>
    <row r="162" spans="1:16" x14ac:dyDescent="0.35">
      <c r="A162" s="3">
        <v>46054</v>
      </c>
      <c r="B162" s="4">
        <v>27</v>
      </c>
      <c r="C162" s="4" t="s">
        <v>19</v>
      </c>
      <c r="K162" s="4">
        <v>50</v>
      </c>
      <c r="N162" s="4">
        <v>56</v>
      </c>
      <c r="O162" s="4">
        <f t="shared" si="2"/>
        <v>106</v>
      </c>
    </row>
    <row r="163" spans="1:16" x14ac:dyDescent="0.35">
      <c r="A163" s="3">
        <v>46054</v>
      </c>
      <c r="B163" s="4">
        <v>28</v>
      </c>
      <c r="C163" s="4" t="s">
        <v>44</v>
      </c>
      <c r="K163" s="4">
        <v>101</v>
      </c>
      <c r="O163" s="4">
        <f t="shared" si="2"/>
        <v>101</v>
      </c>
    </row>
    <row r="164" spans="1:16" x14ac:dyDescent="0.35">
      <c r="A164" s="3">
        <v>46054</v>
      </c>
      <c r="B164" s="4">
        <v>29</v>
      </c>
      <c r="C164" s="4" t="s">
        <v>20</v>
      </c>
      <c r="K164" s="4">
        <v>101</v>
      </c>
      <c r="O164" s="4">
        <f t="shared" si="2"/>
        <v>101</v>
      </c>
    </row>
    <row r="165" spans="1:16" x14ac:dyDescent="0.35">
      <c r="A165" s="3">
        <v>46054</v>
      </c>
      <c r="B165" s="4">
        <v>1</v>
      </c>
      <c r="C165" s="4" t="s">
        <v>3</v>
      </c>
      <c r="E165" s="4">
        <v>79</v>
      </c>
      <c r="O165" s="4">
        <f t="shared" si="2"/>
        <v>79</v>
      </c>
    </row>
    <row r="166" spans="1:16" x14ac:dyDescent="0.35">
      <c r="A166" s="3">
        <v>46054</v>
      </c>
      <c r="B166" s="4">
        <v>18</v>
      </c>
      <c r="C166" s="4" t="s">
        <v>15</v>
      </c>
      <c r="D166" s="4">
        <v>15</v>
      </c>
      <c r="E166" s="5">
        <v>79</v>
      </c>
      <c r="O166" s="4">
        <f t="shared" si="2"/>
        <v>94</v>
      </c>
    </row>
    <row r="167" spans="1:16" x14ac:dyDescent="0.35">
      <c r="A167" s="3">
        <v>46054</v>
      </c>
      <c r="B167" s="4">
        <v>13</v>
      </c>
      <c r="C167" s="4" t="s">
        <v>11</v>
      </c>
      <c r="F167" s="4">
        <v>46</v>
      </c>
      <c r="M167" s="4">
        <v>14</v>
      </c>
      <c r="N167" s="4">
        <v>56</v>
      </c>
      <c r="O167" s="4">
        <f t="shared" si="2"/>
        <v>116</v>
      </c>
      <c r="P167" s="4" t="s">
        <v>69</v>
      </c>
    </row>
    <row r="168" spans="1:16" x14ac:dyDescent="0.35">
      <c r="A168" s="3">
        <v>46054</v>
      </c>
      <c r="B168" s="4">
        <v>40</v>
      </c>
      <c r="C168" s="4" t="s">
        <v>36</v>
      </c>
      <c r="F168" s="4">
        <v>86</v>
      </c>
      <c r="M168" s="4">
        <v>10</v>
      </c>
      <c r="O168" s="4">
        <f t="shared" si="2"/>
        <v>96</v>
      </c>
    </row>
    <row r="169" spans="1:16" x14ac:dyDescent="0.35">
      <c r="A169" s="3">
        <v>46054</v>
      </c>
      <c r="B169" s="4">
        <v>46</v>
      </c>
      <c r="C169" s="4" t="s">
        <v>45</v>
      </c>
      <c r="F169" s="4">
        <v>57</v>
      </c>
      <c r="M169" s="4">
        <v>40</v>
      </c>
      <c r="O169" s="4">
        <f t="shared" si="2"/>
        <v>97</v>
      </c>
    </row>
    <row r="170" spans="1:16" x14ac:dyDescent="0.35">
      <c r="A170" s="3">
        <v>46054</v>
      </c>
      <c r="B170" s="4">
        <v>3</v>
      </c>
      <c r="C170" s="4" t="s">
        <v>4</v>
      </c>
      <c r="H170" s="4">
        <v>113</v>
      </c>
      <c r="O170" s="4">
        <f t="shared" si="2"/>
        <v>113</v>
      </c>
    </row>
    <row r="171" spans="1:16" x14ac:dyDescent="0.35">
      <c r="A171" s="3">
        <v>46054</v>
      </c>
      <c r="B171" s="4">
        <v>12</v>
      </c>
      <c r="C171" s="4" t="s">
        <v>10</v>
      </c>
      <c r="H171" s="4">
        <v>114</v>
      </c>
      <c r="O171" s="4">
        <f t="shared" si="2"/>
        <v>114</v>
      </c>
    </row>
    <row r="172" spans="1:16" x14ac:dyDescent="0.35">
      <c r="A172" s="3">
        <v>46054</v>
      </c>
      <c r="B172" s="4">
        <v>20</v>
      </c>
      <c r="C172" s="4" t="s">
        <v>17</v>
      </c>
      <c r="H172" s="4">
        <v>43</v>
      </c>
      <c r="N172" s="4">
        <v>56</v>
      </c>
      <c r="O172" s="4">
        <f t="shared" si="2"/>
        <v>99</v>
      </c>
    </row>
    <row r="173" spans="1:16" x14ac:dyDescent="0.35">
      <c r="A173" s="3">
        <v>46054</v>
      </c>
      <c r="B173" s="4">
        <v>11</v>
      </c>
      <c r="C173" s="4" t="s">
        <v>9</v>
      </c>
      <c r="I173" s="4">
        <v>120</v>
      </c>
      <c r="O173" s="4">
        <f t="shared" si="2"/>
        <v>120</v>
      </c>
    </row>
    <row r="174" spans="1:16" x14ac:dyDescent="0.35">
      <c r="A174" s="3">
        <v>46054</v>
      </c>
      <c r="B174" s="4">
        <v>14</v>
      </c>
      <c r="C174" s="4" t="s">
        <v>12</v>
      </c>
      <c r="I174" s="4">
        <v>75</v>
      </c>
      <c r="N174" s="4">
        <v>36</v>
      </c>
      <c r="O174" s="4">
        <f t="shared" si="2"/>
        <v>111</v>
      </c>
    </row>
    <row r="175" spans="1:16" x14ac:dyDescent="0.35">
      <c r="A175" s="3">
        <v>46054</v>
      </c>
      <c r="B175" s="7">
        <v>53</v>
      </c>
      <c r="C175" s="7" t="s">
        <v>49</v>
      </c>
      <c r="I175" s="4">
        <v>73</v>
      </c>
      <c r="O175" s="4">
        <f t="shared" si="2"/>
        <v>73</v>
      </c>
    </row>
    <row r="176" spans="1:16" x14ac:dyDescent="0.35">
      <c r="A176" s="3">
        <v>46054</v>
      </c>
      <c r="B176" s="4">
        <v>31</v>
      </c>
      <c r="C176" s="4" t="s">
        <v>28</v>
      </c>
      <c r="J176" s="4">
        <v>97</v>
      </c>
      <c r="N176" s="4">
        <v>12</v>
      </c>
      <c r="O176" s="4">
        <f t="shared" si="2"/>
        <v>109</v>
      </c>
    </row>
    <row r="177" spans="1:15" x14ac:dyDescent="0.35">
      <c r="A177" s="3">
        <v>46054</v>
      </c>
      <c r="B177" s="4">
        <v>39</v>
      </c>
      <c r="C177" s="4" t="s">
        <v>35</v>
      </c>
      <c r="J177" s="4">
        <v>111</v>
      </c>
      <c r="O177" s="4">
        <f t="shared" si="2"/>
        <v>111</v>
      </c>
    </row>
    <row r="178" spans="1:15" x14ac:dyDescent="0.35">
      <c r="A178" s="3">
        <v>46054</v>
      </c>
      <c r="B178" s="4">
        <v>49</v>
      </c>
      <c r="C178" s="4" t="s">
        <v>47</v>
      </c>
      <c r="I178" s="5">
        <v>47</v>
      </c>
      <c r="J178" s="4">
        <v>43</v>
      </c>
      <c r="K178" s="4">
        <v>12</v>
      </c>
      <c r="O178" s="4">
        <f t="shared" si="2"/>
        <v>102</v>
      </c>
    </row>
    <row r="179" spans="1:15" x14ac:dyDescent="0.35">
      <c r="A179" s="3">
        <v>46082</v>
      </c>
      <c r="B179" s="4">
        <v>10</v>
      </c>
      <c r="C179" s="4" t="s">
        <v>8</v>
      </c>
      <c r="L179" s="4">
        <v>89</v>
      </c>
      <c r="N179" s="4">
        <v>36</v>
      </c>
      <c r="O179" s="4">
        <f t="shared" si="2"/>
        <v>125</v>
      </c>
    </row>
    <row r="180" spans="1:15" x14ac:dyDescent="0.35">
      <c r="A180" s="3">
        <v>46082</v>
      </c>
      <c r="B180" s="4">
        <v>15</v>
      </c>
      <c r="C180" s="4" t="s">
        <v>13</v>
      </c>
      <c r="L180" s="4">
        <v>113</v>
      </c>
      <c r="O180" s="4">
        <f t="shared" si="2"/>
        <v>113</v>
      </c>
    </row>
    <row r="181" spans="1:15" x14ac:dyDescent="0.35">
      <c r="A181" s="3">
        <v>46082</v>
      </c>
      <c r="B181" s="4">
        <v>52</v>
      </c>
      <c r="C181" s="4" t="s">
        <v>50</v>
      </c>
      <c r="L181" s="4">
        <v>99</v>
      </c>
      <c r="O181" s="4">
        <f t="shared" si="2"/>
        <v>99</v>
      </c>
    </row>
    <row r="182" spans="1:15" x14ac:dyDescent="0.35">
      <c r="A182" s="3">
        <v>46082</v>
      </c>
      <c r="B182" s="4">
        <v>19</v>
      </c>
      <c r="C182" s="4" t="s">
        <v>16</v>
      </c>
      <c r="M182" s="4">
        <v>116</v>
      </c>
      <c r="O182" s="4">
        <f t="shared" si="2"/>
        <v>116</v>
      </c>
    </row>
    <row r="183" spans="1:15" x14ac:dyDescent="0.35">
      <c r="A183" s="3">
        <v>46082</v>
      </c>
      <c r="B183" s="4">
        <v>36</v>
      </c>
      <c r="C183" s="4" t="s">
        <v>32</v>
      </c>
      <c r="M183" s="4">
        <v>110</v>
      </c>
      <c r="O183" s="4">
        <f t="shared" si="2"/>
        <v>110</v>
      </c>
    </row>
    <row r="184" spans="1:15" x14ac:dyDescent="0.35">
      <c r="A184" s="3">
        <v>46082</v>
      </c>
      <c r="B184" s="4">
        <v>40</v>
      </c>
      <c r="C184" s="4" t="s">
        <v>36</v>
      </c>
      <c r="F184" s="4">
        <v>9</v>
      </c>
      <c r="M184" s="4">
        <v>101</v>
      </c>
      <c r="O184" s="4">
        <f t="shared" si="2"/>
        <v>110</v>
      </c>
    </row>
    <row r="185" spans="1:15" x14ac:dyDescent="0.35">
      <c r="A185" s="3">
        <v>46082</v>
      </c>
      <c r="B185" s="4">
        <v>4</v>
      </c>
      <c r="C185" s="4" t="s">
        <v>5</v>
      </c>
      <c r="D185" s="4">
        <v>121</v>
      </c>
      <c r="O185" s="4">
        <f t="shared" si="2"/>
        <v>121</v>
      </c>
    </row>
    <row r="186" spans="1:15" x14ac:dyDescent="0.35">
      <c r="A186" s="3">
        <v>46082</v>
      </c>
      <c r="B186" s="4">
        <v>41</v>
      </c>
      <c r="C186" s="4" t="s">
        <v>37</v>
      </c>
      <c r="D186" s="4">
        <v>109</v>
      </c>
      <c r="N186" s="4">
        <v>12</v>
      </c>
      <c r="O186" s="4">
        <f t="shared" si="2"/>
        <v>121</v>
      </c>
    </row>
    <row r="187" spans="1:15" x14ac:dyDescent="0.35">
      <c r="A187" s="3">
        <v>46082</v>
      </c>
      <c r="B187" s="4">
        <v>42</v>
      </c>
      <c r="C187" s="4" t="s">
        <v>40</v>
      </c>
      <c r="D187" s="4">
        <v>119</v>
      </c>
      <c r="O187" s="4">
        <f t="shared" si="2"/>
        <v>119</v>
      </c>
    </row>
    <row r="188" spans="1:15" x14ac:dyDescent="0.35">
      <c r="A188" s="3">
        <v>46082</v>
      </c>
      <c r="B188" s="4">
        <v>44</v>
      </c>
      <c r="C188" s="4" t="s">
        <v>42</v>
      </c>
      <c r="D188" s="5">
        <v>53</v>
      </c>
      <c r="E188" s="4">
        <v>52</v>
      </c>
      <c r="O188" s="4">
        <f t="shared" si="2"/>
        <v>105</v>
      </c>
    </row>
    <row r="189" spans="1:15" x14ac:dyDescent="0.35">
      <c r="A189" s="3">
        <v>46082</v>
      </c>
      <c r="B189" s="4">
        <v>47</v>
      </c>
      <c r="C189" s="4" t="s">
        <v>46</v>
      </c>
      <c r="D189" s="5">
        <v>88</v>
      </c>
      <c r="H189" s="4">
        <v>32</v>
      </c>
      <c r="O189" s="4">
        <f t="shared" si="2"/>
        <v>120</v>
      </c>
    </row>
    <row r="190" spans="1:15" x14ac:dyDescent="0.35">
      <c r="A190" s="3">
        <v>46082</v>
      </c>
      <c r="B190" s="4">
        <v>54</v>
      </c>
      <c r="C190" s="4" t="s">
        <v>58</v>
      </c>
      <c r="D190" s="5">
        <v>49</v>
      </c>
      <c r="O190" s="4">
        <f t="shared" si="2"/>
        <v>49</v>
      </c>
    </row>
    <row r="191" spans="1:15" x14ac:dyDescent="0.35">
      <c r="A191" s="3">
        <v>46082</v>
      </c>
      <c r="B191" s="4">
        <v>27</v>
      </c>
      <c r="C191" s="4" t="s">
        <v>19</v>
      </c>
      <c r="K191" s="4">
        <v>105</v>
      </c>
      <c r="O191" s="4">
        <f t="shared" si="2"/>
        <v>105</v>
      </c>
    </row>
    <row r="192" spans="1:15" x14ac:dyDescent="0.35">
      <c r="A192" s="3">
        <v>46082</v>
      </c>
      <c r="B192" s="4">
        <v>28</v>
      </c>
      <c r="C192" s="4" t="s">
        <v>26</v>
      </c>
      <c r="K192" s="4">
        <v>105</v>
      </c>
      <c r="O192" s="4">
        <f t="shared" si="2"/>
        <v>105</v>
      </c>
    </row>
    <row r="193" spans="1:16" x14ac:dyDescent="0.35">
      <c r="A193" s="3">
        <v>46082</v>
      </c>
      <c r="B193" s="4">
        <v>29</v>
      </c>
      <c r="C193" s="4" t="s">
        <v>20</v>
      </c>
      <c r="J193" s="4">
        <v>27</v>
      </c>
      <c r="K193" s="4">
        <v>79</v>
      </c>
      <c r="O193" s="4">
        <f t="shared" si="2"/>
        <v>106</v>
      </c>
    </row>
    <row r="194" spans="1:16" x14ac:dyDescent="0.35">
      <c r="A194" s="3">
        <v>46082</v>
      </c>
      <c r="B194" s="4">
        <v>1</v>
      </c>
      <c r="C194" s="4" t="s">
        <v>3</v>
      </c>
      <c r="E194" s="4">
        <v>28</v>
      </c>
      <c r="O194" s="4">
        <f t="shared" si="2"/>
        <v>28</v>
      </c>
      <c r="P194" s="4" t="s">
        <v>71</v>
      </c>
    </row>
    <row r="195" spans="1:16" x14ac:dyDescent="0.35">
      <c r="A195" s="3">
        <v>46082</v>
      </c>
      <c r="B195" s="4">
        <v>18</v>
      </c>
      <c r="C195" s="4" t="s">
        <v>15</v>
      </c>
      <c r="D195" s="4">
        <v>10</v>
      </c>
      <c r="E195" s="5">
        <v>98</v>
      </c>
      <c r="O195" s="4">
        <f t="shared" si="2"/>
        <v>108</v>
      </c>
    </row>
    <row r="196" spans="1:16" x14ac:dyDescent="0.35">
      <c r="A196" s="3">
        <v>46082</v>
      </c>
      <c r="B196" s="4">
        <v>13</v>
      </c>
      <c r="C196" s="4" t="s">
        <v>11</v>
      </c>
      <c r="E196" s="4">
        <v>23</v>
      </c>
      <c r="F196" s="5">
        <v>71</v>
      </c>
      <c r="M196" s="4">
        <v>16</v>
      </c>
      <c r="O196" s="4">
        <f t="shared" ref="O196:O259" si="3">SUM(D196:N196)</f>
        <v>110</v>
      </c>
    </row>
    <row r="197" spans="1:16" x14ac:dyDescent="0.35">
      <c r="A197" s="3">
        <v>46082</v>
      </c>
      <c r="B197" s="4">
        <v>38</v>
      </c>
      <c r="C197" s="4" t="s">
        <v>34</v>
      </c>
      <c r="F197" s="4">
        <v>98</v>
      </c>
      <c r="M197" s="4">
        <v>24</v>
      </c>
      <c r="O197" s="4">
        <f t="shared" si="3"/>
        <v>122</v>
      </c>
    </row>
    <row r="198" spans="1:16" x14ac:dyDescent="0.35">
      <c r="A198" s="3">
        <v>46082</v>
      </c>
      <c r="B198" s="4">
        <v>46</v>
      </c>
      <c r="C198" s="4" t="s">
        <v>45</v>
      </c>
      <c r="F198" s="4">
        <v>47</v>
      </c>
      <c r="O198" s="4">
        <f t="shared" si="3"/>
        <v>47</v>
      </c>
      <c r="P198" s="4" t="s">
        <v>72</v>
      </c>
    </row>
    <row r="199" spans="1:16" x14ac:dyDescent="0.35">
      <c r="A199" s="3">
        <v>46082</v>
      </c>
      <c r="B199" s="4">
        <v>3</v>
      </c>
      <c r="C199" s="4" t="s">
        <v>4</v>
      </c>
      <c r="H199" s="4">
        <v>125</v>
      </c>
      <c r="O199" s="4">
        <f t="shared" si="3"/>
        <v>125</v>
      </c>
    </row>
    <row r="200" spans="1:16" x14ac:dyDescent="0.35">
      <c r="A200" s="3">
        <v>46082</v>
      </c>
      <c r="B200" s="4">
        <v>12</v>
      </c>
      <c r="C200" s="4" t="s">
        <v>10</v>
      </c>
      <c r="H200" s="4">
        <v>66</v>
      </c>
      <c r="N200" s="4">
        <v>56</v>
      </c>
      <c r="O200" s="4">
        <f t="shared" si="3"/>
        <v>122</v>
      </c>
    </row>
    <row r="201" spans="1:16" x14ac:dyDescent="0.35">
      <c r="A201" s="3">
        <v>46082</v>
      </c>
      <c r="B201" s="4">
        <v>20</v>
      </c>
      <c r="C201" s="4" t="s">
        <v>17</v>
      </c>
      <c r="H201" s="4">
        <v>122</v>
      </c>
      <c r="O201" s="4">
        <f t="shared" si="3"/>
        <v>122</v>
      </c>
    </row>
    <row r="202" spans="1:16" x14ac:dyDescent="0.35">
      <c r="A202" s="3">
        <v>46082</v>
      </c>
      <c r="B202" s="4">
        <v>11</v>
      </c>
      <c r="C202" s="4" t="s">
        <v>9</v>
      </c>
      <c r="I202" s="4">
        <v>69</v>
      </c>
      <c r="N202" s="4">
        <v>56</v>
      </c>
      <c r="O202" s="4">
        <f t="shared" si="3"/>
        <v>125</v>
      </c>
    </row>
    <row r="203" spans="1:16" x14ac:dyDescent="0.35">
      <c r="A203" s="3">
        <v>46082</v>
      </c>
      <c r="B203" s="4">
        <v>14</v>
      </c>
      <c r="C203" s="4" t="s">
        <v>12</v>
      </c>
      <c r="I203" s="4">
        <v>125</v>
      </c>
      <c r="O203" s="4">
        <f t="shared" si="3"/>
        <v>125</v>
      </c>
    </row>
    <row r="204" spans="1:16" x14ac:dyDescent="0.35">
      <c r="A204" s="3">
        <v>46082</v>
      </c>
      <c r="B204" s="4">
        <v>39</v>
      </c>
      <c r="C204" s="4" t="s">
        <v>35</v>
      </c>
      <c r="I204" s="4">
        <v>90</v>
      </c>
      <c r="J204" s="4">
        <v>19</v>
      </c>
      <c r="O204" s="4">
        <f t="shared" si="3"/>
        <v>109</v>
      </c>
    </row>
    <row r="205" spans="1:16" x14ac:dyDescent="0.35">
      <c r="A205" s="3">
        <v>46082</v>
      </c>
      <c r="B205" s="4">
        <v>31</v>
      </c>
      <c r="C205" s="4" t="s">
        <v>28</v>
      </c>
      <c r="J205" s="4">
        <v>126</v>
      </c>
      <c r="O205" s="4">
        <f t="shared" si="3"/>
        <v>126</v>
      </c>
    </row>
    <row r="206" spans="1:16" x14ac:dyDescent="0.35">
      <c r="A206" s="3">
        <v>46082</v>
      </c>
      <c r="B206" s="4">
        <v>49</v>
      </c>
      <c r="C206" s="4" t="s">
        <v>47</v>
      </c>
      <c r="I206" s="5">
        <v>27</v>
      </c>
      <c r="J206" s="4">
        <v>87</v>
      </c>
      <c r="O206" s="4">
        <f t="shared" si="3"/>
        <v>114</v>
      </c>
    </row>
    <row r="207" spans="1:16" x14ac:dyDescent="0.35">
      <c r="A207" s="3">
        <v>46113</v>
      </c>
      <c r="B207" s="4">
        <v>3</v>
      </c>
      <c r="C207" s="4" t="s">
        <v>4</v>
      </c>
      <c r="D207" s="4">
        <v>52</v>
      </c>
      <c r="H207" s="4">
        <v>68</v>
      </c>
      <c r="O207" s="4">
        <f t="shared" si="3"/>
        <v>120</v>
      </c>
    </row>
    <row r="208" spans="1:16" x14ac:dyDescent="0.35">
      <c r="A208" s="3">
        <v>46113</v>
      </c>
      <c r="B208" s="4">
        <v>4</v>
      </c>
      <c r="C208" s="4" t="s">
        <v>5</v>
      </c>
      <c r="D208" s="4">
        <v>132</v>
      </c>
      <c r="O208" s="4">
        <f t="shared" si="3"/>
        <v>132</v>
      </c>
    </row>
    <row r="209" spans="1:15" x14ac:dyDescent="0.35">
      <c r="A209" s="3">
        <v>46113</v>
      </c>
      <c r="B209" s="4">
        <v>10</v>
      </c>
      <c r="C209" s="4" t="s">
        <v>8</v>
      </c>
      <c r="L209" s="4">
        <v>106</v>
      </c>
      <c r="O209" s="4">
        <f t="shared" si="3"/>
        <v>106</v>
      </c>
    </row>
    <row r="210" spans="1:15" x14ac:dyDescent="0.35">
      <c r="A210" s="3">
        <v>46113</v>
      </c>
      <c r="B210" s="4">
        <v>11</v>
      </c>
      <c r="C210" s="4" t="s">
        <v>9</v>
      </c>
      <c r="I210" s="4">
        <v>113</v>
      </c>
      <c r="O210" s="4">
        <f t="shared" si="3"/>
        <v>113</v>
      </c>
    </row>
    <row r="211" spans="1:15" x14ac:dyDescent="0.35">
      <c r="A211" s="3">
        <v>46113</v>
      </c>
      <c r="B211" s="4">
        <v>12</v>
      </c>
      <c r="C211" s="4" t="s">
        <v>10</v>
      </c>
      <c r="H211" s="4">
        <v>132</v>
      </c>
      <c r="O211" s="4">
        <f t="shared" si="3"/>
        <v>132</v>
      </c>
    </row>
    <row r="212" spans="1:15" x14ac:dyDescent="0.35">
      <c r="A212" s="3">
        <v>46113</v>
      </c>
      <c r="B212" s="4">
        <v>13</v>
      </c>
      <c r="C212" s="4" t="s">
        <v>11</v>
      </c>
      <c r="F212" s="4">
        <v>102</v>
      </c>
      <c r="M212" s="4">
        <v>30</v>
      </c>
      <c r="O212" s="4">
        <f t="shared" si="3"/>
        <v>132</v>
      </c>
    </row>
    <row r="213" spans="1:15" x14ac:dyDescent="0.35">
      <c r="A213" s="3">
        <v>46113</v>
      </c>
      <c r="B213" s="4">
        <v>14</v>
      </c>
      <c r="C213" s="4" t="s">
        <v>12</v>
      </c>
      <c r="I213" s="4">
        <v>109</v>
      </c>
      <c r="O213" s="4">
        <f t="shared" si="3"/>
        <v>109</v>
      </c>
    </row>
    <row r="214" spans="1:15" x14ac:dyDescent="0.35">
      <c r="A214" s="3">
        <v>46113</v>
      </c>
      <c r="B214" s="4">
        <v>15</v>
      </c>
      <c r="C214" s="4" t="s">
        <v>13</v>
      </c>
      <c r="L214" s="4">
        <v>108</v>
      </c>
      <c r="O214" s="4">
        <f t="shared" si="3"/>
        <v>108</v>
      </c>
    </row>
    <row r="215" spans="1:15" x14ac:dyDescent="0.35">
      <c r="A215" s="3">
        <v>46113</v>
      </c>
      <c r="B215" s="4">
        <v>18</v>
      </c>
      <c r="C215" s="4" t="s">
        <v>15</v>
      </c>
      <c r="D215" s="4">
        <v>26</v>
      </c>
      <c r="E215" s="5">
        <v>80</v>
      </c>
      <c r="O215" s="4">
        <f t="shared" si="3"/>
        <v>106</v>
      </c>
    </row>
    <row r="216" spans="1:15" x14ac:dyDescent="0.35">
      <c r="A216" s="3">
        <v>46113</v>
      </c>
      <c r="B216" s="4">
        <v>19</v>
      </c>
      <c r="C216" s="4" t="s">
        <v>16</v>
      </c>
      <c r="M216" s="4">
        <v>130</v>
      </c>
      <c r="O216" s="4">
        <f t="shared" si="3"/>
        <v>130</v>
      </c>
    </row>
    <row r="217" spans="1:15" x14ac:dyDescent="0.35">
      <c r="A217" s="3">
        <v>46113</v>
      </c>
      <c r="B217" s="4">
        <v>20</v>
      </c>
      <c r="C217" s="4" t="s">
        <v>17</v>
      </c>
      <c r="H217" s="4">
        <v>132</v>
      </c>
      <c r="O217" s="4">
        <f t="shared" si="3"/>
        <v>132</v>
      </c>
    </row>
    <row r="218" spans="1:15" x14ac:dyDescent="0.35">
      <c r="A218" s="3">
        <v>46113</v>
      </c>
      <c r="B218" s="4">
        <v>27</v>
      </c>
      <c r="C218" s="4" t="s">
        <v>19</v>
      </c>
      <c r="K218" s="4">
        <v>100</v>
      </c>
      <c r="O218" s="4">
        <f t="shared" si="3"/>
        <v>100</v>
      </c>
    </row>
    <row r="219" spans="1:15" x14ac:dyDescent="0.35">
      <c r="A219" s="3">
        <v>46113</v>
      </c>
      <c r="B219" s="4">
        <v>28</v>
      </c>
      <c r="C219" s="4" t="s">
        <v>26</v>
      </c>
      <c r="J219" s="4">
        <v>9</v>
      </c>
      <c r="K219" s="4">
        <v>91</v>
      </c>
      <c r="O219" s="4">
        <f t="shared" si="3"/>
        <v>100</v>
      </c>
    </row>
    <row r="220" spans="1:15" x14ac:dyDescent="0.35">
      <c r="A220" s="3">
        <v>46113</v>
      </c>
      <c r="B220" s="4">
        <v>29</v>
      </c>
      <c r="C220" s="4" t="s">
        <v>20</v>
      </c>
      <c r="J220" s="4">
        <v>26</v>
      </c>
      <c r="K220" s="4">
        <v>77</v>
      </c>
      <c r="O220" s="4">
        <f t="shared" si="3"/>
        <v>103</v>
      </c>
    </row>
    <row r="221" spans="1:15" x14ac:dyDescent="0.35">
      <c r="A221" s="3">
        <v>46113</v>
      </c>
      <c r="B221" s="4">
        <v>31</v>
      </c>
      <c r="C221" s="4" t="s">
        <v>28</v>
      </c>
      <c r="J221" s="4">
        <v>117</v>
      </c>
      <c r="O221" s="4">
        <f t="shared" si="3"/>
        <v>117</v>
      </c>
    </row>
    <row r="222" spans="1:15" x14ac:dyDescent="0.35">
      <c r="A222" s="3">
        <v>46113</v>
      </c>
      <c r="B222" s="4">
        <v>36</v>
      </c>
      <c r="C222" s="4" t="s">
        <v>32</v>
      </c>
      <c r="M222" s="4">
        <v>123</v>
      </c>
      <c r="O222" s="4">
        <f t="shared" si="3"/>
        <v>123</v>
      </c>
    </row>
    <row r="223" spans="1:15" x14ac:dyDescent="0.35">
      <c r="A223" s="3">
        <v>46113</v>
      </c>
      <c r="B223" s="7">
        <v>38</v>
      </c>
      <c r="C223" s="7" t="s">
        <v>34</v>
      </c>
      <c r="F223" s="4">
        <v>37</v>
      </c>
      <c r="O223" s="4">
        <f t="shared" si="3"/>
        <v>37</v>
      </c>
    </row>
    <row r="224" spans="1:15" x14ac:dyDescent="0.35">
      <c r="A224" s="3">
        <v>46113</v>
      </c>
      <c r="B224" s="4">
        <v>39</v>
      </c>
      <c r="C224" s="4" t="s">
        <v>35</v>
      </c>
      <c r="I224" s="4">
        <v>109</v>
      </c>
      <c r="O224" s="4">
        <f t="shared" si="3"/>
        <v>109</v>
      </c>
    </row>
    <row r="225" spans="1:15" x14ac:dyDescent="0.35">
      <c r="A225" s="3">
        <v>46113</v>
      </c>
      <c r="B225" s="7">
        <v>40</v>
      </c>
      <c r="C225" s="7" t="s">
        <v>36</v>
      </c>
      <c r="M225" s="4">
        <v>43</v>
      </c>
      <c r="O225" s="4">
        <f t="shared" si="3"/>
        <v>43</v>
      </c>
    </row>
    <row r="226" spans="1:15" x14ac:dyDescent="0.35">
      <c r="A226" s="3">
        <v>46113</v>
      </c>
      <c r="B226" s="4">
        <v>41</v>
      </c>
      <c r="C226" s="4" t="s">
        <v>37</v>
      </c>
      <c r="D226" s="4">
        <v>41</v>
      </c>
      <c r="M226" s="4">
        <v>71</v>
      </c>
      <c r="O226" s="4">
        <f t="shared" si="3"/>
        <v>112</v>
      </c>
    </row>
    <row r="227" spans="1:15" x14ac:dyDescent="0.35">
      <c r="A227" s="3">
        <v>46113</v>
      </c>
      <c r="B227" s="4">
        <v>42</v>
      </c>
      <c r="C227" s="4" t="s">
        <v>40</v>
      </c>
      <c r="D227" s="4">
        <v>113</v>
      </c>
      <c r="O227" s="4">
        <f t="shared" si="3"/>
        <v>113</v>
      </c>
    </row>
    <row r="228" spans="1:15" x14ac:dyDescent="0.35">
      <c r="A228" s="3">
        <v>46113</v>
      </c>
      <c r="B228" s="4">
        <v>44</v>
      </c>
      <c r="C228" s="4" t="s">
        <v>42</v>
      </c>
      <c r="D228" s="4">
        <v>31</v>
      </c>
      <c r="E228" s="5">
        <v>73</v>
      </c>
      <c r="O228" s="4">
        <f t="shared" si="3"/>
        <v>104</v>
      </c>
    </row>
    <row r="229" spans="1:15" x14ac:dyDescent="0.35">
      <c r="A229" s="3">
        <v>46113</v>
      </c>
      <c r="B229" s="4">
        <v>47</v>
      </c>
      <c r="C229" s="4" t="s">
        <v>46</v>
      </c>
      <c r="D229" s="5">
        <v>114</v>
      </c>
      <c r="O229" s="4">
        <f t="shared" si="3"/>
        <v>114</v>
      </c>
    </row>
    <row r="230" spans="1:15" x14ac:dyDescent="0.35">
      <c r="A230" s="3">
        <v>46113</v>
      </c>
      <c r="B230" s="4">
        <v>49</v>
      </c>
      <c r="C230" s="4" t="s">
        <v>47</v>
      </c>
      <c r="J230" s="4">
        <v>111</v>
      </c>
      <c r="O230" s="4">
        <f t="shared" si="3"/>
        <v>111</v>
      </c>
    </row>
    <row r="231" spans="1:15" x14ac:dyDescent="0.35">
      <c r="A231" s="3">
        <v>46113</v>
      </c>
      <c r="B231" s="4">
        <v>52</v>
      </c>
      <c r="C231" s="4" t="s">
        <v>50</v>
      </c>
      <c r="L231" s="4">
        <v>88</v>
      </c>
      <c r="O231" s="4">
        <f t="shared" si="3"/>
        <v>88</v>
      </c>
    </row>
    <row r="232" spans="1:15" x14ac:dyDescent="0.35">
      <c r="A232" s="3">
        <v>46113</v>
      </c>
      <c r="B232" s="4">
        <v>54</v>
      </c>
      <c r="C232" s="4" t="s">
        <v>58</v>
      </c>
      <c r="D232" s="5">
        <v>40</v>
      </c>
      <c r="F232" s="5">
        <v>85</v>
      </c>
      <c r="O232" s="4">
        <f t="shared" si="3"/>
        <v>125</v>
      </c>
    </row>
    <row r="233" spans="1:15" x14ac:dyDescent="0.35">
      <c r="A233" s="3">
        <v>46113</v>
      </c>
      <c r="B233" s="4">
        <v>55</v>
      </c>
      <c r="C233" s="4" t="s">
        <v>59</v>
      </c>
      <c r="E233" s="4">
        <v>4</v>
      </c>
      <c r="O233" s="4">
        <f t="shared" si="3"/>
        <v>4</v>
      </c>
    </row>
    <row r="234" spans="1:15" x14ac:dyDescent="0.35">
      <c r="A234" s="3">
        <v>46113</v>
      </c>
      <c r="B234" s="4">
        <v>58</v>
      </c>
      <c r="C234" s="4" t="s">
        <v>60</v>
      </c>
      <c r="D234" s="4">
        <v>13</v>
      </c>
      <c r="O234" s="4">
        <f t="shared" si="3"/>
        <v>13</v>
      </c>
    </row>
    <row r="235" spans="1:15" x14ac:dyDescent="0.35">
      <c r="A235" s="3">
        <v>46143</v>
      </c>
      <c r="B235" s="4">
        <v>3</v>
      </c>
      <c r="C235" s="4" t="s">
        <v>4</v>
      </c>
      <c r="D235" s="4">
        <v>75</v>
      </c>
      <c r="H235" s="4">
        <v>45</v>
      </c>
      <c r="O235" s="4">
        <f t="shared" si="3"/>
        <v>120</v>
      </c>
    </row>
    <row r="236" spans="1:15" x14ac:dyDescent="0.35">
      <c r="A236" s="3">
        <v>46143</v>
      </c>
      <c r="B236" s="4">
        <v>4</v>
      </c>
      <c r="C236" s="4" t="s">
        <v>5</v>
      </c>
      <c r="D236" s="5">
        <v>132</v>
      </c>
      <c r="O236" s="4">
        <f t="shared" si="3"/>
        <v>132</v>
      </c>
    </row>
    <row r="237" spans="1:15" x14ac:dyDescent="0.35">
      <c r="A237" s="3">
        <v>46143</v>
      </c>
      <c r="B237" s="4">
        <v>10</v>
      </c>
      <c r="C237" s="4" t="s">
        <v>8</v>
      </c>
      <c r="L237" s="4">
        <v>104</v>
      </c>
      <c r="O237" s="4">
        <f t="shared" si="3"/>
        <v>104</v>
      </c>
    </row>
    <row r="238" spans="1:15" x14ac:dyDescent="0.35">
      <c r="A238" s="3">
        <v>46143</v>
      </c>
      <c r="B238" s="4">
        <v>11</v>
      </c>
      <c r="C238" s="4" t="s">
        <v>9</v>
      </c>
      <c r="I238" s="4">
        <v>112</v>
      </c>
      <c r="O238" s="4">
        <f t="shared" si="3"/>
        <v>112</v>
      </c>
    </row>
    <row r="239" spans="1:15" x14ac:dyDescent="0.35">
      <c r="A239" s="3">
        <v>46143</v>
      </c>
      <c r="B239" s="4">
        <v>12</v>
      </c>
      <c r="C239" s="4" t="s">
        <v>10</v>
      </c>
      <c r="H239" s="4">
        <v>69</v>
      </c>
      <c r="O239" s="4">
        <f t="shared" si="3"/>
        <v>69</v>
      </c>
    </row>
    <row r="240" spans="1:15" x14ac:dyDescent="0.35">
      <c r="A240" s="3">
        <v>46143</v>
      </c>
      <c r="B240" s="4">
        <v>14</v>
      </c>
      <c r="C240" s="4" t="s">
        <v>12</v>
      </c>
      <c r="I240" s="4">
        <v>107</v>
      </c>
      <c r="O240" s="4">
        <f t="shared" si="3"/>
        <v>107</v>
      </c>
    </row>
    <row r="241" spans="1:15" x14ac:dyDescent="0.35">
      <c r="A241" s="3">
        <v>46143</v>
      </c>
      <c r="B241" s="4">
        <v>15</v>
      </c>
      <c r="C241" s="4" t="s">
        <v>13</v>
      </c>
      <c r="L241" s="4">
        <v>100</v>
      </c>
      <c r="O241" s="4">
        <f t="shared" si="3"/>
        <v>100</v>
      </c>
    </row>
    <row r="242" spans="1:15" x14ac:dyDescent="0.35">
      <c r="A242" s="3">
        <v>46143</v>
      </c>
      <c r="B242" s="4">
        <v>18</v>
      </c>
      <c r="C242" s="4" t="s">
        <v>15</v>
      </c>
      <c r="D242" s="4">
        <v>12</v>
      </c>
      <c r="E242" s="5">
        <v>99</v>
      </c>
      <c r="H242" s="4">
        <v>21</v>
      </c>
      <c r="O242" s="4">
        <f t="shared" si="3"/>
        <v>132</v>
      </c>
    </row>
    <row r="243" spans="1:15" x14ac:dyDescent="0.35">
      <c r="A243" s="3">
        <v>46143</v>
      </c>
      <c r="B243" s="4">
        <v>19</v>
      </c>
      <c r="C243" s="4" t="s">
        <v>16</v>
      </c>
      <c r="M243" s="4">
        <v>124</v>
      </c>
      <c r="O243" s="4">
        <f t="shared" si="3"/>
        <v>124</v>
      </c>
    </row>
    <row r="244" spans="1:15" x14ac:dyDescent="0.35">
      <c r="A244" s="3">
        <v>46143</v>
      </c>
      <c r="B244" s="4">
        <v>20</v>
      </c>
      <c r="C244" s="4" t="s">
        <v>17</v>
      </c>
      <c r="H244" s="4">
        <v>132</v>
      </c>
      <c r="O244" s="4">
        <f t="shared" si="3"/>
        <v>132</v>
      </c>
    </row>
    <row r="245" spans="1:15" x14ac:dyDescent="0.35">
      <c r="A245" s="3">
        <v>46143</v>
      </c>
      <c r="B245" s="4">
        <v>27</v>
      </c>
      <c r="C245" s="4" t="s">
        <v>19</v>
      </c>
      <c r="K245" s="4">
        <v>113</v>
      </c>
      <c r="O245" s="4">
        <f t="shared" si="3"/>
        <v>113</v>
      </c>
    </row>
    <row r="246" spans="1:15" x14ac:dyDescent="0.35">
      <c r="A246" s="3">
        <v>46143</v>
      </c>
      <c r="B246" s="4">
        <v>28</v>
      </c>
      <c r="C246" s="4" t="s">
        <v>26</v>
      </c>
      <c r="K246" s="4">
        <v>113</v>
      </c>
      <c r="O246" s="4">
        <f t="shared" si="3"/>
        <v>113</v>
      </c>
    </row>
    <row r="247" spans="1:15" x14ac:dyDescent="0.35">
      <c r="A247" s="3">
        <v>46143</v>
      </c>
      <c r="B247" s="4">
        <v>29</v>
      </c>
      <c r="C247" s="4" t="s">
        <v>20</v>
      </c>
      <c r="J247" s="4">
        <v>63</v>
      </c>
      <c r="K247" s="4">
        <v>49</v>
      </c>
      <c r="O247" s="4">
        <f t="shared" si="3"/>
        <v>112</v>
      </c>
    </row>
    <row r="248" spans="1:15" x14ac:dyDescent="0.35">
      <c r="A248" s="3">
        <v>46143</v>
      </c>
      <c r="B248" s="4">
        <v>31</v>
      </c>
      <c r="C248" s="4" t="s">
        <v>28</v>
      </c>
      <c r="J248" s="4">
        <v>110</v>
      </c>
      <c r="O248" s="4">
        <f t="shared" si="3"/>
        <v>110</v>
      </c>
    </row>
    <row r="249" spans="1:15" x14ac:dyDescent="0.35">
      <c r="A249" s="3">
        <v>46143</v>
      </c>
      <c r="B249" s="4">
        <v>36</v>
      </c>
      <c r="C249" s="4" t="s">
        <v>32</v>
      </c>
      <c r="F249" s="4">
        <v>68</v>
      </c>
      <c r="M249" s="4">
        <v>55</v>
      </c>
      <c r="O249" s="4">
        <f t="shared" si="3"/>
        <v>123</v>
      </c>
    </row>
    <row r="250" spans="1:15" x14ac:dyDescent="0.35">
      <c r="A250" s="3">
        <v>46143</v>
      </c>
      <c r="B250" s="4">
        <v>39</v>
      </c>
      <c r="C250" s="4" t="s">
        <v>35</v>
      </c>
      <c r="I250" s="4">
        <v>94</v>
      </c>
      <c r="K250" s="5">
        <v>12</v>
      </c>
      <c r="O250" s="4">
        <f t="shared" si="3"/>
        <v>106</v>
      </c>
    </row>
    <row r="251" spans="1:15" x14ac:dyDescent="0.35">
      <c r="A251" s="3">
        <v>46143</v>
      </c>
      <c r="B251" s="4">
        <v>41</v>
      </c>
      <c r="C251" s="4" t="s">
        <v>37</v>
      </c>
      <c r="F251" s="4">
        <v>9</v>
      </c>
      <c r="M251" s="4">
        <v>113</v>
      </c>
      <c r="O251" s="4">
        <f t="shared" si="3"/>
        <v>122</v>
      </c>
    </row>
    <row r="252" spans="1:15" x14ac:dyDescent="0.35">
      <c r="A252" s="3">
        <v>46143</v>
      </c>
      <c r="B252" s="4">
        <v>42</v>
      </c>
      <c r="C252" s="4" t="s">
        <v>40</v>
      </c>
      <c r="D252" s="4">
        <v>125</v>
      </c>
      <c r="O252" s="4">
        <f t="shared" si="3"/>
        <v>125</v>
      </c>
    </row>
    <row r="253" spans="1:15" x14ac:dyDescent="0.35">
      <c r="A253" s="3">
        <v>46143</v>
      </c>
      <c r="B253" s="4">
        <v>44</v>
      </c>
      <c r="C253" s="4" t="s">
        <v>42</v>
      </c>
      <c r="D253" s="4">
        <v>20</v>
      </c>
      <c r="O253" s="4">
        <f t="shared" si="3"/>
        <v>20</v>
      </c>
    </row>
    <row r="254" spans="1:15" x14ac:dyDescent="0.35">
      <c r="A254" s="3">
        <v>46143</v>
      </c>
      <c r="B254" s="4">
        <v>47</v>
      </c>
      <c r="C254" s="4" t="s">
        <v>46</v>
      </c>
      <c r="D254" s="4">
        <v>49</v>
      </c>
      <c r="H254" s="4">
        <v>69</v>
      </c>
      <c r="O254" s="4">
        <f t="shared" si="3"/>
        <v>118</v>
      </c>
    </row>
    <row r="255" spans="1:15" x14ac:dyDescent="0.35">
      <c r="A255" s="3">
        <v>46143</v>
      </c>
      <c r="B255" s="4">
        <v>49</v>
      </c>
      <c r="C255" s="4" t="s">
        <v>47</v>
      </c>
      <c r="J255" s="4">
        <v>102</v>
      </c>
      <c r="O255" s="4">
        <f t="shared" si="3"/>
        <v>102</v>
      </c>
    </row>
    <row r="256" spans="1:15" x14ac:dyDescent="0.35">
      <c r="A256" s="3">
        <v>46143</v>
      </c>
      <c r="B256" s="4">
        <v>52</v>
      </c>
      <c r="C256" s="4" t="s">
        <v>50</v>
      </c>
      <c r="L256" s="4">
        <v>89</v>
      </c>
      <c r="O256" s="4">
        <f t="shared" si="3"/>
        <v>89</v>
      </c>
    </row>
    <row r="257" spans="1:16" x14ac:dyDescent="0.35">
      <c r="A257" s="3">
        <v>46143</v>
      </c>
      <c r="B257" s="4">
        <v>54</v>
      </c>
      <c r="C257" s="4" t="s">
        <v>58</v>
      </c>
      <c r="E257" s="4">
        <v>18</v>
      </c>
      <c r="F257" s="4">
        <v>87</v>
      </c>
      <c r="M257" s="4">
        <v>12</v>
      </c>
      <c r="O257" s="4">
        <f t="shared" si="3"/>
        <v>117</v>
      </c>
    </row>
    <row r="258" spans="1:16" x14ac:dyDescent="0.35">
      <c r="A258" s="3">
        <v>46143</v>
      </c>
      <c r="B258" s="4">
        <v>58</v>
      </c>
      <c r="C258" s="4" t="s">
        <v>60</v>
      </c>
      <c r="D258" s="4">
        <v>115</v>
      </c>
      <c r="O258" s="4">
        <f t="shared" si="3"/>
        <v>115</v>
      </c>
    </row>
    <row r="259" spans="1:16" x14ac:dyDescent="0.35">
      <c r="A259" s="3">
        <v>46143</v>
      </c>
      <c r="B259" s="4">
        <v>59</v>
      </c>
      <c r="C259" s="4" t="s">
        <v>63</v>
      </c>
      <c r="F259" s="4">
        <v>16</v>
      </c>
      <c r="M259" s="4">
        <v>61</v>
      </c>
      <c r="O259" s="4">
        <f t="shared" si="3"/>
        <v>77</v>
      </c>
    </row>
    <row r="260" spans="1:16" x14ac:dyDescent="0.35">
      <c r="A260" s="3">
        <v>46143</v>
      </c>
      <c r="B260" s="4">
        <v>60</v>
      </c>
      <c r="C260" s="4" t="s">
        <v>64</v>
      </c>
      <c r="F260" s="4">
        <v>17</v>
      </c>
      <c r="M260" s="4">
        <v>65</v>
      </c>
      <c r="O260" s="4">
        <f t="shared" ref="O260:O314" si="4">SUM(D260:N260)</f>
        <v>82</v>
      </c>
    </row>
    <row r="261" spans="1:16" x14ac:dyDescent="0.35">
      <c r="A261" s="3">
        <v>46143</v>
      </c>
      <c r="B261" s="4">
        <v>61</v>
      </c>
      <c r="C261" s="4" t="s">
        <v>65</v>
      </c>
      <c r="D261" s="4">
        <v>53</v>
      </c>
      <c r="O261" s="4">
        <f t="shared" si="4"/>
        <v>53</v>
      </c>
    </row>
    <row r="262" spans="1:16" x14ac:dyDescent="0.35">
      <c r="A262" s="3">
        <v>46174</v>
      </c>
      <c r="B262" s="4">
        <v>3</v>
      </c>
      <c r="C262" s="4" t="s">
        <v>4</v>
      </c>
      <c r="D262" s="5">
        <v>123</v>
      </c>
      <c r="O262" s="4">
        <f>SUM(D262:N262)</f>
        <v>123</v>
      </c>
      <c r="P262" s="4" t="s">
        <v>75</v>
      </c>
    </row>
    <row r="263" spans="1:16" x14ac:dyDescent="0.35">
      <c r="A263" s="3">
        <v>46174</v>
      </c>
      <c r="B263" s="4">
        <v>4</v>
      </c>
      <c r="C263" s="4" t="s">
        <v>5</v>
      </c>
      <c r="D263" s="4">
        <v>132</v>
      </c>
      <c r="O263" s="4">
        <f t="shared" si="4"/>
        <v>132</v>
      </c>
    </row>
    <row r="264" spans="1:16" x14ac:dyDescent="0.35">
      <c r="A264" s="3">
        <v>46174</v>
      </c>
      <c r="B264" s="4">
        <v>10</v>
      </c>
      <c r="C264" s="4" t="s">
        <v>8</v>
      </c>
      <c r="L264" s="4">
        <v>104</v>
      </c>
      <c r="O264" s="4">
        <f t="shared" si="4"/>
        <v>104</v>
      </c>
    </row>
    <row r="265" spans="1:16" x14ac:dyDescent="0.35">
      <c r="A265" s="3">
        <v>46174</v>
      </c>
      <c r="B265" s="4">
        <v>11</v>
      </c>
      <c r="C265" s="4" t="s">
        <v>9</v>
      </c>
      <c r="I265" s="4">
        <v>116</v>
      </c>
      <c r="O265" s="4">
        <f t="shared" si="4"/>
        <v>116</v>
      </c>
    </row>
    <row r="266" spans="1:16" x14ac:dyDescent="0.35">
      <c r="A266" s="3">
        <v>46174</v>
      </c>
      <c r="B266" s="4">
        <v>12</v>
      </c>
      <c r="C266" s="4" t="s">
        <v>10</v>
      </c>
      <c r="H266" s="4">
        <v>117</v>
      </c>
      <c r="O266" s="4">
        <f t="shared" si="4"/>
        <v>117</v>
      </c>
    </row>
    <row r="267" spans="1:16" x14ac:dyDescent="0.35">
      <c r="A267" s="3">
        <v>46174</v>
      </c>
      <c r="B267" s="4">
        <v>14</v>
      </c>
      <c r="C267" s="4" t="s">
        <v>12</v>
      </c>
      <c r="I267" s="4">
        <v>95</v>
      </c>
      <c r="K267" s="4">
        <v>16</v>
      </c>
      <c r="O267" s="4">
        <f t="shared" si="4"/>
        <v>111</v>
      </c>
    </row>
    <row r="268" spans="1:16" x14ac:dyDescent="0.35">
      <c r="A268" s="3">
        <v>46174</v>
      </c>
      <c r="B268" s="4">
        <v>15</v>
      </c>
      <c r="C268" s="4" t="s">
        <v>13</v>
      </c>
      <c r="L268" s="4">
        <v>104</v>
      </c>
      <c r="O268" s="4">
        <f t="shared" si="4"/>
        <v>104</v>
      </c>
    </row>
    <row r="269" spans="1:16" x14ac:dyDescent="0.35">
      <c r="A269" s="3">
        <v>46174</v>
      </c>
      <c r="B269" s="4">
        <v>18</v>
      </c>
      <c r="C269" s="4" t="s">
        <v>15</v>
      </c>
      <c r="D269" s="4">
        <v>38</v>
      </c>
      <c r="E269" s="5">
        <v>78</v>
      </c>
      <c r="O269" s="4">
        <f t="shared" si="4"/>
        <v>116</v>
      </c>
    </row>
    <row r="270" spans="1:16" x14ac:dyDescent="0.35">
      <c r="A270" s="3">
        <v>46174</v>
      </c>
      <c r="B270" s="4">
        <v>19</v>
      </c>
      <c r="C270" s="4" t="s">
        <v>16</v>
      </c>
      <c r="M270" s="4">
        <v>129</v>
      </c>
      <c r="O270" s="4">
        <f t="shared" si="4"/>
        <v>129</v>
      </c>
    </row>
    <row r="271" spans="1:16" x14ac:dyDescent="0.35">
      <c r="A271" s="3">
        <v>46174</v>
      </c>
      <c r="B271" s="4">
        <v>20</v>
      </c>
      <c r="C271" s="4" t="s">
        <v>17</v>
      </c>
      <c r="H271" s="4">
        <v>123</v>
      </c>
      <c r="O271" s="4">
        <f t="shared" si="4"/>
        <v>123</v>
      </c>
    </row>
    <row r="272" spans="1:16" x14ac:dyDescent="0.35">
      <c r="A272" s="3">
        <v>46174</v>
      </c>
      <c r="B272" s="4">
        <v>27</v>
      </c>
      <c r="C272" s="4" t="s">
        <v>19</v>
      </c>
      <c r="K272" s="4">
        <v>119</v>
      </c>
      <c r="O272" s="4">
        <f t="shared" si="4"/>
        <v>119</v>
      </c>
    </row>
    <row r="273" spans="1:15" x14ac:dyDescent="0.35">
      <c r="A273" s="3">
        <v>46174</v>
      </c>
      <c r="B273" s="4">
        <v>28</v>
      </c>
      <c r="C273" s="4" t="s">
        <v>26</v>
      </c>
      <c r="K273" s="4">
        <v>118</v>
      </c>
      <c r="O273" s="4">
        <f t="shared" si="4"/>
        <v>118</v>
      </c>
    </row>
    <row r="274" spans="1:15" x14ac:dyDescent="0.35">
      <c r="A274" s="3">
        <v>46174</v>
      </c>
      <c r="B274" s="4">
        <v>29</v>
      </c>
      <c r="C274" s="4" t="s">
        <v>20</v>
      </c>
      <c r="J274" s="4">
        <v>100</v>
      </c>
      <c r="K274" s="4">
        <v>12</v>
      </c>
      <c r="O274" s="4">
        <f t="shared" si="4"/>
        <v>112</v>
      </c>
    </row>
    <row r="275" spans="1:15" x14ac:dyDescent="0.35">
      <c r="A275" s="3">
        <v>46174</v>
      </c>
      <c r="B275" s="4">
        <v>31</v>
      </c>
      <c r="C275" s="4" t="s">
        <v>28</v>
      </c>
      <c r="J275" s="4">
        <v>110</v>
      </c>
      <c r="O275" s="4">
        <f t="shared" si="4"/>
        <v>110</v>
      </c>
    </row>
    <row r="276" spans="1:15" x14ac:dyDescent="0.35">
      <c r="A276" s="3">
        <v>46174</v>
      </c>
      <c r="B276" s="4">
        <v>36</v>
      </c>
      <c r="C276" s="4" t="s">
        <v>32</v>
      </c>
      <c r="F276" s="4">
        <v>81</v>
      </c>
      <c r="M276" s="4">
        <v>36</v>
      </c>
      <c r="O276" s="4">
        <f t="shared" si="4"/>
        <v>117</v>
      </c>
    </row>
    <row r="277" spans="1:15" x14ac:dyDescent="0.35">
      <c r="A277" s="3">
        <v>46174</v>
      </c>
      <c r="B277" s="4">
        <v>39</v>
      </c>
      <c r="C277" s="4" t="s">
        <v>35</v>
      </c>
      <c r="I277" s="4">
        <v>101</v>
      </c>
      <c r="K277" s="5">
        <v>12</v>
      </c>
      <c r="O277" s="4">
        <f t="shared" si="4"/>
        <v>113</v>
      </c>
    </row>
    <row r="278" spans="1:15" x14ac:dyDescent="0.35">
      <c r="A278" s="3">
        <v>46174</v>
      </c>
      <c r="B278" s="4">
        <v>41</v>
      </c>
      <c r="C278" s="4" t="s">
        <v>37</v>
      </c>
      <c r="M278" s="4">
        <v>107</v>
      </c>
      <c r="O278" s="4">
        <f t="shared" si="4"/>
        <v>107</v>
      </c>
    </row>
    <row r="279" spans="1:15" x14ac:dyDescent="0.35">
      <c r="A279" s="3">
        <v>46174</v>
      </c>
      <c r="B279" s="4">
        <v>42</v>
      </c>
      <c r="C279" s="4" t="s">
        <v>40</v>
      </c>
      <c r="D279" s="4">
        <v>118</v>
      </c>
      <c r="O279" s="4">
        <f t="shared" si="4"/>
        <v>118</v>
      </c>
    </row>
    <row r="280" spans="1:15" x14ac:dyDescent="0.35">
      <c r="A280" s="3">
        <v>46174</v>
      </c>
      <c r="B280" s="4">
        <v>49</v>
      </c>
      <c r="C280" s="4" t="s">
        <v>47</v>
      </c>
      <c r="J280" s="4">
        <v>106</v>
      </c>
      <c r="O280" s="4">
        <f t="shared" si="4"/>
        <v>106</v>
      </c>
    </row>
    <row r="281" spans="1:15" x14ac:dyDescent="0.35">
      <c r="A281" s="3">
        <v>46174</v>
      </c>
      <c r="B281" s="4">
        <v>52</v>
      </c>
      <c r="C281" s="4" t="s">
        <v>50</v>
      </c>
      <c r="L281" s="4">
        <v>88</v>
      </c>
      <c r="O281" s="4">
        <f t="shared" si="4"/>
        <v>88</v>
      </c>
    </row>
    <row r="282" spans="1:15" x14ac:dyDescent="0.35">
      <c r="A282" s="3">
        <v>46174</v>
      </c>
      <c r="B282" s="4">
        <v>54</v>
      </c>
      <c r="C282" s="4" t="s">
        <v>58</v>
      </c>
      <c r="F282" s="4">
        <v>112</v>
      </c>
      <c r="M282" s="4">
        <v>8</v>
      </c>
      <c r="O282" s="4">
        <f t="shared" si="4"/>
        <v>120</v>
      </c>
    </row>
    <row r="283" spans="1:15" x14ac:dyDescent="0.35">
      <c r="A283" s="3">
        <v>46174</v>
      </c>
      <c r="B283" s="4">
        <v>58</v>
      </c>
      <c r="C283" s="4" t="s">
        <v>60</v>
      </c>
      <c r="D283" s="4">
        <v>124</v>
      </c>
      <c r="O283" s="4">
        <f t="shared" si="4"/>
        <v>124</v>
      </c>
    </row>
    <row r="284" spans="1:15" x14ac:dyDescent="0.35">
      <c r="A284" s="3">
        <v>46174</v>
      </c>
      <c r="B284" s="4">
        <v>59</v>
      </c>
      <c r="C284" s="4" t="s">
        <v>63</v>
      </c>
      <c r="F284" s="4">
        <v>14</v>
      </c>
      <c r="M284" s="4">
        <v>97</v>
      </c>
      <c r="O284" s="4">
        <f t="shared" si="4"/>
        <v>111</v>
      </c>
    </row>
    <row r="285" spans="1:15" x14ac:dyDescent="0.35">
      <c r="A285" s="3">
        <v>46174</v>
      </c>
      <c r="B285" s="4">
        <v>60</v>
      </c>
      <c r="C285" s="4" t="s">
        <v>64</v>
      </c>
      <c r="E285" s="4">
        <v>81</v>
      </c>
      <c r="F285" s="4">
        <v>30</v>
      </c>
      <c r="O285" s="4">
        <f t="shared" si="4"/>
        <v>111</v>
      </c>
    </row>
    <row r="286" spans="1:15" x14ac:dyDescent="0.35">
      <c r="A286" s="3">
        <v>46174</v>
      </c>
      <c r="B286" s="4">
        <v>61</v>
      </c>
      <c r="C286" s="4" t="s">
        <v>65</v>
      </c>
      <c r="H286" s="4">
        <v>121</v>
      </c>
      <c r="O286" s="4">
        <f t="shared" si="4"/>
        <v>121</v>
      </c>
    </row>
    <row r="287" spans="1:15" x14ac:dyDescent="0.35">
      <c r="A287" s="3">
        <v>46174</v>
      </c>
      <c r="B287" s="4">
        <v>62</v>
      </c>
      <c r="C287" s="4" t="s">
        <v>66</v>
      </c>
      <c r="F287" s="5">
        <v>87</v>
      </c>
      <c r="M287" s="4">
        <v>4</v>
      </c>
      <c r="O287" s="4">
        <f t="shared" si="4"/>
        <v>91</v>
      </c>
    </row>
    <row r="288" spans="1:15" x14ac:dyDescent="0.35">
      <c r="A288" s="3">
        <v>46174</v>
      </c>
      <c r="B288" s="4">
        <v>63</v>
      </c>
      <c r="C288" s="4" t="s">
        <v>67</v>
      </c>
      <c r="D288" s="4">
        <v>14</v>
      </c>
      <c r="O288" s="4">
        <f t="shared" si="4"/>
        <v>14</v>
      </c>
    </row>
    <row r="289" spans="1:16" x14ac:dyDescent="0.35">
      <c r="A289" s="3">
        <v>46204</v>
      </c>
      <c r="B289" s="4">
        <v>3</v>
      </c>
      <c r="C289" s="4" t="s">
        <v>4</v>
      </c>
      <c r="D289" s="4">
        <v>117</v>
      </c>
      <c r="O289" s="4">
        <f t="shared" si="4"/>
        <v>117</v>
      </c>
    </row>
    <row r="290" spans="1:16" x14ac:dyDescent="0.35">
      <c r="A290" s="3">
        <v>46204</v>
      </c>
      <c r="B290" s="4">
        <v>4</v>
      </c>
      <c r="C290" s="4" t="s">
        <v>5</v>
      </c>
      <c r="D290" s="4">
        <v>132</v>
      </c>
      <c r="O290" s="4">
        <f t="shared" si="4"/>
        <v>132</v>
      </c>
    </row>
    <row r="291" spans="1:16" x14ac:dyDescent="0.35">
      <c r="A291" s="3">
        <v>46204</v>
      </c>
      <c r="B291" s="4">
        <v>10</v>
      </c>
      <c r="C291" s="4" t="s">
        <v>8</v>
      </c>
      <c r="L291" s="4">
        <v>108</v>
      </c>
      <c r="O291" s="4">
        <f t="shared" si="4"/>
        <v>108</v>
      </c>
    </row>
    <row r="292" spans="1:16" x14ac:dyDescent="0.35">
      <c r="A292" s="3">
        <v>46204</v>
      </c>
      <c r="B292" s="4">
        <v>11</v>
      </c>
      <c r="C292" s="4" t="s">
        <v>9</v>
      </c>
      <c r="I292" s="4">
        <v>118</v>
      </c>
      <c r="O292" s="4">
        <f t="shared" si="4"/>
        <v>118</v>
      </c>
    </row>
    <row r="293" spans="1:16" x14ac:dyDescent="0.35">
      <c r="A293" s="3">
        <v>46204</v>
      </c>
      <c r="B293" s="4">
        <v>12</v>
      </c>
      <c r="C293" s="4" t="s">
        <v>10</v>
      </c>
      <c r="H293" s="4">
        <v>118</v>
      </c>
      <c r="O293" s="4">
        <f t="shared" si="4"/>
        <v>118</v>
      </c>
    </row>
    <row r="294" spans="1:16" x14ac:dyDescent="0.35">
      <c r="A294" s="3">
        <v>46204</v>
      </c>
      <c r="B294" s="4">
        <v>14</v>
      </c>
      <c r="C294" s="4" t="s">
        <v>12</v>
      </c>
      <c r="I294" s="4">
        <v>80</v>
      </c>
      <c r="K294" s="4">
        <v>16</v>
      </c>
      <c r="N294" s="4">
        <v>16</v>
      </c>
      <c r="O294" s="4">
        <f t="shared" si="4"/>
        <v>112</v>
      </c>
    </row>
    <row r="295" spans="1:16" x14ac:dyDescent="0.35">
      <c r="A295" s="3">
        <v>46204</v>
      </c>
      <c r="B295" s="4">
        <v>15</v>
      </c>
      <c r="C295" s="4" t="s">
        <v>13</v>
      </c>
      <c r="L295" s="4">
        <v>100</v>
      </c>
      <c r="O295" s="4">
        <f t="shared" si="4"/>
        <v>100</v>
      </c>
    </row>
    <row r="296" spans="1:16" x14ac:dyDescent="0.35">
      <c r="A296" s="3">
        <v>46204</v>
      </c>
      <c r="B296" s="4">
        <v>18</v>
      </c>
      <c r="C296" s="4" t="s">
        <v>15</v>
      </c>
      <c r="D296" s="4">
        <v>22</v>
      </c>
      <c r="E296" s="5">
        <v>83</v>
      </c>
      <c r="O296" s="4">
        <f t="shared" si="4"/>
        <v>105</v>
      </c>
    </row>
    <row r="297" spans="1:16" x14ac:dyDescent="0.35">
      <c r="A297" s="3">
        <v>46204</v>
      </c>
      <c r="B297" s="4">
        <v>19</v>
      </c>
      <c r="C297" s="4" t="s">
        <v>16</v>
      </c>
      <c r="F297" s="4">
        <v>42</v>
      </c>
      <c r="M297" s="4">
        <v>86</v>
      </c>
      <c r="O297" s="4">
        <f t="shared" si="4"/>
        <v>128</v>
      </c>
    </row>
    <row r="298" spans="1:16" x14ac:dyDescent="0.35">
      <c r="A298" s="3">
        <v>46204</v>
      </c>
      <c r="B298" s="4">
        <v>20</v>
      </c>
      <c r="C298" s="4" t="s">
        <v>17</v>
      </c>
      <c r="H298" s="4">
        <v>116</v>
      </c>
      <c r="O298" s="4">
        <f t="shared" si="4"/>
        <v>116</v>
      </c>
    </row>
    <row r="299" spans="1:16" x14ac:dyDescent="0.35">
      <c r="A299" s="3">
        <v>46204</v>
      </c>
      <c r="B299" s="4">
        <v>27</v>
      </c>
      <c r="C299" s="4" t="s">
        <v>19</v>
      </c>
      <c r="K299" s="4">
        <v>95</v>
      </c>
      <c r="O299" s="4">
        <f t="shared" si="4"/>
        <v>95</v>
      </c>
      <c r="P299" s="4" t="s">
        <v>74</v>
      </c>
    </row>
    <row r="300" spans="1:16" x14ac:dyDescent="0.35">
      <c r="A300" s="3">
        <v>46204</v>
      </c>
      <c r="B300" s="4">
        <v>28</v>
      </c>
      <c r="C300" s="4" t="s">
        <v>26</v>
      </c>
      <c r="K300" s="4">
        <v>114</v>
      </c>
      <c r="O300" s="4">
        <f t="shared" si="4"/>
        <v>114</v>
      </c>
    </row>
    <row r="301" spans="1:16" x14ac:dyDescent="0.35">
      <c r="A301" s="3">
        <v>46204</v>
      </c>
      <c r="B301" s="4">
        <v>29</v>
      </c>
      <c r="C301" s="4" t="s">
        <v>20</v>
      </c>
      <c r="J301" s="4">
        <v>96</v>
      </c>
      <c r="K301" s="4">
        <v>14</v>
      </c>
      <c r="O301" s="4">
        <f t="shared" si="4"/>
        <v>110</v>
      </c>
    </row>
    <row r="302" spans="1:16" x14ac:dyDescent="0.35">
      <c r="A302" s="3">
        <v>46204</v>
      </c>
      <c r="B302" s="4">
        <v>31</v>
      </c>
      <c r="C302" s="4" t="s">
        <v>28</v>
      </c>
      <c r="J302" s="4">
        <v>108</v>
      </c>
      <c r="O302" s="4">
        <f t="shared" si="4"/>
        <v>108</v>
      </c>
    </row>
    <row r="303" spans="1:16" x14ac:dyDescent="0.35">
      <c r="A303" s="3">
        <v>46204</v>
      </c>
      <c r="B303" s="4">
        <v>36</v>
      </c>
      <c r="C303" s="4" t="s">
        <v>32</v>
      </c>
      <c r="F303" s="4">
        <v>49</v>
      </c>
      <c r="M303" s="4">
        <v>76</v>
      </c>
      <c r="O303" s="4">
        <f t="shared" si="4"/>
        <v>125</v>
      </c>
    </row>
    <row r="304" spans="1:16" x14ac:dyDescent="0.35">
      <c r="A304" s="3">
        <v>46204</v>
      </c>
      <c r="B304" s="4">
        <v>39</v>
      </c>
      <c r="C304" s="4" t="s">
        <v>35</v>
      </c>
      <c r="I304" s="4">
        <v>101</v>
      </c>
      <c r="K304" s="5">
        <v>14</v>
      </c>
      <c r="O304" s="4">
        <f t="shared" si="4"/>
        <v>115</v>
      </c>
    </row>
    <row r="305" spans="1:15" x14ac:dyDescent="0.35">
      <c r="A305" s="3">
        <v>46204</v>
      </c>
      <c r="B305" s="4">
        <v>41</v>
      </c>
      <c r="C305" s="4" t="s">
        <v>37</v>
      </c>
      <c r="M305" s="4">
        <v>125</v>
      </c>
      <c r="O305" s="4">
        <f t="shared" si="4"/>
        <v>125</v>
      </c>
    </row>
    <row r="306" spans="1:15" x14ac:dyDescent="0.35">
      <c r="A306" s="3">
        <v>46204</v>
      </c>
      <c r="B306" s="4">
        <v>42</v>
      </c>
      <c r="C306" s="4" t="s">
        <v>40</v>
      </c>
      <c r="D306" s="4">
        <v>127</v>
      </c>
      <c r="O306" s="4">
        <f t="shared" si="4"/>
        <v>127</v>
      </c>
    </row>
    <row r="307" spans="1:15" x14ac:dyDescent="0.35">
      <c r="A307" s="3">
        <v>46204</v>
      </c>
      <c r="B307" s="4">
        <v>49</v>
      </c>
      <c r="C307" s="4" t="s">
        <v>47</v>
      </c>
      <c r="J307" s="4">
        <v>104</v>
      </c>
      <c r="O307" s="4">
        <f t="shared" si="4"/>
        <v>104</v>
      </c>
    </row>
    <row r="308" spans="1:15" x14ac:dyDescent="0.35">
      <c r="A308" s="3">
        <v>46204</v>
      </c>
      <c r="B308" s="4">
        <v>52</v>
      </c>
      <c r="C308" s="4" t="s">
        <v>50</v>
      </c>
      <c r="L308" s="4">
        <v>88</v>
      </c>
      <c r="O308" s="4">
        <f t="shared" si="4"/>
        <v>88</v>
      </c>
    </row>
    <row r="309" spans="1:15" x14ac:dyDescent="0.35">
      <c r="A309" s="3">
        <v>46204</v>
      </c>
      <c r="B309" s="4">
        <v>54</v>
      </c>
      <c r="C309" s="4" t="s">
        <v>58</v>
      </c>
      <c r="F309" s="4">
        <v>103</v>
      </c>
      <c r="M309" s="4">
        <v>17</v>
      </c>
      <c r="O309" s="4">
        <f t="shared" si="4"/>
        <v>120</v>
      </c>
    </row>
    <row r="310" spans="1:15" x14ac:dyDescent="0.35">
      <c r="A310" s="3">
        <v>46204</v>
      </c>
      <c r="B310" s="4">
        <v>58</v>
      </c>
      <c r="C310" s="4" t="s">
        <v>60</v>
      </c>
      <c r="D310" s="4">
        <v>118</v>
      </c>
      <c r="O310" s="4">
        <f t="shared" si="4"/>
        <v>118</v>
      </c>
    </row>
    <row r="311" spans="1:15" x14ac:dyDescent="0.35">
      <c r="A311" s="3">
        <v>46204</v>
      </c>
      <c r="B311" s="4">
        <v>59</v>
      </c>
      <c r="C311" s="4" t="s">
        <v>63</v>
      </c>
      <c r="M311" s="4">
        <v>17</v>
      </c>
      <c r="O311" s="4">
        <f t="shared" si="4"/>
        <v>17</v>
      </c>
    </row>
    <row r="312" spans="1:15" x14ac:dyDescent="0.35">
      <c r="A312" s="3">
        <v>46204</v>
      </c>
      <c r="B312" s="4">
        <v>60</v>
      </c>
      <c r="C312" s="4" t="s">
        <v>64</v>
      </c>
      <c r="D312" s="4">
        <v>22</v>
      </c>
      <c r="E312" s="5">
        <v>84</v>
      </c>
      <c r="O312" s="4">
        <f t="shared" si="4"/>
        <v>106</v>
      </c>
    </row>
    <row r="313" spans="1:15" x14ac:dyDescent="0.35">
      <c r="A313" s="3">
        <v>46204</v>
      </c>
      <c r="B313" s="4">
        <v>61</v>
      </c>
      <c r="C313" s="4" t="s">
        <v>65</v>
      </c>
      <c r="H313" s="4">
        <v>119</v>
      </c>
      <c r="O313" s="4">
        <f t="shared" si="4"/>
        <v>119</v>
      </c>
    </row>
    <row r="314" spans="1:15" x14ac:dyDescent="0.35">
      <c r="A314" s="3">
        <v>46204</v>
      </c>
      <c r="B314" s="4">
        <v>62</v>
      </c>
      <c r="C314" s="4" t="s">
        <v>66</v>
      </c>
      <c r="F314" s="4">
        <v>61</v>
      </c>
      <c r="M314" s="4">
        <v>64</v>
      </c>
      <c r="O314" s="4">
        <f t="shared" si="4"/>
        <v>125</v>
      </c>
    </row>
  </sheetData>
  <autoFilter ref="A1:O31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1"/>
  <sheetViews>
    <sheetView zoomScale="140" zoomScaleNormal="140" workbookViewId="0">
      <pane ySplit="1" topLeftCell="A2" activePane="bottomLeft" state="frozen"/>
      <selection pane="bottomLeft" activeCell="E1" sqref="E1"/>
    </sheetView>
  </sheetViews>
  <sheetFormatPr baseColWidth="10" defaultRowHeight="14.5" x14ac:dyDescent="0.35"/>
  <cols>
    <col min="2" max="2" width="21.36328125" bestFit="1" customWidth="1"/>
  </cols>
  <sheetData>
    <row r="1" spans="1:6" x14ac:dyDescent="0.35">
      <c r="A1" t="s">
        <v>23</v>
      </c>
      <c r="B1" t="s">
        <v>24</v>
      </c>
      <c r="C1" t="s">
        <v>51</v>
      </c>
      <c r="D1" t="s">
        <v>57</v>
      </c>
      <c r="E1" t="s">
        <v>61</v>
      </c>
      <c r="F1" t="s">
        <v>62</v>
      </c>
    </row>
    <row r="2" spans="1:6" x14ac:dyDescent="0.35">
      <c r="A2" s="4">
        <v>1</v>
      </c>
      <c r="B2" s="4" t="s">
        <v>3</v>
      </c>
      <c r="C2" t="s">
        <v>52</v>
      </c>
      <c r="D2" s="8">
        <v>46088</v>
      </c>
    </row>
    <row r="3" spans="1:6" x14ac:dyDescent="0.35">
      <c r="A3" s="4">
        <v>3</v>
      </c>
      <c r="B3" s="4" t="s">
        <v>4</v>
      </c>
      <c r="C3" t="s">
        <v>1</v>
      </c>
      <c r="E3" s="8">
        <v>46174</v>
      </c>
      <c r="F3" t="s">
        <v>0</v>
      </c>
    </row>
    <row r="4" spans="1:6" x14ac:dyDescent="0.35">
      <c r="A4" s="4">
        <v>4</v>
      </c>
      <c r="B4" s="4" t="s">
        <v>5</v>
      </c>
      <c r="C4" t="s">
        <v>0</v>
      </c>
    </row>
    <row r="5" spans="1:6" x14ac:dyDescent="0.35">
      <c r="A5" s="4">
        <v>10</v>
      </c>
      <c r="B5" s="4" t="s">
        <v>8</v>
      </c>
      <c r="C5" t="s">
        <v>53</v>
      </c>
    </row>
    <row r="6" spans="1:6" x14ac:dyDescent="0.35">
      <c r="A6" s="4">
        <v>11</v>
      </c>
      <c r="B6" s="4" t="s">
        <v>9</v>
      </c>
      <c r="C6" t="s">
        <v>54</v>
      </c>
    </row>
    <row r="7" spans="1:6" x14ac:dyDescent="0.35">
      <c r="A7" s="4">
        <v>12</v>
      </c>
      <c r="B7" s="4" t="s">
        <v>10</v>
      </c>
      <c r="C7" t="s">
        <v>1</v>
      </c>
    </row>
    <row r="8" spans="1:6" x14ac:dyDescent="0.35">
      <c r="A8" s="4">
        <v>13</v>
      </c>
      <c r="B8" s="4" t="s">
        <v>11</v>
      </c>
      <c r="C8" t="s">
        <v>38</v>
      </c>
      <c r="D8" s="8">
        <v>46142</v>
      </c>
    </row>
    <row r="9" spans="1:6" x14ac:dyDescent="0.35">
      <c r="A9" s="4">
        <v>14</v>
      </c>
      <c r="B9" s="4" t="s">
        <v>12</v>
      </c>
      <c r="C9" t="s">
        <v>54</v>
      </c>
    </row>
    <row r="10" spans="1:6" x14ac:dyDescent="0.35">
      <c r="A10" s="4">
        <v>15</v>
      </c>
      <c r="B10" s="4" t="s">
        <v>13</v>
      </c>
      <c r="C10" t="s">
        <v>53</v>
      </c>
    </row>
    <row r="11" spans="1:6" x14ac:dyDescent="0.35">
      <c r="A11" s="4">
        <v>18</v>
      </c>
      <c r="B11" s="4" t="s">
        <v>15</v>
      </c>
      <c r="C11" t="s">
        <v>52</v>
      </c>
    </row>
    <row r="12" spans="1:6" x14ac:dyDescent="0.35">
      <c r="A12" s="4">
        <v>19</v>
      </c>
      <c r="B12" s="4" t="s">
        <v>16</v>
      </c>
      <c r="C12" t="s">
        <v>55</v>
      </c>
    </row>
    <row r="13" spans="1:6" x14ac:dyDescent="0.35">
      <c r="A13" s="4">
        <v>20</v>
      </c>
      <c r="B13" s="4" t="s">
        <v>17</v>
      </c>
      <c r="C13" t="s">
        <v>1</v>
      </c>
    </row>
    <row r="14" spans="1:6" x14ac:dyDescent="0.35">
      <c r="A14" s="4">
        <v>21</v>
      </c>
      <c r="B14" s="4" t="s">
        <v>18</v>
      </c>
      <c r="C14" t="s">
        <v>54</v>
      </c>
      <c r="D14" s="8">
        <v>46034</v>
      </c>
    </row>
    <row r="15" spans="1:6" x14ac:dyDescent="0.35">
      <c r="A15" s="4">
        <v>27</v>
      </c>
      <c r="B15" s="4" t="s">
        <v>19</v>
      </c>
      <c r="C15" t="s">
        <v>2</v>
      </c>
    </row>
    <row r="16" spans="1:6" x14ac:dyDescent="0.35">
      <c r="A16" s="4">
        <v>28</v>
      </c>
      <c r="B16" s="4" t="s">
        <v>44</v>
      </c>
      <c r="C16" t="s">
        <v>2</v>
      </c>
    </row>
    <row r="17" spans="1:6" x14ac:dyDescent="0.35">
      <c r="A17" s="4">
        <v>29</v>
      </c>
      <c r="B17" s="4" t="s">
        <v>20</v>
      </c>
      <c r="C17" t="s">
        <v>2</v>
      </c>
      <c r="D17" s="8"/>
      <c r="E17" s="8">
        <v>46143</v>
      </c>
      <c r="F17" t="s">
        <v>56</v>
      </c>
    </row>
    <row r="18" spans="1:6" x14ac:dyDescent="0.35">
      <c r="A18" s="4">
        <v>30</v>
      </c>
      <c r="B18" s="4" t="s">
        <v>27</v>
      </c>
      <c r="C18" t="s">
        <v>39</v>
      </c>
      <c r="D18" s="8">
        <v>46081</v>
      </c>
    </row>
    <row r="19" spans="1:6" x14ac:dyDescent="0.35">
      <c r="A19" s="4">
        <v>31</v>
      </c>
      <c r="B19" s="4" t="s">
        <v>28</v>
      </c>
      <c r="C19" t="s">
        <v>56</v>
      </c>
    </row>
    <row r="20" spans="1:6" x14ac:dyDescent="0.35">
      <c r="A20" s="4">
        <v>32</v>
      </c>
      <c r="B20" s="4" t="s">
        <v>29</v>
      </c>
      <c r="C20" t="s">
        <v>53</v>
      </c>
      <c r="D20" s="8">
        <v>46076</v>
      </c>
    </row>
    <row r="21" spans="1:6" x14ac:dyDescent="0.35">
      <c r="A21" s="5">
        <v>34</v>
      </c>
      <c r="B21" s="5" t="s">
        <v>31</v>
      </c>
      <c r="C21" t="s">
        <v>1</v>
      </c>
      <c r="D21" s="8">
        <v>45998</v>
      </c>
    </row>
    <row r="22" spans="1:6" x14ac:dyDescent="0.35">
      <c r="A22" s="4">
        <v>36</v>
      </c>
      <c r="B22" s="4" t="s">
        <v>32</v>
      </c>
      <c r="C22" t="s">
        <v>55</v>
      </c>
    </row>
    <row r="23" spans="1:6" x14ac:dyDescent="0.35">
      <c r="A23" s="4">
        <v>38</v>
      </c>
      <c r="B23" s="4" t="s">
        <v>34</v>
      </c>
      <c r="C23" t="s">
        <v>55</v>
      </c>
      <c r="D23" s="8">
        <v>46123</v>
      </c>
    </row>
    <row r="24" spans="1:6" x14ac:dyDescent="0.35">
      <c r="A24" s="4">
        <v>39</v>
      </c>
      <c r="B24" s="4" t="s">
        <v>35</v>
      </c>
      <c r="C24" t="s">
        <v>56</v>
      </c>
      <c r="D24" s="9"/>
      <c r="E24" s="8">
        <v>46082</v>
      </c>
      <c r="F24" t="s">
        <v>54</v>
      </c>
    </row>
    <row r="25" spans="1:6" x14ac:dyDescent="0.35">
      <c r="A25" s="4">
        <v>40</v>
      </c>
      <c r="B25" s="4" t="s">
        <v>36</v>
      </c>
      <c r="C25" t="s">
        <v>38</v>
      </c>
      <c r="D25" s="8">
        <v>46123</v>
      </c>
    </row>
    <row r="26" spans="1:6" x14ac:dyDescent="0.35">
      <c r="A26" s="4">
        <v>41</v>
      </c>
      <c r="B26" s="4" t="s">
        <v>37</v>
      </c>
      <c r="C26" t="s">
        <v>0</v>
      </c>
      <c r="E26" s="8">
        <v>46113</v>
      </c>
      <c r="F26" t="s">
        <v>55</v>
      </c>
    </row>
    <row r="27" spans="1:6" x14ac:dyDescent="0.35">
      <c r="A27" s="4">
        <v>42</v>
      </c>
      <c r="B27" s="4" t="s">
        <v>40</v>
      </c>
      <c r="C27" t="s">
        <v>0</v>
      </c>
    </row>
    <row r="28" spans="1:6" x14ac:dyDescent="0.35">
      <c r="A28" s="5">
        <v>43</v>
      </c>
      <c r="B28" s="5" t="s">
        <v>41</v>
      </c>
      <c r="C28" t="s">
        <v>0</v>
      </c>
      <c r="D28" s="8">
        <v>46007</v>
      </c>
    </row>
    <row r="29" spans="1:6" x14ac:dyDescent="0.35">
      <c r="A29" s="4">
        <v>44</v>
      </c>
      <c r="B29" s="4" t="s">
        <v>42</v>
      </c>
      <c r="C29" t="s">
        <v>0</v>
      </c>
      <c r="D29" s="8">
        <v>46149</v>
      </c>
      <c r="E29" s="8">
        <v>46113</v>
      </c>
      <c r="F29" t="s">
        <v>52</v>
      </c>
    </row>
    <row r="30" spans="1:6" x14ac:dyDescent="0.35">
      <c r="A30" s="4">
        <v>45</v>
      </c>
      <c r="B30" s="4" t="s">
        <v>43</v>
      </c>
      <c r="C30" t="s">
        <v>39</v>
      </c>
      <c r="D30" s="8">
        <v>46081</v>
      </c>
    </row>
    <row r="31" spans="1:6" x14ac:dyDescent="0.35">
      <c r="A31" s="4">
        <v>46</v>
      </c>
      <c r="B31" s="4" t="s">
        <v>45</v>
      </c>
      <c r="C31" t="s">
        <v>38</v>
      </c>
      <c r="D31" s="8">
        <v>46097</v>
      </c>
    </row>
    <row r="32" spans="1:6" x14ac:dyDescent="0.35">
      <c r="A32" s="4">
        <v>47</v>
      </c>
      <c r="B32" s="4" t="s">
        <v>46</v>
      </c>
      <c r="C32" t="s">
        <v>0</v>
      </c>
      <c r="D32" s="8">
        <v>46171</v>
      </c>
    </row>
    <row r="33" spans="1:4" x14ac:dyDescent="0.35">
      <c r="A33" s="4">
        <v>49</v>
      </c>
      <c r="B33" s="4" t="s">
        <v>47</v>
      </c>
      <c r="C33" t="s">
        <v>56</v>
      </c>
    </row>
    <row r="34" spans="1:4" x14ac:dyDescent="0.35">
      <c r="A34" s="5">
        <v>51</v>
      </c>
      <c r="B34" s="5" t="s">
        <v>48</v>
      </c>
      <c r="C34" t="s">
        <v>53</v>
      </c>
      <c r="D34" s="8">
        <v>46032</v>
      </c>
    </row>
    <row r="35" spans="1:4" x14ac:dyDescent="0.35">
      <c r="A35" s="4">
        <v>52</v>
      </c>
      <c r="B35" s="4" t="s">
        <v>50</v>
      </c>
      <c r="C35" t="s">
        <v>53</v>
      </c>
    </row>
    <row r="36" spans="1:4" x14ac:dyDescent="0.35">
      <c r="A36" s="4">
        <v>53</v>
      </c>
      <c r="B36" s="4" t="s">
        <v>49</v>
      </c>
      <c r="C36" t="s">
        <v>54</v>
      </c>
      <c r="D36" s="8">
        <v>46076</v>
      </c>
    </row>
    <row r="37" spans="1:4" x14ac:dyDescent="0.35">
      <c r="A37" s="4">
        <v>54</v>
      </c>
      <c r="B37" s="4" t="s">
        <v>58</v>
      </c>
      <c r="C37" t="s">
        <v>0</v>
      </c>
    </row>
    <row r="38" spans="1:4" x14ac:dyDescent="0.35">
      <c r="A38" s="4">
        <v>55</v>
      </c>
      <c r="B38" s="4" t="s">
        <v>59</v>
      </c>
      <c r="C38" t="s">
        <v>52</v>
      </c>
      <c r="D38" s="8">
        <v>46119</v>
      </c>
    </row>
    <row r="39" spans="1:4" x14ac:dyDescent="0.35">
      <c r="A39" s="4">
        <v>58</v>
      </c>
      <c r="B39" s="4" t="s">
        <v>60</v>
      </c>
      <c r="C39" t="s">
        <v>0</v>
      </c>
      <c r="D39" s="8"/>
    </row>
    <row r="40" spans="1:4" x14ac:dyDescent="0.35">
      <c r="A40" s="4">
        <v>59</v>
      </c>
      <c r="B40" s="4" t="s">
        <v>63</v>
      </c>
      <c r="C40" t="s">
        <v>55</v>
      </c>
      <c r="D40" s="8">
        <v>46209</v>
      </c>
    </row>
    <row r="41" spans="1:4" x14ac:dyDescent="0.35">
      <c r="A41" s="4">
        <v>63</v>
      </c>
      <c r="B41" s="4" t="s">
        <v>67</v>
      </c>
      <c r="C41" t="s">
        <v>0</v>
      </c>
      <c r="D41" s="8">
        <v>46185</v>
      </c>
    </row>
  </sheetData>
  <autoFilter ref="A1:F40"/>
  <sortState ref="A2:F41">
    <sortCondition ref="A1"/>
  </sortState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tabla x hora</vt:lpstr>
      <vt:lpstr>vendedora-tienda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Valeria Levite</dc:creator>
  <cp:lastModifiedBy>PC</cp:lastModifiedBy>
  <dcterms:created xsi:type="dcterms:W3CDTF">2025-10-17T20:24:13Z</dcterms:created>
  <dcterms:modified xsi:type="dcterms:W3CDTF">2026-08-13T16:08:12Z</dcterms:modified>
</cp:coreProperties>
</file>