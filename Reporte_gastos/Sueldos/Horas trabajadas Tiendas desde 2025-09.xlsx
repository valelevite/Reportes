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Sueldos\"/>
    </mc:Choice>
  </mc:AlternateContent>
  <bookViews>
    <workbookView xWindow="0" yWindow="0" windowWidth="19200" windowHeight="6310"/>
  </bookViews>
  <sheets>
    <sheet name="tabla x hora" sheetId="1" r:id="rId1"/>
    <sheet name="vendedora-tienda" sheetId="3" r:id="rId2"/>
  </sheets>
  <externalReferences>
    <externalReference r:id="rId3"/>
  </externalReferences>
  <definedNames>
    <definedName name="_xlnm._FilterDatabase" localSheetId="0" hidden="1">'tabla x hora'!$A$1:$P$288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6" i="1"/>
  <c r="O97" i="1"/>
  <c r="O98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D160" i="1" l="1"/>
  <c r="D128" i="1" l="1"/>
  <c r="D99" i="1" l="1"/>
  <c r="O99" i="1" s="1"/>
  <c r="F98" i="1"/>
  <c r="E95" i="1"/>
  <c r="O95" i="1" s="1"/>
  <c r="F96" i="1"/>
  <c r="E94" i="1"/>
  <c r="O94" i="1" s="1"/>
  <c r="G84" i="1"/>
  <c r="G83" i="1"/>
  <c r="P27" i="1" l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26" i="1"/>
  <c r="I11" i="1" l="1"/>
  <c r="O20" i="1"/>
</calcChain>
</file>

<file path=xl/sharedStrings.xml><?xml version="1.0" encoding="utf-8"?>
<sst xmlns="http://schemas.openxmlformats.org/spreadsheetml/2006/main" count="393" uniqueCount="71">
  <si>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</si>
  <si>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</si>
  <si>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</si>
  <si>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</si>
  <si>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</si>
  <si>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</si>
  <si>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</si>
  <si>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</si>
  <si>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</si>
  <si>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</si>
  <si>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</si>
  <si>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</si>
  <si>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</si>
  <si>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</si>
  <si>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</si>
  <si>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</si>
  <si>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</si>
  <si>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</si>
  <si>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</si>
  <si>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</si>
  <si>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</si>
  <si>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</si>
  <si>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</si>
  <si>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</si>
  <si>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</si>
  <si>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</si>
  <si>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</si>
  <si>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</si>
  <si>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</si>
  <si>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</si>
  <si>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</si>
  <si>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</si>
  <si>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</si>
  <si>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</si>
  <si>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</si>
  <si>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</si>
  <si>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</si>
  <si>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</si>
  <si>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Valor hora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</si>
  <si>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</si>
  <si>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</si>
  <si>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</si>
  <si>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</si>
  <si>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</si>
  <si>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</si>
  <si>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</si>
  <si>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</si>
  <si>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</si>
  <si>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</si>
  <si>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</si>
  <si>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</si>
  <si>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</si>
  <si>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</si>
  <si>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</si>
  <si>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</si>
  <si>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</si>
  <si>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</si>
  <si>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</si>
  <si>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</si>
  <si>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</si>
  <si>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</si>
  <si>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</si>
  <si>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</si>
  <si>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</si>
  <si>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</si>
  <si>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</si>
  <si>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</si>
  <si>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</si>
  <si>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</si>
  <si>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</si>
  <si>
    <t>son 14 días de vacaciones según el recibo. En archivo horas figuran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</si>
</sst>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" fontId="0" fillId="0" borderId="0" xfId="0" applyNumberFormat="1" applyBorder="1"/>
    <xf numFmtId="164" fontId="0" fillId="0" borderId="0" xfId="1" applyNumberFormat="1" applyFont="1" applyFill="1" applyBorder="1"/>
    <xf numFmtId="1" fontId="0" fillId="0" borderId="0" xfId="0" applyNumberForma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eldos%20Comercial%20a%202025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eldos LC 10-2025"/>
    </sheetNames>
    <sheetDataSet>
      <sheetData sheetId="0">
        <row r="1">
          <cell r="A1" t="str">
            <v>Legajo</v>
          </cell>
          <cell r="B1" t="str">
            <v>Apellido y Nombre</v>
          </cell>
          <cell r="C1" t="str">
            <v>Periodo</v>
          </cell>
          <cell r="D1" t="str">
            <v>Tienda asignada este mes</v>
          </cell>
          <cell r="E1" t="str">
            <v xml:space="preserve">Horas Totales </v>
          </cell>
          <cell r="F1" t="str">
            <v>Hs Normales (con vacaciones y feriados NO trabajados)</v>
          </cell>
          <cell r="G1" t="str">
            <v>Hs Feriados (Horas)</v>
          </cell>
          <cell r="H1" t="str">
            <v>Feriados No trabajados (Hs)</v>
          </cell>
          <cell r="I1" t="str">
            <v>Licencias justificadas 
(en HORAS)</v>
          </cell>
          <cell r="J1" t="str">
            <v>Plus vacacional</v>
          </cell>
          <cell r="K1" t="str">
            <v>Cant dias vacaciones anticipadas 2025-2026 *</v>
          </cell>
          <cell r="L1" t="str">
            <v>Premios</v>
          </cell>
          <cell r="M1" t="str">
            <v>Sueldo Neto</v>
          </cell>
          <cell r="N1" t="str">
            <v>Sueldo Bruto</v>
          </cell>
          <cell r="O1" t="str">
            <v>Contribuciones + ART</v>
          </cell>
          <cell r="P1" t="str">
            <v>Costo total</v>
          </cell>
          <cell r="Q1" t="str">
            <v>Valor por hora</v>
          </cell>
        </row>
        <row r="2">
          <cell r="A2">
            <v>1</v>
          </cell>
          <cell r="B2" t="str">
            <v>Viña Sofia</v>
          </cell>
          <cell r="C2">
            <v>0</v>
          </cell>
          <cell r="D2" t="str">
            <v>LU Florida</v>
          </cell>
          <cell r="E2">
            <v>127</v>
          </cell>
          <cell r="F2">
            <v>122</v>
          </cell>
          <cell r="G2">
            <v>5</v>
          </cell>
          <cell r="H2">
            <v>0</v>
          </cell>
          <cell r="I2">
            <v>0</v>
          </cell>
          <cell r="J2" t="str">
            <v>NO</v>
          </cell>
          <cell r="K2">
            <v>0</v>
          </cell>
          <cell r="L2">
            <v>58953</v>
          </cell>
          <cell r="M2">
            <v>770317</v>
          </cell>
          <cell r="N2">
            <v>950651.34</v>
          </cell>
          <cell r="O2">
            <v>312122.05794999999</v>
          </cell>
          <cell r="P2">
            <v>1262773.3979499999</v>
          </cell>
          <cell r="Q2">
            <v>9943.0976216535419</v>
          </cell>
        </row>
        <row r="3">
          <cell r="A3">
            <v>2</v>
          </cell>
          <cell r="B3" t="str">
            <v>Urbieta Barbara Giselle</v>
          </cell>
          <cell r="C3">
            <v>0</v>
          </cell>
          <cell r="D3" t="str">
            <v>LU Florida</v>
          </cell>
          <cell r="E3">
            <v>8</v>
          </cell>
          <cell r="F3">
            <v>0</v>
          </cell>
          <cell r="G3">
            <v>8</v>
          </cell>
          <cell r="H3">
            <v>0</v>
          </cell>
          <cell r="I3">
            <v>0</v>
          </cell>
          <cell r="J3" t="str">
            <v>NO</v>
          </cell>
          <cell r="K3">
            <v>0</v>
          </cell>
          <cell r="L3">
            <v>0</v>
          </cell>
          <cell r="M3">
            <v>1040270.99999999</v>
          </cell>
          <cell r="N3">
            <v>1229958.8399999901</v>
          </cell>
          <cell r="O3">
            <v>327272.97771999898</v>
          </cell>
          <cell r="P3">
            <v>1557231.8177199899</v>
          </cell>
          <cell r="Q3">
            <v>0</v>
          </cell>
        </row>
        <row r="4">
          <cell r="A4">
            <v>3</v>
          </cell>
          <cell r="B4" t="str">
            <v>Ruiz de la Torre Maitena</v>
          </cell>
          <cell r="C4">
            <v>0</v>
          </cell>
          <cell r="D4" t="str">
            <v>LU Florida</v>
          </cell>
          <cell r="E4">
            <v>127</v>
          </cell>
          <cell r="F4">
            <v>122</v>
          </cell>
          <cell r="G4">
            <v>5</v>
          </cell>
          <cell r="H4">
            <v>0</v>
          </cell>
          <cell r="I4">
            <v>0</v>
          </cell>
          <cell r="J4" t="str">
            <v>NO</v>
          </cell>
          <cell r="K4">
            <v>0</v>
          </cell>
          <cell r="L4">
            <v>58904</v>
          </cell>
          <cell r="M4">
            <v>762767</v>
          </cell>
          <cell r="N4">
            <v>941277.62</v>
          </cell>
          <cell r="O4">
            <v>309064.26462999999</v>
          </cell>
          <cell r="P4">
            <v>1250341.88463</v>
          </cell>
          <cell r="Q4">
            <v>9845.2116900000001</v>
          </cell>
        </row>
        <row r="5">
          <cell r="A5">
            <v>4</v>
          </cell>
          <cell r="B5" t="str">
            <v>Imperiale Candela</v>
          </cell>
          <cell r="C5">
            <v>0</v>
          </cell>
          <cell r="D5" t="str">
            <v>LU Florida</v>
          </cell>
          <cell r="E5">
            <v>132</v>
          </cell>
          <cell r="F5">
            <v>127</v>
          </cell>
          <cell r="G5">
            <v>5</v>
          </cell>
          <cell r="H5">
            <v>0</v>
          </cell>
          <cell r="I5">
            <v>0</v>
          </cell>
          <cell r="J5" t="str">
            <v>NO</v>
          </cell>
          <cell r="K5">
            <v>0</v>
          </cell>
          <cell r="L5">
            <v>65164</v>
          </cell>
          <cell r="M5">
            <v>795070</v>
          </cell>
          <cell r="N5">
            <v>981491.77</v>
          </cell>
          <cell r="O5">
            <v>322168.95731999999</v>
          </cell>
          <cell r="P5">
            <v>1303660.7273200001</v>
          </cell>
          <cell r="Q5">
            <v>9876.217631212121</v>
          </cell>
        </row>
        <row r="6">
          <cell r="A6">
            <v>5</v>
          </cell>
          <cell r="B6" t="str">
            <v>Balmaceda Luciana</v>
          </cell>
          <cell r="C6">
            <v>0</v>
          </cell>
          <cell r="D6" t="str">
            <v>LU Florida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 t="str">
            <v>NO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1355</v>
          </cell>
          <cell r="P6">
            <v>1355</v>
          </cell>
          <cell r="Q6">
            <v>0</v>
          </cell>
        </row>
        <row r="7">
          <cell r="A7">
            <v>9</v>
          </cell>
          <cell r="B7" t="str">
            <v>Cabovianco Natalia</v>
          </cell>
          <cell r="C7">
            <v>0</v>
          </cell>
          <cell r="D7" t="str">
            <v>AS San Telmo</v>
          </cell>
          <cell r="E7">
            <v>8</v>
          </cell>
          <cell r="F7">
            <v>0</v>
          </cell>
          <cell r="G7">
            <v>8</v>
          </cell>
          <cell r="H7">
            <v>0</v>
          </cell>
          <cell r="I7">
            <v>0</v>
          </cell>
          <cell r="J7" t="str">
            <v>NO</v>
          </cell>
          <cell r="K7">
            <v>0</v>
          </cell>
          <cell r="L7">
            <v>0</v>
          </cell>
          <cell r="M7">
            <v>1193459.99999999</v>
          </cell>
          <cell r="N7">
            <v>1412626.00999999</v>
          </cell>
          <cell r="O7">
            <v>375570.14377499901</v>
          </cell>
          <cell r="P7">
            <v>1788196.15377499</v>
          </cell>
          <cell r="Q7">
            <v>0</v>
          </cell>
        </row>
        <row r="8">
          <cell r="A8">
            <v>10</v>
          </cell>
          <cell r="B8" t="str">
            <v>Carrizo Camila</v>
          </cell>
          <cell r="C8">
            <v>0</v>
          </cell>
          <cell r="D8" t="str">
            <v>AS San Telmo</v>
          </cell>
          <cell r="E8">
            <v>124</v>
          </cell>
          <cell r="F8" t="str">
            <v>120.00</v>
          </cell>
          <cell r="G8">
            <v>4</v>
          </cell>
          <cell r="H8">
            <v>0</v>
          </cell>
          <cell r="I8">
            <v>0</v>
          </cell>
          <cell r="J8" t="str">
            <v>NO</v>
          </cell>
          <cell r="K8">
            <v>0</v>
          </cell>
          <cell r="L8">
            <v>33535</v>
          </cell>
          <cell r="M8">
            <v>741778</v>
          </cell>
          <cell r="N8">
            <v>913994.65</v>
          </cell>
          <cell r="O8">
            <v>300316.80798500002</v>
          </cell>
          <cell r="P8">
            <v>1214311.457985</v>
          </cell>
          <cell r="Q8">
            <v>9792.8343385887092</v>
          </cell>
        </row>
        <row r="9">
          <cell r="A9">
            <v>11</v>
          </cell>
          <cell r="B9" t="str">
            <v>Esposito Candela</v>
          </cell>
          <cell r="C9">
            <v>0</v>
          </cell>
          <cell r="D9" t="str">
            <v>Lucero ST1</v>
          </cell>
          <cell r="E9">
            <v>119</v>
          </cell>
          <cell r="F9" t="str">
            <v>102.00</v>
          </cell>
          <cell r="G9">
            <v>5</v>
          </cell>
          <cell r="H9">
            <v>0</v>
          </cell>
          <cell r="I9">
            <v>12</v>
          </cell>
          <cell r="J9" t="str">
            <v>NO</v>
          </cell>
          <cell r="K9">
            <v>0</v>
          </cell>
          <cell r="L9">
            <v>59262</v>
          </cell>
          <cell r="M9">
            <v>734046</v>
          </cell>
          <cell r="N9">
            <v>905875.34</v>
          </cell>
          <cell r="O9">
            <v>297483.83636000002</v>
          </cell>
          <cell r="P9">
            <v>1203359.1763599999</v>
          </cell>
          <cell r="Q9">
            <v>10112.261986218487</v>
          </cell>
        </row>
        <row r="10">
          <cell r="A10">
            <v>12</v>
          </cell>
          <cell r="B10" t="str">
            <v>Barajas Barbara</v>
          </cell>
          <cell r="C10">
            <v>0</v>
          </cell>
          <cell r="D10" t="str">
            <v>Recoleta</v>
          </cell>
          <cell r="E10">
            <v>132</v>
          </cell>
          <cell r="F10" t="str">
            <v>126.00</v>
          </cell>
          <cell r="G10">
            <v>6</v>
          </cell>
          <cell r="H10">
            <v>0</v>
          </cell>
          <cell r="I10">
            <v>0</v>
          </cell>
          <cell r="J10" t="str">
            <v>NO</v>
          </cell>
          <cell r="K10">
            <v>0</v>
          </cell>
          <cell r="L10">
            <v>54186</v>
          </cell>
          <cell r="M10">
            <v>798094</v>
          </cell>
          <cell r="N10">
            <v>985009.55</v>
          </cell>
          <cell r="O10">
            <v>323345.96203</v>
          </cell>
          <cell r="P10">
            <v>1308355.5120300001</v>
          </cell>
          <cell r="Q10">
            <v>9911.784182045456</v>
          </cell>
        </row>
        <row r="11">
          <cell r="A11">
            <v>13</v>
          </cell>
          <cell r="B11" t="str">
            <v>De Brito Rocio</v>
          </cell>
          <cell r="C11">
            <v>0</v>
          </cell>
          <cell r="D11" t="str">
            <v>Güemes</v>
          </cell>
          <cell r="E11">
            <v>125</v>
          </cell>
          <cell r="F11" t="str">
            <v>125.00</v>
          </cell>
          <cell r="G11">
            <v>0</v>
          </cell>
          <cell r="H11">
            <v>0</v>
          </cell>
          <cell r="I11">
            <v>0</v>
          </cell>
          <cell r="J11" t="str">
            <v>NO</v>
          </cell>
          <cell r="K11">
            <v>0</v>
          </cell>
          <cell r="L11">
            <v>9173</v>
          </cell>
          <cell r="M11">
            <v>696867</v>
          </cell>
          <cell r="N11">
            <v>856469.82</v>
          </cell>
          <cell r="O11">
            <v>281771.66061000002</v>
          </cell>
          <cell r="P11">
            <v>1138241.48061</v>
          </cell>
          <cell r="Q11">
            <v>9105.9318448800004</v>
          </cell>
        </row>
        <row r="12">
          <cell r="A12">
            <v>14</v>
          </cell>
          <cell r="B12" t="str">
            <v>Lara Robbio</v>
          </cell>
          <cell r="C12">
            <v>0</v>
          </cell>
          <cell r="D12" t="str">
            <v>Lucero ST1</v>
          </cell>
          <cell r="E12">
            <v>118</v>
          </cell>
          <cell r="F12" t="str">
            <v>105.00</v>
          </cell>
          <cell r="G12">
            <v>5</v>
          </cell>
          <cell r="H12">
            <v>0</v>
          </cell>
          <cell r="I12">
            <v>8</v>
          </cell>
          <cell r="J12" t="str">
            <v>NO</v>
          </cell>
          <cell r="K12">
            <v>0</v>
          </cell>
          <cell r="L12">
            <v>62585</v>
          </cell>
          <cell r="M12">
            <v>738143</v>
          </cell>
          <cell r="N12">
            <v>911804.25</v>
          </cell>
          <cell r="O12">
            <v>299312.98369999998</v>
          </cell>
          <cell r="P12">
            <v>1211117.2337</v>
          </cell>
          <cell r="Q12">
            <v>10263.705370338983</v>
          </cell>
        </row>
        <row r="13">
          <cell r="A13">
            <v>15</v>
          </cell>
          <cell r="B13" t="str">
            <v>Molina Agustina</v>
          </cell>
          <cell r="C13">
            <v>0</v>
          </cell>
          <cell r="D13" t="str">
            <v>AS San Telmo</v>
          </cell>
          <cell r="E13">
            <v>121</v>
          </cell>
          <cell r="F13" t="str">
            <v>117.00</v>
          </cell>
          <cell r="G13">
            <v>4</v>
          </cell>
          <cell r="H13">
            <v>0</v>
          </cell>
          <cell r="I13">
            <v>0</v>
          </cell>
          <cell r="J13" t="str">
            <v>NO</v>
          </cell>
          <cell r="K13">
            <v>0</v>
          </cell>
          <cell r="L13">
            <v>32724</v>
          </cell>
          <cell r="M13">
            <v>710544.99999999895</v>
          </cell>
          <cell r="N13">
            <v>875304.57</v>
          </cell>
          <cell r="O13">
            <v>287684.92428499903</v>
          </cell>
          <cell r="P13">
            <v>1162989.494285</v>
          </cell>
          <cell r="Q13">
            <v>9611.4834238429758</v>
          </cell>
        </row>
        <row r="14">
          <cell r="A14">
            <v>18</v>
          </cell>
          <cell r="B14" t="str">
            <v>CORONEL Mailen</v>
          </cell>
          <cell r="C14">
            <v>0</v>
          </cell>
          <cell r="D14" t="str">
            <v>Güemes</v>
          </cell>
          <cell r="E14">
            <v>127</v>
          </cell>
          <cell r="F14" t="str">
            <v>114.00</v>
          </cell>
          <cell r="G14">
            <v>5</v>
          </cell>
          <cell r="H14">
            <v>0</v>
          </cell>
          <cell r="I14">
            <v>8</v>
          </cell>
          <cell r="J14" t="str">
            <v>NO</v>
          </cell>
          <cell r="K14">
            <v>0</v>
          </cell>
          <cell r="L14">
            <v>20449</v>
          </cell>
          <cell r="M14">
            <v>730159</v>
          </cell>
          <cell r="N14">
            <v>899202.73</v>
          </cell>
          <cell r="O14">
            <v>295537.19032499997</v>
          </cell>
          <cell r="P14">
            <v>1194739.9203249901</v>
          </cell>
          <cell r="Q14">
            <v>9407.4009474408667</v>
          </cell>
        </row>
        <row r="15">
          <cell r="A15">
            <v>19</v>
          </cell>
          <cell r="B15" t="str">
            <v>Gimenez Candela</v>
          </cell>
          <cell r="C15">
            <v>0</v>
          </cell>
          <cell r="D15" t="str">
            <v>Recoleta</v>
          </cell>
          <cell r="E15">
            <v>132</v>
          </cell>
          <cell r="F15" t="str">
            <v>132.00</v>
          </cell>
          <cell r="G15">
            <v>0</v>
          </cell>
          <cell r="H15">
            <v>0</v>
          </cell>
          <cell r="I15">
            <v>0</v>
          </cell>
          <cell r="J15" t="str">
            <v>NO</v>
          </cell>
          <cell r="K15">
            <v>0</v>
          </cell>
          <cell r="L15">
            <v>22621</v>
          </cell>
          <cell r="M15">
            <v>739275</v>
          </cell>
          <cell r="N15">
            <v>909497.79</v>
          </cell>
          <cell r="O15">
            <v>299022.94085999997</v>
          </cell>
          <cell r="P15">
            <v>1208520.73086</v>
          </cell>
          <cell r="Q15">
            <v>9155.460082272728</v>
          </cell>
        </row>
        <row r="16">
          <cell r="A16">
            <v>20</v>
          </cell>
          <cell r="B16" t="str">
            <v>Oliva Micaela</v>
          </cell>
          <cell r="C16">
            <v>0</v>
          </cell>
          <cell r="D16" t="str">
            <v>Recoleta</v>
          </cell>
          <cell r="E16">
            <v>132</v>
          </cell>
          <cell r="F16" t="str">
            <v>127.00</v>
          </cell>
          <cell r="G16">
            <v>5</v>
          </cell>
          <cell r="H16">
            <v>0</v>
          </cell>
          <cell r="I16">
            <v>0</v>
          </cell>
          <cell r="J16" t="str">
            <v>NO</v>
          </cell>
          <cell r="K16">
            <v>0</v>
          </cell>
          <cell r="L16">
            <v>54186</v>
          </cell>
          <cell r="M16">
            <v>778025</v>
          </cell>
          <cell r="N16">
            <v>959881.56</v>
          </cell>
          <cell r="O16">
            <v>315175.33117000002</v>
          </cell>
          <cell r="P16">
            <v>1275056.89117</v>
          </cell>
          <cell r="Q16">
            <v>9659.5219028030297</v>
          </cell>
        </row>
        <row r="17">
          <cell r="A17">
            <v>21</v>
          </cell>
          <cell r="B17" t="str">
            <v>Mohamad Daila</v>
          </cell>
          <cell r="C17">
            <v>0</v>
          </cell>
          <cell r="D17" t="str">
            <v>Lucero ST1</v>
          </cell>
          <cell r="E17">
            <v>118</v>
          </cell>
          <cell r="F17" t="str">
            <v>114.00</v>
          </cell>
          <cell r="G17">
            <v>4</v>
          </cell>
          <cell r="H17">
            <v>0</v>
          </cell>
          <cell r="I17">
            <v>0</v>
          </cell>
          <cell r="J17" t="str">
            <v>NO</v>
          </cell>
          <cell r="K17">
            <v>0</v>
          </cell>
          <cell r="L17">
            <v>54835</v>
          </cell>
          <cell r="M17">
            <v>699224.99999999895</v>
          </cell>
          <cell r="N17">
            <v>862273.87</v>
          </cell>
          <cell r="O17">
            <v>283306.70409000001</v>
          </cell>
          <cell r="P17">
            <v>1145580.57409</v>
          </cell>
          <cell r="Q17">
            <v>9708.309949915254</v>
          </cell>
        </row>
        <row r="18">
          <cell r="A18">
            <v>27</v>
          </cell>
          <cell r="B18" t="str">
            <v>Bertolo Milagros</v>
          </cell>
          <cell r="C18">
            <v>0</v>
          </cell>
          <cell r="D18" t="str">
            <v>French</v>
          </cell>
          <cell r="E18">
            <v>115</v>
          </cell>
          <cell r="F18">
            <v>115</v>
          </cell>
          <cell r="G18">
            <v>0</v>
          </cell>
          <cell r="H18">
            <v>0</v>
          </cell>
          <cell r="I18">
            <v>0</v>
          </cell>
          <cell r="J18" t="str">
            <v>NO</v>
          </cell>
          <cell r="K18">
            <v>0</v>
          </cell>
          <cell r="L18">
            <v>47914</v>
          </cell>
          <cell r="M18">
            <v>675518</v>
          </cell>
          <cell r="N18">
            <v>831886.88</v>
          </cell>
          <cell r="O18">
            <v>273512.98700999998</v>
          </cell>
          <cell r="P18">
            <v>1105399.8670099999</v>
          </cell>
          <cell r="Q18">
            <v>9612.1727566086956</v>
          </cell>
        </row>
        <row r="19">
          <cell r="A19">
            <v>28</v>
          </cell>
          <cell r="B19" t="str">
            <v>Machuca Araceli</v>
          </cell>
          <cell r="C19">
            <v>0</v>
          </cell>
          <cell r="D19" t="str">
            <v>French</v>
          </cell>
          <cell r="E19">
            <v>109</v>
          </cell>
          <cell r="F19">
            <v>105</v>
          </cell>
          <cell r="G19" t="str">
            <v>4.00</v>
          </cell>
          <cell r="H19">
            <v>0</v>
          </cell>
          <cell r="I19">
            <v>0</v>
          </cell>
          <cell r="J19" t="str">
            <v>NO</v>
          </cell>
          <cell r="K19">
            <v>0</v>
          </cell>
          <cell r="L19">
            <v>38788</v>
          </cell>
          <cell r="M19">
            <v>697965.99999999895</v>
          </cell>
          <cell r="N19">
            <v>860012.01999999897</v>
          </cell>
          <cell r="O19">
            <v>282655.89535499999</v>
          </cell>
          <cell r="P19">
            <v>1142667.9153549999</v>
          </cell>
          <cell r="Q19">
            <v>10483.191883990825</v>
          </cell>
        </row>
        <row r="20">
          <cell r="A20">
            <v>29</v>
          </cell>
          <cell r="B20" t="str">
            <v>Scholler Chavez Ruth</v>
          </cell>
          <cell r="C20">
            <v>0</v>
          </cell>
          <cell r="D20" t="str">
            <v>French</v>
          </cell>
          <cell r="E20">
            <v>109</v>
          </cell>
          <cell r="F20" t="str">
            <v>105.00</v>
          </cell>
          <cell r="G20" t="str">
            <v>4.00</v>
          </cell>
          <cell r="H20">
            <v>0</v>
          </cell>
          <cell r="I20">
            <v>0</v>
          </cell>
          <cell r="J20" t="str">
            <v>NO</v>
          </cell>
          <cell r="K20">
            <v>0</v>
          </cell>
          <cell r="L20">
            <v>38168</v>
          </cell>
          <cell r="M20">
            <v>637122</v>
          </cell>
          <cell r="N20">
            <v>784756.36</v>
          </cell>
          <cell r="O20">
            <v>258071.362505</v>
          </cell>
          <cell r="P20">
            <v>1042827.722505</v>
          </cell>
          <cell r="Q20">
            <v>9567.2268119724758</v>
          </cell>
        </row>
        <row r="21">
          <cell r="A21">
            <v>30</v>
          </cell>
          <cell r="B21" t="str">
            <v>Anabella Baragatti</v>
          </cell>
          <cell r="C21">
            <v>0</v>
          </cell>
          <cell r="D21" t="str">
            <v>LU Florida</v>
          </cell>
          <cell r="E21">
            <v>120</v>
          </cell>
          <cell r="F21">
            <v>116</v>
          </cell>
          <cell r="G21">
            <v>4</v>
          </cell>
          <cell r="H21">
            <v>0</v>
          </cell>
          <cell r="I21">
            <v>0</v>
          </cell>
          <cell r="J21" t="str">
            <v>NO</v>
          </cell>
          <cell r="K21">
            <v>0</v>
          </cell>
          <cell r="L21">
            <v>0</v>
          </cell>
          <cell r="M21">
            <v>663878.99999999895</v>
          </cell>
          <cell r="N21">
            <v>816084.91999999899</v>
          </cell>
          <cell r="O21">
            <v>268526.61569999898</v>
          </cell>
          <cell r="P21">
            <v>1084611.5356999999</v>
          </cell>
          <cell r="Q21">
            <v>9038.4294641666656</v>
          </cell>
        </row>
        <row r="22">
          <cell r="A22">
            <v>31</v>
          </cell>
          <cell r="B22" t="str">
            <v>Gisela Bonino</v>
          </cell>
          <cell r="C22">
            <v>0</v>
          </cell>
          <cell r="D22" t="str">
            <v>Lucero ST2</v>
          </cell>
          <cell r="E22">
            <v>112</v>
          </cell>
          <cell r="F22">
            <v>107</v>
          </cell>
          <cell r="G22">
            <v>5</v>
          </cell>
          <cell r="H22">
            <v>0</v>
          </cell>
          <cell r="I22">
            <v>0</v>
          </cell>
          <cell r="J22" t="str">
            <v>NO</v>
          </cell>
          <cell r="K22">
            <v>0</v>
          </cell>
          <cell r="L22">
            <v>0</v>
          </cell>
          <cell r="M22">
            <v>625620</v>
          </cell>
          <cell r="N22">
            <v>769043.76</v>
          </cell>
          <cell r="O22">
            <v>253124.194265</v>
          </cell>
          <cell r="P22">
            <v>1022167.9542649999</v>
          </cell>
          <cell r="Q22">
            <v>9126.4995916517855</v>
          </cell>
        </row>
        <row r="23">
          <cell r="A23">
            <v>32</v>
          </cell>
          <cell r="B23" t="str">
            <v>Dana Ramirez</v>
          </cell>
          <cell r="C23">
            <v>0</v>
          </cell>
          <cell r="D23" t="str">
            <v>AS San Telmo</v>
          </cell>
          <cell r="E23">
            <v>117</v>
          </cell>
          <cell r="F23">
            <v>113</v>
          </cell>
          <cell r="G23">
            <v>4</v>
          </cell>
          <cell r="H23">
            <v>0</v>
          </cell>
          <cell r="I23">
            <v>0</v>
          </cell>
          <cell r="J23" t="str">
            <v>NO</v>
          </cell>
          <cell r="K23">
            <v>0</v>
          </cell>
          <cell r="L23">
            <v>0</v>
          </cell>
          <cell r="M23">
            <v>647842</v>
          </cell>
          <cell r="N23">
            <v>796264.21</v>
          </cell>
          <cell r="O23">
            <v>262049.72714</v>
          </cell>
          <cell r="P23">
            <v>1058313.9371400001</v>
          </cell>
          <cell r="Q23">
            <v>9045.4182661538471</v>
          </cell>
        </row>
        <row r="24">
          <cell r="A24">
            <v>34</v>
          </cell>
          <cell r="B24" t="str">
            <v>Diaz Dulcinea</v>
          </cell>
          <cell r="C24">
            <v>0</v>
          </cell>
          <cell r="D24" t="str">
            <v>LU Florida</v>
          </cell>
          <cell r="E24">
            <v>117</v>
          </cell>
          <cell r="F24">
            <v>117</v>
          </cell>
          <cell r="G24">
            <v>0</v>
          </cell>
          <cell r="H24">
            <v>0</v>
          </cell>
          <cell r="I24">
            <v>0</v>
          </cell>
          <cell r="J24" t="str">
            <v>NO</v>
          </cell>
          <cell r="K24">
            <v>0</v>
          </cell>
          <cell r="L24">
            <v>0</v>
          </cell>
          <cell r="M24">
            <v>632823</v>
          </cell>
          <cell r="N24">
            <v>776883.95</v>
          </cell>
          <cell r="O24">
            <v>255819.072599999</v>
          </cell>
          <cell r="P24">
            <v>1032703.02259999</v>
          </cell>
          <cell r="Q24">
            <v>8826.5215606836755</v>
          </cell>
        </row>
        <row r="25">
          <cell r="A25">
            <v>36</v>
          </cell>
          <cell r="B25" t="str">
            <v>Schiavone Fiona Ludmila</v>
          </cell>
          <cell r="C25">
            <v>0</v>
          </cell>
          <cell r="D25" t="str">
            <v>El Solar</v>
          </cell>
          <cell r="E25">
            <v>89</v>
          </cell>
          <cell r="F25" t="str">
            <v>89.00</v>
          </cell>
          <cell r="G25">
            <v>0</v>
          </cell>
          <cell r="H25">
            <v>0</v>
          </cell>
          <cell r="I25">
            <v>0</v>
          </cell>
          <cell r="J25" t="str">
            <v>NO</v>
          </cell>
          <cell r="K25">
            <v>0</v>
          </cell>
          <cell r="L25">
            <v>0</v>
          </cell>
          <cell r="M25">
            <v>480141</v>
          </cell>
          <cell r="N25">
            <v>588014.56000000006</v>
          </cell>
          <cell r="O25">
            <v>194122.03583000001</v>
          </cell>
          <cell r="P25">
            <v>782136.59583000001</v>
          </cell>
          <cell r="Q25">
            <v>8788.0516385393257</v>
          </cell>
        </row>
        <row r="26">
          <cell r="A26">
            <v>37</v>
          </cell>
          <cell r="B26" t="str">
            <v>Perazzo Juana</v>
          </cell>
          <cell r="C26">
            <v>0</v>
          </cell>
          <cell r="D26" t="str">
            <v>El Solar</v>
          </cell>
          <cell r="E26">
            <v>87</v>
          </cell>
          <cell r="F26" t="str">
            <v>87.00</v>
          </cell>
          <cell r="G26">
            <v>0</v>
          </cell>
          <cell r="H26">
            <v>0</v>
          </cell>
          <cell r="I26">
            <v>0</v>
          </cell>
          <cell r="J26" t="str">
            <v>NO</v>
          </cell>
          <cell r="K26">
            <v>0</v>
          </cell>
          <cell r="L26">
            <v>0</v>
          </cell>
          <cell r="M26">
            <v>469450</v>
          </cell>
          <cell r="N26">
            <v>574800.75</v>
          </cell>
          <cell r="O26">
            <v>189804.153859999</v>
          </cell>
          <cell r="P26">
            <v>764604.90385999996</v>
          </cell>
          <cell r="Q26">
            <v>8788.5621133333334</v>
          </cell>
        </row>
        <row r="27">
          <cell r="A27">
            <v>38</v>
          </cell>
          <cell r="B27" t="str">
            <v>Delgado Maria Paz</v>
          </cell>
          <cell r="C27">
            <v>0</v>
          </cell>
          <cell r="D27" t="str">
            <v>El Solar</v>
          </cell>
          <cell r="E27">
            <v>88</v>
          </cell>
          <cell r="F27">
            <v>88</v>
          </cell>
          <cell r="G27">
            <v>0</v>
          </cell>
          <cell r="H27">
            <v>0</v>
          </cell>
          <cell r="I27">
            <v>0</v>
          </cell>
          <cell r="J27" t="str">
            <v>NO</v>
          </cell>
          <cell r="K27">
            <v>0</v>
          </cell>
          <cell r="L27">
            <v>0</v>
          </cell>
          <cell r="M27">
            <v>474795</v>
          </cell>
          <cell r="N27">
            <v>581407.65</v>
          </cell>
          <cell r="O27">
            <v>191963.02319499999</v>
          </cell>
          <cell r="P27">
            <v>773370.67319500004</v>
          </cell>
          <cell r="Q27">
            <v>8788.3031044886375</v>
          </cell>
        </row>
        <row r="28">
          <cell r="A28">
            <v>39</v>
          </cell>
          <cell r="B28" t="str">
            <v>Giordano Carolina Inez</v>
          </cell>
          <cell r="C28">
            <v>0</v>
          </cell>
          <cell r="D28" t="str">
            <v>Lucero ST 2</v>
          </cell>
          <cell r="E28">
            <v>67</v>
          </cell>
          <cell r="F28">
            <v>67</v>
          </cell>
          <cell r="G28">
            <v>0</v>
          </cell>
          <cell r="H28">
            <v>0</v>
          </cell>
          <cell r="I28">
            <v>0</v>
          </cell>
          <cell r="J28" t="str">
            <v>NO</v>
          </cell>
          <cell r="K28">
            <v>0</v>
          </cell>
          <cell r="L28">
            <v>0</v>
          </cell>
          <cell r="M28">
            <v>362537</v>
          </cell>
          <cell r="N28">
            <v>442662.64</v>
          </cell>
          <cell r="O28">
            <v>146624.93333</v>
          </cell>
          <cell r="P28">
            <v>589287.57333000004</v>
          </cell>
          <cell r="Q28">
            <v>8795.3369153731346</v>
          </cell>
        </row>
        <row r="29">
          <cell r="A29">
            <v>40</v>
          </cell>
          <cell r="B29" t="str">
            <v>Martinez Franzi Lourdes</v>
          </cell>
          <cell r="C29">
            <v>0</v>
          </cell>
          <cell r="D29" t="str">
            <v>El Solar</v>
          </cell>
          <cell r="E29">
            <v>76</v>
          </cell>
          <cell r="F29">
            <v>76</v>
          </cell>
          <cell r="G29">
            <v>0</v>
          </cell>
          <cell r="H29">
            <v>0</v>
          </cell>
          <cell r="I29">
            <v>0</v>
          </cell>
          <cell r="J29" t="str">
            <v>NO</v>
          </cell>
          <cell r="K29">
            <v>0</v>
          </cell>
          <cell r="L29">
            <v>0</v>
          </cell>
          <cell r="M29">
            <v>410648</v>
          </cell>
          <cell r="N29">
            <v>502124.79</v>
          </cell>
          <cell r="O29">
            <v>166055.60544000001</v>
          </cell>
          <cell r="P29">
            <v>668180.39543999999</v>
          </cell>
          <cell r="Q29">
            <v>8791.8473084210527</v>
          </cell>
        </row>
        <row r="30">
          <cell r="A30">
            <v>41</v>
          </cell>
          <cell r="B30" t="str">
            <v>Ochoa Duran Thalia</v>
          </cell>
          <cell r="C30">
            <v>0</v>
          </cell>
          <cell r="D30" t="str">
            <v>LU Florida</v>
          </cell>
          <cell r="E30">
            <v>42</v>
          </cell>
          <cell r="F30" t="str">
            <v>42.00</v>
          </cell>
          <cell r="G30">
            <v>0</v>
          </cell>
          <cell r="H30">
            <v>0</v>
          </cell>
          <cell r="I30">
            <v>0</v>
          </cell>
          <cell r="J30" t="str">
            <v>NO</v>
          </cell>
          <cell r="K30">
            <v>0</v>
          </cell>
          <cell r="L30">
            <v>0</v>
          </cell>
          <cell r="M30">
            <v>228897</v>
          </cell>
          <cell r="N30">
            <v>277490.01</v>
          </cell>
          <cell r="O30">
            <v>92651.086599999995</v>
          </cell>
          <cell r="P30">
            <v>370141.09659999999</v>
          </cell>
          <cell r="Q30">
            <v>8812.8832523809524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289"/>
  <sheetViews>
    <sheetView tabSelected="1" topLeftCell="D1" zoomScale="120" zoomScaleNormal="120" workbookViewId="0">
      <pane ySplit="1" topLeftCell="A276" activePane="bottomLeft" state="frozen"/>
      <selection pane="bottomLeft" activeCell="E285" sqref="E285"/>
    </sheetView>
  </sheetViews>
  <sheetFormatPr baseColWidth="10" defaultColWidth="11.54296875" defaultRowHeight="14.5" x14ac:dyDescent="0.35"/>
  <cols>
    <col min="1" max="1" width="11.54296875" style="4"/>
    <col min="2" max="2" width="9.453125" style="4" bestFit="1" customWidth="1"/>
    <col min="3" max="3" width="20.90625" style="4" bestFit="1" customWidth="1"/>
    <col min="4" max="4" width="6.54296875" style="4" bestFit="1" customWidth="1"/>
    <col min="5" max="5" width="7.81640625" style="4" bestFit="1" customWidth="1"/>
    <col min="6" max="6" width="13.54296875" style="4" customWidth="1"/>
    <col min="7" max="7" width="10.453125" style="4" bestFit="1" customWidth="1"/>
    <col min="8" max="8" width="8" style="4" bestFit="1" customWidth="1"/>
    <col min="9" max="9" width="11.453125" style="4" customWidth="1"/>
    <col min="10" max="10" width="14.453125" style="4" customWidth="1"/>
    <col min="11" max="11" width="6.453125" style="4" customWidth="1"/>
    <col min="12" max="12" width="13.08984375" style="4" customWidth="1"/>
    <col min="13" max="13" width="7.453125" style="4" bestFit="1" customWidth="1"/>
    <col min="14" max="14" width="7.453125" style="4" customWidth="1"/>
    <col min="15" max="15" width="6.81640625" style="4" bestFit="1" customWidth="1"/>
    <col min="16" max="16" width="11.54296875" style="4"/>
    <col min="17" max="17" width="14.08984375" style="4" bestFit="1" customWidth="1"/>
    <col min="18" max="16384" width="11.54296875" style="4"/>
  </cols>
  <sheetData>
    <row r="1" spans="1:16" s="1" customFormat="1" x14ac:dyDescent="0.35">
      <c r="A1" s="1" t="s">
        <v>22</v>
      </c>
      <c r="B1" s="1" t="s">
        <v>23</v>
      </c>
      <c r="C1" s="2" t="s">
        <v>24</v>
      </c>
      <c r="D1" s="1" t="s">
        <v>0</v>
      </c>
      <c r="E1" s="1" t="s">
        <v>53</v>
      </c>
      <c r="F1" s="1" t="s">
        <v>39</v>
      </c>
      <c r="G1" s="1" t="s">
        <v>40</v>
      </c>
      <c r="H1" s="1" t="s">
        <v>1</v>
      </c>
      <c r="I1" s="1" t="s">
        <v>55</v>
      </c>
      <c r="J1" s="1" t="s">
        <v>57</v>
      </c>
      <c r="K1" s="1" t="s">
        <v>2</v>
      </c>
      <c r="L1" s="1" t="s">
        <v>54</v>
      </c>
      <c r="M1" s="1" t="s">
        <v>56</v>
      </c>
      <c r="N1" s="1" t="s">
        <v>69</v>
      </c>
      <c r="O1" s="1" t="s">
        <v>30</v>
      </c>
      <c r="P1" s="1" t="s">
        <v>38</v>
      </c>
    </row>
    <row r="2" spans="1:16" hidden="1" x14ac:dyDescent="0.35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hidden="1" x14ac:dyDescent="0.35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hidden="1" x14ac:dyDescent="0.35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hidden="1" x14ac:dyDescent="0.35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hidden="1" x14ac:dyDescent="0.35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hidden="1" x14ac:dyDescent="0.35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hidden="1" x14ac:dyDescent="0.35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hidden="1" x14ac:dyDescent="0.35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hidden="1" x14ac:dyDescent="0.35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hidden="1" x14ac:dyDescent="0.35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hidden="1" x14ac:dyDescent="0.35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hidden="1" x14ac:dyDescent="0.35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hidden="1" x14ac:dyDescent="0.35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hidden="1" x14ac:dyDescent="0.35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hidden="1" x14ac:dyDescent="0.35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6" hidden="1" x14ac:dyDescent="0.35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6" hidden="1" x14ac:dyDescent="0.35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6" hidden="1" x14ac:dyDescent="0.35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6" hidden="1" x14ac:dyDescent="0.35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6" hidden="1" x14ac:dyDescent="0.35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6" hidden="1" x14ac:dyDescent="0.35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6" hidden="1" x14ac:dyDescent="0.35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6" hidden="1" x14ac:dyDescent="0.35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6" hidden="1" x14ac:dyDescent="0.35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6" hidden="1" x14ac:dyDescent="0.35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  <c r="P26" s="6">
        <f>VLOOKUP(B26,'[1]Sueldos LC 10-2025'!$A$1:$Q$30,17,FALSE)</f>
        <v>9943.0976216535419</v>
      </c>
    </row>
    <row r="27" spans="1:16" hidden="1" x14ac:dyDescent="0.35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  <c r="P27" s="6">
        <f>VLOOKUP(B27,'[1]Sueldos LC 10-2025'!$A$1:$Q$30,17,FALSE)</f>
        <v>9845.2116900000001</v>
      </c>
    </row>
    <row r="28" spans="1:16" hidden="1" x14ac:dyDescent="0.35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  <c r="P28" s="6">
        <f>VLOOKUP(B28,'[1]Sueldos LC 10-2025'!$A$1:$Q$30,17,FALSE)</f>
        <v>9876.217631212121</v>
      </c>
    </row>
    <row r="29" spans="1:16" hidden="1" x14ac:dyDescent="0.35">
      <c r="A29" s="3">
        <v>45931</v>
      </c>
      <c r="B29" s="4">
        <v>5</v>
      </c>
      <c r="C29" s="4" t="s">
        <v>6</v>
      </c>
      <c r="O29" s="4">
        <f t="shared" si="0"/>
        <v>0</v>
      </c>
      <c r="P29" s="6">
        <f>VLOOKUP(B29,'[1]Sueldos LC 10-2025'!$A$1:$Q$30,17,FALSE)</f>
        <v>0</v>
      </c>
    </row>
    <row r="30" spans="1:16" hidden="1" x14ac:dyDescent="0.35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  <c r="P30" s="6">
        <f>VLOOKUP(B30,'[1]Sueldos LC 10-2025'!$A$1:$Q$30,17,FALSE)</f>
        <v>9792.8343385887092</v>
      </c>
    </row>
    <row r="31" spans="1:16" hidden="1" x14ac:dyDescent="0.35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  <c r="P31" s="6">
        <f>VLOOKUP(B31,'[1]Sueldos LC 10-2025'!$A$1:$Q$30,17,FALSE)</f>
        <v>10112.261986218487</v>
      </c>
    </row>
    <row r="32" spans="1:16" hidden="1" x14ac:dyDescent="0.35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  <c r="P32" s="6">
        <f>VLOOKUP(B32,'[1]Sueldos LC 10-2025'!$A$1:$Q$30,17,FALSE)</f>
        <v>9911.784182045456</v>
      </c>
    </row>
    <row r="33" spans="1:16" hidden="1" x14ac:dyDescent="0.35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  <c r="P33" s="6">
        <f>VLOOKUP(B33,'[1]Sueldos LC 10-2025'!$A$1:$Q$30,17,FALSE)</f>
        <v>9105.9318448800004</v>
      </c>
    </row>
    <row r="34" spans="1:16" hidden="1" x14ac:dyDescent="0.35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  <c r="P34" s="6">
        <f>VLOOKUP(B34,'[1]Sueldos LC 10-2025'!$A$1:$Q$30,17,FALSE)</f>
        <v>10263.705370338983</v>
      </c>
    </row>
    <row r="35" spans="1:16" hidden="1" x14ac:dyDescent="0.35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  <c r="P35" s="6">
        <f>VLOOKUP(B35,'[1]Sueldos LC 10-2025'!$A$1:$Q$30,17,FALSE)</f>
        <v>9611.4834238429758</v>
      </c>
    </row>
    <row r="36" spans="1:16" hidden="1" x14ac:dyDescent="0.35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  <c r="P36" s="6">
        <f>VLOOKUP(B36,'[1]Sueldos LC 10-2025'!$A$1:$Q$30,17,FALSE)</f>
        <v>9407.4009474408667</v>
      </c>
    </row>
    <row r="37" spans="1:16" hidden="1" x14ac:dyDescent="0.35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  <c r="P37" s="6">
        <f>VLOOKUP(B37,'[1]Sueldos LC 10-2025'!$A$1:$Q$30,17,FALSE)</f>
        <v>9155.460082272728</v>
      </c>
    </row>
    <row r="38" spans="1:16" hidden="1" x14ac:dyDescent="0.35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  <c r="P38" s="6">
        <f>VLOOKUP(B38,'[1]Sueldos LC 10-2025'!$A$1:$Q$30,17,FALSE)</f>
        <v>9659.5219028030297</v>
      </c>
    </row>
    <row r="39" spans="1:16" hidden="1" x14ac:dyDescent="0.35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  <c r="P39" s="6">
        <f>VLOOKUP(B39,'[1]Sueldos LC 10-2025'!$A$1:$Q$30,17,FALSE)</f>
        <v>9708.309949915254</v>
      </c>
    </row>
    <row r="40" spans="1:16" hidden="1" x14ac:dyDescent="0.35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  <c r="P40" s="6">
        <f>VLOOKUP(B40,'[1]Sueldos LC 10-2025'!$A$1:$Q$30,17,FALSE)</f>
        <v>9612.1727566086956</v>
      </c>
    </row>
    <row r="41" spans="1:16" hidden="1" x14ac:dyDescent="0.35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  <c r="P41" s="6">
        <f>VLOOKUP(B41,'[1]Sueldos LC 10-2025'!$A$1:$Q$30,17,FALSE)</f>
        <v>10483.191883990825</v>
      </c>
    </row>
    <row r="42" spans="1:16" hidden="1" x14ac:dyDescent="0.35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  <c r="P42" s="6">
        <f>VLOOKUP(B42,'[1]Sueldos LC 10-2025'!$A$1:$Q$30,17,FALSE)</f>
        <v>9567.2268119724758</v>
      </c>
    </row>
    <row r="43" spans="1:16" hidden="1" x14ac:dyDescent="0.35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  <c r="P43" s="6">
        <f>VLOOKUP(B43,'[1]Sueldos LC 10-2025'!$A$1:$Q$30,17,FALSE)</f>
        <v>9038.4294641666656</v>
      </c>
    </row>
    <row r="44" spans="1:16" hidden="1" x14ac:dyDescent="0.35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  <c r="P44" s="6">
        <f>VLOOKUP(B44,'[1]Sueldos LC 10-2025'!$A$1:$Q$30,17,FALSE)</f>
        <v>9126.4995916517855</v>
      </c>
    </row>
    <row r="45" spans="1:16" hidden="1" x14ac:dyDescent="0.35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  <c r="P45" s="6">
        <f>VLOOKUP(B45,'[1]Sueldos LC 10-2025'!$A$1:$Q$30,17,FALSE)</f>
        <v>9045.4182661538471</v>
      </c>
    </row>
    <row r="46" spans="1:16" hidden="1" x14ac:dyDescent="0.35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  <c r="P46" s="6">
        <f>VLOOKUP(B46,'[1]Sueldos LC 10-2025'!$A$1:$Q$30,17,FALSE)</f>
        <v>8826.5215606836755</v>
      </c>
    </row>
    <row r="47" spans="1:16" hidden="1" x14ac:dyDescent="0.35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  <c r="P47" s="6">
        <f>VLOOKUP(B47,'[1]Sueldos LC 10-2025'!$A$1:$Q$30,17,FALSE)</f>
        <v>8788.0516385393257</v>
      </c>
    </row>
    <row r="48" spans="1:16" hidden="1" x14ac:dyDescent="0.35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  <c r="P48" s="6">
        <f>VLOOKUP(B48,'[1]Sueldos LC 10-2025'!$A$1:$Q$30,17,FALSE)</f>
        <v>8788.5621133333334</v>
      </c>
    </row>
    <row r="49" spans="1:17" hidden="1" x14ac:dyDescent="0.35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  <c r="P49" s="6">
        <f>VLOOKUP(B49,'[1]Sueldos LC 10-2025'!$A$1:$Q$30,17,FALSE)</f>
        <v>8788.3031044886375</v>
      </c>
    </row>
    <row r="50" spans="1:17" hidden="1" x14ac:dyDescent="0.35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  <c r="P50" s="6">
        <f>VLOOKUP(B50,'[1]Sueldos LC 10-2025'!$A$1:$Q$30,17,FALSE)</f>
        <v>8795.3369153731346</v>
      </c>
    </row>
    <row r="51" spans="1:17" hidden="1" x14ac:dyDescent="0.35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  <c r="P51" s="6">
        <f>VLOOKUP(B51,'[1]Sueldos LC 10-2025'!$A$1:$Q$30,17,FALSE)</f>
        <v>8791.8473084210527</v>
      </c>
    </row>
    <row r="52" spans="1:17" hidden="1" x14ac:dyDescent="0.35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  <c r="P52" s="6">
        <f>VLOOKUP(B52,'[1]Sueldos LC 10-2025'!$A$1:$Q$30,17,FALSE)</f>
        <v>8812.8832523809524</v>
      </c>
    </row>
    <row r="53" spans="1:17" hidden="1" x14ac:dyDescent="0.35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  <c r="Q53" s="7"/>
    </row>
    <row r="54" spans="1:17" hidden="1" x14ac:dyDescent="0.35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  <c r="P54" s="6"/>
    </row>
    <row r="55" spans="1:17" hidden="1" x14ac:dyDescent="0.35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  <c r="P55" s="6"/>
    </row>
    <row r="56" spans="1:17" hidden="1" x14ac:dyDescent="0.35">
      <c r="A56" s="3">
        <v>45962</v>
      </c>
      <c r="B56" s="4">
        <v>5</v>
      </c>
      <c r="C56" s="4" t="s">
        <v>6</v>
      </c>
      <c r="O56" s="4">
        <f t="shared" si="0"/>
        <v>0</v>
      </c>
      <c r="P56" s="6"/>
    </row>
    <row r="57" spans="1:17" hidden="1" x14ac:dyDescent="0.35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  <c r="P57" s="6"/>
    </row>
    <row r="58" spans="1:17" hidden="1" x14ac:dyDescent="0.35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  <c r="P58" s="6"/>
    </row>
    <row r="59" spans="1:17" hidden="1" x14ac:dyDescent="0.35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  <c r="P59" s="6"/>
    </row>
    <row r="60" spans="1:17" hidden="1" x14ac:dyDescent="0.35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  <c r="P60" s="6"/>
    </row>
    <row r="61" spans="1:17" hidden="1" x14ac:dyDescent="0.35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  <c r="P61" s="6"/>
    </row>
    <row r="62" spans="1:17" hidden="1" x14ac:dyDescent="0.35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  <c r="P62" s="6"/>
    </row>
    <row r="63" spans="1:17" hidden="1" x14ac:dyDescent="0.35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  <c r="P63" s="6"/>
    </row>
    <row r="64" spans="1:17" hidden="1" x14ac:dyDescent="0.35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  <c r="P64" s="6"/>
    </row>
    <row r="65" spans="1:16" hidden="1" x14ac:dyDescent="0.35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  <c r="P65" s="6"/>
    </row>
    <row r="66" spans="1:16" hidden="1" x14ac:dyDescent="0.35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  <c r="P66" s="6"/>
    </row>
    <row r="67" spans="1:16" hidden="1" x14ac:dyDescent="0.35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  <c r="P67" s="6"/>
    </row>
    <row r="68" spans="1:16" hidden="1" x14ac:dyDescent="0.35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  <c r="P68" s="6"/>
    </row>
    <row r="69" spans="1:16" hidden="1" x14ac:dyDescent="0.35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  <c r="P69" s="6"/>
    </row>
    <row r="70" spans="1:16" hidden="1" x14ac:dyDescent="0.35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  <c r="P70" s="6"/>
    </row>
    <row r="71" spans="1:16" hidden="1" x14ac:dyDescent="0.35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  <c r="P71" s="6"/>
    </row>
    <row r="72" spans="1:16" hidden="1" x14ac:dyDescent="0.35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  <c r="P72" s="6"/>
    </row>
    <row r="73" spans="1:16" hidden="1" x14ac:dyDescent="0.35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  <c r="P73" s="6"/>
    </row>
    <row r="74" spans="1:16" hidden="1" x14ac:dyDescent="0.35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  <c r="P74" s="6"/>
    </row>
    <row r="75" spans="1:16" hidden="1" x14ac:dyDescent="0.35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  <c r="P75" s="6"/>
    </row>
    <row r="76" spans="1:16" hidden="1" x14ac:dyDescent="0.35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  <c r="P76" s="6"/>
    </row>
    <row r="77" spans="1:16" s="5" customFormat="1" hidden="1" x14ac:dyDescent="0.35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  <c r="P77" s="8"/>
    </row>
    <row r="78" spans="1:16" hidden="1" x14ac:dyDescent="0.35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  <c r="P78" s="6"/>
    </row>
    <row r="79" spans="1:16" hidden="1" x14ac:dyDescent="0.35">
      <c r="A79" s="3">
        <v>45962</v>
      </c>
      <c r="B79" s="4">
        <v>42</v>
      </c>
      <c r="C79" s="4" t="s">
        <v>41</v>
      </c>
      <c r="D79" s="4">
        <v>111</v>
      </c>
      <c r="O79" s="4">
        <f t="shared" si="1"/>
        <v>111</v>
      </c>
    </row>
    <row r="80" spans="1:16" hidden="1" x14ac:dyDescent="0.35">
      <c r="A80" s="3">
        <v>45962</v>
      </c>
      <c r="B80" s="4">
        <v>43</v>
      </c>
      <c r="C80" s="4" t="s">
        <v>42</v>
      </c>
      <c r="D80" s="4">
        <v>73</v>
      </c>
      <c r="F80" s="4">
        <v>23</v>
      </c>
      <c r="O80" s="4">
        <f t="shared" si="1"/>
        <v>96</v>
      </c>
    </row>
    <row r="81" spans="1:15" hidden="1" x14ac:dyDescent="0.35">
      <c r="A81" s="3">
        <v>45962</v>
      </c>
      <c r="B81" s="4">
        <v>44</v>
      </c>
      <c r="C81" s="4" t="s">
        <v>43</v>
      </c>
      <c r="F81" s="4">
        <v>28</v>
      </c>
      <c r="M81" s="4">
        <v>35</v>
      </c>
      <c r="O81" s="4">
        <f t="shared" si="1"/>
        <v>63</v>
      </c>
    </row>
    <row r="82" spans="1:15" hidden="1" x14ac:dyDescent="0.35">
      <c r="A82" s="3">
        <v>45962</v>
      </c>
      <c r="B82" s="4">
        <v>45</v>
      </c>
      <c r="C82" s="4" t="s">
        <v>44</v>
      </c>
      <c r="G82" s="4">
        <v>59</v>
      </c>
      <c r="O82" s="4">
        <f t="shared" si="1"/>
        <v>59</v>
      </c>
    </row>
    <row r="83" spans="1:15" hidden="1" x14ac:dyDescent="0.35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hidden="1" x14ac:dyDescent="0.35">
      <c r="A84" s="3">
        <v>45992</v>
      </c>
      <c r="B84" s="4">
        <v>45</v>
      </c>
      <c r="C84" s="4" t="s">
        <v>44</v>
      </c>
      <c r="D84" s="5">
        <v>13</v>
      </c>
      <c r="G84" s="4">
        <f>110-13</f>
        <v>97</v>
      </c>
      <c r="O84" s="4">
        <f t="shared" si="1"/>
        <v>110</v>
      </c>
    </row>
    <row r="85" spans="1:15" hidden="1" x14ac:dyDescent="0.35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hidden="1" x14ac:dyDescent="0.35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hidden="1" x14ac:dyDescent="0.35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hidden="1" x14ac:dyDescent="0.35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hidden="1" x14ac:dyDescent="0.35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hidden="1" x14ac:dyDescent="0.35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hidden="1" x14ac:dyDescent="0.35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hidden="1" x14ac:dyDescent="0.35">
      <c r="A92" s="3">
        <v>45992</v>
      </c>
      <c r="B92" s="4">
        <v>28</v>
      </c>
      <c r="C92" s="4" t="s">
        <v>45</v>
      </c>
      <c r="K92" s="4">
        <v>86</v>
      </c>
      <c r="O92" s="4">
        <f t="shared" si="1"/>
        <v>86</v>
      </c>
    </row>
    <row r="93" spans="1:15" hidden="1" x14ac:dyDescent="0.35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hidden="1" x14ac:dyDescent="0.35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hidden="1" x14ac:dyDescent="0.35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hidden="1" x14ac:dyDescent="0.35">
      <c r="A96" s="3">
        <v>45992</v>
      </c>
      <c r="B96" s="4">
        <v>46</v>
      </c>
      <c r="C96" s="4" t="s">
        <v>46</v>
      </c>
      <c r="F96" s="4">
        <f>117-16</f>
        <v>101</v>
      </c>
      <c r="M96" s="4">
        <v>16</v>
      </c>
      <c r="O96" s="4">
        <f t="shared" si="1"/>
        <v>117</v>
      </c>
    </row>
    <row r="97" spans="1:15" hidden="1" x14ac:dyDescent="0.35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hidden="1" x14ac:dyDescent="0.35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hidden="1" x14ac:dyDescent="0.35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hidden="1" x14ac:dyDescent="0.35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hidden="1" x14ac:dyDescent="0.35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hidden="1" x14ac:dyDescent="0.35">
      <c r="A102" s="3">
        <v>45992</v>
      </c>
      <c r="B102" s="4">
        <v>42</v>
      </c>
      <c r="C102" s="4" t="s">
        <v>41</v>
      </c>
      <c r="D102" s="4">
        <v>127</v>
      </c>
      <c r="O102" s="4">
        <f t="shared" si="1"/>
        <v>127</v>
      </c>
    </row>
    <row r="103" spans="1:15" hidden="1" x14ac:dyDescent="0.35">
      <c r="A103" s="3">
        <v>45992</v>
      </c>
      <c r="B103" s="9">
        <v>43</v>
      </c>
      <c r="C103" s="9" t="s">
        <v>42</v>
      </c>
      <c r="D103" s="5">
        <v>51</v>
      </c>
      <c r="O103" s="4">
        <f t="shared" si="1"/>
        <v>51</v>
      </c>
    </row>
    <row r="104" spans="1:15" hidden="1" x14ac:dyDescent="0.35">
      <c r="A104" s="3">
        <v>45992</v>
      </c>
      <c r="B104" s="4">
        <v>44</v>
      </c>
      <c r="C104" s="4" t="s">
        <v>43</v>
      </c>
      <c r="D104" s="5">
        <v>118</v>
      </c>
      <c r="O104" s="4">
        <f t="shared" si="1"/>
        <v>118</v>
      </c>
    </row>
    <row r="105" spans="1:15" hidden="1" x14ac:dyDescent="0.35">
      <c r="A105" s="3">
        <v>45992</v>
      </c>
      <c r="B105" s="4">
        <v>47</v>
      </c>
      <c r="C105" s="4" t="s">
        <v>47</v>
      </c>
      <c r="D105" s="5">
        <v>121</v>
      </c>
      <c r="O105" s="4">
        <f t="shared" si="1"/>
        <v>121</v>
      </c>
    </row>
    <row r="106" spans="1:15" hidden="1" x14ac:dyDescent="0.35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hidden="1" x14ac:dyDescent="0.35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hidden="1" x14ac:dyDescent="0.35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hidden="1" x14ac:dyDescent="0.35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hidden="1" x14ac:dyDescent="0.35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hidden="1" x14ac:dyDescent="0.35">
      <c r="A111" s="3">
        <v>45992</v>
      </c>
      <c r="B111" s="4">
        <v>49</v>
      </c>
      <c r="C111" s="4" t="s">
        <v>48</v>
      </c>
      <c r="J111" s="4">
        <v>21</v>
      </c>
      <c r="O111" s="4">
        <f t="shared" si="1"/>
        <v>21</v>
      </c>
    </row>
    <row r="112" spans="1:15" hidden="1" x14ac:dyDescent="0.35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hidden="1" x14ac:dyDescent="0.35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hidden="1" x14ac:dyDescent="0.35">
      <c r="A114" s="3">
        <v>45992</v>
      </c>
      <c r="B114" s="9">
        <v>34</v>
      </c>
      <c r="C114" s="9" t="s">
        <v>31</v>
      </c>
      <c r="H114" s="4">
        <v>27</v>
      </c>
      <c r="O114" s="4">
        <f t="shared" si="1"/>
        <v>27</v>
      </c>
    </row>
    <row r="115" spans="1:15" hidden="1" x14ac:dyDescent="0.35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hidden="1" x14ac:dyDescent="0.35">
      <c r="A116" s="3">
        <v>46023</v>
      </c>
      <c r="B116" s="4">
        <v>45</v>
      </c>
      <c r="C116" s="4" t="s">
        <v>44</v>
      </c>
      <c r="G116" s="4">
        <v>102</v>
      </c>
      <c r="O116" s="5">
        <f t="shared" si="1"/>
        <v>102</v>
      </c>
    </row>
    <row r="117" spans="1:15" hidden="1" x14ac:dyDescent="0.35">
      <c r="A117" s="3">
        <v>46023</v>
      </c>
      <c r="B117" s="4">
        <v>10</v>
      </c>
      <c r="C117" s="5" t="s">
        <v>8</v>
      </c>
      <c r="L117" s="4">
        <v>81</v>
      </c>
      <c r="N117" s="4">
        <v>28</v>
      </c>
      <c r="O117" s="5">
        <f t="shared" si="1"/>
        <v>109</v>
      </c>
    </row>
    <row r="118" spans="1:15" hidden="1" x14ac:dyDescent="0.35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hidden="1" x14ac:dyDescent="0.35">
      <c r="A119" s="3">
        <v>46023</v>
      </c>
      <c r="B119" s="4">
        <v>32</v>
      </c>
      <c r="C119" s="5" t="s">
        <v>29</v>
      </c>
      <c r="L119" s="4">
        <v>87</v>
      </c>
      <c r="N119" s="4">
        <v>12</v>
      </c>
      <c r="O119" s="5">
        <f t="shared" si="1"/>
        <v>99</v>
      </c>
    </row>
    <row r="120" spans="1:15" hidden="1" x14ac:dyDescent="0.35">
      <c r="A120" s="3">
        <v>46023</v>
      </c>
      <c r="B120" s="4">
        <v>52</v>
      </c>
      <c r="C120" s="4" t="s">
        <v>51</v>
      </c>
      <c r="L120" s="5">
        <v>100</v>
      </c>
      <c r="O120" s="5">
        <f t="shared" si="1"/>
        <v>100</v>
      </c>
    </row>
    <row r="121" spans="1:15" hidden="1" x14ac:dyDescent="0.35">
      <c r="A121" s="3">
        <v>46023</v>
      </c>
      <c r="B121" s="4">
        <v>51</v>
      </c>
      <c r="C121" s="9" t="s">
        <v>49</v>
      </c>
      <c r="L121" s="5">
        <v>4</v>
      </c>
      <c r="O121" s="5">
        <f t="shared" si="1"/>
        <v>4</v>
      </c>
    </row>
    <row r="122" spans="1:15" hidden="1" x14ac:dyDescent="0.35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hidden="1" x14ac:dyDescent="0.35">
      <c r="A123" s="3">
        <v>46023</v>
      </c>
      <c r="B123" s="4">
        <v>36</v>
      </c>
      <c r="C123" s="5" t="s">
        <v>32</v>
      </c>
      <c r="M123" s="4">
        <v>92</v>
      </c>
      <c r="N123" s="4">
        <v>12</v>
      </c>
      <c r="O123" s="5">
        <f t="shared" si="1"/>
        <v>104</v>
      </c>
    </row>
    <row r="124" spans="1:15" hidden="1" x14ac:dyDescent="0.35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hidden="1" x14ac:dyDescent="0.35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hidden="1" x14ac:dyDescent="0.35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hidden="1" x14ac:dyDescent="0.35">
      <c r="A127" s="3">
        <v>46023</v>
      </c>
      <c r="B127" s="4">
        <v>42</v>
      </c>
      <c r="C127" s="4" t="s">
        <v>41</v>
      </c>
      <c r="D127" s="4">
        <v>121</v>
      </c>
      <c r="O127" s="5">
        <f t="shared" si="1"/>
        <v>121</v>
      </c>
    </row>
    <row r="128" spans="1:15" hidden="1" x14ac:dyDescent="0.35">
      <c r="A128" s="3">
        <v>46023</v>
      </c>
      <c r="B128" s="4">
        <v>44</v>
      </c>
      <c r="C128" s="4" t="s">
        <v>43</v>
      </c>
      <c r="D128" s="4">
        <f>124-29</f>
        <v>95</v>
      </c>
      <c r="H128" s="4">
        <v>29</v>
      </c>
      <c r="O128" s="5">
        <f t="shared" si="1"/>
        <v>124</v>
      </c>
    </row>
    <row r="129" spans="1:15" hidden="1" x14ac:dyDescent="0.35">
      <c r="A129" s="3">
        <v>46023</v>
      </c>
      <c r="B129" s="4">
        <v>47</v>
      </c>
      <c r="C129" s="4" t="s">
        <v>47</v>
      </c>
      <c r="D129" s="5">
        <v>120</v>
      </c>
      <c r="O129" s="5">
        <f t="shared" si="1"/>
        <v>120</v>
      </c>
    </row>
    <row r="130" spans="1:15" hidden="1" x14ac:dyDescent="0.35">
      <c r="A130" s="3">
        <v>46023</v>
      </c>
      <c r="B130" s="4">
        <v>28</v>
      </c>
      <c r="C130" s="4" t="s">
        <v>45</v>
      </c>
      <c r="K130" s="4">
        <v>87</v>
      </c>
      <c r="O130" s="12">
        <f t="shared" si="1"/>
        <v>87</v>
      </c>
    </row>
    <row r="131" spans="1:15" hidden="1" x14ac:dyDescent="0.35">
      <c r="A131" s="3">
        <v>46023</v>
      </c>
      <c r="B131" s="4">
        <v>27</v>
      </c>
      <c r="C131" s="4" t="s">
        <v>19</v>
      </c>
      <c r="K131" s="4">
        <v>116</v>
      </c>
      <c r="O131" s="12">
        <v>116</v>
      </c>
    </row>
    <row r="132" spans="1:15" hidden="1" x14ac:dyDescent="0.35">
      <c r="A132" s="3">
        <v>46023</v>
      </c>
      <c r="B132" s="4">
        <v>29</v>
      </c>
      <c r="C132" s="5" t="s">
        <v>20</v>
      </c>
      <c r="K132" s="4">
        <v>60</v>
      </c>
      <c r="N132" s="4">
        <v>56</v>
      </c>
      <c r="O132" s="12">
        <f t="shared" ref="O132:O195" si="2">SUM(D132:N132)</f>
        <v>116</v>
      </c>
    </row>
    <row r="133" spans="1:15" hidden="1" x14ac:dyDescent="0.35">
      <c r="A133" s="3">
        <v>46023</v>
      </c>
      <c r="B133" s="4">
        <v>1</v>
      </c>
      <c r="C133" s="5" t="s">
        <v>3</v>
      </c>
      <c r="E133" s="4">
        <v>52</v>
      </c>
      <c r="H133" s="4">
        <v>6</v>
      </c>
      <c r="N133" s="4">
        <v>56</v>
      </c>
      <c r="O133" s="12">
        <f t="shared" si="2"/>
        <v>114</v>
      </c>
    </row>
    <row r="134" spans="1:15" hidden="1" x14ac:dyDescent="0.35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/>
      <c r="O134" s="12">
        <f t="shared" si="2"/>
        <v>104</v>
      </c>
    </row>
    <row r="135" spans="1:15" hidden="1" x14ac:dyDescent="0.35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2">
        <f t="shared" si="2"/>
        <v>111</v>
      </c>
    </row>
    <row r="136" spans="1:15" hidden="1" x14ac:dyDescent="0.35">
      <c r="A136" s="3">
        <v>46023</v>
      </c>
      <c r="B136" s="4">
        <v>40</v>
      </c>
      <c r="C136" s="5" t="s">
        <v>36</v>
      </c>
      <c r="F136" s="4">
        <v>73</v>
      </c>
      <c r="M136" s="4">
        <v>18</v>
      </c>
      <c r="N136" s="5">
        <v>12</v>
      </c>
      <c r="O136" s="12">
        <f t="shared" si="2"/>
        <v>103</v>
      </c>
    </row>
    <row r="137" spans="1:15" hidden="1" x14ac:dyDescent="0.35">
      <c r="A137" s="3">
        <v>46023</v>
      </c>
      <c r="B137" s="4">
        <v>46</v>
      </c>
      <c r="C137" s="4" t="s">
        <v>46</v>
      </c>
      <c r="F137" s="4">
        <v>102</v>
      </c>
      <c r="O137" s="12">
        <f t="shared" si="2"/>
        <v>102</v>
      </c>
    </row>
    <row r="138" spans="1:15" hidden="1" x14ac:dyDescent="0.35">
      <c r="A138" s="3">
        <v>46023</v>
      </c>
      <c r="B138" s="4">
        <v>3</v>
      </c>
      <c r="C138" s="5" t="s">
        <v>4</v>
      </c>
      <c r="E138" s="4">
        <v>51</v>
      </c>
      <c r="H138" s="4">
        <v>18</v>
      </c>
      <c r="N138" s="5">
        <v>56</v>
      </c>
      <c r="O138" s="12">
        <f t="shared" si="2"/>
        <v>125</v>
      </c>
    </row>
    <row r="139" spans="1:15" hidden="1" x14ac:dyDescent="0.35">
      <c r="A139" s="3">
        <v>46023</v>
      </c>
      <c r="B139" s="4">
        <v>12</v>
      </c>
      <c r="C139" s="4" t="s">
        <v>10</v>
      </c>
      <c r="H139" s="4">
        <v>132</v>
      </c>
      <c r="O139" s="12">
        <f t="shared" si="2"/>
        <v>132</v>
      </c>
    </row>
    <row r="140" spans="1:15" hidden="1" x14ac:dyDescent="0.35">
      <c r="A140" s="3">
        <v>46023</v>
      </c>
      <c r="B140" s="4">
        <v>20</v>
      </c>
      <c r="C140" s="4" t="s">
        <v>17</v>
      </c>
      <c r="H140" s="4">
        <v>130</v>
      </c>
      <c r="O140" s="12">
        <f t="shared" si="2"/>
        <v>130</v>
      </c>
    </row>
    <row r="141" spans="1:15" hidden="1" x14ac:dyDescent="0.35">
      <c r="A141" s="3">
        <v>46023</v>
      </c>
      <c r="B141" s="5">
        <v>21</v>
      </c>
      <c r="C141" s="5" t="s">
        <v>18</v>
      </c>
      <c r="O141" s="12">
        <f t="shared" si="2"/>
        <v>0</v>
      </c>
    </row>
    <row r="142" spans="1:15" hidden="1" x14ac:dyDescent="0.35">
      <c r="A142" s="3">
        <v>46023</v>
      </c>
      <c r="B142" s="4">
        <v>53</v>
      </c>
      <c r="C142" s="4" t="s">
        <v>50</v>
      </c>
      <c r="I142" s="4">
        <v>41</v>
      </c>
      <c r="O142" s="12">
        <f t="shared" si="2"/>
        <v>41</v>
      </c>
    </row>
    <row r="143" spans="1:15" hidden="1" x14ac:dyDescent="0.35">
      <c r="A143" s="3">
        <v>46023</v>
      </c>
      <c r="B143" s="4">
        <v>11</v>
      </c>
      <c r="C143" s="4" t="s">
        <v>9</v>
      </c>
      <c r="I143" s="4">
        <v>127</v>
      </c>
      <c r="O143" s="12">
        <f t="shared" si="2"/>
        <v>127</v>
      </c>
    </row>
    <row r="144" spans="1:15" hidden="1" x14ac:dyDescent="0.35">
      <c r="A144" s="3">
        <v>46023</v>
      </c>
      <c r="B144" s="4">
        <v>14</v>
      </c>
      <c r="C144" s="4" t="s">
        <v>12</v>
      </c>
      <c r="I144" s="4">
        <v>124</v>
      </c>
      <c r="O144" s="12">
        <f t="shared" si="2"/>
        <v>124</v>
      </c>
    </row>
    <row r="145" spans="1:17" hidden="1" x14ac:dyDescent="0.35">
      <c r="A145" s="3">
        <v>46023</v>
      </c>
      <c r="B145" s="4">
        <v>31</v>
      </c>
      <c r="C145" s="4" t="s">
        <v>28</v>
      </c>
      <c r="J145" s="4">
        <v>122</v>
      </c>
      <c r="O145" s="12">
        <f t="shared" si="2"/>
        <v>122</v>
      </c>
    </row>
    <row r="146" spans="1:17" hidden="1" x14ac:dyDescent="0.35">
      <c r="A146" s="3">
        <v>46023</v>
      </c>
      <c r="B146" s="4">
        <v>39</v>
      </c>
      <c r="C146" s="5" t="s">
        <v>35</v>
      </c>
      <c r="J146" s="4">
        <v>108</v>
      </c>
      <c r="N146" s="4">
        <v>12</v>
      </c>
      <c r="O146" s="12">
        <f t="shared" si="2"/>
        <v>120</v>
      </c>
    </row>
    <row r="147" spans="1:17" hidden="1" x14ac:dyDescent="0.35">
      <c r="A147" s="3">
        <v>46023</v>
      </c>
      <c r="B147" s="4">
        <v>49</v>
      </c>
      <c r="C147" s="4" t="s">
        <v>48</v>
      </c>
      <c r="I147" s="4">
        <v>68</v>
      </c>
      <c r="J147" s="4">
        <v>41</v>
      </c>
      <c r="O147" s="12">
        <f t="shared" si="2"/>
        <v>109</v>
      </c>
    </row>
    <row r="148" spans="1:17" hidden="1" x14ac:dyDescent="0.35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7" hidden="1" x14ac:dyDescent="0.35">
      <c r="A149" s="3">
        <v>46054</v>
      </c>
      <c r="B149" s="4">
        <v>45</v>
      </c>
      <c r="C149" s="4" t="s">
        <v>44</v>
      </c>
      <c r="G149" s="4">
        <v>79</v>
      </c>
      <c r="O149" s="4">
        <f t="shared" si="2"/>
        <v>79</v>
      </c>
    </row>
    <row r="150" spans="1:17" hidden="1" x14ac:dyDescent="0.35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7" hidden="1" x14ac:dyDescent="0.35">
      <c r="A151" s="3">
        <v>46054</v>
      </c>
      <c r="B151" s="4">
        <v>15</v>
      </c>
      <c r="C151" s="4" t="s">
        <v>13</v>
      </c>
      <c r="L151" s="4">
        <v>44</v>
      </c>
      <c r="N151" s="4">
        <v>56</v>
      </c>
      <c r="O151" s="4">
        <f t="shared" si="2"/>
        <v>100</v>
      </c>
    </row>
    <row r="152" spans="1:17" hidden="1" x14ac:dyDescent="0.35">
      <c r="A152" s="3">
        <v>46054</v>
      </c>
      <c r="B152" s="9">
        <v>32</v>
      </c>
      <c r="C152" s="9" t="s">
        <v>29</v>
      </c>
      <c r="L152" s="4">
        <v>69</v>
      </c>
      <c r="O152" s="4">
        <f t="shared" si="2"/>
        <v>69</v>
      </c>
    </row>
    <row r="153" spans="1:17" hidden="1" x14ac:dyDescent="0.35">
      <c r="A153" s="3">
        <v>46054</v>
      </c>
      <c r="B153" s="4">
        <v>52</v>
      </c>
      <c r="C153" s="4" t="s">
        <v>51</v>
      </c>
      <c r="L153" s="5">
        <v>88</v>
      </c>
      <c r="O153" s="4">
        <f t="shared" si="2"/>
        <v>88</v>
      </c>
    </row>
    <row r="154" spans="1:17" hidden="1" x14ac:dyDescent="0.35">
      <c r="A154" s="3">
        <v>46054</v>
      </c>
      <c r="B154" s="4">
        <v>19</v>
      </c>
      <c r="C154" s="4" t="s">
        <v>16</v>
      </c>
      <c r="M154" s="4">
        <v>70</v>
      </c>
      <c r="N154" s="4">
        <v>56</v>
      </c>
      <c r="O154" s="4">
        <f t="shared" si="2"/>
        <v>126</v>
      </c>
    </row>
    <row r="155" spans="1:17" hidden="1" x14ac:dyDescent="0.35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7" hidden="1" x14ac:dyDescent="0.35">
      <c r="A156" s="3">
        <v>46054</v>
      </c>
      <c r="B156" s="4">
        <v>38</v>
      </c>
      <c r="C156" s="4" t="s">
        <v>34</v>
      </c>
      <c r="M156" s="4">
        <v>84</v>
      </c>
      <c r="N156" s="4">
        <v>12</v>
      </c>
      <c r="O156" s="4">
        <f t="shared" si="2"/>
        <v>96</v>
      </c>
    </row>
    <row r="157" spans="1:17" hidden="1" x14ac:dyDescent="0.35">
      <c r="A157" s="3">
        <v>46054</v>
      </c>
      <c r="B157" s="4">
        <v>4</v>
      </c>
      <c r="C157" s="4" t="s">
        <v>5</v>
      </c>
      <c r="D157" s="4">
        <v>80</v>
      </c>
      <c r="N157" s="4">
        <v>56</v>
      </c>
      <c r="O157" s="4">
        <f t="shared" si="2"/>
        <v>136</v>
      </c>
      <c r="Q157" s="4" t="s">
        <v>70</v>
      </c>
    </row>
    <row r="158" spans="1:17" hidden="1" x14ac:dyDescent="0.35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7" hidden="1" x14ac:dyDescent="0.35">
      <c r="A159" s="3">
        <v>46054</v>
      </c>
      <c r="B159" s="4">
        <v>42</v>
      </c>
      <c r="C159" s="4" t="s">
        <v>41</v>
      </c>
      <c r="D159" s="4">
        <v>103</v>
      </c>
      <c r="O159" s="4">
        <f t="shared" si="2"/>
        <v>103</v>
      </c>
    </row>
    <row r="160" spans="1:17" hidden="1" x14ac:dyDescent="0.35">
      <c r="A160" s="3">
        <v>46054</v>
      </c>
      <c r="B160" s="4">
        <v>44</v>
      </c>
      <c r="C160" s="4" t="s">
        <v>43</v>
      </c>
      <c r="D160" s="4">
        <f>113-36</f>
        <v>77</v>
      </c>
      <c r="H160" s="4">
        <v>36</v>
      </c>
      <c r="O160" s="4">
        <f t="shared" si="2"/>
        <v>113</v>
      </c>
    </row>
    <row r="161" spans="1:17" hidden="1" x14ac:dyDescent="0.35">
      <c r="A161" s="3">
        <v>46054</v>
      </c>
      <c r="B161" s="4">
        <v>47</v>
      </c>
      <c r="C161" s="4" t="s">
        <v>47</v>
      </c>
      <c r="D161" s="5">
        <v>108</v>
      </c>
      <c r="O161" s="4">
        <f t="shared" si="2"/>
        <v>108</v>
      </c>
    </row>
    <row r="162" spans="1:17" hidden="1" x14ac:dyDescent="0.35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7" hidden="1" x14ac:dyDescent="0.35">
      <c r="A163" s="3">
        <v>46054</v>
      </c>
      <c r="B163" s="4">
        <v>28</v>
      </c>
      <c r="C163" s="4" t="s">
        <v>45</v>
      </c>
      <c r="K163" s="4">
        <v>101</v>
      </c>
      <c r="O163" s="4">
        <f t="shared" si="2"/>
        <v>101</v>
      </c>
    </row>
    <row r="164" spans="1:17" hidden="1" x14ac:dyDescent="0.35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7" hidden="1" x14ac:dyDescent="0.35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7" hidden="1" x14ac:dyDescent="0.35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7" hidden="1" x14ac:dyDescent="0.35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N167" s="4">
        <v>56</v>
      </c>
      <c r="O167" s="4">
        <f t="shared" si="2"/>
        <v>116</v>
      </c>
      <c r="Q167" s="4" t="s">
        <v>70</v>
      </c>
    </row>
    <row r="168" spans="1:17" hidden="1" x14ac:dyDescent="0.35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7" hidden="1" x14ac:dyDescent="0.35">
      <c r="A169" s="3">
        <v>46054</v>
      </c>
      <c r="B169" s="4">
        <v>46</v>
      </c>
      <c r="C169" s="4" t="s">
        <v>46</v>
      </c>
      <c r="F169" s="4">
        <v>57</v>
      </c>
      <c r="M169" s="4">
        <v>40</v>
      </c>
      <c r="O169" s="4">
        <f t="shared" si="2"/>
        <v>97</v>
      </c>
    </row>
    <row r="170" spans="1:17" hidden="1" x14ac:dyDescent="0.35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7" hidden="1" x14ac:dyDescent="0.35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7" hidden="1" x14ac:dyDescent="0.35">
      <c r="A172" s="3">
        <v>46054</v>
      </c>
      <c r="B172" s="4">
        <v>20</v>
      </c>
      <c r="C172" s="4" t="s">
        <v>17</v>
      </c>
      <c r="H172" s="4">
        <v>43</v>
      </c>
      <c r="N172" s="4">
        <v>56</v>
      </c>
      <c r="O172" s="4">
        <f t="shared" si="2"/>
        <v>99</v>
      </c>
    </row>
    <row r="173" spans="1:17" hidden="1" x14ac:dyDescent="0.35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7" hidden="1" x14ac:dyDescent="0.35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7" hidden="1" x14ac:dyDescent="0.35">
      <c r="A175" s="3">
        <v>46054</v>
      </c>
      <c r="B175" s="9">
        <v>53</v>
      </c>
      <c r="C175" s="9" t="s">
        <v>50</v>
      </c>
      <c r="I175" s="4">
        <v>73</v>
      </c>
      <c r="O175" s="4">
        <f t="shared" si="2"/>
        <v>73</v>
      </c>
    </row>
    <row r="176" spans="1:17" hidden="1" x14ac:dyDescent="0.35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hidden="1" x14ac:dyDescent="0.35">
      <c r="A177" s="3">
        <v>46054</v>
      </c>
      <c r="B177" s="4">
        <v>39</v>
      </c>
      <c r="C177" s="4" t="s">
        <v>35</v>
      </c>
      <c r="J177" s="4">
        <v>110</v>
      </c>
      <c r="O177" s="4">
        <f t="shared" si="2"/>
        <v>110</v>
      </c>
    </row>
    <row r="178" spans="1:15" hidden="1" x14ac:dyDescent="0.35">
      <c r="A178" s="3">
        <v>46054</v>
      </c>
      <c r="B178" s="4">
        <v>49</v>
      </c>
      <c r="C178" s="4" t="s">
        <v>48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hidden="1" x14ac:dyDescent="0.35">
      <c r="A179" s="3">
        <v>46082</v>
      </c>
      <c r="B179" s="4">
        <v>10</v>
      </c>
      <c r="C179" s="4" t="s">
        <v>8</v>
      </c>
      <c r="L179" s="4">
        <v>89</v>
      </c>
      <c r="N179" s="4">
        <v>36</v>
      </c>
      <c r="O179" s="4">
        <f t="shared" si="2"/>
        <v>125</v>
      </c>
    </row>
    <row r="180" spans="1:15" hidden="1" x14ac:dyDescent="0.35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hidden="1" x14ac:dyDescent="0.35">
      <c r="A181" s="3">
        <v>46082</v>
      </c>
      <c r="B181" s="4">
        <v>52</v>
      </c>
      <c r="C181" s="4" t="s">
        <v>51</v>
      </c>
      <c r="L181" s="4">
        <v>99</v>
      </c>
      <c r="O181" s="4">
        <f t="shared" si="2"/>
        <v>99</v>
      </c>
    </row>
    <row r="182" spans="1:15" hidden="1" x14ac:dyDescent="0.35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hidden="1" x14ac:dyDescent="0.35">
      <c r="A183" s="3">
        <v>46082</v>
      </c>
      <c r="B183" s="4">
        <v>36</v>
      </c>
      <c r="C183" s="4" t="s">
        <v>32</v>
      </c>
      <c r="M183" s="4">
        <v>104</v>
      </c>
      <c r="O183" s="4">
        <f t="shared" si="2"/>
        <v>104</v>
      </c>
    </row>
    <row r="184" spans="1:15" hidden="1" x14ac:dyDescent="0.35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hidden="1" x14ac:dyDescent="0.35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hidden="1" x14ac:dyDescent="0.35">
      <c r="A186" s="3">
        <v>46082</v>
      </c>
      <c r="B186" s="4">
        <v>41</v>
      </c>
      <c r="C186" s="4" t="s">
        <v>37</v>
      </c>
      <c r="D186" s="4">
        <v>109</v>
      </c>
      <c r="N186" s="4">
        <v>12</v>
      </c>
      <c r="O186" s="4">
        <f t="shared" si="2"/>
        <v>121</v>
      </c>
    </row>
    <row r="187" spans="1:15" hidden="1" x14ac:dyDescent="0.35">
      <c r="A187" s="3">
        <v>46082</v>
      </c>
      <c r="B187" s="4">
        <v>42</v>
      </c>
      <c r="C187" s="4" t="s">
        <v>41</v>
      </c>
      <c r="D187" s="4">
        <v>119</v>
      </c>
      <c r="O187" s="4">
        <f t="shared" si="2"/>
        <v>119</v>
      </c>
    </row>
    <row r="188" spans="1:15" hidden="1" x14ac:dyDescent="0.35">
      <c r="A188" s="3">
        <v>46082</v>
      </c>
      <c r="B188" s="4">
        <v>44</v>
      </c>
      <c r="C188" s="4" t="s">
        <v>43</v>
      </c>
      <c r="D188" s="5">
        <v>53</v>
      </c>
      <c r="E188" s="4">
        <v>52</v>
      </c>
      <c r="O188" s="4">
        <f t="shared" si="2"/>
        <v>105</v>
      </c>
    </row>
    <row r="189" spans="1:15" hidden="1" x14ac:dyDescent="0.35">
      <c r="A189" s="3">
        <v>46082</v>
      </c>
      <c r="B189" s="4">
        <v>47</v>
      </c>
      <c r="C189" s="4" t="s">
        <v>47</v>
      </c>
      <c r="D189" s="5">
        <v>88</v>
      </c>
      <c r="H189" s="4">
        <v>32</v>
      </c>
      <c r="O189" s="4">
        <f t="shared" si="2"/>
        <v>120</v>
      </c>
    </row>
    <row r="190" spans="1:15" hidden="1" x14ac:dyDescent="0.35">
      <c r="A190" s="3">
        <v>46082</v>
      </c>
      <c r="B190" s="4">
        <v>54</v>
      </c>
      <c r="C190" s="4" t="s">
        <v>59</v>
      </c>
      <c r="D190" s="5">
        <v>49</v>
      </c>
      <c r="O190" s="4">
        <f t="shared" si="2"/>
        <v>49</v>
      </c>
    </row>
    <row r="191" spans="1:15" hidden="1" x14ac:dyDescent="0.35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hidden="1" x14ac:dyDescent="0.35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5" hidden="1" x14ac:dyDescent="0.35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5" hidden="1" x14ac:dyDescent="0.35">
      <c r="A194" s="3">
        <v>46082</v>
      </c>
      <c r="B194" s="4">
        <v>1</v>
      </c>
      <c r="C194" s="4" t="s">
        <v>3</v>
      </c>
      <c r="O194" s="4">
        <f t="shared" si="2"/>
        <v>0</v>
      </c>
    </row>
    <row r="195" spans="1:15" hidden="1" x14ac:dyDescent="0.35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5" hidden="1" x14ac:dyDescent="0.35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5" hidden="1" x14ac:dyDescent="0.35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5" hidden="1" x14ac:dyDescent="0.35">
      <c r="A198" s="3">
        <v>46082</v>
      </c>
      <c r="B198" s="4">
        <v>46</v>
      </c>
      <c r="C198" s="4" t="s">
        <v>46</v>
      </c>
      <c r="O198" s="4">
        <f t="shared" si="3"/>
        <v>0</v>
      </c>
    </row>
    <row r="199" spans="1:15" hidden="1" x14ac:dyDescent="0.35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5" hidden="1" x14ac:dyDescent="0.35">
      <c r="A200" s="3">
        <v>46082</v>
      </c>
      <c r="B200" s="4">
        <v>12</v>
      </c>
      <c r="C200" s="4" t="s">
        <v>10</v>
      </c>
      <c r="H200" s="4">
        <v>66</v>
      </c>
      <c r="N200" s="4">
        <v>56</v>
      </c>
      <c r="O200" s="4">
        <f t="shared" si="3"/>
        <v>122</v>
      </c>
    </row>
    <row r="201" spans="1:15" hidden="1" x14ac:dyDescent="0.35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5" hidden="1" x14ac:dyDescent="0.35">
      <c r="A202" s="3">
        <v>46082</v>
      </c>
      <c r="B202" s="4">
        <v>11</v>
      </c>
      <c r="C202" s="4" t="s">
        <v>9</v>
      </c>
      <c r="I202" s="4">
        <v>69</v>
      </c>
      <c r="N202" s="4">
        <v>56</v>
      </c>
      <c r="O202" s="4">
        <f t="shared" si="3"/>
        <v>125</v>
      </c>
    </row>
    <row r="203" spans="1:15" hidden="1" x14ac:dyDescent="0.35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5" hidden="1" x14ac:dyDescent="0.35">
      <c r="A204" s="3">
        <v>46082</v>
      </c>
      <c r="B204" s="4">
        <v>39</v>
      </c>
      <c r="C204" s="4" t="s">
        <v>35</v>
      </c>
      <c r="I204" s="4">
        <v>90</v>
      </c>
      <c r="J204" s="4">
        <v>31</v>
      </c>
      <c r="O204" s="4">
        <f t="shared" si="3"/>
        <v>121</v>
      </c>
    </row>
    <row r="205" spans="1:15" hidden="1" x14ac:dyDescent="0.35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5" hidden="1" x14ac:dyDescent="0.35">
      <c r="A206" s="3">
        <v>46082</v>
      </c>
      <c r="B206" s="4">
        <v>49</v>
      </c>
      <c r="C206" s="4" t="s">
        <v>48</v>
      </c>
      <c r="I206" s="5">
        <v>27</v>
      </c>
      <c r="J206" s="4">
        <v>87</v>
      </c>
      <c r="O206" s="4">
        <f t="shared" si="3"/>
        <v>114</v>
      </c>
    </row>
    <row r="207" spans="1:15" hidden="1" x14ac:dyDescent="0.35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5" hidden="1" x14ac:dyDescent="0.35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hidden="1" x14ac:dyDescent="0.35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hidden="1" x14ac:dyDescent="0.35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hidden="1" x14ac:dyDescent="0.35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hidden="1" x14ac:dyDescent="0.35">
      <c r="A212" s="3">
        <v>46113</v>
      </c>
      <c r="B212" s="4">
        <v>13</v>
      </c>
      <c r="C212" s="4" t="s">
        <v>11</v>
      </c>
      <c r="F212" s="4">
        <v>91</v>
      </c>
      <c r="M212" s="4">
        <v>41</v>
      </c>
      <c r="O212" s="4">
        <f t="shared" si="3"/>
        <v>132</v>
      </c>
    </row>
    <row r="213" spans="1:15" hidden="1" x14ac:dyDescent="0.35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hidden="1" x14ac:dyDescent="0.35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hidden="1" x14ac:dyDescent="0.35">
      <c r="A215" s="3">
        <v>46113</v>
      </c>
      <c r="B215" s="4">
        <v>18</v>
      </c>
      <c r="C215" s="4" t="s">
        <v>15</v>
      </c>
      <c r="D215" s="4">
        <v>30</v>
      </c>
      <c r="E215" s="5">
        <v>76</v>
      </c>
      <c r="O215" s="4">
        <f t="shared" si="3"/>
        <v>106</v>
      </c>
    </row>
    <row r="216" spans="1:15" hidden="1" x14ac:dyDescent="0.35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hidden="1" x14ac:dyDescent="0.35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hidden="1" x14ac:dyDescent="0.35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hidden="1" x14ac:dyDescent="0.35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hidden="1" x14ac:dyDescent="0.35">
      <c r="A220" s="3">
        <v>46113</v>
      </c>
      <c r="B220" s="4">
        <v>29</v>
      </c>
      <c r="C220" s="4" t="s">
        <v>20</v>
      </c>
      <c r="J220" s="4">
        <v>23</v>
      </c>
      <c r="K220" s="4">
        <v>80</v>
      </c>
      <c r="O220" s="4">
        <f t="shared" si="3"/>
        <v>103</v>
      </c>
    </row>
    <row r="221" spans="1:15" hidden="1" x14ac:dyDescent="0.35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hidden="1" x14ac:dyDescent="0.35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hidden="1" x14ac:dyDescent="0.35">
      <c r="A223" s="3">
        <v>46113</v>
      </c>
      <c r="B223" s="9">
        <v>38</v>
      </c>
      <c r="C223" s="9" t="s">
        <v>34</v>
      </c>
      <c r="F223" s="4">
        <v>37</v>
      </c>
      <c r="O223" s="4">
        <f t="shared" si="3"/>
        <v>37</v>
      </c>
    </row>
    <row r="224" spans="1:15" hidden="1" x14ac:dyDescent="0.35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hidden="1" x14ac:dyDescent="0.35">
      <c r="A225" s="3">
        <v>46113</v>
      </c>
      <c r="B225" s="9">
        <v>40</v>
      </c>
      <c r="C225" s="9" t="s">
        <v>36</v>
      </c>
      <c r="M225" s="4">
        <v>43</v>
      </c>
      <c r="O225" s="4">
        <f t="shared" si="3"/>
        <v>43</v>
      </c>
    </row>
    <row r="226" spans="1:15" hidden="1" x14ac:dyDescent="0.35">
      <c r="A226" s="3">
        <v>46113</v>
      </c>
      <c r="B226" s="4">
        <v>41</v>
      </c>
      <c r="C226" s="4" t="s">
        <v>37</v>
      </c>
      <c r="D226" s="4">
        <v>44</v>
      </c>
      <c r="M226" s="4">
        <v>71</v>
      </c>
      <c r="O226" s="4">
        <f t="shared" si="3"/>
        <v>115</v>
      </c>
    </row>
    <row r="227" spans="1:15" hidden="1" x14ac:dyDescent="0.35">
      <c r="A227" s="3">
        <v>46113</v>
      </c>
      <c r="B227" s="4">
        <v>42</v>
      </c>
      <c r="C227" s="4" t="s">
        <v>41</v>
      </c>
      <c r="D227" s="4">
        <v>113</v>
      </c>
      <c r="O227" s="4">
        <f t="shared" si="3"/>
        <v>113</v>
      </c>
    </row>
    <row r="228" spans="1:15" hidden="1" x14ac:dyDescent="0.35">
      <c r="A228" s="3">
        <v>46113</v>
      </c>
      <c r="B228" s="4">
        <v>44</v>
      </c>
      <c r="C228" s="4" t="s">
        <v>43</v>
      </c>
      <c r="D228" s="4">
        <v>31</v>
      </c>
      <c r="E228" s="5">
        <v>73</v>
      </c>
      <c r="O228" s="4">
        <f t="shared" si="3"/>
        <v>104</v>
      </c>
    </row>
    <row r="229" spans="1:15" hidden="1" x14ac:dyDescent="0.35">
      <c r="A229" s="3">
        <v>46113</v>
      </c>
      <c r="B229" s="4">
        <v>47</v>
      </c>
      <c r="C229" s="4" t="s">
        <v>47</v>
      </c>
      <c r="D229" s="5">
        <v>114</v>
      </c>
      <c r="O229" s="4">
        <f t="shared" si="3"/>
        <v>114</v>
      </c>
    </row>
    <row r="230" spans="1:15" hidden="1" x14ac:dyDescent="0.35">
      <c r="A230" s="3">
        <v>46113</v>
      </c>
      <c r="B230" s="4">
        <v>49</v>
      </c>
      <c r="C230" s="4" t="s">
        <v>48</v>
      </c>
      <c r="J230" s="4">
        <v>111</v>
      </c>
      <c r="O230" s="4">
        <f t="shared" si="3"/>
        <v>111</v>
      </c>
    </row>
    <row r="231" spans="1:15" hidden="1" x14ac:dyDescent="0.35">
      <c r="A231" s="3">
        <v>46113</v>
      </c>
      <c r="B231" s="4">
        <v>52</v>
      </c>
      <c r="C231" s="4" t="s">
        <v>51</v>
      </c>
      <c r="L231" s="4">
        <v>88</v>
      </c>
      <c r="O231" s="4">
        <f t="shared" si="3"/>
        <v>88</v>
      </c>
    </row>
    <row r="232" spans="1:15" hidden="1" x14ac:dyDescent="0.35">
      <c r="A232" s="3">
        <v>46113</v>
      </c>
      <c r="B232" s="4">
        <v>54</v>
      </c>
      <c r="C232" s="4" t="s">
        <v>59</v>
      </c>
      <c r="D232" s="5">
        <v>40</v>
      </c>
      <c r="F232" s="5">
        <v>85</v>
      </c>
      <c r="O232" s="4">
        <f t="shared" si="3"/>
        <v>125</v>
      </c>
    </row>
    <row r="233" spans="1:15" hidden="1" x14ac:dyDescent="0.35">
      <c r="A233" s="3">
        <v>46113</v>
      </c>
      <c r="B233" s="4">
        <v>55</v>
      </c>
      <c r="C233" s="4" t="s">
        <v>60</v>
      </c>
      <c r="E233" s="4">
        <v>4</v>
      </c>
      <c r="O233" s="4">
        <f t="shared" si="3"/>
        <v>4</v>
      </c>
    </row>
    <row r="234" spans="1:15" hidden="1" x14ac:dyDescent="0.35">
      <c r="A234" s="3">
        <v>46113</v>
      </c>
      <c r="B234" s="4">
        <v>58</v>
      </c>
      <c r="C234" s="4" t="s">
        <v>61</v>
      </c>
      <c r="D234" s="4">
        <v>13</v>
      </c>
      <c r="O234" s="4">
        <f t="shared" si="3"/>
        <v>13</v>
      </c>
    </row>
    <row r="235" spans="1:15" hidden="1" x14ac:dyDescent="0.35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hidden="1" x14ac:dyDescent="0.35">
      <c r="A236" s="3">
        <v>46143</v>
      </c>
      <c r="B236" s="4">
        <v>4</v>
      </c>
      <c r="C236" s="4" t="s">
        <v>5</v>
      </c>
      <c r="D236" s="5">
        <v>126</v>
      </c>
      <c r="O236" s="4">
        <f t="shared" si="3"/>
        <v>126</v>
      </c>
    </row>
    <row r="237" spans="1:15" hidden="1" x14ac:dyDescent="0.35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hidden="1" x14ac:dyDescent="0.35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hidden="1" x14ac:dyDescent="0.35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hidden="1" x14ac:dyDescent="0.35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hidden="1" x14ac:dyDescent="0.35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hidden="1" x14ac:dyDescent="0.35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hidden="1" x14ac:dyDescent="0.35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hidden="1" x14ac:dyDescent="0.35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hidden="1" x14ac:dyDescent="0.35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hidden="1" x14ac:dyDescent="0.35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hidden="1" x14ac:dyDescent="0.35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hidden="1" x14ac:dyDescent="0.35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hidden="1" x14ac:dyDescent="0.35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hidden="1" x14ac:dyDescent="0.35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hidden="1" x14ac:dyDescent="0.35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hidden="1" x14ac:dyDescent="0.35">
      <c r="A252" s="3">
        <v>46143</v>
      </c>
      <c r="B252" s="4">
        <v>42</v>
      </c>
      <c r="C252" s="4" t="s">
        <v>41</v>
      </c>
      <c r="D252" s="4">
        <v>125</v>
      </c>
      <c r="O252" s="4">
        <f t="shared" si="3"/>
        <v>125</v>
      </c>
    </row>
    <row r="253" spans="1:15" hidden="1" x14ac:dyDescent="0.35">
      <c r="A253" s="3">
        <v>46143</v>
      </c>
      <c r="B253" s="4">
        <v>44</v>
      </c>
      <c r="C253" s="4" t="s">
        <v>43</v>
      </c>
      <c r="D253" s="4">
        <v>20</v>
      </c>
      <c r="O253" s="4">
        <f t="shared" si="3"/>
        <v>20</v>
      </c>
    </row>
    <row r="254" spans="1:15" hidden="1" x14ac:dyDescent="0.35">
      <c r="A254" s="3">
        <v>46143</v>
      </c>
      <c r="B254" s="4">
        <v>47</v>
      </c>
      <c r="C254" s="4" t="s">
        <v>47</v>
      </c>
      <c r="D254" s="4">
        <v>49</v>
      </c>
      <c r="H254" s="4">
        <v>69</v>
      </c>
      <c r="O254" s="4">
        <f t="shared" si="3"/>
        <v>118</v>
      </c>
    </row>
    <row r="255" spans="1:15" hidden="1" x14ac:dyDescent="0.35">
      <c r="A255" s="3">
        <v>46143</v>
      </c>
      <c r="B255" s="4">
        <v>49</v>
      </c>
      <c r="C255" s="4" t="s">
        <v>48</v>
      </c>
      <c r="J255" s="4">
        <v>102</v>
      </c>
      <c r="O255" s="4">
        <f t="shared" si="3"/>
        <v>102</v>
      </c>
    </row>
    <row r="256" spans="1:15" hidden="1" x14ac:dyDescent="0.35">
      <c r="A256" s="3">
        <v>46143</v>
      </c>
      <c r="B256" s="4">
        <v>52</v>
      </c>
      <c r="C256" s="4" t="s">
        <v>51</v>
      </c>
      <c r="L256" s="4">
        <v>89</v>
      </c>
      <c r="O256" s="4">
        <f t="shared" si="3"/>
        <v>89</v>
      </c>
    </row>
    <row r="257" spans="1:15" hidden="1" x14ac:dyDescent="0.35">
      <c r="A257" s="3">
        <v>46143</v>
      </c>
      <c r="B257" s="4">
        <v>54</v>
      </c>
      <c r="C257" s="4" t="s">
        <v>59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5" hidden="1" x14ac:dyDescent="0.35">
      <c r="A258" s="3">
        <v>46143</v>
      </c>
      <c r="B258" s="4">
        <v>58</v>
      </c>
      <c r="C258" s="4" t="s">
        <v>61</v>
      </c>
      <c r="D258" s="4">
        <v>115</v>
      </c>
      <c r="O258" s="4">
        <f t="shared" si="3"/>
        <v>115</v>
      </c>
    </row>
    <row r="259" spans="1:15" hidden="1" x14ac:dyDescent="0.35">
      <c r="A259" s="3">
        <v>46143</v>
      </c>
      <c r="B259" s="4">
        <v>59</v>
      </c>
      <c r="C259" s="4" t="s">
        <v>64</v>
      </c>
      <c r="F259" s="4">
        <v>16</v>
      </c>
      <c r="M259" s="4">
        <v>61</v>
      </c>
      <c r="O259" s="4">
        <f t="shared" si="3"/>
        <v>77</v>
      </c>
    </row>
    <row r="260" spans="1:15" hidden="1" x14ac:dyDescent="0.35">
      <c r="A260" s="3">
        <v>46143</v>
      </c>
      <c r="B260" s="4">
        <v>60</v>
      </c>
      <c r="C260" s="4" t="s">
        <v>65</v>
      </c>
      <c r="F260" s="4">
        <v>17</v>
      </c>
      <c r="M260" s="4">
        <v>65</v>
      </c>
      <c r="O260" s="4">
        <f t="shared" ref="O260:O288" si="4">SUM(D260:N260)</f>
        <v>82</v>
      </c>
    </row>
    <row r="261" spans="1:15" hidden="1" x14ac:dyDescent="0.35">
      <c r="A261" s="3">
        <v>46143</v>
      </c>
      <c r="B261" s="4">
        <v>61</v>
      </c>
      <c r="C261" s="4" t="s">
        <v>66</v>
      </c>
      <c r="D261" s="4">
        <v>53</v>
      </c>
      <c r="O261" s="4">
        <f t="shared" si="4"/>
        <v>53</v>
      </c>
    </row>
    <row r="262" spans="1:15" x14ac:dyDescent="0.35">
      <c r="A262" s="3">
        <v>46174</v>
      </c>
      <c r="B262" s="4">
        <v>3</v>
      </c>
      <c r="C262" s="4" t="s">
        <v>4</v>
      </c>
      <c r="H262" s="4">
        <v>123</v>
      </c>
      <c r="O262" s="4">
        <f t="shared" si="4"/>
        <v>123</v>
      </c>
    </row>
    <row r="263" spans="1:15" x14ac:dyDescent="0.35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5" x14ac:dyDescent="0.35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5" x14ac:dyDescent="0.35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5" x14ac:dyDescent="0.35">
      <c r="A266" s="3">
        <v>46174</v>
      </c>
      <c r="B266" s="4">
        <v>12</v>
      </c>
      <c r="C266" s="4" t="s">
        <v>10</v>
      </c>
      <c r="H266" s="4">
        <v>117</v>
      </c>
      <c r="O266" s="4">
        <f t="shared" si="4"/>
        <v>117</v>
      </c>
    </row>
    <row r="267" spans="1:15" x14ac:dyDescent="0.35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5" x14ac:dyDescent="0.35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5" x14ac:dyDescent="0.35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5" x14ac:dyDescent="0.35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5" x14ac:dyDescent="0.35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5" x14ac:dyDescent="0.35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x14ac:dyDescent="0.35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x14ac:dyDescent="0.35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x14ac:dyDescent="0.35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x14ac:dyDescent="0.35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x14ac:dyDescent="0.35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x14ac:dyDescent="0.35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x14ac:dyDescent="0.35">
      <c r="A279" s="3">
        <v>46174</v>
      </c>
      <c r="B279" s="4">
        <v>42</v>
      </c>
      <c r="C279" s="4" t="s">
        <v>41</v>
      </c>
      <c r="D279" s="4">
        <v>118</v>
      </c>
      <c r="O279" s="4">
        <f t="shared" si="4"/>
        <v>118</v>
      </c>
    </row>
    <row r="280" spans="1:15" x14ac:dyDescent="0.35">
      <c r="A280" s="3">
        <v>46174</v>
      </c>
      <c r="B280" s="4">
        <v>49</v>
      </c>
      <c r="C280" s="4" t="s">
        <v>48</v>
      </c>
      <c r="J280" s="4">
        <v>106</v>
      </c>
      <c r="O280" s="4">
        <f t="shared" si="4"/>
        <v>106</v>
      </c>
    </row>
    <row r="281" spans="1:15" x14ac:dyDescent="0.35">
      <c r="A281" s="3">
        <v>46174</v>
      </c>
      <c r="B281" s="4">
        <v>52</v>
      </c>
      <c r="C281" s="4" t="s">
        <v>51</v>
      </c>
      <c r="L281" s="4">
        <v>88</v>
      </c>
      <c r="O281" s="4">
        <f t="shared" si="4"/>
        <v>88</v>
      </c>
    </row>
    <row r="282" spans="1:15" x14ac:dyDescent="0.35">
      <c r="A282" s="3">
        <v>46174</v>
      </c>
      <c r="B282" s="4">
        <v>54</v>
      </c>
      <c r="C282" s="4" t="s">
        <v>59</v>
      </c>
      <c r="F282" s="4">
        <v>112</v>
      </c>
      <c r="M282" s="4">
        <v>8</v>
      </c>
      <c r="O282" s="4">
        <f t="shared" si="4"/>
        <v>120</v>
      </c>
    </row>
    <row r="283" spans="1:15" x14ac:dyDescent="0.35">
      <c r="A283" s="3">
        <v>46174</v>
      </c>
      <c r="B283" s="4">
        <v>58</v>
      </c>
      <c r="C283" s="4" t="s">
        <v>61</v>
      </c>
      <c r="D283" s="4">
        <v>124</v>
      </c>
      <c r="O283" s="4">
        <f t="shared" si="4"/>
        <v>124</v>
      </c>
    </row>
    <row r="284" spans="1:15" x14ac:dyDescent="0.35">
      <c r="A284" s="3">
        <v>46174</v>
      </c>
      <c r="B284" s="4">
        <v>59</v>
      </c>
      <c r="C284" s="4" t="s">
        <v>64</v>
      </c>
      <c r="F284" s="4">
        <v>14</v>
      </c>
      <c r="M284" s="4">
        <v>97</v>
      </c>
      <c r="O284" s="4">
        <f t="shared" si="4"/>
        <v>111</v>
      </c>
    </row>
    <row r="285" spans="1:15" x14ac:dyDescent="0.35">
      <c r="A285" s="3">
        <v>46174</v>
      </c>
      <c r="B285" s="4">
        <v>60</v>
      </c>
      <c r="C285" s="4" t="s">
        <v>65</v>
      </c>
      <c r="E285" s="4">
        <v>81</v>
      </c>
      <c r="F285" s="4">
        <v>30</v>
      </c>
      <c r="O285" s="4">
        <f t="shared" si="4"/>
        <v>111</v>
      </c>
    </row>
    <row r="286" spans="1:15" x14ac:dyDescent="0.35">
      <c r="A286" s="3">
        <v>46174</v>
      </c>
      <c r="B286" s="4">
        <v>61</v>
      </c>
      <c r="C286" s="4" t="s">
        <v>66</v>
      </c>
      <c r="H286" s="4">
        <v>121</v>
      </c>
      <c r="O286" s="4">
        <f t="shared" si="4"/>
        <v>121</v>
      </c>
    </row>
    <row r="287" spans="1:15" x14ac:dyDescent="0.35">
      <c r="A287" s="3">
        <v>46174</v>
      </c>
      <c r="B287" s="4">
        <v>62</v>
      </c>
      <c r="C287" s="4" t="s">
        <v>67</v>
      </c>
      <c r="F287" s="5">
        <v>87</v>
      </c>
      <c r="M287" s="4">
        <v>4</v>
      </c>
      <c r="O287" s="4">
        <f t="shared" si="4"/>
        <v>91</v>
      </c>
    </row>
    <row r="288" spans="1:15" x14ac:dyDescent="0.35">
      <c r="A288" s="3">
        <v>46174</v>
      </c>
      <c r="B288" s="4">
        <v>63</v>
      </c>
      <c r="C288" s="4" t="s">
        <v>68</v>
      </c>
      <c r="D288" s="4">
        <v>14</v>
      </c>
      <c r="O288" s="4">
        <f t="shared" si="4"/>
        <v>14</v>
      </c>
    </row>
    <row r="289" spans="15:15" x14ac:dyDescent="0.35">
      <c r="O289" s="5"/>
    </row>
  </sheetData>
  <autoFilter ref="A1:P288">
    <filterColumn colId="0">
      <filters>
        <dateGroupItem year="2026" month="6" dateTimeGrouping="month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="140" zoomScaleNormal="140" workbookViewId="0">
      <pane ySplit="1" topLeftCell="A15" activePane="bottomLeft" state="frozen"/>
      <selection pane="bottomLeft" activeCell="D34" sqref="D34"/>
    </sheetView>
  </sheetViews>
  <sheetFormatPr baseColWidth="10" defaultRowHeight="14.5" x14ac:dyDescent="0.35"/>
  <cols>
    <col min="2" max="2" width="21.36328125" bestFit="1" customWidth="1"/>
  </cols>
  <sheetData>
    <row r="1" spans="1:6" x14ac:dyDescent="0.35">
      <c r="A1" t="s">
        <v>23</v>
      </c>
      <c r="B1" t="s">
        <v>24</v>
      </c>
      <c r="C1" t="s">
        <v>52</v>
      </c>
      <c r="D1" t="s">
        <v>58</v>
      </c>
      <c r="E1" t="s">
        <v>62</v>
      </c>
      <c r="F1" t="s">
        <v>63</v>
      </c>
    </row>
    <row r="2" spans="1:6" x14ac:dyDescent="0.35">
      <c r="A2" s="4">
        <v>1</v>
      </c>
      <c r="B2" s="4" t="s">
        <v>3</v>
      </c>
      <c r="C2" t="s">
        <v>53</v>
      </c>
      <c r="D2" s="10">
        <v>46088</v>
      </c>
    </row>
    <row r="3" spans="1:6" x14ac:dyDescent="0.35">
      <c r="A3" s="4">
        <v>3</v>
      </c>
      <c r="B3" s="4" t="s">
        <v>4</v>
      </c>
      <c r="C3" t="s">
        <v>1</v>
      </c>
    </row>
    <row r="4" spans="1:6" x14ac:dyDescent="0.35">
      <c r="A4" s="4">
        <v>4</v>
      </c>
      <c r="B4" s="4" t="s">
        <v>5</v>
      </c>
      <c r="C4" t="s">
        <v>0</v>
      </c>
    </row>
    <row r="5" spans="1:6" x14ac:dyDescent="0.35">
      <c r="A5" s="4">
        <v>10</v>
      </c>
      <c r="B5" s="4" t="s">
        <v>8</v>
      </c>
      <c r="C5" t="s">
        <v>54</v>
      </c>
    </row>
    <row r="6" spans="1:6" x14ac:dyDescent="0.35">
      <c r="A6" s="4">
        <v>11</v>
      </c>
      <c r="B6" s="4" t="s">
        <v>9</v>
      </c>
      <c r="C6" t="s">
        <v>55</v>
      </c>
    </row>
    <row r="7" spans="1:6" x14ac:dyDescent="0.35">
      <c r="A7" s="4">
        <v>12</v>
      </c>
      <c r="B7" s="4" t="s">
        <v>10</v>
      </c>
      <c r="C7" t="s">
        <v>1</v>
      </c>
    </row>
    <row r="8" spans="1:6" x14ac:dyDescent="0.35">
      <c r="A8" s="4">
        <v>13</v>
      </c>
      <c r="B8" s="4" t="s">
        <v>11</v>
      </c>
      <c r="C8" t="s">
        <v>39</v>
      </c>
    </row>
    <row r="9" spans="1:6" x14ac:dyDescent="0.35">
      <c r="A9" s="4">
        <v>14</v>
      </c>
      <c r="B9" s="4" t="s">
        <v>12</v>
      </c>
      <c r="C9" t="s">
        <v>55</v>
      </c>
    </row>
    <row r="10" spans="1:6" x14ac:dyDescent="0.35">
      <c r="A10" s="4">
        <v>15</v>
      </c>
      <c r="B10" s="4" t="s">
        <v>13</v>
      </c>
      <c r="C10" t="s">
        <v>54</v>
      </c>
    </row>
    <row r="11" spans="1:6" x14ac:dyDescent="0.35">
      <c r="A11" s="4">
        <v>18</v>
      </c>
      <c r="B11" s="4" t="s">
        <v>15</v>
      </c>
      <c r="C11" t="s">
        <v>53</v>
      </c>
    </row>
    <row r="12" spans="1:6" x14ac:dyDescent="0.35">
      <c r="A12" s="4">
        <v>19</v>
      </c>
      <c r="B12" s="4" t="s">
        <v>16</v>
      </c>
      <c r="C12" t="s">
        <v>56</v>
      </c>
    </row>
    <row r="13" spans="1:6" x14ac:dyDescent="0.35">
      <c r="A13" s="4">
        <v>20</v>
      </c>
      <c r="B13" s="4" t="s">
        <v>17</v>
      </c>
      <c r="C13" t="s">
        <v>1</v>
      </c>
    </row>
    <row r="14" spans="1:6" x14ac:dyDescent="0.35">
      <c r="A14" s="4">
        <v>21</v>
      </c>
      <c r="B14" s="4" t="s">
        <v>18</v>
      </c>
      <c r="C14" t="s">
        <v>55</v>
      </c>
      <c r="D14" s="10">
        <v>46034</v>
      </c>
    </row>
    <row r="15" spans="1:6" x14ac:dyDescent="0.35">
      <c r="A15" s="4">
        <v>27</v>
      </c>
      <c r="B15" s="4" t="s">
        <v>19</v>
      </c>
      <c r="C15" t="s">
        <v>2</v>
      </c>
    </row>
    <row r="16" spans="1:6" x14ac:dyDescent="0.35">
      <c r="A16" s="4">
        <v>28</v>
      </c>
      <c r="B16" s="4" t="s">
        <v>45</v>
      </c>
      <c r="C16" t="s">
        <v>2</v>
      </c>
    </row>
    <row r="17" spans="1:6" x14ac:dyDescent="0.35">
      <c r="A17" s="4">
        <v>29</v>
      </c>
      <c r="B17" s="4" t="s">
        <v>20</v>
      </c>
      <c r="C17" t="s">
        <v>2</v>
      </c>
      <c r="D17" s="10"/>
      <c r="E17" s="10">
        <v>46143</v>
      </c>
      <c r="F17" t="s">
        <v>57</v>
      </c>
    </row>
    <row r="18" spans="1:6" x14ac:dyDescent="0.35">
      <c r="A18" s="4">
        <v>30</v>
      </c>
      <c r="B18" s="4" t="s">
        <v>27</v>
      </c>
      <c r="C18" t="s">
        <v>40</v>
      </c>
      <c r="D18" s="10">
        <v>46081</v>
      </c>
    </row>
    <row r="19" spans="1:6" x14ac:dyDescent="0.35">
      <c r="A19" s="4">
        <v>31</v>
      </c>
      <c r="B19" s="4" t="s">
        <v>28</v>
      </c>
      <c r="C19" t="s">
        <v>57</v>
      </c>
    </row>
    <row r="20" spans="1:6" x14ac:dyDescent="0.35">
      <c r="A20" s="4">
        <v>32</v>
      </c>
      <c r="B20" s="4" t="s">
        <v>29</v>
      </c>
      <c r="C20" t="s">
        <v>54</v>
      </c>
      <c r="D20" s="10">
        <v>46076</v>
      </c>
    </row>
    <row r="21" spans="1:6" x14ac:dyDescent="0.35">
      <c r="A21" s="5">
        <v>34</v>
      </c>
      <c r="B21" s="5" t="s">
        <v>31</v>
      </c>
      <c r="C21" t="s">
        <v>1</v>
      </c>
      <c r="D21" s="10">
        <v>45998</v>
      </c>
    </row>
    <row r="22" spans="1:6" x14ac:dyDescent="0.35">
      <c r="A22" s="4">
        <v>36</v>
      </c>
      <c r="B22" s="4" t="s">
        <v>32</v>
      </c>
      <c r="C22" t="s">
        <v>56</v>
      </c>
    </row>
    <row r="23" spans="1:6" x14ac:dyDescent="0.35">
      <c r="A23" s="4">
        <v>38</v>
      </c>
      <c r="B23" s="4" t="s">
        <v>34</v>
      </c>
      <c r="C23" t="s">
        <v>56</v>
      </c>
      <c r="D23" s="10">
        <v>46123</v>
      </c>
    </row>
    <row r="24" spans="1:6" x14ac:dyDescent="0.35">
      <c r="A24" s="4">
        <v>39</v>
      </c>
      <c r="B24" s="4" t="s">
        <v>35</v>
      </c>
      <c r="C24" t="s">
        <v>57</v>
      </c>
      <c r="D24" s="11"/>
      <c r="E24" s="10">
        <v>46082</v>
      </c>
      <c r="F24" t="s">
        <v>55</v>
      </c>
    </row>
    <row r="25" spans="1:6" x14ac:dyDescent="0.35">
      <c r="A25" s="4">
        <v>40</v>
      </c>
      <c r="B25" s="4" t="s">
        <v>36</v>
      </c>
      <c r="C25" t="s">
        <v>39</v>
      </c>
      <c r="D25" s="10">
        <v>46123</v>
      </c>
    </row>
    <row r="26" spans="1:6" x14ac:dyDescent="0.35">
      <c r="A26" s="4">
        <v>41</v>
      </c>
      <c r="B26" s="4" t="s">
        <v>37</v>
      </c>
      <c r="C26" t="s">
        <v>0</v>
      </c>
      <c r="E26" s="10">
        <v>46113</v>
      </c>
      <c r="F26" t="s">
        <v>56</v>
      </c>
    </row>
    <row r="27" spans="1:6" x14ac:dyDescent="0.35">
      <c r="A27" s="4">
        <v>42</v>
      </c>
      <c r="B27" s="4" t="s">
        <v>41</v>
      </c>
      <c r="C27" t="s">
        <v>0</v>
      </c>
    </row>
    <row r="28" spans="1:6" x14ac:dyDescent="0.35">
      <c r="A28" s="5">
        <v>43</v>
      </c>
      <c r="B28" s="5" t="s">
        <v>42</v>
      </c>
      <c r="C28" t="s">
        <v>0</v>
      </c>
      <c r="D28" s="10">
        <v>46007</v>
      </c>
    </row>
    <row r="29" spans="1:6" x14ac:dyDescent="0.35">
      <c r="A29" s="4">
        <v>44</v>
      </c>
      <c r="B29" s="4" t="s">
        <v>43</v>
      </c>
      <c r="C29" t="s">
        <v>0</v>
      </c>
      <c r="D29" s="10">
        <v>46149</v>
      </c>
      <c r="E29" s="10">
        <v>46113</v>
      </c>
      <c r="F29" t="s">
        <v>53</v>
      </c>
    </row>
    <row r="30" spans="1:6" x14ac:dyDescent="0.35">
      <c r="A30" s="4">
        <v>45</v>
      </c>
      <c r="B30" s="4" t="s">
        <v>44</v>
      </c>
      <c r="C30" t="s">
        <v>40</v>
      </c>
      <c r="D30" s="10">
        <v>46081</v>
      </c>
    </row>
    <row r="31" spans="1:6" x14ac:dyDescent="0.35">
      <c r="A31" s="4">
        <v>46</v>
      </c>
      <c r="B31" s="4" t="s">
        <v>46</v>
      </c>
      <c r="C31" t="s">
        <v>39</v>
      </c>
      <c r="D31" s="10">
        <v>46097</v>
      </c>
    </row>
    <row r="32" spans="1:6" x14ac:dyDescent="0.35">
      <c r="A32" s="4">
        <v>47</v>
      </c>
      <c r="B32" s="4" t="s">
        <v>47</v>
      </c>
      <c r="C32" t="s">
        <v>0</v>
      </c>
      <c r="D32" s="10">
        <v>46171</v>
      </c>
    </row>
    <row r="33" spans="1:4" x14ac:dyDescent="0.35">
      <c r="A33" s="4">
        <v>49</v>
      </c>
      <c r="B33" s="4" t="s">
        <v>48</v>
      </c>
      <c r="C33" t="s">
        <v>57</v>
      </c>
    </row>
    <row r="34" spans="1:4" x14ac:dyDescent="0.35">
      <c r="A34" s="5">
        <v>51</v>
      </c>
      <c r="B34" s="5" t="s">
        <v>49</v>
      </c>
      <c r="C34" t="s">
        <v>54</v>
      </c>
      <c r="D34" s="10">
        <v>46032</v>
      </c>
    </row>
    <row r="35" spans="1:4" x14ac:dyDescent="0.35">
      <c r="A35" s="4">
        <v>52</v>
      </c>
      <c r="B35" s="4" t="s">
        <v>51</v>
      </c>
      <c r="C35" t="s">
        <v>54</v>
      </c>
    </row>
    <row r="36" spans="1:4" x14ac:dyDescent="0.35">
      <c r="A36" s="4">
        <v>53</v>
      </c>
      <c r="B36" s="4" t="s">
        <v>50</v>
      </c>
      <c r="C36" t="s">
        <v>55</v>
      </c>
      <c r="D36" s="10">
        <v>46076</v>
      </c>
    </row>
    <row r="37" spans="1:4" x14ac:dyDescent="0.35">
      <c r="A37" s="4">
        <v>54</v>
      </c>
      <c r="B37" s="4" t="s">
        <v>59</v>
      </c>
      <c r="C37" t="s">
        <v>0</v>
      </c>
    </row>
    <row r="38" spans="1:4" x14ac:dyDescent="0.35">
      <c r="A38" s="4">
        <v>55</v>
      </c>
      <c r="B38" s="4" t="s">
        <v>60</v>
      </c>
      <c r="C38" t="s">
        <v>53</v>
      </c>
      <c r="D38" s="10">
        <v>46119</v>
      </c>
    </row>
    <row r="39" spans="1:4" x14ac:dyDescent="0.35">
      <c r="A39" s="4">
        <v>58</v>
      </c>
      <c r="B39" s="4" t="s">
        <v>61</v>
      </c>
      <c r="C39" t="s">
        <v>0</v>
      </c>
      <c r="D39" s="10"/>
    </row>
    <row r="40" spans="1:4" x14ac:dyDescent="0.35">
      <c r="A40" s="4">
        <v>63</v>
      </c>
      <c r="B40" s="4" t="s">
        <v>68</v>
      </c>
      <c r="C40" t="s">
        <v>0</v>
      </c>
      <c r="D40" s="10">
        <v>46185</v>
      </c>
    </row>
  </sheetData>
  <autoFilter ref="A1:F40"/>
  <sortState ref="A2:B169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2025-10-17T20:24:13Z</dcterms:created>
  <dcterms:modified xsi:type="dcterms:W3CDTF">2026-07-23T17:52:34Z</dcterms:modified>
</cp:coreProperties>
</file>