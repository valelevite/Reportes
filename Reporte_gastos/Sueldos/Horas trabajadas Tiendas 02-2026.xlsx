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/>
  <calcPr/>
</workbook>
</file>

<file path=xl/sharedStrings.xml><?xml version="1.0" encoding="utf-8"?>
<sst xmlns="http://schemas.openxmlformats.org/spreadsheetml/2006/main" count="103" uniqueCount="74">
  <si>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</si>
  <si>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</si>
  <si>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</si>
  <si>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</si>
  <si>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</si>
  <si>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</si>
  <si>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</si>
  <si>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</si>
  <si>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</si>
  <si>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</si>
  <si>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</si>
  <si>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</si>
  <si>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>Anabella Baragatti</t>
  </si>
  <si>
    <t>AS Güemes</t>
  </si>
  <si>
    <t>De las horas normales 9 fueron en Florida y 6 fueron en Güemes 1. 2 feriados no trabajados</t>
  </si>
  <si>
    <t>Bogarin Gomez Noelia</t>
  </si>
  <si>
    <t>2 Feriados no trabajados.</t>
  </si>
  <si>
    <t>Cabovianco Natalia</t>
  </si>
  <si>
    <t>AS San Telmo</t>
  </si>
  <si>
    <t>7 dias de vacaciones</t>
  </si>
  <si>
    <t>Carrizo Camila</t>
  </si>
  <si>
    <t>Molina Agustina</t>
  </si>
  <si>
    <t>Dana Ramirez</t>
  </si>
  <si>
    <t>deja de pertenecer a la empresa el 23/02. liquidacion final</t>
  </si>
  <si>
    <t>Imperiale Agustina</t>
  </si>
  <si>
    <t>Gimenes Ayala Noelia</t>
  </si>
  <si>
    <t>Gimenez Candela</t>
  </si>
  <si>
    <t>El Solar</t>
  </si>
  <si>
    <t>14 dias de vacaciones.</t>
  </si>
  <si>
    <t>Schiavone Fiona Ludmila</t>
  </si>
  <si>
    <t>Delgado Maria Paz</t>
  </si>
  <si>
    <t>3 dias de vacaciones.</t>
  </si>
  <si>
    <t xml:space="preserve">Urbieta Barbara Giselle </t>
  </si>
  <si>
    <t>Lucero Florida</t>
  </si>
  <si>
    <t>Imperiale Candela</t>
  </si>
  <si>
    <t xml:space="preserve">11 dias de vacaciones. </t>
  </si>
  <si>
    <t>Ochoa Duran Thalia</t>
  </si>
  <si>
    <t>Pavez Anahi</t>
  </si>
  <si>
    <t>Cardoso Trinidad</t>
  </si>
  <si>
    <t>De las horas normales, 36 hs fueron en Recoleta.</t>
  </si>
  <si>
    <t>Federica Figueroa</t>
  </si>
  <si>
    <t>Bertolo Milagros</t>
  </si>
  <si>
    <t>Lucero French</t>
  </si>
  <si>
    <t>1 feriado no trabajado</t>
  </si>
  <si>
    <t xml:space="preserve">Machuca Araceli </t>
  </si>
  <si>
    <t>licencia por dia de estudio</t>
  </si>
  <si>
    <t>Scholler Chavez Ruth</t>
  </si>
  <si>
    <t>Viña Sofia</t>
  </si>
  <si>
    <t>Lucero Güemes</t>
  </si>
  <si>
    <t>CORONEL Mailen</t>
  </si>
  <si>
    <t>De las horas normales, 15 fueron en florida. 2 feriados no trabajados</t>
  </si>
  <si>
    <t>De Brito Rocio</t>
  </si>
  <si>
    <t>Lucero Güemes 2</t>
  </si>
  <si>
    <t>11 dias de vacaciones. 2 Feriados no trabajados. De las horas normales, 14 fueron en solar</t>
  </si>
  <si>
    <t>Martinez Franzi Lourdes</t>
  </si>
  <si>
    <t>De las cuales 10 fueron en Solar. 2 feriados no trabajados</t>
  </si>
  <si>
    <t>Sayariy Choque</t>
  </si>
  <si>
    <t>De las horas normales, 40 hs fueron en Solar.</t>
  </si>
  <si>
    <t>Ruiz de la Torre Maitena</t>
  </si>
  <si>
    <t>Lucero Recoleta</t>
  </si>
  <si>
    <t xml:space="preserve">1 dia de vacaciones. </t>
  </si>
  <si>
    <t>Barajas Barbara</t>
  </si>
  <si>
    <t>Oliva Micaela</t>
  </si>
  <si>
    <t>Esposito Candela</t>
  </si>
  <si>
    <t>Lucero ST1</t>
  </si>
  <si>
    <t>Lara Robbio</t>
  </si>
  <si>
    <t xml:space="preserve">Nicole Leon </t>
  </si>
  <si>
    <t>1 feriado no trabajado. Deja de pertenecer a la empresa el 23/02</t>
  </si>
  <si>
    <t>Gisela Bonino</t>
  </si>
  <si>
    <t>Lucero ST2</t>
  </si>
  <si>
    <t>Giordano Carolina Inez</t>
  </si>
  <si>
    <t>Johanna Gil Marquez</t>
  </si>
  <si>
    <t>de las horas normales 47hs en Luecro 1, 39hs Lucero 2, 12hs Lucero French. 1 feriado no trabajado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</si>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</sst>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1" fillId="4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0" fontId="1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1" fillId="0" fontId="3" numFmtId="49" xfId="0" applyAlignment="1" applyBorder="1" applyFont="1" applyNumberFormat="1">
      <alignment vertical="bottom"/>
    </xf>
    <xf borderId="1" fillId="5" fontId="3" numFmtId="164" xfId="0" applyAlignment="1" applyBorder="1" applyFill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1" fillId="6" fontId="4" numFmtId="0" xfId="0" applyAlignment="1" applyBorder="1" applyFill="1" applyFont="1">
      <alignment horizontal="center" vertical="bottom"/>
    </xf>
    <xf borderId="1" fillId="7" fontId="3" numFmtId="49" xfId="0" applyAlignment="1" applyBorder="1" applyFill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vertical="bottom"/>
    </xf>
    <xf borderId="1" fillId="8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2" xfId="0" applyAlignment="1" applyBorder="1" applyFont="1" applyNumberFormat="1">
      <alignment readingOrder="0"/>
    </xf>
    <xf borderId="1" fillId="0" fontId="3" numFmtId="0" xfId="0" applyBorder="1" applyFont="1"/>
    <xf borderId="1" fillId="9" fontId="3" numFmtId="0" xfId="0" applyAlignment="1" applyBorder="1" applyFill="1" applyFont="1">
      <alignment readingOrder="0"/>
    </xf>
    <xf borderId="1" fillId="7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0" fillId="0" fontId="3" numFmtId="14" xfId="0" applyAlignment="1" applyFont="1" applyNumberFormat="1">
      <alignment vertical="bottom"/>
    </xf>
    <xf borderId="1" fillId="3" fontId="3" numFmtId="164" xfId="0" applyAlignment="1" applyBorder="1" applyFont="1" applyNumberFormat="1">
      <alignment vertical="bottom"/>
    </xf>
    <xf borderId="1" fillId="0" fontId="3" numFmtId="2" xfId="0" applyBorder="1" applyFont="1" applyNumberFormat="1"/>
    <xf borderId="1" fillId="8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0" fillId="0" fontId="3" numFmtId="0" xfId="0" applyFont="1"/>
    <xf borderId="1" fillId="0" fontId="5" numFmtId="0" xfId="0" applyBorder="1" applyFont="1"/>
    <xf borderId="1" fillId="3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readingOrder="0" vertical="bottom"/>
    </xf>
    <xf borderId="1" fillId="3" fontId="3" numFmtId="4" xfId="0" applyAlignment="1" applyBorder="1" applyFont="1" applyNumberFormat="1">
      <alignment horizontal="right" readingOrder="0" vertical="bottom"/>
    </xf>
    <xf borderId="1" fillId="3" fontId="3" numFmtId="49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hidden="1" min="7" max="7" width="14.43"/>
    <col customWidth="1" min="8" max="8" width="10.57"/>
    <col customWidth="1" min="10" max="10" width="17.14"/>
    <col customWidth="1" min="11" max="11" width="8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30.0</v>
      </c>
      <c r="B2" s="7" t="s">
        <v>12</v>
      </c>
      <c r="C2" s="8">
        <f t="shared" ref="C2:C41" si="1">SUM(D2:I2)</f>
        <v>92</v>
      </c>
      <c r="D2" s="7">
        <v>92.0</v>
      </c>
      <c r="E2" s="7"/>
      <c r="F2" s="9"/>
      <c r="G2" s="9"/>
      <c r="H2" s="9"/>
      <c r="I2" s="9"/>
      <c r="J2" s="10" t="s">
        <v>13</v>
      </c>
      <c r="K2" s="11" t="s">
        <v>14</v>
      </c>
      <c r="L2" s="12">
        <v>45992.0</v>
      </c>
      <c r="M2" s="13"/>
      <c r="N2" s="14"/>
      <c r="O2" s="15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6">
        <v>45.0</v>
      </c>
      <c r="B3" s="16" t="s">
        <v>15</v>
      </c>
      <c r="C3" s="8">
        <f t="shared" si="1"/>
        <v>79</v>
      </c>
      <c r="D3" s="7">
        <v>79.0</v>
      </c>
      <c r="E3" s="7"/>
      <c r="F3" s="9"/>
      <c r="G3" s="9"/>
      <c r="H3" s="9"/>
      <c r="I3" s="9"/>
      <c r="J3" s="10" t="s">
        <v>13</v>
      </c>
      <c r="K3" s="7" t="s">
        <v>16</v>
      </c>
      <c r="L3" s="17">
        <v>46064.0</v>
      </c>
      <c r="M3" s="13"/>
      <c r="N3" s="14"/>
      <c r="O3" s="18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9">
        <v>9.0</v>
      </c>
      <c r="B4" s="20" t="s">
        <v>17</v>
      </c>
      <c r="C4" s="8">
        <f t="shared" si="1"/>
        <v>23</v>
      </c>
      <c r="D4" s="21"/>
      <c r="E4" s="22">
        <v>16.0</v>
      </c>
      <c r="F4" s="7">
        <v>7.0</v>
      </c>
      <c r="G4" s="9"/>
      <c r="H4" s="9"/>
      <c r="I4" s="9"/>
      <c r="J4" s="10" t="s">
        <v>18</v>
      </c>
      <c r="K4" s="7" t="s">
        <v>19</v>
      </c>
      <c r="L4" s="2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24">
        <v>10.0</v>
      </c>
      <c r="B5" s="16" t="s">
        <v>20</v>
      </c>
      <c r="C5" s="8">
        <f t="shared" si="1"/>
        <v>98</v>
      </c>
      <c r="D5" s="21">
        <v>88.0</v>
      </c>
      <c r="E5" s="22">
        <v>10.0</v>
      </c>
      <c r="F5" s="7"/>
      <c r="G5" s="9"/>
      <c r="H5" s="7"/>
      <c r="I5" s="9"/>
      <c r="J5" s="10" t="s">
        <v>18</v>
      </c>
      <c r="K5" s="7"/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25">
        <v>15.0</v>
      </c>
      <c r="B6" s="16" t="s">
        <v>21</v>
      </c>
      <c r="C6" s="8">
        <f t="shared" si="1"/>
        <v>100</v>
      </c>
      <c r="D6" s="21">
        <v>44.0</v>
      </c>
      <c r="E6" s="22">
        <v>56.0</v>
      </c>
      <c r="F6" s="7"/>
      <c r="G6" s="9"/>
      <c r="H6" s="7"/>
      <c r="I6" s="9"/>
      <c r="J6" s="10" t="s">
        <v>18</v>
      </c>
      <c r="K6" s="7"/>
      <c r="L6" s="2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6">
        <v>32.0</v>
      </c>
      <c r="B7" s="7" t="s">
        <v>22</v>
      </c>
      <c r="C7" s="8">
        <f t="shared" si="1"/>
        <v>69</v>
      </c>
      <c r="D7" s="7">
        <v>65.0</v>
      </c>
      <c r="E7" s="7">
        <v>4.0</v>
      </c>
      <c r="F7" s="7"/>
      <c r="G7" s="9"/>
      <c r="H7" s="7"/>
      <c r="I7" s="9"/>
      <c r="J7" s="26" t="s">
        <v>18</v>
      </c>
      <c r="K7" s="11" t="s">
        <v>23</v>
      </c>
      <c r="L7" s="12">
        <v>46016.0</v>
      </c>
      <c r="M7" s="13"/>
      <c r="N7" s="14"/>
      <c r="O7" s="15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27">
        <v>51.0</v>
      </c>
      <c r="B8" s="7" t="s">
        <v>24</v>
      </c>
      <c r="C8" s="8">
        <f t="shared" si="1"/>
        <v>0</v>
      </c>
      <c r="D8" s="7"/>
      <c r="E8" s="7"/>
      <c r="F8" s="9"/>
      <c r="G8" s="9"/>
      <c r="H8" s="9"/>
      <c r="I8" s="9"/>
      <c r="J8" s="10" t="s">
        <v>18</v>
      </c>
      <c r="K8" s="7"/>
      <c r="L8" s="23">
        <v>46110.0</v>
      </c>
      <c r="M8" s="13"/>
      <c r="N8" s="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27">
        <v>52.0</v>
      </c>
      <c r="B9" s="7" t="s">
        <v>25</v>
      </c>
      <c r="C9" s="8">
        <f t="shared" si="1"/>
        <v>88</v>
      </c>
      <c r="D9" s="7">
        <v>84.0</v>
      </c>
      <c r="E9" s="7">
        <v>4.0</v>
      </c>
      <c r="F9" s="9"/>
      <c r="G9" s="9"/>
      <c r="H9" s="9"/>
      <c r="I9" s="9"/>
      <c r="J9" s="10" t="s">
        <v>18</v>
      </c>
      <c r="K9" s="7"/>
      <c r="L9" s="23">
        <v>46114.0</v>
      </c>
      <c r="M9" s="13"/>
      <c r="N9" s="1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28">
        <v>19.0</v>
      </c>
      <c r="B10" s="16" t="s">
        <v>26</v>
      </c>
      <c r="C10" s="8">
        <f t="shared" si="1"/>
        <v>126</v>
      </c>
      <c r="D10" s="21">
        <v>60.0</v>
      </c>
      <c r="E10" s="22">
        <v>10.0</v>
      </c>
      <c r="F10" s="9"/>
      <c r="G10" s="9"/>
      <c r="H10" s="7">
        <v>56.0</v>
      </c>
      <c r="I10" s="9"/>
      <c r="J10" s="10" t="s">
        <v>27</v>
      </c>
      <c r="K10" s="7" t="s">
        <v>28</v>
      </c>
      <c r="L10" s="2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6">
        <v>36.0</v>
      </c>
      <c r="B11" s="16" t="s">
        <v>29</v>
      </c>
      <c r="C11" s="8">
        <f t="shared" si="1"/>
        <v>110</v>
      </c>
      <c r="D11" s="29">
        <v>102.0</v>
      </c>
      <c r="E11" s="22">
        <v>8.0</v>
      </c>
      <c r="F11" s="7"/>
      <c r="G11" s="9"/>
      <c r="H11" s="9"/>
      <c r="I11" s="9"/>
      <c r="J11" s="10" t="s">
        <v>27</v>
      </c>
      <c r="K11" s="14"/>
      <c r="L11" s="12">
        <v>46033.0</v>
      </c>
      <c r="M11" s="13"/>
      <c r="N11" s="14"/>
      <c r="O11" s="18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6">
        <v>38.0</v>
      </c>
      <c r="B12" s="16" t="s">
        <v>30</v>
      </c>
      <c r="C12" s="8">
        <f t="shared" si="1"/>
        <v>96</v>
      </c>
      <c r="D12" s="22">
        <v>76.0</v>
      </c>
      <c r="E12" s="30">
        <v>8.0</v>
      </c>
      <c r="F12" s="22"/>
      <c r="G12" s="31"/>
      <c r="H12" s="32">
        <v>12.0</v>
      </c>
      <c r="I12" s="31"/>
      <c r="J12" s="10" t="s">
        <v>27</v>
      </c>
      <c r="K12" s="7" t="s">
        <v>31</v>
      </c>
      <c r="L12" s="12">
        <v>46033.0</v>
      </c>
      <c r="M12" s="13"/>
      <c r="N12" s="14"/>
      <c r="O12" s="18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9">
        <v>2.0</v>
      </c>
      <c r="B13" s="33" t="s">
        <v>32</v>
      </c>
      <c r="C13" s="8">
        <f t="shared" si="1"/>
        <v>0</v>
      </c>
      <c r="D13" s="7"/>
      <c r="E13" s="7"/>
      <c r="F13" s="9"/>
      <c r="G13" s="9"/>
      <c r="H13" s="7"/>
      <c r="I13" s="9"/>
      <c r="J13" s="34" t="s">
        <v>33</v>
      </c>
      <c r="K13" s="7" t="s">
        <v>16</v>
      </c>
      <c r="L13" s="23"/>
      <c r="M13" s="3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24">
        <v>4.0</v>
      </c>
      <c r="B14" s="9" t="s">
        <v>34</v>
      </c>
      <c r="C14" s="8">
        <f t="shared" si="1"/>
        <v>124</v>
      </c>
      <c r="D14" s="7">
        <v>70.0</v>
      </c>
      <c r="E14" s="7">
        <v>10.0</v>
      </c>
      <c r="F14" s="9"/>
      <c r="G14" s="9"/>
      <c r="H14" s="7">
        <v>44.0</v>
      </c>
      <c r="I14" s="9"/>
      <c r="J14" s="34" t="s">
        <v>33</v>
      </c>
      <c r="K14" s="7" t="s">
        <v>35</v>
      </c>
      <c r="L14" s="36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6">
        <v>41.0</v>
      </c>
      <c r="B15" s="16" t="s">
        <v>36</v>
      </c>
      <c r="C15" s="8">
        <f t="shared" si="1"/>
        <v>110</v>
      </c>
      <c r="D15" s="30">
        <v>101.0</v>
      </c>
      <c r="E15" s="30">
        <v>9.0</v>
      </c>
      <c r="F15" s="37"/>
      <c r="G15" s="37"/>
      <c r="H15" s="37"/>
      <c r="I15" s="37"/>
      <c r="J15" s="34" t="s">
        <v>33</v>
      </c>
      <c r="K15" s="11"/>
      <c r="L15" s="12">
        <v>46042.0</v>
      </c>
      <c r="M15" s="13"/>
      <c r="N15" s="14"/>
      <c r="O15" s="18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6">
        <v>42.0</v>
      </c>
      <c r="B16" s="16" t="s">
        <v>37</v>
      </c>
      <c r="C16" s="8">
        <f t="shared" si="1"/>
        <v>103</v>
      </c>
      <c r="D16" s="7">
        <v>95.0</v>
      </c>
      <c r="E16" s="7">
        <v>8.0</v>
      </c>
      <c r="F16" s="9"/>
      <c r="G16" s="9"/>
      <c r="H16" s="9"/>
      <c r="I16" s="9"/>
      <c r="J16" s="34" t="s">
        <v>33</v>
      </c>
      <c r="K16" s="11"/>
      <c r="L16" s="17">
        <v>46054.0</v>
      </c>
      <c r="M16" s="13"/>
      <c r="N16" s="14"/>
      <c r="O16" s="18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6">
        <v>44.0</v>
      </c>
      <c r="B17" s="16" t="s">
        <v>38</v>
      </c>
      <c r="C17" s="8">
        <f t="shared" si="1"/>
        <v>113</v>
      </c>
      <c r="D17" s="7">
        <v>105.0</v>
      </c>
      <c r="E17" s="7">
        <v>8.0</v>
      </c>
      <c r="F17" s="9"/>
      <c r="G17" s="9"/>
      <c r="H17" s="9"/>
      <c r="I17" s="9"/>
      <c r="J17" s="34" t="s">
        <v>33</v>
      </c>
      <c r="K17" s="7" t="s">
        <v>39</v>
      </c>
      <c r="L17" s="17">
        <v>46064.0</v>
      </c>
      <c r="M17" s="13"/>
      <c r="N17" s="14"/>
      <c r="O17" s="18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27">
        <v>47.0</v>
      </c>
      <c r="B18" s="7" t="s">
        <v>40</v>
      </c>
      <c r="C18" s="8">
        <f t="shared" si="1"/>
        <v>108</v>
      </c>
      <c r="D18" s="7">
        <v>99.0</v>
      </c>
      <c r="E18" s="7">
        <v>9.0</v>
      </c>
      <c r="F18" s="9"/>
      <c r="G18" s="9"/>
      <c r="H18" s="9"/>
      <c r="I18" s="9"/>
      <c r="J18" s="34" t="s">
        <v>33</v>
      </c>
      <c r="K18" s="7"/>
      <c r="L18" s="23">
        <v>46082.0</v>
      </c>
      <c r="M18" s="13"/>
      <c r="N18" s="1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38">
        <v>27.0</v>
      </c>
      <c r="B19" s="31" t="s">
        <v>41</v>
      </c>
      <c r="C19" s="8">
        <f t="shared" si="1"/>
        <v>106</v>
      </c>
      <c r="D19" s="22">
        <v>46.0</v>
      </c>
      <c r="E19" s="30">
        <v>4.0</v>
      </c>
      <c r="F19" s="22">
        <v>56.0</v>
      </c>
      <c r="G19" s="31"/>
      <c r="H19" s="22"/>
      <c r="I19" s="31"/>
      <c r="J19" s="39" t="s">
        <v>42</v>
      </c>
      <c r="K19" s="11" t="s">
        <v>43</v>
      </c>
      <c r="L19" s="23"/>
      <c r="M19" s="13"/>
      <c r="N19" s="40"/>
      <c r="O19" s="40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6">
        <v>28.0</v>
      </c>
      <c r="B20" s="22" t="s">
        <v>44</v>
      </c>
      <c r="C20" s="8">
        <f t="shared" si="1"/>
        <v>101</v>
      </c>
      <c r="D20" s="22">
        <v>89.0</v>
      </c>
      <c r="E20" s="30">
        <v>8.0</v>
      </c>
      <c r="F20" s="11"/>
      <c r="G20" s="41"/>
      <c r="H20" s="11"/>
      <c r="I20" s="11">
        <v>4.0</v>
      </c>
      <c r="J20" s="39" t="s">
        <v>42</v>
      </c>
      <c r="K20" s="11" t="s">
        <v>45</v>
      </c>
      <c r="L20" s="23"/>
      <c r="M20" s="13"/>
      <c r="N20" s="40"/>
      <c r="O20" s="40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6">
        <v>29.0</v>
      </c>
      <c r="B21" s="22" t="s">
        <v>46</v>
      </c>
      <c r="C21" s="8">
        <f t="shared" si="1"/>
        <v>101</v>
      </c>
      <c r="D21" s="30">
        <v>93.0</v>
      </c>
      <c r="E21" s="30">
        <v>8.0</v>
      </c>
      <c r="F21" s="30"/>
      <c r="G21" s="37"/>
      <c r="H21" s="37"/>
      <c r="I21" s="37"/>
      <c r="J21" s="39" t="s">
        <v>42</v>
      </c>
      <c r="K21" s="11"/>
      <c r="L21" s="12">
        <v>45991.0</v>
      </c>
      <c r="M21" s="13"/>
      <c r="N21" s="14"/>
      <c r="O21" s="15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42">
        <v>1.0</v>
      </c>
      <c r="B22" s="9" t="s">
        <v>47</v>
      </c>
      <c r="C22" s="8">
        <f t="shared" si="1"/>
        <v>79</v>
      </c>
      <c r="D22" s="7">
        <v>79.0</v>
      </c>
      <c r="E22" s="7"/>
      <c r="F22" s="7"/>
      <c r="G22" s="9"/>
      <c r="H22" s="7"/>
      <c r="I22" s="9"/>
      <c r="J22" s="34" t="s">
        <v>48</v>
      </c>
      <c r="K22" s="7" t="s">
        <v>16</v>
      </c>
      <c r="L22" s="3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28">
        <v>18.0</v>
      </c>
      <c r="B23" s="16" t="s">
        <v>49</v>
      </c>
      <c r="C23" s="8">
        <f t="shared" si="1"/>
        <v>94</v>
      </c>
      <c r="D23" s="21">
        <v>94.0</v>
      </c>
      <c r="E23" s="22"/>
      <c r="F23" s="7"/>
      <c r="G23" s="9"/>
      <c r="H23" s="7"/>
      <c r="I23" s="9"/>
      <c r="J23" s="34" t="s">
        <v>48</v>
      </c>
      <c r="K23" s="7" t="s">
        <v>50</v>
      </c>
      <c r="L23" s="2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28">
        <v>13.0</v>
      </c>
      <c r="B24" s="16" t="s">
        <v>51</v>
      </c>
      <c r="C24" s="8">
        <f t="shared" si="1"/>
        <v>104</v>
      </c>
      <c r="D24" s="21">
        <v>60.0</v>
      </c>
      <c r="E24" s="22"/>
      <c r="F24" s="9"/>
      <c r="G24" s="9"/>
      <c r="H24" s="7">
        <v>44.0</v>
      </c>
      <c r="I24" s="9"/>
      <c r="J24" s="34" t="s">
        <v>52</v>
      </c>
      <c r="K24" s="7" t="s">
        <v>53</v>
      </c>
      <c r="L24" s="2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6">
        <v>40.0</v>
      </c>
      <c r="B25" s="16" t="s">
        <v>54</v>
      </c>
      <c r="C25" s="8">
        <f t="shared" si="1"/>
        <v>96</v>
      </c>
      <c r="D25" s="22">
        <v>96.0</v>
      </c>
      <c r="E25" s="43"/>
      <c r="F25" s="43"/>
      <c r="G25" s="44"/>
      <c r="H25" s="43"/>
      <c r="I25" s="44"/>
      <c r="J25" s="45" t="s">
        <v>52</v>
      </c>
      <c r="K25" s="46" t="s">
        <v>55</v>
      </c>
      <c r="L25" s="12">
        <v>46036.0</v>
      </c>
      <c r="M25" s="13"/>
      <c r="N25" s="14"/>
      <c r="O25" s="18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27">
        <v>46.0</v>
      </c>
      <c r="B26" s="47" t="s">
        <v>56</v>
      </c>
      <c r="C26" s="8">
        <f t="shared" si="1"/>
        <v>97</v>
      </c>
      <c r="D26" s="48">
        <v>97.0</v>
      </c>
      <c r="E26" s="22"/>
      <c r="F26" s="9"/>
      <c r="G26" s="9"/>
      <c r="H26" s="9"/>
      <c r="I26" s="9"/>
      <c r="J26" s="34" t="s">
        <v>52</v>
      </c>
      <c r="K26" s="14" t="s">
        <v>57</v>
      </c>
      <c r="L26" s="23">
        <v>46082.0</v>
      </c>
      <c r="M26" s="13"/>
      <c r="N26" s="1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42">
        <v>3.0</v>
      </c>
      <c r="B27" s="9" t="s">
        <v>58</v>
      </c>
      <c r="C27" s="8">
        <f t="shared" si="1"/>
        <v>117</v>
      </c>
      <c r="D27" s="7">
        <v>105.0</v>
      </c>
      <c r="E27" s="7">
        <v>8.0</v>
      </c>
      <c r="F27" s="7"/>
      <c r="G27" s="9"/>
      <c r="H27" s="7">
        <v>4.0</v>
      </c>
      <c r="I27" s="9"/>
      <c r="J27" s="34" t="s">
        <v>59</v>
      </c>
      <c r="K27" s="7" t="s">
        <v>60</v>
      </c>
      <c r="L27" s="23"/>
      <c r="M27" s="3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24">
        <v>12.0</v>
      </c>
      <c r="B28" s="16" t="s">
        <v>61</v>
      </c>
      <c r="C28" s="8">
        <f t="shared" si="1"/>
        <v>114</v>
      </c>
      <c r="D28" s="21">
        <v>106.0</v>
      </c>
      <c r="E28" s="22">
        <v>8.0</v>
      </c>
      <c r="F28" s="9"/>
      <c r="G28" s="9"/>
      <c r="H28" s="9"/>
      <c r="I28" s="9"/>
      <c r="J28" s="10" t="s">
        <v>59</v>
      </c>
      <c r="K28" s="7"/>
      <c r="L28" s="2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28">
        <v>20.0</v>
      </c>
      <c r="B29" s="49" t="s">
        <v>62</v>
      </c>
      <c r="C29" s="8">
        <f t="shared" si="1"/>
        <v>99</v>
      </c>
      <c r="D29" s="21">
        <v>35.0</v>
      </c>
      <c r="E29" s="22">
        <v>8.0</v>
      </c>
      <c r="F29" s="9"/>
      <c r="G29" s="9"/>
      <c r="H29" s="7">
        <v>56.0</v>
      </c>
      <c r="I29" s="9"/>
      <c r="J29" s="10" t="s">
        <v>59</v>
      </c>
      <c r="K29" s="7" t="s">
        <v>28</v>
      </c>
      <c r="L29" s="23"/>
      <c r="M29" s="13"/>
      <c r="N29" s="40"/>
      <c r="O29" s="40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24">
        <v>11.0</v>
      </c>
      <c r="B30" s="16" t="s">
        <v>63</v>
      </c>
      <c r="C30" s="8">
        <f t="shared" si="1"/>
        <v>120</v>
      </c>
      <c r="D30" s="21">
        <v>106.0</v>
      </c>
      <c r="E30" s="22">
        <v>10.0</v>
      </c>
      <c r="F30" s="9"/>
      <c r="G30" s="9"/>
      <c r="H30" s="7"/>
      <c r="I30" s="7">
        <v>4.0</v>
      </c>
      <c r="J30" s="10" t="s">
        <v>64</v>
      </c>
      <c r="K30" s="7" t="s">
        <v>45</v>
      </c>
      <c r="L30" s="2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28">
        <v>14.0</v>
      </c>
      <c r="B31" s="50" t="s">
        <v>65</v>
      </c>
      <c r="C31" s="8">
        <f t="shared" si="1"/>
        <v>111</v>
      </c>
      <c r="D31" s="21">
        <v>75.0</v>
      </c>
      <c r="E31" s="22"/>
      <c r="F31" s="7">
        <v>36.0</v>
      </c>
      <c r="G31" s="9"/>
      <c r="H31" s="7"/>
      <c r="I31" s="9"/>
      <c r="J31" s="10" t="s">
        <v>64</v>
      </c>
      <c r="K31" s="11"/>
      <c r="L31" s="2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27">
        <v>53.0</v>
      </c>
      <c r="B32" s="7" t="s">
        <v>66</v>
      </c>
      <c r="C32" s="8">
        <f t="shared" si="1"/>
        <v>73</v>
      </c>
      <c r="D32" s="7">
        <v>69.0</v>
      </c>
      <c r="E32" s="7">
        <v>4.0</v>
      </c>
      <c r="F32" s="9"/>
      <c r="G32" s="9"/>
      <c r="H32" s="9"/>
      <c r="I32" s="9"/>
      <c r="J32" s="10" t="s">
        <v>64</v>
      </c>
      <c r="K32" s="7" t="s">
        <v>67</v>
      </c>
      <c r="L32" s="23"/>
      <c r="M32" s="13"/>
      <c r="N32" s="1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6">
        <v>31.0</v>
      </c>
      <c r="B33" s="7" t="s">
        <v>68</v>
      </c>
      <c r="C33" s="8">
        <f t="shared" si="1"/>
        <v>109</v>
      </c>
      <c r="D33" s="7">
        <v>87.0</v>
      </c>
      <c r="E33" s="7">
        <v>10.0</v>
      </c>
      <c r="F33" s="7">
        <v>12.0</v>
      </c>
      <c r="G33" s="9"/>
      <c r="H33" s="7"/>
      <c r="I33" s="7"/>
      <c r="J33" s="39" t="s">
        <v>69</v>
      </c>
      <c r="K33" s="11"/>
      <c r="L33" s="12">
        <v>46015.0</v>
      </c>
      <c r="M33" s="13"/>
      <c r="N33" s="14"/>
      <c r="O33" s="15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6">
        <v>39.0</v>
      </c>
      <c r="B34" s="16" t="s">
        <v>70</v>
      </c>
      <c r="C34" s="8">
        <f t="shared" si="1"/>
        <v>111</v>
      </c>
      <c r="D34" s="22">
        <v>101.0</v>
      </c>
      <c r="E34" s="30">
        <v>10.0</v>
      </c>
      <c r="F34" s="11"/>
      <c r="G34" s="41"/>
      <c r="H34" s="11"/>
      <c r="I34" s="11"/>
      <c r="J34" s="39" t="s">
        <v>69</v>
      </c>
      <c r="K34" s="11"/>
      <c r="L34" s="12">
        <v>46034.0</v>
      </c>
      <c r="M34" s="13"/>
      <c r="N34" s="14"/>
      <c r="O34" s="18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27">
        <v>49.0</v>
      </c>
      <c r="B35" s="7" t="s">
        <v>71</v>
      </c>
      <c r="C35" s="8">
        <f t="shared" si="1"/>
        <v>102</v>
      </c>
      <c r="D35" s="7">
        <v>98.0</v>
      </c>
      <c r="E35" s="7">
        <v>4.0</v>
      </c>
      <c r="F35" s="9"/>
      <c r="G35" s="9"/>
      <c r="H35" s="7"/>
      <c r="I35" s="9"/>
      <c r="J35" s="10" t="s">
        <v>69</v>
      </c>
      <c r="K35" s="7" t="s">
        <v>72</v>
      </c>
      <c r="L35" s="23">
        <v>46107.0</v>
      </c>
      <c r="M35" s="13"/>
      <c r="N35" s="14"/>
      <c r="O35" s="18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27">
        <v>54.0</v>
      </c>
      <c r="B36" s="7"/>
      <c r="C36" s="8">
        <f t="shared" si="1"/>
        <v>0</v>
      </c>
      <c r="D36" s="7"/>
      <c r="E36" s="7"/>
      <c r="F36" s="9"/>
      <c r="G36" s="9"/>
      <c r="H36" s="9"/>
      <c r="I36" s="9"/>
      <c r="J36" s="26"/>
      <c r="K36" s="7"/>
      <c r="L36" s="23"/>
      <c r="M36" s="13"/>
      <c r="N36" s="1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27">
        <v>55.0</v>
      </c>
      <c r="B37" s="7"/>
      <c r="C37" s="8">
        <f t="shared" si="1"/>
        <v>0</v>
      </c>
      <c r="D37" s="7"/>
      <c r="E37" s="7"/>
      <c r="F37" s="9"/>
      <c r="G37" s="9"/>
      <c r="H37" s="9"/>
      <c r="I37" s="9"/>
      <c r="J37" s="26"/>
      <c r="K37" s="7"/>
      <c r="L37" s="23"/>
      <c r="M37" s="13"/>
      <c r="N37" s="1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27">
        <v>56.0</v>
      </c>
      <c r="B38" s="7"/>
      <c r="C38" s="8">
        <f t="shared" si="1"/>
        <v>0</v>
      </c>
      <c r="D38" s="7"/>
      <c r="E38" s="7"/>
      <c r="F38" s="9"/>
      <c r="G38" s="9"/>
      <c r="H38" s="9"/>
      <c r="I38" s="9"/>
      <c r="J38" s="26"/>
      <c r="K38" s="7"/>
      <c r="L38" s="23"/>
      <c r="M38" s="13"/>
      <c r="N38" s="1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27">
        <v>57.0</v>
      </c>
      <c r="B39" s="7"/>
      <c r="C39" s="8">
        <f t="shared" si="1"/>
        <v>0</v>
      </c>
      <c r="D39" s="7"/>
      <c r="E39" s="7"/>
      <c r="F39" s="9"/>
      <c r="G39" s="9"/>
      <c r="H39" s="9"/>
      <c r="I39" s="9"/>
      <c r="J39" s="26"/>
      <c r="K39" s="7"/>
      <c r="L39" s="23"/>
      <c r="M39" s="13"/>
      <c r="N39" s="1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27">
        <v>58.0</v>
      </c>
      <c r="B40" s="7"/>
      <c r="C40" s="8">
        <f t="shared" si="1"/>
        <v>0</v>
      </c>
      <c r="D40" s="7"/>
      <c r="E40" s="7"/>
      <c r="F40" s="9"/>
      <c r="G40" s="9"/>
      <c r="H40" s="9"/>
      <c r="I40" s="9"/>
      <c r="J40" s="26"/>
      <c r="K40" s="7"/>
      <c r="L40" s="23"/>
      <c r="M40" s="13"/>
      <c r="N40" s="14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27"/>
      <c r="B41" s="7" t="s">
        <v>73</v>
      </c>
      <c r="C41" s="8">
        <f t="shared" si="1"/>
        <v>8</v>
      </c>
      <c r="D41" s="7"/>
      <c r="E41" s="7">
        <v>8.0</v>
      </c>
      <c r="F41" s="9"/>
      <c r="G41" s="9"/>
      <c r="H41" s="9"/>
      <c r="I41" s="9"/>
      <c r="J41" s="26"/>
      <c r="K41" s="7" t="s">
        <v>43</v>
      </c>
      <c r="L41" s="23"/>
      <c r="M41" s="13"/>
      <c r="N41" s="14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51">
        <f t="shared" ref="C42:I42" si="2">SUM(C2:C41)</f>
        <v>3181</v>
      </c>
      <c r="D42" s="13">
        <f t="shared" si="2"/>
        <v>2596</v>
      </c>
      <c r="E42" s="13">
        <f t="shared" si="2"/>
        <v>250</v>
      </c>
      <c r="F42" s="13">
        <f t="shared" si="2"/>
        <v>111</v>
      </c>
      <c r="G42" s="13">
        <f t="shared" si="2"/>
        <v>0</v>
      </c>
      <c r="H42" s="13">
        <f t="shared" si="2"/>
        <v>216</v>
      </c>
      <c r="I42" s="13">
        <f t="shared" si="2"/>
        <v>8</v>
      </c>
      <c r="J42" s="13"/>
      <c r="K42" s="13"/>
      <c r="L42" s="52"/>
      <c r="M42" s="13"/>
      <c r="N42" s="14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52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52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52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52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52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52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52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52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52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52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52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52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52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52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52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52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52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52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52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52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52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52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52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52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52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52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52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52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52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52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52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52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52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52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52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52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52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52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52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52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52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52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52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52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52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52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52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52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52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52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2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52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52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52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52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52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52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52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52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52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2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52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52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52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52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52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52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52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52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52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52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52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52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52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52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52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52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52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52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52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52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52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52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52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52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52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52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52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52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52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52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52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52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52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52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52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52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52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52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52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52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52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52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52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52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52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52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52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52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52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52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52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52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52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52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52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52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52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52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52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52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52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52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52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52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52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52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52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52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52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52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52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52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52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52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52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52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52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52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52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52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52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52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52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52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52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52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52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52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52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52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52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52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52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52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52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52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52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52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52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52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52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52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52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52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52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52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52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52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52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52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52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52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52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52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52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52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52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52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52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52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52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52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52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52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52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52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52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52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52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52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52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52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52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52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52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52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52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52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52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52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52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52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52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52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52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52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52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52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52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52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52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52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52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52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52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52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52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52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52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52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52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52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52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52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52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52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52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52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52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52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52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52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52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52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52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52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52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52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52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52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52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52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52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52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52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52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5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52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52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52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52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52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52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52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52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52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52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52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52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52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52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52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52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52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52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52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52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52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52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52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52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52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52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52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52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52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52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52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52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52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52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52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52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52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52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52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52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52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52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52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52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52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52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52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52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52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52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52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52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52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52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52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52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52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52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52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52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52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52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52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52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52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52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52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52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52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52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52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52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52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52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52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52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52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52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52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52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52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52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52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52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52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52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52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52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52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52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52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52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52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52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52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52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52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52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52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52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52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52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52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52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52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52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52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52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52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52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52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52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52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52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52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52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52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52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52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52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52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52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52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52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52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52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52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52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52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52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52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52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52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52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52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52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52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52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52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52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52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52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52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52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52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52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52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52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52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52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52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52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52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52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52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52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52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52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52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5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52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52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52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52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52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52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52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52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52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52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52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52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52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52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52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52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52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52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52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52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52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52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52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52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52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52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52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52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52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52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52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52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52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52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52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52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52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52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52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52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52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52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52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52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52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52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52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52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52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52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52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52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52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52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52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52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52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52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52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52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52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52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52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52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52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52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52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52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52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52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52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52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52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52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52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52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52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52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52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52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52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52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52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52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52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52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52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52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52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52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52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52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52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52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52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52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52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52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52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52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52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52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52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52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52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52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52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52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52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52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52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52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52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52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52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52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52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52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52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52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52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52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52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52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52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52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52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52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52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52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52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52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52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52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52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52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52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52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52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52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52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52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52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52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52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52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52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52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52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52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52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52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52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52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52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52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52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52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52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52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52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52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52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52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52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52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52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52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52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52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52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52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52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52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52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52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52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52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52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52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52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52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52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52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52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52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52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52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52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52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52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52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52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52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52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52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52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52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52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52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52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52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52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52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52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52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52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52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52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52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52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52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52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52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52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52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52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52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52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52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52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52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52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52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52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52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52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52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52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52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52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52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52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52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52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52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52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52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52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52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52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52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52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52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52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52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52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52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52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52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52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52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52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52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52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52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52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52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52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52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52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52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52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52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52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52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52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52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52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52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52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52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52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52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52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52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52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52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52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52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52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52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52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52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52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52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52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52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52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52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52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52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52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52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52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52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52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52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52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52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52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52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52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52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52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52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52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52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52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52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52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52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52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52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52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52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52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52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52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52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52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52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52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52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52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52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52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52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52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52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52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52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52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52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52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52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52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52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52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52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52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52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52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52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52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52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52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52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52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52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52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52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52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52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52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52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52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52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52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52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52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52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52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52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52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5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52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52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52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52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52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52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52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52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52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52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52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52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52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52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52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52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52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52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52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52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52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52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52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52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52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52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52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52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52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52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52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52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52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52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52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52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52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52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52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52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52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52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52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52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52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52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52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52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52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52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52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52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52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52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52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52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52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52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52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52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52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52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52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52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52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52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52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52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52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52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52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52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52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52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52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52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52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52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52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52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52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52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52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52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52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52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52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52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52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52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52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52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52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52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52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52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52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52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52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52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52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52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52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52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52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52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52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52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52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52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52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52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52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52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52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52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52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52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52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52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52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52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52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52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52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52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52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52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52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52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52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52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52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52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52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52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52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52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52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52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52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52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52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52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52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52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52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52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52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52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52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52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52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52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52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52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52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52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52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52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52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52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52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52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52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52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52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52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52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53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53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53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53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53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53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53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53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53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53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53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53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53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53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53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53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53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53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53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53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53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53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53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53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53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</row>
  </sheetData>
  <printOptions gridLines="1" horizontalCentered="1"/>
  <pageMargins bottom="0.75" footer="0.0" header="0.0" left="0.7" right="0.7" top="0.75"/>
  <pageSetup paperSize="9" scale="71" cellComments="atEnd" orientation="landscape" pageOrder="overThenDown"/>
  <drawing r:id="rId1"/>
</worksheet>
</file>