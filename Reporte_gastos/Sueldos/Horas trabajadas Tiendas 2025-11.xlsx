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Reporte_gastos\Sueldos\"/>
    </mc:Choice>
  </mc:AlternateContent>
  <bookViews>
    <workbookView xWindow="0" yWindow="0" windowWidth="23040" windowHeight="9192"/>
  </bookViews>
  <sheets>
    <sheet name="LC" sheetId="1" r:id="rId1"/>
  </sheets>
  <definedNames>
    <definedName name="_xlnm._FilterDatabase" localSheetId="0" hidden="1">LC!$A$1:$AA$38</definedName>
  </definedNames>
  <calcPr calcId="162913"/>
</workbook>
</file>

<file path=xl/calcChain.xml><?xml version="1.0" encoding="utf-8"?>
<calcChain xmlns="http://schemas.openxmlformats.org/spreadsheetml/2006/main">
  <c r="C38" i="1" l="1"/>
  <c r="C36" i="1"/>
  <c r="C14" i="1"/>
  <c r="C25" i="1"/>
  <c r="C17" i="1"/>
  <c r="C10" i="1"/>
  <c r="C23" i="1"/>
  <c r="C18" i="1"/>
  <c r="C12" i="1"/>
  <c r="C9" i="1"/>
  <c r="C29" i="1"/>
  <c r="C33" i="1"/>
  <c r="C32" i="1"/>
  <c r="C31" i="1"/>
  <c r="C6" i="1"/>
  <c r="C5" i="1"/>
  <c r="C4" i="1"/>
  <c r="C3" i="1"/>
  <c r="C22" i="1"/>
  <c r="C15" i="1"/>
  <c r="C21" i="1"/>
  <c r="C20" i="1"/>
  <c r="C19" i="1"/>
  <c r="C34" i="1"/>
  <c r="C30" i="1"/>
  <c r="C28" i="1"/>
  <c r="C27" i="1"/>
  <c r="C26" i="1"/>
  <c r="C16" i="1"/>
  <c r="C11" i="1"/>
  <c r="C24" i="1"/>
  <c r="C13" i="1"/>
  <c r="C8" i="1"/>
  <c r="C7" i="1"/>
  <c r="C35" i="1"/>
</calcChain>
</file>

<file path=xl/sharedStrings.xml><?xml version="1.0" encoding="utf-8"?>
<sst xmlns="http://schemas.openxmlformats.org/spreadsheetml/2006/main" count="104" uniqueCount="80">
  <si>
    <t>Legajo</t>
  </si>
  <si>
    <t>Empleado</t>
  </si>
  <si>
    <t>Hs totales</t>
  </si>
  <si>
    <t>Hs trabajadas</t>
  </si>
  <si>
    <t>Hs feriado</t>
  </si>
  <si>
    <t>Días de vacaciones</t>
  </si>
  <si>
    <t>Hs nocturnas</t>
  </si>
  <si>
    <t>Licencias pagas</t>
  </si>
  <si>
    <t>Días injustificados</t>
  </si>
  <si>
    <t>Tienda asignada este mes</t>
  </si>
  <si>
    <t>Observaciones (ej. hs en cada tienda, feriodo trabajado si/no)</t>
  </si>
  <si>
    <t>Fin de período de prueba</t>
  </si>
  <si>
    <t>Bogarin Gomez Noelia</t>
  </si>
  <si>
    <t>AS Güemes</t>
  </si>
  <si>
    <t>ingreso 13/11. 1 feriado no trabajado</t>
  </si>
  <si>
    <t>Cabovianco Natalia</t>
  </si>
  <si>
    <t>AS San Telmo</t>
  </si>
  <si>
    <t>Carrizo Camila</t>
  </si>
  <si>
    <t>2 días de estudio</t>
  </si>
  <si>
    <t>Molina Agustina</t>
  </si>
  <si>
    <t xml:space="preserve">1 día licencia por enfermedad </t>
  </si>
  <si>
    <t>Dana Ramirez</t>
  </si>
  <si>
    <t>De Brito Rocio</t>
  </si>
  <si>
    <t>El Solar</t>
  </si>
  <si>
    <t>84 hs en El Solar. 29 hs en Güemes2. 1 feriado no trabajado</t>
  </si>
  <si>
    <t>Gimenez Candela</t>
  </si>
  <si>
    <t>Schiavone Fiona Ludmila</t>
  </si>
  <si>
    <t>Perazzo Juana</t>
  </si>
  <si>
    <t xml:space="preserve">Desvinculada </t>
  </si>
  <si>
    <t>Delgado Maria Paz</t>
  </si>
  <si>
    <t>Martinez Franzi Lourdes</t>
  </si>
  <si>
    <t>87 hs en El Solar. 27 hs en Güemes2. 1 feriado no trabajado</t>
  </si>
  <si>
    <t>Cardoso Trinidad</t>
  </si>
  <si>
    <t>ingreso 13/11. 35hs en el Solar. 28 hs en Güemes2. 1 feriado no trabajado</t>
  </si>
  <si>
    <t>Bertolo Milagros</t>
  </si>
  <si>
    <t>French</t>
  </si>
  <si>
    <t xml:space="preserve">Machuca Araceli </t>
  </si>
  <si>
    <t>Se ajustan 10 horas que se liquidaron de más en octubre, las reales trabajadas en noviembre fueron 105. De las horas normales 71 hs en French, 12 en Lucero 2)</t>
  </si>
  <si>
    <t>Scholler Chavez Ruth</t>
  </si>
  <si>
    <t>de las horas normales 79 hs son en French y 24 en Lucero 2</t>
  </si>
  <si>
    <t>CORONEL Mailen</t>
  </si>
  <si>
    <t>Güemes</t>
  </si>
  <si>
    <t>87 hs en guemes y 23 hs en florida ( inclusive feriado)</t>
  </si>
  <si>
    <t>Anabella Baragatti</t>
  </si>
  <si>
    <t>87 hs en Güemes, 19 hs en Florida. 1 Feriado no trabajado</t>
  </si>
  <si>
    <t>Viña Sofia</t>
  </si>
  <si>
    <t>LU Florida</t>
  </si>
  <si>
    <r>
      <rPr>
        <b/>
        <sz val="11"/>
        <color theme="1"/>
        <rFont val="Arial"/>
      </rPr>
      <t>47</t>
    </r>
    <r>
      <rPr>
        <sz val="11"/>
        <color theme="1"/>
        <rFont val="Arial"/>
      </rPr>
      <t xml:space="preserve"> horas en florida (inclusive feriado) </t>
    </r>
    <r>
      <rPr>
        <b/>
        <sz val="11"/>
        <color theme="1"/>
        <rFont val="Arial"/>
      </rPr>
      <t xml:space="preserve">11 </t>
    </r>
    <r>
      <rPr>
        <sz val="11"/>
        <color theme="1"/>
        <rFont val="Arial"/>
      </rPr>
      <t xml:space="preserve">hs en recoleta y </t>
    </r>
    <r>
      <rPr>
        <b/>
        <sz val="11"/>
        <color theme="1"/>
        <rFont val="Arial"/>
      </rPr>
      <t>65</t>
    </r>
    <r>
      <rPr>
        <sz val="11"/>
        <color theme="1"/>
        <rFont val="Arial"/>
      </rPr>
      <t xml:space="preserve"> hs en As Guemes</t>
    </r>
  </si>
  <si>
    <t xml:space="preserve">Urbieta Barbara Giselle </t>
  </si>
  <si>
    <t>1 feriado no trabajado</t>
  </si>
  <si>
    <t>Ruiz de la Torre Maitena</t>
  </si>
  <si>
    <t>2 dias de licencia por examen</t>
  </si>
  <si>
    <t>Imperiale Candela</t>
  </si>
  <si>
    <t>Balmaceda Luciana</t>
  </si>
  <si>
    <t>Finaliza licencia x embarazo el 25-11. Continua licencia sin goce</t>
  </si>
  <si>
    <t>Ochoa Duran Thalia</t>
  </si>
  <si>
    <t>1 Feriado no trabajado</t>
  </si>
  <si>
    <t>Pavez Anahi</t>
  </si>
  <si>
    <t xml:space="preserve">ingreso 03/11. </t>
  </si>
  <si>
    <t>Ristagno Giovanna</t>
  </si>
  <si>
    <t>ingreso 03/11. 53 hs en Florida, 23 hs en Güemes2. 5 dias de licencia por enfermedad. 1 feriado no trabajado</t>
  </si>
  <si>
    <t>Giordano Carolina Inez</t>
  </si>
  <si>
    <t>Lucero ST 2</t>
  </si>
  <si>
    <t>Esposito Candela</t>
  </si>
  <si>
    <t>Lucero ST1</t>
  </si>
  <si>
    <t xml:space="preserve">2 días de estudio 1dia licencia por enfermedad </t>
  </si>
  <si>
    <t>Lara Robbio</t>
  </si>
  <si>
    <t>las horas de feriado reales son 4, pero hay que ajustar 3hs que se pagaron de más en noviembre</t>
  </si>
  <si>
    <t>Mohamad Daila</t>
  </si>
  <si>
    <t xml:space="preserve">2 días licencia por enfermedad </t>
  </si>
  <si>
    <t>Gisela Bonino</t>
  </si>
  <si>
    <t xml:space="preserve">Ausente el 21/11 sin certificado </t>
  </si>
  <si>
    <t>Barajas Barbara</t>
  </si>
  <si>
    <t>Recoleta</t>
  </si>
  <si>
    <t>Oliva Micaela</t>
  </si>
  <si>
    <t>113 hs en Recoleta( inc. feriado) y 14 hs en Florida</t>
  </si>
  <si>
    <t>Diaz Dulcinea</t>
  </si>
  <si>
    <t>118 hs en Recoleta ( inc Feriado) 11 hs en florida</t>
  </si>
  <si>
    <t>Kiara Corbalan</t>
  </si>
  <si>
    <t>Eredia Cintia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</si>
</sst>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1" x14ac:knownFonts="1">
    <font>
      <sz val="11"/>
      <color theme="1"/>
      <name val="Calibri"/>
      <scheme val="minor"/>
    </font>
    <font>
      <sz val="11"/>
      <color rgb="FFFFFFFF"/>
      <name val="Calibri"/>
    </font>
    <font>
      <b/>
      <sz val="11"/>
      <color rgb="FFFFFFFF"/>
      <name val="Calibri"/>
    </font>
    <font>
      <sz val="11"/>
      <color theme="1"/>
      <name val="Arial"/>
    </font>
    <font>
      <b/>
      <sz val="11"/>
      <color theme="1"/>
      <name val="Calibri"/>
    </font>
    <font>
      <sz val="11"/>
      <color theme="1"/>
      <name val="Calibri"/>
    </font>
    <font>
      <b/>
      <sz val="9"/>
      <color theme="1"/>
      <name val="Arial"/>
    </font>
    <font>
      <sz val="11"/>
      <color rgb="FF000000"/>
      <name val="Calibri"/>
      <scheme val="minor"/>
    </font>
    <font>
      <sz val="11"/>
      <color rgb="FF000000"/>
      <name val="Calibri"/>
    </font>
    <font>
      <sz val="11"/>
      <color rgb="FFFF0000"/>
      <name val="Arial"/>
    </font>
    <font>
      <b/>
      <sz val="11"/>
      <color theme="1"/>
      <name val="Arial"/>
    </font>
  </fonts>
  <fills count="10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9">
    <xf numFmtId="0" fontId="0" fillId="0" borderId="0" xfId="0" applyFont="1" applyAlignme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 applyAlignment="1"/>
    <xf numFmtId="0" fontId="4" fillId="3" borderId="1" xfId="0" applyFont="1" applyFill="1" applyBorder="1" applyAlignment="1">
      <alignment horizontal="center"/>
    </xf>
    <xf numFmtId="49" fontId="5" fillId="0" borderId="1" xfId="0" applyNumberFormat="1" applyFont="1" applyBorder="1" applyAlignment="1"/>
    <xf numFmtId="2" fontId="4" fillId="4" borderId="1" xfId="0" applyNumberFormat="1" applyFont="1" applyFill="1" applyBorder="1" applyAlignment="1">
      <alignment horizontal="right"/>
    </xf>
    <xf numFmtId="0" fontId="3" fillId="0" borderId="1" xfId="0" applyFont="1" applyBorder="1" applyAlignment="1"/>
    <xf numFmtId="0" fontId="3" fillId="0" borderId="1" xfId="0" applyFont="1" applyBorder="1" applyAlignment="1"/>
    <xf numFmtId="49" fontId="5" fillId="0" borderId="1" xfId="0" applyNumberFormat="1" applyFont="1" applyBorder="1" applyAlignment="1">
      <alignment horizontal="center"/>
    </xf>
    <xf numFmtId="14" fontId="3" fillId="0" borderId="1" xfId="0" applyNumberFormat="1" applyFont="1" applyBorder="1" applyAlignment="1"/>
    <xf numFmtId="0" fontId="3" fillId="0" borderId="0" xfId="0" applyFont="1" applyAlignment="1"/>
    <xf numFmtId="14" fontId="3" fillId="0" borderId="0" xfId="0" applyNumberFormat="1" applyFont="1" applyAlignment="1"/>
    <xf numFmtId="49" fontId="5" fillId="6" borderId="1" xfId="0" applyNumberFormat="1" applyFont="1" applyFill="1" applyBorder="1" applyAlignment="1"/>
    <xf numFmtId="0" fontId="5" fillId="0" borderId="1" xfId="0" applyFont="1" applyBorder="1" applyAlignment="1"/>
    <xf numFmtId="0" fontId="5" fillId="0" borderId="1" xfId="0" applyFont="1" applyBorder="1" applyAlignment="1"/>
    <xf numFmtId="0" fontId="6" fillId="7" borderId="1" xfId="0" applyFont="1" applyFill="1" applyBorder="1" applyAlignment="1">
      <alignment horizontal="center"/>
    </xf>
    <xf numFmtId="4" fontId="5" fillId="0" borderId="1" xfId="0" applyNumberFormat="1" applyFont="1" applyBorder="1" applyAlignment="1">
      <alignment horizontal="right"/>
    </xf>
    <xf numFmtId="0" fontId="5" fillId="0" borderId="1" xfId="0" applyFont="1" applyBorder="1" applyAlignment="1"/>
    <xf numFmtId="0" fontId="6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/>
    <xf numFmtId="164" fontId="3" fillId="0" borderId="1" xfId="0" applyNumberFormat="1" applyFont="1" applyBorder="1" applyAlignment="1"/>
    <xf numFmtId="164" fontId="3" fillId="0" borderId="0" xfId="0" applyNumberFormat="1" applyFont="1" applyAlignment="1"/>
    <xf numFmtId="4" fontId="5" fillId="0" borderId="1" xfId="0" applyNumberFormat="1" applyFont="1" applyBorder="1" applyAlignment="1">
      <alignment horizontal="right"/>
    </xf>
    <xf numFmtId="2" fontId="5" fillId="0" borderId="1" xfId="0" applyNumberFormat="1" applyFont="1" applyBorder="1" applyAlignment="1"/>
    <xf numFmtId="0" fontId="5" fillId="0" borderId="1" xfId="0" applyFont="1" applyBorder="1"/>
    <xf numFmtId="0" fontId="8" fillId="0" borderId="1" xfId="0" applyFont="1" applyBorder="1" applyAlignment="1"/>
    <xf numFmtId="0" fontId="8" fillId="0" borderId="1" xfId="0" applyFont="1" applyBorder="1"/>
    <xf numFmtId="0" fontId="8" fillId="0" borderId="1" xfId="0" applyFont="1" applyBorder="1" applyAlignment="1">
      <alignment horizontal="center" wrapText="1"/>
    </xf>
    <xf numFmtId="2" fontId="5" fillId="0" borderId="1" xfId="0" applyNumberFormat="1" applyFont="1" applyBorder="1"/>
    <xf numFmtId="2" fontId="5" fillId="0" borderId="1" xfId="0" applyNumberFormat="1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2" fontId="4" fillId="4" borderId="1" xfId="0" applyNumberFormat="1" applyFont="1" applyFill="1" applyBorder="1" applyAlignment="1">
      <alignment horizontal="right"/>
    </xf>
    <xf numFmtId="0" fontId="5" fillId="0" borderId="1" xfId="0" applyFont="1" applyBorder="1" applyAlignment="1">
      <alignment horizontal="center" wrapText="1"/>
    </xf>
    <xf numFmtId="164" fontId="3" fillId="3" borderId="1" xfId="0" applyNumberFormat="1" applyFont="1" applyFill="1" applyBorder="1" applyAlignment="1"/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 applyAlignment="1"/>
    <xf numFmtId="14" fontId="3" fillId="0" borderId="1" xfId="0" applyNumberFormat="1" applyFont="1" applyBorder="1" applyAlignment="1"/>
    <xf numFmtId="14" fontId="3" fillId="0" borderId="0" xfId="0" applyNumberFormat="1" applyFont="1" applyAlignment="1"/>
    <xf numFmtId="0" fontId="4" fillId="7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/>
    <xf numFmtId="0" fontId="9" fillId="0" borderId="1" xfId="0" applyFont="1" applyBorder="1" applyAlignment="1"/>
    <xf numFmtId="0" fontId="5" fillId="0" borderId="1" xfId="0" applyFont="1" applyBorder="1" applyAlignment="1">
      <alignment wrapText="1"/>
    </xf>
    <xf numFmtId="0" fontId="5" fillId="0" borderId="4" xfId="0" applyFont="1" applyBorder="1" applyAlignment="1"/>
    <xf numFmtId="49" fontId="8" fillId="0" borderId="1" xfId="0" applyNumberFormat="1" applyFont="1" applyBorder="1" applyAlignment="1"/>
    <xf numFmtId="0" fontId="7" fillId="0" borderId="0" xfId="0" applyFont="1" applyAlignment="1"/>
    <xf numFmtId="49" fontId="5" fillId="3" borderId="1" xfId="0" applyNumberFormat="1" applyFont="1" applyFill="1" applyBorder="1" applyAlignment="1"/>
    <xf numFmtId="4" fontId="5" fillId="9" borderId="1" xfId="0" applyNumberFormat="1" applyFont="1" applyFill="1" applyBorder="1" applyAlignment="1">
      <alignment horizontal="right"/>
    </xf>
    <xf numFmtId="49" fontId="5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2" fontId="5" fillId="0" borderId="4" xfId="0" applyNumberFormat="1" applyFont="1" applyBorder="1" applyAlignment="1"/>
    <xf numFmtId="0" fontId="5" fillId="0" borderId="4" xfId="0" applyFont="1" applyBorder="1"/>
    <xf numFmtId="0" fontId="5" fillId="0" borderId="4" xfId="0" applyFont="1" applyBorder="1" applyAlignment="1">
      <alignment horizontal="center" wrapText="1"/>
    </xf>
    <xf numFmtId="49" fontId="5" fillId="8" borderId="1" xfId="0" applyNumberFormat="1" applyFont="1" applyFill="1" applyBorder="1" applyAlignment="1">
      <alignment horizontal="center"/>
    </xf>
    <xf numFmtId="0" fontId="6" fillId="5" borderId="0" xfId="0" applyFont="1" applyFill="1" applyBorder="1" applyAlignment="1">
      <alignment horizontal="center"/>
    </xf>
    <xf numFmtId="0" fontId="5" fillId="8" borderId="4" xfId="0" applyFont="1" applyFill="1" applyBorder="1" applyAlignment="1"/>
    <xf numFmtId="0" fontId="7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D5A6BD"/>
    <outlinePr summaryBelow="0" summaryRight="0"/>
    <pageSetUpPr fitToPage="1"/>
  </sheetPr>
  <dimension ref="A1:AA982"/>
  <sheetViews>
    <sheetView tabSelected="1" zoomScale="120" zoomScaleNormal="120" workbookViewId="0">
      <pane xSplit="2" topLeftCell="I1" activePane="topRight" state="frozen"/>
      <selection pane="topRight" activeCell="J17" sqref="J17"/>
    </sheetView>
  </sheetViews>
  <sheetFormatPr baseColWidth="10" defaultColWidth="14.44140625" defaultRowHeight="15" customHeight="1" x14ac:dyDescent="0.3"/>
  <cols>
    <col min="2" max="2" width="21.6640625" customWidth="1"/>
    <col min="3" max="3" width="11" customWidth="1"/>
    <col min="5" max="5" width="10.109375" customWidth="1"/>
    <col min="6" max="7" width="14.44140625" hidden="1"/>
    <col min="10" max="10" width="17.109375" customWidth="1"/>
    <col min="11" max="11" width="92.109375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x14ac:dyDescent="0.3">
      <c r="A2" s="5">
        <v>1</v>
      </c>
      <c r="B2" s="19" t="s">
        <v>45</v>
      </c>
      <c r="C2" s="7">
        <v>123</v>
      </c>
      <c r="D2" s="8">
        <v>119</v>
      </c>
      <c r="E2" s="8">
        <v>4</v>
      </c>
      <c r="F2" s="9"/>
      <c r="G2" s="9"/>
      <c r="H2" s="9"/>
      <c r="I2" s="9"/>
      <c r="J2" s="35" t="s">
        <v>46</v>
      </c>
      <c r="K2" s="8" t="s">
        <v>47</v>
      </c>
      <c r="L2" s="36"/>
      <c r="M2" s="4"/>
      <c r="N2" s="12"/>
      <c r="O2" s="13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idden="1" x14ac:dyDescent="0.3">
      <c r="A3" s="37">
        <v>2</v>
      </c>
      <c r="B3" s="38" t="s">
        <v>48</v>
      </c>
      <c r="C3" s="7">
        <f>D3+E3+H3+G3</f>
        <v>0</v>
      </c>
      <c r="D3" s="9"/>
      <c r="E3" s="9"/>
      <c r="F3" s="9"/>
      <c r="G3" s="9"/>
      <c r="H3" s="9"/>
      <c r="I3" s="9"/>
      <c r="J3" s="35" t="s">
        <v>46</v>
      </c>
      <c r="K3" s="9" t="s">
        <v>49</v>
      </c>
      <c r="L3" s="39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x14ac:dyDescent="0.3">
      <c r="A4" s="33">
        <v>3</v>
      </c>
      <c r="B4" s="19" t="s">
        <v>50</v>
      </c>
      <c r="C4" s="7">
        <f>D4+E4+H4+G4</f>
        <v>123</v>
      </c>
      <c r="D4" s="9">
        <v>111</v>
      </c>
      <c r="E4" s="9">
        <v>4</v>
      </c>
      <c r="F4" s="9"/>
      <c r="G4" s="9"/>
      <c r="H4" s="9">
        <v>8</v>
      </c>
      <c r="I4" s="9"/>
      <c r="J4" s="35" t="s">
        <v>46</v>
      </c>
      <c r="K4" s="9" t="s">
        <v>51</v>
      </c>
      <c r="L4" s="39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x14ac:dyDescent="0.3">
      <c r="A5" s="41">
        <v>4</v>
      </c>
      <c r="B5" s="19" t="s">
        <v>52</v>
      </c>
      <c r="C5" s="7">
        <f>D5+E5+H5+G5</f>
        <v>132</v>
      </c>
      <c r="D5" s="9">
        <v>126</v>
      </c>
      <c r="E5" s="9">
        <v>6</v>
      </c>
      <c r="F5" s="9"/>
      <c r="G5" s="9"/>
      <c r="H5" s="9"/>
      <c r="I5" s="9"/>
      <c r="J5" s="35" t="s">
        <v>46</v>
      </c>
      <c r="K5" s="9"/>
      <c r="L5" s="42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idden="1" x14ac:dyDescent="0.3">
      <c r="A6" s="33">
        <v>5</v>
      </c>
      <c r="B6" s="19" t="s">
        <v>53</v>
      </c>
      <c r="C6" s="7">
        <f>D6+E6+H6+G6</f>
        <v>0</v>
      </c>
      <c r="D6" s="9"/>
      <c r="E6" s="9"/>
      <c r="F6" s="9"/>
      <c r="G6" s="9"/>
      <c r="H6" s="43"/>
      <c r="I6" s="9"/>
      <c r="J6" s="35" t="s">
        <v>46</v>
      </c>
      <c r="K6" s="44" t="s">
        <v>54</v>
      </c>
      <c r="L6" s="36"/>
      <c r="M6" s="4"/>
      <c r="N6" s="12"/>
      <c r="O6" s="2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idden="1" x14ac:dyDescent="0.3">
      <c r="A7" s="56">
        <v>9</v>
      </c>
      <c r="B7" s="14" t="s">
        <v>15</v>
      </c>
      <c r="C7" s="7">
        <f>D7+E7+H7+G7</f>
        <v>8</v>
      </c>
      <c r="D7" s="6"/>
      <c r="E7" s="19">
        <v>8</v>
      </c>
      <c r="F7" s="19"/>
      <c r="G7" s="19"/>
      <c r="H7" s="19"/>
      <c r="I7" s="19"/>
      <c r="J7" s="50" t="s">
        <v>16</v>
      </c>
      <c r="K7" s="19"/>
      <c r="L7" s="9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x14ac:dyDescent="0.3">
      <c r="A8" s="17">
        <v>10</v>
      </c>
      <c r="B8" s="6" t="s">
        <v>17</v>
      </c>
      <c r="C8" s="7">
        <f>D8+E8+H8+G8</f>
        <v>120</v>
      </c>
      <c r="D8" s="18">
        <v>108</v>
      </c>
      <c r="E8" s="15">
        <v>4</v>
      </c>
      <c r="F8" s="16"/>
      <c r="G8" s="16"/>
      <c r="H8" s="16">
        <v>8</v>
      </c>
      <c r="I8" s="16"/>
      <c r="J8" s="10" t="s">
        <v>16</v>
      </c>
      <c r="K8" s="19" t="s">
        <v>18</v>
      </c>
      <c r="L8" s="9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x14ac:dyDescent="0.3">
      <c r="A9" s="17">
        <v>11</v>
      </c>
      <c r="B9" s="6" t="s">
        <v>63</v>
      </c>
      <c r="C9" s="7">
        <f>D9+E9+H9+G9</f>
        <v>123</v>
      </c>
      <c r="D9" s="25">
        <v>107</v>
      </c>
      <c r="E9" s="19">
        <v>4</v>
      </c>
      <c r="F9" s="19"/>
      <c r="G9" s="19"/>
      <c r="H9" s="19">
        <v>12</v>
      </c>
      <c r="I9" s="19"/>
      <c r="J9" s="50" t="s">
        <v>64</v>
      </c>
      <c r="K9" s="19" t="s">
        <v>65</v>
      </c>
      <c r="L9" s="9"/>
      <c r="M9" s="4"/>
      <c r="N9" s="12"/>
      <c r="O9" s="13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x14ac:dyDescent="0.3">
      <c r="A10" s="17">
        <v>12</v>
      </c>
      <c r="B10" s="6" t="s">
        <v>72</v>
      </c>
      <c r="C10" s="7">
        <f>D10+E10+H10+G10</f>
        <v>127</v>
      </c>
      <c r="D10" s="25">
        <v>123</v>
      </c>
      <c r="E10" s="19">
        <v>4</v>
      </c>
      <c r="F10" s="19"/>
      <c r="G10" s="19"/>
      <c r="H10" s="19"/>
      <c r="I10" s="19"/>
      <c r="J10" s="50" t="s">
        <v>73</v>
      </c>
      <c r="K10" s="19"/>
      <c r="L10" s="9"/>
      <c r="M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x14ac:dyDescent="0.3">
      <c r="A11" s="20">
        <v>13</v>
      </c>
      <c r="B11" s="6" t="s">
        <v>22</v>
      </c>
      <c r="C11" s="7">
        <f>D11+E11+H11+G11</f>
        <v>113</v>
      </c>
      <c r="D11" s="25">
        <v>113</v>
      </c>
      <c r="E11" s="19"/>
      <c r="F11" s="19"/>
      <c r="G11" s="19"/>
      <c r="H11" s="19"/>
      <c r="I11" s="19"/>
      <c r="J11" s="50" t="s">
        <v>23</v>
      </c>
      <c r="K11" s="19" t="s">
        <v>24</v>
      </c>
      <c r="L11" s="9"/>
      <c r="M11" s="4"/>
      <c r="N11" s="12"/>
      <c r="O11" s="13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x14ac:dyDescent="0.3">
      <c r="A12" s="20">
        <v>14</v>
      </c>
      <c r="B12" s="46" t="s">
        <v>66</v>
      </c>
      <c r="C12" s="7">
        <f>D12+E12+H12+G12</f>
        <v>116</v>
      </c>
      <c r="D12" s="25">
        <v>107</v>
      </c>
      <c r="E12" s="15">
        <v>1</v>
      </c>
      <c r="F12" s="15"/>
      <c r="G12" s="19"/>
      <c r="H12" s="15">
        <v>8</v>
      </c>
      <c r="I12" s="19"/>
      <c r="J12" s="50" t="s">
        <v>64</v>
      </c>
      <c r="K12" s="47" t="s">
        <v>67</v>
      </c>
      <c r="L12" s="9"/>
      <c r="M12" s="4"/>
      <c r="N12" s="12"/>
      <c r="O12" s="13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x14ac:dyDescent="0.3">
      <c r="A13" s="20">
        <v>15</v>
      </c>
      <c r="B13" s="6" t="s">
        <v>19</v>
      </c>
      <c r="C13" s="7">
        <f>D13+E13+H13+G13</f>
        <v>119</v>
      </c>
      <c r="D13" s="25">
        <v>111</v>
      </c>
      <c r="E13" s="19">
        <v>4</v>
      </c>
      <c r="F13" s="19"/>
      <c r="G13" s="19"/>
      <c r="H13" s="19">
        <v>4</v>
      </c>
      <c r="I13" s="19"/>
      <c r="J13" s="10" t="s">
        <v>16</v>
      </c>
      <c r="K13" s="19" t="s">
        <v>20</v>
      </c>
      <c r="L13" s="9"/>
      <c r="M13" s="4"/>
      <c r="N13" s="12"/>
      <c r="O13" s="13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idden="1" x14ac:dyDescent="0.3">
      <c r="A14" s="20">
        <v>16</v>
      </c>
      <c r="B14" s="6" t="s">
        <v>78</v>
      </c>
      <c r="C14" s="7">
        <f>D14+E14+H14+G14</f>
        <v>0</v>
      </c>
      <c r="D14" s="49"/>
      <c r="E14" s="19"/>
      <c r="F14" s="19"/>
      <c r="G14" s="19"/>
      <c r="H14" s="19"/>
      <c r="I14" s="19"/>
      <c r="J14" s="50"/>
      <c r="K14" s="19"/>
      <c r="L14" s="9"/>
      <c r="M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x14ac:dyDescent="0.3">
      <c r="A15" s="20">
        <v>18</v>
      </c>
      <c r="B15" s="6" t="s">
        <v>40</v>
      </c>
      <c r="C15" s="7">
        <f>D15+E15+H15+G15</f>
        <v>110</v>
      </c>
      <c r="D15" s="25">
        <v>105</v>
      </c>
      <c r="E15" s="19">
        <v>5</v>
      </c>
      <c r="F15" s="19"/>
      <c r="G15" s="19"/>
      <c r="H15" s="19"/>
      <c r="I15" s="19"/>
      <c r="J15" s="50" t="s">
        <v>41</v>
      </c>
      <c r="K15" s="19" t="s">
        <v>42</v>
      </c>
      <c r="L15" s="9"/>
      <c r="M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x14ac:dyDescent="0.3">
      <c r="A16" s="20">
        <v>19</v>
      </c>
      <c r="B16" s="6" t="s">
        <v>25</v>
      </c>
      <c r="C16" s="7">
        <f>D16+E16+H16+G16</f>
        <v>126</v>
      </c>
      <c r="D16" s="25">
        <v>121</v>
      </c>
      <c r="E16" s="19">
        <v>5</v>
      </c>
      <c r="F16" s="19"/>
      <c r="G16" s="19"/>
      <c r="H16" s="19"/>
      <c r="I16" s="19"/>
      <c r="J16" s="50" t="s">
        <v>23</v>
      </c>
      <c r="K16" s="19"/>
      <c r="L16" s="9"/>
      <c r="M16" s="4"/>
      <c r="N16" s="12"/>
      <c r="O16" s="2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x14ac:dyDescent="0.3">
      <c r="A17" s="20">
        <v>20</v>
      </c>
      <c r="B17" s="48" t="s">
        <v>74</v>
      </c>
      <c r="C17" s="7">
        <f>D17+E17+H17+G17</f>
        <v>131</v>
      </c>
      <c r="D17" s="25">
        <v>127</v>
      </c>
      <c r="E17" s="15">
        <v>4</v>
      </c>
      <c r="F17" s="16"/>
      <c r="G17" s="19"/>
      <c r="H17" s="19"/>
      <c r="I17" s="19"/>
      <c r="J17" s="50" t="s">
        <v>73</v>
      </c>
      <c r="K17" s="19" t="s">
        <v>75</v>
      </c>
      <c r="L17" s="9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x14ac:dyDescent="0.3">
      <c r="A18" s="20">
        <v>21</v>
      </c>
      <c r="B18" s="6" t="s">
        <v>68</v>
      </c>
      <c r="C18" s="7">
        <f>D18+E18+H18+G18</f>
        <v>120</v>
      </c>
      <c r="D18" s="25">
        <v>108</v>
      </c>
      <c r="E18" s="19">
        <v>4</v>
      </c>
      <c r="F18" s="19"/>
      <c r="G18" s="19"/>
      <c r="H18" s="19">
        <v>8</v>
      </c>
      <c r="I18" s="19"/>
      <c r="J18" s="55" t="s">
        <v>64</v>
      </c>
      <c r="K18" s="19" t="s">
        <v>69</v>
      </c>
      <c r="L18" s="9"/>
      <c r="M18" s="4"/>
      <c r="N18" s="12"/>
      <c r="O18" s="2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x14ac:dyDescent="0.3">
      <c r="A19" s="41">
        <v>27</v>
      </c>
      <c r="B19" s="27" t="s">
        <v>34</v>
      </c>
      <c r="C19" s="34">
        <f>D19+E19+H19+G19</f>
        <v>105</v>
      </c>
      <c r="D19" s="19">
        <v>101</v>
      </c>
      <c r="E19" s="26">
        <v>4</v>
      </c>
      <c r="F19" s="19"/>
      <c r="G19" s="27"/>
      <c r="H19" s="19"/>
      <c r="I19" s="27"/>
      <c r="J19" s="35" t="s">
        <v>35</v>
      </c>
      <c r="K19" s="22"/>
      <c r="L19" s="9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x14ac:dyDescent="0.3">
      <c r="A20" s="33">
        <v>28</v>
      </c>
      <c r="B20" s="19" t="s">
        <v>36</v>
      </c>
      <c r="C20" s="7">
        <f>D20+E20+H20+G20</f>
        <v>107</v>
      </c>
      <c r="D20" s="19">
        <v>95</v>
      </c>
      <c r="E20" s="26">
        <v>4</v>
      </c>
      <c r="F20" s="28"/>
      <c r="G20" s="29"/>
      <c r="H20" s="28">
        <v>8</v>
      </c>
      <c r="I20" s="29"/>
      <c r="J20" s="30" t="s">
        <v>35</v>
      </c>
      <c r="K20" s="22" t="s">
        <v>37</v>
      </c>
      <c r="L20" s="9"/>
      <c r="M20" s="40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x14ac:dyDescent="0.3">
      <c r="A21" s="33">
        <v>29</v>
      </c>
      <c r="B21" s="19" t="s">
        <v>38</v>
      </c>
      <c r="C21" s="7">
        <f>D21+E21+H21+G21</f>
        <v>107</v>
      </c>
      <c r="D21" s="26">
        <v>103</v>
      </c>
      <c r="E21" s="26">
        <v>4</v>
      </c>
      <c r="F21" s="31"/>
      <c r="G21" s="31"/>
      <c r="H21" s="31"/>
      <c r="I21" s="31"/>
      <c r="J21" s="32" t="s">
        <v>35</v>
      </c>
      <c r="K21" s="22" t="s">
        <v>39</v>
      </c>
      <c r="L21" s="23">
        <v>45991</v>
      </c>
      <c r="M21" s="40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x14ac:dyDescent="0.3">
      <c r="A22" s="33">
        <v>30</v>
      </c>
      <c r="B22" s="9" t="s">
        <v>43</v>
      </c>
      <c r="C22" s="7">
        <f>D22+E22+H22+G22</f>
        <v>106</v>
      </c>
      <c r="D22" s="9">
        <v>106</v>
      </c>
      <c r="E22" s="9"/>
      <c r="F22" s="9"/>
      <c r="G22" s="9"/>
      <c r="H22" s="9"/>
      <c r="I22" s="9"/>
      <c r="J22" s="50" t="s">
        <v>41</v>
      </c>
      <c r="K22" s="22" t="s">
        <v>44</v>
      </c>
      <c r="L22" s="23">
        <v>45992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x14ac:dyDescent="0.3">
      <c r="A23" s="33">
        <v>31</v>
      </c>
      <c r="B23" s="9" t="s">
        <v>70</v>
      </c>
      <c r="C23" s="7">
        <f>D23+E23+H23+G23</f>
        <v>116</v>
      </c>
      <c r="D23" s="9">
        <v>111</v>
      </c>
      <c r="E23" s="9">
        <v>5</v>
      </c>
      <c r="F23" s="9"/>
      <c r="G23" s="9"/>
      <c r="H23" s="9"/>
      <c r="I23" s="9">
        <v>1</v>
      </c>
      <c r="J23" s="50" t="s">
        <v>62</v>
      </c>
      <c r="K23" s="22" t="s">
        <v>71</v>
      </c>
      <c r="L23" s="23">
        <v>46015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x14ac:dyDescent="0.3">
      <c r="A24" s="5">
        <v>32</v>
      </c>
      <c r="B24" s="9" t="s">
        <v>21</v>
      </c>
      <c r="C24" s="7">
        <f>D24+E24+H24+G24</f>
        <v>112</v>
      </c>
      <c r="D24" s="9">
        <v>108</v>
      </c>
      <c r="E24" s="9">
        <v>4</v>
      </c>
      <c r="F24" s="9"/>
      <c r="G24" s="9"/>
      <c r="H24" s="9"/>
      <c r="I24" s="9"/>
      <c r="J24" s="21" t="s">
        <v>16</v>
      </c>
      <c r="K24" s="22"/>
      <c r="L24" s="23">
        <v>46016</v>
      </c>
      <c r="M24" s="4"/>
      <c r="N24" s="12"/>
      <c r="O24" s="13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x14ac:dyDescent="0.3">
      <c r="A25" s="5">
        <v>34</v>
      </c>
      <c r="B25" s="19" t="s">
        <v>76</v>
      </c>
      <c r="C25" s="7">
        <f>D25+E25+H25+G25</f>
        <v>129</v>
      </c>
      <c r="D25" s="19">
        <v>125</v>
      </c>
      <c r="E25" s="26">
        <v>4</v>
      </c>
      <c r="F25" s="19"/>
      <c r="G25" s="27"/>
      <c r="H25" s="19"/>
      <c r="I25" s="27"/>
      <c r="J25" s="35" t="s">
        <v>73</v>
      </c>
      <c r="K25" s="44" t="s">
        <v>77</v>
      </c>
      <c r="L25" s="23">
        <v>46021</v>
      </c>
      <c r="M25" s="4"/>
      <c r="N25" s="12"/>
      <c r="O25" s="13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x14ac:dyDescent="0.3">
      <c r="A26" s="33">
        <v>36</v>
      </c>
      <c r="B26" s="6" t="s">
        <v>26</v>
      </c>
      <c r="C26" s="7">
        <f>D26+E26+H26+G26</f>
        <v>117</v>
      </c>
      <c r="D26" s="25">
        <v>113</v>
      </c>
      <c r="E26" s="19">
        <v>4</v>
      </c>
      <c r="F26" s="19"/>
      <c r="G26" s="19"/>
      <c r="H26" s="19"/>
      <c r="I26" s="19"/>
      <c r="J26" s="10" t="s">
        <v>23</v>
      </c>
      <c r="K26" s="22"/>
      <c r="L26" s="39">
        <v>46033</v>
      </c>
      <c r="M26" s="4"/>
      <c r="N26" s="12"/>
      <c r="O26" s="13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idden="1" x14ac:dyDescent="0.3">
      <c r="A27" s="33">
        <v>37</v>
      </c>
      <c r="B27" s="6" t="s">
        <v>27</v>
      </c>
      <c r="C27" s="7">
        <f>D27+E27+H27+G27</f>
        <v>0</v>
      </c>
      <c r="D27" s="25"/>
      <c r="E27" s="19"/>
      <c r="F27" s="19"/>
      <c r="G27" s="19"/>
      <c r="H27" s="19"/>
      <c r="I27" s="19"/>
      <c r="J27" s="50" t="s">
        <v>23</v>
      </c>
      <c r="K27" s="22" t="s">
        <v>28</v>
      </c>
      <c r="L27" s="39">
        <v>46033</v>
      </c>
      <c r="M27" s="4"/>
      <c r="N27" s="12"/>
      <c r="O27" s="13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x14ac:dyDescent="0.3">
      <c r="A28" s="33">
        <v>38</v>
      </c>
      <c r="B28" s="6" t="s">
        <v>29</v>
      </c>
      <c r="C28" s="7">
        <f>D28+E28+H28+G28</f>
        <v>119</v>
      </c>
      <c r="D28" s="19">
        <v>115</v>
      </c>
      <c r="E28" s="52">
        <v>4</v>
      </c>
      <c r="F28" s="45"/>
      <c r="G28" s="53"/>
      <c r="H28" s="57"/>
      <c r="I28" s="53"/>
      <c r="J28" s="54" t="s">
        <v>23</v>
      </c>
      <c r="K28" s="44"/>
      <c r="L28" s="39">
        <v>46033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x14ac:dyDescent="0.3">
      <c r="A29" s="33">
        <v>39</v>
      </c>
      <c r="B29" s="6" t="s">
        <v>61</v>
      </c>
      <c r="C29" s="7">
        <f>D29+E29+H29+G29</f>
        <v>123</v>
      </c>
      <c r="D29" s="19">
        <v>118</v>
      </c>
      <c r="E29" s="26">
        <v>5</v>
      </c>
      <c r="F29" s="28"/>
      <c r="G29" s="29"/>
      <c r="H29" s="28"/>
      <c r="I29" s="29"/>
      <c r="J29" s="30" t="s">
        <v>62</v>
      </c>
      <c r="K29" s="58"/>
      <c r="L29" s="39">
        <v>46034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x14ac:dyDescent="0.3">
      <c r="A30" s="33">
        <v>40</v>
      </c>
      <c r="B30" s="6" t="s">
        <v>30</v>
      </c>
      <c r="C30" s="7">
        <f>D30+E30+H30+G30</f>
        <v>111</v>
      </c>
      <c r="D30" s="19">
        <v>111</v>
      </c>
      <c r="E30" s="15"/>
      <c r="F30" s="16"/>
      <c r="G30" s="27"/>
      <c r="H30" s="19"/>
      <c r="I30" s="27"/>
      <c r="J30" s="54" t="s">
        <v>23</v>
      </c>
      <c r="K30" s="44" t="s">
        <v>31</v>
      </c>
      <c r="L30" s="39">
        <v>46036</v>
      </c>
      <c r="M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x14ac:dyDescent="0.3">
      <c r="A31" s="33">
        <v>41</v>
      </c>
      <c r="B31" s="6" t="s">
        <v>55</v>
      </c>
      <c r="C31" s="7">
        <f>D31+E31+H31+G31</f>
        <v>117</v>
      </c>
      <c r="D31" s="26">
        <v>117</v>
      </c>
      <c r="E31" s="26"/>
      <c r="F31" s="31"/>
      <c r="G31" s="31"/>
      <c r="H31" s="31"/>
      <c r="I31" s="31"/>
      <c r="J31" s="35" t="s">
        <v>46</v>
      </c>
      <c r="K31" s="22" t="s">
        <v>56</v>
      </c>
      <c r="L31" s="39">
        <v>46042</v>
      </c>
      <c r="M31" s="4"/>
      <c r="N31" s="12"/>
      <c r="O31" s="2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x14ac:dyDescent="0.3">
      <c r="A32" s="33">
        <v>42</v>
      </c>
      <c r="B32" s="6" t="s">
        <v>57</v>
      </c>
      <c r="C32" s="7">
        <f>D32+E32+H32+G32</f>
        <v>111</v>
      </c>
      <c r="D32" s="9">
        <v>106</v>
      </c>
      <c r="E32" s="9">
        <v>5</v>
      </c>
      <c r="F32" s="9"/>
      <c r="G32" s="9"/>
      <c r="H32" s="9"/>
      <c r="I32" s="9"/>
      <c r="J32" s="35" t="s">
        <v>46</v>
      </c>
      <c r="K32" s="9" t="s">
        <v>58</v>
      </c>
      <c r="L32" s="39">
        <v>46054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x14ac:dyDescent="0.3">
      <c r="A33" s="33">
        <v>43</v>
      </c>
      <c r="B33" s="6" t="s">
        <v>59</v>
      </c>
      <c r="C33" s="7">
        <f>D33+E33+H33+G33</f>
        <v>96</v>
      </c>
      <c r="D33" s="9">
        <v>76</v>
      </c>
      <c r="E33" s="9"/>
      <c r="F33" s="9"/>
      <c r="G33" s="9"/>
      <c r="H33" s="9">
        <v>20</v>
      </c>
      <c r="I33" s="9"/>
      <c r="J33" s="50" t="s">
        <v>46</v>
      </c>
      <c r="K33" s="9" t="s">
        <v>60</v>
      </c>
      <c r="L33" s="39">
        <v>46054</v>
      </c>
      <c r="M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x14ac:dyDescent="0.3">
      <c r="A34" s="5">
        <v>44</v>
      </c>
      <c r="B34" s="6" t="s">
        <v>32</v>
      </c>
      <c r="C34" s="7">
        <f>D34+E34+H34+G34</f>
        <v>63</v>
      </c>
      <c r="D34" s="9">
        <v>63</v>
      </c>
      <c r="E34" s="9"/>
      <c r="F34" s="9"/>
      <c r="G34" s="9"/>
      <c r="H34" s="9"/>
      <c r="I34" s="9"/>
      <c r="J34" s="50" t="s">
        <v>23</v>
      </c>
      <c r="K34" s="9" t="s">
        <v>33</v>
      </c>
      <c r="L34" s="39">
        <v>46064</v>
      </c>
      <c r="M34" s="4"/>
      <c r="N34" s="12"/>
      <c r="O34" s="2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x14ac:dyDescent="0.3">
      <c r="A35" s="33">
        <v>45</v>
      </c>
      <c r="B35" s="6" t="s">
        <v>12</v>
      </c>
      <c r="C35" s="7">
        <f>D35+E35+H35+G35</f>
        <v>59</v>
      </c>
      <c r="D35" s="9">
        <v>59</v>
      </c>
      <c r="E35" s="9"/>
      <c r="F35" s="9"/>
      <c r="G35" s="9"/>
      <c r="H35" s="9"/>
      <c r="I35" s="9"/>
      <c r="J35" s="50" t="s">
        <v>13</v>
      </c>
      <c r="K35" s="9" t="s">
        <v>14</v>
      </c>
      <c r="L35" s="39">
        <v>46064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idden="1" x14ac:dyDescent="0.3">
      <c r="A36" s="51"/>
      <c r="B36" s="8"/>
      <c r="C36" s="7">
        <f>D36+E36+H36+G36</f>
        <v>0</v>
      </c>
      <c r="D36" s="8"/>
      <c r="E36" s="8"/>
      <c r="F36" s="9"/>
      <c r="G36" s="9"/>
      <c r="H36" s="9"/>
      <c r="I36" s="9"/>
      <c r="J36" s="10"/>
      <c r="K36" s="8"/>
      <c r="L36" s="11">
        <v>46082</v>
      </c>
      <c r="M36" s="4"/>
      <c r="N36" s="12"/>
      <c r="O36" s="13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x14ac:dyDescent="0.3">
      <c r="A37" s="51"/>
      <c r="B37" s="8"/>
      <c r="C37" s="7"/>
      <c r="D37" s="8"/>
      <c r="E37" s="8"/>
      <c r="F37" s="9"/>
      <c r="G37" s="9"/>
      <c r="H37" s="9"/>
      <c r="I37" s="9"/>
      <c r="J37" s="10"/>
      <c r="K37" s="8"/>
      <c r="L37" s="9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idden="1" x14ac:dyDescent="0.3">
      <c r="A38" s="51"/>
      <c r="B38" s="8" t="s">
        <v>79</v>
      </c>
      <c r="C38" s="7">
        <f>D38+E38+H38+G38</f>
        <v>0</v>
      </c>
      <c r="D38" s="8"/>
      <c r="E38" s="8"/>
      <c r="F38" s="9"/>
      <c r="G38" s="9"/>
      <c r="H38" s="9"/>
      <c r="I38" s="9"/>
      <c r="J38" s="21"/>
      <c r="K38" s="8"/>
      <c r="L38" s="9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1:27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1:27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1:27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1:27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1:27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1:27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1:27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1:27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1:27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1:27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1:27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1:27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1:27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1:27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1:27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1:27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1:27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1:27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1:27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1:27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1:27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1:27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1:27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1:27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1:27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1:27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1:27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1:27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1:27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1:27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1:27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1:27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1:27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1:27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1:27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1:27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1:27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1:27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1:27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1:27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1:27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1:27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1:27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1:27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1:27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1:27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1:27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1:27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1:27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1:27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1:27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1:27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1:27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1:27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1:27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1:27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1:27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1:27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1:27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1:27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1:27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1:27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1:27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1:27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1:27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1:27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1:27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1:27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1:27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1:27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1:27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1:27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1:27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1:27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1:27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1:27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1:27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1:27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1:27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1:27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1:27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spans="1:27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spans="1:27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spans="1:27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spans="1:27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spans="1:27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spans="1:27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spans="1:27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spans="1:27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spans="1:27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spans="1:27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spans="1:27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spans="1:27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spans="1:27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spans="1:27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spans="1:27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spans="1:27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spans="1:27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spans="1:27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spans="1:27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spans="1:27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spans="1:27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spans="1:27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spans="1:27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spans="1:27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spans="1:27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spans="1:27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spans="1:27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spans="1:27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spans="1:27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spans="1:27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spans="1:27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spans="1:27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spans="1:27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spans="1:27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spans="1:27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spans="1:27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spans="1:27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spans="1:27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spans="1:27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spans="1:27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spans="1:27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spans="1:27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spans="1:27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spans="1:27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spans="1:27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spans="1:27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spans="1:27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spans="1:27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spans="1:27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spans="1:27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spans="1:27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spans="1:27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spans="1:27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spans="1:27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spans="1:27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spans="1:27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spans="1:27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spans="1:27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spans="1:27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spans="1:27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spans="1:27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spans="1:27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spans="1:27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spans="1:27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spans="1:27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spans="1:27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spans="1:27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</sheetData>
  <autoFilter ref="A1:AA38">
    <filterColumn colId="1">
      <filters blank="1">
        <filter val="Anabella Baragatti"/>
        <filter val="Barajas Barbara"/>
        <filter val="Bertolo Milagros"/>
        <filter val="Bogarin Gomez Noelia"/>
        <filter val="Cardoso Trinidad"/>
        <filter val="Carrizo Camila"/>
        <filter val="CORONEL Mailen"/>
        <filter val="Dana Ramirez"/>
        <filter val="De Brito Rocio"/>
        <filter val="Delgado Maria Paz"/>
        <filter val="Diaz Dulcinea"/>
        <filter val="Esposito Candela"/>
        <filter val="Gimenez Candela"/>
        <filter val="Giordano Carolina Inez"/>
        <filter val="Gisela Bonino"/>
        <filter val="Imperiale Candela"/>
        <filter val="Lara Robbio"/>
        <filter val="Machuca Araceli"/>
        <filter val="Martinez Franzi Lourdes"/>
        <filter val="Mohamad Daila"/>
        <filter val="Molina Agustina"/>
        <filter val="Ochoa Duran Thalia"/>
        <filter val="Oliva Micaela"/>
        <filter val="Pavez Anahi"/>
        <filter val="Ristagno Giovanna"/>
        <filter val="Ruiz de la Torre Maitena"/>
        <filter val="Schiavone Fiona Ludmila"/>
        <filter val="Scholler Chavez Ruth"/>
        <filter val="Viña Sofia"/>
      </filters>
    </filterColumn>
    <filterColumn colId="2">
      <filters blank="1">
        <filter val="105,00"/>
        <filter val="106,00"/>
        <filter val="107,00"/>
        <filter val="110,00"/>
        <filter val="111,00"/>
        <filter val="112,00"/>
        <filter val="113,00"/>
        <filter val="116,00"/>
        <filter val="117,00"/>
        <filter val="119,00"/>
        <filter val="120,00"/>
        <filter val="123,00"/>
        <filter val="126,00"/>
        <filter val="127,00"/>
        <filter val="129,00"/>
        <filter val="131,00"/>
        <filter val="132,00"/>
        <filter val="59,00"/>
        <filter val="63,00"/>
        <filter val="8,00"/>
        <filter val="96,00"/>
      </filters>
    </filterColumn>
  </autoFilter>
  <sortState ref="A2:L982">
    <sortCondition ref="A1"/>
  </sortState>
  <printOptions horizontalCentered="1" gridLines="1"/>
  <pageMargins left="0.7" right="0.7" top="0.75" bottom="0.75" header="0" footer="0"/>
  <pageSetup paperSize="9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Valeria Levite</cp:lastModifiedBy>
  <dcterms:modified xsi:type="dcterms:W3CDTF">2025-12-19T22:44:20Z</dcterms:modified>
</cp:coreProperties>
</file>