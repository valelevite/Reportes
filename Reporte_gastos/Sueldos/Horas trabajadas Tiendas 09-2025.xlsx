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gastos\Sueldos\"/>
    </mc:Choice>
  </mc:AlternateContent>
  <bookViews>
    <workbookView xWindow="0" yWindow="0" windowWidth="19200" windowHeight="6930"/>
  </bookViews>
  <sheets>
    <sheet name="LUCERO CUERO" sheetId="1" r:id="rId1"/>
  </sheets>
  <calcPr calcId="162913"/>
</workbook>
</file>

<file path=xl/calcChain.xml><?xml version="1.0" encoding="utf-8"?>
<calcChain xmlns="http://schemas.openxmlformats.org/spreadsheetml/2006/main">
  <c r="C28" i="1" l="1"/>
  <c r="C27" i="1"/>
  <c r="C26" i="1"/>
  <c r="C25" i="1"/>
  <c r="C24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<sst xmlns="http://schemas.openxmlformats.org/spreadsheetml/2006/main" count="82" uniqueCount="66">
  <si>
    <t>Legajo</t>
  </si>
  <si>
    <t>Empleado</t>
  </si>
  <si>
    <t>Hs totales</t>
  </si>
  <si>
    <t>Hs trabajadas</t>
  </si>
  <si>
    <t>Hs feriado</t>
  </si>
  <si>
    <t>Días de vacaciones</t>
  </si>
  <si>
    <t>Hs nocturnas</t>
  </si>
  <si>
    <t>Licencias pagas</t>
  </si>
  <si>
    <t>Días injustificados</t>
  </si>
  <si>
    <t>Tienda asignada este mes</t>
  </si>
  <si>
    <t>Observaciones (ej. hs en cada tienda, feriodo trabajado si/no)</t>
  </si>
  <si>
    <t>Fin de período de prueba</t>
  </si>
  <si>
    <t>Viña Sofia</t>
  </si>
  <si>
    <t>LU Florida</t>
  </si>
  <si>
    <t>2 dias de estudio por prácticas. Le entregan los certificados el martes 30/9.</t>
  </si>
  <si>
    <t xml:space="preserve">Urbieta Barbara Giselle </t>
  </si>
  <si>
    <t>Ruiz de la Torre Maitena</t>
  </si>
  <si>
    <t>2 dias de estudio por exámen. Rinde el 29 falta certificado.</t>
  </si>
  <si>
    <t>Imperiale Candela</t>
  </si>
  <si>
    <t>Balmaceda Luciana</t>
  </si>
  <si>
    <t>Licencia por embarazo desde el 26/8/25</t>
  </si>
  <si>
    <t>Martina Migueles</t>
  </si>
  <si>
    <t>Desvinculada 31/8</t>
  </si>
  <si>
    <t>Cabovianco Natalia</t>
  </si>
  <si>
    <t>Carrizo Camila</t>
  </si>
  <si>
    <t>AS San Telmo</t>
  </si>
  <si>
    <t>Licencia por enfermedad</t>
  </si>
  <si>
    <t>Esposito Candela</t>
  </si>
  <si>
    <t>Lucero ST1</t>
  </si>
  <si>
    <t>Barajas Barbara</t>
  </si>
  <si>
    <t>Recoleta</t>
  </si>
  <si>
    <t>1 Feriado no trabajado. 5 hs en lucero Florida</t>
  </si>
  <si>
    <t>De Brito Rocio</t>
  </si>
  <si>
    <t>Güemes</t>
  </si>
  <si>
    <t>8 horas fueron en Lucero recoleta</t>
  </si>
  <si>
    <t>Lara Robbio</t>
  </si>
  <si>
    <t>Descontar 2 días pagados de más en julio. de. las horas normales 80 hs fueron en Lucero 1 y 28 en Lucero 2. ell feriado fue en Lucero 1 y la licencia es 1 diaa de estudio</t>
  </si>
  <si>
    <t>Molina Agustina</t>
  </si>
  <si>
    <t>Kiara Corbalan</t>
  </si>
  <si>
    <t>CORONEL Mailen</t>
  </si>
  <si>
    <t>12 horas fueron en Lucero Florida</t>
  </si>
  <si>
    <t>Gimenez Candela</t>
  </si>
  <si>
    <t>65 horas fueron en Lucero Florida</t>
  </si>
  <si>
    <t>Oliva Micaela</t>
  </si>
  <si>
    <t>1 Feriado no trabajado</t>
  </si>
  <si>
    <t>Mohamad Daila</t>
  </si>
  <si>
    <t>Lucero ST2</t>
  </si>
  <si>
    <t xml:space="preserve">1 feriado no trabajado </t>
  </si>
  <si>
    <t xml:space="preserve">Morena Martinez </t>
  </si>
  <si>
    <t>Lucero ST 1</t>
  </si>
  <si>
    <t>de las horas normales 72hs fueron en Lucero ST1 y 32Lucero ST2. Deja de pertenecer a la empresa el 28/09</t>
  </si>
  <si>
    <t xml:space="preserve">Eredia Cintia </t>
  </si>
  <si>
    <t>Bertolo Milagros</t>
  </si>
  <si>
    <t>French</t>
  </si>
  <si>
    <t xml:space="preserve">Licencia por dia de estudio </t>
  </si>
  <si>
    <t xml:space="preserve">Machuca Araceli </t>
  </si>
  <si>
    <t>de las horas normales 60 en Lucero French y 38 Lucero 2. Licencia día de estudio. Feriado en French</t>
  </si>
  <si>
    <t>Villarruel Candela</t>
  </si>
  <si>
    <t>dejo de pertenecer a la empresa el 14/09</t>
  </si>
  <si>
    <t>Scholler Chavez Ruth</t>
  </si>
  <si>
    <t>de las horas normales 65 en French 42 en Lucero 2. el feriado es en Lucero 2</t>
  </si>
  <si>
    <t>Anabella Baragatti</t>
  </si>
  <si>
    <t>Gisela Bonino</t>
  </si>
  <si>
    <t>de las horas normales 16 son en Lucero 1 y feriado Lucero 2. Ingreso el 25/09</t>
  </si>
  <si>
    <t>Dana Ramirez</t>
  </si>
  <si>
    <t>Ingresa 26/09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</si>
</sst>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1" x14ac:knownFonts="1">
    <font>
      <sz val="11"/>
      <color theme="1"/>
      <name val="Calibri"/>
      <scheme val="minor"/>
    </font>
    <font>
      <sz val="11"/>
      <color rgb="FFFFFFFF"/>
      <name val="Calibri"/>
    </font>
    <font>
      <b/>
      <sz val="11"/>
      <color rgb="FFFFFFFF"/>
      <name val="Calibri"/>
    </font>
    <font>
      <sz val="11"/>
      <color theme="1"/>
      <name val="Arial"/>
    </font>
    <font>
      <b/>
      <sz val="11"/>
      <color theme="1"/>
      <name val="Calibri"/>
    </font>
    <font>
      <sz val="11"/>
      <color theme="1"/>
      <name val="Calibri"/>
    </font>
    <font>
      <sz val="11"/>
      <color rgb="FFFF0000"/>
      <name val="Arial"/>
    </font>
    <font>
      <b/>
      <sz val="11"/>
      <color theme="1"/>
      <name val="Arial"/>
    </font>
    <font>
      <b/>
      <sz val="9"/>
      <color theme="1"/>
      <name val="Arial"/>
    </font>
    <font>
      <sz val="11"/>
      <color rgb="FF000000"/>
      <name val="Calibri"/>
    </font>
    <font>
      <sz val="11"/>
      <color rgb="FF00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 applyAlignment="1"/>
    <xf numFmtId="0" fontId="4" fillId="3" borderId="1" xfId="0" applyFont="1" applyFill="1" applyBorder="1" applyAlignment="1">
      <alignment horizontal="center"/>
    </xf>
    <xf numFmtId="0" fontId="5" fillId="0" borderId="1" xfId="0" applyFont="1" applyBorder="1" applyAlignment="1"/>
    <xf numFmtId="2" fontId="4" fillId="4" borderId="1" xfId="0" applyNumberFormat="1" applyFont="1" applyFill="1" applyBorder="1" applyAlignment="1">
      <alignment horizontal="right"/>
    </xf>
    <xf numFmtId="0" fontId="3" fillId="0" borderId="1" xfId="0" applyFont="1" applyBorder="1" applyAlignment="1"/>
    <xf numFmtId="0" fontId="3" fillId="0" borderId="1" xfId="0" applyFont="1" applyBorder="1" applyAlignment="1"/>
    <xf numFmtId="0" fontId="5" fillId="0" borderId="1" xfId="0" applyFont="1" applyBorder="1" applyAlignment="1">
      <alignment horizontal="center" wrapText="1"/>
    </xf>
    <xf numFmtId="164" fontId="3" fillId="3" borderId="1" xfId="0" applyNumberFormat="1" applyFont="1" applyFill="1" applyBorder="1" applyAlignment="1"/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 applyAlignment="1"/>
    <xf numFmtId="14" fontId="3" fillId="0" borderId="1" xfId="0" applyNumberFormat="1" applyFont="1" applyBorder="1" applyAlignment="1"/>
    <xf numFmtId="14" fontId="3" fillId="0" borderId="0" xfId="0" applyNumberFormat="1" applyFont="1" applyAlignment="1"/>
    <xf numFmtId="0" fontId="4" fillId="7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/>
    <xf numFmtId="0" fontId="6" fillId="0" borderId="1" xfId="0" applyFont="1" applyBorder="1" applyAlignment="1"/>
    <xf numFmtId="0" fontId="5" fillId="0" borderId="1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0" fontId="7" fillId="0" borderId="1" xfId="0" applyFont="1" applyBorder="1" applyAlignment="1"/>
    <xf numFmtId="0" fontId="8" fillId="5" borderId="0" xfId="0" applyFont="1" applyFill="1" applyAlignment="1">
      <alignment horizontal="center"/>
    </xf>
    <xf numFmtId="49" fontId="5" fillId="0" borderId="1" xfId="0" applyNumberFormat="1" applyFont="1" applyBorder="1" applyAlignment="1"/>
    <xf numFmtId="0" fontId="5" fillId="0" borderId="1" xfId="0" applyFont="1" applyBorder="1" applyAlignment="1"/>
    <xf numFmtId="49" fontId="5" fillId="0" borderId="1" xfId="0" applyNumberFormat="1" applyFont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4" fontId="5" fillId="0" borderId="1" xfId="0" applyNumberFormat="1" applyFont="1" applyBorder="1" applyAlignment="1">
      <alignment horizontal="right"/>
    </xf>
    <xf numFmtId="0" fontId="5" fillId="0" borderId="1" xfId="0" applyFont="1" applyBorder="1" applyAlignment="1"/>
    <xf numFmtId="49" fontId="5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49" fontId="9" fillId="0" borderId="1" xfId="0" applyNumberFormat="1" applyFont="1" applyBorder="1" applyAlignment="1"/>
    <xf numFmtId="0" fontId="10" fillId="0" borderId="0" xfId="0" applyFont="1" applyAlignment="1"/>
    <xf numFmtId="49" fontId="5" fillId="3" borderId="1" xfId="0" applyNumberFormat="1" applyFont="1" applyFill="1" applyBorder="1" applyAlignment="1"/>
    <xf numFmtId="0" fontId="8" fillId="0" borderId="1" xfId="0" applyFont="1" applyBorder="1" applyAlignment="1">
      <alignment horizontal="center"/>
    </xf>
    <xf numFmtId="4" fontId="5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/>
    <xf numFmtId="2" fontId="5" fillId="0" borderId="4" xfId="0" applyNumberFormat="1" applyFont="1" applyBorder="1" applyAlignment="1"/>
    <xf numFmtId="0" fontId="5" fillId="0" borderId="4" xfId="0" applyFont="1" applyBorder="1" applyAlignment="1"/>
    <xf numFmtId="0" fontId="5" fillId="0" borderId="4" xfId="0" applyFont="1" applyBorder="1"/>
    <xf numFmtId="0" fontId="5" fillId="0" borderId="4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7" borderId="1" xfId="0" applyFont="1" applyFill="1" applyBorder="1" applyAlignment="1">
      <alignment horizontal="center"/>
    </xf>
    <xf numFmtId="0" fontId="5" fillId="0" borderId="1" xfId="0" applyFont="1" applyBorder="1"/>
    <xf numFmtId="2" fontId="5" fillId="0" borderId="1" xfId="0" applyNumberFormat="1" applyFont="1" applyBorder="1" applyAlignment="1"/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2" fontId="4" fillId="4" borderId="1" xfId="0" applyNumberFormat="1" applyFont="1" applyFill="1" applyBorder="1" applyAlignment="1">
      <alignment horizontal="right"/>
    </xf>
    <xf numFmtId="0" fontId="9" fillId="0" borderId="1" xfId="0" applyFont="1" applyBorder="1" applyAlignment="1"/>
    <xf numFmtId="0" fontId="9" fillId="0" borderId="1" xfId="0" applyFont="1" applyBorder="1"/>
    <xf numFmtId="0" fontId="9" fillId="0" borderId="1" xfId="0" applyFont="1" applyBorder="1" applyAlignment="1">
      <alignment horizontal="center" wrapText="1"/>
    </xf>
    <xf numFmtId="14" fontId="5" fillId="3" borderId="1" xfId="0" applyNumberFormat="1" applyFont="1" applyFill="1" applyBorder="1" applyAlignment="1">
      <alignment horizontal="center" wrapText="1"/>
    </xf>
    <xf numFmtId="164" fontId="5" fillId="3" borderId="1" xfId="0" applyNumberFormat="1" applyFont="1" applyFill="1" applyBorder="1" applyAlignment="1">
      <alignment horizontal="center" wrapText="1"/>
    </xf>
    <xf numFmtId="2" fontId="5" fillId="0" borderId="1" xfId="0" applyNumberFormat="1" applyFont="1" applyBorder="1"/>
    <xf numFmtId="2" fontId="5" fillId="0" borderId="1" xfId="0" applyNumberFormat="1" applyFont="1" applyBorder="1" applyAlignment="1">
      <alignment horizontal="center"/>
    </xf>
    <xf numFmtId="0" fontId="10" fillId="0" borderId="1" xfId="0" applyFont="1" applyBorder="1" applyAlignment="1"/>
    <xf numFmtId="0" fontId="7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5A6BD"/>
    <outlinePr summaryBelow="0" summaryRight="0"/>
    <pageSetUpPr fitToPage="1"/>
  </sheetPr>
  <dimension ref="A1:AA972"/>
  <sheetViews>
    <sheetView tabSelected="1" topLeftCell="A10" workbookViewId="0">
      <pane xSplit="2" topLeftCell="C1" activePane="topRight" state="frozen"/>
      <selection pane="topRight" activeCell="K18" sqref="K18"/>
    </sheetView>
  </sheetViews>
  <sheetFormatPr baseColWidth="10" defaultColWidth="14.453125" defaultRowHeight="15" customHeight="1" x14ac:dyDescent="0.35"/>
  <cols>
    <col min="2" max="2" width="21.7265625" customWidth="1"/>
    <col min="3" max="3" width="11" customWidth="1"/>
    <col min="6" max="7" width="14.453125" hidden="1"/>
    <col min="10" max="10" width="17.08984375" customWidth="1"/>
    <col min="11" max="11" width="83.54296875" customWidth="1"/>
  </cols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x14ac:dyDescent="0.35">
      <c r="A2" s="5">
        <v>1</v>
      </c>
      <c r="B2" s="6" t="s">
        <v>12</v>
      </c>
      <c r="C2" s="7">
        <f t="shared" ref="C2:C22" si="0">D2+E2+H2+G2</f>
        <v>116</v>
      </c>
      <c r="D2" s="8">
        <v>103</v>
      </c>
      <c r="E2" s="8">
        <v>5</v>
      </c>
      <c r="F2" s="9"/>
      <c r="G2" s="9"/>
      <c r="H2" s="8">
        <v>8</v>
      </c>
      <c r="I2" s="9"/>
      <c r="J2" s="10" t="s">
        <v>13</v>
      </c>
      <c r="K2" s="8" t="s">
        <v>14</v>
      </c>
      <c r="L2" s="11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x14ac:dyDescent="0.35">
      <c r="A3" s="12">
        <v>2</v>
      </c>
      <c r="B3" s="13" t="s">
        <v>15</v>
      </c>
      <c r="C3" s="7">
        <f t="shared" si="0"/>
        <v>8</v>
      </c>
      <c r="D3" s="9"/>
      <c r="E3" s="8">
        <v>8</v>
      </c>
      <c r="F3" s="9"/>
      <c r="G3" s="9"/>
      <c r="H3" s="8"/>
      <c r="I3" s="9"/>
      <c r="J3" s="10" t="s">
        <v>13</v>
      </c>
      <c r="K3" s="8"/>
      <c r="L3" s="14"/>
      <c r="M3" s="15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x14ac:dyDescent="0.35">
      <c r="A4" s="5">
        <v>3</v>
      </c>
      <c r="B4" s="6" t="s">
        <v>16</v>
      </c>
      <c r="C4" s="7">
        <f t="shared" si="0"/>
        <v>112</v>
      </c>
      <c r="D4" s="8">
        <v>104</v>
      </c>
      <c r="E4" s="8"/>
      <c r="F4" s="9"/>
      <c r="G4" s="9"/>
      <c r="H4" s="8">
        <v>8</v>
      </c>
      <c r="I4" s="9"/>
      <c r="J4" s="10" t="s">
        <v>13</v>
      </c>
      <c r="K4" s="8" t="s">
        <v>17</v>
      </c>
      <c r="L4" s="14"/>
      <c r="M4" s="15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x14ac:dyDescent="0.35">
      <c r="A5" s="16">
        <v>4</v>
      </c>
      <c r="B5" s="6" t="s">
        <v>18</v>
      </c>
      <c r="C5" s="7">
        <f t="shared" si="0"/>
        <v>130</v>
      </c>
      <c r="D5" s="8">
        <v>125</v>
      </c>
      <c r="E5" s="8">
        <v>5</v>
      </c>
      <c r="F5" s="9"/>
      <c r="G5" s="9"/>
      <c r="H5" s="9"/>
      <c r="I5" s="9"/>
      <c r="J5" s="10" t="s">
        <v>13</v>
      </c>
      <c r="K5" s="9"/>
      <c r="L5" s="17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x14ac:dyDescent="0.35">
      <c r="A6" s="5">
        <v>5</v>
      </c>
      <c r="B6" s="6" t="s">
        <v>19</v>
      </c>
      <c r="C6" s="7">
        <f t="shared" si="0"/>
        <v>0</v>
      </c>
      <c r="D6" s="8"/>
      <c r="E6" s="9"/>
      <c r="F6" s="9"/>
      <c r="G6" s="9"/>
      <c r="H6" s="18"/>
      <c r="I6" s="9"/>
      <c r="J6" s="10" t="s">
        <v>13</v>
      </c>
      <c r="K6" s="19" t="s">
        <v>20</v>
      </c>
      <c r="L6" s="11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x14ac:dyDescent="0.35">
      <c r="A7" s="20">
        <v>6</v>
      </c>
      <c r="B7" s="6" t="s">
        <v>21</v>
      </c>
      <c r="C7" s="7">
        <f t="shared" si="0"/>
        <v>0</v>
      </c>
      <c r="D7" s="8"/>
      <c r="E7" s="8"/>
      <c r="F7" s="9"/>
      <c r="G7" s="9"/>
      <c r="H7" s="9"/>
      <c r="I7" s="9"/>
      <c r="J7" s="10" t="s">
        <v>13</v>
      </c>
      <c r="K7" s="8" t="s">
        <v>22</v>
      </c>
      <c r="L7" s="9"/>
      <c r="M7" s="21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x14ac:dyDescent="0.35">
      <c r="A8" s="22">
        <v>9</v>
      </c>
      <c r="B8" s="23" t="s">
        <v>23</v>
      </c>
      <c r="C8" s="7">
        <f t="shared" si="0"/>
        <v>8</v>
      </c>
      <c r="D8" s="23"/>
      <c r="E8" s="24">
        <v>8</v>
      </c>
      <c r="F8" s="6"/>
      <c r="G8" s="6"/>
      <c r="H8" s="6"/>
      <c r="I8" s="6"/>
      <c r="J8" s="25"/>
      <c r="K8" s="6"/>
      <c r="L8" s="9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x14ac:dyDescent="0.35">
      <c r="A9" s="26">
        <v>10</v>
      </c>
      <c r="B9" s="23" t="s">
        <v>24</v>
      </c>
      <c r="C9" s="7">
        <f t="shared" si="0"/>
        <v>124</v>
      </c>
      <c r="D9" s="27">
        <v>112</v>
      </c>
      <c r="E9" s="24">
        <v>4</v>
      </c>
      <c r="F9" s="6"/>
      <c r="G9" s="6"/>
      <c r="H9" s="28">
        <v>8</v>
      </c>
      <c r="I9" s="6"/>
      <c r="J9" s="29" t="s">
        <v>25</v>
      </c>
      <c r="K9" s="28" t="s">
        <v>26</v>
      </c>
      <c r="L9" s="9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x14ac:dyDescent="0.35">
      <c r="A10" s="26">
        <v>11</v>
      </c>
      <c r="B10" s="23" t="s">
        <v>27</v>
      </c>
      <c r="C10" s="7">
        <f t="shared" si="0"/>
        <v>124</v>
      </c>
      <c r="D10" s="27">
        <v>120</v>
      </c>
      <c r="E10" s="24">
        <v>4</v>
      </c>
      <c r="F10" s="6"/>
      <c r="G10" s="6"/>
      <c r="H10" s="6"/>
      <c r="I10" s="6"/>
      <c r="J10" s="29" t="s">
        <v>28</v>
      </c>
      <c r="K10" s="6"/>
      <c r="L10" s="9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x14ac:dyDescent="0.35">
      <c r="A11" s="26">
        <v>12</v>
      </c>
      <c r="B11" s="23" t="s">
        <v>29</v>
      </c>
      <c r="C11" s="7">
        <f t="shared" si="0"/>
        <v>129</v>
      </c>
      <c r="D11" s="27">
        <v>129</v>
      </c>
      <c r="E11" s="24"/>
      <c r="F11" s="6"/>
      <c r="G11" s="6"/>
      <c r="H11" s="6"/>
      <c r="I11" s="6"/>
      <c r="J11" s="29" t="s">
        <v>30</v>
      </c>
      <c r="K11" s="28" t="s">
        <v>31</v>
      </c>
      <c r="L11" s="9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x14ac:dyDescent="0.35">
      <c r="A12" s="30">
        <v>13</v>
      </c>
      <c r="B12" s="23" t="s">
        <v>32</v>
      </c>
      <c r="C12" s="7">
        <f t="shared" si="0"/>
        <v>111</v>
      </c>
      <c r="D12" s="27">
        <v>106</v>
      </c>
      <c r="E12" s="24">
        <v>5</v>
      </c>
      <c r="F12" s="6"/>
      <c r="G12" s="6"/>
      <c r="H12" s="6"/>
      <c r="I12" s="6"/>
      <c r="J12" s="29" t="s">
        <v>33</v>
      </c>
      <c r="K12" s="28" t="s">
        <v>34</v>
      </c>
      <c r="L12" s="9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35">
      <c r="A13" s="30">
        <v>14</v>
      </c>
      <c r="B13" s="31" t="s">
        <v>35</v>
      </c>
      <c r="C13" s="7">
        <f t="shared" si="0"/>
        <v>116</v>
      </c>
      <c r="D13" s="27">
        <v>108</v>
      </c>
      <c r="E13" s="24">
        <v>4</v>
      </c>
      <c r="F13" s="6"/>
      <c r="G13" s="6"/>
      <c r="H13" s="28">
        <v>4</v>
      </c>
      <c r="I13" s="6"/>
      <c r="J13" s="29" t="s">
        <v>28</v>
      </c>
      <c r="K13" s="32" t="s">
        <v>36</v>
      </c>
      <c r="L13" s="9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x14ac:dyDescent="0.35">
      <c r="A14" s="30">
        <v>15</v>
      </c>
      <c r="B14" s="23" t="s">
        <v>37</v>
      </c>
      <c r="C14" s="7">
        <f t="shared" si="0"/>
        <v>122</v>
      </c>
      <c r="D14" s="27">
        <v>118</v>
      </c>
      <c r="E14" s="24">
        <v>4</v>
      </c>
      <c r="F14" s="28"/>
      <c r="G14" s="6"/>
      <c r="H14" s="6"/>
      <c r="I14" s="6"/>
      <c r="J14" s="29" t="s">
        <v>25</v>
      </c>
      <c r="K14" s="6"/>
      <c r="L14" s="9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x14ac:dyDescent="0.35">
      <c r="A15" s="30">
        <v>16</v>
      </c>
      <c r="B15" s="23" t="s">
        <v>38</v>
      </c>
      <c r="C15" s="7">
        <f t="shared" si="0"/>
        <v>0</v>
      </c>
      <c r="D15" s="27"/>
      <c r="E15" s="24"/>
      <c r="F15" s="6"/>
      <c r="G15" s="6"/>
      <c r="H15" s="6"/>
      <c r="I15" s="6"/>
      <c r="J15" s="25"/>
      <c r="K15" s="6"/>
      <c r="L15" s="9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x14ac:dyDescent="0.35">
      <c r="A16" s="30">
        <v>18</v>
      </c>
      <c r="B16" s="23" t="s">
        <v>39</v>
      </c>
      <c r="C16" s="7">
        <f t="shared" si="0"/>
        <v>114</v>
      </c>
      <c r="D16" s="27">
        <v>109</v>
      </c>
      <c r="E16" s="24">
        <v>5</v>
      </c>
      <c r="F16" s="6"/>
      <c r="G16" s="6"/>
      <c r="H16" s="6"/>
      <c r="I16" s="6"/>
      <c r="J16" s="29" t="s">
        <v>33</v>
      </c>
      <c r="K16" s="28" t="s">
        <v>40</v>
      </c>
      <c r="L16" s="9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x14ac:dyDescent="0.35">
      <c r="A17" s="30">
        <v>19</v>
      </c>
      <c r="B17" s="23" t="s">
        <v>41</v>
      </c>
      <c r="C17" s="7">
        <f t="shared" si="0"/>
        <v>131</v>
      </c>
      <c r="D17" s="27">
        <v>126</v>
      </c>
      <c r="E17" s="24">
        <v>5</v>
      </c>
      <c r="F17" s="6"/>
      <c r="G17" s="6"/>
      <c r="H17" s="6"/>
      <c r="I17" s="6"/>
      <c r="J17" s="29" t="s">
        <v>30</v>
      </c>
      <c r="K17" s="28" t="s">
        <v>42</v>
      </c>
      <c r="L17" s="9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x14ac:dyDescent="0.35">
      <c r="A18" s="30">
        <v>20</v>
      </c>
      <c r="B18" s="33" t="s">
        <v>43</v>
      </c>
      <c r="C18" s="7">
        <f t="shared" si="0"/>
        <v>125</v>
      </c>
      <c r="D18" s="27">
        <v>125</v>
      </c>
      <c r="E18" s="24"/>
      <c r="F18" s="6"/>
      <c r="G18" s="6"/>
      <c r="H18" s="6"/>
      <c r="I18" s="6"/>
      <c r="J18" s="29" t="s">
        <v>30</v>
      </c>
      <c r="K18" s="28" t="s">
        <v>44</v>
      </c>
      <c r="L18" s="9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x14ac:dyDescent="0.35">
      <c r="A19" s="30">
        <v>21</v>
      </c>
      <c r="B19" s="23" t="s">
        <v>45</v>
      </c>
      <c r="C19" s="7">
        <f t="shared" si="0"/>
        <v>108</v>
      </c>
      <c r="D19" s="27">
        <v>108</v>
      </c>
      <c r="E19" s="24"/>
      <c r="F19" s="6"/>
      <c r="G19" s="6"/>
      <c r="H19" s="6"/>
      <c r="I19" s="6"/>
      <c r="J19" s="29" t="s">
        <v>46</v>
      </c>
      <c r="K19" s="28" t="s">
        <v>47</v>
      </c>
      <c r="L19" s="9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x14ac:dyDescent="0.35">
      <c r="A20" s="34">
        <v>22</v>
      </c>
      <c r="B20" s="33" t="s">
        <v>48</v>
      </c>
      <c r="C20" s="7">
        <f t="shared" si="0"/>
        <v>104</v>
      </c>
      <c r="D20" s="35">
        <v>104</v>
      </c>
      <c r="E20" s="24"/>
      <c r="F20" s="6"/>
      <c r="G20" s="6"/>
      <c r="H20" s="6"/>
      <c r="I20" s="6"/>
      <c r="J20" s="29" t="s">
        <v>49</v>
      </c>
      <c r="K20" s="32" t="s">
        <v>50</v>
      </c>
      <c r="L20" s="9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x14ac:dyDescent="0.35">
      <c r="A21" s="36"/>
      <c r="B21" s="37" t="s">
        <v>51</v>
      </c>
      <c r="C21" s="7">
        <f t="shared" si="0"/>
        <v>8</v>
      </c>
      <c r="D21" s="24"/>
      <c r="E21" s="38">
        <v>8</v>
      </c>
      <c r="F21" s="39"/>
      <c r="G21" s="40"/>
      <c r="H21" s="39"/>
      <c r="I21" s="40"/>
      <c r="J21" s="41"/>
      <c r="K21" s="42"/>
      <c r="L21" s="43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x14ac:dyDescent="0.35">
      <c r="A22" s="44">
        <v>27</v>
      </c>
      <c r="B22" s="45" t="s">
        <v>52</v>
      </c>
      <c r="C22" s="7">
        <f t="shared" si="0"/>
        <v>114</v>
      </c>
      <c r="D22" s="24">
        <v>106</v>
      </c>
      <c r="E22" s="46">
        <v>4</v>
      </c>
      <c r="F22" s="24"/>
      <c r="G22" s="45"/>
      <c r="H22" s="24">
        <v>4</v>
      </c>
      <c r="I22" s="45"/>
      <c r="J22" s="47" t="s">
        <v>53</v>
      </c>
      <c r="K22" s="42" t="s">
        <v>54</v>
      </c>
      <c r="L22" s="48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x14ac:dyDescent="0.35">
      <c r="A23" s="49">
        <v>28</v>
      </c>
      <c r="B23" s="24" t="s">
        <v>55</v>
      </c>
      <c r="C23" s="50">
        <v>0</v>
      </c>
      <c r="D23" s="24">
        <v>98</v>
      </c>
      <c r="E23" s="46">
        <v>4</v>
      </c>
      <c r="F23" s="51"/>
      <c r="G23" s="52"/>
      <c r="H23" s="51">
        <v>4</v>
      </c>
      <c r="I23" s="52"/>
      <c r="J23" s="53" t="s">
        <v>53</v>
      </c>
      <c r="K23" s="32" t="s">
        <v>56</v>
      </c>
      <c r="L23" s="5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x14ac:dyDescent="0.35">
      <c r="A24" s="49">
        <v>26</v>
      </c>
      <c r="B24" s="24" t="s">
        <v>57</v>
      </c>
      <c r="C24" s="7">
        <f t="shared" ref="C24:C28" si="1">D24+E24+H24+G24</f>
        <v>24</v>
      </c>
      <c r="D24" s="24">
        <v>24</v>
      </c>
      <c r="E24" s="24"/>
      <c r="F24" s="24"/>
      <c r="G24" s="45"/>
      <c r="H24" s="24"/>
      <c r="I24" s="45"/>
      <c r="J24" s="47" t="s">
        <v>25</v>
      </c>
      <c r="K24" s="42" t="s">
        <v>58</v>
      </c>
      <c r="L24" s="55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x14ac:dyDescent="0.35">
      <c r="A25" s="49">
        <v>29</v>
      </c>
      <c r="B25" s="24" t="s">
        <v>59</v>
      </c>
      <c r="C25" s="7">
        <f t="shared" si="1"/>
        <v>105</v>
      </c>
      <c r="D25" s="46">
        <v>101</v>
      </c>
      <c r="E25" s="46">
        <v>4</v>
      </c>
      <c r="F25" s="56"/>
      <c r="G25" s="56"/>
      <c r="H25" s="56"/>
      <c r="I25" s="56"/>
      <c r="J25" s="57" t="s">
        <v>53</v>
      </c>
      <c r="K25" s="58" t="s">
        <v>60</v>
      </c>
      <c r="L25" s="55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x14ac:dyDescent="0.35">
      <c r="A26" s="59">
        <v>30</v>
      </c>
      <c r="B26" s="8" t="s">
        <v>61</v>
      </c>
      <c r="C26" s="7">
        <f t="shared" si="1"/>
        <v>100</v>
      </c>
      <c r="D26" s="8">
        <v>96</v>
      </c>
      <c r="E26" s="8">
        <v>4</v>
      </c>
      <c r="F26" s="9"/>
      <c r="G26" s="9"/>
      <c r="H26" s="9"/>
      <c r="I26" s="9"/>
      <c r="J26" s="10" t="s">
        <v>13</v>
      </c>
      <c r="K26" s="9"/>
      <c r="L26" s="9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x14ac:dyDescent="0.35">
      <c r="A27" s="59">
        <v>31</v>
      </c>
      <c r="B27" s="8" t="s">
        <v>62</v>
      </c>
      <c r="C27" s="7">
        <f t="shared" si="1"/>
        <v>20</v>
      </c>
      <c r="D27" s="8">
        <v>16</v>
      </c>
      <c r="E27" s="8">
        <v>4</v>
      </c>
      <c r="F27" s="9"/>
      <c r="G27" s="9"/>
      <c r="H27" s="9"/>
      <c r="I27" s="9"/>
      <c r="J27" s="29" t="s">
        <v>46</v>
      </c>
      <c r="K27" s="8" t="s">
        <v>63</v>
      </c>
      <c r="L27" s="9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x14ac:dyDescent="0.35">
      <c r="A28" s="59">
        <v>32</v>
      </c>
      <c r="B28" s="8" t="s">
        <v>64</v>
      </c>
      <c r="C28" s="7">
        <f t="shared" si="1"/>
        <v>20</v>
      </c>
      <c r="D28" s="8">
        <v>16</v>
      </c>
      <c r="E28" s="8">
        <v>4</v>
      </c>
      <c r="F28" s="9"/>
      <c r="G28" s="9"/>
      <c r="H28" s="9"/>
      <c r="I28" s="9"/>
      <c r="J28" s="60" t="s">
        <v>25</v>
      </c>
      <c r="K28" s="8" t="s">
        <v>65</v>
      </c>
      <c r="L28" s="9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x14ac:dyDescent="0.3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x14ac:dyDescent="0.3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x14ac:dyDescent="0.3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x14ac:dyDescent="0.3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x14ac:dyDescent="0.3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x14ac:dyDescent="0.3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x14ac:dyDescent="0.3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x14ac:dyDescent="0.3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x14ac:dyDescent="0.3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x14ac:dyDescent="0.3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x14ac:dyDescent="0.3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x14ac:dyDescent="0.3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x14ac:dyDescent="0.3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x14ac:dyDescent="0.3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x14ac:dyDescent="0.3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x14ac:dyDescent="0.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x14ac:dyDescent="0.3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x14ac:dyDescent="0.3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x14ac:dyDescent="0.3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x14ac:dyDescent="0.3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x14ac:dyDescent="0.3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x14ac:dyDescent="0.3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x14ac:dyDescent="0.3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x14ac:dyDescent="0.3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x14ac:dyDescent="0.3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x14ac:dyDescent="0.3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x14ac:dyDescent="0.3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x14ac:dyDescent="0.3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x14ac:dyDescent="0.3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x14ac:dyDescent="0.3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x14ac:dyDescent="0.3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x14ac:dyDescent="0.3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x14ac:dyDescent="0.3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x14ac:dyDescent="0.3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x14ac:dyDescent="0.3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x14ac:dyDescent="0.3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x14ac:dyDescent="0.3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x14ac:dyDescent="0.3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x14ac:dyDescent="0.3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x14ac:dyDescent="0.3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x14ac:dyDescent="0.3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x14ac:dyDescent="0.3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x14ac:dyDescent="0.3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x14ac:dyDescent="0.3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x14ac:dyDescent="0.3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x14ac:dyDescent="0.3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x14ac:dyDescent="0.3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x14ac:dyDescent="0.3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x14ac:dyDescent="0.3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x14ac:dyDescent="0.3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x14ac:dyDescent="0.3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x14ac:dyDescent="0.3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x14ac:dyDescent="0.3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x14ac:dyDescent="0.3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x14ac:dyDescent="0.3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x14ac:dyDescent="0.3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x14ac:dyDescent="0.3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x14ac:dyDescent="0.3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x14ac:dyDescent="0.3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x14ac:dyDescent="0.3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x14ac:dyDescent="0.3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x14ac:dyDescent="0.3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x14ac:dyDescent="0.3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x14ac:dyDescent="0.3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x14ac:dyDescent="0.3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x14ac:dyDescent="0.3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x14ac:dyDescent="0.3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x14ac:dyDescent="0.3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x14ac:dyDescent="0.3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x14ac:dyDescent="0.3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x14ac:dyDescent="0.3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x14ac:dyDescent="0.3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x14ac:dyDescent="0.3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x14ac:dyDescent="0.3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x14ac:dyDescent="0.3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x14ac:dyDescent="0.3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x14ac:dyDescent="0.3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x14ac:dyDescent="0.3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x14ac:dyDescent="0.3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x14ac:dyDescent="0.3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x14ac:dyDescent="0.3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x14ac:dyDescent="0.3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x14ac:dyDescent="0.3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x14ac:dyDescent="0.3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x14ac:dyDescent="0.3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x14ac:dyDescent="0.3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x14ac:dyDescent="0.3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x14ac:dyDescent="0.3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x14ac:dyDescent="0.3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x14ac:dyDescent="0.3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x14ac:dyDescent="0.3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x14ac:dyDescent="0.3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x14ac:dyDescent="0.3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x14ac:dyDescent="0.3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x14ac:dyDescent="0.3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x14ac:dyDescent="0.3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x14ac:dyDescent="0.3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x14ac:dyDescent="0.3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x14ac:dyDescent="0.3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x14ac:dyDescent="0.3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x14ac:dyDescent="0.3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x14ac:dyDescent="0.3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x14ac:dyDescent="0.3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x14ac:dyDescent="0.3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x14ac:dyDescent="0.3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x14ac:dyDescent="0.3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x14ac:dyDescent="0.3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x14ac:dyDescent="0.3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x14ac:dyDescent="0.3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x14ac:dyDescent="0.3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x14ac:dyDescent="0.3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x14ac:dyDescent="0.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x14ac:dyDescent="0.3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x14ac:dyDescent="0.3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x14ac:dyDescent="0.3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x14ac:dyDescent="0.3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x14ac:dyDescent="0.3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x14ac:dyDescent="0.3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x14ac:dyDescent="0.3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x14ac:dyDescent="0.3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x14ac:dyDescent="0.3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x14ac:dyDescent="0.3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x14ac:dyDescent="0.3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x14ac:dyDescent="0.3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x14ac:dyDescent="0.3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x14ac:dyDescent="0.3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x14ac:dyDescent="0.3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x14ac:dyDescent="0.3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x14ac:dyDescent="0.3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x14ac:dyDescent="0.3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x14ac:dyDescent="0.3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x14ac:dyDescent="0.3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x14ac:dyDescent="0.3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x14ac:dyDescent="0.3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x14ac:dyDescent="0.3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x14ac:dyDescent="0.3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x14ac:dyDescent="0.3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x14ac:dyDescent="0.3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x14ac:dyDescent="0.3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x14ac:dyDescent="0.3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x14ac:dyDescent="0.3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x14ac:dyDescent="0.3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x14ac:dyDescent="0.3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x14ac:dyDescent="0.3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x14ac:dyDescent="0.3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x14ac:dyDescent="0.3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x14ac:dyDescent="0.3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x14ac:dyDescent="0.3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x14ac:dyDescent="0.3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x14ac:dyDescent="0.3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x14ac:dyDescent="0.3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x14ac:dyDescent="0.3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x14ac:dyDescent="0.3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x14ac:dyDescent="0.3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x14ac:dyDescent="0.3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x14ac:dyDescent="0.3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x14ac:dyDescent="0.3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x14ac:dyDescent="0.3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x14ac:dyDescent="0.3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x14ac:dyDescent="0.3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x14ac:dyDescent="0.3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x14ac:dyDescent="0.3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x14ac:dyDescent="0.3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x14ac:dyDescent="0.3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x14ac:dyDescent="0.3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x14ac:dyDescent="0.3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x14ac:dyDescent="0.3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x14ac:dyDescent="0.3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x14ac:dyDescent="0.3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x14ac:dyDescent="0.3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x14ac:dyDescent="0.3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x14ac:dyDescent="0.3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x14ac:dyDescent="0.3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x14ac:dyDescent="0.3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x14ac:dyDescent="0.3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x14ac:dyDescent="0.3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x14ac:dyDescent="0.3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x14ac:dyDescent="0.3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x14ac:dyDescent="0.3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x14ac:dyDescent="0.3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x14ac:dyDescent="0.3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x14ac:dyDescent="0.3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x14ac:dyDescent="0.3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x14ac:dyDescent="0.3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x14ac:dyDescent="0.3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x14ac:dyDescent="0.3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x14ac:dyDescent="0.3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x14ac:dyDescent="0.3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x14ac:dyDescent="0.3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x14ac:dyDescent="0.3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x14ac:dyDescent="0.3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x14ac:dyDescent="0.3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x14ac:dyDescent="0.3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x14ac:dyDescent="0.3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x14ac:dyDescent="0.3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x14ac:dyDescent="0.3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x14ac:dyDescent="0.3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x14ac:dyDescent="0.3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x14ac:dyDescent="0.3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x14ac:dyDescent="0.3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x14ac:dyDescent="0.3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x14ac:dyDescent="0.3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x14ac:dyDescent="0.3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x14ac:dyDescent="0.3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x14ac:dyDescent="0.3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x14ac:dyDescent="0.3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x14ac:dyDescent="0.3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x14ac:dyDescent="0.3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x14ac:dyDescent="0.3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x14ac:dyDescent="0.3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x14ac:dyDescent="0.3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x14ac:dyDescent="0.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x14ac:dyDescent="0.3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x14ac:dyDescent="0.3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x14ac:dyDescent="0.3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x14ac:dyDescent="0.3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x14ac:dyDescent="0.3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x14ac:dyDescent="0.3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x14ac:dyDescent="0.3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x14ac:dyDescent="0.3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x14ac:dyDescent="0.3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x14ac:dyDescent="0.3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x14ac:dyDescent="0.3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x14ac:dyDescent="0.3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x14ac:dyDescent="0.3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x14ac:dyDescent="0.3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x14ac:dyDescent="0.3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x14ac:dyDescent="0.3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x14ac:dyDescent="0.3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x14ac:dyDescent="0.3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x14ac:dyDescent="0.3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x14ac:dyDescent="0.3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x14ac:dyDescent="0.3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x14ac:dyDescent="0.3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x14ac:dyDescent="0.3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x14ac:dyDescent="0.3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x14ac:dyDescent="0.3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x14ac:dyDescent="0.3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x14ac:dyDescent="0.3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x14ac:dyDescent="0.3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x14ac:dyDescent="0.3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x14ac:dyDescent="0.3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x14ac:dyDescent="0.3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x14ac:dyDescent="0.3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x14ac:dyDescent="0.3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x14ac:dyDescent="0.3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x14ac:dyDescent="0.3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x14ac:dyDescent="0.3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x14ac:dyDescent="0.3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x14ac:dyDescent="0.3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x14ac:dyDescent="0.3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x14ac:dyDescent="0.3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x14ac:dyDescent="0.3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x14ac:dyDescent="0.3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x14ac:dyDescent="0.3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x14ac:dyDescent="0.3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x14ac:dyDescent="0.3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x14ac:dyDescent="0.3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x14ac:dyDescent="0.3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x14ac:dyDescent="0.3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x14ac:dyDescent="0.3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x14ac:dyDescent="0.3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x14ac:dyDescent="0.3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x14ac:dyDescent="0.3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x14ac:dyDescent="0.3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x14ac:dyDescent="0.3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x14ac:dyDescent="0.3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x14ac:dyDescent="0.3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x14ac:dyDescent="0.3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x14ac:dyDescent="0.3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x14ac:dyDescent="0.3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x14ac:dyDescent="0.3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x14ac:dyDescent="0.3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x14ac:dyDescent="0.3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x14ac:dyDescent="0.3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x14ac:dyDescent="0.3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x14ac:dyDescent="0.3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x14ac:dyDescent="0.3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x14ac:dyDescent="0.3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x14ac:dyDescent="0.3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x14ac:dyDescent="0.3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x14ac:dyDescent="0.3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x14ac:dyDescent="0.3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x14ac:dyDescent="0.3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x14ac:dyDescent="0.3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x14ac:dyDescent="0.3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x14ac:dyDescent="0.3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x14ac:dyDescent="0.3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x14ac:dyDescent="0.3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x14ac:dyDescent="0.3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x14ac:dyDescent="0.3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x14ac:dyDescent="0.3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x14ac:dyDescent="0.3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x14ac:dyDescent="0.3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x14ac:dyDescent="0.3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x14ac:dyDescent="0.3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x14ac:dyDescent="0.3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x14ac:dyDescent="0.3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x14ac:dyDescent="0.3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x14ac:dyDescent="0.3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x14ac:dyDescent="0.3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x14ac:dyDescent="0.3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x14ac:dyDescent="0.3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x14ac:dyDescent="0.3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x14ac:dyDescent="0.3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x14ac:dyDescent="0.3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x14ac:dyDescent="0.3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x14ac:dyDescent="0.3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x14ac:dyDescent="0.3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x14ac:dyDescent="0.3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x14ac:dyDescent="0.3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x14ac:dyDescent="0.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x14ac:dyDescent="0.3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x14ac:dyDescent="0.3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x14ac:dyDescent="0.3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x14ac:dyDescent="0.3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x14ac:dyDescent="0.3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x14ac:dyDescent="0.3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x14ac:dyDescent="0.3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x14ac:dyDescent="0.3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x14ac:dyDescent="0.3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x14ac:dyDescent="0.3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x14ac:dyDescent="0.3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x14ac:dyDescent="0.3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x14ac:dyDescent="0.3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x14ac:dyDescent="0.3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x14ac:dyDescent="0.3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x14ac:dyDescent="0.3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x14ac:dyDescent="0.3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x14ac:dyDescent="0.3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x14ac:dyDescent="0.3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x14ac:dyDescent="0.3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x14ac:dyDescent="0.3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x14ac:dyDescent="0.3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x14ac:dyDescent="0.3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x14ac:dyDescent="0.3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x14ac:dyDescent="0.3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x14ac:dyDescent="0.3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x14ac:dyDescent="0.3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x14ac:dyDescent="0.3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x14ac:dyDescent="0.3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x14ac:dyDescent="0.3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x14ac:dyDescent="0.3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x14ac:dyDescent="0.3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x14ac:dyDescent="0.3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x14ac:dyDescent="0.3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x14ac:dyDescent="0.3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x14ac:dyDescent="0.3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x14ac:dyDescent="0.3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x14ac:dyDescent="0.3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x14ac:dyDescent="0.3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x14ac:dyDescent="0.3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x14ac:dyDescent="0.3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x14ac:dyDescent="0.3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x14ac:dyDescent="0.3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x14ac:dyDescent="0.3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x14ac:dyDescent="0.3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x14ac:dyDescent="0.3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x14ac:dyDescent="0.3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x14ac:dyDescent="0.3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x14ac:dyDescent="0.3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x14ac:dyDescent="0.3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x14ac:dyDescent="0.3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x14ac:dyDescent="0.3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x14ac:dyDescent="0.3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x14ac:dyDescent="0.3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x14ac:dyDescent="0.3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x14ac:dyDescent="0.3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x14ac:dyDescent="0.3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x14ac:dyDescent="0.3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x14ac:dyDescent="0.3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x14ac:dyDescent="0.3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x14ac:dyDescent="0.3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x14ac:dyDescent="0.3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x14ac:dyDescent="0.3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x14ac:dyDescent="0.3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x14ac:dyDescent="0.3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x14ac:dyDescent="0.3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x14ac:dyDescent="0.3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x14ac:dyDescent="0.3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x14ac:dyDescent="0.3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x14ac:dyDescent="0.3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x14ac:dyDescent="0.3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x14ac:dyDescent="0.3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x14ac:dyDescent="0.3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x14ac:dyDescent="0.3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x14ac:dyDescent="0.3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x14ac:dyDescent="0.3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x14ac:dyDescent="0.3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x14ac:dyDescent="0.3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x14ac:dyDescent="0.3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x14ac:dyDescent="0.3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x14ac:dyDescent="0.3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x14ac:dyDescent="0.3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x14ac:dyDescent="0.3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x14ac:dyDescent="0.3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x14ac:dyDescent="0.3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x14ac:dyDescent="0.3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x14ac:dyDescent="0.3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x14ac:dyDescent="0.3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x14ac:dyDescent="0.3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x14ac:dyDescent="0.3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x14ac:dyDescent="0.3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x14ac:dyDescent="0.3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x14ac:dyDescent="0.3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x14ac:dyDescent="0.3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x14ac:dyDescent="0.3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x14ac:dyDescent="0.3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x14ac:dyDescent="0.3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x14ac:dyDescent="0.3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x14ac:dyDescent="0.3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x14ac:dyDescent="0.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x14ac:dyDescent="0.3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x14ac:dyDescent="0.3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x14ac:dyDescent="0.3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x14ac:dyDescent="0.3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x14ac:dyDescent="0.3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x14ac:dyDescent="0.3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x14ac:dyDescent="0.3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x14ac:dyDescent="0.3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x14ac:dyDescent="0.3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x14ac:dyDescent="0.3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x14ac:dyDescent="0.3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x14ac:dyDescent="0.3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x14ac:dyDescent="0.3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x14ac:dyDescent="0.3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x14ac:dyDescent="0.3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x14ac:dyDescent="0.3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x14ac:dyDescent="0.3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x14ac:dyDescent="0.3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x14ac:dyDescent="0.3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x14ac:dyDescent="0.3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x14ac:dyDescent="0.3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x14ac:dyDescent="0.3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x14ac:dyDescent="0.3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x14ac:dyDescent="0.3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x14ac:dyDescent="0.3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x14ac:dyDescent="0.3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x14ac:dyDescent="0.3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x14ac:dyDescent="0.3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x14ac:dyDescent="0.3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x14ac:dyDescent="0.3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x14ac:dyDescent="0.3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x14ac:dyDescent="0.3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x14ac:dyDescent="0.3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x14ac:dyDescent="0.3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x14ac:dyDescent="0.3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x14ac:dyDescent="0.3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x14ac:dyDescent="0.3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x14ac:dyDescent="0.3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x14ac:dyDescent="0.3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x14ac:dyDescent="0.3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x14ac:dyDescent="0.3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x14ac:dyDescent="0.3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x14ac:dyDescent="0.3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x14ac:dyDescent="0.3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x14ac:dyDescent="0.3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x14ac:dyDescent="0.3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x14ac:dyDescent="0.3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x14ac:dyDescent="0.3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x14ac:dyDescent="0.3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x14ac:dyDescent="0.3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x14ac:dyDescent="0.3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x14ac:dyDescent="0.3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x14ac:dyDescent="0.3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x14ac:dyDescent="0.3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x14ac:dyDescent="0.3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x14ac:dyDescent="0.3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x14ac:dyDescent="0.3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x14ac:dyDescent="0.3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x14ac:dyDescent="0.3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x14ac:dyDescent="0.3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x14ac:dyDescent="0.3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x14ac:dyDescent="0.3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x14ac:dyDescent="0.3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x14ac:dyDescent="0.3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x14ac:dyDescent="0.3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x14ac:dyDescent="0.3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x14ac:dyDescent="0.3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x14ac:dyDescent="0.3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x14ac:dyDescent="0.3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x14ac:dyDescent="0.3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x14ac:dyDescent="0.3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x14ac:dyDescent="0.3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x14ac:dyDescent="0.3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x14ac:dyDescent="0.3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x14ac:dyDescent="0.3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x14ac:dyDescent="0.3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x14ac:dyDescent="0.3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x14ac:dyDescent="0.3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x14ac:dyDescent="0.3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x14ac:dyDescent="0.3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x14ac:dyDescent="0.3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x14ac:dyDescent="0.3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x14ac:dyDescent="0.3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x14ac:dyDescent="0.3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x14ac:dyDescent="0.3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x14ac:dyDescent="0.3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x14ac:dyDescent="0.3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x14ac:dyDescent="0.3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x14ac:dyDescent="0.3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x14ac:dyDescent="0.3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x14ac:dyDescent="0.3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x14ac:dyDescent="0.3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x14ac:dyDescent="0.3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x14ac:dyDescent="0.3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x14ac:dyDescent="0.3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x14ac:dyDescent="0.3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x14ac:dyDescent="0.3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x14ac:dyDescent="0.3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x14ac:dyDescent="0.3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x14ac:dyDescent="0.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x14ac:dyDescent="0.3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x14ac:dyDescent="0.3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x14ac:dyDescent="0.3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x14ac:dyDescent="0.3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x14ac:dyDescent="0.3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x14ac:dyDescent="0.3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x14ac:dyDescent="0.3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x14ac:dyDescent="0.3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x14ac:dyDescent="0.3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x14ac:dyDescent="0.3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x14ac:dyDescent="0.3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x14ac:dyDescent="0.3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x14ac:dyDescent="0.3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x14ac:dyDescent="0.3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x14ac:dyDescent="0.3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x14ac:dyDescent="0.3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x14ac:dyDescent="0.3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x14ac:dyDescent="0.3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x14ac:dyDescent="0.3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x14ac:dyDescent="0.3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x14ac:dyDescent="0.3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x14ac:dyDescent="0.3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x14ac:dyDescent="0.3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x14ac:dyDescent="0.3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x14ac:dyDescent="0.3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x14ac:dyDescent="0.3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x14ac:dyDescent="0.3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x14ac:dyDescent="0.3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x14ac:dyDescent="0.3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x14ac:dyDescent="0.3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x14ac:dyDescent="0.3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x14ac:dyDescent="0.3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x14ac:dyDescent="0.3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x14ac:dyDescent="0.3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x14ac:dyDescent="0.3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x14ac:dyDescent="0.3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x14ac:dyDescent="0.3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x14ac:dyDescent="0.3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x14ac:dyDescent="0.3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x14ac:dyDescent="0.3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x14ac:dyDescent="0.3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x14ac:dyDescent="0.3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x14ac:dyDescent="0.3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x14ac:dyDescent="0.3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x14ac:dyDescent="0.3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x14ac:dyDescent="0.3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x14ac:dyDescent="0.3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x14ac:dyDescent="0.3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x14ac:dyDescent="0.3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x14ac:dyDescent="0.3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x14ac:dyDescent="0.3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x14ac:dyDescent="0.3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x14ac:dyDescent="0.3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x14ac:dyDescent="0.3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x14ac:dyDescent="0.3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x14ac:dyDescent="0.3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x14ac:dyDescent="0.3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x14ac:dyDescent="0.3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x14ac:dyDescent="0.3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x14ac:dyDescent="0.3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x14ac:dyDescent="0.3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x14ac:dyDescent="0.3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x14ac:dyDescent="0.3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x14ac:dyDescent="0.3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x14ac:dyDescent="0.3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x14ac:dyDescent="0.3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x14ac:dyDescent="0.3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x14ac:dyDescent="0.3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x14ac:dyDescent="0.3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x14ac:dyDescent="0.3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x14ac:dyDescent="0.3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x14ac:dyDescent="0.3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x14ac:dyDescent="0.3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x14ac:dyDescent="0.3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x14ac:dyDescent="0.3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x14ac:dyDescent="0.3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x14ac:dyDescent="0.3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x14ac:dyDescent="0.3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x14ac:dyDescent="0.3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x14ac:dyDescent="0.3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x14ac:dyDescent="0.3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x14ac:dyDescent="0.3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x14ac:dyDescent="0.3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x14ac:dyDescent="0.3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x14ac:dyDescent="0.3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x14ac:dyDescent="0.3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x14ac:dyDescent="0.3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x14ac:dyDescent="0.3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x14ac:dyDescent="0.3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x14ac:dyDescent="0.3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x14ac:dyDescent="0.3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x14ac:dyDescent="0.3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x14ac:dyDescent="0.3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x14ac:dyDescent="0.3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x14ac:dyDescent="0.3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x14ac:dyDescent="0.3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x14ac:dyDescent="0.3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x14ac:dyDescent="0.3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x14ac:dyDescent="0.3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x14ac:dyDescent="0.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x14ac:dyDescent="0.3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x14ac:dyDescent="0.3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x14ac:dyDescent="0.3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x14ac:dyDescent="0.3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x14ac:dyDescent="0.3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x14ac:dyDescent="0.3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x14ac:dyDescent="0.3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x14ac:dyDescent="0.3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x14ac:dyDescent="0.3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x14ac:dyDescent="0.3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x14ac:dyDescent="0.3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x14ac:dyDescent="0.3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x14ac:dyDescent="0.3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x14ac:dyDescent="0.3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x14ac:dyDescent="0.3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x14ac:dyDescent="0.3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x14ac:dyDescent="0.3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x14ac:dyDescent="0.3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x14ac:dyDescent="0.3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x14ac:dyDescent="0.3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x14ac:dyDescent="0.3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x14ac:dyDescent="0.3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x14ac:dyDescent="0.3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x14ac:dyDescent="0.3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x14ac:dyDescent="0.3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x14ac:dyDescent="0.3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x14ac:dyDescent="0.3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x14ac:dyDescent="0.3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x14ac:dyDescent="0.3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x14ac:dyDescent="0.3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x14ac:dyDescent="0.3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x14ac:dyDescent="0.3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x14ac:dyDescent="0.3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x14ac:dyDescent="0.3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x14ac:dyDescent="0.3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x14ac:dyDescent="0.3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x14ac:dyDescent="0.3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x14ac:dyDescent="0.3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x14ac:dyDescent="0.3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x14ac:dyDescent="0.3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x14ac:dyDescent="0.3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x14ac:dyDescent="0.3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x14ac:dyDescent="0.3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x14ac:dyDescent="0.3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x14ac:dyDescent="0.3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x14ac:dyDescent="0.3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x14ac:dyDescent="0.3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x14ac:dyDescent="0.3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x14ac:dyDescent="0.3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x14ac:dyDescent="0.3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x14ac:dyDescent="0.3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x14ac:dyDescent="0.3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x14ac:dyDescent="0.3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x14ac:dyDescent="0.3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x14ac:dyDescent="0.3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x14ac:dyDescent="0.3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x14ac:dyDescent="0.3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x14ac:dyDescent="0.3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x14ac:dyDescent="0.3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x14ac:dyDescent="0.3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x14ac:dyDescent="0.3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x14ac:dyDescent="0.3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x14ac:dyDescent="0.3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x14ac:dyDescent="0.3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x14ac:dyDescent="0.3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x14ac:dyDescent="0.3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x14ac:dyDescent="0.3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x14ac:dyDescent="0.3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x14ac:dyDescent="0.3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x14ac:dyDescent="0.3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x14ac:dyDescent="0.3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x14ac:dyDescent="0.3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x14ac:dyDescent="0.3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x14ac:dyDescent="0.3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x14ac:dyDescent="0.3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x14ac:dyDescent="0.3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x14ac:dyDescent="0.3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x14ac:dyDescent="0.3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x14ac:dyDescent="0.3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x14ac:dyDescent="0.3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x14ac:dyDescent="0.3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x14ac:dyDescent="0.3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x14ac:dyDescent="0.3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x14ac:dyDescent="0.3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x14ac:dyDescent="0.3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x14ac:dyDescent="0.3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x14ac:dyDescent="0.3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x14ac:dyDescent="0.3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x14ac:dyDescent="0.3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x14ac:dyDescent="0.3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x14ac:dyDescent="0.3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x14ac:dyDescent="0.3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x14ac:dyDescent="0.3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x14ac:dyDescent="0.3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x14ac:dyDescent="0.3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x14ac:dyDescent="0.3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x14ac:dyDescent="0.3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x14ac:dyDescent="0.3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x14ac:dyDescent="0.3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x14ac:dyDescent="0.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x14ac:dyDescent="0.3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x14ac:dyDescent="0.3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x14ac:dyDescent="0.3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x14ac:dyDescent="0.3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x14ac:dyDescent="0.3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x14ac:dyDescent="0.3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x14ac:dyDescent="0.3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x14ac:dyDescent="0.3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x14ac:dyDescent="0.3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x14ac:dyDescent="0.3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x14ac:dyDescent="0.3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x14ac:dyDescent="0.3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x14ac:dyDescent="0.3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x14ac:dyDescent="0.3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x14ac:dyDescent="0.3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x14ac:dyDescent="0.3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x14ac:dyDescent="0.3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x14ac:dyDescent="0.3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x14ac:dyDescent="0.3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x14ac:dyDescent="0.3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x14ac:dyDescent="0.3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x14ac:dyDescent="0.3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x14ac:dyDescent="0.3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x14ac:dyDescent="0.3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x14ac:dyDescent="0.3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x14ac:dyDescent="0.3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x14ac:dyDescent="0.3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x14ac:dyDescent="0.3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x14ac:dyDescent="0.3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x14ac:dyDescent="0.3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x14ac:dyDescent="0.3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x14ac:dyDescent="0.3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x14ac:dyDescent="0.3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x14ac:dyDescent="0.3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x14ac:dyDescent="0.3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x14ac:dyDescent="0.3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x14ac:dyDescent="0.3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x14ac:dyDescent="0.3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x14ac:dyDescent="0.3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x14ac:dyDescent="0.3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x14ac:dyDescent="0.3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x14ac:dyDescent="0.3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x14ac:dyDescent="0.3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x14ac:dyDescent="0.3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x14ac:dyDescent="0.3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x14ac:dyDescent="0.3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x14ac:dyDescent="0.3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x14ac:dyDescent="0.3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x14ac:dyDescent="0.3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x14ac:dyDescent="0.3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x14ac:dyDescent="0.3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x14ac:dyDescent="0.3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x14ac:dyDescent="0.3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x14ac:dyDescent="0.3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x14ac:dyDescent="0.3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x14ac:dyDescent="0.3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x14ac:dyDescent="0.3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x14ac:dyDescent="0.3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x14ac:dyDescent="0.3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x14ac:dyDescent="0.3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x14ac:dyDescent="0.3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x14ac:dyDescent="0.3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x14ac:dyDescent="0.3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x14ac:dyDescent="0.3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x14ac:dyDescent="0.3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x14ac:dyDescent="0.3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x14ac:dyDescent="0.3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x14ac:dyDescent="0.3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x14ac:dyDescent="0.3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x14ac:dyDescent="0.3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x14ac:dyDescent="0.3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x14ac:dyDescent="0.3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x14ac:dyDescent="0.3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x14ac:dyDescent="0.3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x14ac:dyDescent="0.3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x14ac:dyDescent="0.3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x14ac:dyDescent="0.3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x14ac:dyDescent="0.3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x14ac:dyDescent="0.3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x14ac:dyDescent="0.3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x14ac:dyDescent="0.3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x14ac:dyDescent="0.3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x14ac:dyDescent="0.3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x14ac:dyDescent="0.3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x14ac:dyDescent="0.3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x14ac:dyDescent="0.3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x14ac:dyDescent="0.3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x14ac:dyDescent="0.3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x14ac:dyDescent="0.3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x14ac:dyDescent="0.3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x14ac:dyDescent="0.3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x14ac:dyDescent="0.3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x14ac:dyDescent="0.3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x14ac:dyDescent="0.3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x14ac:dyDescent="0.3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x14ac:dyDescent="0.3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x14ac:dyDescent="0.3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x14ac:dyDescent="0.3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x14ac:dyDescent="0.3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x14ac:dyDescent="0.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x14ac:dyDescent="0.3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x14ac:dyDescent="0.3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x14ac:dyDescent="0.3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x14ac:dyDescent="0.3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x14ac:dyDescent="0.3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x14ac:dyDescent="0.3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x14ac:dyDescent="0.3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x14ac:dyDescent="0.3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x14ac:dyDescent="0.3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x14ac:dyDescent="0.3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x14ac:dyDescent="0.3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x14ac:dyDescent="0.3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x14ac:dyDescent="0.3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x14ac:dyDescent="0.3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x14ac:dyDescent="0.3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x14ac:dyDescent="0.3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x14ac:dyDescent="0.3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x14ac:dyDescent="0.3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x14ac:dyDescent="0.3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x14ac:dyDescent="0.3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x14ac:dyDescent="0.3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x14ac:dyDescent="0.3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x14ac:dyDescent="0.3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x14ac:dyDescent="0.3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x14ac:dyDescent="0.3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x14ac:dyDescent="0.3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x14ac:dyDescent="0.3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x14ac:dyDescent="0.3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x14ac:dyDescent="0.3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x14ac:dyDescent="0.3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x14ac:dyDescent="0.3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x14ac:dyDescent="0.3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x14ac:dyDescent="0.3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x14ac:dyDescent="0.3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x14ac:dyDescent="0.3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x14ac:dyDescent="0.3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x14ac:dyDescent="0.3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</sheetData>
  <printOptions horizontalCentered="1" gridLines="1"/>
  <pageMargins left="0.7" right="0.7" top="0.75" bottom="0.75" header="0" footer="0"/>
  <pageSetup paperSize="9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LUCERO CUERO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2025-10-20T15:28:47Z</dcterms:modified>
</cp:coreProperties>
</file>