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activeTab="1"/>
  </bookViews>
  <sheets>
    <sheet name="Listado" sheetId="1" r:id="rId1"/>
    <sheet name="tabla x hora" sheetId="4" r:id="rId2"/>
    <sheet name="según hora x tienda" sheetId="3" r:id="rId3"/>
  </sheets>
  <definedNames>
    <definedName name="_xlnm._FilterDatabase" localSheetId="0" hidden="1">Listado!$A$1:$U$27</definedName>
    <definedName name="_xlnm._FilterDatabase" localSheetId="2" hidden="1">'según hora x tienda'!$A$1:$N$28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" i="1" l="1"/>
  <c r="Q15" i="1"/>
  <c r="P28" i="1" l="1"/>
  <c r="Q27" i="1"/>
  <c r="Q25" i="1"/>
  <c r="Q24" i="1"/>
  <c r="Q21" i="1"/>
  <c r="Q20" i="1"/>
  <c r="Q19" i="1"/>
  <c r="Q18" i="1"/>
  <c r="Q17" i="1"/>
  <c r="Q14" i="1"/>
  <c r="Q13" i="1"/>
  <c r="Q12" i="1"/>
  <c r="Q11" i="1"/>
  <c r="Q10" i="1"/>
  <c r="Q9" i="1"/>
  <c r="Q7" i="1"/>
  <c r="Q6" i="1"/>
  <c r="Q5" i="1"/>
  <c r="Q4" i="1"/>
  <c r="Q2" i="1"/>
  <c r="J28" i="4" l="1"/>
  <c r="I28" i="4"/>
  <c r="H28" i="4"/>
  <c r="G28" i="4"/>
  <c r="F28" i="4"/>
  <c r="E28" i="4"/>
  <c r="D28" i="4"/>
  <c r="C25" i="4"/>
  <c r="C26" i="4"/>
  <c r="C27" i="4"/>
  <c r="C20" i="4"/>
  <c r="C19" i="4"/>
  <c r="C18" i="4"/>
  <c r="C17" i="4"/>
  <c r="C16" i="4"/>
  <c r="C13" i="4"/>
  <c r="C12" i="4"/>
  <c r="C11" i="4"/>
  <c r="C10" i="4"/>
  <c r="C9" i="4"/>
  <c r="C8" i="4"/>
  <c r="C7" i="4"/>
  <c r="C6" i="4"/>
  <c r="C5" i="4"/>
  <c r="C4" i="4"/>
  <c r="C3" i="4"/>
  <c r="C24" i="4"/>
  <c r="C23" i="4"/>
  <c r="C22" i="4"/>
  <c r="N22" i="4" l="1"/>
  <c r="N3" i="4"/>
  <c r="N26" i="4"/>
  <c r="N25" i="4"/>
  <c r="N4" i="4"/>
  <c r="O13" i="4"/>
  <c r="O5" i="4"/>
  <c r="P4" i="4"/>
  <c r="S5" i="4"/>
  <c r="Q7" i="4"/>
  <c r="T8" i="4"/>
  <c r="R10" i="4"/>
  <c r="P12" i="4"/>
  <c r="S13" i="4"/>
  <c r="T16" i="4"/>
  <c r="R18" i="4"/>
  <c r="P20" i="4"/>
  <c r="Q23" i="4"/>
  <c r="T24" i="4"/>
  <c r="R26" i="4"/>
  <c r="N23" i="4"/>
  <c r="O3" i="4"/>
  <c r="O20" i="4"/>
  <c r="O12" i="4"/>
  <c r="O4" i="4"/>
  <c r="Q4" i="4"/>
  <c r="T5" i="4"/>
  <c r="R7" i="4"/>
  <c r="P9" i="4"/>
  <c r="S10" i="4"/>
  <c r="Q12" i="4"/>
  <c r="T13" i="4"/>
  <c r="P17" i="4"/>
  <c r="S18" i="4"/>
  <c r="Q20" i="4"/>
  <c r="R23" i="4"/>
  <c r="P25" i="4"/>
  <c r="S26" i="4"/>
  <c r="N19" i="4"/>
  <c r="O27" i="4"/>
  <c r="O19" i="4"/>
  <c r="O11" i="4"/>
  <c r="R4" i="4"/>
  <c r="P6" i="4"/>
  <c r="S7" i="4"/>
  <c r="Q9" i="4"/>
  <c r="T10" i="4"/>
  <c r="R12" i="4"/>
  <c r="Q17" i="4"/>
  <c r="T18" i="4"/>
  <c r="R20" i="4"/>
  <c r="P22" i="4"/>
  <c r="S23" i="4"/>
  <c r="Q25" i="4"/>
  <c r="T26" i="4"/>
  <c r="N13" i="4"/>
  <c r="O26" i="4"/>
  <c r="O18" i="4"/>
  <c r="O10" i="4"/>
  <c r="P3" i="4"/>
  <c r="S4" i="4"/>
  <c r="Q6" i="4"/>
  <c r="T7" i="4"/>
  <c r="R9" i="4"/>
  <c r="P11" i="4"/>
  <c r="S12" i="4"/>
  <c r="R17" i="4"/>
  <c r="P19" i="4"/>
  <c r="S20" i="4"/>
  <c r="Q22" i="4"/>
  <c r="T23" i="4"/>
  <c r="R25" i="4"/>
  <c r="P27" i="4"/>
  <c r="N12" i="4"/>
  <c r="O25" i="4"/>
  <c r="O17" i="4"/>
  <c r="O9" i="4"/>
  <c r="Q3" i="4"/>
  <c r="T4" i="4"/>
  <c r="R6" i="4"/>
  <c r="P8" i="4"/>
  <c r="S9" i="4"/>
  <c r="Q11" i="4"/>
  <c r="T12" i="4"/>
  <c r="P16" i="4"/>
  <c r="S17" i="4"/>
  <c r="Q19" i="4"/>
  <c r="T20" i="4"/>
  <c r="R22" i="4"/>
  <c r="P24" i="4"/>
  <c r="S25" i="4"/>
  <c r="Q27" i="4"/>
  <c r="N9" i="4"/>
  <c r="O24" i="4"/>
  <c r="O16" i="4"/>
  <c r="O8" i="4"/>
  <c r="R3" i="4"/>
  <c r="P5" i="4"/>
  <c r="S6" i="4"/>
  <c r="Q8" i="4"/>
  <c r="T9" i="4"/>
  <c r="R11" i="4"/>
  <c r="P13" i="4"/>
  <c r="Q16" i="4"/>
  <c r="T17" i="4"/>
  <c r="R19" i="4"/>
  <c r="S22" i="4"/>
  <c r="Q24" i="4"/>
  <c r="T25" i="4"/>
  <c r="R27" i="4"/>
  <c r="N8" i="4"/>
  <c r="O23" i="4"/>
  <c r="O7" i="4"/>
  <c r="S3" i="4"/>
  <c r="Q5" i="4"/>
  <c r="T6" i="4"/>
  <c r="R8" i="4"/>
  <c r="P10" i="4"/>
  <c r="S11" i="4"/>
  <c r="Q13" i="4"/>
  <c r="R16" i="4"/>
  <c r="P18" i="4"/>
  <c r="S19" i="4"/>
  <c r="T22" i="4"/>
  <c r="R24" i="4"/>
  <c r="P26" i="4"/>
  <c r="S27" i="4"/>
  <c r="N5" i="4"/>
  <c r="O22" i="4"/>
  <c r="O6" i="4"/>
  <c r="T3" i="4"/>
  <c r="R5" i="4"/>
  <c r="P7" i="4"/>
  <c r="S8" i="4"/>
  <c r="Q10" i="4"/>
  <c r="T11" i="4"/>
  <c r="R13" i="4"/>
  <c r="S16" i="4"/>
  <c r="Q18" i="4"/>
  <c r="T19" i="4"/>
  <c r="P23" i="4"/>
  <c r="S24" i="4"/>
  <c r="Q26" i="4"/>
  <c r="T27" i="4"/>
  <c r="N24" i="4"/>
  <c r="N20" i="4"/>
  <c r="N16" i="4"/>
  <c r="N27" i="4"/>
  <c r="N11" i="4"/>
  <c r="N7" i="4"/>
  <c r="N18" i="4"/>
  <c r="N10" i="4"/>
  <c r="N6" i="4"/>
  <c r="N17" i="4"/>
  <c r="K5" i="4" l="1"/>
  <c r="K24" i="4"/>
  <c r="K17" i="4"/>
  <c r="K19" i="4"/>
  <c r="K13" i="4"/>
  <c r="K18" i="4"/>
  <c r="K10" i="4"/>
  <c r="K7" i="4"/>
  <c r="K8" i="4"/>
  <c r="K25" i="4"/>
  <c r="K9" i="4"/>
  <c r="K23" i="4"/>
  <c r="K26" i="4"/>
  <c r="K22" i="4"/>
  <c r="K27" i="4"/>
  <c r="K11" i="4"/>
  <c r="K3" i="4"/>
  <c r="K16" i="4"/>
  <c r="K12" i="4"/>
  <c r="K6" i="4"/>
  <c r="K4" i="4"/>
  <c r="K20" i="4"/>
  <c r="T12" i="1"/>
  <c r="T13" i="1"/>
  <c r="T14" i="1"/>
  <c r="T17" i="1"/>
  <c r="T18" i="1"/>
  <c r="T19" i="1"/>
  <c r="T20" i="1"/>
  <c r="T21" i="1"/>
  <c r="T24" i="1"/>
  <c r="T25" i="1"/>
  <c r="T27" i="1"/>
  <c r="T2" i="1"/>
  <c r="T3" i="1"/>
  <c r="T4" i="1"/>
  <c r="T5" i="1"/>
  <c r="T6" i="1"/>
  <c r="T7" i="1"/>
  <c r="T8" i="1"/>
  <c r="T9" i="1"/>
  <c r="T10" i="1"/>
  <c r="T11" i="1"/>
  <c r="T23" i="1"/>
  <c r="C21" i="4" l="1"/>
  <c r="C14" i="4"/>
  <c r="S21" i="4" l="1"/>
  <c r="O21" i="4"/>
  <c r="R21" i="4"/>
  <c r="Q21" i="4"/>
  <c r="P21" i="4"/>
  <c r="T21" i="4"/>
  <c r="N21" i="4"/>
  <c r="N14" i="4"/>
  <c r="O14" i="4"/>
  <c r="T14" i="4"/>
  <c r="S14" i="4"/>
  <c r="R14" i="4"/>
  <c r="Q14" i="4"/>
  <c r="P14" i="4"/>
  <c r="C15" i="4"/>
  <c r="K21" i="4" l="1"/>
  <c r="K14" i="4"/>
  <c r="P15" i="4"/>
  <c r="P28" i="4" s="1"/>
  <c r="O15" i="4"/>
  <c r="O28" i="4" s="1"/>
  <c r="T15" i="4"/>
  <c r="T28" i="4" s="1"/>
  <c r="S15" i="4"/>
  <c r="S28" i="4" s="1"/>
  <c r="R15" i="4"/>
  <c r="R28" i="4" s="1"/>
  <c r="Q15" i="4"/>
  <c r="Q28" i="4" s="1"/>
  <c r="N15" i="4"/>
  <c r="N28" i="4" s="1"/>
  <c r="K28" i="4" l="1"/>
  <c r="K15" i="4"/>
  <c r="U28" i="4"/>
  <c r="U29" i="4" s="1"/>
</calcChain>
</file>

<file path=xl/sharedStrings.xml><?xml version="1.0" encoding="utf-8"?>
<sst xmlns="http://schemas.openxmlformats.org/spreadsheetml/2006/main" count="322" uniqueCount="143">
  <si>
    <t>Legajo</t>
  </si>
  <si>
    <t>Apellido y Nombre</t>
  </si>
  <si>
    <t>Periodo</t>
  </si>
  <si>
    <t>Tienda asignada este mes</t>
  </si>
  <si>
    <t>Horas Totales</t>
  </si>
  <si>
    <t>Hs Normales (con vacaciones y feriados NO trabajados)</t>
  </si>
  <si>
    <t>Hs Feriados (Horas)</t>
  </si>
  <si>
    <t>Feriados No trabajados (Hs)</t>
  </si>
  <si>
    <t>Licencias justificadas 
(en HORAS)</t>
  </si>
  <si>
    <t>Plus vacacional</t>
  </si>
  <si>
    <t>Cant dias vacaciones anticipadas 2025-2026 *</t>
  </si>
  <si>
    <t>Premios</t>
  </si>
  <si>
    <t>Sueldo Neto</t>
  </si>
  <si>
    <t>Sueldo Bruto</t>
  </si>
  <si>
    <t>Contribuciones + ART</t>
  </si>
  <si>
    <t>Costo total</t>
  </si>
  <si>
    <t>Observaciones</t>
  </si>
  <si>
    <t>Eredia Cintia</t>
  </si>
  <si>
    <t>Visual</t>
  </si>
  <si>
    <t>0.00</t>
  </si>
  <si>
    <t>NO</t>
  </si>
  <si>
    <t>Bertolo Milagros</t>
  </si>
  <si>
    <t>Lucero French</t>
  </si>
  <si>
    <t>109.00</t>
  </si>
  <si>
    <t>4.00</t>
  </si>
  <si>
    <t>Cobra comisión *</t>
  </si>
  <si>
    <t>Machuca Araceli</t>
  </si>
  <si>
    <t>106.00</t>
  </si>
  <si>
    <t>Villarruel Candela</t>
  </si>
  <si>
    <t>AS San Telmo</t>
  </si>
  <si>
    <t>$1355 valor de ART- Licencia x maternidad hasta el 8/09 que se reincorpora</t>
  </si>
  <si>
    <t>Scholler Chavez Ruth</t>
  </si>
  <si>
    <t>103.00</t>
  </si>
  <si>
    <t>TOTAL</t>
  </si>
  <si>
    <t>VENDEDOR B - tarifa standard</t>
  </si>
  <si>
    <t>Vendedor B - S Neto</t>
  </si>
  <si>
    <t>Vendedor B - S Bruto</t>
  </si>
  <si>
    <t>COSTO TOTAL</t>
  </si>
  <si>
    <t>VENDEDORA B 88 HS</t>
  </si>
  <si>
    <t>VENDEDORA B 132 HS</t>
  </si>
  <si>
    <t>Dif plus vacacional 88hs</t>
  </si>
  <si>
    <t>43505.56</t>
  </si>
  <si>
    <t>Dif plus vacacional 132 Hs</t>
  </si>
  <si>
    <t>65053.89</t>
  </si>
  <si>
    <t>Viña Sofia</t>
  </si>
  <si>
    <t>Lucero Florida</t>
  </si>
  <si>
    <t>Urbieta Barbara Giselle</t>
  </si>
  <si>
    <t>Supervisora</t>
  </si>
  <si>
    <t>8.00</t>
  </si>
  <si>
    <t>Ruiz de la Torre Maitena</t>
  </si>
  <si>
    <t>Imperiale Candela</t>
  </si>
  <si>
    <t>Balmaceda Luciana</t>
  </si>
  <si>
    <t>Inicio Licencia por maternidad 26/08. Inició reposo por embarazo desde el 18/07 y continá. Hs totales 88hs mínimo por convenio.</t>
  </si>
  <si>
    <t>Martina Migueles</t>
  </si>
  <si>
    <t>BAJA por despido el 31/08/2025 (dia trabajado). 
No cobra premio porque ingresó en julio (cobran a partir del 3er mes)</t>
  </si>
  <si>
    <t>Cabovianco Natalia</t>
  </si>
  <si>
    <t>Lucero San Telmo</t>
  </si>
  <si>
    <t>Carrizo Camila</t>
  </si>
  <si>
    <t>Esposito Candela</t>
  </si>
  <si>
    <t>Barajas Barbara</t>
  </si>
  <si>
    <t>Lucero Recoleta</t>
  </si>
  <si>
    <t>De Brito Rocio</t>
  </si>
  <si>
    <t>Lucero Güemes</t>
  </si>
  <si>
    <t>Lara Robbio</t>
  </si>
  <si>
    <t>Molina Agustina</t>
  </si>
  <si>
    <t>Kiara Corbalan</t>
  </si>
  <si>
    <t>BAJA por renuncia el 31/08/2025</t>
  </si>
  <si>
    <t>Martínez Brisa</t>
  </si>
  <si>
    <t>BAJA por despido el 13/08/2025 (dia trabajado)</t>
  </si>
  <si>
    <t>CORONEL Mailen</t>
  </si>
  <si>
    <t>Gimenez Candela</t>
  </si>
  <si>
    <t>Oliva Micaela</t>
  </si>
  <si>
    <t>Mohamad Daila</t>
  </si>
  <si>
    <t>Lucero San Telmo 2</t>
  </si>
  <si>
    <t>Morena Martinez</t>
  </si>
  <si>
    <t>Sarapura Rebecca</t>
  </si>
  <si>
    <t>BAJA por renuncia el 10/08 (dia trabajado)</t>
  </si>
  <si>
    <t>BAJAS</t>
  </si>
  <si>
    <t>Migueles Martina</t>
  </si>
  <si>
    <t>Corbalan Kiara Alejandra</t>
  </si>
  <si>
    <t>Martinez Brisa Nicole</t>
  </si>
  <si>
    <t>Sarapura Velazquez Rebecca</t>
  </si>
  <si>
    <t>% contribuciones</t>
  </si>
  <si>
    <t>Empleado</t>
  </si>
  <si>
    <t>Hs totales</t>
  </si>
  <si>
    <t>Hs trabajadas</t>
  </si>
  <si>
    <t>Hs feriado</t>
  </si>
  <si>
    <t>Días de vacaciones</t>
  </si>
  <si>
    <t>Hs nocturnas</t>
  </si>
  <si>
    <t>Licencias pagas</t>
  </si>
  <si>
    <t>Días injustificados</t>
  </si>
  <si>
    <t>Observaciones (ej. hs en cada tienda, feriodo trabajado si/no)</t>
  </si>
  <si>
    <t>Fin de período de prueba</t>
  </si>
  <si>
    <t>Legajo Anterior</t>
  </si>
  <si>
    <t>117.00</t>
  </si>
  <si>
    <t>LUCERO FLORIDA</t>
  </si>
  <si>
    <t>1 Feriado no trabajado</t>
  </si>
  <si>
    <t>122.00</t>
  </si>
  <si>
    <t>130.00</t>
  </si>
  <si>
    <t>88.00</t>
  </si>
  <si>
    <t>Permanece con reposo por embarazo del hasta el 26/8. Comienza su licencia por maternidad a partir del 26/8</t>
  </si>
  <si>
    <t>102.00</t>
  </si>
  <si>
    <t>Ingreso 07/07</t>
  </si>
  <si>
    <t>108.00</t>
  </si>
  <si>
    <t>104.00</t>
  </si>
  <si>
    <t>127.00</t>
  </si>
  <si>
    <t>121.00</t>
  </si>
  <si>
    <t>132.00</t>
  </si>
  <si>
    <t>110.00</t>
  </si>
  <si>
    <t>8 horas realizadas en Recoleta. 1 Feriado no trabajado</t>
  </si>
  <si>
    <t>De las horas normales 63 hs en Lucero 1_ 40 Lucero 2. Horas feriado en Lucero 1. Hay 8 hs de vacaciones pero creo q las líquidas te en Julio. Sí, liquidadas y descontadas en Julio</t>
  </si>
  <si>
    <t>Liq final 13/08</t>
  </si>
  <si>
    <t>111.00</t>
  </si>
  <si>
    <t>8 horas realizadas en Florida. 1 Feriado no trabajado</t>
  </si>
  <si>
    <t>126.00</t>
  </si>
  <si>
    <t>120.00</t>
  </si>
  <si>
    <t>De las horas normales 69 fueron realizadas en Florida</t>
  </si>
  <si>
    <t>112.00</t>
  </si>
  <si>
    <t>39.00</t>
  </si>
  <si>
    <t>LIQ Final 10/08/2025</t>
  </si>
  <si>
    <t>115.00</t>
  </si>
  <si>
    <t>De las horas normales 67 hs en Lucero 1_ 44 Lucero 1. Horas feriado en Lucero 1</t>
  </si>
  <si>
    <t>LUCERO FRENCH</t>
  </si>
  <si>
    <t>De las horas normales 78 hs en French_ 24 Lucero 2. Horas feriado en French</t>
  </si>
  <si>
    <t>AS SAN TELMO</t>
  </si>
  <si>
    <t>Licencia por maternidad desde 8/06/2025</t>
  </si>
  <si>
    <t>99.00</t>
  </si>
  <si>
    <t>De las horas normales 71 hs en French_ 28 Lucero 2. Horas feriado en French</t>
  </si>
  <si>
    <t>Gonzalez Valentina</t>
  </si>
  <si>
    <t>LUCERO SAN TELMO 2</t>
  </si>
  <si>
    <t>Liq Final 01/08</t>
  </si>
  <si>
    <t>VALOR HORA</t>
  </si>
  <si>
    <t>Valor hora</t>
  </si>
  <si>
    <t>Güemes</t>
  </si>
  <si>
    <t>Recoleta</t>
  </si>
  <si>
    <t>San Telmo 1</t>
  </si>
  <si>
    <t>San Telmo 2</t>
  </si>
  <si>
    <t>French</t>
  </si>
  <si>
    <t>Total</t>
  </si>
  <si>
    <t>Total horas</t>
  </si>
  <si>
    <t>Horas x tienda</t>
  </si>
  <si>
    <t>HORAS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</si>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</sst>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6FED8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horizontal="right" wrapText="1"/>
    </xf>
    <xf numFmtId="0" fontId="3" fillId="0" borderId="8" xfId="0" applyFont="1" applyBorder="1" applyAlignment="1">
      <alignment wrapText="1"/>
    </xf>
    <xf numFmtId="14" fontId="3" fillId="0" borderId="8" xfId="0" applyNumberFormat="1" applyFont="1" applyBorder="1" applyAlignment="1">
      <alignment horizontal="right" wrapText="1"/>
    </xf>
    <xf numFmtId="0" fontId="3" fillId="2" borderId="8" xfId="0" applyFont="1" applyFill="1" applyBorder="1" applyAlignment="1">
      <alignment horizontal="right" wrapText="1"/>
    </xf>
    <xf numFmtId="0" fontId="5" fillId="0" borderId="8" xfId="0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0" borderId="8" xfId="0" applyFont="1" applyBorder="1" applyAlignment="1"/>
    <xf numFmtId="0" fontId="4" fillId="0" borderId="4" xfId="0" applyFont="1" applyBorder="1" applyAlignment="1"/>
    <xf numFmtId="0" fontId="0" fillId="0" borderId="0" xfId="0" applyAlignment="1"/>
    <xf numFmtId="0" fontId="2" fillId="2" borderId="0" xfId="0" applyFont="1" applyFill="1" applyBorder="1" applyAlignment="1">
      <alignment horizontal="right" wrapText="1"/>
    </xf>
    <xf numFmtId="0" fontId="3" fillId="0" borderId="10" xfId="0" applyFont="1" applyBorder="1" applyAlignment="1">
      <alignment wrapText="1"/>
    </xf>
    <xf numFmtId="14" fontId="3" fillId="0" borderId="10" xfId="0" applyNumberFormat="1" applyFont="1" applyBorder="1" applyAlignment="1">
      <alignment horizontal="right" wrapText="1"/>
    </xf>
    <xf numFmtId="0" fontId="3" fillId="2" borderId="10" xfId="0" applyFont="1" applyFill="1" applyBorder="1" applyAlignment="1">
      <alignment horizontal="right" wrapText="1"/>
    </xf>
    <xf numFmtId="0" fontId="5" fillId="0" borderId="10" xfId="0" applyFont="1" applyBorder="1" applyAlignment="1">
      <alignment horizontal="right" wrapText="1"/>
    </xf>
    <xf numFmtId="0" fontId="4" fillId="0" borderId="10" xfId="0" applyFont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4" fillId="0" borderId="10" xfId="0" applyFont="1" applyBorder="1" applyAlignment="1"/>
    <xf numFmtId="0" fontId="2" fillId="0" borderId="9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0" fillId="0" borderId="9" xfId="0" applyBorder="1"/>
    <xf numFmtId="0" fontId="2" fillId="2" borderId="9" xfId="0" applyFont="1" applyFill="1" applyBorder="1" applyAlignment="1">
      <alignment horizontal="right" wrapText="1"/>
    </xf>
    <xf numFmtId="0" fontId="3" fillId="2" borderId="9" xfId="0" applyFont="1" applyFill="1" applyBorder="1" applyAlignment="1">
      <alignment wrapText="1"/>
    </xf>
    <xf numFmtId="14" fontId="3" fillId="0" borderId="9" xfId="0" applyNumberFormat="1" applyFont="1" applyBorder="1" applyAlignment="1">
      <alignment horizontal="right" wrapText="1"/>
    </xf>
    <xf numFmtId="0" fontId="3" fillId="0" borderId="9" xfId="0" applyFont="1" applyBorder="1" applyAlignment="1">
      <alignment wrapText="1"/>
    </xf>
    <xf numFmtId="0" fontId="3" fillId="2" borderId="9" xfId="0" applyFont="1" applyFill="1" applyBorder="1" applyAlignment="1">
      <alignment horizontal="right" wrapText="1"/>
    </xf>
    <xf numFmtId="0" fontId="4" fillId="0" borderId="9" xfId="0" applyFont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0" borderId="9" xfId="0" applyFont="1" applyBorder="1" applyAlignment="1"/>
    <xf numFmtId="0" fontId="5" fillId="0" borderId="9" xfId="0" applyFont="1" applyBorder="1" applyAlignment="1">
      <alignment horizontal="right" wrapText="1"/>
    </xf>
    <xf numFmtId="0" fontId="3" fillId="0" borderId="9" xfId="0" applyFont="1" applyBorder="1" applyAlignment="1">
      <alignment vertical="center"/>
    </xf>
    <xf numFmtId="164" fontId="0" fillId="0" borderId="0" xfId="0" applyNumberFormat="1"/>
    <xf numFmtId="164" fontId="2" fillId="0" borderId="9" xfId="1" applyNumberFormat="1" applyFont="1" applyBorder="1" applyAlignment="1">
      <alignment horizontal="center" wrapText="1"/>
    </xf>
    <xf numFmtId="164" fontId="2" fillId="2" borderId="9" xfId="1" applyNumberFormat="1" applyFont="1" applyFill="1" applyBorder="1" applyAlignment="1">
      <alignment horizontal="center" wrapText="1"/>
    </xf>
    <xf numFmtId="164" fontId="4" fillId="2" borderId="9" xfId="1" applyNumberFormat="1" applyFont="1" applyFill="1" applyBorder="1" applyAlignment="1">
      <alignment wrapText="1"/>
    </xf>
    <xf numFmtId="164" fontId="3" fillId="2" borderId="9" xfId="1" applyNumberFormat="1" applyFont="1" applyFill="1" applyBorder="1" applyAlignment="1">
      <alignment horizontal="right" wrapText="1"/>
    </xf>
    <xf numFmtId="164" fontId="5" fillId="2" borderId="9" xfId="1" applyNumberFormat="1" applyFont="1" applyFill="1" applyBorder="1" applyAlignment="1">
      <alignment horizontal="right" wrapText="1"/>
    </xf>
    <xf numFmtId="164" fontId="3" fillId="2" borderId="10" xfId="1" applyNumberFormat="1" applyFont="1" applyFill="1" applyBorder="1" applyAlignment="1">
      <alignment horizontal="right" wrapText="1"/>
    </xf>
    <xf numFmtId="164" fontId="5" fillId="2" borderId="10" xfId="1" applyNumberFormat="1" applyFont="1" applyFill="1" applyBorder="1" applyAlignment="1">
      <alignment horizontal="right" wrapText="1"/>
    </xf>
    <xf numFmtId="164" fontId="3" fillId="2" borderId="8" xfId="1" applyNumberFormat="1" applyFont="1" applyFill="1" applyBorder="1" applyAlignment="1">
      <alignment horizontal="right" wrapText="1"/>
    </xf>
    <xf numFmtId="164" fontId="5" fillId="2" borderId="8" xfId="1" applyNumberFormat="1" applyFont="1" applyFill="1" applyBorder="1" applyAlignment="1">
      <alignment horizontal="right" wrapText="1"/>
    </xf>
    <xf numFmtId="164" fontId="4" fillId="0" borderId="4" xfId="1" applyNumberFormat="1" applyFont="1" applyBorder="1" applyAlignment="1">
      <alignment wrapText="1"/>
    </xf>
    <xf numFmtId="164" fontId="4" fillId="2" borderId="4" xfId="1" applyNumberFormat="1" applyFont="1" applyFill="1" applyBorder="1" applyAlignment="1">
      <alignment wrapText="1"/>
    </xf>
    <xf numFmtId="164" fontId="0" fillId="0" borderId="0" xfId="1" applyNumberFormat="1" applyFont="1"/>
    <xf numFmtId="165" fontId="0" fillId="0" borderId="0" xfId="2" applyNumberFormat="1" applyFont="1"/>
    <xf numFmtId="165" fontId="0" fillId="0" borderId="9" xfId="2" applyNumberFormat="1" applyFont="1" applyBorder="1"/>
    <xf numFmtId="164" fontId="3" fillId="0" borderId="9" xfId="1" applyNumberFormat="1" applyFont="1" applyBorder="1" applyAlignment="1">
      <alignment horizontal="right" wrapText="1"/>
    </xf>
    <xf numFmtId="164" fontId="5" fillId="0" borderId="9" xfId="1" applyNumberFormat="1" applyFont="1" applyBorder="1" applyAlignment="1">
      <alignment horizontal="right" wrapText="1"/>
    </xf>
    <xf numFmtId="9" fontId="4" fillId="0" borderId="8" xfId="2" applyFont="1" applyBorder="1" applyAlignment="1"/>
    <xf numFmtId="14" fontId="0" fillId="0" borderId="0" xfId="0" applyNumberFormat="1"/>
    <xf numFmtId="1" fontId="2" fillId="2" borderId="9" xfId="0" applyNumberFormat="1" applyFont="1" applyFill="1" applyBorder="1" applyAlignment="1">
      <alignment horizontal="right" wrapText="1"/>
    </xf>
    <xf numFmtId="1" fontId="0" fillId="0" borderId="0" xfId="0" applyNumberFormat="1"/>
    <xf numFmtId="164" fontId="0" fillId="0" borderId="9" xfId="1" applyNumberFormat="1" applyFont="1" applyBorder="1"/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left"/>
    </xf>
    <xf numFmtId="164" fontId="0" fillId="0" borderId="9" xfId="0" applyNumberFormat="1" applyBorder="1"/>
    <xf numFmtId="164" fontId="7" fillId="0" borderId="9" xfId="0" applyNumberFormat="1" applyFont="1" applyBorder="1"/>
    <xf numFmtId="0" fontId="0" fillId="0" borderId="0" xfId="0" quotePrefix="1"/>
    <xf numFmtId="0" fontId="0" fillId="0" borderId="9" xfId="0" applyFill="1" applyBorder="1"/>
    <xf numFmtId="0" fontId="7" fillId="0" borderId="0" xfId="0" applyFont="1"/>
    <xf numFmtId="0" fontId="6" fillId="3" borderId="5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7" fillId="0" borderId="9" xfId="0" applyFont="1" applyBorder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opLeftCell="I1" zoomScaleNormal="100" workbookViewId="0">
      <selection activeCell="R6" sqref="R6"/>
    </sheetView>
  </sheetViews>
  <sheetFormatPr baseColWidth="10" defaultRowHeight="14.5" x14ac:dyDescent="0.35"/>
  <cols>
    <col min="2" max="2" width="28.54296875" customWidth="1"/>
    <col min="3" max="3" width="10.90625" customWidth="1"/>
    <col min="4" max="4" width="18.81640625" customWidth="1"/>
    <col min="5" max="5" width="11.54296875" customWidth="1"/>
    <col min="6" max="6" width="14.6328125" customWidth="1"/>
    <col min="7" max="10" width="11.54296875" customWidth="1"/>
    <col min="11" max="11" width="14.36328125" customWidth="1"/>
    <col min="12" max="12" width="12.1796875" style="58" customWidth="1"/>
    <col min="13" max="16" width="14.6328125" style="58" customWidth="1"/>
    <col min="17" max="17" width="19.1796875" style="58" bestFit="1" customWidth="1"/>
    <col min="18" max="18" width="10.90625" style="22" customWidth="1"/>
    <col min="19" max="19" width="10.90625" customWidth="1"/>
    <col min="20" max="20" width="10.90625" style="59"/>
    <col min="21" max="21" width="46.08984375" customWidth="1"/>
  </cols>
  <sheetData>
    <row r="1" spans="1:22" ht="70.5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2" t="s">
        <v>8</v>
      </c>
      <c r="J1" s="31" t="s">
        <v>9</v>
      </c>
      <c r="K1" s="33" t="s">
        <v>10</v>
      </c>
      <c r="L1" s="47" t="s">
        <v>11</v>
      </c>
      <c r="M1" s="47" t="s">
        <v>12</v>
      </c>
      <c r="N1" s="47" t="s">
        <v>13</v>
      </c>
      <c r="O1" s="48" t="s">
        <v>14</v>
      </c>
      <c r="P1" s="47" t="s">
        <v>15</v>
      </c>
      <c r="Q1" s="47" t="s">
        <v>131</v>
      </c>
      <c r="R1" s="34" t="s">
        <v>16</v>
      </c>
      <c r="S1" s="35"/>
      <c r="T1" s="60" t="s">
        <v>82</v>
      </c>
      <c r="U1" s="35" t="s">
        <v>140</v>
      </c>
    </row>
    <row r="2" spans="1:22" x14ac:dyDescent="0.35">
      <c r="A2" s="65">
        <v>1</v>
      </c>
      <c r="B2" s="39" t="s">
        <v>44</v>
      </c>
      <c r="C2" s="38">
        <v>45139</v>
      </c>
      <c r="D2" s="39" t="s">
        <v>45</v>
      </c>
      <c r="E2" s="40">
        <v>117</v>
      </c>
      <c r="F2" s="44">
        <v>112</v>
      </c>
      <c r="G2" s="44">
        <v>5</v>
      </c>
      <c r="H2" s="41"/>
      <c r="I2" s="42"/>
      <c r="J2" s="39" t="s">
        <v>20</v>
      </c>
      <c r="K2" s="41"/>
      <c r="L2" s="50">
        <v>44936</v>
      </c>
      <c r="M2" s="50">
        <v>691596</v>
      </c>
      <c r="N2" s="50">
        <v>885802.42</v>
      </c>
      <c r="O2" s="51">
        <v>288986.23</v>
      </c>
      <c r="P2" s="51">
        <v>1174788.6499999999</v>
      </c>
      <c r="Q2" s="51">
        <f>P2/E2</f>
        <v>10040.928632478632</v>
      </c>
      <c r="R2" s="43"/>
      <c r="S2" s="35">
        <v>139</v>
      </c>
      <c r="T2" s="60">
        <f t="shared" ref="T2:T15" si="0">O2/N2</f>
        <v>0.32624231259155961</v>
      </c>
      <c r="U2" s="35">
        <v>0</v>
      </c>
    </row>
    <row r="3" spans="1:22" x14ac:dyDescent="0.35">
      <c r="A3" s="65">
        <v>2</v>
      </c>
      <c r="B3" s="39" t="s">
        <v>46</v>
      </c>
      <c r="C3" s="38">
        <v>45341</v>
      </c>
      <c r="D3" s="39" t="s">
        <v>47</v>
      </c>
      <c r="E3" s="40">
        <v>0</v>
      </c>
      <c r="F3" s="44"/>
      <c r="G3" s="44"/>
      <c r="H3" s="41" t="s">
        <v>48</v>
      </c>
      <c r="I3" s="42"/>
      <c r="J3" s="39" t="s">
        <v>20</v>
      </c>
      <c r="K3" s="41"/>
      <c r="L3" s="50"/>
      <c r="M3" s="50">
        <v>790106</v>
      </c>
      <c r="N3" s="50">
        <v>1220203.23</v>
      </c>
      <c r="O3" s="51">
        <v>323244.11</v>
      </c>
      <c r="P3" s="51">
        <v>1543447.34</v>
      </c>
      <c r="Q3" s="51"/>
      <c r="R3" s="43" t="s">
        <v>25</v>
      </c>
      <c r="S3" s="35">
        <v>169</v>
      </c>
      <c r="T3" s="60">
        <f t="shared" si="0"/>
        <v>0.26491005928577976</v>
      </c>
      <c r="U3" s="35" t="s">
        <v>96</v>
      </c>
    </row>
    <row r="4" spans="1:22" x14ac:dyDescent="0.35">
      <c r="A4" s="65">
        <v>3</v>
      </c>
      <c r="B4" s="39" t="s">
        <v>49</v>
      </c>
      <c r="C4" s="38">
        <v>45345</v>
      </c>
      <c r="D4" s="39" t="s">
        <v>45</v>
      </c>
      <c r="E4" s="40">
        <v>122</v>
      </c>
      <c r="F4" s="44">
        <v>117</v>
      </c>
      <c r="G4" s="44">
        <v>5</v>
      </c>
      <c r="H4" s="41"/>
      <c r="I4" s="42"/>
      <c r="J4" s="39" t="s">
        <v>20</v>
      </c>
      <c r="K4" s="41"/>
      <c r="L4" s="50">
        <v>46856</v>
      </c>
      <c r="M4" s="50">
        <v>712984</v>
      </c>
      <c r="N4" s="61">
        <v>885802.42</v>
      </c>
      <c r="O4" s="62">
        <v>297905.84999999998</v>
      </c>
      <c r="P4" s="62">
        <v>1183708.27</v>
      </c>
      <c r="Q4" s="51">
        <f t="shared" ref="Q4:Q27" si="1">P4/E4</f>
        <v>9702.526803278688</v>
      </c>
      <c r="R4" s="43"/>
      <c r="S4" s="35">
        <v>170</v>
      </c>
      <c r="T4" s="60">
        <f t="shared" si="0"/>
        <v>0.33631184931736807</v>
      </c>
      <c r="U4" s="35">
        <v>0</v>
      </c>
    </row>
    <row r="5" spans="1:22" x14ac:dyDescent="0.35">
      <c r="A5" s="65">
        <v>4</v>
      </c>
      <c r="B5" s="39" t="s">
        <v>50</v>
      </c>
      <c r="C5" s="38">
        <v>45447</v>
      </c>
      <c r="D5" s="39" t="s">
        <v>45</v>
      </c>
      <c r="E5" s="40">
        <v>130</v>
      </c>
      <c r="F5" s="44">
        <v>124</v>
      </c>
      <c r="G5" s="44">
        <v>6</v>
      </c>
      <c r="H5" s="41"/>
      <c r="I5" s="42"/>
      <c r="J5" s="39" t="s">
        <v>20</v>
      </c>
      <c r="K5" s="41"/>
      <c r="L5" s="50">
        <v>49929</v>
      </c>
      <c r="M5" s="50">
        <v>762451</v>
      </c>
      <c r="N5" s="50">
        <v>976696.34</v>
      </c>
      <c r="O5" s="51">
        <v>318587.55</v>
      </c>
      <c r="P5" s="51">
        <v>1295283.8899999999</v>
      </c>
      <c r="Q5" s="51">
        <f t="shared" si="1"/>
        <v>9963.72223076923</v>
      </c>
      <c r="R5" s="43" t="s">
        <v>25</v>
      </c>
      <c r="S5" s="35">
        <v>173</v>
      </c>
      <c r="T5" s="60">
        <f t="shared" si="0"/>
        <v>0.3261889463003414</v>
      </c>
      <c r="U5" s="35">
        <v>0</v>
      </c>
    </row>
    <row r="6" spans="1:22" x14ac:dyDescent="0.35">
      <c r="A6" s="65">
        <v>5</v>
      </c>
      <c r="B6" s="39" t="s">
        <v>51</v>
      </c>
      <c r="C6" s="38">
        <v>45587</v>
      </c>
      <c r="D6" s="39" t="s">
        <v>45</v>
      </c>
      <c r="E6" s="40">
        <v>88</v>
      </c>
      <c r="F6" s="44">
        <v>0</v>
      </c>
      <c r="G6" s="44"/>
      <c r="H6" s="41" t="s">
        <v>24</v>
      </c>
      <c r="I6" s="42"/>
      <c r="J6" s="39" t="s">
        <v>20</v>
      </c>
      <c r="K6" s="41"/>
      <c r="L6" s="50"/>
      <c r="M6" s="50">
        <v>469077</v>
      </c>
      <c r="N6" s="50">
        <v>600075</v>
      </c>
      <c r="O6" s="51">
        <v>195656.48</v>
      </c>
      <c r="P6" s="51">
        <v>795731.48</v>
      </c>
      <c r="Q6" s="51">
        <f t="shared" si="1"/>
        <v>9042.4031818181811</v>
      </c>
      <c r="R6" s="43" t="s">
        <v>52</v>
      </c>
      <c r="S6" s="35">
        <v>186</v>
      </c>
      <c r="T6" s="60">
        <f t="shared" si="0"/>
        <v>0.32605337666125067</v>
      </c>
      <c r="U6" s="35" t="s">
        <v>100</v>
      </c>
    </row>
    <row r="7" spans="1:22" x14ac:dyDescent="0.35">
      <c r="A7" s="65">
        <v>6</v>
      </c>
      <c r="B7" s="39" t="s">
        <v>53</v>
      </c>
      <c r="C7" s="38">
        <v>45845</v>
      </c>
      <c r="D7" s="39" t="s">
        <v>45</v>
      </c>
      <c r="E7" s="40">
        <v>102</v>
      </c>
      <c r="F7" s="44">
        <v>98</v>
      </c>
      <c r="G7" s="44">
        <v>4</v>
      </c>
      <c r="H7" s="41"/>
      <c r="I7" s="42"/>
      <c r="J7" s="39" t="s">
        <v>20</v>
      </c>
      <c r="K7" s="41"/>
      <c r="L7" s="50"/>
      <c r="M7" s="50">
        <v>557268</v>
      </c>
      <c r="N7" s="50">
        <v>713247.24</v>
      </c>
      <c r="O7" s="51">
        <v>232552.66</v>
      </c>
      <c r="P7" s="51">
        <v>945799.9</v>
      </c>
      <c r="Q7" s="51">
        <f t="shared" si="1"/>
        <v>9272.548039215686</v>
      </c>
      <c r="R7" s="43" t="s">
        <v>54</v>
      </c>
      <c r="S7" s="35"/>
      <c r="T7" s="60">
        <f t="shared" si="0"/>
        <v>0.32604775309049916</v>
      </c>
      <c r="U7" s="35">
        <v>0</v>
      </c>
    </row>
    <row r="8" spans="1:22" x14ac:dyDescent="0.35">
      <c r="A8" s="65">
        <v>9</v>
      </c>
      <c r="B8" s="39" t="s">
        <v>55</v>
      </c>
      <c r="C8" s="38">
        <v>40030</v>
      </c>
      <c r="D8" s="39" t="s">
        <v>56</v>
      </c>
      <c r="E8" s="40">
        <v>8</v>
      </c>
      <c r="F8" s="44"/>
      <c r="G8" s="44">
        <v>8</v>
      </c>
      <c r="H8" s="41"/>
      <c r="I8" s="42"/>
      <c r="J8" s="39" t="s">
        <v>20</v>
      </c>
      <c r="K8" s="41"/>
      <c r="L8" s="50"/>
      <c r="M8" s="50">
        <v>1171591</v>
      </c>
      <c r="N8" s="50">
        <v>1444520.21</v>
      </c>
      <c r="O8" s="51">
        <v>382976.33</v>
      </c>
      <c r="P8" s="51">
        <v>1827496.54</v>
      </c>
      <c r="Q8" s="51"/>
      <c r="R8" s="43" t="s">
        <v>25</v>
      </c>
      <c r="S8" s="35">
        <v>10</v>
      </c>
      <c r="T8" s="60">
        <f t="shared" si="0"/>
        <v>0.26512355268466614</v>
      </c>
      <c r="U8" s="35">
        <v>0</v>
      </c>
    </row>
    <row r="9" spans="1:22" x14ac:dyDescent="0.35">
      <c r="A9" s="65">
        <v>10</v>
      </c>
      <c r="B9" s="39" t="s">
        <v>57</v>
      </c>
      <c r="C9" s="38">
        <v>44414</v>
      </c>
      <c r="D9" s="39" t="s">
        <v>29</v>
      </c>
      <c r="E9" s="40">
        <v>108</v>
      </c>
      <c r="F9" s="44">
        <v>104</v>
      </c>
      <c r="G9" s="44">
        <v>4</v>
      </c>
      <c r="H9" s="41"/>
      <c r="I9" s="42"/>
      <c r="J9" s="39" t="s">
        <v>20</v>
      </c>
      <c r="K9" s="41"/>
      <c r="L9" s="50">
        <v>24011</v>
      </c>
      <c r="M9" s="50">
        <v>633090</v>
      </c>
      <c r="N9" s="50">
        <v>810623.3</v>
      </c>
      <c r="O9" s="51">
        <v>264375.61</v>
      </c>
      <c r="P9" s="51">
        <v>1074998.9099999999</v>
      </c>
      <c r="Q9" s="51">
        <f t="shared" si="1"/>
        <v>9953.6936111111099</v>
      </c>
      <c r="R9" s="43" t="s">
        <v>25</v>
      </c>
      <c r="S9" s="35">
        <v>55</v>
      </c>
      <c r="T9" s="60">
        <f t="shared" si="0"/>
        <v>0.32613867625073195</v>
      </c>
      <c r="U9" s="35">
        <v>0</v>
      </c>
    </row>
    <row r="10" spans="1:22" x14ac:dyDescent="0.35">
      <c r="A10" s="65">
        <v>11</v>
      </c>
      <c r="B10" s="39" t="s">
        <v>58</v>
      </c>
      <c r="C10" s="38">
        <v>44854</v>
      </c>
      <c r="D10" s="39" t="s">
        <v>56</v>
      </c>
      <c r="E10" s="40">
        <v>127</v>
      </c>
      <c r="F10" s="44">
        <v>121</v>
      </c>
      <c r="G10" s="44">
        <v>6</v>
      </c>
      <c r="H10" s="41"/>
      <c r="I10" s="42"/>
      <c r="J10" s="39" t="s">
        <v>20</v>
      </c>
      <c r="K10" s="41"/>
      <c r="L10" s="50">
        <v>70120</v>
      </c>
      <c r="M10" s="50">
        <v>771191</v>
      </c>
      <c r="N10" s="50">
        <v>988051.99</v>
      </c>
      <c r="O10" s="51">
        <v>322429.92</v>
      </c>
      <c r="P10" s="51">
        <v>1310481.9099999999</v>
      </c>
      <c r="Q10" s="51">
        <f t="shared" si="1"/>
        <v>10318.755196850392</v>
      </c>
      <c r="R10" s="43" t="s">
        <v>25</v>
      </c>
      <c r="S10" s="35">
        <v>103</v>
      </c>
      <c r="T10" s="60">
        <f t="shared" si="0"/>
        <v>0.32632890097210371</v>
      </c>
      <c r="U10" s="35">
        <v>0</v>
      </c>
    </row>
    <row r="11" spans="1:22" x14ac:dyDescent="0.35">
      <c r="A11" s="65">
        <v>12</v>
      </c>
      <c r="B11" s="39" t="s">
        <v>59</v>
      </c>
      <c r="C11" s="38">
        <v>45057</v>
      </c>
      <c r="D11" s="39" t="s">
        <v>60</v>
      </c>
      <c r="E11" s="40">
        <v>132</v>
      </c>
      <c r="F11" s="44">
        <v>127</v>
      </c>
      <c r="G11" s="44">
        <v>5</v>
      </c>
      <c r="H11" s="41"/>
      <c r="I11" s="42"/>
      <c r="J11" s="39" t="s">
        <v>20</v>
      </c>
      <c r="K11" s="41"/>
      <c r="L11" s="50">
        <v>41056</v>
      </c>
      <c r="M11" s="50">
        <v>768555</v>
      </c>
      <c r="N11" s="50">
        <v>984423.87</v>
      </c>
      <c r="O11" s="51">
        <v>321001.18</v>
      </c>
      <c r="P11" s="51">
        <v>1305425.05</v>
      </c>
      <c r="Q11" s="51">
        <f t="shared" si="1"/>
        <v>9889.5837121212116</v>
      </c>
      <c r="R11" s="43" t="s">
        <v>25</v>
      </c>
      <c r="S11" s="35">
        <v>126</v>
      </c>
      <c r="T11" s="60">
        <f t="shared" si="0"/>
        <v>0.32608024833855359</v>
      </c>
      <c r="U11" s="35">
        <v>0</v>
      </c>
      <c r="V11">
        <v>946894</v>
      </c>
    </row>
    <row r="12" spans="1:22" x14ac:dyDescent="0.35">
      <c r="A12" s="65">
        <v>13</v>
      </c>
      <c r="B12" s="39" t="s">
        <v>61</v>
      </c>
      <c r="C12" s="38">
        <v>45085</v>
      </c>
      <c r="D12" s="39" t="s">
        <v>62</v>
      </c>
      <c r="E12" s="40">
        <v>110</v>
      </c>
      <c r="F12" s="44">
        <v>110</v>
      </c>
      <c r="G12" s="44">
        <v>0</v>
      </c>
      <c r="H12" s="41">
        <v>4</v>
      </c>
      <c r="I12" s="42"/>
      <c r="J12" s="39" t="s">
        <v>20</v>
      </c>
      <c r="K12" s="41"/>
      <c r="L12" s="50">
        <v>13862</v>
      </c>
      <c r="M12" s="50">
        <v>607988</v>
      </c>
      <c r="N12" s="50">
        <v>778238.68</v>
      </c>
      <c r="O12" s="51">
        <v>253645.26</v>
      </c>
      <c r="P12" s="51">
        <v>1031883.94</v>
      </c>
      <c r="Q12" s="51">
        <f t="shared" si="1"/>
        <v>9380.7630909090913</v>
      </c>
      <c r="R12" s="43"/>
      <c r="S12" s="35">
        <v>131</v>
      </c>
      <c r="T12" s="60">
        <f t="shared" si="0"/>
        <v>0.32592219651688348</v>
      </c>
      <c r="U12" s="35" t="s">
        <v>109</v>
      </c>
    </row>
    <row r="13" spans="1:22" x14ac:dyDescent="0.35">
      <c r="A13" s="65">
        <v>14</v>
      </c>
      <c r="B13" s="39" t="s">
        <v>63</v>
      </c>
      <c r="C13" s="38">
        <v>45139</v>
      </c>
      <c r="D13" s="39" t="s">
        <v>56</v>
      </c>
      <c r="E13" s="40">
        <v>109</v>
      </c>
      <c r="F13" s="44">
        <v>103</v>
      </c>
      <c r="G13" s="44">
        <v>6</v>
      </c>
      <c r="H13" s="41"/>
      <c r="I13" s="42"/>
      <c r="J13" s="39" t="s">
        <v>20</v>
      </c>
      <c r="K13" s="41"/>
      <c r="L13" s="50">
        <v>46328</v>
      </c>
      <c r="M13" s="50">
        <v>654478</v>
      </c>
      <c r="N13" s="50">
        <v>838271.4</v>
      </c>
      <c r="O13" s="51">
        <v>273591.46999999997</v>
      </c>
      <c r="P13" s="51">
        <v>1111862.8700000001</v>
      </c>
      <c r="Q13" s="51">
        <f t="shared" si="1"/>
        <v>10200.576788990827</v>
      </c>
      <c r="R13" s="43"/>
      <c r="S13" s="35">
        <v>138</v>
      </c>
      <c r="T13" s="60">
        <f t="shared" si="0"/>
        <v>0.32637576565298537</v>
      </c>
      <c r="U13" s="35" t="s">
        <v>110</v>
      </c>
    </row>
    <row r="14" spans="1:22" x14ac:dyDescent="0.35">
      <c r="A14" s="65">
        <v>15</v>
      </c>
      <c r="B14" s="39" t="s">
        <v>64</v>
      </c>
      <c r="C14" s="38">
        <v>45184</v>
      </c>
      <c r="D14" s="39" t="s">
        <v>29</v>
      </c>
      <c r="E14" s="40">
        <v>108</v>
      </c>
      <c r="F14" s="44">
        <v>104</v>
      </c>
      <c r="G14" s="44">
        <v>4</v>
      </c>
      <c r="H14" s="41"/>
      <c r="I14" s="42"/>
      <c r="J14" s="39" t="s">
        <v>20</v>
      </c>
      <c r="K14" s="41"/>
      <c r="L14" s="50">
        <v>24011</v>
      </c>
      <c r="M14" s="50">
        <v>614955</v>
      </c>
      <c r="N14" s="50">
        <v>787367.14</v>
      </c>
      <c r="O14" s="51">
        <v>256809.62</v>
      </c>
      <c r="P14" s="51">
        <v>1044176.76</v>
      </c>
      <c r="Q14" s="51">
        <f t="shared" si="1"/>
        <v>9668.3033333333333</v>
      </c>
      <c r="R14" s="43"/>
      <c r="S14" s="35">
        <v>143</v>
      </c>
      <c r="T14" s="60">
        <f t="shared" si="0"/>
        <v>0.32616248120286045</v>
      </c>
      <c r="U14" s="35">
        <v>0</v>
      </c>
    </row>
    <row r="15" spans="1:22" x14ac:dyDescent="0.35">
      <c r="A15" s="65">
        <v>16</v>
      </c>
      <c r="B15" s="39" t="s">
        <v>65</v>
      </c>
      <c r="C15" s="38">
        <v>45201</v>
      </c>
      <c r="D15" s="39" t="s">
        <v>29</v>
      </c>
      <c r="E15" s="40">
        <v>108</v>
      </c>
      <c r="F15" s="44">
        <v>104</v>
      </c>
      <c r="G15" s="44">
        <v>4</v>
      </c>
      <c r="H15" s="41"/>
      <c r="I15" s="42"/>
      <c r="J15" s="39" t="s">
        <v>20</v>
      </c>
      <c r="K15" s="41"/>
      <c r="L15" s="50">
        <v>0</v>
      </c>
      <c r="M15" s="50">
        <v>0</v>
      </c>
      <c r="N15" s="50">
        <v>787366.22000000009</v>
      </c>
      <c r="O15" s="51">
        <v>256809.62</v>
      </c>
      <c r="P15" s="51">
        <v>1044176.76</v>
      </c>
      <c r="Q15" s="51">
        <f t="shared" ref="Q15" si="2">P15/E15</f>
        <v>9668.3033333333333</v>
      </c>
      <c r="R15" s="43" t="s">
        <v>66</v>
      </c>
      <c r="S15" s="35">
        <v>151</v>
      </c>
      <c r="T15" s="60">
        <f t="shared" si="0"/>
        <v>0.32616286230821534</v>
      </c>
      <c r="U15" s="35">
        <v>0</v>
      </c>
    </row>
    <row r="16" spans="1:22" x14ac:dyDescent="0.35">
      <c r="A16" s="65">
        <v>17</v>
      </c>
      <c r="B16" s="39" t="s">
        <v>67</v>
      </c>
      <c r="C16" s="38">
        <v>45272</v>
      </c>
      <c r="D16" s="39" t="s">
        <v>29</v>
      </c>
      <c r="E16" s="40">
        <v>28</v>
      </c>
      <c r="F16" s="44">
        <v>28</v>
      </c>
      <c r="G16" s="44"/>
      <c r="H16" s="41"/>
      <c r="I16" s="42"/>
      <c r="J16" s="39" t="s">
        <v>20</v>
      </c>
      <c r="K16" s="41"/>
      <c r="L16" s="50"/>
      <c r="M16" s="50">
        <v>0</v>
      </c>
      <c r="N16" s="50">
        <v>238250.96000000002</v>
      </c>
      <c r="O16" s="51"/>
      <c r="P16" s="51"/>
      <c r="Q16" s="51">
        <v>9668.3033333333333</v>
      </c>
      <c r="R16" s="43" t="s">
        <v>68</v>
      </c>
      <c r="S16" s="35">
        <v>161</v>
      </c>
      <c r="T16" s="60"/>
      <c r="U16" s="35" t="s">
        <v>111</v>
      </c>
    </row>
    <row r="17" spans="1:21" x14ac:dyDescent="0.35">
      <c r="A17" s="65">
        <v>18</v>
      </c>
      <c r="B17" s="39" t="s">
        <v>69</v>
      </c>
      <c r="C17" s="38">
        <v>45311</v>
      </c>
      <c r="D17" s="39" t="s">
        <v>62</v>
      </c>
      <c r="E17" s="40">
        <v>111</v>
      </c>
      <c r="F17" s="44">
        <v>111</v>
      </c>
      <c r="G17" s="44">
        <v>0</v>
      </c>
      <c r="H17" s="41">
        <v>4</v>
      </c>
      <c r="I17" s="42"/>
      <c r="J17" s="39" t="s">
        <v>20</v>
      </c>
      <c r="K17" s="41"/>
      <c r="L17" s="50">
        <v>14558</v>
      </c>
      <c r="M17" s="50">
        <v>607960</v>
      </c>
      <c r="N17" s="50">
        <v>778206.57</v>
      </c>
      <c r="O17" s="51">
        <v>253638.62</v>
      </c>
      <c r="P17" s="51">
        <v>1031845.19</v>
      </c>
      <c r="Q17" s="51">
        <f t="shared" si="1"/>
        <v>9295.9026126126118</v>
      </c>
      <c r="R17" s="43"/>
      <c r="S17" s="35">
        <v>165</v>
      </c>
      <c r="T17" s="60">
        <f t="shared" ref="T17:T21" si="3">O17/N17</f>
        <v>0.32592711212910991</v>
      </c>
      <c r="U17" s="35" t="s">
        <v>113</v>
      </c>
    </row>
    <row r="18" spans="1:21" x14ac:dyDescent="0.35">
      <c r="A18" s="65">
        <v>19</v>
      </c>
      <c r="B18" s="39" t="s">
        <v>70</v>
      </c>
      <c r="C18" s="38">
        <v>45404</v>
      </c>
      <c r="D18" s="39" t="s">
        <v>60</v>
      </c>
      <c r="E18" s="40">
        <v>126</v>
      </c>
      <c r="F18" s="44">
        <v>120</v>
      </c>
      <c r="G18" s="44">
        <v>6</v>
      </c>
      <c r="H18" s="41"/>
      <c r="I18" s="42"/>
      <c r="J18" s="39" t="s">
        <v>20</v>
      </c>
      <c r="K18" s="41"/>
      <c r="L18" s="50">
        <v>44229</v>
      </c>
      <c r="M18" s="50">
        <v>736419</v>
      </c>
      <c r="N18" s="50">
        <v>943286.37</v>
      </c>
      <c r="O18" s="51">
        <v>307691.21000000002</v>
      </c>
      <c r="P18" s="51">
        <v>1250977.58</v>
      </c>
      <c r="Q18" s="51">
        <f t="shared" si="1"/>
        <v>9928.3934920634929</v>
      </c>
      <c r="R18" s="43"/>
      <c r="S18" s="35">
        <v>171</v>
      </c>
      <c r="T18" s="60">
        <f t="shared" si="3"/>
        <v>0.32619066678552772</v>
      </c>
      <c r="U18" s="35" t="s">
        <v>116</v>
      </c>
    </row>
    <row r="19" spans="1:21" x14ac:dyDescent="0.35">
      <c r="A19" s="65">
        <v>20</v>
      </c>
      <c r="B19" s="39" t="s">
        <v>71</v>
      </c>
      <c r="C19" s="38">
        <v>45597</v>
      </c>
      <c r="D19" s="39" t="s">
        <v>60</v>
      </c>
      <c r="E19" s="40">
        <v>130</v>
      </c>
      <c r="F19" s="44">
        <v>130</v>
      </c>
      <c r="G19" s="44">
        <v>0</v>
      </c>
      <c r="H19" s="41">
        <v>4</v>
      </c>
      <c r="I19" s="42"/>
      <c r="J19" s="39" t="s">
        <v>20</v>
      </c>
      <c r="K19" s="41"/>
      <c r="L19" s="50">
        <v>40434</v>
      </c>
      <c r="M19" s="50">
        <v>723404</v>
      </c>
      <c r="N19" s="50">
        <v>926371.04</v>
      </c>
      <c r="O19" s="51">
        <v>301962.39</v>
      </c>
      <c r="P19" s="51">
        <v>1228333.43</v>
      </c>
      <c r="Q19" s="51">
        <f t="shared" si="1"/>
        <v>9448.7186923076915</v>
      </c>
      <c r="R19" s="43"/>
      <c r="S19" s="35">
        <v>189</v>
      </c>
      <c r="T19" s="60">
        <f t="shared" si="3"/>
        <v>0.325962683375767</v>
      </c>
      <c r="U19" s="35" t="s">
        <v>96</v>
      </c>
    </row>
    <row r="20" spans="1:21" x14ac:dyDescent="0.35">
      <c r="A20" s="65">
        <v>21</v>
      </c>
      <c r="B20" s="39" t="s">
        <v>72</v>
      </c>
      <c r="C20" s="38">
        <v>45597</v>
      </c>
      <c r="D20" s="39" t="s">
        <v>73</v>
      </c>
      <c r="E20" s="40">
        <v>112</v>
      </c>
      <c r="F20" s="44">
        <v>108</v>
      </c>
      <c r="G20" s="44">
        <v>4</v>
      </c>
      <c r="H20" s="41"/>
      <c r="I20" s="42"/>
      <c r="J20" s="39" t="s">
        <v>20</v>
      </c>
      <c r="K20" s="41"/>
      <c r="L20" s="50">
        <v>23047</v>
      </c>
      <c r="M20" s="50">
        <v>629089</v>
      </c>
      <c r="N20" s="50">
        <v>805474.71</v>
      </c>
      <c r="O20" s="51">
        <v>262682.88</v>
      </c>
      <c r="P20" s="51">
        <v>1068157.5900000001</v>
      </c>
      <c r="Q20" s="51">
        <f t="shared" si="1"/>
        <v>9537.1213392857153</v>
      </c>
      <c r="R20" s="43"/>
      <c r="S20" s="35">
        <v>190</v>
      </c>
      <c r="T20" s="60">
        <f t="shared" si="3"/>
        <v>0.32612182199984902</v>
      </c>
      <c r="U20" s="35">
        <v>0</v>
      </c>
    </row>
    <row r="21" spans="1:21" x14ac:dyDescent="0.35">
      <c r="A21" s="65">
        <v>22</v>
      </c>
      <c r="B21" s="39" t="s">
        <v>74</v>
      </c>
      <c r="C21" s="38">
        <v>45713</v>
      </c>
      <c r="D21" s="39" t="s">
        <v>56</v>
      </c>
      <c r="E21" s="40">
        <v>115</v>
      </c>
      <c r="F21" s="44">
        <v>111</v>
      </c>
      <c r="G21" s="44">
        <v>4</v>
      </c>
      <c r="H21" s="41"/>
      <c r="I21" s="42"/>
      <c r="J21" s="39" t="s">
        <v>20</v>
      </c>
      <c r="K21" s="41"/>
      <c r="L21" s="50">
        <v>48255</v>
      </c>
      <c r="M21" s="50">
        <v>665994</v>
      </c>
      <c r="N21" s="50">
        <v>852960.65</v>
      </c>
      <c r="O21" s="51">
        <v>278291.53000000003</v>
      </c>
      <c r="P21" s="51">
        <v>1131252.18</v>
      </c>
      <c r="Q21" s="51">
        <f t="shared" si="1"/>
        <v>9836.9754782608688</v>
      </c>
      <c r="R21" s="43"/>
      <c r="S21" s="35">
        <v>206</v>
      </c>
      <c r="T21" s="60">
        <f t="shared" si="3"/>
        <v>0.32626537929973676</v>
      </c>
      <c r="U21" s="35" t="s">
        <v>121</v>
      </c>
    </row>
    <row r="22" spans="1:21" x14ac:dyDescent="0.35">
      <c r="A22" s="65">
        <v>23</v>
      </c>
      <c r="B22" s="39" t="s">
        <v>75</v>
      </c>
      <c r="C22" s="38">
        <v>45597</v>
      </c>
      <c r="D22" s="39" t="s">
        <v>56</v>
      </c>
      <c r="E22" s="40">
        <v>39</v>
      </c>
      <c r="F22" s="44">
        <v>39</v>
      </c>
      <c r="G22" s="44"/>
      <c r="H22" s="41"/>
      <c r="I22" s="42"/>
      <c r="J22" s="39" t="s">
        <v>20</v>
      </c>
      <c r="K22" s="41"/>
      <c r="L22" s="50"/>
      <c r="M22" s="50">
        <v>0</v>
      </c>
      <c r="N22" s="50">
        <v>264218</v>
      </c>
      <c r="O22" s="51"/>
      <c r="P22" s="51"/>
      <c r="Q22" s="51">
        <v>9537.1213392857153</v>
      </c>
      <c r="R22" s="43" t="s">
        <v>76</v>
      </c>
      <c r="S22" s="35">
        <v>192</v>
      </c>
      <c r="T22" s="60"/>
      <c r="U22" s="35" t="s">
        <v>119</v>
      </c>
    </row>
    <row r="23" spans="1:21" x14ac:dyDescent="0.35">
      <c r="A23" s="65">
        <v>47</v>
      </c>
      <c r="B23" s="37" t="s">
        <v>17</v>
      </c>
      <c r="C23" s="38">
        <v>44295</v>
      </c>
      <c r="D23" s="39" t="s">
        <v>18</v>
      </c>
      <c r="E23" s="40">
        <v>0</v>
      </c>
      <c r="F23" s="41"/>
      <c r="G23" s="41"/>
      <c r="H23" s="41"/>
      <c r="I23" s="42"/>
      <c r="J23" s="39" t="s">
        <v>20</v>
      </c>
      <c r="K23" s="41"/>
      <c r="L23" s="49"/>
      <c r="M23" s="50">
        <v>980117</v>
      </c>
      <c r="N23" s="50">
        <v>1209823.3999999999</v>
      </c>
      <c r="O23" s="51">
        <v>321775.27</v>
      </c>
      <c r="P23" s="51">
        <v>1531598.67</v>
      </c>
      <c r="Q23" s="51"/>
      <c r="R23" s="43"/>
      <c r="S23" s="35"/>
      <c r="T23" s="60">
        <f>O23/N23</f>
        <v>0.26596879346192182</v>
      </c>
      <c r="U23" s="35">
        <v>0</v>
      </c>
    </row>
    <row r="24" spans="1:21" x14ac:dyDescent="0.35">
      <c r="A24" s="65">
        <v>120</v>
      </c>
      <c r="B24" s="39" t="s">
        <v>21</v>
      </c>
      <c r="C24" s="38">
        <v>45020</v>
      </c>
      <c r="D24" s="39" t="s">
        <v>22</v>
      </c>
      <c r="E24" s="40">
        <v>109</v>
      </c>
      <c r="F24" s="44">
        <v>105</v>
      </c>
      <c r="G24" s="44" t="s">
        <v>24</v>
      </c>
      <c r="H24" s="41"/>
      <c r="I24" s="42"/>
      <c r="J24" s="39" t="s">
        <v>20</v>
      </c>
      <c r="K24" s="41"/>
      <c r="L24" s="50">
        <v>35485</v>
      </c>
      <c r="M24" s="50">
        <v>636178</v>
      </c>
      <c r="N24" s="50">
        <v>814658.31</v>
      </c>
      <c r="O24" s="51">
        <v>265763.61</v>
      </c>
      <c r="P24" s="51">
        <v>1080421.92</v>
      </c>
      <c r="Q24" s="51">
        <f t="shared" si="1"/>
        <v>9912.1277064220176</v>
      </c>
      <c r="R24" s="45" t="s">
        <v>25</v>
      </c>
      <c r="S24" s="35"/>
      <c r="T24" s="60">
        <f>O24/N24</f>
        <v>0.32622709022633056</v>
      </c>
      <c r="U24" s="35">
        <v>0</v>
      </c>
    </row>
    <row r="25" spans="1:21" x14ac:dyDescent="0.35">
      <c r="A25" s="65">
        <v>174</v>
      </c>
      <c r="B25" s="39" t="s">
        <v>26</v>
      </c>
      <c r="C25" s="38">
        <v>45477</v>
      </c>
      <c r="D25" s="39" t="s">
        <v>22</v>
      </c>
      <c r="E25" s="40">
        <v>106</v>
      </c>
      <c r="F25" s="44">
        <v>102</v>
      </c>
      <c r="G25" s="44" t="s">
        <v>24</v>
      </c>
      <c r="H25" s="41"/>
      <c r="I25" s="42"/>
      <c r="J25" s="39" t="s">
        <v>20</v>
      </c>
      <c r="K25" s="41"/>
      <c r="L25" s="50">
        <v>31634</v>
      </c>
      <c r="M25" s="50">
        <v>610819</v>
      </c>
      <c r="N25" s="50">
        <v>782120.41</v>
      </c>
      <c r="O25" s="51">
        <v>255159.97</v>
      </c>
      <c r="P25" s="51">
        <v>1037280.38</v>
      </c>
      <c r="Q25" s="51">
        <f t="shared" si="1"/>
        <v>9785.6639622641505</v>
      </c>
      <c r="R25" s="43"/>
      <c r="S25" s="35"/>
      <c r="T25" s="60">
        <f>O25/N25</f>
        <v>0.32624128809015479</v>
      </c>
      <c r="U25" s="35" t="s">
        <v>123</v>
      </c>
    </row>
    <row r="26" spans="1:21" x14ac:dyDescent="0.35">
      <c r="A26" s="65">
        <v>184</v>
      </c>
      <c r="B26" s="39" t="s">
        <v>28</v>
      </c>
      <c r="C26" s="38">
        <v>45569</v>
      </c>
      <c r="D26" s="39" t="s">
        <v>29</v>
      </c>
      <c r="E26" s="40">
        <v>0</v>
      </c>
      <c r="F26" s="41"/>
      <c r="G26" s="41"/>
      <c r="H26" s="41"/>
      <c r="I26" s="42"/>
      <c r="J26" s="39" t="s">
        <v>20</v>
      </c>
      <c r="K26" s="41"/>
      <c r="L26" s="49"/>
      <c r="M26" s="49"/>
      <c r="N26" s="49"/>
      <c r="O26" s="51">
        <v>1420</v>
      </c>
      <c r="P26" s="51">
        <v>1420</v>
      </c>
      <c r="Q26" s="51"/>
      <c r="R26" s="45" t="s">
        <v>30</v>
      </c>
      <c r="S26" s="35"/>
      <c r="T26" s="60"/>
      <c r="U26" s="35" t="s">
        <v>125</v>
      </c>
    </row>
    <row r="27" spans="1:21" x14ac:dyDescent="0.35">
      <c r="A27" s="65">
        <v>194</v>
      </c>
      <c r="B27" s="39" t="s">
        <v>31</v>
      </c>
      <c r="C27" s="38">
        <v>45639</v>
      </c>
      <c r="D27" s="39" t="s">
        <v>22</v>
      </c>
      <c r="E27" s="40">
        <v>103</v>
      </c>
      <c r="F27" s="44">
        <v>99</v>
      </c>
      <c r="G27" s="44" t="s">
        <v>24</v>
      </c>
      <c r="H27" s="41"/>
      <c r="I27" s="42"/>
      <c r="J27" s="39" t="s">
        <v>20</v>
      </c>
      <c r="K27" s="41"/>
      <c r="L27" s="50">
        <v>30178</v>
      </c>
      <c r="M27" s="50">
        <v>587851</v>
      </c>
      <c r="N27" s="50">
        <v>752664.78</v>
      </c>
      <c r="O27" s="51">
        <v>245575.32</v>
      </c>
      <c r="P27" s="51">
        <v>998240.1</v>
      </c>
      <c r="Q27" s="51">
        <f t="shared" si="1"/>
        <v>9691.6514563106794</v>
      </c>
      <c r="R27" s="43"/>
      <c r="S27" s="35"/>
      <c r="T27" s="60">
        <f>O27/N27</f>
        <v>0.3262744936730001</v>
      </c>
      <c r="U27" s="35" t="s">
        <v>127</v>
      </c>
    </row>
    <row r="28" spans="1:21" x14ac:dyDescent="0.35">
      <c r="A28" s="36" t="s">
        <v>33</v>
      </c>
      <c r="B28" s="39"/>
      <c r="C28" s="38"/>
      <c r="D28" s="39"/>
      <c r="E28" s="40"/>
      <c r="F28" s="44"/>
      <c r="G28" s="44"/>
      <c r="H28" s="41"/>
      <c r="I28" s="42"/>
      <c r="J28" s="39"/>
      <c r="K28" s="41"/>
      <c r="L28" s="50"/>
      <c r="M28" s="50"/>
      <c r="N28" s="50"/>
      <c r="O28" s="51"/>
      <c r="P28" s="51">
        <f>SUBTOTAL(9,P2:P27)</f>
        <v>27048789.309999999</v>
      </c>
      <c r="Q28" s="51"/>
      <c r="R28" s="43"/>
      <c r="S28" s="35"/>
      <c r="T28" s="60"/>
      <c r="U28" s="35" t="e">
        <v>#N/A</v>
      </c>
    </row>
    <row r="29" spans="1:21" ht="15" thickBot="1" x14ac:dyDescent="0.4">
      <c r="A29" s="23"/>
      <c r="B29" s="24"/>
      <c r="C29" s="25"/>
      <c r="D29" s="24"/>
      <c r="E29" s="26"/>
      <c r="F29" s="27"/>
      <c r="G29" s="27"/>
      <c r="H29" s="28"/>
      <c r="I29" s="29"/>
      <c r="J29" s="24"/>
      <c r="K29" s="28"/>
      <c r="L29" s="52"/>
      <c r="M29" s="52"/>
      <c r="N29" s="52"/>
      <c r="O29" s="53"/>
      <c r="P29" s="53"/>
      <c r="Q29" s="53"/>
      <c r="R29" s="30"/>
    </row>
    <row r="30" spans="1:21" ht="15" thickBot="1" x14ac:dyDescent="0.4">
      <c r="A30" s="13" t="s">
        <v>77</v>
      </c>
      <c r="B30" s="14"/>
      <c r="C30" s="15"/>
      <c r="D30" s="14"/>
      <c r="E30" s="16"/>
      <c r="F30" s="17"/>
      <c r="G30" s="17"/>
      <c r="H30" s="18"/>
      <c r="I30" s="19"/>
      <c r="J30" s="14"/>
      <c r="K30" s="18"/>
      <c r="L30" s="54"/>
      <c r="M30" s="54"/>
      <c r="N30" s="54"/>
      <c r="O30" s="55"/>
      <c r="P30" s="55"/>
      <c r="Q30" s="55"/>
      <c r="R30" s="20"/>
    </row>
    <row r="31" spans="1:21" ht="15" thickBot="1" x14ac:dyDescent="0.4">
      <c r="A31" s="13">
        <v>6</v>
      </c>
      <c r="B31" s="14" t="s">
        <v>78</v>
      </c>
      <c r="C31" s="15"/>
      <c r="D31" s="14" t="s">
        <v>45</v>
      </c>
      <c r="E31" s="16"/>
      <c r="F31" s="17"/>
      <c r="G31" s="17"/>
      <c r="H31" s="18"/>
      <c r="I31" s="19"/>
      <c r="J31" s="14"/>
      <c r="K31" s="18"/>
      <c r="L31" s="54"/>
      <c r="M31" s="54">
        <v>605736</v>
      </c>
      <c r="N31" s="54">
        <v>629808.09</v>
      </c>
      <c r="O31" s="55">
        <v>78240.12</v>
      </c>
      <c r="P31" s="55">
        <v>708048.21</v>
      </c>
      <c r="Q31" s="55"/>
      <c r="R31" s="63"/>
    </row>
    <row r="32" spans="1:21" ht="15" thickBot="1" x14ac:dyDescent="0.4">
      <c r="A32" s="13">
        <v>16</v>
      </c>
      <c r="B32" s="14" t="s">
        <v>79</v>
      </c>
      <c r="C32" s="15"/>
      <c r="D32" s="39" t="s">
        <v>29</v>
      </c>
      <c r="E32" s="16"/>
      <c r="F32" s="17"/>
      <c r="G32" s="17"/>
      <c r="H32" s="18"/>
      <c r="I32" s="19"/>
      <c r="J32" s="14"/>
      <c r="K32" s="18"/>
      <c r="L32" s="54"/>
      <c r="M32" s="54">
        <v>1035102</v>
      </c>
      <c r="N32" s="54">
        <v>1237040.3799999999</v>
      </c>
      <c r="O32" s="55">
        <v>274268.68</v>
      </c>
      <c r="P32" s="55">
        <v>1511309.06</v>
      </c>
      <c r="Q32" s="55"/>
      <c r="R32" s="63"/>
    </row>
    <row r="33" spans="1:18" ht="15" thickBot="1" x14ac:dyDescent="0.4">
      <c r="A33" s="13">
        <v>17</v>
      </c>
      <c r="B33" s="14" t="s">
        <v>80</v>
      </c>
      <c r="C33" s="15"/>
      <c r="D33" s="39" t="s">
        <v>29</v>
      </c>
      <c r="E33" s="16"/>
      <c r="F33" s="17"/>
      <c r="G33" s="17"/>
      <c r="H33" s="18"/>
      <c r="I33" s="19"/>
      <c r="J33" s="14"/>
      <c r="K33" s="18"/>
      <c r="L33" s="54"/>
      <c r="M33" s="54">
        <v>3524975</v>
      </c>
      <c r="N33" s="54">
        <v>3677840.85</v>
      </c>
      <c r="O33" s="55">
        <v>458880.49</v>
      </c>
      <c r="P33" s="55">
        <v>4136721.34</v>
      </c>
      <c r="Q33" s="55"/>
      <c r="R33" s="63"/>
    </row>
    <row r="34" spans="1:18" ht="15" thickBot="1" x14ac:dyDescent="0.4">
      <c r="A34" s="13">
        <v>23</v>
      </c>
      <c r="B34" s="14" t="s">
        <v>81</v>
      </c>
      <c r="C34" s="15"/>
      <c r="D34" s="39" t="s">
        <v>56</v>
      </c>
      <c r="E34" s="16"/>
      <c r="F34" s="17"/>
      <c r="G34" s="17"/>
      <c r="H34" s="18"/>
      <c r="I34" s="19"/>
      <c r="J34" s="14"/>
      <c r="K34" s="18"/>
      <c r="L34" s="54"/>
      <c r="M34" s="54">
        <v>563475</v>
      </c>
      <c r="N34" s="54">
        <v>642522.69999999995</v>
      </c>
      <c r="O34" s="55">
        <v>122731.06</v>
      </c>
      <c r="P34" s="55">
        <v>765253.76</v>
      </c>
      <c r="Q34" s="55"/>
      <c r="R34" s="63"/>
    </row>
    <row r="35" spans="1:18" ht="15" thickBot="1" x14ac:dyDescent="0.4">
      <c r="A35" s="13"/>
      <c r="B35" s="14"/>
      <c r="C35" s="15"/>
      <c r="D35" s="14"/>
      <c r="E35" s="16"/>
      <c r="F35" s="17"/>
      <c r="G35" s="17"/>
      <c r="H35" s="18"/>
      <c r="I35" s="19"/>
      <c r="J35" s="14"/>
      <c r="K35" s="18"/>
      <c r="L35" s="54"/>
      <c r="M35" s="54"/>
      <c r="N35" s="54"/>
      <c r="O35" s="55"/>
      <c r="P35" s="55"/>
      <c r="Q35" s="55"/>
      <c r="R35" s="20"/>
    </row>
    <row r="36" spans="1:18" ht="15" thickBot="1" x14ac:dyDescent="0.4">
      <c r="A36" s="13"/>
      <c r="B36" s="14"/>
      <c r="C36" s="15"/>
      <c r="D36" s="14"/>
      <c r="E36" s="16"/>
      <c r="F36" s="17"/>
      <c r="G36" s="17"/>
      <c r="H36" s="18"/>
      <c r="I36" s="19"/>
      <c r="J36" s="14"/>
      <c r="K36" s="18"/>
      <c r="L36" s="54"/>
      <c r="M36" s="54"/>
      <c r="N36" s="54"/>
      <c r="O36" s="55"/>
      <c r="P36" s="55"/>
      <c r="Q36" s="55"/>
      <c r="R36" s="20"/>
    </row>
    <row r="37" spans="1:18" ht="15" thickBot="1" x14ac:dyDescent="0.4">
      <c r="A37" s="13"/>
      <c r="B37" s="14"/>
      <c r="C37" s="15"/>
      <c r="D37" s="14"/>
      <c r="E37" s="16"/>
      <c r="F37" s="17"/>
      <c r="G37" s="17"/>
      <c r="H37" s="18"/>
      <c r="I37" s="19"/>
      <c r="J37" s="14"/>
      <c r="K37" s="18"/>
      <c r="L37" s="54"/>
      <c r="M37" s="54"/>
      <c r="N37" s="54"/>
      <c r="O37" s="55"/>
      <c r="P37" s="55"/>
      <c r="Q37" s="55"/>
      <c r="R37" s="20"/>
    </row>
    <row r="38" spans="1:18" ht="15" thickBot="1" x14ac:dyDescent="0.4">
      <c r="A38" s="13"/>
      <c r="B38" s="14"/>
      <c r="C38" s="15"/>
      <c r="D38" s="14"/>
      <c r="E38" s="16"/>
      <c r="F38" s="17"/>
      <c r="G38" s="17"/>
      <c r="H38" s="18"/>
      <c r="I38" s="19"/>
      <c r="J38" s="14"/>
      <c r="K38" s="18"/>
      <c r="L38" s="54"/>
      <c r="M38" s="54"/>
      <c r="N38" s="54"/>
      <c r="O38" s="55"/>
      <c r="P38" s="55"/>
      <c r="Q38" s="55"/>
      <c r="R38" s="20"/>
    </row>
    <row r="39" spans="1:18" ht="15" thickBot="1" x14ac:dyDescent="0.4">
      <c r="A39" s="13"/>
      <c r="B39" s="14"/>
      <c r="C39" s="15"/>
      <c r="D39" s="14"/>
      <c r="E39" s="16"/>
      <c r="F39" s="17"/>
      <c r="G39" s="17"/>
      <c r="H39" s="18"/>
      <c r="I39" s="19"/>
      <c r="J39" s="14"/>
      <c r="K39" s="18"/>
      <c r="L39" s="54"/>
      <c r="M39" s="54"/>
      <c r="N39" s="54"/>
      <c r="O39" s="55"/>
      <c r="P39" s="55"/>
      <c r="Q39" s="55"/>
      <c r="R39" s="20"/>
    </row>
    <row r="40" spans="1:18" ht="15" thickBot="1" x14ac:dyDescent="0.4">
      <c r="A40" s="5"/>
      <c r="B40" s="5"/>
      <c r="C40" s="5"/>
      <c r="D40" s="5"/>
      <c r="E40" s="5"/>
      <c r="F40" s="5"/>
      <c r="G40" s="5"/>
      <c r="H40" s="5"/>
      <c r="I40" s="4"/>
      <c r="J40" s="5"/>
      <c r="K40" s="5"/>
      <c r="L40" s="56"/>
      <c r="M40" s="56"/>
      <c r="N40" s="56"/>
      <c r="O40" s="57"/>
      <c r="P40" s="56"/>
      <c r="Q40" s="56"/>
      <c r="R40" s="21"/>
    </row>
    <row r="41" spans="1:18" ht="15" thickBot="1" x14ac:dyDescent="0.4">
      <c r="A41" s="5"/>
      <c r="B41" s="5"/>
      <c r="C41" s="5"/>
      <c r="D41" s="5"/>
      <c r="E41" s="5"/>
      <c r="F41" s="5"/>
      <c r="G41" s="5"/>
      <c r="H41" s="5"/>
      <c r="I41" s="4"/>
      <c r="J41" s="5"/>
      <c r="K41" s="5"/>
      <c r="L41" s="56"/>
      <c r="M41" s="56"/>
      <c r="N41" s="56"/>
      <c r="O41" s="57"/>
      <c r="P41" s="56"/>
      <c r="Q41" s="56"/>
      <c r="R41" s="21"/>
    </row>
    <row r="42" spans="1:18" ht="15" thickBot="1" x14ac:dyDescent="0.4">
      <c r="A42" s="6"/>
      <c r="B42" s="6"/>
      <c r="C42" s="5"/>
      <c r="D42" s="5"/>
      <c r="E42" s="5"/>
      <c r="F42" s="5"/>
      <c r="G42" s="5"/>
      <c r="H42" s="5"/>
      <c r="I42" s="4"/>
      <c r="J42" s="5"/>
      <c r="K42" s="5"/>
      <c r="L42" s="56"/>
      <c r="M42" s="56"/>
      <c r="N42" s="56"/>
      <c r="O42" s="57"/>
      <c r="P42" s="56"/>
      <c r="Q42" s="56"/>
      <c r="R42" s="21"/>
    </row>
    <row r="43" spans="1:18" ht="16" thickBot="1" x14ac:dyDescent="0.4">
      <c r="A43" s="76" t="s">
        <v>34</v>
      </c>
      <c r="B43" s="77"/>
      <c r="C43" s="6"/>
      <c r="D43" s="6"/>
      <c r="E43" s="6"/>
      <c r="F43" s="6"/>
      <c r="G43" s="5"/>
      <c r="H43" s="5"/>
      <c r="I43" s="4"/>
      <c r="J43" s="5"/>
      <c r="K43" s="5"/>
      <c r="L43" s="56"/>
      <c r="M43" s="56"/>
      <c r="N43" s="56"/>
      <c r="O43" s="57"/>
      <c r="P43" s="56"/>
      <c r="Q43" s="56"/>
      <c r="R43" s="21"/>
    </row>
    <row r="44" spans="1:18" ht="29" thickBot="1" x14ac:dyDescent="0.4">
      <c r="A44" s="7"/>
      <c r="B44" s="2"/>
      <c r="C44" s="8" t="s">
        <v>35</v>
      </c>
      <c r="D44" s="8" t="s">
        <v>36</v>
      </c>
      <c r="E44" s="8" t="s">
        <v>14</v>
      </c>
      <c r="F44" s="8" t="s">
        <v>37</v>
      </c>
      <c r="G44" s="5"/>
      <c r="H44" s="5"/>
      <c r="I44" s="4"/>
      <c r="J44" s="5"/>
      <c r="K44" s="5"/>
      <c r="L44" s="56"/>
      <c r="M44" s="56"/>
      <c r="N44" s="56"/>
      <c r="O44" s="57"/>
      <c r="P44" s="56"/>
      <c r="Q44" s="56"/>
      <c r="R44" s="21"/>
    </row>
    <row r="45" spans="1:18" ht="15" thickBot="1" x14ac:dyDescent="0.4">
      <c r="A45" s="9">
        <v>500</v>
      </c>
      <c r="B45" s="1" t="s">
        <v>38</v>
      </c>
      <c r="C45" s="3">
        <v>466131</v>
      </c>
      <c r="D45" s="10">
        <v>596273.79</v>
      </c>
      <c r="E45" s="10">
        <v>221924.3</v>
      </c>
      <c r="F45" s="10">
        <v>810590.48</v>
      </c>
      <c r="G45" s="5"/>
      <c r="H45" s="5"/>
      <c r="I45" s="4"/>
      <c r="J45" s="5"/>
      <c r="K45" s="5"/>
      <c r="L45" s="56"/>
      <c r="M45" s="56"/>
      <c r="N45" s="56"/>
      <c r="O45" s="57"/>
      <c r="P45" s="56"/>
      <c r="Q45" s="56"/>
      <c r="R45" s="21"/>
    </row>
    <row r="46" spans="1:18" ht="15" thickBot="1" x14ac:dyDescent="0.4">
      <c r="A46" s="9">
        <v>501</v>
      </c>
      <c r="B46" s="1" t="s">
        <v>39</v>
      </c>
      <c r="C46" s="3">
        <v>697006</v>
      </c>
      <c r="D46" s="10">
        <v>892220.18</v>
      </c>
      <c r="E46" s="10">
        <v>331424.46999999997</v>
      </c>
      <c r="F46" s="10">
        <v>1212207.92</v>
      </c>
      <c r="G46" s="5"/>
      <c r="H46" s="5"/>
      <c r="I46" s="4"/>
      <c r="J46" s="5"/>
      <c r="K46" s="5"/>
      <c r="L46" s="56"/>
      <c r="M46" s="56"/>
      <c r="N46" s="56"/>
      <c r="O46" s="57"/>
      <c r="P46" s="56"/>
      <c r="Q46" s="56"/>
      <c r="R46" s="21"/>
    </row>
    <row r="47" spans="1:18" ht="15" thickBot="1" x14ac:dyDescent="0.4">
      <c r="A47" s="5"/>
      <c r="B47" s="5"/>
      <c r="C47" s="5"/>
      <c r="D47" s="5"/>
      <c r="E47" s="5"/>
      <c r="F47" s="5"/>
      <c r="G47" s="5"/>
      <c r="H47" s="5"/>
      <c r="I47" s="4"/>
      <c r="J47" s="5"/>
      <c r="K47" s="5"/>
      <c r="L47" s="56"/>
      <c r="M47" s="56"/>
      <c r="N47" s="56"/>
      <c r="O47" s="57"/>
      <c r="P47" s="56"/>
      <c r="Q47" s="56"/>
      <c r="R47" s="21"/>
    </row>
    <row r="48" spans="1:18" ht="15" thickBot="1" x14ac:dyDescent="0.4">
      <c r="A48" s="5"/>
      <c r="B48" s="11" t="s">
        <v>40</v>
      </c>
      <c r="C48" s="12" t="s">
        <v>41</v>
      </c>
      <c r="D48" s="5"/>
      <c r="E48" s="5"/>
      <c r="F48" s="5"/>
      <c r="G48" s="5"/>
      <c r="H48" s="5"/>
      <c r="I48" s="4"/>
      <c r="J48" s="5"/>
      <c r="K48" s="5"/>
      <c r="L48" s="56"/>
      <c r="M48" s="56"/>
      <c r="N48" s="56"/>
      <c r="O48" s="57"/>
      <c r="P48" s="56"/>
      <c r="Q48" s="56"/>
      <c r="R48" s="21"/>
    </row>
    <row r="49" spans="1:18" ht="15" thickBot="1" x14ac:dyDescent="0.4">
      <c r="A49" s="5"/>
      <c r="B49" s="11" t="s">
        <v>42</v>
      </c>
      <c r="C49" s="12" t="s">
        <v>43</v>
      </c>
      <c r="D49" s="5"/>
      <c r="E49" s="5"/>
      <c r="F49" s="5"/>
      <c r="G49" s="5"/>
      <c r="H49" s="5"/>
      <c r="I49" s="4"/>
      <c r="J49" s="5"/>
      <c r="K49" s="5"/>
      <c r="L49" s="56"/>
      <c r="M49" s="56"/>
      <c r="N49" s="56"/>
      <c r="O49" s="57"/>
      <c r="P49" s="56"/>
      <c r="Q49" s="56"/>
      <c r="R49" s="21"/>
    </row>
  </sheetData>
  <autoFilter ref="A1:U27"/>
  <sortState ref="A1:U28">
    <sortCondition ref="A2"/>
  </sortState>
  <mergeCells count="1">
    <mergeCell ref="A43:B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zoomScale="120" zoomScaleNormal="120" workbookViewId="0">
      <pane xSplit="3" ySplit="2" topLeftCell="L17" activePane="bottomRight" state="frozen"/>
      <selection pane="topRight" activeCell="D1" sqref="D1"/>
      <selection pane="bottomLeft" activeCell="A2" sqref="A2"/>
      <selection pane="bottomRight" activeCell="N28" sqref="N28"/>
    </sheetView>
  </sheetViews>
  <sheetFormatPr baseColWidth="10" defaultRowHeight="14.5" x14ac:dyDescent="0.35"/>
  <cols>
    <col min="1" max="1" width="6.36328125" bestFit="1" customWidth="1"/>
    <col min="2" max="2" width="20.90625" bestFit="1" customWidth="1"/>
    <col min="3" max="3" width="11.81640625" bestFit="1" customWidth="1"/>
    <col min="4" max="4" width="11.6328125" bestFit="1" customWidth="1"/>
    <col min="5" max="5" width="13" bestFit="1" customWidth="1"/>
    <col min="6" max="6" width="13.36328125" bestFit="1" customWidth="1"/>
    <col min="7" max="8" width="16.36328125" bestFit="1" customWidth="1"/>
    <col min="10" max="10" width="12" bestFit="1" customWidth="1"/>
    <col min="11" max="11" width="12.6328125" bestFit="1" customWidth="1"/>
    <col min="13" max="13" width="14.36328125" bestFit="1" customWidth="1"/>
    <col min="14" max="19" width="11.90625" bestFit="1" customWidth="1"/>
    <col min="20" max="20" width="12.453125" bestFit="1" customWidth="1"/>
    <col min="21" max="21" width="12.6328125" bestFit="1" customWidth="1"/>
  </cols>
  <sheetData>
    <row r="1" spans="1:20" x14ac:dyDescent="0.35">
      <c r="A1" s="75" t="s">
        <v>141</v>
      </c>
    </row>
    <row r="2" spans="1:20" s="69" customFormat="1" x14ac:dyDescent="0.35">
      <c r="A2" s="68" t="s">
        <v>0</v>
      </c>
      <c r="B2" s="70" t="s">
        <v>1</v>
      </c>
      <c r="C2" s="68" t="s">
        <v>132</v>
      </c>
      <c r="D2" s="68" t="s">
        <v>142</v>
      </c>
      <c r="E2" s="68" t="s">
        <v>133</v>
      </c>
      <c r="F2" s="68" t="s">
        <v>134</v>
      </c>
      <c r="G2" s="68" t="s">
        <v>135</v>
      </c>
      <c r="H2" s="68" t="s">
        <v>136</v>
      </c>
      <c r="I2" s="68" t="s">
        <v>137</v>
      </c>
      <c r="J2" s="68" t="s">
        <v>29</v>
      </c>
      <c r="K2" s="68" t="s">
        <v>139</v>
      </c>
      <c r="N2" s="68" t="s">
        <v>142</v>
      </c>
      <c r="O2" s="68" t="s">
        <v>133</v>
      </c>
      <c r="P2" s="68" t="s">
        <v>134</v>
      </c>
      <c r="Q2" s="68" t="s">
        <v>135</v>
      </c>
      <c r="R2" s="68" t="s">
        <v>136</v>
      </c>
      <c r="S2" s="68" t="s">
        <v>137</v>
      </c>
      <c r="T2" s="68" t="s">
        <v>29</v>
      </c>
    </row>
    <row r="3" spans="1:20" x14ac:dyDescent="0.35">
      <c r="A3" s="35">
        <v>1</v>
      </c>
      <c r="B3" s="35" t="s">
        <v>44</v>
      </c>
      <c r="C3" s="67">
        <f>VLOOKUP(A3,Listado!$A$2:$Q$28,17,FALSE)</f>
        <v>10040.928632478632</v>
      </c>
      <c r="D3" s="35">
        <v>117</v>
      </c>
      <c r="E3" s="35"/>
      <c r="F3" s="35"/>
      <c r="G3" s="35"/>
      <c r="H3" s="35"/>
      <c r="I3" s="35"/>
      <c r="J3" s="35"/>
      <c r="K3" s="35">
        <f t="shared" ref="K3:K28" si="0">SUM(D3:J3)</f>
        <v>117</v>
      </c>
      <c r="M3" s="58"/>
      <c r="N3" s="71">
        <f t="shared" ref="N3:N27" si="1">D3*$C3</f>
        <v>1174788.6499999999</v>
      </c>
      <c r="O3" s="71">
        <f t="shared" ref="O3:O27" si="2">E3*$C3</f>
        <v>0</v>
      </c>
      <c r="P3" s="71">
        <f t="shared" ref="P3:P27" si="3">F3*$C3</f>
        <v>0</v>
      </c>
      <c r="Q3" s="71">
        <f t="shared" ref="Q3:Q27" si="4">G3*$C3</f>
        <v>0</v>
      </c>
      <c r="R3" s="71">
        <f t="shared" ref="R3:R27" si="5">H3*$C3</f>
        <v>0</v>
      </c>
      <c r="S3" s="71">
        <f t="shared" ref="S3:S27" si="6">I3*$C3</f>
        <v>0</v>
      </c>
      <c r="T3" s="71">
        <f t="shared" ref="T3:T27" si="7">J3*$C3</f>
        <v>0</v>
      </c>
    </row>
    <row r="4" spans="1:20" x14ac:dyDescent="0.35">
      <c r="A4" s="35">
        <v>3</v>
      </c>
      <c r="B4" s="35" t="s">
        <v>49</v>
      </c>
      <c r="C4" s="67">
        <f>VLOOKUP(A4,Listado!$A$2:$Q$28,17,FALSE)</f>
        <v>9702.526803278688</v>
      </c>
      <c r="D4" s="35">
        <v>122</v>
      </c>
      <c r="E4" s="35"/>
      <c r="F4" s="35"/>
      <c r="G4" s="35"/>
      <c r="H4" s="35"/>
      <c r="I4" s="35"/>
      <c r="J4" s="35"/>
      <c r="K4" s="35">
        <f t="shared" si="0"/>
        <v>122</v>
      </c>
      <c r="N4" s="71">
        <f t="shared" si="1"/>
        <v>1183708.27</v>
      </c>
      <c r="O4" s="71">
        <f t="shared" si="2"/>
        <v>0</v>
      </c>
      <c r="P4" s="71">
        <f t="shared" si="3"/>
        <v>0</v>
      </c>
      <c r="Q4" s="71">
        <f t="shared" si="4"/>
        <v>0</v>
      </c>
      <c r="R4" s="71">
        <f t="shared" si="5"/>
        <v>0</v>
      </c>
      <c r="S4" s="71">
        <f t="shared" si="6"/>
        <v>0</v>
      </c>
      <c r="T4" s="71">
        <f t="shared" si="7"/>
        <v>0</v>
      </c>
    </row>
    <row r="5" spans="1:20" x14ac:dyDescent="0.35">
      <c r="A5" s="35">
        <v>4</v>
      </c>
      <c r="B5" s="35" t="s">
        <v>50</v>
      </c>
      <c r="C5" s="67">
        <f>VLOOKUP(A5,Listado!$A$2:$Q$28,17,FALSE)</f>
        <v>9963.72223076923</v>
      </c>
      <c r="D5" s="35">
        <v>130</v>
      </c>
      <c r="E5" s="35"/>
      <c r="F5" s="35"/>
      <c r="G5" s="35"/>
      <c r="H5" s="35"/>
      <c r="I5" s="35"/>
      <c r="J5" s="35"/>
      <c r="K5" s="35">
        <f t="shared" si="0"/>
        <v>130</v>
      </c>
      <c r="N5" s="71">
        <f t="shared" si="1"/>
        <v>1295283.8899999999</v>
      </c>
      <c r="O5" s="71">
        <f t="shared" si="2"/>
        <v>0</v>
      </c>
      <c r="P5" s="71">
        <f t="shared" si="3"/>
        <v>0</v>
      </c>
      <c r="Q5" s="71">
        <f t="shared" si="4"/>
        <v>0</v>
      </c>
      <c r="R5" s="71">
        <f t="shared" si="5"/>
        <v>0</v>
      </c>
      <c r="S5" s="71">
        <f t="shared" si="6"/>
        <v>0</v>
      </c>
      <c r="T5" s="71">
        <f t="shared" si="7"/>
        <v>0</v>
      </c>
    </row>
    <row r="6" spans="1:20" x14ac:dyDescent="0.35">
      <c r="A6" s="35">
        <v>5</v>
      </c>
      <c r="B6" s="35" t="s">
        <v>51</v>
      </c>
      <c r="C6" s="67">
        <f>VLOOKUP(A6,Listado!$A$2:$Q$28,17,FALSE)</f>
        <v>9042.4031818181811</v>
      </c>
      <c r="D6" s="35"/>
      <c r="E6" s="35"/>
      <c r="F6" s="35"/>
      <c r="G6" s="35"/>
      <c r="H6" s="35"/>
      <c r="I6" s="35"/>
      <c r="J6" s="35"/>
      <c r="K6" s="35">
        <f t="shared" si="0"/>
        <v>0</v>
      </c>
      <c r="N6" s="71">
        <f t="shared" si="1"/>
        <v>0</v>
      </c>
      <c r="O6" s="71">
        <f t="shared" si="2"/>
        <v>0</v>
      </c>
      <c r="P6" s="71">
        <f t="shared" si="3"/>
        <v>0</v>
      </c>
      <c r="Q6" s="71">
        <f t="shared" si="4"/>
        <v>0</v>
      </c>
      <c r="R6" s="71">
        <f t="shared" si="5"/>
        <v>0</v>
      </c>
      <c r="S6" s="71">
        <f t="shared" si="6"/>
        <v>0</v>
      </c>
      <c r="T6" s="71">
        <f t="shared" si="7"/>
        <v>0</v>
      </c>
    </row>
    <row r="7" spans="1:20" x14ac:dyDescent="0.35">
      <c r="A7" s="35">
        <v>6</v>
      </c>
      <c r="B7" s="35" t="s">
        <v>53</v>
      </c>
      <c r="C7" s="67">
        <f>VLOOKUP(A7,Listado!$A$2:$Q$28,17,FALSE)</f>
        <v>9272.548039215686</v>
      </c>
      <c r="D7" s="35">
        <v>102</v>
      </c>
      <c r="E7" s="35"/>
      <c r="F7" s="35"/>
      <c r="G7" s="35"/>
      <c r="H7" s="35"/>
      <c r="I7" s="35"/>
      <c r="J7" s="35"/>
      <c r="K7" s="35">
        <f t="shared" si="0"/>
        <v>102</v>
      </c>
      <c r="N7" s="71">
        <f t="shared" si="1"/>
        <v>945799.9</v>
      </c>
      <c r="O7" s="71">
        <f t="shared" si="2"/>
        <v>0</v>
      </c>
      <c r="P7" s="71">
        <f t="shared" si="3"/>
        <v>0</v>
      </c>
      <c r="Q7" s="71">
        <f t="shared" si="4"/>
        <v>0</v>
      </c>
      <c r="R7" s="71">
        <f t="shared" si="5"/>
        <v>0</v>
      </c>
      <c r="S7" s="71">
        <f t="shared" si="6"/>
        <v>0</v>
      </c>
      <c r="T7" s="71">
        <f t="shared" si="7"/>
        <v>0</v>
      </c>
    </row>
    <row r="8" spans="1:20" x14ac:dyDescent="0.35">
      <c r="A8" s="35">
        <v>10</v>
      </c>
      <c r="B8" s="35" t="s">
        <v>57</v>
      </c>
      <c r="C8" s="67">
        <f>VLOOKUP(A8,Listado!$A$2:$Q$28,17,FALSE)</f>
        <v>9953.6936111111099</v>
      </c>
      <c r="D8" s="35"/>
      <c r="E8" s="35"/>
      <c r="F8" s="35"/>
      <c r="G8" s="35"/>
      <c r="H8" s="35"/>
      <c r="I8" s="35"/>
      <c r="J8" s="35">
        <v>108</v>
      </c>
      <c r="K8" s="35">
        <f t="shared" si="0"/>
        <v>108</v>
      </c>
      <c r="N8" s="71">
        <f t="shared" si="1"/>
        <v>0</v>
      </c>
      <c r="O8" s="71">
        <f t="shared" si="2"/>
        <v>0</v>
      </c>
      <c r="P8" s="71">
        <f t="shared" si="3"/>
        <v>0</v>
      </c>
      <c r="Q8" s="71">
        <f t="shared" si="4"/>
        <v>0</v>
      </c>
      <c r="R8" s="71">
        <f t="shared" si="5"/>
        <v>0</v>
      </c>
      <c r="S8" s="71">
        <f t="shared" si="6"/>
        <v>0</v>
      </c>
      <c r="T8" s="71">
        <f t="shared" si="7"/>
        <v>1074998.9099999999</v>
      </c>
    </row>
    <row r="9" spans="1:20" x14ac:dyDescent="0.35">
      <c r="A9" s="35">
        <v>11</v>
      </c>
      <c r="B9" s="35" t="s">
        <v>58</v>
      </c>
      <c r="C9" s="67">
        <f>VLOOKUP(A9,Listado!$A$2:$Q$28,17,FALSE)</f>
        <v>10318.755196850392</v>
      </c>
      <c r="D9" s="35"/>
      <c r="E9" s="35"/>
      <c r="F9" s="35"/>
      <c r="G9" s="35">
        <v>127</v>
      </c>
      <c r="H9" s="35"/>
      <c r="I9" s="35"/>
      <c r="J9" s="35"/>
      <c r="K9" s="35">
        <f t="shared" si="0"/>
        <v>127</v>
      </c>
      <c r="N9" s="71">
        <f t="shared" si="1"/>
        <v>0</v>
      </c>
      <c r="O9" s="71">
        <f t="shared" si="2"/>
        <v>0</v>
      </c>
      <c r="P9" s="71">
        <f t="shared" si="3"/>
        <v>0</v>
      </c>
      <c r="Q9" s="71">
        <f t="shared" si="4"/>
        <v>1310481.9099999999</v>
      </c>
      <c r="R9" s="71">
        <f t="shared" si="5"/>
        <v>0</v>
      </c>
      <c r="S9" s="71">
        <f t="shared" si="6"/>
        <v>0</v>
      </c>
      <c r="T9" s="71">
        <f t="shared" si="7"/>
        <v>0</v>
      </c>
    </row>
    <row r="10" spans="1:20" x14ac:dyDescent="0.35">
      <c r="A10" s="35">
        <v>12</v>
      </c>
      <c r="B10" s="35" t="s">
        <v>59</v>
      </c>
      <c r="C10" s="67">
        <f>VLOOKUP(A10,Listado!$A$2:$Q$28,17,FALSE)</f>
        <v>9889.5837121212116</v>
      </c>
      <c r="D10" s="35"/>
      <c r="E10" s="35"/>
      <c r="F10" s="35">
        <v>132</v>
      </c>
      <c r="G10" s="35"/>
      <c r="H10" s="35"/>
      <c r="I10" s="35"/>
      <c r="J10" s="35"/>
      <c r="K10" s="35">
        <f t="shared" si="0"/>
        <v>132</v>
      </c>
      <c r="N10" s="71">
        <f t="shared" si="1"/>
        <v>0</v>
      </c>
      <c r="O10" s="71">
        <f t="shared" si="2"/>
        <v>0</v>
      </c>
      <c r="P10" s="71">
        <f t="shared" si="3"/>
        <v>1305425.05</v>
      </c>
      <c r="Q10" s="71">
        <f t="shared" si="4"/>
        <v>0</v>
      </c>
      <c r="R10" s="71">
        <f t="shared" si="5"/>
        <v>0</v>
      </c>
      <c r="S10" s="71">
        <f t="shared" si="6"/>
        <v>0</v>
      </c>
      <c r="T10" s="71">
        <f t="shared" si="7"/>
        <v>0</v>
      </c>
    </row>
    <row r="11" spans="1:20" x14ac:dyDescent="0.35">
      <c r="A11" s="35">
        <v>13</v>
      </c>
      <c r="B11" s="35" t="s">
        <v>61</v>
      </c>
      <c r="C11" s="67">
        <f>VLOOKUP(A11,Listado!$A$2:$Q$28,17,FALSE)</f>
        <v>9380.7630909090913</v>
      </c>
      <c r="D11" s="35"/>
      <c r="E11" s="35">
        <v>102</v>
      </c>
      <c r="F11" s="35">
        <v>8</v>
      </c>
      <c r="G11" s="35"/>
      <c r="H11" s="35"/>
      <c r="I11" s="35"/>
      <c r="J11" s="35"/>
      <c r="K11" s="35">
        <f t="shared" si="0"/>
        <v>110</v>
      </c>
      <c r="N11" s="71">
        <f t="shared" si="1"/>
        <v>0</v>
      </c>
      <c r="O11" s="71">
        <f t="shared" si="2"/>
        <v>956837.8352727273</v>
      </c>
      <c r="P11" s="71">
        <f t="shared" si="3"/>
        <v>75046.10472727273</v>
      </c>
      <c r="Q11" s="71">
        <f t="shared" si="4"/>
        <v>0</v>
      </c>
      <c r="R11" s="71">
        <f t="shared" si="5"/>
        <v>0</v>
      </c>
      <c r="S11" s="71">
        <f t="shared" si="6"/>
        <v>0</v>
      </c>
      <c r="T11" s="71">
        <f t="shared" si="7"/>
        <v>0</v>
      </c>
    </row>
    <row r="12" spans="1:20" x14ac:dyDescent="0.35">
      <c r="A12" s="35">
        <v>14</v>
      </c>
      <c r="B12" s="35" t="s">
        <v>63</v>
      </c>
      <c r="C12" s="67">
        <f>VLOOKUP(A12,Listado!$A$2:$Q$28,17,FALSE)</f>
        <v>10200.576788990827</v>
      </c>
      <c r="D12" s="35"/>
      <c r="E12" s="35"/>
      <c r="F12" s="35"/>
      <c r="G12" s="35">
        <v>69</v>
      </c>
      <c r="H12" s="35">
        <v>40</v>
      </c>
      <c r="I12" s="35"/>
      <c r="J12" s="35"/>
      <c r="K12" s="35">
        <f t="shared" si="0"/>
        <v>109</v>
      </c>
      <c r="N12" s="71">
        <f t="shared" si="1"/>
        <v>0</v>
      </c>
      <c r="O12" s="71">
        <f t="shared" si="2"/>
        <v>0</v>
      </c>
      <c r="P12" s="71">
        <f t="shared" si="3"/>
        <v>0</v>
      </c>
      <c r="Q12" s="71">
        <f t="shared" si="4"/>
        <v>703839.7984403671</v>
      </c>
      <c r="R12" s="71">
        <f t="shared" si="5"/>
        <v>408023.07155963313</v>
      </c>
      <c r="S12" s="71">
        <f t="shared" si="6"/>
        <v>0</v>
      </c>
      <c r="T12" s="71">
        <f t="shared" si="7"/>
        <v>0</v>
      </c>
    </row>
    <row r="13" spans="1:20" x14ac:dyDescent="0.35">
      <c r="A13" s="35">
        <v>15</v>
      </c>
      <c r="B13" s="35" t="s">
        <v>64</v>
      </c>
      <c r="C13" s="67">
        <f>VLOOKUP(A13,Listado!$A$2:$Q$28,17,FALSE)</f>
        <v>9668.3033333333333</v>
      </c>
      <c r="D13" s="35"/>
      <c r="E13" s="35"/>
      <c r="F13" s="35"/>
      <c r="G13" s="35"/>
      <c r="H13" s="35"/>
      <c r="I13" s="35"/>
      <c r="J13" s="35">
        <v>108</v>
      </c>
      <c r="K13" s="35">
        <f t="shared" si="0"/>
        <v>108</v>
      </c>
      <c r="N13" s="71">
        <f t="shared" si="1"/>
        <v>0</v>
      </c>
      <c r="O13" s="71">
        <f t="shared" si="2"/>
        <v>0</v>
      </c>
      <c r="P13" s="71">
        <f t="shared" si="3"/>
        <v>0</v>
      </c>
      <c r="Q13" s="71">
        <f t="shared" si="4"/>
        <v>0</v>
      </c>
      <c r="R13" s="71">
        <f t="shared" si="5"/>
        <v>0</v>
      </c>
      <c r="S13" s="71">
        <f t="shared" si="6"/>
        <v>0</v>
      </c>
      <c r="T13" s="71">
        <f t="shared" si="7"/>
        <v>1044176.76</v>
      </c>
    </row>
    <row r="14" spans="1:20" x14ac:dyDescent="0.35">
      <c r="A14" s="35">
        <v>16</v>
      </c>
      <c r="B14" s="35" t="s">
        <v>65</v>
      </c>
      <c r="C14" s="67">
        <f>VLOOKUP(A14,Listado!$A$2:$Q$28,17,FALSE)</f>
        <v>9668.3033333333333</v>
      </c>
      <c r="D14" s="35"/>
      <c r="E14" s="35"/>
      <c r="F14" s="35"/>
      <c r="G14" s="35"/>
      <c r="H14" s="35"/>
      <c r="I14" s="35"/>
      <c r="J14" s="35">
        <v>108</v>
      </c>
      <c r="K14" s="35">
        <f t="shared" si="0"/>
        <v>108</v>
      </c>
      <c r="N14" s="71">
        <f t="shared" si="1"/>
        <v>0</v>
      </c>
      <c r="O14" s="71">
        <f t="shared" si="2"/>
        <v>0</v>
      </c>
      <c r="P14" s="71">
        <f t="shared" si="3"/>
        <v>0</v>
      </c>
      <c r="Q14" s="71">
        <f t="shared" si="4"/>
        <v>0</v>
      </c>
      <c r="R14" s="71">
        <f t="shared" si="5"/>
        <v>0</v>
      </c>
      <c r="S14" s="71">
        <f t="shared" si="6"/>
        <v>0</v>
      </c>
      <c r="T14" s="71">
        <f t="shared" si="7"/>
        <v>1044176.76</v>
      </c>
    </row>
    <row r="15" spans="1:20" x14ac:dyDescent="0.35">
      <c r="A15" s="35">
        <v>17</v>
      </c>
      <c r="B15" s="35" t="s">
        <v>67</v>
      </c>
      <c r="C15" s="67">
        <f>VLOOKUP(A15,Listado!$A$2:$Q$28,17,FALSE)</f>
        <v>9668.3033333333333</v>
      </c>
      <c r="D15" s="35"/>
      <c r="E15" s="35"/>
      <c r="F15" s="35"/>
      <c r="G15" s="35"/>
      <c r="H15" s="35"/>
      <c r="I15" s="35"/>
      <c r="J15" s="35">
        <v>28</v>
      </c>
      <c r="K15" s="35">
        <f t="shared" si="0"/>
        <v>28</v>
      </c>
      <c r="N15" s="71">
        <f t="shared" si="1"/>
        <v>0</v>
      </c>
      <c r="O15" s="71">
        <f t="shared" si="2"/>
        <v>0</v>
      </c>
      <c r="P15" s="71">
        <f t="shared" si="3"/>
        <v>0</v>
      </c>
      <c r="Q15" s="71">
        <f t="shared" si="4"/>
        <v>0</v>
      </c>
      <c r="R15" s="71">
        <f t="shared" si="5"/>
        <v>0</v>
      </c>
      <c r="S15" s="71">
        <f t="shared" si="6"/>
        <v>0</v>
      </c>
      <c r="T15" s="71">
        <f t="shared" si="7"/>
        <v>270712.49333333335</v>
      </c>
    </row>
    <row r="16" spans="1:20" x14ac:dyDescent="0.35">
      <c r="A16" s="35">
        <v>18</v>
      </c>
      <c r="B16" s="35" t="s">
        <v>69</v>
      </c>
      <c r="C16" s="67">
        <f>VLOOKUP(A16,Listado!$A$2:$Q$28,17,FALSE)</f>
        <v>9295.9026126126118</v>
      </c>
      <c r="D16" s="35">
        <v>8</v>
      </c>
      <c r="E16" s="35">
        <v>103</v>
      </c>
      <c r="F16" s="35"/>
      <c r="G16" s="35"/>
      <c r="H16" s="35"/>
      <c r="I16" s="35"/>
      <c r="J16" s="35"/>
      <c r="K16" s="35">
        <f t="shared" si="0"/>
        <v>111</v>
      </c>
      <c r="N16" s="71">
        <f t="shared" si="1"/>
        <v>74367.220900900895</v>
      </c>
      <c r="O16" s="71">
        <f t="shared" si="2"/>
        <v>957477.96909909905</v>
      </c>
      <c r="P16" s="71">
        <f t="shared" si="3"/>
        <v>0</v>
      </c>
      <c r="Q16" s="71">
        <f t="shared" si="4"/>
        <v>0</v>
      </c>
      <c r="R16" s="71">
        <f t="shared" si="5"/>
        <v>0</v>
      </c>
      <c r="S16" s="71">
        <f t="shared" si="6"/>
        <v>0</v>
      </c>
      <c r="T16" s="71">
        <f t="shared" si="7"/>
        <v>0</v>
      </c>
    </row>
    <row r="17" spans="1:21" x14ac:dyDescent="0.35">
      <c r="A17" s="35">
        <v>19</v>
      </c>
      <c r="B17" s="35" t="s">
        <v>70</v>
      </c>
      <c r="C17" s="67">
        <f>VLOOKUP(A17,Listado!$A$2:$Q$28,17,FALSE)</f>
        <v>9928.3934920634929</v>
      </c>
      <c r="D17" s="35">
        <v>69</v>
      </c>
      <c r="E17" s="35"/>
      <c r="F17" s="35">
        <v>57</v>
      </c>
      <c r="G17" s="35"/>
      <c r="H17" s="35"/>
      <c r="I17" s="35"/>
      <c r="J17" s="35"/>
      <c r="K17" s="35">
        <f t="shared" si="0"/>
        <v>126</v>
      </c>
      <c r="N17" s="71">
        <f t="shared" si="1"/>
        <v>685059.15095238097</v>
      </c>
      <c r="O17" s="71">
        <f t="shared" si="2"/>
        <v>0</v>
      </c>
      <c r="P17" s="71">
        <f t="shared" si="3"/>
        <v>565918.42904761911</v>
      </c>
      <c r="Q17" s="71">
        <f t="shared" si="4"/>
        <v>0</v>
      </c>
      <c r="R17" s="71">
        <f t="shared" si="5"/>
        <v>0</v>
      </c>
      <c r="S17" s="71">
        <f t="shared" si="6"/>
        <v>0</v>
      </c>
      <c r="T17" s="71">
        <f t="shared" si="7"/>
        <v>0</v>
      </c>
    </row>
    <row r="18" spans="1:21" x14ac:dyDescent="0.35">
      <c r="A18" s="35">
        <v>20</v>
      </c>
      <c r="B18" s="35" t="s">
        <v>71</v>
      </c>
      <c r="C18" s="67">
        <f>VLOOKUP(A18,Listado!$A$2:$Q$28,17,FALSE)</f>
        <v>9448.7186923076915</v>
      </c>
      <c r="D18" s="35"/>
      <c r="E18" s="35"/>
      <c r="F18" s="35">
        <v>130</v>
      </c>
      <c r="G18" s="35"/>
      <c r="H18" s="35"/>
      <c r="I18" s="35"/>
      <c r="J18" s="35"/>
      <c r="K18" s="35">
        <f t="shared" si="0"/>
        <v>130</v>
      </c>
      <c r="N18" s="71">
        <f t="shared" si="1"/>
        <v>0</v>
      </c>
      <c r="O18" s="71">
        <f t="shared" si="2"/>
        <v>0</v>
      </c>
      <c r="P18" s="71">
        <f t="shared" si="3"/>
        <v>1228333.43</v>
      </c>
      <c r="Q18" s="71">
        <f t="shared" si="4"/>
        <v>0</v>
      </c>
      <c r="R18" s="71">
        <f t="shared" si="5"/>
        <v>0</v>
      </c>
      <c r="S18" s="71">
        <f t="shared" si="6"/>
        <v>0</v>
      </c>
      <c r="T18" s="71">
        <f t="shared" si="7"/>
        <v>0</v>
      </c>
    </row>
    <row r="19" spans="1:21" x14ac:dyDescent="0.35">
      <c r="A19" s="35">
        <v>21</v>
      </c>
      <c r="B19" s="35" t="s">
        <v>72</v>
      </c>
      <c r="C19" s="67">
        <f>VLOOKUP(A19,Listado!$A$2:$Q$28,17,FALSE)</f>
        <v>9537.1213392857153</v>
      </c>
      <c r="D19" s="35"/>
      <c r="E19" s="35"/>
      <c r="F19" s="35"/>
      <c r="G19" s="35"/>
      <c r="H19" s="35">
        <v>112</v>
      </c>
      <c r="I19" s="35"/>
      <c r="J19" s="35"/>
      <c r="K19" s="35">
        <f t="shared" si="0"/>
        <v>112</v>
      </c>
      <c r="N19" s="71">
        <f t="shared" si="1"/>
        <v>0</v>
      </c>
      <c r="O19" s="71">
        <f t="shared" si="2"/>
        <v>0</v>
      </c>
      <c r="P19" s="71">
        <f t="shared" si="3"/>
        <v>0</v>
      </c>
      <c r="Q19" s="71">
        <f t="shared" si="4"/>
        <v>0</v>
      </c>
      <c r="R19" s="71">
        <f t="shared" si="5"/>
        <v>1068157.5900000001</v>
      </c>
      <c r="S19" s="71">
        <f t="shared" si="6"/>
        <v>0</v>
      </c>
      <c r="T19" s="71">
        <f t="shared" si="7"/>
        <v>0</v>
      </c>
    </row>
    <row r="20" spans="1:21" x14ac:dyDescent="0.35">
      <c r="A20" s="35">
        <v>22</v>
      </c>
      <c r="B20" s="35" t="s">
        <v>74</v>
      </c>
      <c r="C20" s="67">
        <f>VLOOKUP(A20,Listado!$A$2:$Q$28,17,FALSE)</f>
        <v>9836.9754782608688</v>
      </c>
      <c r="D20" s="35"/>
      <c r="E20" s="35"/>
      <c r="F20" s="35"/>
      <c r="G20" s="35">
        <v>71</v>
      </c>
      <c r="H20" s="74">
        <v>44</v>
      </c>
      <c r="I20" s="35"/>
      <c r="J20" s="35"/>
      <c r="K20" s="35">
        <f t="shared" si="0"/>
        <v>115</v>
      </c>
      <c r="N20" s="71">
        <f t="shared" si="1"/>
        <v>0</v>
      </c>
      <c r="O20" s="71">
        <f t="shared" si="2"/>
        <v>0</v>
      </c>
      <c r="P20" s="71">
        <f t="shared" si="3"/>
        <v>0</v>
      </c>
      <c r="Q20" s="71">
        <f t="shared" si="4"/>
        <v>698425.25895652163</v>
      </c>
      <c r="R20" s="71">
        <f t="shared" si="5"/>
        <v>432826.92104347824</v>
      </c>
      <c r="S20" s="71">
        <f t="shared" si="6"/>
        <v>0</v>
      </c>
      <c r="T20" s="71">
        <f t="shared" si="7"/>
        <v>0</v>
      </c>
    </row>
    <row r="21" spans="1:21" x14ac:dyDescent="0.35">
      <c r="A21" s="35">
        <v>23</v>
      </c>
      <c r="B21" s="35" t="s">
        <v>75</v>
      </c>
      <c r="C21" s="67">
        <f>VLOOKUP(A21,Listado!$A$2:$Q$28,17,FALSE)</f>
        <v>9537.1213392857153</v>
      </c>
      <c r="D21" s="35"/>
      <c r="E21" s="35"/>
      <c r="F21" s="35"/>
      <c r="G21" s="35">
        <v>39</v>
      </c>
      <c r="H21" s="35"/>
      <c r="I21" s="35"/>
      <c r="J21" s="35"/>
      <c r="K21" s="35">
        <f t="shared" si="0"/>
        <v>39</v>
      </c>
      <c r="N21" s="71">
        <f t="shared" si="1"/>
        <v>0</v>
      </c>
      <c r="O21" s="71">
        <f t="shared" si="2"/>
        <v>0</v>
      </c>
      <c r="P21" s="71">
        <f t="shared" si="3"/>
        <v>0</v>
      </c>
      <c r="Q21" s="71">
        <f t="shared" si="4"/>
        <v>371947.73223214288</v>
      </c>
      <c r="R21" s="71">
        <f t="shared" si="5"/>
        <v>0</v>
      </c>
      <c r="S21" s="71">
        <f t="shared" si="6"/>
        <v>0</v>
      </c>
      <c r="T21" s="71">
        <f t="shared" si="7"/>
        <v>0</v>
      </c>
    </row>
    <row r="22" spans="1:21" x14ac:dyDescent="0.35">
      <c r="A22" s="35">
        <v>120</v>
      </c>
      <c r="B22" s="35" t="s">
        <v>21</v>
      </c>
      <c r="C22" s="67">
        <f>VLOOKUP(A22,Listado!$A$2:$Q$28,17,FALSE)</f>
        <v>9912.1277064220176</v>
      </c>
      <c r="D22" s="35"/>
      <c r="E22" s="35"/>
      <c r="F22" s="35"/>
      <c r="G22" s="35"/>
      <c r="H22" s="35"/>
      <c r="I22" s="35">
        <v>109</v>
      </c>
      <c r="J22" s="35"/>
      <c r="K22" s="35">
        <f t="shared" si="0"/>
        <v>109</v>
      </c>
      <c r="N22" s="71">
        <f t="shared" si="1"/>
        <v>0</v>
      </c>
      <c r="O22" s="71">
        <f t="shared" si="2"/>
        <v>0</v>
      </c>
      <c r="P22" s="71">
        <f t="shared" si="3"/>
        <v>0</v>
      </c>
      <c r="Q22" s="71">
        <f t="shared" si="4"/>
        <v>0</v>
      </c>
      <c r="R22" s="71">
        <f t="shared" si="5"/>
        <v>0</v>
      </c>
      <c r="S22" s="71">
        <f t="shared" si="6"/>
        <v>1080421.92</v>
      </c>
      <c r="T22" s="71">
        <f t="shared" si="7"/>
        <v>0</v>
      </c>
    </row>
    <row r="23" spans="1:21" x14ac:dyDescent="0.35">
      <c r="A23" s="35">
        <v>174</v>
      </c>
      <c r="B23" s="35" t="s">
        <v>26</v>
      </c>
      <c r="C23" s="67">
        <f>VLOOKUP(A23,Listado!$A$2:$Q$28,17,FALSE)</f>
        <v>9785.6639622641505</v>
      </c>
      <c r="D23" s="35"/>
      <c r="E23" s="35"/>
      <c r="F23" s="35"/>
      <c r="G23" s="35"/>
      <c r="H23" s="35">
        <v>24</v>
      </c>
      <c r="I23" s="35">
        <v>82</v>
      </c>
      <c r="J23" s="35"/>
      <c r="K23" s="35">
        <f t="shared" si="0"/>
        <v>106</v>
      </c>
      <c r="N23" s="71">
        <f t="shared" si="1"/>
        <v>0</v>
      </c>
      <c r="O23" s="71">
        <f t="shared" si="2"/>
        <v>0</v>
      </c>
      <c r="P23" s="71">
        <f t="shared" si="3"/>
        <v>0</v>
      </c>
      <c r="Q23" s="71">
        <f t="shared" si="4"/>
        <v>0</v>
      </c>
      <c r="R23" s="71">
        <f t="shared" si="5"/>
        <v>234855.9350943396</v>
      </c>
      <c r="S23" s="71">
        <f t="shared" si="6"/>
        <v>802424.44490566035</v>
      </c>
      <c r="T23" s="71">
        <f t="shared" si="7"/>
        <v>0</v>
      </c>
    </row>
    <row r="24" spans="1:21" x14ac:dyDescent="0.35">
      <c r="A24" s="35">
        <v>194</v>
      </c>
      <c r="B24" s="35" t="s">
        <v>31</v>
      </c>
      <c r="C24" s="67">
        <f>VLOOKUP(A24,Listado!$A$2:$Q$28,17,FALSE)</f>
        <v>9691.6514563106794</v>
      </c>
      <c r="D24" s="35"/>
      <c r="E24" s="35"/>
      <c r="F24" s="35"/>
      <c r="G24" s="35"/>
      <c r="H24" s="35">
        <v>28</v>
      </c>
      <c r="I24" s="35">
        <v>75</v>
      </c>
      <c r="J24" s="35"/>
      <c r="K24" s="35">
        <f t="shared" si="0"/>
        <v>103</v>
      </c>
      <c r="L24" s="46"/>
      <c r="M24" s="46"/>
      <c r="N24" s="71">
        <f t="shared" si="1"/>
        <v>0</v>
      </c>
      <c r="O24" s="71">
        <f t="shared" si="2"/>
        <v>0</v>
      </c>
      <c r="P24" s="71">
        <f t="shared" si="3"/>
        <v>0</v>
      </c>
      <c r="Q24" s="71">
        <f t="shared" si="4"/>
        <v>0</v>
      </c>
      <c r="R24" s="71">
        <f t="shared" si="5"/>
        <v>271366.24077669904</v>
      </c>
      <c r="S24" s="71">
        <f t="shared" si="6"/>
        <v>726873.85922330094</v>
      </c>
      <c r="T24" s="71">
        <f t="shared" si="7"/>
        <v>0</v>
      </c>
    </row>
    <row r="25" spans="1:21" x14ac:dyDescent="0.35">
      <c r="A25" s="35">
        <v>184</v>
      </c>
      <c r="B25" s="35" t="s">
        <v>28</v>
      </c>
      <c r="C25" s="67">
        <f>VLOOKUP(A25,Listado!$A$2:$Q$28,17,FALSE)</f>
        <v>0</v>
      </c>
      <c r="D25" s="35"/>
      <c r="E25" s="35"/>
      <c r="F25" s="35"/>
      <c r="G25" s="35"/>
      <c r="H25" s="35"/>
      <c r="I25" s="35"/>
      <c r="J25" s="35"/>
      <c r="K25" s="35">
        <f t="shared" si="0"/>
        <v>0</v>
      </c>
      <c r="N25" s="71">
        <f t="shared" si="1"/>
        <v>0</v>
      </c>
      <c r="O25" s="71">
        <f t="shared" si="2"/>
        <v>0</v>
      </c>
      <c r="P25" s="71">
        <f t="shared" si="3"/>
        <v>0</v>
      </c>
      <c r="Q25" s="71">
        <f t="shared" si="4"/>
        <v>0</v>
      </c>
      <c r="R25" s="71">
        <f t="shared" si="5"/>
        <v>0</v>
      </c>
      <c r="S25" s="71">
        <f t="shared" si="6"/>
        <v>0</v>
      </c>
      <c r="T25" s="71">
        <f t="shared" si="7"/>
        <v>0</v>
      </c>
    </row>
    <row r="26" spans="1:21" x14ac:dyDescent="0.35">
      <c r="A26" s="35">
        <v>2</v>
      </c>
      <c r="B26" s="35" t="s">
        <v>46</v>
      </c>
      <c r="C26" s="67">
        <f>VLOOKUP(A26,Listado!$A$2:$Q$28,17,FALSE)</f>
        <v>0</v>
      </c>
      <c r="D26" s="35"/>
      <c r="E26" s="35"/>
      <c r="F26" s="35"/>
      <c r="G26" s="35"/>
      <c r="H26" s="35"/>
      <c r="I26" s="35"/>
      <c r="J26" s="35"/>
      <c r="K26" s="35">
        <f t="shared" si="0"/>
        <v>0</v>
      </c>
      <c r="N26" s="71">
        <f t="shared" si="1"/>
        <v>0</v>
      </c>
      <c r="O26" s="71">
        <f t="shared" si="2"/>
        <v>0</v>
      </c>
      <c r="P26" s="71">
        <f t="shared" si="3"/>
        <v>0</v>
      </c>
      <c r="Q26" s="71">
        <f t="shared" si="4"/>
        <v>0</v>
      </c>
      <c r="R26" s="71">
        <f t="shared" si="5"/>
        <v>0</v>
      </c>
      <c r="S26" s="71">
        <f t="shared" si="6"/>
        <v>0</v>
      </c>
      <c r="T26" s="71">
        <f t="shared" si="7"/>
        <v>0</v>
      </c>
    </row>
    <row r="27" spans="1:21" x14ac:dyDescent="0.35">
      <c r="A27" s="35">
        <v>9</v>
      </c>
      <c r="B27" s="35" t="s">
        <v>55</v>
      </c>
      <c r="C27" s="67">
        <f>VLOOKUP(A27,Listado!$A$2:$Q$28,17,FALSE)</f>
        <v>0</v>
      </c>
      <c r="D27" s="35"/>
      <c r="E27" s="35"/>
      <c r="F27" s="35"/>
      <c r="G27" s="35"/>
      <c r="H27" s="35"/>
      <c r="I27" s="35"/>
      <c r="J27" s="35"/>
      <c r="K27" s="35">
        <f t="shared" si="0"/>
        <v>0</v>
      </c>
      <c r="N27" s="71">
        <f t="shared" si="1"/>
        <v>0</v>
      </c>
      <c r="O27" s="71">
        <f t="shared" si="2"/>
        <v>0</v>
      </c>
      <c r="P27" s="71">
        <f t="shared" si="3"/>
        <v>0</v>
      </c>
      <c r="Q27" s="71">
        <f t="shared" si="4"/>
        <v>0</v>
      </c>
      <c r="R27" s="71">
        <f t="shared" si="5"/>
        <v>0</v>
      </c>
      <c r="S27" s="71">
        <f t="shared" si="6"/>
        <v>0</v>
      </c>
      <c r="T27" s="71">
        <f t="shared" si="7"/>
        <v>0</v>
      </c>
    </row>
    <row r="28" spans="1:21" x14ac:dyDescent="0.35">
      <c r="A28" s="78" t="s">
        <v>138</v>
      </c>
      <c r="B28" s="78"/>
      <c r="C28" s="78"/>
      <c r="D28" s="35">
        <f>SUM(D3:D27)</f>
        <v>548</v>
      </c>
      <c r="E28" s="35">
        <f t="shared" ref="E28:J28" si="8">SUM(E3:E27)</f>
        <v>205</v>
      </c>
      <c r="F28" s="35">
        <f t="shared" si="8"/>
        <v>327</v>
      </c>
      <c r="G28" s="35">
        <f t="shared" si="8"/>
        <v>306</v>
      </c>
      <c r="H28" s="35">
        <f t="shared" si="8"/>
        <v>248</v>
      </c>
      <c r="I28" s="35">
        <f t="shared" si="8"/>
        <v>266</v>
      </c>
      <c r="J28" s="35">
        <f t="shared" si="8"/>
        <v>352</v>
      </c>
      <c r="K28" s="35">
        <f t="shared" si="0"/>
        <v>2252</v>
      </c>
      <c r="N28" s="72">
        <f>SUM(N3:N27)</f>
        <v>5359007.0818532817</v>
      </c>
      <c r="O28" s="72">
        <f>SUM(O3:O27)</f>
        <v>1914315.8043718264</v>
      </c>
      <c r="P28" s="72">
        <f t="shared" ref="P28:T28" si="9">SUM(P3:P27)</f>
        <v>3174723.0137748914</v>
      </c>
      <c r="Q28" s="72">
        <f t="shared" si="9"/>
        <v>3084694.6996290316</v>
      </c>
      <c r="R28" s="72">
        <f t="shared" si="9"/>
        <v>2415229.7584741502</v>
      </c>
      <c r="S28" s="72">
        <f t="shared" si="9"/>
        <v>2609720.2241289611</v>
      </c>
      <c r="T28" s="72">
        <f t="shared" si="9"/>
        <v>3434064.9233333329</v>
      </c>
      <c r="U28" s="46">
        <f>SUM(N28:T28)</f>
        <v>21991755.505565472</v>
      </c>
    </row>
    <row r="29" spans="1:21" x14ac:dyDescent="0.35">
      <c r="T29" s="73">
        <v>1420</v>
      </c>
      <c r="U29" s="46">
        <f>U28+T29</f>
        <v>21993175.505565472</v>
      </c>
    </row>
  </sheetData>
  <sortState ref="A1:J30">
    <sortCondition ref="A1"/>
  </sortState>
  <mergeCells count="1">
    <mergeCell ref="A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C2" sqref="C2"/>
    </sheetView>
  </sheetViews>
  <sheetFormatPr baseColWidth="10" defaultRowHeight="14.5" x14ac:dyDescent="0.35"/>
  <cols>
    <col min="2" max="2" width="20.90625" bestFit="1" customWidth="1"/>
    <col min="10" max="10" width="24.08984375" bestFit="1" customWidth="1"/>
  </cols>
  <sheetData>
    <row r="1" spans="1:14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3</v>
      </c>
      <c r="K1" t="s">
        <v>91</v>
      </c>
      <c r="L1" t="s">
        <v>92</v>
      </c>
      <c r="M1" t="s">
        <v>93</v>
      </c>
    </row>
    <row r="2" spans="1:14" x14ac:dyDescent="0.35">
      <c r="A2" s="66">
        <v>1</v>
      </c>
      <c r="B2" t="s">
        <v>44</v>
      </c>
      <c r="C2" t="s">
        <v>94</v>
      </c>
      <c r="D2">
        <v>112</v>
      </c>
      <c r="E2">
        <v>5</v>
      </c>
      <c r="J2" t="s">
        <v>95</v>
      </c>
      <c r="M2">
        <v>139</v>
      </c>
    </row>
    <row r="3" spans="1:14" x14ac:dyDescent="0.35">
      <c r="A3" s="66">
        <v>2</v>
      </c>
      <c r="B3" t="s">
        <v>46</v>
      </c>
      <c r="C3" t="s">
        <v>19</v>
      </c>
      <c r="J3" t="s">
        <v>95</v>
      </c>
      <c r="K3" t="s">
        <v>96</v>
      </c>
      <c r="M3">
        <v>169</v>
      </c>
    </row>
    <row r="4" spans="1:14" x14ac:dyDescent="0.35">
      <c r="A4" s="66">
        <v>3</v>
      </c>
      <c r="B4" t="s">
        <v>49</v>
      </c>
      <c r="C4" t="s">
        <v>97</v>
      </c>
      <c r="D4">
        <v>117</v>
      </c>
      <c r="E4">
        <v>5</v>
      </c>
      <c r="J4" t="s">
        <v>95</v>
      </c>
      <c r="M4">
        <v>170</v>
      </c>
    </row>
    <row r="5" spans="1:14" x14ac:dyDescent="0.35">
      <c r="A5" s="66">
        <v>4</v>
      </c>
      <c r="B5" t="s">
        <v>50</v>
      </c>
      <c r="C5" t="s">
        <v>98</v>
      </c>
      <c r="D5">
        <v>124</v>
      </c>
      <c r="E5">
        <v>6</v>
      </c>
      <c r="J5" t="s">
        <v>95</v>
      </c>
      <c r="M5">
        <v>173</v>
      </c>
    </row>
    <row r="6" spans="1:14" x14ac:dyDescent="0.35">
      <c r="A6" s="66">
        <v>5</v>
      </c>
      <c r="B6" t="s">
        <v>51</v>
      </c>
      <c r="C6" t="s">
        <v>99</v>
      </c>
      <c r="J6" t="s">
        <v>95</v>
      </c>
      <c r="K6" t="s">
        <v>100</v>
      </c>
      <c r="M6">
        <v>186</v>
      </c>
    </row>
    <row r="7" spans="1:14" x14ac:dyDescent="0.35">
      <c r="A7" s="66">
        <v>6</v>
      </c>
      <c r="B7" t="s">
        <v>53</v>
      </c>
      <c r="C7" t="s">
        <v>101</v>
      </c>
      <c r="D7">
        <v>98</v>
      </c>
      <c r="E7">
        <v>4</v>
      </c>
      <c r="J7" t="s">
        <v>95</v>
      </c>
      <c r="N7" t="s">
        <v>102</v>
      </c>
    </row>
    <row r="8" spans="1:14" x14ac:dyDescent="0.35">
      <c r="A8" s="66">
        <v>9</v>
      </c>
      <c r="B8" t="s">
        <v>55</v>
      </c>
      <c r="C8" t="s">
        <v>48</v>
      </c>
      <c r="E8">
        <v>8</v>
      </c>
      <c r="J8" t="s">
        <v>56</v>
      </c>
      <c r="M8">
        <v>10</v>
      </c>
    </row>
    <row r="9" spans="1:14" x14ac:dyDescent="0.35">
      <c r="A9" s="66">
        <v>10</v>
      </c>
      <c r="B9" t="s">
        <v>57</v>
      </c>
      <c r="C9" t="s">
        <v>103</v>
      </c>
      <c r="D9" t="s">
        <v>104</v>
      </c>
      <c r="E9">
        <v>4</v>
      </c>
      <c r="J9" t="s">
        <v>29</v>
      </c>
      <c r="M9">
        <v>55</v>
      </c>
    </row>
    <row r="10" spans="1:14" x14ac:dyDescent="0.35">
      <c r="A10" s="66">
        <v>11</v>
      </c>
      <c r="B10" t="s">
        <v>58</v>
      </c>
      <c r="C10" t="s">
        <v>105</v>
      </c>
      <c r="D10" t="s">
        <v>106</v>
      </c>
      <c r="E10">
        <v>6</v>
      </c>
      <c r="J10" t="s">
        <v>56</v>
      </c>
      <c r="M10">
        <v>103</v>
      </c>
    </row>
    <row r="11" spans="1:14" x14ac:dyDescent="0.35">
      <c r="A11" s="66">
        <v>12</v>
      </c>
      <c r="B11" t="s">
        <v>59</v>
      </c>
      <c r="C11" t="s">
        <v>107</v>
      </c>
      <c r="D11" t="s">
        <v>105</v>
      </c>
      <c r="E11">
        <v>5</v>
      </c>
      <c r="J11" t="s">
        <v>60</v>
      </c>
      <c r="M11">
        <v>126</v>
      </c>
    </row>
    <row r="12" spans="1:14" x14ac:dyDescent="0.35">
      <c r="A12" s="66">
        <v>13</v>
      </c>
      <c r="B12" t="s">
        <v>61</v>
      </c>
      <c r="C12" t="s">
        <v>108</v>
      </c>
      <c r="D12" t="s">
        <v>108</v>
      </c>
      <c r="E12">
        <v>0</v>
      </c>
      <c r="J12" t="s">
        <v>62</v>
      </c>
      <c r="K12" t="s">
        <v>109</v>
      </c>
      <c r="M12">
        <v>131</v>
      </c>
    </row>
    <row r="13" spans="1:14" x14ac:dyDescent="0.35">
      <c r="A13" s="66">
        <v>14</v>
      </c>
      <c r="B13" t="s">
        <v>63</v>
      </c>
      <c r="C13" t="s">
        <v>23</v>
      </c>
      <c r="D13" t="s">
        <v>32</v>
      </c>
      <c r="E13">
        <v>6</v>
      </c>
      <c r="J13" t="s">
        <v>56</v>
      </c>
      <c r="K13" t="s">
        <v>110</v>
      </c>
      <c r="M13">
        <v>138</v>
      </c>
    </row>
    <row r="14" spans="1:14" x14ac:dyDescent="0.35">
      <c r="A14" s="66">
        <v>15</v>
      </c>
      <c r="B14" t="s">
        <v>64</v>
      </c>
      <c r="C14" t="s">
        <v>103</v>
      </c>
      <c r="D14" t="s">
        <v>104</v>
      </c>
      <c r="E14">
        <v>4</v>
      </c>
      <c r="J14" t="s">
        <v>29</v>
      </c>
      <c r="M14">
        <v>143</v>
      </c>
    </row>
    <row r="15" spans="1:14" x14ac:dyDescent="0.35">
      <c r="A15" s="66">
        <v>16</v>
      </c>
      <c r="B15" t="s">
        <v>65</v>
      </c>
      <c r="C15" t="s">
        <v>103</v>
      </c>
      <c r="D15" t="s">
        <v>104</v>
      </c>
      <c r="E15">
        <v>4</v>
      </c>
      <c r="J15" t="s">
        <v>29</v>
      </c>
      <c r="M15">
        <v>151</v>
      </c>
    </row>
    <row r="16" spans="1:14" x14ac:dyDescent="0.35">
      <c r="A16" s="66">
        <v>17</v>
      </c>
      <c r="B16" t="s">
        <v>67</v>
      </c>
      <c r="C16" t="s">
        <v>19</v>
      </c>
      <c r="J16" t="s">
        <v>29</v>
      </c>
      <c r="K16" t="s">
        <v>111</v>
      </c>
      <c r="M16">
        <v>161</v>
      </c>
    </row>
    <row r="17" spans="1:13" x14ac:dyDescent="0.35">
      <c r="A17" s="66">
        <v>18</v>
      </c>
      <c r="B17" t="s">
        <v>69</v>
      </c>
      <c r="C17" t="s">
        <v>112</v>
      </c>
      <c r="D17" t="s">
        <v>112</v>
      </c>
      <c r="E17">
        <v>0</v>
      </c>
      <c r="J17" t="s">
        <v>62</v>
      </c>
      <c r="K17" t="s">
        <v>113</v>
      </c>
      <c r="M17">
        <v>165</v>
      </c>
    </row>
    <row r="18" spans="1:13" x14ac:dyDescent="0.35">
      <c r="A18" s="66">
        <v>19</v>
      </c>
      <c r="B18" t="s">
        <v>70</v>
      </c>
      <c r="C18" t="s">
        <v>114</v>
      </c>
      <c r="D18" t="s">
        <v>115</v>
      </c>
      <c r="E18">
        <v>6</v>
      </c>
      <c r="J18" t="s">
        <v>60</v>
      </c>
      <c r="K18" t="s">
        <v>116</v>
      </c>
      <c r="M18">
        <v>171</v>
      </c>
    </row>
    <row r="19" spans="1:13" x14ac:dyDescent="0.35">
      <c r="A19" s="66">
        <v>20</v>
      </c>
      <c r="B19" t="s">
        <v>71</v>
      </c>
      <c r="C19" t="s">
        <v>98</v>
      </c>
      <c r="D19" t="s">
        <v>98</v>
      </c>
      <c r="E19">
        <v>0</v>
      </c>
      <c r="J19" t="s">
        <v>60</v>
      </c>
      <c r="K19" t="s">
        <v>96</v>
      </c>
      <c r="M19">
        <v>189</v>
      </c>
    </row>
    <row r="20" spans="1:13" x14ac:dyDescent="0.35">
      <c r="A20" s="66">
        <v>21</v>
      </c>
      <c r="B20" t="s">
        <v>72</v>
      </c>
      <c r="C20" t="s">
        <v>117</v>
      </c>
      <c r="D20" t="s">
        <v>103</v>
      </c>
      <c r="E20">
        <v>4</v>
      </c>
      <c r="J20" t="s">
        <v>73</v>
      </c>
      <c r="M20">
        <v>190</v>
      </c>
    </row>
    <row r="21" spans="1:13" x14ac:dyDescent="0.35">
      <c r="A21" s="66">
        <v>23</v>
      </c>
      <c r="B21" t="s">
        <v>75</v>
      </c>
      <c r="C21" t="s">
        <v>118</v>
      </c>
      <c r="D21" t="s">
        <v>118</v>
      </c>
      <c r="J21" t="s">
        <v>56</v>
      </c>
      <c r="K21" t="s">
        <v>119</v>
      </c>
      <c r="M21">
        <v>192</v>
      </c>
    </row>
    <row r="22" spans="1:13" x14ac:dyDescent="0.35">
      <c r="A22" s="66">
        <v>22</v>
      </c>
      <c r="B22" t="s">
        <v>74</v>
      </c>
      <c r="C22" t="s">
        <v>120</v>
      </c>
      <c r="D22" t="s">
        <v>112</v>
      </c>
      <c r="E22">
        <v>4</v>
      </c>
      <c r="J22" t="s">
        <v>56</v>
      </c>
      <c r="K22" t="s">
        <v>121</v>
      </c>
      <c r="M22">
        <v>206</v>
      </c>
    </row>
    <row r="23" spans="1:13" x14ac:dyDescent="0.35">
      <c r="A23" s="66">
        <v>47</v>
      </c>
      <c r="B23" t="s">
        <v>17</v>
      </c>
      <c r="C23" t="s">
        <v>19</v>
      </c>
      <c r="J23" t="s">
        <v>18</v>
      </c>
    </row>
    <row r="24" spans="1:13" x14ac:dyDescent="0.35">
      <c r="A24" s="66">
        <v>120</v>
      </c>
      <c r="B24" t="s">
        <v>21</v>
      </c>
      <c r="C24" t="s">
        <v>23</v>
      </c>
      <c r="D24">
        <v>105</v>
      </c>
      <c r="E24" t="s">
        <v>24</v>
      </c>
      <c r="J24" t="s">
        <v>122</v>
      </c>
    </row>
    <row r="25" spans="1:13" x14ac:dyDescent="0.35">
      <c r="A25" s="66">
        <v>174</v>
      </c>
      <c r="B25" t="s">
        <v>26</v>
      </c>
      <c r="C25" t="s">
        <v>27</v>
      </c>
      <c r="D25">
        <v>102</v>
      </c>
      <c r="E25" t="s">
        <v>24</v>
      </c>
      <c r="J25" t="s">
        <v>122</v>
      </c>
      <c r="K25" t="s">
        <v>123</v>
      </c>
    </row>
    <row r="26" spans="1:13" x14ac:dyDescent="0.35">
      <c r="A26" s="66">
        <v>184</v>
      </c>
      <c r="B26" t="s">
        <v>28</v>
      </c>
      <c r="C26" t="s">
        <v>19</v>
      </c>
      <c r="J26" t="s">
        <v>124</v>
      </c>
      <c r="K26" t="s">
        <v>125</v>
      </c>
    </row>
    <row r="27" spans="1:13" x14ac:dyDescent="0.35">
      <c r="A27" s="66">
        <v>194</v>
      </c>
      <c r="B27" t="s">
        <v>31</v>
      </c>
      <c r="C27" t="s">
        <v>32</v>
      </c>
      <c r="D27" t="s">
        <v>126</v>
      </c>
      <c r="E27" t="s">
        <v>24</v>
      </c>
      <c r="J27" t="s">
        <v>122</v>
      </c>
      <c r="K27" t="s">
        <v>127</v>
      </c>
    </row>
    <row r="28" spans="1:13" x14ac:dyDescent="0.35">
      <c r="A28" s="66">
        <v>213</v>
      </c>
      <c r="B28" t="s">
        <v>128</v>
      </c>
      <c r="C28" t="s">
        <v>24</v>
      </c>
      <c r="D28" t="s">
        <v>24</v>
      </c>
      <c r="J28" t="s">
        <v>129</v>
      </c>
      <c r="K28" t="s">
        <v>130</v>
      </c>
      <c r="L28" s="64">
        <v>45881</v>
      </c>
    </row>
  </sheetData>
  <autoFilter ref="A1:N2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</vt:lpstr>
      <vt:lpstr>tabla x hora</vt:lpstr>
      <vt:lpstr>según hora x tienda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2025-09-22T15:26:15Z</dcterms:created>
  <dcterms:modified xsi:type="dcterms:W3CDTF">2025-10-01T18:02:13Z</dcterms:modified>
</cp:coreProperties>
</file>