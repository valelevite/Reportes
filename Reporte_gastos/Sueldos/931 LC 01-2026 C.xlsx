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Sueldos\"/>
    </mc:Choice>
  </mc:AlternateContent>
  <bookViews>
    <workbookView xWindow="0" yWindow="0" windowWidth="19200" windowHeight="6310"/>
  </bookViews>
  <sheets>
    <sheet name="Nomina_30717385434_202601_000" sheetId="2" r:id="rId1"/>
  </sheets>
  <definedNames>
    <definedName name="_xlnm._FilterDatabase" localSheetId="0" hidden="1">Nomina_30717385434_202601_000!$A$5:$BY$40</definedName>
  </definedNames>
  <calcPr calcId="162913"/>
</workbook>
</file>

<file path=xl/calcChain.xml><?xml version="1.0" encoding="utf-8"?>
<calcChain xmlns="http://schemas.openxmlformats.org/spreadsheetml/2006/main">
  <c r="CA7" i="2" l="1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6" i="2"/>
  <c r="BZ7" i="2"/>
  <c r="BZ8" i="2"/>
  <c r="BZ9" i="2"/>
  <c r="CB9" i="2" s="1"/>
  <c r="CC9" i="2" s="1"/>
  <c r="BZ10" i="2"/>
  <c r="BZ11" i="2"/>
  <c r="BZ12" i="2"/>
  <c r="BZ13" i="2"/>
  <c r="BZ14" i="2"/>
  <c r="BZ15" i="2"/>
  <c r="BZ16" i="2"/>
  <c r="BZ17" i="2"/>
  <c r="CB17" i="2" s="1"/>
  <c r="CC17" i="2" s="1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CB33" i="2" s="1"/>
  <c r="CC33" i="2" s="1"/>
  <c r="BZ34" i="2"/>
  <c r="BZ35" i="2"/>
  <c r="BZ36" i="2"/>
  <c r="BZ37" i="2"/>
  <c r="BZ38" i="2"/>
  <c r="BZ39" i="2"/>
  <c r="BZ40" i="2"/>
  <c r="CB22" i="2" l="1"/>
  <c r="CC22" i="2" s="1"/>
  <c r="CB21" i="2"/>
  <c r="CC21" i="2" s="1"/>
  <c r="CB38" i="2"/>
  <c r="CC38" i="2" s="1"/>
  <c r="CB30" i="2"/>
  <c r="CC30" i="2" s="1"/>
  <c r="CB29" i="2"/>
  <c r="CC29" i="2" s="1"/>
  <c r="CB13" i="2"/>
  <c r="CC13" i="2" s="1"/>
  <c r="CB20" i="2"/>
  <c r="CC20" i="2" s="1"/>
  <c r="CB36" i="2"/>
  <c r="CC36" i="2" s="1"/>
  <c r="CB14" i="2"/>
  <c r="CC14" i="2" s="1"/>
  <c r="CB34" i="2"/>
  <c r="CC34" i="2" s="1"/>
  <c r="CB26" i="2"/>
  <c r="CC26" i="2" s="1"/>
  <c r="CB18" i="2"/>
  <c r="CC18" i="2" s="1"/>
  <c r="CB10" i="2"/>
  <c r="CC10" i="2" s="1"/>
  <c r="CB25" i="2"/>
  <c r="CC25" i="2" s="1"/>
  <c r="CB37" i="2"/>
  <c r="CC37" i="2" s="1"/>
  <c r="CB28" i="2"/>
  <c r="CC28" i="2" s="1"/>
  <c r="CB12" i="2"/>
  <c r="CC12" i="2" s="1"/>
  <c r="CB35" i="2"/>
  <c r="CC35" i="2" s="1"/>
  <c r="CB27" i="2"/>
  <c r="CC27" i="2" s="1"/>
  <c r="CB19" i="2"/>
  <c r="CC19" i="2" s="1"/>
  <c r="CB11" i="2"/>
  <c r="CC11" i="2" s="1"/>
  <c r="CB32" i="2"/>
  <c r="CC32" i="2" s="1"/>
  <c r="CB16" i="2"/>
  <c r="CC16" i="2" s="1"/>
  <c r="CB39" i="2"/>
  <c r="CC39" i="2" s="1"/>
  <c r="CB7" i="2"/>
  <c r="CC7" i="2" s="1"/>
  <c r="CB40" i="2"/>
  <c r="CC40" i="2" s="1"/>
  <c r="CB24" i="2"/>
  <c r="CC24" i="2" s="1"/>
  <c r="CB8" i="2"/>
  <c r="CC8" i="2" s="1"/>
  <c r="CB31" i="2"/>
  <c r="CC31" i="2" s="1"/>
  <c r="CB23" i="2"/>
  <c r="CC23" i="2" s="1"/>
  <c r="CB15" i="2"/>
  <c r="CC15" i="2" s="1"/>
  <c r="BZ6" i="2"/>
  <c r="CB6" i="2" s="1"/>
  <c r="CC6" i="2" s="1"/>
</calcChain>
</file>

<file path=xl/sharedStrings.xml><?xml version="1.0" encoding="utf-8"?>
<sst xmlns="http://schemas.openxmlformats.org/spreadsheetml/2006/main" count="230" uniqueCount="126">
  <si>
    <t>CUIT:</t>
  </si>
  <si>
    <t>30-71738543-4</t>
  </si>
  <si>
    <t>Período</t>
  </si>
  <si>
    <t>01 2026</t>
  </si>
  <si>
    <t>Secuencia:</t>
  </si>
  <si>
    <t>0 - Original</t>
  </si>
  <si>
    <t>Contribuyente:</t>
  </si>
  <si>
    <t>EL LUCERO CUERO</t>
  </si>
  <si>
    <t>CUIL</t>
  </si>
  <si>
    <t>Apellido y Nombre</t>
  </si>
  <si>
    <t>Obra Social</t>
  </si>
  <si>
    <t>Corresponde Reducción?</t>
  </si>
  <si>
    <t>Con Cobertura S.C.V.O.?</t>
  </si>
  <si>
    <t>Situación</t>
  </si>
  <si>
    <t>Condición</t>
  </si>
  <si>
    <t>Actividad</t>
  </si>
  <si>
    <t>Modalidad de Contrato</t>
  </si>
  <si>
    <t>Código de siniestrado</t>
  </si>
  <si>
    <t>Localidad</t>
  </si>
  <si>
    <t>% de Reducción</t>
  </si>
  <si>
    <t>Cónyuge</t>
  </si>
  <si>
    <t>Hijos</t>
  </si>
  <si>
    <t>Adherentes</t>
  </si>
  <si>
    <t>Remuneración Total</t>
  </si>
  <si>
    <t>Remuneración 1</t>
  </si>
  <si>
    <t>Remuneración 2</t>
  </si>
  <si>
    <t>Remuneración 3</t>
  </si>
  <si>
    <t>Remuneración 4</t>
  </si>
  <si>
    <t>Remuneración 5</t>
  </si>
  <si>
    <t>Remuneración 6</t>
  </si>
  <si>
    <t>Remuneración 7</t>
  </si>
  <si>
    <t>Remuneración 8</t>
  </si>
  <si>
    <t>Remuneración 9</t>
  </si>
  <si>
    <t>Remuneración 10</t>
  </si>
  <si>
    <t>Importe a detraer</t>
  </si>
  <si>
    <t>Situación de revista del período 1</t>
  </si>
  <si>
    <t>Día de inicio situación de revista 1</t>
  </si>
  <si>
    <t>Situación de revista del período 2</t>
  </si>
  <si>
    <t>Día de inicio situación de revista 2</t>
  </si>
  <si>
    <t>Situación de revista del período 3</t>
  </si>
  <si>
    <t>Día de inicio situación de revista 3</t>
  </si>
  <si>
    <t>Cantidad de días trabajados</t>
  </si>
  <si>
    <t>Horas trabajadas</t>
  </si>
  <si>
    <t>Sueldo</t>
  </si>
  <si>
    <t>Adicionales</t>
  </si>
  <si>
    <t>Cantidad Horas Extras</t>
  </si>
  <si>
    <t>Importe Horas Extras</t>
  </si>
  <si>
    <t>Plus por zona desfavorable</t>
  </si>
  <si>
    <t>SAC</t>
  </si>
  <si>
    <t>Vacaciones</t>
  </si>
  <si>
    <t>Premios</t>
  </si>
  <si>
    <t>Conceptos no remun.</t>
  </si>
  <si>
    <t>Incremento Salarial</t>
  </si>
  <si>
    <t>Maternidad / Art 13 - Ley 27.674</t>
  </si>
  <si>
    <t>Rectificación remuneración</t>
  </si>
  <si>
    <t>Asig. Familiares Pagadas</t>
  </si>
  <si>
    <t>Contribución Previsional</t>
  </si>
  <si>
    <t>Contribución PAMI</t>
  </si>
  <si>
    <t>Contrib. Tarea Dif. (*)</t>
  </si>
  <si>
    <t>INSSJP Dto 1273-2641/02</t>
  </si>
  <si>
    <t>Fondo Nac. de Empleo</t>
  </si>
  <si>
    <t>Contribución ANSSAL</t>
  </si>
  <si>
    <t>Contribución Asig. Familiares</t>
  </si>
  <si>
    <t>Total Contribuciones SS</t>
  </si>
  <si>
    <t>* porcentaje aplicado</t>
  </si>
  <si>
    <t>Contribución RENATEA</t>
  </si>
  <si>
    <t>Aportes RENATEA</t>
  </si>
  <si>
    <t>Aporte Previsional</t>
  </si>
  <si>
    <t>Aporte PAMI</t>
  </si>
  <si>
    <t>Aporte Adicional SS (*)</t>
  </si>
  <si>
    <t>Aporte ANSSAL</t>
  </si>
  <si>
    <t>Decreto 788/05</t>
  </si>
  <si>
    <t>Ap. personal Reg. esp.</t>
  </si>
  <si>
    <t>Excedentes Aportes SS</t>
  </si>
  <si>
    <t>Aporte Diferencial Prev</t>
  </si>
  <si>
    <t>Total Aportes SS</t>
  </si>
  <si>
    <t>Contribución OS</t>
  </si>
  <si>
    <t>Contribución Adicional OS</t>
  </si>
  <si>
    <t>Dto. 1273-2641/02</t>
  </si>
  <si>
    <t>Total Contribuciones OS</t>
  </si>
  <si>
    <t>Aporte OS</t>
  </si>
  <si>
    <t>Aporte Adicional de OS</t>
  </si>
  <si>
    <t>Excedentes Aportes OS</t>
  </si>
  <si>
    <t>Total Aportes OS</t>
  </si>
  <si>
    <t>No</t>
  </si>
  <si>
    <t>Si</t>
  </si>
  <si>
    <t>GISELA BELEN BONINO</t>
  </si>
  <si>
    <t>ANAHI CRISTABEL PAVEZ</t>
  </si>
  <si>
    <t>LOURDES MARTINEZ FRANZI</t>
  </si>
  <si>
    <t>BARAJAS PAVON ROSBELIS BARBARA</t>
  </si>
  <si>
    <t>NATALIA NOELIA CABOVIANCO</t>
  </si>
  <si>
    <t>ANABELLA NATALIA BARAGATTI</t>
  </si>
  <si>
    <t>BARBARA GISELE URBIETA</t>
  </si>
  <si>
    <t>CAMILA AGOSTINA CARRIZO</t>
  </si>
  <si>
    <t>MICAELA ROMINA OLIVA</t>
  </si>
  <si>
    <t>SAYARIY CHOQUE</t>
  </si>
  <si>
    <t>SCHOLLER CHAVEZ RUTH IRIEL</t>
  </si>
  <si>
    <t>MAILEN ALEXIA CORONEL</t>
  </si>
  <si>
    <t>CANDELA YAZMIN IMPERIALE</t>
  </si>
  <si>
    <t>DAILA MOHAMAD</t>
  </si>
  <si>
    <t>AGUSTINA MOLINA</t>
  </si>
  <si>
    <t>IMPERIALE AGUSTINA SOL</t>
  </si>
  <si>
    <t>CANDELA LUCIANA GIMENEZ BIDAL</t>
  </si>
  <si>
    <t>MILAGROS MARIEL BERTOLO</t>
  </si>
  <si>
    <t>CANDELA ESPOSITO</t>
  </si>
  <si>
    <t>ARACELI DEL VALLE MACHUCA TORRES</t>
  </si>
  <si>
    <t>ROCIO NICOLE DE BRITO</t>
  </si>
  <si>
    <t>ROBBIO LARA</t>
  </si>
  <si>
    <t>NOELIA JAZMIN GIMENEZ AYALA</t>
  </si>
  <si>
    <t>MORENA TRINIDAD CARDOSO</t>
  </si>
  <si>
    <t>MARIA PAZ DELGADO</t>
  </si>
  <si>
    <t>FIGUEROA GARCIA FEDERICA LOURDES</t>
  </si>
  <si>
    <t>MAITENA RUIZ DE LA TORRE</t>
  </si>
  <si>
    <t>SOFIA VICTORIA VIÑA</t>
  </si>
  <si>
    <t>CAROLINA INES GIORDANO</t>
  </si>
  <si>
    <t>DANA AYELEN RAMIREZ</t>
  </si>
  <si>
    <t>NOELIA BOGARIN GOMEZ</t>
  </si>
  <si>
    <t>FIONA LUDMILA SCHIAVONE</t>
  </si>
  <si>
    <t>GIL MARQUEZ JOHANNA NICOLE</t>
  </si>
  <si>
    <t>NICOLE MARIE LEON</t>
  </si>
  <si>
    <t>THALIA SELENA OCHOA DURAN</t>
  </si>
  <si>
    <t>BRUTO</t>
  </si>
  <si>
    <t>Total Contribuciones</t>
  </si>
  <si>
    <t>ART</t>
  </si>
  <si>
    <t>COSTO TOTAL</t>
  </si>
  <si>
    <t>Contribuciones +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</si>
</sst>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0" borderId="11" xfId="0" applyFont="1" applyFill="1" applyBorder="1" applyAlignment="1">
      <alignment horizontal="center" vertical="center" wrapText="1"/>
    </xf>
    <xf numFmtId="4" fontId="0" fillId="0" borderId="0" xfId="0" applyNumberFormat="1"/>
    <xf numFmtId="0" fontId="19" fillId="0" borderId="0" xfId="0" applyFont="1" applyFill="1" applyBorder="1" applyAlignment="1">
      <alignment horizontal="center" vertical="center" wrapText="1"/>
    </xf>
    <xf numFmtId="0" fontId="19" fillId="0" borderId="12" xfId="0" applyFont="1" applyFill="1" applyBorder="1" applyAlignment="1">
      <alignment horizontal="center" vertical="center" wrapText="1"/>
    </xf>
    <xf numFmtId="164" fontId="0" fillId="0" borderId="0" xfId="0" applyNumberFormat="1"/>
    <xf numFmtId="0" fontId="19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41"/>
  <sheetViews>
    <sheetView showGridLines="0" tabSelected="1" topLeftCell="A2" zoomScale="130" zoomScaleNormal="130" workbookViewId="0">
      <pane xSplit="2" ySplit="4" topLeftCell="BY6" activePane="bottomRight" state="frozen"/>
      <selection activeCell="A2" sqref="A2"/>
      <selection pane="topRight" activeCell="C2" sqref="C2"/>
      <selection pane="bottomLeft" activeCell="A6" sqref="A6"/>
      <selection pane="bottomRight" activeCell="CB6" sqref="CB6"/>
    </sheetView>
  </sheetViews>
  <sheetFormatPr baseColWidth="10" defaultRowHeight="14"/>
  <cols>
    <col min="1" max="1" width="12.33203125" bestFit="1" customWidth="1"/>
    <col min="2" max="2" width="31.6640625" bestFit="1" customWidth="1"/>
    <col min="3" max="3" width="9.9140625" bestFit="1" customWidth="1"/>
    <col min="4" max="4" width="21.25" bestFit="1" customWidth="1"/>
    <col min="5" max="5" width="20.58203125" bestFit="1" customWidth="1"/>
    <col min="6" max="6" width="8.25" bestFit="1" customWidth="1"/>
    <col min="7" max="7" width="9" bestFit="1" customWidth="1"/>
    <col min="8" max="8" width="8.08203125" bestFit="1" customWidth="1"/>
    <col min="9" max="9" width="18.75" bestFit="1" customWidth="1"/>
    <col min="10" max="10" width="18.08203125" bestFit="1" customWidth="1"/>
    <col min="11" max="11" width="8.58203125" bestFit="1" customWidth="1"/>
    <col min="12" max="12" width="13.4140625" bestFit="1" customWidth="1"/>
    <col min="13" max="13" width="8" bestFit="1" customWidth="1"/>
    <col min="14" max="14" width="5" bestFit="1" customWidth="1"/>
    <col min="15" max="15" width="10.08203125" bestFit="1" customWidth="1"/>
    <col min="16" max="16" width="16.9140625" bestFit="1" customWidth="1"/>
    <col min="17" max="25" width="13.9140625" bestFit="1" customWidth="1"/>
    <col min="26" max="26" width="14.9140625" bestFit="1" customWidth="1"/>
    <col min="27" max="27" width="14.6640625" bestFit="1" customWidth="1"/>
    <col min="28" max="28" width="27.25" bestFit="1" customWidth="1"/>
    <col min="29" max="29" width="27.58203125" bestFit="1" customWidth="1"/>
    <col min="30" max="30" width="27.25" bestFit="1" customWidth="1"/>
    <col min="31" max="31" width="27.58203125" bestFit="1" customWidth="1"/>
    <col min="32" max="32" width="27.25" bestFit="1" customWidth="1"/>
    <col min="33" max="33" width="27.58203125" bestFit="1" customWidth="1"/>
    <col min="34" max="34" width="22.6640625" bestFit="1" customWidth="1"/>
    <col min="35" max="35" width="14.08203125" bestFit="1" customWidth="1"/>
    <col min="36" max="36" width="11.33203125" bestFit="1" customWidth="1"/>
    <col min="37" max="37" width="10.08203125" bestFit="1" customWidth="1"/>
    <col min="38" max="38" width="18.33203125" bestFit="1" customWidth="1"/>
    <col min="39" max="39" width="17.6640625" bestFit="1" customWidth="1"/>
    <col min="40" max="40" width="22.33203125" bestFit="1" customWidth="1"/>
    <col min="41" max="41" width="8.9140625" bestFit="1" customWidth="1"/>
    <col min="42" max="43" width="9.9140625" bestFit="1" customWidth="1"/>
    <col min="44" max="44" width="18.08203125" bestFit="1" customWidth="1"/>
    <col min="45" max="45" width="16.58203125" bestFit="1" customWidth="1"/>
    <col min="46" max="46" width="25.75" bestFit="1" customWidth="1"/>
    <col min="47" max="47" width="22.75" bestFit="1" customWidth="1"/>
    <col min="48" max="48" width="20.25" bestFit="1" customWidth="1"/>
    <col min="49" max="49" width="20.4140625" bestFit="1" customWidth="1"/>
    <col min="50" max="50" width="15.4140625" bestFit="1" customWidth="1"/>
    <col min="51" max="51" width="17.6640625" bestFit="1" customWidth="1"/>
    <col min="52" max="52" width="21.33203125" bestFit="1" customWidth="1"/>
    <col min="53" max="53" width="18.6640625" bestFit="1" customWidth="1"/>
    <col min="54" max="54" width="17.75" bestFit="1" customWidth="1"/>
    <col min="55" max="55" width="24.08203125" bestFit="1" customWidth="1"/>
    <col min="56" max="56" width="19.75" bestFit="1" customWidth="1"/>
    <col min="57" max="57" width="17.75" bestFit="1" customWidth="1"/>
    <col min="58" max="58" width="18.9140625" bestFit="1" customWidth="1"/>
    <col min="59" max="59" width="14.6640625" bestFit="1" customWidth="1"/>
    <col min="60" max="60" width="15.33203125" bestFit="1" customWidth="1"/>
    <col min="61" max="61" width="10.4140625" bestFit="1" customWidth="1"/>
    <col min="62" max="62" width="18.58203125" bestFit="1" customWidth="1"/>
    <col min="63" max="63" width="12.6640625" bestFit="1" customWidth="1"/>
    <col min="64" max="64" width="13.33203125" bestFit="1" customWidth="1"/>
    <col min="65" max="65" width="18.6640625" bestFit="1" customWidth="1"/>
    <col min="66" max="66" width="19.08203125" bestFit="1" customWidth="1"/>
    <col min="67" max="67" width="19.25" bestFit="1" customWidth="1"/>
    <col min="68" max="68" width="13.6640625" bestFit="1" customWidth="1"/>
    <col min="69" max="69" width="17.75" bestFit="1" customWidth="1"/>
    <col min="70" max="70" width="13.75" bestFit="1" customWidth="1"/>
    <col min="71" max="71" width="21.58203125" bestFit="1" customWidth="1"/>
    <col min="72" max="72" width="15.9140625" bestFit="1" customWidth="1"/>
    <col min="73" max="73" width="20" bestFit="1" customWidth="1"/>
    <col min="74" max="74" width="8.9140625" bestFit="1" customWidth="1"/>
    <col min="75" max="75" width="18.75" bestFit="1" customWidth="1"/>
    <col min="76" max="76" width="19.33203125" bestFit="1" customWidth="1"/>
    <col min="77" max="77" width="13.9140625" bestFit="1" customWidth="1"/>
    <col min="81" max="81" width="11.33203125" bestFit="1" customWidth="1"/>
  </cols>
  <sheetData>
    <row r="1" spans="1:82">
      <c r="A1" s="2" t="s">
        <v>0</v>
      </c>
      <c r="B1" s="2" t="s">
        <v>1</v>
      </c>
    </row>
    <row r="2" spans="1:82">
      <c r="A2" s="2" t="s">
        <v>2</v>
      </c>
      <c r="B2" s="2" t="s">
        <v>3</v>
      </c>
    </row>
    <row r="3" spans="1:82">
      <c r="A3" s="2" t="s">
        <v>4</v>
      </c>
      <c r="B3" s="2" t="s">
        <v>5</v>
      </c>
    </row>
    <row r="4" spans="1:82">
      <c r="A4" s="2" t="s">
        <v>6</v>
      </c>
      <c r="B4" s="2" t="s">
        <v>7</v>
      </c>
      <c r="C4" s="1"/>
      <c r="P4" t="s">
        <v>121</v>
      </c>
    </row>
    <row r="5" spans="1:82" ht="39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1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  <c r="W5" s="3" t="s">
        <v>30</v>
      </c>
      <c r="X5" s="3" t="s">
        <v>31</v>
      </c>
      <c r="Y5" s="3" t="s">
        <v>32</v>
      </c>
      <c r="Z5" s="3" t="s">
        <v>33</v>
      </c>
      <c r="AA5" s="3" t="s">
        <v>34</v>
      </c>
      <c r="AB5" s="3" t="s">
        <v>35</v>
      </c>
      <c r="AC5" s="3" t="s">
        <v>36</v>
      </c>
      <c r="AD5" s="3" t="s">
        <v>37</v>
      </c>
      <c r="AE5" s="3" t="s">
        <v>38</v>
      </c>
      <c r="AF5" s="3" t="s">
        <v>39</v>
      </c>
      <c r="AG5" s="3" t="s">
        <v>40</v>
      </c>
      <c r="AH5" s="3" t="s">
        <v>41</v>
      </c>
      <c r="AI5" s="3" t="s">
        <v>42</v>
      </c>
      <c r="AJ5" s="3" t="s">
        <v>43</v>
      </c>
      <c r="AK5" s="3" t="s">
        <v>44</v>
      </c>
      <c r="AL5" s="3" t="s">
        <v>45</v>
      </c>
      <c r="AM5" s="3" t="s">
        <v>46</v>
      </c>
      <c r="AN5" s="3" t="s">
        <v>47</v>
      </c>
      <c r="AO5" s="3" t="s">
        <v>48</v>
      </c>
      <c r="AP5" s="3" t="s">
        <v>49</v>
      </c>
      <c r="AQ5" s="3" t="s">
        <v>50</v>
      </c>
      <c r="AR5" s="3" t="s">
        <v>51</v>
      </c>
      <c r="AS5" s="3" t="s">
        <v>52</v>
      </c>
      <c r="AT5" s="3" t="s">
        <v>53</v>
      </c>
      <c r="AU5" s="3" t="s">
        <v>54</v>
      </c>
      <c r="AV5" s="3" t="s">
        <v>55</v>
      </c>
      <c r="AW5" s="3" t="s">
        <v>56</v>
      </c>
      <c r="AX5" s="3" t="s">
        <v>57</v>
      </c>
      <c r="AY5" s="3" t="s">
        <v>58</v>
      </c>
      <c r="AZ5" s="3" t="s">
        <v>59</v>
      </c>
      <c r="BA5" s="3" t="s">
        <v>60</v>
      </c>
      <c r="BB5" s="3" t="s">
        <v>61</v>
      </c>
      <c r="BC5" s="3" t="s">
        <v>62</v>
      </c>
      <c r="BD5" s="3" t="s">
        <v>63</v>
      </c>
      <c r="BE5" s="3" t="s">
        <v>64</v>
      </c>
      <c r="BF5" s="3" t="s">
        <v>65</v>
      </c>
      <c r="BG5" s="3" t="s">
        <v>66</v>
      </c>
      <c r="BH5" s="3" t="s">
        <v>67</v>
      </c>
      <c r="BI5" s="3" t="s">
        <v>68</v>
      </c>
      <c r="BJ5" s="3" t="s">
        <v>69</v>
      </c>
      <c r="BK5" s="3" t="s">
        <v>70</v>
      </c>
      <c r="BL5" s="3" t="s">
        <v>71</v>
      </c>
      <c r="BM5" s="3" t="s">
        <v>72</v>
      </c>
      <c r="BN5" s="3" t="s">
        <v>73</v>
      </c>
      <c r="BO5" s="3" t="s">
        <v>74</v>
      </c>
      <c r="BP5" s="3" t="s">
        <v>75</v>
      </c>
      <c r="BQ5" s="3" t="s">
        <v>64</v>
      </c>
      <c r="BR5" s="3" t="s">
        <v>76</v>
      </c>
      <c r="BS5" s="3" t="s">
        <v>77</v>
      </c>
      <c r="BT5" s="3" t="s">
        <v>78</v>
      </c>
      <c r="BU5" s="3" t="s">
        <v>79</v>
      </c>
      <c r="BV5" s="3" t="s">
        <v>80</v>
      </c>
      <c r="BW5" s="3" t="s">
        <v>81</v>
      </c>
      <c r="BX5" s="3" t="s">
        <v>82</v>
      </c>
      <c r="BY5" s="3" t="s">
        <v>83</v>
      </c>
      <c r="BZ5" s="8" t="s">
        <v>122</v>
      </c>
      <c r="CA5" s="8" t="s">
        <v>123</v>
      </c>
      <c r="CB5" s="8" t="s">
        <v>125</v>
      </c>
      <c r="CC5" s="11" t="s">
        <v>124</v>
      </c>
      <c r="CD5" s="10"/>
    </row>
    <row r="6" spans="1:82">
      <c r="A6" s="4">
        <v>23417391304</v>
      </c>
      <c r="B6" s="4" t="s">
        <v>86</v>
      </c>
      <c r="C6" s="4">
        <v>126205</v>
      </c>
      <c r="D6" s="4" t="s">
        <v>84</v>
      </c>
      <c r="E6" s="4" t="s">
        <v>85</v>
      </c>
      <c r="F6" s="4">
        <v>1</v>
      </c>
      <c r="G6" s="4">
        <v>1</v>
      </c>
      <c r="H6" s="4">
        <v>49</v>
      </c>
      <c r="I6" s="4">
        <v>14</v>
      </c>
      <c r="J6" s="4">
        <v>0</v>
      </c>
      <c r="K6" s="4">
        <v>1</v>
      </c>
      <c r="L6" s="4">
        <v>0</v>
      </c>
      <c r="M6" s="4" t="s">
        <v>84</v>
      </c>
      <c r="N6" s="4">
        <v>0</v>
      </c>
      <c r="O6" s="4">
        <v>0</v>
      </c>
      <c r="P6" s="5">
        <v>951786.63</v>
      </c>
      <c r="Q6" s="5">
        <v>872314.56</v>
      </c>
      <c r="R6" s="5">
        <v>872314.56</v>
      </c>
      <c r="S6" s="5">
        <v>872314.56</v>
      </c>
      <c r="T6" s="5">
        <v>1894813.88</v>
      </c>
      <c r="U6" s="5">
        <v>872314.56</v>
      </c>
      <c r="V6" s="7">
        <v>0</v>
      </c>
      <c r="W6" s="7">
        <v>0</v>
      </c>
      <c r="X6" s="5">
        <v>1894813.88</v>
      </c>
      <c r="Y6" s="5">
        <v>951786.62</v>
      </c>
      <c r="Z6" s="7">
        <v>0</v>
      </c>
      <c r="AA6" s="7">
        <v>0</v>
      </c>
      <c r="AB6" s="7">
        <v>1</v>
      </c>
      <c r="AC6" s="7">
        <v>1</v>
      </c>
      <c r="AD6" s="6"/>
      <c r="AE6" s="7">
        <v>0</v>
      </c>
      <c r="AF6" s="6"/>
      <c r="AG6" s="7">
        <v>0</v>
      </c>
      <c r="AH6" s="7">
        <v>15</v>
      </c>
      <c r="AI6" s="7">
        <v>0</v>
      </c>
      <c r="AJ6" s="5">
        <v>805238.22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5">
        <v>67076.34</v>
      </c>
      <c r="AR6" s="5">
        <v>79472.070000000007</v>
      </c>
      <c r="AS6" s="7">
        <v>0</v>
      </c>
      <c r="AT6" s="7">
        <v>0</v>
      </c>
      <c r="AU6" s="7">
        <v>0</v>
      </c>
      <c r="AV6" s="7">
        <v>0</v>
      </c>
      <c r="AW6" s="5">
        <v>93948.28</v>
      </c>
      <c r="AX6" s="5">
        <v>13869.8</v>
      </c>
      <c r="AY6" s="7">
        <v>0</v>
      </c>
      <c r="AZ6" s="7">
        <v>0</v>
      </c>
      <c r="BA6" s="5">
        <v>8199.76</v>
      </c>
      <c r="BB6" s="5">
        <v>17053.32</v>
      </c>
      <c r="BC6" s="5">
        <v>40998.78</v>
      </c>
      <c r="BD6" s="5">
        <v>174069.94</v>
      </c>
      <c r="BE6" s="7">
        <v>0</v>
      </c>
      <c r="BF6" s="7">
        <v>0</v>
      </c>
      <c r="BG6" s="7">
        <v>0</v>
      </c>
      <c r="BH6" s="5">
        <v>95954.6</v>
      </c>
      <c r="BI6" s="5">
        <v>26169.439999999999</v>
      </c>
      <c r="BJ6" s="7">
        <v>0</v>
      </c>
      <c r="BK6" s="5">
        <v>8526.66</v>
      </c>
      <c r="BL6" s="7">
        <v>0</v>
      </c>
      <c r="BM6" s="7">
        <v>0</v>
      </c>
      <c r="BN6" s="7">
        <v>0</v>
      </c>
      <c r="BO6" s="7">
        <v>0</v>
      </c>
      <c r="BP6" s="5">
        <v>130650.7</v>
      </c>
      <c r="BQ6" s="7">
        <v>0</v>
      </c>
      <c r="BR6" s="5">
        <v>96635.51</v>
      </c>
      <c r="BS6" s="7">
        <v>0</v>
      </c>
      <c r="BT6" s="7">
        <v>0</v>
      </c>
      <c r="BU6" s="5">
        <v>96635.51</v>
      </c>
      <c r="BV6" s="5">
        <v>48317.75</v>
      </c>
      <c r="BW6" s="7">
        <v>0</v>
      </c>
      <c r="BX6" s="7">
        <v>0</v>
      </c>
      <c r="BY6" s="5">
        <v>48317.75</v>
      </c>
      <c r="BZ6" s="9">
        <f>BU6+BD6</f>
        <v>270705.45</v>
      </c>
      <c r="CA6" s="12">
        <f xml:space="preserve"> 1355+ 0.0215*P6</f>
        <v>21818.412544999999</v>
      </c>
      <c r="CB6" s="9">
        <f>BZ6+CA6</f>
        <v>292523.86254500004</v>
      </c>
      <c r="CC6" s="9">
        <f>CB6+P6</f>
        <v>1244310.492545</v>
      </c>
      <c r="CD6" s="9"/>
    </row>
    <row r="7" spans="1:82">
      <c r="A7" s="4">
        <v>23430203444</v>
      </c>
      <c r="B7" s="4" t="s">
        <v>87</v>
      </c>
      <c r="C7" s="4">
        <v>126205</v>
      </c>
      <c r="D7" s="4" t="s">
        <v>84</v>
      </c>
      <c r="E7" s="4" t="s">
        <v>85</v>
      </c>
      <c r="F7" s="4">
        <v>1</v>
      </c>
      <c r="G7" s="4">
        <v>1</v>
      </c>
      <c r="H7" s="4">
        <v>49</v>
      </c>
      <c r="I7" s="4">
        <v>14</v>
      </c>
      <c r="J7" s="4">
        <v>0</v>
      </c>
      <c r="K7" s="4">
        <v>1</v>
      </c>
      <c r="L7" s="4">
        <v>0</v>
      </c>
      <c r="M7" s="4" t="s">
        <v>84</v>
      </c>
      <c r="N7" s="4">
        <v>0</v>
      </c>
      <c r="O7" s="4">
        <v>0</v>
      </c>
      <c r="P7" s="5">
        <v>897617.62</v>
      </c>
      <c r="Q7" s="5">
        <v>818760.37</v>
      </c>
      <c r="R7" s="5">
        <v>818760.37</v>
      </c>
      <c r="S7" s="5">
        <v>818760.37</v>
      </c>
      <c r="T7" s="5">
        <v>1786474.5</v>
      </c>
      <c r="U7" s="5">
        <v>818760.37</v>
      </c>
      <c r="V7" s="7">
        <v>0</v>
      </c>
      <c r="W7" s="7">
        <v>0</v>
      </c>
      <c r="X7" s="5">
        <v>1786474.5</v>
      </c>
      <c r="Y7" s="5">
        <v>897616.93</v>
      </c>
      <c r="Z7" s="7">
        <v>0</v>
      </c>
      <c r="AA7" s="7">
        <v>0</v>
      </c>
      <c r="AB7" s="7">
        <v>1</v>
      </c>
      <c r="AC7" s="7">
        <v>1</v>
      </c>
      <c r="AD7" s="6"/>
      <c r="AE7" s="7">
        <v>0</v>
      </c>
      <c r="AF7" s="6"/>
      <c r="AG7" s="7">
        <v>0</v>
      </c>
      <c r="AH7" s="7">
        <v>15</v>
      </c>
      <c r="AI7" s="7">
        <v>0</v>
      </c>
      <c r="AJ7" s="5">
        <v>755802.06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5">
        <v>62958.31</v>
      </c>
      <c r="AR7" s="5">
        <v>78857.25</v>
      </c>
      <c r="AS7" s="7">
        <v>0</v>
      </c>
      <c r="AT7" s="7">
        <v>0</v>
      </c>
      <c r="AU7" s="7">
        <v>0</v>
      </c>
      <c r="AV7" s="7">
        <v>0</v>
      </c>
      <c r="AW7" s="5">
        <v>88180.49</v>
      </c>
      <c r="AX7" s="5">
        <v>13018.29</v>
      </c>
      <c r="AY7" s="7">
        <v>0</v>
      </c>
      <c r="AZ7" s="7">
        <v>0</v>
      </c>
      <c r="BA7" s="5">
        <v>7696.35</v>
      </c>
      <c r="BB7" s="5">
        <v>16078.27</v>
      </c>
      <c r="BC7" s="5">
        <v>38481.74</v>
      </c>
      <c r="BD7" s="5">
        <v>163455.14000000001</v>
      </c>
      <c r="BE7" s="7">
        <v>0</v>
      </c>
      <c r="BF7" s="7">
        <v>0</v>
      </c>
      <c r="BG7" s="7">
        <v>0</v>
      </c>
      <c r="BH7" s="5">
        <v>90063.64</v>
      </c>
      <c r="BI7" s="5">
        <v>24562.81</v>
      </c>
      <c r="BJ7" s="7">
        <v>0</v>
      </c>
      <c r="BK7" s="5">
        <v>8039.14</v>
      </c>
      <c r="BL7" s="7">
        <v>0</v>
      </c>
      <c r="BM7" s="7">
        <v>0</v>
      </c>
      <c r="BN7" s="7">
        <v>0</v>
      </c>
      <c r="BO7" s="7">
        <v>0</v>
      </c>
      <c r="BP7" s="5">
        <v>122665.59</v>
      </c>
      <c r="BQ7" s="7">
        <v>0</v>
      </c>
      <c r="BR7" s="5">
        <v>91110.2</v>
      </c>
      <c r="BS7" s="7">
        <v>0</v>
      </c>
      <c r="BT7" s="7">
        <v>0</v>
      </c>
      <c r="BU7" s="5">
        <v>91110.2</v>
      </c>
      <c r="BV7" s="5">
        <v>45555.1</v>
      </c>
      <c r="BW7" s="7">
        <v>0</v>
      </c>
      <c r="BX7" s="7">
        <v>0</v>
      </c>
      <c r="BY7" s="5">
        <v>45555.1</v>
      </c>
      <c r="BZ7" s="9">
        <f t="shared" ref="BZ7:BZ40" si="0">BU7+BD7</f>
        <v>254565.34000000003</v>
      </c>
      <c r="CA7" s="12">
        <f t="shared" ref="CA7:CA40" si="1" xml:space="preserve"> 1355+ 0.0215*P7</f>
        <v>20653.778829999999</v>
      </c>
      <c r="CB7" s="9">
        <f t="shared" ref="CB7:CB40" si="2">BZ7+CA7</f>
        <v>275219.11883000005</v>
      </c>
      <c r="CC7" s="9">
        <f t="shared" ref="CC7:CC40" si="3">CB7+P7</f>
        <v>1172836.7388300002</v>
      </c>
    </row>
    <row r="8" spans="1:82">
      <c r="A8" s="4">
        <v>23470300094</v>
      </c>
      <c r="B8" s="4" t="s">
        <v>88</v>
      </c>
      <c r="C8" s="4">
        <v>126205</v>
      </c>
      <c r="D8" s="4" t="s">
        <v>84</v>
      </c>
      <c r="E8" s="4" t="s">
        <v>85</v>
      </c>
      <c r="F8" s="4">
        <v>1</v>
      </c>
      <c r="G8" s="4">
        <v>1</v>
      </c>
      <c r="H8" s="4">
        <v>49</v>
      </c>
      <c r="I8" s="4">
        <v>14</v>
      </c>
      <c r="J8" s="4">
        <v>0</v>
      </c>
      <c r="K8" s="4">
        <v>1</v>
      </c>
      <c r="L8" s="4">
        <v>0</v>
      </c>
      <c r="M8" s="4" t="s">
        <v>84</v>
      </c>
      <c r="N8" s="4">
        <v>0</v>
      </c>
      <c r="O8" s="4">
        <v>0</v>
      </c>
      <c r="P8" s="5">
        <v>789117.07</v>
      </c>
      <c r="Q8" s="5">
        <v>721338.99</v>
      </c>
      <c r="R8" s="5">
        <v>721338.99</v>
      </c>
      <c r="S8" s="5">
        <v>721338.99</v>
      </c>
      <c r="T8" s="5">
        <v>1569473.32</v>
      </c>
      <c r="U8" s="5">
        <v>721338.99</v>
      </c>
      <c r="V8" s="7">
        <v>0</v>
      </c>
      <c r="W8" s="7">
        <v>0</v>
      </c>
      <c r="X8" s="5">
        <v>1569473.32</v>
      </c>
      <c r="Y8" s="5">
        <v>789116.34</v>
      </c>
      <c r="Z8" s="7">
        <v>0</v>
      </c>
      <c r="AA8" s="7">
        <v>0</v>
      </c>
      <c r="AB8" s="7">
        <v>1</v>
      </c>
      <c r="AC8" s="7">
        <v>1</v>
      </c>
      <c r="AD8" s="6"/>
      <c r="AE8" s="7">
        <v>0</v>
      </c>
      <c r="AF8" s="6"/>
      <c r="AG8" s="7">
        <v>0</v>
      </c>
      <c r="AH8" s="7">
        <v>30</v>
      </c>
      <c r="AI8" s="7">
        <v>0</v>
      </c>
      <c r="AJ8" s="5">
        <v>561745.9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5">
        <v>105542.29</v>
      </c>
      <c r="AQ8" s="5">
        <v>54050.8</v>
      </c>
      <c r="AR8" s="5">
        <v>67778.080000000002</v>
      </c>
      <c r="AS8" s="7">
        <v>0</v>
      </c>
      <c r="AT8" s="7">
        <v>0</v>
      </c>
      <c r="AU8" s="7">
        <v>0</v>
      </c>
      <c r="AV8" s="7">
        <v>0</v>
      </c>
      <c r="AW8" s="5">
        <v>77688.210000000006</v>
      </c>
      <c r="AX8" s="5">
        <v>11469.29</v>
      </c>
      <c r="AY8" s="7">
        <v>0</v>
      </c>
      <c r="AZ8" s="7">
        <v>0</v>
      </c>
      <c r="BA8" s="5">
        <v>6780.59</v>
      </c>
      <c r="BB8" s="5">
        <v>14125.26</v>
      </c>
      <c r="BC8" s="5">
        <v>33902.93</v>
      </c>
      <c r="BD8" s="5">
        <v>143966.28</v>
      </c>
      <c r="BE8" s="7">
        <v>0</v>
      </c>
      <c r="BF8" s="7">
        <v>0</v>
      </c>
      <c r="BG8" s="7">
        <v>0</v>
      </c>
      <c r="BH8" s="5">
        <v>79347.289999999994</v>
      </c>
      <c r="BI8" s="5">
        <v>21640.17</v>
      </c>
      <c r="BJ8" s="7">
        <v>0</v>
      </c>
      <c r="BK8" s="5">
        <v>7062.63</v>
      </c>
      <c r="BL8" s="7">
        <v>0</v>
      </c>
      <c r="BM8" s="7">
        <v>0</v>
      </c>
      <c r="BN8" s="7">
        <v>0</v>
      </c>
      <c r="BO8" s="7">
        <v>0</v>
      </c>
      <c r="BP8" s="5">
        <v>108050.09</v>
      </c>
      <c r="BQ8" s="7">
        <v>0</v>
      </c>
      <c r="BR8" s="5">
        <v>80043.14</v>
      </c>
      <c r="BS8" s="7">
        <v>0</v>
      </c>
      <c r="BT8" s="7">
        <v>0</v>
      </c>
      <c r="BU8" s="5">
        <v>80043.14</v>
      </c>
      <c r="BV8" s="5">
        <v>40021.57</v>
      </c>
      <c r="BW8" s="7">
        <v>0</v>
      </c>
      <c r="BX8" s="7">
        <v>0</v>
      </c>
      <c r="BY8" s="5">
        <v>40021.57</v>
      </c>
      <c r="BZ8" s="9">
        <f t="shared" si="0"/>
        <v>224009.41999999998</v>
      </c>
      <c r="CA8" s="12">
        <f t="shared" si="1"/>
        <v>18321.017004999998</v>
      </c>
      <c r="CB8" s="9">
        <f t="shared" si="2"/>
        <v>242330.43700499999</v>
      </c>
      <c r="CC8" s="9">
        <f t="shared" si="3"/>
        <v>1031447.5070049999</v>
      </c>
    </row>
    <row r="9" spans="1:82">
      <c r="A9" s="4">
        <v>23961211204</v>
      </c>
      <c r="B9" s="4" t="s">
        <v>89</v>
      </c>
      <c r="C9" s="4">
        <v>126205</v>
      </c>
      <c r="D9" s="4" t="s">
        <v>84</v>
      </c>
      <c r="E9" s="4" t="s">
        <v>85</v>
      </c>
      <c r="F9" s="4">
        <v>1</v>
      </c>
      <c r="G9" s="4">
        <v>1</v>
      </c>
      <c r="H9" s="4">
        <v>49</v>
      </c>
      <c r="I9" s="4">
        <v>1</v>
      </c>
      <c r="J9" s="4">
        <v>0</v>
      </c>
      <c r="K9" s="4">
        <v>1</v>
      </c>
      <c r="L9" s="4">
        <v>0</v>
      </c>
      <c r="M9" s="4" t="s">
        <v>84</v>
      </c>
      <c r="N9" s="4">
        <v>0</v>
      </c>
      <c r="O9" s="4">
        <v>0</v>
      </c>
      <c r="P9" s="5">
        <v>1061467.45</v>
      </c>
      <c r="Q9" s="5">
        <v>974214.73</v>
      </c>
      <c r="R9" s="5">
        <v>974214.73</v>
      </c>
      <c r="S9" s="5">
        <v>974214.73</v>
      </c>
      <c r="T9" s="5">
        <v>2114174.36</v>
      </c>
      <c r="U9" s="5">
        <v>974214.73</v>
      </c>
      <c r="V9" s="7">
        <v>0</v>
      </c>
      <c r="W9" s="7">
        <v>0</v>
      </c>
      <c r="X9" s="5">
        <v>2114174.36</v>
      </c>
      <c r="Y9" s="5">
        <v>1061466.8600000001</v>
      </c>
      <c r="Z9" s="7">
        <v>0</v>
      </c>
      <c r="AA9" s="7">
        <v>0</v>
      </c>
      <c r="AB9" s="7">
        <v>1</v>
      </c>
      <c r="AC9" s="7">
        <v>1</v>
      </c>
      <c r="AD9" s="6"/>
      <c r="AE9" s="7">
        <v>0</v>
      </c>
      <c r="AF9" s="6"/>
      <c r="AG9" s="7">
        <v>0</v>
      </c>
      <c r="AH9" s="7">
        <v>15</v>
      </c>
      <c r="AI9" s="7">
        <v>0</v>
      </c>
      <c r="AJ9" s="5">
        <v>881984.27</v>
      </c>
      <c r="AK9" s="5">
        <v>17573.400000000001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5">
        <v>74657.06</v>
      </c>
      <c r="AR9" s="5">
        <v>87252.72</v>
      </c>
      <c r="AS9" s="7">
        <v>0</v>
      </c>
      <c r="AT9" s="7">
        <v>0</v>
      </c>
      <c r="AU9" s="7">
        <v>0</v>
      </c>
      <c r="AV9" s="7">
        <v>0</v>
      </c>
      <c r="AW9" s="5">
        <v>104922.93</v>
      </c>
      <c r="AX9" s="5">
        <v>15490.01</v>
      </c>
      <c r="AY9" s="7">
        <v>0</v>
      </c>
      <c r="AZ9" s="7">
        <v>0</v>
      </c>
      <c r="BA9" s="5">
        <v>9157.6200000000008</v>
      </c>
      <c r="BB9" s="5">
        <v>19027.57</v>
      </c>
      <c r="BC9" s="5">
        <v>45788.09</v>
      </c>
      <c r="BD9" s="5">
        <v>194386.22</v>
      </c>
      <c r="BE9" s="7">
        <v>0</v>
      </c>
      <c r="BF9" s="7">
        <v>0</v>
      </c>
      <c r="BG9" s="7">
        <v>0</v>
      </c>
      <c r="BH9" s="5">
        <v>107163.62</v>
      </c>
      <c r="BI9" s="5">
        <v>29226.44</v>
      </c>
      <c r="BJ9" s="7">
        <v>0</v>
      </c>
      <c r="BK9" s="5">
        <v>9513.7800000000007</v>
      </c>
      <c r="BL9" s="7">
        <v>0</v>
      </c>
      <c r="BM9" s="7">
        <v>0</v>
      </c>
      <c r="BN9" s="7">
        <v>0</v>
      </c>
      <c r="BO9" s="7">
        <v>0</v>
      </c>
      <c r="BP9" s="5">
        <v>145903.84</v>
      </c>
      <c r="BQ9" s="7">
        <v>0</v>
      </c>
      <c r="BR9" s="5">
        <v>107822.89</v>
      </c>
      <c r="BS9" s="7">
        <v>0</v>
      </c>
      <c r="BT9" s="7">
        <v>0</v>
      </c>
      <c r="BU9" s="5">
        <v>107822.89</v>
      </c>
      <c r="BV9" s="5">
        <v>53911.45</v>
      </c>
      <c r="BW9" s="7">
        <v>0</v>
      </c>
      <c r="BX9" s="7">
        <v>0</v>
      </c>
      <c r="BY9" s="5">
        <v>53911.45</v>
      </c>
      <c r="BZ9" s="9">
        <f t="shared" si="0"/>
        <v>302209.11</v>
      </c>
      <c r="CA9" s="12">
        <f t="shared" si="1"/>
        <v>24176.550174999997</v>
      </c>
      <c r="CB9" s="9">
        <f t="shared" si="2"/>
        <v>326385.66017499997</v>
      </c>
      <c r="CC9" s="9">
        <f t="shared" si="3"/>
        <v>1387853.110175</v>
      </c>
    </row>
    <row r="10" spans="1:82">
      <c r="A10" s="4">
        <v>27281077843</v>
      </c>
      <c r="B10" s="4" t="s">
        <v>90</v>
      </c>
      <c r="C10" s="4">
        <v>3603</v>
      </c>
      <c r="D10" s="4" t="s">
        <v>84</v>
      </c>
      <c r="E10" s="4" t="s">
        <v>85</v>
      </c>
      <c r="F10" s="4">
        <v>1</v>
      </c>
      <c r="G10" s="4">
        <v>1</v>
      </c>
      <c r="H10" s="4">
        <v>49</v>
      </c>
      <c r="I10" s="4">
        <v>8</v>
      </c>
      <c r="J10" s="4">
        <v>0</v>
      </c>
      <c r="K10" s="4">
        <v>1</v>
      </c>
      <c r="L10" s="4">
        <v>0</v>
      </c>
      <c r="M10" s="4" t="s">
        <v>84</v>
      </c>
      <c r="N10" s="4">
        <v>0</v>
      </c>
      <c r="O10" s="4">
        <v>0</v>
      </c>
      <c r="P10" s="5">
        <v>1601998.69</v>
      </c>
      <c r="Q10" s="5">
        <v>1467539.65</v>
      </c>
      <c r="R10" s="5">
        <v>1467539.65</v>
      </c>
      <c r="S10" s="5">
        <v>1467539.65</v>
      </c>
      <c r="T10" s="5">
        <v>1593202.45</v>
      </c>
      <c r="U10" s="5">
        <v>1467539.65</v>
      </c>
      <c r="V10" s="7">
        <v>0</v>
      </c>
      <c r="W10" s="7">
        <v>0</v>
      </c>
      <c r="X10" s="5">
        <v>1593202.45</v>
      </c>
      <c r="Y10" s="5">
        <v>1601997.81</v>
      </c>
      <c r="Z10" s="7">
        <v>0</v>
      </c>
      <c r="AA10" s="7">
        <v>0</v>
      </c>
      <c r="AB10" s="7">
        <v>1</v>
      </c>
      <c r="AC10" s="7">
        <v>1</v>
      </c>
      <c r="AD10" s="6"/>
      <c r="AE10" s="7">
        <v>0</v>
      </c>
      <c r="AF10" s="6"/>
      <c r="AG10" s="7">
        <v>0</v>
      </c>
      <c r="AH10" s="7">
        <v>30</v>
      </c>
      <c r="AI10" s="7">
        <v>0</v>
      </c>
      <c r="AJ10" s="5">
        <v>739556.06</v>
      </c>
      <c r="AK10" s="5">
        <v>177445.54</v>
      </c>
      <c r="AL10" s="7">
        <v>0</v>
      </c>
      <c r="AM10" s="7">
        <v>0</v>
      </c>
      <c r="AN10" s="7">
        <v>0</v>
      </c>
      <c r="AO10" s="7">
        <v>0</v>
      </c>
      <c r="AP10" s="5">
        <v>443374.25</v>
      </c>
      <c r="AQ10" s="5">
        <v>107163.8</v>
      </c>
      <c r="AR10" s="5">
        <v>134459.04</v>
      </c>
      <c r="AS10" s="7">
        <v>0</v>
      </c>
      <c r="AT10" s="7">
        <v>0</v>
      </c>
      <c r="AU10" s="7">
        <v>0</v>
      </c>
      <c r="AV10" s="7">
        <v>0</v>
      </c>
      <c r="AW10" s="5">
        <v>158054.01999999999</v>
      </c>
      <c r="AX10" s="5">
        <v>23333.88</v>
      </c>
      <c r="AY10" s="7">
        <v>0</v>
      </c>
      <c r="AZ10" s="7">
        <v>0</v>
      </c>
      <c r="BA10" s="5">
        <v>13794.87</v>
      </c>
      <c r="BB10" s="5">
        <v>14338.82</v>
      </c>
      <c r="BC10" s="5">
        <v>68974.36</v>
      </c>
      <c r="BD10" s="5">
        <v>278495.95</v>
      </c>
      <c r="BE10" s="7">
        <v>0</v>
      </c>
      <c r="BF10" s="7">
        <v>0</v>
      </c>
      <c r="BG10" s="7">
        <v>0</v>
      </c>
      <c r="BH10" s="5">
        <v>161429.35999999999</v>
      </c>
      <c r="BI10" s="5">
        <v>44026.19</v>
      </c>
      <c r="BJ10" s="7">
        <v>0</v>
      </c>
      <c r="BK10" s="5">
        <v>7169.41</v>
      </c>
      <c r="BL10" s="7">
        <v>0</v>
      </c>
      <c r="BM10" s="7">
        <v>0</v>
      </c>
      <c r="BN10" s="7">
        <v>0</v>
      </c>
      <c r="BO10" s="7">
        <v>0</v>
      </c>
      <c r="BP10" s="5">
        <v>212624.96</v>
      </c>
      <c r="BQ10" s="7">
        <v>0</v>
      </c>
      <c r="BR10" s="5">
        <v>81253.320000000007</v>
      </c>
      <c r="BS10" s="7">
        <v>0</v>
      </c>
      <c r="BT10" s="7">
        <v>0</v>
      </c>
      <c r="BU10" s="5">
        <v>81253.320000000007</v>
      </c>
      <c r="BV10" s="5">
        <v>40626.660000000003</v>
      </c>
      <c r="BW10" s="7">
        <v>0</v>
      </c>
      <c r="BX10" s="7">
        <v>0</v>
      </c>
      <c r="BY10" s="5">
        <v>40626.660000000003</v>
      </c>
      <c r="BZ10" s="9">
        <f t="shared" si="0"/>
        <v>359749.27</v>
      </c>
      <c r="CA10" s="12">
        <f t="shared" si="1"/>
        <v>35797.971834999997</v>
      </c>
      <c r="CB10" s="9">
        <f t="shared" si="2"/>
        <v>395547.24183499999</v>
      </c>
      <c r="CC10" s="9">
        <f t="shared" si="3"/>
        <v>1997545.9318349999</v>
      </c>
    </row>
    <row r="11" spans="1:82">
      <c r="A11" s="4">
        <v>27337446626</v>
      </c>
      <c r="B11" s="4" t="s">
        <v>91</v>
      </c>
      <c r="C11" s="4">
        <v>3900</v>
      </c>
      <c r="D11" s="4" t="s">
        <v>84</v>
      </c>
      <c r="E11" s="4" t="s">
        <v>85</v>
      </c>
      <c r="F11" s="4">
        <v>1</v>
      </c>
      <c r="G11" s="4">
        <v>1</v>
      </c>
      <c r="H11" s="4">
        <v>49</v>
      </c>
      <c r="I11" s="4">
        <v>14</v>
      </c>
      <c r="J11" s="4">
        <v>0</v>
      </c>
      <c r="K11" s="4">
        <v>1</v>
      </c>
      <c r="L11" s="4">
        <v>0</v>
      </c>
      <c r="M11" s="4" t="s">
        <v>84</v>
      </c>
      <c r="N11" s="4">
        <v>0</v>
      </c>
      <c r="O11" s="4">
        <v>0</v>
      </c>
      <c r="P11" s="5">
        <v>801462.01</v>
      </c>
      <c r="Q11" s="5">
        <v>731221.9</v>
      </c>
      <c r="R11" s="5">
        <v>731221.9</v>
      </c>
      <c r="S11" s="5">
        <v>731221.9</v>
      </c>
      <c r="T11" s="5">
        <v>1594163.22</v>
      </c>
      <c r="U11" s="5">
        <v>731221.9</v>
      </c>
      <c r="V11" s="7">
        <v>0</v>
      </c>
      <c r="W11" s="7">
        <v>0</v>
      </c>
      <c r="X11" s="5">
        <v>1594163.22</v>
      </c>
      <c r="Y11" s="5">
        <v>801461.29</v>
      </c>
      <c r="Z11" s="7">
        <v>0</v>
      </c>
      <c r="AA11" s="7">
        <v>0</v>
      </c>
      <c r="AB11" s="7">
        <v>1</v>
      </c>
      <c r="AC11" s="7">
        <v>1</v>
      </c>
      <c r="AD11" s="6"/>
      <c r="AE11" s="7">
        <v>0</v>
      </c>
      <c r="AF11" s="6"/>
      <c r="AG11" s="7">
        <v>0</v>
      </c>
      <c r="AH11" s="7">
        <v>15</v>
      </c>
      <c r="AI11" s="7">
        <v>0</v>
      </c>
      <c r="AJ11" s="5">
        <v>674994.83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5">
        <v>56227.07</v>
      </c>
      <c r="AR11" s="5">
        <v>70240.11</v>
      </c>
      <c r="AS11" s="7">
        <v>0</v>
      </c>
      <c r="AT11" s="7">
        <v>0</v>
      </c>
      <c r="AU11" s="7">
        <v>0</v>
      </c>
      <c r="AV11" s="7">
        <v>0</v>
      </c>
      <c r="AW11" s="5">
        <v>78752.600000000006</v>
      </c>
      <c r="AX11" s="5">
        <v>11626.43</v>
      </c>
      <c r="AY11" s="7">
        <v>0</v>
      </c>
      <c r="AZ11" s="7">
        <v>0</v>
      </c>
      <c r="BA11" s="5">
        <v>6873.49</v>
      </c>
      <c r="BB11" s="5">
        <v>14347.47</v>
      </c>
      <c r="BC11" s="5">
        <v>34367.43</v>
      </c>
      <c r="BD11" s="5">
        <v>145967.42000000001</v>
      </c>
      <c r="BE11" s="7">
        <v>0</v>
      </c>
      <c r="BF11" s="7">
        <v>0</v>
      </c>
      <c r="BG11" s="7">
        <v>0</v>
      </c>
      <c r="BH11" s="5">
        <v>80434.41</v>
      </c>
      <c r="BI11" s="5">
        <v>21936.66</v>
      </c>
      <c r="BJ11" s="7">
        <v>0</v>
      </c>
      <c r="BK11" s="5">
        <v>7173.73</v>
      </c>
      <c r="BL11" s="7">
        <v>0</v>
      </c>
      <c r="BM11" s="7">
        <v>0</v>
      </c>
      <c r="BN11" s="7">
        <v>0</v>
      </c>
      <c r="BO11" s="7">
        <v>0</v>
      </c>
      <c r="BP11" s="5">
        <v>109544.8</v>
      </c>
      <c r="BQ11" s="7">
        <v>0</v>
      </c>
      <c r="BR11" s="5">
        <v>81302.320000000007</v>
      </c>
      <c r="BS11" s="7">
        <v>0</v>
      </c>
      <c r="BT11" s="7">
        <v>0</v>
      </c>
      <c r="BU11" s="5">
        <v>81302.320000000007</v>
      </c>
      <c r="BV11" s="5">
        <v>40651.160000000003</v>
      </c>
      <c r="BW11" s="7">
        <v>0</v>
      </c>
      <c r="BX11" s="7">
        <v>0</v>
      </c>
      <c r="BY11" s="5">
        <v>40651.160000000003</v>
      </c>
      <c r="BZ11" s="9">
        <f t="shared" si="0"/>
        <v>227269.74000000002</v>
      </c>
      <c r="CA11" s="12">
        <f t="shared" si="1"/>
        <v>18586.433214999997</v>
      </c>
      <c r="CB11" s="9">
        <f t="shared" si="2"/>
        <v>245856.17321500002</v>
      </c>
      <c r="CC11" s="9">
        <f t="shared" si="3"/>
        <v>1047318.183215</v>
      </c>
    </row>
    <row r="12" spans="1:82">
      <c r="A12" s="4">
        <v>27348348162</v>
      </c>
      <c r="B12" s="4" t="s">
        <v>92</v>
      </c>
      <c r="C12" s="4">
        <v>126205</v>
      </c>
      <c r="D12" s="4" t="s">
        <v>84</v>
      </c>
      <c r="E12" s="4" t="s">
        <v>85</v>
      </c>
      <c r="F12" s="4">
        <v>1</v>
      </c>
      <c r="G12" s="4">
        <v>1</v>
      </c>
      <c r="H12" s="4">
        <v>49</v>
      </c>
      <c r="I12" s="4">
        <v>8</v>
      </c>
      <c r="J12" s="4">
        <v>0</v>
      </c>
      <c r="K12" s="4">
        <v>1</v>
      </c>
      <c r="L12" s="4">
        <v>0</v>
      </c>
      <c r="M12" s="4" t="s">
        <v>84</v>
      </c>
      <c r="N12" s="4">
        <v>0</v>
      </c>
      <c r="O12" s="4">
        <v>0</v>
      </c>
      <c r="P12" s="5">
        <v>1331640.8600000001</v>
      </c>
      <c r="Q12" s="5">
        <v>1213431.3600000001</v>
      </c>
      <c r="R12" s="5">
        <v>1213431.3600000001</v>
      </c>
      <c r="S12" s="5">
        <v>1213431.3600000001</v>
      </c>
      <c r="T12" s="5">
        <v>1322844.6599999999</v>
      </c>
      <c r="U12" s="5">
        <v>1213431.3600000001</v>
      </c>
      <c r="V12" s="7">
        <v>0</v>
      </c>
      <c r="W12" s="7">
        <v>0</v>
      </c>
      <c r="X12" s="5">
        <v>1322844.6599999999</v>
      </c>
      <c r="Y12" s="5">
        <v>1331640.02</v>
      </c>
      <c r="Z12" s="7">
        <v>0</v>
      </c>
      <c r="AA12" s="7">
        <v>0</v>
      </c>
      <c r="AB12" s="7">
        <v>1</v>
      </c>
      <c r="AC12" s="7">
        <v>1</v>
      </c>
      <c r="AD12" s="6"/>
      <c r="AE12" s="7">
        <v>0</v>
      </c>
      <c r="AF12" s="6"/>
      <c r="AG12" s="7">
        <v>0</v>
      </c>
      <c r="AH12" s="7">
        <v>15</v>
      </c>
      <c r="AI12" s="7">
        <v>0</v>
      </c>
      <c r="AJ12" s="5">
        <v>1109034.6000000001</v>
      </c>
      <c r="AK12" s="5">
        <v>11090.35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5">
        <v>93306.41</v>
      </c>
      <c r="AR12" s="5">
        <v>118209.5</v>
      </c>
      <c r="AS12" s="7">
        <v>0</v>
      </c>
      <c r="AT12" s="7">
        <v>0</v>
      </c>
      <c r="AU12" s="7">
        <v>0</v>
      </c>
      <c r="AV12" s="7">
        <v>0</v>
      </c>
      <c r="AW12" s="5">
        <v>130686.56</v>
      </c>
      <c r="AX12" s="5">
        <v>19293.560000000001</v>
      </c>
      <c r="AY12" s="7">
        <v>0</v>
      </c>
      <c r="AZ12" s="7">
        <v>0</v>
      </c>
      <c r="BA12" s="5">
        <v>11406.25</v>
      </c>
      <c r="BB12" s="5">
        <v>11905.6</v>
      </c>
      <c r="BC12" s="5">
        <v>57031.27</v>
      </c>
      <c r="BD12" s="5">
        <v>230323.24</v>
      </c>
      <c r="BE12" s="7">
        <v>0</v>
      </c>
      <c r="BF12" s="7">
        <v>0</v>
      </c>
      <c r="BG12" s="7">
        <v>0</v>
      </c>
      <c r="BH12" s="5">
        <v>133477.45000000001</v>
      </c>
      <c r="BI12" s="5">
        <v>36402.94</v>
      </c>
      <c r="BJ12" s="7">
        <v>0</v>
      </c>
      <c r="BK12" s="5">
        <v>5952.8</v>
      </c>
      <c r="BL12" s="7">
        <v>0</v>
      </c>
      <c r="BM12" s="7">
        <v>0</v>
      </c>
      <c r="BN12" s="7">
        <v>0</v>
      </c>
      <c r="BO12" s="7">
        <v>0</v>
      </c>
      <c r="BP12" s="5">
        <v>175833.19</v>
      </c>
      <c r="BQ12" s="7">
        <v>0</v>
      </c>
      <c r="BR12" s="5">
        <v>67465.08</v>
      </c>
      <c r="BS12" s="7">
        <v>0</v>
      </c>
      <c r="BT12" s="7">
        <v>0</v>
      </c>
      <c r="BU12" s="5">
        <v>67465.08</v>
      </c>
      <c r="BV12" s="5">
        <v>33732.54</v>
      </c>
      <c r="BW12" s="7">
        <v>0</v>
      </c>
      <c r="BX12" s="7">
        <v>0</v>
      </c>
      <c r="BY12" s="5">
        <v>33732.54</v>
      </c>
      <c r="BZ12" s="9">
        <f t="shared" si="0"/>
        <v>297788.32</v>
      </c>
      <c r="CA12" s="12">
        <f t="shared" si="1"/>
        <v>29985.278490000001</v>
      </c>
      <c r="CB12" s="9">
        <f t="shared" si="2"/>
        <v>327773.59849</v>
      </c>
      <c r="CC12" s="9">
        <f t="shared" si="3"/>
        <v>1659414.4584900001</v>
      </c>
    </row>
    <row r="13" spans="1:82">
      <c r="A13" s="4">
        <v>27412233714</v>
      </c>
      <c r="B13" s="4" t="s">
        <v>93</v>
      </c>
      <c r="C13" s="4">
        <v>402004</v>
      </c>
      <c r="D13" s="4" t="s">
        <v>84</v>
      </c>
      <c r="E13" s="4" t="s">
        <v>85</v>
      </c>
      <c r="F13" s="4">
        <v>1</v>
      </c>
      <c r="G13" s="4">
        <v>1</v>
      </c>
      <c r="H13" s="4">
        <v>49</v>
      </c>
      <c r="I13" s="4">
        <v>1</v>
      </c>
      <c r="J13" s="4">
        <v>0</v>
      </c>
      <c r="K13" s="4">
        <v>1</v>
      </c>
      <c r="L13" s="4">
        <v>0</v>
      </c>
      <c r="M13" s="4" t="s">
        <v>84</v>
      </c>
      <c r="N13" s="4">
        <v>0</v>
      </c>
      <c r="O13" s="4">
        <v>0</v>
      </c>
      <c r="P13" s="5">
        <v>921198.65</v>
      </c>
      <c r="Q13" s="5">
        <v>847043.64</v>
      </c>
      <c r="R13" s="5">
        <v>847043.64</v>
      </c>
      <c r="S13" s="5">
        <v>847043.64</v>
      </c>
      <c r="T13" s="5">
        <v>1833636.02</v>
      </c>
      <c r="U13" s="5">
        <v>847043.64</v>
      </c>
      <c r="V13" s="7">
        <v>0</v>
      </c>
      <c r="W13" s="7">
        <v>0</v>
      </c>
      <c r="X13" s="5">
        <v>1833636.02</v>
      </c>
      <c r="Y13" s="5">
        <v>921197.69</v>
      </c>
      <c r="Z13" s="7">
        <v>0</v>
      </c>
      <c r="AA13" s="7">
        <v>0</v>
      </c>
      <c r="AB13" s="7">
        <v>1</v>
      </c>
      <c r="AC13" s="7">
        <v>1</v>
      </c>
      <c r="AD13" s="6"/>
      <c r="AE13" s="7">
        <v>0</v>
      </c>
      <c r="AF13" s="6"/>
      <c r="AG13" s="7">
        <v>0</v>
      </c>
      <c r="AH13" s="7">
        <v>30</v>
      </c>
      <c r="AI13" s="7">
        <v>0</v>
      </c>
      <c r="AJ13" s="5">
        <v>492291.12</v>
      </c>
      <c r="AK13" s="5">
        <v>28023.65</v>
      </c>
      <c r="AL13" s="7">
        <v>0</v>
      </c>
      <c r="AM13" s="7">
        <v>0</v>
      </c>
      <c r="AN13" s="7">
        <v>0</v>
      </c>
      <c r="AO13" s="7">
        <v>0</v>
      </c>
      <c r="AP13" s="5">
        <v>266035.26</v>
      </c>
      <c r="AQ13" s="5">
        <v>60693.61</v>
      </c>
      <c r="AR13" s="5">
        <v>74155.009999999995</v>
      </c>
      <c r="AS13" s="7">
        <v>0</v>
      </c>
      <c r="AT13" s="7">
        <v>0</v>
      </c>
      <c r="AU13" s="7">
        <v>0</v>
      </c>
      <c r="AV13" s="7">
        <v>0</v>
      </c>
      <c r="AW13" s="5">
        <v>91226.6</v>
      </c>
      <c r="AX13" s="5">
        <v>13467.99</v>
      </c>
      <c r="AY13" s="7">
        <v>0</v>
      </c>
      <c r="AZ13" s="7">
        <v>0</v>
      </c>
      <c r="BA13" s="5">
        <v>7962.21</v>
      </c>
      <c r="BB13" s="5">
        <v>16502.72</v>
      </c>
      <c r="BC13" s="5">
        <v>39811.050000000003</v>
      </c>
      <c r="BD13" s="5">
        <v>168970.57</v>
      </c>
      <c r="BE13" s="7">
        <v>0</v>
      </c>
      <c r="BF13" s="7">
        <v>0</v>
      </c>
      <c r="BG13" s="7">
        <v>0</v>
      </c>
      <c r="BH13" s="5">
        <v>93174.8</v>
      </c>
      <c r="BI13" s="5">
        <v>25411.31</v>
      </c>
      <c r="BJ13" s="7">
        <v>0</v>
      </c>
      <c r="BK13" s="5">
        <v>8251.36</v>
      </c>
      <c r="BL13" s="7">
        <v>0</v>
      </c>
      <c r="BM13" s="7">
        <v>0</v>
      </c>
      <c r="BN13" s="7">
        <v>0</v>
      </c>
      <c r="BO13" s="7">
        <v>0</v>
      </c>
      <c r="BP13" s="5">
        <v>126837.47</v>
      </c>
      <c r="BQ13" s="7">
        <v>0</v>
      </c>
      <c r="BR13" s="5">
        <v>93515.44</v>
      </c>
      <c r="BS13" s="7">
        <v>0</v>
      </c>
      <c r="BT13" s="7">
        <v>0</v>
      </c>
      <c r="BU13" s="5">
        <v>93515.44</v>
      </c>
      <c r="BV13" s="5">
        <v>46757.72</v>
      </c>
      <c r="BW13" s="7">
        <v>0</v>
      </c>
      <c r="BX13" s="7">
        <v>0</v>
      </c>
      <c r="BY13" s="5">
        <v>46757.72</v>
      </c>
      <c r="BZ13" s="9">
        <f t="shared" si="0"/>
        <v>262486.01</v>
      </c>
      <c r="CA13" s="12">
        <f t="shared" si="1"/>
        <v>21160.770974999999</v>
      </c>
      <c r="CB13" s="9">
        <f t="shared" si="2"/>
        <v>283646.780975</v>
      </c>
      <c r="CC13" s="9">
        <f t="shared" si="3"/>
        <v>1204845.4309749999</v>
      </c>
    </row>
    <row r="14" spans="1:82">
      <c r="A14" s="4">
        <v>27422320658</v>
      </c>
      <c r="B14" s="4" t="s">
        <v>94</v>
      </c>
      <c r="C14" s="4">
        <v>126205</v>
      </c>
      <c r="D14" s="4" t="s">
        <v>84</v>
      </c>
      <c r="E14" s="4" t="s">
        <v>85</v>
      </c>
      <c r="F14" s="4">
        <v>1</v>
      </c>
      <c r="G14" s="4">
        <v>1</v>
      </c>
      <c r="H14" s="4">
        <v>49</v>
      </c>
      <c r="I14" s="4">
        <v>1</v>
      </c>
      <c r="J14" s="4">
        <v>0</v>
      </c>
      <c r="K14" s="4">
        <v>1</v>
      </c>
      <c r="L14" s="4">
        <v>0</v>
      </c>
      <c r="M14" s="4" t="s">
        <v>84</v>
      </c>
      <c r="N14" s="4">
        <v>0</v>
      </c>
      <c r="O14" s="4">
        <v>0</v>
      </c>
      <c r="P14" s="5">
        <v>1034557.65</v>
      </c>
      <c r="Q14" s="5">
        <v>949361.1</v>
      </c>
      <c r="R14" s="5">
        <v>949361.1</v>
      </c>
      <c r="S14" s="5">
        <v>949361.1</v>
      </c>
      <c r="T14" s="5">
        <v>2060355.5</v>
      </c>
      <c r="U14" s="5">
        <v>949361.1</v>
      </c>
      <c r="V14" s="7">
        <v>0</v>
      </c>
      <c r="W14" s="7">
        <v>0</v>
      </c>
      <c r="X14" s="5">
        <v>2060355.5</v>
      </c>
      <c r="Y14" s="5">
        <v>1034557.43</v>
      </c>
      <c r="Z14" s="7">
        <v>0</v>
      </c>
      <c r="AA14" s="7">
        <v>0</v>
      </c>
      <c r="AB14" s="7">
        <v>1</v>
      </c>
      <c r="AC14" s="7">
        <v>1</v>
      </c>
      <c r="AD14" s="6"/>
      <c r="AE14" s="7">
        <v>0</v>
      </c>
      <c r="AF14" s="6"/>
      <c r="AG14" s="7">
        <v>0</v>
      </c>
      <c r="AH14" s="7">
        <v>15</v>
      </c>
      <c r="AI14" s="7">
        <v>0</v>
      </c>
      <c r="AJ14" s="5">
        <v>867897.33</v>
      </c>
      <c r="AK14" s="5">
        <v>8654.11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5">
        <v>72809.66</v>
      </c>
      <c r="AR14" s="5">
        <v>85196.55</v>
      </c>
      <c r="AS14" s="7">
        <v>0</v>
      </c>
      <c r="AT14" s="7">
        <v>0</v>
      </c>
      <c r="AU14" s="7">
        <v>0</v>
      </c>
      <c r="AV14" s="7">
        <v>0</v>
      </c>
      <c r="AW14" s="5">
        <v>102246.19</v>
      </c>
      <c r="AX14" s="5">
        <v>15094.84</v>
      </c>
      <c r="AY14" s="7">
        <v>0</v>
      </c>
      <c r="AZ14" s="7">
        <v>0</v>
      </c>
      <c r="BA14" s="5">
        <v>8923.99</v>
      </c>
      <c r="BB14" s="5">
        <v>18543.2</v>
      </c>
      <c r="BC14" s="5">
        <v>44619.97</v>
      </c>
      <c r="BD14" s="5">
        <v>189428.19</v>
      </c>
      <c r="BE14" s="7">
        <v>0</v>
      </c>
      <c r="BF14" s="7">
        <v>0</v>
      </c>
      <c r="BG14" s="7">
        <v>0</v>
      </c>
      <c r="BH14" s="5">
        <v>104429.72</v>
      </c>
      <c r="BI14" s="5">
        <v>28480.83</v>
      </c>
      <c r="BJ14" s="7">
        <v>0</v>
      </c>
      <c r="BK14" s="5">
        <v>9271.6</v>
      </c>
      <c r="BL14" s="7">
        <v>0</v>
      </c>
      <c r="BM14" s="7">
        <v>0</v>
      </c>
      <c r="BN14" s="7">
        <v>0</v>
      </c>
      <c r="BO14" s="7">
        <v>0</v>
      </c>
      <c r="BP14" s="5">
        <v>142182.15</v>
      </c>
      <c r="BQ14" s="7">
        <v>0</v>
      </c>
      <c r="BR14" s="5">
        <v>105078.13</v>
      </c>
      <c r="BS14" s="7">
        <v>0</v>
      </c>
      <c r="BT14" s="7">
        <v>0</v>
      </c>
      <c r="BU14" s="5">
        <v>105078.13</v>
      </c>
      <c r="BV14" s="5">
        <v>52539.07</v>
      </c>
      <c r="BW14" s="7">
        <v>0</v>
      </c>
      <c r="BX14" s="7">
        <v>0</v>
      </c>
      <c r="BY14" s="5">
        <v>52539.07</v>
      </c>
      <c r="BZ14" s="9">
        <f t="shared" si="0"/>
        <v>294506.32</v>
      </c>
      <c r="CA14" s="12">
        <f t="shared" si="1"/>
        <v>23597.989474999998</v>
      </c>
      <c r="CB14" s="9">
        <f t="shared" si="2"/>
        <v>318104.30947500002</v>
      </c>
      <c r="CC14" s="9">
        <f t="shared" si="3"/>
        <v>1352661.9594749999</v>
      </c>
    </row>
    <row r="15" spans="1:82">
      <c r="A15" s="4">
        <v>27422591848</v>
      </c>
      <c r="B15" s="4" t="s">
        <v>95</v>
      </c>
      <c r="C15" s="4">
        <v>126205</v>
      </c>
      <c r="D15" s="4" t="s">
        <v>84</v>
      </c>
      <c r="E15" s="4" t="s">
        <v>85</v>
      </c>
      <c r="F15" s="4">
        <v>1</v>
      </c>
      <c r="G15" s="4">
        <v>1</v>
      </c>
      <c r="H15" s="4">
        <v>49</v>
      </c>
      <c r="I15" s="4">
        <v>14</v>
      </c>
      <c r="J15" s="4">
        <v>0</v>
      </c>
      <c r="K15" s="4">
        <v>1</v>
      </c>
      <c r="L15" s="4">
        <v>0</v>
      </c>
      <c r="M15" s="4" t="s">
        <v>84</v>
      </c>
      <c r="N15" s="4">
        <v>0</v>
      </c>
      <c r="O15" s="4">
        <v>0</v>
      </c>
      <c r="P15" s="5">
        <v>758806.29</v>
      </c>
      <c r="Q15" s="5">
        <v>691643.65</v>
      </c>
      <c r="R15" s="5">
        <v>691643.65</v>
      </c>
      <c r="S15" s="5">
        <v>691643.65</v>
      </c>
      <c r="T15" s="5">
        <v>1508851.62</v>
      </c>
      <c r="U15" s="5">
        <v>691643.65</v>
      </c>
      <c r="V15" s="7">
        <v>0</v>
      </c>
      <c r="W15" s="7">
        <v>0</v>
      </c>
      <c r="X15" s="5">
        <v>1508851.62</v>
      </c>
      <c r="Y15" s="5">
        <v>758805.49</v>
      </c>
      <c r="Z15" s="7">
        <v>0</v>
      </c>
      <c r="AA15" s="7">
        <v>0</v>
      </c>
      <c r="AB15" s="7">
        <v>1</v>
      </c>
      <c r="AC15" s="7">
        <v>1</v>
      </c>
      <c r="AD15" s="6"/>
      <c r="AE15" s="7">
        <v>0</v>
      </c>
      <c r="AF15" s="6"/>
      <c r="AG15" s="7">
        <v>0</v>
      </c>
      <c r="AH15" s="7">
        <v>15</v>
      </c>
      <c r="AI15" s="7">
        <v>0</v>
      </c>
      <c r="AJ15" s="5">
        <v>638523.65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5">
        <v>53120</v>
      </c>
      <c r="AR15" s="5">
        <v>67162.64</v>
      </c>
      <c r="AS15" s="7">
        <v>0</v>
      </c>
      <c r="AT15" s="7">
        <v>0</v>
      </c>
      <c r="AU15" s="7">
        <v>0</v>
      </c>
      <c r="AV15" s="7">
        <v>0</v>
      </c>
      <c r="AW15" s="5">
        <v>74490.02</v>
      </c>
      <c r="AX15" s="5">
        <v>10997.13</v>
      </c>
      <c r="AY15" s="7">
        <v>0</v>
      </c>
      <c r="AZ15" s="7">
        <v>0</v>
      </c>
      <c r="BA15" s="5">
        <v>6501.45</v>
      </c>
      <c r="BB15" s="5">
        <v>13579.66</v>
      </c>
      <c r="BC15" s="5">
        <v>32507.25</v>
      </c>
      <c r="BD15" s="5">
        <v>138075.51</v>
      </c>
      <c r="BE15" s="7">
        <v>0</v>
      </c>
      <c r="BF15" s="7">
        <v>0</v>
      </c>
      <c r="BG15" s="7">
        <v>0</v>
      </c>
      <c r="BH15" s="5">
        <v>76080.800000000003</v>
      </c>
      <c r="BI15" s="5">
        <v>20749.310000000001</v>
      </c>
      <c r="BJ15" s="7">
        <v>0</v>
      </c>
      <c r="BK15" s="5">
        <v>6789.83</v>
      </c>
      <c r="BL15" s="7">
        <v>0</v>
      </c>
      <c r="BM15" s="7">
        <v>0</v>
      </c>
      <c r="BN15" s="7">
        <v>0</v>
      </c>
      <c r="BO15" s="7">
        <v>0</v>
      </c>
      <c r="BP15" s="5">
        <v>103619.94</v>
      </c>
      <c r="BQ15" s="7">
        <v>0</v>
      </c>
      <c r="BR15" s="5">
        <v>76951.429999999993</v>
      </c>
      <c r="BS15" s="7">
        <v>0</v>
      </c>
      <c r="BT15" s="7">
        <v>0</v>
      </c>
      <c r="BU15" s="5">
        <v>76951.429999999993</v>
      </c>
      <c r="BV15" s="5">
        <v>38475.72</v>
      </c>
      <c r="BW15" s="7">
        <v>0</v>
      </c>
      <c r="BX15" s="7">
        <v>0</v>
      </c>
      <c r="BY15" s="5">
        <v>38475.72</v>
      </c>
      <c r="BZ15" s="9">
        <f t="shared" si="0"/>
        <v>215026.94</v>
      </c>
      <c r="CA15" s="12">
        <f t="shared" si="1"/>
        <v>17669.335234999999</v>
      </c>
      <c r="CB15" s="9">
        <f t="shared" si="2"/>
        <v>232696.27523500001</v>
      </c>
      <c r="CC15" s="9">
        <f t="shared" si="3"/>
        <v>991502.5652350001</v>
      </c>
    </row>
    <row r="16" spans="1:82">
      <c r="A16" s="4">
        <v>27427263512</v>
      </c>
      <c r="B16" s="4" t="s">
        <v>96</v>
      </c>
      <c r="C16" s="4">
        <v>126205</v>
      </c>
      <c r="D16" s="4" t="s">
        <v>84</v>
      </c>
      <c r="E16" s="4" t="s">
        <v>85</v>
      </c>
      <c r="F16" s="4">
        <v>1</v>
      </c>
      <c r="G16" s="4">
        <v>1</v>
      </c>
      <c r="H16" s="4">
        <v>49</v>
      </c>
      <c r="I16" s="4">
        <v>1</v>
      </c>
      <c r="J16" s="4">
        <v>0</v>
      </c>
      <c r="K16" s="4">
        <v>1</v>
      </c>
      <c r="L16" s="4">
        <v>0</v>
      </c>
      <c r="M16" s="4" t="s">
        <v>84</v>
      </c>
      <c r="N16" s="4">
        <v>0</v>
      </c>
      <c r="O16" s="4">
        <v>0</v>
      </c>
      <c r="P16" s="5">
        <v>973070.27</v>
      </c>
      <c r="Q16" s="5">
        <v>896576.21</v>
      </c>
      <c r="R16" s="5">
        <v>896576.21</v>
      </c>
      <c r="S16" s="5">
        <v>896576.21</v>
      </c>
      <c r="T16" s="5">
        <v>1937379.04</v>
      </c>
      <c r="U16" s="5">
        <v>896576.21</v>
      </c>
      <c r="V16" s="7">
        <v>0</v>
      </c>
      <c r="W16" s="7">
        <v>0</v>
      </c>
      <c r="X16" s="5">
        <v>1937379.04</v>
      </c>
      <c r="Y16" s="5">
        <v>973069.2</v>
      </c>
      <c r="Z16" s="7">
        <v>0</v>
      </c>
      <c r="AA16" s="7">
        <v>0</v>
      </c>
      <c r="AB16" s="7">
        <v>1</v>
      </c>
      <c r="AC16" s="7">
        <v>1</v>
      </c>
      <c r="AD16" s="6"/>
      <c r="AE16" s="7">
        <v>0</v>
      </c>
      <c r="AF16" s="6"/>
      <c r="AG16" s="7">
        <v>0</v>
      </c>
      <c r="AH16" s="7">
        <v>30</v>
      </c>
      <c r="AI16" s="7">
        <v>0</v>
      </c>
      <c r="AJ16" s="5">
        <v>361506.9</v>
      </c>
      <c r="AK16" s="5">
        <v>7486.69</v>
      </c>
      <c r="AL16" s="7">
        <v>0</v>
      </c>
      <c r="AM16" s="7">
        <v>0</v>
      </c>
      <c r="AN16" s="7">
        <v>0</v>
      </c>
      <c r="AO16" s="7">
        <v>0</v>
      </c>
      <c r="AP16" s="5">
        <v>464594.83</v>
      </c>
      <c r="AQ16" s="5">
        <v>62987.79</v>
      </c>
      <c r="AR16" s="5">
        <v>76494.06</v>
      </c>
      <c r="AS16" s="7">
        <v>0</v>
      </c>
      <c r="AT16" s="7">
        <v>0</v>
      </c>
      <c r="AU16" s="7">
        <v>0</v>
      </c>
      <c r="AV16" s="7">
        <v>0</v>
      </c>
      <c r="AW16" s="5">
        <v>96561.26</v>
      </c>
      <c r="AX16" s="5">
        <v>14255.56</v>
      </c>
      <c r="AY16" s="7">
        <v>0</v>
      </c>
      <c r="AZ16" s="7">
        <v>0</v>
      </c>
      <c r="BA16" s="5">
        <v>8427.82</v>
      </c>
      <c r="BB16" s="5">
        <v>17436.41</v>
      </c>
      <c r="BC16" s="5">
        <v>42139.08</v>
      </c>
      <c r="BD16" s="5">
        <v>178820.13</v>
      </c>
      <c r="BE16" s="7">
        <v>0</v>
      </c>
      <c r="BF16" s="7">
        <v>0</v>
      </c>
      <c r="BG16" s="7">
        <v>0</v>
      </c>
      <c r="BH16" s="5">
        <v>98623.38</v>
      </c>
      <c r="BI16" s="5">
        <v>26897.29</v>
      </c>
      <c r="BJ16" s="7">
        <v>0</v>
      </c>
      <c r="BK16" s="5">
        <v>8718.2099999999991</v>
      </c>
      <c r="BL16" s="7">
        <v>0</v>
      </c>
      <c r="BM16" s="7">
        <v>0</v>
      </c>
      <c r="BN16" s="7">
        <v>0</v>
      </c>
      <c r="BO16" s="7">
        <v>0</v>
      </c>
      <c r="BP16" s="5">
        <v>134238.88</v>
      </c>
      <c r="BQ16" s="7">
        <v>0</v>
      </c>
      <c r="BR16" s="5">
        <v>98806.33</v>
      </c>
      <c r="BS16" s="7">
        <v>0</v>
      </c>
      <c r="BT16" s="7">
        <v>0</v>
      </c>
      <c r="BU16" s="5">
        <v>98806.33</v>
      </c>
      <c r="BV16" s="5">
        <v>49403.17</v>
      </c>
      <c r="BW16" s="7">
        <v>0</v>
      </c>
      <c r="BX16" s="7">
        <v>0</v>
      </c>
      <c r="BY16" s="5">
        <v>49403.17</v>
      </c>
      <c r="BZ16" s="9">
        <f t="shared" si="0"/>
        <v>277626.46000000002</v>
      </c>
      <c r="CA16" s="12">
        <f t="shared" si="1"/>
        <v>22276.010804999998</v>
      </c>
      <c r="CB16" s="9">
        <f t="shared" si="2"/>
        <v>299902.47080500005</v>
      </c>
      <c r="CC16" s="9">
        <f t="shared" si="3"/>
        <v>1272972.7408050001</v>
      </c>
    </row>
    <row r="17" spans="1:81">
      <c r="A17" s="4">
        <v>27427782870</v>
      </c>
      <c r="B17" s="4" t="s">
        <v>97</v>
      </c>
      <c r="C17" s="4">
        <v>126205</v>
      </c>
      <c r="D17" s="4" t="s">
        <v>84</v>
      </c>
      <c r="E17" s="4" t="s">
        <v>85</v>
      </c>
      <c r="F17" s="4">
        <v>1</v>
      </c>
      <c r="G17" s="4">
        <v>1</v>
      </c>
      <c r="H17" s="4">
        <v>49</v>
      </c>
      <c r="I17" s="4">
        <v>1</v>
      </c>
      <c r="J17" s="4">
        <v>0</v>
      </c>
      <c r="K17" s="4">
        <v>1</v>
      </c>
      <c r="L17" s="4">
        <v>0</v>
      </c>
      <c r="M17" s="4" t="s">
        <v>84</v>
      </c>
      <c r="N17" s="4">
        <v>0</v>
      </c>
      <c r="O17" s="4">
        <v>0</v>
      </c>
      <c r="P17" s="5">
        <v>819080.76</v>
      </c>
      <c r="Q17" s="5">
        <v>741873.02</v>
      </c>
      <c r="R17" s="5">
        <v>741873.02</v>
      </c>
      <c r="S17" s="5">
        <v>741873.02</v>
      </c>
      <c r="T17" s="5">
        <v>1629400.64</v>
      </c>
      <c r="U17" s="5">
        <v>741873.02</v>
      </c>
      <c r="V17" s="7">
        <v>0</v>
      </c>
      <c r="W17" s="7">
        <v>0</v>
      </c>
      <c r="X17" s="5">
        <v>1629400.64</v>
      </c>
      <c r="Y17" s="5">
        <v>819080</v>
      </c>
      <c r="Z17" s="7">
        <v>0</v>
      </c>
      <c r="AA17" s="7">
        <v>0</v>
      </c>
      <c r="AB17" s="7">
        <v>1</v>
      </c>
      <c r="AC17" s="7">
        <v>1</v>
      </c>
      <c r="AD17" s="6"/>
      <c r="AE17" s="7">
        <v>0</v>
      </c>
      <c r="AF17" s="6"/>
      <c r="AG17" s="7">
        <v>0</v>
      </c>
      <c r="AH17" s="7">
        <v>15</v>
      </c>
      <c r="AI17" s="7">
        <v>0</v>
      </c>
      <c r="AJ17" s="5">
        <v>664344.26</v>
      </c>
      <c r="AK17" s="5">
        <v>14772.17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5">
        <v>62756.59</v>
      </c>
      <c r="AR17" s="5">
        <v>77207.740000000005</v>
      </c>
      <c r="AS17" s="7">
        <v>0</v>
      </c>
      <c r="AT17" s="7">
        <v>0</v>
      </c>
      <c r="AU17" s="7">
        <v>0</v>
      </c>
      <c r="AV17" s="7">
        <v>0</v>
      </c>
      <c r="AW17" s="5">
        <v>79899.72</v>
      </c>
      <c r="AX17" s="5">
        <v>11795.78</v>
      </c>
      <c r="AY17" s="7">
        <v>0</v>
      </c>
      <c r="AZ17" s="7">
        <v>0</v>
      </c>
      <c r="BA17" s="5">
        <v>6973.61</v>
      </c>
      <c r="BB17" s="5">
        <v>14664.61</v>
      </c>
      <c r="BC17" s="5">
        <v>34868.03</v>
      </c>
      <c r="BD17" s="5">
        <v>148201.75</v>
      </c>
      <c r="BE17" s="7">
        <v>0</v>
      </c>
      <c r="BF17" s="7">
        <v>0</v>
      </c>
      <c r="BG17" s="7">
        <v>0</v>
      </c>
      <c r="BH17" s="5">
        <v>81606.03</v>
      </c>
      <c r="BI17" s="5">
        <v>22256.19</v>
      </c>
      <c r="BJ17" s="7">
        <v>0</v>
      </c>
      <c r="BK17" s="5">
        <v>7332.3</v>
      </c>
      <c r="BL17" s="7">
        <v>0</v>
      </c>
      <c r="BM17" s="7">
        <v>0</v>
      </c>
      <c r="BN17" s="7">
        <v>0</v>
      </c>
      <c r="BO17" s="7">
        <v>0</v>
      </c>
      <c r="BP17" s="5">
        <v>111194.52</v>
      </c>
      <c r="BQ17" s="7">
        <v>0</v>
      </c>
      <c r="BR17" s="5">
        <v>83099.429999999993</v>
      </c>
      <c r="BS17" s="7">
        <v>0</v>
      </c>
      <c r="BT17" s="7">
        <v>0</v>
      </c>
      <c r="BU17" s="5">
        <v>83099.429999999993</v>
      </c>
      <c r="BV17" s="5">
        <v>41549.72</v>
      </c>
      <c r="BW17" s="7">
        <v>0</v>
      </c>
      <c r="BX17" s="7">
        <v>0</v>
      </c>
      <c r="BY17" s="5">
        <v>41549.72</v>
      </c>
      <c r="BZ17" s="9">
        <f t="shared" si="0"/>
        <v>231301.18</v>
      </c>
      <c r="CA17" s="12">
        <f t="shared" si="1"/>
        <v>18965.236339999999</v>
      </c>
      <c r="CB17" s="9">
        <f t="shared" si="2"/>
        <v>250266.41634</v>
      </c>
      <c r="CC17" s="9">
        <f t="shared" si="3"/>
        <v>1069347.17634</v>
      </c>
    </row>
    <row r="18" spans="1:81">
      <c r="A18" s="4">
        <v>27437850459</v>
      </c>
      <c r="B18" s="4" t="s">
        <v>98</v>
      </c>
      <c r="C18" s="4">
        <v>126205</v>
      </c>
      <c r="D18" s="4" t="s">
        <v>84</v>
      </c>
      <c r="E18" s="4" t="s">
        <v>85</v>
      </c>
      <c r="F18" s="4">
        <v>1</v>
      </c>
      <c r="G18" s="4">
        <v>1</v>
      </c>
      <c r="H18" s="4">
        <v>49</v>
      </c>
      <c r="I18" s="4">
        <v>1</v>
      </c>
      <c r="J18" s="4">
        <v>0</v>
      </c>
      <c r="K18" s="4">
        <v>1</v>
      </c>
      <c r="L18" s="4">
        <v>0</v>
      </c>
      <c r="M18" s="4" t="s">
        <v>84</v>
      </c>
      <c r="N18" s="4">
        <v>0</v>
      </c>
      <c r="O18" s="4">
        <v>0</v>
      </c>
      <c r="P18" s="5">
        <v>991414.74</v>
      </c>
      <c r="Q18" s="5">
        <v>909948.34</v>
      </c>
      <c r="R18" s="5">
        <v>909948.34</v>
      </c>
      <c r="S18" s="5">
        <v>909948.34</v>
      </c>
      <c r="T18" s="5">
        <v>1974069.98</v>
      </c>
      <c r="U18" s="5">
        <v>909948.34</v>
      </c>
      <c r="V18" s="7">
        <v>0</v>
      </c>
      <c r="W18" s="7">
        <v>0</v>
      </c>
      <c r="X18" s="5">
        <v>1974069.98</v>
      </c>
      <c r="Y18" s="5">
        <v>991414.67</v>
      </c>
      <c r="Z18" s="7">
        <v>0</v>
      </c>
      <c r="AA18" s="7">
        <v>0</v>
      </c>
      <c r="AB18" s="7">
        <v>1</v>
      </c>
      <c r="AC18" s="7">
        <v>1</v>
      </c>
      <c r="AD18" s="6"/>
      <c r="AE18" s="7">
        <v>0</v>
      </c>
      <c r="AF18" s="6"/>
      <c r="AG18" s="7">
        <v>0</v>
      </c>
      <c r="AH18" s="7">
        <v>15</v>
      </c>
      <c r="AI18" s="7">
        <v>0</v>
      </c>
      <c r="AJ18" s="5">
        <v>831661.54</v>
      </c>
      <c r="AK18" s="5">
        <v>8316.6200000000008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5">
        <v>69970.179999999993</v>
      </c>
      <c r="AR18" s="5">
        <v>81466.399999999994</v>
      </c>
      <c r="AS18" s="7">
        <v>0</v>
      </c>
      <c r="AT18" s="7">
        <v>0</v>
      </c>
      <c r="AU18" s="7">
        <v>0</v>
      </c>
      <c r="AV18" s="7">
        <v>0</v>
      </c>
      <c r="AW18" s="5">
        <v>98001.44</v>
      </c>
      <c r="AX18" s="5">
        <v>14468.18</v>
      </c>
      <c r="AY18" s="7">
        <v>0</v>
      </c>
      <c r="AZ18" s="7">
        <v>0</v>
      </c>
      <c r="BA18" s="5">
        <v>8553.51</v>
      </c>
      <c r="BB18" s="5">
        <v>17766.63</v>
      </c>
      <c r="BC18" s="5">
        <v>42767.57</v>
      </c>
      <c r="BD18" s="5">
        <v>181557.33</v>
      </c>
      <c r="BE18" s="7">
        <v>0</v>
      </c>
      <c r="BF18" s="7">
        <v>0</v>
      </c>
      <c r="BG18" s="7">
        <v>0</v>
      </c>
      <c r="BH18" s="5">
        <v>100094.32</v>
      </c>
      <c r="BI18" s="5">
        <v>27298.45</v>
      </c>
      <c r="BJ18" s="7">
        <v>0</v>
      </c>
      <c r="BK18" s="5">
        <v>8883.31</v>
      </c>
      <c r="BL18" s="7">
        <v>0</v>
      </c>
      <c r="BM18" s="7">
        <v>0</v>
      </c>
      <c r="BN18" s="7">
        <v>0</v>
      </c>
      <c r="BO18" s="7">
        <v>0</v>
      </c>
      <c r="BP18" s="5">
        <v>136276.07999999999</v>
      </c>
      <c r="BQ18" s="7">
        <v>0</v>
      </c>
      <c r="BR18" s="5">
        <v>100677.57</v>
      </c>
      <c r="BS18" s="7">
        <v>0</v>
      </c>
      <c r="BT18" s="7">
        <v>0</v>
      </c>
      <c r="BU18" s="5">
        <v>100677.57</v>
      </c>
      <c r="BV18" s="5">
        <v>50338.78</v>
      </c>
      <c r="BW18" s="7">
        <v>0</v>
      </c>
      <c r="BX18" s="7">
        <v>0</v>
      </c>
      <c r="BY18" s="5">
        <v>50338.78</v>
      </c>
      <c r="BZ18" s="9">
        <f t="shared" si="0"/>
        <v>282234.90000000002</v>
      </c>
      <c r="CA18" s="12">
        <f t="shared" si="1"/>
        <v>22670.416909999996</v>
      </c>
      <c r="CB18" s="9">
        <f t="shared" si="2"/>
        <v>304905.31690999999</v>
      </c>
      <c r="CC18" s="9">
        <f t="shared" si="3"/>
        <v>1296320.05691</v>
      </c>
    </row>
    <row r="19" spans="1:81">
      <c r="A19" s="4">
        <v>27438708540</v>
      </c>
      <c r="B19" s="4" t="s">
        <v>99</v>
      </c>
      <c r="C19" s="4">
        <v>126205</v>
      </c>
      <c r="D19" s="4" t="s">
        <v>84</v>
      </c>
      <c r="E19" s="4" t="s">
        <v>85</v>
      </c>
      <c r="F19" s="4">
        <v>1</v>
      </c>
      <c r="G19" s="4">
        <v>1</v>
      </c>
      <c r="H19" s="4">
        <v>49</v>
      </c>
      <c r="I19" s="4">
        <v>1</v>
      </c>
      <c r="J19" s="4">
        <v>0</v>
      </c>
      <c r="K19" s="4">
        <v>1</v>
      </c>
      <c r="L19" s="4">
        <v>0</v>
      </c>
      <c r="M19" s="4" t="s">
        <v>84</v>
      </c>
      <c r="N19" s="4">
        <v>0</v>
      </c>
      <c r="O19" s="4">
        <v>0</v>
      </c>
      <c r="P19" s="5">
        <v>41291</v>
      </c>
      <c r="Q19" s="7">
        <v>1</v>
      </c>
      <c r="R19" s="7">
        <v>1</v>
      </c>
      <c r="S19" s="7">
        <v>1</v>
      </c>
      <c r="T19" s="5">
        <v>41291</v>
      </c>
      <c r="U19" s="7">
        <v>1</v>
      </c>
      <c r="V19" s="7">
        <v>0</v>
      </c>
      <c r="W19" s="7">
        <v>0</v>
      </c>
      <c r="X19" s="5">
        <v>41291</v>
      </c>
      <c r="Y19" s="5">
        <v>41291</v>
      </c>
      <c r="Z19" s="7">
        <v>0</v>
      </c>
      <c r="AA19" s="7">
        <v>0</v>
      </c>
      <c r="AB19" s="7">
        <v>1</v>
      </c>
      <c r="AC19" s="7">
        <v>1</v>
      </c>
      <c r="AD19" s="6"/>
      <c r="AE19" s="7">
        <v>0</v>
      </c>
      <c r="AF19" s="6"/>
      <c r="AG19" s="7">
        <v>0</v>
      </c>
      <c r="AH19" s="7">
        <v>30</v>
      </c>
      <c r="AI19" s="7">
        <v>0</v>
      </c>
      <c r="AJ19" s="7">
        <v>1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5">
        <v>41290</v>
      </c>
      <c r="AS19" s="7">
        <v>0</v>
      </c>
      <c r="AT19" s="7">
        <v>0</v>
      </c>
      <c r="AU19" s="7">
        <v>0</v>
      </c>
      <c r="AV19" s="7">
        <v>0</v>
      </c>
      <c r="AW19" s="7">
        <v>0.11</v>
      </c>
      <c r="AX19" s="7">
        <v>0.02</v>
      </c>
      <c r="AY19" s="7">
        <v>0</v>
      </c>
      <c r="AZ19" s="7">
        <v>0</v>
      </c>
      <c r="BA19" s="7">
        <v>0.01</v>
      </c>
      <c r="BB19" s="7">
        <v>371.62</v>
      </c>
      <c r="BC19" s="7">
        <v>0.05</v>
      </c>
      <c r="BD19" s="7">
        <v>371.81</v>
      </c>
      <c r="BE19" s="7">
        <v>0</v>
      </c>
      <c r="BF19" s="7">
        <v>0</v>
      </c>
      <c r="BG19" s="7">
        <v>0</v>
      </c>
      <c r="BH19" s="7">
        <v>0.11</v>
      </c>
      <c r="BI19" s="7">
        <v>0.03</v>
      </c>
      <c r="BJ19" s="7">
        <v>0</v>
      </c>
      <c r="BK19" s="7">
        <v>185.81</v>
      </c>
      <c r="BL19" s="7">
        <v>0</v>
      </c>
      <c r="BM19" s="7">
        <v>0</v>
      </c>
      <c r="BN19" s="7">
        <v>0</v>
      </c>
      <c r="BO19" s="7">
        <v>0</v>
      </c>
      <c r="BP19" s="7">
        <v>185.95</v>
      </c>
      <c r="BQ19" s="7">
        <v>0</v>
      </c>
      <c r="BR19" s="5">
        <v>2105.84</v>
      </c>
      <c r="BS19" s="7">
        <v>0</v>
      </c>
      <c r="BT19" s="7">
        <v>0</v>
      </c>
      <c r="BU19" s="5">
        <v>2105.84</v>
      </c>
      <c r="BV19" s="5">
        <v>1052.92</v>
      </c>
      <c r="BW19" s="7">
        <v>0</v>
      </c>
      <c r="BX19" s="7">
        <v>0</v>
      </c>
      <c r="BY19" s="5">
        <v>1052.92</v>
      </c>
      <c r="BZ19" s="9">
        <f t="shared" si="0"/>
        <v>2477.65</v>
      </c>
      <c r="CA19" s="12">
        <f t="shared" si="1"/>
        <v>2242.7565</v>
      </c>
      <c r="CB19" s="9">
        <f t="shared" si="2"/>
        <v>4720.4065000000001</v>
      </c>
      <c r="CC19" s="9">
        <f t="shared" si="3"/>
        <v>46011.406499999997</v>
      </c>
    </row>
    <row r="20" spans="1:81">
      <c r="A20" s="4">
        <v>27439169430</v>
      </c>
      <c r="B20" s="4" t="s">
        <v>100</v>
      </c>
      <c r="C20" s="4">
        <v>126205</v>
      </c>
      <c r="D20" s="4" t="s">
        <v>84</v>
      </c>
      <c r="E20" s="4" t="s">
        <v>85</v>
      </c>
      <c r="F20" s="4">
        <v>1</v>
      </c>
      <c r="G20" s="4">
        <v>1</v>
      </c>
      <c r="H20" s="4">
        <v>49</v>
      </c>
      <c r="I20" s="4">
        <v>1</v>
      </c>
      <c r="J20" s="4">
        <v>0</v>
      </c>
      <c r="K20" s="4">
        <v>1</v>
      </c>
      <c r="L20" s="4">
        <v>0</v>
      </c>
      <c r="M20" s="4" t="s">
        <v>84</v>
      </c>
      <c r="N20" s="4">
        <v>0</v>
      </c>
      <c r="O20" s="4">
        <v>0</v>
      </c>
      <c r="P20" s="5">
        <v>784496.78</v>
      </c>
      <c r="Q20" s="5">
        <v>717334.77</v>
      </c>
      <c r="R20" s="5">
        <v>717334.77</v>
      </c>
      <c r="S20" s="5">
        <v>717334.77</v>
      </c>
      <c r="T20" s="5">
        <v>1560233.84</v>
      </c>
      <c r="U20" s="5">
        <v>717334.77</v>
      </c>
      <c r="V20" s="7">
        <v>0</v>
      </c>
      <c r="W20" s="7">
        <v>0</v>
      </c>
      <c r="X20" s="5">
        <v>1560233.84</v>
      </c>
      <c r="Y20" s="5">
        <v>784496.6</v>
      </c>
      <c r="Z20" s="7">
        <v>0</v>
      </c>
      <c r="AA20" s="7">
        <v>0</v>
      </c>
      <c r="AB20" s="7">
        <v>1</v>
      </c>
      <c r="AC20" s="7">
        <v>1</v>
      </c>
      <c r="AD20" s="6"/>
      <c r="AE20" s="7">
        <v>0</v>
      </c>
      <c r="AF20" s="6"/>
      <c r="AG20" s="7">
        <v>0</v>
      </c>
      <c r="AH20" s="7">
        <v>15</v>
      </c>
      <c r="AI20" s="7">
        <v>0</v>
      </c>
      <c r="AJ20" s="5">
        <v>649191.72</v>
      </c>
      <c r="AK20" s="5">
        <v>12983.83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5">
        <v>55159.22</v>
      </c>
      <c r="AR20" s="5">
        <v>67162.009999999995</v>
      </c>
      <c r="AS20" s="7">
        <v>0</v>
      </c>
      <c r="AT20" s="7">
        <v>0</v>
      </c>
      <c r="AU20" s="7">
        <v>0</v>
      </c>
      <c r="AV20" s="7">
        <v>0</v>
      </c>
      <c r="AW20" s="5">
        <v>77256.95</v>
      </c>
      <c r="AX20" s="5">
        <v>11405.62</v>
      </c>
      <c r="AY20" s="7">
        <v>0</v>
      </c>
      <c r="AZ20" s="7">
        <v>0</v>
      </c>
      <c r="BA20" s="5">
        <v>6742.95</v>
      </c>
      <c r="BB20" s="5">
        <v>14042.1</v>
      </c>
      <c r="BC20" s="5">
        <v>33714.730000000003</v>
      </c>
      <c r="BD20" s="5">
        <v>143162.35</v>
      </c>
      <c r="BE20" s="7">
        <v>0</v>
      </c>
      <c r="BF20" s="7">
        <v>0</v>
      </c>
      <c r="BG20" s="7">
        <v>0</v>
      </c>
      <c r="BH20" s="5">
        <v>78906.820000000007</v>
      </c>
      <c r="BI20" s="5">
        <v>21520.04</v>
      </c>
      <c r="BJ20" s="7">
        <v>0</v>
      </c>
      <c r="BK20" s="5">
        <v>7021.05</v>
      </c>
      <c r="BL20" s="7">
        <v>0</v>
      </c>
      <c r="BM20" s="7">
        <v>0</v>
      </c>
      <c r="BN20" s="7">
        <v>0</v>
      </c>
      <c r="BO20" s="7">
        <v>0</v>
      </c>
      <c r="BP20" s="5">
        <v>107447.91</v>
      </c>
      <c r="BQ20" s="7">
        <v>0</v>
      </c>
      <c r="BR20" s="5">
        <v>79571.929999999993</v>
      </c>
      <c r="BS20" s="7">
        <v>0</v>
      </c>
      <c r="BT20" s="7">
        <v>0</v>
      </c>
      <c r="BU20" s="5">
        <v>79571.929999999993</v>
      </c>
      <c r="BV20" s="5">
        <v>39785.96</v>
      </c>
      <c r="BW20" s="7">
        <v>0</v>
      </c>
      <c r="BX20" s="7">
        <v>0</v>
      </c>
      <c r="BY20" s="5">
        <v>39785.96</v>
      </c>
      <c r="BZ20" s="9">
        <f t="shared" si="0"/>
        <v>222734.28</v>
      </c>
      <c r="CA20" s="12">
        <f t="shared" si="1"/>
        <v>18221.680769999999</v>
      </c>
      <c r="CB20" s="9">
        <f t="shared" si="2"/>
        <v>240955.96077000001</v>
      </c>
      <c r="CC20" s="9">
        <f t="shared" si="3"/>
        <v>1025452.74077</v>
      </c>
    </row>
    <row r="21" spans="1:81">
      <c r="A21" s="4">
        <v>27441584917</v>
      </c>
      <c r="B21" s="4" t="s">
        <v>101</v>
      </c>
      <c r="C21" s="4">
        <v>126205</v>
      </c>
      <c r="D21" s="4" t="s">
        <v>84</v>
      </c>
      <c r="E21" s="4" t="s">
        <v>85</v>
      </c>
      <c r="F21" s="4">
        <v>1</v>
      </c>
      <c r="G21" s="4">
        <v>1</v>
      </c>
      <c r="H21" s="4">
        <v>49</v>
      </c>
      <c r="I21" s="4">
        <v>14</v>
      </c>
      <c r="J21" s="4">
        <v>0</v>
      </c>
      <c r="K21" s="4">
        <v>1</v>
      </c>
      <c r="L21" s="4">
        <v>0</v>
      </c>
      <c r="M21" s="4" t="s">
        <v>84</v>
      </c>
      <c r="N21" s="4">
        <v>0</v>
      </c>
      <c r="O21" s="4">
        <v>0</v>
      </c>
      <c r="P21" s="5">
        <v>50778.66</v>
      </c>
      <c r="Q21" s="5">
        <v>27010.68</v>
      </c>
      <c r="R21" s="5">
        <v>27010.68</v>
      </c>
      <c r="S21" s="5">
        <v>27010.68</v>
      </c>
      <c r="T21" s="5">
        <v>58945.46</v>
      </c>
      <c r="U21" s="5">
        <v>27010.68</v>
      </c>
      <c r="V21" s="7">
        <v>0</v>
      </c>
      <c r="W21" s="7">
        <v>0</v>
      </c>
      <c r="X21" s="5">
        <v>58945.46</v>
      </c>
      <c r="Y21" s="5">
        <v>33852.410000000003</v>
      </c>
      <c r="Z21" s="7">
        <v>0</v>
      </c>
      <c r="AA21" s="7">
        <v>0</v>
      </c>
      <c r="AB21" s="7">
        <v>1</v>
      </c>
      <c r="AC21" s="7">
        <v>1</v>
      </c>
      <c r="AD21" s="6"/>
      <c r="AE21" s="7">
        <v>0</v>
      </c>
      <c r="AF21" s="6"/>
      <c r="AG21" s="7">
        <v>0</v>
      </c>
      <c r="AH21" s="7">
        <v>15</v>
      </c>
      <c r="AI21" s="7">
        <v>0</v>
      </c>
      <c r="AJ21" s="5">
        <v>24864.639999999999</v>
      </c>
      <c r="AK21" s="7">
        <v>0</v>
      </c>
      <c r="AL21" s="7">
        <v>0</v>
      </c>
      <c r="AM21" s="7">
        <v>0</v>
      </c>
      <c r="AN21" s="7">
        <v>0</v>
      </c>
      <c r="AO21" s="7">
        <v>74.819999999999993</v>
      </c>
      <c r="AP21" s="7">
        <v>0</v>
      </c>
      <c r="AQ21" s="5">
        <v>2071.2199999999998</v>
      </c>
      <c r="AR21" s="5">
        <v>23767.98</v>
      </c>
      <c r="AS21" s="7">
        <v>0</v>
      </c>
      <c r="AT21" s="7">
        <v>0</v>
      </c>
      <c r="AU21" s="7">
        <v>0</v>
      </c>
      <c r="AV21" s="7">
        <v>0</v>
      </c>
      <c r="AW21" s="5">
        <v>2909.05</v>
      </c>
      <c r="AX21" s="7">
        <v>429.47</v>
      </c>
      <c r="AY21" s="7">
        <v>0</v>
      </c>
      <c r="AZ21" s="7">
        <v>0</v>
      </c>
      <c r="BA21" s="7">
        <v>253.9</v>
      </c>
      <c r="BB21" s="7">
        <v>530.51</v>
      </c>
      <c r="BC21" s="5">
        <v>1269.5</v>
      </c>
      <c r="BD21" s="5">
        <v>5392.43</v>
      </c>
      <c r="BE21" s="7">
        <v>0</v>
      </c>
      <c r="BF21" s="7">
        <v>0</v>
      </c>
      <c r="BG21" s="7">
        <v>0</v>
      </c>
      <c r="BH21" s="5">
        <v>2971.17</v>
      </c>
      <c r="BI21" s="7">
        <v>810.32</v>
      </c>
      <c r="BJ21" s="7">
        <v>0</v>
      </c>
      <c r="BK21" s="7">
        <v>265.25</v>
      </c>
      <c r="BL21" s="7">
        <v>0</v>
      </c>
      <c r="BM21" s="7">
        <v>0</v>
      </c>
      <c r="BN21" s="7">
        <v>0</v>
      </c>
      <c r="BO21" s="7">
        <v>0</v>
      </c>
      <c r="BP21" s="5">
        <v>4046.74</v>
      </c>
      <c r="BQ21" s="7">
        <v>0</v>
      </c>
      <c r="BR21" s="5">
        <v>3006.22</v>
      </c>
      <c r="BS21" s="7">
        <v>0</v>
      </c>
      <c r="BT21" s="7">
        <v>0</v>
      </c>
      <c r="BU21" s="5">
        <v>3006.22</v>
      </c>
      <c r="BV21" s="5">
        <v>1503.11</v>
      </c>
      <c r="BW21" s="7">
        <v>0</v>
      </c>
      <c r="BX21" s="7">
        <v>0</v>
      </c>
      <c r="BY21" s="5">
        <v>1503.11</v>
      </c>
      <c r="BZ21" s="9">
        <f t="shared" si="0"/>
        <v>8398.65</v>
      </c>
      <c r="CA21" s="12">
        <f t="shared" si="1"/>
        <v>2446.7411899999997</v>
      </c>
      <c r="CB21" s="9">
        <f t="shared" si="2"/>
        <v>10845.391189999998</v>
      </c>
      <c r="CC21" s="9">
        <f t="shared" si="3"/>
        <v>61624.051189999998</v>
      </c>
    </row>
    <row r="22" spans="1:81">
      <c r="A22" s="4">
        <v>27443613787</v>
      </c>
      <c r="B22" s="4" t="s">
        <v>102</v>
      </c>
      <c r="C22" s="4">
        <v>126205</v>
      </c>
      <c r="D22" s="4" t="s">
        <v>84</v>
      </c>
      <c r="E22" s="4" t="s">
        <v>85</v>
      </c>
      <c r="F22" s="4">
        <v>1</v>
      </c>
      <c r="G22" s="4">
        <v>1</v>
      </c>
      <c r="H22" s="4">
        <v>49</v>
      </c>
      <c r="I22" s="4">
        <v>1</v>
      </c>
      <c r="J22" s="4">
        <v>0</v>
      </c>
      <c r="K22" s="4">
        <v>1</v>
      </c>
      <c r="L22" s="4">
        <v>0</v>
      </c>
      <c r="M22" s="4" t="s">
        <v>84</v>
      </c>
      <c r="N22" s="4">
        <v>0</v>
      </c>
      <c r="O22" s="4">
        <v>0</v>
      </c>
      <c r="P22" s="5">
        <v>908534.76</v>
      </c>
      <c r="Q22" s="5">
        <v>830176</v>
      </c>
      <c r="R22" s="5">
        <v>830176</v>
      </c>
      <c r="S22" s="5">
        <v>830176</v>
      </c>
      <c r="T22" s="5">
        <v>1808308.64</v>
      </c>
      <c r="U22" s="5">
        <v>830176</v>
      </c>
      <c r="V22" s="7">
        <v>0</v>
      </c>
      <c r="W22" s="7">
        <v>0</v>
      </c>
      <c r="X22" s="5">
        <v>1808308.64</v>
      </c>
      <c r="Y22" s="5">
        <v>908534</v>
      </c>
      <c r="Z22" s="7">
        <v>0</v>
      </c>
      <c r="AA22" s="7">
        <v>0</v>
      </c>
      <c r="AB22" s="7">
        <v>1</v>
      </c>
      <c r="AC22" s="7">
        <v>1</v>
      </c>
      <c r="AD22" s="6"/>
      <c r="AE22" s="7">
        <v>0</v>
      </c>
      <c r="AF22" s="6"/>
      <c r="AG22" s="7">
        <v>0</v>
      </c>
      <c r="AH22" s="7">
        <v>15</v>
      </c>
      <c r="AI22" s="7">
        <v>0</v>
      </c>
      <c r="AJ22" s="5">
        <v>759108.81</v>
      </c>
      <c r="AK22" s="5">
        <v>7549.66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5">
        <v>63517.53</v>
      </c>
      <c r="AR22" s="5">
        <v>78358.759999999995</v>
      </c>
      <c r="AS22" s="7">
        <v>0</v>
      </c>
      <c r="AT22" s="7">
        <v>0</v>
      </c>
      <c r="AU22" s="7">
        <v>0</v>
      </c>
      <c r="AV22" s="7">
        <v>0</v>
      </c>
      <c r="AW22" s="5">
        <v>89409.96</v>
      </c>
      <c r="AX22" s="5">
        <v>13199.8</v>
      </c>
      <c r="AY22" s="7">
        <v>0</v>
      </c>
      <c r="AZ22" s="7">
        <v>0</v>
      </c>
      <c r="BA22" s="5">
        <v>7803.65</v>
      </c>
      <c r="BB22" s="5">
        <v>16274.78</v>
      </c>
      <c r="BC22" s="5">
        <v>39018.269999999997</v>
      </c>
      <c r="BD22" s="5">
        <v>165706.46</v>
      </c>
      <c r="BE22" s="7">
        <v>0</v>
      </c>
      <c r="BF22" s="7">
        <v>0</v>
      </c>
      <c r="BG22" s="7">
        <v>0</v>
      </c>
      <c r="BH22" s="5">
        <v>91319.360000000001</v>
      </c>
      <c r="BI22" s="5">
        <v>24905.279999999999</v>
      </c>
      <c r="BJ22" s="7">
        <v>0</v>
      </c>
      <c r="BK22" s="5">
        <v>8137.39</v>
      </c>
      <c r="BL22" s="7">
        <v>0</v>
      </c>
      <c r="BM22" s="7">
        <v>0</v>
      </c>
      <c r="BN22" s="7">
        <v>0</v>
      </c>
      <c r="BO22" s="7">
        <v>0</v>
      </c>
      <c r="BP22" s="5">
        <v>124362.03</v>
      </c>
      <c r="BQ22" s="7">
        <v>0</v>
      </c>
      <c r="BR22" s="5">
        <v>92223.74</v>
      </c>
      <c r="BS22" s="7">
        <v>0</v>
      </c>
      <c r="BT22" s="7">
        <v>0</v>
      </c>
      <c r="BU22" s="5">
        <v>92223.74</v>
      </c>
      <c r="BV22" s="5">
        <v>46111.87</v>
      </c>
      <c r="BW22" s="7">
        <v>0</v>
      </c>
      <c r="BX22" s="7">
        <v>0</v>
      </c>
      <c r="BY22" s="5">
        <v>46111.87</v>
      </c>
      <c r="BZ22" s="9">
        <f t="shared" si="0"/>
        <v>257930.2</v>
      </c>
      <c r="CA22" s="12">
        <f t="shared" si="1"/>
        <v>20888.497339999998</v>
      </c>
      <c r="CB22" s="9">
        <f t="shared" si="2"/>
        <v>278818.69734000001</v>
      </c>
      <c r="CC22" s="9">
        <f t="shared" si="3"/>
        <v>1187353.45734</v>
      </c>
    </row>
    <row r="23" spans="1:81">
      <c r="A23" s="4">
        <v>27444832431</v>
      </c>
      <c r="B23" s="4" t="s">
        <v>103</v>
      </c>
      <c r="C23" s="4">
        <v>126205</v>
      </c>
      <c r="D23" s="4" t="s">
        <v>84</v>
      </c>
      <c r="E23" s="4" t="s">
        <v>85</v>
      </c>
      <c r="F23" s="4">
        <v>1</v>
      </c>
      <c r="G23" s="4">
        <v>1</v>
      </c>
      <c r="H23" s="4">
        <v>49</v>
      </c>
      <c r="I23" s="4">
        <v>1</v>
      </c>
      <c r="J23" s="4">
        <v>0</v>
      </c>
      <c r="K23" s="4">
        <v>1</v>
      </c>
      <c r="L23" s="4">
        <v>0</v>
      </c>
      <c r="M23" s="4" t="s">
        <v>84</v>
      </c>
      <c r="N23" s="4">
        <v>0</v>
      </c>
      <c r="O23" s="4">
        <v>0</v>
      </c>
      <c r="P23" s="5">
        <v>923260.49</v>
      </c>
      <c r="Q23" s="5">
        <v>851076.04</v>
      </c>
      <c r="R23" s="5">
        <v>851076.04</v>
      </c>
      <c r="S23" s="5">
        <v>851076.04</v>
      </c>
      <c r="T23" s="5">
        <v>1837761.54</v>
      </c>
      <c r="U23" s="5">
        <v>851076.04</v>
      </c>
      <c r="V23" s="7">
        <v>0</v>
      </c>
      <c r="W23" s="7">
        <v>0</v>
      </c>
      <c r="X23" s="5">
        <v>1837761.54</v>
      </c>
      <c r="Y23" s="5">
        <v>923260.45</v>
      </c>
      <c r="Z23" s="7">
        <v>0</v>
      </c>
      <c r="AA23" s="7">
        <v>0</v>
      </c>
      <c r="AB23" s="7">
        <v>1</v>
      </c>
      <c r="AC23" s="7">
        <v>1</v>
      </c>
      <c r="AD23" s="6"/>
      <c r="AE23" s="7">
        <v>0</v>
      </c>
      <c r="AF23" s="6"/>
      <c r="AG23" s="7">
        <v>0</v>
      </c>
      <c r="AH23" s="7">
        <v>15</v>
      </c>
      <c r="AI23" s="7">
        <v>0</v>
      </c>
      <c r="AJ23" s="5">
        <v>770228.26</v>
      </c>
      <c r="AK23" s="5">
        <v>15404.57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5">
        <v>65443.21</v>
      </c>
      <c r="AR23" s="5">
        <v>72184.45</v>
      </c>
      <c r="AS23" s="7">
        <v>0</v>
      </c>
      <c r="AT23" s="7">
        <v>0</v>
      </c>
      <c r="AU23" s="7">
        <v>0</v>
      </c>
      <c r="AV23" s="7">
        <v>0</v>
      </c>
      <c r="AW23" s="5">
        <v>91660.89</v>
      </c>
      <c r="AX23" s="5">
        <v>13532.11</v>
      </c>
      <c r="AY23" s="7">
        <v>0</v>
      </c>
      <c r="AZ23" s="7">
        <v>0</v>
      </c>
      <c r="BA23" s="5">
        <v>8000.11</v>
      </c>
      <c r="BB23" s="5">
        <v>16539.849999999999</v>
      </c>
      <c r="BC23" s="5">
        <v>40000.57</v>
      </c>
      <c r="BD23" s="5">
        <v>169733.53</v>
      </c>
      <c r="BE23" s="7">
        <v>0</v>
      </c>
      <c r="BF23" s="7">
        <v>0</v>
      </c>
      <c r="BG23" s="7">
        <v>0</v>
      </c>
      <c r="BH23" s="5">
        <v>93618.36</v>
      </c>
      <c r="BI23" s="5">
        <v>25532.28</v>
      </c>
      <c r="BJ23" s="7">
        <v>0</v>
      </c>
      <c r="BK23" s="5">
        <v>8269.93</v>
      </c>
      <c r="BL23" s="7">
        <v>0</v>
      </c>
      <c r="BM23" s="7">
        <v>0</v>
      </c>
      <c r="BN23" s="7">
        <v>0</v>
      </c>
      <c r="BO23" s="7">
        <v>0</v>
      </c>
      <c r="BP23" s="5">
        <v>127420.57</v>
      </c>
      <c r="BQ23" s="7">
        <v>0</v>
      </c>
      <c r="BR23" s="5">
        <v>93725.84</v>
      </c>
      <c r="BS23" s="7">
        <v>0</v>
      </c>
      <c r="BT23" s="7">
        <v>0</v>
      </c>
      <c r="BU23" s="5">
        <v>93725.84</v>
      </c>
      <c r="BV23" s="5">
        <v>46862.92</v>
      </c>
      <c r="BW23" s="7">
        <v>0</v>
      </c>
      <c r="BX23" s="7">
        <v>0</v>
      </c>
      <c r="BY23" s="5">
        <v>46862.92</v>
      </c>
      <c r="BZ23" s="9">
        <f t="shared" si="0"/>
        <v>263459.37</v>
      </c>
      <c r="CA23" s="12">
        <f t="shared" si="1"/>
        <v>21205.100534999998</v>
      </c>
      <c r="CB23" s="9">
        <f t="shared" si="2"/>
        <v>284664.47053499997</v>
      </c>
      <c r="CC23" s="9">
        <f t="shared" si="3"/>
        <v>1207924.9605350001</v>
      </c>
    </row>
    <row r="24" spans="1:81">
      <c r="A24" s="4">
        <v>27446859701</v>
      </c>
      <c r="B24" s="4" t="s">
        <v>104</v>
      </c>
      <c r="C24" s="4">
        <v>126205</v>
      </c>
      <c r="D24" s="4" t="s">
        <v>84</v>
      </c>
      <c r="E24" s="4" t="s">
        <v>85</v>
      </c>
      <c r="F24" s="4">
        <v>1</v>
      </c>
      <c r="G24" s="4">
        <v>1</v>
      </c>
      <c r="H24" s="4">
        <v>49</v>
      </c>
      <c r="I24" s="4">
        <v>1</v>
      </c>
      <c r="J24" s="4">
        <v>0</v>
      </c>
      <c r="K24" s="4">
        <v>1</v>
      </c>
      <c r="L24" s="4">
        <v>0</v>
      </c>
      <c r="M24" s="4" t="s">
        <v>84</v>
      </c>
      <c r="N24" s="4">
        <v>0</v>
      </c>
      <c r="O24" s="4">
        <v>0</v>
      </c>
      <c r="P24" s="5">
        <v>1062313.98</v>
      </c>
      <c r="Q24" s="5">
        <v>977418.73</v>
      </c>
      <c r="R24" s="5">
        <v>977418.73</v>
      </c>
      <c r="S24" s="5">
        <v>977418.73</v>
      </c>
      <c r="T24" s="5">
        <v>2115867.54</v>
      </c>
      <c r="U24" s="5">
        <v>977418.73</v>
      </c>
      <c r="V24" s="7">
        <v>0</v>
      </c>
      <c r="W24" s="7">
        <v>0</v>
      </c>
      <c r="X24" s="5">
        <v>2115867.54</v>
      </c>
      <c r="Y24" s="5">
        <v>1062313.45</v>
      </c>
      <c r="Z24" s="7">
        <v>0</v>
      </c>
      <c r="AA24" s="7">
        <v>0</v>
      </c>
      <c r="AB24" s="7">
        <v>1</v>
      </c>
      <c r="AC24" s="7">
        <v>1</v>
      </c>
      <c r="AD24" s="6"/>
      <c r="AE24" s="7">
        <v>0</v>
      </c>
      <c r="AF24" s="6"/>
      <c r="AG24" s="7">
        <v>0</v>
      </c>
      <c r="AH24" s="7">
        <v>15</v>
      </c>
      <c r="AI24" s="7">
        <v>0</v>
      </c>
      <c r="AJ24" s="5">
        <v>875981.01</v>
      </c>
      <c r="AK24" s="5">
        <v>26279.43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5">
        <v>75158.289999999994</v>
      </c>
      <c r="AR24" s="5">
        <v>84895.25</v>
      </c>
      <c r="AS24" s="7">
        <v>0</v>
      </c>
      <c r="AT24" s="7">
        <v>0</v>
      </c>
      <c r="AU24" s="7">
        <v>0</v>
      </c>
      <c r="AV24" s="7">
        <v>0</v>
      </c>
      <c r="AW24" s="5">
        <v>105268</v>
      </c>
      <c r="AX24" s="5">
        <v>15540.96</v>
      </c>
      <c r="AY24" s="7">
        <v>0</v>
      </c>
      <c r="AZ24" s="7">
        <v>0</v>
      </c>
      <c r="BA24" s="5">
        <v>9187.74</v>
      </c>
      <c r="BB24" s="5">
        <v>19042.810000000001</v>
      </c>
      <c r="BC24" s="5">
        <v>45938.68</v>
      </c>
      <c r="BD24" s="5">
        <v>194978.19</v>
      </c>
      <c r="BE24" s="7">
        <v>0</v>
      </c>
      <c r="BF24" s="7">
        <v>0</v>
      </c>
      <c r="BG24" s="7">
        <v>0</v>
      </c>
      <c r="BH24" s="5">
        <v>107516.06</v>
      </c>
      <c r="BI24" s="5">
        <v>29322.560000000001</v>
      </c>
      <c r="BJ24" s="7">
        <v>0</v>
      </c>
      <c r="BK24" s="5">
        <v>9521.4</v>
      </c>
      <c r="BL24" s="7">
        <v>0</v>
      </c>
      <c r="BM24" s="7">
        <v>0</v>
      </c>
      <c r="BN24" s="7">
        <v>0</v>
      </c>
      <c r="BO24" s="7">
        <v>0</v>
      </c>
      <c r="BP24" s="5">
        <v>146360.01999999999</v>
      </c>
      <c r="BQ24" s="7">
        <v>0</v>
      </c>
      <c r="BR24" s="5">
        <v>107909.24</v>
      </c>
      <c r="BS24" s="7">
        <v>0</v>
      </c>
      <c r="BT24" s="7">
        <v>0</v>
      </c>
      <c r="BU24" s="5">
        <v>107909.24</v>
      </c>
      <c r="BV24" s="5">
        <v>53954.62</v>
      </c>
      <c r="BW24" s="7">
        <v>0</v>
      </c>
      <c r="BX24" s="7">
        <v>0</v>
      </c>
      <c r="BY24" s="5">
        <v>53954.62</v>
      </c>
      <c r="BZ24" s="9">
        <f t="shared" si="0"/>
        <v>302887.43</v>
      </c>
      <c r="CA24" s="12">
        <f t="shared" si="1"/>
        <v>24194.750569999997</v>
      </c>
      <c r="CB24" s="9">
        <f t="shared" si="2"/>
        <v>327082.18056999997</v>
      </c>
      <c r="CC24" s="9">
        <f t="shared" si="3"/>
        <v>1389396.1605699998</v>
      </c>
    </row>
    <row r="25" spans="1:81" ht="25">
      <c r="A25" s="4">
        <v>27456360284</v>
      </c>
      <c r="B25" s="4" t="s">
        <v>105</v>
      </c>
      <c r="C25" s="4">
        <v>902108</v>
      </c>
      <c r="D25" s="4" t="s">
        <v>84</v>
      </c>
      <c r="E25" s="4" t="s">
        <v>85</v>
      </c>
      <c r="F25" s="4">
        <v>1</v>
      </c>
      <c r="G25" s="4">
        <v>1</v>
      </c>
      <c r="H25" s="4">
        <v>49</v>
      </c>
      <c r="I25" s="4">
        <v>1</v>
      </c>
      <c r="J25" s="4">
        <v>0</v>
      </c>
      <c r="K25" s="4">
        <v>1</v>
      </c>
      <c r="L25" s="4">
        <v>0</v>
      </c>
      <c r="M25" s="4" t="s">
        <v>84</v>
      </c>
      <c r="N25" s="4">
        <v>0</v>
      </c>
      <c r="O25" s="4">
        <v>0</v>
      </c>
      <c r="P25" s="5">
        <v>734214.91</v>
      </c>
      <c r="Q25" s="5">
        <v>658342.81999999995</v>
      </c>
      <c r="R25" s="5">
        <v>658342.81999999995</v>
      </c>
      <c r="S25" s="5">
        <v>658342.81999999995</v>
      </c>
      <c r="T25" s="5">
        <v>1459668.94</v>
      </c>
      <c r="U25" s="5">
        <v>658342.81999999995</v>
      </c>
      <c r="V25" s="7">
        <v>0</v>
      </c>
      <c r="W25" s="7">
        <v>0</v>
      </c>
      <c r="X25" s="5">
        <v>1459668.94</v>
      </c>
      <c r="Y25" s="5">
        <v>734214.15</v>
      </c>
      <c r="Z25" s="7">
        <v>0</v>
      </c>
      <c r="AA25" s="7">
        <v>0</v>
      </c>
      <c r="AB25" s="7">
        <v>1</v>
      </c>
      <c r="AC25" s="7">
        <v>1</v>
      </c>
      <c r="AD25" s="6"/>
      <c r="AE25" s="7">
        <v>0</v>
      </c>
      <c r="AF25" s="6"/>
      <c r="AG25" s="7">
        <v>0</v>
      </c>
      <c r="AH25" s="7">
        <v>15</v>
      </c>
      <c r="AI25" s="7">
        <v>0</v>
      </c>
      <c r="AJ25" s="5">
        <v>587311.93000000005</v>
      </c>
      <c r="AK25" s="5">
        <v>7545.8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5">
        <v>63485.09</v>
      </c>
      <c r="AR25" s="5">
        <v>75872.09</v>
      </c>
      <c r="AS25" s="7">
        <v>0</v>
      </c>
      <c r="AT25" s="7">
        <v>0</v>
      </c>
      <c r="AU25" s="7">
        <v>0</v>
      </c>
      <c r="AV25" s="7">
        <v>0</v>
      </c>
      <c r="AW25" s="5">
        <v>70903.520000000004</v>
      </c>
      <c r="AX25" s="5">
        <v>10467.65</v>
      </c>
      <c r="AY25" s="7">
        <v>0</v>
      </c>
      <c r="AZ25" s="7">
        <v>0</v>
      </c>
      <c r="BA25" s="5">
        <v>6188.42</v>
      </c>
      <c r="BB25" s="5">
        <v>13137.02</v>
      </c>
      <c r="BC25" s="5">
        <v>30942.11</v>
      </c>
      <c r="BD25" s="5">
        <v>131638.72</v>
      </c>
      <c r="BE25" s="7">
        <v>0</v>
      </c>
      <c r="BF25" s="7">
        <v>0</v>
      </c>
      <c r="BG25" s="7">
        <v>0</v>
      </c>
      <c r="BH25" s="5">
        <v>72417.710000000006</v>
      </c>
      <c r="BI25" s="5">
        <v>19750.28</v>
      </c>
      <c r="BJ25" s="7">
        <v>0</v>
      </c>
      <c r="BK25" s="5">
        <v>6568.51</v>
      </c>
      <c r="BL25" s="7">
        <v>0</v>
      </c>
      <c r="BM25" s="7">
        <v>0</v>
      </c>
      <c r="BN25" s="7">
        <v>0</v>
      </c>
      <c r="BO25" s="7">
        <v>0</v>
      </c>
      <c r="BP25" s="5">
        <v>98736.5</v>
      </c>
      <c r="BQ25" s="7">
        <v>0</v>
      </c>
      <c r="BR25" s="5">
        <v>74443.12</v>
      </c>
      <c r="BS25" s="7">
        <v>0</v>
      </c>
      <c r="BT25" s="7">
        <v>0</v>
      </c>
      <c r="BU25" s="5">
        <v>74443.12</v>
      </c>
      <c r="BV25" s="5">
        <v>37221.56</v>
      </c>
      <c r="BW25" s="7">
        <v>0</v>
      </c>
      <c r="BX25" s="7">
        <v>0</v>
      </c>
      <c r="BY25" s="5">
        <v>37221.56</v>
      </c>
      <c r="BZ25" s="9">
        <f t="shared" si="0"/>
        <v>206081.84</v>
      </c>
      <c r="CA25" s="12">
        <f t="shared" si="1"/>
        <v>17140.620564999997</v>
      </c>
      <c r="CB25" s="9">
        <f t="shared" si="2"/>
        <v>223222.46056499999</v>
      </c>
      <c r="CC25" s="9">
        <f t="shared" si="3"/>
        <v>957437.37056499999</v>
      </c>
    </row>
    <row r="26" spans="1:81">
      <c r="A26" s="4">
        <v>27457232964</v>
      </c>
      <c r="B26" s="4" t="s">
        <v>106</v>
      </c>
      <c r="C26" s="4">
        <v>902108</v>
      </c>
      <c r="D26" s="4" t="s">
        <v>84</v>
      </c>
      <c r="E26" s="4" t="s">
        <v>85</v>
      </c>
      <c r="F26" s="4">
        <v>1</v>
      </c>
      <c r="G26" s="4">
        <v>1</v>
      </c>
      <c r="H26" s="4">
        <v>49</v>
      </c>
      <c r="I26" s="4">
        <v>1</v>
      </c>
      <c r="J26" s="4">
        <v>0</v>
      </c>
      <c r="K26" s="4">
        <v>1</v>
      </c>
      <c r="L26" s="4">
        <v>0</v>
      </c>
      <c r="M26" s="4" t="s">
        <v>84</v>
      </c>
      <c r="N26" s="4">
        <v>0</v>
      </c>
      <c r="O26" s="4">
        <v>0</v>
      </c>
      <c r="P26" s="5">
        <v>853132.99</v>
      </c>
      <c r="Q26" s="5">
        <v>779064.42</v>
      </c>
      <c r="R26" s="5">
        <v>779064.42</v>
      </c>
      <c r="S26" s="5">
        <v>779064.42</v>
      </c>
      <c r="T26" s="5">
        <v>1697505.22</v>
      </c>
      <c r="U26" s="5">
        <v>779064.42</v>
      </c>
      <c r="V26" s="7">
        <v>0</v>
      </c>
      <c r="W26" s="7">
        <v>0</v>
      </c>
      <c r="X26" s="5">
        <v>1697505.22</v>
      </c>
      <c r="Y26" s="5">
        <v>853132.29</v>
      </c>
      <c r="Z26" s="7">
        <v>0</v>
      </c>
      <c r="AA26" s="7">
        <v>0</v>
      </c>
      <c r="AB26" s="7">
        <v>1</v>
      </c>
      <c r="AC26" s="7">
        <v>1</v>
      </c>
      <c r="AD26" s="6"/>
      <c r="AE26" s="7">
        <v>0</v>
      </c>
      <c r="AF26" s="6"/>
      <c r="AG26" s="7">
        <v>0</v>
      </c>
      <c r="AH26" s="7">
        <v>15</v>
      </c>
      <c r="AI26" s="7">
        <v>0</v>
      </c>
      <c r="AJ26" s="5">
        <v>705136.08</v>
      </c>
      <c r="AK26" s="5">
        <v>14086.15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5">
        <v>59842.19</v>
      </c>
      <c r="AR26" s="5">
        <v>74068.570000000007</v>
      </c>
      <c r="AS26" s="7">
        <v>0</v>
      </c>
      <c r="AT26" s="7">
        <v>0</v>
      </c>
      <c r="AU26" s="7">
        <v>0</v>
      </c>
      <c r="AV26" s="7">
        <v>0</v>
      </c>
      <c r="AW26" s="5">
        <v>83905.24</v>
      </c>
      <c r="AX26" s="5">
        <v>12387.12</v>
      </c>
      <c r="AY26" s="7">
        <v>0</v>
      </c>
      <c r="AZ26" s="7">
        <v>0</v>
      </c>
      <c r="BA26" s="5">
        <v>7323.21</v>
      </c>
      <c r="BB26" s="5">
        <v>15277.55</v>
      </c>
      <c r="BC26" s="5">
        <v>36616.03</v>
      </c>
      <c r="BD26" s="5">
        <v>155509.15</v>
      </c>
      <c r="BE26" s="7">
        <v>0</v>
      </c>
      <c r="BF26" s="7">
        <v>0</v>
      </c>
      <c r="BG26" s="7">
        <v>0</v>
      </c>
      <c r="BH26" s="5">
        <v>85697.09</v>
      </c>
      <c r="BI26" s="5">
        <v>23371.93</v>
      </c>
      <c r="BJ26" s="7">
        <v>0</v>
      </c>
      <c r="BK26" s="5">
        <v>7638.77</v>
      </c>
      <c r="BL26" s="7">
        <v>0</v>
      </c>
      <c r="BM26" s="7">
        <v>0</v>
      </c>
      <c r="BN26" s="7">
        <v>0</v>
      </c>
      <c r="BO26" s="7">
        <v>0</v>
      </c>
      <c r="BP26" s="5">
        <v>116707.79</v>
      </c>
      <c r="BQ26" s="7">
        <v>0</v>
      </c>
      <c r="BR26" s="5">
        <v>86572.77</v>
      </c>
      <c r="BS26" s="7">
        <v>0</v>
      </c>
      <c r="BT26" s="7">
        <v>0</v>
      </c>
      <c r="BU26" s="5">
        <v>86572.77</v>
      </c>
      <c r="BV26" s="5">
        <v>43286.38</v>
      </c>
      <c r="BW26" s="7">
        <v>0</v>
      </c>
      <c r="BX26" s="7">
        <v>0</v>
      </c>
      <c r="BY26" s="5">
        <v>43286.38</v>
      </c>
      <c r="BZ26" s="9">
        <f t="shared" si="0"/>
        <v>242081.91999999998</v>
      </c>
      <c r="CA26" s="12">
        <f t="shared" si="1"/>
        <v>19697.359284999999</v>
      </c>
      <c r="CB26" s="9">
        <f t="shared" si="2"/>
        <v>261779.279285</v>
      </c>
      <c r="CC26" s="9">
        <f t="shared" si="3"/>
        <v>1114912.2692849999</v>
      </c>
    </row>
    <row r="27" spans="1:81">
      <c r="A27" s="4">
        <v>27457479269</v>
      </c>
      <c r="B27" s="4" t="s">
        <v>107</v>
      </c>
      <c r="C27" s="4">
        <v>126205</v>
      </c>
      <c r="D27" s="4" t="s">
        <v>84</v>
      </c>
      <c r="E27" s="4" t="s">
        <v>85</v>
      </c>
      <c r="F27" s="4">
        <v>1</v>
      </c>
      <c r="G27" s="4">
        <v>1</v>
      </c>
      <c r="H27" s="4">
        <v>49</v>
      </c>
      <c r="I27" s="4">
        <v>1</v>
      </c>
      <c r="J27" s="4">
        <v>0</v>
      </c>
      <c r="K27" s="4">
        <v>1</v>
      </c>
      <c r="L27" s="4">
        <v>0</v>
      </c>
      <c r="M27" s="4" t="s">
        <v>84</v>
      </c>
      <c r="N27" s="4">
        <v>0</v>
      </c>
      <c r="O27" s="4">
        <v>0</v>
      </c>
      <c r="P27" s="5">
        <v>1027390.2</v>
      </c>
      <c r="Q27" s="5">
        <v>945159.78</v>
      </c>
      <c r="R27" s="5">
        <v>945159.78</v>
      </c>
      <c r="S27" s="5">
        <v>945159.78</v>
      </c>
      <c r="T27" s="5">
        <v>2046019.32</v>
      </c>
      <c r="U27" s="5">
        <v>945159.78</v>
      </c>
      <c r="V27" s="7">
        <v>0</v>
      </c>
      <c r="W27" s="7">
        <v>0</v>
      </c>
      <c r="X27" s="5">
        <v>2046019.32</v>
      </c>
      <c r="Y27" s="5">
        <v>1027389.34</v>
      </c>
      <c r="Z27" s="7">
        <v>0</v>
      </c>
      <c r="AA27" s="7">
        <v>0</v>
      </c>
      <c r="AB27" s="7">
        <v>1</v>
      </c>
      <c r="AC27" s="7">
        <v>1</v>
      </c>
      <c r="AD27" s="6"/>
      <c r="AE27" s="7">
        <v>0</v>
      </c>
      <c r="AF27" s="6"/>
      <c r="AG27" s="7">
        <v>0</v>
      </c>
      <c r="AH27" s="7">
        <v>15</v>
      </c>
      <c r="AI27" s="7">
        <v>0</v>
      </c>
      <c r="AJ27" s="5">
        <v>855374.54</v>
      </c>
      <c r="AK27" s="5">
        <v>17107.490000000002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5">
        <v>72677.75</v>
      </c>
      <c r="AR27" s="5">
        <v>82230.42</v>
      </c>
      <c r="AS27" s="7">
        <v>0</v>
      </c>
      <c r="AT27" s="7">
        <v>0</v>
      </c>
      <c r="AU27" s="7">
        <v>0</v>
      </c>
      <c r="AV27" s="7">
        <v>0</v>
      </c>
      <c r="AW27" s="5">
        <v>101793.71</v>
      </c>
      <c r="AX27" s="5">
        <v>15028.04</v>
      </c>
      <c r="AY27" s="7">
        <v>0</v>
      </c>
      <c r="AZ27" s="7">
        <v>0</v>
      </c>
      <c r="BA27" s="5">
        <v>8884.5</v>
      </c>
      <c r="BB27" s="5">
        <v>18414.169999999998</v>
      </c>
      <c r="BC27" s="5">
        <v>44422.51</v>
      </c>
      <c r="BD27" s="5">
        <v>188542.93</v>
      </c>
      <c r="BE27" s="7">
        <v>0</v>
      </c>
      <c r="BF27" s="7">
        <v>0</v>
      </c>
      <c r="BG27" s="7">
        <v>0</v>
      </c>
      <c r="BH27" s="5">
        <v>103967.58</v>
      </c>
      <c r="BI27" s="5">
        <v>28354.79</v>
      </c>
      <c r="BJ27" s="7">
        <v>0</v>
      </c>
      <c r="BK27" s="5">
        <v>9207.09</v>
      </c>
      <c r="BL27" s="7">
        <v>0</v>
      </c>
      <c r="BM27" s="7">
        <v>0</v>
      </c>
      <c r="BN27" s="7">
        <v>0</v>
      </c>
      <c r="BO27" s="7">
        <v>0</v>
      </c>
      <c r="BP27" s="5">
        <v>141529.46</v>
      </c>
      <c r="BQ27" s="7">
        <v>0</v>
      </c>
      <c r="BR27" s="5">
        <v>104346.99</v>
      </c>
      <c r="BS27" s="7">
        <v>0</v>
      </c>
      <c r="BT27" s="7">
        <v>0</v>
      </c>
      <c r="BU27" s="5">
        <v>104346.99</v>
      </c>
      <c r="BV27" s="5">
        <v>52173.49</v>
      </c>
      <c r="BW27" s="7">
        <v>0</v>
      </c>
      <c r="BX27" s="7">
        <v>0</v>
      </c>
      <c r="BY27" s="5">
        <v>52173.49</v>
      </c>
      <c r="BZ27" s="9">
        <f t="shared" si="0"/>
        <v>292889.92</v>
      </c>
      <c r="CA27" s="12">
        <f t="shared" si="1"/>
        <v>23443.889299999999</v>
      </c>
      <c r="CB27" s="9">
        <f t="shared" si="2"/>
        <v>316333.80929999996</v>
      </c>
      <c r="CC27" s="9">
        <f t="shared" si="3"/>
        <v>1343724.0093</v>
      </c>
    </row>
    <row r="28" spans="1:81">
      <c r="A28" s="4">
        <v>27457516636</v>
      </c>
      <c r="B28" s="4" t="s">
        <v>108</v>
      </c>
      <c r="C28" s="4">
        <v>126205</v>
      </c>
      <c r="D28" s="4" t="s">
        <v>84</v>
      </c>
      <c r="E28" s="4" t="s">
        <v>85</v>
      </c>
      <c r="F28" s="4">
        <v>1</v>
      </c>
      <c r="G28" s="4">
        <v>1</v>
      </c>
      <c r="H28" s="4">
        <v>49</v>
      </c>
      <c r="I28" s="4">
        <v>14</v>
      </c>
      <c r="J28" s="4">
        <v>0</v>
      </c>
      <c r="K28" s="4">
        <v>1</v>
      </c>
      <c r="L28" s="4">
        <v>0</v>
      </c>
      <c r="M28" s="4" t="s">
        <v>84</v>
      </c>
      <c r="N28" s="4">
        <v>0</v>
      </c>
      <c r="O28" s="4">
        <v>0</v>
      </c>
      <c r="P28" s="5">
        <v>739328.07</v>
      </c>
      <c r="Q28" s="5">
        <v>673396.52</v>
      </c>
      <c r="R28" s="5">
        <v>673396.52</v>
      </c>
      <c r="S28" s="5">
        <v>673396.52</v>
      </c>
      <c r="T28" s="5">
        <v>1469895.3</v>
      </c>
      <c r="U28" s="5">
        <v>673396.52</v>
      </c>
      <c r="V28" s="7">
        <v>0</v>
      </c>
      <c r="W28" s="7">
        <v>0</v>
      </c>
      <c r="X28" s="5">
        <v>1469895.3</v>
      </c>
      <c r="Y28" s="5">
        <v>739327.33</v>
      </c>
      <c r="Z28" s="7">
        <v>0</v>
      </c>
      <c r="AA28" s="7">
        <v>0</v>
      </c>
      <c r="AB28" s="7">
        <v>1</v>
      </c>
      <c r="AC28" s="7">
        <v>1</v>
      </c>
      <c r="AD28" s="6"/>
      <c r="AE28" s="7">
        <v>0</v>
      </c>
      <c r="AF28" s="6"/>
      <c r="AG28" s="7">
        <v>0</v>
      </c>
      <c r="AH28" s="7">
        <v>15</v>
      </c>
      <c r="AI28" s="7">
        <v>0</v>
      </c>
      <c r="AJ28" s="5">
        <v>621615.91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5">
        <v>51780.61</v>
      </c>
      <c r="AR28" s="5">
        <v>65931.55</v>
      </c>
      <c r="AS28" s="7">
        <v>0</v>
      </c>
      <c r="AT28" s="7">
        <v>0</v>
      </c>
      <c r="AU28" s="7">
        <v>0</v>
      </c>
      <c r="AV28" s="7">
        <v>0</v>
      </c>
      <c r="AW28" s="5">
        <v>72524.81</v>
      </c>
      <c r="AX28" s="5">
        <v>10707</v>
      </c>
      <c r="AY28" s="7">
        <v>0</v>
      </c>
      <c r="AZ28" s="7">
        <v>0</v>
      </c>
      <c r="BA28" s="5">
        <v>6329.93</v>
      </c>
      <c r="BB28" s="5">
        <v>13229.06</v>
      </c>
      <c r="BC28" s="5">
        <v>31649.64</v>
      </c>
      <c r="BD28" s="5">
        <v>134440.44</v>
      </c>
      <c r="BE28" s="7">
        <v>0</v>
      </c>
      <c r="BF28" s="7">
        <v>0</v>
      </c>
      <c r="BG28" s="7">
        <v>0</v>
      </c>
      <c r="BH28" s="5">
        <v>74073.62</v>
      </c>
      <c r="BI28" s="5">
        <v>20201.900000000001</v>
      </c>
      <c r="BJ28" s="7">
        <v>0</v>
      </c>
      <c r="BK28" s="5">
        <v>6614.53</v>
      </c>
      <c r="BL28" s="7">
        <v>0</v>
      </c>
      <c r="BM28" s="7">
        <v>0</v>
      </c>
      <c r="BN28" s="7">
        <v>0</v>
      </c>
      <c r="BO28" s="7">
        <v>0</v>
      </c>
      <c r="BP28" s="5">
        <v>100890.05</v>
      </c>
      <c r="BQ28" s="7">
        <v>0</v>
      </c>
      <c r="BR28" s="5">
        <v>74964.66</v>
      </c>
      <c r="BS28" s="7">
        <v>0</v>
      </c>
      <c r="BT28" s="7">
        <v>0</v>
      </c>
      <c r="BU28" s="5">
        <v>74964.66</v>
      </c>
      <c r="BV28" s="5">
        <v>37482.33</v>
      </c>
      <c r="BW28" s="7">
        <v>0</v>
      </c>
      <c r="BX28" s="7">
        <v>0</v>
      </c>
      <c r="BY28" s="5">
        <v>37482.33</v>
      </c>
      <c r="BZ28" s="9">
        <f t="shared" si="0"/>
        <v>209405.1</v>
      </c>
      <c r="CA28" s="12">
        <f t="shared" si="1"/>
        <v>17250.553504999996</v>
      </c>
      <c r="CB28" s="9">
        <f t="shared" si="2"/>
        <v>226655.65350499999</v>
      </c>
      <c r="CC28" s="9">
        <f t="shared" si="3"/>
        <v>965983.72350499989</v>
      </c>
    </row>
    <row r="29" spans="1:81">
      <c r="A29" s="4">
        <v>27462635309</v>
      </c>
      <c r="B29" s="4" t="s">
        <v>109</v>
      </c>
      <c r="C29" s="4">
        <v>126205</v>
      </c>
      <c r="D29" s="4" t="s">
        <v>84</v>
      </c>
      <c r="E29" s="4" t="s">
        <v>85</v>
      </c>
      <c r="F29" s="4">
        <v>1</v>
      </c>
      <c r="G29" s="4">
        <v>1</v>
      </c>
      <c r="H29" s="4">
        <v>49</v>
      </c>
      <c r="I29" s="4">
        <v>14</v>
      </c>
      <c r="J29" s="4">
        <v>0</v>
      </c>
      <c r="K29" s="4">
        <v>1</v>
      </c>
      <c r="L29" s="4">
        <v>0</v>
      </c>
      <c r="M29" s="4" t="s">
        <v>84</v>
      </c>
      <c r="N29" s="4">
        <v>0</v>
      </c>
      <c r="O29" s="4">
        <v>0</v>
      </c>
      <c r="P29" s="5">
        <v>919666.01</v>
      </c>
      <c r="Q29" s="5">
        <v>838962.27</v>
      </c>
      <c r="R29" s="5">
        <v>838962.27</v>
      </c>
      <c r="S29" s="5">
        <v>838962.27</v>
      </c>
      <c r="T29" s="5">
        <v>1830571.36</v>
      </c>
      <c r="U29" s="5">
        <v>838962.27</v>
      </c>
      <c r="V29" s="7">
        <v>0</v>
      </c>
      <c r="W29" s="7">
        <v>0</v>
      </c>
      <c r="X29" s="5">
        <v>1830571.36</v>
      </c>
      <c r="Y29" s="5">
        <v>919665.36</v>
      </c>
      <c r="Z29" s="7">
        <v>0</v>
      </c>
      <c r="AA29" s="7">
        <v>0</v>
      </c>
      <c r="AB29" s="7">
        <v>1</v>
      </c>
      <c r="AC29" s="7">
        <v>1</v>
      </c>
      <c r="AD29" s="6"/>
      <c r="AE29" s="7">
        <v>0</v>
      </c>
      <c r="AF29" s="6"/>
      <c r="AG29" s="7">
        <v>0</v>
      </c>
      <c r="AH29" s="7">
        <v>15</v>
      </c>
      <c r="AI29" s="7">
        <v>0</v>
      </c>
      <c r="AJ29" s="5">
        <v>774450.54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5">
        <v>64511.73</v>
      </c>
      <c r="AR29" s="5">
        <v>80703.740000000005</v>
      </c>
      <c r="AS29" s="7">
        <v>0</v>
      </c>
      <c r="AT29" s="7">
        <v>0</v>
      </c>
      <c r="AU29" s="7">
        <v>0</v>
      </c>
      <c r="AV29" s="7">
        <v>0</v>
      </c>
      <c r="AW29" s="5">
        <v>90356.24</v>
      </c>
      <c r="AX29" s="5">
        <v>13339.5</v>
      </c>
      <c r="AY29" s="7">
        <v>0</v>
      </c>
      <c r="AZ29" s="7">
        <v>0</v>
      </c>
      <c r="BA29" s="5">
        <v>7886.25</v>
      </c>
      <c r="BB29" s="5">
        <v>16475.14</v>
      </c>
      <c r="BC29" s="5">
        <v>39431.230000000003</v>
      </c>
      <c r="BD29" s="5">
        <v>167488.35999999999</v>
      </c>
      <c r="BE29" s="7">
        <v>0</v>
      </c>
      <c r="BF29" s="7">
        <v>0</v>
      </c>
      <c r="BG29" s="7">
        <v>0</v>
      </c>
      <c r="BH29" s="5">
        <v>92285.85</v>
      </c>
      <c r="BI29" s="5">
        <v>25168.87</v>
      </c>
      <c r="BJ29" s="7">
        <v>0</v>
      </c>
      <c r="BK29" s="5">
        <v>8237.57</v>
      </c>
      <c r="BL29" s="7">
        <v>0</v>
      </c>
      <c r="BM29" s="7">
        <v>0</v>
      </c>
      <c r="BN29" s="7">
        <v>0</v>
      </c>
      <c r="BO29" s="7">
        <v>0</v>
      </c>
      <c r="BP29" s="5">
        <v>125692.29</v>
      </c>
      <c r="BQ29" s="7">
        <v>0</v>
      </c>
      <c r="BR29" s="5">
        <v>93359.14</v>
      </c>
      <c r="BS29" s="7">
        <v>0</v>
      </c>
      <c r="BT29" s="7">
        <v>0</v>
      </c>
      <c r="BU29" s="5">
        <v>93359.14</v>
      </c>
      <c r="BV29" s="5">
        <v>46679.57</v>
      </c>
      <c r="BW29" s="7">
        <v>0</v>
      </c>
      <c r="BX29" s="7">
        <v>0</v>
      </c>
      <c r="BY29" s="5">
        <v>46679.57</v>
      </c>
      <c r="BZ29" s="9">
        <f t="shared" si="0"/>
        <v>260847.5</v>
      </c>
      <c r="CA29" s="12">
        <f t="shared" si="1"/>
        <v>21127.819215</v>
      </c>
      <c r="CB29" s="9">
        <f t="shared" si="2"/>
        <v>281975.31921500002</v>
      </c>
      <c r="CC29" s="9">
        <f t="shared" si="3"/>
        <v>1201641.3292149999</v>
      </c>
    </row>
    <row r="30" spans="1:81">
      <c r="A30" s="4">
        <v>27464434521</v>
      </c>
      <c r="B30" s="4" t="s">
        <v>110</v>
      </c>
      <c r="C30" s="4">
        <v>126205</v>
      </c>
      <c r="D30" s="4" t="s">
        <v>84</v>
      </c>
      <c r="E30" s="4" t="s">
        <v>85</v>
      </c>
      <c r="F30" s="4">
        <v>1</v>
      </c>
      <c r="G30" s="4">
        <v>1</v>
      </c>
      <c r="H30" s="4">
        <v>49</v>
      </c>
      <c r="I30" s="4">
        <v>14</v>
      </c>
      <c r="J30" s="4">
        <v>0</v>
      </c>
      <c r="K30" s="4">
        <v>1</v>
      </c>
      <c r="L30" s="4">
        <v>0</v>
      </c>
      <c r="M30" s="4" t="s">
        <v>84</v>
      </c>
      <c r="N30" s="4">
        <v>0</v>
      </c>
      <c r="O30" s="4">
        <v>0</v>
      </c>
      <c r="P30" s="5">
        <v>877281.9</v>
      </c>
      <c r="Q30" s="5">
        <v>800887.28</v>
      </c>
      <c r="R30" s="5">
        <v>800887.28</v>
      </c>
      <c r="S30" s="5">
        <v>800887.28</v>
      </c>
      <c r="T30" s="5">
        <v>1745804.22</v>
      </c>
      <c r="U30" s="5">
        <v>800887.28</v>
      </c>
      <c r="V30" s="7">
        <v>0</v>
      </c>
      <c r="W30" s="7">
        <v>0</v>
      </c>
      <c r="X30" s="5">
        <v>1745804.22</v>
      </c>
      <c r="Y30" s="5">
        <v>877281.79</v>
      </c>
      <c r="Z30" s="7">
        <v>0</v>
      </c>
      <c r="AA30" s="7">
        <v>0</v>
      </c>
      <c r="AB30" s="7">
        <v>1</v>
      </c>
      <c r="AC30" s="7">
        <v>1</v>
      </c>
      <c r="AD30" s="6"/>
      <c r="AE30" s="7">
        <v>0</v>
      </c>
      <c r="AF30" s="6"/>
      <c r="AG30" s="7">
        <v>0</v>
      </c>
      <c r="AH30" s="7">
        <v>15</v>
      </c>
      <c r="AI30" s="7">
        <v>0</v>
      </c>
      <c r="AJ30" s="5">
        <v>739367.03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5">
        <v>61520.25</v>
      </c>
      <c r="AR30" s="5">
        <v>76394.62</v>
      </c>
      <c r="AS30" s="7">
        <v>0</v>
      </c>
      <c r="AT30" s="7">
        <v>0</v>
      </c>
      <c r="AU30" s="7">
        <v>0</v>
      </c>
      <c r="AV30" s="7">
        <v>0</v>
      </c>
      <c r="AW30" s="5">
        <v>86255.56</v>
      </c>
      <c r="AX30" s="5">
        <v>12734.11</v>
      </c>
      <c r="AY30" s="7">
        <v>0</v>
      </c>
      <c r="AZ30" s="7">
        <v>0</v>
      </c>
      <c r="BA30" s="5">
        <v>7528.34</v>
      </c>
      <c r="BB30" s="5">
        <v>15712.24</v>
      </c>
      <c r="BC30" s="5">
        <v>37641.699999999997</v>
      </c>
      <c r="BD30" s="5">
        <v>159871.95000000001</v>
      </c>
      <c r="BE30" s="7">
        <v>0</v>
      </c>
      <c r="BF30" s="7">
        <v>0</v>
      </c>
      <c r="BG30" s="7">
        <v>0</v>
      </c>
      <c r="BH30" s="5">
        <v>88097.600000000006</v>
      </c>
      <c r="BI30" s="5">
        <v>24026.62</v>
      </c>
      <c r="BJ30" s="7">
        <v>0</v>
      </c>
      <c r="BK30" s="5">
        <v>7856.12</v>
      </c>
      <c r="BL30" s="7">
        <v>0</v>
      </c>
      <c r="BM30" s="7">
        <v>0</v>
      </c>
      <c r="BN30" s="7">
        <v>0</v>
      </c>
      <c r="BO30" s="7">
        <v>0</v>
      </c>
      <c r="BP30" s="5">
        <v>119980.34</v>
      </c>
      <c r="BQ30" s="7">
        <v>0</v>
      </c>
      <c r="BR30" s="5">
        <v>89036.02</v>
      </c>
      <c r="BS30" s="7">
        <v>0</v>
      </c>
      <c r="BT30" s="7">
        <v>0</v>
      </c>
      <c r="BU30" s="5">
        <v>89036.02</v>
      </c>
      <c r="BV30" s="5">
        <v>44518.01</v>
      </c>
      <c r="BW30" s="7">
        <v>0</v>
      </c>
      <c r="BX30" s="7">
        <v>0</v>
      </c>
      <c r="BY30" s="5">
        <v>44518.01</v>
      </c>
      <c r="BZ30" s="9">
        <f t="shared" si="0"/>
        <v>248907.97000000003</v>
      </c>
      <c r="CA30" s="12">
        <f t="shared" si="1"/>
        <v>20216.560849999998</v>
      </c>
      <c r="CB30" s="9">
        <f t="shared" si="2"/>
        <v>269124.53085000004</v>
      </c>
      <c r="CC30" s="9">
        <f t="shared" si="3"/>
        <v>1146406.4308500001</v>
      </c>
    </row>
    <row r="31" spans="1:81" ht="25">
      <c r="A31" s="4">
        <v>27464756162</v>
      </c>
      <c r="B31" s="4" t="s">
        <v>111</v>
      </c>
      <c r="C31" s="4">
        <v>126205</v>
      </c>
      <c r="D31" s="4" t="s">
        <v>84</v>
      </c>
      <c r="E31" s="4" t="s">
        <v>85</v>
      </c>
      <c r="F31" s="4">
        <v>1</v>
      </c>
      <c r="G31" s="4">
        <v>1</v>
      </c>
      <c r="H31" s="4">
        <v>49</v>
      </c>
      <c r="I31" s="4">
        <v>14</v>
      </c>
      <c r="J31" s="4">
        <v>0</v>
      </c>
      <c r="K31" s="4">
        <v>1</v>
      </c>
      <c r="L31" s="4">
        <v>0</v>
      </c>
      <c r="M31" s="4" t="s">
        <v>84</v>
      </c>
      <c r="N31" s="4">
        <v>0</v>
      </c>
      <c r="O31" s="4">
        <v>0</v>
      </c>
      <c r="P31" s="5">
        <v>890268.16000000003</v>
      </c>
      <c r="Q31" s="5">
        <v>812026.41</v>
      </c>
      <c r="R31" s="5">
        <v>812026.41</v>
      </c>
      <c r="S31" s="5">
        <v>812026.41</v>
      </c>
      <c r="T31" s="5">
        <v>1771775.56</v>
      </c>
      <c r="U31" s="5">
        <v>812026.41</v>
      </c>
      <c r="V31" s="7">
        <v>0</v>
      </c>
      <c r="W31" s="7">
        <v>0</v>
      </c>
      <c r="X31" s="5">
        <v>1771775.56</v>
      </c>
      <c r="Y31" s="5">
        <v>890267.46</v>
      </c>
      <c r="Z31" s="7">
        <v>0</v>
      </c>
      <c r="AA31" s="7">
        <v>0</v>
      </c>
      <c r="AB31" s="7">
        <v>1</v>
      </c>
      <c r="AC31" s="7">
        <v>1</v>
      </c>
      <c r="AD31" s="6"/>
      <c r="AE31" s="7">
        <v>0</v>
      </c>
      <c r="AF31" s="6"/>
      <c r="AG31" s="7">
        <v>0</v>
      </c>
      <c r="AH31" s="7">
        <v>15</v>
      </c>
      <c r="AI31" s="7">
        <v>0</v>
      </c>
      <c r="AJ31" s="5">
        <v>749585.9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5">
        <v>62440.51</v>
      </c>
      <c r="AR31" s="5">
        <v>78241.75</v>
      </c>
      <c r="AS31" s="7">
        <v>0</v>
      </c>
      <c r="AT31" s="7">
        <v>0</v>
      </c>
      <c r="AU31" s="7">
        <v>0</v>
      </c>
      <c r="AV31" s="7">
        <v>0</v>
      </c>
      <c r="AW31" s="5">
        <v>87455.24</v>
      </c>
      <c r="AX31" s="5">
        <v>12911.22</v>
      </c>
      <c r="AY31" s="7">
        <v>0</v>
      </c>
      <c r="AZ31" s="7">
        <v>0</v>
      </c>
      <c r="BA31" s="5">
        <v>7633.05</v>
      </c>
      <c r="BB31" s="5">
        <v>15945.98</v>
      </c>
      <c r="BC31" s="5">
        <v>38165.24</v>
      </c>
      <c r="BD31" s="5">
        <v>162110.73000000001</v>
      </c>
      <c r="BE31" s="7">
        <v>0</v>
      </c>
      <c r="BF31" s="7">
        <v>0</v>
      </c>
      <c r="BG31" s="7">
        <v>0</v>
      </c>
      <c r="BH31" s="5">
        <v>89322.91</v>
      </c>
      <c r="BI31" s="5">
        <v>24360.79</v>
      </c>
      <c r="BJ31" s="7">
        <v>0</v>
      </c>
      <c r="BK31" s="5">
        <v>7972.99</v>
      </c>
      <c r="BL31" s="7">
        <v>0</v>
      </c>
      <c r="BM31" s="7">
        <v>0</v>
      </c>
      <c r="BN31" s="7">
        <v>0</v>
      </c>
      <c r="BO31" s="7">
        <v>0</v>
      </c>
      <c r="BP31" s="5">
        <v>121656.69</v>
      </c>
      <c r="BQ31" s="7">
        <v>0</v>
      </c>
      <c r="BR31" s="5">
        <v>90360.55</v>
      </c>
      <c r="BS31" s="7">
        <v>0</v>
      </c>
      <c r="BT31" s="7">
        <v>0</v>
      </c>
      <c r="BU31" s="5">
        <v>90360.55</v>
      </c>
      <c r="BV31" s="5">
        <v>45180.28</v>
      </c>
      <c r="BW31" s="7">
        <v>0</v>
      </c>
      <c r="BX31" s="7">
        <v>0</v>
      </c>
      <c r="BY31" s="5">
        <v>45180.28</v>
      </c>
      <c r="BZ31" s="9">
        <f t="shared" si="0"/>
        <v>252471.28000000003</v>
      </c>
      <c r="CA31" s="12">
        <f t="shared" si="1"/>
        <v>20495.765439999999</v>
      </c>
      <c r="CB31" s="9">
        <f t="shared" si="2"/>
        <v>272967.04544000002</v>
      </c>
      <c r="CC31" s="9">
        <f t="shared" si="3"/>
        <v>1163235.2054400002</v>
      </c>
    </row>
    <row r="32" spans="1:81">
      <c r="A32" s="4">
        <v>27465328717</v>
      </c>
      <c r="B32" s="4" t="s">
        <v>112</v>
      </c>
      <c r="C32" s="4">
        <v>126205</v>
      </c>
      <c r="D32" s="4" t="s">
        <v>84</v>
      </c>
      <c r="E32" s="4" t="s">
        <v>85</v>
      </c>
      <c r="F32" s="4">
        <v>1</v>
      </c>
      <c r="G32" s="4">
        <v>1</v>
      </c>
      <c r="H32" s="4">
        <v>49</v>
      </c>
      <c r="I32" s="4">
        <v>1</v>
      </c>
      <c r="J32" s="4">
        <v>0</v>
      </c>
      <c r="K32" s="4">
        <v>1</v>
      </c>
      <c r="L32" s="4">
        <v>0</v>
      </c>
      <c r="M32" s="4" t="s">
        <v>84</v>
      </c>
      <c r="N32" s="4">
        <v>0</v>
      </c>
      <c r="O32" s="4">
        <v>0</v>
      </c>
      <c r="P32" s="5">
        <v>1047331.99</v>
      </c>
      <c r="Q32" s="5">
        <v>967729.54</v>
      </c>
      <c r="R32" s="5">
        <v>967729.54</v>
      </c>
      <c r="S32" s="5">
        <v>967729.54</v>
      </c>
      <c r="T32" s="5">
        <v>2085902.36</v>
      </c>
      <c r="U32" s="5">
        <v>967729.54</v>
      </c>
      <c r="V32" s="7">
        <v>0</v>
      </c>
      <c r="W32" s="7">
        <v>0</v>
      </c>
      <c r="X32" s="5">
        <v>2085902.36</v>
      </c>
      <c r="Y32" s="5">
        <v>1047330.86</v>
      </c>
      <c r="Z32" s="7">
        <v>0</v>
      </c>
      <c r="AA32" s="7">
        <v>0</v>
      </c>
      <c r="AB32" s="7">
        <v>1</v>
      </c>
      <c r="AC32" s="7">
        <v>1</v>
      </c>
      <c r="AD32" s="6"/>
      <c r="AE32" s="7">
        <v>0</v>
      </c>
      <c r="AF32" s="6"/>
      <c r="AG32" s="7">
        <v>0</v>
      </c>
      <c r="AH32" s="7">
        <v>30</v>
      </c>
      <c r="AI32" s="7">
        <v>0</v>
      </c>
      <c r="AJ32" s="5">
        <v>336573.14</v>
      </c>
      <c r="AK32" s="5">
        <v>7681.84</v>
      </c>
      <c r="AL32" s="7">
        <v>0</v>
      </c>
      <c r="AM32" s="7">
        <v>0</v>
      </c>
      <c r="AN32" s="7">
        <v>0</v>
      </c>
      <c r="AO32" s="7">
        <v>0</v>
      </c>
      <c r="AP32" s="5">
        <v>558844.93000000005</v>
      </c>
      <c r="AQ32" s="5">
        <v>64629.63</v>
      </c>
      <c r="AR32" s="5">
        <v>79602.45</v>
      </c>
      <c r="AS32" s="7">
        <v>0</v>
      </c>
      <c r="AT32" s="7">
        <v>0</v>
      </c>
      <c r="AU32" s="7">
        <v>0</v>
      </c>
      <c r="AV32" s="7">
        <v>0</v>
      </c>
      <c r="AW32" s="5">
        <v>104224.47</v>
      </c>
      <c r="AX32" s="5">
        <v>15386.9</v>
      </c>
      <c r="AY32" s="7">
        <v>0</v>
      </c>
      <c r="AZ32" s="7">
        <v>0</v>
      </c>
      <c r="BA32" s="5">
        <v>9096.66</v>
      </c>
      <c r="BB32" s="5">
        <v>18773.12</v>
      </c>
      <c r="BC32" s="5">
        <v>45483.29</v>
      </c>
      <c r="BD32" s="5">
        <v>192964.44</v>
      </c>
      <c r="BE32" s="7">
        <v>0</v>
      </c>
      <c r="BF32" s="7">
        <v>0</v>
      </c>
      <c r="BG32" s="7">
        <v>0</v>
      </c>
      <c r="BH32" s="5">
        <v>106450.25</v>
      </c>
      <c r="BI32" s="5">
        <v>29031.89</v>
      </c>
      <c r="BJ32" s="7">
        <v>0</v>
      </c>
      <c r="BK32" s="5">
        <v>9386.56</v>
      </c>
      <c r="BL32" s="7">
        <v>0</v>
      </c>
      <c r="BM32" s="7">
        <v>0</v>
      </c>
      <c r="BN32" s="7">
        <v>0</v>
      </c>
      <c r="BO32" s="7">
        <v>0</v>
      </c>
      <c r="BP32" s="5">
        <v>144868.70000000001</v>
      </c>
      <c r="BQ32" s="7">
        <v>0</v>
      </c>
      <c r="BR32" s="5">
        <v>106381.02</v>
      </c>
      <c r="BS32" s="7">
        <v>0</v>
      </c>
      <c r="BT32" s="7">
        <v>0</v>
      </c>
      <c r="BU32" s="5">
        <v>106381.02</v>
      </c>
      <c r="BV32" s="5">
        <v>53190.51</v>
      </c>
      <c r="BW32" s="7">
        <v>0</v>
      </c>
      <c r="BX32" s="7">
        <v>0</v>
      </c>
      <c r="BY32" s="5">
        <v>53190.51</v>
      </c>
      <c r="BZ32" s="9">
        <f t="shared" si="0"/>
        <v>299345.46000000002</v>
      </c>
      <c r="CA32" s="12">
        <f t="shared" si="1"/>
        <v>23872.637784999999</v>
      </c>
      <c r="CB32" s="9">
        <f t="shared" si="2"/>
        <v>323218.09778499999</v>
      </c>
      <c r="CC32" s="9">
        <f t="shared" si="3"/>
        <v>1370550.087785</v>
      </c>
    </row>
    <row r="33" spans="1:81">
      <c r="A33" s="4">
        <v>27466463979</v>
      </c>
      <c r="B33" s="4" t="s">
        <v>113</v>
      </c>
      <c r="C33" s="4">
        <v>126205</v>
      </c>
      <c r="D33" s="4" t="s">
        <v>84</v>
      </c>
      <c r="E33" s="4" t="s">
        <v>85</v>
      </c>
      <c r="F33" s="4">
        <v>1</v>
      </c>
      <c r="G33" s="4">
        <v>1</v>
      </c>
      <c r="H33" s="4">
        <v>49</v>
      </c>
      <c r="I33" s="4">
        <v>1</v>
      </c>
      <c r="J33" s="4">
        <v>0</v>
      </c>
      <c r="K33" s="4">
        <v>1</v>
      </c>
      <c r="L33" s="4">
        <v>0</v>
      </c>
      <c r="M33" s="4" t="s">
        <v>84</v>
      </c>
      <c r="N33" s="4">
        <v>0</v>
      </c>
      <c r="O33" s="4">
        <v>0</v>
      </c>
      <c r="P33" s="5">
        <v>1006707.65</v>
      </c>
      <c r="Q33" s="5">
        <v>930755.85</v>
      </c>
      <c r="R33" s="5">
        <v>930755.85</v>
      </c>
      <c r="S33" s="5">
        <v>930755.85</v>
      </c>
      <c r="T33" s="5">
        <v>2004655.02</v>
      </c>
      <c r="U33" s="5">
        <v>930755.85</v>
      </c>
      <c r="V33" s="7">
        <v>0</v>
      </c>
      <c r="W33" s="7">
        <v>0</v>
      </c>
      <c r="X33" s="5">
        <v>2004655.02</v>
      </c>
      <c r="Y33" s="5">
        <v>1006707.19</v>
      </c>
      <c r="Z33" s="7">
        <v>0</v>
      </c>
      <c r="AA33" s="7">
        <v>0</v>
      </c>
      <c r="AB33" s="7">
        <v>1</v>
      </c>
      <c r="AC33" s="7">
        <v>1</v>
      </c>
      <c r="AD33" s="6"/>
      <c r="AE33" s="7">
        <v>0</v>
      </c>
      <c r="AF33" s="6"/>
      <c r="AG33" s="7">
        <v>0</v>
      </c>
      <c r="AH33" s="7">
        <v>30</v>
      </c>
      <c r="AI33" s="7">
        <v>0</v>
      </c>
      <c r="AJ33" s="5">
        <v>302521.32</v>
      </c>
      <c r="AK33" s="5">
        <v>14396.3</v>
      </c>
      <c r="AL33" s="7">
        <v>0</v>
      </c>
      <c r="AM33" s="7">
        <v>0</v>
      </c>
      <c r="AN33" s="7">
        <v>0</v>
      </c>
      <c r="AO33" s="7">
        <v>0</v>
      </c>
      <c r="AP33" s="5">
        <v>552678.43000000005</v>
      </c>
      <c r="AQ33" s="5">
        <v>61159.8</v>
      </c>
      <c r="AR33" s="5">
        <v>75951.8</v>
      </c>
      <c r="AS33" s="7">
        <v>0</v>
      </c>
      <c r="AT33" s="7">
        <v>0</v>
      </c>
      <c r="AU33" s="7">
        <v>0</v>
      </c>
      <c r="AV33" s="7">
        <v>0</v>
      </c>
      <c r="AW33" s="5">
        <v>100242.41</v>
      </c>
      <c r="AX33" s="5">
        <v>14799.02</v>
      </c>
      <c r="AY33" s="7">
        <v>0</v>
      </c>
      <c r="AZ33" s="7">
        <v>0</v>
      </c>
      <c r="BA33" s="5">
        <v>8749.11</v>
      </c>
      <c r="BB33" s="5">
        <v>18041.900000000001</v>
      </c>
      <c r="BC33" s="5">
        <v>43745.53</v>
      </c>
      <c r="BD33" s="5">
        <v>185577.97</v>
      </c>
      <c r="BE33" s="7">
        <v>0</v>
      </c>
      <c r="BF33" s="7">
        <v>0</v>
      </c>
      <c r="BG33" s="7">
        <v>0</v>
      </c>
      <c r="BH33" s="5">
        <v>102383.14</v>
      </c>
      <c r="BI33" s="5">
        <v>27922.68</v>
      </c>
      <c r="BJ33" s="7">
        <v>0</v>
      </c>
      <c r="BK33" s="5">
        <v>9020.9500000000007</v>
      </c>
      <c r="BL33" s="7">
        <v>0</v>
      </c>
      <c r="BM33" s="7">
        <v>0</v>
      </c>
      <c r="BN33" s="7">
        <v>0</v>
      </c>
      <c r="BO33" s="7">
        <v>0</v>
      </c>
      <c r="BP33" s="5">
        <v>139326.76999999999</v>
      </c>
      <c r="BQ33" s="7">
        <v>0</v>
      </c>
      <c r="BR33" s="5">
        <v>102237.41</v>
      </c>
      <c r="BS33" s="7">
        <v>0</v>
      </c>
      <c r="BT33" s="7">
        <v>0</v>
      </c>
      <c r="BU33" s="5">
        <v>102237.41</v>
      </c>
      <c r="BV33" s="5">
        <v>51118.7</v>
      </c>
      <c r="BW33" s="7">
        <v>0</v>
      </c>
      <c r="BX33" s="7">
        <v>0</v>
      </c>
      <c r="BY33" s="5">
        <v>51118.7</v>
      </c>
      <c r="BZ33" s="9">
        <f t="shared" si="0"/>
        <v>287815.38</v>
      </c>
      <c r="CA33" s="12">
        <f t="shared" si="1"/>
        <v>22999.214474999997</v>
      </c>
      <c r="CB33" s="9">
        <f t="shared" si="2"/>
        <v>310814.59447499999</v>
      </c>
      <c r="CC33" s="9">
        <f t="shared" si="3"/>
        <v>1317522.2444750001</v>
      </c>
    </row>
    <row r="34" spans="1:81">
      <c r="A34" s="4">
        <v>27467692998</v>
      </c>
      <c r="B34" s="4" t="s">
        <v>114</v>
      </c>
      <c r="C34" s="4">
        <v>126205</v>
      </c>
      <c r="D34" s="4" t="s">
        <v>84</v>
      </c>
      <c r="E34" s="4" t="s">
        <v>85</v>
      </c>
      <c r="F34" s="4">
        <v>1</v>
      </c>
      <c r="G34" s="4">
        <v>1</v>
      </c>
      <c r="H34" s="4">
        <v>49</v>
      </c>
      <c r="I34" s="4">
        <v>14</v>
      </c>
      <c r="J34" s="4">
        <v>0</v>
      </c>
      <c r="K34" s="4">
        <v>1</v>
      </c>
      <c r="L34" s="4">
        <v>0</v>
      </c>
      <c r="M34" s="4" t="s">
        <v>84</v>
      </c>
      <c r="N34" s="4">
        <v>0</v>
      </c>
      <c r="O34" s="4">
        <v>0</v>
      </c>
      <c r="P34" s="5">
        <v>934474.62</v>
      </c>
      <c r="Q34" s="5">
        <v>856232.84</v>
      </c>
      <c r="R34" s="5">
        <v>856232.84</v>
      </c>
      <c r="S34" s="5">
        <v>856232.84</v>
      </c>
      <c r="T34" s="5">
        <v>1860188.42</v>
      </c>
      <c r="U34" s="5">
        <v>856232.84</v>
      </c>
      <c r="V34" s="7">
        <v>0</v>
      </c>
      <c r="W34" s="7">
        <v>0</v>
      </c>
      <c r="X34" s="5">
        <v>1860188.42</v>
      </c>
      <c r="Y34" s="5">
        <v>934473.89</v>
      </c>
      <c r="Z34" s="7">
        <v>0</v>
      </c>
      <c r="AA34" s="7">
        <v>0</v>
      </c>
      <c r="AB34" s="7">
        <v>1</v>
      </c>
      <c r="AC34" s="7">
        <v>1</v>
      </c>
      <c r="AD34" s="6"/>
      <c r="AE34" s="7">
        <v>0</v>
      </c>
      <c r="AF34" s="6"/>
      <c r="AG34" s="7">
        <v>0</v>
      </c>
      <c r="AH34" s="7">
        <v>30</v>
      </c>
      <c r="AI34" s="7">
        <v>0</v>
      </c>
      <c r="AJ34" s="5">
        <v>684031.96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5">
        <v>107741.93</v>
      </c>
      <c r="AQ34" s="5">
        <v>64458.95</v>
      </c>
      <c r="AR34" s="5">
        <v>78241.78</v>
      </c>
      <c r="AS34" s="7">
        <v>0</v>
      </c>
      <c r="AT34" s="7">
        <v>0</v>
      </c>
      <c r="AU34" s="7">
        <v>0</v>
      </c>
      <c r="AV34" s="7">
        <v>0</v>
      </c>
      <c r="AW34" s="5">
        <v>92216.28</v>
      </c>
      <c r="AX34" s="5">
        <v>13614.1</v>
      </c>
      <c r="AY34" s="7">
        <v>0</v>
      </c>
      <c r="AZ34" s="7">
        <v>0</v>
      </c>
      <c r="BA34" s="5">
        <v>8048.59</v>
      </c>
      <c r="BB34" s="5">
        <v>16741.7</v>
      </c>
      <c r="BC34" s="5">
        <v>40242.94</v>
      </c>
      <c r="BD34" s="5">
        <v>170863.61</v>
      </c>
      <c r="BE34" s="7">
        <v>0</v>
      </c>
      <c r="BF34" s="7">
        <v>0</v>
      </c>
      <c r="BG34" s="7">
        <v>0</v>
      </c>
      <c r="BH34" s="5">
        <v>94185.61</v>
      </c>
      <c r="BI34" s="5">
        <v>25686.99</v>
      </c>
      <c r="BJ34" s="7">
        <v>0</v>
      </c>
      <c r="BK34" s="5">
        <v>8370.85</v>
      </c>
      <c r="BL34" s="7">
        <v>0</v>
      </c>
      <c r="BM34" s="7">
        <v>0</v>
      </c>
      <c r="BN34" s="7">
        <v>0</v>
      </c>
      <c r="BO34" s="7">
        <v>0</v>
      </c>
      <c r="BP34" s="5">
        <v>128243.45</v>
      </c>
      <c r="BQ34" s="7">
        <v>0</v>
      </c>
      <c r="BR34" s="5">
        <v>94869.61</v>
      </c>
      <c r="BS34" s="7">
        <v>0</v>
      </c>
      <c r="BT34" s="7">
        <v>0</v>
      </c>
      <c r="BU34" s="5">
        <v>94869.61</v>
      </c>
      <c r="BV34" s="5">
        <v>47434.8</v>
      </c>
      <c r="BW34" s="7">
        <v>0</v>
      </c>
      <c r="BX34" s="7">
        <v>0</v>
      </c>
      <c r="BY34" s="5">
        <v>47434.8</v>
      </c>
      <c r="BZ34" s="9">
        <f t="shared" si="0"/>
        <v>265733.21999999997</v>
      </c>
      <c r="CA34" s="12">
        <f t="shared" si="1"/>
        <v>21446.204329999997</v>
      </c>
      <c r="CB34" s="9">
        <f t="shared" si="2"/>
        <v>287179.42432999995</v>
      </c>
      <c r="CC34" s="9">
        <f t="shared" si="3"/>
        <v>1221654.0443299999</v>
      </c>
    </row>
    <row r="35" spans="1:81">
      <c r="A35" s="4">
        <v>27467720878</v>
      </c>
      <c r="B35" s="4" t="s">
        <v>115</v>
      </c>
      <c r="C35" s="4">
        <v>126205</v>
      </c>
      <c r="D35" s="4" t="s">
        <v>84</v>
      </c>
      <c r="E35" s="4" t="s">
        <v>85</v>
      </c>
      <c r="F35" s="4">
        <v>1</v>
      </c>
      <c r="G35" s="4">
        <v>1</v>
      </c>
      <c r="H35" s="4">
        <v>49</v>
      </c>
      <c r="I35" s="4">
        <v>14</v>
      </c>
      <c r="J35" s="4">
        <v>0</v>
      </c>
      <c r="K35" s="4">
        <v>1</v>
      </c>
      <c r="L35" s="4">
        <v>0</v>
      </c>
      <c r="M35" s="4" t="s">
        <v>84</v>
      </c>
      <c r="N35" s="4">
        <v>0</v>
      </c>
      <c r="O35" s="4">
        <v>0</v>
      </c>
      <c r="P35" s="5">
        <v>772609.6</v>
      </c>
      <c r="Q35" s="5">
        <v>707293.56</v>
      </c>
      <c r="R35" s="5">
        <v>707293.56</v>
      </c>
      <c r="S35" s="5">
        <v>707293.56</v>
      </c>
      <c r="T35" s="5">
        <v>1536458.38</v>
      </c>
      <c r="U35" s="5">
        <v>707293.56</v>
      </c>
      <c r="V35" s="7">
        <v>0</v>
      </c>
      <c r="W35" s="7">
        <v>0</v>
      </c>
      <c r="X35" s="5">
        <v>1536458.38</v>
      </c>
      <c r="Y35" s="5">
        <v>772608.87</v>
      </c>
      <c r="Z35" s="7">
        <v>0</v>
      </c>
      <c r="AA35" s="7">
        <v>0</v>
      </c>
      <c r="AB35" s="7">
        <v>1</v>
      </c>
      <c r="AC35" s="7">
        <v>1</v>
      </c>
      <c r="AD35" s="6"/>
      <c r="AE35" s="7">
        <v>0</v>
      </c>
      <c r="AF35" s="6"/>
      <c r="AG35" s="7">
        <v>0</v>
      </c>
      <c r="AH35" s="7">
        <v>30</v>
      </c>
      <c r="AI35" s="7">
        <v>0</v>
      </c>
      <c r="AJ35" s="5">
        <v>556941.98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5">
        <v>97210.3</v>
      </c>
      <c r="AQ35" s="5">
        <v>53141.279999999999</v>
      </c>
      <c r="AR35" s="5">
        <v>65316.04</v>
      </c>
      <c r="AS35" s="7">
        <v>0</v>
      </c>
      <c r="AT35" s="7">
        <v>0</v>
      </c>
      <c r="AU35" s="7">
        <v>0</v>
      </c>
      <c r="AV35" s="7">
        <v>0</v>
      </c>
      <c r="AW35" s="5">
        <v>76175.520000000004</v>
      </c>
      <c r="AX35" s="5">
        <v>11245.97</v>
      </c>
      <c r="AY35" s="7">
        <v>0</v>
      </c>
      <c r="AZ35" s="7">
        <v>0</v>
      </c>
      <c r="BA35" s="5">
        <v>6648.56</v>
      </c>
      <c r="BB35" s="5">
        <v>13828.13</v>
      </c>
      <c r="BC35" s="5">
        <v>33242.800000000003</v>
      </c>
      <c r="BD35" s="5">
        <v>141140.98000000001</v>
      </c>
      <c r="BE35" s="7">
        <v>0</v>
      </c>
      <c r="BF35" s="7">
        <v>0</v>
      </c>
      <c r="BG35" s="7">
        <v>0</v>
      </c>
      <c r="BH35" s="5">
        <v>77802.289999999994</v>
      </c>
      <c r="BI35" s="5">
        <v>21218.81</v>
      </c>
      <c r="BJ35" s="7">
        <v>0</v>
      </c>
      <c r="BK35" s="5">
        <v>6914.06</v>
      </c>
      <c r="BL35" s="7">
        <v>0</v>
      </c>
      <c r="BM35" s="7">
        <v>0</v>
      </c>
      <c r="BN35" s="7">
        <v>0</v>
      </c>
      <c r="BO35" s="7">
        <v>0</v>
      </c>
      <c r="BP35" s="5">
        <v>105935.16</v>
      </c>
      <c r="BQ35" s="7">
        <v>0</v>
      </c>
      <c r="BR35" s="5">
        <v>78359.38</v>
      </c>
      <c r="BS35" s="7">
        <v>0</v>
      </c>
      <c r="BT35" s="7">
        <v>0</v>
      </c>
      <c r="BU35" s="5">
        <v>78359.38</v>
      </c>
      <c r="BV35" s="5">
        <v>39179.69</v>
      </c>
      <c r="BW35" s="7">
        <v>0</v>
      </c>
      <c r="BX35" s="7">
        <v>0</v>
      </c>
      <c r="BY35" s="5">
        <v>39179.69</v>
      </c>
      <c r="BZ35" s="9">
        <f t="shared" si="0"/>
        <v>219500.36000000002</v>
      </c>
      <c r="CA35" s="12">
        <f t="shared" si="1"/>
        <v>17966.106399999997</v>
      </c>
      <c r="CB35" s="9">
        <f t="shared" si="2"/>
        <v>237466.4664</v>
      </c>
      <c r="CC35" s="9">
        <f t="shared" si="3"/>
        <v>1010076.0664</v>
      </c>
    </row>
    <row r="36" spans="1:81">
      <c r="A36" s="4">
        <v>27469369264</v>
      </c>
      <c r="B36" s="4" t="s">
        <v>116</v>
      </c>
      <c r="C36" s="4">
        <v>126205</v>
      </c>
      <c r="D36" s="4" t="s">
        <v>84</v>
      </c>
      <c r="E36" s="4" t="s">
        <v>85</v>
      </c>
      <c r="F36" s="4">
        <v>1</v>
      </c>
      <c r="G36" s="4">
        <v>1</v>
      </c>
      <c r="H36" s="4">
        <v>49</v>
      </c>
      <c r="I36" s="4">
        <v>14</v>
      </c>
      <c r="J36" s="4">
        <v>0</v>
      </c>
      <c r="K36" s="4">
        <v>1</v>
      </c>
      <c r="L36" s="4">
        <v>0</v>
      </c>
      <c r="M36" s="4" t="s">
        <v>84</v>
      </c>
      <c r="N36" s="4">
        <v>0</v>
      </c>
      <c r="O36" s="4">
        <v>0</v>
      </c>
      <c r="P36" s="5">
        <v>757977.85</v>
      </c>
      <c r="Q36" s="5">
        <v>690815.04</v>
      </c>
      <c r="R36" s="5">
        <v>690815.04</v>
      </c>
      <c r="S36" s="5">
        <v>690815.04</v>
      </c>
      <c r="T36" s="5">
        <v>1507194.4</v>
      </c>
      <c r="U36" s="5">
        <v>690815.04</v>
      </c>
      <c r="V36" s="7">
        <v>0</v>
      </c>
      <c r="W36" s="7">
        <v>0</v>
      </c>
      <c r="X36" s="5">
        <v>1507194.4</v>
      </c>
      <c r="Y36" s="5">
        <v>757976.88</v>
      </c>
      <c r="Z36" s="7">
        <v>0</v>
      </c>
      <c r="AA36" s="7">
        <v>0</v>
      </c>
      <c r="AB36" s="7">
        <v>1</v>
      </c>
      <c r="AC36" s="7">
        <v>1</v>
      </c>
      <c r="AD36" s="6"/>
      <c r="AE36" s="7">
        <v>0</v>
      </c>
      <c r="AF36" s="6"/>
      <c r="AG36" s="7">
        <v>0</v>
      </c>
      <c r="AH36" s="7">
        <v>15</v>
      </c>
      <c r="AI36" s="7">
        <v>0</v>
      </c>
      <c r="AJ36" s="5">
        <v>637695.04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5">
        <v>53120</v>
      </c>
      <c r="AR36" s="5">
        <v>67162.81</v>
      </c>
      <c r="AS36" s="7">
        <v>0</v>
      </c>
      <c r="AT36" s="7">
        <v>0</v>
      </c>
      <c r="AU36" s="7">
        <v>0</v>
      </c>
      <c r="AV36" s="7">
        <v>0</v>
      </c>
      <c r="AW36" s="5">
        <v>74400.78</v>
      </c>
      <c r="AX36" s="5">
        <v>10983.96</v>
      </c>
      <c r="AY36" s="7">
        <v>0</v>
      </c>
      <c r="AZ36" s="7">
        <v>0</v>
      </c>
      <c r="BA36" s="5">
        <v>6493.66</v>
      </c>
      <c r="BB36" s="5">
        <v>13564.75</v>
      </c>
      <c r="BC36" s="5">
        <v>32468.31</v>
      </c>
      <c r="BD36" s="5">
        <v>137911.46</v>
      </c>
      <c r="BE36" s="7">
        <v>0</v>
      </c>
      <c r="BF36" s="7">
        <v>0</v>
      </c>
      <c r="BG36" s="7">
        <v>0</v>
      </c>
      <c r="BH36" s="5">
        <v>75989.649999999994</v>
      </c>
      <c r="BI36" s="5">
        <v>20724.45</v>
      </c>
      <c r="BJ36" s="7">
        <v>0</v>
      </c>
      <c r="BK36" s="5">
        <v>6782.37</v>
      </c>
      <c r="BL36" s="7">
        <v>0</v>
      </c>
      <c r="BM36" s="7">
        <v>0</v>
      </c>
      <c r="BN36" s="7">
        <v>0</v>
      </c>
      <c r="BO36" s="7">
        <v>0</v>
      </c>
      <c r="BP36" s="5">
        <v>103496.47</v>
      </c>
      <c r="BQ36" s="7">
        <v>0</v>
      </c>
      <c r="BR36" s="5">
        <v>76866.91</v>
      </c>
      <c r="BS36" s="7">
        <v>0</v>
      </c>
      <c r="BT36" s="7">
        <v>0</v>
      </c>
      <c r="BU36" s="5">
        <v>76866.91</v>
      </c>
      <c r="BV36" s="5">
        <v>38433.46</v>
      </c>
      <c r="BW36" s="7">
        <v>0</v>
      </c>
      <c r="BX36" s="7">
        <v>0</v>
      </c>
      <c r="BY36" s="5">
        <v>38433.46</v>
      </c>
      <c r="BZ36" s="9">
        <f t="shared" si="0"/>
        <v>214778.37</v>
      </c>
      <c r="CA36" s="12">
        <f t="shared" si="1"/>
        <v>17651.523774999998</v>
      </c>
      <c r="CB36" s="9">
        <f t="shared" si="2"/>
        <v>232429.893775</v>
      </c>
      <c r="CC36" s="9">
        <f t="shared" si="3"/>
        <v>990407.74377499998</v>
      </c>
    </row>
    <row r="37" spans="1:81">
      <c r="A37" s="4">
        <v>27469568275</v>
      </c>
      <c r="B37" s="4" t="s">
        <v>117</v>
      </c>
      <c r="C37" s="4">
        <v>126205</v>
      </c>
      <c r="D37" s="4" t="s">
        <v>84</v>
      </c>
      <c r="E37" s="4" t="s">
        <v>85</v>
      </c>
      <c r="F37" s="4">
        <v>1</v>
      </c>
      <c r="G37" s="4">
        <v>1</v>
      </c>
      <c r="H37" s="4">
        <v>49</v>
      </c>
      <c r="I37" s="4">
        <v>14</v>
      </c>
      <c r="J37" s="4">
        <v>0</v>
      </c>
      <c r="K37" s="4">
        <v>1</v>
      </c>
      <c r="L37" s="4">
        <v>0</v>
      </c>
      <c r="M37" s="4" t="s">
        <v>84</v>
      </c>
      <c r="N37" s="4">
        <v>0</v>
      </c>
      <c r="O37" s="4">
        <v>0</v>
      </c>
      <c r="P37" s="5">
        <v>789865.19</v>
      </c>
      <c r="Q37" s="5">
        <v>721471.41</v>
      </c>
      <c r="R37" s="5">
        <v>721471.41</v>
      </c>
      <c r="S37" s="5">
        <v>721471.41</v>
      </c>
      <c r="T37" s="5">
        <v>1570969.18</v>
      </c>
      <c r="U37" s="5">
        <v>721471.41</v>
      </c>
      <c r="V37" s="7">
        <v>0</v>
      </c>
      <c r="W37" s="7">
        <v>0</v>
      </c>
      <c r="X37" s="5">
        <v>1570969.18</v>
      </c>
      <c r="Y37" s="5">
        <v>789864.27</v>
      </c>
      <c r="Z37" s="7">
        <v>0</v>
      </c>
      <c r="AA37" s="7">
        <v>0</v>
      </c>
      <c r="AB37" s="7">
        <v>1</v>
      </c>
      <c r="AC37" s="7">
        <v>1</v>
      </c>
      <c r="AD37" s="6"/>
      <c r="AE37" s="7">
        <v>0</v>
      </c>
      <c r="AF37" s="6"/>
      <c r="AG37" s="7">
        <v>0</v>
      </c>
      <c r="AH37" s="7">
        <v>30</v>
      </c>
      <c r="AI37" s="7">
        <v>0</v>
      </c>
      <c r="AJ37" s="5">
        <v>566364.43999999994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5">
        <v>100453.48</v>
      </c>
      <c r="AQ37" s="5">
        <v>54653.49</v>
      </c>
      <c r="AR37" s="5">
        <v>68393.78</v>
      </c>
      <c r="AS37" s="7">
        <v>0</v>
      </c>
      <c r="AT37" s="7">
        <v>0</v>
      </c>
      <c r="AU37" s="7">
        <v>0</v>
      </c>
      <c r="AV37" s="7">
        <v>0</v>
      </c>
      <c r="AW37" s="5">
        <v>77702.47</v>
      </c>
      <c r="AX37" s="5">
        <v>11471.4</v>
      </c>
      <c r="AY37" s="7">
        <v>0</v>
      </c>
      <c r="AZ37" s="7">
        <v>0</v>
      </c>
      <c r="BA37" s="5">
        <v>6781.83</v>
      </c>
      <c r="BB37" s="5">
        <v>14138.72</v>
      </c>
      <c r="BC37" s="5">
        <v>33909.160000000003</v>
      </c>
      <c r="BD37" s="5">
        <v>144003.57999999999</v>
      </c>
      <c r="BE37" s="7">
        <v>0</v>
      </c>
      <c r="BF37" s="7">
        <v>0</v>
      </c>
      <c r="BG37" s="7">
        <v>0</v>
      </c>
      <c r="BH37" s="5">
        <v>79361.86</v>
      </c>
      <c r="BI37" s="5">
        <v>21644.14</v>
      </c>
      <c r="BJ37" s="7">
        <v>0</v>
      </c>
      <c r="BK37" s="5">
        <v>7069.36</v>
      </c>
      <c r="BL37" s="7">
        <v>0</v>
      </c>
      <c r="BM37" s="7">
        <v>0</v>
      </c>
      <c r="BN37" s="7">
        <v>0</v>
      </c>
      <c r="BO37" s="7">
        <v>0</v>
      </c>
      <c r="BP37" s="5">
        <v>108075.36</v>
      </c>
      <c r="BQ37" s="7">
        <v>0</v>
      </c>
      <c r="BR37" s="5">
        <v>80119.429999999993</v>
      </c>
      <c r="BS37" s="7">
        <v>0</v>
      </c>
      <c r="BT37" s="7">
        <v>0</v>
      </c>
      <c r="BU37" s="5">
        <v>80119.429999999993</v>
      </c>
      <c r="BV37" s="5">
        <v>40059.71</v>
      </c>
      <c r="BW37" s="7">
        <v>0</v>
      </c>
      <c r="BX37" s="7">
        <v>0</v>
      </c>
      <c r="BY37" s="5">
        <v>40059.71</v>
      </c>
      <c r="BZ37" s="9">
        <f t="shared" si="0"/>
        <v>224123.00999999998</v>
      </c>
      <c r="CA37" s="12">
        <f t="shared" si="1"/>
        <v>18337.101584999997</v>
      </c>
      <c r="CB37" s="9">
        <f t="shared" si="2"/>
        <v>242460.11158499998</v>
      </c>
      <c r="CC37" s="9">
        <f t="shared" si="3"/>
        <v>1032325.3015849999</v>
      </c>
    </row>
    <row r="38" spans="1:81">
      <c r="A38" s="4">
        <v>27956600893</v>
      </c>
      <c r="B38" s="4" t="s">
        <v>118</v>
      </c>
      <c r="C38" s="4">
        <v>126205</v>
      </c>
      <c r="D38" s="4" t="s">
        <v>84</v>
      </c>
      <c r="E38" s="4" t="s">
        <v>85</v>
      </c>
      <c r="F38" s="4">
        <v>1</v>
      </c>
      <c r="G38" s="4">
        <v>1</v>
      </c>
      <c r="H38" s="4">
        <v>49</v>
      </c>
      <c r="I38" s="4">
        <v>14</v>
      </c>
      <c r="J38" s="4">
        <v>0</v>
      </c>
      <c r="K38" s="4">
        <v>1</v>
      </c>
      <c r="L38" s="4">
        <v>0</v>
      </c>
      <c r="M38" s="4" t="s">
        <v>84</v>
      </c>
      <c r="N38" s="4">
        <v>0</v>
      </c>
      <c r="O38" s="4">
        <v>0</v>
      </c>
      <c r="P38" s="5">
        <v>809424.07</v>
      </c>
      <c r="Q38" s="5">
        <v>737952.79</v>
      </c>
      <c r="R38" s="5">
        <v>737952.79</v>
      </c>
      <c r="S38" s="5">
        <v>737952.79</v>
      </c>
      <c r="T38" s="5">
        <v>1610087.06</v>
      </c>
      <c r="U38" s="5">
        <v>737952.79</v>
      </c>
      <c r="V38" s="7">
        <v>0</v>
      </c>
      <c r="W38" s="7">
        <v>0</v>
      </c>
      <c r="X38" s="5">
        <v>1610087.06</v>
      </c>
      <c r="Y38" s="5">
        <v>809423.21</v>
      </c>
      <c r="Z38" s="7">
        <v>0</v>
      </c>
      <c r="AA38" s="7">
        <v>0</v>
      </c>
      <c r="AB38" s="7">
        <v>1</v>
      </c>
      <c r="AC38" s="7">
        <v>1</v>
      </c>
      <c r="AD38" s="6"/>
      <c r="AE38" s="7">
        <v>0</v>
      </c>
      <c r="AF38" s="6"/>
      <c r="AG38" s="7">
        <v>0</v>
      </c>
      <c r="AH38" s="7">
        <v>15</v>
      </c>
      <c r="AI38" s="7">
        <v>0</v>
      </c>
      <c r="AJ38" s="5">
        <v>681208.15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5">
        <v>56744.639999999999</v>
      </c>
      <c r="AR38" s="5">
        <v>71471.28</v>
      </c>
      <c r="AS38" s="7">
        <v>0</v>
      </c>
      <c r="AT38" s="7">
        <v>0</v>
      </c>
      <c r="AU38" s="7">
        <v>0</v>
      </c>
      <c r="AV38" s="7">
        <v>0</v>
      </c>
      <c r="AW38" s="5">
        <v>79477.52</v>
      </c>
      <c r="AX38" s="5">
        <v>11733.45</v>
      </c>
      <c r="AY38" s="7">
        <v>0</v>
      </c>
      <c r="AZ38" s="7">
        <v>0</v>
      </c>
      <c r="BA38" s="5">
        <v>6936.76</v>
      </c>
      <c r="BB38" s="5">
        <v>14490.78</v>
      </c>
      <c r="BC38" s="5">
        <v>34683.78</v>
      </c>
      <c r="BD38" s="5">
        <v>147322.29</v>
      </c>
      <c r="BE38" s="7">
        <v>0</v>
      </c>
      <c r="BF38" s="7">
        <v>0</v>
      </c>
      <c r="BG38" s="7">
        <v>0</v>
      </c>
      <c r="BH38" s="5">
        <v>81174.81</v>
      </c>
      <c r="BI38" s="5">
        <v>22138.58</v>
      </c>
      <c r="BJ38" s="7">
        <v>0</v>
      </c>
      <c r="BK38" s="5">
        <v>7245.39</v>
      </c>
      <c r="BL38" s="7">
        <v>0</v>
      </c>
      <c r="BM38" s="7">
        <v>0</v>
      </c>
      <c r="BN38" s="7">
        <v>0</v>
      </c>
      <c r="BO38" s="7">
        <v>0</v>
      </c>
      <c r="BP38" s="5">
        <v>110558.78</v>
      </c>
      <c r="BQ38" s="7">
        <v>0</v>
      </c>
      <c r="BR38" s="5">
        <v>82114.44</v>
      </c>
      <c r="BS38" s="7">
        <v>0</v>
      </c>
      <c r="BT38" s="7">
        <v>0</v>
      </c>
      <c r="BU38" s="5">
        <v>82114.44</v>
      </c>
      <c r="BV38" s="5">
        <v>41057.22</v>
      </c>
      <c r="BW38" s="7">
        <v>0</v>
      </c>
      <c r="BX38" s="7">
        <v>0</v>
      </c>
      <c r="BY38" s="5">
        <v>41057.22</v>
      </c>
      <c r="BZ38" s="9">
        <f t="shared" si="0"/>
        <v>229436.73</v>
      </c>
      <c r="CA38" s="12">
        <f t="shared" si="1"/>
        <v>18757.617504999998</v>
      </c>
      <c r="CB38" s="9">
        <f t="shared" si="2"/>
        <v>248194.34750500001</v>
      </c>
      <c r="CC38" s="9">
        <f t="shared" si="3"/>
        <v>1057618.417505</v>
      </c>
    </row>
    <row r="39" spans="1:81">
      <c r="A39" s="4">
        <v>27961238884</v>
      </c>
      <c r="B39" s="4" t="s">
        <v>119</v>
      </c>
      <c r="C39" s="4">
        <v>126205</v>
      </c>
      <c r="D39" s="4" t="s">
        <v>84</v>
      </c>
      <c r="E39" s="4" t="s">
        <v>85</v>
      </c>
      <c r="F39" s="4">
        <v>1</v>
      </c>
      <c r="G39" s="4">
        <v>1</v>
      </c>
      <c r="H39" s="4">
        <v>49</v>
      </c>
      <c r="I39" s="4">
        <v>14</v>
      </c>
      <c r="J39" s="4">
        <v>0</v>
      </c>
      <c r="K39" s="4">
        <v>1</v>
      </c>
      <c r="L39" s="4">
        <v>0</v>
      </c>
      <c r="M39" s="4" t="s">
        <v>84</v>
      </c>
      <c r="N39" s="4">
        <v>0</v>
      </c>
      <c r="O39" s="4">
        <v>0</v>
      </c>
      <c r="P39" s="5">
        <v>305708.89</v>
      </c>
      <c r="Q39" s="5">
        <v>276092.57</v>
      </c>
      <c r="R39" s="5">
        <v>276092.57</v>
      </c>
      <c r="S39" s="5">
        <v>276092.57</v>
      </c>
      <c r="T39" s="5">
        <v>602657.06000000006</v>
      </c>
      <c r="U39" s="5">
        <v>276092.57</v>
      </c>
      <c r="V39" s="7">
        <v>0</v>
      </c>
      <c r="W39" s="7">
        <v>0</v>
      </c>
      <c r="X39" s="5">
        <v>602657.06000000006</v>
      </c>
      <c r="Y39" s="5">
        <v>305708.21000000002</v>
      </c>
      <c r="Z39" s="7">
        <v>0</v>
      </c>
      <c r="AA39" s="7">
        <v>0</v>
      </c>
      <c r="AB39" s="7">
        <v>1</v>
      </c>
      <c r="AC39" s="7">
        <v>1</v>
      </c>
      <c r="AD39" s="6"/>
      <c r="AE39" s="7">
        <v>0</v>
      </c>
      <c r="AF39" s="6"/>
      <c r="AG39" s="7">
        <v>0</v>
      </c>
      <c r="AH39" s="7">
        <v>15</v>
      </c>
      <c r="AI39" s="7">
        <v>0</v>
      </c>
      <c r="AJ39" s="5">
        <v>254862.52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5">
        <v>21230.05</v>
      </c>
      <c r="AR39" s="5">
        <v>29616.32</v>
      </c>
      <c r="AS39" s="7">
        <v>0</v>
      </c>
      <c r="AT39" s="7">
        <v>0</v>
      </c>
      <c r="AU39" s="7">
        <v>0</v>
      </c>
      <c r="AV39" s="7">
        <v>0</v>
      </c>
      <c r="AW39" s="5">
        <v>29735.17</v>
      </c>
      <c r="AX39" s="5">
        <v>4389.87</v>
      </c>
      <c r="AY39" s="7">
        <v>0</v>
      </c>
      <c r="AZ39" s="7">
        <v>0</v>
      </c>
      <c r="BA39" s="5">
        <v>2595.27</v>
      </c>
      <c r="BB39" s="5">
        <v>5423.91</v>
      </c>
      <c r="BC39" s="5">
        <v>12976.35</v>
      </c>
      <c r="BD39" s="5">
        <v>55120.57</v>
      </c>
      <c r="BE39" s="7">
        <v>0</v>
      </c>
      <c r="BF39" s="7">
        <v>0</v>
      </c>
      <c r="BG39" s="7">
        <v>0</v>
      </c>
      <c r="BH39" s="5">
        <v>30370.18</v>
      </c>
      <c r="BI39" s="5">
        <v>8282.7800000000007</v>
      </c>
      <c r="BJ39" s="7">
        <v>0</v>
      </c>
      <c r="BK39" s="5">
        <v>2711.96</v>
      </c>
      <c r="BL39" s="7">
        <v>0</v>
      </c>
      <c r="BM39" s="7">
        <v>0</v>
      </c>
      <c r="BN39" s="7">
        <v>0</v>
      </c>
      <c r="BO39" s="7">
        <v>0</v>
      </c>
      <c r="BP39" s="5">
        <v>41364.92</v>
      </c>
      <c r="BQ39" s="7">
        <v>0</v>
      </c>
      <c r="BR39" s="5">
        <v>30735.51</v>
      </c>
      <c r="BS39" s="7">
        <v>0</v>
      </c>
      <c r="BT39" s="7">
        <v>0</v>
      </c>
      <c r="BU39" s="5">
        <v>30735.51</v>
      </c>
      <c r="BV39" s="5">
        <v>15367.76</v>
      </c>
      <c r="BW39" s="7">
        <v>0</v>
      </c>
      <c r="BX39" s="7">
        <v>0</v>
      </c>
      <c r="BY39" s="5">
        <v>15367.76</v>
      </c>
      <c r="BZ39" s="9">
        <f t="shared" si="0"/>
        <v>85856.08</v>
      </c>
      <c r="CA39" s="12">
        <f t="shared" si="1"/>
        <v>7927.7411350000002</v>
      </c>
      <c r="CB39" s="9">
        <f t="shared" si="2"/>
        <v>93783.821135000006</v>
      </c>
      <c r="CC39" s="9">
        <f t="shared" si="3"/>
        <v>399492.71113499999</v>
      </c>
    </row>
    <row r="40" spans="1:81">
      <c r="A40" s="4">
        <v>27961437208</v>
      </c>
      <c r="B40" s="4" t="s">
        <v>120</v>
      </c>
      <c r="C40" s="4">
        <v>126205</v>
      </c>
      <c r="D40" s="4" t="s">
        <v>84</v>
      </c>
      <c r="E40" s="4" t="s">
        <v>85</v>
      </c>
      <c r="F40" s="4">
        <v>1</v>
      </c>
      <c r="G40" s="4">
        <v>1</v>
      </c>
      <c r="H40" s="4">
        <v>49</v>
      </c>
      <c r="I40" s="4">
        <v>14</v>
      </c>
      <c r="J40" s="4">
        <v>0</v>
      </c>
      <c r="K40" s="4">
        <v>1</v>
      </c>
      <c r="L40" s="4">
        <v>0</v>
      </c>
      <c r="M40" s="4" t="s">
        <v>84</v>
      </c>
      <c r="N40" s="4">
        <v>0</v>
      </c>
      <c r="O40" s="4">
        <v>0</v>
      </c>
      <c r="P40" s="5">
        <v>949923.88</v>
      </c>
      <c r="Q40" s="5">
        <v>868604.78</v>
      </c>
      <c r="R40" s="5">
        <v>868604.78</v>
      </c>
      <c r="S40" s="5">
        <v>868604.78</v>
      </c>
      <c r="T40" s="5">
        <v>1891087.4</v>
      </c>
      <c r="U40" s="5">
        <v>868604.78</v>
      </c>
      <c r="V40" s="7">
        <v>0</v>
      </c>
      <c r="W40" s="7">
        <v>0</v>
      </c>
      <c r="X40" s="5">
        <v>1891087.4</v>
      </c>
      <c r="Y40" s="5">
        <v>949923.38</v>
      </c>
      <c r="Z40" s="7">
        <v>0</v>
      </c>
      <c r="AA40" s="7">
        <v>0</v>
      </c>
      <c r="AB40" s="7">
        <v>1</v>
      </c>
      <c r="AC40" s="7">
        <v>1</v>
      </c>
      <c r="AD40" s="6"/>
      <c r="AE40" s="7">
        <v>0</v>
      </c>
      <c r="AF40" s="6"/>
      <c r="AG40" s="7">
        <v>0</v>
      </c>
      <c r="AH40" s="7">
        <v>15</v>
      </c>
      <c r="AI40" s="7">
        <v>0</v>
      </c>
      <c r="AJ40" s="5">
        <v>801813.7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5">
        <v>66791.08</v>
      </c>
      <c r="AR40" s="5">
        <v>81319.100000000006</v>
      </c>
      <c r="AS40" s="7">
        <v>0</v>
      </c>
      <c r="AT40" s="7">
        <v>0</v>
      </c>
      <c r="AU40" s="7">
        <v>0</v>
      </c>
      <c r="AV40" s="7">
        <v>0</v>
      </c>
      <c r="AW40" s="5">
        <v>93548.73</v>
      </c>
      <c r="AX40" s="5">
        <v>13810.82</v>
      </c>
      <c r="AY40" s="7">
        <v>0</v>
      </c>
      <c r="AZ40" s="7">
        <v>0</v>
      </c>
      <c r="BA40" s="5">
        <v>8164.88</v>
      </c>
      <c r="BB40" s="5">
        <v>17019.79</v>
      </c>
      <c r="BC40" s="5">
        <v>40824.42</v>
      </c>
      <c r="BD40" s="5">
        <v>173368.64</v>
      </c>
      <c r="BE40" s="7">
        <v>0</v>
      </c>
      <c r="BF40" s="7">
        <v>0</v>
      </c>
      <c r="BG40" s="7">
        <v>0</v>
      </c>
      <c r="BH40" s="5">
        <v>95546.53</v>
      </c>
      <c r="BI40" s="5">
        <v>26058.14</v>
      </c>
      <c r="BJ40" s="7">
        <v>0</v>
      </c>
      <c r="BK40" s="5">
        <v>8509.89</v>
      </c>
      <c r="BL40" s="7">
        <v>0</v>
      </c>
      <c r="BM40" s="7">
        <v>0</v>
      </c>
      <c r="BN40" s="7">
        <v>0</v>
      </c>
      <c r="BO40" s="7">
        <v>0</v>
      </c>
      <c r="BP40" s="5">
        <v>130114.56</v>
      </c>
      <c r="BQ40" s="7">
        <v>0</v>
      </c>
      <c r="BR40" s="5">
        <v>96445.46</v>
      </c>
      <c r="BS40" s="7">
        <v>0</v>
      </c>
      <c r="BT40" s="7">
        <v>0</v>
      </c>
      <c r="BU40" s="5">
        <v>96445.46</v>
      </c>
      <c r="BV40" s="5">
        <v>48222.73</v>
      </c>
      <c r="BW40" s="7">
        <v>0</v>
      </c>
      <c r="BX40" s="7">
        <v>0</v>
      </c>
      <c r="BY40" s="5">
        <v>48222.73</v>
      </c>
      <c r="BZ40" s="9">
        <f t="shared" si="0"/>
        <v>269814.10000000003</v>
      </c>
      <c r="CA40" s="12">
        <f t="shared" si="1"/>
        <v>21778.363419999998</v>
      </c>
      <c r="CB40" s="9">
        <f t="shared" si="2"/>
        <v>291592.46342000004</v>
      </c>
      <c r="CC40" s="9">
        <f t="shared" si="3"/>
        <v>1241516.34342</v>
      </c>
    </row>
    <row r="41" spans="1:81">
      <c r="CB41" s="9"/>
      <c r="CC41" s="9"/>
    </row>
  </sheetData>
  <autoFilter ref="A5:BY4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Nomina_30717385434_202601_000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Declaracion en Linea</dc:title>
  <dc:creator>Admin</dc:creator>
  <cp:lastModifiedBy>PC</cp:lastModifiedBy>
  <dcterms:created xsi:type="dcterms:W3CDTF">2026-03-18T12:29:07Z</dcterms:created>
  <dcterms:modified xsi:type="dcterms:W3CDTF">2026-03-19T17:47:38Z</dcterms:modified>
</cp:coreProperties>
</file>