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23040" windowHeight="9192"/>
  </bookViews>
  <sheets>
    <sheet name="2025" sheetId="1" r:id="rId1"/>
    <sheet name="Hoja2" sheetId="3" r:id="rId2"/>
  </sheets>
  <definedNames>
    <definedName name="_xlnm._FilterDatabase" localSheetId="0" hidden="1">'2025'!$C$2:$P$3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3" l="1"/>
  <c r="R8" i="3"/>
  <c r="R7" i="3"/>
  <c r="R6" i="3"/>
  <c r="R5" i="3"/>
  <c r="R4" i="3"/>
  <c r="R3" i="3"/>
  <c r="R2" i="3"/>
  <c r="Q9" i="3"/>
  <c r="Q8" i="3"/>
  <c r="Q7" i="3"/>
  <c r="Q6" i="3"/>
  <c r="Q5" i="3"/>
  <c r="Q4" i="3"/>
  <c r="Q3" i="3"/>
  <c r="Q2" i="3"/>
  <c r="P9" i="3"/>
  <c r="P8" i="3"/>
  <c r="P7" i="3"/>
  <c r="P5" i="3"/>
  <c r="P6" i="3"/>
  <c r="P4" i="3"/>
  <c r="P3" i="3"/>
  <c r="P2" i="3"/>
  <c r="O9" i="3"/>
  <c r="O8" i="3"/>
  <c r="O7" i="3"/>
  <c r="O6" i="3"/>
  <c r="O5" i="3"/>
  <c r="O4" i="3"/>
  <c r="O3" i="3"/>
  <c r="O2" i="3"/>
  <c r="N9" i="3"/>
  <c r="N8" i="3"/>
  <c r="N7" i="3"/>
  <c r="N6" i="3"/>
  <c r="N5" i="3"/>
  <c r="N4" i="3"/>
  <c r="N3" i="3"/>
  <c r="N2" i="3"/>
  <c r="M9" i="3"/>
  <c r="M8" i="3"/>
  <c r="M7" i="3"/>
  <c r="M6" i="3"/>
  <c r="M5" i="3"/>
  <c r="M4" i="3"/>
  <c r="M3" i="3"/>
  <c r="M2" i="3"/>
  <c r="L9" i="3"/>
  <c r="L8" i="3"/>
  <c r="L7" i="3"/>
  <c r="L6" i="3"/>
  <c r="L5" i="3"/>
  <c r="L4" i="3"/>
  <c r="L3" i="3"/>
  <c r="L2" i="3"/>
  <c r="AA4" i="1"/>
  <c r="AA5" i="1"/>
  <c r="AA374" i="1" l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B4" i="1" s="1"/>
  <c r="AB74" i="1" l="1"/>
  <c r="AB144" i="1"/>
  <c r="AB200" i="1"/>
  <c r="AB256" i="1"/>
  <c r="AB312" i="1"/>
  <c r="AB368" i="1"/>
  <c r="AB88" i="1"/>
  <c r="AB193" i="1"/>
  <c r="AB249" i="1"/>
  <c r="AB305" i="1"/>
  <c r="AB361" i="1"/>
  <c r="AB95" i="1"/>
  <c r="AB81" i="1"/>
  <c r="AB11" i="1"/>
  <c r="AB151" i="1"/>
  <c r="AB207" i="1"/>
  <c r="AB263" i="1"/>
  <c r="AB319" i="1"/>
  <c r="AB137" i="1"/>
  <c r="AB130" i="1"/>
  <c r="AB186" i="1"/>
  <c r="AB242" i="1"/>
  <c r="AB298" i="1"/>
  <c r="AB354" i="1"/>
  <c r="AB39" i="1"/>
  <c r="AB123" i="1"/>
  <c r="AB179" i="1"/>
  <c r="AB235" i="1"/>
  <c r="AB291" i="1"/>
  <c r="AB347" i="1"/>
  <c r="AB32" i="1"/>
  <c r="AB340" i="1"/>
  <c r="AB165" i="1"/>
  <c r="AB221" i="1"/>
  <c r="AB277" i="1"/>
  <c r="AB333" i="1"/>
  <c r="AB116" i="1"/>
  <c r="AB172" i="1"/>
  <c r="AB228" i="1"/>
  <c r="AB284" i="1"/>
  <c r="AB102" i="1"/>
  <c r="AB109" i="1"/>
  <c r="AB158" i="1"/>
  <c r="AB214" i="1"/>
  <c r="AB270" i="1"/>
  <c r="AB326" i="1"/>
  <c r="AB53" i="1"/>
  <c r="AB18" i="1"/>
  <c r="AB46" i="1"/>
  <c r="AB60" i="1"/>
  <c r="AB25" i="1"/>
  <c r="AB67" i="1"/>
</calcChain>
</file>

<file path=xl/sharedStrings.xml><?xml version="1.0" encoding="utf-8"?>
<sst xmlns="http://schemas.openxmlformats.org/spreadsheetml/2006/main" count="505" uniqueCount="89">
  <si>
    <t>SUCCESSFUL BOXES SRL 2025</t>
  </si>
  <si>
    <t xml:space="preserve"> </t>
  </si>
  <si>
    <t>El Lucero - San Telmo</t>
  </si>
  <si>
    <t>El Lucero - Recoleta</t>
  </si>
  <si>
    <t>El Lucero - Solar de French</t>
  </si>
  <si>
    <t>El Lucero - Florida</t>
  </si>
  <si>
    <t>AS - San Telmo</t>
  </si>
  <si>
    <t>AS - Quilmes</t>
  </si>
  <si>
    <t>El Lucero - San Telmo 2</t>
  </si>
  <si>
    <t>El Lucero - Guemes</t>
  </si>
  <si>
    <t>Todo Bijou - San Telmo</t>
  </si>
  <si>
    <t>El Lucero - Guemes 2</t>
  </si>
  <si>
    <t>El Lucero - El Solar</t>
  </si>
  <si>
    <t>Fecha</t>
  </si>
  <si>
    <t>Facturación</t>
  </si>
  <si>
    <t>Cant.Tickets</t>
  </si>
  <si>
    <t>Total diario</t>
  </si>
  <si>
    <t>Total semana</t>
  </si>
  <si>
    <t>Total semana 2024</t>
  </si>
  <si>
    <t>semana 1</t>
  </si>
  <si>
    <t>lunes</t>
  </si>
  <si>
    <t>martes</t>
  </si>
  <si>
    <t>miercoles</t>
  </si>
  <si>
    <t>jueves</t>
  </si>
  <si>
    <t>viernes</t>
  </si>
  <si>
    <t>sabado</t>
  </si>
  <si>
    <t>domingo</t>
  </si>
  <si>
    <t>semana 2</t>
  </si>
  <si>
    <t>semana 3</t>
  </si>
  <si>
    <t>semana 4</t>
  </si>
  <si>
    <t>semana 5</t>
  </si>
  <si>
    <t>semana 6</t>
  </si>
  <si>
    <t>semana 7</t>
  </si>
  <si>
    <t>pintura piso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</si>
  <si>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</si>
  <si>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</si>
  <si>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</si>
  <si>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</si>
  <si>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</si>
  <si>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</si>
  <si>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</si>
  <si>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</si>
  <si>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paro general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</si>
  <si>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</si>
  <si>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</si>
  <si>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</si>
  <si>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</si>
  <si>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</si>
  <si>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</si>
  <si>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</si>
  <si>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</si>
  <si>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</si>
  <si>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</si>
  <si>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</si>
  <si>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</si>
  <si>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</si>
  <si>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</si>
  <si>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</si>
  <si>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</si>
  <si>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</si>
  <si>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</si>
  <si>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</si>
  <si>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</si>
  <si>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</si>
  <si>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</si>
  <si>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</si>
  <si>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</si>
  <si>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</si>
  <si>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</si>
  <si>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</si>
  <si>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</si>
  <si>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</si>
  <si>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</si>
  <si>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</si>
  <si>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</si>
  <si>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</si>
  <si>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</si>
  <si>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</si>
  <si>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</si>
  <si>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</si>
  <si>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sábado</t>
  </si>
  <si>
    <t>fecha</t>
  </si>
  <si>
    <t>enero</t>
  </si>
  <si>
    <t>febrero</t>
  </si>
  <si>
    <t>marzo</t>
  </si>
  <si>
    <t>abril</t>
  </si>
  <si>
    <t>mayo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</si>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</sst>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\ * #,##0.00_);_(&quot;$&quot;\ * \(#,##0.00\);_(&quot;$&quot;\ * &quot;-&quot;??_);_(@_)"/>
  </numFmts>
  <fonts count="1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b/>
      <sz val="12"/>
      <color theme="0" tint="-0.34998626667073579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0"/>
      <color theme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164" fontId="4" fillId="2" borderId="0" xfId="1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164" fontId="0" fillId="2" borderId="0" xfId="1" applyFont="1" applyFill="1"/>
    <xf numFmtId="164" fontId="4" fillId="2" borderId="0" xfId="1" applyFont="1" applyFill="1" applyBorder="1" applyAlignment="1">
      <alignment horizontal="center"/>
    </xf>
    <xf numFmtId="164" fontId="0" fillId="2" borderId="0" xfId="0" applyNumberFormat="1" applyFill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4" fontId="4" fillId="2" borderId="0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16" fontId="9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2" borderId="7" xfId="0" applyNumberFormat="1" applyFill="1" applyBorder="1"/>
    <xf numFmtId="164" fontId="5" fillId="2" borderId="0" xfId="1" applyFont="1" applyFill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" fontId="10" fillId="2" borderId="0" xfId="0" applyNumberFormat="1" applyFont="1" applyFill="1" applyAlignment="1">
      <alignment horizontal="center" vertical="center"/>
    </xf>
    <xf numFmtId="164" fontId="0" fillId="4" borderId="0" xfId="0" applyNumberFormat="1" applyFill="1"/>
    <xf numFmtId="1" fontId="0" fillId="4" borderId="0" xfId="0" applyNumberFormat="1" applyFill="1" applyAlignment="1">
      <alignment horizontal="center" vertical="center"/>
    </xf>
    <xf numFmtId="164" fontId="0" fillId="4" borderId="7" xfId="0" applyNumberFormat="1" applyFill="1" applyBorder="1"/>
    <xf numFmtId="1" fontId="0" fillId="5" borderId="0" xfId="0" applyNumberFormat="1" applyFill="1" applyAlignment="1">
      <alignment horizontal="center" vertical="center"/>
    </xf>
    <xf numFmtId="164" fontId="1" fillId="2" borderId="0" xfId="1" applyFont="1" applyFill="1"/>
    <xf numFmtId="1" fontId="0" fillId="2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9" fillId="2" borderId="8" xfId="0" applyFont="1" applyFill="1" applyBorder="1" applyAlignment="1">
      <alignment horizontal="left" vertical="center"/>
    </xf>
    <xf numFmtId="16" fontId="9" fillId="2" borderId="8" xfId="0" applyNumberFormat="1" applyFont="1" applyFill="1" applyBorder="1" applyAlignment="1">
      <alignment horizontal="center" vertical="center"/>
    </xf>
    <xf numFmtId="164" fontId="0" fillId="2" borderId="8" xfId="0" applyNumberFormat="1" applyFill="1" applyBorder="1"/>
    <xf numFmtId="1" fontId="0" fillId="2" borderId="8" xfId="0" applyNumberFormat="1" applyFill="1" applyBorder="1" applyAlignment="1">
      <alignment horizontal="center" vertical="center"/>
    </xf>
    <xf numFmtId="164" fontId="0" fillId="2" borderId="9" xfId="0" applyNumberFormat="1" applyFill="1" applyBorder="1"/>
    <xf numFmtId="164" fontId="0" fillId="4" borderId="9" xfId="0" applyNumberFormat="1" applyFill="1" applyBorder="1"/>
    <xf numFmtId="1" fontId="0" fillId="4" borderId="8" xfId="0" applyNumberFormat="1" applyFill="1" applyBorder="1" applyAlignment="1">
      <alignment horizontal="center" vertical="center"/>
    </xf>
    <xf numFmtId="164" fontId="0" fillId="2" borderId="6" xfId="0" applyNumberFormat="1" applyFill="1" applyBorder="1"/>
    <xf numFmtId="1" fontId="0" fillId="2" borderId="6" xfId="0" applyNumberFormat="1" applyFill="1" applyBorder="1" applyAlignment="1">
      <alignment horizontal="center" vertical="center"/>
    </xf>
    <xf numFmtId="164" fontId="0" fillId="2" borderId="10" xfId="0" applyNumberFormat="1" applyFill="1" applyBorder="1"/>
    <xf numFmtId="0" fontId="0" fillId="2" borderId="0" xfId="0" applyFill="1" applyAlignment="1">
      <alignment horizontal="center" vertical="center"/>
    </xf>
    <xf numFmtId="164" fontId="3" fillId="2" borderId="0" xfId="1" applyFont="1" applyFill="1"/>
    <xf numFmtId="0" fontId="12" fillId="2" borderId="0" xfId="0" applyFont="1" applyFill="1"/>
    <xf numFmtId="164" fontId="11" fillId="4" borderId="7" xfId="0" applyNumberFormat="1" applyFont="1" applyFill="1" applyBorder="1"/>
    <xf numFmtId="1" fontId="11" fillId="4" borderId="0" xfId="0" applyNumberFormat="1" applyFont="1" applyFill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164" fontId="0" fillId="4" borderId="10" xfId="0" applyNumberFormat="1" applyFill="1" applyBorder="1"/>
    <xf numFmtId="1" fontId="0" fillId="4" borderId="6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/>
    </xf>
    <xf numFmtId="1" fontId="0" fillId="5" borderId="8" xfId="0" applyNumberFormat="1" applyFill="1" applyBorder="1" applyAlignment="1">
      <alignment horizontal="center" vertical="center"/>
    </xf>
    <xf numFmtId="164" fontId="0" fillId="2" borderId="8" xfId="1" applyFont="1" applyFill="1" applyBorder="1"/>
    <xf numFmtId="1" fontId="0" fillId="2" borderId="11" xfId="0" applyNumberForma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16" fontId="12" fillId="2" borderId="0" xfId="0" applyNumberFormat="1" applyFont="1" applyFill="1" applyAlignment="1">
      <alignment horizontal="center" vertical="center"/>
    </xf>
    <xf numFmtId="164" fontId="11" fillId="2" borderId="0" xfId="1" applyFont="1" applyFill="1"/>
    <xf numFmtId="1" fontId="11" fillId="2" borderId="0" xfId="0" applyNumberFormat="1" applyFont="1" applyFill="1" applyAlignment="1">
      <alignment horizontal="center" vertical="center"/>
    </xf>
    <xf numFmtId="164" fontId="11" fillId="2" borderId="7" xfId="0" applyNumberFormat="1" applyFont="1" applyFill="1" applyBorder="1"/>
    <xf numFmtId="1" fontId="11" fillId="5" borderId="0" xfId="0" applyNumberFormat="1" applyFont="1" applyFill="1" applyAlignment="1">
      <alignment horizontal="center"/>
    </xf>
    <xf numFmtId="1" fontId="11" fillId="5" borderId="0" xfId="0" applyNumberFormat="1" applyFont="1" applyFill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164" fontId="0" fillId="5" borderId="7" xfId="0" applyNumberFormat="1" applyFill="1" applyBorder="1"/>
    <xf numFmtId="1" fontId="0" fillId="5" borderId="12" xfId="0" applyNumberFormat="1" applyFill="1" applyBorder="1" applyAlignment="1">
      <alignment horizontal="center" vertical="center"/>
    </xf>
    <xf numFmtId="164" fontId="8" fillId="4" borderId="0" xfId="0" applyNumberFormat="1" applyFont="1" applyFill="1"/>
    <xf numFmtId="164" fontId="8" fillId="4" borderId="7" xfId="0" applyNumberFormat="1" applyFont="1" applyFill="1" applyBorder="1"/>
    <xf numFmtId="164" fontId="8" fillId="2" borderId="9" xfId="0" applyNumberFormat="1" applyFont="1" applyFill="1" applyBorder="1"/>
    <xf numFmtId="164" fontId="8" fillId="2" borderId="7" xfId="0" applyNumberFormat="1" applyFont="1" applyFill="1" applyBorder="1"/>
    <xf numFmtId="164" fontId="8" fillId="2" borderId="8" xfId="0" applyNumberFormat="1" applyFont="1" applyFill="1" applyBorder="1"/>
    <xf numFmtId="0" fontId="0" fillId="2" borderId="0" xfId="0" applyFill="1" applyAlignment="1">
      <alignment vertical="center" textRotation="90"/>
    </xf>
    <xf numFmtId="0" fontId="0" fillId="2" borderId="7" xfId="0" applyFill="1" applyBorder="1"/>
    <xf numFmtId="0" fontId="0" fillId="2" borderId="6" xfId="0" applyFill="1" applyBorder="1" applyAlignment="1">
      <alignment horizontal="center" vertical="center" textRotation="90"/>
    </xf>
    <xf numFmtId="0" fontId="0" fillId="2" borderId="0" xfId="0" applyFill="1" applyAlignment="1">
      <alignment horizontal="center" vertical="center" textRotation="90"/>
    </xf>
    <xf numFmtId="0" fontId="0" fillId="2" borderId="8" xfId="0" applyFill="1" applyBorder="1" applyAlignment="1">
      <alignment horizontal="center" vertical="center" textRotation="90"/>
    </xf>
    <xf numFmtId="164" fontId="5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76"/>
  <sheetViews>
    <sheetView tabSelected="1" zoomScaleNormal="100" workbookViewId="0">
      <pane ySplit="2" topLeftCell="A3" activePane="bottomLeft" state="frozen"/>
      <selection activeCell="AE6" sqref="AE6"/>
      <selection pane="bottomLeft" activeCell="C17" sqref="C17"/>
    </sheetView>
  </sheetViews>
  <sheetFormatPr baseColWidth="10" defaultColWidth="10.81640625" defaultRowHeight="15"/>
  <cols>
    <col min="1" max="1" width="9.36328125" style="45" customWidth="1"/>
    <col min="2" max="2" width="6.6328125" style="1" customWidth="1"/>
    <col min="3" max="3" width="7.81640625" style="1" bestFit="1" customWidth="1"/>
    <col min="4" max="4" width="6.36328125" style="1" bestFit="1" customWidth="1"/>
    <col min="5" max="5" width="14.36328125" style="1" customWidth="1"/>
    <col min="6" max="6" width="11.36328125" style="31" customWidth="1"/>
    <col min="7" max="7" width="14.1796875" style="74" customWidth="1"/>
    <col min="8" max="8" width="11.81640625" style="31" customWidth="1"/>
    <col min="9" max="9" width="14.1796875" style="74" customWidth="1"/>
    <col min="10" max="10" width="11.81640625" style="31" customWidth="1"/>
    <col min="11" max="11" width="14.1796875" style="74" customWidth="1"/>
    <col min="12" max="12" width="11.81640625" style="31" customWidth="1"/>
    <col min="13" max="13" width="15.36328125" style="74" customWidth="1"/>
    <col min="14" max="14" width="12" style="31" customWidth="1"/>
    <col min="15" max="15" width="15" style="74" hidden="1" customWidth="1"/>
    <col min="16" max="16" width="11.81640625" style="31" hidden="1" customWidth="1"/>
    <col min="17" max="17" width="15" style="74" customWidth="1"/>
    <col min="18" max="18" width="11.81640625" style="31" customWidth="1"/>
    <col min="19" max="19" width="15" style="74" customWidth="1"/>
    <col min="20" max="20" width="11.81640625" style="31" customWidth="1"/>
    <col min="21" max="21" width="15" style="74" hidden="1" customWidth="1"/>
    <col min="22" max="22" width="11.81640625" style="31" hidden="1" customWidth="1"/>
    <col min="23" max="26" width="11.81640625" style="31" customWidth="1"/>
    <col min="27" max="27" width="15.453125" style="22" bestFit="1" customWidth="1"/>
    <col min="28" max="28" width="15.453125" style="4" bestFit="1" customWidth="1"/>
    <col min="29" max="29" width="17" style="5" bestFit="1" customWidth="1"/>
    <col min="30" max="16384" width="10.81640625" style="1"/>
  </cols>
  <sheetData>
    <row r="1" spans="2:29" ht="15.6">
      <c r="C1" s="83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2"/>
      <c r="X1" s="2"/>
      <c r="Y1" s="2"/>
      <c r="Z1" s="2"/>
      <c r="AA1" s="3"/>
    </row>
    <row r="2" spans="2:29" ht="16.2" thickBot="1">
      <c r="D2" s="1" t="s">
        <v>1</v>
      </c>
      <c r="E2" s="80" t="s">
        <v>2</v>
      </c>
      <c r="F2" s="80"/>
      <c r="G2" s="80" t="s">
        <v>3</v>
      </c>
      <c r="H2" s="80"/>
      <c r="I2" s="80" t="s">
        <v>4</v>
      </c>
      <c r="J2" s="80"/>
      <c r="K2" s="80" t="s">
        <v>5</v>
      </c>
      <c r="L2" s="80"/>
      <c r="M2" s="80" t="s">
        <v>6</v>
      </c>
      <c r="N2" s="80"/>
      <c r="O2" s="80" t="s">
        <v>7</v>
      </c>
      <c r="P2" s="80"/>
      <c r="Q2" s="80" t="s">
        <v>8</v>
      </c>
      <c r="R2" s="80"/>
      <c r="S2" s="80" t="s">
        <v>9</v>
      </c>
      <c r="T2" s="80"/>
      <c r="U2" s="80" t="s">
        <v>10</v>
      </c>
      <c r="V2" s="80"/>
      <c r="W2" s="80" t="s">
        <v>11</v>
      </c>
      <c r="X2" s="80"/>
      <c r="Y2" s="80" t="s">
        <v>12</v>
      </c>
      <c r="Z2" s="80"/>
      <c r="AA2" s="7"/>
    </row>
    <row r="3" spans="2:29" ht="16.8" thickTop="1" thickBot="1">
      <c r="C3" s="81" t="s">
        <v>13</v>
      </c>
      <c r="D3" s="82"/>
      <c r="E3" s="9" t="s">
        <v>14</v>
      </c>
      <c r="F3" s="10" t="s">
        <v>15</v>
      </c>
      <c r="G3" s="11" t="s">
        <v>14</v>
      </c>
      <c r="H3" s="12" t="s">
        <v>15</v>
      </c>
      <c r="I3" s="11" t="s">
        <v>14</v>
      </c>
      <c r="J3" s="13" t="s">
        <v>15</v>
      </c>
      <c r="K3" s="11" t="s">
        <v>14</v>
      </c>
      <c r="L3" s="13" t="s">
        <v>15</v>
      </c>
      <c r="M3" s="11" t="s">
        <v>14</v>
      </c>
      <c r="N3" s="13" t="s">
        <v>15</v>
      </c>
      <c r="O3" s="14" t="s">
        <v>14</v>
      </c>
      <c r="P3" s="13" t="s">
        <v>15</v>
      </c>
      <c r="Q3" s="14" t="s">
        <v>14</v>
      </c>
      <c r="R3" s="12" t="s">
        <v>15</v>
      </c>
      <c r="S3" s="14" t="s">
        <v>14</v>
      </c>
      <c r="T3" s="12" t="s">
        <v>15</v>
      </c>
      <c r="U3" s="14" t="s">
        <v>14</v>
      </c>
      <c r="V3" s="12" t="s">
        <v>15</v>
      </c>
      <c r="W3" s="14" t="s">
        <v>14</v>
      </c>
      <c r="X3" s="12" t="s">
        <v>15</v>
      </c>
      <c r="Y3" s="14" t="s">
        <v>14</v>
      </c>
      <c r="Z3" s="12" t="s">
        <v>15</v>
      </c>
      <c r="AA3" s="15" t="s">
        <v>16</v>
      </c>
      <c r="AB3" s="16" t="s">
        <v>17</v>
      </c>
      <c r="AC3" s="17" t="s">
        <v>18</v>
      </c>
    </row>
    <row r="4" spans="2:29" ht="15.6" thickTop="1">
      <c r="B4" s="76" t="s">
        <v>19</v>
      </c>
      <c r="C4" s="18" t="s">
        <v>20</v>
      </c>
      <c r="D4" s="19">
        <v>45656</v>
      </c>
      <c r="E4" s="8"/>
      <c r="F4" s="20"/>
      <c r="G4" s="21"/>
      <c r="H4" s="20"/>
      <c r="I4" s="21"/>
      <c r="J4" s="20"/>
      <c r="K4" s="21"/>
      <c r="L4" s="20"/>
      <c r="M4" s="21"/>
      <c r="N4" s="20"/>
      <c r="O4" s="21"/>
      <c r="P4" s="20"/>
      <c r="Q4" s="21"/>
      <c r="R4" s="20"/>
      <c r="S4" s="21"/>
      <c r="T4" s="20"/>
      <c r="U4" s="21"/>
      <c r="V4" s="20"/>
      <c r="W4" s="21"/>
      <c r="X4" s="20"/>
      <c r="Y4" s="21"/>
      <c r="Z4" s="20"/>
      <c r="AA4" s="22">
        <f>E4+G4+I4+K4+M4+O4+Q4+S4+U4+W4+Y4</f>
        <v>0</v>
      </c>
      <c r="AB4" s="78">
        <f>SUM(AA4:AA10)</f>
        <v>30922953</v>
      </c>
      <c r="AC4" s="79">
        <v>42028240</v>
      </c>
    </row>
    <row r="5" spans="2:29" ht="15.6" thickTop="1">
      <c r="B5" s="76"/>
      <c r="C5" s="23" t="s">
        <v>21</v>
      </c>
      <c r="D5" s="19">
        <v>45657</v>
      </c>
      <c r="E5" s="8"/>
      <c r="F5" s="20"/>
      <c r="G5" s="21"/>
      <c r="H5" s="20"/>
      <c r="I5" s="21"/>
      <c r="J5" s="20"/>
      <c r="K5" s="21"/>
      <c r="L5" s="20"/>
      <c r="M5" s="21"/>
      <c r="N5" s="20"/>
      <c r="O5" s="21"/>
      <c r="P5" s="20"/>
      <c r="Q5" s="21"/>
      <c r="R5" s="20"/>
      <c r="S5" s="21"/>
      <c r="T5" s="20"/>
      <c r="U5" s="21"/>
      <c r="V5" s="20"/>
      <c r="W5" s="21"/>
      <c r="X5" s="20"/>
      <c r="Y5" s="21"/>
      <c r="Z5" s="20"/>
      <c r="AA5" s="22">
        <f t="shared" ref="AA5:AA68" si="0">E5+G5+I5+K5+M5+O5+Q5+S5+U5+W5+Y5</f>
        <v>0</v>
      </c>
      <c r="AB5" s="78"/>
      <c r="AC5" s="79"/>
    </row>
    <row r="6" spans="2:29" ht="15.6" thickTop="1">
      <c r="B6" s="76"/>
      <c r="C6" s="24" t="s">
        <v>22</v>
      </c>
      <c r="D6" s="25">
        <v>45292</v>
      </c>
      <c r="E6" s="26">
        <v>0</v>
      </c>
      <c r="F6" s="27">
        <v>0</v>
      </c>
      <c r="G6" s="28">
        <v>0</v>
      </c>
      <c r="H6" s="27">
        <v>0</v>
      </c>
      <c r="I6" s="28">
        <v>0</v>
      </c>
      <c r="J6" s="27">
        <v>0</v>
      </c>
      <c r="K6" s="28">
        <v>0</v>
      </c>
      <c r="L6" s="27">
        <v>0</v>
      </c>
      <c r="M6" s="28">
        <v>0</v>
      </c>
      <c r="N6" s="27">
        <v>0</v>
      </c>
      <c r="O6" s="28">
        <v>0</v>
      </c>
      <c r="P6" s="27">
        <v>0</v>
      </c>
      <c r="Q6" s="28">
        <v>0</v>
      </c>
      <c r="R6" s="27">
        <v>0</v>
      </c>
      <c r="S6" s="28">
        <v>0</v>
      </c>
      <c r="T6" s="27">
        <v>0</v>
      </c>
      <c r="U6" s="28">
        <v>0</v>
      </c>
      <c r="V6" s="27">
        <v>0</v>
      </c>
      <c r="W6" s="28"/>
      <c r="X6" s="27"/>
      <c r="Y6" s="28"/>
      <c r="Z6" s="27"/>
      <c r="AA6" s="22">
        <f t="shared" si="0"/>
        <v>0</v>
      </c>
      <c r="AB6" s="78"/>
      <c r="AC6" s="79"/>
    </row>
    <row r="7" spans="2:29">
      <c r="B7" s="76"/>
      <c r="C7" s="23" t="s">
        <v>23</v>
      </c>
      <c r="D7" s="19">
        <v>45293</v>
      </c>
      <c r="E7" s="8">
        <v>2414600</v>
      </c>
      <c r="F7" s="20">
        <v>29</v>
      </c>
      <c r="G7" s="21">
        <v>1194660</v>
      </c>
      <c r="H7" s="20">
        <v>16</v>
      </c>
      <c r="I7" s="21">
        <v>374930</v>
      </c>
      <c r="J7" s="20">
        <v>3</v>
      </c>
      <c r="K7" s="21">
        <v>1534620</v>
      </c>
      <c r="L7" s="20">
        <v>20</v>
      </c>
      <c r="M7" s="21">
        <v>663550</v>
      </c>
      <c r="N7" s="29"/>
      <c r="O7" s="21">
        <v>417090</v>
      </c>
      <c r="P7" s="20">
        <v>71</v>
      </c>
      <c r="Q7" s="21">
        <v>25980</v>
      </c>
      <c r="R7" s="20">
        <v>1</v>
      </c>
      <c r="S7" s="21">
        <v>93980</v>
      </c>
      <c r="T7" s="20">
        <v>2</v>
      </c>
      <c r="U7" s="21">
        <v>13860</v>
      </c>
      <c r="V7" s="20">
        <v>9</v>
      </c>
      <c r="W7" s="28"/>
      <c r="X7" s="27"/>
      <c r="Y7" s="28"/>
      <c r="Z7" s="27"/>
      <c r="AA7" s="22">
        <f t="shared" si="0"/>
        <v>6733270</v>
      </c>
      <c r="AB7" s="78"/>
      <c r="AC7" s="79"/>
    </row>
    <row r="8" spans="2:29">
      <c r="B8" s="76"/>
      <c r="C8" s="23" t="s">
        <v>24</v>
      </c>
      <c r="D8" s="19">
        <v>45294</v>
      </c>
      <c r="E8" s="8">
        <v>1393750</v>
      </c>
      <c r="F8" s="20">
        <v>18</v>
      </c>
      <c r="G8" s="21">
        <v>1556760</v>
      </c>
      <c r="H8" s="20">
        <v>13</v>
      </c>
      <c r="I8" s="21">
        <v>715880</v>
      </c>
      <c r="J8" s="20">
        <v>7</v>
      </c>
      <c r="K8" s="21">
        <v>1552550</v>
      </c>
      <c r="L8" s="20">
        <v>16</v>
      </c>
      <c r="M8" s="21">
        <v>429290</v>
      </c>
      <c r="N8" s="20">
        <v>23</v>
      </c>
      <c r="O8" s="21">
        <v>551210</v>
      </c>
      <c r="P8" s="20">
        <v>102</v>
      </c>
      <c r="Q8" s="21">
        <v>0</v>
      </c>
      <c r="R8" s="20">
        <v>0</v>
      </c>
      <c r="S8" s="21">
        <v>388463</v>
      </c>
      <c r="T8" s="20">
        <v>4</v>
      </c>
      <c r="U8" s="21">
        <v>26750</v>
      </c>
      <c r="V8" s="20">
        <v>11</v>
      </c>
      <c r="W8" s="28"/>
      <c r="X8" s="27"/>
      <c r="Y8" s="28"/>
      <c r="Z8" s="27"/>
      <c r="AA8" s="22">
        <f t="shared" si="0"/>
        <v>6614653</v>
      </c>
      <c r="AB8" s="78"/>
      <c r="AC8" s="79"/>
    </row>
    <row r="9" spans="2:29">
      <c r="B9" s="76"/>
      <c r="C9" s="23" t="s">
        <v>25</v>
      </c>
      <c r="D9" s="19">
        <v>45295</v>
      </c>
      <c r="E9" s="8">
        <v>1320790</v>
      </c>
      <c r="F9" s="31">
        <v>16</v>
      </c>
      <c r="G9" s="21">
        <v>974890</v>
      </c>
      <c r="H9" s="31">
        <v>8</v>
      </c>
      <c r="I9" s="21">
        <v>1388500</v>
      </c>
      <c r="J9" s="31">
        <v>14</v>
      </c>
      <c r="K9" s="21">
        <v>1757740</v>
      </c>
      <c r="L9" s="31">
        <v>14</v>
      </c>
      <c r="M9" s="21">
        <v>638420</v>
      </c>
      <c r="N9" s="31">
        <v>89</v>
      </c>
      <c r="O9" s="21">
        <v>890340</v>
      </c>
      <c r="P9" s="31">
        <v>122</v>
      </c>
      <c r="Q9" s="21">
        <v>0</v>
      </c>
      <c r="R9" s="31">
        <v>0</v>
      </c>
      <c r="S9" s="21">
        <v>0</v>
      </c>
      <c r="T9" s="31">
        <v>0</v>
      </c>
      <c r="U9" s="21">
        <v>31680</v>
      </c>
      <c r="V9" s="31">
        <v>16</v>
      </c>
      <c r="W9" s="28"/>
      <c r="X9" s="32"/>
      <c r="Y9" s="28"/>
      <c r="Z9" s="32"/>
      <c r="AA9" s="22">
        <f t="shared" si="0"/>
        <v>7002360</v>
      </c>
      <c r="AB9" s="78"/>
      <c r="AC9" s="79"/>
    </row>
    <row r="10" spans="2:29">
      <c r="B10" s="77"/>
      <c r="C10" s="33" t="s">
        <v>26</v>
      </c>
      <c r="D10" s="34">
        <v>45662</v>
      </c>
      <c r="E10" s="35">
        <v>1713650</v>
      </c>
      <c r="F10" s="36">
        <v>30</v>
      </c>
      <c r="G10" s="37">
        <v>2619567</v>
      </c>
      <c r="H10" s="36">
        <v>17</v>
      </c>
      <c r="I10" s="37">
        <v>961900</v>
      </c>
      <c r="J10" s="36">
        <v>9</v>
      </c>
      <c r="K10" s="37">
        <v>3421563</v>
      </c>
      <c r="L10" s="36">
        <v>24</v>
      </c>
      <c r="M10" s="37">
        <v>1721320</v>
      </c>
      <c r="N10" s="36">
        <v>184</v>
      </c>
      <c r="O10" s="38">
        <v>0</v>
      </c>
      <c r="P10" s="39">
        <v>0</v>
      </c>
      <c r="Q10" s="37">
        <v>99980</v>
      </c>
      <c r="R10" s="36">
        <v>1</v>
      </c>
      <c r="S10" s="38">
        <v>0</v>
      </c>
      <c r="T10" s="39">
        <v>0</v>
      </c>
      <c r="U10" s="37">
        <v>34690</v>
      </c>
      <c r="V10" s="36">
        <v>15</v>
      </c>
      <c r="W10" s="38"/>
      <c r="X10" s="39"/>
      <c r="Y10" s="38"/>
      <c r="Z10" s="39"/>
      <c r="AA10" s="22">
        <f t="shared" si="0"/>
        <v>10572670</v>
      </c>
      <c r="AB10" s="78"/>
      <c r="AC10" s="79"/>
    </row>
    <row r="11" spans="2:29">
      <c r="B11" s="75" t="s">
        <v>27</v>
      </c>
      <c r="C11" s="18" t="s">
        <v>20</v>
      </c>
      <c r="D11" s="19">
        <v>45297</v>
      </c>
      <c r="E11" s="40">
        <v>1186780</v>
      </c>
      <c r="F11" s="41">
        <v>12</v>
      </c>
      <c r="G11" s="42">
        <v>416860</v>
      </c>
      <c r="H11" s="41">
        <v>10</v>
      </c>
      <c r="I11" s="42">
        <v>680910</v>
      </c>
      <c r="J11" s="41">
        <v>8</v>
      </c>
      <c r="K11" s="42">
        <v>2704420</v>
      </c>
      <c r="L11" s="41">
        <v>20</v>
      </c>
      <c r="M11" s="42">
        <v>210280</v>
      </c>
      <c r="N11" s="41">
        <v>45</v>
      </c>
      <c r="O11" s="42">
        <v>510140</v>
      </c>
      <c r="P11" s="41">
        <v>87</v>
      </c>
      <c r="Q11" s="21">
        <v>0</v>
      </c>
      <c r="R11" s="20">
        <v>0</v>
      </c>
      <c r="S11" s="21">
        <v>79983</v>
      </c>
      <c r="T11" s="20">
        <v>2</v>
      </c>
      <c r="U11" s="28">
        <v>0</v>
      </c>
      <c r="V11" s="27">
        <v>0</v>
      </c>
      <c r="W11" s="28"/>
      <c r="X11" s="27"/>
      <c r="Y11" s="28"/>
      <c r="Z11" s="27"/>
      <c r="AA11" s="22">
        <f t="shared" si="0"/>
        <v>5789373</v>
      </c>
      <c r="AB11" s="78">
        <f t="shared" ref="AB11" si="1">SUM(AA11:AA17)</f>
        <v>36302914</v>
      </c>
      <c r="AC11" s="79">
        <v>37043150</v>
      </c>
    </row>
    <row r="12" spans="2:29">
      <c r="B12" s="76"/>
      <c r="C12" s="23" t="s">
        <v>21</v>
      </c>
      <c r="D12" s="19">
        <v>45298</v>
      </c>
      <c r="E12" s="8">
        <v>1468660</v>
      </c>
      <c r="F12" s="20">
        <v>20</v>
      </c>
      <c r="G12" s="21">
        <v>470880</v>
      </c>
      <c r="H12" s="20">
        <v>8</v>
      </c>
      <c r="I12" s="21">
        <v>877900</v>
      </c>
      <c r="J12" s="20">
        <v>8</v>
      </c>
      <c r="K12" s="21">
        <v>1354660</v>
      </c>
      <c r="L12" s="20">
        <v>15</v>
      </c>
      <c r="M12" s="21">
        <v>422150</v>
      </c>
      <c r="N12" s="20">
        <v>56</v>
      </c>
      <c r="O12" s="21">
        <v>344560</v>
      </c>
      <c r="P12" s="20">
        <v>72</v>
      </c>
      <c r="Q12" s="21">
        <v>132950</v>
      </c>
      <c r="R12" s="20">
        <v>4</v>
      </c>
      <c r="S12" s="21">
        <v>0</v>
      </c>
      <c r="T12" s="20">
        <v>0</v>
      </c>
      <c r="U12" s="28">
        <v>0</v>
      </c>
      <c r="V12" s="27">
        <v>0</v>
      </c>
      <c r="W12" s="28"/>
      <c r="X12" s="27"/>
      <c r="Y12" s="28"/>
      <c r="Z12" s="27"/>
      <c r="AA12" s="22">
        <f t="shared" si="0"/>
        <v>5071760</v>
      </c>
      <c r="AB12" s="78"/>
      <c r="AC12" s="79"/>
    </row>
    <row r="13" spans="2:29">
      <c r="B13" s="76"/>
      <c r="C13" s="23" t="s">
        <v>22</v>
      </c>
      <c r="D13" s="19">
        <v>45299</v>
      </c>
      <c r="E13" s="8">
        <v>2009540</v>
      </c>
      <c r="F13" s="20">
        <v>18</v>
      </c>
      <c r="G13" s="21">
        <v>1144690</v>
      </c>
      <c r="H13" s="20">
        <v>8</v>
      </c>
      <c r="I13" s="21">
        <v>615860</v>
      </c>
      <c r="J13" s="20">
        <v>8</v>
      </c>
      <c r="K13" s="21">
        <v>841900</v>
      </c>
      <c r="L13" s="20">
        <v>9</v>
      </c>
      <c r="M13" s="21">
        <v>446630</v>
      </c>
      <c r="N13" s="20">
        <v>78</v>
      </c>
      <c r="O13" s="21">
        <v>540030</v>
      </c>
      <c r="P13" s="20">
        <v>95</v>
      </c>
      <c r="Q13" s="21">
        <v>0</v>
      </c>
      <c r="R13" s="20">
        <v>0</v>
      </c>
      <c r="S13" s="21">
        <v>26990</v>
      </c>
      <c r="T13" s="20">
        <v>1</v>
      </c>
      <c r="U13" s="21">
        <v>22840</v>
      </c>
      <c r="V13" s="20">
        <v>8</v>
      </c>
      <c r="W13" s="28"/>
      <c r="X13" s="27"/>
      <c r="Y13" s="28"/>
      <c r="Z13" s="27"/>
      <c r="AA13" s="22">
        <f t="shared" si="0"/>
        <v>5648480</v>
      </c>
      <c r="AB13" s="78"/>
      <c r="AC13" s="79"/>
    </row>
    <row r="14" spans="2:29">
      <c r="B14" s="76"/>
      <c r="C14" s="23" t="s">
        <v>23</v>
      </c>
      <c r="D14" s="19">
        <v>45300</v>
      </c>
      <c r="E14" s="8">
        <v>1023820</v>
      </c>
      <c r="F14" s="20">
        <v>13</v>
      </c>
      <c r="G14" s="21">
        <v>1412720</v>
      </c>
      <c r="H14" s="20">
        <v>11</v>
      </c>
      <c r="I14" s="21">
        <v>99940</v>
      </c>
      <c r="J14" s="20">
        <v>5</v>
      </c>
      <c r="K14" s="21">
        <v>1255800</v>
      </c>
      <c r="L14" s="20">
        <v>7</v>
      </c>
      <c r="M14" s="21">
        <v>322840</v>
      </c>
      <c r="N14" s="20">
        <v>40</v>
      </c>
      <c r="O14" s="21">
        <v>476300</v>
      </c>
      <c r="P14" s="20">
        <v>81</v>
      </c>
      <c r="Q14" s="21">
        <v>49990</v>
      </c>
      <c r="R14" s="20">
        <v>1</v>
      </c>
      <c r="S14" s="21">
        <v>209930</v>
      </c>
      <c r="T14" s="20">
        <v>5</v>
      </c>
      <c r="U14" s="21">
        <v>22770</v>
      </c>
      <c r="V14" s="20">
        <v>10</v>
      </c>
      <c r="W14" s="28"/>
      <c r="X14" s="27"/>
      <c r="Y14" s="28"/>
      <c r="Z14" s="27"/>
      <c r="AA14" s="22">
        <f t="shared" si="0"/>
        <v>4874110</v>
      </c>
      <c r="AB14" s="78"/>
      <c r="AC14" s="79"/>
    </row>
    <row r="15" spans="2:29">
      <c r="B15" s="76"/>
      <c r="C15" s="23" t="s">
        <v>24</v>
      </c>
      <c r="D15" s="19">
        <v>45301</v>
      </c>
      <c r="E15" s="8">
        <v>438890</v>
      </c>
      <c r="F15" s="20">
        <v>7</v>
      </c>
      <c r="G15" s="21">
        <v>208960</v>
      </c>
      <c r="H15" s="20">
        <v>4</v>
      </c>
      <c r="I15" s="21">
        <v>576890</v>
      </c>
      <c r="J15" s="20">
        <v>8</v>
      </c>
      <c r="K15" s="21">
        <v>318930</v>
      </c>
      <c r="L15" s="20">
        <v>6</v>
      </c>
      <c r="M15" s="21">
        <v>333940</v>
      </c>
      <c r="N15" s="20">
        <v>35</v>
      </c>
      <c r="O15" s="21">
        <v>635350</v>
      </c>
      <c r="P15" s="20">
        <v>93</v>
      </c>
      <c r="Q15" s="21">
        <v>399990</v>
      </c>
      <c r="R15" s="20">
        <v>1</v>
      </c>
      <c r="S15" s="21">
        <v>304960</v>
      </c>
      <c r="T15" s="20">
        <v>3</v>
      </c>
      <c r="U15" s="21">
        <v>10890</v>
      </c>
      <c r="V15" s="20">
        <v>8</v>
      </c>
      <c r="W15" s="28"/>
      <c r="X15" s="27"/>
      <c r="Y15" s="28"/>
      <c r="Z15" s="27"/>
      <c r="AA15" s="22">
        <f t="shared" si="0"/>
        <v>3228800</v>
      </c>
      <c r="AB15" s="78"/>
      <c r="AC15" s="79"/>
    </row>
    <row r="16" spans="2:29">
      <c r="B16" s="76"/>
      <c r="C16" s="23" t="s">
        <v>25</v>
      </c>
      <c r="D16" s="19">
        <v>45302</v>
      </c>
      <c r="E16" s="8">
        <v>1761720</v>
      </c>
      <c r="F16" s="31">
        <v>18</v>
      </c>
      <c r="G16" s="21">
        <v>362920</v>
      </c>
      <c r="H16" s="20">
        <v>5</v>
      </c>
      <c r="I16" s="21">
        <v>97960</v>
      </c>
      <c r="J16" s="20">
        <v>3</v>
      </c>
      <c r="K16" s="21">
        <v>1959630</v>
      </c>
      <c r="L16" s="31">
        <v>18</v>
      </c>
      <c r="M16" s="21">
        <v>466060</v>
      </c>
      <c r="N16" s="31">
        <v>61</v>
      </c>
      <c r="O16" s="21">
        <v>515100</v>
      </c>
      <c r="P16" s="31">
        <v>79</v>
      </c>
      <c r="Q16" s="21">
        <v>299990</v>
      </c>
      <c r="R16" s="31">
        <v>1</v>
      </c>
      <c r="S16" s="21">
        <v>0</v>
      </c>
      <c r="T16" s="31">
        <v>0</v>
      </c>
      <c r="U16" s="21">
        <v>23790</v>
      </c>
      <c r="V16" s="31">
        <v>12</v>
      </c>
      <c r="W16" s="28"/>
      <c r="X16" s="32"/>
      <c r="Y16" s="28"/>
      <c r="Z16" s="32"/>
      <c r="AA16" s="22">
        <f t="shared" si="0"/>
        <v>5487170</v>
      </c>
      <c r="AB16" s="78"/>
      <c r="AC16" s="79"/>
    </row>
    <row r="17" spans="2:37">
      <c r="B17" s="77"/>
      <c r="C17" s="33" t="s">
        <v>26</v>
      </c>
      <c r="D17" s="34">
        <v>45303</v>
      </c>
      <c r="E17" s="35">
        <v>2980470</v>
      </c>
      <c r="F17" s="36">
        <v>29</v>
      </c>
      <c r="G17" s="37">
        <v>114960</v>
      </c>
      <c r="H17" s="36">
        <v>3</v>
      </c>
      <c r="I17" s="37">
        <v>882810</v>
      </c>
      <c r="J17" s="36">
        <v>14</v>
      </c>
      <c r="K17" s="37">
        <v>1172271</v>
      </c>
      <c r="L17" s="36">
        <v>10</v>
      </c>
      <c r="M17" s="37">
        <v>997980</v>
      </c>
      <c r="N17" s="36">
        <v>127</v>
      </c>
      <c r="O17" s="38">
        <v>0</v>
      </c>
      <c r="P17" s="39">
        <v>0</v>
      </c>
      <c r="Q17" s="37">
        <v>26990</v>
      </c>
      <c r="R17" s="36">
        <v>1</v>
      </c>
      <c r="S17" s="38">
        <v>0</v>
      </c>
      <c r="T17" s="39">
        <v>0</v>
      </c>
      <c r="U17" s="37">
        <v>27740</v>
      </c>
      <c r="V17" s="36">
        <v>13</v>
      </c>
      <c r="W17" s="38"/>
      <c r="X17" s="39"/>
      <c r="Y17" s="38"/>
      <c r="Z17" s="39"/>
      <c r="AA17" s="22">
        <f t="shared" si="0"/>
        <v>6203221</v>
      </c>
      <c r="AB17" s="78"/>
      <c r="AC17" s="79"/>
    </row>
    <row r="18" spans="2:37">
      <c r="B18" s="75" t="s">
        <v>28</v>
      </c>
      <c r="C18" s="18" t="s">
        <v>20</v>
      </c>
      <c r="D18" s="19">
        <v>45304</v>
      </c>
      <c r="E18" s="40">
        <v>980790</v>
      </c>
      <c r="F18" s="41">
        <v>14</v>
      </c>
      <c r="G18" s="42">
        <v>216950</v>
      </c>
      <c r="H18" s="41">
        <v>2</v>
      </c>
      <c r="I18" s="42">
        <v>349960</v>
      </c>
      <c r="J18" s="41">
        <v>4</v>
      </c>
      <c r="K18" s="42">
        <v>1477750</v>
      </c>
      <c r="L18" s="41">
        <v>10</v>
      </c>
      <c r="M18" s="42">
        <v>275430</v>
      </c>
      <c r="N18" s="41">
        <v>31</v>
      </c>
      <c r="O18" s="42">
        <v>259050</v>
      </c>
      <c r="P18" s="41">
        <v>58</v>
      </c>
      <c r="Q18" s="21">
        <v>0</v>
      </c>
      <c r="R18" s="20">
        <v>0</v>
      </c>
      <c r="S18" s="21">
        <v>0</v>
      </c>
      <c r="T18" s="20">
        <v>0</v>
      </c>
      <c r="U18" s="28">
        <v>0</v>
      </c>
      <c r="V18" s="27">
        <v>0</v>
      </c>
      <c r="W18" s="28"/>
      <c r="X18" s="27"/>
      <c r="Y18" s="28"/>
      <c r="Z18" s="27"/>
      <c r="AA18" s="22">
        <f t="shared" si="0"/>
        <v>3559930</v>
      </c>
      <c r="AB18" s="78">
        <f t="shared" ref="AB18" si="2">SUM(AA18:AA24)</f>
        <v>28523291</v>
      </c>
      <c r="AC18" s="79">
        <v>34701980</v>
      </c>
    </row>
    <row r="19" spans="2:37">
      <c r="B19" s="76"/>
      <c r="C19" s="23" t="s">
        <v>21</v>
      </c>
      <c r="D19" s="19">
        <v>45305</v>
      </c>
      <c r="E19" s="8">
        <v>510890</v>
      </c>
      <c r="F19" s="20">
        <v>8</v>
      </c>
      <c r="G19" s="21">
        <v>486950</v>
      </c>
      <c r="H19" s="20">
        <v>3</v>
      </c>
      <c r="I19" s="21">
        <v>79960</v>
      </c>
      <c r="J19" s="20">
        <v>2</v>
      </c>
      <c r="K19" s="21">
        <v>282910</v>
      </c>
      <c r="L19" s="20">
        <v>6</v>
      </c>
      <c r="M19" s="21">
        <v>372910</v>
      </c>
      <c r="N19" s="20">
        <v>46</v>
      </c>
      <c r="O19" s="21">
        <v>400950</v>
      </c>
      <c r="P19" s="20">
        <v>63</v>
      </c>
      <c r="Q19" s="21">
        <v>58970</v>
      </c>
      <c r="R19" s="20">
        <v>1</v>
      </c>
      <c r="S19" s="21">
        <v>0</v>
      </c>
      <c r="T19" s="20">
        <v>0</v>
      </c>
      <c r="U19" s="28">
        <v>0</v>
      </c>
      <c r="V19" s="27">
        <v>0</v>
      </c>
      <c r="W19" s="28"/>
      <c r="X19" s="27"/>
      <c r="Y19" s="28"/>
      <c r="Z19" s="27"/>
      <c r="AA19" s="22">
        <f t="shared" si="0"/>
        <v>2193540</v>
      </c>
      <c r="AB19" s="78"/>
      <c r="AC19" s="79"/>
    </row>
    <row r="20" spans="2:37">
      <c r="B20" s="76"/>
      <c r="C20" s="23" t="s">
        <v>22</v>
      </c>
      <c r="D20" s="19">
        <v>45306</v>
      </c>
      <c r="E20" s="8">
        <v>1474740</v>
      </c>
      <c r="F20" s="20">
        <v>15</v>
      </c>
      <c r="G20" s="21">
        <v>764910</v>
      </c>
      <c r="H20" s="20">
        <v>7</v>
      </c>
      <c r="I20" s="21">
        <v>767910</v>
      </c>
      <c r="J20" s="20">
        <v>7</v>
      </c>
      <c r="K20" s="21">
        <v>1433790</v>
      </c>
      <c r="L20" s="29"/>
      <c r="M20" s="21">
        <v>347530</v>
      </c>
      <c r="N20" s="20">
        <v>58</v>
      </c>
      <c r="O20" s="21">
        <v>568980</v>
      </c>
      <c r="P20" s="20">
        <v>88</v>
      </c>
      <c r="Q20" s="21">
        <v>0</v>
      </c>
      <c r="R20" s="20">
        <v>0</v>
      </c>
      <c r="S20" s="21">
        <v>165970</v>
      </c>
      <c r="T20" s="20">
        <v>2</v>
      </c>
      <c r="U20" s="28"/>
      <c r="V20" s="27"/>
      <c r="W20" s="28"/>
      <c r="X20" s="27"/>
      <c r="Y20" s="28"/>
      <c r="Z20" s="27"/>
      <c r="AA20" s="22">
        <f t="shared" si="0"/>
        <v>5523830</v>
      </c>
      <c r="AB20" s="78"/>
      <c r="AC20" s="79"/>
    </row>
    <row r="21" spans="2:37">
      <c r="B21" s="76"/>
      <c r="C21" s="23" t="s">
        <v>23</v>
      </c>
      <c r="D21" s="19">
        <v>45307</v>
      </c>
      <c r="E21" s="8">
        <v>1147680</v>
      </c>
      <c r="F21" s="20">
        <v>18</v>
      </c>
      <c r="G21" s="21">
        <v>1015845</v>
      </c>
      <c r="H21" s="20">
        <v>7</v>
      </c>
      <c r="I21" s="21">
        <v>626930</v>
      </c>
      <c r="J21" s="20">
        <v>5</v>
      </c>
      <c r="K21" s="21">
        <v>957736</v>
      </c>
      <c r="L21" s="20">
        <v>9</v>
      </c>
      <c r="M21" s="21">
        <v>281430</v>
      </c>
      <c r="N21" s="20">
        <v>50</v>
      </c>
      <c r="O21" s="21">
        <v>371090</v>
      </c>
      <c r="P21" s="20">
        <v>73</v>
      </c>
      <c r="Q21" s="21">
        <v>49990</v>
      </c>
      <c r="R21" s="20">
        <v>1</v>
      </c>
      <c r="S21" s="21">
        <v>253960</v>
      </c>
      <c r="T21" s="20">
        <v>3</v>
      </c>
      <c r="U21" s="28"/>
      <c r="V21" s="27"/>
      <c r="W21" s="28"/>
      <c r="X21" s="27"/>
      <c r="Y21" s="28"/>
      <c r="Z21" s="27"/>
      <c r="AA21" s="22">
        <f t="shared" si="0"/>
        <v>4704661</v>
      </c>
      <c r="AB21" s="78"/>
      <c r="AC21" s="79"/>
    </row>
    <row r="22" spans="2:37">
      <c r="B22" s="76"/>
      <c r="C22" s="23" t="s">
        <v>24</v>
      </c>
      <c r="D22" s="19">
        <v>45308</v>
      </c>
      <c r="E22" s="8">
        <v>1383770</v>
      </c>
      <c r="F22" s="20">
        <v>13</v>
      </c>
      <c r="G22" s="21">
        <v>403880</v>
      </c>
      <c r="H22" s="20">
        <v>6</v>
      </c>
      <c r="I22" s="21">
        <v>418940</v>
      </c>
      <c r="J22" s="20">
        <v>5</v>
      </c>
      <c r="K22" s="21">
        <v>105970</v>
      </c>
      <c r="L22" s="20">
        <v>2</v>
      </c>
      <c r="M22" s="21">
        <v>305860</v>
      </c>
      <c r="N22" s="20">
        <v>49</v>
      </c>
      <c r="O22" s="21">
        <v>766340</v>
      </c>
      <c r="P22" s="20">
        <v>93</v>
      </c>
      <c r="Q22" s="21">
        <v>109990</v>
      </c>
      <c r="R22" s="20">
        <v>1</v>
      </c>
      <c r="S22" s="21">
        <v>0</v>
      </c>
      <c r="T22" s="20">
        <v>0</v>
      </c>
      <c r="U22" s="28"/>
      <c r="V22" s="27"/>
      <c r="W22" s="28"/>
      <c r="X22" s="27"/>
      <c r="Y22" s="28"/>
      <c r="Z22" s="27"/>
      <c r="AA22" s="22">
        <f t="shared" si="0"/>
        <v>3494750</v>
      </c>
      <c r="AB22" s="78"/>
      <c r="AC22" s="79"/>
    </row>
    <row r="23" spans="2:37" ht="15.6">
      <c r="B23" s="76"/>
      <c r="C23" s="23" t="s">
        <v>25</v>
      </c>
      <c r="D23" s="19">
        <v>45309</v>
      </c>
      <c r="E23" s="8">
        <v>1869710</v>
      </c>
      <c r="F23" s="31">
        <v>18</v>
      </c>
      <c r="G23" s="21">
        <v>75960</v>
      </c>
      <c r="H23" s="31">
        <v>4</v>
      </c>
      <c r="I23" s="21">
        <v>494930</v>
      </c>
      <c r="J23" s="31">
        <v>6</v>
      </c>
      <c r="K23" s="21">
        <v>1119840</v>
      </c>
      <c r="L23" s="31">
        <v>9</v>
      </c>
      <c r="M23" s="21">
        <v>577970</v>
      </c>
      <c r="N23" s="31">
        <v>71</v>
      </c>
      <c r="O23" s="21">
        <v>416770</v>
      </c>
      <c r="P23" s="31">
        <v>88</v>
      </c>
      <c r="Q23" s="21">
        <v>0</v>
      </c>
      <c r="R23" s="31">
        <v>0</v>
      </c>
      <c r="S23" s="21">
        <v>0</v>
      </c>
      <c r="T23" s="31">
        <v>0</v>
      </c>
      <c r="U23" s="28"/>
      <c r="V23" s="32"/>
      <c r="W23" s="28"/>
      <c r="X23" s="32"/>
      <c r="Y23" s="28"/>
      <c r="Z23" s="32"/>
      <c r="AA23" s="22">
        <f t="shared" si="0"/>
        <v>4555180</v>
      </c>
      <c r="AB23" s="78"/>
      <c r="AC23" s="79"/>
      <c r="AD23" s="30"/>
      <c r="AE23" s="30"/>
      <c r="AF23" s="30"/>
      <c r="AG23" s="30"/>
      <c r="AH23" s="30"/>
      <c r="AI23" s="30"/>
      <c r="AJ23" s="30"/>
      <c r="AK23" s="44"/>
    </row>
    <row r="24" spans="2:37">
      <c r="B24" s="77"/>
      <c r="C24" s="33" t="s">
        <v>26</v>
      </c>
      <c r="D24" s="34">
        <v>45310</v>
      </c>
      <c r="E24" s="35">
        <v>1348690</v>
      </c>
      <c r="F24" s="36">
        <v>21</v>
      </c>
      <c r="G24" s="37">
        <v>550880</v>
      </c>
      <c r="H24" s="36">
        <v>6</v>
      </c>
      <c r="I24" s="37">
        <v>627900</v>
      </c>
      <c r="J24" s="36">
        <v>9</v>
      </c>
      <c r="K24" s="37">
        <v>938860</v>
      </c>
      <c r="L24" s="36">
        <v>8</v>
      </c>
      <c r="M24" s="37">
        <v>855090</v>
      </c>
      <c r="N24" s="36">
        <v>110</v>
      </c>
      <c r="O24" s="38">
        <v>0</v>
      </c>
      <c r="P24" s="39">
        <v>0</v>
      </c>
      <c r="Q24" s="37">
        <v>169980</v>
      </c>
      <c r="R24" s="36">
        <v>2</v>
      </c>
      <c r="S24" s="38">
        <v>0</v>
      </c>
      <c r="T24" s="39">
        <v>0</v>
      </c>
      <c r="U24" s="38"/>
      <c r="V24" s="39"/>
      <c r="W24" s="38"/>
      <c r="X24" s="39"/>
      <c r="Y24" s="38"/>
      <c r="Z24" s="39"/>
      <c r="AA24" s="22">
        <f t="shared" si="0"/>
        <v>4491400</v>
      </c>
      <c r="AB24" s="78"/>
      <c r="AC24" s="79"/>
    </row>
    <row r="25" spans="2:37" ht="16.05" customHeight="1">
      <c r="B25" s="75" t="s">
        <v>29</v>
      </c>
      <c r="C25" s="18" t="s">
        <v>20</v>
      </c>
      <c r="D25" s="19">
        <v>45311</v>
      </c>
      <c r="E25" s="40">
        <v>1484800</v>
      </c>
      <c r="F25" s="41">
        <v>14</v>
      </c>
      <c r="G25" s="42">
        <v>722810</v>
      </c>
      <c r="H25" s="41">
        <v>9</v>
      </c>
      <c r="I25" s="42">
        <v>85970</v>
      </c>
      <c r="J25" s="41">
        <v>3</v>
      </c>
      <c r="K25" s="42">
        <v>686900</v>
      </c>
      <c r="L25" s="41">
        <v>6</v>
      </c>
      <c r="M25" s="42">
        <v>311090</v>
      </c>
      <c r="N25" s="41">
        <v>38</v>
      </c>
      <c r="O25" s="42">
        <v>534630</v>
      </c>
      <c r="P25" s="41">
        <v>105</v>
      </c>
      <c r="Q25" s="21">
        <v>0</v>
      </c>
      <c r="R25" s="20">
        <v>0</v>
      </c>
      <c r="S25" s="21">
        <v>241980</v>
      </c>
      <c r="T25" s="20">
        <v>2</v>
      </c>
      <c r="U25" s="28">
        <v>0</v>
      </c>
      <c r="V25" s="27">
        <v>0</v>
      </c>
      <c r="W25" s="28"/>
      <c r="X25" s="27"/>
      <c r="Y25" s="28"/>
      <c r="Z25" s="27"/>
      <c r="AA25" s="22">
        <f t="shared" si="0"/>
        <v>4068180</v>
      </c>
      <c r="AB25" s="78">
        <f t="shared" ref="AB25" si="3">SUM(AA25:AA31)</f>
        <v>29307182</v>
      </c>
      <c r="AC25" s="79">
        <v>27704620</v>
      </c>
    </row>
    <row r="26" spans="2:37">
      <c r="B26" s="76"/>
      <c r="C26" s="23" t="s">
        <v>21</v>
      </c>
      <c r="D26" s="19">
        <v>45312</v>
      </c>
      <c r="E26" s="8">
        <v>528840</v>
      </c>
      <c r="F26" s="20">
        <v>8</v>
      </c>
      <c r="G26" s="21">
        <v>845920</v>
      </c>
      <c r="H26" s="20">
        <v>7</v>
      </c>
      <c r="I26" s="21">
        <v>121960</v>
      </c>
      <c r="J26" s="20">
        <v>4</v>
      </c>
      <c r="K26" s="21">
        <v>1257790</v>
      </c>
      <c r="L26" s="20">
        <v>11</v>
      </c>
      <c r="M26" s="21">
        <v>316130</v>
      </c>
      <c r="N26" s="20">
        <v>47</v>
      </c>
      <c r="O26" s="21">
        <v>496050</v>
      </c>
      <c r="P26" s="20">
        <v>78</v>
      </c>
      <c r="Q26" s="21">
        <v>0</v>
      </c>
      <c r="R26" s="20">
        <v>0</v>
      </c>
      <c r="S26" s="21">
        <v>26990</v>
      </c>
      <c r="T26" s="20">
        <v>1</v>
      </c>
      <c r="U26" s="28">
        <v>0</v>
      </c>
      <c r="V26" s="27">
        <v>0</v>
      </c>
      <c r="W26" s="28"/>
      <c r="X26" s="27"/>
      <c r="Y26" s="28"/>
      <c r="Z26" s="27"/>
      <c r="AA26" s="22">
        <f t="shared" si="0"/>
        <v>3593680</v>
      </c>
      <c r="AB26" s="78"/>
      <c r="AC26" s="79"/>
    </row>
    <row r="27" spans="2:37">
      <c r="B27" s="76"/>
      <c r="C27" s="23" t="s">
        <v>22</v>
      </c>
      <c r="D27" s="19">
        <v>45313</v>
      </c>
      <c r="E27" s="8">
        <v>1646540</v>
      </c>
      <c r="F27" s="20">
        <v>20</v>
      </c>
      <c r="G27" s="21">
        <v>331950</v>
      </c>
      <c r="H27" s="20">
        <v>4</v>
      </c>
      <c r="I27" s="21">
        <v>0</v>
      </c>
      <c r="J27" s="20">
        <v>0</v>
      </c>
      <c r="K27" s="21">
        <v>1049870</v>
      </c>
      <c r="L27" s="20">
        <v>11</v>
      </c>
      <c r="M27" s="21">
        <v>302870</v>
      </c>
      <c r="N27" s="20">
        <v>45</v>
      </c>
      <c r="O27" s="21">
        <v>590870</v>
      </c>
      <c r="P27" s="20">
        <v>97</v>
      </c>
      <c r="Q27" s="21">
        <v>171990</v>
      </c>
      <c r="R27" s="20">
        <v>1</v>
      </c>
      <c r="S27" s="21">
        <v>71990</v>
      </c>
      <c r="T27" s="20">
        <v>1</v>
      </c>
      <c r="U27" s="28"/>
      <c r="V27" s="27"/>
      <c r="W27" s="28"/>
      <c r="X27" s="27"/>
      <c r="Y27" s="28"/>
      <c r="Z27" s="27"/>
      <c r="AA27" s="22">
        <f t="shared" si="0"/>
        <v>4166080</v>
      </c>
      <c r="AB27" s="78"/>
      <c r="AC27" s="79"/>
    </row>
    <row r="28" spans="2:37">
      <c r="B28" s="76"/>
      <c r="C28" s="23" t="s">
        <v>23</v>
      </c>
      <c r="D28" s="19">
        <v>45314</v>
      </c>
      <c r="E28" s="8">
        <v>792860</v>
      </c>
      <c r="F28" s="20">
        <v>11</v>
      </c>
      <c r="G28" s="21">
        <v>29990</v>
      </c>
      <c r="H28" s="20">
        <v>1</v>
      </c>
      <c r="I28" s="21">
        <v>353930</v>
      </c>
      <c r="J28" s="20">
        <v>4</v>
      </c>
      <c r="K28" s="21">
        <v>1206840</v>
      </c>
      <c r="L28" s="20">
        <v>8</v>
      </c>
      <c r="M28" s="21">
        <v>271410</v>
      </c>
      <c r="N28" s="20">
        <v>35</v>
      </c>
      <c r="O28" s="21">
        <v>377710</v>
      </c>
      <c r="P28" s="20">
        <v>46</v>
      </c>
      <c r="Q28" s="21">
        <v>0</v>
      </c>
      <c r="R28" s="20">
        <v>0</v>
      </c>
      <c r="S28" s="21">
        <v>49990</v>
      </c>
      <c r="T28" s="20">
        <v>1</v>
      </c>
      <c r="U28" s="28"/>
      <c r="V28" s="27"/>
      <c r="W28" s="28"/>
      <c r="X28" s="27"/>
      <c r="Y28" s="28"/>
      <c r="Z28" s="27"/>
      <c r="AA28" s="22">
        <f t="shared" si="0"/>
        <v>3082730</v>
      </c>
      <c r="AB28" s="78"/>
      <c r="AC28" s="79"/>
      <c r="AD28" s="43"/>
      <c r="AE28" s="43"/>
      <c r="AF28" s="43"/>
      <c r="AG28" s="43"/>
      <c r="AH28" s="43"/>
    </row>
    <row r="29" spans="2:37">
      <c r="B29" s="76"/>
      <c r="C29" s="23" t="s">
        <v>24</v>
      </c>
      <c r="D29" s="19">
        <v>45315</v>
      </c>
      <c r="E29" s="8">
        <v>1111830</v>
      </c>
      <c r="F29" s="20">
        <v>9</v>
      </c>
      <c r="G29" s="21">
        <v>125950</v>
      </c>
      <c r="H29" s="20">
        <v>3</v>
      </c>
      <c r="I29" s="21">
        <v>0</v>
      </c>
      <c r="J29" s="20">
        <v>0</v>
      </c>
      <c r="K29" s="21">
        <v>1739780</v>
      </c>
      <c r="L29" s="20">
        <v>14</v>
      </c>
      <c r="M29" s="21">
        <v>392420</v>
      </c>
      <c r="N29" s="20">
        <v>48</v>
      </c>
      <c r="O29" s="21">
        <v>461970</v>
      </c>
      <c r="P29" s="20">
        <v>105</v>
      </c>
      <c r="Q29" s="21">
        <v>0</v>
      </c>
      <c r="R29" s="20">
        <v>0</v>
      </c>
      <c r="S29" s="21">
        <v>52970</v>
      </c>
      <c r="T29" s="20">
        <v>3</v>
      </c>
      <c r="U29" s="28"/>
      <c r="V29" s="27"/>
      <c r="W29" s="28"/>
      <c r="X29" s="27"/>
      <c r="Y29" s="28"/>
      <c r="Z29" s="27"/>
      <c r="AA29" s="22">
        <f t="shared" si="0"/>
        <v>3884920</v>
      </c>
      <c r="AB29" s="78"/>
      <c r="AC29" s="79"/>
    </row>
    <row r="30" spans="2:37">
      <c r="B30" s="76"/>
      <c r="C30" s="23" t="s">
        <v>25</v>
      </c>
      <c r="D30" s="19">
        <v>45316</v>
      </c>
      <c r="E30" s="8">
        <v>688830</v>
      </c>
      <c r="F30" s="31">
        <v>13</v>
      </c>
      <c r="G30" s="21">
        <v>76980</v>
      </c>
      <c r="H30" s="31">
        <v>2</v>
      </c>
      <c r="I30" s="21">
        <v>728920</v>
      </c>
      <c r="J30" s="31">
        <v>6</v>
      </c>
      <c r="K30" s="21">
        <v>736873</v>
      </c>
      <c r="L30" s="31">
        <v>10</v>
      </c>
      <c r="M30" s="21">
        <v>420320</v>
      </c>
      <c r="N30" s="31">
        <v>69</v>
      </c>
      <c r="O30" s="21">
        <v>304030</v>
      </c>
      <c r="P30" s="31">
        <v>60</v>
      </c>
      <c r="Q30" s="21">
        <v>28980</v>
      </c>
      <c r="R30" s="31">
        <v>2</v>
      </c>
      <c r="S30" s="21">
        <v>0</v>
      </c>
      <c r="T30" s="31">
        <v>0</v>
      </c>
      <c r="U30" s="28"/>
      <c r="V30" s="32"/>
      <c r="W30" s="28"/>
      <c r="X30" s="32"/>
      <c r="Y30" s="28"/>
      <c r="Z30" s="32"/>
      <c r="AA30" s="22">
        <f t="shared" si="0"/>
        <v>2984933</v>
      </c>
      <c r="AB30" s="78"/>
      <c r="AC30" s="79"/>
    </row>
    <row r="31" spans="2:37" ht="16.05" customHeight="1">
      <c r="B31" s="77"/>
      <c r="C31" s="33" t="s">
        <v>26</v>
      </c>
      <c r="D31" s="34">
        <v>45317</v>
      </c>
      <c r="E31" s="35">
        <v>2821550</v>
      </c>
      <c r="F31" s="36">
        <v>31</v>
      </c>
      <c r="G31" s="37">
        <v>153149</v>
      </c>
      <c r="H31" s="36">
        <v>4</v>
      </c>
      <c r="I31" s="37">
        <v>1201830</v>
      </c>
      <c r="J31" s="36">
        <v>12</v>
      </c>
      <c r="K31" s="37">
        <v>2333750</v>
      </c>
      <c r="L31" s="36">
        <v>16</v>
      </c>
      <c r="M31" s="37">
        <v>801400</v>
      </c>
      <c r="N31" s="36">
        <v>124</v>
      </c>
      <c r="O31" s="38">
        <v>0</v>
      </c>
      <c r="P31" s="39">
        <v>0</v>
      </c>
      <c r="Q31" s="37">
        <v>214980</v>
      </c>
      <c r="R31" s="36">
        <v>2</v>
      </c>
      <c r="S31" s="38">
        <v>0</v>
      </c>
      <c r="T31" s="39">
        <v>0</v>
      </c>
      <c r="U31" s="38"/>
      <c r="V31" s="39"/>
      <c r="W31" s="38"/>
      <c r="X31" s="39"/>
      <c r="Y31" s="38"/>
      <c r="Z31" s="39"/>
      <c r="AA31" s="22">
        <f t="shared" si="0"/>
        <v>7526659</v>
      </c>
      <c r="AB31" s="78"/>
      <c r="AC31" s="79"/>
    </row>
    <row r="32" spans="2:37" ht="16.05" customHeight="1">
      <c r="B32" s="75" t="s">
        <v>30</v>
      </c>
      <c r="C32" s="18" t="s">
        <v>20</v>
      </c>
      <c r="D32" s="19">
        <v>45318</v>
      </c>
      <c r="E32" s="40">
        <v>545870</v>
      </c>
      <c r="F32" s="41">
        <v>7</v>
      </c>
      <c r="G32" s="42">
        <v>325920</v>
      </c>
      <c r="H32" s="41">
        <v>6</v>
      </c>
      <c r="I32" s="42">
        <v>68980</v>
      </c>
      <c r="J32" s="41">
        <v>1</v>
      </c>
      <c r="K32" s="42">
        <v>1538810</v>
      </c>
      <c r="L32" s="41">
        <v>9</v>
      </c>
      <c r="M32" s="42">
        <v>483480</v>
      </c>
      <c r="N32" s="41">
        <v>61</v>
      </c>
      <c r="O32" s="42">
        <v>334230</v>
      </c>
      <c r="P32" s="41">
        <v>59</v>
      </c>
      <c r="Q32" s="21">
        <v>415980</v>
      </c>
      <c r="R32" s="20">
        <v>2</v>
      </c>
      <c r="S32" s="21">
        <v>411950</v>
      </c>
      <c r="T32" s="20">
        <v>4</v>
      </c>
      <c r="U32" s="28">
        <v>0</v>
      </c>
      <c r="V32" s="27">
        <v>0</v>
      </c>
      <c r="W32" s="28"/>
      <c r="X32" s="27"/>
      <c r="Y32" s="28"/>
      <c r="Z32" s="27"/>
      <c r="AA32" s="22">
        <f t="shared" si="0"/>
        <v>4125220</v>
      </c>
      <c r="AB32" s="78">
        <f t="shared" ref="AB32" si="4">SUM(AA32:AA38)</f>
        <v>29099340</v>
      </c>
      <c r="AC32" s="79">
        <v>24001539</v>
      </c>
    </row>
    <row r="33" spans="1:29">
      <c r="B33" s="76"/>
      <c r="C33" s="23" t="s">
        <v>21</v>
      </c>
      <c r="D33" s="19">
        <v>45319</v>
      </c>
      <c r="E33" s="8">
        <v>617920</v>
      </c>
      <c r="F33" s="20">
        <v>7</v>
      </c>
      <c r="G33" s="21">
        <v>178960</v>
      </c>
      <c r="H33" s="20">
        <v>3</v>
      </c>
      <c r="I33" s="21">
        <v>211870</v>
      </c>
      <c r="J33" s="20">
        <v>9</v>
      </c>
      <c r="K33" s="21">
        <v>1193790</v>
      </c>
      <c r="L33" s="20">
        <v>16</v>
      </c>
      <c r="M33" s="21">
        <v>514530</v>
      </c>
      <c r="N33" s="20">
        <v>43</v>
      </c>
      <c r="O33" s="21">
        <v>315540</v>
      </c>
      <c r="P33" s="20">
        <v>56</v>
      </c>
      <c r="Q33" s="21">
        <v>0</v>
      </c>
      <c r="R33" s="20">
        <v>0</v>
      </c>
      <c r="S33" s="21">
        <v>0</v>
      </c>
      <c r="T33" s="20">
        <v>0</v>
      </c>
      <c r="U33" s="28">
        <v>0</v>
      </c>
      <c r="V33" s="27">
        <v>0</v>
      </c>
      <c r="W33" s="28"/>
      <c r="X33" s="27"/>
      <c r="Y33" s="28"/>
      <c r="Z33" s="27"/>
      <c r="AA33" s="22">
        <f t="shared" si="0"/>
        <v>3032610</v>
      </c>
      <c r="AB33" s="78"/>
      <c r="AC33" s="79"/>
    </row>
    <row r="34" spans="1:29">
      <c r="B34" s="76"/>
      <c r="C34" s="23" t="s">
        <v>22</v>
      </c>
      <c r="D34" s="19">
        <v>45320</v>
      </c>
      <c r="E34" s="8">
        <v>736860</v>
      </c>
      <c r="F34" s="20">
        <v>9</v>
      </c>
      <c r="G34" s="21">
        <v>938882</v>
      </c>
      <c r="H34" s="20">
        <v>6</v>
      </c>
      <c r="I34" s="21">
        <v>900910</v>
      </c>
      <c r="J34" s="20">
        <v>6</v>
      </c>
      <c r="K34" s="21">
        <v>1021750</v>
      </c>
      <c r="L34" s="20">
        <v>9</v>
      </c>
      <c r="M34" s="21">
        <v>339270</v>
      </c>
      <c r="N34" s="20">
        <v>52</v>
      </c>
      <c r="O34" s="21">
        <v>625670</v>
      </c>
      <c r="P34" s="20">
        <v>90</v>
      </c>
      <c r="Q34" s="21">
        <v>0</v>
      </c>
      <c r="R34" s="20">
        <v>0</v>
      </c>
      <c r="S34" s="21">
        <v>29990</v>
      </c>
      <c r="T34" s="20">
        <v>1</v>
      </c>
      <c r="U34" s="28"/>
      <c r="V34" s="27"/>
      <c r="W34" s="28"/>
      <c r="X34" s="27"/>
      <c r="Y34" s="28"/>
      <c r="Z34" s="27"/>
      <c r="AA34" s="22">
        <f t="shared" si="0"/>
        <v>4593332</v>
      </c>
      <c r="AB34" s="78"/>
      <c r="AC34" s="79"/>
    </row>
    <row r="35" spans="1:29">
      <c r="B35" s="76"/>
      <c r="C35" s="23" t="s">
        <v>23</v>
      </c>
      <c r="D35" s="19">
        <v>45321</v>
      </c>
      <c r="E35" s="8">
        <v>1021920</v>
      </c>
      <c r="F35" s="20">
        <v>7</v>
      </c>
      <c r="G35" s="21">
        <v>685920</v>
      </c>
      <c r="H35" s="20">
        <v>6</v>
      </c>
      <c r="I35" s="21">
        <v>241980</v>
      </c>
      <c r="J35" s="20">
        <v>2</v>
      </c>
      <c r="K35" s="21">
        <v>960800</v>
      </c>
      <c r="L35" s="20">
        <v>12</v>
      </c>
      <c r="M35" s="21">
        <v>427910</v>
      </c>
      <c r="N35" s="20">
        <v>56</v>
      </c>
      <c r="O35" s="21">
        <v>388290</v>
      </c>
      <c r="P35" s="20">
        <v>83</v>
      </c>
      <c r="Q35" s="21">
        <v>165990</v>
      </c>
      <c r="R35" s="20">
        <v>1</v>
      </c>
      <c r="S35" s="21">
        <v>0</v>
      </c>
      <c r="T35" s="20">
        <v>0</v>
      </c>
      <c r="U35" s="28"/>
      <c r="V35" s="27"/>
      <c r="W35" s="28"/>
      <c r="X35" s="27"/>
      <c r="Y35" s="28"/>
      <c r="Z35" s="27"/>
      <c r="AA35" s="22">
        <f t="shared" si="0"/>
        <v>3892810</v>
      </c>
      <c r="AB35" s="78"/>
      <c r="AC35" s="79"/>
    </row>
    <row r="36" spans="1:29">
      <c r="B36" s="76"/>
      <c r="C36" s="23" t="s">
        <v>24</v>
      </c>
      <c r="D36" s="19">
        <v>45322</v>
      </c>
      <c r="E36" s="8">
        <v>1491720</v>
      </c>
      <c r="F36" s="20">
        <v>15</v>
      </c>
      <c r="G36" s="21">
        <v>1510850</v>
      </c>
      <c r="H36" s="20">
        <v>8</v>
      </c>
      <c r="I36" s="21">
        <v>808930</v>
      </c>
      <c r="J36" s="20">
        <v>6</v>
      </c>
      <c r="K36" s="21">
        <v>1726252</v>
      </c>
      <c r="L36" s="20">
        <v>15</v>
      </c>
      <c r="M36" s="21">
        <v>349960</v>
      </c>
      <c r="N36" s="20">
        <v>28</v>
      </c>
      <c r="O36" s="21">
        <v>417370</v>
      </c>
      <c r="P36" s="20">
        <v>83</v>
      </c>
      <c r="Q36" s="21">
        <v>49990</v>
      </c>
      <c r="R36" s="20">
        <v>1</v>
      </c>
      <c r="S36" s="21">
        <v>78980</v>
      </c>
      <c r="T36" s="20">
        <v>3</v>
      </c>
      <c r="U36" s="28"/>
      <c r="V36" s="27"/>
      <c r="W36" s="28"/>
      <c r="X36" s="27"/>
      <c r="Y36" s="28"/>
      <c r="Z36" s="27"/>
      <c r="AA36" s="22">
        <f t="shared" si="0"/>
        <v>6434052</v>
      </c>
      <c r="AB36" s="78"/>
      <c r="AC36" s="79"/>
    </row>
    <row r="37" spans="1:29">
      <c r="B37" s="76"/>
      <c r="C37" s="23" t="s">
        <v>25</v>
      </c>
      <c r="D37" s="19">
        <v>45323</v>
      </c>
      <c r="E37" s="8">
        <v>810770</v>
      </c>
      <c r="F37" s="31">
        <v>12</v>
      </c>
      <c r="G37" s="21">
        <v>607950</v>
      </c>
      <c r="H37" s="31">
        <v>4</v>
      </c>
      <c r="I37" s="21">
        <v>476950</v>
      </c>
      <c r="J37" s="31">
        <v>3</v>
      </c>
      <c r="K37" s="21">
        <v>298880</v>
      </c>
      <c r="L37" s="31">
        <v>5</v>
      </c>
      <c r="M37" s="21">
        <v>511710</v>
      </c>
      <c r="N37" s="31">
        <v>53</v>
      </c>
      <c r="O37" s="21">
        <v>399570</v>
      </c>
      <c r="P37" s="31">
        <v>68</v>
      </c>
      <c r="Q37" s="21">
        <v>424970</v>
      </c>
      <c r="R37" s="31">
        <v>3</v>
      </c>
      <c r="S37" s="21">
        <v>0</v>
      </c>
      <c r="T37" s="31">
        <v>0</v>
      </c>
      <c r="U37" s="28"/>
      <c r="V37" s="32"/>
      <c r="W37" s="28"/>
      <c r="X37" s="32"/>
      <c r="Y37" s="28"/>
      <c r="Z37" s="32"/>
      <c r="AA37" s="22">
        <f t="shared" si="0"/>
        <v>3530800</v>
      </c>
      <c r="AB37" s="78"/>
      <c r="AC37" s="79"/>
    </row>
    <row r="38" spans="1:29">
      <c r="B38" s="77"/>
      <c r="C38" s="33" t="s">
        <v>26</v>
      </c>
      <c r="D38" s="34">
        <v>45324</v>
      </c>
      <c r="E38" s="35">
        <v>1405800</v>
      </c>
      <c r="F38" s="36">
        <v>15</v>
      </c>
      <c r="G38" s="37">
        <v>432950</v>
      </c>
      <c r="H38" s="36">
        <v>5</v>
      </c>
      <c r="I38" s="37">
        <v>646930</v>
      </c>
      <c r="J38" s="36">
        <v>6</v>
      </c>
      <c r="K38" s="37">
        <v>405316</v>
      </c>
      <c r="L38" s="36">
        <v>8</v>
      </c>
      <c r="M38" s="37">
        <v>483540</v>
      </c>
      <c r="N38" s="36">
        <v>81</v>
      </c>
      <c r="O38" s="38">
        <v>0</v>
      </c>
      <c r="P38" s="39">
        <v>0</v>
      </c>
      <c r="Q38" s="37">
        <v>115980</v>
      </c>
      <c r="R38" s="36">
        <v>2</v>
      </c>
      <c r="S38" s="38">
        <v>0</v>
      </c>
      <c r="T38" s="39">
        <v>0</v>
      </c>
      <c r="U38" s="38"/>
      <c r="V38" s="39"/>
      <c r="W38" s="38"/>
      <c r="X38" s="39"/>
      <c r="Y38" s="38"/>
      <c r="Z38" s="39"/>
      <c r="AA38" s="22">
        <f t="shared" si="0"/>
        <v>3490516</v>
      </c>
      <c r="AB38" s="78"/>
      <c r="AC38" s="79"/>
    </row>
    <row r="39" spans="1:29" ht="16.05" customHeight="1">
      <c r="B39" s="75" t="s">
        <v>31</v>
      </c>
      <c r="C39" s="18" t="s">
        <v>20</v>
      </c>
      <c r="D39" s="19">
        <v>45325</v>
      </c>
      <c r="E39" s="40">
        <v>411910</v>
      </c>
      <c r="F39" s="41">
        <v>5</v>
      </c>
      <c r="G39" s="42">
        <v>366890</v>
      </c>
      <c r="H39" s="41">
        <v>6</v>
      </c>
      <c r="I39" s="42">
        <v>34980</v>
      </c>
      <c r="J39" s="41">
        <v>1</v>
      </c>
      <c r="K39" s="42">
        <v>461961</v>
      </c>
      <c r="L39" s="41">
        <v>4</v>
      </c>
      <c r="M39" s="42">
        <v>72710</v>
      </c>
      <c r="N39" s="41">
        <v>12</v>
      </c>
      <c r="O39" s="42">
        <v>418830</v>
      </c>
      <c r="P39" s="41">
        <v>54</v>
      </c>
      <c r="Q39" s="21">
        <v>0</v>
      </c>
      <c r="R39" s="20">
        <v>0</v>
      </c>
      <c r="S39" s="21">
        <v>0</v>
      </c>
      <c r="T39" s="20">
        <v>0</v>
      </c>
      <c r="U39" s="28">
        <v>0</v>
      </c>
      <c r="V39" s="27">
        <v>0</v>
      </c>
      <c r="W39" s="28"/>
      <c r="X39" s="27"/>
      <c r="Y39" s="28"/>
      <c r="Z39" s="27"/>
      <c r="AA39" s="22">
        <f t="shared" si="0"/>
        <v>1767281</v>
      </c>
      <c r="AB39" s="78">
        <f t="shared" ref="AB39" si="5">SUM(AA39:AA45)</f>
        <v>21376661</v>
      </c>
      <c r="AC39" s="79">
        <v>30631510</v>
      </c>
    </row>
    <row r="40" spans="1:29">
      <c r="B40" s="76"/>
      <c r="C40" s="23" t="s">
        <v>21</v>
      </c>
      <c r="D40" s="19">
        <v>45326</v>
      </c>
      <c r="E40" s="8">
        <v>946910</v>
      </c>
      <c r="F40" s="20">
        <v>6</v>
      </c>
      <c r="G40" s="21">
        <v>48970</v>
      </c>
      <c r="H40" s="20">
        <v>2</v>
      </c>
      <c r="I40" s="21">
        <v>221970</v>
      </c>
      <c r="J40" s="20">
        <v>2</v>
      </c>
      <c r="K40" s="21">
        <v>826800</v>
      </c>
      <c r="L40" s="20">
        <v>14</v>
      </c>
      <c r="M40" s="21">
        <v>333450</v>
      </c>
      <c r="N40" s="20">
        <v>45</v>
      </c>
      <c r="O40" s="21">
        <v>380240</v>
      </c>
      <c r="P40" s="20">
        <v>71</v>
      </c>
      <c r="Q40" s="21">
        <v>109980</v>
      </c>
      <c r="R40" s="20">
        <v>2</v>
      </c>
      <c r="S40" s="21">
        <v>54980</v>
      </c>
      <c r="T40" s="20">
        <v>2</v>
      </c>
      <c r="U40" s="28">
        <v>0</v>
      </c>
      <c r="V40" s="27">
        <v>0</v>
      </c>
      <c r="W40" s="28"/>
      <c r="X40" s="27"/>
      <c r="Y40" s="28"/>
      <c r="Z40" s="27"/>
      <c r="AA40" s="22">
        <f t="shared" si="0"/>
        <v>2923300</v>
      </c>
      <c r="AB40" s="78"/>
      <c r="AC40" s="79"/>
    </row>
    <row r="41" spans="1:29">
      <c r="B41" s="76"/>
      <c r="C41" s="23" t="s">
        <v>22</v>
      </c>
      <c r="D41" s="19">
        <v>45327</v>
      </c>
      <c r="E41" s="8">
        <v>279930</v>
      </c>
      <c r="F41" s="20">
        <v>5</v>
      </c>
      <c r="G41" s="21">
        <v>368930</v>
      </c>
      <c r="H41" s="20">
        <v>5</v>
      </c>
      <c r="I41" s="21">
        <v>56990</v>
      </c>
      <c r="J41" s="20">
        <v>1</v>
      </c>
      <c r="K41" s="21">
        <v>211920</v>
      </c>
      <c r="L41" s="20">
        <v>6</v>
      </c>
      <c r="M41" s="21">
        <v>532000</v>
      </c>
      <c r="N41" s="20">
        <v>58</v>
      </c>
      <c r="O41" s="21">
        <v>437450</v>
      </c>
      <c r="P41" s="20">
        <v>78</v>
      </c>
      <c r="Q41" s="21">
        <v>0</v>
      </c>
      <c r="R41" s="20">
        <v>0</v>
      </c>
      <c r="S41" s="21">
        <v>175980</v>
      </c>
      <c r="T41" s="20">
        <v>2</v>
      </c>
      <c r="U41" s="28"/>
      <c r="V41" s="27"/>
      <c r="W41" s="28"/>
      <c r="X41" s="27"/>
      <c r="Y41" s="28"/>
      <c r="Z41" s="27"/>
      <c r="AA41" s="22">
        <f t="shared" si="0"/>
        <v>2063200</v>
      </c>
      <c r="AB41" s="78"/>
      <c r="AC41" s="79"/>
    </row>
    <row r="42" spans="1:29">
      <c r="B42" s="76"/>
      <c r="C42" s="23" t="s">
        <v>23</v>
      </c>
      <c r="D42" s="19">
        <v>45328</v>
      </c>
      <c r="E42" s="8">
        <v>316900</v>
      </c>
      <c r="F42" s="20">
        <v>6</v>
      </c>
      <c r="G42" s="21">
        <v>0</v>
      </c>
      <c r="H42" s="20">
        <v>0</v>
      </c>
      <c r="I42" s="21">
        <v>808920</v>
      </c>
      <c r="J42" s="20">
        <v>8</v>
      </c>
      <c r="K42" s="21">
        <v>532890</v>
      </c>
      <c r="L42" s="29"/>
      <c r="M42" s="21">
        <v>581590</v>
      </c>
      <c r="N42" s="20">
        <v>56</v>
      </c>
      <c r="O42" s="21">
        <v>393240</v>
      </c>
      <c r="P42" s="20">
        <v>87</v>
      </c>
      <c r="Q42" s="21">
        <v>39990</v>
      </c>
      <c r="R42" s="20">
        <v>1</v>
      </c>
      <c r="S42" s="21">
        <v>51990</v>
      </c>
      <c r="T42" s="20">
        <v>1</v>
      </c>
      <c r="U42" s="28"/>
      <c r="V42" s="27"/>
      <c r="W42" s="28"/>
      <c r="X42" s="27"/>
      <c r="Y42" s="28"/>
      <c r="Z42" s="27"/>
      <c r="AA42" s="22">
        <f t="shared" si="0"/>
        <v>2725520</v>
      </c>
      <c r="AB42" s="78"/>
      <c r="AC42" s="79"/>
    </row>
    <row r="43" spans="1:29">
      <c r="B43" s="76"/>
      <c r="C43" s="23" t="s">
        <v>24</v>
      </c>
      <c r="D43" s="19">
        <v>45329</v>
      </c>
      <c r="E43" s="8">
        <v>468900</v>
      </c>
      <c r="F43" s="20">
        <v>7</v>
      </c>
      <c r="G43" s="21">
        <v>115960</v>
      </c>
      <c r="H43" s="20">
        <v>3</v>
      </c>
      <c r="I43" s="21">
        <v>94980</v>
      </c>
      <c r="J43" s="20">
        <v>2</v>
      </c>
      <c r="K43" s="21">
        <v>961850</v>
      </c>
      <c r="L43" s="20">
        <v>8</v>
      </c>
      <c r="M43" s="21">
        <v>641110</v>
      </c>
      <c r="N43" s="20">
        <v>64</v>
      </c>
      <c r="O43" s="21">
        <v>571360</v>
      </c>
      <c r="P43" s="20">
        <v>120</v>
      </c>
      <c r="Q43" s="21">
        <v>249960</v>
      </c>
      <c r="R43" s="31">
        <v>3</v>
      </c>
      <c r="S43" s="21">
        <v>307980</v>
      </c>
      <c r="T43" s="31">
        <v>1</v>
      </c>
      <c r="U43" s="28"/>
      <c r="V43" s="32"/>
      <c r="W43" s="28"/>
      <c r="X43" s="32"/>
      <c r="Y43" s="28"/>
      <c r="Z43" s="32"/>
      <c r="AA43" s="22">
        <f t="shared" si="0"/>
        <v>3412100</v>
      </c>
      <c r="AB43" s="78"/>
      <c r="AC43" s="79"/>
    </row>
    <row r="44" spans="1:29">
      <c r="B44" s="76"/>
      <c r="C44" s="23" t="s">
        <v>25</v>
      </c>
      <c r="D44" s="19">
        <v>45330</v>
      </c>
      <c r="E44" s="8">
        <v>617880</v>
      </c>
      <c r="F44" s="31">
        <v>9</v>
      </c>
      <c r="G44" s="21">
        <v>320890</v>
      </c>
      <c r="H44" s="31">
        <v>4</v>
      </c>
      <c r="I44" s="21">
        <v>275980</v>
      </c>
      <c r="J44" s="31">
        <v>2</v>
      </c>
      <c r="K44" s="21">
        <v>619900</v>
      </c>
      <c r="L44" s="31">
        <v>6</v>
      </c>
      <c r="M44" s="21">
        <v>456370</v>
      </c>
      <c r="N44" s="31">
        <v>71</v>
      </c>
      <c r="O44" s="21">
        <v>431640</v>
      </c>
      <c r="P44" s="31">
        <v>94</v>
      </c>
      <c r="Q44" s="21">
        <v>0</v>
      </c>
      <c r="R44" s="20">
        <v>0</v>
      </c>
      <c r="S44" s="21">
        <v>0</v>
      </c>
      <c r="T44" s="20">
        <v>0</v>
      </c>
      <c r="U44" s="28"/>
      <c r="V44" s="27"/>
      <c r="W44" s="28"/>
      <c r="X44" s="27"/>
      <c r="Y44" s="28"/>
      <c r="Z44" s="27"/>
      <c r="AA44" s="22">
        <f t="shared" si="0"/>
        <v>2722660</v>
      </c>
      <c r="AB44" s="78"/>
      <c r="AC44" s="79"/>
    </row>
    <row r="45" spans="1:29">
      <c r="B45" s="77"/>
      <c r="C45" s="33" t="s">
        <v>26</v>
      </c>
      <c r="D45" s="34">
        <v>45331</v>
      </c>
      <c r="E45" s="35">
        <v>2881630</v>
      </c>
      <c r="F45" s="36">
        <v>24</v>
      </c>
      <c r="G45" s="37">
        <v>341860</v>
      </c>
      <c r="H45" s="36">
        <v>7</v>
      </c>
      <c r="I45" s="37">
        <v>661930</v>
      </c>
      <c r="J45" s="36">
        <v>6</v>
      </c>
      <c r="K45" s="37">
        <v>134960</v>
      </c>
      <c r="L45" s="36">
        <v>4</v>
      </c>
      <c r="M45" s="37">
        <v>1452270</v>
      </c>
      <c r="N45" s="36">
        <v>152</v>
      </c>
      <c r="O45" s="38">
        <v>0</v>
      </c>
      <c r="P45" s="39">
        <v>0</v>
      </c>
      <c r="Q45" s="37">
        <v>289950</v>
      </c>
      <c r="R45" s="36">
        <v>5</v>
      </c>
      <c r="S45" s="38">
        <v>0</v>
      </c>
      <c r="T45" s="39">
        <v>0</v>
      </c>
      <c r="U45" s="38"/>
      <c r="V45" s="39"/>
      <c r="W45" s="38"/>
      <c r="X45" s="39"/>
      <c r="Y45" s="38"/>
      <c r="Z45" s="39"/>
      <c r="AA45" s="22">
        <f t="shared" si="0"/>
        <v>5762600</v>
      </c>
      <c r="AB45" s="78"/>
      <c r="AC45" s="79"/>
    </row>
    <row r="46" spans="1:29" ht="16.05" customHeight="1">
      <c r="B46" s="75" t="s">
        <v>32</v>
      </c>
      <c r="C46" s="18" t="s">
        <v>20</v>
      </c>
      <c r="D46" s="19">
        <v>45332</v>
      </c>
      <c r="E46" s="40">
        <v>820810</v>
      </c>
      <c r="F46" s="41">
        <v>8</v>
      </c>
      <c r="G46" s="42">
        <v>644920</v>
      </c>
      <c r="H46" s="41">
        <v>8</v>
      </c>
      <c r="I46" s="42">
        <v>293950</v>
      </c>
      <c r="J46" s="41">
        <v>3</v>
      </c>
      <c r="K46" s="42">
        <v>514900</v>
      </c>
      <c r="L46" s="41">
        <v>5</v>
      </c>
      <c r="M46" s="42">
        <v>300510</v>
      </c>
      <c r="N46" s="41">
        <v>29</v>
      </c>
      <c r="O46" s="42">
        <v>178130</v>
      </c>
      <c r="P46" s="41">
        <v>46</v>
      </c>
      <c r="Q46" s="21">
        <v>412980</v>
      </c>
      <c r="R46" s="20">
        <v>2</v>
      </c>
      <c r="S46" s="21">
        <v>0</v>
      </c>
      <c r="T46" s="20">
        <v>0</v>
      </c>
      <c r="U46" s="28">
        <v>0</v>
      </c>
      <c r="V46" s="27">
        <v>0</v>
      </c>
      <c r="W46" s="28"/>
      <c r="X46" s="27"/>
      <c r="Y46" s="28"/>
      <c r="Z46" s="27"/>
      <c r="AA46" s="22">
        <f t="shared" si="0"/>
        <v>3166200</v>
      </c>
      <c r="AB46" s="78">
        <f t="shared" ref="AB46" si="6">SUM(AA46:AA52)</f>
        <v>32782772</v>
      </c>
      <c r="AC46" s="79">
        <v>32568800</v>
      </c>
    </row>
    <row r="47" spans="1:29">
      <c r="A47" s="45" t="s">
        <v>33</v>
      </c>
      <c r="B47" s="76"/>
      <c r="C47" s="23" t="s">
        <v>21</v>
      </c>
      <c r="D47" s="19">
        <v>45333</v>
      </c>
      <c r="E47" s="8">
        <v>306910</v>
      </c>
      <c r="F47" s="20">
        <v>6</v>
      </c>
      <c r="G47" s="21">
        <v>562850</v>
      </c>
      <c r="H47" s="20">
        <v>7</v>
      </c>
      <c r="I47" s="21">
        <v>327970</v>
      </c>
      <c r="J47" s="20">
        <v>3</v>
      </c>
      <c r="K47" s="21">
        <v>919890</v>
      </c>
      <c r="L47" s="20">
        <v>11</v>
      </c>
      <c r="M47" s="21">
        <v>320530</v>
      </c>
      <c r="N47" s="20">
        <v>43</v>
      </c>
      <c r="O47" s="21">
        <v>324350</v>
      </c>
      <c r="P47" s="20">
        <v>77</v>
      </c>
      <c r="Q47" s="46">
        <v>0</v>
      </c>
      <c r="R47" s="47">
        <v>0</v>
      </c>
      <c r="S47" s="21">
        <v>12990</v>
      </c>
      <c r="T47" s="20">
        <v>1</v>
      </c>
      <c r="U47" s="28">
        <v>0</v>
      </c>
      <c r="V47" s="27">
        <v>0</v>
      </c>
      <c r="W47" s="28"/>
      <c r="X47" s="27"/>
      <c r="Y47" s="28"/>
      <c r="Z47" s="27"/>
      <c r="AA47" s="22">
        <f t="shared" si="0"/>
        <v>2775490</v>
      </c>
      <c r="AB47" s="78"/>
      <c r="AC47" s="79"/>
    </row>
    <row r="48" spans="1:29" ht="16.05" customHeight="1">
      <c r="A48" s="45" t="s">
        <v>33</v>
      </c>
      <c r="B48" s="76"/>
      <c r="C48" s="23" t="s">
        <v>22</v>
      </c>
      <c r="D48" s="19">
        <v>45334</v>
      </c>
      <c r="E48" s="8">
        <v>1479710</v>
      </c>
      <c r="F48" s="20">
        <v>12</v>
      </c>
      <c r="G48" s="21">
        <v>446880</v>
      </c>
      <c r="H48" s="20">
        <v>8</v>
      </c>
      <c r="I48" s="21">
        <v>175940</v>
      </c>
      <c r="J48" s="20">
        <v>5</v>
      </c>
      <c r="K48" s="21">
        <v>1644770</v>
      </c>
      <c r="L48" s="20">
        <v>15</v>
      </c>
      <c r="M48" s="21">
        <v>314940</v>
      </c>
      <c r="N48" s="20">
        <v>54</v>
      </c>
      <c r="O48" s="21">
        <v>765280</v>
      </c>
      <c r="P48" s="20">
        <v>142</v>
      </c>
      <c r="Q48" s="46">
        <v>0</v>
      </c>
      <c r="R48" s="47">
        <v>0</v>
      </c>
      <c r="S48" s="21">
        <v>0</v>
      </c>
      <c r="T48" s="20">
        <v>0</v>
      </c>
      <c r="U48" s="28"/>
      <c r="V48" s="27"/>
      <c r="W48" s="28"/>
      <c r="X48" s="27"/>
      <c r="Y48" s="28"/>
      <c r="Z48" s="27"/>
      <c r="AA48" s="22">
        <f t="shared" si="0"/>
        <v>4827520</v>
      </c>
      <c r="AB48" s="78"/>
      <c r="AC48" s="79"/>
    </row>
    <row r="49" spans="1:29">
      <c r="A49" s="45" t="s">
        <v>33</v>
      </c>
      <c r="B49" s="76"/>
      <c r="C49" s="23" t="s">
        <v>23</v>
      </c>
      <c r="D49" s="19">
        <v>45335</v>
      </c>
      <c r="E49" s="8">
        <v>994860</v>
      </c>
      <c r="F49" s="20">
        <v>11</v>
      </c>
      <c r="G49" s="21">
        <v>637920</v>
      </c>
      <c r="H49" s="20">
        <v>4</v>
      </c>
      <c r="I49" s="21">
        <v>551940</v>
      </c>
      <c r="J49" s="20">
        <v>3</v>
      </c>
      <c r="K49" s="21">
        <v>758122</v>
      </c>
      <c r="L49" s="20">
        <v>11</v>
      </c>
      <c r="M49" s="21">
        <v>377020</v>
      </c>
      <c r="N49" s="20">
        <v>43</v>
      </c>
      <c r="O49" s="21">
        <v>508620</v>
      </c>
      <c r="P49" s="29"/>
      <c r="Q49" s="46">
        <v>0</v>
      </c>
      <c r="R49" s="47">
        <v>0</v>
      </c>
      <c r="S49" s="21">
        <v>119980</v>
      </c>
      <c r="T49" s="20">
        <v>2</v>
      </c>
      <c r="U49" s="28"/>
      <c r="V49" s="27"/>
      <c r="W49" s="28"/>
      <c r="X49" s="27"/>
      <c r="Y49" s="28"/>
      <c r="Z49" s="27"/>
      <c r="AA49" s="22">
        <f t="shared" si="0"/>
        <v>3948462</v>
      </c>
      <c r="AB49" s="78"/>
      <c r="AC49" s="79"/>
    </row>
    <row r="50" spans="1:29">
      <c r="B50" s="76"/>
      <c r="C50" s="23" t="s">
        <v>24</v>
      </c>
      <c r="D50" s="19">
        <v>45336</v>
      </c>
      <c r="E50" s="8">
        <v>1381710</v>
      </c>
      <c r="F50" s="20">
        <v>17</v>
      </c>
      <c r="G50" s="21">
        <v>103950</v>
      </c>
      <c r="H50" s="20">
        <v>4</v>
      </c>
      <c r="I50" s="21">
        <v>157960</v>
      </c>
      <c r="J50" s="20">
        <v>2</v>
      </c>
      <c r="K50" s="21">
        <v>872820</v>
      </c>
      <c r="L50" s="20">
        <v>10</v>
      </c>
      <c r="M50" s="21">
        <v>461210</v>
      </c>
      <c r="N50" s="20">
        <v>61</v>
      </c>
      <c r="O50" s="21">
        <v>591640</v>
      </c>
      <c r="P50" s="20">
        <v>115</v>
      </c>
      <c r="Q50" s="21">
        <v>94990</v>
      </c>
      <c r="R50" s="20">
        <v>1</v>
      </c>
      <c r="S50" s="21">
        <v>332910</v>
      </c>
      <c r="T50" s="20">
        <v>4</v>
      </c>
      <c r="U50" s="28"/>
      <c r="V50" s="27"/>
      <c r="W50" s="28"/>
      <c r="X50" s="27"/>
      <c r="Y50" s="28"/>
      <c r="Z50" s="27"/>
      <c r="AA50" s="22">
        <f t="shared" si="0"/>
        <v>3997190</v>
      </c>
      <c r="AB50" s="78"/>
      <c r="AC50" s="79"/>
    </row>
    <row r="51" spans="1:29">
      <c r="B51" s="76"/>
      <c r="C51" s="23" t="s">
        <v>25</v>
      </c>
      <c r="D51" s="19">
        <v>45337</v>
      </c>
      <c r="E51" s="8">
        <v>1888670</v>
      </c>
      <c r="F51" s="31">
        <v>22</v>
      </c>
      <c r="G51" s="21">
        <v>822900</v>
      </c>
      <c r="H51" s="31">
        <v>9</v>
      </c>
      <c r="I51" s="21">
        <v>761810</v>
      </c>
      <c r="J51" s="31">
        <v>11</v>
      </c>
      <c r="K51" s="21">
        <v>1502800</v>
      </c>
      <c r="L51" s="31">
        <v>12</v>
      </c>
      <c r="M51" s="21">
        <v>843890</v>
      </c>
      <c r="N51" s="31">
        <v>98</v>
      </c>
      <c r="O51" s="21">
        <v>577840</v>
      </c>
      <c r="P51" s="31">
        <v>110</v>
      </c>
      <c r="Q51" s="21">
        <v>273970</v>
      </c>
      <c r="R51" s="31">
        <v>3</v>
      </c>
      <c r="S51" s="21">
        <v>0</v>
      </c>
      <c r="T51" s="31">
        <v>0</v>
      </c>
      <c r="U51" s="28"/>
      <c r="V51" s="32"/>
      <c r="W51" s="28"/>
      <c r="X51" s="32"/>
      <c r="Y51" s="28"/>
      <c r="Z51" s="32"/>
      <c r="AA51" s="22">
        <f t="shared" si="0"/>
        <v>6671880</v>
      </c>
      <c r="AB51" s="78"/>
      <c r="AC51" s="79"/>
    </row>
    <row r="52" spans="1:29">
      <c r="B52" s="77"/>
      <c r="C52" s="33" t="s">
        <v>26</v>
      </c>
      <c r="D52" s="34">
        <v>45338</v>
      </c>
      <c r="E52" s="35">
        <v>2067460</v>
      </c>
      <c r="F52" s="36">
        <v>34</v>
      </c>
      <c r="G52" s="37">
        <v>556900</v>
      </c>
      <c r="H52" s="36">
        <v>6</v>
      </c>
      <c r="I52" s="37">
        <v>1278750</v>
      </c>
      <c r="J52" s="36">
        <v>11</v>
      </c>
      <c r="K52" s="37">
        <v>2001570</v>
      </c>
      <c r="L52" s="36">
        <v>20</v>
      </c>
      <c r="M52" s="37">
        <v>1491350</v>
      </c>
      <c r="N52" s="36">
        <v>145</v>
      </c>
      <c r="O52" s="38">
        <v>0</v>
      </c>
      <c r="P52" s="39">
        <v>0</v>
      </c>
      <c r="Q52" s="37">
        <v>0</v>
      </c>
      <c r="R52" s="36">
        <v>0</v>
      </c>
      <c r="S52" s="38">
        <v>0</v>
      </c>
      <c r="T52" s="39">
        <v>0</v>
      </c>
      <c r="U52" s="38"/>
      <c r="V52" s="39"/>
      <c r="W52" s="38"/>
      <c r="X52" s="39"/>
      <c r="Y52" s="38"/>
      <c r="Z52" s="39"/>
      <c r="AA52" s="22">
        <f t="shared" si="0"/>
        <v>7396030</v>
      </c>
      <c r="AB52" s="78"/>
      <c r="AC52" s="79"/>
    </row>
    <row r="53" spans="1:29" ht="16.05" customHeight="1">
      <c r="B53" s="75" t="s">
        <v>34</v>
      </c>
      <c r="C53" s="18" t="s">
        <v>20</v>
      </c>
      <c r="D53" s="19">
        <v>45339</v>
      </c>
      <c r="E53" s="40">
        <v>1084760</v>
      </c>
      <c r="F53" s="41">
        <v>12</v>
      </c>
      <c r="G53" s="42">
        <v>1079750</v>
      </c>
      <c r="H53" s="41">
        <v>10</v>
      </c>
      <c r="I53" s="42">
        <v>298940</v>
      </c>
      <c r="J53" s="41">
        <v>3</v>
      </c>
      <c r="K53" s="42">
        <v>317810</v>
      </c>
      <c r="L53" s="41">
        <v>8</v>
      </c>
      <c r="M53" s="42">
        <v>321040</v>
      </c>
      <c r="N53" s="41">
        <v>34</v>
      </c>
      <c r="O53" s="42">
        <v>305350</v>
      </c>
      <c r="P53" s="41">
        <v>71</v>
      </c>
      <c r="Q53" s="21">
        <v>26990</v>
      </c>
      <c r="R53" s="20">
        <v>1</v>
      </c>
      <c r="S53" s="21">
        <v>76980</v>
      </c>
      <c r="T53" s="20">
        <v>2</v>
      </c>
      <c r="U53" s="28"/>
      <c r="V53" s="27"/>
      <c r="W53" s="28"/>
      <c r="X53" s="27"/>
      <c r="Y53" s="28"/>
      <c r="Z53" s="27"/>
      <c r="AA53" s="22">
        <f t="shared" si="0"/>
        <v>3511620</v>
      </c>
      <c r="AB53" s="78">
        <f t="shared" ref="AB53" si="7">SUM(AA53:AA59)</f>
        <v>34767373</v>
      </c>
      <c r="AC53" s="79">
        <v>23468043</v>
      </c>
    </row>
    <row r="54" spans="1:29">
      <c r="B54" s="76"/>
      <c r="C54" s="23" t="s">
        <v>21</v>
      </c>
      <c r="D54" s="19">
        <v>45340</v>
      </c>
      <c r="E54" s="8">
        <v>1937720</v>
      </c>
      <c r="F54" s="20">
        <v>15</v>
      </c>
      <c r="G54" s="21">
        <v>370870</v>
      </c>
      <c r="H54" s="20">
        <v>6</v>
      </c>
      <c r="I54" s="21">
        <v>297920</v>
      </c>
      <c r="J54" s="20">
        <v>4</v>
      </c>
      <c r="K54" s="21">
        <v>1560820</v>
      </c>
      <c r="L54" s="20">
        <v>10</v>
      </c>
      <c r="M54" s="21">
        <v>278280</v>
      </c>
      <c r="N54" s="20">
        <v>44</v>
      </c>
      <c r="O54" s="21">
        <v>462040</v>
      </c>
      <c r="P54" s="20">
        <v>98</v>
      </c>
      <c r="Q54" s="21">
        <v>655880</v>
      </c>
      <c r="R54" s="20">
        <v>3</v>
      </c>
      <c r="S54" s="21">
        <v>314940</v>
      </c>
      <c r="T54" s="20">
        <v>4</v>
      </c>
      <c r="U54" s="28"/>
      <c r="V54" s="27"/>
      <c r="W54" s="28"/>
      <c r="X54" s="27"/>
      <c r="Y54" s="28"/>
      <c r="Z54" s="27"/>
      <c r="AA54" s="22">
        <f t="shared" si="0"/>
        <v>5878470</v>
      </c>
      <c r="AB54" s="78"/>
      <c r="AC54" s="79"/>
    </row>
    <row r="55" spans="1:29" ht="16.95" customHeight="1">
      <c r="B55" s="76"/>
      <c r="C55" s="23" t="s">
        <v>22</v>
      </c>
      <c r="D55" s="19">
        <v>45341</v>
      </c>
      <c r="E55" s="8">
        <v>214930</v>
      </c>
      <c r="F55" s="20">
        <v>5</v>
      </c>
      <c r="G55" s="21">
        <v>347880</v>
      </c>
      <c r="H55" s="20">
        <v>4</v>
      </c>
      <c r="I55" s="21">
        <v>231960</v>
      </c>
      <c r="J55" s="20">
        <v>3</v>
      </c>
      <c r="K55" s="21">
        <v>947850</v>
      </c>
      <c r="L55" s="20">
        <v>8</v>
      </c>
      <c r="M55" s="21">
        <v>454430</v>
      </c>
      <c r="N55" s="20">
        <v>69</v>
      </c>
      <c r="O55" s="21">
        <v>433200</v>
      </c>
      <c r="P55" s="20">
        <v>97</v>
      </c>
      <c r="Q55" s="21">
        <v>0</v>
      </c>
      <c r="R55" s="20">
        <v>0</v>
      </c>
      <c r="S55" s="21">
        <v>110960</v>
      </c>
      <c r="T55" s="20">
        <v>3</v>
      </c>
      <c r="U55" s="28"/>
      <c r="V55" s="27"/>
      <c r="W55" s="28"/>
      <c r="X55" s="27"/>
      <c r="Y55" s="28"/>
      <c r="Z55" s="27"/>
      <c r="AA55" s="22">
        <f t="shared" si="0"/>
        <v>2741210</v>
      </c>
      <c r="AB55" s="78"/>
      <c r="AC55" s="79"/>
    </row>
    <row r="56" spans="1:29">
      <c r="B56" s="76"/>
      <c r="C56" s="23" t="s">
        <v>23</v>
      </c>
      <c r="D56" s="19">
        <v>45342</v>
      </c>
      <c r="E56" s="8">
        <v>518860</v>
      </c>
      <c r="F56" s="20">
        <v>10</v>
      </c>
      <c r="G56" s="21">
        <v>542940</v>
      </c>
      <c r="H56" s="20">
        <v>5</v>
      </c>
      <c r="I56" s="21">
        <v>552933</v>
      </c>
      <c r="J56" s="20">
        <v>5</v>
      </c>
      <c r="K56" s="21">
        <v>916840</v>
      </c>
      <c r="L56" s="20">
        <v>12</v>
      </c>
      <c r="M56" s="21">
        <v>229550</v>
      </c>
      <c r="N56" s="20">
        <v>39</v>
      </c>
      <c r="O56" s="21">
        <v>277470</v>
      </c>
      <c r="P56" s="20">
        <v>77</v>
      </c>
      <c r="Q56" s="21">
        <v>403970</v>
      </c>
      <c r="R56" s="20">
        <v>3</v>
      </c>
      <c r="S56" s="21">
        <v>323940</v>
      </c>
      <c r="T56" s="20">
        <v>5</v>
      </c>
      <c r="U56" s="28"/>
      <c r="V56" s="27"/>
      <c r="W56" s="28"/>
      <c r="X56" s="27"/>
      <c r="Y56" s="28"/>
      <c r="Z56" s="27"/>
      <c r="AA56" s="22">
        <f t="shared" si="0"/>
        <v>3766503</v>
      </c>
      <c r="AB56" s="78"/>
      <c r="AC56" s="79"/>
    </row>
    <row r="57" spans="1:29">
      <c r="B57" s="76"/>
      <c r="C57" s="23" t="s">
        <v>24</v>
      </c>
      <c r="D57" s="19">
        <v>45343</v>
      </c>
      <c r="E57" s="8">
        <v>1949680</v>
      </c>
      <c r="F57" s="20">
        <v>22</v>
      </c>
      <c r="G57" s="21">
        <v>1172730</v>
      </c>
      <c r="H57" s="20">
        <v>10</v>
      </c>
      <c r="I57" s="21">
        <v>251980</v>
      </c>
      <c r="J57" s="20">
        <v>2</v>
      </c>
      <c r="K57" s="21">
        <v>1492830</v>
      </c>
      <c r="L57" s="20">
        <v>13</v>
      </c>
      <c r="M57" s="21">
        <v>383710</v>
      </c>
      <c r="N57" s="20">
        <v>41</v>
      </c>
      <c r="O57" s="21">
        <v>373680</v>
      </c>
      <c r="P57" s="20">
        <v>81</v>
      </c>
      <c r="Q57" s="21">
        <v>0</v>
      </c>
      <c r="R57" s="20">
        <v>0</v>
      </c>
      <c r="S57" s="21">
        <v>0</v>
      </c>
      <c r="T57" s="20">
        <v>0</v>
      </c>
      <c r="U57" s="28"/>
      <c r="V57" s="27"/>
      <c r="W57" s="28"/>
      <c r="X57" s="27"/>
      <c r="Y57" s="28"/>
      <c r="Z57" s="27"/>
      <c r="AA57" s="22">
        <f t="shared" si="0"/>
        <v>5624610</v>
      </c>
      <c r="AB57" s="78"/>
      <c r="AC57" s="79"/>
    </row>
    <row r="58" spans="1:29">
      <c r="B58" s="76"/>
      <c r="C58" s="23" t="s">
        <v>25</v>
      </c>
      <c r="D58" s="19">
        <v>45344</v>
      </c>
      <c r="E58" s="8">
        <v>1892640</v>
      </c>
      <c r="F58" s="31">
        <v>23</v>
      </c>
      <c r="G58" s="21">
        <v>1535730</v>
      </c>
      <c r="H58" s="31">
        <v>18</v>
      </c>
      <c r="I58" s="21">
        <v>465930</v>
      </c>
      <c r="J58" s="31">
        <v>7</v>
      </c>
      <c r="K58" s="21">
        <v>1085720</v>
      </c>
      <c r="L58" s="31">
        <v>8</v>
      </c>
      <c r="M58" s="21">
        <v>619140</v>
      </c>
      <c r="N58" s="31">
        <v>79</v>
      </c>
      <c r="O58" s="21">
        <v>344220</v>
      </c>
      <c r="P58" s="31">
        <v>93</v>
      </c>
      <c r="Q58" s="21">
        <v>714930</v>
      </c>
      <c r="R58" s="31">
        <v>6</v>
      </c>
      <c r="S58" s="21">
        <v>0</v>
      </c>
      <c r="T58" s="31">
        <v>0</v>
      </c>
      <c r="U58" s="28"/>
      <c r="V58" s="32"/>
      <c r="W58" s="28"/>
      <c r="X58" s="32"/>
      <c r="Y58" s="28"/>
      <c r="Z58" s="32"/>
      <c r="AA58" s="22">
        <f t="shared" si="0"/>
        <v>6658310</v>
      </c>
      <c r="AB58" s="78"/>
      <c r="AC58" s="79"/>
    </row>
    <row r="59" spans="1:29">
      <c r="B59" s="77"/>
      <c r="C59" s="33" t="s">
        <v>26</v>
      </c>
      <c r="D59" s="34">
        <v>45345</v>
      </c>
      <c r="E59" s="35">
        <v>2686540</v>
      </c>
      <c r="F59" s="36">
        <v>25</v>
      </c>
      <c r="G59" s="37">
        <v>781820</v>
      </c>
      <c r="H59" s="36">
        <v>9</v>
      </c>
      <c r="I59" s="37">
        <v>552890</v>
      </c>
      <c r="J59" s="36">
        <v>9</v>
      </c>
      <c r="K59" s="37">
        <v>996800</v>
      </c>
      <c r="L59" s="36">
        <v>12</v>
      </c>
      <c r="M59" s="37">
        <v>1222640</v>
      </c>
      <c r="N59" s="36">
        <v>130</v>
      </c>
      <c r="O59" s="38">
        <v>0</v>
      </c>
      <c r="P59" s="39">
        <v>0</v>
      </c>
      <c r="Q59" s="37">
        <v>345960</v>
      </c>
      <c r="R59" s="36">
        <v>3</v>
      </c>
      <c r="S59" s="38">
        <v>0</v>
      </c>
      <c r="T59" s="39">
        <v>0</v>
      </c>
      <c r="U59" s="38"/>
      <c r="V59" s="39"/>
      <c r="W59" s="38"/>
      <c r="X59" s="39"/>
      <c r="Y59" s="38"/>
      <c r="Z59" s="39"/>
      <c r="AA59" s="22">
        <f t="shared" si="0"/>
        <v>6586650</v>
      </c>
      <c r="AB59" s="78"/>
      <c r="AC59" s="79"/>
    </row>
    <row r="60" spans="1:29" ht="16.05" customHeight="1">
      <c r="B60" s="75" t="s">
        <v>35</v>
      </c>
      <c r="C60" s="18" t="s">
        <v>20</v>
      </c>
      <c r="D60" s="19">
        <v>45346</v>
      </c>
      <c r="E60" s="40">
        <v>1117280</v>
      </c>
      <c r="F60" s="41">
        <v>17</v>
      </c>
      <c r="G60" s="42">
        <v>286940</v>
      </c>
      <c r="H60" s="41">
        <v>4</v>
      </c>
      <c r="I60" s="42">
        <v>0</v>
      </c>
      <c r="J60" s="41">
        <v>0</v>
      </c>
      <c r="K60" s="42">
        <v>1314800</v>
      </c>
      <c r="L60" s="41">
        <v>10</v>
      </c>
      <c r="M60" s="42">
        <v>325910</v>
      </c>
      <c r="N60" s="41">
        <v>32</v>
      </c>
      <c r="O60" s="42">
        <v>272880</v>
      </c>
      <c r="P60" s="41">
        <v>56</v>
      </c>
      <c r="Q60" s="21">
        <v>0</v>
      </c>
      <c r="R60" s="20">
        <v>0</v>
      </c>
      <c r="S60" s="21">
        <v>179990</v>
      </c>
      <c r="T60" s="20">
        <v>1</v>
      </c>
      <c r="U60" s="28"/>
      <c r="V60" s="27"/>
      <c r="W60" s="28"/>
      <c r="X60" s="27"/>
      <c r="Y60" s="28"/>
      <c r="Z60" s="27"/>
      <c r="AA60" s="22">
        <f t="shared" si="0"/>
        <v>3497800</v>
      </c>
      <c r="AB60" s="78">
        <f t="shared" ref="AB60" si="8">SUM(AA60:AA66)</f>
        <v>29736419</v>
      </c>
      <c r="AC60" s="79">
        <v>30043030</v>
      </c>
    </row>
    <row r="61" spans="1:29">
      <c r="B61" s="76"/>
      <c r="C61" s="23" t="s">
        <v>21</v>
      </c>
      <c r="D61" s="19">
        <v>45347</v>
      </c>
      <c r="E61" s="8">
        <v>2104700</v>
      </c>
      <c r="F61" s="20">
        <v>14</v>
      </c>
      <c r="G61" s="21">
        <v>346880</v>
      </c>
      <c r="H61" s="20">
        <v>10</v>
      </c>
      <c r="I61" s="21">
        <v>683800</v>
      </c>
      <c r="J61" s="20">
        <v>4</v>
      </c>
      <c r="K61" s="21">
        <v>357910</v>
      </c>
      <c r="L61" s="20">
        <v>8</v>
      </c>
      <c r="M61" s="21">
        <v>343010</v>
      </c>
      <c r="N61" s="20">
        <v>55</v>
      </c>
      <c r="O61" s="21">
        <v>318350</v>
      </c>
      <c r="P61" s="20">
        <v>83</v>
      </c>
      <c r="Q61" s="21">
        <v>249970</v>
      </c>
      <c r="R61" s="20">
        <v>3</v>
      </c>
      <c r="S61" s="21">
        <v>327950</v>
      </c>
      <c r="T61" s="20">
        <v>2</v>
      </c>
      <c r="U61" s="28"/>
      <c r="V61" s="27"/>
      <c r="W61" s="28"/>
      <c r="X61" s="27"/>
      <c r="Y61" s="28"/>
      <c r="Z61" s="27"/>
      <c r="AA61" s="22">
        <f t="shared" si="0"/>
        <v>4732570</v>
      </c>
      <c r="AB61" s="78"/>
      <c r="AC61" s="79"/>
    </row>
    <row r="62" spans="1:29" ht="16.05" customHeight="1">
      <c r="B62" s="76"/>
      <c r="C62" s="23" t="s">
        <v>22</v>
      </c>
      <c r="D62" s="19">
        <v>45348</v>
      </c>
      <c r="E62" s="8">
        <v>331900</v>
      </c>
      <c r="F62" s="20">
        <v>7</v>
      </c>
      <c r="G62" s="21">
        <v>174950</v>
      </c>
      <c r="H62" s="20">
        <v>4</v>
      </c>
      <c r="I62" s="21">
        <v>94960</v>
      </c>
      <c r="J62" s="20">
        <v>3</v>
      </c>
      <c r="K62" s="21">
        <v>728840</v>
      </c>
      <c r="L62" s="20">
        <v>12</v>
      </c>
      <c r="M62" s="21">
        <v>362410</v>
      </c>
      <c r="N62" s="20">
        <v>39</v>
      </c>
      <c r="O62" s="21">
        <v>331670</v>
      </c>
      <c r="P62" s="20">
        <v>90</v>
      </c>
      <c r="Q62" s="21">
        <v>0</v>
      </c>
      <c r="R62" s="20">
        <v>0</v>
      </c>
      <c r="S62" s="21">
        <v>345980</v>
      </c>
      <c r="T62" s="20">
        <v>2</v>
      </c>
      <c r="U62" s="28"/>
      <c r="V62" s="27"/>
      <c r="W62" s="28"/>
      <c r="X62" s="27"/>
      <c r="Y62" s="28"/>
      <c r="Z62" s="27"/>
      <c r="AA62" s="22">
        <f t="shared" si="0"/>
        <v>2370710</v>
      </c>
      <c r="AB62" s="78"/>
      <c r="AC62" s="79"/>
    </row>
    <row r="63" spans="1:29">
      <c r="B63" s="76"/>
      <c r="C63" s="23" t="s">
        <v>23</v>
      </c>
      <c r="D63" s="19">
        <v>45349</v>
      </c>
      <c r="E63" s="8">
        <v>1085730</v>
      </c>
      <c r="F63" s="20">
        <v>8</v>
      </c>
      <c r="G63" s="21">
        <v>1762650</v>
      </c>
      <c r="H63" s="20">
        <v>13</v>
      </c>
      <c r="I63" s="21">
        <v>179960</v>
      </c>
      <c r="J63" s="20">
        <v>2</v>
      </c>
      <c r="K63" s="21">
        <v>641920</v>
      </c>
      <c r="L63" s="20">
        <v>7</v>
      </c>
      <c r="M63" s="21">
        <v>370369</v>
      </c>
      <c r="N63" s="20">
        <v>41</v>
      </c>
      <c r="O63" s="21">
        <v>380900</v>
      </c>
      <c r="P63" s="20">
        <v>85</v>
      </c>
      <c r="Q63" s="21">
        <v>36990</v>
      </c>
      <c r="R63" s="20">
        <v>1</v>
      </c>
      <c r="S63" s="21">
        <v>0</v>
      </c>
      <c r="T63" s="20">
        <v>0</v>
      </c>
      <c r="U63" s="28"/>
      <c r="V63" s="27"/>
      <c r="W63" s="28"/>
      <c r="X63" s="27"/>
      <c r="Y63" s="28"/>
      <c r="Z63" s="27"/>
      <c r="AA63" s="22">
        <f t="shared" si="0"/>
        <v>4458519</v>
      </c>
      <c r="AB63" s="78"/>
      <c r="AC63" s="79"/>
    </row>
    <row r="64" spans="1:29">
      <c r="B64" s="76"/>
      <c r="C64" s="23" t="s">
        <v>24</v>
      </c>
      <c r="D64" s="19">
        <v>45350</v>
      </c>
      <c r="E64" s="8">
        <v>407880</v>
      </c>
      <c r="F64" s="20">
        <v>9</v>
      </c>
      <c r="G64" s="21">
        <v>296870</v>
      </c>
      <c r="H64" s="20">
        <v>7</v>
      </c>
      <c r="I64" s="21">
        <v>411930</v>
      </c>
      <c r="J64" s="20">
        <v>4</v>
      </c>
      <c r="K64" s="21">
        <v>824870</v>
      </c>
      <c r="L64" s="20">
        <v>10</v>
      </c>
      <c r="M64" s="21">
        <v>455010</v>
      </c>
      <c r="N64" s="20">
        <v>55</v>
      </c>
      <c r="O64" s="21">
        <v>594970</v>
      </c>
      <c r="P64" s="20">
        <v>85</v>
      </c>
      <c r="Q64" s="21">
        <v>103980</v>
      </c>
      <c r="R64" s="20">
        <v>2</v>
      </c>
      <c r="S64" s="21">
        <v>392950</v>
      </c>
      <c r="T64" s="20">
        <v>1</v>
      </c>
      <c r="U64" s="28"/>
      <c r="V64" s="27"/>
      <c r="W64" s="28"/>
      <c r="X64" s="27"/>
      <c r="Y64" s="28"/>
      <c r="Z64" s="27"/>
      <c r="AA64" s="22">
        <f t="shared" si="0"/>
        <v>3488460</v>
      </c>
      <c r="AB64" s="78"/>
      <c r="AC64" s="79"/>
    </row>
    <row r="65" spans="2:29">
      <c r="B65" s="76"/>
      <c r="C65" s="23" t="s">
        <v>25</v>
      </c>
      <c r="D65" s="19">
        <v>45352</v>
      </c>
      <c r="E65" s="8">
        <v>836890</v>
      </c>
      <c r="F65" s="31">
        <v>8</v>
      </c>
      <c r="G65" s="21">
        <v>280950</v>
      </c>
      <c r="H65" s="31">
        <v>4</v>
      </c>
      <c r="I65" s="21">
        <v>1219840</v>
      </c>
      <c r="J65" s="31">
        <v>7</v>
      </c>
      <c r="K65" s="21">
        <v>1444740</v>
      </c>
      <c r="L65" s="31">
        <v>11</v>
      </c>
      <c r="M65" s="21">
        <v>1044880</v>
      </c>
      <c r="N65" s="31">
        <v>103</v>
      </c>
      <c r="O65" s="21">
        <v>661930</v>
      </c>
      <c r="P65" s="31">
        <v>110</v>
      </c>
      <c r="Q65" s="21">
        <v>331980</v>
      </c>
      <c r="R65" s="31">
        <v>2</v>
      </c>
      <c r="S65" s="21">
        <v>0</v>
      </c>
      <c r="T65" s="31">
        <v>0</v>
      </c>
      <c r="U65" s="28"/>
      <c r="V65" s="32"/>
      <c r="W65" s="28"/>
      <c r="X65" s="32"/>
      <c r="Y65" s="28"/>
      <c r="Z65" s="32"/>
      <c r="AA65" s="22">
        <f t="shared" si="0"/>
        <v>5821210</v>
      </c>
      <c r="AB65" s="78"/>
      <c r="AC65" s="79"/>
    </row>
    <row r="66" spans="2:29">
      <c r="B66" s="77"/>
      <c r="C66" s="33" t="s">
        <v>26</v>
      </c>
      <c r="D66" s="34">
        <v>45353</v>
      </c>
      <c r="E66" s="35">
        <v>900820</v>
      </c>
      <c r="F66" s="36">
        <v>15</v>
      </c>
      <c r="G66" s="37">
        <v>509860</v>
      </c>
      <c r="H66" s="36">
        <v>10</v>
      </c>
      <c r="I66" s="37">
        <v>501850</v>
      </c>
      <c r="J66" s="36">
        <v>8</v>
      </c>
      <c r="K66" s="37">
        <v>457920</v>
      </c>
      <c r="L66" s="36">
        <v>7</v>
      </c>
      <c r="M66" s="37">
        <v>1943770</v>
      </c>
      <c r="N66" s="36">
        <v>196</v>
      </c>
      <c r="O66" s="38">
        <v>0</v>
      </c>
      <c r="P66" s="39">
        <v>0</v>
      </c>
      <c r="Q66" s="37">
        <v>1052930</v>
      </c>
      <c r="R66" s="36">
        <v>6</v>
      </c>
      <c r="S66" s="38">
        <v>0</v>
      </c>
      <c r="T66" s="39">
        <v>0</v>
      </c>
      <c r="U66" s="38"/>
      <c r="V66" s="39"/>
      <c r="W66" s="38"/>
      <c r="X66" s="39"/>
      <c r="Y66" s="38"/>
      <c r="Z66" s="39"/>
      <c r="AA66" s="22">
        <f t="shared" si="0"/>
        <v>5367150</v>
      </c>
      <c r="AB66" s="78"/>
      <c r="AC66" s="79"/>
    </row>
    <row r="67" spans="2:29" ht="16.95" customHeight="1">
      <c r="B67" s="75" t="s">
        <v>36</v>
      </c>
      <c r="C67" s="48" t="s">
        <v>20</v>
      </c>
      <c r="D67" s="25">
        <v>45354</v>
      </c>
      <c r="E67" s="40">
        <v>359920</v>
      </c>
      <c r="F67" s="41">
        <v>8</v>
      </c>
      <c r="G67" s="42">
        <v>850740</v>
      </c>
      <c r="H67" s="41">
        <v>11</v>
      </c>
      <c r="I67" s="42">
        <v>1242890</v>
      </c>
      <c r="J67" s="41">
        <v>7</v>
      </c>
      <c r="K67" s="42">
        <v>315870</v>
      </c>
      <c r="L67" s="41">
        <v>9</v>
      </c>
      <c r="M67" s="42">
        <v>1033320</v>
      </c>
      <c r="N67" s="41">
        <v>124</v>
      </c>
      <c r="O67" s="49">
        <v>0</v>
      </c>
      <c r="P67" s="50">
        <v>0</v>
      </c>
      <c r="Q67" s="21">
        <v>0</v>
      </c>
      <c r="R67" s="20">
        <v>0</v>
      </c>
      <c r="S67" s="49">
        <v>0</v>
      </c>
      <c r="T67" s="50">
        <v>0</v>
      </c>
      <c r="U67" s="28"/>
      <c r="V67" s="27"/>
      <c r="W67" s="49"/>
      <c r="X67" s="50"/>
      <c r="Y67" s="49"/>
      <c r="Z67" s="50"/>
      <c r="AA67" s="22">
        <f t="shared" si="0"/>
        <v>3802740</v>
      </c>
      <c r="AB67" s="78">
        <f t="shared" ref="AB67" si="9">SUM(AA67:AA73)</f>
        <v>34904513</v>
      </c>
      <c r="AC67" s="79">
        <v>25475680</v>
      </c>
    </row>
    <row r="68" spans="2:29">
      <c r="B68" s="76"/>
      <c r="C68" s="24" t="s">
        <v>21</v>
      </c>
      <c r="D68" s="25">
        <v>45355</v>
      </c>
      <c r="E68" s="8">
        <v>563930</v>
      </c>
      <c r="F68" s="20">
        <v>5</v>
      </c>
      <c r="G68" s="21">
        <v>910700</v>
      </c>
      <c r="H68" s="20">
        <v>12</v>
      </c>
      <c r="I68" s="21">
        <v>723900</v>
      </c>
      <c r="J68" s="20">
        <v>6</v>
      </c>
      <c r="K68" s="21">
        <v>965750</v>
      </c>
      <c r="L68" s="20">
        <v>13</v>
      </c>
      <c r="M68" s="21">
        <v>578770</v>
      </c>
      <c r="N68" s="20">
        <v>79</v>
      </c>
      <c r="O68" s="28">
        <v>0</v>
      </c>
      <c r="P68" s="27">
        <v>0</v>
      </c>
      <c r="Q68" s="21">
        <v>212970</v>
      </c>
      <c r="R68" s="20">
        <v>3</v>
      </c>
      <c r="S68" s="28">
        <v>0</v>
      </c>
      <c r="T68" s="27">
        <v>0</v>
      </c>
      <c r="U68" s="28"/>
      <c r="V68" s="27"/>
      <c r="W68" s="28"/>
      <c r="X68" s="27"/>
      <c r="Y68" s="28"/>
      <c r="Z68" s="27"/>
      <c r="AA68" s="22">
        <f t="shared" si="0"/>
        <v>3956020</v>
      </c>
      <c r="AB68" s="78"/>
      <c r="AC68" s="79"/>
    </row>
    <row r="69" spans="2:29" ht="16.05" customHeight="1">
      <c r="B69" s="76"/>
      <c r="C69" s="23" t="s">
        <v>22</v>
      </c>
      <c r="D69" s="19">
        <v>45356</v>
      </c>
      <c r="E69" s="8">
        <v>339960</v>
      </c>
      <c r="F69" s="20">
        <v>3</v>
      </c>
      <c r="G69" s="21">
        <v>264940</v>
      </c>
      <c r="H69" s="20">
        <v>4</v>
      </c>
      <c r="I69" s="21">
        <v>305970</v>
      </c>
      <c r="J69" s="20">
        <v>3</v>
      </c>
      <c r="K69" s="21">
        <v>672810</v>
      </c>
      <c r="L69" s="20">
        <v>10</v>
      </c>
      <c r="M69" s="21">
        <v>146950</v>
      </c>
      <c r="N69" s="20">
        <v>28</v>
      </c>
      <c r="O69" s="21">
        <v>355240</v>
      </c>
      <c r="P69" s="20">
        <v>68</v>
      </c>
      <c r="Q69" s="21">
        <v>0</v>
      </c>
      <c r="R69" s="20">
        <v>0</v>
      </c>
      <c r="S69" s="21">
        <v>0</v>
      </c>
      <c r="T69" s="20">
        <v>0</v>
      </c>
      <c r="U69" s="28"/>
      <c r="V69" s="27"/>
      <c r="W69" s="28"/>
      <c r="X69" s="27"/>
      <c r="Y69" s="28"/>
      <c r="Z69" s="27"/>
      <c r="AA69" s="22">
        <f t="shared" ref="AA69:AA132" si="10">E69+G69+I69+K69+M69+O69+Q69+S69+U69+W69+Y69</f>
        <v>2085870</v>
      </c>
      <c r="AB69" s="78"/>
      <c r="AC69" s="79"/>
    </row>
    <row r="70" spans="2:29">
      <c r="B70" s="76"/>
      <c r="C70" s="23" t="s">
        <v>23</v>
      </c>
      <c r="D70" s="19">
        <v>45357</v>
      </c>
      <c r="E70" s="8">
        <v>1413760</v>
      </c>
      <c r="F70" s="20">
        <v>12</v>
      </c>
      <c r="G70" s="21">
        <v>877850</v>
      </c>
      <c r="H70" s="20">
        <v>12</v>
      </c>
      <c r="I70" s="21">
        <v>621890</v>
      </c>
      <c r="J70" s="20">
        <v>7</v>
      </c>
      <c r="K70" s="21">
        <v>764870</v>
      </c>
      <c r="L70" s="20">
        <v>9</v>
      </c>
      <c r="M70" s="21">
        <v>197650</v>
      </c>
      <c r="N70" s="20">
        <v>25</v>
      </c>
      <c r="O70" s="21">
        <v>298430</v>
      </c>
      <c r="P70" s="20">
        <v>57</v>
      </c>
      <c r="Q70" s="21">
        <v>82980</v>
      </c>
      <c r="R70" s="20">
        <v>2</v>
      </c>
      <c r="S70" s="21">
        <v>212980</v>
      </c>
      <c r="T70" s="20">
        <v>2</v>
      </c>
      <c r="U70" s="28"/>
      <c r="V70" s="27"/>
      <c r="W70" s="28"/>
      <c r="X70" s="27"/>
      <c r="Y70" s="28"/>
      <c r="Z70" s="27"/>
      <c r="AA70" s="22">
        <f t="shared" si="10"/>
        <v>4470410</v>
      </c>
      <c r="AB70" s="78"/>
      <c r="AC70" s="79"/>
    </row>
    <row r="71" spans="2:29">
      <c r="B71" s="76"/>
      <c r="C71" s="23" t="s">
        <v>24</v>
      </c>
      <c r="D71" s="19">
        <v>45358</v>
      </c>
      <c r="E71" s="8">
        <v>1187840</v>
      </c>
      <c r="F71" s="20">
        <v>10</v>
      </c>
      <c r="G71" s="21">
        <v>289940</v>
      </c>
      <c r="H71" s="20">
        <v>5</v>
      </c>
      <c r="I71" s="21">
        <v>0</v>
      </c>
      <c r="J71" s="20">
        <v>0</v>
      </c>
      <c r="K71" s="21">
        <v>1794420</v>
      </c>
      <c r="L71" s="29"/>
      <c r="M71" s="21">
        <v>581420</v>
      </c>
      <c r="N71" s="20">
        <v>79</v>
      </c>
      <c r="O71" s="21">
        <v>570890</v>
      </c>
      <c r="P71" s="20">
        <v>83</v>
      </c>
      <c r="Q71" s="21">
        <v>0</v>
      </c>
      <c r="R71" s="20">
        <v>0</v>
      </c>
      <c r="S71" s="21">
        <v>139980</v>
      </c>
      <c r="T71" s="20">
        <v>2</v>
      </c>
      <c r="U71" s="28"/>
      <c r="V71" s="27"/>
      <c r="W71" s="28"/>
      <c r="X71" s="27"/>
      <c r="Y71" s="28"/>
      <c r="Z71" s="27"/>
      <c r="AA71" s="22">
        <f t="shared" si="10"/>
        <v>4564490</v>
      </c>
      <c r="AB71" s="78"/>
      <c r="AC71" s="79"/>
    </row>
    <row r="72" spans="2:29">
      <c r="B72" s="76"/>
      <c r="C72" s="23" t="s">
        <v>25</v>
      </c>
      <c r="D72" s="19">
        <v>45359</v>
      </c>
      <c r="E72" s="8">
        <v>1566650</v>
      </c>
      <c r="F72" s="31">
        <v>23</v>
      </c>
      <c r="G72" s="21">
        <v>1370690</v>
      </c>
      <c r="H72" s="51"/>
      <c r="I72" s="21">
        <v>1186860</v>
      </c>
      <c r="J72" s="31">
        <v>11</v>
      </c>
      <c r="K72" s="21">
        <v>1440660</v>
      </c>
      <c r="L72" s="31">
        <v>14</v>
      </c>
      <c r="M72" s="21">
        <v>1417260</v>
      </c>
      <c r="N72" s="31">
        <v>156</v>
      </c>
      <c r="O72" s="21">
        <v>564120</v>
      </c>
      <c r="P72" s="31">
        <v>132</v>
      </c>
      <c r="Q72" s="21">
        <v>1018910</v>
      </c>
      <c r="R72" s="31">
        <v>8</v>
      </c>
      <c r="S72" s="21">
        <v>64990</v>
      </c>
      <c r="T72" s="31">
        <v>1</v>
      </c>
      <c r="U72" s="28"/>
      <c r="V72" s="32"/>
      <c r="W72" s="28"/>
      <c r="X72" s="32"/>
      <c r="Y72" s="28"/>
      <c r="Z72" s="32"/>
      <c r="AA72" s="22">
        <f t="shared" si="10"/>
        <v>8630140</v>
      </c>
      <c r="AB72" s="78"/>
      <c r="AC72" s="79"/>
    </row>
    <row r="73" spans="2:29">
      <c r="B73" s="77"/>
      <c r="C73" s="33" t="s">
        <v>26</v>
      </c>
      <c r="D73" s="34">
        <v>45360</v>
      </c>
      <c r="E73" s="35">
        <v>1422670</v>
      </c>
      <c r="F73" s="36">
        <v>19</v>
      </c>
      <c r="G73" s="37">
        <v>610880</v>
      </c>
      <c r="H73" s="36">
        <v>11</v>
      </c>
      <c r="I73" s="37">
        <v>1461760</v>
      </c>
      <c r="J73" s="36">
        <v>16</v>
      </c>
      <c r="K73" s="37">
        <v>1167313</v>
      </c>
      <c r="L73" s="52"/>
      <c r="M73" s="37">
        <v>1960260</v>
      </c>
      <c r="N73" s="36">
        <v>219</v>
      </c>
      <c r="O73" s="38">
        <v>0</v>
      </c>
      <c r="P73" s="39">
        <v>0</v>
      </c>
      <c r="Q73" s="37">
        <v>771960</v>
      </c>
      <c r="R73" s="36">
        <v>4</v>
      </c>
      <c r="S73" s="38">
        <v>0</v>
      </c>
      <c r="T73" s="39">
        <v>0</v>
      </c>
      <c r="U73" s="38"/>
      <c r="V73" s="39"/>
      <c r="W73" s="38"/>
      <c r="X73" s="39"/>
      <c r="Y73" s="38"/>
      <c r="Z73" s="39"/>
      <c r="AA73" s="22">
        <f t="shared" si="10"/>
        <v>7394843</v>
      </c>
      <c r="AB73" s="78"/>
      <c r="AC73" s="79"/>
    </row>
    <row r="74" spans="2:29" ht="16.05" customHeight="1">
      <c r="B74" s="75" t="s">
        <v>37</v>
      </c>
      <c r="C74" s="18" t="s">
        <v>20</v>
      </c>
      <c r="D74" s="19">
        <v>45361</v>
      </c>
      <c r="E74" s="40">
        <v>591890</v>
      </c>
      <c r="F74" s="41">
        <v>6</v>
      </c>
      <c r="G74" s="42">
        <v>1038720</v>
      </c>
      <c r="H74" s="41">
        <v>9</v>
      </c>
      <c r="I74" s="42">
        <v>161970</v>
      </c>
      <c r="J74" s="41">
        <v>2</v>
      </c>
      <c r="K74" s="42">
        <v>899810</v>
      </c>
      <c r="L74" s="41">
        <v>11</v>
      </c>
      <c r="M74" s="42">
        <v>369020</v>
      </c>
      <c r="N74" s="41">
        <v>46</v>
      </c>
      <c r="O74" s="42">
        <v>472340</v>
      </c>
      <c r="P74" s="41">
        <v>116</v>
      </c>
      <c r="Q74" s="21">
        <v>0</v>
      </c>
      <c r="R74" s="20">
        <v>0</v>
      </c>
      <c r="S74" s="21">
        <v>12990</v>
      </c>
      <c r="T74" s="20">
        <v>1</v>
      </c>
      <c r="U74" s="28"/>
      <c r="V74" s="27"/>
      <c r="W74" s="28"/>
      <c r="X74" s="27"/>
      <c r="Y74" s="28"/>
      <c r="Z74" s="27"/>
      <c r="AA74" s="22">
        <f t="shared" si="10"/>
        <v>3546740</v>
      </c>
      <c r="AB74" s="78">
        <f t="shared" ref="AB74" si="11">SUM(AA74:AA80)</f>
        <v>38435808</v>
      </c>
      <c r="AC74" s="79">
        <v>27479080</v>
      </c>
    </row>
    <row r="75" spans="2:29">
      <c r="B75" s="76"/>
      <c r="C75" s="23" t="s">
        <v>21</v>
      </c>
      <c r="D75" s="19">
        <v>45362</v>
      </c>
      <c r="E75" s="8">
        <v>1163740</v>
      </c>
      <c r="F75" s="20">
        <v>17</v>
      </c>
      <c r="G75" s="21">
        <v>159940</v>
      </c>
      <c r="H75" s="20">
        <v>5</v>
      </c>
      <c r="I75" s="21">
        <v>372900</v>
      </c>
      <c r="J75" s="20">
        <v>7</v>
      </c>
      <c r="K75" s="21">
        <v>1226790</v>
      </c>
      <c r="L75" s="20">
        <v>11</v>
      </c>
      <c r="M75" s="21">
        <v>675930</v>
      </c>
      <c r="N75" s="20">
        <v>55</v>
      </c>
      <c r="O75" s="21">
        <v>392390</v>
      </c>
      <c r="P75" s="20">
        <v>95</v>
      </c>
      <c r="Q75" s="21">
        <v>399990</v>
      </c>
      <c r="R75" s="20">
        <v>1</v>
      </c>
      <c r="S75" s="21">
        <v>0</v>
      </c>
      <c r="T75" s="20">
        <v>0</v>
      </c>
      <c r="U75" s="28"/>
      <c r="V75" s="27"/>
      <c r="W75" s="28"/>
      <c r="X75" s="27"/>
      <c r="Y75" s="28"/>
      <c r="Z75" s="27"/>
      <c r="AA75" s="22">
        <f t="shared" si="10"/>
        <v>4391680</v>
      </c>
      <c r="AB75" s="78"/>
      <c r="AC75" s="79"/>
    </row>
    <row r="76" spans="2:29" ht="16.05" customHeight="1">
      <c r="B76" s="76"/>
      <c r="C76" s="23" t="s">
        <v>22</v>
      </c>
      <c r="D76" s="19">
        <v>45363</v>
      </c>
      <c r="E76" s="8">
        <v>752280</v>
      </c>
      <c r="F76" s="20">
        <v>10</v>
      </c>
      <c r="G76" s="21">
        <v>362940</v>
      </c>
      <c r="H76" s="20">
        <v>4</v>
      </c>
      <c r="I76" s="21">
        <v>235940</v>
      </c>
      <c r="J76" s="20">
        <v>6</v>
      </c>
      <c r="K76" s="21">
        <v>1753713</v>
      </c>
      <c r="L76" s="20">
        <v>17</v>
      </c>
      <c r="M76" s="21">
        <v>388000</v>
      </c>
      <c r="N76" s="20">
        <v>42</v>
      </c>
      <c r="O76" s="21">
        <v>737760</v>
      </c>
      <c r="P76" s="20">
        <v>101</v>
      </c>
      <c r="Q76" s="21">
        <v>130980</v>
      </c>
      <c r="R76" s="20">
        <v>2</v>
      </c>
      <c r="S76" s="21">
        <v>0</v>
      </c>
      <c r="T76" s="20">
        <v>0</v>
      </c>
      <c r="U76" s="28"/>
      <c r="V76" s="27"/>
      <c r="W76" s="28"/>
      <c r="X76" s="27"/>
      <c r="Y76" s="28"/>
      <c r="Z76" s="27"/>
      <c r="AA76" s="22">
        <f t="shared" si="10"/>
        <v>4361613</v>
      </c>
      <c r="AB76" s="78"/>
      <c r="AC76" s="79"/>
    </row>
    <row r="77" spans="2:29">
      <c r="B77" s="76"/>
      <c r="C77" s="23" t="s">
        <v>23</v>
      </c>
      <c r="D77" s="19">
        <v>45364</v>
      </c>
      <c r="E77" s="8">
        <v>1405830</v>
      </c>
      <c r="F77" s="20">
        <v>12</v>
      </c>
      <c r="G77" s="21">
        <v>523860</v>
      </c>
      <c r="H77" s="20">
        <v>10</v>
      </c>
      <c r="I77" s="21">
        <v>389920</v>
      </c>
      <c r="J77" s="20">
        <v>5</v>
      </c>
      <c r="K77" s="21">
        <v>1333845</v>
      </c>
      <c r="L77" s="20">
        <v>9</v>
      </c>
      <c r="M77" s="21">
        <v>181260</v>
      </c>
      <c r="N77" s="20">
        <v>31</v>
      </c>
      <c r="O77" s="21">
        <v>396670</v>
      </c>
      <c r="P77" s="20">
        <v>85</v>
      </c>
      <c r="Q77" s="21">
        <v>49990</v>
      </c>
      <c r="R77" s="20">
        <v>1</v>
      </c>
      <c r="S77" s="21">
        <v>136970</v>
      </c>
      <c r="T77" s="20">
        <v>2</v>
      </c>
      <c r="U77" s="28"/>
      <c r="V77" s="27"/>
      <c r="W77" s="28"/>
      <c r="X77" s="27"/>
      <c r="Y77" s="28"/>
      <c r="Z77" s="27"/>
      <c r="AA77" s="22">
        <f t="shared" si="10"/>
        <v>4418345</v>
      </c>
      <c r="AB77" s="78"/>
      <c r="AC77" s="79"/>
    </row>
    <row r="78" spans="2:29">
      <c r="B78" s="76"/>
      <c r="C78" s="23" t="s">
        <v>24</v>
      </c>
      <c r="D78" s="19">
        <v>45365</v>
      </c>
      <c r="E78" s="8">
        <v>2023660</v>
      </c>
      <c r="F78" s="20">
        <v>19</v>
      </c>
      <c r="G78" s="21">
        <v>594860</v>
      </c>
      <c r="H78" s="20">
        <v>7</v>
      </c>
      <c r="I78" s="21">
        <v>533890</v>
      </c>
      <c r="J78" s="20">
        <v>8</v>
      </c>
      <c r="K78" s="21">
        <v>3290721</v>
      </c>
      <c r="L78" s="20">
        <v>19</v>
      </c>
      <c r="M78" s="21">
        <v>433660</v>
      </c>
      <c r="N78" s="20">
        <v>47</v>
      </c>
      <c r="O78" s="21">
        <v>558740</v>
      </c>
      <c r="P78" s="20">
        <v>86</v>
      </c>
      <c r="Q78" s="21">
        <v>304980</v>
      </c>
      <c r="R78" s="20">
        <v>2</v>
      </c>
      <c r="S78" s="21">
        <v>192970</v>
      </c>
      <c r="T78" s="20">
        <v>3</v>
      </c>
      <c r="U78" s="28"/>
      <c r="V78" s="27"/>
      <c r="W78" s="28"/>
      <c r="X78" s="27"/>
      <c r="Y78" s="28"/>
      <c r="Z78" s="27"/>
      <c r="AA78" s="22">
        <f t="shared" si="10"/>
        <v>7933481</v>
      </c>
      <c r="AB78" s="78"/>
      <c r="AC78" s="79"/>
    </row>
    <row r="79" spans="2:29">
      <c r="B79" s="76"/>
      <c r="C79" s="23" t="s">
        <v>25</v>
      </c>
      <c r="D79" s="19">
        <v>45366</v>
      </c>
      <c r="E79" s="8">
        <v>806820</v>
      </c>
      <c r="F79" s="31">
        <v>12</v>
      </c>
      <c r="G79" s="21">
        <v>850883</v>
      </c>
      <c r="H79" s="31">
        <v>13</v>
      </c>
      <c r="I79" s="21">
        <v>1105880</v>
      </c>
      <c r="J79" s="31">
        <v>8</v>
      </c>
      <c r="K79" s="21">
        <v>1821056</v>
      </c>
      <c r="L79" s="31">
        <v>19</v>
      </c>
      <c r="M79" s="21">
        <v>911050</v>
      </c>
      <c r="N79" s="31">
        <v>105</v>
      </c>
      <c r="O79" s="21">
        <v>583460</v>
      </c>
      <c r="P79" s="31">
        <v>130</v>
      </c>
      <c r="Q79" s="21">
        <v>265980</v>
      </c>
      <c r="R79" s="31">
        <v>2</v>
      </c>
      <c r="S79" s="21">
        <v>0</v>
      </c>
      <c r="T79" s="31">
        <v>0</v>
      </c>
      <c r="U79" s="28"/>
      <c r="V79" s="32"/>
      <c r="W79" s="28"/>
      <c r="X79" s="32"/>
      <c r="Y79" s="28"/>
      <c r="Z79" s="32"/>
      <c r="AA79" s="22">
        <f t="shared" si="10"/>
        <v>6345129</v>
      </c>
      <c r="AB79" s="78"/>
      <c r="AC79" s="79"/>
    </row>
    <row r="80" spans="2:29">
      <c r="B80" s="77"/>
      <c r="C80" s="33" t="s">
        <v>26</v>
      </c>
      <c r="D80" s="34">
        <v>45367</v>
      </c>
      <c r="E80" s="35">
        <v>2162630</v>
      </c>
      <c r="F80" s="36">
        <v>27</v>
      </c>
      <c r="G80" s="37">
        <v>796770</v>
      </c>
      <c r="H80" s="36">
        <v>11</v>
      </c>
      <c r="I80" s="37">
        <v>929870</v>
      </c>
      <c r="J80" s="36">
        <v>11</v>
      </c>
      <c r="K80" s="37">
        <v>1657660</v>
      </c>
      <c r="L80" s="36">
        <v>18</v>
      </c>
      <c r="M80" s="37">
        <v>1401940</v>
      </c>
      <c r="N80" s="36">
        <v>156</v>
      </c>
      <c r="O80" s="38">
        <v>0</v>
      </c>
      <c r="P80" s="39">
        <v>0</v>
      </c>
      <c r="Q80" s="37">
        <v>489950</v>
      </c>
      <c r="R80" s="36">
        <v>4</v>
      </c>
      <c r="S80" s="38">
        <v>0</v>
      </c>
      <c r="T80" s="39">
        <v>0</v>
      </c>
      <c r="U80" s="38"/>
      <c r="V80" s="39"/>
      <c r="W80" s="38"/>
      <c r="X80" s="39"/>
      <c r="Y80" s="38"/>
      <c r="Z80" s="39"/>
      <c r="AA80" s="22">
        <f t="shared" si="10"/>
        <v>7438820</v>
      </c>
      <c r="AB80" s="78"/>
      <c r="AC80" s="79"/>
    </row>
    <row r="81" spans="2:29" ht="16.95" customHeight="1">
      <c r="B81" s="75" t="s">
        <v>38</v>
      </c>
      <c r="C81" s="18" t="s">
        <v>20</v>
      </c>
      <c r="D81" s="19">
        <v>45368</v>
      </c>
      <c r="E81" s="40">
        <v>1940790</v>
      </c>
      <c r="F81" s="41">
        <v>11</v>
      </c>
      <c r="G81" s="42">
        <v>552890</v>
      </c>
      <c r="H81" s="41">
        <v>9</v>
      </c>
      <c r="I81" s="42">
        <v>127980</v>
      </c>
      <c r="J81" s="41">
        <v>2</v>
      </c>
      <c r="K81" s="42">
        <v>945870</v>
      </c>
      <c r="L81" s="41">
        <v>6</v>
      </c>
      <c r="M81" s="42">
        <v>335150</v>
      </c>
      <c r="N81" s="41">
        <v>30</v>
      </c>
      <c r="O81" s="49">
        <v>73360</v>
      </c>
      <c r="P81" s="50">
        <v>19</v>
      </c>
      <c r="Q81" s="21">
        <v>705950</v>
      </c>
      <c r="R81" s="20">
        <v>5</v>
      </c>
      <c r="S81" s="21">
        <v>214940</v>
      </c>
      <c r="T81" s="20">
        <v>5</v>
      </c>
      <c r="U81" s="28"/>
      <c r="V81" s="27"/>
      <c r="W81" s="28"/>
      <c r="X81" s="27"/>
      <c r="Y81" s="28"/>
      <c r="Z81" s="27"/>
      <c r="AA81" s="22">
        <f t="shared" si="10"/>
        <v>4896930</v>
      </c>
      <c r="AB81" s="78">
        <f t="shared" ref="AB81" si="12">SUM(AA81:AA87)</f>
        <v>38910737</v>
      </c>
      <c r="AC81" s="79">
        <v>22198092</v>
      </c>
    </row>
    <row r="82" spans="2:29">
      <c r="B82" s="76"/>
      <c r="C82" s="23" t="s">
        <v>21</v>
      </c>
      <c r="D82" s="19">
        <v>45369</v>
      </c>
      <c r="E82" s="8">
        <v>648860</v>
      </c>
      <c r="F82" s="20">
        <v>3</v>
      </c>
      <c r="G82" s="21">
        <v>1512810</v>
      </c>
      <c r="H82" s="20">
        <v>11</v>
      </c>
      <c r="I82" s="21">
        <v>26980</v>
      </c>
      <c r="J82" s="20">
        <v>2</v>
      </c>
      <c r="K82" s="21">
        <v>1257710</v>
      </c>
      <c r="L82" s="20">
        <v>18</v>
      </c>
      <c r="M82" s="21">
        <v>421050</v>
      </c>
      <c r="N82" s="20">
        <v>46</v>
      </c>
      <c r="O82" s="28"/>
      <c r="P82" s="27"/>
      <c r="Q82" s="21">
        <v>267940</v>
      </c>
      <c r="R82" s="20">
        <v>3</v>
      </c>
      <c r="S82" s="21">
        <v>167990</v>
      </c>
      <c r="T82" s="20">
        <v>1</v>
      </c>
      <c r="U82" s="28"/>
      <c r="V82" s="27"/>
      <c r="W82" s="28"/>
      <c r="X82" s="27"/>
      <c r="Y82" s="28"/>
      <c r="Z82" s="27"/>
      <c r="AA82" s="22">
        <f t="shared" si="10"/>
        <v>4303340</v>
      </c>
      <c r="AB82" s="78"/>
      <c r="AC82" s="79"/>
    </row>
    <row r="83" spans="2:29" ht="16.05" customHeight="1">
      <c r="B83" s="76"/>
      <c r="C83" s="23" t="s">
        <v>22</v>
      </c>
      <c r="D83" s="19">
        <v>45370</v>
      </c>
      <c r="E83" s="8">
        <v>1623850</v>
      </c>
      <c r="F83" s="20">
        <v>11</v>
      </c>
      <c r="G83" s="21">
        <v>923830</v>
      </c>
      <c r="H83" s="20">
        <v>9</v>
      </c>
      <c r="I83" s="21">
        <v>738920</v>
      </c>
      <c r="J83" s="20">
        <v>5</v>
      </c>
      <c r="K83" s="21">
        <v>191930</v>
      </c>
      <c r="L83" s="20">
        <v>3</v>
      </c>
      <c r="M83" s="21">
        <v>303390</v>
      </c>
      <c r="N83" s="20">
        <v>36</v>
      </c>
      <c r="O83" s="28"/>
      <c r="P83" s="27"/>
      <c r="Q83" s="21">
        <v>0</v>
      </c>
      <c r="R83" s="20">
        <v>0</v>
      </c>
      <c r="S83" s="21">
        <v>117980</v>
      </c>
      <c r="T83" s="20">
        <v>2</v>
      </c>
      <c r="U83" s="28"/>
      <c r="V83" s="27"/>
      <c r="W83" s="28"/>
      <c r="X83" s="27"/>
      <c r="Y83" s="28"/>
      <c r="Z83" s="27"/>
      <c r="AA83" s="22">
        <f t="shared" si="10"/>
        <v>3899900</v>
      </c>
      <c r="AB83" s="78"/>
      <c r="AC83" s="79"/>
    </row>
    <row r="84" spans="2:29">
      <c r="B84" s="76"/>
      <c r="C84" s="23" t="s">
        <v>23</v>
      </c>
      <c r="D84" s="19">
        <v>45371</v>
      </c>
      <c r="E84" s="8">
        <v>1107770</v>
      </c>
      <c r="F84" s="20">
        <v>12</v>
      </c>
      <c r="G84" s="21">
        <v>742860</v>
      </c>
      <c r="H84" s="20">
        <v>9</v>
      </c>
      <c r="I84" s="21">
        <v>0</v>
      </c>
      <c r="J84" s="20">
        <v>0</v>
      </c>
      <c r="K84" s="21">
        <v>2017810</v>
      </c>
      <c r="L84" s="20">
        <v>14</v>
      </c>
      <c r="M84" s="21">
        <v>413580</v>
      </c>
      <c r="N84" s="20">
        <v>42</v>
      </c>
      <c r="O84" s="28"/>
      <c r="P84" s="27"/>
      <c r="Q84" s="21">
        <v>334970</v>
      </c>
      <c r="R84" s="20">
        <v>3</v>
      </c>
      <c r="S84" s="21">
        <v>0</v>
      </c>
      <c r="T84" s="20">
        <v>0</v>
      </c>
      <c r="U84" s="28"/>
      <c r="V84" s="27"/>
      <c r="W84" s="28"/>
      <c r="X84" s="27"/>
      <c r="Y84" s="28"/>
      <c r="Z84" s="27"/>
      <c r="AA84" s="22">
        <f t="shared" si="10"/>
        <v>4616990</v>
      </c>
      <c r="AB84" s="78"/>
      <c r="AC84" s="79"/>
    </row>
    <row r="85" spans="2:29">
      <c r="B85" s="76"/>
      <c r="C85" s="23" t="s">
        <v>24</v>
      </c>
      <c r="D85" s="19">
        <v>45372</v>
      </c>
      <c r="E85" s="8">
        <v>485880</v>
      </c>
      <c r="F85" s="20">
        <v>10</v>
      </c>
      <c r="G85" s="21">
        <v>1736710</v>
      </c>
      <c r="H85" s="20">
        <v>12</v>
      </c>
      <c r="I85" s="21">
        <v>477940</v>
      </c>
      <c r="J85" s="20">
        <v>3</v>
      </c>
      <c r="K85" s="21">
        <v>1248830</v>
      </c>
      <c r="L85" s="20">
        <v>10</v>
      </c>
      <c r="M85" s="21">
        <v>535270</v>
      </c>
      <c r="N85" s="20">
        <v>41</v>
      </c>
      <c r="O85" s="28"/>
      <c r="P85" s="27"/>
      <c r="Q85" s="21">
        <v>415980</v>
      </c>
      <c r="R85" s="20">
        <v>2</v>
      </c>
      <c r="S85" s="21">
        <v>445910</v>
      </c>
      <c r="T85" s="20">
        <v>5</v>
      </c>
      <c r="U85" s="28"/>
      <c r="V85" s="27"/>
      <c r="W85" s="28"/>
      <c r="X85" s="27"/>
      <c r="Y85" s="28"/>
      <c r="Z85" s="27"/>
      <c r="AA85" s="22">
        <f t="shared" si="10"/>
        <v>5346520</v>
      </c>
      <c r="AB85" s="78"/>
      <c r="AC85" s="79"/>
    </row>
    <row r="86" spans="2:29">
      <c r="B86" s="76"/>
      <c r="C86" s="23" t="s">
        <v>25</v>
      </c>
      <c r="D86" s="19">
        <v>45373</v>
      </c>
      <c r="E86" s="8">
        <v>727840</v>
      </c>
      <c r="F86" s="31">
        <v>9</v>
      </c>
      <c r="G86" s="21">
        <v>1346996</v>
      </c>
      <c r="H86" s="31">
        <v>13</v>
      </c>
      <c r="I86" s="21">
        <v>785810</v>
      </c>
      <c r="J86" s="31">
        <v>12</v>
      </c>
      <c r="K86" s="21">
        <v>2532510</v>
      </c>
      <c r="L86" s="31">
        <v>20</v>
      </c>
      <c r="M86" s="21">
        <v>984070</v>
      </c>
      <c r="N86" s="31">
        <v>112</v>
      </c>
      <c r="O86" s="28"/>
      <c r="P86" s="32"/>
      <c r="Q86" s="21">
        <v>368970</v>
      </c>
      <c r="R86" s="31">
        <v>3</v>
      </c>
      <c r="S86" s="21">
        <v>0</v>
      </c>
      <c r="T86" s="31">
        <v>0</v>
      </c>
      <c r="U86" s="28"/>
      <c r="V86" s="32"/>
      <c r="W86" s="28"/>
      <c r="X86" s="32"/>
      <c r="Y86" s="28"/>
      <c r="Z86" s="32"/>
      <c r="AA86" s="22">
        <f t="shared" si="10"/>
        <v>6746196</v>
      </c>
      <c r="AB86" s="78"/>
      <c r="AC86" s="79"/>
    </row>
    <row r="87" spans="2:29">
      <c r="B87" s="77"/>
      <c r="C87" s="33" t="s">
        <v>26</v>
      </c>
      <c r="D87" s="34">
        <v>45374</v>
      </c>
      <c r="E87" s="35">
        <v>1998680</v>
      </c>
      <c r="F87" s="36">
        <v>26</v>
      </c>
      <c r="G87" s="37">
        <v>1289780</v>
      </c>
      <c r="H87" s="36">
        <v>11</v>
      </c>
      <c r="I87" s="37">
        <v>1750810</v>
      </c>
      <c r="J87" s="36">
        <v>11</v>
      </c>
      <c r="K87" s="37">
        <v>2031721</v>
      </c>
      <c r="L87" s="36">
        <v>19</v>
      </c>
      <c r="M87" s="37">
        <v>1798890</v>
      </c>
      <c r="N87" s="36">
        <v>220</v>
      </c>
      <c r="O87" s="38"/>
      <c r="P87" s="39"/>
      <c r="Q87" s="37">
        <v>230980</v>
      </c>
      <c r="R87" s="36">
        <v>2</v>
      </c>
      <c r="S87" s="38">
        <v>0</v>
      </c>
      <c r="T87" s="39">
        <v>0</v>
      </c>
      <c r="U87" s="38"/>
      <c r="V87" s="39"/>
      <c r="W87" s="38"/>
      <c r="X87" s="39"/>
      <c r="Y87" s="38"/>
      <c r="Z87" s="39"/>
      <c r="AA87" s="22">
        <f t="shared" si="10"/>
        <v>9100861</v>
      </c>
      <c r="AB87" s="78"/>
      <c r="AC87" s="79"/>
    </row>
    <row r="88" spans="2:29" ht="16.05" customHeight="1">
      <c r="B88" s="75" t="s">
        <v>39</v>
      </c>
      <c r="C88" s="48" t="s">
        <v>20</v>
      </c>
      <c r="D88" s="25">
        <v>45375</v>
      </c>
      <c r="E88" s="40">
        <v>1118750</v>
      </c>
      <c r="F88" s="41">
        <v>13</v>
      </c>
      <c r="G88" s="42">
        <v>578890</v>
      </c>
      <c r="H88" s="41">
        <v>8</v>
      </c>
      <c r="I88" s="42">
        <v>1287850</v>
      </c>
      <c r="J88" s="41">
        <v>13</v>
      </c>
      <c r="K88" s="42">
        <v>2016560</v>
      </c>
      <c r="L88" s="41">
        <v>21</v>
      </c>
      <c r="M88" s="42">
        <v>1026600</v>
      </c>
      <c r="N88" s="41">
        <v>119</v>
      </c>
      <c r="O88" s="49"/>
      <c r="P88" s="50"/>
      <c r="Q88" s="21">
        <v>469960</v>
      </c>
      <c r="R88" s="20">
        <v>2</v>
      </c>
      <c r="S88" s="49">
        <v>0</v>
      </c>
      <c r="T88" s="50">
        <v>0</v>
      </c>
      <c r="U88" s="28"/>
      <c r="V88" s="27"/>
      <c r="W88" s="49"/>
      <c r="X88" s="50"/>
      <c r="Y88" s="49"/>
      <c r="Z88" s="50"/>
      <c r="AA88" s="22">
        <f t="shared" si="10"/>
        <v>6498610</v>
      </c>
      <c r="AB88" s="78">
        <f t="shared" ref="AB88" si="13">SUM(AA88:AA94)</f>
        <v>36755069</v>
      </c>
      <c r="AC88" s="79">
        <v>30108770</v>
      </c>
    </row>
    <row r="89" spans="2:29">
      <c r="B89" s="76"/>
      <c r="C89" s="23" t="s">
        <v>21</v>
      </c>
      <c r="D89" s="19">
        <v>45376</v>
      </c>
      <c r="E89" s="8">
        <v>1161790</v>
      </c>
      <c r="F89" s="20">
        <v>11</v>
      </c>
      <c r="G89" s="21">
        <v>58960</v>
      </c>
      <c r="H89" s="20">
        <v>2</v>
      </c>
      <c r="I89" s="21">
        <v>64980</v>
      </c>
      <c r="J89" s="20">
        <v>2</v>
      </c>
      <c r="K89" s="21">
        <v>1836610</v>
      </c>
      <c r="L89" s="20">
        <v>18</v>
      </c>
      <c r="M89" s="21">
        <v>300470</v>
      </c>
      <c r="N89" s="20">
        <v>39</v>
      </c>
      <c r="O89" s="28"/>
      <c r="P89" s="27"/>
      <c r="Q89" s="21">
        <v>465960</v>
      </c>
      <c r="R89" s="20">
        <v>4</v>
      </c>
      <c r="S89" s="21">
        <v>0</v>
      </c>
      <c r="T89" s="20">
        <v>0</v>
      </c>
      <c r="U89" s="28"/>
      <c r="V89" s="27"/>
      <c r="W89" s="28"/>
      <c r="X89" s="27"/>
      <c r="Y89" s="28"/>
      <c r="Z89" s="27"/>
      <c r="AA89" s="22">
        <f t="shared" si="10"/>
        <v>3888770</v>
      </c>
      <c r="AB89" s="78"/>
      <c r="AC89" s="79"/>
    </row>
    <row r="90" spans="2:29" ht="16.05" customHeight="1">
      <c r="B90" s="76"/>
      <c r="C90" s="23" t="s">
        <v>22</v>
      </c>
      <c r="D90" s="19">
        <v>45377</v>
      </c>
      <c r="E90" s="8">
        <v>1232740</v>
      </c>
      <c r="F90" s="20">
        <v>18</v>
      </c>
      <c r="G90" s="21">
        <v>2018750</v>
      </c>
      <c r="H90" s="20">
        <v>15</v>
      </c>
      <c r="I90" s="21">
        <v>938850</v>
      </c>
      <c r="J90" s="20">
        <v>10</v>
      </c>
      <c r="K90" s="21">
        <v>2434740</v>
      </c>
      <c r="L90" s="20">
        <v>17</v>
      </c>
      <c r="M90" s="21">
        <v>280470</v>
      </c>
      <c r="N90" s="20">
        <v>46</v>
      </c>
      <c r="O90" s="28"/>
      <c r="P90" s="27"/>
      <c r="Q90" s="21">
        <v>234970</v>
      </c>
      <c r="R90" s="20">
        <v>3</v>
      </c>
      <c r="S90" s="21">
        <v>127970</v>
      </c>
      <c r="T90" s="20">
        <v>2</v>
      </c>
      <c r="U90" s="28"/>
      <c r="V90" s="27"/>
      <c r="W90" s="28"/>
      <c r="X90" s="27"/>
      <c r="Y90" s="28"/>
      <c r="Z90" s="27"/>
      <c r="AA90" s="22">
        <f t="shared" si="10"/>
        <v>7268490</v>
      </c>
      <c r="AB90" s="78"/>
      <c r="AC90" s="79"/>
    </row>
    <row r="91" spans="2:29">
      <c r="B91" s="76"/>
      <c r="C91" s="23" t="s">
        <v>23</v>
      </c>
      <c r="D91" s="19">
        <v>45378</v>
      </c>
      <c r="E91" s="8">
        <v>594890</v>
      </c>
      <c r="F91" s="20">
        <v>8</v>
      </c>
      <c r="G91" s="21">
        <v>937819</v>
      </c>
      <c r="H91" s="20">
        <v>10</v>
      </c>
      <c r="I91" s="21">
        <v>199460</v>
      </c>
      <c r="J91" s="20">
        <v>3</v>
      </c>
      <c r="K91" s="21">
        <v>1794690</v>
      </c>
      <c r="L91" s="20">
        <v>20</v>
      </c>
      <c r="M91" s="21">
        <v>366290</v>
      </c>
      <c r="N91" s="20">
        <v>45</v>
      </c>
      <c r="O91" s="28"/>
      <c r="P91" s="27"/>
      <c r="Q91" s="21">
        <v>64990</v>
      </c>
      <c r="R91" s="20">
        <v>1</v>
      </c>
      <c r="S91" s="21">
        <v>543940</v>
      </c>
      <c r="T91" s="20">
        <v>4</v>
      </c>
      <c r="U91" s="28"/>
      <c r="V91" s="27"/>
      <c r="W91" s="28"/>
      <c r="X91" s="27"/>
      <c r="Y91" s="28"/>
      <c r="Z91" s="27"/>
      <c r="AA91" s="22">
        <f t="shared" si="10"/>
        <v>4502079</v>
      </c>
      <c r="AB91" s="78"/>
      <c r="AC91" s="79"/>
    </row>
    <row r="92" spans="2:29">
      <c r="B92" s="76"/>
      <c r="C92" s="23" t="s">
        <v>24</v>
      </c>
      <c r="D92" s="19">
        <v>45379</v>
      </c>
      <c r="E92" s="8">
        <v>591870</v>
      </c>
      <c r="F92" s="20">
        <v>9</v>
      </c>
      <c r="G92" s="21">
        <v>922720</v>
      </c>
      <c r="H92" s="20">
        <v>14</v>
      </c>
      <c r="I92" s="21">
        <v>552920</v>
      </c>
      <c r="J92" s="20">
        <v>5</v>
      </c>
      <c r="K92" s="21">
        <v>645810</v>
      </c>
      <c r="L92" s="29"/>
      <c r="M92" s="21">
        <v>444770</v>
      </c>
      <c r="N92" s="20">
        <v>62</v>
      </c>
      <c r="O92" s="28"/>
      <c r="P92" s="27"/>
      <c r="Q92" s="21">
        <v>365970</v>
      </c>
      <c r="R92" s="31">
        <v>3</v>
      </c>
      <c r="S92" s="21">
        <v>390970</v>
      </c>
      <c r="T92" s="31">
        <v>3</v>
      </c>
      <c r="U92" s="28"/>
      <c r="V92" s="32"/>
      <c r="W92" s="28"/>
      <c r="X92" s="32"/>
      <c r="Y92" s="28"/>
      <c r="Z92" s="32"/>
      <c r="AA92" s="22">
        <f t="shared" si="10"/>
        <v>3915030</v>
      </c>
      <c r="AB92" s="78"/>
      <c r="AC92" s="79"/>
    </row>
    <row r="93" spans="2:29">
      <c r="B93" s="76"/>
      <c r="C93" s="23" t="s">
        <v>25</v>
      </c>
      <c r="D93" s="19">
        <v>45380</v>
      </c>
      <c r="E93" s="8">
        <v>1810700</v>
      </c>
      <c r="F93" s="31">
        <v>17</v>
      </c>
      <c r="G93" s="21">
        <v>455900</v>
      </c>
      <c r="H93" s="31">
        <v>7</v>
      </c>
      <c r="I93" s="21">
        <v>414950</v>
      </c>
      <c r="J93" s="31">
        <v>5</v>
      </c>
      <c r="K93" s="21">
        <v>418940</v>
      </c>
      <c r="L93" s="31">
        <v>4</v>
      </c>
      <c r="M93" s="21">
        <v>976710</v>
      </c>
      <c r="N93" s="31">
        <v>102</v>
      </c>
      <c r="O93" s="28"/>
      <c r="P93" s="32"/>
      <c r="Q93" s="21">
        <v>249970</v>
      </c>
      <c r="R93" s="31">
        <v>3</v>
      </c>
      <c r="S93" s="21">
        <v>0</v>
      </c>
      <c r="T93" s="31">
        <v>0</v>
      </c>
      <c r="U93" s="28"/>
      <c r="V93" s="32"/>
      <c r="W93" s="28"/>
      <c r="X93" s="32"/>
      <c r="Y93" s="28"/>
      <c r="Z93" s="32"/>
      <c r="AA93" s="22">
        <f t="shared" si="10"/>
        <v>4327170</v>
      </c>
      <c r="AB93" s="78"/>
      <c r="AC93" s="79"/>
    </row>
    <row r="94" spans="2:29">
      <c r="B94" s="77"/>
      <c r="C94" s="33" t="s">
        <v>26</v>
      </c>
      <c r="D94" s="34">
        <v>45381</v>
      </c>
      <c r="E94" s="35">
        <v>2133630</v>
      </c>
      <c r="F94" s="36">
        <v>29</v>
      </c>
      <c r="G94" s="37">
        <v>723920</v>
      </c>
      <c r="H94" s="36">
        <v>3</v>
      </c>
      <c r="I94" s="37">
        <v>704850</v>
      </c>
      <c r="J94" s="36">
        <v>11</v>
      </c>
      <c r="K94" s="37">
        <v>1131810</v>
      </c>
      <c r="L94" s="36">
        <v>12</v>
      </c>
      <c r="M94" s="37">
        <v>1199770</v>
      </c>
      <c r="N94" s="36">
        <v>156</v>
      </c>
      <c r="O94" s="38"/>
      <c r="P94" s="39"/>
      <c r="Q94" s="37">
        <v>460940</v>
      </c>
      <c r="R94" s="36">
        <v>6</v>
      </c>
      <c r="S94" s="38">
        <v>0</v>
      </c>
      <c r="T94" s="39">
        <v>0</v>
      </c>
      <c r="U94" s="38"/>
      <c r="V94" s="39"/>
      <c r="W94" s="38"/>
      <c r="X94" s="39"/>
      <c r="Y94" s="38"/>
      <c r="Z94" s="39"/>
      <c r="AA94" s="22">
        <f t="shared" si="10"/>
        <v>6354920</v>
      </c>
      <c r="AB94" s="78"/>
      <c r="AC94" s="79"/>
    </row>
    <row r="95" spans="2:29" ht="16.05" customHeight="1">
      <c r="B95" s="75" t="s">
        <v>40</v>
      </c>
      <c r="C95" s="18" t="s">
        <v>20</v>
      </c>
      <c r="D95" s="19">
        <v>45382</v>
      </c>
      <c r="E95" s="8">
        <v>614910</v>
      </c>
      <c r="F95" s="41">
        <v>9</v>
      </c>
      <c r="G95" s="42">
        <v>1340710</v>
      </c>
      <c r="H95" s="31">
        <v>10</v>
      </c>
      <c r="I95" s="42">
        <v>985890</v>
      </c>
      <c r="J95" s="41">
        <v>8</v>
      </c>
      <c r="K95" s="42">
        <v>2717700</v>
      </c>
      <c r="L95" s="41">
        <v>16</v>
      </c>
      <c r="M95" s="42">
        <v>159950</v>
      </c>
      <c r="N95" s="41">
        <v>20</v>
      </c>
      <c r="O95" s="49"/>
      <c r="P95" s="50"/>
      <c r="Q95" s="21">
        <v>15990</v>
      </c>
      <c r="R95" s="20">
        <v>1</v>
      </c>
      <c r="S95" s="21">
        <v>114990</v>
      </c>
      <c r="T95" s="20">
        <v>1</v>
      </c>
      <c r="U95" s="28"/>
      <c r="V95" s="27"/>
      <c r="W95" s="28"/>
      <c r="X95" s="27"/>
      <c r="Y95" s="28"/>
      <c r="Z95" s="27"/>
      <c r="AA95" s="22">
        <f t="shared" si="10"/>
        <v>5950140</v>
      </c>
      <c r="AB95" s="78">
        <f t="shared" ref="AB95" si="14">SUM(AA95:AA101)</f>
        <v>25199169</v>
      </c>
      <c r="AC95" s="79">
        <v>23304064</v>
      </c>
    </row>
    <row r="96" spans="2:29">
      <c r="B96" s="76"/>
      <c r="C96" s="23" t="s">
        <v>21</v>
      </c>
      <c r="D96" s="19">
        <v>45383</v>
      </c>
      <c r="E96" s="6">
        <v>156950</v>
      </c>
      <c r="F96" s="20">
        <v>4</v>
      </c>
      <c r="G96" s="21">
        <v>470850</v>
      </c>
      <c r="H96" s="31">
        <v>9</v>
      </c>
      <c r="I96" s="21">
        <v>118970</v>
      </c>
      <c r="J96" s="20">
        <v>3</v>
      </c>
      <c r="K96" s="21">
        <v>776890</v>
      </c>
      <c r="L96" s="20">
        <v>7</v>
      </c>
      <c r="M96" s="21">
        <v>358070</v>
      </c>
      <c r="N96" s="20">
        <v>52</v>
      </c>
      <c r="O96" s="28"/>
      <c r="P96" s="27"/>
      <c r="Q96" s="21">
        <v>399990</v>
      </c>
      <c r="R96" s="20">
        <v>1</v>
      </c>
      <c r="S96" s="21">
        <v>588920</v>
      </c>
      <c r="T96" s="20">
        <v>6</v>
      </c>
      <c r="U96" s="28"/>
      <c r="V96" s="27"/>
      <c r="W96" s="28"/>
      <c r="X96" s="27"/>
      <c r="Y96" s="28"/>
      <c r="Z96" s="27"/>
      <c r="AA96" s="22">
        <f t="shared" si="10"/>
        <v>2870640</v>
      </c>
      <c r="AB96" s="78"/>
      <c r="AC96" s="79"/>
    </row>
    <row r="97" spans="1:29" ht="16.05" customHeight="1">
      <c r="B97" s="76"/>
      <c r="C97" s="24" t="s">
        <v>22</v>
      </c>
      <c r="D97" s="25">
        <v>45384</v>
      </c>
      <c r="E97" s="8">
        <v>767820</v>
      </c>
      <c r="F97" s="20">
        <v>7</v>
      </c>
      <c r="G97" s="21">
        <v>401910</v>
      </c>
      <c r="H97" s="31">
        <v>4</v>
      </c>
      <c r="I97" s="21">
        <v>497910</v>
      </c>
      <c r="J97" s="20">
        <v>7</v>
      </c>
      <c r="K97" s="21">
        <v>267013</v>
      </c>
      <c r="L97" s="20">
        <v>7</v>
      </c>
      <c r="M97" s="21">
        <v>846150</v>
      </c>
      <c r="N97" s="20">
        <v>116</v>
      </c>
      <c r="O97" s="28"/>
      <c r="P97" s="27"/>
      <c r="Q97" s="21">
        <v>0</v>
      </c>
      <c r="R97" s="20">
        <v>0</v>
      </c>
      <c r="S97" s="28">
        <v>0</v>
      </c>
      <c r="T97" s="27">
        <v>0</v>
      </c>
      <c r="U97" s="28"/>
      <c r="V97" s="27"/>
      <c r="W97" s="28"/>
      <c r="X97" s="27"/>
      <c r="Y97" s="28"/>
      <c r="Z97" s="27"/>
      <c r="AA97" s="22">
        <f t="shared" si="10"/>
        <v>2780803</v>
      </c>
      <c r="AB97" s="78"/>
      <c r="AC97" s="79"/>
    </row>
    <row r="98" spans="1:29">
      <c r="B98" s="76"/>
      <c r="C98" s="23" t="s">
        <v>23</v>
      </c>
      <c r="D98" s="19">
        <v>45385</v>
      </c>
      <c r="E98" s="8">
        <v>1580630</v>
      </c>
      <c r="F98" s="20">
        <v>15</v>
      </c>
      <c r="G98" s="21">
        <v>39970</v>
      </c>
      <c r="H98" s="31">
        <v>3</v>
      </c>
      <c r="I98" s="21">
        <v>59980</v>
      </c>
      <c r="J98" s="20">
        <v>2</v>
      </c>
      <c r="K98" s="21">
        <v>610900</v>
      </c>
      <c r="L98" s="20">
        <v>6</v>
      </c>
      <c r="M98" s="21">
        <v>416740</v>
      </c>
      <c r="N98" s="20">
        <v>55</v>
      </c>
      <c r="O98" s="28"/>
      <c r="P98" s="27"/>
      <c r="Q98" s="21">
        <v>165990</v>
      </c>
      <c r="R98" s="20">
        <v>1</v>
      </c>
      <c r="S98" s="21">
        <v>19990</v>
      </c>
      <c r="T98" s="20">
        <v>1</v>
      </c>
      <c r="U98" s="28"/>
      <c r="V98" s="27"/>
      <c r="W98" s="28"/>
      <c r="X98" s="27"/>
      <c r="Y98" s="28"/>
      <c r="Z98" s="27"/>
      <c r="AA98" s="22">
        <f t="shared" si="10"/>
        <v>2894200</v>
      </c>
      <c r="AB98" s="78"/>
      <c r="AC98" s="79"/>
    </row>
    <row r="99" spans="1:29">
      <c r="B99" s="76"/>
      <c r="C99" s="23" t="s">
        <v>24</v>
      </c>
      <c r="D99" s="19">
        <v>45386</v>
      </c>
      <c r="E99" s="8">
        <v>799830</v>
      </c>
      <c r="F99" s="20">
        <v>6</v>
      </c>
      <c r="G99" s="21">
        <v>223920</v>
      </c>
      <c r="H99" s="31">
        <v>4</v>
      </c>
      <c r="I99" s="21">
        <v>29990</v>
      </c>
      <c r="J99" s="20">
        <v>1</v>
      </c>
      <c r="K99" s="21">
        <v>625103</v>
      </c>
      <c r="L99" s="20">
        <v>7</v>
      </c>
      <c r="M99" s="21">
        <v>496010</v>
      </c>
      <c r="N99" s="20">
        <v>57</v>
      </c>
      <c r="O99" s="28"/>
      <c r="P99" s="27"/>
      <c r="Q99" s="21">
        <v>171990</v>
      </c>
      <c r="R99" s="31">
        <v>1</v>
      </c>
      <c r="S99" s="21">
        <v>89990</v>
      </c>
      <c r="T99" s="31">
        <v>1</v>
      </c>
      <c r="U99" s="28"/>
      <c r="V99" s="32"/>
      <c r="W99" s="28"/>
      <c r="X99" s="32"/>
      <c r="Y99" s="28"/>
      <c r="Z99" s="32"/>
      <c r="AA99" s="22">
        <f t="shared" si="10"/>
        <v>2436833</v>
      </c>
      <c r="AB99" s="78"/>
      <c r="AC99" s="79"/>
    </row>
    <row r="100" spans="1:29">
      <c r="B100" s="76"/>
      <c r="C100" s="23" t="s">
        <v>25</v>
      </c>
      <c r="D100" s="19">
        <v>45387</v>
      </c>
      <c r="E100" s="6">
        <v>552890</v>
      </c>
      <c r="F100" s="20">
        <v>12</v>
      </c>
      <c r="G100" s="21">
        <v>531890</v>
      </c>
      <c r="H100" s="31">
        <v>8</v>
      </c>
      <c r="I100" s="21">
        <v>403970</v>
      </c>
      <c r="J100" s="31">
        <v>2</v>
      </c>
      <c r="K100" s="21">
        <v>1404790</v>
      </c>
      <c r="L100" s="31">
        <v>11</v>
      </c>
      <c r="M100" s="21">
        <v>909620</v>
      </c>
      <c r="N100" s="31">
        <v>101</v>
      </c>
      <c r="O100" s="28"/>
      <c r="P100" s="32"/>
      <c r="Q100" s="21">
        <v>39990</v>
      </c>
      <c r="R100" s="31">
        <v>1</v>
      </c>
      <c r="S100" s="21">
        <v>0</v>
      </c>
      <c r="T100" s="31">
        <v>0</v>
      </c>
      <c r="U100" s="28"/>
      <c r="V100" s="32"/>
      <c r="W100" s="28"/>
      <c r="X100" s="32"/>
      <c r="Y100" s="28"/>
      <c r="Z100" s="32"/>
      <c r="AA100" s="22">
        <f t="shared" si="10"/>
        <v>3843150</v>
      </c>
      <c r="AB100" s="78"/>
      <c r="AC100" s="79"/>
    </row>
    <row r="101" spans="1:29">
      <c r="B101" s="77"/>
      <c r="C101" s="33" t="s">
        <v>26</v>
      </c>
      <c r="D101" s="34">
        <v>45388</v>
      </c>
      <c r="E101" s="53">
        <v>1073780</v>
      </c>
      <c r="F101" s="54">
        <v>18</v>
      </c>
      <c r="G101" s="37">
        <v>504860</v>
      </c>
      <c r="H101" s="55">
        <v>11</v>
      </c>
      <c r="I101" s="37">
        <v>689870</v>
      </c>
      <c r="J101" s="36">
        <v>10</v>
      </c>
      <c r="K101" s="37">
        <v>462983</v>
      </c>
      <c r="L101" s="36">
        <v>8</v>
      </c>
      <c r="M101" s="37">
        <v>1346950</v>
      </c>
      <c r="N101" s="36">
        <v>177</v>
      </c>
      <c r="O101" s="38"/>
      <c r="P101" s="39"/>
      <c r="Q101" s="37">
        <v>344960</v>
      </c>
      <c r="R101" s="36">
        <v>4</v>
      </c>
      <c r="S101" s="38">
        <v>0</v>
      </c>
      <c r="T101" s="39">
        <v>0</v>
      </c>
      <c r="U101" s="38"/>
      <c r="V101" s="39"/>
      <c r="W101" s="38"/>
      <c r="X101" s="39"/>
      <c r="Y101" s="38"/>
      <c r="Z101" s="39"/>
      <c r="AA101" s="22">
        <f t="shared" si="10"/>
        <v>4423403</v>
      </c>
      <c r="AB101" s="78"/>
      <c r="AC101" s="79"/>
    </row>
    <row r="102" spans="1:29" ht="16.05" customHeight="1">
      <c r="B102" s="75" t="s">
        <v>41</v>
      </c>
      <c r="C102" s="18" t="s">
        <v>20</v>
      </c>
      <c r="D102" s="19">
        <v>45389</v>
      </c>
      <c r="E102" s="6">
        <v>78980</v>
      </c>
      <c r="F102" s="20">
        <v>2</v>
      </c>
      <c r="G102" s="42">
        <v>53980</v>
      </c>
      <c r="H102" s="31">
        <v>2</v>
      </c>
      <c r="I102" s="42">
        <v>143950</v>
      </c>
      <c r="J102" s="41">
        <v>1</v>
      </c>
      <c r="K102" s="42">
        <v>465910</v>
      </c>
      <c r="L102" s="56"/>
      <c r="M102" s="42">
        <v>221710</v>
      </c>
      <c r="N102" s="41">
        <v>29</v>
      </c>
      <c r="O102" s="49"/>
      <c r="P102" s="50"/>
      <c r="Q102" s="21">
        <v>0</v>
      </c>
      <c r="R102" s="20">
        <v>0</v>
      </c>
      <c r="S102" s="21">
        <v>189990</v>
      </c>
      <c r="T102" s="20">
        <v>1</v>
      </c>
      <c r="U102" s="28"/>
      <c r="V102" s="27"/>
      <c r="W102" s="28"/>
      <c r="X102" s="27"/>
      <c r="Y102" s="28"/>
      <c r="Z102" s="27"/>
      <c r="AA102" s="22">
        <f t="shared" si="10"/>
        <v>1154520</v>
      </c>
      <c r="AB102" s="78">
        <f t="shared" ref="AB102" si="15">SUM(AA102:AA108)</f>
        <v>27009580</v>
      </c>
      <c r="AC102" s="79">
        <v>22950440</v>
      </c>
    </row>
    <row r="103" spans="1:29">
      <c r="B103" s="76"/>
      <c r="C103" s="23" t="s">
        <v>21</v>
      </c>
      <c r="D103" s="19">
        <v>45390</v>
      </c>
      <c r="E103" s="6">
        <v>1038260</v>
      </c>
      <c r="F103" s="20">
        <v>7</v>
      </c>
      <c r="G103" s="21">
        <v>652880</v>
      </c>
      <c r="H103" s="31">
        <v>5</v>
      </c>
      <c r="I103" s="21">
        <v>568940</v>
      </c>
      <c r="J103" s="20">
        <v>4</v>
      </c>
      <c r="K103" s="21">
        <v>139930</v>
      </c>
      <c r="L103" s="20">
        <v>7</v>
      </c>
      <c r="M103" s="21">
        <v>223100</v>
      </c>
      <c r="N103" s="20">
        <v>30</v>
      </c>
      <c r="O103" s="28"/>
      <c r="P103" s="27"/>
      <c r="Q103" s="21">
        <v>84990</v>
      </c>
      <c r="R103" s="20">
        <v>1</v>
      </c>
      <c r="S103" s="21">
        <v>89990</v>
      </c>
      <c r="T103" s="20">
        <v>1</v>
      </c>
      <c r="U103" s="28"/>
      <c r="V103" s="27"/>
      <c r="W103" s="28"/>
      <c r="X103" s="27"/>
      <c r="Y103" s="28"/>
      <c r="Z103" s="27"/>
      <c r="AA103" s="22">
        <f t="shared" si="10"/>
        <v>2798090</v>
      </c>
      <c r="AB103" s="78"/>
      <c r="AC103" s="79"/>
    </row>
    <row r="104" spans="1:29" ht="16.95" customHeight="1">
      <c r="B104" s="76"/>
      <c r="C104" s="23" t="s">
        <v>22</v>
      </c>
      <c r="D104" s="19">
        <v>45391</v>
      </c>
      <c r="E104" s="6">
        <v>404900</v>
      </c>
      <c r="F104" s="20">
        <v>7</v>
      </c>
      <c r="G104" s="21">
        <v>813820</v>
      </c>
      <c r="H104" s="31">
        <v>11</v>
      </c>
      <c r="I104" s="21">
        <v>394960</v>
      </c>
      <c r="J104" s="20">
        <v>3</v>
      </c>
      <c r="K104" s="21">
        <v>1761700</v>
      </c>
      <c r="L104" s="20">
        <v>13</v>
      </c>
      <c r="M104" s="21">
        <v>254560</v>
      </c>
      <c r="N104" s="20">
        <v>24</v>
      </c>
      <c r="O104" s="28"/>
      <c r="P104" s="27"/>
      <c r="Q104" s="21">
        <v>0</v>
      </c>
      <c r="R104" s="20">
        <v>0</v>
      </c>
      <c r="S104" s="21">
        <v>0</v>
      </c>
      <c r="T104" s="20">
        <v>0</v>
      </c>
      <c r="U104" s="28"/>
      <c r="V104" s="27"/>
      <c r="W104" s="28"/>
      <c r="X104" s="27"/>
      <c r="Y104" s="28"/>
      <c r="Z104" s="27"/>
      <c r="AA104" s="22">
        <f t="shared" si="10"/>
        <v>3629940</v>
      </c>
      <c r="AB104" s="78"/>
      <c r="AC104" s="79"/>
    </row>
    <row r="105" spans="1:29">
      <c r="A105" s="45" t="s">
        <v>42</v>
      </c>
      <c r="B105" s="76"/>
      <c r="C105" s="57" t="s">
        <v>23</v>
      </c>
      <c r="D105" s="58">
        <v>45392</v>
      </c>
      <c r="E105" s="59">
        <v>631950</v>
      </c>
      <c r="F105" s="60">
        <v>5</v>
      </c>
      <c r="G105" s="61">
        <v>1517710</v>
      </c>
      <c r="H105" s="62"/>
      <c r="I105" s="61">
        <v>795850</v>
      </c>
      <c r="J105" s="63"/>
      <c r="K105" s="61">
        <v>1329780</v>
      </c>
      <c r="L105" s="60">
        <v>12</v>
      </c>
      <c r="M105" s="61">
        <v>289750</v>
      </c>
      <c r="N105" s="63"/>
      <c r="O105" s="46"/>
      <c r="P105" s="47"/>
      <c r="Q105" s="61">
        <v>0</v>
      </c>
      <c r="R105" s="60">
        <v>0</v>
      </c>
      <c r="S105" s="61">
        <v>57970</v>
      </c>
      <c r="T105" s="63"/>
      <c r="U105" s="28"/>
      <c r="V105" s="27"/>
      <c r="W105" s="46"/>
      <c r="X105" s="47"/>
      <c r="Y105" s="46"/>
      <c r="Z105" s="47"/>
      <c r="AA105" s="22">
        <f t="shared" si="10"/>
        <v>4623010</v>
      </c>
      <c r="AB105" s="78"/>
      <c r="AC105" s="79"/>
    </row>
    <row r="106" spans="1:29">
      <c r="B106" s="76"/>
      <c r="C106" s="23" t="s">
        <v>24</v>
      </c>
      <c r="D106" s="19">
        <v>45393</v>
      </c>
      <c r="E106" s="6">
        <v>55980</v>
      </c>
      <c r="F106" s="20">
        <v>2</v>
      </c>
      <c r="G106" s="21">
        <v>1408840</v>
      </c>
      <c r="H106" s="31">
        <v>9</v>
      </c>
      <c r="I106" s="21">
        <v>530960</v>
      </c>
      <c r="J106" s="20">
        <v>3</v>
      </c>
      <c r="K106" s="21">
        <v>249890</v>
      </c>
      <c r="L106" s="20">
        <v>4</v>
      </c>
      <c r="M106" s="21">
        <v>175000</v>
      </c>
      <c r="N106" s="20">
        <v>34</v>
      </c>
      <c r="O106" s="28"/>
      <c r="P106" s="27"/>
      <c r="Q106" s="21">
        <v>171990</v>
      </c>
      <c r="R106" s="31">
        <v>1</v>
      </c>
      <c r="S106" s="21">
        <v>0</v>
      </c>
      <c r="T106" s="31">
        <v>0</v>
      </c>
      <c r="U106" s="28"/>
      <c r="V106" s="32"/>
      <c r="W106" s="28"/>
      <c r="X106" s="32"/>
      <c r="Y106" s="28"/>
      <c r="Z106" s="32"/>
      <c r="AA106" s="22">
        <f t="shared" si="10"/>
        <v>2592660</v>
      </c>
      <c r="AB106" s="78"/>
      <c r="AC106" s="79"/>
    </row>
    <row r="107" spans="1:29">
      <c r="B107" s="76"/>
      <c r="C107" s="23" t="s">
        <v>25</v>
      </c>
      <c r="D107" s="19">
        <v>45394</v>
      </c>
      <c r="E107" s="6">
        <v>380850</v>
      </c>
      <c r="F107" s="20">
        <v>7</v>
      </c>
      <c r="G107" s="21">
        <v>789910</v>
      </c>
      <c r="H107" s="31">
        <v>7</v>
      </c>
      <c r="I107" s="21">
        <v>1839820</v>
      </c>
      <c r="J107" s="31">
        <v>11</v>
      </c>
      <c r="K107" s="21">
        <v>1225810</v>
      </c>
      <c r="L107" s="31">
        <v>11</v>
      </c>
      <c r="M107" s="21">
        <v>618870</v>
      </c>
      <c r="N107" s="31">
        <v>81</v>
      </c>
      <c r="O107" s="28"/>
      <c r="P107" s="32"/>
      <c r="Q107" s="21">
        <v>184970</v>
      </c>
      <c r="R107" s="31">
        <v>3</v>
      </c>
      <c r="S107" s="21">
        <v>0</v>
      </c>
      <c r="T107" s="31">
        <v>0</v>
      </c>
      <c r="U107" s="28"/>
      <c r="V107" s="32"/>
      <c r="W107" s="28"/>
      <c r="X107" s="32"/>
      <c r="Y107" s="28"/>
      <c r="Z107" s="32"/>
      <c r="AA107" s="22">
        <f t="shared" si="10"/>
        <v>5040230</v>
      </c>
      <c r="AB107" s="78"/>
      <c r="AC107" s="79"/>
    </row>
    <row r="108" spans="1:29">
      <c r="B108" s="77"/>
      <c r="C108" s="33" t="s">
        <v>26</v>
      </c>
      <c r="D108" s="34">
        <v>45395</v>
      </c>
      <c r="E108" s="53">
        <v>1834720</v>
      </c>
      <c r="F108" s="54">
        <v>19</v>
      </c>
      <c r="G108" s="37">
        <v>720880</v>
      </c>
      <c r="H108" s="55">
        <v>8</v>
      </c>
      <c r="I108" s="37">
        <v>1128860</v>
      </c>
      <c r="J108" s="36">
        <v>11</v>
      </c>
      <c r="K108" s="37">
        <v>2000670</v>
      </c>
      <c r="L108" s="36">
        <v>13</v>
      </c>
      <c r="M108" s="37">
        <v>1249060</v>
      </c>
      <c r="N108" s="36">
        <v>154</v>
      </c>
      <c r="O108" s="38"/>
      <c r="P108" s="39"/>
      <c r="Q108" s="37">
        <v>236940</v>
      </c>
      <c r="R108" s="36">
        <v>3</v>
      </c>
      <c r="S108" s="38">
        <v>0</v>
      </c>
      <c r="T108" s="39">
        <v>0</v>
      </c>
      <c r="U108" s="38"/>
      <c r="V108" s="39"/>
      <c r="W108" s="38"/>
      <c r="X108" s="39"/>
      <c r="Y108" s="38"/>
      <c r="Z108" s="39"/>
      <c r="AA108" s="22">
        <f t="shared" si="10"/>
        <v>7171130</v>
      </c>
      <c r="AB108" s="78"/>
      <c r="AC108" s="79"/>
    </row>
    <row r="109" spans="1:29" ht="16.05" customHeight="1">
      <c r="B109" s="75" t="s">
        <v>43</v>
      </c>
      <c r="C109" s="18" t="s">
        <v>20</v>
      </c>
      <c r="D109" s="19">
        <v>45396</v>
      </c>
      <c r="E109" s="6">
        <v>620140</v>
      </c>
      <c r="F109" s="20">
        <v>6</v>
      </c>
      <c r="G109" s="42">
        <v>577830</v>
      </c>
      <c r="H109" s="31">
        <v>8</v>
      </c>
      <c r="I109" s="42">
        <v>277960</v>
      </c>
      <c r="J109" s="41">
        <v>2</v>
      </c>
      <c r="K109" s="42">
        <v>883770</v>
      </c>
      <c r="L109" s="41">
        <v>10</v>
      </c>
      <c r="M109" s="42">
        <v>146830</v>
      </c>
      <c r="N109" s="41">
        <v>25</v>
      </c>
      <c r="O109" s="49"/>
      <c r="P109" s="50"/>
      <c r="Q109" s="21">
        <v>0</v>
      </c>
      <c r="R109" s="20">
        <v>0</v>
      </c>
      <c r="S109" s="21">
        <v>189980</v>
      </c>
      <c r="T109" s="20">
        <v>1</v>
      </c>
      <c r="U109" s="28"/>
      <c r="V109" s="27"/>
      <c r="W109" s="28"/>
      <c r="X109" s="27"/>
      <c r="Y109" s="28"/>
      <c r="Z109" s="27"/>
      <c r="AA109" s="22">
        <f t="shared" si="10"/>
        <v>2696510</v>
      </c>
      <c r="AB109" s="78">
        <f t="shared" ref="AB109" si="16">SUM(AA109:AA115)</f>
        <v>34062441</v>
      </c>
      <c r="AC109" s="79">
        <v>30679030</v>
      </c>
    </row>
    <row r="110" spans="1:29">
      <c r="B110" s="76"/>
      <c r="C110" s="23" t="s">
        <v>21</v>
      </c>
      <c r="D110" s="19">
        <v>45397</v>
      </c>
      <c r="E110" s="6">
        <v>1977820</v>
      </c>
      <c r="F110" s="20">
        <v>12</v>
      </c>
      <c r="G110" s="21">
        <v>106970</v>
      </c>
      <c r="H110" s="31">
        <v>2</v>
      </c>
      <c r="I110" s="21">
        <v>535940</v>
      </c>
      <c r="J110" s="20">
        <v>6</v>
      </c>
      <c r="K110" s="21">
        <v>1648750</v>
      </c>
      <c r="L110" s="20">
        <v>14</v>
      </c>
      <c r="M110" s="21">
        <v>276610</v>
      </c>
      <c r="N110" s="20">
        <v>40</v>
      </c>
      <c r="O110" s="28"/>
      <c r="P110" s="27"/>
      <c r="Q110" s="21">
        <v>305970</v>
      </c>
      <c r="R110" s="20">
        <v>2</v>
      </c>
      <c r="S110" s="21">
        <v>385980</v>
      </c>
      <c r="T110" s="20">
        <v>2</v>
      </c>
      <c r="U110" s="28"/>
      <c r="V110" s="27"/>
      <c r="W110" s="28"/>
      <c r="X110" s="27"/>
      <c r="Y110" s="28"/>
      <c r="Z110" s="27"/>
      <c r="AA110" s="22">
        <f t="shared" si="10"/>
        <v>5238040</v>
      </c>
      <c r="AB110" s="78"/>
      <c r="AC110" s="79"/>
    </row>
    <row r="111" spans="1:29" ht="16.05" customHeight="1">
      <c r="B111" s="76"/>
      <c r="C111" s="23" t="s">
        <v>22</v>
      </c>
      <c r="D111" s="19">
        <v>45398</v>
      </c>
      <c r="E111" s="6">
        <v>395910</v>
      </c>
      <c r="F111" s="20">
        <v>9</v>
      </c>
      <c r="G111" s="21">
        <v>875860</v>
      </c>
      <c r="H111" s="31">
        <v>7</v>
      </c>
      <c r="I111" s="21">
        <v>380910</v>
      </c>
      <c r="J111" s="20">
        <v>7</v>
      </c>
      <c r="K111" s="21">
        <v>1959381</v>
      </c>
      <c r="L111" s="20">
        <v>17</v>
      </c>
      <c r="M111" s="21">
        <v>218860</v>
      </c>
      <c r="N111" s="20">
        <v>26</v>
      </c>
      <c r="O111" s="28"/>
      <c r="P111" s="27"/>
      <c r="Q111" s="21">
        <v>391980</v>
      </c>
      <c r="R111" s="20">
        <v>1</v>
      </c>
      <c r="S111" s="21">
        <v>343940</v>
      </c>
      <c r="T111" s="20">
        <v>4</v>
      </c>
      <c r="U111" s="28"/>
      <c r="V111" s="27"/>
      <c r="W111" s="28"/>
      <c r="X111" s="27"/>
      <c r="Y111" s="28"/>
      <c r="Z111" s="27"/>
      <c r="AA111" s="22">
        <f t="shared" si="10"/>
        <v>4566841</v>
      </c>
      <c r="AB111" s="78"/>
      <c r="AC111" s="79"/>
    </row>
    <row r="112" spans="1:29">
      <c r="B112" s="76"/>
      <c r="C112" s="24" t="s">
        <v>23</v>
      </c>
      <c r="D112" s="25">
        <v>45399</v>
      </c>
      <c r="E112" s="6">
        <v>683860</v>
      </c>
      <c r="F112" s="20">
        <v>6</v>
      </c>
      <c r="G112" s="21">
        <v>900870</v>
      </c>
      <c r="H112" s="31">
        <v>9</v>
      </c>
      <c r="I112" s="21">
        <v>526920</v>
      </c>
      <c r="J112" s="20">
        <v>6</v>
      </c>
      <c r="K112" s="21">
        <v>572880</v>
      </c>
      <c r="L112" s="20">
        <v>11</v>
      </c>
      <c r="M112" s="21">
        <v>613310</v>
      </c>
      <c r="N112" s="31">
        <v>94</v>
      </c>
      <c r="O112" s="28"/>
      <c r="P112" s="27"/>
      <c r="Q112" s="21">
        <v>670940</v>
      </c>
      <c r="R112" s="64">
        <v>6</v>
      </c>
      <c r="S112" s="8">
        <v>0</v>
      </c>
      <c r="T112" s="20">
        <v>0</v>
      </c>
      <c r="U112" s="28"/>
      <c r="V112" s="27"/>
      <c r="W112" s="26"/>
      <c r="X112" s="27"/>
      <c r="Y112" s="28"/>
      <c r="Z112" s="27"/>
      <c r="AA112" s="22">
        <f t="shared" si="10"/>
        <v>3968780</v>
      </c>
      <c r="AB112" s="78"/>
      <c r="AC112" s="79"/>
    </row>
    <row r="113" spans="2:29">
      <c r="B113" s="76"/>
      <c r="C113" s="24" t="s">
        <v>24</v>
      </c>
      <c r="D113" s="25">
        <v>45400</v>
      </c>
      <c r="E113" s="6">
        <v>1230740</v>
      </c>
      <c r="F113" s="20">
        <v>16</v>
      </c>
      <c r="G113" s="21">
        <v>334870</v>
      </c>
      <c r="H113" s="31">
        <v>7</v>
      </c>
      <c r="I113" s="21">
        <v>609920</v>
      </c>
      <c r="J113" s="20">
        <v>5</v>
      </c>
      <c r="K113" s="21">
        <v>1516660</v>
      </c>
      <c r="L113" s="20">
        <v>15</v>
      </c>
      <c r="M113" s="21">
        <v>1347970</v>
      </c>
      <c r="N113" s="20">
        <v>179</v>
      </c>
      <c r="O113" s="28"/>
      <c r="P113" s="27"/>
      <c r="Q113" s="21">
        <v>1154860</v>
      </c>
      <c r="R113" s="65">
        <v>6</v>
      </c>
      <c r="S113" s="26">
        <v>0</v>
      </c>
      <c r="T113" s="27">
        <v>0</v>
      </c>
      <c r="U113" s="26"/>
      <c r="V113" s="32"/>
      <c r="W113" s="26"/>
      <c r="X113" s="27"/>
      <c r="Y113" s="28"/>
      <c r="Z113" s="27"/>
      <c r="AA113" s="22">
        <f t="shared" si="10"/>
        <v>6195020</v>
      </c>
      <c r="AB113" s="78"/>
      <c r="AC113" s="79"/>
    </row>
    <row r="114" spans="2:29">
      <c r="B114" s="76"/>
      <c r="C114" s="23" t="s">
        <v>25</v>
      </c>
      <c r="D114" s="19">
        <v>45401</v>
      </c>
      <c r="E114" s="6">
        <v>1775440</v>
      </c>
      <c r="F114" s="20">
        <v>17</v>
      </c>
      <c r="G114" s="21">
        <v>671890</v>
      </c>
      <c r="H114" s="31">
        <v>8</v>
      </c>
      <c r="I114" s="21">
        <v>1003820</v>
      </c>
      <c r="J114" s="31">
        <v>9</v>
      </c>
      <c r="K114" s="21">
        <v>1210720</v>
      </c>
      <c r="L114" s="31">
        <v>17</v>
      </c>
      <c r="M114" s="21">
        <v>1172490</v>
      </c>
      <c r="N114" s="20">
        <v>147</v>
      </c>
      <c r="O114" s="28"/>
      <c r="P114" s="32"/>
      <c r="Q114" s="21">
        <v>99980</v>
      </c>
      <c r="R114" s="31">
        <v>2</v>
      </c>
      <c r="S114" s="21">
        <v>0</v>
      </c>
      <c r="T114" s="31">
        <v>0</v>
      </c>
      <c r="U114" s="28"/>
      <c r="V114" s="32"/>
      <c r="W114" s="28"/>
      <c r="X114" s="32"/>
      <c r="Y114" s="28"/>
      <c r="Z114" s="32"/>
      <c r="AA114" s="22">
        <f t="shared" si="10"/>
        <v>5934340</v>
      </c>
      <c r="AB114" s="78"/>
      <c r="AC114" s="79"/>
    </row>
    <row r="115" spans="2:29">
      <c r="B115" s="77"/>
      <c r="C115" s="33" t="s">
        <v>26</v>
      </c>
      <c r="D115" s="34">
        <v>45402</v>
      </c>
      <c r="E115" s="53">
        <v>1123700</v>
      </c>
      <c r="F115" s="54">
        <v>18</v>
      </c>
      <c r="G115" s="37">
        <v>172910</v>
      </c>
      <c r="H115" s="55">
        <v>8</v>
      </c>
      <c r="I115" s="37">
        <v>388900</v>
      </c>
      <c r="J115" s="36">
        <v>9</v>
      </c>
      <c r="K115" s="37">
        <v>1450800</v>
      </c>
      <c r="L115" s="36">
        <v>14</v>
      </c>
      <c r="M115" s="37">
        <v>1168690</v>
      </c>
      <c r="N115" s="55">
        <v>125</v>
      </c>
      <c r="O115" s="38"/>
      <c r="P115" s="39"/>
      <c r="Q115" s="37">
        <v>1157910</v>
      </c>
      <c r="R115" s="36">
        <v>7</v>
      </c>
      <c r="S115" s="38">
        <v>0</v>
      </c>
      <c r="T115" s="39">
        <v>0</v>
      </c>
      <c r="U115" s="38"/>
      <c r="V115" s="39"/>
      <c r="W115" s="38"/>
      <c r="X115" s="39"/>
      <c r="Y115" s="38"/>
      <c r="Z115" s="39"/>
      <c r="AA115" s="22">
        <f t="shared" si="10"/>
        <v>5462910</v>
      </c>
      <c r="AB115" s="78"/>
      <c r="AC115" s="79"/>
    </row>
    <row r="116" spans="2:29" ht="16.05" customHeight="1">
      <c r="B116" s="75" t="s">
        <v>44</v>
      </c>
      <c r="C116" s="18" t="s">
        <v>20</v>
      </c>
      <c r="D116" s="19">
        <v>45403</v>
      </c>
      <c r="E116" s="6">
        <v>1154900</v>
      </c>
      <c r="F116" s="20">
        <v>7</v>
      </c>
      <c r="G116" s="42">
        <v>206960</v>
      </c>
      <c r="H116" s="31">
        <v>4</v>
      </c>
      <c r="I116" s="42">
        <v>403970</v>
      </c>
      <c r="J116" s="41">
        <v>2</v>
      </c>
      <c r="K116" s="42">
        <v>1494910</v>
      </c>
      <c r="L116" s="41">
        <v>8</v>
      </c>
      <c r="M116" s="21">
        <v>137870</v>
      </c>
      <c r="N116" s="20">
        <v>16</v>
      </c>
      <c r="O116" s="49"/>
      <c r="P116" s="50"/>
      <c r="Q116" s="21">
        <v>0</v>
      </c>
      <c r="R116" s="20">
        <v>0</v>
      </c>
      <c r="S116" s="21">
        <v>0</v>
      </c>
      <c r="T116" s="20">
        <v>0</v>
      </c>
      <c r="U116" s="28"/>
      <c r="V116" s="27"/>
      <c r="W116" s="28"/>
      <c r="X116" s="27"/>
      <c r="Y116" s="28"/>
      <c r="Z116" s="27"/>
      <c r="AA116" s="22">
        <f t="shared" si="10"/>
        <v>3398610</v>
      </c>
      <c r="AB116" s="78">
        <f t="shared" ref="AB116" si="17">SUM(AA116:AA122)</f>
        <v>27042861</v>
      </c>
      <c r="AC116" s="79">
        <v>24955400</v>
      </c>
    </row>
    <row r="117" spans="2:29">
      <c r="B117" s="76"/>
      <c r="C117" s="23" t="s">
        <v>21</v>
      </c>
      <c r="D117" s="19">
        <v>45404</v>
      </c>
      <c r="E117" s="6">
        <v>1037210</v>
      </c>
      <c r="F117" s="20">
        <v>12</v>
      </c>
      <c r="G117" s="21">
        <v>265940</v>
      </c>
      <c r="H117" s="31">
        <v>5</v>
      </c>
      <c r="I117" s="21">
        <v>49990</v>
      </c>
      <c r="J117" s="20">
        <v>1</v>
      </c>
      <c r="K117" s="21">
        <v>898810</v>
      </c>
      <c r="L117" s="20">
        <v>12</v>
      </c>
      <c r="M117" s="21">
        <v>149360</v>
      </c>
      <c r="N117" s="20">
        <v>26</v>
      </c>
      <c r="O117" s="26"/>
      <c r="P117" s="27"/>
      <c r="Q117" s="21">
        <v>330840</v>
      </c>
      <c r="R117" s="20">
        <v>4</v>
      </c>
      <c r="S117" s="21">
        <v>99990</v>
      </c>
      <c r="T117" s="20">
        <v>1</v>
      </c>
      <c r="U117" s="28"/>
      <c r="V117" s="27"/>
      <c r="W117" s="28"/>
      <c r="X117" s="27"/>
      <c r="Y117" s="28"/>
      <c r="Z117" s="27"/>
      <c r="AA117" s="22">
        <f t="shared" si="10"/>
        <v>2832140</v>
      </c>
      <c r="AB117" s="78"/>
      <c r="AC117" s="79"/>
    </row>
    <row r="118" spans="2:29" ht="16.05" customHeight="1">
      <c r="B118" s="76"/>
      <c r="C118" s="23" t="s">
        <v>22</v>
      </c>
      <c r="D118" s="19">
        <v>45405</v>
      </c>
      <c r="E118" s="6">
        <v>327860</v>
      </c>
      <c r="F118" s="20">
        <v>6</v>
      </c>
      <c r="G118" s="21">
        <v>18990</v>
      </c>
      <c r="H118" s="31">
        <v>1</v>
      </c>
      <c r="I118" s="21">
        <v>306930</v>
      </c>
      <c r="J118" s="20">
        <v>2</v>
      </c>
      <c r="K118" s="21">
        <v>625880</v>
      </c>
      <c r="L118" s="20">
        <v>8</v>
      </c>
      <c r="M118" s="21">
        <v>83310</v>
      </c>
      <c r="N118" s="20">
        <v>17</v>
      </c>
      <c r="O118" s="28"/>
      <c r="P118" s="27"/>
      <c r="Q118" s="21">
        <v>99990</v>
      </c>
      <c r="R118" s="20">
        <v>1</v>
      </c>
      <c r="S118" s="21">
        <v>359930</v>
      </c>
      <c r="T118" s="20">
        <v>5</v>
      </c>
      <c r="U118" s="28"/>
      <c r="V118" s="27"/>
      <c r="W118" s="28"/>
      <c r="X118" s="27"/>
      <c r="Y118" s="28"/>
      <c r="Z118" s="27"/>
      <c r="AA118" s="22">
        <f t="shared" si="10"/>
        <v>1822890</v>
      </c>
      <c r="AB118" s="78"/>
      <c r="AC118" s="79"/>
    </row>
    <row r="119" spans="2:29">
      <c r="B119" s="76"/>
      <c r="C119" s="23" t="s">
        <v>23</v>
      </c>
      <c r="D119" s="19">
        <v>45406</v>
      </c>
      <c r="E119" s="6">
        <v>509970</v>
      </c>
      <c r="F119" s="20">
        <v>3</v>
      </c>
      <c r="G119" s="21">
        <v>429830</v>
      </c>
      <c r="H119" s="31">
        <v>10</v>
      </c>
      <c r="I119" s="21">
        <v>129960</v>
      </c>
      <c r="J119" s="20">
        <v>3</v>
      </c>
      <c r="K119" s="21">
        <v>988780</v>
      </c>
      <c r="L119" s="20">
        <v>10</v>
      </c>
      <c r="M119" s="21">
        <v>326110</v>
      </c>
      <c r="N119" s="20">
        <v>34</v>
      </c>
      <c r="O119" s="28"/>
      <c r="P119" s="27"/>
      <c r="Q119" s="21">
        <v>350940</v>
      </c>
      <c r="R119" s="20">
        <v>2</v>
      </c>
      <c r="S119" s="21">
        <v>44990</v>
      </c>
      <c r="T119" s="20">
        <v>1</v>
      </c>
      <c r="U119" s="28"/>
      <c r="V119" s="27"/>
      <c r="W119" s="28"/>
      <c r="X119" s="27"/>
      <c r="Y119" s="28"/>
      <c r="Z119" s="27"/>
      <c r="AA119" s="22">
        <f t="shared" si="10"/>
        <v>2780580</v>
      </c>
      <c r="AB119" s="78"/>
      <c r="AC119" s="79"/>
    </row>
    <row r="120" spans="2:29">
      <c r="B120" s="76"/>
      <c r="C120" s="23" t="s">
        <v>24</v>
      </c>
      <c r="D120" s="19">
        <v>45407</v>
      </c>
      <c r="E120" s="6">
        <v>237940</v>
      </c>
      <c r="F120" s="20">
        <v>5</v>
      </c>
      <c r="G120" s="21">
        <v>391950</v>
      </c>
      <c r="H120" s="31">
        <v>5</v>
      </c>
      <c r="I120" s="21">
        <v>121980</v>
      </c>
      <c r="J120" s="20">
        <v>2</v>
      </c>
      <c r="K120" s="21">
        <v>1757849</v>
      </c>
      <c r="L120" s="20">
        <v>18</v>
      </c>
      <c r="M120" s="21">
        <v>330150</v>
      </c>
      <c r="N120" s="20">
        <v>39</v>
      </c>
      <c r="O120" s="28"/>
      <c r="P120" s="27"/>
      <c r="Q120" s="21">
        <v>184970</v>
      </c>
      <c r="R120" s="31">
        <v>3</v>
      </c>
      <c r="S120" s="21">
        <v>59990</v>
      </c>
      <c r="T120" s="31">
        <v>1</v>
      </c>
      <c r="U120" s="28"/>
      <c r="V120" s="32"/>
      <c r="W120" s="28"/>
      <c r="X120" s="32"/>
      <c r="Y120" s="28"/>
      <c r="Z120" s="32"/>
      <c r="AA120" s="22">
        <f t="shared" si="10"/>
        <v>3084829</v>
      </c>
      <c r="AB120" s="78"/>
      <c r="AC120" s="79"/>
    </row>
    <row r="121" spans="2:29">
      <c r="B121" s="76"/>
      <c r="C121" s="23" t="s">
        <v>25</v>
      </c>
      <c r="D121" s="19">
        <v>45408</v>
      </c>
      <c r="E121" s="6">
        <v>933850</v>
      </c>
      <c r="F121" s="20">
        <v>8</v>
      </c>
      <c r="G121" s="21">
        <v>767880</v>
      </c>
      <c r="H121" s="31">
        <v>7</v>
      </c>
      <c r="I121" s="21">
        <v>510810</v>
      </c>
      <c r="J121" s="31">
        <v>10</v>
      </c>
      <c r="K121" s="21">
        <v>1589790</v>
      </c>
      <c r="L121" s="31">
        <v>15</v>
      </c>
      <c r="M121" s="21">
        <v>1064920</v>
      </c>
      <c r="N121" s="31">
        <v>119</v>
      </c>
      <c r="O121" s="28"/>
      <c r="P121" s="32"/>
      <c r="Q121" s="21">
        <v>244950</v>
      </c>
      <c r="R121" s="31">
        <v>1</v>
      </c>
      <c r="S121" s="21">
        <v>0</v>
      </c>
      <c r="T121" s="31">
        <v>0</v>
      </c>
      <c r="U121" s="28"/>
      <c r="V121" s="32"/>
      <c r="W121" s="28"/>
      <c r="X121" s="32"/>
      <c r="Y121" s="28"/>
      <c r="Z121" s="32"/>
      <c r="AA121" s="22">
        <f t="shared" si="10"/>
        <v>5112200</v>
      </c>
      <c r="AB121" s="78"/>
      <c r="AC121" s="79"/>
    </row>
    <row r="122" spans="2:29">
      <c r="B122" s="77"/>
      <c r="C122" s="33" t="s">
        <v>26</v>
      </c>
      <c r="D122" s="34">
        <v>45409</v>
      </c>
      <c r="E122" s="53">
        <v>2153710</v>
      </c>
      <c r="F122" s="54">
        <v>18</v>
      </c>
      <c r="G122" s="37">
        <v>1624830</v>
      </c>
      <c r="H122" s="55">
        <v>9</v>
      </c>
      <c r="I122" s="37">
        <v>719920</v>
      </c>
      <c r="J122" s="36">
        <v>8</v>
      </c>
      <c r="K122" s="37">
        <v>2032802</v>
      </c>
      <c r="L122" s="36">
        <v>10</v>
      </c>
      <c r="M122" s="37">
        <v>967380</v>
      </c>
      <c r="N122" s="36">
        <v>122</v>
      </c>
      <c r="O122" s="38"/>
      <c r="P122" s="39"/>
      <c r="Q122" s="37">
        <v>512970</v>
      </c>
      <c r="R122" s="36">
        <v>3</v>
      </c>
      <c r="S122" s="38">
        <v>0</v>
      </c>
      <c r="T122" s="39">
        <v>0</v>
      </c>
      <c r="U122" s="38"/>
      <c r="V122" s="39"/>
      <c r="W122" s="38"/>
      <c r="X122" s="39"/>
      <c r="Y122" s="38"/>
      <c r="Z122" s="39"/>
      <c r="AA122" s="22">
        <f t="shared" si="10"/>
        <v>8011612</v>
      </c>
      <c r="AB122" s="78"/>
      <c r="AC122" s="79"/>
    </row>
    <row r="123" spans="2:29" ht="16.05" customHeight="1">
      <c r="B123" s="75" t="s">
        <v>45</v>
      </c>
      <c r="C123" s="18" t="s">
        <v>20</v>
      </c>
      <c r="D123" s="19">
        <v>45410</v>
      </c>
      <c r="E123" s="6">
        <v>263930</v>
      </c>
      <c r="F123" s="20">
        <v>4</v>
      </c>
      <c r="G123" s="42">
        <v>170960</v>
      </c>
      <c r="H123" s="31">
        <v>4</v>
      </c>
      <c r="I123" s="42">
        <v>191970</v>
      </c>
      <c r="J123" s="20">
        <v>2</v>
      </c>
      <c r="K123" s="42">
        <v>1446790</v>
      </c>
      <c r="L123" s="20">
        <v>9</v>
      </c>
      <c r="M123" s="42">
        <v>188480</v>
      </c>
      <c r="N123" s="20">
        <v>30</v>
      </c>
      <c r="O123" s="49"/>
      <c r="P123" s="50"/>
      <c r="Q123" s="21">
        <v>238960</v>
      </c>
      <c r="R123" s="20">
        <v>3</v>
      </c>
      <c r="S123" s="21">
        <v>190990</v>
      </c>
      <c r="T123" s="20">
        <v>2</v>
      </c>
      <c r="U123" s="28"/>
      <c r="V123" s="27"/>
      <c r="W123" s="28"/>
      <c r="X123" s="27"/>
      <c r="Y123" s="28"/>
      <c r="Z123" s="27"/>
      <c r="AA123" s="22">
        <f t="shared" si="10"/>
        <v>2692080</v>
      </c>
      <c r="AB123" s="78">
        <f t="shared" ref="AB123" si="18">SUM(AA123:AA129)</f>
        <v>24002430</v>
      </c>
      <c r="AC123" s="79" t="e">
        <v>#N/A</v>
      </c>
    </row>
    <row r="124" spans="2:29">
      <c r="B124" s="76"/>
      <c r="C124" s="23" t="s">
        <v>21</v>
      </c>
      <c r="D124" s="19">
        <v>45411</v>
      </c>
      <c r="E124" s="6">
        <v>557920</v>
      </c>
      <c r="F124" s="20">
        <v>7</v>
      </c>
      <c r="G124" s="21">
        <v>147890</v>
      </c>
      <c r="H124" s="31">
        <v>5</v>
      </c>
      <c r="I124" s="21">
        <v>285970</v>
      </c>
      <c r="J124" s="31">
        <v>2</v>
      </c>
      <c r="K124" s="21">
        <v>264890</v>
      </c>
      <c r="L124" s="31">
        <v>8</v>
      </c>
      <c r="M124" s="21">
        <v>209670</v>
      </c>
      <c r="N124" s="31">
        <v>30</v>
      </c>
      <c r="O124" s="28"/>
      <c r="P124" s="27"/>
      <c r="Q124" s="21">
        <v>0</v>
      </c>
      <c r="R124" s="20">
        <v>0</v>
      </c>
      <c r="S124" s="21">
        <v>0</v>
      </c>
      <c r="T124" s="20">
        <v>0</v>
      </c>
      <c r="U124" s="28"/>
      <c r="V124" s="27"/>
      <c r="W124" s="28"/>
      <c r="X124" s="27"/>
      <c r="Y124" s="28"/>
      <c r="Z124" s="27"/>
      <c r="AA124" s="22">
        <f t="shared" si="10"/>
        <v>1466340</v>
      </c>
      <c r="AB124" s="78"/>
      <c r="AC124" s="79"/>
    </row>
    <row r="125" spans="2:29" ht="16.05" customHeight="1">
      <c r="B125" s="76"/>
      <c r="C125" s="23" t="s">
        <v>22</v>
      </c>
      <c r="D125" s="19">
        <v>45412</v>
      </c>
      <c r="E125" s="8">
        <v>0</v>
      </c>
      <c r="F125" s="20">
        <v>0</v>
      </c>
      <c r="G125" s="21">
        <v>381910</v>
      </c>
      <c r="H125" s="20">
        <v>8</v>
      </c>
      <c r="I125" s="21">
        <v>283970</v>
      </c>
      <c r="J125" s="20">
        <v>3</v>
      </c>
      <c r="K125" s="21">
        <v>472870</v>
      </c>
      <c r="L125" s="20">
        <v>7</v>
      </c>
      <c r="M125" s="21">
        <v>333150</v>
      </c>
      <c r="N125" s="20">
        <v>47</v>
      </c>
      <c r="O125" s="28"/>
      <c r="P125" s="27"/>
      <c r="Q125" s="21">
        <v>49990</v>
      </c>
      <c r="R125" s="20">
        <v>1</v>
      </c>
      <c r="S125" s="21">
        <v>51990</v>
      </c>
      <c r="T125" s="20">
        <v>1</v>
      </c>
      <c r="U125" s="28"/>
      <c r="V125" s="27"/>
      <c r="W125" s="28"/>
      <c r="X125" s="27"/>
      <c r="Y125" s="28"/>
      <c r="Z125" s="27"/>
      <c r="AA125" s="22">
        <f t="shared" si="10"/>
        <v>1573880</v>
      </c>
      <c r="AB125" s="78"/>
      <c r="AC125" s="79"/>
    </row>
    <row r="126" spans="2:29">
      <c r="B126" s="76"/>
      <c r="C126" s="24" t="s">
        <v>23</v>
      </c>
      <c r="D126" s="25">
        <v>45413</v>
      </c>
      <c r="E126" s="26">
        <v>0</v>
      </c>
      <c r="F126" s="27">
        <v>0</v>
      </c>
      <c r="G126" s="28">
        <v>0</v>
      </c>
      <c r="H126" s="27">
        <v>0</v>
      </c>
      <c r="I126" s="28">
        <v>0</v>
      </c>
      <c r="J126" s="27">
        <v>0</v>
      </c>
      <c r="K126" s="28">
        <v>0</v>
      </c>
      <c r="L126" s="27">
        <v>0</v>
      </c>
      <c r="M126" s="28">
        <v>0</v>
      </c>
      <c r="N126" s="27">
        <v>0</v>
      </c>
      <c r="O126" s="28">
        <v>0</v>
      </c>
      <c r="P126" s="27">
        <v>0</v>
      </c>
      <c r="Q126" s="28">
        <v>0</v>
      </c>
      <c r="R126" s="27">
        <v>0</v>
      </c>
      <c r="S126" s="28">
        <v>0</v>
      </c>
      <c r="T126" s="27">
        <v>0</v>
      </c>
      <c r="U126" s="28">
        <v>0</v>
      </c>
      <c r="V126" s="27">
        <v>0</v>
      </c>
      <c r="W126" s="28"/>
      <c r="X126" s="27"/>
      <c r="Y126" s="28"/>
      <c r="Z126" s="27"/>
      <c r="AA126" s="22">
        <f t="shared" si="10"/>
        <v>0</v>
      </c>
      <c r="AB126" s="78"/>
      <c r="AC126" s="79"/>
    </row>
    <row r="127" spans="2:29">
      <c r="B127" s="76"/>
      <c r="C127" s="24" t="s">
        <v>24</v>
      </c>
      <c r="D127" s="25">
        <v>45414</v>
      </c>
      <c r="E127" s="8">
        <v>746900</v>
      </c>
      <c r="F127" s="20">
        <v>5</v>
      </c>
      <c r="G127" s="21">
        <v>371930</v>
      </c>
      <c r="H127" s="20">
        <v>5</v>
      </c>
      <c r="I127" s="21">
        <v>1430780</v>
      </c>
      <c r="J127" s="20">
        <v>12</v>
      </c>
      <c r="K127" s="21">
        <v>814860</v>
      </c>
      <c r="L127" s="20">
        <v>8</v>
      </c>
      <c r="M127" s="21">
        <v>1195940</v>
      </c>
      <c r="N127" s="20">
        <v>152</v>
      </c>
      <c r="O127" s="28"/>
      <c r="P127" s="27"/>
      <c r="Q127" s="21">
        <v>34990</v>
      </c>
      <c r="R127" s="64">
        <v>1</v>
      </c>
      <c r="S127" s="8">
        <v>0</v>
      </c>
      <c r="T127" s="20">
        <v>0</v>
      </c>
      <c r="U127" s="28"/>
      <c r="V127" s="27"/>
      <c r="W127" s="26"/>
      <c r="X127" s="27"/>
      <c r="Y127" s="28"/>
      <c r="Z127" s="27"/>
      <c r="AA127" s="22">
        <f t="shared" si="10"/>
        <v>4595400</v>
      </c>
      <c r="AB127" s="78"/>
      <c r="AC127" s="79"/>
    </row>
    <row r="128" spans="2:29">
      <c r="B128" s="76"/>
      <c r="C128" s="23" t="s">
        <v>25</v>
      </c>
      <c r="D128" s="19">
        <v>45415</v>
      </c>
      <c r="E128" s="8">
        <v>686900</v>
      </c>
      <c r="F128" s="31">
        <v>9</v>
      </c>
      <c r="G128" s="21">
        <v>798870</v>
      </c>
      <c r="H128" s="31">
        <v>6</v>
      </c>
      <c r="I128" s="21">
        <v>1736790</v>
      </c>
      <c r="J128" s="51"/>
      <c r="K128" s="21">
        <v>1785730</v>
      </c>
      <c r="L128" s="31">
        <v>14</v>
      </c>
      <c r="M128" s="21">
        <v>1112250</v>
      </c>
      <c r="N128" s="31">
        <v>133</v>
      </c>
      <c r="O128" s="28"/>
      <c r="P128" s="32"/>
      <c r="Q128" s="21">
        <v>144980</v>
      </c>
      <c r="R128" s="31">
        <v>2</v>
      </c>
      <c r="S128" s="21">
        <v>0</v>
      </c>
      <c r="T128" s="31">
        <v>0</v>
      </c>
      <c r="U128" s="28"/>
      <c r="V128" s="32"/>
      <c r="W128" s="28"/>
      <c r="X128" s="32"/>
      <c r="Y128" s="28"/>
      <c r="Z128" s="32"/>
      <c r="AA128" s="22">
        <f t="shared" si="10"/>
        <v>6265520</v>
      </c>
      <c r="AB128" s="78"/>
      <c r="AC128" s="79"/>
    </row>
    <row r="129" spans="2:29">
      <c r="B129" s="77"/>
      <c r="C129" s="33" t="s">
        <v>26</v>
      </c>
      <c r="D129" s="34">
        <v>45416</v>
      </c>
      <c r="E129" s="35">
        <v>2053650</v>
      </c>
      <c r="F129" s="36">
        <v>21</v>
      </c>
      <c r="G129" s="37">
        <v>935790</v>
      </c>
      <c r="H129" s="36">
        <v>7</v>
      </c>
      <c r="I129" s="37">
        <v>884870</v>
      </c>
      <c r="J129" s="36">
        <v>6</v>
      </c>
      <c r="K129" s="37">
        <v>2289670</v>
      </c>
      <c r="L129" s="36">
        <v>7</v>
      </c>
      <c r="M129" s="37">
        <v>1030270</v>
      </c>
      <c r="N129" s="36">
        <v>130</v>
      </c>
      <c r="O129" s="38"/>
      <c r="P129" s="39"/>
      <c r="Q129" s="37">
        <v>214960</v>
      </c>
      <c r="R129" s="36">
        <v>3</v>
      </c>
      <c r="S129" s="38">
        <v>0</v>
      </c>
      <c r="T129" s="39">
        <v>0</v>
      </c>
      <c r="U129" s="38"/>
      <c r="V129" s="39"/>
      <c r="W129" s="38"/>
      <c r="X129" s="39"/>
      <c r="Y129" s="38"/>
      <c r="Z129" s="39"/>
      <c r="AA129" s="22">
        <f t="shared" si="10"/>
        <v>7409210</v>
      </c>
      <c r="AB129" s="78"/>
      <c r="AC129" s="79"/>
    </row>
    <row r="130" spans="2:29" ht="16.05" customHeight="1">
      <c r="B130" s="75" t="s">
        <v>46</v>
      </c>
      <c r="C130" s="18" t="s">
        <v>20</v>
      </c>
      <c r="D130" s="19">
        <v>45417</v>
      </c>
      <c r="E130" s="40">
        <v>336920</v>
      </c>
      <c r="F130" s="41">
        <v>5</v>
      </c>
      <c r="G130" s="42">
        <v>460930</v>
      </c>
      <c r="H130" s="41">
        <v>5</v>
      </c>
      <c r="I130" s="42">
        <v>0</v>
      </c>
      <c r="J130" s="41">
        <v>0</v>
      </c>
      <c r="K130" s="42">
        <v>1643730</v>
      </c>
      <c r="L130" s="41">
        <v>13</v>
      </c>
      <c r="M130" s="42">
        <v>99180</v>
      </c>
      <c r="N130" s="41">
        <v>19</v>
      </c>
      <c r="O130" s="49"/>
      <c r="P130" s="50"/>
      <c r="Q130" s="21">
        <v>0</v>
      </c>
      <c r="R130" s="20">
        <v>0</v>
      </c>
      <c r="S130" s="21">
        <v>0</v>
      </c>
      <c r="T130" s="20">
        <v>0</v>
      </c>
      <c r="U130" s="28"/>
      <c r="V130" s="27"/>
      <c r="W130" s="28"/>
      <c r="X130" s="27"/>
      <c r="Y130" s="28"/>
      <c r="Z130" s="27"/>
      <c r="AA130" s="22">
        <f t="shared" si="10"/>
        <v>2540760</v>
      </c>
      <c r="AB130" s="78">
        <f t="shared" ref="AB130" si="19">SUM(AA130:AA136)</f>
        <v>27106466</v>
      </c>
      <c r="AC130" s="79" t="e">
        <v>#N/A</v>
      </c>
    </row>
    <row r="131" spans="2:29">
      <c r="B131" s="76"/>
      <c r="C131" s="23" t="s">
        <v>21</v>
      </c>
      <c r="D131" s="19">
        <v>45418</v>
      </c>
      <c r="E131" s="8">
        <v>502930</v>
      </c>
      <c r="F131" s="20">
        <v>4</v>
      </c>
      <c r="G131" s="21">
        <v>64990</v>
      </c>
      <c r="H131" s="20">
        <v>1</v>
      </c>
      <c r="I131" s="21">
        <v>433930</v>
      </c>
      <c r="J131" s="20">
        <v>7</v>
      </c>
      <c r="K131" s="21">
        <v>716346</v>
      </c>
      <c r="L131" s="20">
        <v>12</v>
      </c>
      <c r="M131" s="21">
        <v>222520</v>
      </c>
      <c r="N131" s="20">
        <v>31</v>
      </c>
      <c r="O131" s="28"/>
      <c r="P131" s="27"/>
      <c r="Q131" s="21">
        <v>291960</v>
      </c>
      <c r="R131" s="20">
        <v>5</v>
      </c>
      <c r="S131" s="21">
        <v>44990</v>
      </c>
      <c r="T131" s="20">
        <v>1</v>
      </c>
      <c r="U131" s="28"/>
      <c r="V131" s="27"/>
      <c r="W131" s="28"/>
      <c r="X131" s="27"/>
      <c r="Y131" s="28"/>
      <c r="Z131" s="27"/>
      <c r="AA131" s="22">
        <f t="shared" si="10"/>
        <v>2277666</v>
      </c>
      <c r="AB131" s="78"/>
      <c r="AC131" s="79"/>
    </row>
    <row r="132" spans="2:29" ht="16.05" customHeight="1">
      <c r="B132" s="76"/>
      <c r="C132" s="23" t="s">
        <v>22</v>
      </c>
      <c r="D132" s="19">
        <v>45419</v>
      </c>
      <c r="E132" s="8">
        <v>291940</v>
      </c>
      <c r="F132" s="20">
        <v>5</v>
      </c>
      <c r="G132" s="21">
        <v>647890</v>
      </c>
      <c r="H132" s="20">
        <v>8</v>
      </c>
      <c r="I132" s="21">
        <v>346960</v>
      </c>
      <c r="J132" s="20">
        <v>4</v>
      </c>
      <c r="K132" s="21">
        <v>805790</v>
      </c>
      <c r="L132" s="20">
        <v>9</v>
      </c>
      <c r="M132" s="21">
        <v>153920</v>
      </c>
      <c r="N132" s="20">
        <v>28</v>
      </c>
      <c r="O132" s="28"/>
      <c r="P132" s="27"/>
      <c r="Q132" s="21">
        <v>0</v>
      </c>
      <c r="R132" s="20">
        <v>0</v>
      </c>
      <c r="S132" s="21">
        <v>165990</v>
      </c>
      <c r="T132" s="20">
        <v>1</v>
      </c>
      <c r="U132" s="28"/>
      <c r="V132" s="27"/>
      <c r="W132" s="28"/>
      <c r="X132" s="27"/>
      <c r="Y132" s="28"/>
      <c r="Z132" s="27"/>
      <c r="AA132" s="22">
        <f t="shared" si="10"/>
        <v>2412490</v>
      </c>
      <c r="AB132" s="78"/>
      <c r="AC132" s="79"/>
    </row>
    <row r="133" spans="2:29">
      <c r="B133" s="76"/>
      <c r="C133" s="23" t="s">
        <v>23</v>
      </c>
      <c r="D133" s="19">
        <v>45420</v>
      </c>
      <c r="E133" s="8">
        <v>1311840</v>
      </c>
      <c r="F133" s="20">
        <v>11</v>
      </c>
      <c r="G133" s="21">
        <v>315880</v>
      </c>
      <c r="H133" s="20">
        <v>4</v>
      </c>
      <c r="I133" s="21">
        <v>0</v>
      </c>
      <c r="J133" s="20">
        <v>0</v>
      </c>
      <c r="K133" s="21">
        <v>1025820</v>
      </c>
      <c r="L133" s="20">
        <v>9</v>
      </c>
      <c r="M133" s="21">
        <v>308110</v>
      </c>
      <c r="N133" s="20">
        <v>36</v>
      </c>
      <c r="O133" s="28"/>
      <c r="P133" s="27"/>
      <c r="Q133" s="21">
        <v>244980</v>
      </c>
      <c r="R133" s="20">
        <v>2</v>
      </c>
      <c r="S133" s="21">
        <v>168950</v>
      </c>
      <c r="T133" s="20">
        <v>3</v>
      </c>
      <c r="U133" s="28"/>
      <c r="V133" s="27"/>
      <c r="W133" s="28"/>
      <c r="X133" s="27"/>
      <c r="Y133" s="28"/>
      <c r="Z133" s="27"/>
      <c r="AA133" s="22">
        <f t="shared" ref="AA133:AA196" si="20">E133+G133+I133+K133+M133+O133+Q133+S133+U133+W133+Y133</f>
        <v>3375580</v>
      </c>
      <c r="AB133" s="78"/>
      <c r="AC133" s="79"/>
    </row>
    <row r="134" spans="2:29">
      <c r="B134" s="76"/>
      <c r="C134" s="23" t="s">
        <v>24</v>
      </c>
      <c r="D134" s="19">
        <v>45421</v>
      </c>
      <c r="E134" s="8">
        <v>795910</v>
      </c>
      <c r="F134" s="20">
        <v>7</v>
      </c>
      <c r="G134" s="66">
        <v>651950</v>
      </c>
      <c r="H134" s="20">
        <v>4</v>
      </c>
      <c r="I134" s="21">
        <v>756910</v>
      </c>
      <c r="J134" s="20">
        <v>4</v>
      </c>
      <c r="K134" s="21">
        <v>221980</v>
      </c>
      <c r="L134" s="20">
        <v>2</v>
      </c>
      <c r="M134" s="21">
        <v>186200</v>
      </c>
      <c r="N134" s="20">
        <v>32</v>
      </c>
      <c r="O134" s="28"/>
      <c r="P134" s="27"/>
      <c r="Q134" s="21">
        <v>375910</v>
      </c>
      <c r="R134" s="20">
        <v>6</v>
      </c>
      <c r="S134" s="21">
        <v>679980</v>
      </c>
      <c r="T134" s="20">
        <v>2</v>
      </c>
      <c r="U134" s="28"/>
      <c r="V134" s="27"/>
      <c r="W134" s="28"/>
      <c r="X134" s="27"/>
      <c r="Y134" s="28"/>
      <c r="Z134" s="27"/>
      <c r="AA134" s="22">
        <f t="shared" si="20"/>
        <v>3668840</v>
      </c>
      <c r="AB134" s="78"/>
      <c r="AC134" s="79"/>
    </row>
    <row r="135" spans="2:29">
      <c r="B135" s="76"/>
      <c r="C135" s="23" t="s">
        <v>25</v>
      </c>
      <c r="D135" s="19">
        <v>45422</v>
      </c>
      <c r="E135" s="8">
        <v>1742710</v>
      </c>
      <c r="F135" s="31">
        <v>12</v>
      </c>
      <c r="G135" s="21">
        <v>55990</v>
      </c>
      <c r="H135" s="31">
        <v>1</v>
      </c>
      <c r="I135" s="21">
        <v>2218820</v>
      </c>
      <c r="J135" s="31">
        <v>12</v>
      </c>
      <c r="K135" s="21">
        <v>1934680</v>
      </c>
      <c r="L135" s="31">
        <v>15</v>
      </c>
      <c r="M135" s="21">
        <v>859750</v>
      </c>
      <c r="N135" s="31">
        <v>125</v>
      </c>
      <c r="O135" s="28"/>
      <c r="P135" s="32"/>
      <c r="Q135" s="21">
        <v>92980</v>
      </c>
      <c r="R135" s="31">
        <v>2</v>
      </c>
      <c r="S135" s="21">
        <v>0</v>
      </c>
      <c r="T135" s="31">
        <v>0</v>
      </c>
      <c r="U135" s="28"/>
      <c r="V135" s="32"/>
      <c r="W135" s="28"/>
      <c r="X135" s="32"/>
      <c r="Y135" s="28"/>
      <c r="Z135" s="32"/>
      <c r="AA135" s="22">
        <f t="shared" si="20"/>
        <v>6904930</v>
      </c>
      <c r="AB135" s="78"/>
      <c r="AC135" s="79"/>
    </row>
    <row r="136" spans="2:29">
      <c r="B136" s="77"/>
      <c r="C136" s="33" t="s">
        <v>26</v>
      </c>
      <c r="D136" s="34">
        <v>45423</v>
      </c>
      <c r="E136" s="35">
        <v>1243730</v>
      </c>
      <c r="F136" s="36">
        <v>17</v>
      </c>
      <c r="G136" s="37">
        <v>429920</v>
      </c>
      <c r="H136" s="36">
        <v>6</v>
      </c>
      <c r="I136" s="37">
        <v>1637790</v>
      </c>
      <c r="J136" s="36">
        <v>15</v>
      </c>
      <c r="K136" s="37">
        <v>1163900</v>
      </c>
      <c r="L136" s="36">
        <v>7</v>
      </c>
      <c r="M136" s="37">
        <v>965880</v>
      </c>
      <c r="N136" s="36">
        <v>150</v>
      </c>
      <c r="O136" s="38"/>
      <c r="P136" s="39"/>
      <c r="Q136" s="37">
        <v>484980</v>
      </c>
      <c r="R136" s="36">
        <v>2</v>
      </c>
      <c r="S136" s="38">
        <v>0</v>
      </c>
      <c r="T136" s="39">
        <v>0</v>
      </c>
      <c r="U136" s="38"/>
      <c r="V136" s="39"/>
      <c r="W136" s="38"/>
      <c r="X136" s="39"/>
      <c r="Y136" s="38"/>
      <c r="Z136" s="39"/>
      <c r="AA136" s="22">
        <f t="shared" si="20"/>
        <v>5926200</v>
      </c>
      <c r="AB136" s="78"/>
      <c r="AC136" s="79"/>
    </row>
    <row r="137" spans="2:29" ht="16.05" customHeight="1">
      <c r="B137" s="75" t="s">
        <v>47</v>
      </c>
      <c r="C137" s="18" t="s">
        <v>20</v>
      </c>
      <c r="D137" s="19">
        <v>45424</v>
      </c>
      <c r="E137" s="40">
        <v>595930</v>
      </c>
      <c r="F137" s="41">
        <v>6</v>
      </c>
      <c r="G137" s="42">
        <v>338910</v>
      </c>
      <c r="H137" s="41">
        <v>3</v>
      </c>
      <c r="I137" s="42">
        <v>237950</v>
      </c>
      <c r="J137" s="41">
        <v>3</v>
      </c>
      <c r="K137" s="42">
        <v>1177740</v>
      </c>
      <c r="L137" s="41">
        <v>14</v>
      </c>
      <c r="M137" s="42">
        <v>220890</v>
      </c>
      <c r="N137" s="41">
        <v>30</v>
      </c>
      <c r="O137" s="49"/>
      <c r="P137" s="50"/>
      <c r="Q137" s="21">
        <v>0</v>
      </c>
      <c r="R137" s="20">
        <v>0</v>
      </c>
      <c r="S137" s="21">
        <v>503990</v>
      </c>
      <c r="T137" s="20">
        <v>2</v>
      </c>
      <c r="U137" s="28"/>
      <c r="V137" s="27"/>
      <c r="W137" s="28"/>
      <c r="X137" s="27"/>
      <c r="Y137" s="28"/>
      <c r="Z137" s="27"/>
      <c r="AA137" s="22">
        <f t="shared" si="20"/>
        <v>3075410</v>
      </c>
      <c r="AB137" s="78">
        <f t="shared" ref="AB137" si="21">SUM(AA137:AA143)</f>
        <v>26844862</v>
      </c>
      <c r="AC137" s="79">
        <v>19987580</v>
      </c>
    </row>
    <row r="138" spans="2:29">
      <c r="B138" s="76"/>
      <c r="C138" s="23" t="s">
        <v>21</v>
      </c>
      <c r="D138" s="19">
        <v>45425</v>
      </c>
      <c r="E138" s="8">
        <v>880910</v>
      </c>
      <c r="F138" s="20">
        <v>7</v>
      </c>
      <c r="G138" s="21">
        <v>560960</v>
      </c>
      <c r="H138" s="20">
        <v>4</v>
      </c>
      <c r="I138" s="21">
        <v>239960</v>
      </c>
      <c r="J138" s="20">
        <v>2</v>
      </c>
      <c r="K138" s="21">
        <v>1664710</v>
      </c>
      <c r="L138" s="20">
        <v>12</v>
      </c>
      <c r="M138" s="21">
        <v>227260</v>
      </c>
      <c r="N138" s="20">
        <v>25</v>
      </c>
      <c r="O138" s="28"/>
      <c r="P138" s="27"/>
      <c r="Q138" s="21">
        <v>841920</v>
      </c>
      <c r="R138" s="20">
        <v>7</v>
      </c>
      <c r="S138" s="21">
        <v>224970</v>
      </c>
      <c r="T138" s="20">
        <v>3</v>
      </c>
      <c r="U138" s="28"/>
      <c r="V138" s="27"/>
      <c r="W138" s="28"/>
      <c r="X138" s="27"/>
      <c r="Y138" s="28"/>
      <c r="Z138" s="27"/>
      <c r="AA138" s="22">
        <f t="shared" si="20"/>
        <v>4640690</v>
      </c>
      <c r="AB138" s="78"/>
      <c r="AC138" s="79"/>
    </row>
    <row r="139" spans="2:29" ht="16.05" customHeight="1">
      <c r="B139" s="76"/>
      <c r="C139" s="23" t="s">
        <v>22</v>
      </c>
      <c r="D139" s="19">
        <v>45426</v>
      </c>
      <c r="E139" s="8">
        <v>184980</v>
      </c>
      <c r="F139" s="20">
        <v>2</v>
      </c>
      <c r="G139" s="21">
        <v>104970</v>
      </c>
      <c r="H139" s="20">
        <v>2</v>
      </c>
      <c r="I139" s="21">
        <v>69980</v>
      </c>
      <c r="J139" s="20">
        <v>1</v>
      </c>
      <c r="K139" s="21">
        <v>1234720</v>
      </c>
      <c r="L139" s="20">
        <v>11</v>
      </c>
      <c r="M139" s="21">
        <v>150450</v>
      </c>
      <c r="N139" s="20">
        <v>27</v>
      </c>
      <c r="O139" s="28"/>
      <c r="P139" s="27"/>
      <c r="Q139" s="21">
        <v>120980</v>
      </c>
      <c r="R139" s="20">
        <v>2</v>
      </c>
      <c r="S139" s="21">
        <v>78960</v>
      </c>
      <c r="T139" s="20">
        <v>3</v>
      </c>
      <c r="U139" s="28"/>
      <c r="V139" s="27"/>
      <c r="W139" s="28"/>
      <c r="X139" s="27"/>
      <c r="Y139" s="28"/>
      <c r="Z139" s="27"/>
      <c r="AA139" s="22">
        <f t="shared" si="20"/>
        <v>1945040</v>
      </c>
      <c r="AB139" s="78"/>
      <c r="AC139" s="79"/>
    </row>
    <row r="140" spans="2:29">
      <c r="B140" s="76"/>
      <c r="C140" s="23" t="s">
        <v>23</v>
      </c>
      <c r="D140" s="19">
        <v>45427</v>
      </c>
      <c r="E140" s="8">
        <v>404900</v>
      </c>
      <c r="F140" s="20">
        <v>7</v>
      </c>
      <c r="G140" s="21">
        <v>1035790</v>
      </c>
      <c r="H140" s="20">
        <v>8</v>
      </c>
      <c r="I140" s="21">
        <v>62990</v>
      </c>
      <c r="J140" s="20">
        <v>1</v>
      </c>
      <c r="K140" s="21">
        <v>1462680</v>
      </c>
      <c r="L140" s="20">
        <v>12</v>
      </c>
      <c r="M140" s="21">
        <v>244590</v>
      </c>
      <c r="N140" s="20">
        <v>43</v>
      </c>
      <c r="O140" s="28"/>
      <c r="P140" s="27"/>
      <c r="Q140" s="21">
        <v>119980</v>
      </c>
      <c r="R140" s="20">
        <v>1</v>
      </c>
      <c r="S140" s="21">
        <v>310940</v>
      </c>
      <c r="T140" s="20">
        <v>4</v>
      </c>
      <c r="U140" s="28"/>
      <c r="V140" s="27"/>
      <c r="W140" s="28"/>
      <c r="X140" s="27"/>
      <c r="Y140" s="28"/>
      <c r="Z140" s="27"/>
      <c r="AA140" s="22">
        <f t="shared" si="20"/>
        <v>3641870</v>
      </c>
      <c r="AB140" s="78"/>
      <c r="AC140" s="79"/>
    </row>
    <row r="141" spans="2:29">
      <c r="B141" s="76"/>
      <c r="C141" s="23" t="s">
        <v>24</v>
      </c>
      <c r="D141" s="19">
        <v>45428</v>
      </c>
      <c r="E141" s="8">
        <v>817000</v>
      </c>
      <c r="F141" s="20">
        <v>9</v>
      </c>
      <c r="G141" s="21">
        <v>1137790</v>
      </c>
      <c r="H141" s="20">
        <v>11</v>
      </c>
      <c r="I141" s="21">
        <v>120960</v>
      </c>
      <c r="J141" s="20">
        <v>1</v>
      </c>
      <c r="K141" s="21">
        <v>1464750</v>
      </c>
      <c r="L141" s="20">
        <v>9</v>
      </c>
      <c r="M141" s="21">
        <v>173530</v>
      </c>
      <c r="N141" s="20">
        <v>31</v>
      </c>
      <c r="O141" s="28"/>
      <c r="P141" s="27"/>
      <c r="Q141" s="21">
        <v>369960</v>
      </c>
      <c r="R141" s="20">
        <v>2</v>
      </c>
      <c r="S141" s="21">
        <v>215950</v>
      </c>
      <c r="T141" s="20">
        <v>2</v>
      </c>
      <c r="U141" s="28"/>
      <c r="V141" s="27"/>
      <c r="W141" s="28"/>
      <c r="X141" s="27"/>
      <c r="Y141" s="28"/>
      <c r="Z141" s="27"/>
      <c r="AA141" s="22">
        <f t="shared" si="20"/>
        <v>4299940</v>
      </c>
      <c r="AB141" s="78"/>
      <c r="AC141" s="79"/>
    </row>
    <row r="142" spans="2:29">
      <c r="B142" s="76"/>
      <c r="C142" s="23" t="s">
        <v>25</v>
      </c>
      <c r="D142" s="19">
        <v>45429</v>
      </c>
      <c r="E142" s="8">
        <v>1258840</v>
      </c>
      <c r="F142" s="31">
        <v>11</v>
      </c>
      <c r="G142" s="21">
        <v>235960</v>
      </c>
      <c r="H142" s="31">
        <v>3</v>
      </c>
      <c r="I142" s="21">
        <v>182970</v>
      </c>
      <c r="J142" s="31">
        <v>2</v>
      </c>
      <c r="K142" s="21">
        <v>1803752</v>
      </c>
      <c r="L142" s="31">
        <v>17</v>
      </c>
      <c r="M142" s="21">
        <v>367880</v>
      </c>
      <c r="N142" s="31">
        <v>56</v>
      </c>
      <c r="O142" s="28"/>
      <c r="P142" s="32"/>
      <c r="Q142" s="21">
        <v>0</v>
      </c>
      <c r="R142" s="31">
        <v>0</v>
      </c>
      <c r="S142" s="21">
        <v>0</v>
      </c>
      <c r="T142" s="31">
        <v>0</v>
      </c>
      <c r="U142" s="28"/>
      <c r="V142" s="32"/>
      <c r="W142" s="28"/>
      <c r="X142" s="32"/>
      <c r="Y142" s="28"/>
      <c r="Z142" s="32"/>
      <c r="AA142" s="22">
        <f t="shared" si="20"/>
        <v>3849402</v>
      </c>
      <c r="AB142" s="78"/>
      <c r="AC142" s="79"/>
    </row>
    <row r="143" spans="2:29">
      <c r="B143" s="77"/>
      <c r="C143" s="33" t="s">
        <v>26</v>
      </c>
      <c r="D143" s="34">
        <v>45430</v>
      </c>
      <c r="E143" s="35">
        <v>971760</v>
      </c>
      <c r="F143" s="36">
        <v>13</v>
      </c>
      <c r="G143" s="37">
        <v>586890</v>
      </c>
      <c r="H143" s="36">
        <v>8</v>
      </c>
      <c r="I143" s="37">
        <v>1352780</v>
      </c>
      <c r="J143" s="36">
        <v>19</v>
      </c>
      <c r="K143" s="37">
        <v>860900</v>
      </c>
      <c r="L143" s="36">
        <v>8</v>
      </c>
      <c r="M143" s="37">
        <v>1169290</v>
      </c>
      <c r="N143" s="36">
        <v>177</v>
      </c>
      <c r="O143" s="38"/>
      <c r="P143" s="39"/>
      <c r="Q143" s="37">
        <v>450890</v>
      </c>
      <c r="R143" s="36">
        <v>5</v>
      </c>
      <c r="S143" s="38">
        <v>0</v>
      </c>
      <c r="T143" s="39">
        <v>0</v>
      </c>
      <c r="U143" s="38"/>
      <c r="V143" s="39"/>
      <c r="W143" s="38"/>
      <c r="X143" s="39"/>
      <c r="Y143" s="38"/>
      <c r="Z143" s="39"/>
      <c r="AA143" s="22">
        <f t="shared" si="20"/>
        <v>5392510</v>
      </c>
      <c r="AB143" s="78"/>
      <c r="AC143" s="79"/>
    </row>
    <row r="144" spans="2:29" ht="16.05" customHeight="1">
      <c r="B144" s="75" t="s">
        <v>48</v>
      </c>
      <c r="C144" s="18" t="s">
        <v>20</v>
      </c>
      <c r="D144" s="19">
        <v>45431</v>
      </c>
      <c r="E144" s="40">
        <v>598790</v>
      </c>
      <c r="F144" s="41">
        <v>6</v>
      </c>
      <c r="G144" s="42">
        <v>599850</v>
      </c>
      <c r="H144" s="41">
        <v>5</v>
      </c>
      <c r="I144" s="42">
        <v>0</v>
      </c>
      <c r="J144" s="41">
        <v>0</v>
      </c>
      <c r="K144" s="42">
        <v>963820</v>
      </c>
      <c r="L144" s="41">
        <v>12</v>
      </c>
      <c r="M144" s="42">
        <v>261630</v>
      </c>
      <c r="N144" s="41">
        <v>39</v>
      </c>
      <c r="O144" s="49"/>
      <c r="P144" s="50"/>
      <c r="Q144" s="21">
        <v>0</v>
      </c>
      <c r="R144" s="20">
        <v>0</v>
      </c>
      <c r="S144" s="21">
        <v>13990</v>
      </c>
      <c r="T144" s="20">
        <v>1</v>
      </c>
      <c r="U144" s="28"/>
      <c r="V144" s="27"/>
      <c r="W144" s="28"/>
      <c r="X144" s="27"/>
      <c r="Y144" s="28"/>
      <c r="Z144" s="27"/>
      <c r="AA144" s="22">
        <f t="shared" si="20"/>
        <v>2438080</v>
      </c>
      <c r="AB144" s="78">
        <f t="shared" ref="AB144" si="22">SUM(AA144:AA150)</f>
        <v>26435264</v>
      </c>
      <c r="AC144" s="79">
        <v>20146920</v>
      </c>
    </row>
    <row r="145" spans="2:29">
      <c r="B145" s="76"/>
      <c r="C145" s="23" t="s">
        <v>21</v>
      </c>
      <c r="D145" s="19">
        <v>45432</v>
      </c>
      <c r="E145" s="8">
        <v>663850</v>
      </c>
      <c r="F145" s="20">
        <v>11</v>
      </c>
      <c r="G145" s="21">
        <v>49990</v>
      </c>
      <c r="H145" s="20">
        <v>1</v>
      </c>
      <c r="I145" s="21">
        <v>669910</v>
      </c>
      <c r="J145" s="20">
        <v>5</v>
      </c>
      <c r="K145" s="21">
        <v>742840</v>
      </c>
      <c r="L145" s="20">
        <v>11</v>
      </c>
      <c r="M145" s="21">
        <v>332940</v>
      </c>
      <c r="N145" s="20">
        <v>42</v>
      </c>
      <c r="O145" s="28"/>
      <c r="P145" s="27"/>
      <c r="Q145" s="21">
        <v>0</v>
      </c>
      <c r="R145" s="20">
        <v>0</v>
      </c>
      <c r="S145" s="21">
        <v>0</v>
      </c>
      <c r="T145" s="20">
        <v>0</v>
      </c>
      <c r="U145" s="28"/>
      <c r="V145" s="27"/>
      <c r="W145" s="28"/>
      <c r="X145" s="27"/>
      <c r="Y145" s="28"/>
      <c r="Z145" s="27"/>
      <c r="AA145" s="22">
        <f t="shared" si="20"/>
        <v>2459530</v>
      </c>
      <c r="AB145" s="78"/>
      <c r="AC145" s="79"/>
    </row>
    <row r="146" spans="2:29" ht="16.05" customHeight="1">
      <c r="B146" s="76"/>
      <c r="C146" s="23" t="s">
        <v>22</v>
      </c>
      <c r="D146" s="19">
        <v>45433</v>
      </c>
      <c r="E146" s="8">
        <v>245950</v>
      </c>
      <c r="F146" s="20">
        <v>2</v>
      </c>
      <c r="G146" s="21">
        <v>1116810</v>
      </c>
      <c r="H146" s="20">
        <v>8</v>
      </c>
      <c r="I146" s="21">
        <v>408950</v>
      </c>
      <c r="J146" s="20">
        <v>3</v>
      </c>
      <c r="K146" s="21">
        <v>2156710</v>
      </c>
      <c r="L146" s="20">
        <v>8</v>
      </c>
      <c r="M146" s="21">
        <v>390160</v>
      </c>
      <c r="N146" s="20">
        <v>48</v>
      </c>
      <c r="O146" s="28"/>
      <c r="P146" s="27"/>
      <c r="Q146" s="21">
        <v>165990</v>
      </c>
      <c r="R146" s="20">
        <v>1</v>
      </c>
      <c r="S146" s="21">
        <v>106960</v>
      </c>
      <c r="T146" s="20">
        <v>2</v>
      </c>
      <c r="U146" s="28"/>
      <c r="V146" s="27"/>
      <c r="W146" s="28"/>
      <c r="X146" s="27"/>
      <c r="Y146" s="28"/>
      <c r="Z146" s="27"/>
      <c r="AA146" s="22">
        <f t="shared" si="20"/>
        <v>4591530</v>
      </c>
      <c r="AB146" s="78"/>
      <c r="AC146" s="79"/>
    </row>
    <row r="147" spans="2:29">
      <c r="B147" s="76"/>
      <c r="C147" s="23" t="s">
        <v>23</v>
      </c>
      <c r="D147" s="19">
        <v>45434</v>
      </c>
      <c r="E147" s="8">
        <v>590900</v>
      </c>
      <c r="F147" s="20">
        <v>7</v>
      </c>
      <c r="G147" s="21">
        <v>392900</v>
      </c>
      <c r="H147" s="20">
        <v>5</v>
      </c>
      <c r="I147" s="21">
        <v>179980</v>
      </c>
      <c r="J147" s="20">
        <v>2</v>
      </c>
      <c r="K147" s="21">
        <v>357910</v>
      </c>
      <c r="L147" s="20">
        <v>4</v>
      </c>
      <c r="M147" s="21">
        <v>275660</v>
      </c>
      <c r="N147" s="20">
        <v>43</v>
      </c>
      <c r="O147" s="28"/>
      <c r="P147" s="27"/>
      <c r="Q147" s="21">
        <v>262960</v>
      </c>
      <c r="R147" s="20">
        <v>3</v>
      </c>
      <c r="S147" s="21">
        <v>140960</v>
      </c>
      <c r="T147" s="20">
        <v>3</v>
      </c>
      <c r="U147" s="28"/>
      <c r="V147" s="27"/>
      <c r="W147" s="28"/>
      <c r="X147" s="27"/>
      <c r="Y147" s="28"/>
      <c r="Z147" s="27"/>
      <c r="AA147" s="22">
        <f t="shared" si="20"/>
        <v>2201270</v>
      </c>
      <c r="AB147" s="78"/>
      <c r="AC147" s="79"/>
    </row>
    <row r="148" spans="2:29">
      <c r="B148" s="76"/>
      <c r="C148" s="23" t="s">
        <v>24</v>
      </c>
      <c r="D148" s="19">
        <v>45435</v>
      </c>
      <c r="E148" s="8">
        <v>592910</v>
      </c>
      <c r="F148" s="20">
        <v>6</v>
      </c>
      <c r="G148" s="21">
        <v>906880</v>
      </c>
      <c r="H148" s="20">
        <v>7</v>
      </c>
      <c r="I148" s="21">
        <v>44990</v>
      </c>
      <c r="J148" s="20">
        <v>1</v>
      </c>
      <c r="K148" s="21">
        <v>2067680</v>
      </c>
      <c r="L148" s="20">
        <v>17</v>
      </c>
      <c r="M148" s="21">
        <v>202830</v>
      </c>
      <c r="N148" s="20">
        <v>37</v>
      </c>
      <c r="O148" s="28"/>
      <c r="P148" s="27"/>
      <c r="Q148" s="21">
        <v>89990</v>
      </c>
      <c r="R148" s="20">
        <v>1</v>
      </c>
      <c r="S148" s="21">
        <v>282930</v>
      </c>
      <c r="T148" s="20">
        <v>5</v>
      </c>
      <c r="U148" s="28"/>
      <c r="V148" s="27"/>
      <c r="W148" s="28"/>
      <c r="X148" s="27"/>
      <c r="Y148" s="28"/>
      <c r="Z148" s="27"/>
      <c r="AA148" s="22">
        <f t="shared" si="20"/>
        <v>4188210</v>
      </c>
      <c r="AB148" s="78"/>
      <c r="AC148" s="79"/>
    </row>
    <row r="149" spans="2:29">
      <c r="B149" s="76"/>
      <c r="C149" s="23" t="s">
        <v>25</v>
      </c>
      <c r="D149" s="19">
        <v>45436</v>
      </c>
      <c r="E149" s="8">
        <v>879910</v>
      </c>
      <c r="F149" s="31">
        <v>12</v>
      </c>
      <c r="G149" s="21">
        <v>1035890</v>
      </c>
      <c r="H149" s="20">
        <v>10</v>
      </c>
      <c r="I149" s="21">
        <v>919800</v>
      </c>
      <c r="J149" s="31">
        <v>9</v>
      </c>
      <c r="K149" s="21">
        <v>1197790</v>
      </c>
      <c r="L149" s="31">
        <v>11</v>
      </c>
      <c r="M149" s="21">
        <v>601660</v>
      </c>
      <c r="N149" s="31">
        <v>86</v>
      </c>
      <c r="O149" s="28"/>
      <c r="P149" s="32"/>
      <c r="Q149" s="21">
        <v>85980</v>
      </c>
      <c r="R149" s="31">
        <v>2</v>
      </c>
      <c r="S149" s="21">
        <v>0</v>
      </c>
      <c r="T149" s="31">
        <v>0</v>
      </c>
      <c r="U149" s="28"/>
      <c r="V149" s="32"/>
      <c r="W149" s="28"/>
      <c r="X149" s="32"/>
      <c r="Y149" s="28"/>
      <c r="Z149" s="32"/>
      <c r="AA149" s="22">
        <f t="shared" si="20"/>
        <v>4721030</v>
      </c>
      <c r="AB149" s="78"/>
      <c r="AC149" s="79"/>
    </row>
    <row r="150" spans="2:29">
      <c r="B150" s="77"/>
      <c r="C150" s="33" t="s">
        <v>26</v>
      </c>
      <c r="D150" s="34">
        <v>45437</v>
      </c>
      <c r="E150" s="35">
        <v>1093870</v>
      </c>
      <c r="F150" s="36">
        <v>11</v>
      </c>
      <c r="G150" s="37">
        <v>0</v>
      </c>
      <c r="H150" s="36">
        <v>0</v>
      </c>
      <c r="I150" s="37">
        <v>787880</v>
      </c>
      <c r="J150" s="36">
        <v>10</v>
      </c>
      <c r="K150" s="37">
        <v>2029974</v>
      </c>
      <c r="L150" s="36">
        <v>11</v>
      </c>
      <c r="M150" s="37">
        <v>1005980</v>
      </c>
      <c r="N150" s="36">
        <v>140</v>
      </c>
      <c r="O150" s="38"/>
      <c r="P150" s="39"/>
      <c r="Q150" s="37">
        <v>917910</v>
      </c>
      <c r="R150" s="36">
        <v>8</v>
      </c>
      <c r="S150" s="38">
        <v>0</v>
      </c>
      <c r="T150" s="39">
        <v>0</v>
      </c>
      <c r="U150" s="38"/>
      <c r="V150" s="39"/>
      <c r="W150" s="38"/>
      <c r="X150" s="39"/>
      <c r="Y150" s="38"/>
      <c r="Z150" s="39"/>
      <c r="AA150" s="22">
        <f t="shared" si="20"/>
        <v>5835614</v>
      </c>
      <c r="AB150" s="78"/>
      <c r="AC150" s="79"/>
    </row>
    <row r="151" spans="2:29" ht="16.05" customHeight="1">
      <c r="B151" s="75" t="s">
        <v>49</v>
      </c>
      <c r="C151" s="18" t="s">
        <v>20</v>
      </c>
      <c r="D151" s="19">
        <v>45438</v>
      </c>
      <c r="E151" s="40">
        <v>458940</v>
      </c>
      <c r="F151" s="41">
        <v>5</v>
      </c>
      <c r="G151" s="42">
        <v>122960</v>
      </c>
      <c r="H151" s="41">
        <v>3</v>
      </c>
      <c r="I151" s="42">
        <v>0</v>
      </c>
      <c r="J151" s="41">
        <v>0</v>
      </c>
      <c r="K151" s="42">
        <v>386920</v>
      </c>
      <c r="L151" s="41">
        <v>5</v>
      </c>
      <c r="M151" s="42">
        <v>224050</v>
      </c>
      <c r="N151" s="41">
        <v>24</v>
      </c>
      <c r="O151" s="49"/>
      <c r="P151" s="50"/>
      <c r="Q151" s="21">
        <v>144990</v>
      </c>
      <c r="R151" s="20">
        <v>1</v>
      </c>
      <c r="S151" s="21">
        <v>159990</v>
      </c>
      <c r="T151" s="20">
        <v>1</v>
      </c>
      <c r="U151" s="28"/>
      <c r="V151" s="27"/>
      <c r="W151" s="28"/>
      <c r="X151" s="27"/>
      <c r="Y151" s="28"/>
      <c r="Z151" s="27"/>
      <c r="AA151" s="22">
        <f t="shared" si="20"/>
        <v>1497850</v>
      </c>
      <c r="AB151" s="78">
        <f t="shared" ref="AB151" si="23">SUM(AA151:AA157)</f>
        <v>23735180</v>
      </c>
      <c r="AC151" s="79">
        <v>25491770</v>
      </c>
    </row>
    <row r="152" spans="2:29">
      <c r="B152" s="76"/>
      <c r="C152" s="23" t="s">
        <v>21</v>
      </c>
      <c r="D152" s="19">
        <v>45439</v>
      </c>
      <c r="E152" s="8">
        <v>1200840</v>
      </c>
      <c r="F152" s="20">
        <v>8</v>
      </c>
      <c r="G152" s="21">
        <v>720890</v>
      </c>
      <c r="H152" s="20">
        <v>5</v>
      </c>
      <c r="I152" s="21">
        <v>451960</v>
      </c>
      <c r="J152" s="20">
        <v>3</v>
      </c>
      <c r="K152" s="21">
        <v>195920</v>
      </c>
      <c r="L152" s="20">
        <v>3</v>
      </c>
      <c r="M152" s="21">
        <v>222310</v>
      </c>
      <c r="N152" s="20">
        <v>29</v>
      </c>
      <c r="O152" s="28"/>
      <c r="P152" s="27"/>
      <c r="Q152" s="21">
        <v>64990</v>
      </c>
      <c r="R152" s="20">
        <v>1</v>
      </c>
      <c r="S152" s="21">
        <v>226980</v>
      </c>
      <c r="T152" s="20">
        <v>2</v>
      </c>
      <c r="U152" s="28"/>
      <c r="V152" s="27"/>
      <c r="W152" s="28"/>
      <c r="X152" s="27"/>
      <c r="Y152" s="28"/>
      <c r="Z152" s="27"/>
      <c r="AA152" s="22">
        <f t="shared" si="20"/>
        <v>3083890</v>
      </c>
      <c r="AB152" s="78"/>
      <c r="AC152" s="79"/>
    </row>
    <row r="153" spans="2:29" ht="16.05" customHeight="1">
      <c r="B153" s="76"/>
      <c r="C153" s="23" t="s">
        <v>22</v>
      </c>
      <c r="D153" s="19">
        <v>45440</v>
      </c>
      <c r="E153" s="8">
        <v>518900</v>
      </c>
      <c r="F153" s="20">
        <v>6</v>
      </c>
      <c r="G153" s="21">
        <v>320950</v>
      </c>
      <c r="H153" s="20">
        <v>4</v>
      </c>
      <c r="I153" s="21">
        <v>313940</v>
      </c>
      <c r="J153" s="20">
        <v>4</v>
      </c>
      <c r="K153" s="21">
        <v>600930</v>
      </c>
      <c r="L153" s="20">
        <v>3</v>
      </c>
      <c r="M153" s="21">
        <v>458960</v>
      </c>
      <c r="N153" s="20">
        <v>58</v>
      </c>
      <c r="O153" s="28"/>
      <c r="P153" s="27"/>
      <c r="Q153" s="21">
        <v>398960</v>
      </c>
      <c r="R153" s="20">
        <v>3</v>
      </c>
      <c r="S153" s="21">
        <v>202960</v>
      </c>
      <c r="T153" s="20">
        <v>2</v>
      </c>
      <c r="U153" s="28"/>
      <c r="V153" s="27"/>
      <c r="W153" s="28"/>
      <c r="X153" s="27"/>
      <c r="Y153" s="28"/>
      <c r="Z153" s="27"/>
      <c r="AA153" s="22">
        <f t="shared" si="20"/>
        <v>2815600</v>
      </c>
      <c r="AB153" s="78"/>
      <c r="AC153" s="79"/>
    </row>
    <row r="154" spans="2:29">
      <c r="B154" s="76"/>
      <c r="C154" s="23" t="s">
        <v>23</v>
      </c>
      <c r="D154" s="19">
        <v>45441</v>
      </c>
      <c r="E154" s="8">
        <v>398920</v>
      </c>
      <c r="F154" s="20">
        <v>4</v>
      </c>
      <c r="G154" s="21">
        <v>127990</v>
      </c>
      <c r="H154" s="20">
        <v>1</v>
      </c>
      <c r="I154" s="21">
        <v>23980</v>
      </c>
      <c r="J154" s="20">
        <v>2</v>
      </c>
      <c r="K154" s="21">
        <v>488830</v>
      </c>
      <c r="L154" s="20">
        <v>8</v>
      </c>
      <c r="M154" s="21">
        <v>329900</v>
      </c>
      <c r="N154" s="20">
        <v>47</v>
      </c>
      <c r="O154" s="28"/>
      <c r="P154" s="27"/>
      <c r="Q154" s="21">
        <v>106980</v>
      </c>
      <c r="R154" s="20">
        <v>2</v>
      </c>
      <c r="S154" s="21">
        <v>109980</v>
      </c>
      <c r="T154" s="20">
        <v>2</v>
      </c>
      <c r="U154" s="28"/>
      <c r="V154" s="27"/>
      <c r="W154" s="28"/>
      <c r="X154" s="27"/>
      <c r="Y154" s="28"/>
      <c r="Z154" s="27"/>
      <c r="AA154" s="22">
        <f t="shared" si="20"/>
        <v>1586580</v>
      </c>
      <c r="AB154" s="78"/>
      <c r="AC154" s="79"/>
    </row>
    <row r="155" spans="2:29">
      <c r="B155" s="76"/>
      <c r="C155" s="23" t="s">
        <v>24</v>
      </c>
      <c r="D155" s="19">
        <v>45442</v>
      </c>
      <c r="E155" s="8">
        <v>292940</v>
      </c>
      <c r="F155" s="20">
        <v>4</v>
      </c>
      <c r="G155" s="21">
        <v>79980</v>
      </c>
      <c r="H155" s="20">
        <v>2</v>
      </c>
      <c r="I155" s="21">
        <v>61990</v>
      </c>
      <c r="J155" s="20">
        <v>1</v>
      </c>
      <c r="K155" s="21">
        <v>1445590</v>
      </c>
      <c r="L155" s="20">
        <v>17</v>
      </c>
      <c r="M155" s="21">
        <v>302280</v>
      </c>
      <c r="N155" s="20">
        <v>35</v>
      </c>
      <c r="O155" s="28"/>
      <c r="P155" s="27"/>
      <c r="Q155" s="21">
        <v>119980</v>
      </c>
      <c r="R155" s="20">
        <v>2</v>
      </c>
      <c r="S155" s="21">
        <v>228970</v>
      </c>
      <c r="T155" s="20">
        <v>2</v>
      </c>
      <c r="U155" s="28"/>
      <c r="V155" s="27"/>
      <c r="W155" s="28"/>
      <c r="X155" s="27"/>
      <c r="Y155" s="28"/>
      <c r="Z155" s="27"/>
      <c r="AA155" s="22">
        <f t="shared" si="20"/>
        <v>2531730</v>
      </c>
      <c r="AB155" s="78"/>
      <c r="AC155" s="79"/>
    </row>
    <row r="156" spans="2:29">
      <c r="B156" s="76"/>
      <c r="C156" s="23" t="s">
        <v>25</v>
      </c>
      <c r="D156" s="19">
        <v>45443</v>
      </c>
      <c r="E156" s="8">
        <v>834870</v>
      </c>
      <c r="F156" s="31">
        <v>11</v>
      </c>
      <c r="G156" s="21">
        <v>954910</v>
      </c>
      <c r="H156" s="31">
        <v>5</v>
      </c>
      <c r="I156" s="21">
        <v>930800</v>
      </c>
      <c r="J156" s="31">
        <v>11</v>
      </c>
      <c r="K156" s="21">
        <v>660850</v>
      </c>
      <c r="L156" s="31">
        <v>7</v>
      </c>
      <c r="M156" s="21">
        <v>761330</v>
      </c>
      <c r="N156" s="31">
        <v>102</v>
      </c>
      <c r="O156" s="28"/>
      <c r="P156" s="32"/>
      <c r="Q156" s="21">
        <v>858940</v>
      </c>
      <c r="R156" s="31">
        <v>6</v>
      </c>
      <c r="S156" s="21">
        <v>0</v>
      </c>
      <c r="T156" s="31">
        <v>0</v>
      </c>
      <c r="U156" s="28"/>
      <c r="V156" s="32"/>
      <c r="W156" s="28"/>
      <c r="X156" s="32"/>
      <c r="Y156" s="28"/>
      <c r="Z156" s="32"/>
      <c r="AA156" s="22">
        <f t="shared" si="20"/>
        <v>5001700</v>
      </c>
      <c r="AB156" s="78"/>
      <c r="AC156" s="79"/>
    </row>
    <row r="157" spans="2:29">
      <c r="B157" s="77"/>
      <c r="C157" s="33" t="s">
        <v>26</v>
      </c>
      <c r="D157" s="34">
        <v>45444</v>
      </c>
      <c r="E157" s="35">
        <v>1421710</v>
      </c>
      <c r="F157" s="36">
        <v>24</v>
      </c>
      <c r="G157" s="37">
        <v>848890</v>
      </c>
      <c r="H157" s="52"/>
      <c r="I157" s="37">
        <v>1766760</v>
      </c>
      <c r="J157" s="36">
        <v>15</v>
      </c>
      <c r="K157" s="37">
        <v>1024910</v>
      </c>
      <c r="L157" s="36">
        <v>6</v>
      </c>
      <c r="M157" s="37">
        <v>1740610</v>
      </c>
      <c r="N157" s="36">
        <v>176</v>
      </c>
      <c r="O157" s="38"/>
      <c r="P157" s="39"/>
      <c r="Q157" s="37">
        <v>414950</v>
      </c>
      <c r="R157" s="36">
        <v>5</v>
      </c>
      <c r="S157" s="38">
        <v>0</v>
      </c>
      <c r="T157" s="39">
        <v>0</v>
      </c>
      <c r="U157" s="38"/>
      <c r="V157" s="39"/>
      <c r="W157" s="38"/>
      <c r="X157" s="39"/>
      <c r="Y157" s="38"/>
      <c r="Z157" s="39"/>
      <c r="AA157" s="22">
        <f t="shared" si="20"/>
        <v>7217830</v>
      </c>
      <c r="AB157" s="78"/>
      <c r="AC157" s="79"/>
    </row>
    <row r="158" spans="2:29" ht="16.05" customHeight="1">
      <c r="B158" s="75" t="s">
        <v>50</v>
      </c>
      <c r="C158" s="18" t="s">
        <v>20</v>
      </c>
      <c r="D158" s="19">
        <v>45445</v>
      </c>
      <c r="E158" s="40">
        <v>327910</v>
      </c>
      <c r="F158" s="41">
        <v>6</v>
      </c>
      <c r="G158" s="42">
        <v>285729</v>
      </c>
      <c r="H158" s="41">
        <v>4</v>
      </c>
      <c r="I158" s="42">
        <v>65970</v>
      </c>
      <c r="J158" s="41">
        <v>3</v>
      </c>
      <c r="K158" s="42">
        <v>278920</v>
      </c>
      <c r="L158" s="41">
        <v>6</v>
      </c>
      <c r="M158" s="42">
        <v>196000</v>
      </c>
      <c r="N158" s="41">
        <v>33</v>
      </c>
      <c r="O158" s="49"/>
      <c r="P158" s="50"/>
      <c r="Q158" s="21">
        <v>199990</v>
      </c>
      <c r="R158" s="20">
        <v>1</v>
      </c>
      <c r="S158" s="21">
        <v>76990</v>
      </c>
      <c r="T158" s="20">
        <v>3</v>
      </c>
      <c r="U158" s="28"/>
      <c r="V158" s="27"/>
      <c r="W158" s="28"/>
      <c r="X158" s="27"/>
      <c r="Y158" s="28"/>
      <c r="Z158" s="27"/>
      <c r="AA158" s="22">
        <f t="shared" si="20"/>
        <v>1431509</v>
      </c>
      <c r="AB158" s="78">
        <f t="shared" ref="AB158" si="24">SUM(AA158:AA164)</f>
        <v>22769852</v>
      </c>
      <c r="AC158" s="79">
        <v>21912600</v>
      </c>
    </row>
    <row r="159" spans="2:29">
      <c r="B159" s="76"/>
      <c r="C159" s="23" t="s">
        <v>21</v>
      </c>
      <c r="D159" s="19">
        <v>45446</v>
      </c>
      <c r="E159" s="8">
        <v>1109850</v>
      </c>
      <c r="F159" s="20">
        <v>9</v>
      </c>
      <c r="G159" s="21">
        <v>105980</v>
      </c>
      <c r="H159" s="20">
        <v>2</v>
      </c>
      <c r="I159" s="21">
        <v>136970</v>
      </c>
      <c r="J159" s="20">
        <v>3</v>
      </c>
      <c r="K159" s="21">
        <v>1035840</v>
      </c>
      <c r="L159" s="20">
        <v>9</v>
      </c>
      <c r="M159" s="21">
        <v>261240</v>
      </c>
      <c r="N159" s="20">
        <v>32</v>
      </c>
      <c r="O159" s="28"/>
      <c r="P159" s="27"/>
      <c r="Q159" s="21">
        <v>0</v>
      </c>
      <c r="R159" s="20">
        <v>0</v>
      </c>
      <c r="S159" s="21">
        <v>0</v>
      </c>
      <c r="T159" s="20">
        <v>0</v>
      </c>
      <c r="U159" s="28"/>
      <c r="V159" s="27"/>
      <c r="W159" s="28"/>
      <c r="X159" s="27"/>
      <c r="Y159" s="28"/>
      <c r="Z159" s="27"/>
      <c r="AA159" s="22">
        <f t="shared" si="20"/>
        <v>2649880</v>
      </c>
      <c r="AB159" s="78"/>
      <c r="AC159" s="79"/>
    </row>
    <row r="160" spans="2:29" ht="16.05" customHeight="1">
      <c r="B160" s="76"/>
      <c r="C160" s="23" t="s">
        <v>22</v>
      </c>
      <c r="D160" s="19">
        <v>45447</v>
      </c>
      <c r="E160" s="8">
        <v>230930</v>
      </c>
      <c r="F160" s="20">
        <v>4</v>
      </c>
      <c r="G160" s="21">
        <v>388840</v>
      </c>
      <c r="H160" s="20">
        <v>4</v>
      </c>
      <c r="I160" s="21">
        <v>372930</v>
      </c>
      <c r="J160" s="20">
        <v>4</v>
      </c>
      <c r="K160" s="21">
        <v>693930</v>
      </c>
      <c r="L160" s="20">
        <v>4</v>
      </c>
      <c r="M160" s="21">
        <v>196880</v>
      </c>
      <c r="N160" s="20">
        <v>37</v>
      </c>
      <c r="O160" s="28"/>
      <c r="P160" s="27"/>
      <c r="Q160" s="21">
        <v>165990</v>
      </c>
      <c r="R160" s="20">
        <v>1</v>
      </c>
      <c r="S160" s="21">
        <v>0</v>
      </c>
      <c r="T160" s="20">
        <v>0</v>
      </c>
      <c r="U160" s="28"/>
      <c r="V160" s="27"/>
      <c r="W160" s="28"/>
      <c r="X160" s="27"/>
      <c r="Y160" s="28"/>
      <c r="Z160" s="27"/>
      <c r="AA160" s="22">
        <f t="shared" si="20"/>
        <v>2049500</v>
      </c>
      <c r="AB160" s="78"/>
      <c r="AC160" s="79"/>
    </row>
    <row r="161" spans="2:29">
      <c r="B161" s="76"/>
      <c r="C161" s="23" t="s">
        <v>23</v>
      </c>
      <c r="D161" s="19">
        <v>45448</v>
      </c>
      <c r="E161" s="8">
        <v>627870</v>
      </c>
      <c r="F161" s="20">
        <v>10</v>
      </c>
      <c r="G161" s="21">
        <v>754920</v>
      </c>
      <c r="H161" s="20">
        <v>5</v>
      </c>
      <c r="I161" s="21">
        <v>0</v>
      </c>
      <c r="J161" s="20">
        <v>0</v>
      </c>
      <c r="K161" s="21">
        <v>272980</v>
      </c>
      <c r="L161" s="20">
        <v>2</v>
      </c>
      <c r="M161" s="21">
        <v>233510</v>
      </c>
      <c r="N161" s="20">
        <v>40</v>
      </c>
      <c r="O161" s="28"/>
      <c r="P161" s="27"/>
      <c r="Q161" s="21">
        <v>69993</v>
      </c>
      <c r="R161" s="20">
        <v>1</v>
      </c>
      <c r="S161" s="21">
        <v>339980</v>
      </c>
      <c r="T161" s="20">
        <v>2</v>
      </c>
      <c r="U161" s="28"/>
      <c r="V161" s="27"/>
      <c r="W161" s="28"/>
      <c r="X161" s="27"/>
      <c r="Y161" s="28"/>
      <c r="Z161" s="27"/>
      <c r="AA161" s="22">
        <f t="shared" si="20"/>
        <v>2299253</v>
      </c>
      <c r="AB161" s="78"/>
      <c r="AC161" s="79"/>
    </row>
    <row r="162" spans="2:29">
      <c r="B162" s="76"/>
      <c r="C162" s="23" t="s">
        <v>24</v>
      </c>
      <c r="D162" s="19">
        <v>45449</v>
      </c>
      <c r="E162" s="8">
        <v>293900</v>
      </c>
      <c r="F162" s="20">
        <v>7</v>
      </c>
      <c r="G162" s="21">
        <v>64980</v>
      </c>
      <c r="H162" s="20">
        <v>2</v>
      </c>
      <c r="I162" s="21">
        <v>51960</v>
      </c>
      <c r="J162" s="20">
        <v>2</v>
      </c>
      <c r="K162" s="21">
        <v>1462670</v>
      </c>
      <c r="L162" s="20">
        <v>13</v>
      </c>
      <c r="M162" s="21">
        <v>256820</v>
      </c>
      <c r="N162" s="20">
        <v>51</v>
      </c>
      <c r="O162" s="28"/>
      <c r="P162" s="27"/>
      <c r="Q162" s="21">
        <v>707910</v>
      </c>
      <c r="R162" s="20">
        <v>5</v>
      </c>
      <c r="S162" s="21">
        <v>113980</v>
      </c>
      <c r="T162" s="20">
        <v>2</v>
      </c>
      <c r="U162" s="28"/>
      <c r="V162" s="27"/>
      <c r="W162" s="28"/>
      <c r="X162" s="27"/>
      <c r="Y162" s="28"/>
      <c r="Z162" s="27"/>
      <c r="AA162" s="22">
        <f t="shared" si="20"/>
        <v>2952220</v>
      </c>
      <c r="AB162" s="78"/>
      <c r="AC162" s="79"/>
    </row>
    <row r="163" spans="2:29">
      <c r="B163" s="76"/>
      <c r="C163" s="23" t="s">
        <v>25</v>
      </c>
      <c r="D163" s="19">
        <v>45450</v>
      </c>
      <c r="E163" s="8">
        <v>903980</v>
      </c>
      <c r="F163" s="31">
        <v>9</v>
      </c>
      <c r="G163" s="21">
        <v>414910</v>
      </c>
      <c r="H163" s="31">
        <v>5</v>
      </c>
      <c r="I163" s="21">
        <v>3076670</v>
      </c>
      <c r="J163" s="31">
        <v>21</v>
      </c>
      <c r="K163" s="21">
        <v>362920</v>
      </c>
      <c r="L163" s="31">
        <v>6</v>
      </c>
      <c r="M163" s="21">
        <v>689240</v>
      </c>
      <c r="N163" s="31">
        <v>82</v>
      </c>
      <c r="O163" s="28"/>
      <c r="P163" s="32"/>
      <c r="Q163" s="21">
        <v>331940</v>
      </c>
      <c r="R163" s="31">
        <v>5</v>
      </c>
      <c r="S163" s="21">
        <v>0</v>
      </c>
      <c r="T163" s="31">
        <v>0</v>
      </c>
      <c r="U163" s="28"/>
      <c r="V163" s="32"/>
      <c r="W163" s="28"/>
      <c r="X163" s="32"/>
      <c r="Y163" s="28"/>
      <c r="Z163" s="32"/>
      <c r="AA163" s="22">
        <f t="shared" si="20"/>
        <v>5779660</v>
      </c>
      <c r="AB163" s="78"/>
      <c r="AC163" s="79"/>
    </row>
    <row r="164" spans="2:29">
      <c r="B164" s="77"/>
      <c r="C164" s="33" t="s">
        <v>26</v>
      </c>
      <c r="D164" s="34">
        <v>45451</v>
      </c>
      <c r="E164" s="35">
        <v>1575710</v>
      </c>
      <c r="F164" s="36">
        <v>19</v>
      </c>
      <c r="G164" s="37">
        <v>765870</v>
      </c>
      <c r="H164" s="36">
        <v>9</v>
      </c>
      <c r="I164" s="37">
        <v>721900</v>
      </c>
      <c r="J164" s="36">
        <v>8</v>
      </c>
      <c r="K164" s="37">
        <v>723880</v>
      </c>
      <c r="L164" s="36">
        <v>7</v>
      </c>
      <c r="M164" s="37">
        <v>1255520</v>
      </c>
      <c r="N164" s="36">
        <v>159</v>
      </c>
      <c r="O164" s="38"/>
      <c r="P164" s="39"/>
      <c r="Q164" s="37">
        <v>564950</v>
      </c>
      <c r="R164" s="36">
        <v>4</v>
      </c>
      <c r="S164" s="38">
        <v>0</v>
      </c>
      <c r="T164" s="39">
        <v>0</v>
      </c>
      <c r="U164" s="38"/>
      <c r="V164" s="39"/>
      <c r="W164" s="38"/>
      <c r="X164" s="39"/>
      <c r="Y164" s="38"/>
      <c r="Z164" s="39"/>
      <c r="AA164" s="22">
        <f t="shared" si="20"/>
        <v>5607830</v>
      </c>
      <c r="AB164" s="78"/>
      <c r="AC164" s="79"/>
    </row>
    <row r="165" spans="2:29" ht="16.05" customHeight="1">
      <c r="B165" s="75" t="s">
        <v>51</v>
      </c>
      <c r="C165" s="18" t="s">
        <v>20</v>
      </c>
      <c r="D165" s="19">
        <v>45452</v>
      </c>
      <c r="E165" s="40">
        <v>216950</v>
      </c>
      <c r="F165" s="41">
        <v>4</v>
      </c>
      <c r="G165" s="42">
        <v>189970</v>
      </c>
      <c r="H165" s="41">
        <v>3</v>
      </c>
      <c r="I165" s="42">
        <v>114980</v>
      </c>
      <c r="J165" s="41">
        <v>2</v>
      </c>
      <c r="K165" s="42">
        <v>903900</v>
      </c>
      <c r="L165" s="41">
        <v>9</v>
      </c>
      <c r="M165" s="42">
        <v>192640</v>
      </c>
      <c r="N165" s="41">
        <v>31</v>
      </c>
      <c r="O165" s="49"/>
      <c r="P165" s="50"/>
      <c r="Q165" s="21">
        <v>77980</v>
      </c>
      <c r="R165" s="20">
        <v>2</v>
      </c>
      <c r="S165" s="21">
        <v>298940</v>
      </c>
      <c r="T165" s="20">
        <v>3</v>
      </c>
      <c r="U165" s="28"/>
      <c r="V165" s="27"/>
      <c r="W165" s="28"/>
      <c r="X165" s="27"/>
      <c r="Y165" s="28"/>
      <c r="Z165" s="27"/>
      <c r="AA165" s="22">
        <f t="shared" si="20"/>
        <v>1995360</v>
      </c>
      <c r="AB165" s="78">
        <f t="shared" ref="AB165" si="25">SUM(AA165:AA171)</f>
        <v>28872710</v>
      </c>
      <c r="AC165" s="79">
        <v>24704810</v>
      </c>
    </row>
    <row r="166" spans="2:29">
      <c r="B166" s="76"/>
      <c r="C166" s="23" t="s">
        <v>21</v>
      </c>
      <c r="D166" s="19">
        <v>45453</v>
      </c>
      <c r="E166" s="8">
        <v>754870</v>
      </c>
      <c r="F166" s="20">
        <v>8</v>
      </c>
      <c r="G166" s="21">
        <v>183950</v>
      </c>
      <c r="H166" s="20">
        <v>3</v>
      </c>
      <c r="I166" s="21">
        <v>509890</v>
      </c>
      <c r="J166" s="20">
        <v>1</v>
      </c>
      <c r="K166" s="21">
        <v>1307740</v>
      </c>
      <c r="L166" s="20">
        <v>11</v>
      </c>
      <c r="M166" s="21">
        <v>245020</v>
      </c>
      <c r="N166" s="20">
        <v>27</v>
      </c>
      <c r="O166" s="28"/>
      <c r="P166" s="27"/>
      <c r="Q166" s="21">
        <v>265980</v>
      </c>
      <c r="R166" s="20">
        <v>2</v>
      </c>
      <c r="S166" s="21">
        <v>356940</v>
      </c>
      <c r="T166" s="20">
        <v>4</v>
      </c>
      <c r="U166" s="28"/>
      <c r="V166" s="27"/>
      <c r="W166" s="28"/>
      <c r="X166" s="27"/>
      <c r="Y166" s="28"/>
      <c r="Z166" s="27"/>
      <c r="AA166" s="22">
        <f t="shared" si="20"/>
        <v>3624390</v>
      </c>
      <c r="AB166" s="78"/>
      <c r="AC166" s="79"/>
    </row>
    <row r="167" spans="2:29" ht="16.05" customHeight="1">
      <c r="B167" s="76"/>
      <c r="C167" s="23" t="s">
        <v>22</v>
      </c>
      <c r="D167" s="19">
        <v>45454</v>
      </c>
      <c r="E167" s="8">
        <v>492890</v>
      </c>
      <c r="F167" s="20">
        <v>5</v>
      </c>
      <c r="G167" s="21">
        <v>291970</v>
      </c>
      <c r="H167" s="20">
        <v>3</v>
      </c>
      <c r="I167" s="21">
        <v>0</v>
      </c>
      <c r="J167" s="20">
        <v>0</v>
      </c>
      <c r="K167" s="21">
        <v>1143820</v>
      </c>
      <c r="L167" s="20">
        <v>12</v>
      </c>
      <c r="M167" s="21">
        <v>342950</v>
      </c>
      <c r="N167" s="20">
        <v>30</v>
      </c>
      <c r="O167" s="28"/>
      <c r="P167" s="27"/>
      <c r="Q167" s="21">
        <v>199980</v>
      </c>
      <c r="R167" s="20">
        <v>2</v>
      </c>
      <c r="S167" s="21">
        <v>498940</v>
      </c>
      <c r="T167" s="20">
        <v>4</v>
      </c>
      <c r="U167" s="28"/>
      <c r="V167" s="27"/>
      <c r="W167" s="28"/>
      <c r="X167" s="27"/>
      <c r="Y167" s="28"/>
      <c r="Z167" s="27"/>
      <c r="AA167" s="22">
        <f t="shared" si="20"/>
        <v>2970550</v>
      </c>
      <c r="AB167" s="78"/>
      <c r="AC167" s="79"/>
    </row>
    <row r="168" spans="2:29">
      <c r="B168" s="76"/>
      <c r="C168" s="23" t="s">
        <v>23</v>
      </c>
      <c r="D168" s="19">
        <v>45455</v>
      </c>
      <c r="E168" s="8">
        <v>584910</v>
      </c>
      <c r="F168" s="20">
        <v>4</v>
      </c>
      <c r="G168" s="21">
        <v>1112850</v>
      </c>
      <c r="H168" s="20">
        <v>9</v>
      </c>
      <c r="I168" s="21">
        <v>267960</v>
      </c>
      <c r="J168" s="20">
        <v>3</v>
      </c>
      <c r="K168" s="21">
        <v>1358863</v>
      </c>
      <c r="L168" s="20">
        <v>16</v>
      </c>
      <c r="M168" s="21">
        <v>294620</v>
      </c>
      <c r="N168" s="20">
        <v>38</v>
      </c>
      <c r="O168" s="28"/>
      <c r="P168" s="27"/>
      <c r="Q168" s="21">
        <v>1063413</v>
      </c>
      <c r="R168" s="20">
        <v>6</v>
      </c>
      <c r="S168" s="21">
        <v>0</v>
      </c>
      <c r="T168" s="20">
        <v>0</v>
      </c>
      <c r="U168" s="28"/>
      <c r="V168" s="27"/>
      <c r="W168" s="28"/>
      <c r="X168" s="27"/>
      <c r="Y168" s="28"/>
      <c r="Z168" s="27"/>
      <c r="AA168" s="22">
        <f t="shared" si="20"/>
        <v>4682616</v>
      </c>
      <c r="AB168" s="78"/>
      <c r="AC168" s="79"/>
    </row>
    <row r="169" spans="2:29">
      <c r="B169" s="76"/>
      <c r="C169" s="23" t="s">
        <v>24</v>
      </c>
      <c r="D169" s="19">
        <v>45456</v>
      </c>
      <c r="E169" s="8">
        <v>887810</v>
      </c>
      <c r="F169" s="20">
        <v>6</v>
      </c>
      <c r="G169" s="21">
        <v>237920</v>
      </c>
      <c r="H169" s="20">
        <v>6</v>
      </c>
      <c r="I169" s="21">
        <v>99990</v>
      </c>
      <c r="J169" s="20">
        <v>1</v>
      </c>
      <c r="K169" s="21">
        <v>598654</v>
      </c>
      <c r="L169" s="20">
        <v>11</v>
      </c>
      <c r="M169" s="21">
        <v>258680</v>
      </c>
      <c r="N169" s="20">
        <v>33</v>
      </c>
      <c r="O169" s="28"/>
      <c r="P169" s="27"/>
      <c r="Q169" s="21">
        <v>209970</v>
      </c>
      <c r="R169" s="20">
        <v>3</v>
      </c>
      <c r="S169" s="21">
        <v>529900</v>
      </c>
      <c r="T169" s="20">
        <v>5</v>
      </c>
      <c r="U169" s="28"/>
      <c r="V169" s="27"/>
      <c r="W169" s="28"/>
      <c r="X169" s="27"/>
      <c r="Y169" s="28"/>
      <c r="Z169" s="27"/>
      <c r="AA169" s="22">
        <f t="shared" si="20"/>
        <v>2822924</v>
      </c>
      <c r="AB169" s="78"/>
      <c r="AC169" s="79"/>
    </row>
    <row r="170" spans="2:29">
      <c r="B170" s="76"/>
      <c r="C170" s="23" t="s">
        <v>25</v>
      </c>
      <c r="D170" s="19">
        <v>45457</v>
      </c>
      <c r="E170" s="8">
        <v>1469620</v>
      </c>
      <c r="F170" s="31">
        <v>18</v>
      </c>
      <c r="G170" s="21">
        <v>1350740</v>
      </c>
      <c r="H170" s="31">
        <v>20</v>
      </c>
      <c r="I170" s="21">
        <v>628830</v>
      </c>
      <c r="J170" s="31">
        <v>6</v>
      </c>
      <c r="K170" s="21">
        <v>2726580</v>
      </c>
      <c r="L170" s="31">
        <v>22</v>
      </c>
      <c r="M170" s="21">
        <v>1043970</v>
      </c>
      <c r="N170" s="20">
        <v>115</v>
      </c>
      <c r="O170" s="28"/>
      <c r="P170" s="32"/>
      <c r="Q170" s="21">
        <v>577890</v>
      </c>
      <c r="R170" s="31">
        <v>8</v>
      </c>
      <c r="S170" s="21">
        <v>0</v>
      </c>
      <c r="T170" s="31">
        <v>0</v>
      </c>
      <c r="U170" s="28"/>
      <c r="V170" s="32"/>
      <c r="W170" s="28"/>
      <c r="X170" s="32"/>
      <c r="Y170" s="28"/>
      <c r="Z170" s="32"/>
      <c r="AA170" s="22">
        <f t="shared" si="20"/>
        <v>7797630</v>
      </c>
      <c r="AB170" s="78"/>
      <c r="AC170" s="79"/>
    </row>
    <row r="171" spans="2:29">
      <c r="B171" s="77"/>
      <c r="C171" s="33" t="s">
        <v>26</v>
      </c>
      <c r="D171" s="34">
        <v>45458</v>
      </c>
      <c r="E171" s="35">
        <v>724850</v>
      </c>
      <c r="F171" s="36">
        <v>11</v>
      </c>
      <c r="G171" s="37">
        <v>1571760</v>
      </c>
      <c r="H171" s="36">
        <v>13</v>
      </c>
      <c r="I171" s="37">
        <v>482860</v>
      </c>
      <c r="J171" s="36">
        <v>11</v>
      </c>
      <c r="K171" s="37">
        <v>139980</v>
      </c>
      <c r="L171" s="36">
        <v>2</v>
      </c>
      <c r="M171" s="37">
        <v>1473890</v>
      </c>
      <c r="N171" s="36">
        <v>176</v>
      </c>
      <c r="O171" s="38"/>
      <c r="P171" s="39"/>
      <c r="Q171" s="37">
        <v>585900</v>
      </c>
      <c r="R171" s="36">
        <v>8</v>
      </c>
      <c r="S171" s="38">
        <v>0</v>
      </c>
      <c r="T171" s="39">
        <v>0</v>
      </c>
      <c r="U171" s="38"/>
      <c r="V171" s="39"/>
      <c r="W171" s="38"/>
      <c r="X171" s="39"/>
      <c r="Y171" s="38"/>
      <c r="Z171" s="39"/>
      <c r="AA171" s="22">
        <f t="shared" si="20"/>
        <v>4979240</v>
      </c>
      <c r="AB171" s="78"/>
      <c r="AC171" s="79"/>
    </row>
    <row r="172" spans="2:29" ht="16.05" customHeight="1">
      <c r="B172" s="75" t="s">
        <v>52</v>
      </c>
      <c r="C172" s="48" t="s">
        <v>20</v>
      </c>
      <c r="D172" s="25">
        <v>45459</v>
      </c>
      <c r="E172" s="40">
        <v>600820</v>
      </c>
      <c r="F172" s="41">
        <v>11</v>
      </c>
      <c r="G172" s="42">
        <v>524930</v>
      </c>
      <c r="H172" s="41">
        <v>7</v>
      </c>
      <c r="I172" s="42">
        <v>414930</v>
      </c>
      <c r="J172" s="41">
        <v>6</v>
      </c>
      <c r="K172" s="42">
        <v>1003273</v>
      </c>
      <c r="L172" s="41">
        <v>13</v>
      </c>
      <c r="M172" s="42">
        <v>905170</v>
      </c>
      <c r="N172" s="41">
        <v>99</v>
      </c>
      <c r="O172" s="49"/>
      <c r="P172" s="50"/>
      <c r="Q172" s="21">
        <v>94980</v>
      </c>
      <c r="R172" s="20">
        <v>2</v>
      </c>
      <c r="S172" s="28">
        <v>0</v>
      </c>
      <c r="T172" s="27">
        <v>0</v>
      </c>
      <c r="U172" s="28"/>
      <c r="V172" s="27"/>
      <c r="W172" s="28"/>
      <c r="X172" s="27"/>
      <c r="Y172" s="28"/>
      <c r="Z172" s="27"/>
      <c r="AA172" s="22">
        <f t="shared" si="20"/>
        <v>3544103</v>
      </c>
      <c r="AB172" s="78">
        <f t="shared" ref="AB172" si="26">SUM(AA172:AA178)</f>
        <v>30671278</v>
      </c>
      <c r="AC172" s="79">
        <v>22419430</v>
      </c>
    </row>
    <row r="173" spans="2:29">
      <c r="B173" s="76"/>
      <c r="C173" s="23" t="s">
        <v>21</v>
      </c>
      <c r="D173" s="19">
        <v>45460</v>
      </c>
      <c r="E173" s="8">
        <v>50980</v>
      </c>
      <c r="F173" s="20">
        <v>2</v>
      </c>
      <c r="G173" s="21">
        <v>207940</v>
      </c>
      <c r="H173" s="20">
        <v>5</v>
      </c>
      <c r="I173" s="21">
        <v>472960</v>
      </c>
      <c r="J173" s="20">
        <v>1</v>
      </c>
      <c r="K173" s="21">
        <v>362900</v>
      </c>
      <c r="L173" s="20">
        <v>6</v>
      </c>
      <c r="M173" s="21">
        <v>293080</v>
      </c>
      <c r="N173" s="20">
        <v>35</v>
      </c>
      <c r="O173" s="28"/>
      <c r="P173" s="27"/>
      <c r="Q173" s="21">
        <v>0</v>
      </c>
      <c r="R173" s="20">
        <v>0</v>
      </c>
      <c r="S173" s="21">
        <v>0</v>
      </c>
      <c r="T173" s="20">
        <v>0</v>
      </c>
      <c r="U173" s="28"/>
      <c r="V173" s="27"/>
      <c r="W173" s="28"/>
      <c r="X173" s="27"/>
      <c r="Y173" s="28"/>
      <c r="Z173" s="27"/>
      <c r="AA173" s="22">
        <f t="shared" si="20"/>
        <v>1387860</v>
      </c>
      <c r="AB173" s="78"/>
      <c r="AC173" s="79"/>
    </row>
    <row r="174" spans="2:29" ht="16.05" customHeight="1">
      <c r="B174" s="76"/>
      <c r="C174" s="23" t="s">
        <v>22</v>
      </c>
      <c r="D174" s="19">
        <v>45461</v>
      </c>
      <c r="E174" s="8">
        <v>568920</v>
      </c>
      <c r="F174" s="20">
        <v>7</v>
      </c>
      <c r="G174" s="21">
        <v>222960</v>
      </c>
      <c r="H174" s="20">
        <v>3</v>
      </c>
      <c r="I174" s="21">
        <v>89990</v>
      </c>
      <c r="J174" s="20">
        <v>1</v>
      </c>
      <c r="K174" s="21">
        <v>1370760</v>
      </c>
      <c r="L174" s="20">
        <v>15</v>
      </c>
      <c r="M174" s="21">
        <v>180080</v>
      </c>
      <c r="N174" s="20">
        <v>37</v>
      </c>
      <c r="O174" s="28"/>
      <c r="P174" s="27"/>
      <c r="Q174" s="21">
        <v>0</v>
      </c>
      <c r="R174" s="20">
        <v>0</v>
      </c>
      <c r="S174" s="21">
        <v>13990</v>
      </c>
      <c r="T174" s="20">
        <v>1</v>
      </c>
      <c r="U174" s="28"/>
      <c r="V174" s="27"/>
      <c r="W174" s="28"/>
      <c r="X174" s="27"/>
      <c r="Y174" s="28"/>
      <c r="Z174" s="27"/>
      <c r="AA174" s="22">
        <f t="shared" si="20"/>
        <v>2446700</v>
      </c>
      <c r="AB174" s="78"/>
      <c r="AC174" s="79"/>
    </row>
    <row r="175" spans="2:29">
      <c r="B175" s="76"/>
      <c r="C175" s="23" t="s">
        <v>23</v>
      </c>
      <c r="D175" s="19">
        <v>45462</v>
      </c>
      <c r="E175" s="8">
        <v>603890</v>
      </c>
      <c r="F175" s="20">
        <v>10</v>
      </c>
      <c r="G175" s="21">
        <v>699890</v>
      </c>
      <c r="H175" s="20">
        <v>7</v>
      </c>
      <c r="I175" s="21">
        <v>211950</v>
      </c>
      <c r="J175" s="20">
        <v>3</v>
      </c>
      <c r="K175" s="21">
        <v>1300760</v>
      </c>
      <c r="L175" s="20">
        <v>13</v>
      </c>
      <c r="M175" s="21">
        <v>349750</v>
      </c>
      <c r="N175" s="20">
        <v>43</v>
      </c>
      <c r="O175" s="28"/>
      <c r="P175" s="27"/>
      <c r="Q175" s="21">
        <v>464970</v>
      </c>
      <c r="R175" s="20">
        <v>3</v>
      </c>
      <c r="S175" s="21">
        <v>59990</v>
      </c>
      <c r="T175" s="20">
        <v>1</v>
      </c>
      <c r="U175" s="28"/>
      <c r="V175" s="27"/>
      <c r="W175" s="28"/>
      <c r="X175" s="27"/>
      <c r="Y175" s="28"/>
      <c r="Z175" s="27"/>
      <c r="AA175" s="22">
        <f t="shared" si="20"/>
        <v>3691200</v>
      </c>
      <c r="AB175" s="78"/>
      <c r="AC175" s="79"/>
    </row>
    <row r="176" spans="2:29">
      <c r="B176" s="76"/>
      <c r="C176" s="24" t="s">
        <v>24</v>
      </c>
      <c r="D176" s="25">
        <v>45463</v>
      </c>
      <c r="E176" s="8">
        <v>1943770</v>
      </c>
      <c r="F176" s="20">
        <v>12</v>
      </c>
      <c r="G176" s="21">
        <v>1324860</v>
      </c>
      <c r="H176" s="20">
        <v>9</v>
      </c>
      <c r="I176" s="21">
        <v>474880</v>
      </c>
      <c r="J176" s="20">
        <v>11</v>
      </c>
      <c r="K176" s="21">
        <v>1714062</v>
      </c>
      <c r="L176" s="20">
        <v>20</v>
      </c>
      <c r="M176" s="21">
        <v>894920</v>
      </c>
      <c r="N176" s="20">
        <v>111</v>
      </c>
      <c r="O176" s="28"/>
      <c r="P176" s="27"/>
      <c r="Q176" s="21">
        <v>201960</v>
      </c>
      <c r="R176" s="67"/>
      <c r="S176" s="26">
        <v>0</v>
      </c>
      <c r="T176" s="27">
        <v>0</v>
      </c>
      <c r="U176" s="68"/>
      <c r="V176" s="27"/>
      <c r="W176" s="26"/>
      <c r="X176" s="27"/>
      <c r="Y176" s="28"/>
      <c r="Z176" s="27"/>
      <c r="AA176" s="22">
        <f t="shared" si="20"/>
        <v>6554452</v>
      </c>
      <c r="AB176" s="78"/>
      <c r="AC176" s="79"/>
    </row>
    <row r="177" spans="2:29">
      <c r="B177" s="76"/>
      <c r="C177" s="23" t="s">
        <v>25</v>
      </c>
      <c r="D177" s="19">
        <v>45464</v>
      </c>
      <c r="E177" s="8">
        <v>891850</v>
      </c>
      <c r="F177" s="31">
        <v>12</v>
      </c>
      <c r="G177" s="21">
        <v>881820</v>
      </c>
      <c r="H177" s="31">
        <v>12</v>
      </c>
      <c r="I177" s="21">
        <v>1453760</v>
      </c>
      <c r="J177" s="31">
        <v>16</v>
      </c>
      <c r="K177" s="21">
        <v>666983</v>
      </c>
      <c r="L177" s="31">
        <v>11</v>
      </c>
      <c r="M177" s="21">
        <v>762750</v>
      </c>
      <c r="N177" s="31">
        <v>104</v>
      </c>
      <c r="O177" s="28"/>
      <c r="P177" s="32"/>
      <c r="Q177" s="21">
        <v>680920</v>
      </c>
      <c r="R177" s="31">
        <v>4</v>
      </c>
      <c r="S177" s="21">
        <v>99990</v>
      </c>
      <c r="T177" s="31">
        <v>1</v>
      </c>
      <c r="U177" s="28"/>
      <c r="V177" s="32"/>
      <c r="W177" s="28"/>
      <c r="X177" s="32"/>
      <c r="Y177" s="28"/>
      <c r="Z177" s="32"/>
      <c r="AA177" s="22">
        <f t="shared" si="20"/>
        <v>5438073</v>
      </c>
      <c r="AB177" s="78"/>
      <c r="AC177" s="79"/>
    </row>
    <row r="178" spans="2:29">
      <c r="B178" s="77"/>
      <c r="C178" s="33" t="s">
        <v>26</v>
      </c>
      <c r="D178" s="34">
        <v>45465</v>
      </c>
      <c r="E178" s="35">
        <v>1720540</v>
      </c>
      <c r="F178" s="36">
        <v>30</v>
      </c>
      <c r="G178" s="37">
        <v>724880</v>
      </c>
      <c r="H178" s="36">
        <v>8</v>
      </c>
      <c r="I178" s="37">
        <v>1358810</v>
      </c>
      <c r="J178" s="36">
        <v>13</v>
      </c>
      <c r="K178" s="37">
        <v>1457830</v>
      </c>
      <c r="L178" s="36">
        <v>9</v>
      </c>
      <c r="M178" s="37">
        <v>1265970</v>
      </c>
      <c r="N178" s="36">
        <v>142</v>
      </c>
      <c r="O178" s="38"/>
      <c r="P178" s="39"/>
      <c r="Q178" s="37">
        <v>1080860</v>
      </c>
      <c r="R178" s="36">
        <v>12</v>
      </c>
      <c r="S178" s="38">
        <v>0</v>
      </c>
      <c r="T178" s="39">
        <v>0</v>
      </c>
      <c r="U178" s="38"/>
      <c r="V178" s="39"/>
      <c r="W178" s="38"/>
      <c r="X178" s="39"/>
      <c r="Y178" s="38"/>
      <c r="Z178" s="39"/>
      <c r="AA178" s="22">
        <f t="shared" si="20"/>
        <v>7608890</v>
      </c>
      <c r="AB178" s="78"/>
      <c r="AC178" s="79"/>
    </row>
    <row r="179" spans="2:29" ht="16.05" customHeight="1">
      <c r="B179" s="75" t="s">
        <v>53</v>
      </c>
      <c r="C179" s="18" t="s">
        <v>20</v>
      </c>
      <c r="D179" s="19">
        <v>45466</v>
      </c>
      <c r="E179" s="40">
        <v>116980</v>
      </c>
      <c r="F179" s="41">
        <v>2</v>
      </c>
      <c r="G179" s="42">
        <v>185960</v>
      </c>
      <c r="H179" s="41">
        <v>3</v>
      </c>
      <c r="I179" s="42">
        <v>511950</v>
      </c>
      <c r="J179" s="41">
        <v>4</v>
      </c>
      <c r="K179" s="42">
        <v>561880</v>
      </c>
      <c r="L179" s="41">
        <v>8</v>
      </c>
      <c r="M179" s="42">
        <v>178990</v>
      </c>
      <c r="N179" s="41">
        <v>28</v>
      </c>
      <c r="O179" s="49"/>
      <c r="P179" s="50"/>
      <c r="Q179" s="21">
        <v>234970</v>
      </c>
      <c r="R179" s="20">
        <v>4</v>
      </c>
      <c r="S179" s="21">
        <v>519890</v>
      </c>
      <c r="T179" s="20">
        <v>3</v>
      </c>
      <c r="U179" s="28"/>
      <c r="V179" s="27"/>
      <c r="W179" s="28"/>
      <c r="X179" s="27"/>
      <c r="Y179" s="28"/>
      <c r="Z179" s="27"/>
      <c r="AA179" s="22">
        <f t="shared" si="20"/>
        <v>2310620</v>
      </c>
      <c r="AB179" s="78">
        <f t="shared" ref="AB179" si="27">SUM(AA179:AA185)</f>
        <v>27602699</v>
      </c>
      <c r="AC179" s="79">
        <v>22945160</v>
      </c>
    </row>
    <row r="180" spans="2:29">
      <c r="B180" s="76"/>
      <c r="C180" s="23" t="s">
        <v>21</v>
      </c>
      <c r="D180" s="19">
        <v>45467</v>
      </c>
      <c r="E180" s="8">
        <v>255900</v>
      </c>
      <c r="F180" s="20">
        <v>4</v>
      </c>
      <c r="G180" s="21">
        <v>264970</v>
      </c>
      <c r="H180" s="20">
        <v>2</v>
      </c>
      <c r="I180" s="21">
        <v>179980</v>
      </c>
      <c r="J180" s="20">
        <v>2</v>
      </c>
      <c r="K180" s="21">
        <v>374890</v>
      </c>
      <c r="L180" s="20">
        <v>7</v>
      </c>
      <c r="M180" s="21">
        <v>295370</v>
      </c>
      <c r="N180" s="20">
        <v>29</v>
      </c>
      <c r="O180" s="28"/>
      <c r="P180" s="27"/>
      <c r="Q180" s="21">
        <v>0</v>
      </c>
      <c r="R180" s="20">
        <v>0</v>
      </c>
      <c r="S180" s="21">
        <v>235930</v>
      </c>
      <c r="T180" s="20">
        <v>4</v>
      </c>
      <c r="U180" s="28"/>
      <c r="V180" s="27"/>
      <c r="W180" s="28"/>
      <c r="X180" s="27"/>
      <c r="Y180" s="28"/>
      <c r="Z180" s="27"/>
      <c r="AA180" s="22">
        <f t="shared" si="20"/>
        <v>1607040</v>
      </c>
      <c r="AB180" s="78"/>
      <c r="AC180" s="79"/>
    </row>
    <row r="181" spans="2:29" ht="16.05" customHeight="1">
      <c r="B181" s="76"/>
      <c r="C181" s="23" t="s">
        <v>22</v>
      </c>
      <c r="D181" s="19">
        <v>45468</v>
      </c>
      <c r="E181" s="8">
        <v>110960</v>
      </c>
      <c r="F181" s="20">
        <v>2</v>
      </c>
      <c r="G181" s="21">
        <v>130453</v>
      </c>
      <c r="H181" s="20">
        <v>4</v>
      </c>
      <c r="I181" s="21">
        <v>197873</v>
      </c>
      <c r="J181" s="20">
        <v>3</v>
      </c>
      <c r="K181" s="21">
        <v>631880</v>
      </c>
      <c r="L181" s="20">
        <v>7</v>
      </c>
      <c r="M181" s="21">
        <v>169380</v>
      </c>
      <c r="N181" s="20">
        <v>33</v>
      </c>
      <c r="O181" s="28"/>
      <c r="P181" s="27"/>
      <c r="Q181" s="21">
        <v>465940</v>
      </c>
      <c r="R181" s="20">
        <v>4</v>
      </c>
      <c r="S181" s="21">
        <v>108970</v>
      </c>
      <c r="T181" s="20">
        <v>2</v>
      </c>
      <c r="U181" s="28"/>
      <c r="V181" s="27"/>
      <c r="W181" s="28"/>
      <c r="X181" s="27"/>
      <c r="Y181" s="28"/>
      <c r="Z181" s="27"/>
      <c r="AA181" s="22">
        <f t="shared" si="20"/>
        <v>1815456</v>
      </c>
      <c r="AB181" s="78"/>
      <c r="AC181" s="79"/>
    </row>
    <row r="182" spans="2:29">
      <c r="B182" s="76"/>
      <c r="C182" s="23" t="s">
        <v>23</v>
      </c>
      <c r="D182" s="19">
        <v>45469</v>
      </c>
      <c r="E182" s="8">
        <v>1914610</v>
      </c>
      <c r="F182" s="20">
        <v>15</v>
      </c>
      <c r="G182" s="21">
        <v>555900</v>
      </c>
      <c r="H182" s="20">
        <v>9</v>
      </c>
      <c r="I182" s="21">
        <v>141970</v>
      </c>
      <c r="J182" s="20">
        <v>3</v>
      </c>
      <c r="K182" s="21">
        <v>490903</v>
      </c>
      <c r="L182" s="20">
        <v>6</v>
      </c>
      <c r="M182" s="21">
        <v>328400</v>
      </c>
      <c r="N182" s="20">
        <v>43</v>
      </c>
      <c r="O182" s="28"/>
      <c r="P182" s="27"/>
      <c r="Q182" s="21">
        <v>530940</v>
      </c>
      <c r="R182" s="20">
        <v>5</v>
      </c>
      <c r="S182" s="21">
        <v>0</v>
      </c>
      <c r="T182" s="20">
        <v>0</v>
      </c>
      <c r="U182" s="28"/>
      <c r="V182" s="27"/>
      <c r="W182" s="28"/>
      <c r="X182" s="27"/>
      <c r="Y182" s="28"/>
      <c r="Z182" s="27"/>
      <c r="AA182" s="22">
        <f t="shared" si="20"/>
        <v>3962723</v>
      </c>
      <c r="AB182" s="78"/>
      <c r="AC182" s="79"/>
    </row>
    <row r="183" spans="2:29">
      <c r="B183" s="76"/>
      <c r="C183" s="23" t="s">
        <v>24</v>
      </c>
      <c r="D183" s="19">
        <v>45470</v>
      </c>
      <c r="E183" s="8">
        <v>450930</v>
      </c>
      <c r="F183" s="20">
        <v>5</v>
      </c>
      <c r="G183" s="21">
        <v>521930</v>
      </c>
      <c r="H183" s="20">
        <v>5</v>
      </c>
      <c r="I183" s="21">
        <v>499950</v>
      </c>
      <c r="J183" s="20">
        <v>3</v>
      </c>
      <c r="K183" s="21">
        <v>1692790</v>
      </c>
      <c r="L183" s="20">
        <v>16</v>
      </c>
      <c r="M183" s="21">
        <v>597720</v>
      </c>
      <c r="N183" s="20">
        <v>54</v>
      </c>
      <c r="O183" s="28"/>
      <c r="P183" s="27"/>
      <c r="Q183" s="21">
        <v>229970</v>
      </c>
      <c r="R183" s="20">
        <v>3</v>
      </c>
      <c r="S183" s="21">
        <v>429970</v>
      </c>
      <c r="T183" s="20">
        <v>3</v>
      </c>
      <c r="U183" s="28"/>
      <c r="V183" s="27"/>
      <c r="W183" s="28"/>
      <c r="X183" s="27"/>
      <c r="Y183" s="28"/>
      <c r="Z183" s="27"/>
      <c r="AA183" s="22">
        <f t="shared" si="20"/>
        <v>4423260</v>
      </c>
      <c r="AB183" s="78"/>
      <c r="AC183" s="79"/>
    </row>
    <row r="184" spans="2:29">
      <c r="B184" s="76"/>
      <c r="C184" s="23" t="s">
        <v>25</v>
      </c>
      <c r="D184" s="19">
        <v>45471</v>
      </c>
      <c r="E184" s="8">
        <v>1923790</v>
      </c>
      <c r="F184" s="31">
        <v>12</v>
      </c>
      <c r="G184" s="21">
        <v>990850</v>
      </c>
      <c r="H184" s="31">
        <v>8</v>
      </c>
      <c r="I184" s="21">
        <v>1190840</v>
      </c>
      <c r="J184" s="31">
        <v>13</v>
      </c>
      <c r="K184" s="21">
        <v>1394690</v>
      </c>
      <c r="L184" s="31">
        <v>17</v>
      </c>
      <c r="M184" s="21">
        <v>697180</v>
      </c>
      <c r="N184" s="31">
        <v>84</v>
      </c>
      <c r="O184" s="28"/>
      <c r="P184" s="32"/>
      <c r="Q184" s="21">
        <v>862870</v>
      </c>
      <c r="R184" s="31">
        <v>8</v>
      </c>
      <c r="S184" s="21">
        <v>0</v>
      </c>
      <c r="T184" s="31">
        <v>0</v>
      </c>
      <c r="U184" s="28"/>
      <c r="V184" s="32"/>
      <c r="W184" s="28"/>
      <c r="X184" s="32"/>
      <c r="Y184" s="28"/>
      <c r="Z184" s="32"/>
      <c r="AA184" s="22">
        <f t="shared" si="20"/>
        <v>7060220</v>
      </c>
      <c r="AB184" s="78"/>
      <c r="AC184" s="79"/>
    </row>
    <row r="185" spans="2:29">
      <c r="B185" s="77"/>
      <c r="C185" s="33" t="s">
        <v>26</v>
      </c>
      <c r="D185" s="34">
        <v>45472</v>
      </c>
      <c r="E185" s="35">
        <v>1020740</v>
      </c>
      <c r="F185" s="36">
        <v>16</v>
      </c>
      <c r="G185" s="37">
        <v>1314870</v>
      </c>
      <c r="H185" s="36">
        <v>10</v>
      </c>
      <c r="I185" s="37">
        <v>1289700</v>
      </c>
      <c r="J185" s="36">
        <v>22</v>
      </c>
      <c r="K185" s="37">
        <v>1398710</v>
      </c>
      <c r="L185" s="36">
        <v>12</v>
      </c>
      <c r="M185" s="37">
        <v>1299370</v>
      </c>
      <c r="N185" s="36">
        <v>154</v>
      </c>
      <c r="O185" s="38"/>
      <c r="P185" s="39"/>
      <c r="Q185" s="37">
        <v>99990</v>
      </c>
      <c r="R185" s="36">
        <v>1</v>
      </c>
      <c r="S185" s="38">
        <v>0</v>
      </c>
      <c r="T185" s="39">
        <v>0</v>
      </c>
      <c r="U185" s="38"/>
      <c r="V185" s="39"/>
      <c r="W185" s="38"/>
      <c r="X185" s="39"/>
      <c r="Y185" s="38"/>
      <c r="Z185" s="39"/>
      <c r="AA185" s="22">
        <f t="shared" si="20"/>
        <v>6423380</v>
      </c>
      <c r="AB185" s="78"/>
      <c r="AC185" s="79"/>
    </row>
    <row r="186" spans="2:29" ht="16.05" customHeight="1">
      <c r="B186" s="75" t="s">
        <v>54</v>
      </c>
      <c r="C186" s="18" t="s">
        <v>20</v>
      </c>
      <c r="D186" s="19">
        <v>45473</v>
      </c>
      <c r="E186" s="40">
        <v>313970</v>
      </c>
      <c r="F186" s="41">
        <v>4</v>
      </c>
      <c r="G186" s="42">
        <v>229960</v>
      </c>
      <c r="H186" s="41">
        <v>3</v>
      </c>
      <c r="I186" s="42">
        <v>164970</v>
      </c>
      <c r="J186" s="41">
        <v>2</v>
      </c>
      <c r="K186" s="42">
        <v>658860</v>
      </c>
      <c r="L186" s="41">
        <v>13</v>
      </c>
      <c r="M186" s="42">
        <v>500860</v>
      </c>
      <c r="N186" s="41">
        <v>60</v>
      </c>
      <c r="O186" s="49"/>
      <c r="P186" s="50"/>
      <c r="Q186" s="21">
        <v>166970</v>
      </c>
      <c r="R186" s="20">
        <v>2</v>
      </c>
      <c r="S186" s="21">
        <v>89990</v>
      </c>
      <c r="T186" s="20">
        <v>1</v>
      </c>
      <c r="U186" s="28"/>
      <c r="V186" s="27"/>
      <c r="W186" s="28"/>
      <c r="X186" s="27"/>
      <c r="Y186" s="28"/>
      <c r="Z186" s="27"/>
      <c r="AA186" s="22">
        <f t="shared" si="20"/>
        <v>2125580</v>
      </c>
      <c r="AB186" s="78">
        <f t="shared" ref="AB186" si="28">SUM(AA186:AA192)</f>
        <v>23901656</v>
      </c>
      <c r="AC186" s="79">
        <v>25066690</v>
      </c>
    </row>
    <row r="187" spans="2:29">
      <c r="B187" s="76"/>
      <c r="C187" s="23" t="s">
        <v>21</v>
      </c>
      <c r="D187" s="19">
        <v>45474</v>
      </c>
      <c r="E187" s="8">
        <v>443920</v>
      </c>
      <c r="F187" s="20">
        <v>4</v>
      </c>
      <c r="G187" s="21">
        <v>756800</v>
      </c>
      <c r="H187" s="20">
        <v>5</v>
      </c>
      <c r="I187" s="21">
        <v>227980</v>
      </c>
      <c r="J187" s="20">
        <v>2</v>
      </c>
      <c r="K187" s="21">
        <v>1375670</v>
      </c>
      <c r="L187" s="20">
        <v>12</v>
      </c>
      <c r="M187" s="21">
        <v>385120</v>
      </c>
      <c r="N187" s="20">
        <v>45</v>
      </c>
      <c r="O187" s="28"/>
      <c r="P187" s="27"/>
      <c r="Q187" s="21">
        <v>184980</v>
      </c>
      <c r="R187" s="20">
        <v>2</v>
      </c>
      <c r="S187" s="21">
        <v>366910</v>
      </c>
      <c r="T187" s="20">
        <v>6</v>
      </c>
      <c r="U187" s="28"/>
      <c r="V187" s="27"/>
      <c r="W187" s="28"/>
      <c r="X187" s="27"/>
      <c r="Y187" s="28"/>
      <c r="Z187" s="27"/>
      <c r="AA187" s="22">
        <f t="shared" si="20"/>
        <v>3741380</v>
      </c>
      <c r="AB187" s="78"/>
      <c r="AC187" s="79"/>
    </row>
    <row r="188" spans="2:29" ht="16.05" customHeight="1">
      <c r="B188" s="76"/>
      <c r="C188" s="23" t="s">
        <v>22</v>
      </c>
      <c r="D188" s="19">
        <v>45475</v>
      </c>
      <c r="E188" s="8">
        <v>758900</v>
      </c>
      <c r="F188" s="20">
        <v>7</v>
      </c>
      <c r="G188" s="21">
        <v>9990</v>
      </c>
      <c r="H188" s="20">
        <v>1</v>
      </c>
      <c r="I188" s="21">
        <v>287950</v>
      </c>
      <c r="J188" s="20">
        <v>4</v>
      </c>
      <c r="K188" s="21">
        <v>860143</v>
      </c>
      <c r="L188" s="20">
        <v>12</v>
      </c>
      <c r="M188" s="21">
        <v>402180</v>
      </c>
      <c r="N188" s="20">
        <v>37</v>
      </c>
      <c r="O188" s="28"/>
      <c r="P188" s="27"/>
      <c r="Q188" s="21">
        <v>228950</v>
      </c>
      <c r="R188" s="20">
        <v>3</v>
      </c>
      <c r="S188" s="21">
        <v>82980</v>
      </c>
      <c r="T188" s="20">
        <v>1</v>
      </c>
      <c r="U188" s="28"/>
      <c r="V188" s="27"/>
      <c r="W188" s="28"/>
      <c r="X188" s="27"/>
      <c r="Y188" s="28"/>
      <c r="Z188" s="27"/>
      <c r="AA188" s="22">
        <f t="shared" si="20"/>
        <v>2631093</v>
      </c>
      <c r="AB188" s="78"/>
      <c r="AC188" s="79"/>
    </row>
    <row r="189" spans="2:29">
      <c r="B189" s="76"/>
      <c r="C189" s="23" t="s">
        <v>23</v>
      </c>
      <c r="D189" s="19">
        <v>45476</v>
      </c>
      <c r="E189" s="8">
        <v>153950</v>
      </c>
      <c r="F189" s="20">
        <v>3</v>
      </c>
      <c r="G189" s="21">
        <v>146960</v>
      </c>
      <c r="H189" s="20">
        <v>4</v>
      </c>
      <c r="I189" s="21">
        <v>73970</v>
      </c>
      <c r="J189" s="20">
        <v>2</v>
      </c>
      <c r="K189" s="21">
        <v>522870</v>
      </c>
      <c r="L189" s="20">
        <v>8</v>
      </c>
      <c r="M189" s="21">
        <v>290600</v>
      </c>
      <c r="N189" s="20">
        <v>36</v>
      </c>
      <c r="O189" s="28"/>
      <c r="P189" s="27"/>
      <c r="Q189" s="21">
        <v>0</v>
      </c>
      <c r="R189" s="20">
        <v>0</v>
      </c>
      <c r="S189" s="21">
        <v>105960</v>
      </c>
      <c r="T189" s="20">
        <v>2</v>
      </c>
      <c r="U189" s="28"/>
      <c r="V189" s="27"/>
      <c r="W189" s="28"/>
      <c r="X189" s="27"/>
      <c r="Y189" s="28"/>
      <c r="Z189" s="27"/>
      <c r="AA189" s="22">
        <f t="shared" si="20"/>
        <v>1294310</v>
      </c>
      <c r="AB189" s="78"/>
      <c r="AC189" s="79"/>
    </row>
    <row r="190" spans="2:29">
      <c r="B190" s="76"/>
      <c r="C190" s="23" t="s">
        <v>24</v>
      </c>
      <c r="D190" s="19">
        <v>45477</v>
      </c>
      <c r="E190" s="8">
        <v>1012880</v>
      </c>
      <c r="F190" s="20">
        <v>6</v>
      </c>
      <c r="G190" s="21">
        <v>220940</v>
      </c>
      <c r="H190" s="20">
        <v>6</v>
      </c>
      <c r="I190" s="21">
        <v>0</v>
      </c>
      <c r="J190" s="20">
        <v>0</v>
      </c>
      <c r="K190" s="21">
        <v>726460</v>
      </c>
      <c r="L190" s="20">
        <v>13</v>
      </c>
      <c r="M190" s="21">
        <v>423020</v>
      </c>
      <c r="N190" s="20">
        <v>46</v>
      </c>
      <c r="O190" s="28"/>
      <c r="P190" s="27"/>
      <c r="Q190" s="21">
        <v>172970</v>
      </c>
      <c r="R190" s="20">
        <v>3</v>
      </c>
      <c r="S190" s="21">
        <v>38970</v>
      </c>
      <c r="T190" s="20">
        <v>1</v>
      </c>
      <c r="U190" s="28"/>
      <c r="V190" s="27"/>
      <c r="W190" s="28"/>
      <c r="X190" s="27"/>
      <c r="Y190" s="28"/>
      <c r="Z190" s="27"/>
      <c r="AA190" s="22">
        <f t="shared" si="20"/>
        <v>2595240</v>
      </c>
      <c r="AB190" s="78"/>
      <c r="AC190" s="79"/>
    </row>
    <row r="191" spans="2:29">
      <c r="B191" s="76"/>
      <c r="C191" s="23" t="s">
        <v>25</v>
      </c>
      <c r="D191" s="19">
        <v>45478</v>
      </c>
      <c r="E191" s="8">
        <v>660820</v>
      </c>
      <c r="F191" s="31">
        <v>10</v>
      </c>
      <c r="G191" s="21">
        <v>430890</v>
      </c>
      <c r="H191" s="31">
        <v>6</v>
      </c>
      <c r="I191" s="21">
        <v>438840</v>
      </c>
      <c r="J191" s="31">
        <v>9</v>
      </c>
      <c r="K191" s="21">
        <v>746583</v>
      </c>
      <c r="L191" s="31">
        <v>12</v>
      </c>
      <c r="M191" s="21">
        <v>1053820</v>
      </c>
      <c r="N191" s="31">
        <v>79</v>
      </c>
      <c r="O191" s="28"/>
      <c r="P191" s="32"/>
      <c r="Q191" s="21">
        <v>341960</v>
      </c>
      <c r="R191" s="31">
        <v>3</v>
      </c>
      <c r="S191" s="21">
        <v>0</v>
      </c>
      <c r="T191" s="31">
        <v>0</v>
      </c>
      <c r="U191" s="28"/>
      <c r="V191" s="32"/>
      <c r="W191" s="28"/>
      <c r="X191" s="32"/>
      <c r="Y191" s="28"/>
      <c r="Z191" s="32"/>
      <c r="AA191" s="22">
        <f t="shared" si="20"/>
        <v>3672913</v>
      </c>
      <c r="AB191" s="78"/>
      <c r="AC191" s="79"/>
    </row>
    <row r="192" spans="2:29">
      <c r="B192" s="77"/>
      <c r="C192" s="33" t="s">
        <v>26</v>
      </c>
      <c r="D192" s="34">
        <v>45479</v>
      </c>
      <c r="E192" s="35">
        <v>1658640</v>
      </c>
      <c r="F192" s="36">
        <v>19</v>
      </c>
      <c r="G192" s="37">
        <v>692880</v>
      </c>
      <c r="H192" s="36">
        <v>11</v>
      </c>
      <c r="I192" s="37">
        <v>1644830</v>
      </c>
      <c r="J192" s="36">
        <v>14</v>
      </c>
      <c r="K192" s="37">
        <v>1544780</v>
      </c>
      <c r="L192" s="36">
        <v>12</v>
      </c>
      <c r="M192" s="37">
        <v>1122130</v>
      </c>
      <c r="N192" s="36">
        <v>146</v>
      </c>
      <c r="O192" s="38"/>
      <c r="P192" s="39"/>
      <c r="Q192" s="37">
        <v>1177880</v>
      </c>
      <c r="R192" s="36">
        <v>9</v>
      </c>
      <c r="S192" s="38">
        <v>0</v>
      </c>
      <c r="T192" s="39">
        <v>0</v>
      </c>
      <c r="U192" s="38"/>
      <c r="V192" s="39"/>
      <c r="W192" s="38"/>
      <c r="X192" s="39"/>
      <c r="Y192" s="38"/>
      <c r="Z192" s="39"/>
      <c r="AA192" s="22">
        <f t="shared" si="20"/>
        <v>7841140</v>
      </c>
      <c r="AB192" s="78"/>
      <c r="AC192" s="79"/>
    </row>
    <row r="193" spans="2:29" ht="16.05" customHeight="1">
      <c r="B193" s="75" t="s">
        <v>55</v>
      </c>
      <c r="C193" s="18" t="s">
        <v>20</v>
      </c>
      <c r="D193" s="19">
        <v>45480</v>
      </c>
      <c r="E193" s="40">
        <v>410940</v>
      </c>
      <c r="F193" s="41">
        <v>4</v>
      </c>
      <c r="G193" s="42">
        <v>582910</v>
      </c>
      <c r="H193" s="41">
        <v>7</v>
      </c>
      <c r="I193" s="42">
        <v>0</v>
      </c>
      <c r="J193" s="41">
        <v>0</v>
      </c>
      <c r="K193" s="42">
        <v>1415840</v>
      </c>
      <c r="L193" s="41">
        <v>10</v>
      </c>
      <c r="M193" s="42">
        <v>361850</v>
      </c>
      <c r="N193" s="41">
        <v>32</v>
      </c>
      <c r="O193" s="49"/>
      <c r="P193" s="50"/>
      <c r="Q193" s="21">
        <v>64990</v>
      </c>
      <c r="R193" s="20">
        <v>1</v>
      </c>
      <c r="S193" s="21">
        <v>178940</v>
      </c>
      <c r="T193" s="20">
        <v>3</v>
      </c>
      <c r="U193" s="28"/>
      <c r="V193" s="27"/>
      <c r="W193" s="28"/>
      <c r="X193" s="27"/>
      <c r="Y193" s="28"/>
      <c r="Z193" s="27"/>
      <c r="AA193" s="22">
        <f t="shared" si="20"/>
        <v>3015470</v>
      </c>
      <c r="AB193" s="78">
        <f t="shared" ref="AB193" si="29">SUM(AA193:AA199)</f>
        <v>30924342</v>
      </c>
      <c r="AC193" s="79">
        <v>26416450</v>
      </c>
    </row>
    <row r="194" spans="2:29">
      <c r="B194" s="76"/>
      <c r="C194" s="23" t="s">
        <v>21</v>
      </c>
      <c r="D194" s="19">
        <v>45481</v>
      </c>
      <c r="E194" s="8">
        <v>580890</v>
      </c>
      <c r="F194" s="20">
        <v>8</v>
      </c>
      <c r="G194" s="21">
        <v>526920</v>
      </c>
      <c r="H194" s="20">
        <v>5</v>
      </c>
      <c r="I194" s="21">
        <v>284950</v>
      </c>
      <c r="J194" s="20">
        <v>4</v>
      </c>
      <c r="K194" s="21">
        <v>1044800</v>
      </c>
      <c r="L194" s="20">
        <v>13</v>
      </c>
      <c r="M194" s="21">
        <v>451910</v>
      </c>
      <c r="N194" s="20">
        <v>52</v>
      </c>
      <c r="O194" s="28"/>
      <c r="P194" s="27"/>
      <c r="Q194" s="21">
        <v>299960</v>
      </c>
      <c r="R194" s="20">
        <v>3</v>
      </c>
      <c r="S194" s="21">
        <v>124970</v>
      </c>
      <c r="T194" s="20">
        <v>2</v>
      </c>
      <c r="U194" s="28"/>
      <c r="V194" s="27"/>
      <c r="W194" s="28"/>
      <c r="X194" s="27"/>
      <c r="Y194" s="28"/>
      <c r="Z194" s="27"/>
      <c r="AA194" s="22">
        <f t="shared" si="20"/>
        <v>3314400</v>
      </c>
      <c r="AB194" s="78"/>
      <c r="AC194" s="79"/>
    </row>
    <row r="195" spans="2:29" ht="16.05" customHeight="1">
      <c r="B195" s="76"/>
      <c r="C195" s="24" t="s">
        <v>22</v>
      </c>
      <c r="D195" s="25">
        <v>45482</v>
      </c>
      <c r="E195" s="8">
        <v>1082880</v>
      </c>
      <c r="F195" s="20">
        <v>6</v>
      </c>
      <c r="G195" s="21">
        <v>557900</v>
      </c>
      <c r="H195" s="20">
        <v>9</v>
      </c>
      <c r="I195" s="21">
        <v>279930</v>
      </c>
      <c r="J195" s="20">
        <v>6</v>
      </c>
      <c r="K195" s="21">
        <v>2880571</v>
      </c>
      <c r="L195" s="20">
        <v>20</v>
      </c>
      <c r="M195" s="21">
        <v>1067520</v>
      </c>
      <c r="N195" s="20">
        <v>117</v>
      </c>
      <c r="O195" s="28"/>
      <c r="P195" s="27"/>
      <c r="Q195" s="21">
        <v>404950</v>
      </c>
      <c r="R195" s="20">
        <v>4</v>
      </c>
      <c r="S195" s="26">
        <v>0</v>
      </c>
      <c r="T195" s="27">
        <v>0</v>
      </c>
      <c r="U195" s="28"/>
      <c r="V195" s="27"/>
      <c r="W195" s="26"/>
      <c r="X195" s="27"/>
      <c r="Y195" s="28"/>
      <c r="Z195" s="27"/>
      <c r="AA195" s="22">
        <f t="shared" si="20"/>
        <v>6273751</v>
      </c>
      <c r="AB195" s="78"/>
      <c r="AC195" s="79"/>
    </row>
    <row r="196" spans="2:29">
      <c r="B196" s="76"/>
      <c r="C196" s="23" t="s">
        <v>23</v>
      </c>
      <c r="D196" s="19">
        <v>45483</v>
      </c>
      <c r="E196" s="8">
        <v>567850</v>
      </c>
      <c r="F196" s="20">
        <v>8</v>
      </c>
      <c r="G196" s="21">
        <v>271970</v>
      </c>
      <c r="H196" s="20">
        <v>2</v>
      </c>
      <c r="I196" s="21">
        <v>871873</v>
      </c>
      <c r="J196" s="20">
        <v>9</v>
      </c>
      <c r="K196" s="21">
        <v>827810</v>
      </c>
      <c r="L196" s="20">
        <v>12</v>
      </c>
      <c r="M196" s="21">
        <v>331990</v>
      </c>
      <c r="N196" s="20">
        <v>49</v>
      </c>
      <c r="O196" s="28"/>
      <c r="P196" s="27"/>
      <c r="Q196" s="21">
        <v>264970</v>
      </c>
      <c r="R196" s="20">
        <v>3</v>
      </c>
      <c r="S196" s="21">
        <v>302970</v>
      </c>
      <c r="T196" s="20">
        <v>3</v>
      </c>
      <c r="U196" s="28"/>
      <c r="V196" s="27"/>
      <c r="W196" s="28"/>
      <c r="X196" s="27"/>
      <c r="Y196" s="28"/>
      <c r="Z196" s="27"/>
      <c r="AA196" s="22">
        <f t="shared" si="20"/>
        <v>3439433</v>
      </c>
      <c r="AB196" s="78"/>
      <c r="AC196" s="79"/>
    </row>
    <row r="197" spans="2:29">
      <c r="B197" s="76"/>
      <c r="C197" s="23" t="s">
        <v>24</v>
      </c>
      <c r="D197" s="19">
        <v>45484</v>
      </c>
      <c r="E197" s="8">
        <v>783860</v>
      </c>
      <c r="F197" s="20">
        <v>8</v>
      </c>
      <c r="G197" s="21">
        <v>858880</v>
      </c>
      <c r="H197" s="20">
        <v>5</v>
      </c>
      <c r="I197" s="21">
        <v>128970</v>
      </c>
      <c r="J197" s="20">
        <v>2</v>
      </c>
      <c r="K197" s="21">
        <v>924880</v>
      </c>
      <c r="L197" s="20">
        <v>6</v>
      </c>
      <c r="M197" s="21">
        <v>457400</v>
      </c>
      <c r="N197" s="20">
        <v>64</v>
      </c>
      <c r="O197" s="28"/>
      <c r="P197" s="27"/>
      <c r="Q197" s="21">
        <v>416960</v>
      </c>
      <c r="R197" s="20">
        <v>3</v>
      </c>
      <c r="S197" s="21">
        <v>132970</v>
      </c>
      <c r="T197" s="20">
        <v>3</v>
      </c>
      <c r="U197" s="28"/>
      <c r="V197" s="27"/>
      <c r="W197" s="28"/>
      <c r="X197" s="27"/>
      <c r="Y197" s="28"/>
      <c r="Z197" s="27"/>
      <c r="AA197" s="22">
        <f t="shared" ref="AA197:AA260" si="30">E197+G197+I197+K197+M197+O197+Q197+S197+U197+W197+Y197</f>
        <v>3703920</v>
      </c>
      <c r="AB197" s="78"/>
      <c r="AC197" s="79"/>
    </row>
    <row r="198" spans="2:29">
      <c r="B198" s="76"/>
      <c r="C198" s="23" t="s">
        <v>25</v>
      </c>
      <c r="D198" s="19">
        <v>45485</v>
      </c>
      <c r="E198" s="8">
        <v>630870</v>
      </c>
      <c r="F198" s="31">
        <v>10</v>
      </c>
      <c r="G198" s="21">
        <v>587880</v>
      </c>
      <c r="H198" s="31">
        <v>8</v>
      </c>
      <c r="I198" s="21">
        <v>1142800</v>
      </c>
      <c r="J198" s="31">
        <v>13</v>
      </c>
      <c r="K198" s="21">
        <v>1645740</v>
      </c>
      <c r="L198" s="31">
        <v>13</v>
      </c>
      <c r="M198" s="21">
        <v>1117410</v>
      </c>
      <c r="N198" s="31">
        <v>137</v>
      </c>
      <c r="O198" s="28"/>
      <c r="P198" s="32"/>
      <c r="Q198" s="21">
        <v>265980</v>
      </c>
      <c r="R198" s="31">
        <v>2</v>
      </c>
      <c r="S198" s="28">
        <v>0</v>
      </c>
      <c r="T198" s="32">
        <v>0</v>
      </c>
      <c r="U198" s="28"/>
      <c r="V198" s="32"/>
      <c r="W198" s="28"/>
      <c r="X198" s="32"/>
      <c r="Y198" s="28"/>
      <c r="Z198" s="32"/>
      <c r="AA198" s="22">
        <f t="shared" si="30"/>
        <v>5390680</v>
      </c>
      <c r="AB198" s="78"/>
      <c r="AC198" s="79"/>
    </row>
    <row r="199" spans="2:29">
      <c r="B199" s="77"/>
      <c r="C199" s="33" t="s">
        <v>26</v>
      </c>
      <c r="D199" s="34">
        <v>45486</v>
      </c>
      <c r="E199" s="35">
        <v>1121900</v>
      </c>
      <c r="F199" s="36">
        <v>9</v>
      </c>
      <c r="G199" s="37">
        <v>630930</v>
      </c>
      <c r="H199" s="36">
        <v>7</v>
      </c>
      <c r="I199" s="37">
        <v>625920</v>
      </c>
      <c r="J199" s="36">
        <v>7</v>
      </c>
      <c r="K199" s="37">
        <v>1281770</v>
      </c>
      <c r="L199" s="36">
        <v>12</v>
      </c>
      <c r="M199" s="37">
        <v>1536260</v>
      </c>
      <c r="N199" s="36">
        <v>180</v>
      </c>
      <c r="O199" s="38"/>
      <c r="P199" s="39"/>
      <c r="Q199" s="37">
        <v>589908</v>
      </c>
      <c r="R199" s="36">
        <v>6</v>
      </c>
      <c r="S199" s="38">
        <v>0</v>
      </c>
      <c r="T199" s="39">
        <v>0</v>
      </c>
      <c r="U199" s="38"/>
      <c r="V199" s="39"/>
      <c r="W199" s="38"/>
      <c r="X199" s="39"/>
      <c r="Y199" s="38"/>
      <c r="Z199" s="39"/>
      <c r="AA199" s="22">
        <f t="shared" si="30"/>
        <v>5786688</v>
      </c>
      <c r="AB199" s="78"/>
      <c r="AC199" s="79"/>
    </row>
    <row r="200" spans="2:29" ht="16.05" customHeight="1">
      <c r="B200" s="75" t="s">
        <v>56</v>
      </c>
      <c r="C200" s="18" t="s">
        <v>20</v>
      </c>
      <c r="D200" s="19">
        <v>45487</v>
      </c>
      <c r="E200" s="40">
        <v>586871</v>
      </c>
      <c r="F200" s="41">
        <v>10</v>
      </c>
      <c r="G200" s="42">
        <v>1223846</v>
      </c>
      <c r="H200" s="41">
        <v>13</v>
      </c>
      <c r="I200" s="42">
        <v>678910</v>
      </c>
      <c r="J200" s="41">
        <v>7</v>
      </c>
      <c r="K200" s="42">
        <v>540860</v>
      </c>
      <c r="L200" s="41">
        <v>7</v>
      </c>
      <c r="M200" s="42">
        <v>385000</v>
      </c>
      <c r="N200" s="41">
        <v>46</v>
      </c>
      <c r="O200" s="49"/>
      <c r="P200" s="50"/>
      <c r="Q200" s="21">
        <v>199990</v>
      </c>
      <c r="R200" s="20">
        <v>1</v>
      </c>
      <c r="S200" s="21">
        <v>0</v>
      </c>
      <c r="T200" s="20">
        <v>0</v>
      </c>
      <c r="U200" s="28"/>
      <c r="V200" s="27"/>
      <c r="W200" s="28"/>
      <c r="X200" s="27"/>
      <c r="Y200" s="28"/>
      <c r="Z200" s="27"/>
      <c r="AA200" s="22">
        <f t="shared" si="30"/>
        <v>3615477</v>
      </c>
      <c r="AB200" s="78">
        <f t="shared" ref="AB200" si="31">SUM(AA200:AA206)</f>
        <v>33813095</v>
      </c>
      <c r="AC200" s="79">
        <v>33448440</v>
      </c>
    </row>
    <row r="201" spans="2:29">
      <c r="B201" s="76"/>
      <c r="C201" s="23" t="s">
        <v>21</v>
      </c>
      <c r="D201" s="19">
        <v>45488</v>
      </c>
      <c r="E201" s="8">
        <v>602920</v>
      </c>
      <c r="F201" s="20">
        <v>6</v>
      </c>
      <c r="G201" s="21">
        <v>795900</v>
      </c>
      <c r="H201" s="20">
        <v>4</v>
      </c>
      <c r="I201" s="21">
        <v>211920</v>
      </c>
      <c r="J201" s="20">
        <v>3</v>
      </c>
      <c r="K201" s="21">
        <v>275970</v>
      </c>
      <c r="L201" s="20">
        <v>3</v>
      </c>
      <c r="M201" s="21">
        <v>653720</v>
      </c>
      <c r="N201" s="20">
        <v>56</v>
      </c>
      <c r="O201" s="28"/>
      <c r="P201" s="27"/>
      <c r="Q201" s="21">
        <v>446950</v>
      </c>
      <c r="R201" s="20">
        <v>3</v>
      </c>
      <c r="S201" s="21">
        <v>307960</v>
      </c>
      <c r="T201" s="20">
        <v>3</v>
      </c>
      <c r="U201" s="28"/>
      <c r="V201" s="27"/>
      <c r="W201" s="28"/>
      <c r="X201" s="27"/>
      <c r="Y201" s="28"/>
      <c r="Z201" s="27"/>
      <c r="AA201" s="22">
        <f t="shared" si="30"/>
        <v>3295340</v>
      </c>
      <c r="AB201" s="78"/>
      <c r="AC201" s="79"/>
    </row>
    <row r="202" spans="2:29" ht="16.05" customHeight="1">
      <c r="B202" s="76"/>
      <c r="C202" s="23" t="s">
        <v>22</v>
      </c>
      <c r="D202" s="19">
        <v>45489</v>
      </c>
      <c r="E202" s="8">
        <v>529860</v>
      </c>
      <c r="F202" s="20">
        <v>8</v>
      </c>
      <c r="G202" s="21">
        <v>852860</v>
      </c>
      <c r="H202" s="20">
        <v>10</v>
      </c>
      <c r="I202" s="21">
        <v>69980</v>
      </c>
      <c r="J202" s="20">
        <v>2</v>
      </c>
      <c r="K202" s="21">
        <v>1718800</v>
      </c>
      <c r="L202" s="20">
        <v>7</v>
      </c>
      <c r="M202" s="21">
        <v>429840</v>
      </c>
      <c r="N202" s="20">
        <v>45</v>
      </c>
      <c r="O202" s="28"/>
      <c r="P202" s="27"/>
      <c r="Q202" s="21">
        <v>0</v>
      </c>
      <c r="R202" s="20">
        <v>0</v>
      </c>
      <c r="S202" s="21">
        <v>39980</v>
      </c>
      <c r="T202" s="20">
        <v>1</v>
      </c>
      <c r="U202" s="28"/>
      <c r="V202" s="27"/>
      <c r="W202" s="28"/>
      <c r="X202" s="27"/>
      <c r="Y202" s="28"/>
      <c r="Z202" s="27"/>
      <c r="AA202" s="22">
        <f t="shared" si="30"/>
        <v>3641320</v>
      </c>
      <c r="AB202" s="78"/>
      <c r="AC202" s="79"/>
    </row>
    <row r="203" spans="2:29">
      <c r="B203" s="76"/>
      <c r="C203" s="23" t="s">
        <v>23</v>
      </c>
      <c r="D203" s="19">
        <v>45490</v>
      </c>
      <c r="E203" s="8">
        <v>236950</v>
      </c>
      <c r="F203" s="20">
        <v>4</v>
      </c>
      <c r="G203" s="21">
        <v>540900</v>
      </c>
      <c r="H203" s="20">
        <v>3</v>
      </c>
      <c r="I203" s="21">
        <v>760880</v>
      </c>
      <c r="J203" s="20">
        <v>9</v>
      </c>
      <c r="K203" s="21">
        <v>325930</v>
      </c>
      <c r="L203" s="20">
        <v>4</v>
      </c>
      <c r="M203" s="21">
        <v>694640</v>
      </c>
      <c r="N203" s="20">
        <v>68</v>
      </c>
      <c r="O203" s="28"/>
      <c r="P203" s="27"/>
      <c r="Q203" s="21">
        <v>220980</v>
      </c>
      <c r="R203" s="20">
        <v>3</v>
      </c>
      <c r="S203" s="21">
        <v>121970</v>
      </c>
      <c r="T203" s="20">
        <v>3</v>
      </c>
      <c r="U203" s="28"/>
      <c r="V203" s="27"/>
      <c r="W203" s="28"/>
      <c r="X203" s="27"/>
      <c r="Y203" s="28"/>
      <c r="Z203" s="27"/>
      <c r="AA203" s="22">
        <f t="shared" si="30"/>
        <v>2902250</v>
      </c>
      <c r="AB203" s="78"/>
      <c r="AC203" s="79"/>
    </row>
    <row r="204" spans="2:29">
      <c r="B204" s="76"/>
      <c r="C204" s="23" t="s">
        <v>24</v>
      </c>
      <c r="D204" s="19">
        <v>45491</v>
      </c>
      <c r="E204" s="8">
        <v>357940</v>
      </c>
      <c r="F204" s="20">
        <v>6</v>
      </c>
      <c r="G204" s="21">
        <v>440910</v>
      </c>
      <c r="H204" s="20">
        <v>7</v>
      </c>
      <c r="I204" s="21">
        <v>588908</v>
      </c>
      <c r="J204" s="20">
        <v>7</v>
      </c>
      <c r="K204" s="21">
        <v>2600780</v>
      </c>
      <c r="L204" s="20">
        <v>15</v>
      </c>
      <c r="M204" s="21">
        <v>541100</v>
      </c>
      <c r="N204" s="20">
        <v>70</v>
      </c>
      <c r="O204" s="28"/>
      <c r="P204" s="27"/>
      <c r="Q204" s="21">
        <v>199960</v>
      </c>
      <c r="R204" s="20">
        <v>1</v>
      </c>
      <c r="S204" s="21">
        <v>223920</v>
      </c>
      <c r="T204" s="20">
        <v>3</v>
      </c>
      <c r="U204" s="28"/>
      <c r="V204" s="27"/>
      <c r="W204" s="28"/>
      <c r="X204" s="27"/>
      <c r="Y204" s="28"/>
      <c r="Z204" s="27"/>
      <c r="AA204" s="22">
        <f t="shared" si="30"/>
        <v>4953518</v>
      </c>
      <c r="AB204" s="78"/>
      <c r="AC204" s="79"/>
    </row>
    <row r="205" spans="2:29">
      <c r="B205" s="76"/>
      <c r="C205" s="23" t="s">
        <v>25</v>
      </c>
      <c r="D205" s="19">
        <v>45492</v>
      </c>
      <c r="E205" s="8">
        <v>3091490</v>
      </c>
      <c r="F205" s="31">
        <v>15</v>
      </c>
      <c r="G205" s="21">
        <v>1606690</v>
      </c>
      <c r="H205" s="31">
        <v>17</v>
      </c>
      <c r="I205" s="21">
        <v>693890</v>
      </c>
      <c r="J205" s="31">
        <v>8</v>
      </c>
      <c r="K205" s="21">
        <v>1932780</v>
      </c>
      <c r="L205" s="31">
        <v>12</v>
      </c>
      <c r="M205" s="21">
        <v>1172630</v>
      </c>
      <c r="N205" s="31">
        <v>142</v>
      </c>
      <c r="O205" s="28"/>
      <c r="P205" s="32"/>
      <c r="Q205" s="21">
        <v>834920</v>
      </c>
      <c r="R205" s="31">
        <v>7</v>
      </c>
      <c r="S205" s="28">
        <v>0</v>
      </c>
      <c r="T205" s="32">
        <v>0</v>
      </c>
      <c r="U205" s="28"/>
      <c r="V205" s="32"/>
      <c r="W205" s="28"/>
      <c r="X205" s="32"/>
      <c r="Y205" s="28"/>
      <c r="Z205" s="32"/>
      <c r="AA205" s="22">
        <f t="shared" si="30"/>
        <v>9332400</v>
      </c>
      <c r="AB205" s="78"/>
      <c r="AC205" s="79"/>
    </row>
    <row r="206" spans="2:29">
      <c r="B206" s="77"/>
      <c r="C206" s="33" t="s">
        <v>26</v>
      </c>
      <c r="D206" s="34">
        <v>45493</v>
      </c>
      <c r="E206" s="35">
        <v>1896740</v>
      </c>
      <c r="F206" s="36">
        <v>18</v>
      </c>
      <c r="G206" s="37">
        <v>251920</v>
      </c>
      <c r="H206" s="36">
        <v>5</v>
      </c>
      <c r="I206" s="37">
        <v>1292810</v>
      </c>
      <c r="J206" s="36">
        <v>14</v>
      </c>
      <c r="K206" s="37">
        <v>956840</v>
      </c>
      <c r="L206" s="36">
        <v>7</v>
      </c>
      <c r="M206" s="37">
        <v>1212550</v>
      </c>
      <c r="N206" s="36">
        <v>158</v>
      </c>
      <c r="O206" s="38"/>
      <c r="P206" s="39"/>
      <c r="Q206" s="37">
        <v>461930</v>
      </c>
      <c r="R206" s="36">
        <v>7</v>
      </c>
      <c r="S206" s="38">
        <v>0</v>
      </c>
      <c r="T206" s="39">
        <v>0</v>
      </c>
      <c r="U206" s="38"/>
      <c r="V206" s="39"/>
      <c r="W206" s="38"/>
      <c r="X206" s="39"/>
      <c r="Y206" s="38"/>
      <c r="Z206" s="39"/>
      <c r="AA206" s="22">
        <f t="shared" si="30"/>
        <v>6072790</v>
      </c>
      <c r="AB206" s="78"/>
      <c r="AC206" s="79"/>
    </row>
    <row r="207" spans="2:29" ht="16.05" customHeight="1">
      <c r="B207" s="75" t="s">
        <v>57</v>
      </c>
      <c r="C207" s="18" t="s">
        <v>20</v>
      </c>
      <c r="D207" s="19">
        <v>45494</v>
      </c>
      <c r="E207" s="40">
        <v>659880</v>
      </c>
      <c r="F207" s="41">
        <v>6</v>
      </c>
      <c r="G207" s="42">
        <v>644820</v>
      </c>
      <c r="H207" s="41">
        <v>8</v>
      </c>
      <c r="I207" s="42">
        <v>512960</v>
      </c>
      <c r="J207" s="41">
        <v>3</v>
      </c>
      <c r="K207" s="42">
        <v>982860</v>
      </c>
      <c r="L207" s="41">
        <v>11</v>
      </c>
      <c r="M207" s="42">
        <v>267900</v>
      </c>
      <c r="N207" s="41">
        <v>47</v>
      </c>
      <c r="O207" s="49"/>
      <c r="P207" s="50"/>
      <c r="Q207" s="21">
        <v>0</v>
      </c>
      <c r="R207" s="20">
        <v>0</v>
      </c>
      <c r="S207" s="21">
        <v>0</v>
      </c>
      <c r="T207" s="20">
        <v>0</v>
      </c>
      <c r="U207" s="28"/>
      <c r="V207" s="27"/>
      <c r="W207" s="28"/>
      <c r="X207" s="27"/>
      <c r="Y207" s="28"/>
      <c r="Z207" s="27"/>
      <c r="AA207" s="22">
        <f t="shared" si="30"/>
        <v>3068420</v>
      </c>
      <c r="AB207" s="78">
        <f t="shared" ref="AB207" si="32">SUM(AA207:AA213)</f>
        <v>29656411</v>
      </c>
      <c r="AC207" s="79">
        <v>28805340</v>
      </c>
    </row>
    <row r="208" spans="2:29">
      <c r="B208" s="76"/>
      <c r="C208" s="23" t="s">
        <v>21</v>
      </c>
      <c r="D208" s="19">
        <v>45495</v>
      </c>
      <c r="E208" s="8">
        <v>962910</v>
      </c>
      <c r="F208" s="20">
        <v>7</v>
      </c>
      <c r="G208" s="21">
        <v>506900</v>
      </c>
      <c r="H208" s="20">
        <v>7</v>
      </c>
      <c r="I208" s="21">
        <v>121950</v>
      </c>
      <c r="J208" s="20">
        <v>3</v>
      </c>
      <c r="K208" s="21">
        <v>1697870</v>
      </c>
      <c r="L208" s="20">
        <v>10</v>
      </c>
      <c r="M208" s="21">
        <v>578500</v>
      </c>
      <c r="N208" s="20">
        <v>71</v>
      </c>
      <c r="O208" s="28"/>
      <c r="P208" s="27"/>
      <c r="Q208" s="21">
        <v>169970</v>
      </c>
      <c r="R208" s="20">
        <v>3</v>
      </c>
      <c r="S208" s="21">
        <v>38990</v>
      </c>
      <c r="T208" s="20">
        <v>2</v>
      </c>
      <c r="U208" s="28"/>
      <c r="V208" s="27"/>
      <c r="W208" s="28"/>
      <c r="X208" s="27"/>
      <c r="Y208" s="28"/>
      <c r="Z208" s="27"/>
      <c r="AA208" s="22">
        <f t="shared" si="30"/>
        <v>4077090</v>
      </c>
      <c r="AB208" s="78"/>
      <c r="AC208" s="79"/>
    </row>
    <row r="209" spans="2:29" ht="16.05" customHeight="1">
      <c r="B209" s="76"/>
      <c r="C209" s="23" t="s">
        <v>22</v>
      </c>
      <c r="D209" s="19">
        <v>45496</v>
      </c>
      <c r="E209" s="8">
        <v>0</v>
      </c>
      <c r="F209" s="20">
        <v>0</v>
      </c>
      <c r="G209" s="21">
        <v>850820</v>
      </c>
      <c r="H209" s="20">
        <v>8</v>
      </c>
      <c r="I209" s="21">
        <v>262930</v>
      </c>
      <c r="J209" s="20">
        <v>5</v>
      </c>
      <c r="K209" s="21">
        <v>897840</v>
      </c>
      <c r="L209" s="20">
        <v>10</v>
      </c>
      <c r="M209" s="21">
        <v>756870</v>
      </c>
      <c r="N209" s="20">
        <v>84</v>
      </c>
      <c r="O209" s="28"/>
      <c r="P209" s="27"/>
      <c r="Q209" s="21">
        <v>907850</v>
      </c>
      <c r="R209" s="20">
        <v>6</v>
      </c>
      <c r="S209" s="21">
        <v>468930</v>
      </c>
      <c r="T209" s="20">
        <v>5</v>
      </c>
      <c r="U209" s="28"/>
      <c r="V209" s="27"/>
      <c r="W209" s="28"/>
      <c r="X209" s="27"/>
      <c r="Y209" s="28"/>
      <c r="Z209" s="27"/>
      <c r="AA209" s="22">
        <f t="shared" si="30"/>
        <v>4145240</v>
      </c>
      <c r="AB209" s="78"/>
      <c r="AC209" s="79"/>
    </row>
    <row r="210" spans="2:29">
      <c r="B210" s="76"/>
      <c r="C210" s="23" t="s">
        <v>23</v>
      </c>
      <c r="D210" s="19">
        <v>45497</v>
      </c>
      <c r="E210" s="8">
        <v>86950</v>
      </c>
      <c r="F210" s="20">
        <v>5</v>
      </c>
      <c r="G210" s="21">
        <v>241940</v>
      </c>
      <c r="H210" s="20">
        <v>6</v>
      </c>
      <c r="I210" s="21">
        <v>309960</v>
      </c>
      <c r="J210" s="20">
        <v>3</v>
      </c>
      <c r="K210" s="21">
        <v>1027331</v>
      </c>
      <c r="L210" s="20">
        <v>8</v>
      </c>
      <c r="M210" s="21">
        <v>627900</v>
      </c>
      <c r="N210" s="20">
        <v>78</v>
      </c>
      <c r="O210" s="28"/>
      <c r="P210" s="27"/>
      <c r="Q210" s="21">
        <v>151980</v>
      </c>
      <c r="R210" s="20">
        <v>1</v>
      </c>
      <c r="S210" s="21">
        <v>498980</v>
      </c>
      <c r="T210" s="20">
        <v>4</v>
      </c>
      <c r="U210" s="28"/>
      <c r="V210" s="27"/>
      <c r="W210" s="28"/>
      <c r="X210" s="27"/>
      <c r="Y210" s="28"/>
      <c r="Z210" s="27"/>
      <c r="AA210" s="22">
        <f t="shared" si="30"/>
        <v>2945041</v>
      </c>
      <c r="AB210" s="78"/>
      <c r="AC210" s="79"/>
    </row>
    <row r="211" spans="2:29">
      <c r="B211" s="76"/>
      <c r="C211" s="23" t="s">
        <v>24</v>
      </c>
      <c r="D211" s="19">
        <v>45498</v>
      </c>
      <c r="E211" s="8">
        <v>548880</v>
      </c>
      <c r="F211" s="20">
        <v>8</v>
      </c>
      <c r="G211" s="21">
        <v>663830</v>
      </c>
      <c r="H211" s="20">
        <v>13</v>
      </c>
      <c r="I211" s="21">
        <v>170960</v>
      </c>
      <c r="J211" s="20">
        <v>3</v>
      </c>
      <c r="K211" s="21">
        <v>502860</v>
      </c>
      <c r="L211" s="20">
        <v>10</v>
      </c>
      <c r="M211" s="21">
        <v>523550</v>
      </c>
      <c r="N211" s="20">
        <v>71</v>
      </c>
      <c r="O211" s="28"/>
      <c r="P211" s="27"/>
      <c r="Q211" s="21">
        <v>132980</v>
      </c>
      <c r="R211" s="20">
        <v>2</v>
      </c>
      <c r="S211" s="21">
        <v>390970</v>
      </c>
      <c r="T211" s="20">
        <v>3</v>
      </c>
      <c r="U211" s="28"/>
      <c r="V211" s="27"/>
      <c r="W211" s="28"/>
      <c r="X211" s="27"/>
      <c r="Y211" s="28"/>
      <c r="Z211" s="27"/>
      <c r="AA211" s="22">
        <f t="shared" si="30"/>
        <v>2934030</v>
      </c>
      <c r="AB211" s="78"/>
      <c r="AC211" s="79"/>
    </row>
    <row r="212" spans="2:29">
      <c r="B212" s="76"/>
      <c r="C212" s="23" t="s">
        <v>25</v>
      </c>
      <c r="D212" s="19">
        <v>45499</v>
      </c>
      <c r="E212" s="8">
        <v>2467650</v>
      </c>
      <c r="F212" s="31">
        <v>18</v>
      </c>
      <c r="G212" s="21">
        <v>407930</v>
      </c>
      <c r="H212" s="31">
        <v>5</v>
      </c>
      <c r="I212" s="21">
        <v>787840</v>
      </c>
      <c r="J212" s="31">
        <v>13</v>
      </c>
      <c r="K212" s="21">
        <v>1093820</v>
      </c>
      <c r="L212" s="31">
        <v>8</v>
      </c>
      <c r="M212" s="21">
        <v>1109730</v>
      </c>
      <c r="N212" s="31">
        <v>126</v>
      </c>
      <c r="O212" s="28"/>
      <c r="P212" s="32"/>
      <c r="Q212" s="21">
        <v>214970</v>
      </c>
      <c r="R212" s="31">
        <v>3</v>
      </c>
      <c r="S212" s="28">
        <v>0</v>
      </c>
      <c r="T212" s="32">
        <v>0</v>
      </c>
      <c r="U212" s="28"/>
      <c r="V212" s="32"/>
      <c r="W212" s="28"/>
      <c r="X212" s="32"/>
      <c r="Y212" s="28"/>
      <c r="Z212" s="32"/>
      <c r="AA212" s="22">
        <f t="shared" si="30"/>
        <v>6081940</v>
      </c>
      <c r="AB212" s="78"/>
      <c r="AC212" s="79"/>
    </row>
    <row r="213" spans="2:29">
      <c r="B213" s="77"/>
      <c r="C213" s="33" t="s">
        <v>26</v>
      </c>
      <c r="D213" s="34">
        <v>45500</v>
      </c>
      <c r="E213" s="35">
        <v>1450650</v>
      </c>
      <c r="F213" s="36">
        <v>24</v>
      </c>
      <c r="G213" s="37">
        <v>282940</v>
      </c>
      <c r="H213" s="36">
        <v>5</v>
      </c>
      <c r="I213" s="37">
        <v>1547690</v>
      </c>
      <c r="J213" s="36">
        <v>25</v>
      </c>
      <c r="K213" s="37">
        <v>1334740</v>
      </c>
      <c r="L213" s="36">
        <v>11</v>
      </c>
      <c r="M213" s="37">
        <v>1558670</v>
      </c>
      <c r="N213" s="36">
        <v>171</v>
      </c>
      <c r="O213" s="38"/>
      <c r="P213" s="39"/>
      <c r="Q213" s="37">
        <v>229960</v>
      </c>
      <c r="R213" s="36">
        <v>2</v>
      </c>
      <c r="S213" s="38">
        <v>0</v>
      </c>
      <c r="T213" s="39">
        <v>0</v>
      </c>
      <c r="U213" s="38"/>
      <c r="V213" s="39"/>
      <c r="W213" s="38"/>
      <c r="X213" s="39"/>
      <c r="Y213" s="38"/>
      <c r="Z213" s="39"/>
      <c r="AA213" s="22">
        <f t="shared" si="30"/>
        <v>6404650</v>
      </c>
      <c r="AB213" s="78"/>
      <c r="AC213" s="79"/>
    </row>
    <row r="214" spans="2:29" ht="16.05" customHeight="1">
      <c r="B214" s="75" t="s">
        <v>58</v>
      </c>
      <c r="C214" s="18" t="s">
        <v>20</v>
      </c>
      <c r="D214" s="19">
        <v>45501</v>
      </c>
      <c r="E214" s="40">
        <v>306870</v>
      </c>
      <c r="F214" s="41">
        <v>6</v>
      </c>
      <c r="G214" s="42">
        <v>855840</v>
      </c>
      <c r="H214" s="41">
        <v>9</v>
      </c>
      <c r="I214" s="42">
        <v>459940</v>
      </c>
      <c r="J214" s="41">
        <v>4</v>
      </c>
      <c r="K214" s="42">
        <v>1075860</v>
      </c>
      <c r="L214" s="41">
        <v>11</v>
      </c>
      <c r="M214" s="42">
        <v>386520</v>
      </c>
      <c r="N214" s="41">
        <v>45</v>
      </c>
      <c r="O214" s="49"/>
      <c r="P214" s="50"/>
      <c r="Q214" s="21">
        <v>112980</v>
      </c>
      <c r="R214" s="20">
        <v>2</v>
      </c>
      <c r="S214" s="21">
        <v>62980</v>
      </c>
      <c r="T214" s="20">
        <v>2</v>
      </c>
      <c r="U214" s="28"/>
      <c r="V214" s="27"/>
      <c r="W214" s="28"/>
      <c r="X214" s="27"/>
      <c r="Y214" s="28"/>
      <c r="Z214" s="27"/>
      <c r="AA214" s="22">
        <f t="shared" si="30"/>
        <v>3260990</v>
      </c>
      <c r="AB214" s="78">
        <f t="shared" ref="AB214" si="33">SUM(AA214:AA220)</f>
        <v>28963010</v>
      </c>
      <c r="AC214" s="79">
        <v>30496900</v>
      </c>
    </row>
    <row r="215" spans="2:29">
      <c r="B215" s="76"/>
      <c r="C215" s="23" t="s">
        <v>21</v>
      </c>
      <c r="D215" s="19">
        <v>45502</v>
      </c>
      <c r="E215" s="8">
        <v>1326860</v>
      </c>
      <c r="F215" s="20">
        <v>9</v>
      </c>
      <c r="G215" s="21">
        <v>499890</v>
      </c>
      <c r="H215" s="20">
        <v>7</v>
      </c>
      <c r="I215" s="21">
        <v>230930</v>
      </c>
      <c r="J215" s="20">
        <v>6</v>
      </c>
      <c r="K215" s="21">
        <v>370920</v>
      </c>
      <c r="L215" s="20">
        <v>5</v>
      </c>
      <c r="M215" s="21">
        <v>336910</v>
      </c>
      <c r="N215" s="20">
        <v>50</v>
      </c>
      <c r="O215" s="28"/>
      <c r="P215" s="27"/>
      <c r="Q215" s="21">
        <v>239960</v>
      </c>
      <c r="R215" s="20">
        <v>3</v>
      </c>
      <c r="S215" s="21">
        <v>267980</v>
      </c>
      <c r="T215" s="20">
        <v>2</v>
      </c>
      <c r="U215" s="28"/>
      <c r="V215" s="27"/>
      <c r="W215" s="28"/>
      <c r="X215" s="27"/>
      <c r="Y215" s="28"/>
      <c r="Z215" s="27"/>
      <c r="AA215" s="22">
        <f t="shared" si="30"/>
        <v>3273450</v>
      </c>
      <c r="AB215" s="78"/>
      <c r="AC215" s="79"/>
    </row>
    <row r="216" spans="2:29" ht="16.05" customHeight="1">
      <c r="B216" s="76"/>
      <c r="C216" s="23" t="s">
        <v>22</v>
      </c>
      <c r="D216" s="19">
        <v>45503</v>
      </c>
      <c r="E216" s="8">
        <v>704880</v>
      </c>
      <c r="F216" s="20">
        <v>6</v>
      </c>
      <c r="G216" s="21">
        <v>872640</v>
      </c>
      <c r="H216" s="20">
        <v>9</v>
      </c>
      <c r="I216" s="21">
        <v>407950</v>
      </c>
      <c r="J216" s="20">
        <v>4</v>
      </c>
      <c r="K216" s="21">
        <v>1109716</v>
      </c>
      <c r="L216" s="20">
        <v>9</v>
      </c>
      <c r="M216" s="21">
        <v>331690</v>
      </c>
      <c r="N216" s="20">
        <v>52</v>
      </c>
      <c r="O216" s="28"/>
      <c r="P216" s="27"/>
      <c r="Q216" s="21">
        <v>129990</v>
      </c>
      <c r="R216" s="20">
        <v>1</v>
      </c>
      <c r="S216" s="21">
        <v>0</v>
      </c>
      <c r="T216" s="20">
        <v>0</v>
      </c>
      <c r="U216" s="28"/>
      <c r="V216" s="27"/>
      <c r="W216" s="28"/>
      <c r="X216" s="27"/>
      <c r="Y216" s="28"/>
      <c r="Z216" s="27"/>
      <c r="AA216" s="22">
        <f t="shared" si="30"/>
        <v>3556866</v>
      </c>
      <c r="AB216" s="78"/>
      <c r="AC216" s="79"/>
    </row>
    <row r="217" spans="2:29">
      <c r="B217" s="76"/>
      <c r="C217" s="23" t="s">
        <v>23</v>
      </c>
      <c r="D217" s="19">
        <v>45504</v>
      </c>
      <c r="E217" s="8">
        <v>653790</v>
      </c>
      <c r="F217" s="20">
        <v>11</v>
      </c>
      <c r="G217" s="21">
        <v>258910</v>
      </c>
      <c r="H217" s="20">
        <v>6</v>
      </c>
      <c r="I217" s="21">
        <v>317950</v>
      </c>
      <c r="J217" s="20">
        <v>3</v>
      </c>
      <c r="K217" s="21">
        <v>713770</v>
      </c>
      <c r="L217" s="20">
        <v>14</v>
      </c>
      <c r="M217" s="21">
        <v>535690</v>
      </c>
      <c r="N217" s="20">
        <v>68</v>
      </c>
      <c r="O217" s="28"/>
      <c r="P217" s="27"/>
      <c r="Q217" s="21">
        <v>379950</v>
      </c>
      <c r="R217" s="20">
        <v>4</v>
      </c>
      <c r="S217" s="21">
        <v>431920</v>
      </c>
      <c r="T217" s="20">
        <v>6</v>
      </c>
      <c r="U217" s="28"/>
      <c r="V217" s="27"/>
      <c r="W217" s="28"/>
      <c r="X217" s="27"/>
      <c r="Y217" s="28"/>
      <c r="Z217" s="27"/>
      <c r="AA217" s="22">
        <f t="shared" si="30"/>
        <v>3291980</v>
      </c>
      <c r="AB217" s="78"/>
      <c r="AC217" s="79"/>
    </row>
    <row r="218" spans="2:29">
      <c r="B218" s="76"/>
      <c r="C218" s="23" t="s">
        <v>24</v>
      </c>
      <c r="D218" s="19">
        <v>45505</v>
      </c>
      <c r="E218" s="8">
        <v>634880</v>
      </c>
      <c r="F218" s="20">
        <v>7</v>
      </c>
      <c r="G218" s="21">
        <v>515563</v>
      </c>
      <c r="H218" s="20">
        <v>10</v>
      </c>
      <c r="I218" s="21">
        <v>198960</v>
      </c>
      <c r="J218" s="20">
        <v>1</v>
      </c>
      <c r="K218" s="21">
        <v>1767761</v>
      </c>
      <c r="L218" s="20">
        <v>12</v>
      </c>
      <c r="M218" s="21">
        <v>438980</v>
      </c>
      <c r="N218" s="29">
        <v>33</v>
      </c>
      <c r="O218" s="28"/>
      <c r="P218" s="27"/>
      <c r="Q218" s="21">
        <v>0</v>
      </c>
      <c r="R218" s="20">
        <v>0</v>
      </c>
      <c r="S218" s="21">
        <v>0</v>
      </c>
      <c r="T218" s="20">
        <v>0</v>
      </c>
      <c r="U218" s="28"/>
      <c r="V218" s="27"/>
      <c r="W218" s="28"/>
      <c r="X218" s="27"/>
      <c r="Y218" s="28"/>
      <c r="Z218" s="27"/>
      <c r="AA218" s="22">
        <f t="shared" si="30"/>
        <v>3556144</v>
      </c>
      <c r="AB218" s="78"/>
      <c r="AC218" s="79"/>
    </row>
    <row r="219" spans="2:29">
      <c r="B219" s="76"/>
      <c r="C219" s="23" t="s">
        <v>25</v>
      </c>
      <c r="D219" s="19">
        <v>45506</v>
      </c>
      <c r="E219" s="8">
        <v>592890</v>
      </c>
      <c r="F219" s="31">
        <v>9</v>
      </c>
      <c r="G219" s="21">
        <v>1147800</v>
      </c>
      <c r="H219" s="31">
        <v>8</v>
      </c>
      <c r="I219" s="21">
        <v>1490720</v>
      </c>
      <c r="J219" s="31">
        <v>14</v>
      </c>
      <c r="K219" s="21">
        <v>1521800</v>
      </c>
      <c r="L219" s="31">
        <v>14</v>
      </c>
      <c r="M219" s="21">
        <v>1204200</v>
      </c>
      <c r="N219" s="31">
        <v>134</v>
      </c>
      <c r="O219" s="28"/>
      <c r="P219" s="32"/>
      <c r="Q219" s="21">
        <v>732950</v>
      </c>
      <c r="R219" s="31">
        <v>3</v>
      </c>
      <c r="S219" s="28">
        <v>0</v>
      </c>
      <c r="T219" s="32">
        <v>0</v>
      </c>
      <c r="U219" s="28"/>
      <c r="V219" s="32"/>
      <c r="W219" s="28"/>
      <c r="X219" s="32"/>
      <c r="Y219" s="28"/>
      <c r="Z219" s="32"/>
      <c r="AA219" s="22">
        <f t="shared" si="30"/>
        <v>6690360</v>
      </c>
      <c r="AB219" s="78"/>
      <c r="AC219" s="79"/>
    </row>
    <row r="220" spans="2:29">
      <c r="B220" s="77"/>
      <c r="C220" s="33" t="s">
        <v>26</v>
      </c>
      <c r="D220" s="34">
        <v>45507</v>
      </c>
      <c r="E220" s="35">
        <v>2471690</v>
      </c>
      <c r="F220" s="36">
        <v>21</v>
      </c>
      <c r="G220" s="37">
        <v>201970</v>
      </c>
      <c r="H220" s="36">
        <v>3</v>
      </c>
      <c r="I220" s="37">
        <v>473910</v>
      </c>
      <c r="J220" s="36">
        <v>7</v>
      </c>
      <c r="K220" s="37">
        <v>592920</v>
      </c>
      <c r="L220" s="36">
        <v>6</v>
      </c>
      <c r="M220" s="37">
        <v>1260760</v>
      </c>
      <c r="N220" s="36">
        <v>141</v>
      </c>
      <c r="O220" s="38"/>
      <c r="P220" s="39"/>
      <c r="Q220" s="37">
        <v>331970</v>
      </c>
      <c r="R220" s="36">
        <v>3</v>
      </c>
      <c r="S220" s="38">
        <v>0</v>
      </c>
      <c r="T220" s="39">
        <v>0</v>
      </c>
      <c r="U220" s="38"/>
      <c r="V220" s="39"/>
      <c r="W220" s="38"/>
      <c r="X220" s="39"/>
      <c r="Y220" s="38"/>
      <c r="Z220" s="39"/>
      <c r="AA220" s="22">
        <f t="shared" si="30"/>
        <v>5333220</v>
      </c>
      <c r="AB220" s="78"/>
      <c r="AC220" s="79"/>
    </row>
    <row r="221" spans="2:29" ht="16.05" customHeight="1">
      <c r="B221" s="75" t="s">
        <v>59</v>
      </c>
      <c r="C221" s="18" t="s">
        <v>20</v>
      </c>
      <c r="D221" s="19">
        <v>45508</v>
      </c>
      <c r="E221" s="40">
        <v>194980</v>
      </c>
      <c r="F221" s="41">
        <v>1</v>
      </c>
      <c r="G221" s="42">
        <v>634930</v>
      </c>
      <c r="H221" s="41">
        <v>7</v>
      </c>
      <c r="I221" s="42">
        <v>427970</v>
      </c>
      <c r="J221" s="41">
        <v>2</v>
      </c>
      <c r="K221" s="42">
        <v>678800</v>
      </c>
      <c r="L221" s="41">
        <v>7</v>
      </c>
      <c r="M221" s="42">
        <v>204520</v>
      </c>
      <c r="N221" s="41">
        <v>26</v>
      </c>
      <c r="O221" s="49"/>
      <c r="P221" s="50"/>
      <c r="Q221" s="21">
        <v>89960</v>
      </c>
      <c r="R221" s="20">
        <v>4</v>
      </c>
      <c r="S221" s="21">
        <v>83990</v>
      </c>
      <c r="T221" s="20">
        <v>1</v>
      </c>
      <c r="U221" s="28"/>
      <c r="V221" s="27"/>
      <c r="W221" s="28"/>
      <c r="X221" s="27"/>
      <c r="Y221" s="28"/>
      <c r="Z221" s="27"/>
      <c r="AA221" s="22">
        <f t="shared" si="30"/>
        <v>2315150</v>
      </c>
      <c r="AB221" s="78">
        <f t="shared" ref="AB221" si="34">SUM(AA221:AA227)</f>
        <v>27018747</v>
      </c>
      <c r="AC221" s="79">
        <v>25250040</v>
      </c>
    </row>
    <row r="222" spans="2:29">
      <c r="B222" s="76"/>
      <c r="C222" s="23" t="s">
        <v>21</v>
      </c>
      <c r="D222" s="19">
        <v>45509</v>
      </c>
      <c r="E222" s="8">
        <v>1990790</v>
      </c>
      <c r="F222" s="20">
        <v>12</v>
      </c>
      <c r="G222" s="21">
        <v>45980</v>
      </c>
      <c r="H222" s="20">
        <v>3</v>
      </c>
      <c r="I222" s="21">
        <v>353920</v>
      </c>
      <c r="J222" s="20">
        <v>2</v>
      </c>
      <c r="K222" s="21">
        <v>473880</v>
      </c>
      <c r="L222" s="20">
        <v>6</v>
      </c>
      <c r="M222" s="21">
        <v>230910</v>
      </c>
      <c r="N222" s="20">
        <v>27</v>
      </c>
      <c r="O222" s="28"/>
      <c r="P222" s="27"/>
      <c r="Q222" s="21">
        <v>0</v>
      </c>
      <c r="R222" s="20">
        <v>0</v>
      </c>
      <c r="S222" s="21">
        <v>205980</v>
      </c>
      <c r="T222" s="20">
        <v>2</v>
      </c>
      <c r="U222" s="28"/>
      <c r="V222" s="27"/>
      <c r="W222" s="28"/>
      <c r="X222" s="27"/>
      <c r="Y222" s="28"/>
      <c r="Z222" s="27"/>
      <c r="AA222" s="22">
        <f t="shared" si="30"/>
        <v>3301460</v>
      </c>
      <c r="AB222" s="78"/>
      <c r="AC222" s="79"/>
    </row>
    <row r="223" spans="2:29" ht="16.05" customHeight="1">
      <c r="B223" s="76"/>
      <c r="C223" s="23" t="s">
        <v>22</v>
      </c>
      <c r="D223" s="19">
        <v>45510</v>
      </c>
      <c r="E223" s="8">
        <v>573930</v>
      </c>
      <c r="F223" s="20">
        <v>6</v>
      </c>
      <c r="G223" s="21">
        <v>217960</v>
      </c>
      <c r="H223" s="20">
        <v>2</v>
      </c>
      <c r="I223" s="21">
        <v>0</v>
      </c>
      <c r="J223" s="20">
        <v>0</v>
      </c>
      <c r="K223" s="21">
        <v>795920</v>
      </c>
      <c r="L223" s="20">
        <v>7</v>
      </c>
      <c r="M223" s="21">
        <v>174690</v>
      </c>
      <c r="N223" s="20">
        <v>19</v>
      </c>
      <c r="O223" s="28"/>
      <c r="P223" s="27"/>
      <c r="Q223" s="21">
        <v>265970</v>
      </c>
      <c r="R223" s="20">
        <v>3</v>
      </c>
      <c r="S223" s="21">
        <v>99990</v>
      </c>
      <c r="T223" s="20">
        <v>1</v>
      </c>
      <c r="U223" s="28"/>
      <c r="V223" s="27"/>
      <c r="W223" s="28"/>
      <c r="X223" s="27"/>
      <c r="Y223" s="28"/>
      <c r="Z223" s="27"/>
      <c r="AA223" s="22">
        <f t="shared" si="30"/>
        <v>2128460</v>
      </c>
      <c r="AB223" s="78"/>
      <c r="AC223" s="79"/>
    </row>
    <row r="224" spans="2:29">
      <c r="B224" s="76"/>
      <c r="C224" s="23" t="s">
        <v>23</v>
      </c>
      <c r="D224" s="19">
        <v>45511</v>
      </c>
      <c r="E224" s="8">
        <v>1380790</v>
      </c>
      <c r="F224" s="20">
        <v>5</v>
      </c>
      <c r="G224" s="21">
        <v>880830</v>
      </c>
      <c r="H224" s="20">
        <v>11</v>
      </c>
      <c r="I224" s="21">
        <v>113970</v>
      </c>
      <c r="J224" s="20">
        <v>2</v>
      </c>
      <c r="K224" s="21">
        <v>1036871</v>
      </c>
      <c r="L224" s="20">
        <v>10</v>
      </c>
      <c r="M224" s="21">
        <v>272780</v>
      </c>
      <c r="N224" s="20">
        <v>51</v>
      </c>
      <c r="O224" s="28"/>
      <c r="P224" s="27"/>
      <c r="Q224" s="21">
        <v>444890</v>
      </c>
      <c r="R224" s="20">
        <v>2</v>
      </c>
      <c r="S224" s="21">
        <v>49990</v>
      </c>
      <c r="T224" s="20">
        <v>1</v>
      </c>
      <c r="U224" s="28"/>
      <c r="V224" s="27"/>
      <c r="W224" s="28"/>
      <c r="X224" s="27"/>
      <c r="Y224" s="28"/>
      <c r="Z224" s="27"/>
      <c r="AA224" s="22">
        <f t="shared" si="30"/>
        <v>4180121</v>
      </c>
      <c r="AB224" s="78"/>
      <c r="AC224" s="79"/>
    </row>
    <row r="225" spans="2:29">
      <c r="B225" s="76"/>
      <c r="C225" s="23" t="s">
        <v>24</v>
      </c>
      <c r="D225" s="19">
        <v>45512</v>
      </c>
      <c r="E225" s="8">
        <v>1007760</v>
      </c>
      <c r="F225" s="20">
        <v>11</v>
      </c>
      <c r="G225" s="21">
        <v>1291730</v>
      </c>
      <c r="H225" s="20">
        <v>16</v>
      </c>
      <c r="I225" s="21">
        <v>149980</v>
      </c>
      <c r="J225" s="20">
        <v>2</v>
      </c>
      <c r="K225" s="21">
        <v>2267519</v>
      </c>
      <c r="L225" s="20">
        <v>21</v>
      </c>
      <c r="M225" s="21">
        <v>252220</v>
      </c>
      <c r="N225" s="20">
        <v>31</v>
      </c>
      <c r="O225" s="28"/>
      <c r="P225" s="27"/>
      <c r="Q225" s="21">
        <v>421910</v>
      </c>
      <c r="R225" s="20">
        <v>5</v>
      </c>
      <c r="S225" s="21">
        <v>103966</v>
      </c>
      <c r="T225" s="20">
        <v>4</v>
      </c>
      <c r="U225" s="28"/>
      <c r="V225" s="27"/>
      <c r="W225" s="28"/>
      <c r="X225" s="27"/>
      <c r="Y225" s="28"/>
      <c r="Z225" s="27"/>
      <c r="AA225" s="22">
        <f t="shared" si="30"/>
        <v>5495085</v>
      </c>
      <c r="AB225" s="78"/>
      <c r="AC225" s="79"/>
    </row>
    <row r="226" spans="2:29">
      <c r="B226" s="76"/>
      <c r="C226" s="23" t="s">
        <v>25</v>
      </c>
      <c r="D226" s="19">
        <v>45513</v>
      </c>
      <c r="E226" s="8">
        <v>417900</v>
      </c>
      <c r="F226" s="31">
        <v>8</v>
      </c>
      <c r="G226" s="21">
        <v>436910</v>
      </c>
      <c r="H226" s="31">
        <v>7</v>
      </c>
      <c r="I226" s="21">
        <v>511930</v>
      </c>
      <c r="J226" s="31">
        <v>6</v>
      </c>
      <c r="K226" s="21">
        <v>1079911</v>
      </c>
      <c r="L226" s="31">
        <v>8</v>
      </c>
      <c r="M226" s="21">
        <v>744480</v>
      </c>
      <c r="N226" s="31">
        <v>84</v>
      </c>
      <c r="O226" s="28"/>
      <c r="P226" s="32"/>
      <c r="Q226" s="21">
        <v>430960</v>
      </c>
      <c r="R226" s="31">
        <v>3</v>
      </c>
      <c r="S226" s="28">
        <v>0</v>
      </c>
      <c r="T226" s="32">
        <v>0</v>
      </c>
      <c r="U226" s="28"/>
      <c r="V226" s="32"/>
      <c r="W226" s="28"/>
      <c r="X226" s="32"/>
      <c r="Y226" s="28"/>
      <c r="Z226" s="32"/>
      <c r="AA226" s="22">
        <f t="shared" si="30"/>
        <v>3622091</v>
      </c>
      <c r="AB226" s="78"/>
      <c r="AC226" s="79"/>
    </row>
    <row r="227" spans="2:29">
      <c r="B227" s="77"/>
      <c r="C227" s="33" t="s">
        <v>26</v>
      </c>
      <c r="D227" s="34">
        <v>45514</v>
      </c>
      <c r="E227" s="35">
        <v>1040840</v>
      </c>
      <c r="F227" s="36">
        <v>11</v>
      </c>
      <c r="G227" s="37">
        <v>1453820</v>
      </c>
      <c r="H227" s="36">
        <v>11</v>
      </c>
      <c r="I227" s="37">
        <v>1278730</v>
      </c>
      <c r="J227" s="36">
        <v>15</v>
      </c>
      <c r="K227" s="37">
        <v>1104790</v>
      </c>
      <c r="L227" s="36">
        <v>11</v>
      </c>
      <c r="M227" s="37">
        <v>1028210</v>
      </c>
      <c r="N227" s="36">
        <v>117</v>
      </c>
      <c r="O227" s="38"/>
      <c r="P227" s="39"/>
      <c r="Q227" s="37">
        <v>69990</v>
      </c>
      <c r="R227" s="36">
        <v>1</v>
      </c>
      <c r="S227" s="38">
        <v>0</v>
      </c>
      <c r="T227" s="39">
        <v>0</v>
      </c>
      <c r="U227" s="38"/>
      <c r="V227" s="39"/>
      <c r="W227" s="38"/>
      <c r="X227" s="39"/>
      <c r="Y227" s="38"/>
      <c r="Z227" s="39"/>
      <c r="AA227" s="22">
        <f t="shared" si="30"/>
        <v>5976380</v>
      </c>
      <c r="AB227" s="78"/>
      <c r="AC227" s="79"/>
    </row>
    <row r="228" spans="2:29" ht="16.05" customHeight="1">
      <c r="B228" s="75" t="s">
        <v>60</v>
      </c>
      <c r="C228" s="18" t="s">
        <v>20</v>
      </c>
      <c r="D228" s="19">
        <v>45515</v>
      </c>
      <c r="E228" s="40">
        <v>508950</v>
      </c>
      <c r="F228" s="41">
        <v>5</v>
      </c>
      <c r="G228" s="42">
        <v>247930</v>
      </c>
      <c r="H228" s="41">
        <v>5</v>
      </c>
      <c r="I228" s="42">
        <v>756900</v>
      </c>
      <c r="J228" s="41">
        <v>6</v>
      </c>
      <c r="K228" s="42">
        <v>1293740</v>
      </c>
      <c r="L228" s="41">
        <v>16</v>
      </c>
      <c r="M228" s="42">
        <v>191320</v>
      </c>
      <c r="N228" s="41">
        <v>24</v>
      </c>
      <c r="O228" s="49"/>
      <c r="P228" s="50"/>
      <c r="Q228" s="21">
        <v>179990</v>
      </c>
      <c r="R228" s="20">
        <v>1</v>
      </c>
      <c r="S228" s="21">
        <v>359990</v>
      </c>
      <c r="T228" s="20">
        <v>2</v>
      </c>
      <c r="U228" s="28"/>
      <c r="V228" s="27"/>
      <c r="W228" s="28"/>
      <c r="X228" s="27"/>
      <c r="Y228" s="28"/>
      <c r="Z228" s="27"/>
      <c r="AA228" s="22">
        <f t="shared" si="30"/>
        <v>3538820</v>
      </c>
      <c r="AB228" s="78">
        <f t="shared" ref="AB228" si="35">SUM(AA228:AA234)</f>
        <v>34700911</v>
      </c>
      <c r="AC228" s="79">
        <v>28791190</v>
      </c>
    </row>
    <row r="229" spans="2:29">
      <c r="B229" s="76"/>
      <c r="C229" s="23" t="s">
        <v>21</v>
      </c>
      <c r="D229" s="19">
        <v>45516</v>
      </c>
      <c r="E229" s="8">
        <v>433840</v>
      </c>
      <c r="F229" s="20">
        <v>7</v>
      </c>
      <c r="G229" s="21">
        <v>409870</v>
      </c>
      <c r="H229" s="20">
        <v>4</v>
      </c>
      <c r="I229" s="21">
        <v>0</v>
      </c>
      <c r="J229" s="20">
        <v>0</v>
      </c>
      <c r="K229" s="21">
        <v>583860</v>
      </c>
      <c r="L229" s="20">
        <v>7</v>
      </c>
      <c r="M229" s="21">
        <v>135920</v>
      </c>
      <c r="N229" s="20">
        <v>21</v>
      </c>
      <c r="O229" s="28"/>
      <c r="P229" s="27"/>
      <c r="Q229" s="21">
        <v>191960</v>
      </c>
      <c r="R229" s="20">
        <v>2</v>
      </c>
      <c r="S229" s="21">
        <v>428451</v>
      </c>
      <c r="T229" s="20">
        <v>5</v>
      </c>
      <c r="U229" s="28"/>
      <c r="V229" s="27"/>
      <c r="W229" s="28"/>
      <c r="X229" s="27"/>
      <c r="Y229" s="28"/>
      <c r="Z229" s="27"/>
      <c r="AA229" s="22">
        <f t="shared" si="30"/>
        <v>2183901</v>
      </c>
      <c r="AB229" s="78"/>
      <c r="AC229" s="79"/>
    </row>
    <row r="230" spans="2:29" ht="16.05" customHeight="1">
      <c r="B230" s="76"/>
      <c r="C230" s="23" t="s">
        <v>22</v>
      </c>
      <c r="D230" s="19">
        <v>45517</v>
      </c>
      <c r="E230" s="8">
        <v>663900</v>
      </c>
      <c r="F230" s="20">
        <v>9</v>
      </c>
      <c r="G230" s="21">
        <v>110900</v>
      </c>
      <c r="H230" s="20">
        <v>5</v>
      </c>
      <c r="I230" s="21">
        <v>434930</v>
      </c>
      <c r="J230" s="20">
        <v>6</v>
      </c>
      <c r="K230" s="21">
        <v>978810</v>
      </c>
      <c r="L230" s="20">
        <v>10</v>
      </c>
      <c r="M230" s="21">
        <v>71770</v>
      </c>
      <c r="N230" s="20">
        <v>19</v>
      </c>
      <c r="O230" s="28"/>
      <c r="P230" s="27"/>
      <c r="Q230" s="21">
        <v>0</v>
      </c>
      <c r="R230" s="20">
        <v>0</v>
      </c>
      <c r="S230" s="21">
        <v>272920</v>
      </c>
      <c r="T230" s="20">
        <v>5</v>
      </c>
      <c r="U230" s="28"/>
      <c r="V230" s="27"/>
      <c r="W230" s="28"/>
      <c r="X230" s="27"/>
      <c r="Y230" s="28"/>
      <c r="Z230" s="27"/>
      <c r="AA230" s="22">
        <f t="shared" si="30"/>
        <v>2533230</v>
      </c>
      <c r="AB230" s="78"/>
      <c r="AC230" s="79"/>
    </row>
    <row r="231" spans="2:29">
      <c r="B231" s="76"/>
      <c r="C231" s="23" t="s">
        <v>23</v>
      </c>
      <c r="D231" s="19">
        <v>45518</v>
      </c>
      <c r="E231" s="8">
        <v>634900</v>
      </c>
      <c r="F231" s="20">
        <v>7</v>
      </c>
      <c r="G231" s="21">
        <v>479890</v>
      </c>
      <c r="H231" s="20">
        <v>6</v>
      </c>
      <c r="I231" s="21">
        <v>337940</v>
      </c>
      <c r="J231" s="20">
        <v>3</v>
      </c>
      <c r="K231" s="21">
        <v>1053780</v>
      </c>
      <c r="L231" s="20">
        <v>13</v>
      </c>
      <c r="M231" s="21">
        <v>375730</v>
      </c>
      <c r="N231" s="20">
        <v>42</v>
      </c>
      <c r="O231" s="28"/>
      <c r="P231" s="27"/>
      <c r="Q231" s="21">
        <v>499970</v>
      </c>
      <c r="R231" s="20">
        <v>3</v>
      </c>
      <c r="S231" s="21">
        <v>359960</v>
      </c>
      <c r="T231" s="20">
        <v>3</v>
      </c>
      <c r="U231" s="28"/>
      <c r="V231" s="27"/>
      <c r="W231" s="28"/>
      <c r="X231" s="27"/>
      <c r="Y231" s="28"/>
      <c r="Z231" s="27"/>
      <c r="AA231" s="22">
        <f t="shared" si="30"/>
        <v>3742170</v>
      </c>
      <c r="AB231" s="78"/>
      <c r="AC231" s="79"/>
    </row>
    <row r="232" spans="2:29">
      <c r="B232" s="76"/>
      <c r="C232" s="24" t="s">
        <v>24</v>
      </c>
      <c r="D232" s="25">
        <v>45519</v>
      </c>
      <c r="E232" s="8">
        <v>938850</v>
      </c>
      <c r="F232" s="20">
        <v>10</v>
      </c>
      <c r="G232" s="21">
        <v>69980</v>
      </c>
      <c r="H232" s="20">
        <v>2</v>
      </c>
      <c r="I232" s="21">
        <v>947840</v>
      </c>
      <c r="J232" s="20">
        <v>11</v>
      </c>
      <c r="K232" s="21">
        <v>1918630</v>
      </c>
      <c r="L232" s="20">
        <v>16</v>
      </c>
      <c r="M232" s="21">
        <v>617540</v>
      </c>
      <c r="N232" s="20">
        <v>79</v>
      </c>
      <c r="O232" s="28"/>
      <c r="P232" s="27"/>
      <c r="Q232" s="21">
        <v>266940</v>
      </c>
      <c r="R232" s="20">
        <v>4</v>
      </c>
      <c r="S232" s="21">
        <v>0</v>
      </c>
      <c r="T232" s="20">
        <v>0</v>
      </c>
      <c r="U232" s="28"/>
      <c r="V232" s="27"/>
      <c r="W232" s="28"/>
      <c r="X232" s="32"/>
      <c r="Y232" s="28"/>
      <c r="Z232" s="27"/>
      <c r="AA232" s="22">
        <f t="shared" si="30"/>
        <v>4759780</v>
      </c>
      <c r="AB232" s="78"/>
      <c r="AC232" s="79"/>
    </row>
    <row r="233" spans="2:29">
      <c r="B233" s="76"/>
      <c r="C233" s="23" t="s">
        <v>25</v>
      </c>
      <c r="D233" s="19">
        <v>45520</v>
      </c>
      <c r="E233" s="8">
        <v>2157710</v>
      </c>
      <c r="F233" s="31">
        <v>18</v>
      </c>
      <c r="G233" s="21">
        <v>2032510</v>
      </c>
      <c r="H233" s="31">
        <v>14</v>
      </c>
      <c r="I233" s="21">
        <v>869860</v>
      </c>
      <c r="J233" s="31">
        <v>11</v>
      </c>
      <c r="K233" s="21">
        <v>2803650</v>
      </c>
      <c r="L233" s="31">
        <v>15</v>
      </c>
      <c r="M233" s="21">
        <v>1041440</v>
      </c>
      <c r="N233" s="31">
        <v>130</v>
      </c>
      <c r="O233" s="28"/>
      <c r="P233" s="32"/>
      <c r="Q233" s="21">
        <v>827900</v>
      </c>
      <c r="R233" s="31">
        <v>5</v>
      </c>
      <c r="S233" s="28">
        <v>0</v>
      </c>
      <c r="T233" s="32">
        <v>0</v>
      </c>
      <c r="U233" s="28"/>
      <c r="V233" s="32"/>
      <c r="W233" s="28"/>
      <c r="X233" s="32"/>
      <c r="Y233" s="28"/>
      <c r="Z233" s="32"/>
      <c r="AA233" s="22">
        <f t="shared" si="30"/>
        <v>9733070</v>
      </c>
      <c r="AB233" s="78"/>
      <c r="AC233" s="79"/>
    </row>
    <row r="234" spans="2:29">
      <c r="B234" s="77"/>
      <c r="C234" s="33" t="s">
        <v>26</v>
      </c>
      <c r="D234" s="34">
        <v>45521</v>
      </c>
      <c r="E234" s="35">
        <v>2434410</v>
      </c>
      <c r="F234" s="36">
        <v>18</v>
      </c>
      <c r="G234" s="37">
        <v>787910</v>
      </c>
      <c r="H234" s="36">
        <v>8</v>
      </c>
      <c r="I234" s="37">
        <v>1195790</v>
      </c>
      <c r="J234" s="36">
        <v>19</v>
      </c>
      <c r="K234" s="37">
        <v>1875670</v>
      </c>
      <c r="L234" s="36">
        <v>24</v>
      </c>
      <c r="M234" s="37">
        <v>1306240</v>
      </c>
      <c r="N234" s="36">
        <v>155</v>
      </c>
      <c r="O234" s="38"/>
      <c r="P234" s="39"/>
      <c r="Q234" s="37">
        <v>609920</v>
      </c>
      <c r="R234" s="36">
        <v>6</v>
      </c>
      <c r="S234" s="38">
        <v>0</v>
      </c>
      <c r="T234" s="39">
        <v>0</v>
      </c>
      <c r="U234" s="38"/>
      <c r="V234" s="39"/>
      <c r="W234" s="38"/>
      <c r="X234" s="39"/>
      <c r="Y234" s="38"/>
      <c r="Z234" s="39"/>
      <c r="AA234" s="22">
        <f t="shared" si="30"/>
        <v>8209940</v>
      </c>
      <c r="AB234" s="78"/>
      <c r="AC234" s="79"/>
    </row>
    <row r="235" spans="2:29" ht="16.05" customHeight="1">
      <c r="B235" s="75" t="s">
        <v>61</v>
      </c>
      <c r="C235" s="18" t="s">
        <v>20</v>
      </c>
      <c r="D235" s="19">
        <v>45522</v>
      </c>
      <c r="E235" s="40">
        <v>1465600</v>
      </c>
      <c r="F235" s="41">
        <v>18</v>
      </c>
      <c r="G235" s="42">
        <v>109970</v>
      </c>
      <c r="H235" s="41">
        <v>3</v>
      </c>
      <c r="I235" s="42">
        <v>632910</v>
      </c>
      <c r="J235" s="41">
        <v>7</v>
      </c>
      <c r="K235" s="42">
        <v>1400926</v>
      </c>
      <c r="L235" s="41">
        <v>13</v>
      </c>
      <c r="M235" s="21">
        <v>154120</v>
      </c>
      <c r="N235" s="20">
        <v>23</v>
      </c>
      <c r="O235" s="49"/>
      <c r="P235" s="50"/>
      <c r="Q235" s="21">
        <v>817890</v>
      </c>
      <c r="R235" s="20">
        <v>7</v>
      </c>
      <c r="S235" s="21">
        <v>159960</v>
      </c>
      <c r="T235" s="20">
        <v>3</v>
      </c>
      <c r="U235" s="28"/>
      <c r="V235" s="27"/>
      <c r="W235" s="28"/>
      <c r="X235" s="27"/>
      <c r="Y235" s="28"/>
      <c r="Z235" s="27"/>
      <c r="AA235" s="22">
        <f t="shared" si="30"/>
        <v>4741376</v>
      </c>
      <c r="AB235" s="78">
        <f t="shared" ref="AB235" si="36">SUM(AA235:AA241)</f>
        <v>29159499</v>
      </c>
      <c r="AC235" s="79">
        <v>26489330</v>
      </c>
    </row>
    <row r="236" spans="2:29">
      <c r="B236" s="76"/>
      <c r="C236" s="23" t="s">
        <v>21</v>
      </c>
      <c r="D236" s="19">
        <v>45523</v>
      </c>
      <c r="E236" s="8">
        <v>1630740</v>
      </c>
      <c r="F236" s="20">
        <v>12</v>
      </c>
      <c r="G236" s="21">
        <v>354850</v>
      </c>
      <c r="H236" s="20">
        <v>6</v>
      </c>
      <c r="I236" s="21">
        <v>195343</v>
      </c>
      <c r="J236" s="20">
        <v>4</v>
      </c>
      <c r="K236" s="21">
        <v>1205720</v>
      </c>
      <c r="L236" s="20">
        <v>13</v>
      </c>
      <c r="M236" s="21"/>
      <c r="N236" s="20"/>
      <c r="O236" s="28"/>
      <c r="P236" s="27"/>
      <c r="Q236" s="21"/>
      <c r="R236" s="20"/>
      <c r="S236" s="21"/>
      <c r="T236" s="20"/>
      <c r="U236" s="28"/>
      <c r="V236" s="27"/>
      <c r="W236" s="28"/>
      <c r="X236" s="27"/>
      <c r="Y236" s="28"/>
      <c r="Z236" s="27"/>
      <c r="AA236" s="22">
        <f t="shared" si="30"/>
        <v>3386653</v>
      </c>
      <c r="AB236" s="78"/>
      <c r="AC236" s="79"/>
    </row>
    <row r="237" spans="2:29" ht="16.05" customHeight="1">
      <c r="B237" s="76"/>
      <c r="C237" s="23" t="s">
        <v>22</v>
      </c>
      <c r="D237" s="19">
        <v>45524</v>
      </c>
      <c r="E237" s="8">
        <v>956810</v>
      </c>
      <c r="F237" s="20">
        <v>6</v>
      </c>
      <c r="G237" s="66">
        <v>334870</v>
      </c>
      <c r="H237" s="20">
        <v>5</v>
      </c>
      <c r="I237" s="21">
        <v>902930</v>
      </c>
      <c r="J237" s="20">
        <v>2</v>
      </c>
      <c r="K237" s="21">
        <v>743830</v>
      </c>
      <c r="L237" s="20">
        <v>6</v>
      </c>
      <c r="M237" s="21"/>
      <c r="N237" s="20"/>
      <c r="O237" s="28"/>
      <c r="P237" s="27"/>
      <c r="Q237" s="21"/>
      <c r="R237" s="20"/>
      <c r="S237" s="21"/>
      <c r="T237" s="20"/>
      <c r="U237" s="28"/>
      <c r="V237" s="27"/>
      <c r="W237" s="28"/>
      <c r="X237" s="27"/>
      <c r="Y237" s="28"/>
      <c r="Z237" s="27"/>
      <c r="AA237" s="22">
        <f t="shared" si="30"/>
        <v>2938440</v>
      </c>
      <c r="AB237" s="78"/>
      <c r="AC237" s="79"/>
    </row>
    <row r="238" spans="2:29">
      <c r="B238" s="76"/>
      <c r="C238" s="23" t="s">
        <v>23</v>
      </c>
      <c r="D238" s="19">
        <v>45525</v>
      </c>
      <c r="E238" s="8">
        <v>774830</v>
      </c>
      <c r="F238" s="20">
        <v>10</v>
      </c>
      <c r="G238" s="21">
        <v>1511810</v>
      </c>
      <c r="H238" s="20">
        <v>9</v>
      </c>
      <c r="I238" s="21">
        <v>478930</v>
      </c>
      <c r="J238" s="29"/>
      <c r="K238" s="21">
        <v>969860</v>
      </c>
      <c r="L238" s="20">
        <v>9</v>
      </c>
      <c r="M238" s="21"/>
      <c r="N238" s="20"/>
      <c r="O238" s="28"/>
      <c r="P238" s="27"/>
      <c r="Q238" s="21"/>
      <c r="R238" s="20"/>
      <c r="S238" s="21"/>
      <c r="T238" s="20"/>
      <c r="U238" s="28"/>
      <c r="V238" s="27"/>
      <c r="W238" s="28"/>
      <c r="X238" s="27"/>
      <c r="Y238" s="28"/>
      <c r="Z238" s="27"/>
      <c r="AA238" s="22">
        <f t="shared" si="30"/>
        <v>3735430</v>
      </c>
      <c r="AB238" s="78"/>
      <c r="AC238" s="79"/>
    </row>
    <row r="239" spans="2:29">
      <c r="B239" s="76"/>
      <c r="C239" s="23" t="s">
        <v>24</v>
      </c>
      <c r="D239" s="19">
        <v>45526</v>
      </c>
      <c r="E239" s="8">
        <v>585900</v>
      </c>
      <c r="F239" s="20">
        <v>9</v>
      </c>
      <c r="G239" s="21">
        <v>434920</v>
      </c>
      <c r="H239" s="20">
        <v>6</v>
      </c>
      <c r="I239" s="21">
        <v>266900</v>
      </c>
      <c r="J239" s="20">
        <v>5</v>
      </c>
      <c r="K239" s="21">
        <v>2754610</v>
      </c>
      <c r="L239" s="20">
        <v>20</v>
      </c>
      <c r="M239" s="21"/>
      <c r="N239" s="20"/>
      <c r="O239" s="28"/>
      <c r="P239" s="27"/>
      <c r="Q239" s="21"/>
      <c r="R239" s="20"/>
      <c r="S239" s="21"/>
      <c r="T239" s="20"/>
      <c r="U239" s="28"/>
      <c r="V239" s="27"/>
      <c r="W239" s="28"/>
      <c r="X239" s="27"/>
      <c r="Y239" s="28"/>
      <c r="Z239" s="27"/>
      <c r="AA239" s="22">
        <f t="shared" si="30"/>
        <v>4042330</v>
      </c>
      <c r="AB239" s="78"/>
      <c r="AC239" s="79"/>
    </row>
    <row r="240" spans="2:29">
      <c r="B240" s="76"/>
      <c r="C240" s="23" t="s">
        <v>25</v>
      </c>
      <c r="D240" s="19">
        <v>45527</v>
      </c>
      <c r="E240" s="8">
        <v>2001980</v>
      </c>
      <c r="F240" s="31">
        <v>15</v>
      </c>
      <c r="G240" s="21">
        <v>534890</v>
      </c>
      <c r="H240" s="31">
        <v>11</v>
      </c>
      <c r="I240" s="21">
        <v>880830</v>
      </c>
      <c r="J240" s="31">
        <v>14</v>
      </c>
      <c r="K240" s="21">
        <v>2984490</v>
      </c>
      <c r="L240" s="31">
        <v>25</v>
      </c>
      <c r="M240" s="21"/>
      <c r="O240" s="28"/>
      <c r="P240" s="32"/>
      <c r="Q240" s="21"/>
      <c r="S240" s="28">
        <v>0</v>
      </c>
      <c r="T240" s="32">
        <v>0</v>
      </c>
      <c r="U240" s="28"/>
      <c r="V240" s="32"/>
      <c r="W240" s="28"/>
      <c r="X240" s="32"/>
      <c r="Y240" s="28"/>
      <c r="Z240" s="32"/>
      <c r="AA240" s="22">
        <f t="shared" si="30"/>
        <v>6402190</v>
      </c>
      <c r="AB240" s="78"/>
      <c r="AC240" s="79"/>
    </row>
    <row r="241" spans="2:29">
      <c r="B241" s="77"/>
      <c r="C241" s="33" t="s">
        <v>26</v>
      </c>
      <c r="D241" s="34">
        <v>45528</v>
      </c>
      <c r="E241" s="35">
        <v>1733730</v>
      </c>
      <c r="F241" s="36">
        <v>18</v>
      </c>
      <c r="G241" s="37"/>
      <c r="H241" s="36"/>
      <c r="I241" s="37">
        <v>1388720</v>
      </c>
      <c r="J241" s="36">
        <v>20</v>
      </c>
      <c r="K241" s="37"/>
      <c r="L241" s="36"/>
      <c r="M241" s="37">
        <v>790630</v>
      </c>
      <c r="N241" s="36">
        <v>98</v>
      </c>
      <c r="O241" s="38"/>
      <c r="P241" s="39"/>
      <c r="Q241" s="37"/>
      <c r="R241" s="36"/>
      <c r="S241" s="38">
        <v>0</v>
      </c>
      <c r="T241" s="39">
        <v>0</v>
      </c>
      <c r="U241" s="38"/>
      <c r="V241" s="39"/>
      <c r="W241" s="38"/>
      <c r="X241" s="39"/>
      <c r="Y241" s="38"/>
      <c r="Z241" s="39"/>
      <c r="AA241" s="22">
        <f t="shared" si="30"/>
        <v>3913080</v>
      </c>
      <c r="AB241" s="78"/>
      <c r="AC241" s="79"/>
    </row>
    <row r="242" spans="2:29" ht="16.05" customHeight="1">
      <c r="B242" s="75" t="s">
        <v>62</v>
      </c>
      <c r="C242" s="18" t="s">
        <v>20</v>
      </c>
      <c r="D242" s="19">
        <v>45529</v>
      </c>
      <c r="E242" s="40"/>
      <c r="F242" s="41"/>
      <c r="G242" s="42"/>
      <c r="H242" s="41"/>
      <c r="I242" s="42"/>
      <c r="J242" s="41"/>
      <c r="K242" s="42"/>
      <c r="L242" s="41"/>
      <c r="M242" s="42"/>
      <c r="N242" s="41"/>
      <c r="O242" s="49"/>
      <c r="P242" s="50"/>
      <c r="Q242" s="21"/>
      <c r="R242" s="20"/>
      <c r="S242" s="21"/>
      <c r="T242" s="20"/>
      <c r="U242" s="28"/>
      <c r="V242" s="27"/>
      <c r="W242" s="28"/>
      <c r="X242" s="27"/>
      <c r="Y242" s="28"/>
      <c r="Z242" s="27"/>
      <c r="AA242" s="22">
        <f t="shared" si="30"/>
        <v>0</v>
      </c>
      <c r="AB242" s="78">
        <f t="shared" ref="AB242" si="37">SUM(AA242:AA248)</f>
        <v>0</v>
      </c>
      <c r="AC242" s="79">
        <v>23398330</v>
      </c>
    </row>
    <row r="243" spans="2:29">
      <c r="B243" s="76"/>
      <c r="C243" s="23" t="s">
        <v>21</v>
      </c>
      <c r="D243" s="19">
        <v>45530</v>
      </c>
      <c r="E243" s="8"/>
      <c r="F243" s="20"/>
      <c r="G243" s="21"/>
      <c r="H243" s="20"/>
      <c r="I243" s="21"/>
      <c r="J243" s="20"/>
      <c r="K243" s="21"/>
      <c r="L243" s="20"/>
      <c r="M243" s="21"/>
      <c r="N243" s="20"/>
      <c r="O243" s="28"/>
      <c r="P243" s="27"/>
      <c r="Q243" s="21"/>
      <c r="R243" s="20"/>
      <c r="S243" s="21"/>
      <c r="T243" s="20"/>
      <c r="U243" s="28"/>
      <c r="V243" s="27"/>
      <c r="W243" s="28"/>
      <c r="X243" s="27"/>
      <c r="Y243" s="28"/>
      <c r="Z243" s="27"/>
      <c r="AA243" s="22">
        <f t="shared" si="30"/>
        <v>0</v>
      </c>
      <c r="AB243" s="78"/>
      <c r="AC243" s="79"/>
    </row>
    <row r="244" spans="2:29" ht="16.05" customHeight="1">
      <c r="B244" s="76"/>
      <c r="C244" s="23" t="s">
        <v>22</v>
      </c>
      <c r="D244" s="19">
        <v>45531</v>
      </c>
      <c r="E244" s="8"/>
      <c r="F244" s="20"/>
      <c r="G244" s="21"/>
      <c r="H244" s="20"/>
      <c r="I244" s="21"/>
      <c r="J244" s="20"/>
      <c r="K244" s="21"/>
      <c r="L244" s="20"/>
      <c r="M244" s="21"/>
      <c r="N244" s="20"/>
      <c r="O244" s="28"/>
      <c r="P244" s="27"/>
      <c r="Q244" s="21"/>
      <c r="R244" s="20"/>
      <c r="S244" s="21"/>
      <c r="T244" s="20"/>
      <c r="U244" s="28"/>
      <c r="V244" s="27"/>
      <c r="W244" s="28"/>
      <c r="X244" s="27"/>
      <c r="Y244" s="28"/>
      <c r="Z244" s="27"/>
      <c r="AA244" s="22">
        <f t="shared" si="30"/>
        <v>0</v>
      </c>
      <c r="AB244" s="78"/>
      <c r="AC244" s="79"/>
    </row>
    <row r="245" spans="2:29">
      <c r="B245" s="76"/>
      <c r="C245" s="23" t="s">
        <v>23</v>
      </c>
      <c r="D245" s="19">
        <v>45532</v>
      </c>
      <c r="E245" s="8"/>
      <c r="F245" s="20"/>
      <c r="G245" s="21"/>
      <c r="H245" s="20"/>
      <c r="I245" s="21"/>
      <c r="J245" s="20"/>
      <c r="K245" s="21"/>
      <c r="L245" s="20"/>
      <c r="M245" s="21"/>
      <c r="N245" s="20"/>
      <c r="O245" s="28"/>
      <c r="P245" s="27"/>
      <c r="Q245" s="21"/>
      <c r="R245" s="20"/>
      <c r="S245" s="21"/>
      <c r="T245" s="20"/>
      <c r="U245" s="28"/>
      <c r="V245" s="27"/>
      <c r="W245" s="28"/>
      <c r="X245" s="27"/>
      <c r="Y245" s="28"/>
      <c r="Z245" s="27"/>
      <c r="AA245" s="22">
        <f t="shared" si="30"/>
        <v>0</v>
      </c>
      <c r="AB245" s="78"/>
      <c r="AC245" s="79"/>
    </row>
    <row r="246" spans="2:29">
      <c r="B246" s="76"/>
      <c r="C246" s="23" t="s">
        <v>24</v>
      </c>
      <c r="D246" s="19">
        <v>45533</v>
      </c>
      <c r="E246" s="8"/>
      <c r="F246" s="20"/>
      <c r="G246" s="21"/>
      <c r="H246" s="20"/>
      <c r="I246" s="21"/>
      <c r="J246" s="20"/>
      <c r="K246" s="21"/>
      <c r="L246" s="20"/>
      <c r="M246" s="21"/>
      <c r="N246" s="20"/>
      <c r="O246" s="28"/>
      <c r="P246" s="27"/>
      <c r="Q246" s="21"/>
      <c r="R246" s="20"/>
      <c r="S246" s="21"/>
      <c r="T246" s="20"/>
      <c r="U246" s="28"/>
      <c r="V246" s="27"/>
      <c r="W246" s="28"/>
      <c r="X246" s="27"/>
      <c r="Y246" s="28"/>
      <c r="Z246" s="27"/>
      <c r="AA246" s="22">
        <f t="shared" si="30"/>
        <v>0</v>
      </c>
      <c r="AB246" s="78"/>
      <c r="AC246" s="79"/>
    </row>
    <row r="247" spans="2:29">
      <c r="B247" s="76"/>
      <c r="C247" s="23" t="s">
        <v>25</v>
      </c>
      <c r="D247" s="19">
        <v>45534</v>
      </c>
      <c r="E247" s="8"/>
      <c r="G247" s="21"/>
      <c r="I247" s="21"/>
      <c r="K247" s="21"/>
      <c r="M247" s="21"/>
      <c r="O247" s="28"/>
      <c r="P247" s="32"/>
      <c r="Q247" s="21"/>
      <c r="S247" s="28">
        <v>0</v>
      </c>
      <c r="T247" s="32">
        <v>0</v>
      </c>
      <c r="U247" s="28"/>
      <c r="V247" s="32"/>
      <c r="W247" s="28"/>
      <c r="X247" s="32"/>
      <c r="Y247" s="28"/>
      <c r="Z247" s="32"/>
      <c r="AA247" s="22">
        <f t="shared" si="30"/>
        <v>0</v>
      </c>
      <c r="AB247" s="78"/>
      <c r="AC247" s="79"/>
    </row>
    <row r="248" spans="2:29">
      <c r="B248" s="77"/>
      <c r="C248" s="33" t="s">
        <v>26</v>
      </c>
      <c r="D248" s="34">
        <v>45535</v>
      </c>
      <c r="E248" s="35"/>
      <c r="F248" s="36"/>
      <c r="G248" s="37"/>
      <c r="H248" s="36"/>
      <c r="I248" s="37"/>
      <c r="J248" s="36"/>
      <c r="K248" s="37"/>
      <c r="L248" s="36"/>
      <c r="M248" s="37"/>
      <c r="N248" s="36"/>
      <c r="O248" s="38"/>
      <c r="P248" s="39"/>
      <c r="Q248" s="37"/>
      <c r="R248" s="36"/>
      <c r="S248" s="38">
        <v>0</v>
      </c>
      <c r="T248" s="39">
        <v>0</v>
      </c>
      <c r="U248" s="38"/>
      <c r="V248" s="39"/>
      <c r="W248" s="38"/>
      <c r="X248" s="39"/>
      <c r="Y248" s="38"/>
      <c r="Z248" s="39"/>
      <c r="AA248" s="22">
        <f t="shared" si="30"/>
        <v>0</v>
      </c>
      <c r="AB248" s="78"/>
      <c r="AC248" s="79"/>
    </row>
    <row r="249" spans="2:29" ht="16.05" customHeight="1">
      <c r="B249" s="75" t="s">
        <v>63</v>
      </c>
      <c r="C249" s="18" t="s">
        <v>20</v>
      </c>
      <c r="D249" s="19">
        <v>45536</v>
      </c>
      <c r="E249" s="40"/>
      <c r="F249" s="41"/>
      <c r="G249" s="42"/>
      <c r="H249" s="41"/>
      <c r="I249" s="42"/>
      <c r="J249" s="41"/>
      <c r="K249" s="42"/>
      <c r="L249" s="41"/>
      <c r="M249" s="42"/>
      <c r="N249" s="41"/>
      <c r="O249" s="49"/>
      <c r="P249" s="50"/>
      <c r="Q249" s="21"/>
      <c r="R249" s="20"/>
      <c r="S249" s="21"/>
      <c r="T249" s="20"/>
      <c r="U249" s="28"/>
      <c r="V249" s="27"/>
      <c r="W249" s="28"/>
      <c r="X249" s="27"/>
      <c r="Y249" s="28"/>
      <c r="Z249" s="27"/>
      <c r="AA249" s="22">
        <f t="shared" si="30"/>
        <v>0</v>
      </c>
      <c r="AB249" s="78">
        <f t="shared" ref="AB249" si="38">SUM(AA249:AA255)</f>
        <v>0</v>
      </c>
      <c r="AC249" s="79">
        <v>24577650</v>
      </c>
    </row>
    <row r="250" spans="2:29">
      <c r="B250" s="76"/>
      <c r="C250" s="23" t="s">
        <v>21</v>
      </c>
      <c r="D250" s="19">
        <v>45537</v>
      </c>
      <c r="E250" s="8"/>
      <c r="F250" s="20"/>
      <c r="G250" s="21"/>
      <c r="H250" s="20"/>
      <c r="I250" s="21"/>
      <c r="J250" s="20"/>
      <c r="K250" s="21"/>
      <c r="L250" s="20"/>
      <c r="M250" s="21"/>
      <c r="N250" s="20"/>
      <c r="O250" s="28"/>
      <c r="P250" s="27"/>
      <c r="Q250" s="21"/>
      <c r="R250" s="20"/>
      <c r="S250" s="21"/>
      <c r="T250" s="20"/>
      <c r="U250" s="28"/>
      <c r="V250" s="27"/>
      <c r="W250" s="28"/>
      <c r="X250" s="27"/>
      <c r="Y250" s="28"/>
      <c r="Z250" s="27"/>
      <c r="AA250" s="22">
        <f t="shared" si="30"/>
        <v>0</v>
      </c>
      <c r="AB250" s="78"/>
      <c r="AC250" s="79"/>
    </row>
    <row r="251" spans="2:29" ht="16.05" customHeight="1">
      <c r="B251" s="76"/>
      <c r="C251" s="23" t="s">
        <v>22</v>
      </c>
      <c r="D251" s="19">
        <v>45538</v>
      </c>
      <c r="E251" s="8"/>
      <c r="F251" s="20"/>
      <c r="G251" s="21"/>
      <c r="H251" s="20"/>
      <c r="I251" s="21"/>
      <c r="J251" s="20"/>
      <c r="K251" s="21"/>
      <c r="L251" s="20"/>
      <c r="M251" s="21"/>
      <c r="N251" s="20"/>
      <c r="O251" s="28"/>
      <c r="P251" s="27"/>
      <c r="Q251" s="21"/>
      <c r="R251" s="20"/>
      <c r="S251" s="21"/>
      <c r="T251" s="20"/>
      <c r="U251" s="28"/>
      <c r="V251" s="27"/>
      <c r="W251" s="28"/>
      <c r="X251" s="27"/>
      <c r="Y251" s="28"/>
      <c r="Z251" s="27"/>
      <c r="AA251" s="22">
        <f t="shared" si="30"/>
        <v>0</v>
      </c>
      <c r="AB251" s="78"/>
      <c r="AC251" s="79"/>
    </row>
    <row r="252" spans="2:29">
      <c r="B252" s="76"/>
      <c r="C252" s="23" t="s">
        <v>23</v>
      </c>
      <c r="D252" s="19">
        <v>45539</v>
      </c>
      <c r="E252" s="8"/>
      <c r="F252" s="20"/>
      <c r="G252" s="21"/>
      <c r="H252" s="20"/>
      <c r="I252" s="21"/>
      <c r="J252" s="20"/>
      <c r="K252" s="21"/>
      <c r="L252" s="20"/>
      <c r="M252" s="21"/>
      <c r="N252" s="20"/>
      <c r="O252" s="28"/>
      <c r="P252" s="27"/>
      <c r="Q252" s="21"/>
      <c r="R252" s="20"/>
      <c r="S252" s="21"/>
      <c r="T252" s="20"/>
      <c r="U252" s="28"/>
      <c r="V252" s="27"/>
      <c r="W252" s="28"/>
      <c r="X252" s="27"/>
      <c r="Y252" s="28"/>
      <c r="Z252" s="27"/>
      <c r="AA252" s="22">
        <f t="shared" si="30"/>
        <v>0</v>
      </c>
      <c r="AB252" s="78"/>
      <c r="AC252" s="79"/>
    </row>
    <row r="253" spans="2:29">
      <c r="B253" s="76"/>
      <c r="C253" s="23" t="s">
        <v>24</v>
      </c>
      <c r="D253" s="19">
        <v>45540</v>
      </c>
      <c r="E253" s="8"/>
      <c r="F253" s="20"/>
      <c r="G253" s="21"/>
      <c r="H253" s="20"/>
      <c r="I253" s="21"/>
      <c r="J253" s="20"/>
      <c r="K253" s="21"/>
      <c r="L253" s="20"/>
      <c r="M253" s="21"/>
      <c r="N253" s="20"/>
      <c r="O253" s="28"/>
      <c r="P253" s="27"/>
      <c r="Q253" s="21"/>
      <c r="R253" s="20"/>
      <c r="S253" s="21"/>
      <c r="T253" s="20"/>
      <c r="U253" s="28"/>
      <c r="V253" s="27"/>
      <c r="W253" s="28"/>
      <c r="X253" s="27"/>
      <c r="Y253" s="28"/>
      <c r="Z253" s="27"/>
      <c r="AA253" s="22">
        <f t="shared" si="30"/>
        <v>0</v>
      </c>
      <c r="AB253" s="78"/>
      <c r="AC253" s="79"/>
    </row>
    <row r="254" spans="2:29">
      <c r="B254" s="76"/>
      <c r="C254" s="23" t="s">
        <v>25</v>
      </c>
      <c r="D254" s="19">
        <v>45541</v>
      </c>
      <c r="E254" s="8"/>
      <c r="G254" s="21"/>
      <c r="I254" s="21"/>
      <c r="K254" s="21"/>
      <c r="M254" s="21"/>
      <c r="O254" s="28"/>
      <c r="P254" s="32"/>
      <c r="Q254" s="21"/>
      <c r="S254" s="28">
        <v>0</v>
      </c>
      <c r="T254" s="32">
        <v>0</v>
      </c>
      <c r="U254" s="28"/>
      <c r="V254" s="32"/>
      <c r="W254" s="28"/>
      <c r="X254" s="32"/>
      <c r="Y254" s="28"/>
      <c r="Z254" s="32"/>
      <c r="AA254" s="22">
        <f t="shared" si="30"/>
        <v>0</v>
      </c>
      <c r="AB254" s="78"/>
      <c r="AC254" s="79"/>
    </row>
    <row r="255" spans="2:29">
      <c r="B255" s="77"/>
      <c r="C255" s="33" t="s">
        <v>26</v>
      </c>
      <c r="D255" s="34">
        <v>45542</v>
      </c>
      <c r="E255" s="35"/>
      <c r="F255" s="36"/>
      <c r="G255" s="37"/>
      <c r="H255" s="36"/>
      <c r="I255" s="37"/>
      <c r="J255" s="36"/>
      <c r="K255" s="37"/>
      <c r="L255" s="36"/>
      <c r="M255" s="37"/>
      <c r="N255" s="36"/>
      <c r="O255" s="38"/>
      <c r="P255" s="39"/>
      <c r="Q255" s="37"/>
      <c r="R255" s="36"/>
      <c r="S255" s="38">
        <v>0</v>
      </c>
      <c r="T255" s="39">
        <v>0</v>
      </c>
      <c r="U255" s="38"/>
      <c r="V255" s="39"/>
      <c r="W255" s="38"/>
      <c r="X255" s="39"/>
      <c r="Y255" s="38"/>
      <c r="Z255" s="39"/>
      <c r="AA255" s="22">
        <f t="shared" si="30"/>
        <v>0</v>
      </c>
      <c r="AB255" s="78"/>
      <c r="AC255" s="79"/>
    </row>
    <row r="256" spans="2:29" ht="16.05" customHeight="1">
      <c r="B256" s="75" t="s">
        <v>64</v>
      </c>
      <c r="C256" s="18" t="s">
        <v>20</v>
      </c>
      <c r="D256" s="19">
        <v>45543</v>
      </c>
      <c r="E256" s="40"/>
      <c r="F256" s="41"/>
      <c r="G256" s="42"/>
      <c r="H256" s="41"/>
      <c r="I256" s="42"/>
      <c r="J256" s="41"/>
      <c r="K256" s="42"/>
      <c r="L256" s="41"/>
      <c r="M256" s="42"/>
      <c r="N256" s="41"/>
      <c r="O256" s="49"/>
      <c r="P256" s="50"/>
      <c r="Q256" s="21"/>
      <c r="R256" s="20"/>
      <c r="S256" s="21"/>
      <c r="T256" s="20"/>
      <c r="U256" s="28"/>
      <c r="V256" s="27"/>
      <c r="W256" s="28"/>
      <c r="X256" s="27"/>
      <c r="Y256" s="28"/>
      <c r="Z256" s="27"/>
      <c r="AA256" s="22">
        <f t="shared" si="30"/>
        <v>0</v>
      </c>
      <c r="AB256" s="78">
        <f t="shared" ref="AB256" si="39">SUM(AA256:AA262)</f>
        <v>0</v>
      </c>
      <c r="AC256" s="79">
        <v>25933910</v>
      </c>
    </row>
    <row r="257" spans="2:29">
      <c r="B257" s="76"/>
      <c r="C257" s="23" t="s">
        <v>21</v>
      </c>
      <c r="D257" s="19">
        <v>45544</v>
      </c>
      <c r="E257" s="8"/>
      <c r="F257" s="20"/>
      <c r="G257" s="21"/>
      <c r="H257" s="20"/>
      <c r="I257" s="21"/>
      <c r="J257" s="20"/>
      <c r="K257" s="21"/>
      <c r="L257" s="20"/>
      <c r="M257" s="21"/>
      <c r="N257" s="20"/>
      <c r="O257" s="28"/>
      <c r="P257" s="27"/>
      <c r="Q257" s="21"/>
      <c r="R257" s="20"/>
      <c r="S257" s="21"/>
      <c r="T257" s="20"/>
      <c r="U257" s="28"/>
      <c r="V257" s="27"/>
      <c r="W257" s="28"/>
      <c r="X257" s="27"/>
      <c r="Y257" s="28"/>
      <c r="Z257" s="27"/>
      <c r="AA257" s="22">
        <f t="shared" si="30"/>
        <v>0</v>
      </c>
      <c r="AB257" s="78"/>
      <c r="AC257" s="79"/>
    </row>
    <row r="258" spans="2:29" ht="16.05" customHeight="1">
      <c r="B258" s="76"/>
      <c r="C258" s="23" t="s">
        <v>22</v>
      </c>
      <c r="D258" s="19">
        <v>45545</v>
      </c>
      <c r="E258" s="8"/>
      <c r="F258" s="20"/>
      <c r="G258" s="21"/>
      <c r="H258" s="20"/>
      <c r="I258" s="21"/>
      <c r="J258" s="20"/>
      <c r="K258" s="21"/>
      <c r="L258" s="20"/>
      <c r="M258" s="21"/>
      <c r="N258" s="20"/>
      <c r="O258" s="28"/>
      <c r="P258" s="27"/>
      <c r="Q258" s="21"/>
      <c r="R258" s="20"/>
      <c r="S258" s="21"/>
      <c r="T258" s="20"/>
      <c r="U258" s="28"/>
      <c r="V258" s="27"/>
      <c r="W258" s="28"/>
      <c r="X258" s="27"/>
      <c r="Y258" s="28"/>
      <c r="Z258" s="27"/>
      <c r="AA258" s="22">
        <f t="shared" si="30"/>
        <v>0</v>
      </c>
      <c r="AB258" s="78"/>
      <c r="AC258" s="79"/>
    </row>
    <row r="259" spans="2:29">
      <c r="B259" s="76"/>
      <c r="C259" s="23" t="s">
        <v>23</v>
      </c>
      <c r="D259" s="19">
        <v>45546</v>
      </c>
      <c r="E259" s="8"/>
      <c r="F259" s="20"/>
      <c r="G259" s="21"/>
      <c r="H259" s="20"/>
      <c r="I259" s="21"/>
      <c r="J259" s="20"/>
      <c r="K259" s="21"/>
      <c r="L259" s="20"/>
      <c r="M259" s="21"/>
      <c r="N259" s="20"/>
      <c r="O259" s="28"/>
      <c r="P259" s="27"/>
      <c r="Q259" s="21"/>
      <c r="R259" s="20"/>
      <c r="S259" s="21"/>
      <c r="T259" s="20"/>
      <c r="U259" s="28"/>
      <c r="V259" s="27"/>
      <c r="W259" s="28"/>
      <c r="X259" s="27"/>
      <c r="Y259" s="28"/>
      <c r="Z259" s="27"/>
      <c r="AA259" s="22">
        <f t="shared" si="30"/>
        <v>0</v>
      </c>
      <c r="AB259" s="78"/>
      <c r="AC259" s="79"/>
    </row>
    <row r="260" spans="2:29">
      <c r="B260" s="76"/>
      <c r="C260" s="23" t="s">
        <v>24</v>
      </c>
      <c r="D260" s="19">
        <v>45547</v>
      </c>
      <c r="E260" s="8"/>
      <c r="F260" s="20"/>
      <c r="G260" s="21"/>
      <c r="H260" s="20"/>
      <c r="I260" s="21"/>
      <c r="J260" s="20"/>
      <c r="K260" s="21"/>
      <c r="L260" s="20"/>
      <c r="M260" s="21"/>
      <c r="N260" s="20"/>
      <c r="O260" s="28"/>
      <c r="P260" s="27"/>
      <c r="Q260" s="21"/>
      <c r="R260" s="20"/>
      <c r="S260" s="21"/>
      <c r="T260" s="20"/>
      <c r="U260" s="28"/>
      <c r="V260" s="27"/>
      <c r="W260" s="28"/>
      <c r="X260" s="27"/>
      <c r="Y260" s="28"/>
      <c r="Z260" s="27"/>
      <c r="AA260" s="22">
        <f t="shared" si="30"/>
        <v>0</v>
      </c>
      <c r="AB260" s="78"/>
      <c r="AC260" s="79"/>
    </row>
    <row r="261" spans="2:29">
      <c r="B261" s="76"/>
      <c r="C261" s="23" t="s">
        <v>25</v>
      </c>
      <c r="D261" s="19">
        <v>45548</v>
      </c>
      <c r="E261" s="8"/>
      <c r="G261" s="21"/>
      <c r="I261" s="21"/>
      <c r="K261" s="21"/>
      <c r="M261" s="21"/>
      <c r="O261" s="28"/>
      <c r="P261" s="32"/>
      <c r="Q261" s="21"/>
      <c r="S261" s="28">
        <v>0</v>
      </c>
      <c r="T261" s="32">
        <v>0</v>
      </c>
      <c r="U261" s="28"/>
      <c r="V261" s="32"/>
      <c r="W261" s="28"/>
      <c r="X261" s="32"/>
      <c r="Y261" s="28"/>
      <c r="Z261" s="32"/>
      <c r="AA261" s="22">
        <f t="shared" ref="AA261:AA324" si="40">E261+G261+I261+K261+M261+O261+Q261+S261+U261+W261+Y261</f>
        <v>0</v>
      </c>
      <c r="AB261" s="78"/>
      <c r="AC261" s="79"/>
    </row>
    <row r="262" spans="2:29">
      <c r="B262" s="77"/>
      <c r="C262" s="33" t="s">
        <v>26</v>
      </c>
      <c r="D262" s="34">
        <v>45549</v>
      </c>
      <c r="E262" s="35"/>
      <c r="F262" s="36"/>
      <c r="G262" s="37"/>
      <c r="H262" s="36"/>
      <c r="I262" s="37"/>
      <c r="J262" s="36"/>
      <c r="K262" s="37"/>
      <c r="L262" s="36"/>
      <c r="M262" s="37"/>
      <c r="N262" s="36"/>
      <c r="O262" s="38"/>
      <c r="P262" s="39"/>
      <c r="Q262" s="37"/>
      <c r="R262" s="36"/>
      <c r="S262" s="38">
        <v>0</v>
      </c>
      <c r="T262" s="39">
        <v>0</v>
      </c>
      <c r="U262" s="38"/>
      <c r="V262" s="39"/>
      <c r="W262" s="38"/>
      <c r="X262" s="39"/>
      <c r="Y262" s="38"/>
      <c r="Z262" s="39"/>
      <c r="AA262" s="22">
        <f t="shared" si="40"/>
        <v>0</v>
      </c>
      <c r="AB262" s="78"/>
      <c r="AC262" s="79"/>
    </row>
    <row r="263" spans="2:29" ht="16.05" customHeight="1">
      <c r="B263" s="75" t="s">
        <v>65</v>
      </c>
      <c r="C263" s="18" t="s">
        <v>20</v>
      </c>
      <c r="D263" s="19">
        <v>45550</v>
      </c>
      <c r="E263" s="40"/>
      <c r="F263" s="41"/>
      <c r="G263" s="42"/>
      <c r="H263" s="41"/>
      <c r="I263" s="42"/>
      <c r="J263" s="41"/>
      <c r="K263" s="42"/>
      <c r="L263" s="41"/>
      <c r="M263" s="42"/>
      <c r="N263" s="41"/>
      <c r="O263" s="49"/>
      <c r="P263" s="50"/>
      <c r="Q263" s="21"/>
      <c r="R263" s="20"/>
      <c r="S263" s="21"/>
      <c r="T263" s="20"/>
      <c r="U263" s="28"/>
      <c r="V263" s="27"/>
      <c r="W263" s="21"/>
      <c r="X263" s="20"/>
      <c r="Y263" s="21"/>
      <c r="Z263" s="20"/>
      <c r="AA263" s="22">
        <f t="shared" si="40"/>
        <v>0</v>
      </c>
      <c r="AB263" s="78">
        <f t="shared" ref="AB263" si="41">SUM(AA263:AA269)</f>
        <v>0</v>
      </c>
      <c r="AC263" s="79">
        <v>26214100</v>
      </c>
    </row>
    <row r="264" spans="2:29">
      <c r="B264" s="76"/>
      <c r="C264" s="23" t="s">
        <v>21</v>
      </c>
      <c r="D264" s="19">
        <v>45551</v>
      </c>
      <c r="E264" s="8"/>
      <c r="F264" s="20"/>
      <c r="G264" s="21"/>
      <c r="H264" s="20"/>
      <c r="I264" s="21"/>
      <c r="J264" s="20"/>
      <c r="K264" s="21"/>
      <c r="L264" s="20"/>
      <c r="M264" s="21"/>
      <c r="N264" s="20"/>
      <c r="O264" s="28"/>
      <c r="P264" s="27"/>
      <c r="Q264" s="21"/>
      <c r="R264" s="20"/>
      <c r="S264" s="21"/>
      <c r="T264" s="20"/>
      <c r="U264" s="28"/>
      <c r="V264" s="27"/>
      <c r="W264" s="21"/>
      <c r="X264" s="20"/>
      <c r="Y264" s="21"/>
      <c r="Z264" s="20"/>
      <c r="AA264" s="22">
        <f t="shared" si="40"/>
        <v>0</v>
      </c>
      <c r="AB264" s="78"/>
      <c r="AC264" s="79"/>
    </row>
    <row r="265" spans="2:29" ht="16.05" customHeight="1">
      <c r="B265" s="76"/>
      <c r="C265" s="23" t="s">
        <v>22</v>
      </c>
      <c r="D265" s="19">
        <v>45552</v>
      </c>
      <c r="E265" s="8"/>
      <c r="F265" s="20"/>
      <c r="G265" s="21"/>
      <c r="H265" s="20"/>
      <c r="I265" s="21"/>
      <c r="J265" s="20"/>
      <c r="K265" s="21"/>
      <c r="L265" s="20"/>
      <c r="M265" s="21"/>
      <c r="N265" s="20"/>
      <c r="O265" s="28"/>
      <c r="P265" s="27"/>
      <c r="Q265" s="21"/>
      <c r="R265" s="20"/>
      <c r="S265" s="21"/>
      <c r="T265" s="20"/>
      <c r="U265" s="28"/>
      <c r="V265" s="27"/>
      <c r="W265" s="21"/>
      <c r="X265" s="20"/>
      <c r="Y265" s="21"/>
      <c r="Z265" s="20"/>
      <c r="AA265" s="22">
        <f t="shared" si="40"/>
        <v>0</v>
      </c>
      <c r="AB265" s="78"/>
      <c r="AC265" s="79"/>
    </row>
    <row r="266" spans="2:29">
      <c r="B266" s="76"/>
      <c r="C266" s="23" t="s">
        <v>23</v>
      </c>
      <c r="D266" s="19">
        <v>45553</v>
      </c>
      <c r="E266" s="8"/>
      <c r="F266" s="20"/>
      <c r="G266" s="21"/>
      <c r="H266" s="20"/>
      <c r="I266" s="21"/>
      <c r="J266" s="20"/>
      <c r="K266" s="21"/>
      <c r="L266" s="20"/>
      <c r="M266" s="21"/>
      <c r="N266" s="20"/>
      <c r="O266" s="28"/>
      <c r="P266" s="27"/>
      <c r="Q266" s="21"/>
      <c r="R266" s="20"/>
      <c r="S266" s="21"/>
      <c r="T266" s="20"/>
      <c r="U266" s="28"/>
      <c r="V266" s="27"/>
      <c r="W266" s="21"/>
      <c r="X266" s="20"/>
      <c r="Y266" s="21"/>
      <c r="Z266" s="20"/>
      <c r="AA266" s="22">
        <f t="shared" si="40"/>
        <v>0</v>
      </c>
      <c r="AB266" s="78"/>
      <c r="AC266" s="79"/>
    </row>
    <row r="267" spans="2:29">
      <c r="B267" s="76"/>
      <c r="C267" s="23" t="s">
        <v>24</v>
      </c>
      <c r="D267" s="19">
        <v>45554</v>
      </c>
      <c r="E267" s="8"/>
      <c r="F267" s="20"/>
      <c r="G267" s="21"/>
      <c r="H267" s="20"/>
      <c r="I267" s="21"/>
      <c r="J267" s="20"/>
      <c r="K267" s="21"/>
      <c r="L267" s="20"/>
      <c r="M267" s="21"/>
      <c r="N267" s="20"/>
      <c r="O267" s="28"/>
      <c r="P267" s="27"/>
      <c r="Q267" s="21"/>
      <c r="R267" s="20"/>
      <c r="S267" s="21"/>
      <c r="T267" s="20"/>
      <c r="U267" s="28"/>
      <c r="V267" s="27"/>
      <c r="W267" s="21"/>
      <c r="X267" s="20"/>
      <c r="Y267" s="21"/>
      <c r="Z267" s="20"/>
      <c r="AA267" s="22">
        <f t="shared" si="40"/>
        <v>0</v>
      </c>
      <c r="AB267" s="78"/>
      <c r="AC267" s="79"/>
    </row>
    <row r="268" spans="2:29">
      <c r="B268" s="76"/>
      <c r="C268" s="23" t="s">
        <v>25</v>
      </c>
      <c r="D268" s="19">
        <v>45555</v>
      </c>
      <c r="E268" s="8"/>
      <c r="G268" s="21"/>
      <c r="I268" s="21"/>
      <c r="K268" s="21"/>
      <c r="M268" s="21"/>
      <c r="O268" s="28"/>
      <c r="P268" s="32"/>
      <c r="Q268" s="21"/>
      <c r="S268" s="28">
        <v>0</v>
      </c>
      <c r="T268" s="32">
        <v>0</v>
      </c>
      <c r="U268" s="28"/>
      <c r="V268" s="32"/>
      <c r="W268" s="28">
        <v>0</v>
      </c>
      <c r="X268" s="32">
        <v>0</v>
      </c>
      <c r="Y268" s="21"/>
      <c r="AA268" s="22">
        <f t="shared" si="40"/>
        <v>0</v>
      </c>
      <c r="AB268" s="78"/>
      <c r="AC268" s="79"/>
    </row>
    <row r="269" spans="2:29">
      <c r="B269" s="77"/>
      <c r="C269" s="33" t="s">
        <v>26</v>
      </c>
      <c r="D269" s="34">
        <v>45556</v>
      </c>
      <c r="E269" s="35"/>
      <c r="F269" s="36"/>
      <c r="G269" s="37"/>
      <c r="H269" s="36"/>
      <c r="I269" s="37"/>
      <c r="J269" s="36"/>
      <c r="K269" s="37"/>
      <c r="L269" s="36"/>
      <c r="M269" s="37"/>
      <c r="N269" s="36"/>
      <c r="O269" s="38"/>
      <c r="P269" s="39"/>
      <c r="Q269" s="37"/>
      <c r="R269" s="36"/>
      <c r="S269" s="38">
        <v>0</v>
      </c>
      <c r="T269" s="39">
        <v>0</v>
      </c>
      <c r="U269" s="38"/>
      <c r="V269" s="39"/>
      <c r="W269" s="38">
        <v>0</v>
      </c>
      <c r="X269" s="39">
        <v>0</v>
      </c>
      <c r="Y269" s="37"/>
      <c r="Z269" s="36"/>
      <c r="AA269" s="22">
        <f t="shared" si="40"/>
        <v>0</v>
      </c>
      <c r="AB269" s="78"/>
      <c r="AC269" s="79"/>
    </row>
    <row r="270" spans="2:29" ht="16.05" customHeight="1">
      <c r="B270" s="75" t="s">
        <v>66</v>
      </c>
      <c r="C270" s="18" t="s">
        <v>20</v>
      </c>
      <c r="D270" s="19">
        <v>45557</v>
      </c>
      <c r="E270" s="40"/>
      <c r="F270" s="41"/>
      <c r="G270" s="42"/>
      <c r="H270" s="41"/>
      <c r="I270" s="42"/>
      <c r="J270" s="41"/>
      <c r="K270" s="42"/>
      <c r="L270" s="41"/>
      <c r="M270" s="42"/>
      <c r="N270" s="41"/>
      <c r="O270" s="49"/>
      <c r="P270" s="50"/>
      <c r="Q270" s="21"/>
      <c r="R270" s="20"/>
      <c r="S270" s="21"/>
      <c r="T270" s="20"/>
      <c r="U270" s="28"/>
      <c r="V270" s="27"/>
      <c r="W270" s="21"/>
      <c r="X270" s="20"/>
      <c r="Y270" s="21"/>
      <c r="Z270" s="20"/>
      <c r="AA270" s="22">
        <f t="shared" si="40"/>
        <v>0</v>
      </c>
      <c r="AB270" s="78">
        <f t="shared" ref="AB270" si="42">SUM(AA270:AA276)</f>
        <v>0</v>
      </c>
      <c r="AC270" s="79">
        <v>27628020</v>
      </c>
    </row>
    <row r="271" spans="2:29">
      <c r="B271" s="76"/>
      <c r="C271" s="23" t="s">
        <v>21</v>
      </c>
      <c r="D271" s="19">
        <v>45558</v>
      </c>
      <c r="E271" s="8"/>
      <c r="F271" s="20"/>
      <c r="G271" s="21"/>
      <c r="H271" s="20"/>
      <c r="I271" s="21"/>
      <c r="J271" s="20"/>
      <c r="K271" s="21"/>
      <c r="L271" s="20"/>
      <c r="M271" s="21"/>
      <c r="N271" s="20"/>
      <c r="O271" s="28"/>
      <c r="P271" s="27"/>
      <c r="Q271" s="21"/>
      <c r="R271" s="20"/>
      <c r="S271" s="21"/>
      <c r="T271" s="20"/>
      <c r="U271" s="28"/>
      <c r="V271" s="27"/>
      <c r="W271" s="21"/>
      <c r="X271" s="20"/>
      <c r="Y271" s="21"/>
      <c r="Z271" s="20"/>
      <c r="AA271" s="22">
        <f t="shared" si="40"/>
        <v>0</v>
      </c>
      <c r="AB271" s="78"/>
      <c r="AC271" s="79"/>
    </row>
    <row r="272" spans="2:29" ht="16.05" customHeight="1">
      <c r="B272" s="76"/>
      <c r="C272" s="23" t="s">
        <v>22</v>
      </c>
      <c r="D272" s="19">
        <v>45559</v>
      </c>
      <c r="E272" s="8"/>
      <c r="F272" s="20"/>
      <c r="G272" s="21"/>
      <c r="H272" s="20"/>
      <c r="I272" s="21"/>
      <c r="J272" s="20"/>
      <c r="K272" s="21"/>
      <c r="L272" s="20"/>
      <c r="M272" s="21"/>
      <c r="N272" s="20"/>
      <c r="O272" s="28"/>
      <c r="P272" s="27"/>
      <c r="Q272" s="21"/>
      <c r="R272" s="20"/>
      <c r="S272" s="21"/>
      <c r="T272" s="20"/>
      <c r="U272" s="28"/>
      <c r="V272" s="27"/>
      <c r="W272" s="21"/>
      <c r="X272" s="20"/>
      <c r="Y272" s="21"/>
      <c r="Z272" s="20"/>
      <c r="AA272" s="22">
        <f t="shared" si="40"/>
        <v>0</v>
      </c>
      <c r="AB272" s="78"/>
      <c r="AC272" s="79"/>
    </row>
    <row r="273" spans="2:29">
      <c r="B273" s="76"/>
      <c r="C273" s="23" t="s">
        <v>23</v>
      </c>
      <c r="D273" s="19">
        <v>45560</v>
      </c>
      <c r="E273" s="8"/>
      <c r="F273" s="20"/>
      <c r="G273" s="21"/>
      <c r="H273" s="20"/>
      <c r="I273" s="21"/>
      <c r="J273" s="20"/>
      <c r="K273" s="21"/>
      <c r="L273" s="20"/>
      <c r="M273" s="21"/>
      <c r="N273" s="20"/>
      <c r="O273" s="28"/>
      <c r="P273" s="27"/>
      <c r="Q273" s="21"/>
      <c r="R273" s="20"/>
      <c r="S273" s="21"/>
      <c r="T273" s="20"/>
      <c r="U273" s="28"/>
      <c r="V273" s="27"/>
      <c r="W273" s="21"/>
      <c r="X273" s="20"/>
      <c r="Y273" s="21"/>
      <c r="Z273" s="20"/>
      <c r="AA273" s="22">
        <f t="shared" si="40"/>
        <v>0</v>
      </c>
      <c r="AB273" s="78"/>
      <c r="AC273" s="79"/>
    </row>
    <row r="274" spans="2:29">
      <c r="B274" s="76"/>
      <c r="C274" s="23" t="s">
        <v>24</v>
      </c>
      <c r="D274" s="19">
        <v>45561</v>
      </c>
      <c r="E274" s="8"/>
      <c r="F274" s="20"/>
      <c r="G274" s="21"/>
      <c r="H274" s="20"/>
      <c r="I274" s="21"/>
      <c r="J274" s="20"/>
      <c r="K274" s="21"/>
      <c r="L274" s="20"/>
      <c r="M274" s="21"/>
      <c r="N274" s="20"/>
      <c r="O274" s="28"/>
      <c r="P274" s="27"/>
      <c r="Q274" s="21"/>
      <c r="R274" s="20"/>
      <c r="S274" s="21"/>
      <c r="T274" s="20"/>
      <c r="U274" s="28"/>
      <c r="V274" s="27"/>
      <c r="W274" s="21"/>
      <c r="X274" s="20"/>
      <c r="Y274" s="21"/>
      <c r="Z274" s="20"/>
      <c r="AA274" s="22">
        <f t="shared" si="40"/>
        <v>0</v>
      </c>
      <c r="AB274" s="78"/>
      <c r="AC274" s="79"/>
    </row>
    <row r="275" spans="2:29">
      <c r="B275" s="76"/>
      <c r="C275" s="23" t="s">
        <v>25</v>
      </c>
      <c r="D275" s="19">
        <v>45562</v>
      </c>
      <c r="E275" s="8"/>
      <c r="G275" s="21"/>
      <c r="I275" s="21"/>
      <c r="K275" s="21"/>
      <c r="M275" s="21"/>
      <c r="O275" s="28"/>
      <c r="P275" s="32"/>
      <c r="Q275" s="21"/>
      <c r="S275" s="28">
        <v>0</v>
      </c>
      <c r="T275" s="32">
        <v>0</v>
      </c>
      <c r="U275" s="28"/>
      <c r="V275" s="32"/>
      <c r="W275" s="28">
        <v>0</v>
      </c>
      <c r="X275" s="32">
        <v>0</v>
      </c>
      <c r="Y275" s="21"/>
      <c r="AA275" s="22">
        <f t="shared" si="40"/>
        <v>0</v>
      </c>
      <c r="AB275" s="78"/>
      <c r="AC275" s="79"/>
    </row>
    <row r="276" spans="2:29">
      <c r="B276" s="77"/>
      <c r="C276" s="33" t="s">
        <v>26</v>
      </c>
      <c r="D276" s="34">
        <v>45563</v>
      </c>
      <c r="E276" s="35"/>
      <c r="F276" s="36"/>
      <c r="G276" s="37"/>
      <c r="H276" s="36"/>
      <c r="I276" s="37"/>
      <c r="J276" s="36"/>
      <c r="K276" s="37"/>
      <c r="L276" s="36"/>
      <c r="M276" s="37"/>
      <c r="N276" s="36"/>
      <c r="O276" s="38"/>
      <c r="P276" s="39"/>
      <c r="Q276" s="37"/>
      <c r="R276" s="36"/>
      <c r="S276" s="38">
        <v>0</v>
      </c>
      <c r="T276" s="39">
        <v>0</v>
      </c>
      <c r="U276" s="38"/>
      <c r="V276" s="39"/>
      <c r="W276" s="38">
        <v>0</v>
      </c>
      <c r="X276" s="39">
        <v>0</v>
      </c>
      <c r="Y276" s="37"/>
      <c r="Z276" s="36"/>
      <c r="AA276" s="22">
        <f t="shared" si="40"/>
        <v>0</v>
      </c>
      <c r="AB276" s="78"/>
      <c r="AC276" s="79"/>
    </row>
    <row r="277" spans="2:29" ht="16.05" customHeight="1">
      <c r="B277" s="75" t="s">
        <v>67</v>
      </c>
      <c r="C277" s="18" t="s">
        <v>20</v>
      </c>
      <c r="D277" s="19">
        <v>45564</v>
      </c>
      <c r="E277" s="40"/>
      <c r="F277" s="41"/>
      <c r="G277" s="21"/>
      <c r="H277" s="20"/>
      <c r="I277" s="42"/>
      <c r="J277" s="41"/>
      <c r="K277" s="42"/>
      <c r="L277" s="41"/>
      <c r="M277" s="42"/>
      <c r="N277" s="41"/>
      <c r="O277" s="49"/>
      <c r="P277" s="50"/>
      <c r="Q277" s="21"/>
      <c r="R277" s="20"/>
      <c r="S277" s="21"/>
      <c r="T277" s="20"/>
      <c r="U277" s="28"/>
      <c r="V277" s="27"/>
      <c r="W277" s="21"/>
      <c r="X277" s="20"/>
      <c r="Y277" s="21"/>
      <c r="Z277" s="20"/>
      <c r="AA277" s="22">
        <f t="shared" si="40"/>
        <v>0</v>
      </c>
      <c r="AB277" s="78">
        <f t="shared" ref="AB277" si="43">SUM(AA277:AA283)</f>
        <v>0</v>
      </c>
      <c r="AC277" s="79">
        <v>24480250</v>
      </c>
    </row>
    <row r="278" spans="2:29">
      <c r="B278" s="76"/>
      <c r="C278" s="23" t="s">
        <v>21</v>
      </c>
      <c r="D278" s="19">
        <v>45565</v>
      </c>
      <c r="E278" s="8"/>
      <c r="F278" s="20"/>
      <c r="G278" s="21"/>
      <c r="H278" s="20"/>
      <c r="I278" s="21"/>
      <c r="J278" s="20"/>
      <c r="K278" s="21"/>
      <c r="L278" s="20"/>
      <c r="M278" s="21"/>
      <c r="N278" s="20"/>
      <c r="O278" s="28"/>
      <c r="P278" s="27"/>
      <c r="Q278" s="21"/>
      <c r="R278" s="20"/>
      <c r="S278" s="21"/>
      <c r="T278" s="20"/>
      <c r="U278" s="28"/>
      <c r="V278" s="27"/>
      <c r="W278" s="21"/>
      <c r="X278" s="20"/>
      <c r="Y278" s="21"/>
      <c r="Z278" s="20"/>
      <c r="AA278" s="22">
        <f t="shared" si="40"/>
        <v>0</v>
      </c>
      <c r="AB278" s="78"/>
      <c r="AC278" s="79"/>
    </row>
    <row r="279" spans="2:29" ht="16.05" customHeight="1">
      <c r="B279" s="76"/>
      <c r="C279" s="23" t="s">
        <v>22</v>
      </c>
      <c r="D279" s="19">
        <v>45566</v>
      </c>
      <c r="E279" s="8"/>
      <c r="F279" s="20"/>
      <c r="G279" s="21"/>
      <c r="H279" s="20"/>
      <c r="I279" s="21"/>
      <c r="J279" s="20"/>
      <c r="K279" s="21"/>
      <c r="L279" s="20"/>
      <c r="M279" s="21"/>
      <c r="N279" s="20"/>
      <c r="O279" s="28"/>
      <c r="P279" s="27"/>
      <c r="Q279" s="21"/>
      <c r="R279" s="20"/>
      <c r="S279" s="21"/>
      <c r="T279" s="20"/>
      <c r="U279" s="28"/>
      <c r="V279" s="27"/>
      <c r="W279" s="21"/>
      <c r="X279" s="20"/>
      <c r="Y279" s="21"/>
      <c r="Z279" s="20"/>
      <c r="AA279" s="22">
        <f t="shared" si="40"/>
        <v>0</v>
      </c>
      <c r="AB279" s="78"/>
      <c r="AC279" s="79"/>
    </row>
    <row r="280" spans="2:29">
      <c r="B280" s="76"/>
      <c r="C280" s="23" t="s">
        <v>23</v>
      </c>
      <c r="D280" s="19">
        <v>45567</v>
      </c>
      <c r="E280" s="8"/>
      <c r="G280" s="21"/>
      <c r="H280" s="20"/>
      <c r="I280" s="21"/>
      <c r="J280" s="20"/>
      <c r="K280" s="21"/>
      <c r="L280" s="20"/>
      <c r="M280" s="21"/>
      <c r="N280" s="20"/>
      <c r="O280" s="28"/>
      <c r="P280" s="27"/>
      <c r="Q280" s="21"/>
      <c r="R280" s="20"/>
      <c r="S280" s="21"/>
      <c r="T280" s="20"/>
      <c r="U280" s="28"/>
      <c r="V280" s="27"/>
      <c r="W280" s="21"/>
      <c r="X280" s="20"/>
      <c r="Y280" s="21"/>
      <c r="Z280" s="20"/>
      <c r="AA280" s="22">
        <f t="shared" si="40"/>
        <v>0</v>
      </c>
      <c r="AB280" s="78"/>
      <c r="AC280" s="79"/>
    </row>
    <row r="281" spans="2:29">
      <c r="B281" s="76"/>
      <c r="C281" s="23" t="s">
        <v>24</v>
      </c>
      <c r="D281" s="19">
        <v>45568</v>
      </c>
      <c r="E281" s="8"/>
      <c r="F281" s="20"/>
      <c r="G281" s="21"/>
      <c r="H281" s="20"/>
      <c r="I281" s="21"/>
      <c r="J281" s="20"/>
      <c r="K281" s="21"/>
      <c r="L281" s="20"/>
      <c r="M281" s="21"/>
      <c r="N281" s="20"/>
      <c r="O281" s="28"/>
      <c r="P281" s="27"/>
      <c r="Q281" s="21"/>
      <c r="R281" s="20"/>
      <c r="S281" s="21"/>
      <c r="T281" s="20"/>
      <c r="U281" s="28"/>
      <c r="V281" s="27"/>
      <c r="W281" s="21"/>
      <c r="X281" s="20"/>
      <c r="Y281" s="21"/>
      <c r="Z281" s="20"/>
      <c r="AA281" s="22">
        <f t="shared" si="40"/>
        <v>0</v>
      </c>
      <c r="AB281" s="78"/>
      <c r="AC281" s="79"/>
    </row>
    <row r="282" spans="2:29">
      <c r="B282" s="76"/>
      <c r="C282" s="23" t="s">
        <v>25</v>
      </c>
      <c r="D282" s="19">
        <v>45569</v>
      </c>
      <c r="E282" s="8"/>
      <c r="F282" s="20"/>
      <c r="G282" s="21"/>
      <c r="I282" s="21"/>
      <c r="K282" s="21"/>
      <c r="M282" s="21"/>
      <c r="O282" s="28"/>
      <c r="P282" s="32"/>
      <c r="Q282" s="21"/>
      <c r="S282" s="28">
        <v>0</v>
      </c>
      <c r="T282" s="32">
        <v>0</v>
      </c>
      <c r="U282" s="28"/>
      <c r="V282" s="32"/>
      <c r="W282" s="28">
        <v>0</v>
      </c>
      <c r="X282" s="32">
        <v>0</v>
      </c>
      <c r="Y282" s="21"/>
      <c r="AA282" s="22">
        <f t="shared" si="40"/>
        <v>0</v>
      </c>
      <c r="AB282" s="78"/>
      <c r="AC282" s="79"/>
    </row>
    <row r="283" spans="2:29">
      <c r="B283" s="77"/>
      <c r="C283" s="33" t="s">
        <v>26</v>
      </c>
      <c r="D283" s="34">
        <v>45570</v>
      </c>
      <c r="E283" s="35"/>
      <c r="F283" s="36"/>
      <c r="G283" s="37"/>
      <c r="H283" s="36"/>
      <c r="I283" s="37"/>
      <c r="J283" s="36"/>
      <c r="K283" s="37"/>
      <c r="L283" s="36"/>
      <c r="M283" s="37"/>
      <c r="N283" s="36"/>
      <c r="O283" s="38"/>
      <c r="P283" s="39"/>
      <c r="Q283" s="37"/>
      <c r="R283" s="36"/>
      <c r="S283" s="38">
        <v>0</v>
      </c>
      <c r="T283" s="39">
        <v>0</v>
      </c>
      <c r="U283" s="38"/>
      <c r="V283" s="39"/>
      <c r="W283" s="38">
        <v>0</v>
      </c>
      <c r="X283" s="39">
        <v>0</v>
      </c>
      <c r="Y283" s="37"/>
      <c r="Z283" s="36"/>
      <c r="AA283" s="22">
        <f t="shared" si="40"/>
        <v>0</v>
      </c>
      <c r="AB283" s="78"/>
      <c r="AC283" s="79"/>
    </row>
    <row r="284" spans="2:29" ht="16.05" customHeight="1">
      <c r="B284" s="75" t="s">
        <v>68</v>
      </c>
      <c r="C284" s="18" t="s">
        <v>20</v>
      </c>
      <c r="D284" s="19">
        <v>45571</v>
      </c>
      <c r="E284" s="40"/>
      <c r="F284" s="41"/>
      <c r="G284" s="42"/>
      <c r="H284" s="41"/>
      <c r="I284" s="42"/>
      <c r="J284" s="41"/>
      <c r="K284" s="42"/>
      <c r="L284" s="41"/>
      <c r="M284" s="42"/>
      <c r="N284" s="41"/>
      <c r="O284" s="49"/>
      <c r="P284" s="50"/>
      <c r="Q284" s="21"/>
      <c r="R284" s="20"/>
      <c r="S284" s="21"/>
      <c r="T284" s="20"/>
      <c r="U284" s="28"/>
      <c r="V284" s="27"/>
      <c r="W284" s="21"/>
      <c r="X284" s="20"/>
      <c r="Y284" s="21"/>
      <c r="Z284" s="20"/>
      <c r="AA284" s="22">
        <f t="shared" si="40"/>
        <v>0</v>
      </c>
      <c r="AB284" s="78">
        <f t="shared" ref="AB284" si="44">SUM(AA284:AA290)</f>
        <v>0</v>
      </c>
      <c r="AC284" s="79">
        <v>34232780</v>
      </c>
    </row>
    <row r="285" spans="2:29">
      <c r="B285" s="76"/>
      <c r="C285" s="23" t="s">
        <v>21</v>
      </c>
      <c r="D285" s="19">
        <v>45572</v>
      </c>
      <c r="E285" s="8"/>
      <c r="F285" s="20"/>
      <c r="G285" s="21"/>
      <c r="H285" s="20"/>
      <c r="I285" s="21"/>
      <c r="J285" s="20"/>
      <c r="K285" s="21"/>
      <c r="L285" s="20"/>
      <c r="M285" s="21"/>
      <c r="N285" s="20"/>
      <c r="O285" s="28"/>
      <c r="P285" s="27"/>
      <c r="Q285" s="21"/>
      <c r="R285" s="20"/>
      <c r="S285" s="21"/>
      <c r="T285" s="20"/>
      <c r="U285" s="28"/>
      <c r="V285" s="27"/>
      <c r="W285" s="21"/>
      <c r="X285" s="20"/>
      <c r="Y285" s="21"/>
      <c r="Z285" s="20"/>
      <c r="AA285" s="22">
        <f t="shared" si="40"/>
        <v>0</v>
      </c>
      <c r="AB285" s="78"/>
      <c r="AC285" s="79"/>
    </row>
    <row r="286" spans="2:29" ht="16.05" customHeight="1">
      <c r="B286" s="76"/>
      <c r="C286" s="23" t="s">
        <v>22</v>
      </c>
      <c r="D286" s="19">
        <v>45573</v>
      </c>
      <c r="E286" s="8"/>
      <c r="F286" s="20"/>
      <c r="G286" s="21"/>
      <c r="H286" s="20"/>
      <c r="I286" s="21"/>
      <c r="J286" s="20"/>
      <c r="K286" s="21"/>
      <c r="L286" s="20"/>
      <c r="M286" s="21"/>
      <c r="N286" s="20"/>
      <c r="O286" s="69"/>
      <c r="P286" s="27"/>
      <c r="Q286" s="21"/>
      <c r="R286" s="20"/>
      <c r="S286" s="21"/>
      <c r="T286" s="20"/>
      <c r="U286" s="28"/>
      <c r="V286" s="27"/>
      <c r="W286" s="21"/>
      <c r="X286" s="20"/>
      <c r="Y286" s="21"/>
      <c r="Z286" s="20"/>
      <c r="AA286" s="22">
        <f t="shared" si="40"/>
        <v>0</v>
      </c>
      <c r="AB286" s="78"/>
      <c r="AC286" s="79"/>
    </row>
    <row r="287" spans="2:29">
      <c r="B287" s="76"/>
      <c r="C287" s="23" t="s">
        <v>23</v>
      </c>
      <c r="D287" s="19">
        <v>45574</v>
      </c>
      <c r="E287" s="8"/>
      <c r="F287" s="20"/>
      <c r="G287" s="21"/>
      <c r="H287" s="20"/>
      <c r="I287" s="21"/>
      <c r="J287" s="20"/>
      <c r="K287" s="21"/>
      <c r="L287" s="20"/>
      <c r="M287" s="21"/>
      <c r="N287" s="20"/>
      <c r="O287" s="28"/>
      <c r="P287" s="27"/>
      <c r="Q287" s="21"/>
      <c r="R287" s="20"/>
      <c r="S287" s="21"/>
      <c r="T287" s="20"/>
      <c r="U287" s="28"/>
      <c r="V287" s="27"/>
      <c r="W287" s="21"/>
      <c r="X287" s="20"/>
      <c r="Y287" s="21"/>
      <c r="Z287" s="20"/>
      <c r="AA287" s="22">
        <f t="shared" si="40"/>
        <v>0</v>
      </c>
      <c r="AB287" s="78"/>
      <c r="AC287" s="79"/>
    </row>
    <row r="288" spans="2:29">
      <c r="B288" s="76"/>
      <c r="C288" s="23" t="s">
        <v>24</v>
      </c>
      <c r="D288" s="19">
        <v>45575</v>
      </c>
      <c r="E288" s="8"/>
      <c r="F288" s="20"/>
      <c r="G288" s="21"/>
      <c r="H288" s="20"/>
      <c r="I288" s="21"/>
      <c r="K288" s="21"/>
      <c r="L288" s="20"/>
      <c r="M288" s="21"/>
      <c r="N288" s="20"/>
      <c r="O288" s="28"/>
      <c r="P288" s="27"/>
      <c r="Q288" s="21"/>
      <c r="R288" s="20"/>
      <c r="S288" s="21"/>
      <c r="T288" s="20"/>
      <c r="U288" s="28"/>
      <c r="V288" s="27"/>
      <c r="W288" s="21"/>
      <c r="X288" s="20"/>
      <c r="Y288" s="21"/>
      <c r="Z288" s="20"/>
      <c r="AA288" s="22">
        <f t="shared" si="40"/>
        <v>0</v>
      </c>
      <c r="AB288" s="78"/>
      <c r="AC288" s="79"/>
    </row>
    <row r="289" spans="2:29">
      <c r="B289" s="76"/>
      <c r="C289" s="23" t="s">
        <v>25</v>
      </c>
      <c r="D289" s="19">
        <v>45576</v>
      </c>
      <c r="E289" s="8"/>
      <c r="G289" s="21"/>
      <c r="I289" s="21"/>
      <c r="K289" s="21"/>
      <c r="L289" s="20"/>
      <c r="M289" s="21"/>
      <c r="O289" s="28"/>
      <c r="P289" s="32"/>
      <c r="Q289" s="21"/>
      <c r="S289" s="28">
        <v>0</v>
      </c>
      <c r="T289" s="32">
        <v>0</v>
      </c>
      <c r="U289" s="28"/>
      <c r="V289" s="32"/>
      <c r="W289" s="28">
        <v>0</v>
      </c>
      <c r="X289" s="32">
        <v>0</v>
      </c>
      <c r="Y289" s="21"/>
      <c r="AA289" s="22">
        <f t="shared" si="40"/>
        <v>0</v>
      </c>
      <c r="AB289" s="78"/>
      <c r="AC289" s="79"/>
    </row>
    <row r="290" spans="2:29">
      <c r="B290" s="77"/>
      <c r="C290" s="33" t="s">
        <v>26</v>
      </c>
      <c r="D290" s="34">
        <v>45577</v>
      </c>
      <c r="E290" s="35"/>
      <c r="F290" s="36"/>
      <c r="G290" s="37"/>
      <c r="H290" s="36"/>
      <c r="I290" s="37"/>
      <c r="J290" s="36"/>
      <c r="K290" s="21"/>
      <c r="M290" s="70"/>
      <c r="N290" s="36"/>
      <c r="O290" s="38"/>
      <c r="P290" s="39"/>
      <c r="Q290" s="37"/>
      <c r="R290" s="36"/>
      <c r="S290" s="38">
        <v>0</v>
      </c>
      <c r="T290" s="39">
        <v>0</v>
      </c>
      <c r="U290" s="38"/>
      <c r="V290" s="39"/>
      <c r="W290" s="38">
        <v>0</v>
      </c>
      <c r="X290" s="39">
        <v>0</v>
      </c>
      <c r="Y290" s="37"/>
      <c r="Z290" s="36"/>
      <c r="AA290" s="22">
        <f t="shared" si="40"/>
        <v>0</v>
      </c>
      <c r="AB290" s="78"/>
      <c r="AC290" s="79"/>
    </row>
    <row r="291" spans="2:29" ht="16.05" customHeight="1">
      <c r="B291" s="75" t="s">
        <v>69</v>
      </c>
      <c r="C291" s="18" t="s">
        <v>20</v>
      </c>
      <c r="D291" s="19">
        <v>45578</v>
      </c>
      <c r="E291" s="40"/>
      <c r="F291" s="41"/>
      <c r="G291" s="42"/>
      <c r="H291" s="41"/>
      <c r="I291" s="42"/>
      <c r="J291" s="41"/>
      <c r="K291" s="42"/>
      <c r="L291" s="41"/>
      <c r="M291" s="42"/>
      <c r="N291" s="41"/>
      <c r="O291" s="49"/>
      <c r="P291" s="50"/>
      <c r="Q291" s="21"/>
      <c r="R291" s="20"/>
      <c r="S291" s="21"/>
      <c r="T291" s="20"/>
      <c r="U291" s="28"/>
      <c r="V291" s="27"/>
      <c r="W291" s="21"/>
      <c r="X291" s="20"/>
      <c r="Y291" s="21"/>
      <c r="Z291" s="20"/>
      <c r="AA291" s="22">
        <f t="shared" si="40"/>
        <v>0</v>
      </c>
      <c r="AB291" s="78">
        <f t="shared" ref="AB291" si="45">SUM(AA291:AA297)</f>
        <v>0</v>
      </c>
      <c r="AC291" s="79">
        <v>37886320</v>
      </c>
    </row>
    <row r="292" spans="2:29">
      <c r="B292" s="76"/>
      <c r="C292" s="23" t="s">
        <v>21</v>
      </c>
      <c r="D292" s="19">
        <v>45579</v>
      </c>
      <c r="E292" s="8"/>
      <c r="F292" s="20"/>
      <c r="G292" s="21"/>
      <c r="H292" s="20"/>
      <c r="I292" s="21"/>
      <c r="J292" s="20"/>
      <c r="K292" s="21"/>
      <c r="L292" s="20"/>
      <c r="M292" s="21"/>
      <c r="N292" s="20"/>
      <c r="O292" s="28"/>
      <c r="P292" s="27"/>
      <c r="Q292" s="21"/>
      <c r="R292" s="20"/>
      <c r="S292" s="21"/>
      <c r="T292" s="20"/>
      <c r="U292" s="28"/>
      <c r="V292" s="27"/>
      <c r="W292" s="21"/>
      <c r="X292" s="20"/>
      <c r="Y292" s="21"/>
      <c r="Z292" s="20"/>
      <c r="AA292" s="22">
        <f t="shared" si="40"/>
        <v>0</v>
      </c>
      <c r="AB292" s="78"/>
      <c r="AC292" s="79"/>
    </row>
    <row r="293" spans="2:29" ht="16.05" customHeight="1">
      <c r="B293" s="76"/>
      <c r="C293" s="23" t="s">
        <v>22</v>
      </c>
      <c r="D293" s="19">
        <v>45580</v>
      </c>
      <c r="E293" s="8"/>
      <c r="F293" s="20"/>
      <c r="G293" s="21"/>
      <c r="H293" s="20"/>
      <c r="I293" s="21"/>
      <c r="J293" s="20"/>
      <c r="K293" s="21"/>
      <c r="L293" s="20"/>
      <c r="M293" s="21"/>
      <c r="N293" s="20"/>
      <c r="O293" s="28"/>
      <c r="P293" s="27"/>
      <c r="Q293" s="21"/>
      <c r="R293" s="20"/>
      <c r="S293" s="21"/>
      <c r="T293" s="20"/>
      <c r="U293" s="28"/>
      <c r="V293" s="27"/>
      <c r="W293" s="21"/>
      <c r="X293" s="20"/>
      <c r="Y293" s="21"/>
      <c r="Z293" s="20"/>
      <c r="AA293" s="22">
        <f t="shared" si="40"/>
        <v>0</v>
      </c>
      <c r="AB293" s="78"/>
      <c r="AC293" s="79"/>
    </row>
    <row r="294" spans="2:29">
      <c r="B294" s="76"/>
      <c r="C294" s="23" t="s">
        <v>23</v>
      </c>
      <c r="D294" s="19">
        <v>45581</v>
      </c>
      <c r="E294" s="8"/>
      <c r="F294" s="20"/>
      <c r="G294" s="21"/>
      <c r="H294" s="20"/>
      <c r="I294" s="21"/>
      <c r="J294" s="20"/>
      <c r="K294" s="21"/>
      <c r="L294" s="20"/>
      <c r="M294" s="21"/>
      <c r="N294" s="20"/>
      <c r="O294" s="28"/>
      <c r="P294" s="27"/>
      <c r="Q294" s="21"/>
      <c r="R294" s="20"/>
      <c r="S294" s="21"/>
      <c r="T294" s="20"/>
      <c r="U294" s="28"/>
      <c r="V294" s="27"/>
      <c r="W294" s="21"/>
      <c r="X294" s="20"/>
      <c r="Y294" s="21"/>
      <c r="Z294" s="20"/>
      <c r="AA294" s="22">
        <f t="shared" si="40"/>
        <v>0</v>
      </c>
      <c r="AB294" s="78"/>
      <c r="AC294" s="79"/>
    </row>
    <row r="295" spans="2:29">
      <c r="B295" s="76"/>
      <c r="C295" s="23" t="s">
        <v>24</v>
      </c>
      <c r="D295" s="19">
        <v>45582</v>
      </c>
      <c r="E295" s="8"/>
      <c r="F295" s="20"/>
      <c r="G295" s="21"/>
      <c r="H295" s="20"/>
      <c r="I295" s="21"/>
      <c r="J295" s="20"/>
      <c r="K295" s="21"/>
      <c r="L295" s="20"/>
      <c r="M295" s="21"/>
      <c r="N295" s="20"/>
      <c r="O295" s="28"/>
      <c r="P295" s="27"/>
      <c r="Q295" s="21"/>
      <c r="R295" s="20"/>
      <c r="S295" s="21"/>
      <c r="T295" s="20"/>
      <c r="U295" s="28"/>
      <c r="V295" s="27"/>
      <c r="W295" s="21"/>
      <c r="X295" s="20"/>
      <c r="Y295" s="21"/>
      <c r="Z295" s="20"/>
      <c r="AA295" s="22">
        <f t="shared" si="40"/>
        <v>0</v>
      </c>
      <c r="AB295" s="78"/>
      <c r="AC295" s="79"/>
    </row>
    <row r="296" spans="2:29">
      <c r="B296" s="76"/>
      <c r="C296" s="23" t="s">
        <v>25</v>
      </c>
      <c r="D296" s="19">
        <v>45583</v>
      </c>
      <c r="E296" s="8"/>
      <c r="G296" s="21"/>
      <c r="I296" s="21"/>
      <c r="K296" s="21"/>
      <c r="M296" s="21"/>
      <c r="O296" s="28"/>
      <c r="P296" s="32"/>
      <c r="Q296" s="21"/>
      <c r="R296" s="20"/>
      <c r="S296" s="28">
        <v>0</v>
      </c>
      <c r="T296" s="32">
        <v>0</v>
      </c>
      <c r="U296" s="28"/>
      <c r="V296" s="32"/>
      <c r="W296" s="28">
        <v>0</v>
      </c>
      <c r="X296" s="32">
        <v>0</v>
      </c>
      <c r="Y296" s="21"/>
      <c r="Z296" s="20"/>
      <c r="AA296" s="22">
        <f t="shared" si="40"/>
        <v>0</v>
      </c>
      <c r="AB296" s="78"/>
      <c r="AC296" s="79"/>
    </row>
    <row r="297" spans="2:29">
      <c r="B297" s="77"/>
      <c r="C297" s="33" t="s">
        <v>26</v>
      </c>
      <c r="D297" s="34">
        <v>45584</v>
      </c>
      <c r="E297" s="35"/>
      <c r="F297" s="36"/>
      <c r="G297" s="37"/>
      <c r="H297" s="36"/>
      <c r="I297" s="37"/>
      <c r="J297" s="36"/>
      <c r="K297" s="37"/>
      <c r="L297" s="36"/>
      <c r="M297" s="37"/>
      <c r="N297" s="36"/>
      <c r="O297" s="38"/>
      <c r="P297" s="39"/>
      <c r="Q297" s="37"/>
      <c r="R297" s="36"/>
      <c r="S297" s="38">
        <v>0</v>
      </c>
      <c r="T297" s="39">
        <v>0</v>
      </c>
      <c r="U297" s="38"/>
      <c r="V297" s="39"/>
      <c r="W297" s="38">
        <v>0</v>
      </c>
      <c r="X297" s="39">
        <v>0</v>
      </c>
      <c r="Y297" s="37"/>
      <c r="Z297" s="36"/>
      <c r="AA297" s="22">
        <f t="shared" si="40"/>
        <v>0</v>
      </c>
      <c r="AB297" s="78"/>
      <c r="AC297" s="79"/>
    </row>
    <row r="298" spans="2:29" ht="16.05" customHeight="1">
      <c r="B298" s="75" t="s">
        <v>70</v>
      </c>
      <c r="C298" s="18" t="s">
        <v>20</v>
      </c>
      <c r="D298" s="19">
        <v>45585</v>
      </c>
      <c r="E298" s="40"/>
      <c r="F298" s="41"/>
      <c r="G298" s="42"/>
      <c r="H298" s="41"/>
      <c r="I298" s="42"/>
      <c r="J298" s="41"/>
      <c r="K298" s="42"/>
      <c r="L298" s="41"/>
      <c r="M298" s="42"/>
      <c r="N298" s="41"/>
      <c r="O298" s="49"/>
      <c r="P298" s="50"/>
      <c r="Q298" s="21"/>
      <c r="R298" s="20"/>
      <c r="S298" s="21"/>
      <c r="T298" s="20"/>
      <c r="U298" s="28"/>
      <c r="V298" s="27"/>
      <c r="W298" s="21"/>
      <c r="X298" s="20"/>
      <c r="Y298" s="21"/>
      <c r="Z298" s="20"/>
      <c r="AA298" s="22">
        <f t="shared" si="40"/>
        <v>0</v>
      </c>
      <c r="AB298" s="78">
        <f t="shared" ref="AB298" si="46">SUM(AA298:AA304)</f>
        <v>0</v>
      </c>
      <c r="AC298" s="79">
        <v>32868630</v>
      </c>
    </row>
    <row r="299" spans="2:29">
      <c r="B299" s="76"/>
      <c r="C299" s="23" t="s">
        <v>21</v>
      </c>
      <c r="D299" s="19">
        <v>45586</v>
      </c>
      <c r="E299" s="8"/>
      <c r="F299" s="20"/>
      <c r="G299" s="21"/>
      <c r="H299" s="20"/>
      <c r="I299" s="21"/>
      <c r="J299" s="20"/>
      <c r="K299" s="21"/>
      <c r="L299" s="20"/>
      <c r="M299" s="21"/>
      <c r="N299" s="20"/>
      <c r="O299" s="28"/>
      <c r="P299" s="27"/>
      <c r="Q299" s="21"/>
      <c r="R299" s="20"/>
      <c r="S299" s="21"/>
      <c r="T299" s="20"/>
      <c r="U299" s="28"/>
      <c r="V299" s="27"/>
      <c r="W299" s="21"/>
      <c r="X299" s="20"/>
      <c r="Y299" s="21"/>
      <c r="Z299" s="20"/>
      <c r="AA299" s="22">
        <f t="shared" si="40"/>
        <v>0</v>
      </c>
      <c r="AB299" s="78"/>
      <c r="AC299" s="79"/>
    </row>
    <row r="300" spans="2:29" ht="16.05" customHeight="1">
      <c r="B300" s="76"/>
      <c r="C300" s="23" t="s">
        <v>22</v>
      </c>
      <c r="D300" s="19">
        <v>45587</v>
      </c>
      <c r="E300" s="8"/>
      <c r="F300" s="20"/>
      <c r="G300" s="21"/>
      <c r="H300" s="20"/>
      <c r="I300" s="21"/>
      <c r="J300" s="20"/>
      <c r="K300" s="21"/>
      <c r="L300" s="20"/>
      <c r="M300" s="21"/>
      <c r="N300" s="20"/>
      <c r="O300" s="28"/>
      <c r="P300" s="27"/>
      <c r="Q300" s="21"/>
      <c r="R300" s="20"/>
      <c r="S300" s="21"/>
      <c r="T300" s="20"/>
      <c r="U300" s="28"/>
      <c r="V300" s="27"/>
      <c r="W300" s="21"/>
      <c r="X300" s="20"/>
      <c r="Y300" s="21"/>
      <c r="Z300" s="20"/>
      <c r="AA300" s="22">
        <f t="shared" si="40"/>
        <v>0</v>
      </c>
      <c r="AB300" s="78"/>
      <c r="AC300" s="79"/>
    </row>
    <row r="301" spans="2:29">
      <c r="B301" s="76"/>
      <c r="C301" s="23" t="s">
        <v>23</v>
      </c>
      <c r="D301" s="19">
        <v>45588</v>
      </c>
      <c r="E301" s="8"/>
      <c r="F301" s="20"/>
      <c r="G301" s="21"/>
      <c r="H301" s="20"/>
      <c r="I301" s="21"/>
      <c r="J301" s="20"/>
      <c r="K301" s="21"/>
      <c r="L301" s="20"/>
      <c r="M301" s="21"/>
      <c r="N301" s="20"/>
      <c r="O301" s="28"/>
      <c r="P301" s="27"/>
      <c r="Q301" s="21"/>
      <c r="R301" s="20"/>
      <c r="S301" s="21"/>
      <c r="T301" s="20"/>
      <c r="U301" s="28"/>
      <c r="V301" s="27"/>
      <c r="W301" s="21"/>
      <c r="X301" s="20"/>
      <c r="Y301" s="21"/>
      <c r="Z301" s="20"/>
      <c r="AA301" s="22">
        <f t="shared" si="40"/>
        <v>0</v>
      </c>
      <c r="AB301" s="78"/>
      <c r="AC301" s="79"/>
    </row>
    <row r="302" spans="2:29">
      <c r="B302" s="76"/>
      <c r="C302" s="23" t="s">
        <v>24</v>
      </c>
      <c r="D302" s="19">
        <v>45589</v>
      </c>
      <c r="E302" s="8"/>
      <c r="F302" s="20"/>
      <c r="G302" s="21"/>
      <c r="H302" s="20"/>
      <c r="I302" s="21"/>
      <c r="J302" s="20"/>
      <c r="K302" s="21"/>
      <c r="L302" s="20"/>
      <c r="M302" s="21"/>
      <c r="N302" s="20"/>
      <c r="O302" s="28"/>
      <c r="P302" s="27"/>
      <c r="Q302" s="21"/>
      <c r="R302" s="20"/>
      <c r="S302" s="21"/>
      <c r="T302" s="20"/>
      <c r="U302" s="28"/>
      <c r="V302" s="27"/>
      <c r="W302" s="21"/>
      <c r="X302" s="20"/>
      <c r="Y302" s="21"/>
      <c r="Z302" s="20"/>
      <c r="AA302" s="22">
        <f t="shared" si="40"/>
        <v>0</v>
      </c>
      <c r="AB302" s="78"/>
      <c r="AC302" s="79"/>
    </row>
    <row r="303" spans="2:29">
      <c r="B303" s="76"/>
      <c r="C303" s="23" t="s">
        <v>25</v>
      </c>
      <c r="D303" s="19">
        <v>45590</v>
      </c>
      <c r="E303" s="8"/>
      <c r="G303" s="21"/>
      <c r="I303" s="21"/>
      <c r="K303" s="21"/>
      <c r="M303" s="21"/>
      <c r="O303" s="28"/>
      <c r="P303" s="32"/>
      <c r="Q303" s="71"/>
      <c r="S303" s="28">
        <v>0</v>
      </c>
      <c r="T303" s="32">
        <v>0</v>
      </c>
      <c r="U303" s="28"/>
      <c r="V303" s="32"/>
      <c r="W303" s="28">
        <v>0</v>
      </c>
      <c r="X303" s="32">
        <v>0</v>
      </c>
      <c r="Y303" s="71"/>
      <c r="AA303" s="22">
        <f t="shared" si="40"/>
        <v>0</v>
      </c>
      <c r="AB303" s="78"/>
      <c r="AC303" s="79"/>
    </row>
    <row r="304" spans="2:29">
      <c r="B304" s="77"/>
      <c r="C304" s="33" t="s">
        <v>26</v>
      </c>
      <c r="D304" s="34">
        <v>45591</v>
      </c>
      <c r="E304" s="35"/>
      <c r="F304" s="36"/>
      <c r="G304" s="37"/>
      <c r="H304" s="36"/>
      <c r="I304" s="37"/>
      <c r="J304" s="36"/>
      <c r="K304" s="37"/>
      <c r="L304" s="36"/>
      <c r="M304" s="37"/>
      <c r="N304" s="36"/>
      <c r="O304" s="38"/>
      <c r="P304" s="39"/>
      <c r="Q304" s="37"/>
      <c r="R304" s="36"/>
      <c r="S304" s="38">
        <v>0</v>
      </c>
      <c r="T304" s="39">
        <v>0</v>
      </c>
      <c r="U304" s="38"/>
      <c r="V304" s="39"/>
      <c r="W304" s="38">
        <v>0</v>
      </c>
      <c r="X304" s="39">
        <v>0</v>
      </c>
      <c r="Y304" s="37"/>
      <c r="Z304" s="36"/>
      <c r="AA304" s="22">
        <f t="shared" si="40"/>
        <v>0</v>
      </c>
      <c r="AB304" s="78"/>
      <c r="AC304" s="79"/>
    </row>
    <row r="305" spans="2:29" ht="16.05" customHeight="1">
      <c r="B305" s="75" t="s">
        <v>71</v>
      </c>
      <c r="C305" s="18" t="s">
        <v>20</v>
      </c>
      <c r="D305" s="19">
        <v>45592</v>
      </c>
      <c r="E305" s="40"/>
      <c r="F305" s="41"/>
      <c r="G305" s="42"/>
      <c r="H305" s="41"/>
      <c r="I305" s="42"/>
      <c r="J305" s="41"/>
      <c r="K305" s="42"/>
      <c r="L305" s="41"/>
      <c r="M305" s="42"/>
      <c r="N305" s="41"/>
      <c r="O305" s="49"/>
      <c r="P305" s="50"/>
      <c r="Q305" s="21"/>
      <c r="R305" s="20"/>
      <c r="S305" s="21"/>
      <c r="T305" s="20"/>
      <c r="U305" s="28"/>
      <c r="V305" s="27"/>
      <c r="W305" s="21"/>
      <c r="X305" s="20"/>
      <c r="Y305" s="21"/>
      <c r="Z305" s="20"/>
      <c r="AA305" s="22">
        <f t="shared" si="40"/>
        <v>0</v>
      </c>
      <c r="AB305" s="78">
        <f t="shared" ref="AB305" si="47">SUM(AA305:AA311)</f>
        <v>0</v>
      </c>
      <c r="AC305" s="79">
        <v>32434030</v>
      </c>
    </row>
    <row r="306" spans="2:29">
      <c r="B306" s="76"/>
      <c r="C306" s="23" t="s">
        <v>21</v>
      </c>
      <c r="D306" s="19">
        <v>45593</v>
      </c>
      <c r="E306" s="8"/>
      <c r="F306" s="20"/>
      <c r="G306" s="21"/>
      <c r="H306" s="20"/>
      <c r="I306" s="21"/>
      <c r="J306" s="20"/>
      <c r="K306" s="21"/>
      <c r="L306" s="20"/>
      <c r="M306" s="21"/>
      <c r="N306" s="20"/>
      <c r="O306" s="28"/>
      <c r="P306" s="27"/>
      <c r="Q306" s="21"/>
      <c r="R306" s="20"/>
      <c r="S306" s="21"/>
      <c r="T306" s="20"/>
      <c r="U306" s="28"/>
      <c r="V306" s="27"/>
      <c r="W306" s="21"/>
      <c r="X306" s="20"/>
      <c r="Y306" s="21"/>
      <c r="Z306" s="20"/>
      <c r="AA306" s="22">
        <f t="shared" si="40"/>
        <v>0</v>
      </c>
      <c r="AB306" s="78"/>
      <c r="AC306" s="79"/>
    </row>
    <row r="307" spans="2:29" ht="16.05" customHeight="1">
      <c r="B307" s="76"/>
      <c r="C307" s="23" t="s">
        <v>22</v>
      </c>
      <c r="D307" s="19">
        <v>45594</v>
      </c>
      <c r="E307" s="8"/>
      <c r="F307" s="20"/>
      <c r="G307" s="21"/>
      <c r="H307" s="20"/>
      <c r="I307" s="21"/>
      <c r="J307" s="20"/>
      <c r="K307" s="21"/>
      <c r="L307" s="20"/>
      <c r="M307" s="21"/>
      <c r="N307" s="20"/>
      <c r="O307" s="28"/>
      <c r="P307" s="27"/>
      <c r="Q307" s="21"/>
      <c r="R307" s="20"/>
      <c r="S307" s="21"/>
      <c r="T307" s="20"/>
      <c r="U307" s="28"/>
      <c r="V307" s="27"/>
      <c r="W307" s="21"/>
      <c r="X307" s="20"/>
      <c r="Y307" s="21"/>
      <c r="Z307" s="20"/>
      <c r="AA307" s="22">
        <f t="shared" si="40"/>
        <v>0</v>
      </c>
      <c r="AB307" s="78"/>
      <c r="AC307" s="79"/>
    </row>
    <row r="308" spans="2:29">
      <c r="B308" s="76"/>
      <c r="C308" s="23" t="s">
        <v>23</v>
      </c>
      <c r="D308" s="19">
        <v>45595</v>
      </c>
      <c r="E308" s="8"/>
      <c r="F308" s="20"/>
      <c r="G308" s="21"/>
      <c r="H308" s="20"/>
      <c r="I308" s="21"/>
      <c r="J308" s="20"/>
      <c r="K308" s="21"/>
      <c r="L308" s="20"/>
      <c r="M308" s="21"/>
      <c r="N308" s="20"/>
      <c r="O308" s="28"/>
      <c r="P308" s="27"/>
      <c r="Q308" s="21"/>
      <c r="R308" s="20"/>
      <c r="S308" s="21"/>
      <c r="T308" s="20"/>
      <c r="U308" s="28"/>
      <c r="V308" s="27"/>
      <c r="W308" s="21"/>
      <c r="X308" s="20"/>
      <c r="Y308" s="21"/>
      <c r="Z308" s="20"/>
      <c r="AA308" s="22">
        <f t="shared" si="40"/>
        <v>0</v>
      </c>
      <c r="AB308" s="78"/>
      <c r="AC308" s="79"/>
    </row>
    <row r="309" spans="2:29">
      <c r="B309" s="76"/>
      <c r="C309" s="23" t="s">
        <v>24</v>
      </c>
      <c r="D309" s="19">
        <v>45596</v>
      </c>
      <c r="E309" s="8"/>
      <c r="F309" s="20"/>
      <c r="G309" s="21"/>
      <c r="H309" s="20"/>
      <c r="I309" s="21"/>
      <c r="J309" s="20"/>
      <c r="K309" s="21"/>
      <c r="L309" s="20"/>
      <c r="M309" s="21"/>
      <c r="N309" s="20"/>
      <c r="O309" s="28"/>
      <c r="P309" s="27"/>
      <c r="Q309" s="21"/>
      <c r="R309" s="20"/>
      <c r="S309" s="21"/>
      <c r="T309" s="20"/>
      <c r="U309" s="28"/>
      <c r="V309" s="27"/>
      <c r="W309" s="21"/>
      <c r="X309" s="20"/>
      <c r="Y309" s="21"/>
      <c r="Z309" s="20"/>
      <c r="AA309" s="22">
        <f t="shared" si="40"/>
        <v>0</v>
      </c>
      <c r="AB309" s="78"/>
      <c r="AC309" s="79"/>
    </row>
    <row r="310" spans="2:29">
      <c r="B310" s="76"/>
      <c r="C310" s="23" t="s">
        <v>25</v>
      </c>
      <c r="D310" s="19">
        <v>45597</v>
      </c>
      <c r="E310" s="8"/>
      <c r="G310" s="21"/>
      <c r="I310" s="21"/>
      <c r="K310" s="21"/>
      <c r="M310" s="21"/>
      <c r="O310" s="28"/>
      <c r="P310" s="32"/>
      <c r="Q310" s="21"/>
      <c r="S310" s="28">
        <v>0</v>
      </c>
      <c r="T310" s="32">
        <v>0</v>
      </c>
      <c r="U310" s="28"/>
      <c r="V310" s="32"/>
      <c r="W310" s="28">
        <v>0</v>
      </c>
      <c r="X310" s="32">
        <v>0</v>
      </c>
      <c r="Y310" s="21"/>
      <c r="AA310" s="22">
        <f t="shared" si="40"/>
        <v>0</v>
      </c>
      <c r="AB310" s="78"/>
      <c r="AC310" s="79"/>
    </row>
    <row r="311" spans="2:29">
      <c r="B311" s="77"/>
      <c r="C311" s="33" t="s">
        <v>26</v>
      </c>
      <c r="D311" s="34">
        <v>45598</v>
      </c>
      <c r="E311" s="35"/>
      <c r="F311" s="36"/>
      <c r="G311" s="70"/>
      <c r="H311" s="36"/>
      <c r="I311" s="37"/>
      <c r="J311" s="36"/>
      <c r="K311" s="37"/>
      <c r="L311" s="36"/>
      <c r="M311" s="37"/>
      <c r="N311" s="36"/>
      <c r="O311" s="38"/>
      <c r="P311" s="39"/>
      <c r="Q311" s="37"/>
      <c r="R311" s="36"/>
      <c r="S311" s="38">
        <v>0</v>
      </c>
      <c r="T311" s="39">
        <v>0</v>
      </c>
      <c r="U311" s="38"/>
      <c r="V311" s="39"/>
      <c r="W311" s="38">
        <v>0</v>
      </c>
      <c r="X311" s="39">
        <v>0</v>
      </c>
      <c r="Y311" s="37"/>
      <c r="Z311" s="36"/>
      <c r="AA311" s="22">
        <f t="shared" si="40"/>
        <v>0</v>
      </c>
      <c r="AB311" s="78"/>
      <c r="AC311" s="79"/>
    </row>
    <row r="312" spans="2:29" ht="16.05" customHeight="1">
      <c r="B312" s="75" t="s">
        <v>72</v>
      </c>
      <c r="C312" s="18" t="s">
        <v>20</v>
      </c>
      <c r="D312" s="19">
        <v>45599</v>
      </c>
      <c r="E312" s="40"/>
      <c r="F312" s="41"/>
      <c r="G312" s="42"/>
      <c r="H312" s="41"/>
      <c r="I312" s="42"/>
      <c r="J312" s="41"/>
      <c r="K312" s="42"/>
      <c r="L312" s="41"/>
      <c r="M312" s="42"/>
      <c r="N312" s="41"/>
      <c r="O312" s="49"/>
      <c r="P312" s="50"/>
      <c r="Q312" s="21"/>
      <c r="R312" s="20"/>
      <c r="S312" s="21"/>
      <c r="T312" s="20"/>
      <c r="U312" s="28"/>
      <c r="V312" s="27"/>
      <c r="W312" s="21"/>
      <c r="X312" s="20"/>
      <c r="Y312" s="21"/>
      <c r="Z312" s="20"/>
      <c r="AA312" s="22">
        <f t="shared" si="40"/>
        <v>0</v>
      </c>
      <c r="AB312" s="78">
        <f t="shared" ref="AB312" si="48">SUM(AA312:AA318)</f>
        <v>0</v>
      </c>
      <c r="AC312" s="79">
        <v>34939832</v>
      </c>
    </row>
    <row r="313" spans="2:29">
      <c r="B313" s="76"/>
      <c r="C313" s="23" t="s">
        <v>21</v>
      </c>
      <c r="D313" s="19">
        <v>45600</v>
      </c>
      <c r="E313" s="8"/>
      <c r="F313" s="20"/>
      <c r="G313" s="21"/>
      <c r="H313" s="20"/>
      <c r="I313" s="21"/>
      <c r="J313" s="20"/>
      <c r="K313" s="21"/>
      <c r="L313" s="20"/>
      <c r="M313" s="21"/>
      <c r="N313" s="20"/>
      <c r="O313" s="28"/>
      <c r="P313" s="27"/>
      <c r="Q313" s="21"/>
      <c r="R313" s="20"/>
      <c r="S313" s="21"/>
      <c r="T313" s="20"/>
      <c r="U313" s="28"/>
      <c r="V313" s="27"/>
      <c r="W313" s="21"/>
      <c r="X313" s="20"/>
      <c r="Y313" s="21"/>
      <c r="Z313" s="20"/>
      <c r="AA313" s="22">
        <f t="shared" si="40"/>
        <v>0</v>
      </c>
      <c r="AB313" s="78"/>
      <c r="AC313" s="79"/>
    </row>
    <row r="314" spans="2:29" ht="16.05" customHeight="1">
      <c r="B314" s="76"/>
      <c r="C314" s="23" t="s">
        <v>22</v>
      </c>
      <c r="D314" s="19">
        <v>45601</v>
      </c>
      <c r="E314" s="8"/>
      <c r="F314" s="20"/>
      <c r="G314" s="21"/>
      <c r="H314" s="20"/>
      <c r="I314" s="21"/>
      <c r="J314" s="20"/>
      <c r="K314" s="21"/>
      <c r="L314" s="20"/>
      <c r="M314" s="21"/>
      <c r="N314" s="20"/>
      <c r="O314" s="28"/>
      <c r="P314" s="27"/>
      <c r="Q314" s="21"/>
      <c r="R314" s="20"/>
      <c r="S314" s="21"/>
      <c r="T314" s="20"/>
      <c r="U314" s="28"/>
      <c r="V314" s="27"/>
      <c r="W314" s="21"/>
      <c r="X314" s="20"/>
      <c r="Y314" s="21"/>
      <c r="Z314" s="20"/>
      <c r="AA314" s="22">
        <f t="shared" si="40"/>
        <v>0</v>
      </c>
      <c r="AB314" s="78"/>
      <c r="AC314" s="79"/>
    </row>
    <row r="315" spans="2:29">
      <c r="B315" s="76"/>
      <c r="C315" s="23" t="s">
        <v>23</v>
      </c>
      <c r="D315" s="19">
        <v>45602</v>
      </c>
      <c r="E315" s="8"/>
      <c r="F315" s="20"/>
      <c r="G315" s="21"/>
      <c r="H315" s="20"/>
      <c r="I315" s="21"/>
      <c r="J315" s="20"/>
      <c r="K315" s="21"/>
      <c r="L315" s="20"/>
      <c r="M315" s="21"/>
      <c r="N315" s="20"/>
      <c r="O315" s="28"/>
      <c r="P315" s="27"/>
      <c r="Q315" s="21"/>
      <c r="R315" s="20"/>
      <c r="S315" s="21"/>
      <c r="T315" s="20"/>
      <c r="U315" s="28"/>
      <c r="V315" s="27"/>
      <c r="W315" s="21"/>
      <c r="X315" s="20"/>
      <c r="Y315" s="21"/>
      <c r="Z315" s="20"/>
      <c r="AA315" s="22">
        <f t="shared" si="40"/>
        <v>0</v>
      </c>
      <c r="AB315" s="78"/>
      <c r="AC315" s="79"/>
    </row>
    <row r="316" spans="2:29">
      <c r="B316" s="76"/>
      <c r="C316" s="23" t="s">
        <v>24</v>
      </c>
      <c r="D316" s="19">
        <v>45603</v>
      </c>
      <c r="E316" s="8"/>
      <c r="F316" s="20"/>
      <c r="G316" s="21"/>
      <c r="H316" s="20"/>
      <c r="I316" s="21"/>
      <c r="J316" s="20"/>
      <c r="K316" s="21"/>
      <c r="L316" s="20"/>
      <c r="M316" s="21"/>
      <c r="N316" s="20"/>
      <c r="O316" s="28"/>
      <c r="P316" s="27"/>
      <c r="Q316" s="21"/>
      <c r="R316" s="20"/>
      <c r="S316" s="21"/>
      <c r="T316" s="20"/>
      <c r="U316" s="28"/>
      <c r="V316" s="27"/>
      <c r="W316" s="21"/>
      <c r="X316" s="20"/>
      <c r="Y316" s="21"/>
      <c r="Z316" s="20"/>
      <c r="AA316" s="22">
        <f t="shared" si="40"/>
        <v>0</v>
      </c>
      <c r="AB316" s="78"/>
      <c r="AC316" s="79"/>
    </row>
    <row r="317" spans="2:29">
      <c r="B317" s="76"/>
      <c r="C317" s="23" t="s">
        <v>25</v>
      </c>
      <c r="D317" s="19">
        <v>45604</v>
      </c>
      <c r="E317" s="8"/>
      <c r="G317" s="21"/>
      <c r="I317" s="21"/>
      <c r="K317" s="21"/>
      <c r="M317" s="21"/>
      <c r="O317" s="28"/>
      <c r="P317" s="32"/>
      <c r="Q317" s="21"/>
      <c r="S317" s="28">
        <v>0</v>
      </c>
      <c r="T317" s="32">
        <v>0</v>
      </c>
      <c r="U317" s="28"/>
      <c r="V317" s="32"/>
      <c r="W317" s="28">
        <v>0</v>
      </c>
      <c r="X317" s="32">
        <v>0</v>
      </c>
      <c r="Y317" s="21"/>
      <c r="AA317" s="22">
        <f t="shared" si="40"/>
        <v>0</v>
      </c>
      <c r="AB317" s="78"/>
      <c r="AC317" s="79"/>
    </row>
    <row r="318" spans="2:29">
      <c r="B318" s="77"/>
      <c r="C318" s="33" t="s">
        <v>26</v>
      </c>
      <c r="D318" s="34">
        <v>45605</v>
      </c>
      <c r="E318" s="35"/>
      <c r="F318" s="36"/>
      <c r="G318" s="37"/>
      <c r="H318" s="36"/>
      <c r="I318" s="37"/>
      <c r="J318" s="36"/>
      <c r="K318" s="37"/>
      <c r="L318" s="36"/>
      <c r="M318" s="37"/>
      <c r="N318" s="36"/>
      <c r="O318" s="38"/>
      <c r="P318" s="39"/>
      <c r="Q318" s="37"/>
      <c r="R318" s="36"/>
      <c r="S318" s="38">
        <v>0</v>
      </c>
      <c r="T318" s="39">
        <v>0</v>
      </c>
      <c r="U318" s="38"/>
      <c r="V318" s="39"/>
      <c r="W318" s="38">
        <v>0</v>
      </c>
      <c r="X318" s="39">
        <v>0</v>
      </c>
      <c r="Y318" s="37"/>
      <c r="Z318" s="36"/>
      <c r="AA318" s="22">
        <f t="shared" si="40"/>
        <v>0</v>
      </c>
      <c r="AB318" s="78"/>
      <c r="AC318" s="79"/>
    </row>
    <row r="319" spans="2:29" ht="16.05" customHeight="1">
      <c r="B319" s="75" t="s">
        <v>73</v>
      </c>
      <c r="C319" s="18" t="s">
        <v>20</v>
      </c>
      <c r="D319" s="19">
        <v>45606</v>
      </c>
      <c r="E319" s="40"/>
      <c r="F319" s="41"/>
      <c r="G319" s="42"/>
      <c r="H319" s="41"/>
      <c r="I319" s="42"/>
      <c r="J319" s="41"/>
      <c r="K319" s="42"/>
      <c r="L319" s="41"/>
      <c r="M319" s="42"/>
      <c r="N319" s="41"/>
      <c r="O319" s="49"/>
      <c r="P319" s="50"/>
      <c r="Q319" s="21"/>
      <c r="R319" s="20"/>
      <c r="S319" s="21"/>
      <c r="T319" s="20"/>
      <c r="U319" s="28"/>
      <c r="V319" s="27"/>
      <c r="W319" s="21"/>
      <c r="X319" s="20"/>
      <c r="Y319" s="21"/>
      <c r="Z319" s="20"/>
      <c r="AA319" s="22">
        <f t="shared" si="40"/>
        <v>0</v>
      </c>
      <c r="AB319" s="78">
        <f t="shared" ref="AB319" si="49">SUM(AA319:AA325)</f>
        <v>0</v>
      </c>
      <c r="AC319" s="79">
        <v>40211342</v>
      </c>
    </row>
    <row r="320" spans="2:29">
      <c r="B320" s="76"/>
      <c r="C320" s="23" t="s">
        <v>21</v>
      </c>
      <c r="D320" s="19">
        <v>45607</v>
      </c>
      <c r="E320" s="8"/>
      <c r="F320" s="20"/>
      <c r="G320" s="21"/>
      <c r="H320" s="20"/>
      <c r="I320" s="21"/>
      <c r="J320" s="20"/>
      <c r="K320" s="21"/>
      <c r="L320" s="20"/>
      <c r="M320" s="21"/>
      <c r="N320" s="20"/>
      <c r="O320" s="28"/>
      <c r="P320" s="27"/>
      <c r="Q320" s="21"/>
      <c r="R320" s="20"/>
      <c r="S320" s="21"/>
      <c r="T320" s="20"/>
      <c r="U320" s="28"/>
      <c r="V320" s="27"/>
      <c r="W320" s="21"/>
      <c r="X320" s="20"/>
      <c r="Y320" s="21"/>
      <c r="Z320" s="20"/>
      <c r="AA320" s="22">
        <f t="shared" si="40"/>
        <v>0</v>
      </c>
      <c r="AB320" s="78"/>
      <c r="AC320" s="79"/>
    </row>
    <row r="321" spans="2:29" ht="16.05" customHeight="1">
      <c r="B321" s="76"/>
      <c r="C321" s="23" t="s">
        <v>22</v>
      </c>
      <c r="D321" s="19">
        <v>45608</v>
      </c>
      <c r="E321" s="8"/>
      <c r="F321" s="20"/>
      <c r="G321" s="21"/>
      <c r="H321" s="20"/>
      <c r="I321" s="21"/>
      <c r="J321" s="20"/>
      <c r="K321" s="21"/>
      <c r="L321" s="20"/>
      <c r="M321" s="21"/>
      <c r="N321" s="20"/>
      <c r="O321" s="28"/>
      <c r="P321" s="27"/>
      <c r="Q321" s="21"/>
      <c r="R321" s="20"/>
      <c r="S321" s="21"/>
      <c r="T321" s="20"/>
      <c r="U321" s="28"/>
      <c r="V321" s="27"/>
      <c r="W321" s="21"/>
      <c r="X321" s="20"/>
      <c r="Y321" s="21"/>
      <c r="Z321" s="20"/>
      <c r="AA321" s="22">
        <f t="shared" si="40"/>
        <v>0</v>
      </c>
      <c r="AB321" s="78"/>
      <c r="AC321" s="79"/>
    </row>
    <row r="322" spans="2:29">
      <c r="B322" s="76"/>
      <c r="C322" s="23" t="s">
        <v>23</v>
      </c>
      <c r="D322" s="19">
        <v>45609</v>
      </c>
      <c r="E322" s="8"/>
      <c r="F322" s="20"/>
      <c r="G322" s="21"/>
      <c r="H322" s="20"/>
      <c r="I322" s="21"/>
      <c r="J322" s="20"/>
      <c r="K322" s="21"/>
      <c r="L322" s="20"/>
      <c r="M322" s="21"/>
      <c r="N322" s="20"/>
      <c r="O322" s="28"/>
      <c r="P322" s="27"/>
      <c r="Q322" s="21"/>
      <c r="R322" s="20"/>
      <c r="S322" s="21"/>
      <c r="T322" s="20"/>
      <c r="U322" s="28"/>
      <c r="V322" s="27"/>
      <c r="W322" s="21"/>
      <c r="X322" s="20"/>
      <c r="Y322" s="21"/>
      <c r="Z322" s="20"/>
      <c r="AA322" s="22">
        <f t="shared" si="40"/>
        <v>0</v>
      </c>
      <c r="AB322" s="78"/>
      <c r="AC322" s="79"/>
    </row>
    <row r="323" spans="2:29">
      <c r="B323" s="76"/>
      <c r="C323" s="23" t="s">
        <v>24</v>
      </c>
      <c r="D323" s="19">
        <v>45610</v>
      </c>
      <c r="E323" s="8"/>
      <c r="F323" s="20"/>
      <c r="G323" s="21"/>
      <c r="H323" s="20"/>
      <c r="I323" s="21"/>
      <c r="J323" s="20"/>
      <c r="K323" s="21"/>
      <c r="L323" s="20"/>
      <c r="M323" s="21"/>
      <c r="N323" s="20"/>
      <c r="O323" s="28"/>
      <c r="P323" s="27"/>
      <c r="Q323" s="21"/>
      <c r="R323" s="20"/>
      <c r="S323" s="21"/>
      <c r="T323" s="20"/>
      <c r="U323" s="28"/>
      <c r="V323" s="27"/>
      <c r="W323" s="21"/>
      <c r="X323" s="20"/>
      <c r="Y323" s="21"/>
      <c r="Z323" s="20"/>
      <c r="AA323" s="22">
        <f t="shared" si="40"/>
        <v>0</v>
      </c>
      <c r="AB323" s="78"/>
      <c r="AC323" s="79"/>
    </row>
    <row r="324" spans="2:29">
      <c r="B324" s="76"/>
      <c r="C324" s="23" t="s">
        <v>25</v>
      </c>
      <c r="D324" s="19">
        <v>45611</v>
      </c>
      <c r="E324" s="8"/>
      <c r="G324" s="21"/>
      <c r="I324" s="21"/>
      <c r="K324" s="21"/>
      <c r="M324" s="21"/>
      <c r="O324" s="28"/>
      <c r="P324" s="32"/>
      <c r="Q324" s="21"/>
      <c r="S324" s="28">
        <v>0</v>
      </c>
      <c r="T324" s="32">
        <v>0</v>
      </c>
      <c r="U324" s="28"/>
      <c r="V324" s="32"/>
      <c r="W324" s="28">
        <v>0</v>
      </c>
      <c r="X324" s="32">
        <v>0</v>
      </c>
      <c r="Y324" s="21"/>
      <c r="AA324" s="22">
        <f t="shared" si="40"/>
        <v>0</v>
      </c>
      <c r="AB324" s="78"/>
      <c r="AC324" s="79"/>
    </row>
    <row r="325" spans="2:29">
      <c r="B325" s="77"/>
      <c r="C325" s="33" t="s">
        <v>26</v>
      </c>
      <c r="D325" s="34">
        <v>45612</v>
      </c>
      <c r="E325" s="72"/>
      <c r="F325" s="36"/>
      <c r="G325" s="37"/>
      <c r="H325" s="36"/>
      <c r="I325" s="37"/>
      <c r="J325" s="36"/>
      <c r="K325" s="37"/>
      <c r="L325" s="36"/>
      <c r="M325" s="37"/>
      <c r="N325" s="36"/>
      <c r="O325" s="38"/>
      <c r="P325" s="39"/>
      <c r="Q325" s="37"/>
      <c r="R325" s="36"/>
      <c r="S325" s="38">
        <v>0</v>
      </c>
      <c r="T325" s="39">
        <v>0</v>
      </c>
      <c r="U325" s="38"/>
      <c r="V325" s="39"/>
      <c r="W325" s="38">
        <v>0</v>
      </c>
      <c r="X325" s="39">
        <v>0</v>
      </c>
      <c r="Y325" s="37"/>
      <c r="Z325" s="36"/>
      <c r="AA325" s="22">
        <f t="shared" ref="AA325:AA374" si="50">E325+G325+I325+K325+M325+O325+Q325+S325+U325+W325+Y325</f>
        <v>0</v>
      </c>
      <c r="AB325" s="78"/>
      <c r="AC325" s="79"/>
    </row>
    <row r="326" spans="2:29" ht="16.05" customHeight="1">
      <c r="B326" s="75" t="s">
        <v>74</v>
      </c>
      <c r="C326" s="18" t="s">
        <v>20</v>
      </c>
      <c r="D326" s="19">
        <v>45613</v>
      </c>
      <c r="E326" s="40"/>
      <c r="F326" s="41"/>
      <c r="G326" s="42"/>
      <c r="H326" s="41"/>
      <c r="I326" s="42"/>
      <c r="J326" s="41"/>
      <c r="K326" s="42"/>
      <c r="L326" s="41"/>
      <c r="M326" s="42"/>
      <c r="N326" s="41"/>
      <c r="O326" s="49"/>
      <c r="P326" s="50"/>
      <c r="Q326" s="42"/>
      <c r="R326" s="41"/>
      <c r="S326" s="42"/>
      <c r="T326" s="41"/>
      <c r="U326" s="49"/>
      <c r="V326" s="50"/>
      <c r="W326" s="42"/>
      <c r="X326" s="41"/>
      <c r="Y326" s="42"/>
      <c r="Z326" s="41"/>
      <c r="AA326" s="22">
        <f t="shared" si="50"/>
        <v>0</v>
      </c>
      <c r="AB326" s="78">
        <f t="shared" ref="AB326" si="51">SUM(AA326:AA332)</f>
        <v>0</v>
      </c>
      <c r="AC326" s="79">
        <v>43974473</v>
      </c>
    </row>
    <row r="327" spans="2:29">
      <c r="B327" s="76"/>
      <c r="C327" s="23" t="s">
        <v>21</v>
      </c>
      <c r="D327" s="19">
        <v>45614</v>
      </c>
      <c r="E327" s="8"/>
      <c r="F327" s="20"/>
      <c r="G327" s="21"/>
      <c r="H327" s="20"/>
      <c r="I327" s="21"/>
      <c r="J327" s="20"/>
      <c r="K327" s="21"/>
      <c r="L327" s="20"/>
      <c r="M327" s="21"/>
      <c r="N327" s="20"/>
      <c r="O327" s="28"/>
      <c r="P327" s="27"/>
      <c r="Q327" s="21"/>
      <c r="R327" s="20"/>
      <c r="S327" s="21"/>
      <c r="T327" s="20"/>
      <c r="U327" s="28"/>
      <c r="V327" s="27"/>
      <c r="W327" s="21"/>
      <c r="X327" s="20"/>
      <c r="Y327" s="21"/>
      <c r="Z327" s="20"/>
      <c r="AA327" s="22">
        <f t="shared" si="50"/>
        <v>0</v>
      </c>
      <c r="AB327" s="78"/>
      <c r="AC327" s="79"/>
    </row>
    <row r="328" spans="2:29" ht="16.05" customHeight="1">
      <c r="B328" s="76"/>
      <c r="C328" s="23" t="s">
        <v>22</v>
      </c>
      <c r="D328" s="19">
        <v>45615</v>
      </c>
      <c r="E328" s="8"/>
      <c r="F328" s="20"/>
      <c r="G328" s="21"/>
      <c r="H328" s="20"/>
      <c r="I328" s="21"/>
      <c r="J328" s="20"/>
      <c r="K328" s="21"/>
      <c r="L328" s="20"/>
      <c r="M328" s="21"/>
      <c r="N328" s="20"/>
      <c r="O328" s="28"/>
      <c r="P328" s="27"/>
      <c r="Q328" s="21"/>
      <c r="R328" s="20"/>
      <c r="S328" s="21"/>
      <c r="T328" s="20"/>
      <c r="U328" s="28"/>
      <c r="V328" s="27"/>
      <c r="W328" s="21"/>
      <c r="X328" s="20"/>
      <c r="Y328" s="21"/>
      <c r="Z328" s="20"/>
      <c r="AA328" s="22">
        <f t="shared" si="50"/>
        <v>0</v>
      </c>
      <c r="AB328" s="78"/>
      <c r="AC328" s="79"/>
    </row>
    <row r="329" spans="2:29">
      <c r="B329" s="76"/>
      <c r="C329" s="23" t="s">
        <v>23</v>
      </c>
      <c r="D329" s="19">
        <v>45616</v>
      </c>
      <c r="E329" s="8"/>
      <c r="F329" s="20"/>
      <c r="G329" s="21"/>
      <c r="H329" s="20"/>
      <c r="I329" s="21"/>
      <c r="J329" s="20"/>
      <c r="K329" s="21"/>
      <c r="L329" s="20"/>
      <c r="M329" s="21"/>
      <c r="N329" s="20"/>
      <c r="O329" s="28"/>
      <c r="P329" s="27"/>
      <c r="Q329" s="21"/>
      <c r="R329" s="20"/>
      <c r="S329" s="21"/>
      <c r="T329" s="20"/>
      <c r="U329" s="28"/>
      <c r="V329" s="27"/>
      <c r="W329" s="21"/>
      <c r="X329" s="20"/>
      <c r="Y329" s="21"/>
      <c r="Z329" s="20"/>
      <c r="AA329" s="22">
        <f t="shared" si="50"/>
        <v>0</v>
      </c>
      <c r="AB329" s="78"/>
      <c r="AC329" s="79"/>
    </row>
    <row r="330" spans="2:29">
      <c r="B330" s="76"/>
      <c r="C330" s="24" t="s">
        <v>24</v>
      </c>
      <c r="D330" s="25">
        <v>45617</v>
      </c>
      <c r="E330" s="8"/>
      <c r="F330" s="20"/>
      <c r="G330" s="21"/>
      <c r="H330" s="20"/>
      <c r="I330" s="21"/>
      <c r="J330" s="20"/>
      <c r="K330" s="21"/>
      <c r="L330" s="20"/>
      <c r="M330" s="21"/>
      <c r="N330" s="20"/>
      <c r="O330" s="28"/>
      <c r="P330" s="27"/>
      <c r="Q330" s="21"/>
      <c r="R330" s="20"/>
      <c r="S330" s="28">
        <v>0</v>
      </c>
      <c r="T330" s="32">
        <v>0</v>
      </c>
      <c r="U330" s="28"/>
      <c r="V330" s="32"/>
      <c r="W330" s="28">
        <v>0</v>
      </c>
      <c r="X330" s="32">
        <v>0</v>
      </c>
      <c r="Y330" s="8"/>
      <c r="Z330" s="20"/>
      <c r="AA330" s="22">
        <f t="shared" si="50"/>
        <v>0</v>
      </c>
      <c r="AB330" s="78"/>
      <c r="AC330" s="79"/>
    </row>
    <row r="331" spans="2:29">
      <c r="B331" s="76"/>
      <c r="C331" s="23" t="s">
        <v>25</v>
      </c>
      <c r="D331" s="19">
        <v>45618</v>
      </c>
      <c r="E331" s="8"/>
      <c r="G331" s="21"/>
      <c r="I331" s="21"/>
      <c r="K331" s="21"/>
      <c r="M331" s="21"/>
      <c r="O331" s="28"/>
      <c r="P331" s="32"/>
      <c r="Q331" s="21"/>
      <c r="S331" s="38">
        <v>0</v>
      </c>
      <c r="T331" s="39">
        <v>0</v>
      </c>
      <c r="U331" s="38"/>
      <c r="V331" s="39"/>
      <c r="W331" s="38">
        <v>0</v>
      </c>
      <c r="X331" s="39">
        <v>0</v>
      </c>
      <c r="Y331" s="21"/>
      <c r="AA331" s="22">
        <f t="shared" si="50"/>
        <v>0</v>
      </c>
      <c r="AB331" s="78"/>
      <c r="AC331" s="79"/>
    </row>
    <row r="332" spans="2:29">
      <c r="B332" s="77"/>
      <c r="C332" s="33" t="s">
        <v>26</v>
      </c>
      <c r="D332" s="34">
        <v>45619</v>
      </c>
      <c r="E332" s="35"/>
      <c r="F332" s="36"/>
      <c r="G332" s="37"/>
      <c r="H332" s="36"/>
      <c r="I332" s="37"/>
      <c r="J332" s="36"/>
      <c r="K332" s="37"/>
      <c r="L332" s="36"/>
      <c r="M332" s="37"/>
      <c r="N332" s="36"/>
      <c r="O332" s="38"/>
      <c r="P332" s="39"/>
      <c r="Q332" s="37"/>
      <c r="R332" s="36"/>
      <c r="S332" s="38">
        <v>0</v>
      </c>
      <c r="T332" s="39">
        <v>0</v>
      </c>
      <c r="U332" s="38"/>
      <c r="V332" s="39"/>
      <c r="W332" s="38"/>
      <c r="X332" s="39"/>
      <c r="Y332" s="37"/>
      <c r="Z332" s="36"/>
      <c r="AA332" s="22">
        <f t="shared" si="50"/>
        <v>0</v>
      </c>
      <c r="AB332" s="78"/>
      <c r="AC332" s="79"/>
    </row>
    <row r="333" spans="2:29" ht="16.05" customHeight="1">
      <c r="B333" s="75" t="s">
        <v>75</v>
      </c>
      <c r="C333" s="48" t="s">
        <v>20</v>
      </c>
      <c r="D333" s="25">
        <v>45620</v>
      </c>
      <c r="E333" s="40"/>
      <c r="F333" s="41"/>
      <c r="G333" s="42"/>
      <c r="H333" s="41"/>
      <c r="I333" s="42"/>
      <c r="J333" s="41"/>
      <c r="K333" s="42"/>
      <c r="L333" s="41"/>
      <c r="M333" s="42"/>
      <c r="N333" s="41"/>
      <c r="O333" s="49"/>
      <c r="P333" s="50"/>
      <c r="Q333" s="42"/>
      <c r="R333" s="41"/>
      <c r="S333" s="49">
        <v>0</v>
      </c>
      <c r="T333" s="50">
        <v>0</v>
      </c>
      <c r="U333" s="28"/>
      <c r="V333" s="27"/>
      <c r="W333" s="49"/>
      <c r="X333" s="50"/>
      <c r="Y333" s="42"/>
      <c r="Z333" s="41"/>
      <c r="AA333" s="22">
        <f t="shared" si="50"/>
        <v>0</v>
      </c>
      <c r="AB333" s="78">
        <f t="shared" ref="AB333" si="52">SUM(AA333:AA339)</f>
        <v>0</v>
      </c>
      <c r="AC333" s="79">
        <v>42448590</v>
      </c>
    </row>
    <row r="334" spans="2:29">
      <c r="B334" s="76"/>
      <c r="C334" s="23" t="s">
        <v>21</v>
      </c>
      <c r="D334" s="19">
        <v>45621</v>
      </c>
      <c r="E334" s="8"/>
      <c r="F334" s="20"/>
      <c r="G334" s="21"/>
      <c r="H334" s="20"/>
      <c r="I334" s="21"/>
      <c r="J334" s="20"/>
      <c r="K334" s="21"/>
      <c r="L334" s="20"/>
      <c r="M334" s="21"/>
      <c r="N334" s="20"/>
      <c r="O334" s="28"/>
      <c r="P334" s="27"/>
      <c r="Q334" s="21"/>
      <c r="R334" s="20"/>
      <c r="S334" s="21"/>
      <c r="T334" s="20"/>
      <c r="U334" s="28"/>
      <c r="V334" s="27"/>
      <c r="W334" s="21"/>
      <c r="X334" s="20"/>
      <c r="Y334" s="21"/>
      <c r="Z334" s="20"/>
      <c r="AA334" s="22">
        <f t="shared" si="50"/>
        <v>0</v>
      </c>
      <c r="AB334" s="78"/>
      <c r="AC334" s="79"/>
    </row>
    <row r="335" spans="2:29" ht="16.05" customHeight="1">
      <c r="B335" s="76"/>
      <c r="C335" s="23" t="s">
        <v>22</v>
      </c>
      <c r="D335" s="19">
        <v>45622</v>
      </c>
      <c r="E335" s="8"/>
      <c r="F335" s="20"/>
      <c r="G335" s="21"/>
      <c r="H335" s="20"/>
      <c r="I335" s="21"/>
      <c r="J335" s="20"/>
      <c r="K335" s="21"/>
      <c r="L335" s="20"/>
      <c r="M335" s="21"/>
      <c r="N335" s="20"/>
      <c r="O335" s="28"/>
      <c r="P335" s="27"/>
      <c r="Q335" s="21"/>
      <c r="R335" s="20"/>
      <c r="S335" s="21"/>
      <c r="T335" s="20"/>
      <c r="U335" s="28"/>
      <c r="V335" s="27"/>
      <c r="W335" s="21"/>
      <c r="X335" s="20"/>
      <c r="Y335" s="21"/>
      <c r="Z335" s="20"/>
      <c r="AA335" s="22">
        <f t="shared" si="50"/>
        <v>0</v>
      </c>
      <c r="AB335" s="78"/>
      <c r="AC335" s="79"/>
    </row>
    <row r="336" spans="2:29">
      <c r="B336" s="76"/>
      <c r="C336" s="23" t="s">
        <v>23</v>
      </c>
      <c r="D336" s="19">
        <v>45623</v>
      </c>
      <c r="E336" s="8"/>
      <c r="F336" s="20"/>
      <c r="G336" s="21"/>
      <c r="H336" s="20"/>
      <c r="I336" s="21"/>
      <c r="J336" s="20"/>
      <c r="K336" s="21"/>
      <c r="L336" s="20"/>
      <c r="M336" s="21"/>
      <c r="N336" s="20"/>
      <c r="O336" s="28"/>
      <c r="P336" s="27"/>
      <c r="Q336" s="21"/>
      <c r="R336" s="20"/>
      <c r="S336" s="21"/>
      <c r="T336" s="20"/>
      <c r="U336" s="28"/>
      <c r="V336" s="27"/>
      <c r="W336" s="21"/>
      <c r="X336" s="20"/>
      <c r="Y336" s="21"/>
      <c r="Z336" s="20"/>
      <c r="AA336" s="22">
        <f t="shared" si="50"/>
        <v>0</v>
      </c>
      <c r="AB336" s="78"/>
      <c r="AC336" s="79"/>
    </row>
    <row r="337" spans="2:29">
      <c r="B337" s="76"/>
      <c r="C337" s="23" t="s">
        <v>24</v>
      </c>
      <c r="D337" s="19">
        <v>45624</v>
      </c>
      <c r="E337" s="8"/>
      <c r="F337" s="20"/>
      <c r="G337" s="21"/>
      <c r="H337" s="20"/>
      <c r="I337" s="21"/>
      <c r="J337" s="20"/>
      <c r="K337" s="21"/>
      <c r="L337" s="20"/>
      <c r="M337" s="21"/>
      <c r="N337" s="20"/>
      <c r="O337" s="28"/>
      <c r="P337" s="27"/>
      <c r="Q337" s="21"/>
      <c r="R337" s="20"/>
      <c r="S337" s="21"/>
      <c r="T337" s="20"/>
      <c r="U337" s="28"/>
      <c r="V337" s="27"/>
      <c r="W337" s="21"/>
      <c r="X337" s="20"/>
      <c r="Y337" s="21"/>
      <c r="Z337" s="20"/>
      <c r="AA337" s="22">
        <f t="shared" si="50"/>
        <v>0</v>
      </c>
      <c r="AB337" s="78"/>
      <c r="AC337" s="79"/>
    </row>
    <row r="338" spans="2:29">
      <c r="B338" s="76"/>
      <c r="C338" s="23" t="s">
        <v>25</v>
      </c>
      <c r="D338" s="19">
        <v>45625</v>
      </c>
      <c r="E338" s="8"/>
      <c r="G338" s="21"/>
      <c r="I338" s="21"/>
      <c r="K338" s="21"/>
      <c r="M338" s="21"/>
      <c r="O338" s="28"/>
      <c r="P338" s="32"/>
      <c r="Q338" s="21"/>
      <c r="S338" s="28">
        <v>0</v>
      </c>
      <c r="T338" s="32">
        <v>0</v>
      </c>
      <c r="U338" s="28"/>
      <c r="V338" s="32"/>
      <c r="W338" s="28">
        <v>0</v>
      </c>
      <c r="X338" s="32">
        <v>0</v>
      </c>
      <c r="Y338" s="21"/>
      <c r="AA338" s="22">
        <f t="shared" si="50"/>
        <v>0</v>
      </c>
      <c r="AB338" s="78"/>
      <c r="AC338" s="79"/>
    </row>
    <row r="339" spans="2:29">
      <c r="B339" s="77"/>
      <c r="C339" s="33" t="s">
        <v>26</v>
      </c>
      <c r="D339" s="34">
        <v>45626</v>
      </c>
      <c r="E339" s="35"/>
      <c r="F339" s="36"/>
      <c r="G339" s="37"/>
      <c r="H339" s="36"/>
      <c r="I339" s="37"/>
      <c r="J339" s="36"/>
      <c r="K339" s="37"/>
      <c r="L339" s="36"/>
      <c r="M339" s="37"/>
      <c r="N339" s="36"/>
      <c r="O339" s="38"/>
      <c r="P339" s="39"/>
      <c r="Q339" s="37"/>
      <c r="R339" s="36"/>
      <c r="S339" s="38">
        <v>0</v>
      </c>
      <c r="T339" s="39">
        <v>0</v>
      </c>
      <c r="U339" s="38"/>
      <c r="V339" s="39"/>
      <c r="W339" s="38">
        <v>0</v>
      </c>
      <c r="X339" s="39">
        <v>0</v>
      </c>
      <c r="Y339" s="37"/>
      <c r="Z339" s="36"/>
      <c r="AA339" s="22">
        <f t="shared" si="50"/>
        <v>0</v>
      </c>
      <c r="AB339" s="78"/>
      <c r="AC339" s="79"/>
    </row>
    <row r="340" spans="2:29" ht="16.05" customHeight="1">
      <c r="B340" s="75" t="s">
        <v>76</v>
      </c>
      <c r="C340" s="18" t="s">
        <v>20</v>
      </c>
      <c r="D340" s="19">
        <v>45627</v>
      </c>
      <c r="E340" s="40"/>
      <c r="F340" s="41"/>
      <c r="G340" s="42"/>
      <c r="H340" s="41"/>
      <c r="I340" s="42"/>
      <c r="J340" s="41"/>
      <c r="K340" s="42"/>
      <c r="L340" s="41"/>
      <c r="M340" s="42"/>
      <c r="N340" s="41"/>
      <c r="O340" s="49"/>
      <c r="P340" s="50"/>
      <c r="Q340" s="42"/>
      <c r="R340" s="41"/>
      <c r="S340" s="42"/>
      <c r="T340" s="41"/>
      <c r="U340" s="28"/>
      <c r="V340" s="27"/>
      <c r="W340" s="42"/>
      <c r="X340" s="41"/>
      <c r="Y340" s="42"/>
      <c r="Z340" s="41"/>
      <c r="AA340" s="22">
        <f t="shared" si="50"/>
        <v>0</v>
      </c>
      <c r="AB340" s="78">
        <f t="shared" ref="AB340" si="53">SUM(AA340:AA346)</f>
        <v>0</v>
      </c>
      <c r="AC340" s="79">
        <v>40741773</v>
      </c>
    </row>
    <row r="341" spans="2:29">
      <c r="B341" s="76"/>
      <c r="C341" s="23" t="s">
        <v>21</v>
      </c>
      <c r="D341" s="19">
        <v>45628</v>
      </c>
      <c r="E341" s="8"/>
      <c r="F341" s="20"/>
      <c r="G341" s="21"/>
      <c r="H341" s="20"/>
      <c r="I341" s="21"/>
      <c r="J341" s="20"/>
      <c r="K341" s="21"/>
      <c r="L341" s="20"/>
      <c r="M341" s="21"/>
      <c r="N341" s="20"/>
      <c r="O341" s="28"/>
      <c r="P341" s="27"/>
      <c r="Q341" s="21"/>
      <c r="R341" s="20"/>
      <c r="S341" s="21"/>
      <c r="T341" s="20"/>
      <c r="U341" s="28"/>
      <c r="V341" s="27"/>
      <c r="W341" s="21"/>
      <c r="X341" s="20"/>
      <c r="Y341" s="21"/>
      <c r="Z341" s="20"/>
      <c r="AA341" s="22">
        <f t="shared" si="50"/>
        <v>0</v>
      </c>
      <c r="AB341" s="78"/>
      <c r="AC341" s="79"/>
    </row>
    <row r="342" spans="2:29" ht="16.05" customHeight="1">
      <c r="B342" s="76"/>
      <c r="C342" s="23" t="s">
        <v>22</v>
      </c>
      <c r="D342" s="19">
        <v>45629</v>
      </c>
      <c r="E342" s="8"/>
      <c r="F342" s="20"/>
      <c r="G342" s="21"/>
      <c r="H342" s="20"/>
      <c r="I342" s="21"/>
      <c r="J342" s="20"/>
      <c r="K342" s="21"/>
      <c r="L342" s="20"/>
      <c r="M342" s="21"/>
      <c r="N342" s="20"/>
      <c r="O342" s="28"/>
      <c r="P342" s="27"/>
      <c r="Q342" s="21"/>
      <c r="R342" s="20"/>
      <c r="S342" s="21"/>
      <c r="T342" s="20"/>
      <c r="U342" s="28"/>
      <c r="V342" s="27"/>
      <c r="W342" s="21"/>
      <c r="X342" s="20"/>
      <c r="Y342" s="21"/>
      <c r="Z342" s="20"/>
      <c r="AA342" s="22">
        <f t="shared" si="50"/>
        <v>0</v>
      </c>
      <c r="AB342" s="78"/>
      <c r="AC342" s="79"/>
    </row>
    <row r="343" spans="2:29">
      <c r="B343" s="76"/>
      <c r="C343" s="23" t="s">
        <v>23</v>
      </c>
      <c r="D343" s="19">
        <v>45630</v>
      </c>
      <c r="E343" s="8"/>
      <c r="F343" s="20"/>
      <c r="G343" s="21"/>
      <c r="H343" s="20"/>
      <c r="I343" s="21"/>
      <c r="J343" s="20"/>
      <c r="K343" s="21"/>
      <c r="L343" s="20"/>
      <c r="M343" s="21"/>
      <c r="N343" s="20"/>
      <c r="O343" s="28"/>
      <c r="P343" s="27"/>
      <c r="Q343" s="21"/>
      <c r="R343" s="20"/>
      <c r="S343" s="21"/>
      <c r="T343" s="20"/>
      <c r="U343" s="28"/>
      <c r="V343" s="27"/>
      <c r="W343" s="21"/>
      <c r="X343" s="20"/>
      <c r="Y343" s="21"/>
      <c r="Z343" s="20"/>
      <c r="AA343" s="22">
        <f t="shared" si="50"/>
        <v>0</v>
      </c>
      <c r="AB343" s="78"/>
      <c r="AC343" s="79"/>
    </row>
    <row r="344" spans="2:29">
      <c r="B344" s="76"/>
      <c r="C344" s="23" t="s">
        <v>24</v>
      </c>
      <c r="D344" s="19">
        <v>45631</v>
      </c>
      <c r="E344" s="8"/>
      <c r="F344" s="20"/>
      <c r="G344" s="21"/>
      <c r="H344" s="20"/>
      <c r="I344" s="21"/>
      <c r="J344" s="20"/>
      <c r="K344" s="21"/>
      <c r="L344" s="20"/>
      <c r="M344" s="21"/>
      <c r="N344" s="20"/>
      <c r="O344" s="28"/>
      <c r="P344" s="27"/>
      <c r="Q344" s="21"/>
      <c r="R344" s="20"/>
      <c r="S344" s="21"/>
      <c r="T344" s="20"/>
      <c r="U344" s="28"/>
      <c r="V344" s="27"/>
      <c r="W344" s="21"/>
      <c r="X344" s="20"/>
      <c r="Y344" s="21"/>
      <c r="Z344" s="20"/>
      <c r="AA344" s="22">
        <f t="shared" si="50"/>
        <v>0</v>
      </c>
      <c r="AB344" s="78"/>
      <c r="AC344" s="79"/>
    </row>
    <row r="345" spans="2:29">
      <c r="B345" s="76"/>
      <c r="C345" s="23" t="s">
        <v>25</v>
      </c>
      <c r="D345" s="19">
        <v>45632</v>
      </c>
      <c r="E345" s="8"/>
      <c r="G345" s="21"/>
      <c r="I345" s="21"/>
      <c r="K345" s="21"/>
      <c r="M345" s="21"/>
      <c r="O345" s="28"/>
      <c r="P345" s="32"/>
      <c r="Q345" s="21"/>
      <c r="S345" s="28">
        <v>0</v>
      </c>
      <c r="T345" s="32">
        <v>0</v>
      </c>
      <c r="U345" s="28"/>
      <c r="V345" s="32"/>
      <c r="W345" s="28">
        <v>0</v>
      </c>
      <c r="X345" s="32">
        <v>0</v>
      </c>
      <c r="Y345" s="21"/>
      <c r="AA345" s="22">
        <f t="shared" si="50"/>
        <v>0</v>
      </c>
      <c r="AB345" s="78"/>
      <c r="AC345" s="79"/>
    </row>
    <row r="346" spans="2:29">
      <c r="B346" s="77"/>
      <c r="C346" s="33" t="s">
        <v>26</v>
      </c>
      <c r="D346" s="34">
        <v>45633</v>
      </c>
      <c r="E346" s="35"/>
      <c r="F346" s="36"/>
      <c r="G346" s="37"/>
      <c r="H346" s="36"/>
      <c r="I346" s="37"/>
      <c r="J346" s="36"/>
      <c r="K346" s="37"/>
      <c r="L346" s="36"/>
      <c r="M346" s="37"/>
      <c r="N346" s="36"/>
      <c r="O346" s="38"/>
      <c r="P346" s="39"/>
      <c r="Q346" s="37"/>
      <c r="R346" s="36"/>
      <c r="S346" s="38">
        <v>0</v>
      </c>
      <c r="T346" s="39">
        <v>0</v>
      </c>
      <c r="U346" s="38"/>
      <c r="V346" s="39"/>
      <c r="W346" s="38">
        <v>0</v>
      </c>
      <c r="X346" s="39">
        <v>0</v>
      </c>
      <c r="Y346" s="37"/>
      <c r="Z346" s="36"/>
      <c r="AA346" s="22">
        <f t="shared" si="50"/>
        <v>0</v>
      </c>
      <c r="AB346" s="78"/>
      <c r="AC346" s="79"/>
    </row>
    <row r="347" spans="2:29" ht="16.05" customHeight="1">
      <c r="B347" s="75" t="s">
        <v>77</v>
      </c>
      <c r="C347" s="48" t="s">
        <v>20</v>
      </c>
      <c r="D347" s="25">
        <v>45634</v>
      </c>
      <c r="E347" s="40"/>
      <c r="F347" s="41"/>
      <c r="G347" s="42"/>
      <c r="H347" s="41"/>
      <c r="I347" s="42"/>
      <c r="J347" s="41"/>
      <c r="K347" s="42"/>
      <c r="L347" s="41"/>
      <c r="M347" s="42"/>
      <c r="N347" s="41"/>
      <c r="O347" s="49"/>
      <c r="P347" s="50"/>
      <c r="Q347" s="42"/>
      <c r="R347" s="41"/>
      <c r="S347" s="49">
        <v>0</v>
      </c>
      <c r="T347" s="50">
        <v>0</v>
      </c>
      <c r="U347" s="28"/>
      <c r="V347" s="27"/>
      <c r="W347" s="49"/>
      <c r="X347" s="50"/>
      <c r="Y347" s="42"/>
      <c r="Z347" s="41"/>
      <c r="AA347" s="22">
        <f t="shared" si="50"/>
        <v>0</v>
      </c>
      <c r="AB347" s="78">
        <f t="shared" ref="AB347" si="54">SUM(AA347:AA353)</f>
        <v>0</v>
      </c>
      <c r="AC347" s="79">
        <v>32952278</v>
      </c>
    </row>
    <row r="348" spans="2:29">
      <c r="B348" s="76"/>
      <c r="C348" s="23" t="s">
        <v>21</v>
      </c>
      <c r="D348" s="19">
        <v>45635</v>
      </c>
      <c r="E348" s="8"/>
      <c r="F348" s="20"/>
      <c r="G348" s="21"/>
      <c r="H348" s="20"/>
      <c r="I348" s="21"/>
      <c r="J348" s="20"/>
      <c r="K348" s="21"/>
      <c r="L348" s="20"/>
      <c r="M348" s="21"/>
      <c r="N348" s="20"/>
      <c r="O348" s="28"/>
      <c r="P348" s="27"/>
      <c r="Q348" s="21"/>
      <c r="R348" s="20"/>
      <c r="S348" s="21"/>
      <c r="T348" s="20"/>
      <c r="U348" s="28"/>
      <c r="V348" s="27"/>
      <c r="W348" s="21"/>
      <c r="X348" s="20"/>
      <c r="Y348" s="21"/>
      <c r="Z348" s="20"/>
      <c r="AA348" s="22">
        <f t="shared" si="50"/>
        <v>0</v>
      </c>
      <c r="AB348" s="78"/>
      <c r="AC348" s="79"/>
    </row>
    <row r="349" spans="2:29" ht="16.05" customHeight="1">
      <c r="B349" s="76"/>
      <c r="C349" s="23" t="s">
        <v>22</v>
      </c>
      <c r="D349" s="19">
        <v>45636</v>
      </c>
      <c r="E349" s="8"/>
      <c r="F349" s="20"/>
      <c r="G349" s="21"/>
      <c r="H349" s="20"/>
      <c r="I349" s="21"/>
      <c r="J349" s="20"/>
      <c r="K349" s="21"/>
      <c r="L349" s="20"/>
      <c r="M349" s="21"/>
      <c r="N349" s="20"/>
      <c r="O349" s="28"/>
      <c r="P349" s="27"/>
      <c r="Q349" s="21"/>
      <c r="R349" s="20"/>
      <c r="S349" s="21"/>
      <c r="T349" s="20"/>
      <c r="U349" s="28"/>
      <c r="V349" s="27"/>
      <c r="W349" s="21"/>
      <c r="X349" s="20"/>
      <c r="Y349" s="21"/>
      <c r="Z349" s="20"/>
      <c r="AA349" s="22">
        <f t="shared" si="50"/>
        <v>0</v>
      </c>
      <c r="AB349" s="78"/>
      <c r="AC349" s="79"/>
    </row>
    <row r="350" spans="2:29">
      <c r="B350" s="76"/>
      <c r="C350" s="23" t="s">
        <v>23</v>
      </c>
      <c r="D350" s="19">
        <v>45637</v>
      </c>
      <c r="E350" s="8"/>
      <c r="F350" s="20"/>
      <c r="G350" s="21"/>
      <c r="H350" s="20"/>
      <c r="I350" s="21"/>
      <c r="J350" s="20"/>
      <c r="K350" s="21"/>
      <c r="L350" s="20"/>
      <c r="M350" s="21"/>
      <c r="N350" s="20"/>
      <c r="O350" s="28"/>
      <c r="P350" s="27"/>
      <c r="Q350" s="21"/>
      <c r="R350" s="20"/>
      <c r="S350" s="21"/>
      <c r="T350" s="20"/>
      <c r="U350" s="28"/>
      <c r="V350" s="27"/>
      <c r="W350" s="21"/>
      <c r="X350" s="20"/>
      <c r="Y350" s="21"/>
      <c r="Z350" s="20"/>
      <c r="AA350" s="22">
        <f t="shared" si="50"/>
        <v>0</v>
      </c>
      <c r="AB350" s="78"/>
      <c r="AC350" s="79"/>
    </row>
    <row r="351" spans="2:29">
      <c r="B351" s="76"/>
      <c r="C351" s="23" t="s">
        <v>24</v>
      </c>
      <c r="D351" s="19">
        <v>45638</v>
      </c>
      <c r="E351" s="8"/>
      <c r="F351" s="20"/>
      <c r="G351" s="21"/>
      <c r="H351" s="20"/>
      <c r="I351" s="21"/>
      <c r="J351" s="20"/>
      <c r="K351" s="21"/>
      <c r="L351" s="20"/>
      <c r="M351" s="21"/>
      <c r="N351" s="20"/>
      <c r="O351" s="28"/>
      <c r="P351" s="27"/>
      <c r="Q351" s="21"/>
      <c r="R351" s="20"/>
      <c r="S351" s="21"/>
      <c r="T351" s="20"/>
      <c r="U351" s="28"/>
      <c r="V351" s="27"/>
      <c r="W351" s="21"/>
      <c r="X351" s="20"/>
      <c r="Y351" s="21"/>
      <c r="Z351" s="20"/>
      <c r="AA351" s="22">
        <f t="shared" si="50"/>
        <v>0</v>
      </c>
      <c r="AB351" s="78"/>
      <c r="AC351" s="79"/>
    </row>
    <row r="352" spans="2:29">
      <c r="B352" s="76"/>
      <c r="C352" s="23" t="s">
        <v>25</v>
      </c>
      <c r="D352" s="19">
        <v>45639</v>
      </c>
      <c r="E352" s="8"/>
      <c r="G352" s="21"/>
      <c r="I352" s="21"/>
      <c r="K352" s="21"/>
      <c r="M352" s="21"/>
      <c r="O352" s="28"/>
      <c r="P352" s="32"/>
      <c r="Q352" s="21"/>
      <c r="S352" s="28">
        <v>0</v>
      </c>
      <c r="T352" s="32">
        <v>0</v>
      </c>
      <c r="U352" s="28"/>
      <c r="V352" s="32"/>
      <c r="W352" s="28">
        <v>0</v>
      </c>
      <c r="X352" s="32">
        <v>0</v>
      </c>
      <c r="Y352" s="21"/>
      <c r="AA352" s="22">
        <f t="shared" si="50"/>
        <v>0</v>
      </c>
      <c r="AB352" s="78"/>
      <c r="AC352" s="79"/>
    </row>
    <row r="353" spans="2:29">
      <c r="B353" s="77"/>
      <c r="C353" s="33" t="s">
        <v>26</v>
      </c>
      <c r="D353" s="34">
        <v>45640</v>
      </c>
      <c r="E353" s="35"/>
      <c r="F353" s="36"/>
      <c r="G353" s="37"/>
      <c r="H353" s="36"/>
      <c r="I353" s="37"/>
      <c r="J353" s="36"/>
      <c r="K353" s="37"/>
      <c r="L353" s="36"/>
      <c r="M353" s="37"/>
      <c r="N353" s="36"/>
      <c r="O353" s="38"/>
      <c r="P353" s="39"/>
      <c r="Q353" s="37"/>
      <c r="R353" s="36"/>
      <c r="S353" s="38">
        <v>0</v>
      </c>
      <c r="T353" s="39">
        <v>0</v>
      </c>
      <c r="U353" s="38"/>
      <c r="V353" s="39"/>
      <c r="W353" s="38">
        <v>0</v>
      </c>
      <c r="X353" s="39">
        <v>0</v>
      </c>
      <c r="Y353" s="37"/>
      <c r="Z353" s="36"/>
      <c r="AA353" s="22">
        <f t="shared" si="50"/>
        <v>0</v>
      </c>
      <c r="AB353" s="78"/>
      <c r="AC353" s="79"/>
    </row>
    <row r="354" spans="2:29" ht="16.05" customHeight="1">
      <c r="B354" s="75" t="s">
        <v>78</v>
      </c>
      <c r="C354" s="18" t="s">
        <v>20</v>
      </c>
      <c r="D354" s="19">
        <v>45641</v>
      </c>
      <c r="E354" s="40"/>
      <c r="F354" s="41"/>
      <c r="G354" s="42"/>
      <c r="H354" s="41"/>
      <c r="I354" s="42"/>
      <c r="J354" s="41"/>
      <c r="K354" s="42"/>
      <c r="L354" s="41"/>
      <c r="M354" s="42"/>
      <c r="N354" s="41"/>
      <c r="O354" s="49"/>
      <c r="P354" s="50"/>
      <c r="Q354" s="42"/>
      <c r="R354" s="41"/>
      <c r="S354" s="42"/>
      <c r="T354" s="41"/>
      <c r="U354" s="28"/>
      <c r="V354" s="27"/>
      <c r="W354" s="42"/>
      <c r="X354" s="41"/>
      <c r="Y354" s="42"/>
      <c r="Z354" s="41"/>
      <c r="AA354" s="22">
        <f t="shared" si="50"/>
        <v>0</v>
      </c>
      <c r="AB354" s="78">
        <f t="shared" ref="AB354" si="55">SUM(AA354:AA360)</f>
        <v>0</v>
      </c>
      <c r="AC354" s="79">
        <v>34855968</v>
      </c>
    </row>
    <row r="355" spans="2:29">
      <c r="B355" s="76"/>
      <c r="C355" s="23" t="s">
        <v>21</v>
      </c>
      <c r="D355" s="19">
        <v>45642</v>
      </c>
      <c r="E355" s="8"/>
      <c r="F355" s="20"/>
      <c r="G355" s="21"/>
      <c r="H355" s="20"/>
      <c r="I355" s="21"/>
      <c r="J355" s="20"/>
      <c r="K355" s="21"/>
      <c r="L355" s="20"/>
      <c r="M355" s="21"/>
      <c r="N355" s="20"/>
      <c r="O355" s="28"/>
      <c r="P355" s="27"/>
      <c r="Q355" s="21"/>
      <c r="R355" s="20"/>
      <c r="S355" s="21"/>
      <c r="T355" s="20"/>
      <c r="U355" s="28"/>
      <c r="V355" s="27"/>
      <c r="W355" s="21"/>
      <c r="X355" s="20"/>
      <c r="Y355" s="21"/>
      <c r="Z355" s="20"/>
      <c r="AA355" s="22">
        <f t="shared" si="50"/>
        <v>0</v>
      </c>
      <c r="AB355" s="78"/>
      <c r="AC355" s="79"/>
    </row>
    <row r="356" spans="2:29" ht="16.05" customHeight="1">
      <c r="B356" s="76"/>
      <c r="C356" s="23" t="s">
        <v>22</v>
      </c>
      <c r="D356" s="19">
        <v>45643</v>
      </c>
      <c r="E356" s="8"/>
      <c r="F356" s="20"/>
      <c r="G356" s="21"/>
      <c r="H356" s="20"/>
      <c r="I356" s="21"/>
      <c r="J356" s="20"/>
      <c r="K356" s="21"/>
      <c r="L356" s="20"/>
      <c r="M356" s="21"/>
      <c r="N356" s="20"/>
      <c r="O356" s="28"/>
      <c r="P356" s="27"/>
      <c r="Q356" s="21"/>
      <c r="R356" s="20"/>
      <c r="S356" s="21"/>
      <c r="T356" s="20"/>
      <c r="U356" s="28"/>
      <c r="V356" s="27"/>
      <c r="W356" s="21"/>
      <c r="X356" s="20"/>
      <c r="Y356" s="21"/>
      <c r="Z356" s="20"/>
      <c r="AA356" s="22">
        <f t="shared" si="50"/>
        <v>0</v>
      </c>
      <c r="AB356" s="78"/>
      <c r="AC356" s="79"/>
    </row>
    <row r="357" spans="2:29">
      <c r="B357" s="76"/>
      <c r="C357" s="23" t="s">
        <v>23</v>
      </c>
      <c r="D357" s="19">
        <v>45644</v>
      </c>
      <c r="E357" s="8"/>
      <c r="F357" s="20"/>
      <c r="G357" s="21"/>
      <c r="H357" s="20"/>
      <c r="I357" s="21"/>
      <c r="J357" s="20"/>
      <c r="K357" s="21"/>
      <c r="L357" s="20"/>
      <c r="M357" s="21"/>
      <c r="N357" s="20"/>
      <c r="O357" s="28"/>
      <c r="P357" s="27"/>
      <c r="Q357" s="21"/>
      <c r="R357" s="20"/>
      <c r="S357" s="21"/>
      <c r="T357" s="20"/>
      <c r="U357" s="28"/>
      <c r="V357" s="27"/>
      <c r="W357" s="21"/>
      <c r="X357" s="20"/>
      <c r="Y357" s="21"/>
      <c r="Z357" s="20"/>
      <c r="AA357" s="22">
        <f t="shared" si="50"/>
        <v>0</v>
      </c>
      <c r="AB357" s="78"/>
      <c r="AC357" s="79"/>
    </row>
    <row r="358" spans="2:29">
      <c r="B358" s="76"/>
      <c r="C358" s="23" t="s">
        <v>24</v>
      </c>
      <c r="D358" s="19">
        <v>45645</v>
      </c>
      <c r="E358" s="8"/>
      <c r="F358" s="20"/>
      <c r="G358" s="21"/>
      <c r="H358" s="20"/>
      <c r="I358" s="21"/>
      <c r="J358" s="20"/>
      <c r="K358" s="21"/>
      <c r="L358" s="20"/>
      <c r="M358" s="21"/>
      <c r="N358" s="20"/>
      <c r="O358" s="28"/>
      <c r="P358" s="27"/>
      <c r="Q358" s="21"/>
      <c r="R358" s="20"/>
      <c r="S358" s="21"/>
      <c r="T358" s="20"/>
      <c r="U358" s="28"/>
      <c r="V358" s="27"/>
      <c r="W358" s="21"/>
      <c r="X358" s="20"/>
      <c r="Y358" s="21"/>
      <c r="Z358" s="20"/>
      <c r="AA358" s="22">
        <f t="shared" si="50"/>
        <v>0</v>
      </c>
      <c r="AB358" s="78"/>
      <c r="AC358" s="79"/>
    </row>
    <row r="359" spans="2:29">
      <c r="B359" s="76"/>
      <c r="C359" s="23" t="s">
        <v>25</v>
      </c>
      <c r="D359" s="19">
        <v>45646</v>
      </c>
      <c r="E359" s="8"/>
      <c r="G359" s="21"/>
      <c r="I359" s="21"/>
      <c r="K359" s="21"/>
      <c r="M359" s="21"/>
      <c r="O359" s="28"/>
      <c r="P359" s="32"/>
      <c r="Q359" s="21"/>
      <c r="R359" s="20"/>
      <c r="S359" s="21"/>
      <c r="U359" s="28"/>
      <c r="V359" s="32"/>
      <c r="W359" s="21"/>
      <c r="Y359" s="21"/>
      <c r="AA359" s="22">
        <f t="shared" si="50"/>
        <v>0</v>
      </c>
      <c r="AB359" s="78"/>
      <c r="AC359" s="79"/>
    </row>
    <row r="360" spans="2:29">
      <c r="B360" s="77"/>
      <c r="C360" s="33" t="s">
        <v>26</v>
      </c>
      <c r="D360" s="34">
        <v>45647</v>
      </c>
      <c r="E360" s="35"/>
      <c r="F360" s="36"/>
      <c r="G360" s="37"/>
      <c r="H360" s="36"/>
      <c r="I360" s="37"/>
      <c r="J360" s="36"/>
      <c r="K360" s="37"/>
      <c r="L360" s="36"/>
      <c r="M360" s="37"/>
      <c r="N360" s="36"/>
      <c r="O360" s="38"/>
      <c r="P360" s="39"/>
      <c r="Q360" s="37"/>
      <c r="R360" s="36"/>
      <c r="S360" s="38">
        <v>0</v>
      </c>
      <c r="T360" s="39">
        <v>0</v>
      </c>
      <c r="U360" s="38"/>
      <c r="V360" s="39"/>
      <c r="W360" s="38"/>
      <c r="X360" s="39"/>
      <c r="Y360" s="37"/>
      <c r="Z360" s="36"/>
      <c r="AA360" s="22">
        <f t="shared" si="50"/>
        <v>0</v>
      </c>
      <c r="AB360" s="78"/>
      <c r="AC360" s="79"/>
    </row>
    <row r="361" spans="2:29" ht="16.05" customHeight="1">
      <c r="B361" s="75" t="s">
        <v>79</v>
      </c>
      <c r="C361" s="18" t="s">
        <v>20</v>
      </c>
      <c r="D361" s="19">
        <v>45648</v>
      </c>
      <c r="E361" s="40"/>
      <c r="F361" s="41"/>
      <c r="G361" s="42"/>
      <c r="H361" s="41"/>
      <c r="I361" s="42"/>
      <c r="J361" s="41"/>
      <c r="K361" s="42"/>
      <c r="L361" s="41"/>
      <c r="M361" s="42"/>
      <c r="N361" s="41"/>
      <c r="O361" s="49"/>
      <c r="P361" s="50"/>
      <c r="Q361" s="42"/>
      <c r="R361" s="41"/>
      <c r="S361" s="42"/>
      <c r="T361" s="41"/>
      <c r="U361" s="28"/>
      <c r="V361" s="27"/>
      <c r="W361" s="42"/>
      <c r="X361" s="41"/>
      <c r="Y361" s="42"/>
      <c r="Z361" s="41"/>
      <c r="AA361" s="22">
        <f t="shared" si="50"/>
        <v>0</v>
      </c>
      <c r="AB361" s="78">
        <f t="shared" ref="AB361" si="56">SUM(AA361:AA367)</f>
        <v>0</v>
      </c>
      <c r="AC361" s="79">
        <v>40961013</v>
      </c>
    </row>
    <row r="362" spans="2:29">
      <c r="B362" s="76"/>
      <c r="C362" s="23" t="s">
        <v>21</v>
      </c>
      <c r="D362" s="19">
        <v>45649</v>
      </c>
      <c r="E362" s="8"/>
      <c r="F362" s="20"/>
      <c r="G362" s="21"/>
      <c r="H362" s="20"/>
      <c r="I362" s="21"/>
      <c r="J362" s="20"/>
      <c r="K362" s="21"/>
      <c r="L362" s="20"/>
      <c r="M362" s="21"/>
      <c r="N362" s="20"/>
      <c r="O362" s="28"/>
      <c r="P362" s="27"/>
      <c r="Q362" s="21"/>
      <c r="R362" s="20"/>
      <c r="S362" s="21"/>
      <c r="T362" s="20"/>
      <c r="U362" s="28"/>
      <c r="V362" s="27"/>
      <c r="W362" s="21"/>
      <c r="X362" s="20"/>
      <c r="Y362" s="21"/>
      <c r="Z362" s="20"/>
      <c r="AA362" s="22">
        <f t="shared" si="50"/>
        <v>0</v>
      </c>
      <c r="AB362" s="78"/>
      <c r="AC362" s="79"/>
    </row>
    <row r="363" spans="2:29" ht="16.05" customHeight="1">
      <c r="B363" s="76"/>
      <c r="C363" s="23" t="s">
        <v>22</v>
      </c>
      <c r="D363" s="19">
        <v>45650</v>
      </c>
      <c r="E363" s="8"/>
      <c r="F363" s="20"/>
      <c r="G363" s="21"/>
      <c r="H363" s="20"/>
      <c r="I363" s="21"/>
      <c r="J363" s="20"/>
      <c r="K363" s="21"/>
      <c r="L363" s="20"/>
      <c r="M363" s="21"/>
      <c r="N363" s="20"/>
      <c r="O363" s="28"/>
      <c r="P363" s="27"/>
      <c r="Q363" s="21"/>
      <c r="R363" s="20"/>
      <c r="S363" s="21"/>
      <c r="T363" s="20"/>
      <c r="U363" s="28"/>
      <c r="V363" s="27"/>
      <c r="W363" s="21"/>
      <c r="X363" s="20"/>
      <c r="Y363" s="21"/>
      <c r="Z363" s="20"/>
      <c r="AA363" s="22">
        <f t="shared" si="50"/>
        <v>0</v>
      </c>
      <c r="AB363" s="78"/>
      <c r="AC363" s="79"/>
    </row>
    <row r="364" spans="2:29">
      <c r="B364" s="76"/>
      <c r="C364" s="24" t="s">
        <v>23</v>
      </c>
      <c r="D364" s="25">
        <v>45651</v>
      </c>
      <c r="E364" s="26">
        <v>0</v>
      </c>
      <c r="F364" s="27">
        <v>0</v>
      </c>
      <c r="G364" s="28">
        <v>0</v>
      </c>
      <c r="H364" s="27">
        <v>0</v>
      </c>
      <c r="I364" s="28">
        <v>0</v>
      </c>
      <c r="J364" s="27">
        <v>0</v>
      </c>
      <c r="K364" s="28">
        <v>0</v>
      </c>
      <c r="L364" s="27">
        <v>0</v>
      </c>
      <c r="M364" s="28">
        <v>0</v>
      </c>
      <c r="N364" s="27">
        <v>0</v>
      </c>
      <c r="O364" s="28">
        <v>0</v>
      </c>
      <c r="P364" s="27">
        <v>0</v>
      </c>
      <c r="Q364" s="28">
        <v>0</v>
      </c>
      <c r="R364" s="27">
        <v>0</v>
      </c>
      <c r="S364" s="28">
        <v>0</v>
      </c>
      <c r="T364" s="27">
        <v>0</v>
      </c>
      <c r="U364" s="28">
        <v>0</v>
      </c>
      <c r="V364" s="27">
        <v>0</v>
      </c>
      <c r="W364" s="28"/>
      <c r="X364" s="27"/>
      <c r="Y364" s="21"/>
      <c r="Z364" s="20"/>
      <c r="AA364" s="22">
        <f t="shared" si="50"/>
        <v>0</v>
      </c>
      <c r="AB364" s="78"/>
      <c r="AC364" s="79"/>
    </row>
    <row r="365" spans="2:29">
      <c r="B365" s="76"/>
      <c r="C365" s="23" t="s">
        <v>24</v>
      </c>
      <c r="D365" s="19">
        <v>45652</v>
      </c>
      <c r="E365" s="8"/>
      <c r="F365" s="20"/>
      <c r="G365" s="21"/>
      <c r="H365" s="20"/>
      <c r="I365" s="21"/>
      <c r="J365" s="20"/>
      <c r="K365" s="21"/>
      <c r="L365" s="20"/>
      <c r="M365" s="21"/>
      <c r="N365" s="20"/>
      <c r="O365" s="28"/>
      <c r="P365" s="27"/>
      <c r="Q365" s="21"/>
      <c r="R365" s="20"/>
      <c r="S365" s="21"/>
      <c r="T365" s="20"/>
      <c r="U365" s="28"/>
      <c r="V365" s="27"/>
      <c r="W365" s="21"/>
      <c r="X365" s="20"/>
      <c r="Y365" s="21"/>
      <c r="Z365" s="20"/>
      <c r="AA365" s="22">
        <f t="shared" si="50"/>
        <v>0</v>
      </c>
      <c r="AB365" s="78"/>
      <c r="AC365" s="79"/>
    </row>
    <row r="366" spans="2:29">
      <c r="B366" s="76"/>
      <c r="C366" s="23" t="s">
        <v>25</v>
      </c>
      <c r="D366" s="19">
        <v>45653</v>
      </c>
      <c r="E366" s="8"/>
      <c r="G366" s="21"/>
      <c r="I366" s="21"/>
      <c r="K366" s="21"/>
      <c r="M366" s="21"/>
      <c r="O366" s="28"/>
      <c r="P366" s="32"/>
      <c r="Q366" s="21"/>
      <c r="S366" s="28">
        <v>0</v>
      </c>
      <c r="T366" s="32">
        <v>0</v>
      </c>
      <c r="U366" s="28"/>
      <c r="V366" s="32"/>
      <c r="W366" s="28">
        <v>0</v>
      </c>
      <c r="X366" s="32">
        <v>0</v>
      </c>
      <c r="Y366" s="21"/>
      <c r="AA366" s="22">
        <f t="shared" si="50"/>
        <v>0</v>
      </c>
      <c r="AB366" s="78"/>
      <c r="AC366" s="79"/>
    </row>
    <row r="367" spans="2:29">
      <c r="B367" s="77"/>
      <c r="C367" s="33" t="s">
        <v>26</v>
      </c>
      <c r="D367" s="34">
        <v>45654</v>
      </c>
      <c r="E367" s="35"/>
      <c r="F367" s="36"/>
      <c r="G367" s="37"/>
      <c r="H367" s="36"/>
      <c r="I367" s="37"/>
      <c r="J367" s="36"/>
      <c r="K367" s="37"/>
      <c r="L367" s="36"/>
      <c r="M367" s="37"/>
      <c r="N367" s="36"/>
      <c r="O367" s="38"/>
      <c r="P367" s="39"/>
      <c r="Q367" s="37"/>
      <c r="R367" s="36"/>
      <c r="S367" s="38">
        <v>0</v>
      </c>
      <c r="T367" s="39">
        <v>0</v>
      </c>
      <c r="U367" s="38"/>
      <c r="V367" s="39"/>
      <c r="W367" s="38">
        <v>0</v>
      </c>
      <c r="X367" s="39">
        <v>0</v>
      </c>
      <c r="Y367" s="37"/>
      <c r="Z367" s="36"/>
      <c r="AA367" s="22">
        <f t="shared" si="50"/>
        <v>0</v>
      </c>
      <c r="AB367" s="78"/>
      <c r="AC367" s="79"/>
    </row>
    <row r="368" spans="2:29" ht="16.05" customHeight="1">
      <c r="B368" s="75" t="s">
        <v>19</v>
      </c>
      <c r="C368" s="18" t="s">
        <v>20</v>
      </c>
      <c r="D368" s="19">
        <v>45655</v>
      </c>
      <c r="E368" s="40"/>
      <c r="F368" s="41"/>
      <c r="G368" s="42"/>
      <c r="H368" s="41"/>
      <c r="I368" s="42"/>
      <c r="J368" s="41"/>
      <c r="K368" s="42"/>
      <c r="L368" s="41"/>
      <c r="M368" s="42"/>
      <c r="N368" s="41"/>
      <c r="O368" s="49"/>
      <c r="P368" s="50"/>
      <c r="Q368" s="42"/>
      <c r="R368" s="41"/>
      <c r="S368" s="42"/>
      <c r="T368" s="41"/>
      <c r="U368" s="49"/>
      <c r="V368" s="50"/>
      <c r="W368" s="42"/>
      <c r="X368" s="41"/>
      <c r="Y368" s="42"/>
      <c r="Z368" s="41"/>
      <c r="AA368" s="22">
        <f t="shared" si="50"/>
        <v>0</v>
      </c>
      <c r="AB368" s="78">
        <f>SUM(AA368:AA374)</f>
        <v>0</v>
      </c>
      <c r="AC368" s="79">
        <v>14440760</v>
      </c>
    </row>
    <row r="369" spans="2:29">
      <c r="B369" s="76"/>
      <c r="C369" s="23" t="s">
        <v>21</v>
      </c>
      <c r="D369" s="19">
        <v>45656</v>
      </c>
      <c r="E369" s="8"/>
      <c r="F369" s="20"/>
      <c r="G369" s="21"/>
      <c r="H369" s="20"/>
      <c r="I369" s="21"/>
      <c r="J369" s="20"/>
      <c r="K369" s="21"/>
      <c r="L369" s="20"/>
      <c r="M369" s="21"/>
      <c r="N369" s="20"/>
      <c r="O369" s="28"/>
      <c r="P369" s="27"/>
      <c r="Q369" s="21"/>
      <c r="R369" s="20"/>
      <c r="S369" s="21"/>
      <c r="T369" s="20"/>
      <c r="U369" s="28"/>
      <c r="V369" s="27"/>
      <c r="W369" s="21"/>
      <c r="X369" s="20"/>
      <c r="Y369" s="21"/>
      <c r="Z369" s="20"/>
      <c r="AA369" s="22">
        <f t="shared" si="50"/>
        <v>0</v>
      </c>
      <c r="AB369" s="78"/>
      <c r="AC369" s="79"/>
    </row>
    <row r="370" spans="2:29" ht="16.05" customHeight="1">
      <c r="B370" s="76"/>
      <c r="C370" s="23" t="s">
        <v>22</v>
      </c>
      <c r="D370" s="19">
        <v>45657</v>
      </c>
      <c r="E370" s="8"/>
      <c r="F370" s="20"/>
      <c r="G370" s="21"/>
      <c r="H370" s="20"/>
      <c r="I370" s="21"/>
      <c r="J370" s="20"/>
      <c r="K370" s="21"/>
      <c r="L370" s="20"/>
      <c r="M370" s="21"/>
      <c r="N370" s="20"/>
      <c r="O370" s="28"/>
      <c r="P370" s="27"/>
      <c r="Q370" s="21"/>
      <c r="R370" s="20"/>
      <c r="S370" s="21"/>
      <c r="T370" s="20"/>
      <c r="U370" s="28">
        <v>0</v>
      </c>
      <c r="V370" s="27">
        <v>0</v>
      </c>
      <c r="W370" s="21"/>
      <c r="X370" s="20"/>
      <c r="Y370" s="21"/>
      <c r="Z370" s="20"/>
      <c r="AA370" s="22">
        <f t="shared" si="50"/>
        <v>0</v>
      </c>
      <c r="AB370" s="78"/>
      <c r="AC370" s="79"/>
    </row>
    <row r="371" spans="2:29">
      <c r="B371" s="76"/>
      <c r="C371" s="24" t="s">
        <v>23</v>
      </c>
      <c r="D371" s="25">
        <v>45658</v>
      </c>
      <c r="E371" s="8"/>
      <c r="F371" s="20"/>
      <c r="G371" s="21"/>
      <c r="H371" s="20"/>
      <c r="I371" s="21"/>
      <c r="J371" s="20"/>
      <c r="K371" s="21"/>
      <c r="L371" s="20"/>
      <c r="M371" s="21"/>
      <c r="N371" s="20"/>
      <c r="O371" s="28"/>
      <c r="P371" s="27"/>
      <c r="Q371" s="21"/>
      <c r="R371" s="20"/>
      <c r="S371" s="28">
        <v>0</v>
      </c>
      <c r="T371" s="27">
        <v>0</v>
      </c>
      <c r="U371" s="28"/>
      <c r="V371" s="27"/>
      <c r="W371" s="28"/>
      <c r="X371" s="27"/>
      <c r="Y371" s="21"/>
      <c r="Z371" s="20"/>
      <c r="AA371" s="22">
        <f t="shared" si="50"/>
        <v>0</v>
      </c>
      <c r="AB371" s="78"/>
      <c r="AC371" s="79"/>
    </row>
    <row r="372" spans="2:29">
      <c r="B372" s="76"/>
      <c r="C372" s="23" t="s">
        <v>24</v>
      </c>
      <c r="D372" s="19">
        <v>45659</v>
      </c>
      <c r="E372" s="8"/>
      <c r="F372" s="20"/>
      <c r="G372" s="21"/>
      <c r="H372" s="20"/>
      <c r="I372" s="21"/>
      <c r="J372" s="20"/>
      <c r="K372" s="21"/>
      <c r="L372" s="20"/>
      <c r="M372" s="21"/>
      <c r="N372" s="20"/>
      <c r="O372" s="21"/>
      <c r="P372" s="20"/>
      <c r="Q372" s="21"/>
      <c r="R372" s="20"/>
      <c r="S372" s="21"/>
      <c r="T372" s="20"/>
      <c r="U372" s="28"/>
      <c r="V372" s="27"/>
      <c r="W372" s="21"/>
      <c r="X372" s="20"/>
      <c r="Y372" s="21"/>
      <c r="Z372" s="20"/>
      <c r="AA372" s="22">
        <f t="shared" si="50"/>
        <v>0</v>
      </c>
      <c r="AB372" s="78"/>
      <c r="AC372" s="79"/>
    </row>
    <row r="373" spans="2:29">
      <c r="B373" s="76"/>
      <c r="C373" s="23" t="s">
        <v>80</v>
      </c>
      <c r="D373" s="19">
        <v>45660</v>
      </c>
      <c r="E373" s="8"/>
      <c r="G373" s="21"/>
      <c r="I373" s="21"/>
      <c r="K373" s="21"/>
      <c r="M373" s="21"/>
      <c r="O373" s="21"/>
      <c r="Q373" s="21"/>
      <c r="S373" s="21"/>
      <c r="U373" s="28"/>
      <c r="V373" s="32"/>
      <c r="W373" s="21"/>
      <c r="Y373" s="21"/>
      <c r="AA373" s="22">
        <f t="shared" si="50"/>
        <v>0</v>
      </c>
      <c r="AB373" s="78"/>
      <c r="AC373" s="79"/>
    </row>
    <row r="374" spans="2:29">
      <c r="B374" s="77"/>
      <c r="C374" s="33" t="s">
        <v>26</v>
      </c>
      <c r="D374" s="34">
        <v>45661</v>
      </c>
      <c r="E374" s="35"/>
      <c r="F374" s="36"/>
      <c r="G374" s="37"/>
      <c r="H374" s="36"/>
      <c r="I374" s="37"/>
      <c r="J374" s="36"/>
      <c r="K374" s="37"/>
      <c r="L374" s="36"/>
      <c r="M374" s="37"/>
      <c r="N374" s="36"/>
      <c r="O374" s="37"/>
      <c r="P374" s="36"/>
      <c r="Q374" s="37"/>
      <c r="R374" s="36"/>
      <c r="S374" s="37"/>
      <c r="T374" s="36"/>
      <c r="U374" s="38"/>
      <c r="V374" s="39"/>
      <c r="W374" s="37"/>
      <c r="X374" s="36"/>
      <c r="Y374" s="37"/>
      <c r="Z374" s="36"/>
      <c r="AA374" s="22">
        <f t="shared" si="50"/>
        <v>0</v>
      </c>
      <c r="AB374" s="78"/>
      <c r="AC374" s="79"/>
    </row>
    <row r="375" spans="2:29">
      <c r="B375" s="73"/>
    </row>
    <row r="376" spans="2:29">
      <c r="B376" s="73"/>
    </row>
  </sheetData>
  <mergeCells count="172">
    <mergeCell ref="C1:V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B11:B17"/>
    <mergeCell ref="AB11:AB17"/>
    <mergeCell ref="AC11:AC17"/>
    <mergeCell ref="B18:B24"/>
    <mergeCell ref="AB18:AB24"/>
    <mergeCell ref="AC18:AC24"/>
    <mergeCell ref="W2:X2"/>
    <mergeCell ref="Y2:Z2"/>
    <mergeCell ref="C3:D3"/>
    <mergeCell ref="B4:B10"/>
    <mergeCell ref="AB4:AB10"/>
    <mergeCell ref="AC4:AC10"/>
    <mergeCell ref="B32:B38"/>
    <mergeCell ref="AB32:AB38"/>
    <mergeCell ref="AC32:AC38"/>
    <mergeCell ref="B39:B45"/>
    <mergeCell ref="AB39:AB45"/>
    <mergeCell ref="AC39:AC45"/>
    <mergeCell ref="B25:B31"/>
    <mergeCell ref="AB25:AB31"/>
    <mergeCell ref="AC25:AC31"/>
    <mergeCell ref="B60:B66"/>
    <mergeCell ref="AB60:AB66"/>
    <mergeCell ref="AC60:AC66"/>
    <mergeCell ref="B67:B73"/>
    <mergeCell ref="AB67:AB73"/>
    <mergeCell ref="AC67:AC73"/>
    <mergeCell ref="B46:B52"/>
    <mergeCell ref="AB46:AB52"/>
    <mergeCell ref="AC46:AC52"/>
    <mergeCell ref="B53:B59"/>
    <mergeCell ref="AB53:AB59"/>
    <mergeCell ref="AC53:AC59"/>
    <mergeCell ref="B88:B94"/>
    <mergeCell ref="AB88:AB94"/>
    <mergeCell ref="AC88:AC94"/>
    <mergeCell ref="B95:B101"/>
    <mergeCell ref="AB95:AB101"/>
    <mergeCell ref="AC95:AC101"/>
    <mergeCell ref="B74:B80"/>
    <mergeCell ref="AB74:AB80"/>
    <mergeCell ref="AC74:AC80"/>
    <mergeCell ref="B81:B87"/>
    <mergeCell ref="AB81:AB87"/>
    <mergeCell ref="AC81:AC87"/>
    <mergeCell ref="B116:B122"/>
    <mergeCell ref="AB116:AB122"/>
    <mergeCell ref="AC116:AC122"/>
    <mergeCell ref="B123:B129"/>
    <mergeCell ref="AB123:AB129"/>
    <mergeCell ref="AC123:AC129"/>
    <mergeCell ref="B102:B108"/>
    <mergeCell ref="AB102:AB108"/>
    <mergeCell ref="AC102:AC108"/>
    <mergeCell ref="B109:B115"/>
    <mergeCell ref="AB109:AB115"/>
    <mergeCell ref="AC109:AC115"/>
    <mergeCell ref="B144:B150"/>
    <mergeCell ref="AB144:AB150"/>
    <mergeCell ref="AC144:AC150"/>
    <mergeCell ref="B151:B157"/>
    <mergeCell ref="AB151:AB157"/>
    <mergeCell ref="AC151:AC157"/>
    <mergeCell ref="B130:B136"/>
    <mergeCell ref="AB130:AB136"/>
    <mergeCell ref="AC130:AC136"/>
    <mergeCell ref="B137:B143"/>
    <mergeCell ref="AB137:AB143"/>
    <mergeCell ref="AC137:AC143"/>
    <mergeCell ref="B172:B178"/>
    <mergeCell ref="AB172:AB178"/>
    <mergeCell ref="AC172:AC178"/>
    <mergeCell ref="B179:B185"/>
    <mergeCell ref="AB179:AB185"/>
    <mergeCell ref="AC179:AC185"/>
    <mergeCell ref="B158:B164"/>
    <mergeCell ref="AB158:AB164"/>
    <mergeCell ref="AC158:AC164"/>
    <mergeCell ref="B165:B171"/>
    <mergeCell ref="AB165:AB171"/>
    <mergeCell ref="AC165:AC171"/>
    <mergeCell ref="B200:B206"/>
    <mergeCell ref="AB200:AB206"/>
    <mergeCell ref="AC200:AC206"/>
    <mergeCell ref="B207:B213"/>
    <mergeCell ref="AB207:AB213"/>
    <mergeCell ref="AC207:AC213"/>
    <mergeCell ref="B186:B192"/>
    <mergeCell ref="AB186:AB192"/>
    <mergeCell ref="AC186:AC192"/>
    <mergeCell ref="B193:B199"/>
    <mergeCell ref="AB193:AB199"/>
    <mergeCell ref="AC193:AC199"/>
    <mergeCell ref="B228:B234"/>
    <mergeCell ref="AB228:AB234"/>
    <mergeCell ref="AC228:AC234"/>
    <mergeCell ref="B235:B241"/>
    <mergeCell ref="AB235:AB241"/>
    <mergeCell ref="AC235:AC241"/>
    <mergeCell ref="B214:B220"/>
    <mergeCell ref="AB214:AB220"/>
    <mergeCell ref="AC214:AC220"/>
    <mergeCell ref="B221:B227"/>
    <mergeCell ref="AB221:AB227"/>
    <mergeCell ref="AC221:AC227"/>
    <mergeCell ref="B256:B262"/>
    <mergeCell ref="AB256:AB262"/>
    <mergeCell ref="AC256:AC262"/>
    <mergeCell ref="B263:B269"/>
    <mergeCell ref="AB263:AB269"/>
    <mergeCell ref="AC263:AC269"/>
    <mergeCell ref="B242:B248"/>
    <mergeCell ref="AB242:AB248"/>
    <mergeCell ref="AC242:AC248"/>
    <mergeCell ref="B249:B255"/>
    <mergeCell ref="AB249:AB255"/>
    <mergeCell ref="AC249:AC255"/>
    <mergeCell ref="B284:B290"/>
    <mergeCell ref="AB284:AB290"/>
    <mergeCell ref="AC284:AC290"/>
    <mergeCell ref="B291:B297"/>
    <mergeCell ref="AB291:AB297"/>
    <mergeCell ref="AC291:AC297"/>
    <mergeCell ref="B270:B276"/>
    <mergeCell ref="AB270:AB276"/>
    <mergeCell ref="AC270:AC276"/>
    <mergeCell ref="B277:B283"/>
    <mergeCell ref="AB277:AB283"/>
    <mergeCell ref="AC277:AC283"/>
    <mergeCell ref="B312:B318"/>
    <mergeCell ref="AB312:AB318"/>
    <mergeCell ref="AC312:AC318"/>
    <mergeCell ref="B319:B325"/>
    <mergeCell ref="AB319:AB325"/>
    <mergeCell ref="AC319:AC325"/>
    <mergeCell ref="B298:B304"/>
    <mergeCell ref="AB298:AB304"/>
    <mergeCell ref="AC298:AC304"/>
    <mergeCell ref="B305:B311"/>
    <mergeCell ref="AB305:AB311"/>
    <mergeCell ref="AC305:AC311"/>
    <mergeCell ref="B340:B346"/>
    <mergeCell ref="AB340:AB346"/>
    <mergeCell ref="AC340:AC346"/>
    <mergeCell ref="B347:B353"/>
    <mergeCell ref="AB347:AB353"/>
    <mergeCell ref="AC347:AC353"/>
    <mergeCell ref="B326:B332"/>
    <mergeCell ref="AB326:AB332"/>
    <mergeCell ref="AC326:AC332"/>
    <mergeCell ref="B333:B339"/>
    <mergeCell ref="AB333:AB339"/>
    <mergeCell ref="AC333:AC339"/>
    <mergeCell ref="B368:B374"/>
    <mergeCell ref="AB368:AB374"/>
    <mergeCell ref="AC368:AC374"/>
    <mergeCell ref="B354:B360"/>
    <mergeCell ref="AB354:AB360"/>
    <mergeCell ref="AC354:AC360"/>
    <mergeCell ref="B361:B367"/>
    <mergeCell ref="AB361:AB367"/>
    <mergeCell ref="AC361:AC36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9"/>
  <sheetViews>
    <sheetView workbookViewId="0">
      <selection activeCell="K13" sqref="K13"/>
    </sheetView>
  </sheetViews>
  <sheetFormatPr baseColWidth="10" defaultRowHeight="15"/>
  <cols>
    <col min="1" max="1" width="10.90625" style="84"/>
    <col min="8" max="8" width="20.26953125" bestFit="1" customWidth="1"/>
    <col min="9" max="9" width="16.90625" bestFit="1" customWidth="1"/>
    <col min="11" max="11" width="23" bestFit="1" customWidth="1"/>
  </cols>
  <sheetData>
    <row r="1" spans="1:18">
      <c r="A1" s="84" t="s">
        <v>81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 spans="1:18">
      <c r="A2" s="84">
        <v>45293</v>
      </c>
      <c r="B2">
        <v>2414600</v>
      </c>
      <c r="C2">
        <v>1194660</v>
      </c>
      <c r="D2">
        <v>374930</v>
      </c>
      <c r="E2">
        <v>1534620</v>
      </c>
      <c r="F2">
        <v>663550</v>
      </c>
      <c r="G2">
        <v>417090</v>
      </c>
      <c r="H2">
        <v>25980</v>
      </c>
      <c r="I2">
        <v>93980</v>
      </c>
      <c r="K2" t="s">
        <v>2</v>
      </c>
      <c r="L2">
        <f>SUM(B2:B31)</f>
        <v>39918480</v>
      </c>
      <c r="M2">
        <f>SUM(B32:B59)</f>
        <v>32413380</v>
      </c>
      <c r="N2">
        <f>SUM(B60:B90)</f>
        <v>35292240</v>
      </c>
      <c r="O2">
        <f>SUM(B91:B120)</f>
        <v>24342440</v>
      </c>
      <c r="P2">
        <f>SUM(B121:B151)</f>
        <v>23199340</v>
      </c>
      <c r="Q2">
        <f>SUM(B152:B181)</f>
        <v>24112410</v>
      </c>
      <c r="R2">
        <f>SUM(B182:B212)</f>
        <v>26340391</v>
      </c>
    </row>
    <row r="3" spans="1:18">
      <c r="A3" s="84">
        <v>45294</v>
      </c>
      <c r="B3">
        <v>1393750</v>
      </c>
      <c r="C3">
        <v>1556760</v>
      </c>
      <c r="D3">
        <v>715880</v>
      </c>
      <c r="E3">
        <v>1552550</v>
      </c>
      <c r="F3">
        <v>429290</v>
      </c>
      <c r="G3">
        <v>551210</v>
      </c>
      <c r="H3">
        <v>0</v>
      </c>
      <c r="I3">
        <v>388463</v>
      </c>
      <c r="K3" t="s">
        <v>3</v>
      </c>
      <c r="L3">
        <f>SUM(C2:C31)</f>
        <v>19920523</v>
      </c>
      <c r="M3">
        <f>SUM(C32:C59)</f>
        <v>15080730</v>
      </c>
      <c r="N3">
        <f>SUM(C60:C90)</f>
        <v>25438068</v>
      </c>
      <c r="O3">
        <f>SUM(C91:C120)</f>
        <v>16179760</v>
      </c>
      <c r="P3">
        <f>SUM(C121:C151)</f>
        <v>15165410</v>
      </c>
      <c r="Q3">
        <f>SUM(C152:C181)</f>
        <v>17351452</v>
      </c>
      <c r="R3">
        <f>SUM(C182:C212)</f>
        <v>18075336</v>
      </c>
    </row>
    <row r="4" spans="1:18">
      <c r="A4" s="84">
        <v>45295</v>
      </c>
      <c r="B4">
        <v>1320790</v>
      </c>
      <c r="C4">
        <v>974890</v>
      </c>
      <c r="D4">
        <v>1388500</v>
      </c>
      <c r="E4">
        <v>1757740</v>
      </c>
      <c r="F4">
        <v>638420</v>
      </c>
      <c r="G4">
        <v>890340</v>
      </c>
      <c r="H4">
        <v>0</v>
      </c>
      <c r="I4">
        <v>0</v>
      </c>
      <c r="K4" t="s">
        <v>4</v>
      </c>
      <c r="L4">
        <f>SUM(D2:D31)</f>
        <v>15365290</v>
      </c>
      <c r="M4">
        <f>SUM(D32:D59)</f>
        <v>10851153</v>
      </c>
      <c r="N4">
        <f>SUM(D60:D90)</f>
        <v>20053520</v>
      </c>
      <c r="O4">
        <f>SUM(D91:D120)</f>
        <v>13933870</v>
      </c>
      <c r="P4">
        <f>SUM(D121:D151)</f>
        <v>16508620</v>
      </c>
      <c r="Q4">
        <f>SUM(D152:D181)</f>
        <v>16952183</v>
      </c>
      <c r="R4">
        <f>SUM(D182:D212)</f>
        <v>15436371</v>
      </c>
    </row>
    <row r="5" spans="1:18">
      <c r="A5" s="84">
        <v>45662</v>
      </c>
      <c r="B5">
        <v>1713650</v>
      </c>
      <c r="C5">
        <v>2619567</v>
      </c>
      <c r="D5">
        <v>961900</v>
      </c>
      <c r="E5">
        <v>3421563</v>
      </c>
      <c r="F5">
        <v>1721320</v>
      </c>
      <c r="G5">
        <v>0</v>
      </c>
      <c r="H5">
        <v>99980</v>
      </c>
      <c r="I5">
        <v>0</v>
      </c>
      <c r="K5" t="s">
        <v>5</v>
      </c>
      <c r="L5">
        <f>SUM(E2:E31)</f>
        <v>39644145</v>
      </c>
      <c r="M5">
        <f>SUM(E32:E59)</f>
        <v>23856359</v>
      </c>
      <c r="N5">
        <f>SUM(E60:E90)</f>
        <v>44231189</v>
      </c>
      <c r="O5">
        <f>SUM(E91:E120)</f>
        <v>32137701</v>
      </c>
      <c r="P5">
        <f>SUM(E121:E151)</f>
        <v>35367522</v>
      </c>
      <c r="Q5">
        <f>SUM(E152:E181)</f>
        <v>29116758</v>
      </c>
      <c r="R5">
        <f>SUM(E182:E212)</f>
        <v>34957464</v>
      </c>
    </row>
    <row r="6" spans="1:18">
      <c r="A6" s="84">
        <v>45297</v>
      </c>
      <c r="B6">
        <v>1186780</v>
      </c>
      <c r="C6">
        <v>416860</v>
      </c>
      <c r="D6">
        <v>680910</v>
      </c>
      <c r="E6">
        <v>2704420</v>
      </c>
      <c r="F6">
        <v>210280</v>
      </c>
      <c r="G6">
        <v>510140</v>
      </c>
      <c r="H6">
        <v>0</v>
      </c>
      <c r="I6">
        <v>79983</v>
      </c>
      <c r="K6" t="s">
        <v>6</v>
      </c>
      <c r="L6">
        <f>SUM(F2:F31)</f>
        <v>14599470</v>
      </c>
      <c r="M6">
        <f>SUM(F32:F59)</f>
        <v>14539699</v>
      </c>
      <c r="N6">
        <f>SUM(F60:F90)</f>
        <v>22811570</v>
      </c>
      <c r="O6">
        <f>SUM(F91:F120)</f>
        <v>16140750</v>
      </c>
      <c r="P6">
        <f>SUM(F121:F151)</f>
        <v>14057600</v>
      </c>
      <c r="Q6">
        <f>SUM(F152:F181)</f>
        <v>17400580</v>
      </c>
      <c r="R6">
        <f>SUM(F182:F212)</f>
        <v>21104620</v>
      </c>
    </row>
    <row r="7" spans="1:18">
      <c r="A7" s="84">
        <v>45298</v>
      </c>
      <c r="B7">
        <v>1468660</v>
      </c>
      <c r="C7">
        <v>470880</v>
      </c>
      <c r="D7">
        <v>877900</v>
      </c>
      <c r="E7">
        <v>1354660</v>
      </c>
      <c r="F7">
        <v>422150</v>
      </c>
      <c r="G7">
        <v>344560</v>
      </c>
      <c r="H7">
        <v>132950</v>
      </c>
      <c r="I7">
        <v>0</v>
      </c>
      <c r="K7" t="s">
        <v>7</v>
      </c>
      <c r="L7">
        <f>SUM(G2:G31)</f>
        <v>12509660</v>
      </c>
      <c r="M7">
        <f>SUM(G32:G59)</f>
        <v>10072920</v>
      </c>
      <c r="N7">
        <f>SUM(G60:G90)</f>
        <v>5665330</v>
      </c>
      <c r="O7">
        <f>SUM(G91:G120)</f>
        <v>0</v>
      </c>
      <c r="P7">
        <f>SUM(G121:G151)</f>
        <v>0</v>
      </c>
      <c r="Q7">
        <f>SUM(G152:G181)</f>
        <v>0</v>
      </c>
      <c r="R7">
        <f>SUM(G182:G212)</f>
        <v>0</v>
      </c>
    </row>
    <row r="8" spans="1:18">
      <c r="A8" s="84">
        <v>45299</v>
      </c>
      <c r="B8">
        <v>2009540</v>
      </c>
      <c r="C8">
        <v>1144690</v>
      </c>
      <c r="D8">
        <v>615860</v>
      </c>
      <c r="E8">
        <v>841900</v>
      </c>
      <c r="F8">
        <v>446630</v>
      </c>
      <c r="G8">
        <v>540030</v>
      </c>
      <c r="H8">
        <v>0</v>
      </c>
      <c r="I8">
        <v>26990</v>
      </c>
      <c r="K8" t="s">
        <v>8</v>
      </c>
      <c r="L8">
        <f>SUM(H2:H31)</f>
        <v>2472710</v>
      </c>
      <c r="M8">
        <f>SUM(H32:H59)</f>
        <v>4551440</v>
      </c>
      <c r="N8">
        <f>SUM(H60:H90)</f>
        <v>9767140</v>
      </c>
      <c r="O8">
        <f>SUM(H91:H120)</f>
        <v>7597060</v>
      </c>
      <c r="P8">
        <f>SUM(H121:H151)</f>
        <v>7007140</v>
      </c>
      <c r="Q8">
        <f>SUM(H152:H181)</f>
        <v>10552176</v>
      </c>
      <c r="R8">
        <f>SUM(H182:H212)</f>
        <v>9449778</v>
      </c>
    </row>
    <row r="9" spans="1:18">
      <c r="A9" s="84">
        <v>45300</v>
      </c>
      <c r="B9">
        <v>1023820</v>
      </c>
      <c r="C9">
        <v>1412720</v>
      </c>
      <c r="D9">
        <v>99940</v>
      </c>
      <c r="E9">
        <v>1255800</v>
      </c>
      <c r="F9">
        <v>322840</v>
      </c>
      <c r="G9">
        <v>476300</v>
      </c>
      <c r="H9">
        <v>49990</v>
      </c>
      <c r="I9">
        <v>209930</v>
      </c>
      <c r="K9" t="s">
        <v>9</v>
      </c>
      <c r="L9">
        <f>SUM(I2:I31)</f>
        <v>2489076</v>
      </c>
      <c r="M9">
        <f>SUM(I32:I59)</f>
        <v>3130500</v>
      </c>
      <c r="N9">
        <f>SUM(I60:I90)</f>
        <v>2885570</v>
      </c>
      <c r="O9">
        <f>SUM(I91:I120)</f>
        <v>2764630</v>
      </c>
      <c r="P9">
        <f>SUM(I121:I151)</f>
        <v>3868440</v>
      </c>
      <c r="Q9">
        <f>SUM(I152:I181)</f>
        <v>3774390</v>
      </c>
      <c r="R9">
        <f>SUM(I182:I212)</f>
        <v>4189250</v>
      </c>
    </row>
    <row r="10" spans="1:18">
      <c r="A10" s="84">
        <v>45301</v>
      </c>
      <c r="B10">
        <v>438890</v>
      </c>
      <c r="C10">
        <v>208960</v>
      </c>
      <c r="D10">
        <v>576890</v>
      </c>
      <c r="E10">
        <v>318930</v>
      </c>
      <c r="F10">
        <v>333940</v>
      </c>
      <c r="G10">
        <v>635350</v>
      </c>
      <c r="H10">
        <v>399990</v>
      </c>
      <c r="I10">
        <v>304960</v>
      </c>
    </row>
    <row r="11" spans="1:18">
      <c r="A11" s="84">
        <v>45302</v>
      </c>
      <c r="B11">
        <v>1761720</v>
      </c>
      <c r="C11">
        <v>362920</v>
      </c>
      <c r="D11">
        <v>97960</v>
      </c>
      <c r="E11">
        <v>1959630</v>
      </c>
      <c r="F11">
        <v>466060</v>
      </c>
      <c r="G11">
        <v>515100</v>
      </c>
      <c r="H11">
        <v>299990</v>
      </c>
      <c r="I11">
        <v>0</v>
      </c>
    </row>
    <row r="12" spans="1:18">
      <c r="A12" s="84">
        <v>45303</v>
      </c>
      <c r="B12">
        <v>2980470</v>
      </c>
      <c r="C12">
        <v>114960</v>
      </c>
      <c r="D12">
        <v>882810</v>
      </c>
      <c r="E12">
        <v>1172271</v>
      </c>
      <c r="F12">
        <v>997980</v>
      </c>
      <c r="G12">
        <v>0</v>
      </c>
      <c r="H12">
        <v>26990</v>
      </c>
      <c r="I12">
        <v>0</v>
      </c>
      <c r="L12" t="s">
        <v>82</v>
      </c>
      <c r="M12" t="s">
        <v>83</v>
      </c>
      <c r="N12" t="s">
        <v>84</v>
      </c>
      <c r="O12" t="s">
        <v>85</v>
      </c>
      <c r="P12" t="s">
        <v>86</v>
      </c>
      <c r="Q12" t="s">
        <v>87</v>
      </c>
      <c r="R12" t="s">
        <v>88</v>
      </c>
    </row>
    <row r="13" spans="1:18">
      <c r="A13" s="84">
        <v>45304</v>
      </c>
      <c r="B13">
        <v>980790</v>
      </c>
      <c r="C13">
        <v>216950</v>
      </c>
      <c r="D13">
        <v>349960</v>
      </c>
      <c r="E13">
        <v>1477750</v>
      </c>
      <c r="F13">
        <v>275430</v>
      </c>
      <c r="G13">
        <v>259050</v>
      </c>
      <c r="H13">
        <v>0</v>
      </c>
      <c r="I13">
        <v>0</v>
      </c>
      <c r="K13" t="s">
        <v>5</v>
      </c>
      <c r="L13">
        <v>39644145</v>
      </c>
      <c r="M13">
        <v>23856359</v>
      </c>
      <c r="N13">
        <v>44231189</v>
      </c>
      <c r="O13">
        <v>32137701</v>
      </c>
      <c r="P13">
        <v>35367522</v>
      </c>
      <c r="Q13">
        <v>29116758</v>
      </c>
      <c r="R13">
        <v>34957464</v>
      </c>
    </row>
    <row r="14" spans="1:18">
      <c r="A14" s="84">
        <v>45305</v>
      </c>
      <c r="B14">
        <v>510890</v>
      </c>
      <c r="C14">
        <v>486950</v>
      </c>
      <c r="D14">
        <v>79960</v>
      </c>
      <c r="E14">
        <v>282910</v>
      </c>
      <c r="F14">
        <v>372910</v>
      </c>
      <c r="G14">
        <v>400950</v>
      </c>
      <c r="H14">
        <v>58970</v>
      </c>
      <c r="I14">
        <v>0</v>
      </c>
      <c r="K14" t="s">
        <v>4</v>
      </c>
      <c r="L14">
        <v>15365290</v>
      </c>
      <c r="M14">
        <v>10851153</v>
      </c>
      <c r="N14">
        <v>20053520</v>
      </c>
      <c r="O14">
        <v>13933870</v>
      </c>
      <c r="P14">
        <v>16508620</v>
      </c>
      <c r="Q14">
        <v>16952183</v>
      </c>
      <c r="R14">
        <v>15436371</v>
      </c>
    </row>
    <row r="15" spans="1:18">
      <c r="A15" s="84">
        <v>45306</v>
      </c>
      <c r="B15">
        <v>1474740</v>
      </c>
      <c r="C15">
        <v>764910</v>
      </c>
      <c r="D15">
        <v>767910</v>
      </c>
      <c r="E15">
        <v>1433790</v>
      </c>
      <c r="F15">
        <v>347530</v>
      </c>
      <c r="G15">
        <v>568980</v>
      </c>
      <c r="H15">
        <v>0</v>
      </c>
      <c r="I15">
        <v>165970</v>
      </c>
      <c r="K15" t="s">
        <v>9</v>
      </c>
      <c r="L15">
        <v>2489076</v>
      </c>
      <c r="M15">
        <v>3130500</v>
      </c>
      <c r="N15">
        <v>2885570</v>
      </c>
      <c r="O15">
        <v>2764630</v>
      </c>
      <c r="P15">
        <v>3868440</v>
      </c>
      <c r="Q15">
        <v>3774390</v>
      </c>
      <c r="R15">
        <v>4189250</v>
      </c>
    </row>
    <row r="16" spans="1:18">
      <c r="A16" s="84">
        <v>45307</v>
      </c>
      <c r="B16">
        <v>1147680</v>
      </c>
      <c r="C16">
        <v>1015845</v>
      </c>
      <c r="D16">
        <v>626930</v>
      </c>
      <c r="E16">
        <v>957736</v>
      </c>
      <c r="F16">
        <v>281430</v>
      </c>
      <c r="G16">
        <v>371090</v>
      </c>
      <c r="H16">
        <v>49990</v>
      </c>
      <c r="I16">
        <v>253960</v>
      </c>
      <c r="K16" t="s">
        <v>3</v>
      </c>
      <c r="L16">
        <v>19920523</v>
      </c>
      <c r="M16">
        <v>15080730</v>
      </c>
      <c r="N16">
        <v>25438068</v>
      </c>
      <c r="O16">
        <v>16179760</v>
      </c>
      <c r="P16">
        <v>15165410</v>
      </c>
      <c r="Q16">
        <v>17351452</v>
      </c>
      <c r="R16">
        <v>18075336</v>
      </c>
    </row>
    <row r="17" spans="1:18">
      <c r="A17" s="84">
        <v>45308</v>
      </c>
      <c r="B17">
        <v>1383770</v>
      </c>
      <c r="C17">
        <v>403880</v>
      </c>
      <c r="D17">
        <v>418940</v>
      </c>
      <c r="E17">
        <v>105970</v>
      </c>
      <c r="F17">
        <v>305860</v>
      </c>
      <c r="G17">
        <v>766340</v>
      </c>
      <c r="H17">
        <v>109990</v>
      </c>
      <c r="I17">
        <v>0</v>
      </c>
      <c r="K17" t="s">
        <v>2</v>
      </c>
      <c r="L17">
        <v>39918480</v>
      </c>
      <c r="M17">
        <v>32413380</v>
      </c>
      <c r="N17">
        <v>35292240</v>
      </c>
      <c r="O17">
        <v>24342440</v>
      </c>
      <c r="P17">
        <v>23199340</v>
      </c>
      <c r="Q17">
        <v>24112410</v>
      </c>
      <c r="R17">
        <v>26340391</v>
      </c>
    </row>
    <row r="18" spans="1:18">
      <c r="A18" s="84">
        <v>45309</v>
      </c>
      <c r="B18">
        <v>1869710</v>
      </c>
      <c r="C18">
        <v>75960</v>
      </c>
      <c r="D18">
        <v>494930</v>
      </c>
      <c r="E18">
        <v>1119840</v>
      </c>
      <c r="F18">
        <v>577970</v>
      </c>
      <c r="G18">
        <v>416770</v>
      </c>
      <c r="H18">
        <v>0</v>
      </c>
      <c r="I18">
        <v>0</v>
      </c>
      <c r="K18" t="s">
        <v>8</v>
      </c>
      <c r="L18">
        <v>2472710</v>
      </c>
      <c r="M18">
        <v>4551440</v>
      </c>
      <c r="N18">
        <v>9767140</v>
      </c>
      <c r="O18">
        <v>7597060</v>
      </c>
      <c r="P18">
        <v>7007140</v>
      </c>
      <c r="Q18">
        <v>10552176</v>
      </c>
      <c r="R18">
        <v>9449778</v>
      </c>
    </row>
    <row r="19" spans="1:18">
      <c r="A19" s="84">
        <v>45310</v>
      </c>
      <c r="B19">
        <v>1348690</v>
      </c>
      <c r="C19">
        <v>550880</v>
      </c>
      <c r="D19">
        <v>627900</v>
      </c>
      <c r="E19">
        <v>938860</v>
      </c>
      <c r="F19">
        <v>855090</v>
      </c>
      <c r="G19">
        <v>0</v>
      </c>
      <c r="H19">
        <v>169980</v>
      </c>
      <c r="I19">
        <v>0</v>
      </c>
      <c r="K19" t="s">
        <v>6</v>
      </c>
      <c r="L19">
        <v>14599470</v>
      </c>
      <c r="M19">
        <v>14539699</v>
      </c>
      <c r="N19">
        <v>22811570</v>
      </c>
      <c r="O19">
        <v>16140750</v>
      </c>
      <c r="P19">
        <v>14057600</v>
      </c>
      <c r="Q19">
        <v>17400580</v>
      </c>
      <c r="R19">
        <v>21104620</v>
      </c>
    </row>
    <row r="20" spans="1:18">
      <c r="A20" s="84">
        <v>45311</v>
      </c>
      <c r="B20">
        <v>1484800</v>
      </c>
      <c r="C20">
        <v>722810</v>
      </c>
      <c r="D20">
        <v>85970</v>
      </c>
      <c r="E20">
        <v>686900</v>
      </c>
      <c r="F20">
        <v>311090</v>
      </c>
      <c r="G20">
        <v>534630</v>
      </c>
      <c r="H20">
        <v>0</v>
      </c>
      <c r="I20">
        <v>241980</v>
      </c>
    </row>
    <row r="21" spans="1:18">
      <c r="A21" s="84">
        <v>45312</v>
      </c>
      <c r="B21">
        <v>528840</v>
      </c>
      <c r="C21">
        <v>845920</v>
      </c>
      <c r="D21">
        <v>121960</v>
      </c>
      <c r="E21">
        <v>1257790</v>
      </c>
      <c r="F21">
        <v>316130</v>
      </c>
      <c r="G21">
        <v>496050</v>
      </c>
      <c r="H21">
        <v>0</v>
      </c>
      <c r="I21">
        <v>26990</v>
      </c>
    </row>
    <row r="22" spans="1:18">
      <c r="A22" s="84">
        <v>45313</v>
      </c>
      <c r="B22">
        <v>1646540</v>
      </c>
      <c r="C22">
        <v>331950</v>
      </c>
      <c r="D22">
        <v>0</v>
      </c>
      <c r="E22">
        <v>1049870</v>
      </c>
      <c r="F22">
        <v>302870</v>
      </c>
      <c r="G22">
        <v>590870</v>
      </c>
      <c r="H22">
        <v>171990</v>
      </c>
      <c r="I22">
        <v>71990</v>
      </c>
    </row>
    <row r="23" spans="1:18">
      <c r="A23" s="84">
        <v>45314</v>
      </c>
      <c r="B23">
        <v>792860</v>
      </c>
      <c r="C23">
        <v>29990</v>
      </c>
      <c r="D23">
        <v>353930</v>
      </c>
      <c r="E23">
        <v>1206840</v>
      </c>
      <c r="F23">
        <v>271410</v>
      </c>
      <c r="G23">
        <v>377710</v>
      </c>
      <c r="H23">
        <v>0</v>
      </c>
      <c r="I23">
        <v>49990</v>
      </c>
    </row>
    <row r="24" spans="1:18">
      <c r="A24" s="84">
        <v>45315</v>
      </c>
      <c r="B24">
        <v>1111830</v>
      </c>
      <c r="C24">
        <v>125950</v>
      </c>
      <c r="D24">
        <v>0</v>
      </c>
      <c r="E24">
        <v>1739780</v>
      </c>
      <c r="F24">
        <v>392420</v>
      </c>
      <c r="G24">
        <v>461970</v>
      </c>
      <c r="H24">
        <v>0</v>
      </c>
      <c r="I24">
        <v>52970</v>
      </c>
    </row>
    <row r="25" spans="1:18">
      <c r="A25" s="84">
        <v>45316</v>
      </c>
      <c r="B25">
        <v>688830</v>
      </c>
      <c r="C25">
        <v>76980</v>
      </c>
      <c r="D25">
        <v>728920</v>
      </c>
      <c r="E25">
        <v>736873</v>
      </c>
      <c r="F25">
        <v>420320</v>
      </c>
      <c r="G25">
        <v>304030</v>
      </c>
      <c r="H25">
        <v>28980</v>
      </c>
      <c r="I25">
        <v>0</v>
      </c>
    </row>
    <row r="26" spans="1:18">
      <c r="A26" s="84">
        <v>45317</v>
      </c>
      <c r="B26">
        <v>2821550</v>
      </c>
      <c r="C26">
        <v>153149</v>
      </c>
      <c r="D26">
        <v>1201830</v>
      </c>
      <c r="E26">
        <v>2333750</v>
      </c>
      <c r="F26">
        <v>801400</v>
      </c>
      <c r="G26">
        <v>0</v>
      </c>
      <c r="H26">
        <v>214980</v>
      </c>
      <c r="I26">
        <v>0</v>
      </c>
    </row>
    <row r="27" spans="1:18">
      <c r="A27" s="84">
        <v>45318</v>
      </c>
      <c r="B27">
        <v>545870</v>
      </c>
      <c r="C27">
        <v>325920</v>
      </c>
      <c r="D27">
        <v>68980</v>
      </c>
      <c r="E27">
        <v>1538810</v>
      </c>
      <c r="F27">
        <v>483480</v>
      </c>
      <c r="G27">
        <v>334230</v>
      </c>
      <c r="H27">
        <v>415980</v>
      </c>
      <c r="I27">
        <v>411950</v>
      </c>
    </row>
    <row r="28" spans="1:18">
      <c r="A28" s="84">
        <v>45319</v>
      </c>
      <c r="B28">
        <v>617920</v>
      </c>
      <c r="C28">
        <v>178960</v>
      </c>
      <c r="D28">
        <v>211870</v>
      </c>
      <c r="E28">
        <v>1193790</v>
      </c>
      <c r="F28">
        <v>514530</v>
      </c>
      <c r="G28">
        <v>315540</v>
      </c>
      <c r="H28">
        <v>0</v>
      </c>
      <c r="I28">
        <v>0</v>
      </c>
    </row>
    <row r="29" spans="1:18">
      <c r="A29" s="84">
        <v>45320</v>
      </c>
      <c r="B29">
        <v>736860</v>
      </c>
      <c r="C29">
        <v>938882</v>
      </c>
      <c r="D29">
        <v>900910</v>
      </c>
      <c r="E29">
        <v>1021750</v>
      </c>
      <c r="F29">
        <v>339270</v>
      </c>
      <c r="G29">
        <v>625670</v>
      </c>
      <c r="H29">
        <v>0</v>
      </c>
      <c r="I29">
        <v>29990</v>
      </c>
    </row>
    <row r="30" spans="1:18">
      <c r="A30" s="84">
        <v>45321</v>
      </c>
      <c r="B30">
        <v>1021920</v>
      </c>
      <c r="C30">
        <v>685920</v>
      </c>
      <c r="D30">
        <v>241980</v>
      </c>
      <c r="E30">
        <v>960800</v>
      </c>
      <c r="F30">
        <v>427910</v>
      </c>
      <c r="G30">
        <v>388290</v>
      </c>
      <c r="H30">
        <v>165990</v>
      </c>
      <c r="I30">
        <v>0</v>
      </c>
    </row>
    <row r="31" spans="1:18">
      <c r="A31" s="84">
        <v>45322</v>
      </c>
      <c r="B31">
        <v>1491720</v>
      </c>
      <c r="C31">
        <v>1510850</v>
      </c>
      <c r="D31">
        <v>808930</v>
      </c>
      <c r="E31">
        <v>1726252</v>
      </c>
      <c r="F31">
        <v>349960</v>
      </c>
      <c r="G31">
        <v>417370</v>
      </c>
      <c r="H31">
        <v>49990</v>
      </c>
      <c r="I31">
        <v>78980</v>
      </c>
    </row>
    <row r="32" spans="1:18">
      <c r="A32" s="84">
        <v>45323</v>
      </c>
      <c r="B32">
        <v>810770</v>
      </c>
      <c r="C32">
        <v>607950</v>
      </c>
      <c r="D32">
        <v>476950</v>
      </c>
      <c r="E32">
        <v>298880</v>
      </c>
      <c r="F32">
        <v>511710</v>
      </c>
      <c r="G32">
        <v>399570</v>
      </c>
      <c r="H32">
        <v>424970</v>
      </c>
      <c r="I32">
        <v>0</v>
      </c>
    </row>
    <row r="33" spans="1:9">
      <c r="A33" s="84">
        <v>45324</v>
      </c>
      <c r="B33">
        <v>1405800</v>
      </c>
      <c r="C33">
        <v>432950</v>
      </c>
      <c r="D33">
        <v>646930</v>
      </c>
      <c r="E33">
        <v>405316</v>
      </c>
      <c r="F33">
        <v>483540</v>
      </c>
      <c r="G33">
        <v>0</v>
      </c>
      <c r="H33">
        <v>115980</v>
      </c>
      <c r="I33">
        <v>0</v>
      </c>
    </row>
    <row r="34" spans="1:9">
      <c r="A34" s="84">
        <v>45325</v>
      </c>
      <c r="B34">
        <v>411910</v>
      </c>
      <c r="C34">
        <v>366890</v>
      </c>
      <c r="D34">
        <v>34980</v>
      </c>
      <c r="E34">
        <v>461961</v>
      </c>
      <c r="F34">
        <v>72710</v>
      </c>
      <c r="G34">
        <v>418830</v>
      </c>
      <c r="H34">
        <v>0</v>
      </c>
      <c r="I34">
        <v>0</v>
      </c>
    </row>
    <row r="35" spans="1:9">
      <c r="A35" s="84">
        <v>45326</v>
      </c>
      <c r="B35">
        <v>946910</v>
      </c>
      <c r="C35">
        <v>48970</v>
      </c>
      <c r="D35">
        <v>221970</v>
      </c>
      <c r="E35">
        <v>826800</v>
      </c>
      <c r="F35">
        <v>333450</v>
      </c>
      <c r="G35">
        <v>380240</v>
      </c>
      <c r="H35">
        <v>109980</v>
      </c>
      <c r="I35">
        <v>54980</v>
      </c>
    </row>
    <row r="36" spans="1:9">
      <c r="A36" s="84">
        <v>45327</v>
      </c>
      <c r="B36">
        <v>279930</v>
      </c>
      <c r="C36">
        <v>368930</v>
      </c>
      <c r="D36">
        <v>56990</v>
      </c>
      <c r="E36">
        <v>211920</v>
      </c>
      <c r="F36">
        <v>532000</v>
      </c>
      <c r="G36">
        <v>437450</v>
      </c>
      <c r="H36">
        <v>0</v>
      </c>
      <c r="I36">
        <v>175980</v>
      </c>
    </row>
    <row r="37" spans="1:9">
      <c r="A37" s="84">
        <v>45328</v>
      </c>
      <c r="B37">
        <v>316900</v>
      </c>
      <c r="C37">
        <v>0</v>
      </c>
      <c r="D37">
        <v>808920</v>
      </c>
      <c r="E37">
        <v>532890</v>
      </c>
      <c r="F37">
        <v>581590</v>
      </c>
      <c r="G37">
        <v>393240</v>
      </c>
      <c r="H37">
        <v>39990</v>
      </c>
      <c r="I37">
        <v>51990</v>
      </c>
    </row>
    <row r="38" spans="1:9">
      <c r="A38" s="84">
        <v>45329</v>
      </c>
      <c r="B38">
        <v>468900</v>
      </c>
      <c r="C38">
        <v>115960</v>
      </c>
      <c r="D38">
        <v>94980</v>
      </c>
      <c r="E38">
        <v>961850</v>
      </c>
      <c r="F38">
        <v>641110</v>
      </c>
      <c r="G38">
        <v>571360</v>
      </c>
      <c r="H38">
        <v>249960</v>
      </c>
      <c r="I38">
        <v>307980</v>
      </c>
    </row>
    <row r="39" spans="1:9">
      <c r="A39" s="84">
        <v>45330</v>
      </c>
      <c r="B39">
        <v>617880</v>
      </c>
      <c r="C39">
        <v>320890</v>
      </c>
      <c r="D39">
        <v>275980</v>
      </c>
      <c r="E39">
        <v>619900</v>
      </c>
      <c r="F39">
        <v>456370</v>
      </c>
      <c r="G39">
        <v>431640</v>
      </c>
      <c r="H39">
        <v>0</v>
      </c>
      <c r="I39">
        <v>0</v>
      </c>
    </row>
    <row r="40" spans="1:9">
      <c r="A40" s="84">
        <v>45331</v>
      </c>
      <c r="B40">
        <v>2881630</v>
      </c>
      <c r="C40">
        <v>341860</v>
      </c>
      <c r="D40">
        <v>661930</v>
      </c>
      <c r="E40">
        <v>134960</v>
      </c>
      <c r="F40">
        <v>1452270</v>
      </c>
      <c r="G40">
        <v>0</v>
      </c>
      <c r="H40">
        <v>289950</v>
      </c>
      <c r="I40">
        <v>0</v>
      </c>
    </row>
    <row r="41" spans="1:9">
      <c r="A41" s="84">
        <v>45332</v>
      </c>
      <c r="B41">
        <v>820810</v>
      </c>
      <c r="C41">
        <v>644920</v>
      </c>
      <c r="D41">
        <v>293950</v>
      </c>
      <c r="E41">
        <v>514900</v>
      </c>
      <c r="F41">
        <v>300510</v>
      </c>
      <c r="G41">
        <v>178130</v>
      </c>
      <c r="H41">
        <v>412980</v>
      </c>
      <c r="I41">
        <v>0</v>
      </c>
    </row>
    <row r="42" spans="1:9">
      <c r="A42" s="84">
        <v>45333</v>
      </c>
      <c r="B42">
        <v>306910</v>
      </c>
      <c r="C42">
        <v>562850</v>
      </c>
      <c r="D42">
        <v>327970</v>
      </c>
      <c r="E42">
        <v>919890</v>
      </c>
      <c r="F42">
        <v>320530</v>
      </c>
      <c r="G42">
        <v>324350</v>
      </c>
      <c r="H42">
        <v>0</v>
      </c>
      <c r="I42">
        <v>12990</v>
      </c>
    </row>
    <row r="43" spans="1:9">
      <c r="A43" s="84">
        <v>45334</v>
      </c>
      <c r="B43">
        <v>1479710</v>
      </c>
      <c r="C43">
        <v>446880</v>
      </c>
      <c r="D43">
        <v>175940</v>
      </c>
      <c r="E43">
        <v>1644770</v>
      </c>
      <c r="F43">
        <v>314940</v>
      </c>
      <c r="G43">
        <v>765280</v>
      </c>
      <c r="H43">
        <v>0</v>
      </c>
      <c r="I43">
        <v>0</v>
      </c>
    </row>
    <row r="44" spans="1:9">
      <c r="A44" s="84">
        <v>45335</v>
      </c>
      <c r="B44">
        <v>994860</v>
      </c>
      <c r="C44">
        <v>637920</v>
      </c>
      <c r="D44">
        <v>551940</v>
      </c>
      <c r="E44">
        <v>758122</v>
      </c>
      <c r="F44">
        <v>377020</v>
      </c>
      <c r="G44">
        <v>508620</v>
      </c>
      <c r="H44">
        <v>0</v>
      </c>
      <c r="I44">
        <v>119980</v>
      </c>
    </row>
    <row r="45" spans="1:9">
      <c r="A45" s="84">
        <v>45336</v>
      </c>
      <c r="B45">
        <v>1381710</v>
      </c>
      <c r="C45">
        <v>103950</v>
      </c>
      <c r="D45">
        <v>157960</v>
      </c>
      <c r="E45">
        <v>872820</v>
      </c>
      <c r="F45">
        <v>461210</v>
      </c>
      <c r="G45">
        <v>591640</v>
      </c>
      <c r="H45">
        <v>94990</v>
      </c>
      <c r="I45">
        <v>332910</v>
      </c>
    </row>
    <row r="46" spans="1:9">
      <c r="A46" s="84">
        <v>45337</v>
      </c>
      <c r="B46">
        <v>1888670</v>
      </c>
      <c r="C46">
        <v>822900</v>
      </c>
      <c r="D46">
        <v>761810</v>
      </c>
      <c r="E46">
        <v>1502800</v>
      </c>
      <c r="F46">
        <v>843890</v>
      </c>
      <c r="G46">
        <v>577840</v>
      </c>
      <c r="H46">
        <v>273970</v>
      </c>
      <c r="I46">
        <v>0</v>
      </c>
    </row>
    <row r="47" spans="1:9">
      <c r="A47" s="84">
        <v>45338</v>
      </c>
      <c r="B47">
        <v>2067460</v>
      </c>
      <c r="C47">
        <v>556900</v>
      </c>
      <c r="D47">
        <v>1278750</v>
      </c>
      <c r="E47">
        <v>2001570</v>
      </c>
      <c r="F47">
        <v>1491350</v>
      </c>
      <c r="G47">
        <v>0</v>
      </c>
      <c r="H47">
        <v>0</v>
      </c>
      <c r="I47">
        <v>0</v>
      </c>
    </row>
    <row r="48" spans="1:9">
      <c r="A48" s="84">
        <v>45339</v>
      </c>
      <c r="B48">
        <v>1084760</v>
      </c>
      <c r="C48">
        <v>1079750</v>
      </c>
      <c r="D48">
        <v>298940</v>
      </c>
      <c r="E48">
        <v>317810</v>
      </c>
      <c r="F48">
        <v>321040</v>
      </c>
      <c r="G48">
        <v>305350</v>
      </c>
      <c r="H48">
        <v>26990</v>
      </c>
      <c r="I48">
        <v>76980</v>
      </c>
    </row>
    <row r="49" spans="1:9">
      <c r="A49" s="84">
        <v>45340</v>
      </c>
      <c r="B49">
        <v>1937720</v>
      </c>
      <c r="C49">
        <v>370870</v>
      </c>
      <c r="D49">
        <v>297920</v>
      </c>
      <c r="E49">
        <v>1560820</v>
      </c>
      <c r="F49">
        <v>278280</v>
      </c>
      <c r="G49">
        <v>462040</v>
      </c>
      <c r="H49">
        <v>655880</v>
      </c>
      <c r="I49">
        <v>314940</v>
      </c>
    </row>
    <row r="50" spans="1:9">
      <c r="A50" s="84">
        <v>45341</v>
      </c>
      <c r="B50">
        <v>214930</v>
      </c>
      <c r="C50">
        <v>347880</v>
      </c>
      <c r="D50">
        <v>231960</v>
      </c>
      <c r="E50">
        <v>947850</v>
      </c>
      <c r="F50">
        <v>454430</v>
      </c>
      <c r="G50">
        <v>433200</v>
      </c>
      <c r="H50">
        <v>0</v>
      </c>
      <c r="I50">
        <v>110960</v>
      </c>
    </row>
    <row r="51" spans="1:9">
      <c r="A51" s="84">
        <v>45342</v>
      </c>
      <c r="B51">
        <v>518860</v>
      </c>
      <c r="C51">
        <v>542940</v>
      </c>
      <c r="D51">
        <v>552933</v>
      </c>
      <c r="E51">
        <v>916840</v>
      </c>
      <c r="F51">
        <v>229550</v>
      </c>
      <c r="G51">
        <v>277470</v>
      </c>
      <c r="H51">
        <v>403970</v>
      </c>
      <c r="I51">
        <v>323940</v>
      </c>
    </row>
    <row r="52" spans="1:9">
      <c r="A52" s="84">
        <v>45343</v>
      </c>
      <c r="B52">
        <v>1949680</v>
      </c>
      <c r="C52">
        <v>1172730</v>
      </c>
      <c r="D52">
        <v>251980</v>
      </c>
      <c r="E52">
        <v>1492830</v>
      </c>
      <c r="F52">
        <v>383710</v>
      </c>
      <c r="G52">
        <v>373680</v>
      </c>
      <c r="H52">
        <v>0</v>
      </c>
      <c r="I52">
        <v>0</v>
      </c>
    </row>
    <row r="53" spans="1:9">
      <c r="A53" s="84">
        <v>45344</v>
      </c>
      <c r="B53">
        <v>1892640</v>
      </c>
      <c r="C53">
        <v>1535730</v>
      </c>
      <c r="D53">
        <v>465930</v>
      </c>
      <c r="E53">
        <v>1085720</v>
      </c>
      <c r="F53">
        <v>619140</v>
      </c>
      <c r="G53">
        <v>344220</v>
      </c>
      <c r="H53">
        <v>714930</v>
      </c>
      <c r="I53">
        <v>0</v>
      </c>
    </row>
    <row r="54" spans="1:9">
      <c r="A54" s="84">
        <v>45345</v>
      </c>
      <c r="B54">
        <v>2686540</v>
      </c>
      <c r="C54">
        <v>781820</v>
      </c>
      <c r="D54">
        <v>552890</v>
      </c>
      <c r="E54">
        <v>996800</v>
      </c>
      <c r="F54">
        <v>1222640</v>
      </c>
      <c r="G54">
        <v>0</v>
      </c>
      <c r="H54">
        <v>345960</v>
      </c>
      <c r="I54">
        <v>0</v>
      </c>
    </row>
    <row r="55" spans="1:9">
      <c r="A55" s="84">
        <v>45346</v>
      </c>
      <c r="B55">
        <v>1117280</v>
      </c>
      <c r="C55">
        <v>286940</v>
      </c>
      <c r="D55">
        <v>0</v>
      </c>
      <c r="E55">
        <v>1314800</v>
      </c>
      <c r="F55">
        <v>325910</v>
      </c>
      <c r="G55">
        <v>272880</v>
      </c>
      <c r="H55">
        <v>0</v>
      </c>
      <c r="I55">
        <v>179990</v>
      </c>
    </row>
    <row r="56" spans="1:9">
      <c r="A56" s="84">
        <v>45347</v>
      </c>
      <c r="B56">
        <v>2104700</v>
      </c>
      <c r="C56">
        <v>346880</v>
      </c>
      <c r="D56">
        <v>683800</v>
      </c>
      <c r="E56">
        <v>357910</v>
      </c>
      <c r="F56">
        <v>343010</v>
      </c>
      <c r="G56">
        <v>318350</v>
      </c>
      <c r="H56">
        <v>249970</v>
      </c>
      <c r="I56">
        <v>327950</v>
      </c>
    </row>
    <row r="57" spans="1:9">
      <c r="A57" s="84">
        <v>45348</v>
      </c>
      <c r="B57">
        <v>331900</v>
      </c>
      <c r="C57">
        <v>174950</v>
      </c>
      <c r="D57">
        <v>94960</v>
      </c>
      <c r="E57">
        <v>728840</v>
      </c>
      <c r="F57">
        <v>362410</v>
      </c>
      <c r="G57">
        <v>331670</v>
      </c>
      <c r="H57">
        <v>0</v>
      </c>
      <c r="I57">
        <v>345980</v>
      </c>
    </row>
    <row r="58" spans="1:9">
      <c r="A58" s="84">
        <v>45349</v>
      </c>
      <c r="B58">
        <v>1085730</v>
      </c>
      <c r="C58">
        <v>1762650</v>
      </c>
      <c r="D58">
        <v>179960</v>
      </c>
      <c r="E58">
        <v>641920</v>
      </c>
      <c r="F58">
        <v>370369</v>
      </c>
      <c r="G58">
        <v>380900</v>
      </c>
      <c r="H58">
        <v>36990</v>
      </c>
      <c r="I58">
        <v>0</v>
      </c>
    </row>
    <row r="59" spans="1:9">
      <c r="A59" s="84">
        <v>45350</v>
      </c>
      <c r="B59">
        <v>407880</v>
      </c>
      <c r="C59">
        <v>296870</v>
      </c>
      <c r="D59">
        <v>411930</v>
      </c>
      <c r="E59">
        <v>824870</v>
      </c>
      <c r="F59">
        <v>455010</v>
      </c>
      <c r="G59">
        <v>594970</v>
      </c>
      <c r="H59">
        <v>103980</v>
      </c>
      <c r="I59">
        <v>392950</v>
      </c>
    </row>
    <row r="60" spans="1:9">
      <c r="A60" s="84">
        <v>45352</v>
      </c>
      <c r="B60">
        <v>836890</v>
      </c>
      <c r="C60">
        <v>280950</v>
      </c>
      <c r="D60">
        <v>1219840</v>
      </c>
      <c r="E60">
        <v>1444740</v>
      </c>
      <c r="F60">
        <v>1044880</v>
      </c>
      <c r="G60">
        <v>661930</v>
      </c>
      <c r="H60">
        <v>331980</v>
      </c>
      <c r="I60">
        <v>0</v>
      </c>
    </row>
    <row r="61" spans="1:9">
      <c r="A61" s="84">
        <v>45353</v>
      </c>
      <c r="B61">
        <v>900820</v>
      </c>
      <c r="C61">
        <v>509860</v>
      </c>
      <c r="D61">
        <v>501850</v>
      </c>
      <c r="E61">
        <v>457920</v>
      </c>
      <c r="F61">
        <v>1943770</v>
      </c>
      <c r="G61">
        <v>0</v>
      </c>
      <c r="H61">
        <v>1052930</v>
      </c>
      <c r="I61">
        <v>0</v>
      </c>
    </row>
    <row r="62" spans="1:9">
      <c r="A62" s="84">
        <v>45354</v>
      </c>
      <c r="B62">
        <v>359920</v>
      </c>
      <c r="C62">
        <v>850740</v>
      </c>
      <c r="D62">
        <v>1242890</v>
      </c>
      <c r="E62">
        <v>315870</v>
      </c>
      <c r="F62">
        <v>1033320</v>
      </c>
      <c r="G62">
        <v>0</v>
      </c>
      <c r="H62">
        <v>0</v>
      </c>
      <c r="I62">
        <v>0</v>
      </c>
    </row>
    <row r="63" spans="1:9">
      <c r="A63" s="84">
        <v>45355</v>
      </c>
      <c r="B63">
        <v>563930</v>
      </c>
      <c r="C63">
        <v>910700</v>
      </c>
      <c r="D63">
        <v>723900</v>
      </c>
      <c r="E63">
        <v>965750</v>
      </c>
      <c r="F63">
        <v>578770</v>
      </c>
      <c r="G63">
        <v>0</v>
      </c>
      <c r="H63">
        <v>212970</v>
      </c>
      <c r="I63">
        <v>0</v>
      </c>
    </row>
    <row r="64" spans="1:9">
      <c r="A64" s="84">
        <v>45356</v>
      </c>
      <c r="B64">
        <v>339960</v>
      </c>
      <c r="C64">
        <v>264940</v>
      </c>
      <c r="D64">
        <v>305970</v>
      </c>
      <c r="E64">
        <v>672810</v>
      </c>
      <c r="F64">
        <v>146950</v>
      </c>
      <c r="G64">
        <v>355240</v>
      </c>
      <c r="H64">
        <v>0</v>
      </c>
      <c r="I64">
        <v>0</v>
      </c>
    </row>
    <row r="65" spans="1:9">
      <c r="A65" s="84">
        <v>45357</v>
      </c>
      <c r="B65">
        <v>1413760</v>
      </c>
      <c r="C65">
        <v>877850</v>
      </c>
      <c r="D65">
        <v>621890</v>
      </c>
      <c r="E65">
        <v>764870</v>
      </c>
      <c r="F65">
        <v>197650</v>
      </c>
      <c r="G65">
        <v>298430</v>
      </c>
      <c r="H65">
        <v>82980</v>
      </c>
      <c r="I65">
        <v>212980</v>
      </c>
    </row>
    <row r="66" spans="1:9">
      <c r="A66" s="84">
        <v>45358</v>
      </c>
      <c r="B66">
        <v>1187840</v>
      </c>
      <c r="C66">
        <v>289940</v>
      </c>
      <c r="D66">
        <v>0</v>
      </c>
      <c r="E66">
        <v>1794420</v>
      </c>
      <c r="F66">
        <v>581420</v>
      </c>
      <c r="G66">
        <v>570890</v>
      </c>
      <c r="H66">
        <v>0</v>
      </c>
      <c r="I66">
        <v>139980</v>
      </c>
    </row>
    <row r="67" spans="1:9">
      <c r="A67" s="84">
        <v>45359</v>
      </c>
      <c r="B67">
        <v>1566650</v>
      </c>
      <c r="C67">
        <v>1370690</v>
      </c>
      <c r="D67">
        <v>1186860</v>
      </c>
      <c r="E67">
        <v>1440660</v>
      </c>
      <c r="F67">
        <v>1417260</v>
      </c>
      <c r="G67">
        <v>564120</v>
      </c>
      <c r="H67">
        <v>1018910</v>
      </c>
      <c r="I67">
        <v>64990</v>
      </c>
    </row>
    <row r="68" spans="1:9">
      <c r="A68" s="84">
        <v>45360</v>
      </c>
      <c r="B68">
        <v>1422670</v>
      </c>
      <c r="C68">
        <v>610880</v>
      </c>
      <c r="D68">
        <v>1461760</v>
      </c>
      <c r="E68">
        <v>1167313</v>
      </c>
      <c r="F68">
        <v>1960260</v>
      </c>
      <c r="G68">
        <v>0</v>
      </c>
      <c r="H68">
        <v>771960</v>
      </c>
      <c r="I68">
        <v>0</v>
      </c>
    </row>
    <row r="69" spans="1:9">
      <c r="A69" s="84">
        <v>45361</v>
      </c>
      <c r="B69">
        <v>591890</v>
      </c>
      <c r="C69">
        <v>1038720</v>
      </c>
      <c r="D69">
        <v>161970</v>
      </c>
      <c r="E69">
        <v>899810</v>
      </c>
      <c r="F69">
        <v>369020</v>
      </c>
      <c r="G69">
        <v>472340</v>
      </c>
      <c r="H69">
        <v>0</v>
      </c>
      <c r="I69">
        <v>12990</v>
      </c>
    </row>
    <row r="70" spans="1:9">
      <c r="A70" s="84">
        <v>45362</v>
      </c>
      <c r="B70">
        <v>1163740</v>
      </c>
      <c r="C70">
        <v>159940</v>
      </c>
      <c r="D70">
        <v>372900</v>
      </c>
      <c r="E70">
        <v>1226790</v>
      </c>
      <c r="F70">
        <v>675930</v>
      </c>
      <c r="G70">
        <v>392390</v>
      </c>
      <c r="H70">
        <v>399990</v>
      </c>
      <c r="I70">
        <v>0</v>
      </c>
    </row>
    <row r="71" spans="1:9">
      <c r="A71" s="84">
        <v>45363</v>
      </c>
      <c r="B71">
        <v>752280</v>
      </c>
      <c r="C71">
        <v>362940</v>
      </c>
      <c r="D71">
        <v>235940</v>
      </c>
      <c r="E71">
        <v>1753713</v>
      </c>
      <c r="F71">
        <v>388000</v>
      </c>
      <c r="G71">
        <v>737760</v>
      </c>
      <c r="H71">
        <v>130980</v>
      </c>
      <c r="I71">
        <v>0</v>
      </c>
    </row>
    <row r="72" spans="1:9">
      <c r="A72" s="84">
        <v>45364</v>
      </c>
      <c r="B72">
        <v>1405830</v>
      </c>
      <c r="C72">
        <v>523860</v>
      </c>
      <c r="D72">
        <v>389920</v>
      </c>
      <c r="E72">
        <v>1333845</v>
      </c>
      <c r="F72">
        <v>181260</v>
      </c>
      <c r="G72">
        <v>396670</v>
      </c>
      <c r="H72">
        <v>49990</v>
      </c>
      <c r="I72">
        <v>136970</v>
      </c>
    </row>
    <row r="73" spans="1:9">
      <c r="A73" s="84">
        <v>45365</v>
      </c>
      <c r="B73">
        <v>2023660</v>
      </c>
      <c r="C73">
        <v>594860</v>
      </c>
      <c r="D73">
        <v>533890</v>
      </c>
      <c r="E73">
        <v>3290721</v>
      </c>
      <c r="F73">
        <v>433660</v>
      </c>
      <c r="G73">
        <v>558740</v>
      </c>
      <c r="H73">
        <v>304980</v>
      </c>
      <c r="I73">
        <v>192970</v>
      </c>
    </row>
    <row r="74" spans="1:9">
      <c r="A74" s="84">
        <v>45366</v>
      </c>
      <c r="B74">
        <v>806820</v>
      </c>
      <c r="C74">
        <v>850883</v>
      </c>
      <c r="D74">
        <v>1105880</v>
      </c>
      <c r="E74">
        <v>1821056</v>
      </c>
      <c r="F74">
        <v>911050</v>
      </c>
      <c r="G74">
        <v>583460</v>
      </c>
      <c r="H74">
        <v>265980</v>
      </c>
      <c r="I74">
        <v>0</v>
      </c>
    </row>
    <row r="75" spans="1:9">
      <c r="A75" s="84">
        <v>45367</v>
      </c>
      <c r="B75">
        <v>2162630</v>
      </c>
      <c r="C75">
        <v>796770</v>
      </c>
      <c r="D75">
        <v>929870</v>
      </c>
      <c r="E75">
        <v>1657660</v>
      </c>
      <c r="F75">
        <v>1401940</v>
      </c>
      <c r="G75">
        <v>0</v>
      </c>
      <c r="H75">
        <v>489950</v>
      </c>
      <c r="I75">
        <v>0</v>
      </c>
    </row>
    <row r="76" spans="1:9">
      <c r="A76" s="84">
        <v>45368</v>
      </c>
      <c r="B76">
        <v>1940790</v>
      </c>
      <c r="C76">
        <v>552890</v>
      </c>
      <c r="D76">
        <v>127980</v>
      </c>
      <c r="E76">
        <v>945870</v>
      </c>
      <c r="F76">
        <v>335150</v>
      </c>
      <c r="G76">
        <v>73360</v>
      </c>
      <c r="H76">
        <v>705950</v>
      </c>
      <c r="I76">
        <v>214940</v>
      </c>
    </row>
    <row r="77" spans="1:9">
      <c r="A77" s="84">
        <v>45369</v>
      </c>
      <c r="B77">
        <v>648860</v>
      </c>
      <c r="C77">
        <v>1512810</v>
      </c>
      <c r="D77">
        <v>26980</v>
      </c>
      <c r="E77">
        <v>1257710</v>
      </c>
      <c r="F77">
        <v>421050</v>
      </c>
      <c r="H77">
        <v>267940</v>
      </c>
      <c r="I77">
        <v>167990</v>
      </c>
    </row>
    <row r="78" spans="1:9">
      <c r="A78" s="84">
        <v>45370</v>
      </c>
      <c r="B78">
        <v>1623850</v>
      </c>
      <c r="C78">
        <v>923830</v>
      </c>
      <c r="D78">
        <v>738920</v>
      </c>
      <c r="E78">
        <v>191930</v>
      </c>
      <c r="F78">
        <v>303390</v>
      </c>
      <c r="H78">
        <v>0</v>
      </c>
      <c r="I78">
        <v>117980</v>
      </c>
    </row>
    <row r="79" spans="1:9">
      <c r="A79" s="84">
        <v>45371</v>
      </c>
      <c r="B79">
        <v>1107770</v>
      </c>
      <c r="C79">
        <v>742860</v>
      </c>
      <c r="D79">
        <v>0</v>
      </c>
      <c r="E79">
        <v>2017810</v>
      </c>
      <c r="F79">
        <v>413580</v>
      </c>
      <c r="H79">
        <v>334970</v>
      </c>
      <c r="I79">
        <v>0</v>
      </c>
    </row>
    <row r="80" spans="1:9">
      <c r="A80" s="84">
        <v>45372</v>
      </c>
      <c r="B80">
        <v>485880</v>
      </c>
      <c r="C80">
        <v>1736710</v>
      </c>
      <c r="D80">
        <v>477940</v>
      </c>
      <c r="E80">
        <v>1248830</v>
      </c>
      <c r="F80">
        <v>535270</v>
      </c>
      <c r="H80">
        <v>415980</v>
      </c>
      <c r="I80">
        <v>445910</v>
      </c>
    </row>
    <row r="81" spans="1:9">
      <c r="A81" s="84">
        <v>45373</v>
      </c>
      <c r="B81">
        <v>727840</v>
      </c>
      <c r="C81">
        <v>1346996</v>
      </c>
      <c r="D81">
        <v>785810</v>
      </c>
      <c r="E81">
        <v>2532510</v>
      </c>
      <c r="F81">
        <v>984070</v>
      </c>
      <c r="H81">
        <v>368970</v>
      </c>
      <c r="I81">
        <v>0</v>
      </c>
    </row>
    <row r="82" spans="1:9">
      <c r="A82" s="84">
        <v>45374</v>
      </c>
      <c r="B82">
        <v>1998680</v>
      </c>
      <c r="C82">
        <v>1289780</v>
      </c>
      <c r="D82">
        <v>1750810</v>
      </c>
      <c r="E82">
        <v>2031721</v>
      </c>
      <c r="F82">
        <v>1798890</v>
      </c>
      <c r="H82">
        <v>230980</v>
      </c>
      <c r="I82">
        <v>0</v>
      </c>
    </row>
    <row r="83" spans="1:9">
      <c r="A83" s="84">
        <v>45375</v>
      </c>
      <c r="B83">
        <v>1118750</v>
      </c>
      <c r="C83">
        <v>578890</v>
      </c>
      <c r="D83">
        <v>1287850</v>
      </c>
      <c r="E83">
        <v>2016560</v>
      </c>
      <c r="F83">
        <v>1026600</v>
      </c>
      <c r="H83">
        <v>469960</v>
      </c>
      <c r="I83">
        <v>0</v>
      </c>
    </row>
    <row r="84" spans="1:9">
      <c r="A84" s="84">
        <v>45376</v>
      </c>
      <c r="B84">
        <v>1161790</v>
      </c>
      <c r="C84">
        <v>58960</v>
      </c>
      <c r="D84">
        <v>64980</v>
      </c>
      <c r="E84">
        <v>1836610</v>
      </c>
      <c r="F84">
        <v>300470</v>
      </c>
      <c r="H84">
        <v>465960</v>
      </c>
      <c r="I84">
        <v>0</v>
      </c>
    </row>
    <row r="85" spans="1:9">
      <c r="A85" s="84">
        <v>45377</v>
      </c>
      <c r="B85">
        <v>1232740</v>
      </c>
      <c r="C85">
        <v>2018750</v>
      </c>
      <c r="D85">
        <v>938850</v>
      </c>
      <c r="E85">
        <v>2434740</v>
      </c>
      <c r="F85">
        <v>280470</v>
      </c>
      <c r="H85">
        <v>234970</v>
      </c>
      <c r="I85">
        <v>127970</v>
      </c>
    </row>
    <row r="86" spans="1:9">
      <c r="A86" s="84">
        <v>45378</v>
      </c>
      <c r="B86">
        <v>594890</v>
      </c>
      <c r="C86">
        <v>937819</v>
      </c>
      <c r="D86">
        <v>199460</v>
      </c>
      <c r="E86">
        <v>1794690</v>
      </c>
      <c r="F86">
        <v>366290</v>
      </c>
      <c r="H86">
        <v>64990</v>
      </c>
      <c r="I86">
        <v>543940</v>
      </c>
    </row>
    <row r="87" spans="1:9">
      <c r="A87" s="84">
        <v>45379</v>
      </c>
      <c r="B87">
        <v>591870</v>
      </c>
      <c r="C87">
        <v>922720</v>
      </c>
      <c r="D87">
        <v>552920</v>
      </c>
      <c r="E87">
        <v>645810</v>
      </c>
      <c r="F87">
        <v>444770</v>
      </c>
      <c r="H87">
        <v>365970</v>
      </c>
      <c r="I87">
        <v>390970</v>
      </c>
    </row>
    <row r="88" spans="1:9">
      <c r="A88" s="84">
        <v>45380</v>
      </c>
      <c r="B88">
        <v>1810700</v>
      </c>
      <c r="C88">
        <v>455900</v>
      </c>
      <c r="D88">
        <v>414950</v>
      </c>
      <c r="E88">
        <v>418940</v>
      </c>
      <c r="F88">
        <v>976710</v>
      </c>
      <c r="H88">
        <v>249970</v>
      </c>
      <c r="I88">
        <v>0</v>
      </c>
    </row>
    <row r="89" spans="1:9">
      <c r="A89" s="84">
        <v>45381</v>
      </c>
      <c r="B89">
        <v>2133630</v>
      </c>
      <c r="C89">
        <v>723920</v>
      </c>
      <c r="D89">
        <v>704850</v>
      </c>
      <c r="E89">
        <v>1131810</v>
      </c>
      <c r="F89">
        <v>1199770</v>
      </c>
      <c r="H89">
        <v>460940</v>
      </c>
      <c r="I89">
        <v>0</v>
      </c>
    </row>
    <row r="90" spans="1:9">
      <c r="A90" s="84">
        <v>45382</v>
      </c>
      <c r="B90">
        <v>614910</v>
      </c>
      <c r="C90">
        <v>1340710</v>
      </c>
      <c r="D90">
        <v>985890</v>
      </c>
      <c r="E90">
        <v>2717700</v>
      </c>
      <c r="F90">
        <v>159950</v>
      </c>
      <c r="H90">
        <v>15990</v>
      </c>
      <c r="I90">
        <v>114990</v>
      </c>
    </row>
    <row r="91" spans="1:9">
      <c r="A91" s="84">
        <v>45383</v>
      </c>
      <c r="B91">
        <v>156950</v>
      </c>
      <c r="C91">
        <v>470850</v>
      </c>
      <c r="D91">
        <v>118970</v>
      </c>
      <c r="E91">
        <v>776890</v>
      </c>
      <c r="F91">
        <v>358070</v>
      </c>
      <c r="H91">
        <v>399990</v>
      </c>
      <c r="I91">
        <v>588920</v>
      </c>
    </row>
    <row r="92" spans="1:9">
      <c r="A92" s="84">
        <v>45384</v>
      </c>
      <c r="B92">
        <v>767820</v>
      </c>
      <c r="C92">
        <v>401910</v>
      </c>
      <c r="D92">
        <v>497910</v>
      </c>
      <c r="E92">
        <v>267013</v>
      </c>
      <c r="F92">
        <v>846150</v>
      </c>
      <c r="H92">
        <v>0</v>
      </c>
      <c r="I92">
        <v>0</v>
      </c>
    </row>
    <row r="93" spans="1:9">
      <c r="A93" s="84">
        <v>45385</v>
      </c>
      <c r="B93">
        <v>1580630</v>
      </c>
      <c r="C93">
        <v>39970</v>
      </c>
      <c r="D93">
        <v>59980</v>
      </c>
      <c r="E93">
        <v>610900</v>
      </c>
      <c r="F93">
        <v>416740</v>
      </c>
      <c r="H93">
        <v>165990</v>
      </c>
      <c r="I93">
        <v>19990</v>
      </c>
    </row>
    <row r="94" spans="1:9">
      <c r="A94" s="84">
        <v>45386</v>
      </c>
      <c r="B94">
        <v>799830</v>
      </c>
      <c r="C94">
        <v>223920</v>
      </c>
      <c r="D94">
        <v>29990</v>
      </c>
      <c r="E94">
        <v>625103</v>
      </c>
      <c r="F94">
        <v>496010</v>
      </c>
      <c r="H94">
        <v>171990</v>
      </c>
      <c r="I94">
        <v>89990</v>
      </c>
    </row>
    <row r="95" spans="1:9">
      <c r="A95" s="84">
        <v>45387</v>
      </c>
      <c r="B95">
        <v>552890</v>
      </c>
      <c r="C95">
        <v>531890</v>
      </c>
      <c r="D95">
        <v>403970</v>
      </c>
      <c r="E95">
        <v>1404790</v>
      </c>
      <c r="F95">
        <v>909620</v>
      </c>
      <c r="H95">
        <v>39990</v>
      </c>
      <c r="I95">
        <v>0</v>
      </c>
    </row>
    <row r="96" spans="1:9">
      <c r="A96" s="84">
        <v>45388</v>
      </c>
      <c r="B96">
        <v>1073780</v>
      </c>
      <c r="C96">
        <v>504860</v>
      </c>
      <c r="D96">
        <v>689870</v>
      </c>
      <c r="E96">
        <v>462983</v>
      </c>
      <c r="F96">
        <v>1346950</v>
      </c>
      <c r="H96">
        <v>344960</v>
      </c>
      <c r="I96">
        <v>0</v>
      </c>
    </row>
    <row r="97" spans="1:9">
      <c r="A97" s="84">
        <v>45389</v>
      </c>
      <c r="B97">
        <v>78980</v>
      </c>
      <c r="C97">
        <v>53980</v>
      </c>
      <c r="D97">
        <v>143950</v>
      </c>
      <c r="E97">
        <v>465910</v>
      </c>
      <c r="F97">
        <v>221710</v>
      </c>
      <c r="H97">
        <v>0</v>
      </c>
      <c r="I97">
        <v>189990</v>
      </c>
    </row>
    <row r="98" spans="1:9">
      <c r="A98" s="84">
        <v>45390</v>
      </c>
      <c r="B98">
        <v>1038260</v>
      </c>
      <c r="C98">
        <v>652880</v>
      </c>
      <c r="D98">
        <v>568940</v>
      </c>
      <c r="E98">
        <v>139930</v>
      </c>
      <c r="F98">
        <v>223100</v>
      </c>
      <c r="H98">
        <v>84990</v>
      </c>
      <c r="I98">
        <v>89990</v>
      </c>
    </row>
    <row r="99" spans="1:9">
      <c r="A99" s="84">
        <v>45391</v>
      </c>
      <c r="B99">
        <v>404900</v>
      </c>
      <c r="C99">
        <v>813820</v>
      </c>
      <c r="D99">
        <v>394960</v>
      </c>
      <c r="E99">
        <v>1761700</v>
      </c>
      <c r="F99">
        <v>254560</v>
      </c>
      <c r="H99">
        <v>0</v>
      </c>
      <c r="I99">
        <v>0</v>
      </c>
    </row>
    <row r="100" spans="1:9">
      <c r="A100" s="84">
        <v>45392</v>
      </c>
      <c r="B100">
        <v>631950</v>
      </c>
      <c r="C100">
        <v>1517710</v>
      </c>
      <c r="D100">
        <v>795850</v>
      </c>
      <c r="E100">
        <v>1329780</v>
      </c>
      <c r="F100">
        <v>289750</v>
      </c>
      <c r="H100">
        <v>0</v>
      </c>
      <c r="I100">
        <v>57970</v>
      </c>
    </row>
    <row r="101" spans="1:9">
      <c r="A101" s="84">
        <v>45393</v>
      </c>
      <c r="B101">
        <v>55980</v>
      </c>
      <c r="C101">
        <v>1408840</v>
      </c>
      <c r="D101">
        <v>530960</v>
      </c>
      <c r="E101">
        <v>249890</v>
      </c>
      <c r="F101">
        <v>175000</v>
      </c>
      <c r="H101">
        <v>171990</v>
      </c>
      <c r="I101">
        <v>0</v>
      </c>
    </row>
    <row r="102" spans="1:9">
      <c r="A102" s="84">
        <v>45394</v>
      </c>
      <c r="B102">
        <v>380850</v>
      </c>
      <c r="C102">
        <v>789910</v>
      </c>
      <c r="D102">
        <v>1839820</v>
      </c>
      <c r="E102">
        <v>1225810</v>
      </c>
      <c r="F102">
        <v>618870</v>
      </c>
      <c r="H102">
        <v>184970</v>
      </c>
      <c r="I102">
        <v>0</v>
      </c>
    </row>
    <row r="103" spans="1:9">
      <c r="A103" s="84">
        <v>45395</v>
      </c>
      <c r="B103">
        <v>1834720</v>
      </c>
      <c r="C103">
        <v>720880</v>
      </c>
      <c r="D103">
        <v>1128860</v>
      </c>
      <c r="E103">
        <v>2000670</v>
      </c>
      <c r="F103">
        <v>1249060</v>
      </c>
      <c r="H103">
        <v>236940</v>
      </c>
      <c r="I103">
        <v>0</v>
      </c>
    </row>
    <row r="104" spans="1:9">
      <c r="A104" s="84">
        <v>45396</v>
      </c>
      <c r="B104">
        <v>620140</v>
      </c>
      <c r="C104">
        <v>577830</v>
      </c>
      <c r="D104">
        <v>277960</v>
      </c>
      <c r="E104">
        <v>883770</v>
      </c>
      <c r="F104">
        <v>146830</v>
      </c>
      <c r="H104">
        <v>0</v>
      </c>
      <c r="I104">
        <v>189980</v>
      </c>
    </row>
    <row r="105" spans="1:9">
      <c r="A105" s="84">
        <v>45397</v>
      </c>
      <c r="B105">
        <v>1977820</v>
      </c>
      <c r="C105">
        <v>106970</v>
      </c>
      <c r="D105">
        <v>535940</v>
      </c>
      <c r="E105">
        <v>1648750</v>
      </c>
      <c r="F105">
        <v>276610</v>
      </c>
      <c r="H105">
        <v>305970</v>
      </c>
      <c r="I105">
        <v>385980</v>
      </c>
    </row>
    <row r="106" spans="1:9">
      <c r="A106" s="84">
        <v>45398</v>
      </c>
      <c r="B106">
        <v>395910</v>
      </c>
      <c r="C106">
        <v>875860</v>
      </c>
      <c r="D106">
        <v>380910</v>
      </c>
      <c r="E106">
        <v>1959381</v>
      </c>
      <c r="F106">
        <v>218860</v>
      </c>
      <c r="H106">
        <v>391980</v>
      </c>
      <c r="I106">
        <v>343940</v>
      </c>
    </row>
    <row r="107" spans="1:9">
      <c r="A107" s="84">
        <v>45399</v>
      </c>
      <c r="B107">
        <v>683860</v>
      </c>
      <c r="C107">
        <v>900870</v>
      </c>
      <c r="D107">
        <v>526920</v>
      </c>
      <c r="E107">
        <v>572880</v>
      </c>
      <c r="F107">
        <v>613310</v>
      </c>
      <c r="H107">
        <v>670940</v>
      </c>
      <c r="I107">
        <v>0</v>
      </c>
    </row>
    <row r="108" spans="1:9">
      <c r="A108" s="84">
        <v>45400</v>
      </c>
      <c r="B108">
        <v>1230740</v>
      </c>
      <c r="C108">
        <v>334870</v>
      </c>
      <c r="D108">
        <v>609920</v>
      </c>
      <c r="E108">
        <v>1516660</v>
      </c>
      <c r="F108">
        <v>1347970</v>
      </c>
      <c r="H108">
        <v>1154860</v>
      </c>
      <c r="I108">
        <v>0</v>
      </c>
    </row>
    <row r="109" spans="1:9">
      <c r="A109" s="84">
        <v>45401</v>
      </c>
      <c r="B109">
        <v>1775440</v>
      </c>
      <c r="C109">
        <v>671890</v>
      </c>
      <c r="D109">
        <v>1003820</v>
      </c>
      <c r="E109">
        <v>1210720</v>
      </c>
      <c r="F109">
        <v>1172490</v>
      </c>
      <c r="H109">
        <v>99980</v>
      </c>
      <c r="I109">
        <v>0</v>
      </c>
    </row>
    <row r="110" spans="1:9">
      <c r="A110" s="84">
        <v>45402</v>
      </c>
      <c r="B110">
        <v>1123700</v>
      </c>
      <c r="C110">
        <v>172910</v>
      </c>
      <c r="D110">
        <v>388900</v>
      </c>
      <c r="E110">
        <v>1450800</v>
      </c>
      <c r="F110">
        <v>1168690</v>
      </c>
      <c r="H110">
        <v>1157910</v>
      </c>
      <c r="I110">
        <v>0</v>
      </c>
    </row>
    <row r="111" spans="1:9">
      <c r="A111" s="84">
        <v>45403</v>
      </c>
      <c r="B111">
        <v>1154900</v>
      </c>
      <c r="C111">
        <v>206960</v>
      </c>
      <c r="D111">
        <v>403970</v>
      </c>
      <c r="E111">
        <v>1494910</v>
      </c>
      <c r="F111">
        <v>137870</v>
      </c>
      <c r="H111">
        <v>0</v>
      </c>
      <c r="I111">
        <v>0</v>
      </c>
    </row>
    <row r="112" spans="1:9">
      <c r="A112" s="84">
        <v>45404</v>
      </c>
      <c r="B112">
        <v>1037210</v>
      </c>
      <c r="C112">
        <v>265940</v>
      </c>
      <c r="D112">
        <v>49990</v>
      </c>
      <c r="E112">
        <v>898810</v>
      </c>
      <c r="F112">
        <v>149360</v>
      </c>
      <c r="H112">
        <v>330840</v>
      </c>
      <c r="I112">
        <v>99990</v>
      </c>
    </row>
    <row r="113" spans="1:9">
      <c r="A113" s="84">
        <v>45405</v>
      </c>
      <c r="B113">
        <v>327860</v>
      </c>
      <c r="C113">
        <v>18990</v>
      </c>
      <c r="D113">
        <v>306930</v>
      </c>
      <c r="E113">
        <v>625880</v>
      </c>
      <c r="F113">
        <v>83310</v>
      </c>
      <c r="H113">
        <v>99990</v>
      </c>
      <c r="I113">
        <v>359930</v>
      </c>
    </row>
    <row r="114" spans="1:9">
      <c r="A114" s="84">
        <v>45406</v>
      </c>
      <c r="B114">
        <v>509970</v>
      </c>
      <c r="C114">
        <v>429830</v>
      </c>
      <c r="D114">
        <v>129960</v>
      </c>
      <c r="E114">
        <v>988780</v>
      </c>
      <c r="F114">
        <v>326110</v>
      </c>
      <c r="H114">
        <v>350940</v>
      </c>
      <c r="I114">
        <v>44990</v>
      </c>
    </row>
    <row r="115" spans="1:9">
      <c r="A115" s="84">
        <v>45407</v>
      </c>
      <c r="B115">
        <v>237940</v>
      </c>
      <c r="C115">
        <v>391950</v>
      </c>
      <c r="D115">
        <v>121980</v>
      </c>
      <c r="E115">
        <v>1757849</v>
      </c>
      <c r="F115">
        <v>330150</v>
      </c>
      <c r="H115">
        <v>184970</v>
      </c>
      <c r="I115">
        <v>59990</v>
      </c>
    </row>
    <row r="116" spans="1:9">
      <c r="A116" s="84">
        <v>45408</v>
      </c>
      <c r="B116">
        <v>933850</v>
      </c>
      <c r="C116">
        <v>767880</v>
      </c>
      <c r="D116">
        <v>510810</v>
      </c>
      <c r="E116">
        <v>1589790</v>
      </c>
      <c r="F116">
        <v>1064920</v>
      </c>
      <c r="H116">
        <v>244950</v>
      </c>
      <c r="I116">
        <v>0</v>
      </c>
    </row>
    <row r="117" spans="1:9">
      <c r="A117" s="84">
        <v>45409</v>
      </c>
      <c r="B117">
        <v>2153710</v>
      </c>
      <c r="C117">
        <v>1624830</v>
      </c>
      <c r="D117">
        <v>719920</v>
      </c>
      <c r="E117">
        <v>2032802</v>
      </c>
      <c r="F117">
        <v>967380</v>
      </c>
      <c r="H117">
        <v>512970</v>
      </c>
      <c r="I117">
        <v>0</v>
      </c>
    </row>
    <row r="118" spans="1:9">
      <c r="A118" s="84">
        <v>45410</v>
      </c>
      <c r="B118">
        <v>263930</v>
      </c>
      <c r="C118">
        <v>170960</v>
      </c>
      <c r="D118">
        <v>191970</v>
      </c>
      <c r="E118">
        <v>1446790</v>
      </c>
      <c r="F118">
        <v>188480</v>
      </c>
      <c r="H118">
        <v>238960</v>
      </c>
      <c r="I118">
        <v>190990</v>
      </c>
    </row>
    <row r="119" spans="1:9">
      <c r="A119" s="84">
        <v>45411</v>
      </c>
      <c r="B119">
        <v>557920</v>
      </c>
      <c r="C119">
        <v>147890</v>
      </c>
      <c r="D119">
        <v>285970</v>
      </c>
      <c r="E119">
        <v>264890</v>
      </c>
      <c r="F119">
        <v>209670</v>
      </c>
      <c r="H119">
        <v>0</v>
      </c>
      <c r="I119">
        <v>0</v>
      </c>
    </row>
    <row r="120" spans="1:9">
      <c r="A120" s="84">
        <v>45412</v>
      </c>
      <c r="B120">
        <v>0</v>
      </c>
      <c r="C120">
        <v>381910</v>
      </c>
      <c r="D120">
        <v>283970</v>
      </c>
      <c r="E120">
        <v>472870</v>
      </c>
      <c r="F120">
        <v>333150</v>
      </c>
      <c r="H120">
        <v>49990</v>
      </c>
      <c r="I120">
        <v>51990</v>
      </c>
    </row>
    <row r="121" spans="1:9">
      <c r="A121" s="84">
        <v>45413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s="84">
        <v>45414</v>
      </c>
      <c r="B122">
        <v>746900</v>
      </c>
      <c r="C122">
        <v>371930</v>
      </c>
      <c r="D122">
        <v>1430780</v>
      </c>
      <c r="E122">
        <v>814860</v>
      </c>
      <c r="F122">
        <v>1195940</v>
      </c>
      <c r="H122">
        <v>34990</v>
      </c>
      <c r="I122">
        <v>0</v>
      </c>
    </row>
    <row r="123" spans="1:9">
      <c r="A123" s="84">
        <v>45415</v>
      </c>
      <c r="B123">
        <v>686900</v>
      </c>
      <c r="C123">
        <v>798870</v>
      </c>
      <c r="D123">
        <v>1736790</v>
      </c>
      <c r="E123">
        <v>1785730</v>
      </c>
      <c r="F123">
        <v>1112250</v>
      </c>
      <c r="H123">
        <v>144980</v>
      </c>
      <c r="I123">
        <v>0</v>
      </c>
    </row>
    <row r="124" spans="1:9">
      <c r="A124" s="84">
        <v>45416</v>
      </c>
      <c r="B124">
        <v>2053650</v>
      </c>
      <c r="C124">
        <v>935790</v>
      </c>
      <c r="D124">
        <v>884870</v>
      </c>
      <c r="E124">
        <v>2289670</v>
      </c>
      <c r="F124">
        <v>1030270</v>
      </c>
      <c r="H124">
        <v>214960</v>
      </c>
      <c r="I124">
        <v>0</v>
      </c>
    </row>
    <row r="125" spans="1:9">
      <c r="A125" s="84">
        <v>45417</v>
      </c>
      <c r="B125">
        <v>336920</v>
      </c>
      <c r="C125">
        <v>460930</v>
      </c>
      <c r="D125">
        <v>0</v>
      </c>
      <c r="E125">
        <v>1643730</v>
      </c>
      <c r="F125">
        <v>99180</v>
      </c>
      <c r="H125">
        <v>0</v>
      </c>
      <c r="I125">
        <v>0</v>
      </c>
    </row>
    <row r="126" spans="1:9">
      <c r="A126" s="84">
        <v>45418</v>
      </c>
      <c r="B126">
        <v>502930</v>
      </c>
      <c r="C126">
        <v>64990</v>
      </c>
      <c r="D126">
        <v>433930</v>
      </c>
      <c r="E126">
        <v>716346</v>
      </c>
      <c r="F126">
        <v>222520</v>
      </c>
      <c r="H126">
        <v>291960</v>
      </c>
      <c r="I126">
        <v>44990</v>
      </c>
    </row>
    <row r="127" spans="1:9">
      <c r="A127" s="84">
        <v>45419</v>
      </c>
      <c r="B127">
        <v>291940</v>
      </c>
      <c r="C127">
        <v>647890</v>
      </c>
      <c r="D127">
        <v>346960</v>
      </c>
      <c r="E127">
        <v>805790</v>
      </c>
      <c r="F127">
        <v>153920</v>
      </c>
      <c r="H127">
        <v>0</v>
      </c>
      <c r="I127">
        <v>165990</v>
      </c>
    </row>
    <row r="128" spans="1:9">
      <c r="A128" s="84">
        <v>45420</v>
      </c>
      <c r="B128">
        <v>1311840</v>
      </c>
      <c r="C128">
        <v>315880</v>
      </c>
      <c r="D128">
        <v>0</v>
      </c>
      <c r="E128">
        <v>1025820</v>
      </c>
      <c r="F128">
        <v>308110</v>
      </c>
      <c r="H128">
        <v>244980</v>
      </c>
      <c r="I128">
        <v>168950</v>
      </c>
    </row>
    <row r="129" spans="1:9">
      <c r="A129" s="84">
        <v>45421</v>
      </c>
      <c r="B129">
        <v>795910</v>
      </c>
      <c r="C129">
        <v>651950</v>
      </c>
      <c r="D129">
        <v>756910</v>
      </c>
      <c r="E129">
        <v>221980</v>
      </c>
      <c r="F129">
        <v>186200</v>
      </c>
      <c r="H129">
        <v>375910</v>
      </c>
      <c r="I129">
        <v>679980</v>
      </c>
    </row>
    <row r="130" spans="1:9">
      <c r="A130" s="84">
        <v>45422</v>
      </c>
      <c r="B130">
        <v>1742710</v>
      </c>
      <c r="C130">
        <v>55990</v>
      </c>
      <c r="D130">
        <v>2218820</v>
      </c>
      <c r="E130">
        <v>1934680</v>
      </c>
      <c r="F130">
        <v>859750</v>
      </c>
      <c r="H130">
        <v>92980</v>
      </c>
      <c r="I130">
        <v>0</v>
      </c>
    </row>
    <row r="131" spans="1:9">
      <c r="A131" s="84">
        <v>45423</v>
      </c>
      <c r="B131">
        <v>1243730</v>
      </c>
      <c r="C131">
        <v>429920</v>
      </c>
      <c r="D131">
        <v>1637790</v>
      </c>
      <c r="E131">
        <v>1163900</v>
      </c>
      <c r="F131">
        <v>965880</v>
      </c>
      <c r="H131">
        <v>484980</v>
      </c>
      <c r="I131">
        <v>0</v>
      </c>
    </row>
    <row r="132" spans="1:9">
      <c r="A132" s="84">
        <v>45424</v>
      </c>
      <c r="B132">
        <v>595930</v>
      </c>
      <c r="C132">
        <v>338910</v>
      </c>
      <c r="D132">
        <v>237950</v>
      </c>
      <c r="E132">
        <v>1177740</v>
      </c>
      <c r="F132">
        <v>220890</v>
      </c>
      <c r="H132">
        <v>0</v>
      </c>
      <c r="I132">
        <v>503990</v>
      </c>
    </row>
    <row r="133" spans="1:9">
      <c r="A133" s="84">
        <v>45425</v>
      </c>
      <c r="B133">
        <v>880910</v>
      </c>
      <c r="C133">
        <v>560960</v>
      </c>
      <c r="D133">
        <v>239960</v>
      </c>
      <c r="E133">
        <v>1664710</v>
      </c>
      <c r="F133">
        <v>227260</v>
      </c>
      <c r="H133">
        <v>841920</v>
      </c>
      <c r="I133">
        <v>224970</v>
      </c>
    </row>
    <row r="134" spans="1:9">
      <c r="A134" s="84">
        <v>45426</v>
      </c>
      <c r="B134">
        <v>184980</v>
      </c>
      <c r="C134">
        <v>104970</v>
      </c>
      <c r="D134">
        <v>69980</v>
      </c>
      <c r="E134">
        <v>1234720</v>
      </c>
      <c r="F134">
        <v>150450</v>
      </c>
      <c r="H134">
        <v>120980</v>
      </c>
      <c r="I134">
        <v>78960</v>
      </c>
    </row>
    <row r="135" spans="1:9">
      <c r="A135" s="84">
        <v>45427</v>
      </c>
      <c r="B135">
        <v>404900</v>
      </c>
      <c r="C135">
        <v>1035790</v>
      </c>
      <c r="D135">
        <v>62990</v>
      </c>
      <c r="E135">
        <v>1462680</v>
      </c>
      <c r="F135">
        <v>244590</v>
      </c>
      <c r="H135">
        <v>119980</v>
      </c>
      <c r="I135">
        <v>310940</v>
      </c>
    </row>
    <row r="136" spans="1:9">
      <c r="A136" s="84">
        <v>45428</v>
      </c>
      <c r="B136">
        <v>817000</v>
      </c>
      <c r="C136">
        <v>1137790</v>
      </c>
      <c r="D136">
        <v>120960</v>
      </c>
      <c r="E136">
        <v>1464750</v>
      </c>
      <c r="F136">
        <v>173530</v>
      </c>
      <c r="H136">
        <v>369960</v>
      </c>
      <c r="I136">
        <v>215950</v>
      </c>
    </row>
    <row r="137" spans="1:9">
      <c r="A137" s="84">
        <v>45429</v>
      </c>
      <c r="B137">
        <v>1258840</v>
      </c>
      <c r="C137">
        <v>235960</v>
      </c>
      <c r="D137">
        <v>182970</v>
      </c>
      <c r="E137">
        <v>1803752</v>
      </c>
      <c r="F137">
        <v>367880</v>
      </c>
      <c r="H137">
        <v>0</v>
      </c>
      <c r="I137">
        <v>0</v>
      </c>
    </row>
    <row r="138" spans="1:9">
      <c r="A138" s="84">
        <v>45430</v>
      </c>
      <c r="B138">
        <v>971760</v>
      </c>
      <c r="C138">
        <v>586890</v>
      </c>
      <c r="D138">
        <v>1352780</v>
      </c>
      <c r="E138">
        <v>860900</v>
      </c>
      <c r="F138">
        <v>1169290</v>
      </c>
      <c r="H138">
        <v>450890</v>
      </c>
      <c r="I138">
        <v>0</v>
      </c>
    </row>
    <row r="139" spans="1:9">
      <c r="A139" s="84">
        <v>45431</v>
      </c>
      <c r="B139">
        <v>598790</v>
      </c>
      <c r="C139">
        <v>599850</v>
      </c>
      <c r="D139">
        <v>0</v>
      </c>
      <c r="E139">
        <v>963820</v>
      </c>
      <c r="F139">
        <v>261630</v>
      </c>
      <c r="H139">
        <v>0</v>
      </c>
      <c r="I139">
        <v>13990</v>
      </c>
    </row>
    <row r="140" spans="1:9">
      <c r="A140" s="84">
        <v>45432</v>
      </c>
      <c r="B140">
        <v>663850</v>
      </c>
      <c r="C140">
        <v>49990</v>
      </c>
      <c r="D140">
        <v>669910</v>
      </c>
      <c r="E140">
        <v>742840</v>
      </c>
      <c r="F140">
        <v>332940</v>
      </c>
      <c r="H140">
        <v>0</v>
      </c>
      <c r="I140">
        <v>0</v>
      </c>
    </row>
    <row r="141" spans="1:9">
      <c r="A141" s="84">
        <v>45433</v>
      </c>
      <c r="B141">
        <v>245950</v>
      </c>
      <c r="C141">
        <v>1116810</v>
      </c>
      <c r="D141">
        <v>408950</v>
      </c>
      <c r="E141">
        <v>2156710</v>
      </c>
      <c r="F141">
        <v>390160</v>
      </c>
      <c r="H141">
        <v>165990</v>
      </c>
      <c r="I141">
        <v>106960</v>
      </c>
    </row>
    <row r="142" spans="1:9">
      <c r="A142" s="84">
        <v>45434</v>
      </c>
      <c r="B142">
        <v>590900</v>
      </c>
      <c r="C142">
        <v>392900</v>
      </c>
      <c r="D142">
        <v>179980</v>
      </c>
      <c r="E142">
        <v>357910</v>
      </c>
      <c r="F142">
        <v>275660</v>
      </c>
      <c r="H142">
        <v>262960</v>
      </c>
      <c r="I142">
        <v>140960</v>
      </c>
    </row>
    <row r="143" spans="1:9">
      <c r="A143" s="84">
        <v>45435</v>
      </c>
      <c r="B143">
        <v>592910</v>
      </c>
      <c r="C143">
        <v>906880</v>
      </c>
      <c r="D143">
        <v>44990</v>
      </c>
      <c r="E143">
        <v>2067680</v>
      </c>
      <c r="F143">
        <v>202830</v>
      </c>
      <c r="H143">
        <v>89990</v>
      </c>
      <c r="I143">
        <v>282930</v>
      </c>
    </row>
    <row r="144" spans="1:9">
      <c r="A144" s="84">
        <v>45436</v>
      </c>
      <c r="B144">
        <v>879910</v>
      </c>
      <c r="C144">
        <v>1035890</v>
      </c>
      <c r="D144">
        <v>919800</v>
      </c>
      <c r="E144">
        <v>1197790</v>
      </c>
      <c r="F144">
        <v>601660</v>
      </c>
      <c r="H144">
        <v>85980</v>
      </c>
      <c r="I144">
        <v>0</v>
      </c>
    </row>
    <row r="145" spans="1:9">
      <c r="A145" s="84">
        <v>45437</v>
      </c>
      <c r="B145">
        <v>1093870</v>
      </c>
      <c r="C145">
        <v>0</v>
      </c>
      <c r="D145">
        <v>787880</v>
      </c>
      <c r="E145">
        <v>2029974</v>
      </c>
      <c r="F145">
        <v>1005980</v>
      </c>
      <c r="H145">
        <v>917910</v>
      </c>
      <c r="I145">
        <v>0</v>
      </c>
    </row>
    <row r="146" spans="1:9">
      <c r="A146" s="84">
        <v>45438</v>
      </c>
      <c r="B146">
        <v>458940</v>
      </c>
      <c r="C146">
        <v>122960</v>
      </c>
      <c r="D146">
        <v>0</v>
      </c>
      <c r="E146">
        <v>386920</v>
      </c>
      <c r="F146">
        <v>224050</v>
      </c>
      <c r="H146">
        <v>144990</v>
      </c>
      <c r="I146">
        <v>159990</v>
      </c>
    </row>
    <row r="147" spans="1:9">
      <c r="A147" s="84">
        <v>45439</v>
      </c>
      <c r="B147">
        <v>1200840</v>
      </c>
      <c r="C147">
        <v>720890</v>
      </c>
      <c r="D147">
        <v>451960</v>
      </c>
      <c r="E147">
        <v>195920</v>
      </c>
      <c r="F147">
        <v>222310</v>
      </c>
      <c r="H147">
        <v>64990</v>
      </c>
      <c r="I147">
        <v>226980</v>
      </c>
    </row>
    <row r="148" spans="1:9">
      <c r="A148" s="84">
        <v>45440</v>
      </c>
      <c r="B148">
        <v>518900</v>
      </c>
      <c r="C148">
        <v>320950</v>
      </c>
      <c r="D148">
        <v>313940</v>
      </c>
      <c r="E148">
        <v>600930</v>
      </c>
      <c r="F148">
        <v>458960</v>
      </c>
      <c r="H148">
        <v>398960</v>
      </c>
      <c r="I148">
        <v>202960</v>
      </c>
    </row>
    <row r="149" spans="1:9">
      <c r="A149" s="84">
        <v>45441</v>
      </c>
      <c r="B149">
        <v>398920</v>
      </c>
      <c r="C149">
        <v>127990</v>
      </c>
      <c r="D149">
        <v>23980</v>
      </c>
      <c r="E149">
        <v>488830</v>
      </c>
      <c r="F149">
        <v>329900</v>
      </c>
      <c r="H149">
        <v>106980</v>
      </c>
      <c r="I149">
        <v>109980</v>
      </c>
    </row>
    <row r="150" spans="1:9">
      <c r="A150" s="84">
        <v>45442</v>
      </c>
      <c r="B150">
        <v>292940</v>
      </c>
      <c r="C150">
        <v>79980</v>
      </c>
      <c r="D150">
        <v>61990</v>
      </c>
      <c r="E150">
        <v>1445590</v>
      </c>
      <c r="F150">
        <v>302280</v>
      </c>
      <c r="H150">
        <v>119980</v>
      </c>
      <c r="I150">
        <v>228970</v>
      </c>
    </row>
    <row r="151" spans="1:9">
      <c r="A151" s="84">
        <v>45443</v>
      </c>
      <c r="B151">
        <v>834870</v>
      </c>
      <c r="C151">
        <v>954910</v>
      </c>
      <c r="D151">
        <v>930800</v>
      </c>
      <c r="E151">
        <v>660850</v>
      </c>
      <c r="F151">
        <v>761330</v>
      </c>
      <c r="H151">
        <v>858940</v>
      </c>
      <c r="I151">
        <v>0</v>
      </c>
    </row>
    <row r="152" spans="1:9">
      <c r="A152" s="84">
        <v>45444</v>
      </c>
      <c r="B152">
        <v>1421710</v>
      </c>
      <c r="C152">
        <v>848890</v>
      </c>
      <c r="D152">
        <v>1766760</v>
      </c>
      <c r="E152">
        <v>1024910</v>
      </c>
      <c r="F152">
        <v>1740610</v>
      </c>
      <c r="H152">
        <v>414950</v>
      </c>
      <c r="I152">
        <v>0</v>
      </c>
    </row>
    <row r="153" spans="1:9">
      <c r="A153" s="84">
        <v>45445</v>
      </c>
      <c r="B153">
        <v>327910</v>
      </c>
      <c r="C153">
        <v>285729</v>
      </c>
      <c r="D153">
        <v>65970</v>
      </c>
      <c r="E153">
        <v>278920</v>
      </c>
      <c r="F153">
        <v>196000</v>
      </c>
      <c r="H153">
        <v>199990</v>
      </c>
      <c r="I153">
        <v>76990</v>
      </c>
    </row>
    <row r="154" spans="1:9">
      <c r="A154" s="84">
        <v>45446</v>
      </c>
      <c r="B154">
        <v>1109850</v>
      </c>
      <c r="C154">
        <v>105980</v>
      </c>
      <c r="D154">
        <v>136970</v>
      </c>
      <c r="E154">
        <v>1035840</v>
      </c>
      <c r="F154">
        <v>261240</v>
      </c>
      <c r="H154">
        <v>0</v>
      </c>
      <c r="I154">
        <v>0</v>
      </c>
    </row>
    <row r="155" spans="1:9">
      <c r="A155" s="84">
        <v>45447</v>
      </c>
      <c r="B155">
        <v>230930</v>
      </c>
      <c r="C155">
        <v>388840</v>
      </c>
      <c r="D155">
        <v>372930</v>
      </c>
      <c r="E155">
        <v>693930</v>
      </c>
      <c r="F155">
        <v>196880</v>
      </c>
      <c r="H155">
        <v>165990</v>
      </c>
      <c r="I155">
        <v>0</v>
      </c>
    </row>
    <row r="156" spans="1:9">
      <c r="A156" s="84">
        <v>45448</v>
      </c>
      <c r="B156">
        <v>627870</v>
      </c>
      <c r="C156">
        <v>754920</v>
      </c>
      <c r="D156">
        <v>0</v>
      </c>
      <c r="E156">
        <v>272980</v>
      </c>
      <c r="F156">
        <v>233510</v>
      </c>
      <c r="H156">
        <v>69993</v>
      </c>
      <c r="I156">
        <v>339980</v>
      </c>
    </row>
    <row r="157" spans="1:9">
      <c r="A157" s="84">
        <v>45449</v>
      </c>
      <c r="B157">
        <v>293900</v>
      </c>
      <c r="C157">
        <v>64980</v>
      </c>
      <c r="D157">
        <v>51960</v>
      </c>
      <c r="E157">
        <v>1462670</v>
      </c>
      <c r="F157">
        <v>256820</v>
      </c>
      <c r="H157">
        <v>707910</v>
      </c>
      <c r="I157">
        <v>113980</v>
      </c>
    </row>
    <row r="158" spans="1:9">
      <c r="A158" s="84">
        <v>45450</v>
      </c>
      <c r="B158">
        <v>903980</v>
      </c>
      <c r="C158">
        <v>414910</v>
      </c>
      <c r="D158">
        <v>3076670</v>
      </c>
      <c r="E158">
        <v>362920</v>
      </c>
      <c r="F158">
        <v>689240</v>
      </c>
      <c r="H158">
        <v>331940</v>
      </c>
      <c r="I158">
        <v>0</v>
      </c>
    </row>
    <row r="159" spans="1:9">
      <c r="A159" s="84">
        <v>45451</v>
      </c>
      <c r="B159">
        <v>1575710</v>
      </c>
      <c r="C159">
        <v>765870</v>
      </c>
      <c r="D159">
        <v>721900</v>
      </c>
      <c r="E159">
        <v>723880</v>
      </c>
      <c r="F159">
        <v>1255520</v>
      </c>
      <c r="H159">
        <v>564950</v>
      </c>
      <c r="I159">
        <v>0</v>
      </c>
    </row>
    <row r="160" spans="1:9">
      <c r="A160" s="84">
        <v>45452</v>
      </c>
      <c r="B160">
        <v>216950</v>
      </c>
      <c r="C160">
        <v>189970</v>
      </c>
      <c r="D160">
        <v>114980</v>
      </c>
      <c r="E160">
        <v>903900</v>
      </c>
      <c r="F160">
        <v>192640</v>
      </c>
      <c r="H160">
        <v>77980</v>
      </c>
      <c r="I160">
        <v>298940</v>
      </c>
    </row>
    <row r="161" spans="1:9">
      <c r="A161" s="84">
        <v>45453</v>
      </c>
      <c r="B161">
        <v>754870</v>
      </c>
      <c r="C161">
        <v>183950</v>
      </c>
      <c r="D161">
        <v>509890</v>
      </c>
      <c r="E161">
        <v>1307740</v>
      </c>
      <c r="F161">
        <v>245020</v>
      </c>
      <c r="H161">
        <v>265980</v>
      </c>
      <c r="I161">
        <v>356940</v>
      </c>
    </row>
    <row r="162" spans="1:9">
      <c r="A162" s="84">
        <v>45454</v>
      </c>
      <c r="B162">
        <v>492890</v>
      </c>
      <c r="C162">
        <v>291970</v>
      </c>
      <c r="D162">
        <v>0</v>
      </c>
      <c r="E162">
        <v>1143820</v>
      </c>
      <c r="F162">
        <v>342950</v>
      </c>
      <c r="H162">
        <v>199980</v>
      </c>
      <c r="I162">
        <v>498940</v>
      </c>
    </row>
    <row r="163" spans="1:9">
      <c r="A163" s="84">
        <v>45455</v>
      </c>
      <c r="B163">
        <v>584910</v>
      </c>
      <c r="C163">
        <v>1112850</v>
      </c>
      <c r="D163">
        <v>267960</v>
      </c>
      <c r="E163">
        <v>1358863</v>
      </c>
      <c r="F163">
        <v>294620</v>
      </c>
      <c r="H163">
        <v>1063413</v>
      </c>
      <c r="I163">
        <v>0</v>
      </c>
    </row>
    <row r="164" spans="1:9">
      <c r="A164" s="84">
        <v>45456</v>
      </c>
      <c r="B164">
        <v>887810</v>
      </c>
      <c r="C164">
        <v>237920</v>
      </c>
      <c r="D164">
        <v>99990</v>
      </c>
      <c r="E164">
        <v>598654</v>
      </c>
      <c r="F164">
        <v>258680</v>
      </c>
      <c r="H164">
        <v>209970</v>
      </c>
      <c r="I164">
        <v>529900</v>
      </c>
    </row>
    <row r="165" spans="1:9">
      <c r="A165" s="84">
        <v>45457</v>
      </c>
      <c r="B165">
        <v>1469620</v>
      </c>
      <c r="C165">
        <v>1350740</v>
      </c>
      <c r="D165">
        <v>628830</v>
      </c>
      <c r="E165">
        <v>2726580</v>
      </c>
      <c r="F165">
        <v>1043970</v>
      </c>
      <c r="H165">
        <v>577890</v>
      </c>
      <c r="I165">
        <v>0</v>
      </c>
    </row>
    <row r="166" spans="1:9">
      <c r="A166" s="84">
        <v>45458</v>
      </c>
      <c r="B166">
        <v>724850</v>
      </c>
      <c r="C166">
        <v>1571760</v>
      </c>
      <c r="D166">
        <v>482860</v>
      </c>
      <c r="E166">
        <v>139980</v>
      </c>
      <c r="F166">
        <v>1473890</v>
      </c>
      <c r="H166">
        <v>585900</v>
      </c>
      <c r="I166">
        <v>0</v>
      </c>
    </row>
    <row r="167" spans="1:9">
      <c r="A167" s="84">
        <v>45459</v>
      </c>
      <c r="B167">
        <v>600820</v>
      </c>
      <c r="C167">
        <v>524930</v>
      </c>
      <c r="D167">
        <v>414930</v>
      </c>
      <c r="E167">
        <v>1003273</v>
      </c>
      <c r="F167">
        <v>905170</v>
      </c>
      <c r="H167">
        <v>94980</v>
      </c>
      <c r="I167">
        <v>0</v>
      </c>
    </row>
    <row r="168" spans="1:9">
      <c r="A168" s="84">
        <v>45460</v>
      </c>
      <c r="B168">
        <v>50980</v>
      </c>
      <c r="C168">
        <v>207940</v>
      </c>
      <c r="D168">
        <v>472960</v>
      </c>
      <c r="E168">
        <v>362900</v>
      </c>
      <c r="F168">
        <v>293080</v>
      </c>
      <c r="H168">
        <v>0</v>
      </c>
      <c r="I168">
        <v>0</v>
      </c>
    </row>
    <row r="169" spans="1:9">
      <c r="A169" s="84">
        <v>45461</v>
      </c>
      <c r="B169">
        <v>568920</v>
      </c>
      <c r="C169">
        <v>222960</v>
      </c>
      <c r="D169">
        <v>89990</v>
      </c>
      <c r="E169">
        <v>1370760</v>
      </c>
      <c r="F169">
        <v>180080</v>
      </c>
      <c r="H169">
        <v>0</v>
      </c>
      <c r="I169">
        <v>13990</v>
      </c>
    </row>
    <row r="170" spans="1:9">
      <c r="A170" s="84">
        <v>45462</v>
      </c>
      <c r="B170">
        <v>603890</v>
      </c>
      <c r="C170">
        <v>699890</v>
      </c>
      <c r="D170">
        <v>211950</v>
      </c>
      <c r="E170">
        <v>1300760</v>
      </c>
      <c r="F170">
        <v>349750</v>
      </c>
      <c r="H170">
        <v>464970</v>
      </c>
      <c r="I170">
        <v>59990</v>
      </c>
    </row>
    <row r="171" spans="1:9">
      <c r="A171" s="84">
        <v>45463</v>
      </c>
      <c r="B171">
        <v>1943770</v>
      </c>
      <c r="C171">
        <v>1324860</v>
      </c>
      <c r="D171">
        <v>474880</v>
      </c>
      <c r="E171">
        <v>1714062</v>
      </c>
      <c r="F171">
        <v>894920</v>
      </c>
      <c r="H171">
        <v>201960</v>
      </c>
      <c r="I171">
        <v>0</v>
      </c>
    </row>
    <row r="172" spans="1:9">
      <c r="A172" s="84">
        <v>45464</v>
      </c>
      <c r="B172">
        <v>891850</v>
      </c>
      <c r="C172">
        <v>881820</v>
      </c>
      <c r="D172">
        <v>1453760</v>
      </c>
      <c r="E172">
        <v>666983</v>
      </c>
      <c r="F172">
        <v>762750</v>
      </c>
      <c r="H172">
        <v>680920</v>
      </c>
      <c r="I172">
        <v>99990</v>
      </c>
    </row>
    <row r="173" spans="1:9">
      <c r="A173" s="84">
        <v>45465</v>
      </c>
      <c r="B173">
        <v>1720540</v>
      </c>
      <c r="C173">
        <v>724880</v>
      </c>
      <c r="D173">
        <v>1358810</v>
      </c>
      <c r="E173">
        <v>1457830</v>
      </c>
      <c r="F173">
        <v>1265970</v>
      </c>
      <c r="H173">
        <v>1080860</v>
      </c>
      <c r="I173">
        <v>0</v>
      </c>
    </row>
    <row r="174" spans="1:9">
      <c r="A174" s="84">
        <v>45466</v>
      </c>
      <c r="B174">
        <v>116980</v>
      </c>
      <c r="C174">
        <v>185960</v>
      </c>
      <c r="D174">
        <v>511950</v>
      </c>
      <c r="E174">
        <v>561880</v>
      </c>
      <c r="F174">
        <v>178990</v>
      </c>
      <c r="H174">
        <v>234970</v>
      </c>
      <c r="I174">
        <v>519890</v>
      </c>
    </row>
    <row r="175" spans="1:9">
      <c r="A175" s="84">
        <v>45467</v>
      </c>
      <c r="B175">
        <v>255900</v>
      </c>
      <c r="C175">
        <v>264970</v>
      </c>
      <c r="D175">
        <v>179980</v>
      </c>
      <c r="E175">
        <v>374890</v>
      </c>
      <c r="F175">
        <v>295370</v>
      </c>
      <c r="H175">
        <v>0</v>
      </c>
      <c r="I175">
        <v>235930</v>
      </c>
    </row>
    <row r="176" spans="1:9">
      <c r="A176" s="84">
        <v>45468</v>
      </c>
      <c r="B176">
        <v>110960</v>
      </c>
      <c r="C176">
        <v>130453</v>
      </c>
      <c r="D176">
        <v>197873</v>
      </c>
      <c r="E176">
        <v>631880</v>
      </c>
      <c r="F176">
        <v>169380</v>
      </c>
      <c r="H176">
        <v>465940</v>
      </c>
      <c r="I176">
        <v>108970</v>
      </c>
    </row>
    <row r="177" spans="1:9">
      <c r="A177" s="84">
        <v>45469</v>
      </c>
      <c r="B177">
        <v>1914610</v>
      </c>
      <c r="C177">
        <v>555900</v>
      </c>
      <c r="D177">
        <v>141970</v>
      </c>
      <c r="E177">
        <v>490903</v>
      </c>
      <c r="F177">
        <v>328400</v>
      </c>
      <c r="H177">
        <v>530940</v>
      </c>
      <c r="I177">
        <v>0</v>
      </c>
    </row>
    <row r="178" spans="1:9">
      <c r="A178" s="84">
        <v>45470</v>
      </c>
      <c r="B178">
        <v>450930</v>
      </c>
      <c r="C178">
        <v>521930</v>
      </c>
      <c r="D178">
        <v>499950</v>
      </c>
      <c r="E178">
        <v>1692790</v>
      </c>
      <c r="F178">
        <v>597720</v>
      </c>
      <c r="H178">
        <v>229970</v>
      </c>
      <c r="I178">
        <v>429970</v>
      </c>
    </row>
    <row r="179" spans="1:9">
      <c r="A179" s="84">
        <v>45471</v>
      </c>
      <c r="B179">
        <v>1923790</v>
      </c>
      <c r="C179">
        <v>990850</v>
      </c>
      <c r="D179">
        <v>1190840</v>
      </c>
      <c r="E179">
        <v>1394690</v>
      </c>
      <c r="F179">
        <v>697180</v>
      </c>
      <c r="H179">
        <v>862870</v>
      </c>
      <c r="I179">
        <v>0</v>
      </c>
    </row>
    <row r="180" spans="1:9">
      <c r="A180" s="84">
        <v>45472</v>
      </c>
      <c r="B180">
        <v>1020740</v>
      </c>
      <c r="C180">
        <v>1314870</v>
      </c>
      <c r="D180">
        <v>1289700</v>
      </c>
      <c r="E180">
        <v>1398710</v>
      </c>
      <c r="F180">
        <v>1299370</v>
      </c>
      <c r="H180">
        <v>99990</v>
      </c>
      <c r="I180">
        <v>0</v>
      </c>
    </row>
    <row r="181" spans="1:9">
      <c r="A181" s="84">
        <v>45473</v>
      </c>
      <c r="B181">
        <v>313970</v>
      </c>
      <c r="C181">
        <v>229960</v>
      </c>
      <c r="D181">
        <v>164970</v>
      </c>
      <c r="E181">
        <v>658860</v>
      </c>
      <c r="F181">
        <v>500860</v>
      </c>
      <c r="H181">
        <v>166970</v>
      </c>
      <c r="I181">
        <v>89990</v>
      </c>
    </row>
    <row r="182" spans="1:9">
      <c r="A182" s="84">
        <v>45474</v>
      </c>
      <c r="B182">
        <v>443920</v>
      </c>
      <c r="C182">
        <v>756800</v>
      </c>
      <c r="D182">
        <v>227980</v>
      </c>
      <c r="E182">
        <v>1375670</v>
      </c>
      <c r="F182">
        <v>385120</v>
      </c>
      <c r="H182">
        <v>184980</v>
      </c>
      <c r="I182">
        <v>366910</v>
      </c>
    </row>
    <row r="183" spans="1:9">
      <c r="A183" s="84">
        <v>45475</v>
      </c>
      <c r="B183">
        <v>758900</v>
      </c>
      <c r="C183">
        <v>9990</v>
      </c>
      <c r="D183">
        <v>287950</v>
      </c>
      <c r="E183">
        <v>860143</v>
      </c>
      <c r="F183">
        <v>402180</v>
      </c>
      <c r="H183">
        <v>228950</v>
      </c>
      <c r="I183">
        <v>82980</v>
      </c>
    </row>
    <row r="184" spans="1:9">
      <c r="A184" s="84">
        <v>45476</v>
      </c>
      <c r="B184">
        <v>153950</v>
      </c>
      <c r="C184">
        <v>146960</v>
      </c>
      <c r="D184">
        <v>73970</v>
      </c>
      <c r="E184">
        <v>522870</v>
      </c>
      <c r="F184">
        <v>290600</v>
      </c>
      <c r="H184">
        <v>0</v>
      </c>
      <c r="I184">
        <v>105960</v>
      </c>
    </row>
    <row r="185" spans="1:9">
      <c r="A185" s="84">
        <v>45477</v>
      </c>
      <c r="B185">
        <v>1012880</v>
      </c>
      <c r="C185">
        <v>220940</v>
      </c>
      <c r="D185">
        <v>0</v>
      </c>
      <c r="E185">
        <v>726460</v>
      </c>
      <c r="F185">
        <v>423020</v>
      </c>
      <c r="H185">
        <v>172970</v>
      </c>
      <c r="I185">
        <v>38970</v>
      </c>
    </row>
    <row r="186" spans="1:9">
      <c r="A186" s="84">
        <v>45478</v>
      </c>
      <c r="B186">
        <v>660820</v>
      </c>
      <c r="C186">
        <v>430890</v>
      </c>
      <c r="D186">
        <v>438840</v>
      </c>
      <c r="E186">
        <v>746583</v>
      </c>
      <c r="F186">
        <v>1053820</v>
      </c>
      <c r="H186">
        <v>341960</v>
      </c>
      <c r="I186">
        <v>0</v>
      </c>
    </row>
    <row r="187" spans="1:9">
      <c r="A187" s="84">
        <v>45479</v>
      </c>
      <c r="B187">
        <v>1658640</v>
      </c>
      <c r="C187">
        <v>692880</v>
      </c>
      <c r="D187">
        <v>1644830</v>
      </c>
      <c r="E187">
        <v>1544780</v>
      </c>
      <c r="F187">
        <v>1122130</v>
      </c>
      <c r="H187">
        <v>1177880</v>
      </c>
      <c r="I187">
        <v>0</v>
      </c>
    </row>
    <row r="188" spans="1:9">
      <c r="A188" s="84">
        <v>45480</v>
      </c>
      <c r="B188">
        <v>410940</v>
      </c>
      <c r="C188">
        <v>582910</v>
      </c>
      <c r="D188">
        <v>0</v>
      </c>
      <c r="E188">
        <v>1415840</v>
      </c>
      <c r="F188">
        <v>361850</v>
      </c>
      <c r="H188">
        <v>64990</v>
      </c>
      <c r="I188">
        <v>178940</v>
      </c>
    </row>
    <row r="189" spans="1:9">
      <c r="A189" s="84">
        <v>45481</v>
      </c>
      <c r="B189">
        <v>580890</v>
      </c>
      <c r="C189">
        <v>526920</v>
      </c>
      <c r="D189">
        <v>284950</v>
      </c>
      <c r="E189">
        <v>1044800</v>
      </c>
      <c r="F189">
        <v>451910</v>
      </c>
      <c r="H189">
        <v>299960</v>
      </c>
      <c r="I189">
        <v>124970</v>
      </c>
    </row>
    <row r="190" spans="1:9">
      <c r="A190" s="84">
        <v>45482</v>
      </c>
      <c r="B190">
        <v>1082880</v>
      </c>
      <c r="C190">
        <v>557900</v>
      </c>
      <c r="D190">
        <v>279930</v>
      </c>
      <c r="E190">
        <v>2880571</v>
      </c>
      <c r="F190">
        <v>1067520</v>
      </c>
      <c r="H190">
        <v>404950</v>
      </c>
      <c r="I190">
        <v>0</v>
      </c>
    </row>
    <row r="191" spans="1:9">
      <c r="A191" s="84">
        <v>45483</v>
      </c>
      <c r="B191">
        <v>567850</v>
      </c>
      <c r="C191">
        <v>271970</v>
      </c>
      <c r="D191">
        <v>871873</v>
      </c>
      <c r="E191">
        <v>827810</v>
      </c>
      <c r="F191">
        <v>331990</v>
      </c>
      <c r="H191">
        <v>264970</v>
      </c>
      <c r="I191">
        <v>302970</v>
      </c>
    </row>
    <row r="192" spans="1:9">
      <c r="A192" s="84">
        <v>45484</v>
      </c>
      <c r="B192">
        <v>783860</v>
      </c>
      <c r="C192">
        <v>858880</v>
      </c>
      <c r="D192">
        <v>128970</v>
      </c>
      <c r="E192">
        <v>924880</v>
      </c>
      <c r="F192">
        <v>457400</v>
      </c>
      <c r="H192">
        <v>416960</v>
      </c>
      <c r="I192">
        <v>132970</v>
      </c>
    </row>
    <row r="193" spans="1:9">
      <c r="A193" s="84">
        <v>45485</v>
      </c>
      <c r="B193">
        <v>630870</v>
      </c>
      <c r="C193">
        <v>587880</v>
      </c>
      <c r="D193">
        <v>1142800</v>
      </c>
      <c r="E193">
        <v>1645740</v>
      </c>
      <c r="F193">
        <v>1117410</v>
      </c>
      <c r="H193">
        <v>265980</v>
      </c>
      <c r="I193">
        <v>0</v>
      </c>
    </row>
    <row r="194" spans="1:9">
      <c r="A194" s="84">
        <v>45486</v>
      </c>
      <c r="B194">
        <v>1121900</v>
      </c>
      <c r="C194">
        <v>630930</v>
      </c>
      <c r="D194">
        <v>625920</v>
      </c>
      <c r="E194">
        <v>1281770</v>
      </c>
      <c r="F194">
        <v>1536260</v>
      </c>
      <c r="H194">
        <v>589908</v>
      </c>
      <c r="I194">
        <v>0</v>
      </c>
    </row>
    <row r="195" spans="1:9">
      <c r="A195" s="84">
        <v>45487</v>
      </c>
      <c r="B195">
        <v>586871</v>
      </c>
      <c r="C195">
        <v>1223846</v>
      </c>
      <c r="D195">
        <v>678910</v>
      </c>
      <c r="E195">
        <v>540860</v>
      </c>
      <c r="F195">
        <v>385000</v>
      </c>
      <c r="H195">
        <v>199990</v>
      </c>
      <c r="I195">
        <v>0</v>
      </c>
    </row>
    <row r="196" spans="1:9">
      <c r="A196" s="84">
        <v>45488</v>
      </c>
      <c r="B196">
        <v>602920</v>
      </c>
      <c r="C196">
        <v>795900</v>
      </c>
      <c r="D196">
        <v>211920</v>
      </c>
      <c r="E196">
        <v>275970</v>
      </c>
      <c r="F196">
        <v>653720</v>
      </c>
      <c r="H196">
        <v>446950</v>
      </c>
      <c r="I196">
        <v>307960</v>
      </c>
    </row>
    <row r="197" spans="1:9">
      <c r="A197" s="84">
        <v>45489</v>
      </c>
      <c r="B197">
        <v>529860</v>
      </c>
      <c r="C197">
        <v>852860</v>
      </c>
      <c r="D197">
        <v>69980</v>
      </c>
      <c r="E197">
        <v>1718800</v>
      </c>
      <c r="F197">
        <v>429840</v>
      </c>
      <c r="H197">
        <v>0</v>
      </c>
      <c r="I197">
        <v>39980</v>
      </c>
    </row>
    <row r="198" spans="1:9">
      <c r="A198" s="84">
        <v>45490</v>
      </c>
      <c r="B198">
        <v>236950</v>
      </c>
      <c r="C198">
        <v>540900</v>
      </c>
      <c r="D198">
        <v>760880</v>
      </c>
      <c r="E198">
        <v>325930</v>
      </c>
      <c r="F198">
        <v>694640</v>
      </c>
      <c r="H198">
        <v>220980</v>
      </c>
      <c r="I198">
        <v>121970</v>
      </c>
    </row>
    <row r="199" spans="1:9">
      <c r="A199" s="84">
        <v>45491</v>
      </c>
      <c r="B199">
        <v>357940</v>
      </c>
      <c r="C199">
        <v>440910</v>
      </c>
      <c r="D199">
        <v>588908</v>
      </c>
      <c r="E199">
        <v>2600780</v>
      </c>
      <c r="F199">
        <v>541100</v>
      </c>
      <c r="H199">
        <v>199960</v>
      </c>
      <c r="I199">
        <v>223920</v>
      </c>
    </row>
    <row r="200" spans="1:9">
      <c r="A200" s="84">
        <v>45492</v>
      </c>
      <c r="B200">
        <v>3091490</v>
      </c>
      <c r="C200">
        <v>1606690</v>
      </c>
      <c r="D200">
        <v>693890</v>
      </c>
      <c r="E200">
        <v>1932780</v>
      </c>
      <c r="F200">
        <v>1172630</v>
      </c>
      <c r="H200">
        <v>834920</v>
      </c>
      <c r="I200">
        <v>0</v>
      </c>
    </row>
    <row r="201" spans="1:9">
      <c r="A201" s="84">
        <v>45493</v>
      </c>
      <c r="B201">
        <v>1896740</v>
      </c>
      <c r="C201">
        <v>251920</v>
      </c>
      <c r="D201">
        <v>1292810</v>
      </c>
      <c r="E201">
        <v>956840</v>
      </c>
      <c r="F201">
        <v>1212550</v>
      </c>
      <c r="H201">
        <v>461930</v>
      </c>
      <c r="I201">
        <v>0</v>
      </c>
    </row>
    <row r="202" spans="1:9">
      <c r="A202" s="84">
        <v>45494</v>
      </c>
      <c r="B202">
        <v>659880</v>
      </c>
      <c r="C202">
        <v>644820</v>
      </c>
      <c r="D202">
        <v>512960</v>
      </c>
      <c r="E202">
        <v>982860</v>
      </c>
      <c r="F202">
        <v>267900</v>
      </c>
      <c r="H202">
        <v>0</v>
      </c>
      <c r="I202">
        <v>0</v>
      </c>
    </row>
    <row r="203" spans="1:9">
      <c r="A203" s="84">
        <v>45495</v>
      </c>
      <c r="B203">
        <v>962910</v>
      </c>
      <c r="C203">
        <v>506900</v>
      </c>
      <c r="D203">
        <v>121950</v>
      </c>
      <c r="E203">
        <v>1697870</v>
      </c>
      <c r="F203">
        <v>578500</v>
      </c>
      <c r="H203">
        <v>169970</v>
      </c>
      <c r="I203">
        <v>38990</v>
      </c>
    </row>
    <row r="204" spans="1:9">
      <c r="A204" s="84">
        <v>45496</v>
      </c>
      <c r="B204">
        <v>0</v>
      </c>
      <c r="C204">
        <v>850820</v>
      </c>
      <c r="D204">
        <v>262930</v>
      </c>
      <c r="E204">
        <v>897840</v>
      </c>
      <c r="F204">
        <v>756870</v>
      </c>
      <c r="H204">
        <v>907850</v>
      </c>
      <c r="I204">
        <v>468930</v>
      </c>
    </row>
    <row r="205" spans="1:9">
      <c r="A205" s="84">
        <v>45497</v>
      </c>
      <c r="B205">
        <v>86950</v>
      </c>
      <c r="C205">
        <v>241940</v>
      </c>
      <c r="D205">
        <v>309960</v>
      </c>
      <c r="E205">
        <v>1027331</v>
      </c>
      <c r="F205">
        <v>627900</v>
      </c>
      <c r="H205">
        <v>151980</v>
      </c>
      <c r="I205">
        <v>498980</v>
      </c>
    </row>
    <row r="206" spans="1:9">
      <c r="A206" s="84">
        <v>45498</v>
      </c>
      <c r="B206">
        <v>548880</v>
      </c>
      <c r="C206">
        <v>663830</v>
      </c>
      <c r="D206">
        <v>170960</v>
      </c>
      <c r="E206">
        <v>502860</v>
      </c>
      <c r="F206">
        <v>523550</v>
      </c>
      <c r="H206">
        <v>132980</v>
      </c>
      <c r="I206">
        <v>390970</v>
      </c>
    </row>
    <row r="207" spans="1:9">
      <c r="A207" s="84">
        <v>45499</v>
      </c>
      <c r="B207">
        <v>2467650</v>
      </c>
      <c r="C207">
        <v>407930</v>
      </c>
      <c r="D207">
        <v>787840</v>
      </c>
      <c r="E207">
        <v>1093820</v>
      </c>
      <c r="F207">
        <v>1109730</v>
      </c>
      <c r="H207">
        <v>214970</v>
      </c>
      <c r="I207">
        <v>0</v>
      </c>
    </row>
    <row r="208" spans="1:9">
      <c r="A208" s="84">
        <v>45500</v>
      </c>
      <c r="B208">
        <v>1450650</v>
      </c>
      <c r="C208">
        <v>282940</v>
      </c>
      <c r="D208">
        <v>1547690</v>
      </c>
      <c r="E208">
        <v>1334740</v>
      </c>
      <c r="F208">
        <v>1558670</v>
      </c>
      <c r="H208">
        <v>229960</v>
      </c>
      <c r="I208">
        <v>0</v>
      </c>
    </row>
    <row r="209" spans="1:9">
      <c r="A209" s="84">
        <v>45501</v>
      </c>
      <c r="B209">
        <v>306870</v>
      </c>
      <c r="C209">
        <v>855840</v>
      </c>
      <c r="D209">
        <v>459940</v>
      </c>
      <c r="E209">
        <v>1075860</v>
      </c>
      <c r="F209">
        <v>386520</v>
      </c>
      <c r="H209">
        <v>112980</v>
      </c>
      <c r="I209">
        <v>62980</v>
      </c>
    </row>
    <row r="210" spans="1:9">
      <c r="A210" s="84">
        <v>45502</v>
      </c>
      <c r="B210">
        <v>1326860</v>
      </c>
      <c r="C210">
        <v>499890</v>
      </c>
      <c r="D210">
        <v>230930</v>
      </c>
      <c r="E210">
        <v>370920</v>
      </c>
      <c r="F210">
        <v>336910</v>
      </c>
      <c r="H210">
        <v>239960</v>
      </c>
      <c r="I210">
        <v>267980</v>
      </c>
    </row>
    <row r="211" spans="1:9">
      <c r="A211" s="84">
        <v>45503</v>
      </c>
      <c r="B211">
        <v>704880</v>
      </c>
      <c r="C211">
        <v>872640</v>
      </c>
      <c r="D211">
        <v>407950</v>
      </c>
      <c r="E211">
        <v>1109716</v>
      </c>
      <c r="F211">
        <v>331690</v>
      </c>
      <c r="H211">
        <v>129990</v>
      </c>
      <c r="I211">
        <v>0</v>
      </c>
    </row>
    <row r="212" spans="1:9">
      <c r="A212" s="84">
        <v>45504</v>
      </c>
      <c r="B212">
        <v>653790</v>
      </c>
      <c r="C212">
        <v>258910</v>
      </c>
      <c r="D212">
        <v>317950</v>
      </c>
      <c r="E212">
        <v>713770</v>
      </c>
      <c r="F212">
        <v>535690</v>
      </c>
      <c r="H212">
        <v>379950</v>
      </c>
      <c r="I212">
        <v>431920</v>
      </c>
    </row>
    <row r="213" spans="1:9">
      <c r="A213" s="84">
        <v>45505</v>
      </c>
      <c r="B213">
        <v>634880</v>
      </c>
      <c r="C213">
        <v>515563</v>
      </c>
      <c r="D213">
        <v>198960</v>
      </c>
      <c r="E213">
        <v>1767761</v>
      </c>
      <c r="F213">
        <v>438980</v>
      </c>
      <c r="H213">
        <v>0</v>
      </c>
      <c r="I213">
        <v>0</v>
      </c>
    </row>
    <row r="214" spans="1:9">
      <c r="A214" s="84">
        <v>45506</v>
      </c>
      <c r="B214">
        <v>592890</v>
      </c>
      <c r="C214">
        <v>1147800</v>
      </c>
      <c r="D214">
        <v>1490720</v>
      </c>
      <c r="E214">
        <v>1521800</v>
      </c>
      <c r="F214">
        <v>1204200</v>
      </c>
      <c r="H214">
        <v>732950</v>
      </c>
      <c r="I214">
        <v>0</v>
      </c>
    </row>
    <row r="215" spans="1:9">
      <c r="A215" s="84">
        <v>45507</v>
      </c>
      <c r="B215">
        <v>2471690</v>
      </c>
      <c r="C215">
        <v>201970</v>
      </c>
      <c r="D215">
        <v>473910</v>
      </c>
      <c r="E215">
        <v>592920</v>
      </c>
      <c r="F215">
        <v>1260760</v>
      </c>
      <c r="H215">
        <v>331970</v>
      </c>
      <c r="I215">
        <v>0</v>
      </c>
    </row>
    <row r="216" spans="1:9">
      <c r="A216" s="84">
        <v>45508</v>
      </c>
      <c r="B216">
        <v>194980</v>
      </c>
      <c r="C216">
        <v>634930</v>
      </c>
      <c r="D216">
        <v>427970</v>
      </c>
      <c r="E216">
        <v>678800</v>
      </c>
      <c r="F216">
        <v>204520</v>
      </c>
      <c r="H216">
        <v>89960</v>
      </c>
      <c r="I216">
        <v>83990</v>
      </c>
    </row>
    <row r="217" spans="1:9">
      <c r="A217" s="84">
        <v>45509</v>
      </c>
      <c r="B217">
        <v>1990790</v>
      </c>
      <c r="C217">
        <v>45980</v>
      </c>
      <c r="D217">
        <v>353920</v>
      </c>
      <c r="E217">
        <v>473880</v>
      </c>
      <c r="F217">
        <v>230910</v>
      </c>
      <c r="H217">
        <v>0</v>
      </c>
      <c r="I217">
        <v>205980</v>
      </c>
    </row>
    <row r="218" spans="1:9">
      <c r="A218" s="84">
        <v>45510</v>
      </c>
      <c r="B218">
        <v>573930</v>
      </c>
      <c r="C218">
        <v>217960</v>
      </c>
      <c r="D218">
        <v>0</v>
      </c>
      <c r="E218">
        <v>795920</v>
      </c>
      <c r="F218">
        <v>174690</v>
      </c>
      <c r="H218">
        <v>265970</v>
      </c>
      <c r="I218">
        <v>99990</v>
      </c>
    </row>
    <row r="219" spans="1:9">
      <c r="A219" s="84">
        <v>45511</v>
      </c>
      <c r="B219">
        <v>1380790</v>
      </c>
      <c r="C219">
        <v>880830</v>
      </c>
      <c r="D219">
        <v>113970</v>
      </c>
      <c r="E219">
        <v>1036871</v>
      </c>
      <c r="F219">
        <v>272780</v>
      </c>
      <c r="H219">
        <v>444890</v>
      </c>
      <c r="I219">
        <v>49990</v>
      </c>
    </row>
    <row r="220" spans="1:9">
      <c r="A220" s="84">
        <v>45512</v>
      </c>
      <c r="B220">
        <v>1007760</v>
      </c>
      <c r="C220">
        <v>1291730</v>
      </c>
      <c r="D220">
        <v>149980</v>
      </c>
      <c r="E220">
        <v>2267519</v>
      </c>
      <c r="F220">
        <v>252220</v>
      </c>
      <c r="H220">
        <v>421910</v>
      </c>
      <c r="I220">
        <v>103966</v>
      </c>
    </row>
    <row r="221" spans="1:9">
      <c r="A221" s="84">
        <v>45513</v>
      </c>
      <c r="B221">
        <v>417900</v>
      </c>
      <c r="C221">
        <v>436910</v>
      </c>
      <c r="D221">
        <v>511930</v>
      </c>
      <c r="E221">
        <v>1079911</v>
      </c>
      <c r="F221">
        <v>744480</v>
      </c>
      <c r="H221">
        <v>430960</v>
      </c>
      <c r="I221">
        <v>0</v>
      </c>
    </row>
    <row r="222" spans="1:9">
      <c r="A222" s="84">
        <v>45514</v>
      </c>
      <c r="B222">
        <v>1040840</v>
      </c>
      <c r="C222">
        <v>1453820</v>
      </c>
      <c r="D222">
        <v>1278730</v>
      </c>
      <c r="E222">
        <v>1104790</v>
      </c>
      <c r="F222">
        <v>1028210</v>
      </c>
      <c r="H222">
        <v>69990</v>
      </c>
      <c r="I222">
        <v>0</v>
      </c>
    </row>
    <row r="223" spans="1:9">
      <c r="A223" s="84">
        <v>45515</v>
      </c>
      <c r="B223">
        <v>508950</v>
      </c>
      <c r="C223">
        <v>247930</v>
      </c>
      <c r="D223">
        <v>756900</v>
      </c>
      <c r="E223">
        <v>1293740</v>
      </c>
      <c r="F223">
        <v>191320</v>
      </c>
      <c r="H223">
        <v>179990</v>
      </c>
      <c r="I223">
        <v>359990</v>
      </c>
    </row>
    <row r="224" spans="1:9">
      <c r="A224" s="84">
        <v>45516</v>
      </c>
      <c r="B224">
        <v>433840</v>
      </c>
      <c r="C224">
        <v>409870</v>
      </c>
      <c r="D224">
        <v>0</v>
      </c>
      <c r="E224">
        <v>583860</v>
      </c>
      <c r="F224">
        <v>135920</v>
      </c>
      <c r="H224">
        <v>191960</v>
      </c>
      <c r="I224">
        <v>428451</v>
      </c>
    </row>
    <row r="225" spans="1:9">
      <c r="A225" s="84">
        <v>45517</v>
      </c>
      <c r="B225">
        <v>663900</v>
      </c>
      <c r="C225">
        <v>110900</v>
      </c>
      <c r="D225">
        <v>434930</v>
      </c>
      <c r="E225">
        <v>978810</v>
      </c>
      <c r="F225">
        <v>71770</v>
      </c>
      <c r="H225">
        <v>0</v>
      </c>
      <c r="I225">
        <v>272920</v>
      </c>
    </row>
    <row r="226" spans="1:9">
      <c r="A226" s="84">
        <v>45518</v>
      </c>
      <c r="B226">
        <v>634900</v>
      </c>
      <c r="C226">
        <v>479890</v>
      </c>
      <c r="D226">
        <v>337940</v>
      </c>
      <c r="E226">
        <v>1053780</v>
      </c>
      <c r="F226">
        <v>375730</v>
      </c>
      <c r="H226">
        <v>499970</v>
      </c>
      <c r="I226">
        <v>359960</v>
      </c>
    </row>
    <row r="227" spans="1:9">
      <c r="A227" s="84">
        <v>45519</v>
      </c>
      <c r="B227">
        <v>938850</v>
      </c>
      <c r="C227">
        <v>69980</v>
      </c>
      <c r="D227">
        <v>947840</v>
      </c>
      <c r="E227">
        <v>1918630</v>
      </c>
      <c r="F227">
        <v>617540</v>
      </c>
      <c r="H227">
        <v>266940</v>
      </c>
      <c r="I227">
        <v>0</v>
      </c>
    </row>
    <row r="228" spans="1:9">
      <c r="A228" s="84">
        <v>45520</v>
      </c>
      <c r="B228">
        <v>2157710</v>
      </c>
      <c r="C228">
        <v>2032510</v>
      </c>
      <c r="D228">
        <v>869860</v>
      </c>
      <c r="E228">
        <v>2803650</v>
      </c>
      <c r="F228">
        <v>1041440</v>
      </c>
      <c r="H228">
        <v>827900</v>
      </c>
      <c r="I228">
        <v>0</v>
      </c>
    </row>
    <row r="229" spans="1:9">
      <c r="A229" s="84">
        <v>45521</v>
      </c>
      <c r="B229">
        <v>2434410</v>
      </c>
      <c r="C229">
        <v>787910</v>
      </c>
      <c r="D229">
        <v>1195790</v>
      </c>
      <c r="E229">
        <v>1875670</v>
      </c>
      <c r="F229">
        <v>1306240</v>
      </c>
      <c r="H229">
        <v>609920</v>
      </c>
      <c r="I229">
        <v>0</v>
      </c>
    </row>
    <row r="230" spans="1:9">
      <c r="A230" s="84">
        <v>45522</v>
      </c>
      <c r="B230">
        <v>1465600</v>
      </c>
      <c r="C230">
        <v>109970</v>
      </c>
      <c r="D230">
        <v>632910</v>
      </c>
      <c r="E230">
        <v>1400926</v>
      </c>
      <c r="F230">
        <v>154120</v>
      </c>
      <c r="H230">
        <v>817890</v>
      </c>
      <c r="I230">
        <v>159960</v>
      </c>
    </row>
    <row r="231" spans="1:9">
      <c r="A231" s="84">
        <v>45523</v>
      </c>
      <c r="B231">
        <v>1630740</v>
      </c>
      <c r="C231">
        <v>354850</v>
      </c>
      <c r="D231">
        <v>195343</v>
      </c>
      <c r="E231">
        <v>1205720</v>
      </c>
    </row>
    <row r="232" spans="1:9">
      <c r="A232" s="84">
        <v>45524</v>
      </c>
      <c r="B232">
        <v>956810</v>
      </c>
      <c r="C232">
        <v>334870</v>
      </c>
      <c r="D232">
        <v>902930</v>
      </c>
      <c r="E232">
        <v>743830</v>
      </c>
    </row>
    <row r="233" spans="1:9">
      <c r="A233" s="84">
        <v>45525</v>
      </c>
      <c r="B233">
        <v>774830</v>
      </c>
      <c r="C233">
        <v>1511810</v>
      </c>
      <c r="D233">
        <v>478930</v>
      </c>
      <c r="E233">
        <v>969860</v>
      </c>
    </row>
    <row r="234" spans="1:9">
      <c r="A234" s="84">
        <v>45526</v>
      </c>
      <c r="B234">
        <v>585900</v>
      </c>
      <c r="C234">
        <v>434920</v>
      </c>
      <c r="D234">
        <v>266900</v>
      </c>
      <c r="E234">
        <v>2754610</v>
      </c>
    </row>
    <row r="235" spans="1:9">
      <c r="A235" s="84">
        <v>45527</v>
      </c>
      <c r="B235">
        <v>2001980</v>
      </c>
      <c r="C235">
        <v>534890</v>
      </c>
      <c r="D235">
        <v>880830</v>
      </c>
      <c r="E235">
        <v>2984490</v>
      </c>
      <c r="I235">
        <v>0</v>
      </c>
    </row>
    <row r="236" spans="1:9">
      <c r="A236" s="84">
        <v>45528</v>
      </c>
      <c r="B236">
        <v>1733730</v>
      </c>
      <c r="D236">
        <v>1388720</v>
      </c>
      <c r="F236">
        <v>790630</v>
      </c>
      <c r="I236">
        <v>0</v>
      </c>
    </row>
    <row r="237" spans="1:9">
      <c r="A237" s="84">
        <v>45529</v>
      </c>
    </row>
    <row r="238" spans="1:9">
      <c r="A238" s="84">
        <v>45530</v>
      </c>
    </row>
    <row r="239" spans="1:9">
      <c r="A239" s="84">
        <v>45531</v>
      </c>
    </row>
    <row r="240" spans="1:9">
      <c r="A240" s="84">
        <v>45532</v>
      </c>
    </row>
    <row r="241" spans="1:9">
      <c r="A241" s="84">
        <v>45533</v>
      </c>
    </row>
    <row r="242" spans="1:9">
      <c r="A242" s="84">
        <v>45534</v>
      </c>
      <c r="I242">
        <v>0</v>
      </c>
    </row>
    <row r="243" spans="1:9">
      <c r="A243" s="84">
        <v>45535</v>
      </c>
      <c r="I243">
        <v>0</v>
      </c>
    </row>
    <row r="244" spans="1:9">
      <c r="A244" s="84">
        <v>45536</v>
      </c>
    </row>
    <row r="245" spans="1:9">
      <c r="A245" s="84">
        <v>45537</v>
      </c>
    </row>
    <row r="246" spans="1:9">
      <c r="A246" s="84">
        <v>45538</v>
      </c>
    </row>
    <row r="247" spans="1:9">
      <c r="A247" s="84">
        <v>45539</v>
      </c>
    </row>
    <row r="248" spans="1:9">
      <c r="A248" s="84">
        <v>45540</v>
      </c>
    </row>
    <row r="249" spans="1:9">
      <c r="A249" s="84">
        <v>45541</v>
      </c>
      <c r="I249">
        <v>0</v>
      </c>
    </row>
    <row r="250" spans="1:9">
      <c r="A250" s="84">
        <v>45542</v>
      </c>
      <c r="I250">
        <v>0</v>
      </c>
    </row>
    <row r="251" spans="1:9">
      <c r="A251" s="84">
        <v>45543</v>
      </c>
    </row>
    <row r="252" spans="1:9">
      <c r="A252" s="84">
        <v>45544</v>
      </c>
    </row>
    <row r="253" spans="1:9">
      <c r="A253" s="84">
        <v>45545</v>
      </c>
    </row>
    <row r="254" spans="1:9">
      <c r="A254" s="84">
        <v>45546</v>
      </c>
    </row>
    <row r="255" spans="1:9">
      <c r="A255" s="84">
        <v>45547</v>
      </c>
    </row>
    <row r="256" spans="1:9">
      <c r="A256" s="84">
        <v>45548</v>
      </c>
      <c r="I256">
        <v>0</v>
      </c>
    </row>
    <row r="257" spans="1:9">
      <c r="A257" s="84">
        <v>45549</v>
      </c>
      <c r="I257">
        <v>0</v>
      </c>
    </row>
    <row r="258" spans="1:9">
      <c r="A258" s="84">
        <v>45550</v>
      </c>
    </row>
    <row r="259" spans="1:9">
      <c r="A259" s="84">
        <v>45551</v>
      </c>
    </row>
    <row r="260" spans="1:9">
      <c r="A260" s="84">
        <v>45552</v>
      </c>
    </row>
    <row r="261" spans="1:9">
      <c r="A261" s="84">
        <v>45553</v>
      </c>
    </row>
    <row r="262" spans="1:9">
      <c r="A262" s="84">
        <v>45554</v>
      </c>
    </row>
    <row r="263" spans="1:9">
      <c r="A263" s="84">
        <v>45555</v>
      </c>
      <c r="I263">
        <v>0</v>
      </c>
    </row>
    <row r="264" spans="1:9">
      <c r="A264" s="84">
        <v>45556</v>
      </c>
      <c r="I264">
        <v>0</v>
      </c>
    </row>
    <row r="265" spans="1:9">
      <c r="A265" s="84">
        <v>45557</v>
      </c>
    </row>
    <row r="266" spans="1:9">
      <c r="A266" s="84">
        <v>45558</v>
      </c>
    </row>
    <row r="267" spans="1:9">
      <c r="A267" s="84">
        <v>45559</v>
      </c>
    </row>
    <row r="268" spans="1:9">
      <c r="A268" s="84">
        <v>45560</v>
      </c>
    </row>
    <row r="269" spans="1:9">
      <c r="A269" s="84">
        <v>45561</v>
      </c>
    </row>
    <row r="270" spans="1:9">
      <c r="A270" s="84">
        <v>45562</v>
      </c>
      <c r="I270">
        <v>0</v>
      </c>
    </row>
    <row r="271" spans="1:9">
      <c r="A271" s="84">
        <v>45563</v>
      </c>
      <c r="I271">
        <v>0</v>
      </c>
    </row>
    <row r="272" spans="1:9">
      <c r="A272" s="84">
        <v>45564</v>
      </c>
    </row>
    <row r="273" spans="1:9">
      <c r="A273" s="84">
        <v>45565</v>
      </c>
    </row>
    <row r="274" spans="1:9">
      <c r="A274" s="84">
        <v>45566</v>
      </c>
    </row>
    <row r="275" spans="1:9">
      <c r="A275" s="84">
        <v>45567</v>
      </c>
    </row>
    <row r="276" spans="1:9">
      <c r="A276" s="84">
        <v>45568</v>
      </c>
    </row>
    <row r="277" spans="1:9">
      <c r="A277" s="84">
        <v>45569</v>
      </c>
      <c r="I277">
        <v>0</v>
      </c>
    </row>
    <row r="278" spans="1:9">
      <c r="A278" s="84">
        <v>45570</v>
      </c>
      <c r="I278">
        <v>0</v>
      </c>
    </row>
    <row r="279" spans="1:9">
      <c r="A279" s="84">
        <v>45571</v>
      </c>
    </row>
    <row r="280" spans="1:9">
      <c r="A280" s="84">
        <v>45572</v>
      </c>
    </row>
    <row r="281" spans="1:9">
      <c r="A281" s="84">
        <v>45573</v>
      </c>
    </row>
    <row r="282" spans="1:9">
      <c r="A282" s="84">
        <v>45574</v>
      </c>
    </row>
    <row r="283" spans="1:9">
      <c r="A283" s="84">
        <v>45575</v>
      </c>
    </row>
    <row r="284" spans="1:9">
      <c r="A284" s="84">
        <v>45576</v>
      </c>
      <c r="I284">
        <v>0</v>
      </c>
    </row>
    <row r="285" spans="1:9">
      <c r="A285" s="84">
        <v>45577</v>
      </c>
      <c r="I285">
        <v>0</v>
      </c>
    </row>
    <row r="286" spans="1:9">
      <c r="A286" s="84">
        <v>45578</v>
      </c>
    </row>
    <row r="287" spans="1:9">
      <c r="A287" s="84">
        <v>45579</v>
      </c>
    </row>
    <row r="288" spans="1:9">
      <c r="A288" s="84">
        <v>45580</v>
      </c>
    </row>
    <row r="289" spans="1:9">
      <c r="A289" s="84">
        <v>45581</v>
      </c>
    </row>
    <row r="290" spans="1:9">
      <c r="A290" s="84">
        <v>45582</v>
      </c>
    </row>
    <row r="291" spans="1:9">
      <c r="A291" s="84">
        <v>45583</v>
      </c>
      <c r="I291">
        <v>0</v>
      </c>
    </row>
    <row r="292" spans="1:9">
      <c r="A292" s="84">
        <v>45584</v>
      </c>
      <c r="I292">
        <v>0</v>
      </c>
    </row>
    <row r="293" spans="1:9">
      <c r="A293" s="84">
        <v>45585</v>
      </c>
    </row>
    <row r="294" spans="1:9">
      <c r="A294" s="84">
        <v>45586</v>
      </c>
    </row>
    <row r="295" spans="1:9">
      <c r="A295" s="84">
        <v>45587</v>
      </c>
    </row>
    <row r="296" spans="1:9">
      <c r="A296" s="84">
        <v>45588</v>
      </c>
    </row>
    <row r="297" spans="1:9">
      <c r="A297" s="84">
        <v>45589</v>
      </c>
    </row>
    <row r="298" spans="1:9">
      <c r="A298" s="84">
        <v>45590</v>
      </c>
      <c r="I298">
        <v>0</v>
      </c>
    </row>
    <row r="299" spans="1:9">
      <c r="A299" s="84">
        <v>45591</v>
      </c>
      <c r="I299">
        <v>0</v>
      </c>
    </row>
    <row r="300" spans="1:9">
      <c r="A300" s="84">
        <v>45592</v>
      </c>
    </row>
    <row r="301" spans="1:9">
      <c r="A301" s="84">
        <v>45593</v>
      </c>
    </row>
    <row r="302" spans="1:9">
      <c r="A302" s="84">
        <v>45594</v>
      </c>
    </row>
    <row r="303" spans="1:9">
      <c r="A303" s="84">
        <v>45595</v>
      </c>
    </row>
    <row r="304" spans="1:9">
      <c r="A304" s="84">
        <v>45596</v>
      </c>
    </row>
    <row r="305" spans="1:9">
      <c r="A305" s="84">
        <v>45597</v>
      </c>
      <c r="I305">
        <v>0</v>
      </c>
    </row>
    <row r="306" spans="1:9">
      <c r="A306" s="84">
        <v>45598</v>
      </c>
      <c r="I306">
        <v>0</v>
      </c>
    </row>
    <row r="307" spans="1:9">
      <c r="A307" s="84">
        <v>45599</v>
      </c>
    </row>
    <row r="308" spans="1:9">
      <c r="A308" s="84">
        <v>45600</v>
      </c>
    </row>
    <row r="309" spans="1:9">
      <c r="A309" s="84">
        <v>45601</v>
      </c>
    </row>
    <row r="310" spans="1:9">
      <c r="A310" s="84">
        <v>45602</v>
      </c>
    </row>
    <row r="311" spans="1:9">
      <c r="A311" s="84">
        <v>45603</v>
      </c>
    </row>
    <row r="312" spans="1:9">
      <c r="A312" s="84">
        <v>45604</v>
      </c>
      <c r="I312">
        <v>0</v>
      </c>
    </row>
    <row r="313" spans="1:9">
      <c r="A313" s="84">
        <v>45605</v>
      </c>
      <c r="I313">
        <v>0</v>
      </c>
    </row>
    <row r="314" spans="1:9">
      <c r="A314" s="84">
        <v>45606</v>
      </c>
    </row>
    <row r="315" spans="1:9">
      <c r="A315" s="84">
        <v>45607</v>
      </c>
    </row>
    <row r="316" spans="1:9">
      <c r="A316" s="84">
        <v>45608</v>
      </c>
    </row>
    <row r="317" spans="1:9">
      <c r="A317" s="84">
        <v>45609</v>
      </c>
    </row>
    <row r="318" spans="1:9">
      <c r="A318" s="84">
        <v>45610</v>
      </c>
    </row>
    <row r="319" spans="1:9">
      <c r="A319" s="84">
        <v>45611</v>
      </c>
      <c r="I319">
        <v>0</v>
      </c>
    </row>
    <row r="320" spans="1:9">
      <c r="A320" s="84">
        <v>45612</v>
      </c>
      <c r="I320">
        <v>0</v>
      </c>
    </row>
    <row r="321" spans="1:9">
      <c r="A321" s="84">
        <v>45613</v>
      </c>
    </row>
    <row r="322" spans="1:9">
      <c r="A322" s="84">
        <v>45614</v>
      </c>
    </row>
    <row r="323" spans="1:9">
      <c r="A323" s="84">
        <v>45615</v>
      </c>
    </row>
    <row r="324" spans="1:9">
      <c r="A324" s="84">
        <v>45616</v>
      </c>
    </row>
    <row r="325" spans="1:9">
      <c r="A325" s="84">
        <v>45617</v>
      </c>
      <c r="I325">
        <v>0</v>
      </c>
    </row>
    <row r="326" spans="1:9">
      <c r="A326" s="84">
        <v>45618</v>
      </c>
      <c r="I326">
        <v>0</v>
      </c>
    </row>
    <row r="327" spans="1:9">
      <c r="A327" s="84">
        <v>45619</v>
      </c>
      <c r="I327">
        <v>0</v>
      </c>
    </row>
    <row r="328" spans="1:9">
      <c r="A328" s="84">
        <v>45620</v>
      </c>
      <c r="I328">
        <v>0</v>
      </c>
    </row>
    <row r="329" spans="1:9">
      <c r="A329" s="84">
        <v>45621</v>
      </c>
    </row>
    <row r="330" spans="1:9">
      <c r="A330" s="84">
        <v>45622</v>
      </c>
    </row>
    <row r="331" spans="1:9">
      <c r="A331" s="84">
        <v>45623</v>
      </c>
    </row>
    <row r="332" spans="1:9">
      <c r="A332" s="84">
        <v>45624</v>
      </c>
    </row>
    <row r="333" spans="1:9">
      <c r="A333" s="84">
        <v>45625</v>
      </c>
      <c r="I333">
        <v>0</v>
      </c>
    </row>
    <row r="334" spans="1:9">
      <c r="A334" s="84">
        <v>45626</v>
      </c>
      <c r="I334">
        <v>0</v>
      </c>
    </row>
    <row r="335" spans="1:9">
      <c r="A335" s="84">
        <v>45627</v>
      </c>
    </row>
    <row r="336" spans="1:9">
      <c r="A336" s="84">
        <v>45628</v>
      </c>
    </row>
    <row r="337" spans="1:9">
      <c r="A337" s="84">
        <v>45629</v>
      </c>
    </row>
    <row r="338" spans="1:9">
      <c r="A338" s="84">
        <v>45630</v>
      </c>
    </row>
    <row r="339" spans="1:9">
      <c r="A339" s="84">
        <v>45631</v>
      </c>
    </row>
    <row r="340" spans="1:9">
      <c r="A340" s="84">
        <v>45632</v>
      </c>
      <c r="I340">
        <v>0</v>
      </c>
    </row>
    <row r="341" spans="1:9">
      <c r="A341" s="84">
        <v>45633</v>
      </c>
      <c r="I341">
        <v>0</v>
      </c>
    </row>
    <row r="342" spans="1:9">
      <c r="A342" s="84">
        <v>45634</v>
      </c>
      <c r="I342">
        <v>0</v>
      </c>
    </row>
    <row r="343" spans="1:9">
      <c r="A343" s="84">
        <v>45635</v>
      </c>
    </row>
    <row r="344" spans="1:9">
      <c r="A344" s="84">
        <v>45636</v>
      </c>
    </row>
    <row r="345" spans="1:9">
      <c r="A345" s="84">
        <v>45637</v>
      </c>
    </row>
    <row r="346" spans="1:9">
      <c r="A346" s="84">
        <v>45638</v>
      </c>
    </row>
    <row r="347" spans="1:9">
      <c r="A347" s="84">
        <v>45639</v>
      </c>
      <c r="I347">
        <v>0</v>
      </c>
    </row>
    <row r="348" spans="1:9">
      <c r="A348" s="84">
        <v>45640</v>
      </c>
      <c r="I348">
        <v>0</v>
      </c>
    </row>
    <row r="349" spans="1:9">
      <c r="A349" s="84">
        <v>45641</v>
      </c>
    </row>
    <row r="350" spans="1:9">
      <c r="A350" s="84">
        <v>45642</v>
      </c>
    </row>
    <row r="351" spans="1:9">
      <c r="A351" s="84">
        <v>45643</v>
      </c>
    </row>
    <row r="352" spans="1:9">
      <c r="A352" s="84">
        <v>45644</v>
      </c>
    </row>
    <row r="353" spans="1:9">
      <c r="A353" s="84">
        <v>45645</v>
      </c>
    </row>
    <row r="354" spans="1:9">
      <c r="A354" s="84">
        <v>45646</v>
      </c>
    </row>
    <row r="355" spans="1:9">
      <c r="A355" s="84">
        <v>45647</v>
      </c>
      <c r="I355">
        <v>0</v>
      </c>
    </row>
    <row r="356" spans="1:9">
      <c r="A356" s="84">
        <v>45648</v>
      </c>
    </row>
    <row r="357" spans="1:9">
      <c r="A357" s="84">
        <v>45649</v>
      </c>
    </row>
    <row r="358" spans="1:9">
      <c r="A358" s="84">
        <v>45650</v>
      </c>
    </row>
    <row r="359" spans="1:9">
      <c r="A359" s="84">
        <v>45651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84">
        <v>45652</v>
      </c>
    </row>
    <row r="361" spans="1:9">
      <c r="A361" s="84">
        <v>45653</v>
      </c>
      <c r="I361">
        <v>0</v>
      </c>
    </row>
    <row r="362" spans="1:9">
      <c r="A362" s="84">
        <v>45654</v>
      </c>
      <c r="I362">
        <v>0</v>
      </c>
    </row>
    <row r="363" spans="1:9">
      <c r="A363" s="84">
        <v>45655</v>
      </c>
    </row>
    <row r="364" spans="1:9">
      <c r="A364" s="84">
        <v>45656</v>
      </c>
    </row>
    <row r="365" spans="1:9">
      <c r="A365" s="84">
        <v>45657</v>
      </c>
    </row>
    <row r="366" spans="1:9">
      <c r="A366" s="84">
        <v>45658</v>
      </c>
      <c r="I366">
        <v>0</v>
      </c>
    </row>
    <row r="367" spans="1:9">
      <c r="A367" s="84">
        <v>45659</v>
      </c>
    </row>
    <row r="368" spans="1:9">
      <c r="A368" s="84">
        <v>45660</v>
      </c>
    </row>
    <row r="369" spans="1:1">
      <c r="A369" s="84">
        <v>45661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galan</dc:creator>
  <cp:lastModifiedBy>Valeria Levite</cp:lastModifiedBy>
  <dcterms:created xsi:type="dcterms:W3CDTF">2025-08-25T17:42:15Z</dcterms:created>
  <dcterms:modified xsi:type="dcterms:W3CDTF">2025-08-26T15:21:21Z</dcterms:modified>
</cp:coreProperties>
</file>