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784ebd93b2b8716/Documentos/Rocio (Juan)/"/>
    </mc:Choice>
  </mc:AlternateContent>
  <xr:revisionPtr revIDLastSave="14" documentId="8_{3E2A205A-80C5-4508-9C60-9F653A0EED2D}" xr6:coauthVersionLast="47" xr6:coauthVersionMax="47" xr10:uidLastSave="{A50E2CE4-8DF8-45E8-B125-4C2CEACCDE2C}"/>
  <bookViews>
    <workbookView xWindow="-108" yWindow="-108" windowWidth="23256" windowHeight="12456" firstSheet="5" activeTab="6" xr2:uid="{00000000-000D-0000-FFFF-FFFF00000000}"/>
  </bookViews>
  <sheets>
    <sheet name="Ferero 2021" sheetId="2" state="hidden" r:id="rId1"/>
    <sheet name="Pagos realizados 02" sheetId="3" state="hidden" r:id="rId2"/>
    <sheet name="Marzo 2021" sheetId="4" state="hidden" r:id="rId3"/>
    <sheet name="PROVEEDORES" sheetId="5" state="hidden" r:id="rId4"/>
    <sheet name="Abril 2021" sheetId="6" state="hidden" r:id="rId5"/>
    <sheet name="Fact y pagos SB" sheetId="7" r:id="rId6"/>
    <sheet name="Fact y pagos LC" sheetId="9" r:id="rId7"/>
  </sheets>
  <definedNames>
    <definedName name="_xlnm._FilterDatabase" localSheetId="6" hidden="1">'Fact y pagos LC'!$A$1:$AC$9</definedName>
    <definedName name="_xlnm._FilterDatabase" localSheetId="5" hidden="1">'Fact y pagos SB'!$A$1:$AG$80</definedName>
    <definedName name="_xlnm._FilterDatabase" localSheetId="3" hidden="1">PROVEEDORES!$A$1:$B$1</definedName>
    <definedName name="BASE">'Fact y pagos SB'!$A$1:$AE$1</definedName>
    <definedName name="Z_036B18E5_9698_461F_8F39_D4F3E888943E_.wvu.FilterData" localSheetId="5" hidden="1">'Fact y pagos SB'!$A$1:$AB$1</definedName>
    <definedName name="Z_16BFA62E_72EF_4668_9A5B_9B5765DCBA13_.wvu.FilterData" localSheetId="5" hidden="1">'Fact y pagos SB'!$A$1:$AB$1</definedName>
    <definedName name="Z_17DDA30B_2692_4B77_99BE_4F26CD17FA18_.wvu.FilterData" localSheetId="5" hidden="1">'Fact y pagos SB'!$A$1:$AB$1</definedName>
    <definedName name="Z_185E8D46_1928_4E45_BF79_072539950DAC_.wvu.FilterData" localSheetId="5" hidden="1">'Fact y pagos SB'!$A$1:$AB$1</definedName>
    <definedName name="Z_18F5304D_A002_4A71_AE56_6209ECCE76A7_.wvu.FilterData" localSheetId="5" hidden="1">'Fact y pagos SB'!$A$1:$AB$1</definedName>
    <definedName name="Z_1A352C18_E1A0_4164_A0D4_CD2D27ECFD0F_.wvu.FilterData" localSheetId="5" hidden="1">'Fact y pagos SB'!$A$1:$Z$1</definedName>
    <definedName name="Z_22C4439A_EE4E_48AF_9E79_BFDE142C2037_.wvu.FilterData" localSheetId="5" hidden="1">'Fact y pagos SB'!$A$1:$AB$1</definedName>
    <definedName name="Z_26456F35_FD07_4DAC_8D45_5BB57DD15A71_.wvu.FilterData" localSheetId="5" hidden="1">'Fact y pagos SB'!$A$1:$AB$1</definedName>
    <definedName name="Z_28364CC6_1573_44EA_AE77_28EA9052C665_.wvu.FilterData" localSheetId="5" hidden="1">'Fact y pagos SB'!$A$1:$AB$1</definedName>
    <definedName name="Z_2E8FE781_CD5A_494F_BF3C_AADB61329082_.wvu.FilterData" localSheetId="5" hidden="1">'Fact y pagos SB'!$A$1:$AB$1</definedName>
    <definedName name="Z_35DA9D2F_E32A_42E8_9502_4CB8D7DA951E_.wvu.FilterData" localSheetId="5" hidden="1">'Fact y pagos SB'!$A$1:$AB$1</definedName>
    <definedName name="Z_3CDDDE2E_B477_49FC_9253_9475FA9DA194_.wvu.FilterData" localSheetId="5" hidden="1">'Fact y pagos SB'!$A$1:$AB$1</definedName>
    <definedName name="Z_3F021205_6F16_4AAF_B476_CEEF498BAFA6_.wvu.FilterData" localSheetId="5" hidden="1">'Fact y pagos SB'!$A$1:$AB$1</definedName>
    <definedName name="Z_3FFE8CF3_DF5B_48CA_8AEB_7A596FFEF59C_.wvu.FilterData" localSheetId="5" hidden="1">'Fact y pagos SB'!$A$1:$AB$1</definedName>
    <definedName name="Z_4A970186_0FCC_413A_8C0C_891D538ECA5D_.wvu.FilterData" localSheetId="5" hidden="1">'Fact y pagos SB'!$A$1:$AB$1</definedName>
    <definedName name="Z_4FED8072_D649_44C5_9105_74E573943820_.wvu.FilterData" localSheetId="5" hidden="1">'Fact y pagos SB'!$A$1:$AB$1</definedName>
    <definedName name="Z_5BD6D039_24DE_4D9E_B4D9_DD8D5D67856E_.wvu.FilterData" localSheetId="5" hidden="1">'Fact y pagos SB'!$A$1:$AB$1</definedName>
    <definedName name="Z_5C71E6C5_25AE_4692_8625_270500B3BEDF_.wvu.FilterData" localSheetId="5" hidden="1">'Fact y pagos SB'!$A$1:$AB$1</definedName>
    <definedName name="Z_5CCC2CDD_0E83_45F6_88DD_2CDC65036E40_.wvu.FilterData" localSheetId="5" hidden="1">'Fact y pagos SB'!$A$1:$AB$1</definedName>
    <definedName name="Z_6D178A5A_6ADA_4286_97EE_FCAE2DBD9BE8_.wvu.FilterData" localSheetId="5" hidden="1">'Fact y pagos SB'!$A$1:$AB$1</definedName>
    <definedName name="Z_7586726A_2D92_4EBB_976F_0650E25C4949_.wvu.FilterData" localSheetId="5" hidden="1">'Fact y pagos SB'!$A$1:$Z$1</definedName>
    <definedName name="Z_7D24FA6A_13EB_4BEC_893F_6A08F0E40C98_.wvu.FilterData" localSheetId="5" hidden="1">'Fact y pagos SB'!$A$1:$AB$1</definedName>
    <definedName name="Z_7F4728BC_642D_48EB_AFB2_5BD255AC51E7_.wvu.FilterData" localSheetId="5" hidden="1">'Fact y pagos SB'!$A$1:$AB$1</definedName>
    <definedName name="Z_8422291C_0928_4FCD_8A43_0FEFEFF4567C_.wvu.FilterData" localSheetId="5" hidden="1">'Fact y pagos SB'!$A$1:$AB$1</definedName>
    <definedName name="Z_84373123_4319_40BF_AD9A_5F3B55EBB131_.wvu.FilterData" localSheetId="5" hidden="1">'Fact y pagos SB'!$A$1:$AB$1</definedName>
    <definedName name="Z_95948C99_504E_4290_B28B_ABF3B252A1A2_.wvu.FilterData" localSheetId="5" hidden="1">'Fact y pagos SB'!$A$1:$AB$1</definedName>
    <definedName name="Z_9FB286FD_F11A_45DB_B05A_2013C42EE05A_.wvu.FilterData" localSheetId="5" hidden="1">'Fact y pagos SB'!$A$1:$AB$1</definedName>
    <definedName name="Z_C0ACCC1C_B0B4_41A8_B4B0_DD45525E00F8_.wvu.FilterData" localSheetId="5" hidden="1">'Fact y pagos SB'!$A$1:$AB$1</definedName>
    <definedName name="Z_C29AD37E_AC54_46AF_8443_D269F69529B6_.wvu.FilterData" localSheetId="5" hidden="1">'Fact y pagos SB'!$A$1:$AB$1</definedName>
    <definedName name="Z_C9086B91_EECE_45CC_8B68_2DB42B5A9C95_.wvu.FilterData" localSheetId="5" hidden="1">'Fact y pagos SB'!$A$1:$AB$1</definedName>
    <definedName name="Z_D4C13910_BE59_466A_B480_3649B9C0A99E_.wvu.FilterData" localSheetId="5" hidden="1">'Fact y pagos SB'!$A$1:$AB$1</definedName>
    <definedName name="Z_D807A81D_1F32_4A1C_BD42_C685BB8E44B4_.wvu.FilterData" localSheetId="5" hidden="1">'Fact y pagos SB'!$A$1:$AB$1</definedName>
    <definedName name="Z_DB30A048_6A9B_4984_95A1_AADE79C46EE2_.wvu.FilterData" localSheetId="5" hidden="1">'Fact y pagos SB'!$A$1:$AB$1</definedName>
    <definedName name="Z_DCC92ECA_A206_4729_92A9_C2C66D140398_.wvu.FilterData" localSheetId="5" hidden="1">'Fact y pagos SB'!$A$1:$AB$1</definedName>
    <definedName name="Z_F213288B_099E_48DF_9175_747A8A2E540D_.wvu.FilterData" localSheetId="5" hidden="1">'Fact y pagos SB'!$A$1:$AB$1</definedName>
    <definedName name="Z_FF9A2457_874B_4927_82E6_0A60C744F7FF_.wvu.FilterData" localSheetId="5" hidden="1">'Fact y pagos SB'!$A$1:$Z$1</definedName>
  </definedNames>
  <calcPr calcId="191029"/>
  <customWorkbookViews>
    <customWorkbookView name="Filtro 17" guid="{7F4728BC-642D-48EB-AFB2-5BD255AC51E7}" maximized="1" windowWidth="0" windowHeight="0" activeSheetId="0"/>
    <customWorkbookView name="Filtro 39" guid="{5BD6D039-24DE-4D9E-B4D9-DD8D5D67856E}" maximized="1" windowWidth="0" windowHeight="0" activeSheetId="0"/>
    <customWorkbookView name="Filtro 18" guid="{26456F35-FD07-4DAC-8D45-5BB57DD15A71}" maximized="1" windowWidth="0" windowHeight="0" activeSheetId="0"/>
    <customWorkbookView name="Filtro 15" guid="{8422291C-0928-4FCD-8A43-0FEFEFF4567C}" maximized="1" windowWidth="0" windowHeight="0" activeSheetId="0"/>
    <customWorkbookView name="Filtro 37" guid="{C9086B91-EECE-45CC-8B68-2DB42B5A9C95}" maximized="1" windowWidth="0" windowHeight="0" activeSheetId="0"/>
    <customWorkbookView name="Filtro 38" guid="{3CDDDE2E-B477-49FC-9253-9475FA9DA194}" maximized="1" windowWidth="0" windowHeight="0" activeSheetId="0"/>
    <customWorkbookView name="Filtro 16" guid="{17DDA30B-2692-4B77-99BE-4F26CD17FA18}" maximized="1" windowWidth="0" windowHeight="0" activeSheetId="0"/>
    <customWorkbookView name="Filtro 35" guid="{35DA9D2F-E32A-42E8-9502-4CB8D7DA951E}" maximized="1" windowWidth="0" windowHeight="0" activeSheetId="0"/>
    <customWorkbookView name="Filtro 36" guid="{F213288B-099E-48DF-9175-747A8A2E540D}" maximized="1" windowWidth="0" windowHeight="0" activeSheetId="0"/>
    <customWorkbookView name="Filtro 14" guid="{7D24FA6A-13EB-4BEC-893F-6A08F0E40C98}" maximized="1" windowWidth="0" windowHeight="0" activeSheetId="0"/>
    <customWorkbookView name="Filtro 33" guid="{185E8D46-1928-4E45-BF79-072539950DAC}" maximized="1" windowWidth="0" windowHeight="0" activeSheetId="0"/>
    <customWorkbookView name="Filtro 34" guid="{C0ACCC1C-B0B4-41A8-B4B0-DD45525E00F8}" maximized="1" windowWidth="0" windowHeight="0" activeSheetId="0"/>
    <customWorkbookView name="Filtro 31" guid="{84373123-4319-40BF-AD9A-5F3B55EBB131}" maximized="1" windowWidth="0" windowHeight="0" activeSheetId="0"/>
    <customWorkbookView name="Filtro 32" guid="{22C4439A-EE4E-48AF-9E79-BFDE142C2037}" maximized="1" windowWidth="0" windowHeight="0" activeSheetId="0"/>
    <customWorkbookView name="Filtro 30" guid="{DCC92ECA-A206-4729-92A9-C2C66D140398}" maximized="1" windowWidth="0" windowHeight="0" activeSheetId="0"/>
    <customWorkbookView name="Filtro 1" guid="{FF9A2457-874B-4927-82E6-0A60C744F7FF}" maximized="1" windowWidth="0" windowHeight="0" activeSheetId="0"/>
    <customWorkbookView name="Filtro 2" guid="{1A352C18-E1A0-4164-A0D4-CD2D27ECFD0F}" maximized="1" windowWidth="0" windowHeight="0" activeSheetId="0"/>
    <customWorkbookView name="Filtro 3" guid="{7586726A-2D92-4EBB-976F-0650E25C4949}" maximized="1" windowWidth="0" windowHeight="0" activeSheetId="0"/>
    <customWorkbookView name="Filtro 28" guid="{5C71E6C5-25AE-4692-8625-270500B3BEDF}" maximized="1" windowWidth="0" windowHeight="0" activeSheetId="0"/>
    <customWorkbookView name="Filtro 29" guid="{D807A81D-1F32-4A1C-BD42-C685BB8E44B4}" maximized="1" windowWidth="0" windowHeight="0" activeSheetId="0"/>
    <customWorkbookView name="Filtro 26" guid="{2E8FE781-CD5A-494F-BF3C-AADB61329082}" maximized="1" windowWidth="0" windowHeight="0" activeSheetId="0"/>
    <customWorkbookView name="Filtro 27" guid="{95948C99-504E-4290-B28B-ABF3B252A1A2}" maximized="1" windowWidth="0" windowHeight="0" activeSheetId="0"/>
    <customWorkbookView name="Filtro 24" guid="{16BFA62E-72EF-4668-9A5B-9B5765DCBA13}" maximized="1" windowWidth="0" windowHeight="0" activeSheetId="0"/>
    <customWorkbookView name="Filtro 46" guid="{6D178A5A-6ADA-4286-97EE-FCAE2DBD9BE8}" maximized="1" windowWidth="0" windowHeight="0" activeSheetId="0"/>
    <customWorkbookView name="Filtro 25" guid="{9FB286FD-F11A-45DB-B05A-2013C42EE05A}" maximized="1" windowWidth="0" windowHeight="0" activeSheetId="0"/>
    <customWorkbookView name="Filtro 44" guid="{18F5304D-A002-4A71-AE56-6209ECCE76A7}" maximized="1" windowWidth="0" windowHeight="0" activeSheetId="0"/>
    <customWorkbookView name="Filtro 22" guid="{4A970186-0FCC-413A-8C0C-891D538ECA5D}" maximized="1" windowWidth="0" windowHeight="0" activeSheetId="0"/>
    <customWorkbookView name="Filtro 45" guid="{4FED8072-D649-44C5-9105-74E573943820}" maximized="1" windowWidth="0" windowHeight="0" activeSheetId="0"/>
    <customWorkbookView name="Filtro 23" guid="{3F021205-6F16-4AAF-B476-CEEF498BAFA6}" maximized="1" windowWidth="0" windowHeight="0" activeSheetId="0"/>
    <customWorkbookView name="Filtro 42" guid="{28364CC6-1573-44EA-AE77-28EA9052C665}" maximized="1" windowWidth="0" windowHeight="0" activeSheetId="0"/>
    <customWorkbookView name="Filtro 20" guid="{5CCC2CDD-0E83-45F6-88DD-2CDC65036E40}" maximized="1" windowWidth="0" windowHeight="0" activeSheetId="0"/>
    <customWorkbookView name="Filtro 43" guid="{036B18E5-9698-461F-8F39-D4F3E888943E}" maximized="1" windowWidth="0" windowHeight="0" activeSheetId="0"/>
    <customWorkbookView name="Filtro 21" guid="{DB30A048-6A9B-4984-95A1-AADE79C46EE2}" maximized="1" windowWidth="0" windowHeight="0" activeSheetId="0"/>
    <customWorkbookView name="Filtro 40" guid="{3FFE8CF3-DF5B-48CA-8AEB-7A596FFEF59C}" maximized="1" windowWidth="0" windowHeight="0" activeSheetId="0"/>
    <customWorkbookView name="Filtro 41" guid="{C29AD37E-AC54-46AF-8443-D269F69529B6}" maximized="1" windowWidth="0" windowHeight="0" activeSheetId="0"/>
    <customWorkbookView name="Filtro 19" guid="{D4C13910-BE59-466A-B480-3649B9C0A99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xYv4gsYrMX/GTsrQa2SzkPaJstC9lOU+mSQXfPe9qpo="/>
    </ext>
  </extLst>
</workbook>
</file>

<file path=xl/calcChain.xml><?xml version="1.0" encoding="utf-8"?>
<calcChain xmlns="http://schemas.openxmlformats.org/spreadsheetml/2006/main">
  <c r="B77" i="6" l="1"/>
  <c r="C51" i="6"/>
  <c r="C53" i="6" s="1"/>
  <c r="D38" i="6"/>
  <c r="C28" i="6"/>
  <c r="C27" i="6"/>
  <c r="C26" i="6"/>
  <c r="C25" i="6"/>
  <c r="C23" i="6"/>
  <c r="C15" i="6"/>
  <c r="C8" i="6"/>
  <c r="C17" i="6" s="1"/>
  <c r="D17" i="6" s="1"/>
  <c r="E118" i="4"/>
  <c r="E120" i="4" s="1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99" i="4"/>
  <c r="E98" i="4"/>
  <c r="E97" i="4"/>
  <c r="E96" i="4"/>
  <c r="E95" i="4"/>
  <c r="E94" i="4"/>
  <c r="E93" i="4"/>
  <c r="E92" i="4"/>
  <c r="E91" i="4"/>
  <c r="E90" i="4"/>
  <c r="F56" i="3"/>
  <c r="F46" i="3"/>
  <c r="F48" i="3" s="1"/>
  <c r="F58" i="3" s="1"/>
  <c r="F59" i="3" s="1"/>
  <c r="F41" i="3"/>
  <c r="B39" i="3"/>
  <c r="F32" i="3"/>
  <c r="B32" i="3"/>
  <c r="G31" i="3"/>
  <c r="F31" i="3"/>
  <c r="B31" i="3"/>
  <c r="B29" i="3"/>
  <c r="F18" i="3"/>
  <c r="G19" i="3" s="1"/>
  <c r="B18" i="3"/>
  <c r="F16" i="3"/>
  <c r="B15" i="3"/>
  <c r="B17" i="3" s="1"/>
  <c r="B19" i="3" s="1"/>
  <c r="C19" i="3" s="1"/>
  <c r="B7" i="3"/>
  <c r="B9" i="3" s="1"/>
  <c r="F6" i="3"/>
  <c r="F2" i="3"/>
  <c r="F107" i="2"/>
  <c r="F108" i="2" s="1"/>
  <c r="E107" i="2"/>
  <c r="E108" i="2" s="1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107" i="2" s="1"/>
  <c r="G92" i="2"/>
  <c r="F90" i="2"/>
  <c r="E90" i="2"/>
  <c r="G89" i="2"/>
  <c r="G88" i="2"/>
  <c r="G87" i="2"/>
  <c r="G86" i="2"/>
  <c r="G85" i="2"/>
  <c r="G84" i="2"/>
  <c r="G83" i="2"/>
  <c r="G82" i="2"/>
  <c r="G81" i="2"/>
  <c r="G80" i="2"/>
  <c r="G90" i="2" s="1"/>
  <c r="G108" i="2" s="1"/>
  <c r="H7" i="2"/>
</calcChain>
</file>

<file path=xl/sharedStrings.xml><?xml version="1.0" encoding="utf-8"?>
<sst xmlns="http://schemas.openxmlformats.org/spreadsheetml/2006/main" count="1442" uniqueCount="506">
  <si>
    <t xml:space="preserve">Fecha de Factura </t>
  </si>
  <si>
    <t xml:space="preserve">Nº Factura </t>
  </si>
  <si>
    <t xml:space="preserve">Proveedor </t>
  </si>
  <si>
    <t xml:space="preserve">Total Factura </t>
  </si>
  <si>
    <t xml:space="preserve">Fecha de cheque/ Tansferencia </t>
  </si>
  <si>
    <t>Nº cheque / Nº de transferencia</t>
  </si>
  <si>
    <t>Observaciones</t>
  </si>
  <si>
    <t>Debito automatico tarjeta cabal</t>
  </si>
  <si>
    <t>1ER PRESTAMO CREDICOOP</t>
  </si>
  <si>
    <t xml:space="preserve">Holanda Seguros </t>
  </si>
  <si>
    <t xml:space="preserve">  </t>
  </si>
  <si>
    <t>Debito Atomatico</t>
  </si>
  <si>
    <t>0026-00107414</t>
  </si>
  <si>
    <t xml:space="preserve">Mercado libre SRL </t>
  </si>
  <si>
    <t xml:space="preserve">Sin abonar </t>
  </si>
  <si>
    <t>0018-00025154</t>
  </si>
  <si>
    <t>Persiantex S.A</t>
  </si>
  <si>
    <t>31/03/2021 29/04/2021</t>
  </si>
  <si>
    <t>Ch9206 $39011.01  Ch 9207 $39011</t>
  </si>
  <si>
    <t>00003-00007318</t>
  </si>
  <si>
    <t>Zeroerror SRL</t>
  </si>
  <si>
    <t>Ch 205</t>
  </si>
  <si>
    <t>0004-00003839</t>
  </si>
  <si>
    <t>Seguridad Denapoli SRL</t>
  </si>
  <si>
    <t xml:space="preserve">  05/03/2021</t>
  </si>
  <si>
    <t>Ch 9208</t>
  </si>
  <si>
    <t>00002-00000090</t>
  </si>
  <si>
    <t xml:space="preserve">Rimoli Emiliano </t>
  </si>
  <si>
    <t>T192308263</t>
  </si>
  <si>
    <t>00002-00000072</t>
  </si>
  <si>
    <t>Chavez Sofia</t>
  </si>
  <si>
    <t>T192307885</t>
  </si>
  <si>
    <t>00004-00010665</t>
  </si>
  <si>
    <t>Quesada Roberto Jorge</t>
  </si>
  <si>
    <t>T191728041</t>
  </si>
  <si>
    <t>NC 00004- 0000536 $1615.35                                   0004-00010672 $ 3726.80</t>
  </si>
  <si>
    <t>T191801130</t>
  </si>
  <si>
    <t>0002-00026958</t>
  </si>
  <si>
    <t>Casa Panzuch</t>
  </si>
  <si>
    <t>T191728565</t>
  </si>
  <si>
    <t>00004-00010710</t>
  </si>
  <si>
    <t xml:space="preserve"> Quesada Roberto Jorge</t>
  </si>
  <si>
    <t>T193062739</t>
  </si>
  <si>
    <t>Obligacion mensual anual/ Autonomo</t>
  </si>
  <si>
    <t>T193082275</t>
  </si>
  <si>
    <t>0003-00004186</t>
  </si>
  <si>
    <t>Grafica y Fotograbados la plaza SRL</t>
  </si>
  <si>
    <t>T193086162</t>
  </si>
  <si>
    <t>0030-00066736</t>
  </si>
  <si>
    <t>Fortin Maure S.A (Rendicion Expensas Enero)</t>
  </si>
  <si>
    <t>sin abonar</t>
  </si>
  <si>
    <t>0030-00066811</t>
  </si>
  <si>
    <t>Fortin Maure S.A (Canon Locativo 02/2021)</t>
  </si>
  <si>
    <t>0030-00066829</t>
  </si>
  <si>
    <t>Fortin Maure S.A (Fondo permanencia 02/2021)</t>
  </si>
  <si>
    <t>00003-00000469</t>
  </si>
  <si>
    <t xml:space="preserve">Capuccio Luciano </t>
  </si>
  <si>
    <t>T193813525</t>
  </si>
  <si>
    <t xml:space="preserve">Se abonaron juntas </t>
  </si>
  <si>
    <t>00003-00000481</t>
  </si>
  <si>
    <t>00003-00000480</t>
  </si>
  <si>
    <t>00003-00000482</t>
  </si>
  <si>
    <t>00003-00000483</t>
  </si>
  <si>
    <t>T196771318</t>
  </si>
  <si>
    <t>00003-00000484</t>
  </si>
  <si>
    <t>00002-00000561</t>
  </si>
  <si>
    <t xml:space="preserve">Koffman Viviana </t>
  </si>
  <si>
    <t>T196771499</t>
  </si>
  <si>
    <t>0003-00010893</t>
  </si>
  <si>
    <t>SuperBol SRL</t>
  </si>
  <si>
    <t xml:space="preserve">Sin abonar pendiente consultar esta factura </t>
  </si>
  <si>
    <t>0002-00010784</t>
  </si>
  <si>
    <t>First Medical Work SRL</t>
  </si>
  <si>
    <t>Se abono el 10/03 junto con FCA     0002-00010894  3/03/2021   $ 4.573,80</t>
  </si>
  <si>
    <t>Expensas y  ABL Puerto Madero (Febrero)</t>
  </si>
  <si>
    <t>T193812119</t>
  </si>
  <si>
    <t>Expensas Febrero</t>
  </si>
  <si>
    <t>0004-00051547</t>
  </si>
  <si>
    <t>Ovnisa S.A</t>
  </si>
  <si>
    <t>T193371342</t>
  </si>
  <si>
    <t>Solicitar nota de credito</t>
  </si>
  <si>
    <t>00003-00000380</t>
  </si>
  <si>
    <t xml:space="preserve">Gutierrez carrillo Juan Francisco </t>
  </si>
  <si>
    <t>T193370821</t>
  </si>
  <si>
    <t>2220-00040741</t>
  </si>
  <si>
    <t>Jovellano Melchor G (coto)</t>
  </si>
  <si>
    <t>Efectivo</t>
  </si>
  <si>
    <t>0008-00002334</t>
  </si>
  <si>
    <t xml:space="preserve">Papelera Iriarte </t>
  </si>
  <si>
    <t>00003-00007996</t>
  </si>
  <si>
    <t>Mega Office SRL</t>
  </si>
  <si>
    <t>Solicitar factura</t>
  </si>
  <si>
    <t>T193712230</t>
  </si>
  <si>
    <t>00001-00000141</t>
  </si>
  <si>
    <t>Grassso Ricardo Nicolas</t>
  </si>
  <si>
    <t>T193271229</t>
  </si>
  <si>
    <t>0002-00027097</t>
  </si>
  <si>
    <t>T193679676</t>
  </si>
  <si>
    <t>0003-00002542</t>
  </si>
  <si>
    <t>Mesatel (Alquiler local 92)</t>
  </si>
  <si>
    <t>T194672559</t>
  </si>
  <si>
    <t>00003-00002543</t>
  </si>
  <si>
    <t>Mesatel (Alquiler local 120-121)</t>
  </si>
  <si>
    <t>T194673060</t>
  </si>
  <si>
    <t>1020-00683166</t>
  </si>
  <si>
    <t>SWISS MEDICAL S.A</t>
  </si>
  <si>
    <t>T196808006</t>
  </si>
  <si>
    <t>105-00765531</t>
  </si>
  <si>
    <t>El Jumillano Ivess</t>
  </si>
  <si>
    <t>Debito automatico</t>
  </si>
  <si>
    <t>105-00765603</t>
  </si>
  <si>
    <t>105-00769128</t>
  </si>
  <si>
    <t>105-00769091</t>
  </si>
  <si>
    <t>105-00771663</t>
  </si>
  <si>
    <t>105-00771759</t>
  </si>
  <si>
    <t>105-00775411</t>
  </si>
  <si>
    <t>105-00775334</t>
  </si>
  <si>
    <t>00004-00010672</t>
  </si>
  <si>
    <t>Quesada</t>
  </si>
  <si>
    <t>00002-00000089</t>
  </si>
  <si>
    <t>T189349920</t>
  </si>
  <si>
    <t>07008-00007582</t>
  </si>
  <si>
    <t>Pinturerias Prestigio</t>
  </si>
  <si>
    <t>Materiales Garibaldi</t>
  </si>
  <si>
    <t>0358-00005418</t>
  </si>
  <si>
    <t>Pinturerias Rex SA</t>
  </si>
  <si>
    <t>0358-00005403</t>
  </si>
  <si>
    <t>0044-00016468</t>
  </si>
  <si>
    <t>Pinturerias Ogus</t>
  </si>
  <si>
    <t>0001-00019511</t>
  </si>
  <si>
    <t>Mesatel SA</t>
  </si>
  <si>
    <t>T194673536</t>
  </si>
  <si>
    <t>Expensas local 92</t>
  </si>
  <si>
    <t>0001-00019529</t>
  </si>
  <si>
    <t>T194673918</t>
  </si>
  <si>
    <t>Expensas local 120-121</t>
  </si>
  <si>
    <t>1043-01389353</t>
  </si>
  <si>
    <t>AMX Argentina SA (claro)</t>
  </si>
  <si>
    <t>TC</t>
  </si>
  <si>
    <t>0018-00025253</t>
  </si>
  <si>
    <t>00003-00000802</t>
  </si>
  <si>
    <t>Moncada Linari Sociedad de Hecho de Orlando</t>
  </si>
  <si>
    <t>00003-00000490</t>
  </si>
  <si>
    <t>Manolio Mariano Sergio</t>
  </si>
  <si>
    <t>15/0372021</t>
  </si>
  <si>
    <t>T196771798</t>
  </si>
  <si>
    <t>00004-00010747</t>
  </si>
  <si>
    <t>T194289709</t>
  </si>
  <si>
    <t>00007-00006248</t>
  </si>
  <si>
    <t>Catilsa SA</t>
  </si>
  <si>
    <t xml:space="preserve">Ch 211 25/03 $35904.33       Ch 211 25/03 $35904.33  </t>
  </si>
  <si>
    <t>0018-00025271</t>
  </si>
  <si>
    <t>2220-00041284</t>
  </si>
  <si>
    <t>EFECTIVO</t>
  </si>
  <si>
    <t>00001-00000022</t>
  </si>
  <si>
    <t>Rebollo Mateo Martin</t>
  </si>
  <si>
    <t>T194427074</t>
  </si>
  <si>
    <t>0002-00027198</t>
  </si>
  <si>
    <t>T194633841</t>
  </si>
  <si>
    <t>0004-00003866</t>
  </si>
  <si>
    <t>T194512098</t>
  </si>
  <si>
    <t>0034-00000646</t>
  </si>
  <si>
    <t>Casa Ianoda</t>
  </si>
  <si>
    <t>00003-00001934</t>
  </si>
  <si>
    <t>Volquetes Huergo</t>
  </si>
  <si>
    <t>00003-00001925</t>
  </si>
  <si>
    <t>00010-00001745</t>
  </si>
  <si>
    <t>Gaya  Mario Alberto</t>
  </si>
  <si>
    <t>T1967721222</t>
  </si>
  <si>
    <t>0004-00003838</t>
  </si>
  <si>
    <t>NC 00004- 00000479</t>
  </si>
  <si>
    <t>6723-01372116</t>
  </si>
  <si>
    <t>Telecom Argentina SA</t>
  </si>
  <si>
    <t>Sueldos Enero Pagados en Febrero</t>
  </si>
  <si>
    <t xml:space="preserve">Pagos Banco Credicoop </t>
  </si>
  <si>
    <t xml:space="preserve">Recibo </t>
  </si>
  <si>
    <t>Prestamo Banco 20/01</t>
  </si>
  <si>
    <t>Diferencia SAC</t>
  </si>
  <si>
    <t>Depositado el 04/02</t>
  </si>
  <si>
    <t>ARGAÑARAZ ADRIAN ENRIQUE</t>
  </si>
  <si>
    <t>CACERES JAVIER JOSE</t>
  </si>
  <si>
    <t>SIERRA ROSA ALBA</t>
  </si>
  <si>
    <t>BENITEZ NILVIO ARIEL</t>
  </si>
  <si>
    <t>HIDALGO DE JESUS RUBEN</t>
  </si>
  <si>
    <t>MOYA LUCAS HERNAN</t>
  </si>
  <si>
    <t>CAMPOS NORMAN ENRIQUE</t>
  </si>
  <si>
    <t>REISING JOSE</t>
  </si>
  <si>
    <t>Omarlin Castellin</t>
  </si>
  <si>
    <t>Ortiz Jorgimag</t>
  </si>
  <si>
    <t>Pagos otros Bancos</t>
  </si>
  <si>
    <t>Depositado el 05/02</t>
  </si>
  <si>
    <t>Cabovianco Natalia</t>
  </si>
  <si>
    <t>Yaski Olivia</t>
  </si>
  <si>
    <t>Puentes Brenda</t>
  </si>
  <si>
    <t>Agustina de zan</t>
  </si>
  <si>
    <t>Katerine Solano</t>
  </si>
  <si>
    <t>JIMENEZ MAURICIO GABRIEL</t>
  </si>
  <si>
    <t>ARIAS JUAN MARCOS</t>
  </si>
  <si>
    <t>NELSON MAYORGA</t>
  </si>
  <si>
    <t>VICTOR LEANDRO ESPINOLA</t>
  </si>
  <si>
    <t>ALDANA BEATRIZ VARELA GOMEZ</t>
  </si>
  <si>
    <t xml:space="preserve">JOSE IGNACIO SEQUEIRA </t>
  </si>
  <si>
    <t>Camila Cabrera </t>
  </si>
  <si>
    <t>Sasha Rangel</t>
  </si>
  <si>
    <t>Lautaro Castiglia</t>
  </si>
  <si>
    <t xml:space="preserve">Alejandra Galan </t>
  </si>
  <si>
    <t xml:space="preserve">Total </t>
  </si>
  <si>
    <t>YKK</t>
  </si>
  <si>
    <t>Persiantex</t>
  </si>
  <si>
    <t>Arena</t>
  </si>
  <si>
    <t>OSDE (cuota 1)</t>
  </si>
  <si>
    <t>Aktion</t>
  </si>
  <si>
    <t xml:space="preserve">2DO PRESTAMO CREDICOOP </t>
  </si>
  <si>
    <t>Expensas y ABL Madero</t>
  </si>
  <si>
    <t>Gaya</t>
  </si>
  <si>
    <t>Koffman</t>
  </si>
  <si>
    <t>First medical</t>
  </si>
  <si>
    <t xml:space="preserve">Cheques + honorarios </t>
  </si>
  <si>
    <t xml:space="preserve">Cargas Enero </t>
  </si>
  <si>
    <t>Banco</t>
  </si>
  <si>
    <t>OSDE (cuota 2)</t>
  </si>
  <si>
    <t>Ykk</t>
  </si>
  <si>
    <t>Osde 2</t>
  </si>
  <si>
    <t>Osde 3</t>
  </si>
  <si>
    <t>JUEVES</t>
  </si>
  <si>
    <t>VIERNES</t>
  </si>
  <si>
    <t>Total</t>
  </si>
  <si>
    <t>Alquiler local 92 (El lucero)</t>
  </si>
  <si>
    <t>Alquiler ocal 120-121 (Accesories)</t>
  </si>
  <si>
    <t xml:space="preserve">Luciano </t>
  </si>
  <si>
    <t>00003-00000881</t>
  </si>
  <si>
    <t>Integral Team Service SA</t>
  </si>
  <si>
    <t>Nota de Credito</t>
  </si>
  <si>
    <t>00003-00000882</t>
  </si>
  <si>
    <t>00003-00000883</t>
  </si>
  <si>
    <t>00003-000004824</t>
  </si>
  <si>
    <t>Pariglia SRL</t>
  </si>
  <si>
    <t>16/04/2021 - 29/04/2021</t>
  </si>
  <si>
    <t>CH9213 - CH9214</t>
  </si>
  <si>
    <t>0003-00021234</t>
  </si>
  <si>
    <t>Rouez S.A</t>
  </si>
  <si>
    <t>CH9215</t>
  </si>
  <si>
    <t>00004-00002605</t>
  </si>
  <si>
    <t>0006-00001480</t>
  </si>
  <si>
    <t>Tademar de Diego Adrian Rua</t>
  </si>
  <si>
    <t>T195580213</t>
  </si>
  <si>
    <t>00006-00001497</t>
  </si>
  <si>
    <t>Tademar de Rua Diego Adrian</t>
  </si>
  <si>
    <t>T196300730</t>
  </si>
  <si>
    <t>0021-00016352</t>
  </si>
  <si>
    <t>Ikorso SRL</t>
  </si>
  <si>
    <t>T14020987963</t>
  </si>
  <si>
    <t>00004-00000275</t>
  </si>
  <si>
    <t>Perini Nicolas Hector</t>
  </si>
  <si>
    <t>MP9517627803</t>
  </si>
  <si>
    <t>00001-00000001</t>
  </si>
  <si>
    <t>Principe Antonela</t>
  </si>
  <si>
    <t>10/02/2021 - 05/03/2021</t>
  </si>
  <si>
    <t>T193076075 - T195535766</t>
  </si>
  <si>
    <t>00003-00007337</t>
  </si>
  <si>
    <t>CH195</t>
  </si>
  <si>
    <t>00002-00000073</t>
  </si>
  <si>
    <t>Chavez Sofia Beatriz</t>
  </si>
  <si>
    <t>T194570487</t>
  </si>
  <si>
    <t>00002-00000091</t>
  </si>
  <si>
    <t>Rimoli Emiliano Javier</t>
  </si>
  <si>
    <t>Diferencia cobrada en efectivo</t>
  </si>
  <si>
    <t>0026-00109078</t>
  </si>
  <si>
    <t>MercadoLibre SRL</t>
  </si>
  <si>
    <t>00005-00000074</t>
  </si>
  <si>
    <t>Casa Miguel</t>
  </si>
  <si>
    <t>03/03/2021 - 03/03/2021</t>
  </si>
  <si>
    <t>T195166743 - T195156339</t>
  </si>
  <si>
    <t>0002-00014127</t>
  </si>
  <si>
    <t>Curti Marcelo Fabian</t>
  </si>
  <si>
    <t>000008-00002410</t>
  </si>
  <si>
    <t>Papelera Iriarte SRL</t>
  </si>
  <si>
    <t>T195378582</t>
  </si>
  <si>
    <t>AFIP</t>
  </si>
  <si>
    <t>T195544754</t>
  </si>
  <si>
    <t>0004-00028818</t>
  </si>
  <si>
    <t>La Casa de las Cajas SA</t>
  </si>
  <si>
    <t>T195041515</t>
  </si>
  <si>
    <t>Sueldos Febrero Pagados en Marzo</t>
  </si>
  <si>
    <t xml:space="preserve">Depositado el </t>
  </si>
  <si>
    <t>Lucia</t>
  </si>
  <si>
    <t>Gonzalez Karen</t>
  </si>
  <si>
    <t>PROVEEDORES</t>
  </si>
  <si>
    <t>CONDICION</t>
  </si>
  <si>
    <t>Akfra</t>
  </si>
  <si>
    <t>CH 45</t>
  </si>
  <si>
    <t>Apholos</t>
  </si>
  <si>
    <t>CH 60</t>
  </si>
  <si>
    <t>Beltex (Textil)</t>
  </si>
  <si>
    <t>CH 90</t>
  </si>
  <si>
    <t xml:space="preserve">Maquinas Acropolis </t>
  </si>
  <si>
    <t>CH 30 60 Y 90</t>
  </si>
  <si>
    <t>Napolitana</t>
  </si>
  <si>
    <t>CH 60 Y 90</t>
  </si>
  <si>
    <t>Natal Film</t>
  </si>
  <si>
    <t>Omar Cinturones</t>
  </si>
  <si>
    <t>50% Contado - %50 CH 30</t>
  </si>
  <si>
    <t>Panczuch</t>
  </si>
  <si>
    <t>Transferencia</t>
  </si>
  <si>
    <t>Papelera Vieytes</t>
  </si>
  <si>
    <t>Paso del Rey</t>
  </si>
  <si>
    <t>Persiantex (cintas)</t>
  </si>
  <si>
    <t>Romi Pack</t>
  </si>
  <si>
    <t>Rouez</t>
  </si>
  <si>
    <t>Cta Cte USD</t>
  </si>
  <si>
    <t>Schuster</t>
  </si>
  <si>
    <t>50% Contado - %50 CH 30 y 60</t>
  </si>
  <si>
    <t xml:space="preserve"> </t>
  </si>
  <si>
    <t>Tecmatex</t>
  </si>
  <si>
    <t>CH 30</t>
  </si>
  <si>
    <t>YAMAN</t>
  </si>
  <si>
    <t>CH 45 Y 60</t>
  </si>
  <si>
    <t xml:space="preserve">CH 60 </t>
  </si>
  <si>
    <t>Angel Arena</t>
  </si>
  <si>
    <t>CH 30, 60, 90</t>
  </si>
  <si>
    <t>FM COLOR</t>
  </si>
  <si>
    <t>Librería Kurz</t>
  </si>
  <si>
    <t>IVESS</t>
  </si>
  <si>
    <t>ITS</t>
  </si>
  <si>
    <t>CH 30 o Transferencia</t>
  </si>
  <si>
    <t>PARIGLIA SRL</t>
  </si>
  <si>
    <t>CH 30, 60 o Transferencia</t>
  </si>
  <si>
    <t>Cheques y debitos automaticos Bancos</t>
  </si>
  <si>
    <t>federacion patronal de seguros</t>
  </si>
  <si>
    <t>Catelsa</t>
  </si>
  <si>
    <t>Facturas</t>
  </si>
  <si>
    <t>Alquiler local 92 El lucero</t>
  </si>
  <si>
    <t>Alquiler local 120-121 AS</t>
  </si>
  <si>
    <t>Expensas 92</t>
  </si>
  <si>
    <t>Expensas 120-121</t>
  </si>
  <si>
    <t>Volquetes</t>
  </si>
  <si>
    <t>Debito</t>
  </si>
  <si>
    <t>Credito</t>
  </si>
  <si>
    <t>El Lucero Recoleta</t>
  </si>
  <si>
    <t>El Lucero San telmo</t>
  </si>
  <si>
    <t>Accesories</t>
  </si>
  <si>
    <t xml:space="preserve">CUOTA </t>
  </si>
  <si>
    <t>Angel Arenas</t>
  </si>
  <si>
    <t xml:space="preserve">Holando seguros </t>
  </si>
  <si>
    <t>Pariglia srl</t>
  </si>
  <si>
    <t>Distri Aires SRL</t>
  </si>
  <si>
    <t>Del 12 al 16</t>
  </si>
  <si>
    <t>Recoleta Enero</t>
  </si>
  <si>
    <t>CANON LOCATIVO BÁSICO</t>
  </si>
  <si>
    <t>FONDO PROMOCIÓN PERMANENTE</t>
  </si>
  <si>
    <t>RENDICIÓN EXPENSAS</t>
  </si>
  <si>
    <t>Catilsa</t>
  </si>
  <si>
    <t>Eduardo roca</t>
  </si>
  <si>
    <t xml:space="preserve">Volquetes </t>
  </si>
  <si>
    <t>Expensas Madero</t>
  </si>
  <si>
    <t>Examenes Medicos</t>
  </si>
  <si>
    <t>Recoleta Febrero</t>
  </si>
  <si>
    <t>MES</t>
  </si>
  <si>
    <t>FECHA DE EMISION</t>
  </si>
  <si>
    <t>TIPO DOCUMENTO</t>
  </si>
  <si>
    <t>NUMERO DOCUMENTO</t>
  </si>
  <si>
    <t>PROVEEDOR</t>
  </si>
  <si>
    <t xml:space="preserve">REGISTRADO EN </t>
  </si>
  <si>
    <t>CLASIFICACION</t>
  </si>
  <si>
    <t>IMPUTACION</t>
  </si>
  <si>
    <t>CECO</t>
  </si>
  <si>
    <t>CASH FLOW</t>
  </si>
  <si>
    <t>CUIT Proveedor</t>
  </si>
  <si>
    <t>Neto Gravado</t>
  </si>
  <si>
    <t>Alic.</t>
  </si>
  <si>
    <t>IVA</t>
  </si>
  <si>
    <t>Exento/NG</t>
  </si>
  <si>
    <t>Per.IVA</t>
  </si>
  <si>
    <t>Percepcion IIBB CABA</t>
  </si>
  <si>
    <t>Percepcion IIBB Buenos Aires</t>
  </si>
  <si>
    <t>Per. IIBB</t>
  </si>
  <si>
    <t>Imp.Int</t>
  </si>
  <si>
    <t>IVA suntuario (25%)</t>
  </si>
  <si>
    <t>Otros tributos</t>
  </si>
  <si>
    <t>VENCIMIENTO // PAGO</t>
  </si>
  <si>
    <t>ESTADO</t>
  </si>
  <si>
    <t>ENTIDAD</t>
  </si>
  <si>
    <t>FORMA DE PAGO</t>
  </si>
  <si>
    <t>OBSERVACIONES</t>
  </si>
  <si>
    <t>#</t>
  </si>
  <si>
    <t>SOLAPA</t>
  </si>
  <si>
    <t>RA</t>
  </si>
  <si>
    <t>LIBRO IVA</t>
  </si>
  <si>
    <t>GASTO</t>
  </si>
  <si>
    <t>ALQUILER</t>
  </si>
  <si>
    <t>COM LUCERO FRENCH</t>
  </si>
  <si>
    <t>Alquileres y expensas tiendas</t>
  </si>
  <si>
    <t>PAGO</t>
  </si>
  <si>
    <t>CREDICOOP</t>
  </si>
  <si>
    <t>TF</t>
  </si>
  <si>
    <t>CAJA CHICA</t>
  </si>
  <si>
    <t>FA</t>
  </si>
  <si>
    <t>Alquileres y expensas dep/ofic</t>
  </si>
  <si>
    <t>BBVA</t>
  </si>
  <si>
    <t>FORTIN MAURE S. A.</t>
  </si>
  <si>
    <t>COM LUCERO RECOLETA</t>
  </si>
  <si>
    <t>S/C</t>
  </si>
  <si>
    <t>EXPENSAS</t>
  </si>
  <si>
    <t>MESATEL SA</t>
  </si>
  <si>
    <t>COM LUCERO ST</t>
  </si>
  <si>
    <t>NCA</t>
  </si>
  <si>
    <t>FC</t>
  </si>
  <si>
    <t>PROVINCIA</t>
  </si>
  <si>
    <t>PASIVO</t>
  </si>
  <si>
    <t>AFIP - SUSS, FSP y Sindicatos</t>
  </si>
  <si>
    <t>COMERCIAL</t>
  </si>
  <si>
    <t>INSUMOS</t>
  </si>
  <si>
    <t>TELEFONO/INTERNET</t>
  </si>
  <si>
    <t>Servicios</t>
  </si>
  <si>
    <t>MANUAL</t>
  </si>
  <si>
    <t>ENERGIA ELECTRICA</t>
  </si>
  <si>
    <t>MP</t>
  </si>
  <si>
    <t>EDESUR</t>
  </si>
  <si>
    <t>TELECOM ARGENTINA SOCIEDAD ANONIMA</t>
  </si>
  <si>
    <t>Mantenimiento tiendas/Depósitos</t>
  </si>
  <si>
    <t>MANTENIMIENTO (FUMIGACION)</t>
  </si>
  <si>
    <t>PRORRATEAR</t>
  </si>
  <si>
    <t>MANTENIMIENTO FABRICA</t>
  </si>
  <si>
    <t>RETAMAR VICTOR ARMANDO</t>
  </si>
  <si>
    <t>COM LUCERO ST 2</t>
  </si>
  <si>
    <t>NDA</t>
  </si>
  <si>
    <t>CENTRO EMPLEADOS COMERCIO QUILMES</t>
  </si>
  <si>
    <t>SINDICATOS A PAGAR</t>
  </si>
  <si>
    <t>CARREIRA MANUEL ALBERTO</t>
  </si>
  <si>
    <t>AYSA</t>
  </si>
  <si>
    <t>SERVICIOS</t>
  </si>
  <si>
    <t>pagos a proveedores</t>
  </si>
  <si>
    <t>GALERIA GENERAL GUEMES SOCIEDAD ANONIMA INMOBILIARIA S. A.</t>
  </si>
  <si>
    <t>COM LUCERO GUEMES</t>
  </si>
  <si>
    <t>COM GONDOLA 07 GUEMES</t>
  </si>
  <si>
    <t>MANOLIO MARIANO SERGIO</t>
  </si>
  <si>
    <t>ECHEQ</t>
  </si>
  <si>
    <t>COM LOCAL 04 GUEMES</t>
  </si>
  <si>
    <t>SOLAR DE FRENCH</t>
  </si>
  <si>
    <t>00002-00000043</t>
  </si>
  <si>
    <t>SANES JUAN MANUEL</t>
  </si>
  <si>
    <t>ALARMAS</t>
  </si>
  <si>
    <t>SALDOS Y PROYECCION</t>
  </si>
  <si>
    <t>COM GONDOLA 13 GUEMES</t>
  </si>
  <si>
    <t>00001-00000077</t>
  </si>
  <si>
    <t>FIDEICOMISO LAGUNA OSCURA</t>
  </si>
  <si>
    <t>ABL</t>
  </si>
  <si>
    <t>SOLAPA GASTOS NO INCLUIDOS EN ALQUILERES Y EXPENSAS</t>
  </si>
  <si>
    <t>MOVIMIENTOS PATRIMONIALES</t>
  </si>
  <si>
    <t>SOLAPA ALQUILERES Y EXPENSAS CUADRO 1</t>
  </si>
  <si>
    <t>22/07/2025</t>
  </si>
  <si>
    <t>10/07/2025</t>
  </si>
  <si>
    <t>00007-00081472</t>
  </si>
  <si>
    <t>BP IMPORT S.R.L.</t>
  </si>
  <si>
    <t>Pagos a Proveedores</t>
  </si>
  <si>
    <t>00007-00081473</t>
  </si>
  <si>
    <t>00007-00081474</t>
  </si>
  <si>
    <t>00007-00081475</t>
  </si>
  <si>
    <t>00002-00001476</t>
  </si>
  <si>
    <t xml:space="preserve">MANTENIMIENTO </t>
  </si>
  <si>
    <t>18/07/2025</t>
  </si>
  <si>
    <t>00011-00008041</t>
  </si>
  <si>
    <t>CERRADURAS &amp; HERRAJES VEIGA SRL</t>
  </si>
  <si>
    <t>00011-00008186</t>
  </si>
  <si>
    <t>0501-02636593</t>
  </si>
  <si>
    <t>COM FLORIDA LUCERO CUERO</t>
  </si>
  <si>
    <t>0501-02636038</t>
  </si>
  <si>
    <t>9904-0245536217</t>
  </si>
  <si>
    <t>0501-02743414</t>
  </si>
  <si>
    <t>0501-02743784</t>
  </si>
  <si>
    <t>0501-02737820</t>
  </si>
  <si>
    <t>0501-02737819</t>
  </si>
  <si>
    <t>0501-02731127</t>
  </si>
  <si>
    <t>0501-02735148</t>
  </si>
  <si>
    <t>00001-00000113</t>
  </si>
  <si>
    <t>00030-00090767</t>
  </si>
  <si>
    <t>00030-00090846</t>
  </si>
  <si>
    <t>00003-00019029</t>
  </si>
  <si>
    <t>00003-00019035</t>
  </si>
  <si>
    <t>00003-00019045</t>
  </si>
  <si>
    <t>00003-00019054</t>
  </si>
  <si>
    <t>00003-00000996</t>
  </si>
  <si>
    <t>COM LUCERO GUEMES LOCAL 08</t>
  </si>
  <si>
    <t>00003-00007939</t>
  </si>
  <si>
    <t>00003-00007941</t>
  </si>
  <si>
    <t>00001-00000075</t>
  </si>
  <si>
    <t>00001-00000076</t>
  </si>
  <si>
    <t>04264-05746386</t>
  </si>
  <si>
    <t>04264-05624998</t>
  </si>
  <si>
    <t>04264-05647876</t>
  </si>
  <si>
    <t>04264-05658214</t>
  </si>
  <si>
    <t>00002-00001141</t>
  </si>
  <si>
    <t>TOP 3 SRL</t>
  </si>
  <si>
    <t>prorratear</t>
  </si>
  <si>
    <t>TIPO DOC.</t>
  </si>
  <si>
    <t>REGISTRADO EN</t>
  </si>
  <si>
    <t>Percepcion IIBB BA</t>
  </si>
  <si>
    <t>VTO // PAGO</t>
  </si>
  <si>
    <t>EST</t>
  </si>
  <si>
    <t>ENTE</t>
  </si>
  <si>
    <t>F. PAGO</t>
  </si>
  <si>
    <t>NC</t>
  </si>
  <si>
    <t>00002-00000213</t>
  </si>
  <si>
    <t>MAGECA  S A</t>
  </si>
  <si>
    <t>00002-00000215</t>
  </si>
  <si>
    <t>00002-00000061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</si>
</sst>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$&quot;\ * #,##0.00_-;\-&quot;$&quot;\ * #,##0.00_-;_-&quot;$&quot;\ * &quot;-&quot;??_-;_-@"/>
    <numFmt numFmtId="165" formatCode="_-&quot;$&quot;* #,##0.00_-;\-&quot;$&quot;* #,##0.00_-;_-&quot;$&quot;* &quot;-&quot;??_-;_-@"/>
    <numFmt numFmtId="166" formatCode="_ &quot;$&quot;\ * #,##0.00_ ;_ &quot;$&quot;\ * \-#,##0.00_ ;_ &quot;$&quot;\ * &quot;-&quot;??_ ;_ @_ "/>
    <numFmt numFmtId="167" formatCode="dd&quot;/&quot;mm&quot;/&quot;yyyy"/>
    <numFmt numFmtId="168" formatCode="[$ $]#,##0.00"/>
    <numFmt numFmtId="169" formatCode="&quot;-&quot;mmm&quot;-&quot;yy"/>
    <numFmt numFmtId="170" formatCode="_-[$$-2C0A]\ * #,##0.00_-;\-[$$-2C0A]\ * #,##0.00_-;_-[$$-2C0A]\ * &quot;-&quot;??_-;_-@"/>
  </numFmts>
  <fonts count="29" x14ac:knownFonts="1">
    <font>
      <sz val="11"/>
      <color theme="1"/>
      <name val="Calibri"/>
      <scheme val="minor"/>
    </font>
    <font>
      <b/>
      <sz val="12"/>
      <color rgb="FF201F1E"/>
      <name val="Quattrocento Sans"/>
    </font>
    <font>
      <sz val="12"/>
      <color rgb="FF201F1E"/>
      <name val="Quattrocento Sans"/>
    </font>
    <font>
      <sz val="12"/>
      <color theme="1"/>
      <name val="Quattrocento Sans"/>
    </font>
    <font>
      <sz val="11"/>
      <color theme="1"/>
      <name val="Calibri"/>
    </font>
    <font>
      <sz val="11"/>
      <color rgb="FF201F1E"/>
      <name val="Quattrocento Sans"/>
    </font>
    <font>
      <sz val="11"/>
      <name val="Calibri"/>
    </font>
    <font>
      <sz val="12"/>
      <color rgb="FFFF0000"/>
      <name val="Quattrocento Sans"/>
    </font>
    <font>
      <sz val="12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"/>
      <name val="Quattrocento Sans"/>
    </font>
    <font>
      <b/>
      <sz val="12"/>
      <color rgb="FFFF0000"/>
      <name val="Calibri"/>
    </font>
    <font>
      <sz val="12"/>
      <color rgb="FFFF0000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u/>
      <sz val="16"/>
      <color theme="1"/>
      <name val="Calibri"/>
    </font>
    <font>
      <sz val="16"/>
      <color theme="1"/>
      <name val="Calibri"/>
    </font>
    <font>
      <b/>
      <sz val="10"/>
      <color rgb="FF666666"/>
      <name val="Calibri"/>
    </font>
    <font>
      <b/>
      <sz val="10"/>
      <color theme="1"/>
      <name val="Calibri"/>
    </font>
    <font>
      <sz val="11"/>
      <color theme="1"/>
      <name val="Calibri"/>
      <scheme val="minor"/>
    </font>
    <font>
      <sz val="10"/>
      <color rgb="FF000000"/>
      <name val="Calibri"/>
    </font>
    <font>
      <sz val="10"/>
      <color theme="1"/>
      <name val="Calibri"/>
    </font>
    <font>
      <sz val="10"/>
      <color theme="0"/>
      <name val="Calibri"/>
    </font>
    <font>
      <sz val="10"/>
      <color rgb="FFFFFFFF"/>
      <name val="Calibri"/>
    </font>
    <font>
      <sz val="10"/>
      <color rgb="FFFF0000"/>
      <name val="Calibri"/>
    </font>
    <font>
      <sz val="10"/>
      <color theme="1"/>
      <name val="Calibri"/>
      <scheme val="minor"/>
    </font>
    <font>
      <b/>
      <u/>
      <sz val="1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000000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1C4587"/>
        <bgColor rgb="FF1C458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14" fontId="1" fillId="3" borderId="1" xfId="0" applyNumberFormat="1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vertical="center"/>
    </xf>
    <xf numFmtId="14" fontId="2" fillId="0" borderId="3" xfId="0" applyNumberFormat="1" applyFont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4" fontId="2" fillId="4" borderId="3" xfId="0" applyNumberFormat="1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left" vertical="center"/>
    </xf>
    <xf numFmtId="0" fontId="4" fillId="0" borderId="0" xfId="0" applyFont="1"/>
    <xf numFmtId="164" fontId="5" fillId="4" borderId="3" xfId="0" applyNumberFormat="1" applyFont="1" applyFill="1" applyBorder="1" applyAlignment="1">
      <alignment horizontal="left" vertical="center"/>
    </xf>
    <xf numFmtId="164" fontId="5" fillId="4" borderId="3" xfId="0" applyNumberFormat="1" applyFont="1" applyFill="1" applyBorder="1" applyAlignment="1">
      <alignment horizontal="left" vertical="center" wrapText="1"/>
    </xf>
    <xf numFmtId="164" fontId="2" fillId="0" borderId="3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horizontal="left" vertical="center" wrapText="1"/>
    </xf>
    <xf numFmtId="0" fontId="4" fillId="0" borderId="3" xfId="0" applyFont="1" applyBorder="1"/>
    <xf numFmtId="14" fontId="4" fillId="0" borderId="3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/>
    </xf>
    <xf numFmtId="17" fontId="2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wrapText="1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  <xf numFmtId="0" fontId="10" fillId="5" borderId="1" xfId="0" applyFont="1" applyFill="1" applyBorder="1"/>
    <xf numFmtId="0" fontId="10" fillId="5" borderId="1" xfId="0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vertical="center"/>
    </xf>
    <xf numFmtId="164" fontId="2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165" fontId="3" fillId="0" borderId="0" xfId="0" applyNumberFormat="1" applyFont="1"/>
    <xf numFmtId="164" fontId="1" fillId="0" borderId="0" xfId="0" applyNumberFormat="1" applyFont="1"/>
    <xf numFmtId="165" fontId="11" fillId="0" borderId="0" xfId="0" applyNumberFormat="1" applyFont="1"/>
    <xf numFmtId="164" fontId="1" fillId="0" borderId="0" xfId="0" applyNumberFormat="1" applyFont="1" applyAlignment="1">
      <alignment horizontal="left"/>
    </xf>
    <xf numFmtId="14" fontId="8" fillId="0" borderId="0" xfId="0" applyNumberFormat="1" applyFont="1"/>
    <xf numFmtId="14" fontId="12" fillId="0" borderId="0" xfId="0" applyNumberFormat="1" applyFont="1"/>
    <xf numFmtId="166" fontId="13" fillId="0" borderId="0" xfId="0" applyNumberFormat="1" applyFont="1"/>
    <xf numFmtId="166" fontId="4" fillId="0" borderId="0" xfId="0" applyNumberFormat="1" applyFont="1"/>
    <xf numFmtId="0" fontId="14" fillId="0" borderId="3" xfId="0" applyFont="1" applyBorder="1" applyAlignment="1">
      <alignment wrapText="1"/>
    </xf>
    <xf numFmtId="164" fontId="4" fillId="0" borderId="3" xfId="0" applyNumberFormat="1" applyFont="1" applyBorder="1"/>
    <xf numFmtId="14" fontId="14" fillId="0" borderId="3" xfId="0" applyNumberFormat="1" applyFont="1" applyBorder="1"/>
    <xf numFmtId="0" fontId="4" fillId="0" borderId="3" xfId="0" applyFont="1" applyBorder="1" applyAlignment="1">
      <alignment wrapText="1"/>
    </xf>
    <xf numFmtId="164" fontId="4" fillId="6" borderId="3" xfId="0" applyNumberFormat="1" applyFont="1" applyFill="1" applyBorder="1"/>
    <xf numFmtId="14" fontId="4" fillId="0" borderId="3" xfId="0" applyNumberFormat="1" applyFont="1" applyBorder="1"/>
    <xf numFmtId="164" fontId="14" fillId="0" borderId="0" xfId="0" applyNumberFormat="1" applyFont="1"/>
    <xf numFmtId="166" fontId="10" fillId="0" borderId="0" xfId="0" applyNumberFormat="1" applyFont="1"/>
    <xf numFmtId="0" fontId="10" fillId="0" borderId="0" xfId="0" applyFont="1" applyAlignment="1">
      <alignment horizontal="left"/>
    </xf>
    <xf numFmtId="166" fontId="14" fillId="0" borderId="0" xfId="0" applyNumberFormat="1" applyFont="1"/>
    <xf numFmtId="0" fontId="14" fillId="6" borderId="3" xfId="0" applyFont="1" applyFill="1" applyBorder="1" applyAlignment="1">
      <alignment wrapText="1"/>
    </xf>
    <xf numFmtId="164" fontId="10" fillId="6" borderId="3" xfId="0" applyNumberFormat="1" applyFont="1" applyFill="1" applyBorder="1"/>
    <xf numFmtId="14" fontId="14" fillId="6" borderId="3" xfId="0" applyNumberFormat="1" applyFont="1" applyFill="1" applyBorder="1"/>
    <xf numFmtId="0" fontId="15" fillId="0" borderId="0" xfId="0" applyFont="1"/>
    <xf numFmtId="164" fontId="10" fillId="4" borderId="3" xfId="0" applyNumberFormat="1" applyFont="1" applyFill="1" applyBorder="1"/>
    <xf numFmtId="2" fontId="14" fillId="0" borderId="3" xfId="0" applyNumberFormat="1" applyFont="1" applyBorder="1"/>
    <xf numFmtId="0" fontId="8" fillId="0" borderId="0" xfId="0" applyFont="1" applyAlignment="1">
      <alignment horizontal="left"/>
    </xf>
    <xf numFmtId="16" fontId="4" fillId="0" borderId="0" xfId="0" applyNumberFormat="1" applyFont="1"/>
    <xf numFmtId="164" fontId="4" fillId="0" borderId="0" xfId="0" applyNumberFormat="1" applyFont="1"/>
    <xf numFmtId="0" fontId="16" fillId="0" borderId="3" xfId="0" applyFont="1" applyBorder="1" applyAlignment="1">
      <alignment wrapText="1"/>
    </xf>
    <xf numFmtId="164" fontId="16" fillId="0" borderId="3" xfId="0" applyNumberFormat="1" applyFont="1" applyBorder="1"/>
    <xf numFmtId="14" fontId="16" fillId="0" borderId="3" xfId="0" applyNumberFormat="1" applyFont="1" applyBorder="1"/>
    <xf numFmtId="0" fontId="15" fillId="6" borderId="3" xfId="0" applyFont="1" applyFill="1" applyBorder="1" applyAlignment="1">
      <alignment wrapText="1"/>
    </xf>
    <xf numFmtId="164" fontId="15" fillId="6" borderId="3" xfId="0" applyNumberFormat="1" applyFont="1" applyFill="1" applyBorder="1"/>
    <xf numFmtId="14" fontId="15" fillId="0" borderId="3" xfId="0" applyNumberFormat="1" applyFont="1" applyBorder="1"/>
    <xf numFmtId="0" fontId="15" fillId="6" borderId="10" xfId="0" applyFont="1" applyFill="1" applyBorder="1" applyAlignment="1">
      <alignment wrapText="1"/>
    </xf>
    <xf numFmtId="164" fontId="15" fillId="6" borderId="1" xfId="0" applyNumberFormat="1" applyFont="1" applyFill="1" applyBorder="1"/>
    <xf numFmtId="0" fontId="16" fillId="0" borderId="0" xfId="0" applyFont="1"/>
    <xf numFmtId="0" fontId="15" fillId="0" borderId="0" xfId="0" applyFont="1" applyAlignment="1">
      <alignment wrapText="1"/>
    </xf>
    <xf numFmtId="166" fontId="15" fillId="0" borderId="0" xfId="0" applyNumberFormat="1" applyFont="1"/>
    <xf numFmtId="164" fontId="1" fillId="3" borderId="2" xfId="0" applyNumberFormat="1" applyFont="1" applyFill="1" applyBorder="1" applyAlignment="1">
      <alignment vertical="center" wrapText="1"/>
    </xf>
    <xf numFmtId="14" fontId="2" fillId="0" borderId="3" xfId="0" applyNumberFormat="1" applyFont="1" applyBorder="1" applyAlignment="1">
      <alignment vertical="center"/>
    </xf>
    <xf numFmtId="17" fontId="2" fillId="0" borderId="3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wrapText="1"/>
    </xf>
    <xf numFmtId="164" fontId="14" fillId="7" borderId="2" xfId="0" applyNumberFormat="1" applyFont="1" applyFill="1" applyBorder="1"/>
    <xf numFmtId="0" fontId="14" fillId="0" borderId="6" xfId="0" applyFont="1" applyBorder="1" applyAlignment="1">
      <alignment wrapText="1"/>
    </xf>
    <xf numFmtId="0" fontId="14" fillId="0" borderId="0" xfId="0" applyFont="1" applyAlignment="1">
      <alignment wrapText="1"/>
    </xf>
    <xf numFmtId="164" fontId="14" fillId="7" borderId="1" xfId="0" applyNumberFormat="1" applyFont="1" applyFill="1" applyBorder="1"/>
    <xf numFmtId="0" fontId="14" fillId="0" borderId="0" xfId="0" applyFont="1"/>
    <xf numFmtId="0" fontId="14" fillId="7" borderId="1" xfId="0" applyFont="1" applyFill="1" applyBorder="1"/>
    <xf numFmtId="0" fontId="4" fillId="6" borderId="3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164" fontId="4" fillId="0" borderId="3" xfId="0" applyNumberFormat="1" applyFont="1" applyBorder="1" applyAlignment="1">
      <alignment horizontal="right"/>
    </xf>
    <xf numFmtId="0" fontId="19" fillId="2" borderId="1" xfId="0" applyFont="1" applyFill="1" applyBorder="1" applyAlignment="1">
      <alignment horizontal="center" vertical="center" wrapText="1"/>
    </xf>
    <xf numFmtId="167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8" fontId="20" fillId="2" borderId="1" xfId="0" applyNumberFormat="1" applyFont="1" applyFill="1" applyBorder="1" applyAlignment="1">
      <alignment horizontal="center" vertical="center" wrapText="1"/>
    </xf>
    <xf numFmtId="168" fontId="20" fillId="6" borderId="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3" fillId="8" borderId="1" xfId="0" applyFont="1" applyFill="1" applyBorder="1" applyAlignment="1">
      <alignment horizontal="center"/>
    </xf>
    <xf numFmtId="0" fontId="23" fillId="8" borderId="1" xfId="0" applyFont="1" applyFill="1" applyBorder="1"/>
    <xf numFmtId="168" fontId="23" fillId="8" borderId="1" xfId="0" applyNumberFormat="1" applyFont="1" applyFill="1" applyBorder="1"/>
    <xf numFmtId="0" fontId="22" fillId="2" borderId="1" xfId="0" applyFont="1" applyFill="1" applyBorder="1" applyAlignment="1">
      <alignment horizontal="left"/>
    </xf>
    <xf numFmtId="170" fontId="23" fillId="0" borderId="0" xfId="0" applyNumberFormat="1" applyFont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/>
    <xf numFmtId="1" fontId="25" fillId="9" borderId="1" xfId="0" applyNumberFormat="1" applyFont="1" applyFill="1" applyBorder="1"/>
    <xf numFmtId="169" fontId="23" fillId="2" borderId="1" xfId="0" applyNumberFormat="1" applyFont="1" applyFill="1" applyBorder="1"/>
    <xf numFmtId="0" fontId="25" fillId="8" borderId="1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23" fillId="2" borderId="1" xfId="0" applyFont="1" applyFill="1" applyBorder="1" applyAlignment="1">
      <alignment vertical="top"/>
    </xf>
    <xf numFmtId="0" fontId="23" fillId="0" borderId="1" xfId="0" applyFont="1" applyBorder="1"/>
    <xf numFmtId="0" fontId="23" fillId="2" borderId="0" xfId="0" applyFont="1" applyFill="1"/>
    <xf numFmtId="0" fontId="26" fillId="0" borderId="0" xfId="0" applyFont="1"/>
    <xf numFmtId="0" fontId="23" fillId="4" borderId="1" xfId="0" applyFont="1" applyFill="1" applyBorder="1" applyAlignment="1">
      <alignment horizontal="center"/>
    </xf>
    <xf numFmtId="0" fontId="23" fillId="0" borderId="0" xfId="0" applyFont="1" applyAlignment="1">
      <alignment horizontal="right"/>
    </xf>
    <xf numFmtId="167" fontId="23" fillId="2" borderId="1" xfId="0" applyNumberFormat="1" applyFont="1" applyFill="1" applyBorder="1" applyAlignment="1">
      <alignment vertical="top" wrapText="1"/>
    </xf>
    <xf numFmtId="170" fontId="23" fillId="8" borderId="1" xfId="0" applyNumberFormat="1" applyFont="1" applyFill="1" applyBorder="1"/>
    <xf numFmtId="167" fontId="23" fillId="0" borderId="0" xfId="0" applyNumberFormat="1" applyFont="1"/>
    <xf numFmtId="170" fontId="23" fillId="0" borderId="0" xfId="0" applyNumberFormat="1" applyFont="1"/>
    <xf numFmtId="168" fontId="23" fillId="0" borderId="0" xfId="0" applyNumberFormat="1" applyFont="1"/>
    <xf numFmtId="170" fontId="26" fillId="0" borderId="0" xfId="0" applyNumberFormat="1" applyFont="1"/>
    <xf numFmtId="0" fontId="22" fillId="2" borderId="0" xfId="0" applyFont="1" applyFill="1" applyAlignment="1">
      <alignment horizontal="left"/>
    </xf>
    <xf numFmtId="167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170" fontId="23" fillId="0" borderId="0" xfId="0" applyNumberFormat="1" applyFont="1" applyAlignment="1">
      <alignment horizontal="right"/>
    </xf>
    <xf numFmtId="168" fontId="23" fillId="0" borderId="0" xfId="0" applyNumberFormat="1" applyFont="1" applyAlignment="1">
      <alignment horizontal="right"/>
    </xf>
    <xf numFmtId="167" fontId="23" fillId="0" borderId="0" xfId="0" applyNumberFormat="1" applyFont="1" applyAlignment="1">
      <alignment horizontal="right"/>
    </xf>
    <xf numFmtId="170" fontId="23" fillId="4" borderId="0" xfId="0" applyNumberFormat="1" applyFont="1" applyFill="1" applyAlignment="1">
      <alignment horizontal="left"/>
    </xf>
    <xf numFmtId="170" fontId="23" fillId="8" borderId="0" xfId="0" applyNumberFormat="1" applyFont="1" applyFill="1"/>
    <xf numFmtId="168" fontId="23" fillId="8" borderId="0" xfId="0" applyNumberFormat="1" applyFont="1" applyFill="1"/>
    <xf numFmtId="167" fontId="23" fillId="2" borderId="0" xfId="0" applyNumberFormat="1" applyFont="1" applyFill="1" applyAlignment="1">
      <alignment vertical="top" wrapText="1"/>
    </xf>
    <xf numFmtId="0" fontId="23" fillId="8" borderId="0" xfId="0" applyFont="1" applyFill="1"/>
    <xf numFmtId="168" fontId="26" fillId="0" borderId="0" xfId="0" applyNumberFormat="1" applyFont="1" applyAlignment="1">
      <alignment horizontal="right"/>
    </xf>
    <xf numFmtId="170" fontId="22" fillId="0" borderId="0" xfId="0" applyNumberFormat="1" applyFont="1" applyAlignment="1">
      <alignment horizontal="left"/>
    </xf>
    <xf numFmtId="170" fontId="23" fillId="2" borderId="0" xfId="0" applyNumberFormat="1" applyFont="1" applyFill="1"/>
    <xf numFmtId="167" fontId="23" fillId="0" borderId="1" xfId="0" applyNumberFormat="1" applyFont="1" applyBorder="1"/>
    <xf numFmtId="0" fontId="24" fillId="8" borderId="1" xfId="0" applyFont="1" applyFill="1" applyBorder="1"/>
    <xf numFmtId="167" fontId="22" fillId="0" borderId="1" xfId="0" applyNumberFormat="1" applyFont="1" applyBorder="1" applyAlignment="1">
      <alignment horizontal="right"/>
    </xf>
    <xf numFmtId="170" fontId="23" fillId="0" borderId="1" xfId="0" applyNumberFormat="1" applyFont="1" applyBorder="1" applyAlignment="1">
      <alignment horizontal="right"/>
    </xf>
    <xf numFmtId="170" fontId="23" fillId="0" borderId="1" xfId="0" applyNumberFormat="1" applyFont="1" applyBorder="1"/>
    <xf numFmtId="168" fontId="23" fillId="0" borderId="1" xfId="0" applyNumberFormat="1" applyFont="1" applyBorder="1" applyAlignment="1">
      <alignment horizontal="right"/>
    </xf>
    <xf numFmtId="168" fontId="23" fillId="0" borderId="1" xfId="0" applyNumberFormat="1" applyFont="1" applyBorder="1"/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right"/>
    </xf>
    <xf numFmtId="1" fontId="25" fillId="0" borderId="0" xfId="0" applyNumberFormat="1" applyFont="1"/>
    <xf numFmtId="0" fontId="20" fillId="2" borderId="0" xfId="0" applyFont="1" applyFill="1" applyAlignment="1">
      <alignment horizontal="center" vertical="center" wrapText="1"/>
    </xf>
    <xf numFmtId="0" fontId="27" fillId="0" borderId="0" xfId="0" applyFont="1"/>
    <xf numFmtId="0" fontId="20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169" fontId="23" fillId="2" borderId="0" xfId="0" applyNumberFormat="1" applyFont="1" applyFill="1"/>
    <xf numFmtId="14" fontId="23" fillId="0" borderId="0" xfId="0" applyNumberFormat="1" applyFont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170" fontId="26" fillId="2" borderId="0" xfId="0" applyNumberFormat="1" applyFont="1" applyFill="1"/>
    <xf numFmtId="0" fontId="23" fillId="0" borderId="1" xfId="0" applyFont="1" applyBorder="1" applyAlignment="1">
      <alignment horizontal="center"/>
    </xf>
    <xf numFmtId="170" fontId="23" fillId="8" borderId="0" xfId="0" applyNumberFormat="1" applyFont="1" applyFill="1" applyAlignment="1">
      <alignment horizontal="center"/>
    </xf>
    <xf numFmtId="0" fontId="23" fillId="2" borderId="0" xfId="0" applyFont="1" applyFill="1" applyAlignment="1">
      <alignment vertical="top"/>
    </xf>
    <xf numFmtId="164" fontId="2" fillId="0" borderId="4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5" xfId="0" applyFont="1" applyBorder="1"/>
    <xf numFmtId="14" fontId="2" fillId="0" borderId="4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14" fontId="2" fillId="4" borderId="4" xfId="0" applyNumberFormat="1" applyFont="1" applyFill="1" applyBorder="1" applyAlignment="1">
      <alignment horizontal="left" vertical="center"/>
    </xf>
    <xf numFmtId="164" fontId="2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14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6" fillId="0" borderId="11" xfId="0" applyFont="1" applyBorder="1"/>
    <xf numFmtId="0" fontId="14" fillId="0" borderId="0" xfId="0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167" fontId="23" fillId="0" borderId="0" xfId="0" applyNumberFormat="1" applyFont="1" applyBorder="1"/>
    <xf numFmtId="167" fontId="22" fillId="0" borderId="0" xfId="0" applyNumberFormat="1" applyFont="1" applyBorder="1" applyAlignment="1">
      <alignment horizontal="right"/>
    </xf>
    <xf numFmtId="0" fontId="25" fillId="8" borderId="0" xfId="0" applyFont="1" applyFill="1" applyBorder="1" applyAlignment="1">
      <alignment horizontal="left"/>
    </xf>
    <xf numFmtId="0" fontId="23" fillId="0" borderId="0" xfId="0" applyFont="1" applyBorder="1"/>
    <xf numFmtId="0" fontId="23" fillId="8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center"/>
    </xf>
    <xf numFmtId="170" fontId="22" fillId="0" borderId="0" xfId="0" applyNumberFormat="1" applyFont="1" applyBorder="1" applyAlignment="1">
      <alignment horizontal="left"/>
    </xf>
    <xf numFmtId="0" fontId="22" fillId="2" borderId="0" xfId="0" applyFont="1" applyFill="1" applyBorder="1" applyAlignment="1">
      <alignment horizontal="left"/>
    </xf>
    <xf numFmtId="4" fontId="23" fillId="0" borderId="0" xfId="0" applyNumberFormat="1" applyFont="1" applyBorder="1"/>
    <xf numFmtId="0" fontId="22" fillId="0" borderId="0" xfId="0" applyFont="1" applyBorder="1" applyAlignment="1">
      <alignment horizontal="left"/>
    </xf>
    <xf numFmtId="170" fontId="23" fillId="0" borderId="0" xfId="0" applyNumberFormat="1" applyFont="1" applyBorder="1"/>
    <xf numFmtId="170" fontId="23" fillId="0" borderId="0" xfId="0" applyNumberFormat="1" applyFont="1" applyBorder="1" applyAlignment="1">
      <alignment horizontal="right"/>
    </xf>
    <xf numFmtId="168" fontId="23" fillId="0" borderId="0" xfId="0" applyNumberFormat="1" applyFont="1" applyBorder="1"/>
    <xf numFmtId="168" fontId="23" fillId="0" borderId="0" xfId="0" applyNumberFormat="1" applyFont="1" applyBorder="1" applyAlignment="1">
      <alignment horizontal="right"/>
    </xf>
    <xf numFmtId="0" fontId="23" fillId="2" borderId="0" xfId="0" applyFont="1" applyFill="1" applyBorder="1" applyAlignment="1">
      <alignment vertical="top"/>
    </xf>
  </cellXfs>
  <cellStyles count="1">
    <cellStyle name="Normal" xfId="0" builtinId="0"/>
  </cellStyles>
  <dxfs count="2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imp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22.5546875" customWidth="1"/>
    <col min="2" max="2" width="24.88671875" customWidth="1"/>
    <col min="3" max="3" width="53.109375" customWidth="1"/>
    <col min="4" max="4" width="32.33203125" customWidth="1"/>
    <col min="5" max="5" width="33.5546875" customWidth="1"/>
    <col min="6" max="6" width="29.5546875" customWidth="1"/>
    <col min="7" max="7" width="29.88671875" customWidth="1"/>
    <col min="8" max="8" width="18.44140625" customWidth="1"/>
  </cols>
  <sheetData>
    <row r="1" spans="1:8" ht="1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spans="1:8" ht="15" customHeight="1" x14ac:dyDescent="0.3">
      <c r="A2" s="6"/>
      <c r="B2" s="7"/>
      <c r="C2" s="8" t="s">
        <v>7</v>
      </c>
      <c r="D2" s="7">
        <v>57402.01</v>
      </c>
      <c r="E2" s="9">
        <v>44231</v>
      </c>
      <c r="F2" s="10"/>
      <c r="G2" s="10"/>
    </row>
    <row r="3" spans="1:8" ht="15" customHeight="1" x14ac:dyDescent="0.3">
      <c r="A3" s="6"/>
      <c r="B3" s="7"/>
      <c r="C3" s="8" t="s">
        <v>8</v>
      </c>
      <c r="D3" s="7">
        <v>33080.199999999997</v>
      </c>
      <c r="E3" s="9">
        <v>44235</v>
      </c>
      <c r="F3" s="10"/>
      <c r="G3" s="10"/>
    </row>
    <row r="4" spans="1:8" ht="15" customHeight="1" x14ac:dyDescent="0.3">
      <c r="A4" s="6"/>
      <c r="B4" s="7"/>
      <c r="C4" s="8" t="s">
        <v>9</v>
      </c>
      <c r="D4" s="7">
        <v>10015.790000000001</v>
      </c>
      <c r="E4" s="9" t="s">
        <v>10</v>
      </c>
      <c r="F4" s="10"/>
      <c r="G4" s="10" t="s">
        <v>11</v>
      </c>
    </row>
    <row r="5" spans="1:8" ht="15" customHeight="1" x14ac:dyDescent="0.3">
      <c r="A5" s="6">
        <v>44228</v>
      </c>
      <c r="B5" s="7" t="s">
        <v>12</v>
      </c>
      <c r="C5" s="8" t="s">
        <v>13</v>
      </c>
      <c r="D5" s="7">
        <v>226.11</v>
      </c>
      <c r="E5" s="9"/>
      <c r="F5" s="10"/>
      <c r="G5" s="10" t="s">
        <v>14</v>
      </c>
    </row>
    <row r="6" spans="1:8" ht="15" customHeight="1" x14ac:dyDescent="0.3">
      <c r="A6" s="6">
        <v>44230</v>
      </c>
      <c r="B6" s="8" t="s">
        <v>15</v>
      </c>
      <c r="C6" s="8" t="s">
        <v>16</v>
      </c>
      <c r="D6" s="8">
        <v>78022.009999999995</v>
      </c>
      <c r="E6" s="11" t="s">
        <v>17</v>
      </c>
      <c r="F6" s="12" t="s">
        <v>18</v>
      </c>
      <c r="G6" s="13"/>
    </row>
    <row r="7" spans="1:8" ht="15" customHeight="1" x14ac:dyDescent="0.3">
      <c r="A7" s="6">
        <v>44229</v>
      </c>
      <c r="B7" s="8" t="s">
        <v>19</v>
      </c>
      <c r="C7" s="14" t="s">
        <v>20</v>
      </c>
      <c r="D7" s="7">
        <v>145200</v>
      </c>
      <c r="E7" s="9">
        <v>44236</v>
      </c>
      <c r="F7" s="12" t="s">
        <v>21</v>
      </c>
      <c r="G7" s="12"/>
      <c r="H7" s="15">
        <f>59346*21%</f>
        <v>12462.66</v>
      </c>
    </row>
    <row r="8" spans="1:8" ht="15" customHeight="1" x14ac:dyDescent="0.3">
      <c r="A8" s="6">
        <v>44232</v>
      </c>
      <c r="B8" s="8" t="s">
        <v>22</v>
      </c>
      <c r="C8" s="14" t="s">
        <v>23</v>
      </c>
      <c r="D8" s="7">
        <v>39300.800000000003</v>
      </c>
      <c r="E8" s="9" t="s">
        <v>24</v>
      </c>
      <c r="F8" s="12" t="s">
        <v>25</v>
      </c>
      <c r="G8" s="12"/>
      <c r="H8" s="15">
        <v>59346</v>
      </c>
    </row>
    <row r="9" spans="1:8" ht="15" customHeight="1" x14ac:dyDescent="0.3">
      <c r="A9" s="9">
        <v>44228</v>
      </c>
      <c r="B9" s="7" t="s">
        <v>26</v>
      </c>
      <c r="C9" s="8" t="s">
        <v>27</v>
      </c>
      <c r="D9" s="7">
        <v>19300</v>
      </c>
      <c r="E9" s="9">
        <v>44231</v>
      </c>
      <c r="F9" s="10" t="s">
        <v>28</v>
      </c>
      <c r="G9" s="13"/>
    </row>
    <row r="10" spans="1:8" ht="15" customHeight="1" x14ac:dyDescent="0.3">
      <c r="A10" s="9">
        <v>44237</v>
      </c>
      <c r="B10" s="7" t="s">
        <v>29</v>
      </c>
      <c r="C10" s="8" t="s">
        <v>30</v>
      </c>
      <c r="D10" s="7">
        <v>10000</v>
      </c>
      <c r="E10" s="9">
        <v>44231</v>
      </c>
      <c r="F10" s="10" t="s">
        <v>31</v>
      </c>
      <c r="G10" s="13"/>
    </row>
    <row r="11" spans="1:8" ht="15" customHeight="1" x14ac:dyDescent="0.3">
      <c r="A11" s="171">
        <v>44228</v>
      </c>
      <c r="B11" s="16" t="s">
        <v>32</v>
      </c>
      <c r="C11" s="168" t="s">
        <v>33</v>
      </c>
      <c r="D11" s="7">
        <v>20793.849999999999</v>
      </c>
      <c r="E11" s="9">
        <v>44228</v>
      </c>
      <c r="F11" s="7" t="s">
        <v>34</v>
      </c>
      <c r="G11" s="13"/>
    </row>
    <row r="12" spans="1:8" ht="15" customHeight="1" x14ac:dyDescent="0.3">
      <c r="A12" s="164"/>
      <c r="B12" s="17" t="s">
        <v>35</v>
      </c>
      <c r="C12" s="164"/>
      <c r="D12" s="10">
        <v>2111.4499999999998</v>
      </c>
      <c r="E12" s="9">
        <v>44228</v>
      </c>
      <c r="F12" s="7" t="s">
        <v>36</v>
      </c>
      <c r="G12" s="13"/>
    </row>
    <row r="13" spans="1:8" ht="15" customHeight="1" x14ac:dyDescent="0.3">
      <c r="A13" s="9">
        <v>44228</v>
      </c>
      <c r="B13" s="7" t="s">
        <v>37</v>
      </c>
      <c r="C13" s="8" t="s">
        <v>38</v>
      </c>
      <c r="D13" s="7">
        <v>11253</v>
      </c>
      <c r="E13" s="9">
        <v>44228</v>
      </c>
      <c r="F13" s="7" t="s">
        <v>39</v>
      </c>
      <c r="G13" s="13"/>
    </row>
    <row r="14" spans="1:8" ht="15" customHeight="1" x14ac:dyDescent="0.3">
      <c r="A14" s="9">
        <v>44237</v>
      </c>
      <c r="B14" s="7" t="s">
        <v>40</v>
      </c>
      <c r="C14" s="8" t="s">
        <v>41</v>
      </c>
      <c r="D14" s="7">
        <v>3726.8</v>
      </c>
      <c r="E14" s="9">
        <v>44237</v>
      </c>
      <c r="F14" s="10" t="s">
        <v>42</v>
      </c>
      <c r="G14" s="12"/>
    </row>
    <row r="15" spans="1:8" ht="15" customHeight="1" x14ac:dyDescent="0.3">
      <c r="A15" s="6"/>
      <c r="B15" s="8"/>
      <c r="C15" s="18" t="s">
        <v>43</v>
      </c>
      <c r="D15" s="8">
        <v>6838.38</v>
      </c>
      <c r="E15" s="6">
        <v>44237</v>
      </c>
      <c r="F15" s="12" t="s">
        <v>44</v>
      </c>
      <c r="G15" s="12"/>
    </row>
    <row r="16" spans="1:8" ht="15" customHeight="1" x14ac:dyDescent="0.3">
      <c r="A16" s="6">
        <v>44237</v>
      </c>
      <c r="B16" s="8" t="s">
        <v>45</v>
      </c>
      <c r="C16" s="18" t="s">
        <v>46</v>
      </c>
      <c r="D16" s="8">
        <v>2942.72</v>
      </c>
      <c r="E16" s="6">
        <v>44237</v>
      </c>
      <c r="F16" s="12" t="s">
        <v>47</v>
      </c>
      <c r="G16" s="12"/>
    </row>
    <row r="17" spans="1:7" ht="15" customHeight="1" x14ac:dyDescent="0.3">
      <c r="A17" s="6">
        <v>44232</v>
      </c>
      <c r="B17" s="8" t="s">
        <v>48</v>
      </c>
      <c r="C17" s="18" t="s">
        <v>49</v>
      </c>
      <c r="D17" s="8">
        <v>89847.26</v>
      </c>
      <c r="E17" s="6"/>
      <c r="F17" s="12"/>
      <c r="G17" s="12" t="s">
        <v>50</v>
      </c>
    </row>
    <row r="18" spans="1:7" ht="15" customHeight="1" x14ac:dyDescent="0.3">
      <c r="A18" s="6">
        <v>44235</v>
      </c>
      <c r="B18" s="8" t="s">
        <v>51</v>
      </c>
      <c r="C18" s="18" t="s">
        <v>52</v>
      </c>
      <c r="D18" s="8">
        <v>65520</v>
      </c>
      <c r="E18" s="6"/>
      <c r="F18" s="12"/>
      <c r="G18" s="12" t="s">
        <v>50</v>
      </c>
    </row>
    <row r="19" spans="1:7" ht="15" customHeight="1" x14ac:dyDescent="0.3">
      <c r="A19" s="6">
        <v>44235</v>
      </c>
      <c r="B19" s="8" t="s">
        <v>53</v>
      </c>
      <c r="C19" s="18" t="s">
        <v>54</v>
      </c>
      <c r="D19" s="8">
        <v>9828</v>
      </c>
      <c r="E19" s="6"/>
      <c r="F19" s="12"/>
      <c r="G19" s="12" t="s">
        <v>50</v>
      </c>
    </row>
    <row r="20" spans="1:7" ht="15" customHeight="1" x14ac:dyDescent="0.3">
      <c r="A20" s="6">
        <v>44228</v>
      </c>
      <c r="B20" s="8" t="s">
        <v>55</v>
      </c>
      <c r="C20" s="18" t="s">
        <v>56</v>
      </c>
      <c r="D20" s="8">
        <v>6440</v>
      </c>
      <c r="E20" s="165">
        <v>44245</v>
      </c>
      <c r="F20" s="166" t="s">
        <v>57</v>
      </c>
      <c r="G20" s="162" t="s">
        <v>58</v>
      </c>
    </row>
    <row r="21" spans="1:7" ht="15" customHeight="1" x14ac:dyDescent="0.3">
      <c r="A21" s="6">
        <v>44228</v>
      </c>
      <c r="B21" s="8" t="s">
        <v>59</v>
      </c>
      <c r="C21" s="18" t="s">
        <v>56</v>
      </c>
      <c r="D21" s="8">
        <v>17500</v>
      </c>
      <c r="E21" s="163"/>
      <c r="F21" s="163"/>
      <c r="G21" s="163"/>
    </row>
    <row r="22" spans="1:7" ht="15" customHeight="1" x14ac:dyDescent="0.3">
      <c r="A22" s="6">
        <v>44228</v>
      </c>
      <c r="B22" s="8" t="s">
        <v>60</v>
      </c>
      <c r="C22" s="18" t="s">
        <v>56</v>
      </c>
      <c r="D22" s="8">
        <v>12100</v>
      </c>
      <c r="E22" s="163"/>
      <c r="F22" s="163"/>
      <c r="G22" s="163"/>
    </row>
    <row r="23" spans="1:7" ht="15" customHeight="1" x14ac:dyDescent="0.3">
      <c r="A23" s="6">
        <v>44228</v>
      </c>
      <c r="B23" s="8" t="s">
        <v>61</v>
      </c>
      <c r="C23" s="18" t="s">
        <v>56</v>
      </c>
      <c r="D23" s="8">
        <v>28350</v>
      </c>
      <c r="E23" s="164"/>
      <c r="F23" s="164"/>
      <c r="G23" s="164"/>
    </row>
    <row r="24" spans="1:7" ht="15" customHeight="1" x14ac:dyDescent="0.3">
      <c r="A24" s="6">
        <v>44228</v>
      </c>
      <c r="B24" s="8" t="s">
        <v>62</v>
      </c>
      <c r="C24" s="18" t="s">
        <v>56</v>
      </c>
      <c r="D24" s="8">
        <v>29100</v>
      </c>
      <c r="E24" s="165">
        <v>44270</v>
      </c>
      <c r="F24" s="166" t="s">
        <v>63</v>
      </c>
      <c r="G24" s="162" t="s">
        <v>58</v>
      </c>
    </row>
    <row r="25" spans="1:7" ht="15" customHeight="1" x14ac:dyDescent="0.3">
      <c r="A25" s="6">
        <v>44228</v>
      </c>
      <c r="B25" s="8" t="s">
        <v>64</v>
      </c>
      <c r="C25" s="18" t="s">
        <v>56</v>
      </c>
      <c r="D25" s="8">
        <v>35100</v>
      </c>
      <c r="E25" s="164"/>
      <c r="F25" s="164"/>
      <c r="G25" s="164"/>
    </row>
    <row r="26" spans="1:7" ht="15" customHeight="1" x14ac:dyDescent="0.3">
      <c r="A26" s="6">
        <v>44228</v>
      </c>
      <c r="B26" s="8" t="s">
        <v>65</v>
      </c>
      <c r="C26" s="18" t="s">
        <v>66</v>
      </c>
      <c r="D26" s="8">
        <v>36300</v>
      </c>
      <c r="E26" s="6">
        <v>44270</v>
      </c>
      <c r="F26" s="12" t="s">
        <v>67</v>
      </c>
      <c r="G26" s="12"/>
    </row>
    <row r="27" spans="1:7" ht="15" customHeight="1" x14ac:dyDescent="0.3">
      <c r="A27" s="6">
        <v>44228</v>
      </c>
      <c r="B27" s="8" t="s">
        <v>68</v>
      </c>
      <c r="C27" s="18" t="s">
        <v>69</v>
      </c>
      <c r="D27" s="8">
        <v>40243.39</v>
      </c>
      <c r="E27" s="6"/>
      <c r="F27" s="12"/>
      <c r="G27" s="19" t="s">
        <v>70</v>
      </c>
    </row>
    <row r="28" spans="1:7" ht="15" customHeight="1" x14ac:dyDescent="0.3">
      <c r="A28" s="6">
        <v>44228</v>
      </c>
      <c r="B28" s="8" t="s">
        <v>71</v>
      </c>
      <c r="C28" s="18" t="s">
        <v>72</v>
      </c>
      <c r="D28" s="8">
        <v>12148.4</v>
      </c>
      <c r="E28" s="172" t="s">
        <v>73</v>
      </c>
      <c r="F28" s="173"/>
      <c r="G28" s="174"/>
    </row>
    <row r="29" spans="1:7" ht="15" customHeight="1" x14ac:dyDescent="0.3">
      <c r="A29" s="6">
        <v>44237</v>
      </c>
      <c r="B29" s="8"/>
      <c r="C29" s="18" t="s">
        <v>74</v>
      </c>
      <c r="D29" s="8">
        <v>31930.03</v>
      </c>
      <c r="E29" s="6">
        <v>44245</v>
      </c>
      <c r="F29" s="12" t="s">
        <v>75</v>
      </c>
      <c r="G29" s="12" t="s">
        <v>76</v>
      </c>
    </row>
    <row r="30" spans="1:7" ht="15" customHeight="1" x14ac:dyDescent="0.3">
      <c r="A30" s="6">
        <v>44238</v>
      </c>
      <c r="B30" s="8" t="s">
        <v>77</v>
      </c>
      <c r="C30" s="18" t="s">
        <v>78</v>
      </c>
      <c r="D30" s="8">
        <v>68413.399999999994</v>
      </c>
      <c r="E30" s="6">
        <v>44239</v>
      </c>
      <c r="F30" s="12" t="s">
        <v>79</v>
      </c>
      <c r="G30" s="12" t="s">
        <v>80</v>
      </c>
    </row>
    <row r="31" spans="1:7" ht="15" customHeight="1" x14ac:dyDescent="0.3">
      <c r="A31" s="6">
        <v>44238</v>
      </c>
      <c r="B31" s="8" t="s">
        <v>81</v>
      </c>
      <c r="C31" s="18" t="s">
        <v>82</v>
      </c>
      <c r="D31" s="8">
        <v>36300</v>
      </c>
      <c r="E31" s="6">
        <v>44239</v>
      </c>
      <c r="F31" s="12" t="s">
        <v>83</v>
      </c>
      <c r="G31" s="12"/>
    </row>
    <row r="32" spans="1:7" ht="15" customHeight="1" x14ac:dyDescent="0.3">
      <c r="A32" s="6">
        <v>44238</v>
      </c>
      <c r="B32" s="8" t="s">
        <v>84</v>
      </c>
      <c r="C32" s="18" t="s">
        <v>85</v>
      </c>
      <c r="D32" s="8">
        <v>4811.63</v>
      </c>
      <c r="E32" s="6"/>
      <c r="F32" s="12" t="s">
        <v>86</v>
      </c>
      <c r="G32" s="12"/>
    </row>
    <row r="33" spans="1:7" ht="15" customHeight="1" x14ac:dyDescent="0.3">
      <c r="A33" s="6">
        <v>44238</v>
      </c>
      <c r="B33" s="8" t="s">
        <v>87</v>
      </c>
      <c r="C33" s="18" t="s">
        <v>88</v>
      </c>
      <c r="D33" s="8">
        <v>1400.01</v>
      </c>
      <c r="E33" s="6"/>
      <c r="F33" s="12" t="s">
        <v>86</v>
      </c>
      <c r="G33" s="12"/>
    </row>
    <row r="34" spans="1:7" ht="15" customHeight="1" x14ac:dyDescent="0.3">
      <c r="A34" s="6">
        <v>44245</v>
      </c>
      <c r="B34" s="8" t="s">
        <v>89</v>
      </c>
      <c r="C34" s="18" t="s">
        <v>90</v>
      </c>
      <c r="D34" s="8">
        <v>4262.99</v>
      </c>
      <c r="E34" s="6"/>
      <c r="F34" s="12" t="s">
        <v>86</v>
      </c>
      <c r="G34" s="12"/>
    </row>
    <row r="35" spans="1:7" ht="15" customHeight="1" x14ac:dyDescent="0.3">
      <c r="A35" s="6"/>
      <c r="B35" s="8" t="s">
        <v>91</v>
      </c>
      <c r="C35" s="18" t="s">
        <v>27</v>
      </c>
      <c r="D35" s="8">
        <v>55000</v>
      </c>
      <c r="E35" s="6">
        <v>44244</v>
      </c>
      <c r="F35" s="12" t="s">
        <v>92</v>
      </c>
      <c r="G35" s="12"/>
    </row>
    <row r="36" spans="1:7" ht="15" customHeight="1" x14ac:dyDescent="0.3">
      <c r="A36" s="6">
        <v>44239</v>
      </c>
      <c r="B36" s="8" t="s">
        <v>93</v>
      </c>
      <c r="C36" s="18" t="s">
        <v>94</v>
      </c>
      <c r="D36" s="8">
        <v>383458</v>
      </c>
      <c r="E36" s="6">
        <v>44238</v>
      </c>
      <c r="F36" s="12" t="s">
        <v>95</v>
      </c>
      <c r="G36" s="12"/>
    </row>
    <row r="37" spans="1:7" ht="15" customHeight="1" x14ac:dyDescent="0.3">
      <c r="A37" s="6">
        <v>44244</v>
      </c>
      <c r="B37" s="8" t="s">
        <v>96</v>
      </c>
      <c r="C37" s="18" t="s">
        <v>38</v>
      </c>
      <c r="D37" s="8">
        <v>10672</v>
      </c>
      <c r="E37" s="6">
        <v>44244</v>
      </c>
      <c r="F37" s="12" t="s">
        <v>97</v>
      </c>
      <c r="G37" s="12"/>
    </row>
    <row r="38" spans="1:7" ht="15" customHeight="1" x14ac:dyDescent="0.3">
      <c r="A38" s="6">
        <v>44231</v>
      </c>
      <c r="B38" s="8" t="s">
        <v>98</v>
      </c>
      <c r="C38" s="18" t="s">
        <v>99</v>
      </c>
      <c r="D38" s="8">
        <v>42350</v>
      </c>
      <c r="E38" s="6">
        <v>44253</v>
      </c>
      <c r="F38" s="12" t="s">
        <v>100</v>
      </c>
      <c r="G38" s="12"/>
    </row>
    <row r="39" spans="1:7" ht="15" customHeight="1" x14ac:dyDescent="0.3">
      <c r="A39" s="6">
        <v>44231</v>
      </c>
      <c r="B39" s="8" t="s">
        <v>101</v>
      </c>
      <c r="C39" s="18" t="s">
        <v>102</v>
      </c>
      <c r="D39" s="8">
        <v>42350</v>
      </c>
      <c r="E39" s="6">
        <v>44253</v>
      </c>
      <c r="F39" s="12" t="s">
        <v>103</v>
      </c>
      <c r="G39" s="12"/>
    </row>
    <row r="40" spans="1:7" ht="15" customHeight="1" x14ac:dyDescent="0.3">
      <c r="A40" s="6">
        <v>44229</v>
      </c>
      <c r="B40" s="8" t="s">
        <v>104</v>
      </c>
      <c r="C40" s="18" t="s">
        <v>105</v>
      </c>
      <c r="D40" s="8">
        <v>4367.92</v>
      </c>
      <c r="E40" s="6">
        <v>44270</v>
      </c>
      <c r="F40" s="12" t="s">
        <v>106</v>
      </c>
      <c r="G40" s="20"/>
    </row>
    <row r="41" spans="1:7" ht="15" customHeight="1" x14ac:dyDescent="0.3">
      <c r="A41" s="6">
        <v>44231</v>
      </c>
      <c r="B41" s="8" t="s">
        <v>107</v>
      </c>
      <c r="C41" s="18" t="s">
        <v>108</v>
      </c>
      <c r="D41" s="8">
        <v>708.1</v>
      </c>
      <c r="E41" s="6"/>
      <c r="F41" s="13"/>
      <c r="G41" s="20" t="s">
        <v>109</v>
      </c>
    </row>
    <row r="42" spans="1:7" ht="15" customHeight="1" x14ac:dyDescent="0.3">
      <c r="A42" s="6">
        <v>44231</v>
      </c>
      <c r="B42" s="8" t="s">
        <v>110</v>
      </c>
      <c r="C42" s="18" t="s">
        <v>108</v>
      </c>
      <c r="D42" s="8">
        <v>3144.79</v>
      </c>
      <c r="E42" s="6"/>
      <c r="F42" s="6"/>
      <c r="G42" s="20" t="s">
        <v>109</v>
      </c>
    </row>
    <row r="43" spans="1:7" ht="15" customHeight="1" x14ac:dyDescent="0.3">
      <c r="A43" s="6">
        <v>44238</v>
      </c>
      <c r="B43" s="8" t="s">
        <v>111</v>
      </c>
      <c r="C43" s="18" t="s">
        <v>108</v>
      </c>
      <c r="D43" s="8">
        <v>1062.1500000000001</v>
      </c>
      <c r="E43" s="6"/>
      <c r="F43" s="6"/>
      <c r="G43" s="20" t="s">
        <v>109</v>
      </c>
    </row>
    <row r="44" spans="1:7" ht="15" customHeight="1" x14ac:dyDescent="0.3">
      <c r="A44" s="6">
        <v>44238</v>
      </c>
      <c r="B44" s="8" t="s">
        <v>112</v>
      </c>
      <c r="C44" s="18" t="s">
        <v>108</v>
      </c>
      <c r="D44" s="8">
        <v>1624.46</v>
      </c>
      <c r="E44" s="6"/>
      <c r="F44" s="6"/>
      <c r="G44" s="20" t="s">
        <v>109</v>
      </c>
    </row>
    <row r="45" spans="1:7" ht="15" customHeight="1" x14ac:dyDescent="0.3">
      <c r="A45" s="6">
        <v>44245</v>
      </c>
      <c r="B45" s="8" t="s">
        <v>113</v>
      </c>
      <c r="C45" s="18" t="s">
        <v>108</v>
      </c>
      <c r="D45" s="8">
        <v>2790.74</v>
      </c>
      <c r="E45" s="13"/>
      <c r="F45" s="13"/>
      <c r="G45" s="20" t="s">
        <v>109</v>
      </c>
    </row>
    <row r="46" spans="1:7" ht="15" customHeight="1" x14ac:dyDescent="0.3">
      <c r="A46" s="6">
        <v>44245</v>
      </c>
      <c r="B46" s="8" t="s">
        <v>114</v>
      </c>
      <c r="C46" s="18" t="s">
        <v>108</v>
      </c>
      <c r="D46" s="8">
        <v>1062.1500000000001</v>
      </c>
      <c r="E46" s="13"/>
      <c r="F46" s="21"/>
      <c r="G46" s="20" t="s">
        <v>109</v>
      </c>
    </row>
    <row r="47" spans="1:7" ht="15" customHeight="1" x14ac:dyDescent="0.3">
      <c r="A47" s="6">
        <v>44252</v>
      </c>
      <c r="B47" s="8" t="s">
        <v>115</v>
      </c>
      <c r="C47" s="18" t="s">
        <v>108</v>
      </c>
      <c r="D47" s="8">
        <v>1062.1500000000001</v>
      </c>
      <c r="E47" s="13"/>
      <c r="F47" s="22"/>
      <c r="G47" s="20" t="s">
        <v>109</v>
      </c>
    </row>
    <row r="48" spans="1:7" ht="15" customHeight="1" x14ac:dyDescent="0.3">
      <c r="A48" s="6">
        <v>44252</v>
      </c>
      <c r="B48" s="8" t="s">
        <v>116</v>
      </c>
      <c r="C48" s="18" t="s">
        <v>108</v>
      </c>
      <c r="D48" s="8">
        <v>3196.86</v>
      </c>
      <c r="E48" s="13"/>
      <c r="F48" s="13"/>
      <c r="G48" s="20" t="s">
        <v>109</v>
      </c>
    </row>
    <row r="49" spans="1:7" ht="15" customHeight="1" x14ac:dyDescent="0.3">
      <c r="A49" s="6">
        <v>44228</v>
      </c>
      <c r="B49" s="8" t="s">
        <v>117</v>
      </c>
      <c r="C49" s="18" t="s">
        <v>118</v>
      </c>
      <c r="D49" s="8">
        <v>3726.8</v>
      </c>
      <c r="E49" s="21">
        <v>44228</v>
      </c>
      <c r="F49" s="21" t="s">
        <v>36</v>
      </c>
      <c r="G49" s="20"/>
    </row>
    <row r="50" spans="1:7" ht="15" customHeight="1" x14ac:dyDescent="0.3">
      <c r="A50" s="6">
        <v>44228</v>
      </c>
      <c r="B50" s="8" t="s">
        <v>119</v>
      </c>
      <c r="C50" s="18" t="s">
        <v>27</v>
      </c>
      <c r="D50" s="8">
        <v>102000</v>
      </c>
      <c r="E50" s="175">
        <v>44204</v>
      </c>
      <c r="F50" s="165" t="s">
        <v>120</v>
      </c>
      <c r="G50" s="176" t="s">
        <v>58</v>
      </c>
    </row>
    <row r="51" spans="1:7" ht="15" customHeight="1" x14ac:dyDescent="0.3">
      <c r="A51" s="6">
        <v>44198</v>
      </c>
      <c r="B51" s="8" t="s">
        <v>121</v>
      </c>
      <c r="C51" s="18" t="s">
        <v>122</v>
      </c>
      <c r="D51" s="8">
        <v>10038.48</v>
      </c>
      <c r="E51" s="163"/>
      <c r="F51" s="163"/>
      <c r="G51" s="163"/>
    </row>
    <row r="52" spans="1:7" ht="15" customHeight="1" x14ac:dyDescent="0.3">
      <c r="A52" s="167">
        <v>44201</v>
      </c>
      <c r="B52" s="23"/>
      <c r="C52" s="18" t="s">
        <v>123</v>
      </c>
      <c r="D52" s="8">
        <v>180</v>
      </c>
      <c r="E52" s="163"/>
      <c r="F52" s="163"/>
      <c r="G52" s="163"/>
    </row>
    <row r="53" spans="1:7" ht="15" customHeight="1" x14ac:dyDescent="0.3">
      <c r="A53" s="163"/>
      <c r="B53" s="23" t="s">
        <v>124</v>
      </c>
      <c r="C53" s="168" t="s">
        <v>125</v>
      </c>
      <c r="D53" s="8">
        <v>229.88</v>
      </c>
      <c r="E53" s="163"/>
      <c r="F53" s="163"/>
      <c r="G53" s="163"/>
    </row>
    <row r="54" spans="1:7" ht="15" customHeight="1" x14ac:dyDescent="0.3">
      <c r="A54" s="163"/>
      <c r="B54" s="23" t="s">
        <v>126</v>
      </c>
      <c r="C54" s="164"/>
      <c r="D54" s="8">
        <v>1070</v>
      </c>
      <c r="E54" s="163"/>
      <c r="F54" s="163"/>
      <c r="G54" s="163"/>
    </row>
    <row r="55" spans="1:7" ht="15" customHeight="1" x14ac:dyDescent="0.3">
      <c r="A55" s="164"/>
      <c r="B55" s="8" t="s">
        <v>127</v>
      </c>
      <c r="C55" s="18" t="s">
        <v>128</v>
      </c>
      <c r="D55" s="8">
        <v>592.94000000000005</v>
      </c>
      <c r="E55" s="164"/>
      <c r="F55" s="164"/>
      <c r="G55" s="164"/>
    </row>
    <row r="56" spans="1:7" ht="15" customHeight="1" x14ac:dyDescent="0.3">
      <c r="A56" s="6">
        <v>44232</v>
      </c>
      <c r="B56" s="8" t="s">
        <v>129</v>
      </c>
      <c r="C56" s="18" t="s">
        <v>130</v>
      </c>
      <c r="D56" s="8">
        <v>5120</v>
      </c>
      <c r="E56" s="21">
        <v>44253</v>
      </c>
      <c r="F56" s="13" t="s">
        <v>131</v>
      </c>
      <c r="G56" s="20" t="s">
        <v>132</v>
      </c>
    </row>
    <row r="57" spans="1:7" ht="15" customHeight="1" x14ac:dyDescent="0.3">
      <c r="A57" s="6">
        <v>44231</v>
      </c>
      <c r="B57" s="23" t="s">
        <v>133</v>
      </c>
      <c r="C57" s="18" t="s">
        <v>130</v>
      </c>
      <c r="D57" s="8">
        <v>6240</v>
      </c>
      <c r="E57" s="21">
        <v>44253</v>
      </c>
      <c r="F57" s="13" t="s">
        <v>134</v>
      </c>
      <c r="G57" s="20" t="s">
        <v>135</v>
      </c>
    </row>
    <row r="58" spans="1:7" ht="15" customHeight="1" x14ac:dyDescent="0.3">
      <c r="A58" s="6">
        <v>44249</v>
      </c>
      <c r="B58" s="23" t="s">
        <v>136</v>
      </c>
      <c r="C58" s="18" t="s">
        <v>137</v>
      </c>
      <c r="D58" s="8">
        <v>1655.93</v>
      </c>
      <c r="E58" s="13"/>
      <c r="F58" s="13"/>
      <c r="G58" s="20" t="s">
        <v>138</v>
      </c>
    </row>
    <row r="59" spans="1:7" ht="15" customHeight="1" x14ac:dyDescent="0.3">
      <c r="A59" s="6">
        <v>44249</v>
      </c>
      <c r="B59" s="8" t="s">
        <v>139</v>
      </c>
      <c r="C59" s="18" t="s">
        <v>16</v>
      </c>
      <c r="D59" s="8">
        <v>26375.88</v>
      </c>
      <c r="E59" s="13"/>
      <c r="F59" s="13"/>
      <c r="G59" s="20" t="s">
        <v>50</v>
      </c>
    </row>
    <row r="60" spans="1:7" ht="15" customHeight="1" x14ac:dyDescent="0.3">
      <c r="A60" s="6">
        <v>44249</v>
      </c>
      <c r="B60" s="8" t="s">
        <v>140</v>
      </c>
      <c r="C60" s="18" t="s">
        <v>141</v>
      </c>
      <c r="D60" s="8">
        <v>7865</v>
      </c>
      <c r="E60" s="13"/>
      <c r="F60" s="13"/>
      <c r="G60" s="20" t="s">
        <v>50</v>
      </c>
    </row>
    <row r="61" spans="1:7" ht="15" customHeight="1" x14ac:dyDescent="0.3">
      <c r="A61" s="6">
        <v>44249</v>
      </c>
      <c r="B61" s="8" t="s">
        <v>142</v>
      </c>
      <c r="C61" s="18" t="s">
        <v>143</v>
      </c>
      <c r="D61" s="8">
        <v>7623</v>
      </c>
      <c r="E61" s="13" t="s">
        <v>144</v>
      </c>
      <c r="F61" s="13" t="s">
        <v>145</v>
      </c>
      <c r="G61" s="20"/>
    </row>
    <row r="62" spans="1:7" ht="15" customHeight="1" x14ac:dyDescent="0.3">
      <c r="A62" s="6">
        <v>44250</v>
      </c>
      <c r="B62" s="8" t="s">
        <v>146</v>
      </c>
      <c r="C62" s="18" t="s">
        <v>118</v>
      </c>
      <c r="D62" s="8">
        <v>9988.5499999999993</v>
      </c>
      <c r="E62" s="21">
        <v>44250</v>
      </c>
      <c r="F62" s="22" t="s">
        <v>147</v>
      </c>
      <c r="G62" s="20"/>
    </row>
    <row r="63" spans="1:7" ht="15" customHeight="1" x14ac:dyDescent="0.3">
      <c r="A63" s="6">
        <v>44251</v>
      </c>
      <c r="B63" s="8" t="s">
        <v>148</v>
      </c>
      <c r="C63" s="18" t="s">
        <v>149</v>
      </c>
      <c r="D63" s="8">
        <v>71808.66</v>
      </c>
      <c r="E63" s="13"/>
      <c r="F63" s="24" t="s">
        <v>150</v>
      </c>
      <c r="G63" s="20"/>
    </row>
    <row r="64" spans="1:7" ht="15" customHeight="1" x14ac:dyDescent="0.3">
      <c r="A64" s="6">
        <v>44251</v>
      </c>
      <c r="B64" s="8" t="s">
        <v>151</v>
      </c>
      <c r="C64" s="18" t="s">
        <v>16</v>
      </c>
      <c r="D64" s="8">
        <v>4011.15</v>
      </c>
      <c r="E64" s="13"/>
      <c r="F64" s="13"/>
      <c r="G64" s="20"/>
    </row>
    <row r="65" spans="1:7" ht="15" customHeight="1" x14ac:dyDescent="0.3">
      <c r="A65" s="6">
        <v>44251</v>
      </c>
      <c r="B65" s="8" t="s">
        <v>152</v>
      </c>
      <c r="C65" s="18" t="s">
        <v>85</v>
      </c>
      <c r="D65" s="8">
        <v>3751.49</v>
      </c>
      <c r="E65" s="13"/>
      <c r="F65" s="13"/>
      <c r="G65" s="20" t="s">
        <v>153</v>
      </c>
    </row>
    <row r="66" spans="1:7" ht="15" customHeight="1" x14ac:dyDescent="0.3">
      <c r="A66" s="6">
        <v>44251</v>
      </c>
      <c r="B66" s="8" t="s">
        <v>154</v>
      </c>
      <c r="C66" s="18" t="s">
        <v>155</v>
      </c>
      <c r="D66" s="8">
        <v>20000</v>
      </c>
      <c r="E66" s="21">
        <v>44251</v>
      </c>
      <c r="F66" s="13" t="s">
        <v>156</v>
      </c>
      <c r="G66" s="20"/>
    </row>
    <row r="67" spans="1:7" ht="15" customHeight="1" x14ac:dyDescent="0.3">
      <c r="A67" s="6">
        <v>44252</v>
      </c>
      <c r="B67" s="8" t="s">
        <v>157</v>
      </c>
      <c r="C67" s="18" t="s">
        <v>38</v>
      </c>
      <c r="D67" s="8">
        <v>1611.72</v>
      </c>
      <c r="E67" s="21">
        <v>44253</v>
      </c>
      <c r="F67" s="13" t="s">
        <v>158</v>
      </c>
      <c r="G67" s="20"/>
    </row>
    <row r="68" spans="1:7" ht="15" customHeight="1" x14ac:dyDescent="0.3">
      <c r="A68" s="6">
        <v>44252</v>
      </c>
      <c r="B68" s="23" t="s">
        <v>159</v>
      </c>
      <c r="C68" s="18" t="s">
        <v>23</v>
      </c>
      <c r="D68" s="8">
        <v>13055.9</v>
      </c>
      <c r="E68" s="21">
        <v>44252</v>
      </c>
      <c r="F68" s="13" t="s">
        <v>160</v>
      </c>
      <c r="G68" s="20"/>
    </row>
    <row r="69" spans="1:7" ht="15" customHeight="1" x14ac:dyDescent="0.3">
      <c r="A69" s="6">
        <v>44253</v>
      </c>
      <c r="B69" s="8" t="s">
        <v>161</v>
      </c>
      <c r="C69" s="18" t="s">
        <v>162</v>
      </c>
      <c r="D69" s="8">
        <v>510.8</v>
      </c>
      <c r="E69" s="21"/>
      <c r="F69" s="13"/>
      <c r="G69" s="20" t="s">
        <v>153</v>
      </c>
    </row>
    <row r="70" spans="1:7" ht="15" customHeight="1" x14ac:dyDescent="0.3">
      <c r="A70" s="6">
        <v>44251</v>
      </c>
      <c r="B70" s="23" t="s">
        <v>163</v>
      </c>
      <c r="C70" s="18" t="s">
        <v>164</v>
      </c>
      <c r="D70" s="8">
        <v>24200</v>
      </c>
      <c r="E70" s="21"/>
      <c r="F70" s="13"/>
      <c r="G70" s="20" t="s">
        <v>14</v>
      </c>
    </row>
    <row r="71" spans="1:7" ht="15" customHeight="1" x14ac:dyDescent="0.3">
      <c r="A71" s="6">
        <v>44239</v>
      </c>
      <c r="B71" s="8" t="s">
        <v>165</v>
      </c>
      <c r="C71" s="18" t="s">
        <v>164</v>
      </c>
      <c r="D71" s="8">
        <v>18150</v>
      </c>
      <c r="E71" s="21"/>
      <c r="F71" s="13"/>
      <c r="G71" s="20" t="s">
        <v>14</v>
      </c>
    </row>
    <row r="72" spans="1:7" ht="15" customHeight="1" x14ac:dyDescent="0.3">
      <c r="A72" s="6">
        <v>44255</v>
      </c>
      <c r="B72" s="8" t="s">
        <v>166</v>
      </c>
      <c r="C72" s="18" t="s">
        <v>167</v>
      </c>
      <c r="D72" s="8">
        <v>30250</v>
      </c>
      <c r="E72" s="22">
        <v>44270</v>
      </c>
      <c r="F72" s="13" t="s">
        <v>168</v>
      </c>
      <c r="G72" s="20"/>
    </row>
    <row r="73" spans="1:7" ht="15" customHeight="1" x14ac:dyDescent="0.3">
      <c r="A73" s="6">
        <v>44232</v>
      </c>
      <c r="B73" s="8" t="s">
        <v>169</v>
      </c>
      <c r="C73" s="18" t="s">
        <v>23</v>
      </c>
      <c r="D73" s="8">
        <v>39300.800000000003</v>
      </c>
      <c r="E73" s="13"/>
      <c r="F73" s="13"/>
      <c r="G73" s="20"/>
    </row>
    <row r="74" spans="1:7" ht="15" customHeight="1" x14ac:dyDescent="0.3">
      <c r="A74" s="6">
        <v>44232</v>
      </c>
      <c r="B74" s="8" t="s">
        <v>170</v>
      </c>
      <c r="C74" s="18" t="s">
        <v>23</v>
      </c>
      <c r="D74" s="8">
        <v>39300.800000000003</v>
      </c>
      <c r="E74" s="13"/>
      <c r="F74" s="13"/>
      <c r="G74" s="20"/>
    </row>
    <row r="75" spans="1:7" ht="15" customHeight="1" x14ac:dyDescent="0.3">
      <c r="A75" s="6">
        <v>44239</v>
      </c>
      <c r="B75" s="8" t="s">
        <v>171</v>
      </c>
      <c r="C75" s="18" t="s">
        <v>172</v>
      </c>
      <c r="D75" s="8">
        <v>4321.5</v>
      </c>
      <c r="E75" s="13"/>
      <c r="F75" s="13"/>
      <c r="G75" s="20" t="s">
        <v>138</v>
      </c>
    </row>
    <row r="76" spans="1:7" ht="15" customHeight="1" x14ac:dyDescent="0.3">
      <c r="A76" s="25"/>
      <c r="B76" s="26"/>
      <c r="C76" s="27"/>
      <c r="D76" s="26"/>
      <c r="E76" s="28"/>
      <c r="F76" s="28"/>
      <c r="G76" s="15"/>
    </row>
    <row r="77" spans="1:7" ht="15" customHeight="1" x14ac:dyDescent="0.3">
      <c r="A77" s="28"/>
      <c r="B77" s="29"/>
      <c r="C77" s="169" t="s">
        <v>173</v>
      </c>
      <c r="D77" s="170"/>
      <c r="E77" s="170"/>
      <c r="F77" s="170"/>
    </row>
    <row r="78" spans="1:7" ht="15" customHeight="1" x14ac:dyDescent="0.3">
      <c r="A78" s="28"/>
      <c r="B78" s="29"/>
      <c r="C78" s="170"/>
      <c r="D78" s="170"/>
      <c r="E78" s="170"/>
      <c r="F78" s="170"/>
    </row>
    <row r="79" spans="1:7" ht="15" customHeight="1" x14ac:dyDescent="0.3">
      <c r="A79" s="28"/>
      <c r="B79" s="29"/>
      <c r="C79" s="30" t="s">
        <v>174</v>
      </c>
      <c r="D79" s="31" t="s">
        <v>175</v>
      </c>
      <c r="E79" s="32" t="s">
        <v>176</v>
      </c>
      <c r="F79" s="33" t="s">
        <v>177</v>
      </c>
      <c r="G79" s="34" t="s">
        <v>178</v>
      </c>
    </row>
    <row r="80" spans="1:7" ht="15" customHeight="1" x14ac:dyDescent="0.3">
      <c r="A80" s="28"/>
      <c r="B80" s="29"/>
      <c r="C80" s="35" t="s">
        <v>179</v>
      </c>
      <c r="D80" s="36">
        <v>14815.26</v>
      </c>
      <c r="E80" s="37">
        <v>24705</v>
      </c>
      <c r="F80" s="37"/>
      <c r="G80" s="35">
        <f t="shared" ref="G80:G89" si="0">D80+F80</f>
        <v>14815.26</v>
      </c>
    </row>
    <row r="81" spans="1:8" ht="15" customHeight="1" x14ac:dyDescent="0.3">
      <c r="A81" s="28"/>
      <c r="B81" s="29"/>
      <c r="C81" s="35" t="s">
        <v>180</v>
      </c>
      <c r="D81" s="36">
        <v>43415.46</v>
      </c>
      <c r="E81" s="37">
        <v>24705</v>
      </c>
      <c r="F81" s="37"/>
      <c r="G81" s="35">
        <f t="shared" si="0"/>
        <v>43415.46</v>
      </c>
    </row>
    <row r="82" spans="1:8" ht="15" customHeight="1" x14ac:dyDescent="0.3">
      <c r="A82" s="28"/>
      <c r="B82" s="29"/>
      <c r="C82" s="35" t="s">
        <v>181</v>
      </c>
      <c r="D82" s="36">
        <v>14815.17</v>
      </c>
      <c r="E82" s="37">
        <v>24705</v>
      </c>
      <c r="F82" s="37"/>
      <c r="G82" s="35">
        <f t="shared" si="0"/>
        <v>14815.17</v>
      </c>
    </row>
    <row r="83" spans="1:8" ht="15" customHeight="1" x14ac:dyDescent="0.3">
      <c r="A83" s="28"/>
      <c r="B83" s="29"/>
      <c r="C83" s="35" t="s">
        <v>182</v>
      </c>
      <c r="D83" s="36">
        <v>17015.240000000002</v>
      </c>
      <c r="E83" s="37">
        <v>24705</v>
      </c>
      <c r="F83" s="37"/>
      <c r="G83" s="35">
        <f t="shared" si="0"/>
        <v>17015.240000000002</v>
      </c>
    </row>
    <row r="84" spans="1:8" ht="15" customHeight="1" x14ac:dyDescent="0.3">
      <c r="A84" s="28"/>
      <c r="B84" s="29"/>
      <c r="C84" s="35" t="s">
        <v>183</v>
      </c>
      <c r="D84" s="36">
        <v>19954.23</v>
      </c>
      <c r="E84" s="37">
        <v>24705</v>
      </c>
      <c r="F84" s="37"/>
      <c r="G84" s="35">
        <f t="shared" si="0"/>
        <v>19954.23</v>
      </c>
    </row>
    <row r="85" spans="1:8" ht="15" customHeight="1" x14ac:dyDescent="0.3">
      <c r="A85" s="28"/>
      <c r="B85" s="29"/>
      <c r="C85" s="35" t="s">
        <v>184</v>
      </c>
      <c r="D85" s="36">
        <v>9015</v>
      </c>
      <c r="E85" s="37">
        <v>24705</v>
      </c>
      <c r="F85" s="37"/>
      <c r="G85" s="35">
        <f t="shared" si="0"/>
        <v>9015</v>
      </c>
    </row>
    <row r="86" spans="1:8" ht="15" customHeight="1" x14ac:dyDescent="0.3">
      <c r="A86" s="28"/>
      <c r="B86" s="29"/>
      <c r="C86" s="35" t="s">
        <v>185</v>
      </c>
      <c r="D86" s="36">
        <v>1895</v>
      </c>
      <c r="E86" s="37">
        <v>24705</v>
      </c>
      <c r="F86" s="37"/>
      <c r="G86" s="35">
        <f t="shared" si="0"/>
        <v>1895</v>
      </c>
    </row>
    <row r="87" spans="1:8" ht="15" customHeight="1" x14ac:dyDescent="0.3">
      <c r="A87" s="28"/>
      <c r="B87" s="29"/>
      <c r="C87" s="35" t="s">
        <v>186</v>
      </c>
      <c r="D87" s="36">
        <v>9015.57</v>
      </c>
      <c r="E87" s="37">
        <v>24705</v>
      </c>
      <c r="F87" s="37"/>
      <c r="G87" s="35">
        <f t="shared" si="0"/>
        <v>9015.57</v>
      </c>
    </row>
    <row r="88" spans="1:8" ht="15" customHeight="1" x14ac:dyDescent="0.3">
      <c r="A88" s="28"/>
      <c r="B88" s="38"/>
      <c r="C88" s="35" t="s">
        <v>187</v>
      </c>
      <c r="D88" s="39">
        <v>35032.019999999997</v>
      </c>
      <c r="E88" s="37">
        <v>24705</v>
      </c>
      <c r="F88" s="37"/>
      <c r="G88" s="35">
        <f t="shared" si="0"/>
        <v>35032.019999999997</v>
      </c>
    </row>
    <row r="89" spans="1:8" ht="15" customHeight="1" x14ac:dyDescent="0.3">
      <c r="A89" s="28"/>
      <c r="B89" s="40"/>
      <c r="C89" s="35" t="s">
        <v>188</v>
      </c>
      <c r="D89" s="41">
        <v>6401.91</v>
      </c>
      <c r="E89" s="37">
        <v>24705</v>
      </c>
      <c r="F89" s="37">
        <v>861</v>
      </c>
      <c r="G89" s="35">
        <f t="shared" si="0"/>
        <v>7262.91</v>
      </c>
    </row>
    <row r="90" spans="1:8" ht="15" customHeight="1" x14ac:dyDescent="0.3">
      <c r="A90" s="28"/>
      <c r="C90" s="35"/>
      <c r="D90" s="35"/>
      <c r="E90" s="42">
        <f t="shared" ref="E90:G90" si="1">SUM(E80:E89)</f>
        <v>247050</v>
      </c>
      <c r="F90" s="37">
        <f t="shared" si="1"/>
        <v>861</v>
      </c>
      <c r="G90" s="40">
        <f t="shared" si="1"/>
        <v>172235.86</v>
      </c>
      <c r="H90" s="40"/>
    </row>
    <row r="91" spans="1:8" ht="15" customHeight="1" x14ac:dyDescent="0.3">
      <c r="A91" s="28"/>
      <c r="B91" s="43"/>
      <c r="C91" s="30" t="s">
        <v>189</v>
      </c>
      <c r="D91" s="31" t="s">
        <v>175</v>
      </c>
      <c r="E91" s="32" t="s">
        <v>176</v>
      </c>
      <c r="F91" s="33" t="s">
        <v>177</v>
      </c>
      <c r="G91" s="34" t="s">
        <v>190</v>
      </c>
    </row>
    <row r="92" spans="1:8" ht="15" customHeight="1" x14ac:dyDescent="0.3">
      <c r="A92" s="28"/>
      <c r="B92" s="43"/>
      <c r="C92" s="35" t="s">
        <v>191</v>
      </c>
      <c r="D92" s="41">
        <v>35286.400000000001</v>
      </c>
      <c r="E92" s="37">
        <v>24705</v>
      </c>
      <c r="F92" s="37"/>
      <c r="G92" s="35">
        <f t="shared" ref="G92:G106" si="2">D92+F92</f>
        <v>35286.400000000001</v>
      </c>
    </row>
    <row r="93" spans="1:8" ht="15" customHeight="1" x14ac:dyDescent="0.3">
      <c r="A93" s="28"/>
      <c r="B93" s="44"/>
      <c r="C93" s="35" t="s">
        <v>192</v>
      </c>
      <c r="D93" s="41">
        <v>5629.71</v>
      </c>
      <c r="E93" s="37">
        <v>24705</v>
      </c>
      <c r="F93" s="37">
        <v>1247</v>
      </c>
      <c r="G93" s="35">
        <f t="shared" si="2"/>
        <v>6876.71</v>
      </c>
    </row>
    <row r="94" spans="1:8" ht="15" customHeight="1" x14ac:dyDescent="0.3">
      <c r="A94" s="28"/>
      <c r="B94" s="44"/>
      <c r="C94" s="35" t="s">
        <v>193</v>
      </c>
      <c r="D94" s="41">
        <v>6629.31</v>
      </c>
      <c r="E94" s="37">
        <v>24705</v>
      </c>
      <c r="F94" s="37">
        <v>1001</v>
      </c>
      <c r="G94" s="35">
        <f t="shared" si="2"/>
        <v>7630.31</v>
      </c>
    </row>
    <row r="95" spans="1:8" ht="15" customHeight="1" x14ac:dyDescent="0.3">
      <c r="A95" s="28"/>
      <c r="B95" s="43"/>
      <c r="C95" s="35" t="s">
        <v>194</v>
      </c>
      <c r="D95" s="41">
        <v>7001.72</v>
      </c>
      <c r="E95" s="37">
        <v>24705</v>
      </c>
      <c r="F95" s="37">
        <v>271</v>
      </c>
      <c r="G95" s="35">
        <f t="shared" si="2"/>
        <v>7272.72</v>
      </c>
    </row>
    <row r="96" spans="1:8" ht="15" customHeight="1" x14ac:dyDescent="0.3">
      <c r="A96" s="28"/>
      <c r="B96" s="43"/>
      <c r="C96" s="35" t="s">
        <v>195</v>
      </c>
      <c r="D96" s="41">
        <v>6345.3</v>
      </c>
      <c r="E96" s="37">
        <v>24705</v>
      </c>
      <c r="F96" s="37">
        <v>475</v>
      </c>
      <c r="G96" s="35">
        <f t="shared" si="2"/>
        <v>6820.3</v>
      </c>
    </row>
    <row r="97" spans="1:8" ht="15" customHeight="1" x14ac:dyDescent="0.3">
      <c r="A97" s="28"/>
      <c r="B97" s="29"/>
      <c r="C97" s="35" t="s">
        <v>196</v>
      </c>
      <c r="D97" s="36">
        <v>23016</v>
      </c>
      <c r="E97" s="37">
        <v>24705</v>
      </c>
      <c r="F97" s="37"/>
      <c r="G97" s="35">
        <f t="shared" si="2"/>
        <v>23016</v>
      </c>
    </row>
    <row r="98" spans="1:8" ht="15" customHeight="1" x14ac:dyDescent="0.3">
      <c r="A98" s="28"/>
      <c r="B98" s="29"/>
      <c r="C98" s="35" t="s">
        <v>197</v>
      </c>
      <c r="D98" s="36">
        <v>21015.81</v>
      </c>
      <c r="E98" s="37">
        <v>24705</v>
      </c>
      <c r="F98" s="37"/>
      <c r="G98" s="35">
        <f t="shared" si="2"/>
        <v>21015.81</v>
      </c>
    </row>
    <row r="99" spans="1:8" ht="15" customHeight="1" x14ac:dyDescent="0.3">
      <c r="A99" s="28"/>
      <c r="B99" s="29"/>
      <c r="C99" s="35" t="s">
        <v>198</v>
      </c>
      <c r="D99" s="36">
        <v>7014.87</v>
      </c>
      <c r="E99" s="37">
        <v>24705</v>
      </c>
      <c r="F99" s="37"/>
      <c r="G99" s="35">
        <f t="shared" si="2"/>
        <v>7014.87</v>
      </c>
    </row>
    <row r="100" spans="1:8" ht="15" customHeight="1" x14ac:dyDescent="0.3">
      <c r="A100" s="28"/>
      <c r="B100" s="29"/>
      <c r="C100" s="35" t="s">
        <v>199</v>
      </c>
      <c r="D100" s="36">
        <v>14845.23</v>
      </c>
      <c r="E100" s="37">
        <v>24705</v>
      </c>
      <c r="F100" s="37"/>
      <c r="G100" s="35">
        <f t="shared" si="2"/>
        <v>14845.23</v>
      </c>
    </row>
    <row r="101" spans="1:8" ht="15" customHeight="1" x14ac:dyDescent="0.3">
      <c r="A101" s="28"/>
      <c r="B101" s="45"/>
      <c r="C101" s="35" t="s">
        <v>200</v>
      </c>
      <c r="D101" s="36">
        <v>3108.24</v>
      </c>
      <c r="E101" s="37">
        <v>15656.52</v>
      </c>
      <c r="F101" s="37"/>
      <c r="G101" s="35">
        <f t="shared" si="2"/>
        <v>3108.24</v>
      </c>
    </row>
    <row r="102" spans="1:8" ht="15" customHeight="1" x14ac:dyDescent="0.3">
      <c r="A102" s="28"/>
      <c r="B102" s="38"/>
      <c r="C102" s="35" t="s">
        <v>201</v>
      </c>
      <c r="D102" s="36">
        <v>39002.800000000003</v>
      </c>
      <c r="E102" s="37"/>
      <c r="F102" s="37">
        <v>1609</v>
      </c>
      <c r="G102" s="35">
        <f t="shared" si="2"/>
        <v>40611.800000000003</v>
      </c>
    </row>
    <row r="103" spans="1:8" ht="15" customHeight="1" x14ac:dyDescent="0.3">
      <c r="A103" s="28"/>
      <c r="B103" s="43"/>
      <c r="C103" s="35" t="s">
        <v>202</v>
      </c>
      <c r="D103" s="39">
        <v>21611.24</v>
      </c>
      <c r="E103" s="37">
        <v>24705</v>
      </c>
      <c r="F103" s="37"/>
      <c r="G103" s="35">
        <f t="shared" si="2"/>
        <v>21611.24</v>
      </c>
    </row>
    <row r="104" spans="1:8" ht="15" customHeight="1" x14ac:dyDescent="0.3">
      <c r="A104" s="28"/>
      <c r="B104" s="43"/>
      <c r="C104" s="35" t="s">
        <v>203</v>
      </c>
      <c r="D104" s="39">
        <v>20590.54</v>
      </c>
      <c r="E104" s="37">
        <v>24705</v>
      </c>
      <c r="F104" s="37"/>
      <c r="G104" s="35">
        <f t="shared" si="2"/>
        <v>20590.54</v>
      </c>
    </row>
    <row r="105" spans="1:8" ht="15" customHeight="1" x14ac:dyDescent="0.3">
      <c r="A105" s="28"/>
      <c r="B105" s="43"/>
      <c r="C105" s="35" t="s">
        <v>204</v>
      </c>
      <c r="D105" s="39">
        <v>34684.660000000003</v>
      </c>
      <c r="E105" s="37">
        <v>24705</v>
      </c>
      <c r="F105" s="37"/>
      <c r="G105" s="35">
        <f t="shared" si="2"/>
        <v>34684.660000000003</v>
      </c>
    </row>
    <row r="106" spans="1:8" ht="15" customHeight="1" x14ac:dyDescent="0.3">
      <c r="A106" s="28"/>
      <c r="B106" s="29"/>
      <c r="C106" s="35" t="s">
        <v>205</v>
      </c>
      <c r="D106" s="39">
        <v>36062.44</v>
      </c>
      <c r="E106" s="37">
        <v>24705</v>
      </c>
      <c r="F106" s="28"/>
      <c r="G106" s="35">
        <f t="shared" si="2"/>
        <v>36062.44</v>
      </c>
    </row>
    <row r="107" spans="1:8" ht="15" customHeight="1" x14ac:dyDescent="0.3">
      <c r="A107" s="28"/>
      <c r="C107" s="35"/>
      <c r="D107" s="35"/>
      <c r="E107" s="42">
        <f>SUM(E92:E106)</f>
        <v>336821.52</v>
      </c>
      <c r="F107" s="42">
        <f>SUM(F92:F105)</f>
        <v>4603</v>
      </c>
      <c r="G107" s="40">
        <f>SUM(G92:G106)</f>
        <v>286447.27</v>
      </c>
      <c r="H107" s="40"/>
    </row>
    <row r="108" spans="1:8" ht="15" customHeight="1" x14ac:dyDescent="0.3">
      <c r="A108" s="28"/>
      <c r="C108" s="29"/>
      <c r="D108" s="40" t="s">
        <v>206</v>
      </c>
      <c r="E108" s="42">
        <f t="shared" ref="E108:F108" si="3">E107+E90</f>
        <v>583871.52</v>
      </c>
      <c r="F108" s="42">
        <f t="shared" si="3"/>
        <v>5464</v>
      </c>
      <c r="G108" s="40">
        <f>G90+G107</f>
        <v>458683.13</v>
      </c>
    </row>
    <row r="109" spans="1:8" ht="18.75" customHeight="1" x14ac:dyDescent="0.3">
      <c r="A109" s="28"/>
      <c r="C109" s="15"/>
      <c r="E109" s="28"/>
      <c r="F109" s="28"/>
    </row>
    <row r="110" spans="1:8" ht="18.75" customHeight="1" x14ac:dyDescent="0.3">
      <c r="A110" s="28"/>
      <c r="C110" s="15"/>
      <c r="E110" s="28"/>
      <c r="F110" s="28"/>
    </row>
    <row r="111" spans="1:8" ht="18.75" customHeight="1" x14ac:dyDescent="0.3">
      <c r="A111" s="28"/>
      <c r="C111" s="15"/>
      <c r="E111" s="28"/>
      <c r="F111" s="28"/>
    </row>
    <row r="112" spans="1:8" ht="18.75" customHeight="1" x14ac:dyDescent="0.3">
      <c r="A112" s="28"/>
      <c r="C112" s="15"/>
      <c r="E112" s="28"/>
      <c r="F112" s="28"/>
    </row>
    <row r="113" spans="1:7" ht="18.75" customHeight="1" x14ac:dyDescent="0.3">
      <c r="A113" s="28"/>
      <c r="C113" s="15"/>
      <c r="E113" s="28"/>
      <c r="F113" s="28"/>
    </row>
    <row r="114" spans="1:7" ht="18.75" customHeight="1" x14ac:dyDescent="0.3">
      <c r="A114" s="28"/>
      <c r="C114" s="15"/>
      <c r="E114" s="28"/>
      <c r="F114" s="28"/>
    </row>
    <row r="115" spans="1:7" ht="18.75" customHeight="1" x14ac:dyDescent="0.3">
      <c r="A115" s="28"/>
      <c r="C115" s="15"/>
      <c r="E115" s="28"/>
      <c r="F115" s="28"/>
    </row>
    <row r="116" spans="1:7" ht="18.75" customHeight="1" x14ac:dyDescent="0.3">
      <c r="A116" s="28"/>
      <c r="C116" s="15"/>
      <c r="E116" s="28"/>
      <c r="F116" s="28"/>
    </row>
    <row r="117" spans="1:7" ht="18.75" customHeight="1" x14ac:dyDescent="0.3">
      <c r="A117" s="28"/>
      <c r="C117" s="15"/>
      <c r="E117" s="28"/>
      <c r="F117" s="28"/>
    </row>
    <row r="118" spans="1:7" ht="18.75" customHeight="1" x14ac:dyDescent="0.3">
      <c r="A118" s="28"/>
      <c r="C118" s="15"/>
      <c r="E118" s="28"/>
      <c r="F118" s="28"/>
    </row>
    <row r="119" spans="1:7" ht="18.75" customHeight="1" x14ac:dyDescent="0.3">
      <c r="A119" s="28"/>
      <c r="C119" s="15"/>
      <c r="E119" s="28"/>
      <c r="F119" s="28"/>
    </row>
    <row r="120" spans="1:7" ht="18.75" customHeight="1" x14ac:dyDescent="0.3">
      <c r="A120" s="28"/>
      <c r="C120" s="15"/>
      <c r="E120" s="28"/>
      <c r="F120" s="28"/>
      <c r="G120" s="46"/>
    </row>
    <row r="121" spans="1:7" ht="18.75" customHeight="1" x14ac:dyDescent="0.3">
      <c r="A121" s="28"/>
      <c r="C121" s="15"/>
      <c r="E121" s="28"/>
      <c r="F121" s="28"/>
    </row>
    <row r="122" spans="1:7" ht="18.75" customHeight="1" x14ac:dyDescent="0.3">
      <c r="A122" s="28"/>
      <c r="C122" s="15"/>
      <c r="E122" s="28"/>
      <c r="F122" s="28"/>
    </row>
    <row r="123" spans="1:7" ht="18.75" customHeight="1" x14ac:dyDescent="0.3">
      <c r="A123" s="28"/>
      <c r="C123" s="15"/>
      <c r="E123" s="28"/>
      <c r="F123" s="28"/>
    </row>
    <row r="124" spans="1:7" ht="18.75" customHeight="1" x14ac:dyDescent="0.3">
      <c r="A124" s="28"/>
      <c r="C124" s="15"/>
      <c r="E124" s="28"/>
      <c r="F124" s="28"/>
    </row>
    <row r="125" spans="1:7" ht="18.75" customHeight="1" x14ac:dyDescent="0.3">
      <c r="A125" s="28"/>
      <c r="C125" s="15"/>
      <c r="E125" s="28"/>
      <c r="F125" s="28"/>
    </row>
    <row r="126" spans="1:7" ht="18.75" customHeight="1" x14ac:dyDescent="0.3">
      <c r="A126" s="28"/>
      <c r="C126" s="15"/>
      <c r="E126" s="28"/>
      <c r="F126" s="28"/>
    </row>
    <row r="127" spans="1:7" ht="18.75" customHeight="1" x14ac:dyDescent="0.3">
      <c r="A127" s="28"/>
      <c r="C127" s="15"/>
      <c r="E127" s="28"/>
      <c r="F127" s="28"/>
    </row>
    <row r="128" spans="1:7" ht="15.75" customHeight="1" x14ac:dyDescent="0.3">
      <c r="A128" s="28"/>
      <c r="C128" s="15"/>
      <c r="E128" s="28"/>
      <c r="F128" s="28"/>
    </row>
    <row r="129" spans="1:6" ht="15.75" customHeight="1" x14ac:dyDescent="0.3">
      <c r="A129" s="28"/>
      <c r="C129" s="15"/>
      <c r="E129" s="28"/>
      <c r="F129" s="28"/>
    </row>
    <row r="130" spans="1:6" ht="15.75" customHeight="1" x14ac:dyDescent="0.3">
      <c r="A130" s="28"/>
      <c r="C130" s="15"/>
      <c r="E130" s="28"/>
      <c r="F130" s="28"/>
    </row>
    <row r="131" spans="1:6" ht="15.75" customHeight="1" x14ac:dyDescent="0.3">
      <c r="A131" s="28"/>
      <c r="C131" s="15"/>
      <c r="E131" s="28"/>
      <c r="F131" s="28"/>
    </row>
    <row r="132" spans="1:6" ht="15.75" customHeight="1" x14ac:dyDescent="0.3">
      <c r="A132" s="28"/>
      <c r="C132" s="15"/>
      <c r="E132" s="28"/>
      <c r="F132" s="28"/>
    </row>
    <row r="133" spans="1:6" ht="15.75" customHeight="1" x14ac:dyDescent="0.3">
      <c r="A133" s="28"/>
      <c r="C133" s="15"/>
      <c r="E133" s="28"/>
      <c r="F133" s="28"/>
    </row>
    <row r="134" spans="1:6" ht="15.75" customHeight="1" x14ac:dyDescent="0.3">
      <c r="A134" s="28"/>
      <c r="C134" s="15"/>
      <c r="E134" s="28"/>
      <c r="F134" s="28"/>
    </row>
    <row r="135" spans="1:6" ht="15.75" customHeight="1" x14ac:dyDescent="0.3">
      <c r="A135" s="28"/>
      <c r="C135" s="15"/>
      <c r="E135" s="28"/>
      <c r="F135" s="28"/>
    </row>
    <row r="136" spans="1:6" ht="15.75" customHeight="1" x14ac:dyDescent="0.3">
      <c r="A136" s="28"/>
      <c r="C136" s="15"/>
      <c r="E136" s="28"/>
      <c r="F136" s="28"/>
    </row>
    <row r="137" spans="1:6" ht="15.75" customHeight="1" x14ac:dyDescent="0.3">
      <c r="A137" s="28"/>
      <c r="C137" s="15"/>
      <c r="E137" s="28"/>
      <c r="F137" s="28"/>
    </row>
    <row r="138" spans="1:6" ht="15.75" customHeight="1" x14ac:dyDescent="0.3">
      <c r="A138" s="28"/>
      <c r="C138" s="15"/>
      <c r="E138" s="28"/>
      <c r="F138" s="28"/>
    </row>
    <row r="139" spans="1:6" ht="15.75" customHeight="1" x14ac:dyDescent="0.3">
      <c r="A139" s="28"/>
      <c r="C139" s="15"/>
      <c r="E139" s="28"/>
      <c r="F139" s="28"/>
    </row>
    <row r="140" spans="1:6" ht="15.75" customHeight="1" x14ac:dyDescent="0.3">
      <c r="A140" s="28"/>
      <c r="C140" s="15"/>
      <c r="E140" s="28"/>
      <c r="F140" s="28"/>
    </row>
    <row r="141" spans="1:6" ht="15.75" customHeight="1" x14ac:dyDescent="0.3">
      <c r="A141" s="28"/>
      <c r="C141" s="15"/>
      <c r="E141" s="28"/>
      <c r="F141" s="28"/>
    </row>
    <row r="142" spans="1:6" ht="15.75" customHeight="1" x14ac:dyDescent="0.3">
      <c r="A142" s="28"/>
      <c r="C142" s="15"/>
      <c r="E142" s="28"/>
      <c r="F142" s="28"/>
    </row>
    <row r="143" spans="1:6" ht="15.75" customHeight="1" x14ac:dyDescent="0.3">
      <c r="A143" s="28"/>
      <c r="C143" s="15"/>
      <c r="E143" s="28"/>
      <c r="F143" s="28"/>
    </row>
    <row r="144" spans="1:6" ht="15.75" customHeight="1" x14ac:dyDescent="0.3">
      <c r="A144" s="28"/>
      <c r="C144" s="15"/>
      <c r="E144" s="28"/>
      <c r="F144" s="28"/>
    </row>
    <row r="145" spans="1:6" ht="15.75" customHeight="1" x14ac:dyDescent="0.3">
      <c r="A145" s="28"/>
      <c r="C145" s="15"/>
      <c r="E145" s="28"/>
      <c r="F145" s="28"/>
    </row>
    <row r="146" spans="1:6" ht="15.75" customHeight="1" x14ac:dyDescent="0.3">
      <c r="A146" s="28"/>
      <c r="C146" s="15"/>
      <c r="E146" s="28"/>
      <c r="F146" s="28"/>
    </row>
    <row r="147" spans="1:6" ht="15.75" customHeight="1" x14ac:dyDescent="0.3">
      <c r="A147" s="28"/>
      <c r="C147" s="15"/>
      <c r="E147" s="28"/>
      <c r="F147" s="28"/>
    </row>
    <row r="148" spans="1:6" ht="15.75" customHeight="1" x14ac:dyDescent="0.3">
      <c r="A148" s="28"/>
      <c r="C148" s="15"/>
      <c r="E148" s="28"/>
      <c r="F148" s="28"/>
    </row>
    <row r="149" spans="1:6" ht="15.75" customHeight="1" x14ac:dyDescent="0.3">
      <c r="A149" s="28"/>
      <c r="C149" s="15"/>
      <c r="E149" s="28"/>
      <c r="F149" s="28"/>
    </row>
    <row r="150" spans="1:6" ht="15.75" customHeight="1" x14ac:dyDescent="0.3">
      <c r="A150" s="28"/>
      <c r="C150" s="15"/>
      <c r="E150" s="28"/>
      <c r="F150" s="28"/>
    </row>
    <row r="151" spans="1:6" ht="15.75" customHeight="1" x14ac:dyDescent="0.3">
      <c r="A151" s="28"/>
      <c r="C151" s="15"/>
      <c r="E151" s="28"/>
      <c r="F151" s="28"/>
    </row>
    <row r="152" spans="1:6" ht="15.75" customHeight="1" x14ac:dyDescent="0.3">
      <c r="A152" s="28"/>
      <c r="C152" s="15"/>
      <c r="E152" s="28"/>
      <c r="F152" s="28"/>
    </row>
    <row r="153" spans="1:6" ht="15.75" customHeight="1" x14ac:dyDescent="0.3">
      <c r="A153" s="28"/>
      <c r="C153" s="15"/>
      <c r="E153" s="28"/>
      <c r="F153" s="28"/>
    </row>
    <row r="154" spans="1:6" ht="15.75" customHeight="1" x14ac:dyDescent="0.3">
      <c r="A154" s="28"/>
      <c r="C154" s="15"/>
      <c r="E154" s="28"/>
      <c r="F154" s="28"/>
    </row>
    <row r="155" spans="1:6" ht="15.75" customHeight="1" x14ac:dyDescent="0.3">
      <c r="A155" s="28"/>
      <c r="C155" s="15"/>
      <c r="E155" s="28"/>
      <c r="F155" s="28"/>
    </row>
    <row r="156" spans="1:6" ht="15.75" customHeight="1" x14ac:dyDescent="0.3">
      <c r="A156" s="28"/>
      <c r="C156" s="15"/>
      <c r="E156" s="28"/>
      <c r="F156" s="28"/>
    </row>
    <row r="157" spans="1:6" ht="15.75" customHeight="1" x14ac:dyDescent="0.3">
      <c r="A157" s="28"/>
      <c r="C157" s="15"/>
      <c r="E157" s="28"/>
      <c r="F157" s="28"/>
    </row>
    <row r="158" spans="1:6" ht="15.75" customHeight="1" x14ac:dyDescent="0.3">
      <c r="A158" s="28"/>
      <c r="C158" s="15"/>
      <c r="E158" s="28"/>
      <c r="F158" s="28"/>
    </row>
    <row r="159" spans="1:6" ht="15.75" customHeight="1" x14ac:dyDescent="0.3">
      <c r="A159" s="28"/>
      <c r="C159" s="15"/>
      <c r="E159" s="28"/>
      <c r="F159" s="28"/>
    </row>
    <row r="160" spans="1:6" ht="15.75" customHeight="1" x14ac:dyDescent="0.3">
      <c r="A160" s="28"/>
      <c r="C160" s="15"/>
      <c r="E160" s="28"/>
      <c r="F160" s="28"/>
    </row>
    <row r="161" spans="1:6" ht="15.75" customHeight="1" x14ac:dyDescent="0.3">
      <c r="A161" s="28"/>
      <c r="C161" s="15"/>
      <c r="E161" s="28"/>
      <c r="F161" s="28"/>
    </row>
    <row r="162" spans="1:6" ht="15.75" customHeight="1" x14ac:dyDescent="0.3">
      <c r="A162" s="28"/>
      <c r="C162" s="15"/>
      <c r="E162" s="28"/>
      <c r="F162" s="28"/>
    </row>
    <row r="163" spans="1:6" ht="15.75" customHeight="1" x14ac:dyDescent="0.3">
      <c r="A163" s="28"/>
      <c r="C163" s="15"/>
      <c r="E163" s="28"/>
      <c r="F163" s="28"/>
    </row>
    <row r="164" spans="1:6" ht="15.75" customHeight="1" x14ac:dyDescent="0.3">
      <c r="A164" s="28"/>
      <c r="C164" s="15"/>
      <c r="E164" s="28"/>
      <c r="F164" s="28"/>
    </row>
    <row r="165" spans="1:6" ht="15.75" customHeight="1" x14ac:dyDescent="0.3">
      <c r="A165" s="28"/>
      <c r="C165" s="15"/>
      <c r="E165" s="28"/>
      <c r="F165" s="28"/>
    </row>
    <row r="166" spans="1:6" ht="15.75" customHeight="1" x14ac:dyDescent="0.3">
      <c r="A166" s="28"/>
      <c r="C166" s="15"/>
      <c r="E166" s="28"/>
      <c r="F166" s="28"/>
    </row>
    <row r="167" spans="1:6" ht="15.75" customHeight="1" x14ac:dyDescent="0.3">
      <c r="A167" s="28"/>
      <c r="C167" s="15"/>
      <c r="E167" s="28"/>
      <c r="F167" s="28"/>
    </row>
    <row r="168" spans="1:6" ht="15.75" customHeight="1" x14ac:dyDescent="0.3">
      <c r="A168" s="28"/>
      <c r="C168" s="15"/>
      <c r="E168" s="28"/>
      <c r="F168" s="28"/>
    </row>
    <row r="169" spans="1:6" ht="15.75" customHeight="1" x14ac:dyDescent="0.3">
      <c r="A169" s="28"/>
      <c r="C169" s="15"/>
      <c r="E169" s="28"/>
      <c r="F169" s="28"/>
    </row>
    <row r="170" spans="1:6" ht="15.75" customHeight="1" x14ac:dyDescent="0.3">
      <c r="A170" s="28"/>
      <c r="C170" s="15"/>
      <c r="E170" s="28"/>
      <c r="F170" s="28"/>
    </row>
    <row r="171" spans="1:6" ht="15.75" customHeight="1" x14ac:dyDescent="0.3">
      <c r="A171" s="28"/>
      <c r="C171" s="15"/>
      <c r="E171" s="28"/>
      <c r="F171" s="28"/>
    </row>
    <row r="172" spans="1:6" ht="15.75" customHeight="1" x14ac:dyDescent="0.3">
      <c r="A172" s="28"/>
      <c r="C172" s="15"/>
      <c r="E172" s="28"/>
      <c r="F172" s="28"/>
    </row>
    <row r="173" spans="1:6" ht="15.75" customHeight="1" x14ac:dyDescent="0.3">
      <c r="A173" s="28"/>
      <c r="C173" s="15"/>
      <c r="E173" s="28"/>
      <c r="F173" s="28"/>
    </row>
    <row r="174" spans="1:6" ht="15.75" customHeight="1" x14ac:dyDescent="0.3">
      <c r="A174" s="28"/>
      <c r="C174" s="15"/>
      <c r="E174" s="28"/>
      <c r="F174" s="28"/>
    </row>
    <row r="175" spans="1:6" ht="15.75" customHeight="1" x14ac:dyDescent="0.3">
      <c r="A175" s="28"/>
      <c r="C175" s="15"/>
      <c r="E175" s="28"/>
      <c r="F175" s="28"/>
    </row>
    <row r="176" spans="1:6" ht="15.75" customHeight="1" x14ac:dyDescent="0.3">
      <c r="A176" s="28"/>
      <c r="C176" s="15"/>
      <c r="E176" s="28"/>
      <c r="F176" s="28"/>
    </row>
    <row r="177" spans="1:6" ht="15.75" customHeight="1" x14ac:dyDescent="0.3">
      <c r="A177" s="28"/>
      <c r="C177" s="15"/>
      <c r="E177" s="28"/>
      <c r="F177" s="28"/>
    </row>
    <row r="178" spans="1:6" ht="15.75" customHeight="1" x14ac:dyDescent="0.3">
      <c r="A178" s="28"/>
      <c r="C178" s="15"/>
      <c r="E178" s="28"/>
      <c r="F178" s="28"/>
    </row>
    <row r="179" spans="1:6" ht="15.75" customHeight="1" x14ac:dyDescent="0.3">
      <c r="A179" s="28"/>
      <c r="C179" s="15"/>
      <c r="E179" s="28"/>
      <c r="F179" s="28"/>
    </row>
    <row r="180" spans="1:6" ht="15.75" customHeight="1" x14ac:dyDescent="0.3">
      <c r="A180" s="28"/>
      <c r="C180" s="15"/>
      <c r="E180" s="28"/>
      <c r="F180" s="28"/>
    </row>
    <row r="181" spans="1:6" ht="15.75" customHeight="1" x14ac:dyDescent="0.3">
      <c r="A181" s="28"/>
      <c r="C181" s="15"/>
      <c r="E181" s="28"/>
      <c r="F181" s="28"/>
    </row>
    <row r="182" spans="1:6" ht="15.75" customHeight="1" x14ac:dyDescent="0.3">
      <c r="A182" s="28"/>
      <c r="C182" s="15"/>
      <c r="E182" s="28"/>
      <c r="F182" s="28"/>
    </row>
    <row r="183" spans="1:6" ht="15.75" customHeight="1" x14ac:dyDescent="0.3">
      <c r="A183" s="28"/>
      <c r="C183" s="15"/>
      <c r="E183" s="28"/>
      <c r="F183" s="28"/>
    </row>
    <row r="184" spans="1:6" ht="15.75" customHeight="1" x14ac:dyDescent="0.3">
      <c r="A184" s="28"/>
      <c r="C184" s="15"/>
      <c r="E184" s="28"/>
      <c r="F184" s="28"/>
    </row>
    <row r="185" spans="1:6" ht="15.75" customHeight="1" x14ac:dyDescent="0.3">
      <c r="A185" s="28"/>
      <c r="C185" s="15"/>
      <c r="E185" s="28"/>
      <c r="F185" s="28"/>
    </row>
    <row r="186" spans="1:6" ht="15.75" customHeight="1" x14ac:dyDescent="0.3">
      <c r="A186" s="28"/>
      <c r="C186" s="15"/>
      <c r="E186" s="28"/>
      <c r="F186" s="28"/>
    </row>
    <row r="187" spans="1:6" ht="15.75" customHeight="1" x14ac:dyDescent="0.3">
      <c r="A187" s="28"/>
      <c r="C187" s="15"/>
      <c r="E187" s="28"/>
      <c r="F187" s="28"/>
    </row>
    <row r="188" spans="1:6" ht="15.75" customHeight="1" x14ac:dyDescent="0.3">
      <c r="A188" s="28"/>
      <c r="C188" s="15"/>
      <c r="E188" s="28"/>
      <c r="F188" s="28"/>
    </row>
    <row r="189" spans="1:6" ht="15.75" customHeight="1" x14ac:dyDescent="0.3">
      <c r="A189" s="28"/>
      <c r="C189" s="15"/>
      <c r="E189" s="28"/>
      <c r="F189" s="28"/>
    </row>
    <row r="190" spans="1:6" ht="15.75" customHeight="1" x14ac:dyDescent="0.3">
      <c r="A190" s="28"/>
      <c r="C190" s="15"/>
      <c r="E190" s="28"/>
      <c r="F190" s="28"/>
    </row>
    <row r="191" spans="1:6" ht="15.75" customHeight="1" x14ac:dyDescent="0.3">
      <c r="A191" s="28"/>
      <c r="C191" s="15"/>
      <c r="E191" s="28"/>
      <c r="F191" s="28"/>
    </row>
    <row r="192" spans="1:6" ht="15.75" customHeight="1" x14ac:dyDescent="0.3">
      <c r="A192" s="28"/>
      <c r="C192" s="15"/>
      <c r="E192" s="28"/>
      <c r="F192" s="28"/>
    </row>
    <row r="193" spans="1:6" ht="15.75" customHeight="1" x14ac:dyDescent="0.3">
      <c r="A193" s="28"/>
      <c r="C193" s="15"/>
      <c r="E193" s="28"/>
      <c r="F193" s="28"/>
    </row>
    <row r="194" spans="1:6" ht="15.75" customHeight="1" x14ac:dyDescent="0.3">
      <c r="A194" s="28"/>
      <c r="C194" s="15"/>
      <c r="E194" s="28"/>
      <c r="F194" s="28"/>
    </row>
    <row r="195" spans="1:6" ht="15.75" customHeight="1" x14ac:dyDescent="0.3">
      <c r="A195" s="28"/>
      <c r="C195" s="15"/>
      <c r="E195" s="28"/>
      <c r="F195" s="28"/>
    </row>
    <row r="196" spans="1:6" ht="15.75" customHeight="1" x14ac:dyDescent="0.3">
      <c r="A196" s="28"/>
      <c r="C196" s="15"/>
      <c r="E196" s="28"/>
      <c r="F196" s="28"/>
    </row>
    <row r="197" spans="1:6" ht="15.75" customHeight="1" x14ac:dyDescent="0.3">
      <c r="A197" s="28"/>
      <c r="C197" s="15"/>
      <c r="E197" s="28"/>
      <c r="F197" s="28"/>
    </row>
    <row r="198" spans="1:6" ht="15.75" customHeight="1" x14ac:dyDescent="0.3">
      <c r="A198" s="28"/>
      <c r="C198" s="15"/>
      <c r="E198" s="28"/>
      <c r="F198" s="28"/>
    </row>
    <row r="199" spans="1:6" ht="15.75" customHeight="1" x14ac:dyDescent="0.3">
      <c r="A199" s="28"/>
      <c r="C199" s="15"/>
      <c r="E199" s="28"/>
      <c r="F199" s="28"/>
    </row>
    <row r="200" spans="1:6" ht="15.75" customHeight="1" x14ac:dyDescent="0.3">
      <c r="A200" s="28"/>
      <c r="C200" s="15"/>
      <c r="E200" s="28"/>
      <c r="F200" s="28"/>
    </row>
    <row r="201" spans="1:6" ht="15.75" customHeight="1" x14ac:dyDescent="0.3">
      <c r="A201" s="28"/>
      <c r="C201" s="15"/>
      <c r="E201" s="28"/>
      <c r="F201" s="28"/>
    </row>
    <row r="202" spans="1:6" ht="15.75" customHeight="1" x14ac:dyDescent="0.3">
      <c r="A202" s="28"/>
      <c r="C202" s="15"/>
      <c r="E202" s="28"/>
      <c r="F202" s="28"/>
    </row>
    <row r="203" spans="1:6" ht="15.75" customHeight="1" x14ac:dyDescent="0.3">
      <c r="A203" s="28"/>
      <c r="C203" s="15"/>
      <c r="E203" s="28"/>
      <c r="F203" s="28"/>
    </row>
    <row r="204" spans="1:6" ht="15.75" customHeight="1" x14ac:dyDescent="0.3">
      <c r="A204" s="28"/>
      <c r="C204" s="15"/>
      <c r="E204" s="28"/>
      <c r="F204" s="28"/>
    </row>
    <row r="205" spans="1:6" ht="15.75" customHeight="1" x14ac:dyDescent="0.3">
      <c r="A205" s="28"/>
      <c r="C205" s="15"/>
      <c r="E205" s="28"/>
      <c r="F205" s="28"/>
    </row>
    <row r="206" spans="1:6" ht="15.75" customHeight="1" x14ac:dyDescent="0.3">
      <c r="A206" s="28"/>
      <c r="C206" s="15"/>
      <c r="E206" s="28"/>
      <c r="F206" s="28"/>
    </row>
    <row r="207" spans="1:6" ht="15.75" customHeight="1" x14ac:dyDescent="0.3">
      <c r="A207" s="28"/>
      <c r="C207" s="15"/>
      <c r="E207" s="28"/>
      <c r="F207" s="28"/>
    </row>
    <row r="208" spans="1:6" ht="15.75" customHeight="1" x14ac:dyDescent="0.3">
      <c r="A208" s="28"/>
      <c r="C208" s="15"/>
      <c r="E208" s="28"/>
      <c r="F208" s="28"/>
    </row>
    <row r="209" spans="1:6" ht="15.75" customHeight="1" x14ac:dyDescent="0.3">
      <c r="A209" s="28"/>
      <c r="C209" s="15"/>
      <c r="E209" s="28"/>
      <c r="F209" s="28"/>
    </row>
    <row r="210" spans="1:6" ht="15.75" customHeight="1" x14ac:dyDescent="0.3">
      <c r="A210" s="28"/>
      <c r="C210" s="15"/>
      <c r="E210" s="28"/>
      <c r="F210" s="28"/>
    </row>
    <row r="211" spans="1:6" ht="15.75" customHeight="1" x14ac:dyDescent="0.3">
      <c r="A211" s="28"/>
      <c r="C211" s="15"/>
      <c r="E211" s="28"/>
      <c r="F211" s="28"/>
    </row>
    <row r="212" spans="1:6" ht="15.75" customHeight="1" x14ac:dyDescent="0.3">
      <c r="A212" s="28"/>
      <c r="C212" s="15"/>
      <c r="E212" s="28"/>
      <c r="F212" s="28"/>
    </row>
    <row r="213" spans="1:6" ht="15.75" customHeight="1" x14ac:dyDescent="0.3">
      <c r="A213" s="28"/>
      <c r="C213" s="15"/>
      <c r="E213" s="28"/>
      <c r="F213" s="28"/>
    </row>
    <row r="214" spans="1:6" ht="15.75" customHeight="1" x14ac:dyDescent="0.3">
      <c r="A214" s="28"/>
      <c r="C214" s="15"/>
      <c r="E214" s="28"/>
      <c r="F214" s="28"/>
    </row>
    <row r="215" spans="1:6" ht="15.75" customHeight="1" x14ac:dyDescent="0.3">
      <c r="A215" s="28"/>
      <c r="C215" s="15"/>
      <c r="E215" s="28"/>
      <c r="F215" s="28"/>
    </row>
    <row r="216" spans="1:6" ht="15.75" customHeight="1" x14ac:dyDescent="0.3">
      <c r="A216" s="28"/>
      <c r="C216" s="15"/>
      <c r="E216" s="28"/>
      <c r="F216" s="28"/>
    </row>
    <row r="217" spans="1:6" ht="15.75" customHeight="1" x14ac:dyDescent="0.3">
      <c r="A217" s="28"/>
      <c r="C217" s="15"/>
      <c r="E217" s="28"/>
      <c r="F217" s="28"/>
    </row>
    <row r="218" spans="1:6" ht="15.75" customHeight="1" x14ac:dyDescent="0.3">
      <c r="A218" s="28"/>
      <c r="C218" s="15"/>
      <c r="E218" s="28"/>
      <c r="F218" s="28"/>
    </row>
    <row r="219" spans="1:6" ht="15.75" customHeight="1" x14ac:dyDescent="0.3">
      <c r="A219" s="28"/>
      <c r="C219" s="15"/>
      <c r="E219" s="28"/>
      <c r="F219" s="28"/>
    </row>
    <row r="220" spans="1:6" ht="15.75" customHeight="1" x14ac:dyDescent="0.3">
      <c r="A220" s="28"/>
      <c r="C220" s="15"/>
      <c r="E220" s="28"/>
      <c r="F220" s="28"/>
    </row>
    <row r="221" spans="1:6" ht="15.75" customHeight="1" x14ac:dyDescent="0.3">
      <c r="A221" s="28"/>
      <c r="C221" s="15"/>
      <c r="E221" s="28"/>
      <c r="F221" s="28"/>
    </row>
    <row r="222" spans="1:6" ht="15.75" customHeight="1" x14ac:dyDescent="0.3">
      <c r="A222" s="28"/>
      <c r="C222" s="15"/>
      <c r="E222" s="28"/>
      <c r="F222" s="28"/>
    </row>
    <row r="223" spans="1:6" ht="15.75" customHeight="1" x14ac:dyDescent="0.3">
      <c r="A223" s="28"/>
      <c r="C223" s="15"/>
      <c r="E223" s="28"/>
      <c r="F223" s="28"/>
    </row>
    <row r="224" spans="1:6" ht="15.75" customHeight="1" x14ac:dyDescent="0.3">
      <c r="A224" s="28"/>
      <c r="C224" s="15"/>
      <c r="E224" s="28"/>
      <c r="F224" s="28"/>
    </row>
    <row r="225" spans="1:6" ht="15.75" customHeight="1" x14ac:dyDescent="0.3">
      <c r="A225" s="28"/>
      <c r="C225" s="15"/>
      <c r="E225" s="28"/>
      <c r="F225" s="28"/>
    </row>
    <row r="226" spans="1:6" ht="15.75" customHeight="1" x14ac:dyDescent="0.3">
      <c r="A226" s="28"/>
      <c r="C226" s="15"/>
      <c r="E226" s="28"/>
      <c r="F226" s="28"/>
    </row>
    <row r="227" spans="1:6" ht="15.75" customHeight="1" x14ac:dyDescent="0.3">
      <c r="A227" s="28"/>
      <c r="C227" s="15"/>
      <c r="E227" s="28"/>
      <c r="F227" s="28"/>
    </row>
    <row r="228" spans="1:6" ht="15.75" customHeight="1" x14ac:dyDescent="0.3">
      <c r="A228" s="28"/>
      <c r="C228" s="15"/>
      <c r="E228" s="28"/>
      <c r="F228" s="28"/>
    </row>
    <row r="229" spans="1:6" ht="15.75" customHeight="1" x14ac:dyDescent="0.3">
      <c r="A229" s="28"/>
      <c r="C229" s="15"/>
      <c r="E229" s="28"/>
      <c r="F229" s="28"/>
    </row>
    <row r="230" spans="1:6" ht="15.75" customHeight="1" x14ac:dyDescent="0.3">
      <c r="A230" s="28"/>
      <c r="C230" s="15"/>
      <c r="E230" s="28"/>
      <c r="F230" s="28"/>
    </row>
    <row r="231" spans="1:6" ht="15.75" customHeight="1" x14ac:dyDescent="0.3">
      <c r="A231" s="28"/>
      <c r="C231" s="15"/>
      <c r="E231" s="28"/>
      <c r="F231" s="28"/>
    </row>
    <row r="232" spans="1:6" ht="15.75" customHeight="1" x14ac:dyDescent="0.3">
      <c r="A232" s="28"/>
      <c r="C232" s="15"/>
      <c r="E232" s="28"/>
      <c r="F232" s="28"/>
    </row>
    <row r="233" spans="1:6" ht="15.75" customHeight="1" x14ac:dyDescent="0.3">
      <c r="A233" s="28"/>
      <c r="C233" s="15"/>
      <c r="E233" s="28"/>
      <c r="F233" s="28"/>
    </row>
    <row r="234" spans="1:6" ht="15.75" customHeight="1" x14ac:dyDescent="0.3">
      <c r="A234" s="28"/>
      <c r="C234" s="15"/>
      <c r="E234" s="28"/>
      <c r="F234" s="28"/>
    </row>
    <row r="235" spans="1:6" ht="15.75" customHeight="1" x14ac:dyDescent="0.3">
      <c r="A235" s="28"/>
      <c r="C235" s="15"/>
      <c r="E235" s="28"/>
      <c r="F235" s="28"/>
    </row>
    <row r="236" spans="1:6" ht="15.75" customHeight="1" x14ac:dyDescent="0.3">
      <c r="A236" s="28"/>
      <c r="C236" s="15"/>
      <c r="E236" s="28"/>
      <c r="F236" s="28"/>
    </row>
    <row r="237" spans="1:6" ht="15.75" customHeight="1" x14ac:dyDescent="0.3">
      <c r="A237" s="28"/>
      <c r="C237" s="15"/>
      <c r="E237" s="28"/>
      <c r="F237" s="28"/>
    </row>
    <row r="238" spans="1:6" ht="15.75" customHeight="1" x14ac:dyDescent="0.3">
      <c r="A238" s="28"/>
      <c r="C238" s="15"/>
      <c r="E238" s="28"/>
      <c r="F238" s="28"/>
    </row>
    <row r="239" spans="1:6" ht="15.75" customHeight="1" x14ac:dyDescent="0.3">
      <c r="A239" s="28"/>
      <c r="C239" s="15"/>
      <c r="E239" s="28"/>
      <c r="F239" s="28"/>
    </row>
    <row r="240" spans="1:6" ht="15.75" customHeight="1" x14ac:dyDescent="0.3">
      <c r="A240" s="28"/>
      <c r="C240" s="15"/>
      <c r="E240" s="28"/>
      <c r="F240" s="28"/>
    </row>
    <row r="241" spans="1:6" ht="15.75" customHeight="1" x14ac:dyDescent="0.3">
      <c r="A241" s="28"/>
      <c r="C241" s="15"/>
      <c r="E241" s="28"/>
      <c r="F241" s="28"/>
    </row>
    <row r="242" spans="1:6" ht="15.75" customHeight="1" x14ac:dyDescent="0.3">
      <c r="A242" s="28"/>
      <c r="C242" s="15"/>
      <c r="E242" s="28"/>
      <c r="F242" s="28"/>
    </row>
    <row r="243" spans="1:6" ht="15.75" customHeight="1" x14ac:dyDescent="0.3">
      <c r="A243" s="28"/>
      <c r="C243" s="15"/>
      <c r="E243" s="28"/>
      <c r="F243" s="28"/>
    </row>
    <row r="244" spans="1:6" ht="15.75" customHeight="1" x14ac:dyDescent="0.3">
      <c r="A244" s="28"/>
      <c r="C244" s="15"/>
      <c r="E244" s="28"/>
      <c r="F244" s="28"/>
    </row>
    <row r="245" spans="1:6" ht="15.75" customHeight="1" x14ac:dyDescent="0.3">
      <c r="A245" s="28"/>
      <c r="C245" s="15"/>
      <c r="E245" s="28"/>
      <c r="F245" s="28"/>
    </row>
    <row r="246" spans="1:6" ht="15.75" customHeight="1" x14ac:dyDescent="0.3">
      <c r="A246" s="28"/>
      <c r="C246" s="15"/>
      <c r="E246" s="28"/>
      <c r="F246" s="28"/>
    </row>
    <row r="247" spans="1:6" ht="15.75" customHeight="1" x14ac:dyDescent="0.3">
      <c r="A247" s="28"/>
      <c r="C247" s="15"/>
      <c r="E247" s="28"/>
      <c r="F247" s="28"/>
    </row>
    <row r="248" spans="1:6" ht="15.75" customHeight="1" x14ac:dyDescent="0.3">
      <c r="A248" s="28"/>
      <c r="C248" s="15"/>
      <c r="E248" s="28"/>
      <c r="F248" s="28"/>
    </row>
    <row r="249" spans="1:6" ht="15.75" customHeight="1" x14ac:dyDescent="0.3">
      <c r="A249" s="28"/>
      <c r="C249" s="15"/>
      <c r="E249" s="28"/>
      <c r="F249" s="28"/>
    </row>
    <row r="250" spans="1:6" ht="15.75" customHeight="1" x14ac:dyDescent="0.3">
      <c r="A250" s="28"/>
      <c r="C250" s="15"/>
      <c r="E250" s="28"/>
      <c r="F250" s="28"/>
    </row>
    <row r="251" spans="1:6" ht="15.75" customHeight="1" x14ac:dyDescent="0.3">
      <c r="A251" s="28"/>
      <c r="C251" s="15"/>
      <c r="E251" s="28"/>
      <c r="F251" s="28"/>
    </row>
    <row r="252" spans="1:6" ht="15.75" customHeight="1" x14ac:dyDescent="0.3">
      <c r="A252" s="28"/>
      <c r="C252" s="15"/>
      <c r="E252" s="28"/>
      <c r="F252" s="28"/>
    </row>
    <row r="253" spans="1:6" ht="15.75" customHeight="1" x14ac:dyDescent="0.3">
      <c r="A253" s="28"/>
      <c r="C253" s="15"/>
      <c r="E253" s="28"/>
      <c r="F253" s="28"/>
    </row>
    <row r="254" spans="1:6" ht="15.75" customHeight="1" x14ac:dyDescent="0.3">
      <c r="A254" s="28"/>
      <c r="C254" s="15"/>
      <c r="E254" s="28"/>
      <c r="F254" s="28"/>
    </row>
    <row r="255" spans="1:6" ht="15.75" customHeight="1" x14ac:dyDescent="0.3">
      <c r="A255" s="28"/>
      <c r="C255" s="15"/>
      <c r="E255" s="28"/>
      <c r="F255" s="28"/>
    </row>
    <row r="256" spans="1:6" ht="15.75" customHeight="1" x14ac:dyDescent="0.3">
      <c r="A256" s="28"/>
      <c r="C256" s="15"/>
      <c r="E256" s="28"/>
      <c r="F256" s="28"/>
    </row>
    <row r="257" spans="1:6" ht="15.75" customHeight="1" x14ac:dyDescent="0.3">
      <c r="A257" s="28"/>
      <c r="C257" s="15"/>
      <c r="E257" s="28"/>
      <c r="F257" s="28"/>
    </row>
    <row r="258" spans="1:6" ht="15.75" customHeight="1" x14ac:dyDescent="0.3">
      <c r="A258" s="28"/>
      <c r="C258" s="15"/>
      <c r="E258" s="28"/>
      <c r="F258" s="28"/>
    </row>
    <row r="259" spans="1:6" ht="15.75" customHeight="1" x14ac:dyDescent="0.3">
      <c r="A259" s="28"/>
      <c r="C259" s="15"/>
      <c r="E259" s="28"/>
      <c r="F259" s="28"/>
    </row>
    <row r="260" spans="1:6" ht="15.75" customHeight="1" x14ac:dyDescent="0.3">
      <c r="A260" s="28"/>
      <c r="C260" s="15"/>
      <c r="E260" s="28"/>
      <c r="F260" s="28"/>
    </row>
    <row r="261" spans="1:6" ht="15.75" customHeight="1" x14ac:dyDescent="0.3">
      <c r="A261" s="28"/>
      <c r="C261" s="15"/>
      <c r="E261" s="28"/>
      <c r="F261" s="28"/>
    </row>
    <row r="262" spans="1:6" ht="15.75" customHeight="1" x14ac:dyDescent="0.3">
      <c r="A262" s="28"/>
      <c r="C262" s="15"/>
      <c r="E262" s="28"/>
      <c r="F262" s="28"/>
    </row>
    <row r="263" spans="1:6" ht="15.75" customHeight="1" x14ac:dyDescent="0.3">
      <c r="A263" s="28"/>
      <c r="C263" s="15"/>
      <c r="E263" s="28"/>
      <c r="F263" s="28"/>
    </row>
    <row r="264" spans="1:6" ht="15.75" customHeight="1" x14ac:dyDescent="0.3">
      <c r="A264" s="28"/>
      <c r="C264" s="15"/>
      <c r="E264" s="28"/>
      <c r="F264" s="28"/>
    </row>
    <row r="265" spans="1:6" ht="15.75" customHeight="1" x14ac:dyDescent="0.3">
      <c r="A265" s="28"/>
      <c r="C265" s="15"/>
      <c r="E265" s="28"/>
      <c r="F265" s="28"/>
    </row>
    <row r="266" spans="1:6" ht="15.75" customHeight="1" x14ac:dyDescent="0.3">
      <c r="A266" s="28"/>
      <c r="C266" s="15"/>
      <c r="E266" s="28"/>
      <c r="F266" s="28"/>
    </row>
    <row r="267" spans="1:6" ht="15.75" customHeight="1" x14ac:dyDescent="0.3">
      <c r="A267" s="28"/>
      <c r="C267" s="15"/>
      <c r="E267" s="28"/>
      <c r="F267" s="28"/>
    </row>
    <row r="268" spans="1:6" ht="15.75" customHeight="1" x14ac:dyDescent="0.3">
      <c r="A268" s="28"/>
      <c r="C268" s="15"/>
      <c r="E268" s="28"/>
      <c r="F268" s="28"/>
    </row>
    <row r="269" spans="1:6" ht="15.75" customHeight="1" x14ac:dyDescent="0.3">
      <c r="A269" s="28"/>
      <c r="C269" s="15"/>
      <c r="E269" s="28"/>
      <c r="F269" s="28"/>
    </row>
    <row r="270" spans="1:6" ht="15.75" customHeight="1" x14ac:dyDescent="0.3">
      <c r="A270" s="28"/>
      <c r="C270" s="15"/>
      <c r="E270" s="28"/>
      <c r="F270" s="28"/>
    </row>
    <row r="271" spans="1:6" ht="15.75" customHeight="1" x14ac:dyDescent="0.3">
      <c r="A271" s="28"/>
      <c r="C271" s="15"/>
      <c r="E271" s="28"/>
      <c r="F271" s="28"/>
    </row>
    <row r="272" spans="1:6" ht="15.75" customHeight="1" x14ac:dyDescent="0.3">
      <c r="A272" s="28"/>
      <c r="C272" s="15"/>
      <c r="E272" s="28"/>
      <c r="F272" s="28"/>
    </row>
    <row r="273" spans="1:6" ht="15.75" customHeight="1" x14ac:dyDescent="0.3">
      <c r="A273" s="28"/>
      <c r="C273" s="15"/>
      <c r="E273" s="28"/>
      <c r="F273" s="28"/>
    </row>
    <row r="274" spans="1:6" ht="15.75" customHeight="1" x14ac:dyDescent="0.3">
      <c r="A274" s="28"/>
      <c r="C274" s="15"/>
      <c r="E274" s="28"/>
      <c r="F274" s="28"/>
    </row>
    <row r="275" spans="1:6" ht="15.75" customHeight="1" x14ac:dyDescent="0.3">
      <c r="A275" s="28"/>
      <c r="C275" s="15"/>
      <c r="E275" s="28"/>
      <c r="F275" s="28"/>
    </row>
    <row r="276" spans="1:6" ht="15.75" customHeight="1" x14ac:dyDescent="0.3">
      <c r="A276" s="28"/>
      <c r="C276" s="15"/>
      <c r="E276" s="28"/>
      <c r="F276" s="28"/>
    </row>
    <row r="277" spans="1:6" ht="15.75" customHeight="1" x14ac:dyDescent="0.3">
      <c r="A277" s="28"/>
      <c r="C277" s="15"/>
      <c r="E277" s="28"/>
      <c r="F277" s="28"/>
    </row>
    <row r="278" spans="1:6" ht="15.75" customHeight="1" x14ac:dyDescent="0.3">
      <c r="A278" s="28"/>
      <c r="C278" s="15"/>
      <c r="E278" s="28"/>
      <c r="F278" s="28"/>
    </row>
    <row r="279" spans="1:6" ht="15.75" customHeight="1" x14ac:dyDescent="0.3">
      <c r="A279" s="28"/>
      <c r="C279" s="15"/>
      <c r="E279" s="28"/>
      <c r="F279" s="28"/>
    </row>
    <row r="280" spans="1:6" ht="15.75" customHeight="1" x14ac:dyDescent="0.3">
      <c r="A280" s="28"/>
      <c r="C280" s="15"/>
      <c r="E280" s="28"/>
      <c r="F280" s="28"/>
    </row>
    <row r="281" spans="1:6" ht="15.75" customHeight="1" x14ac:dyDescent="0.3">
      <c r="A281" s="28"/>
      <c r="C281" s="15"/>
      <c r="E281" s="28"/>
      <c r="F281" s="28"/>
    </row>
    <row r="282" spans="1:6" ht="15.75" customHeight="1" x14ac:dyDescent="0.3">
      <c r="A282" s="28"/>
      <c r="C282" s="15"/>
      <c r="E282" s="28"/>
      <c r="F282" s="28"/>
    </row>
    <row r="283" spans="1:6" ht="15.75" customHeight="1" x14ac:dyDescent="0.3">
      <c r="A283" s="28"/>
      <c r="C283" s="15"/>
      <c r="E283" s="28"/>
      <c r="F283" s="28"/>
    </row>
    <row r="284" spans="1:6" ht="15.75" customHeight="1" x14ac:dyDescent="0.3">
      <c r="A284" s="28"/>
      <c r="C284" s="15"/>
      <c r="E284" s="28"/>
      <c r="F284" s="28"/>
    </row>
    <row r="285" spans="1:6" ht="15.75" customHeight="1" x14ac:dyDescent="0.3">
      <c r="A285" s="28"/>
      <c r="C285" s="15"/>
      <c r="E285" s="28"/>
      <c r="F285" s="28"/>
    </row>
    <row r="286" spans="1:6" ht="15.75" customHeight="1" x14ac:dyDescent="0.3">
      <c r="A286" s="28"/>
      <c r="C286" s="15"/>
      <c r="E286" s="28"/>
      <c r="F286" s="28"/>
    </row>
    <row r="287" spans="1:6" ht="15.75" customHeight="1" x14ac:dyDescent="0.3">
      <c r="A287" s="28"/>
      <c r="C287" s="15"/>
      <c r="E287" s="28"/>
      <c r="F287" s="28"/>
    </row>
    <row r="288" spans="1:6" ht="15.75" customHeight="1" x14ac:dyDescent="0.3">
      <c r="A288" s="28"/>
      <c r="C288" s="15"/>
      <c r="E288" s="28"/>
      <c r="F288" s="28"/>
    </row>
    <row r="289" spans="1:6" ht="15.75" customHeight="1" x14ac:dyDescent="0.3">
      <c r="A289" s="28"/>
      <c r="C289" s="15"/>
      <c r="E289" s="28"/>
      <c r="F289" s="28"/>
    </row>
    <row r="290" spans="1:6" ht="15.75" customHeight="1" x14ac:dyDescent="0.3">
      <c r="A290" s="28"/>
      <c r="C290" s="15"/>
      <c r="E290" s="28"/>
      <c r="F290" s="28"/>
    </row>
    <row r="291" spans="1:6" ht="15.75" customHeight="1" x14ac:dyDescent="0.3">
      <c r="A291" s="28"/>
      <c r="C291" s="15"/>
      <c r="E291" s="28"/>
      <c r="F291" s="28"/>
    </row>
    <row r="292" spans="1:6" ht="15.75" customHeight="1" x14ac:dyDescent="0.3">
      <c r="A292" s="28"/>
      <c r="C292" s="15"/>
      <c r="E292" s="28"/>
      <c r="F292" s="28"/>
    </row>
    <row r="293" spans="1:6" ht="15.75" customHeight="1" x14ac:dyDescent="0.3">
      <c r="A293" s="28"/>
      <c r="C293" s="15"/>
      <c r="E293" s="28"/>
      <c r="F293" s="28"/>
    </row>
    <row r="294" spans="1:6" ht="15.75" customHeight="1" x14ac:dyDescent="0.3">
      <c r="A294" s="28"/>
      <c r="C294" s="15"/>
      <c r="E294" s="28"/>
      <c r="F294" s="28"/>
    </row>
    <row r="295" spans="1:6" ht="15.75" customHeight="1" x14ac:dyDescent="0.3">
      <c r="A295" s="28"/>
      <c r="C295" s="15"/>
      <c r="E295" s="28"/>
      <c r="F295" s="28"/>
    </row>
    <row r="296" spans="1:6" ht="15.75" customHeight="1" x14ac:dyDescent="0.3">
      <c r="A296" s="28"/>
      <c r="C296" s="15"/>
      <c r="E296" s="28"/>
      <c r="F296" s="28"/>
    </row>
    <row r="297" spans="1:6" ht="15.75" customHeight="1" x14ac:dyDescent="0.3">
      <c r="A297" s="28"/>
      <c r="C297" s="15"/>
      <c r="E297" s="28"/>
      <c r="F297" s="28"/>
    </row>
    <row r="298" spans="1:6" ht="15.75" customHeight="1" x14ac:dyDescent="0.3">
      <c r="A298" s="28"/>
      <c r="C298" s="15"/>
      <c r="E298" s="28"/>
      <c r="F298" s="28"/>
    </row>
    <row r="299" spans="1:6" ht="15.75" customHeight="1" x14ac:dyDescent="0.3">
      <c r="A299" s="28"/>
      <c r="C299" s="15"/>
      <c r="E299" s="28"/>
      <c r="F299" s="28"/>
    </row>
    <row r="300" spans="1:6" ht="15.75" customHeight="1" x14ac:dyDescent="0.3">
      <c r="A300" s="28"/>
      <c r="C300" s="15"/>
      <c r="E300" s="28"/>
      <c r="F300" s="28"/>
    </row>
    <row r="301" spans="1:6" ht="15.75" customHeight="1" x14ac:dyDescent="0.3">
      <c r="A301" s="28"/>
      <c r="C301" s="15"/>
      <c r="E301" s="28"/>
      <c r="F301" s="28"/>
    </row>
    <row r="302" spans="1:6" ht="15.75" customHeight="1" x14ac:dyDescent="0.3">
      <c r="A302" s="28"/>
      <c r="C302" s="15"/>
      <c r="E302" s="28"/>
      <c r="F302" s="28"/>
    </row>
    <row r="303" spans="1:6" ht="15.75" customHeight="1" x14ac:dyDescent="0.3">
      <c r="A303" s="28"/>
      <c r="C303" s="15"/>
      <c r="E303" s="28"/>
      <c r="F303" s="28"/>
    </row>
    <row r="304" spans="1:6" ht="15.75" customHeight="1" x14ac:dyDescent="0.3">
      <c r="A304" s="28"/>
      <c r="C304" s="15"/>
      <c r="E304" s="28"/>
      <c r="F304" s="28"/>
    </row>
    <row r="305" spans="1:6" ht="15.75" customHeight="1" x14ac:dyDescent="0.3">
      <c r="A305" s="28"/>
      <c r="C305" s="15"/>
      <c r="E305" s="28"/>
      <c r="F305" s="28"/>
    </row>
    <row r="306" spans="1:6" ht="15.75" customHeight="1" x14ac:dyDescent="0.3">
      <c r="A306" s="28"/>
      <c r="C306" s="15"/>
      <c r="E306" s="28"/>
      <c r="F306" s="28"/>
    </row>
    <row r="307" spans="1:6" ht="15.75" customHeight="1" x14ac:dyDescent="0.3">
      <c r="A307" s="28"/>
      <c r="C307" s="15"/>
      <c r="E307" s="28"/>
      <c r="F307" s="28"/>
    </row>
    <row r="308" spans="1:6" ht="15.75" customHeight="1" x14ac:dyDescent="0.3">
      <c r="A308" s="28"/>
      <c r="C308" s="15"/>
      <c r="E308" s="28"/>
      <c r="F308" s="28"/>
    </row>
    <row r="309" spans="1:6" ht="15.75" customHeight="1" x14ac:dyDescent="0.3"/>
    <row r="310" spans="1:6" ht="15.75" customHeight="1" x14ac:dyDescent="0.3"/>
    <row r="311" spans="1:6" ht="15.75" customHeight="1" x14ac:dyDescent="0.3"/>
    <row r="312" spans="1:6" ht="15.75" customHeight="1" x14ac:dyDescent="0.3"/>
    <row r="313" spans="1:6" ht="15.75" customHeight="1" x14ac:dyDescent="0.3"/>
    <row r="314" spans="1:6" ht="15.75" customHeight="1" x14ac:dyDescent="0.3"/>
    <row r="315" spans="1:6" ht="15.75" customHeight="1" x14ac:dyDescent="0.3"/>
    <row r="316" spans="1:6" ht="15.75" customHeight="1" x14ac:dyDescent="0.3"/>
    <row r="317" spans="1:6" ht="15.75" customHeight="1" x14ac:dyDescent="0.3"/>
    <row r="318" spans="1:6" ht="15.75" customHeight="1" x14ac:dyDescent="0.3"/>
    <row r="319" spans="1:6" ht="15.75" customHeight="1" x14ac:dyDescent="0.3"/>
    <row r="320" spans="1:6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C77:F78"/>
    <mergeCell ref="A11:A12"/>
    <mergeCell ref="C11:C12"/>
    <mergeCell ref="E20:E23"/>
    <mergeCell ref="F20:F23"/>
    <mergeCell ref="E28:G28"/>
    <mergeCell ref="E50:E55"/>
    <mergeCell ref="F50:F55"/>
    <mergeCell ref="G50:G55"/>
    <mergeCell ref="G20:G23"/>
    <mergeCell ref="E24:E25"/>
    <mergeCell ref="F24:F25"/>
    <mergeCell ref="A52:A55"/>
    <mergeCell ref="C53:C54"/>
    <mergeCell ref="G24:G25"/>
  </mergeCells>
  <pageMargins left="0.25" right="0.25" top="0.75" bottom="0.75" header="0" footer="0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4.44140625" defaultRowHeight="15" customHeight="1" x14ac:dyDescent="0.3"/>
  <cols>
    <col min="1" max="1" width="29.109375" customWidth="1"/>
    <col min="2" max="2" width="23.33203125" customWidth="1"/>
    <col min="3" max="3" width="23.5546875" customWidth="1"/>
    <col min="4" max="4" width="10.6640625" customWidth="1"/>
    <col min="5" max="5" width="30.88671875" customWidth="1"/>
    <col min="6" max="6" width="20.109375" customWidth="1"/>
    <col min="7" max="7" width="17.5546875" customWidth="1"/>
  </cols>
  <sheetData>
    <row r="1" spans="1:7" ht="14.4" x14ac:dyDescent="0.3">
      <c r="A1" s="47" t="s">
        <v>207</v>
      </c>
      <c r="B1" s="48">
        <v>40322.400000000001</v>
      </c>
      <c r="C1" s="49">
        <v>43880</v>
      </c>
      <c r="E1" s="50" t="s">
        <v>8</v>
      </c>
      <c r="F1" s="51">
        <v>33080.199999999997</v>
      </c>
      <c r="G1" s="52">
        <v>44235</v>
      </c>
    </row>
    <row r="2" spans="1:7" ht="14.4" x14ac:dyDescent="0.3">
      <c r="A2" s="50" t="s">
        <v>208</v>
      </c>
      <c r="B2" s="48">
        <v>27442.799999999999</v>
      </c>
      <c r="C2" s="52">
        <v>43880</v>
      </c>
      <c r="E2" s="50" t="s">
        <v>209</v>
      </c>
      <c r="F2" s="51">
        <f>175677.55/3</f>
        <v>58559.183333333327</v>
      </c>
      <c r="G2" s="52">
        <v>44238</v>
      </c>
    </row>
    <row r="3" spans="1:7" ht="14.4" x14ac:dyDescent="0.3">
      <c r="A3" s="47" t="s">
        <v>207</v>
      </c>
      <c r="B3" s="48">
        <v>60071.76</v>
      </c>
      <c r="C3" s="49">
        <v>43880</v>
      </c>
      <c r="E3" s="50" t="s">
        <v>210</v>
      </c>
      <c r="F3" s="51">
        <v>7885.04</v>
      </c>
      <c r="G3" s="52">
        <v>44238</v>
      </c>
    </row>
    <row r="4" spans="1:7" ht="14.4" x14ac:dyDescent="0.3">
      <c r="A4" s="50" t="s">
        <v>211</v>
      </c>
      <c r="B4" s="48">
        <v>161988.75</v>
      </c>
      <c r="C4" s="52">
        <v>44246</v>
      </c>
      <c r="E4" s="50" t="s">
        <v>210</v>
      </c>
      <c r="F4" s="51">
        <v>3972.95</v>
      </c>
      <c r="G4" s="52">
        <v>44238</v>
      </c>
    </row>
    <row r="5" spans="1:7" ht="14.4" x14ac:dyDescent="0.3">
      <c r="A5" s="50" t="s">
        <v>212</v>
      </c>
      <c r="B5" s="51">
        <v>36269.410000000003</v>
      </c>
      <c r="C5" s="52">
        <v>44246</v>
      </c>
      <c r="E5" s="50" t="s">
        <v>210</v>
      </c>
      <c r="F5" s="51">
        <v>7486.33</v>
      </c>
      <c r="G5" s="52">
        <v>44238</v>
      </c>
    </row>
    <row r="6" spans="1:7" ht="14.4" x14ac:dyDescent="0.3">
      <c r="A6" s="50" t="s">
        <v>209</v>
      </c>
      <c r="B6" s="48">
        <v>112155</v>
      </c>
      <c r="C6" s="52">
        <v>44246</v>
      </c>
      <c r="E6" s="50" t="s">
        <v>211</v>
      </c>
      <c r="F6" s="48">
        <f>52030/2</f>
        <v>26015</v>
      </c>
      <c r="G6" s="52">
        <v>44239</v>
      </c>
    </row>
    <row r="7" spans="1:7" ht="14.4" x14ac:dyDescent="0.3">
      <c r="A7" s="50" t="s">
        <v>211</v>
      </c>
      <c r="B7" s="48">
        <f>52030/2</f>
        <v>26015</v>
      </c>
      <c r="C7" s="52">
        <v>44246</v>
      </c>
      <c r="E7" s="50" t="s">
        <v>207</v>
      </c>
      <c r="F7" s="51">
        <v>71920.800000000003</v>
      </c>
      <c r="G7" s="49">
        <v>44239</v>
      </c>
    </row>
    <row r="8" spans="1:7" ht="14.4" x14ac:dyDescent="0.3">
      <c r="A8" s="47" t="s">
        <v>208</v>
      </c>
      <c r="B8" s="48">
        <v>6739.7</v>
      </c>
      <c r="C8" s="49">
        <v>44246</v>
      </c>
      <c r="E8" s="50" t="s">
        <v>207</v>
      </c>
      <c r="F8" s="51">
        <v>134407.98000000001</v>
      </c>
      <c r="G8" s="49">
        <v>44239</v>
      </c>
    </row>
    <row r="9" spans="1:7" ht="14.4" x14ac:dyDescent="0.3">
      <c r="B9" s="53">
        <f>SUM(B1:B8)</f>
        <v>471004.82</v>
      </c>
      <c r="E9" s="50" t="s">
        <v>207</v>
      </c>
      <c r="F9" s="51">
        <v>241934.36</v>
      </c>
      <c r="G9" s="49">
        <v>44239</v>
      </c>
    </row>
    <row r="10" spans="1:7" ht="14.4" x14ac:dyDescent="0.3">
      <c r="E10" s="50" t="s">
        <v>207</v>
      </c>
      <c r="F10" s="48">
        <v>40322.400000000001</v>
      </c>
      <c r="G10" s="49">
        <v>43880</v>
      </c>
    </row>
    <row r="11" spans="1:7" ht="14.4" x14ac:dyDescent="0.3">
      <c r="A11" s="20" t="s">
        <v>213</v>
      </c>
      <c r="B11" s="48">
        <v>31930.03</v>
      </c>
      <c r="E11" s="50" t="s">
        <v>208</v>
      </c>
      <c r="F11" s="48">
        <v>27442.799999999999</v>
      </c>
      <c r="G11" s="52">
        <v>43880</v>
      </c>
    </row>
    <row r="12" spans="1:7" ht="14.4" x14ac:dyDescent="0.3">
      <c r="A12" s="20" t="s">
        <v>214</v>
      </c>
      <c r="B12" s="48">
        <v>19776.240000000002</v>
      </c>
      <c r="E12" s="50" t="s">
        <v>207</v>
      </c>
      <c r="F12" s="48">
        <v>60071.76</v>
      </c>
      <c r="G12" s="49">
        <v>43880</v>
      </c>
    </row>
    <row r="13" spans="1:7" ht="14.4" x14ac:dyDescent="0.3">
      <c r="A13" s="20" t="s">
        <v>215</v>
      </c>
      <c r="B13" s="48">
        <v>36300</v>
      </c>
      <c r="E13" s="50" t="s">
        <v>211</v>
      </c>
      <c r="F13" s="48">
        <v>161988.75</v>
      </c>
      <c r="G13" s="52">
        <v>44246</v>
      </c>
    </row>
    <row r="14" spans="1:7" ht="14.4" x14ac:dyDescent="0.3">
      <c r="A14" s="20" t="s">
        <v>216</v>
      </c>
      <c r="B14" s="48">
        <v>12148.4</v>
      </c>
      <c r="E14" s="50" t="s">
        <v>212</v>
      </c>
      <c r="F14" s="51">
        <v>36269.410000000003</v>
      </c>
      <c r="G14" s="52">
        <v>44246</v>
      </c>
    </row>
    <row r="15" spans="1:7" ht="14.4" x14ac:dyDescent="0.3">
      <c r="A15" s="15"/>
      <c r="B15" s="53">
        <f>SUM(B11:B14)</f>
        <v>100154.67</v>
      </c>
      <c r="E15" s="50" t="s">
        <v>209</v>
      </c>
      <c r="F15" s="48">
        <v>112155</v>
      </c>
      <c r="G15" s="52">
        <v>44246</v>
      </c>
    </row>
    <row r="16" spans="1:7" ht="14.4" x14ac:dyDescent="0.3">
      <c r="A16" s="15"/>
      <c r="B16" s="53"/>
      <c r="E16" s="50" t="s">
        <v>211</v>
      </c>
      <c r="F16" s="48">
        <f>52030/2</f>
        <v>26015</v>
      </c>
      <c r="G16" s="52">
        <v>44246</v>
      </c>
    </row>
    <row r="17" spans="1:7" ht="15.6" x14ac:dyDescent="0.3">
      <c r="A17" s="30" t="s">
        <v>217</v>
      </c>
      <c r="B17" s="54">
        <f>B15+B9</f>
        <v>571159.49</v>
      </c>
      <c r="E17" s="50" t="s">
        <v>208</v>
      </c>
      <c r="F17" s="48">
        <v>6739.7</v>
      </c>
      <c r="G17" s="49">
        <v>44246</v>
      </c>
    </row>
    <row r="18" spans="1:7" ht="15.6" x14ac:dyDescent="0.3">
      <c r="A18" s="55" t="s">
        <v>218</v>
      </c>
      <c r="B18" s="30">
        <f>66378.28+33614.14+475.75</f>
        <v>100468.17</v>
      </c>
      <c r="C18" s="56"/>
      <c r="E18" s="57"/>
      <c r="F18" s="58">
        <f>F6+F10+F11+F12+F13+F15+F16+F17</f>
        <v>460750.41</v>
      </c>
      <c r="G18" s="59"/>
    </row>
    <row r="19" spans="1:7" ht="18" x14ac:dyDescent="0.35">
      <c r="A19" s="60" t="s">
        <v>206</v>
      </c>
      <c r="B19" s="54">
        <f>SUM(B17:B18)</f>
        <v>671627.66</v>
      </c>
      <c r="C19" s="46">
        <f>B19-686200</f>
        <v>-14572.339999999967</v>
      </c>
      <c r="E19" s="47" t="s">
        <v>219</v>
      </c>
      <c r="F19" s="61">
        <v>423371.79</v>
      </c>
      <c r="G19" s="62">
        <f>F18-F19</f>
        <v>37378.619999999995</v>
      </c>
    </row>
    <row r="20" spans="1:7" ht="15.6" x14ac:dyDescent="0.3">
      <c r="C20" s="46"/>
      <c r="E20" s="47"/>
      <c r="F20" s="61"/>
      <c r="G20" s="62"/>
    </row>
    <row r="21" spans="1:7" ht="15.75" customHeight="1" x14ac:dyDescent="0.3">
      <c r="E21" s="50" t="s">
        <v>220</v>
      </c>
      <c r="F21" s="48">
        <v>4907.17</v>
      </c>
      <c r="G21" s="52">
        <v>44252</v>
      </c>
    </row>
    <row r="22" spans="1:7" ht="15.75" customHeight="1" x14ac:dyDescent="0.3">
      <c r="A22" s="63"/>
      <c r="B22" s="30"/>
      <c r="E22" s="50" t="s">
        <v>220</v>
      </c>
      <c r="F22" s="48">
        <v>8131.58</v>
      </c>
      <c r="G22" s="52">
        <v>44252</v>
      </c>
    </row>
    <row r="23" spans="1:7" ht="15.75" customHeight="1" x14ac:dyDescent="0.3">
      <c r="E23" s="50" t="s">
        <v>220</v>
      </c>
      <c r="F23" s="48">
        <v>7720.41</v>
      </c>
      <c r="G23" s="52">
        <v>44252</v>
      </c>
    </row>
    <row r="24" spans="1:7" ht="15.75" customHeight="1" x14ac:dyDescent="0.3">
      <c r="E24" s="50" t="s">
        <v>208</v>
      </c>
      <c r="F24" s="48">
        <v>24072</v>
      </c>
      <c r="G24" s="52">
        <v>44253</v>
      </c>
    </row>
    <row r="25" spans="1:7" ht="15.75" customHeight="1" x14ac:dyDescent="0.3">
      <c r="A25" s="50" t="s">
        <v>208</v>
      </c>
      <c r="B25" s="48">
        <v>24072</v>
      </c>
      <c r="C25" s="52">
        <v>44253</v>
      </c>
      <c r="E25" s="50" t="s">
        <v>221</v>
      </c>
      <c r="F25" s="48">
        <v>555831.87</v>
      </c>
      <c r="G25" s="49">
        <v>44253</v>
      </c>
    </row>
    <row r="26" spans="1:7" ht="15.75" customHeight="1" x14ac:dyDescent="0.3">
      <c r="A26" s="47" t="s">
        <v>221</v>
      </c>
      <c r="B26" s="48">
        <v>555831.87</v>
      </c>
      <c r="C26" s="49">
        <v>44253</v>
      </c>
      <c r="E26" s="50" t="s">
        <v>208</v>
      </c>
      <c r="F26" s="48">
        <v>43104.56</v>
      </c>
      <c r="G26" s="49">
        <v>44253</v>
      </c>
    </row>
    <row r="27" spans="1:7" ht="15.75" customHeight="1" x14ac:dyDescent="0.3">
      <c r="A27" s="47" t="s">
        <v>208</v>
      </c>
      <c r="B27" s="48">
        <v>43104.56</v>
      </c>
      <c r="C27" s="49">
        <v>44253</v>
      </c>
      <c r="E27" s="50" t="s">
        <v>20</v>
      </c>
      <c r="F27" s="48">
        <v>145200</v>
      </c>
      <c r="G27" s="52">
        <v>44253</v>
      </c>
    </row>
    <row r="28" spans="1:7" ht="15.75" customHeight="1" x14ac:dyDescent="0.3">
      <c r="A28" s="47" t="s">
        <v>20</v>
      </c>
      <c r="B28" s="48">
        <v>145200</v>
      </c>
      <c r="C28" s="52">
        <v>44253</v>
      </c>
    </row>
    <row r="29" spans="1:7" ht="15.75" customHeight="1" x14ac:dyDescent="0.3">
      <c r="B29" s="53">
        <f>SUM(B25:B28)</f>
        <v>768208.42999999993</v>
      </c>
    </row>
    <row r="30" spans="1:7" ht="15.75" customHeight="1" x14ac:dyDescent="0.3"/>
    <row r="31" spans="1:7" ht="15.75" customHeight="1" x14ac:dyDescent="0.3">
      <c r="A31" s="15" t="s">
        <v>222</v>
      </c>
      <c r="B31" s="53">
        <f>8131.58+7720.41+4097.17</f>
        <v>19949.16</v>
      </c>
      <c r="C31" s="64">
        <v>44252</v>
      </c>
      <c r="F31" s="15">
        <f>8700+8700+1500+880.6+4262.99+25000+10000+4200+1500</f>
        <v>64743.59</v>
      </c>
      <c r="G31" s="15">
        <f>2700+1200</f>
        <v>3900</v>
      </c>
    </row>
    <row r="32" spans="1:7" ht="15.75" customHeight="1" x14ac:dyDescent="0.3">
      <c r="A32" s="15" t="s">
        <v>223</v>
      </c>
      <c r="B32" s="53">
        <f>8131.57+7720.4+4097.17</f>
        <v>19949.14</v>
      </c>
      <c r="C32" s="64">
        <v>44266</v>
      </c>
      <c r="F32" s="15">
        <f>66900-64750</f>
        <v>2150</v>
      </c>
    </row>
    <row r="33" spans="1:7" ht="15.75" customHeight="1" x14ac:dyDescent="0.3"/>
    <row r="34" spans="1:7" ht="15.75" customHeight="1" x14ac:dyDescent="0.3">
      <c r="A34" s="63"/>
      <c r="B34" s="29"/>
    </row>
    <row r="35" spans="1:7" ht="15.75" customHeight="1" x14ac:dyDescent="0.3">
      <c r="B35" s="65"/>
    </row>
    <row r="36" spans="1:7" ht="15.75" customHeight="1" x14ac:dyDescent="0.3">
      <c r="B36" s="65"/>
    </row>
    <row r="37" spans="1:7" ht="15.75" customHeight="1" x14ac:dyDescent="0.3">
      <c r="B37" s="65"/>
    </row>
    <row r="38" spans="1:7" ht="15.75" customHeight="1" x14ac:dyDescent="0.35">
      <c r="B38" s="65"/>
      <c r="E38" s="66" t="s">
        <v>220</v>
      </c>
      <c r="F38" s="67">
        <v>4907.17</v>
      </c>
      <c r="G38" s="68">
        <v>44252</v>
      </c>
    </row>
    <row r="39" spans="1:7" ht="15.75" customHeight="1" x14ac:dyDescent="0.35">
      <c r="B39" s="15">
        <f>144*4000</f>
        <v>576000</v>
      </c>
      <c r="E39" s="66" t="s">
        <v>220</v>
      </c>
      <c r="F39" s="67">
        <v>8131.58</v>
      </c>
      <c r="G39" s="68">
        <v>44252</v>
      </c>
    </row>
    <row r="40" spans="1:7" ht="15.75" customHeight="1" x14ac:dyDescent="0.35">
      <c r="E40" s="66" t="s">
        <v>220</v>
      </c>
      <c r="F40" s="67">
        <v>7720.41</v>
      </c>
      <c r="G40" s="68">
        <v>44252</v>
      </c>
    </row>
    <row r="41" spans="1:7" ht="15.75" customHeight="1" x14ac:dyDescent="0.35">
      <c r="E41" s="69" t="s">
        <v>224</v>
      </c>
      <c r="F41" s="70">
        <f>SUM(F38:F40)</f>
        <v>20759.16</v>
      </c>
      <c r="G41" s="68"/>
    </row>
    <row r="42" spans="1:7" ht="15.75" customHeight="1" x14ac:dyDescent="0.35">
      <c r="E42" s="66" t="s">
        <v>208</v>
      </c>
      <c r="F42" s="67">
        <v>24072</v>
      </c>
      <c r="G42" s="68">
        <v>44253</v>
      </c>
    </row>
    <row r="43" spans="1:7" ht="15.75" customHeight="1" x14ac:dyDescent="0.35">
      <c r="E43" s="66" t="s">
        <v>221</v>
      </c>
      <c r="F43" s="67">
        <v>555831.87</v>
      </c>
      <c r="G43" s="71">
        <v>44253</v>
      </c>
    </row>
    <row r="44" spans="1:7" ht="15.75" customHeight="1" x14ac:dyDescent="0.35">
      <c r="E44" s="66" t="s">
        <v>208</v>
      </c>
      <c r="F44" s="67">
        <v>43104.56</v>
      </c>
      <c r="G44" s="71">
        <v>44253</v>
      </c>
    </row>
    <row r="45" spans="1:7" ht="15.75" customHeight="1" x14ac:dyDescent="0.35">
      <c r="E45" s="66" t="s">
        <v>20</v>
      </c>
      <c r="F45" s="67">
        <v>145200</v>
      </c>
      <c r="G45" s="68">
        <v>44253</v>
      </c>
    </row>
    <row r="46" spans="1:7" ht="15.75" customHeight="1" x14ac:dyDescent="0.35">
      <c r="E46" s="72" t="s">
        <v>225</v>
      </c>
      <c r="F46" s="73">
        <f>SUM(F42:F45)</f>
        <v>768208.42999999993</v>
      </c>
      <c r="G46" s="74"/>
    </row>
    <row r="47" spans="1:7" ht="15.75" customHeight="1" x14ac:dyDescent="0.35">
      <c r="E47" s="74"/>
      <c r="F47" s="74"/>
      <c r="G47" s="74"/>
    </row>
    <row r="48" spans="1:7" ht="15.75" customHeight="1" x14ac:dyDescent="0.35">
      <c r="E48" s="75" t="s">
        <v>226</v>
      </c>
      <c r="F48" s="76">
        <f>F41+F46</f>
        <v>788967.59</v>
      </c>
      <c r="G48" s="74"/>
    </row>
    <row r="49" spans="5:7" ht="15.75" customHeight="1" x14ac:dyDescent="0.35">
      <c r="E49" s="74"/>
      <c r="F49" s="74"/>
      <c r="G49" s="74"/>
    </row>
    <row r="50" spans="5:7" ht="15.75" customHeight="1" x14ac:dyDescent="0.35">
      <c r="E50" s="74"/>
      <c r="F50" s="74"/>
      <c r="G50" s="74"/>
    </row>
    <row r="51" spans="5:7" ht="15.75" customHeight="1" x14ac:dyDescent="0.35">
      <c r="E51" s="74" t="s">
        <v>227</v>
      </c>
      <c r="F51" s="74">
        <v>42350</v>
      </c>
      <c r="G51" s="74"/>
    </row>
    <row r="52" spans="5:7" ht="15.75" customHeight="1" x14ac:dyDescent="0.35">
      <c r="E52" s="74" t="s">
        <v>228</v>
      </c>
      <c r="F52" s="74">
        <v>42350</v>
      </c>
      <c r="G52" s="74"/>
    </row>
    <row r="53" spans="5:7" ht="15.75" customHeight="1" x14ac:dyDescent="0.35">
      <c r="E53" s="74" t="s">
        <v>132</v>
      </c>
      <c r="F53" s="74">
        <v>5120</v>
      </c>
      <c r="G53" s="74"/>
    </row>
    <row r="54" spans="5:7" ht="15.75" customHeight="1" x14ac:dyDescent="0.35">
      <c r="E54" s="74" t="s">
        <v>135</v>
      </c>
      <c r="F54" s="74">
        <v>6240</v>
      </c>
      <c r="G54" s="74"/>
    </row>
    <row r="55" spans="5:7" ht="15.75" customHeight="1" x14ac:dyDescent="0.35">
      <c r="E55" s="74" t="s">
        <v>229</v>
      </c>
      <c r="F55" s="74">
        <v>64200</v>
      </c>
      <c r="G55" s="74"/>
    </row>
    <row r="56" spans="5:7" ht="15.75" customHeight="1" x14ac:dyDescent="0.35">
      <c r="E56" s="60" t="s">
        <v>206</v>
      </c>
      <c r="F56" s="60">
        <f>SUM(F51:F55)</f>
        <v>160260</v>
      </c>
      <c r="G56" s="74"/>
    </row>
    <row r="57" spans="5:7" ht="15.75" customHeight="1" x14ac:dyDescent="0.3"/>
    <row r="58" spans="5:7" ht="15.75" customHeight="1" x14ac:dyDescent="0.3">
      <c r="F58" s="46">
        <f>F48+F56</f>
        <v>949227.59</v>
      </c>
    </row>
    <row r="59" spans="5:7" ht="15.75" customHeight="1" x14ac:dyDescent="0.3">
      <c r="F59" s="46">
        <f>F58-841600</f>
        <v>107627.58999999997</v>
      </c>
    </row>
    <row r="60" spans="5:7" ht="15.75" customHeight="1" x14ac:dyDescent="0.3"/>
    <row r="61" spans="5:7" ht="15.75" customHeight="1" x14ac:dyDescent="0.3"/>
    <row r="62" spans="5:7" ht="15.75" customHeight="1" x14ac:dyDescent="0.3"/>
    <row r="63" spans="5:7" ht="15.75" customHeight="1" x14ac:dyDescent="0.3"/>
    <row r="64" spans="5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22.5546875" customWidth="1"/>
    <col min="2" max="2" width="20.33203125" customWidth="1"/>
    <col min="3" max="3" width="53.33203125" customWidth="1"/>
    <col min="4" max="4" width="34.44140625" customWidth="1"/>
    <col min="5" max="5" width="32.6640625" customWidth="1"/>
    <col min="6" max="6" width="29.5546875" customWidth="1"/>
    <col min="7" max="7" width="35.88671875" customWidth="1"/>
    <col min="8" max="8" width="18.44140625" customWidth="1"/>
  </cols>
  <sheetData>
    <row r="1" spans="1:8" ht="31.2" x14ac:dyDescent="0.3">
      <c r="A1" s="1" t="s">
        <v>0</v>
      </c>
      <c r="B1" s="2" t="s">
        <v>1</v>
      </c>
      <c r="C1" s="2" t="s">
        <v>2</v>
      </c>
      <c r="D1" s="3" t="s">
        <v>3</v>
      </c>
      <c r="E1" s="77" t="s">
        <v>4</v>
      </c>
      <c r="F1" s="77" t="s">
        <v>5</v>
      </c>
      <c r="G1" s="5" t="s">
        <v>6</v>
      </c>
    </row>
    <row r="2" spans="1:8" ht="34.5" customHeight="1" x14ac:dyDescent="0.3">
      <c r="A2" s="78">
        <v>44270</v>
      </c>
      <c r="B2" s="18" t="s">
        <v>230</v>
      </c>
      <c r="C2" s="18" t="s">
        <v>231</v>
      </c>
      <c r="D2" s="18">
        <v>34234.53</v>
      </c>
      <c r="E2" s="18"/>
      <c r="F2" s="18"/>
      <c r="G2" s="18" t="s">
        <v>232</v>
      </c>
    </row>
    <row r="3" spans="1:8" ht="34.5" customHeight="1" x14ac:dyDescent="0.3">
      <c r="A3" s="78">
        <v>44270</v>
      </c>
      <c r="B3" s="18" t="s">
        <v>233</v>
      </c>
      <c r="C3" s="18" t="s">
        <v>231</v>
      </c>
      <c r="D3" s="18">
        <v>12689.88</v>
      </c>
      <c r="E3" s="18"/>
      <c r="F3" s="18"/>
      <c r="G3" s="18" t="s">
        <v>232</v>
      </c>
    </row>
    <row r="4" spans="1:8" ht="36.75" customHeight="1" x14ac:dyDescent="0.3">
      <c r="A4" s="78">
        <v>44270</v>
      </c>
      <c r="B4" s="18" t="s">
        <v>234</v>
      </c>
      <c r="C4" s="18" t="s">
        <v>231</v>
      </c>
      <c r="D4" s="18">
        <v>27716.26</v>
      </c>
      <c r="E4" s="18"/>
      <c r="F4" s="18"/>
      <c r="G4" s="18" t="s">
        <v>232</v>
      </c>
    </row>
    <row r="5" spans="1:8" ht="36.75" customHeight="1" x14ac:dyDescent="0.3">
      <c r="A5" s="78">
        <v>44264</v>
      </c>
      <c r="B5" s="18" t="s">
        <v>235</v>
      </c>
      <c r="C5" s="18" t="s">
        <v>236</v>
      </c>
      <c r="D5" s="18">
        <v>111925</v>
      </c>
      <c r="E5" s="18" t="s">
        <v>237</v>
      </c>
      <c r="F5" s="18" t="s">
        <v>238</v>
      </c>
      <c r="G5" s="18"/>
    </row>
    <row r="6" spans="1:8" ht="36.75" customHeight="1" x14ac:dyDescent="0.3">
      <c r="A6" s="78">
        <v>44257</v>
      </c>
      <c r="B6" s="18" t="s">
        <v>239</v>
      </c>
      <c r="C6" s="18" t="s">
        <v>240</v>
      </c>
      <c r="D6" s="18">
        <v>12545.28</v>
      </c>
      <c r="E6" s="78">
        <v>44267</v>
      </c>
      <c r="F6" s="18" t="s">
        <v>241</v>
      </c>
      <c r="G6" s="18"/>
    </row>
    <row r="7" spans="1:8" ht="36.75" customHeight="1" x14ac:dyDescent="0.3">
      <c r="A7" s="78">
        <v>44257</v>
      </c>
      <c r="B7" s="79" t="s">
        <v>242</v>
      </c>
      <c r="C7" s="18" t="s">
        <v>78</v>
      </c>
      <c r="D7" s="18">
        <v>68413.399999999994</v>
      </c>
      <c r="E7" s="18"/>
      <c r="F7" s="18"/>
      <c r="G7" s="18"/>
    </row>
    <row r="8" spans="1:8" ht="36.75" customHeight="1" x14ac:dyDescent="0.3">
      <c r="A8" s="78">
        <v>44259</v>
      </c>
      <c r="B8" s="79" t="s">
        <v>243</v>
      </c>
      <c r="C8" s="18" t="s">
        <v>244</v>
      </c>
      <c r="D8" s="18">
        <v>11519.88</v>
      </c>
      <c r="E8" s="78">
        <v>44260</v>
      </c>
      <c r="F8" s="18" t="s">
        <v>245</v>
      </c>
      <c r="G8" s="18"/>
    </row>
    <row r="9" spans="1:8" ht="36.75" customHeight="1" x14ac:dyDescent="0.3">
      <c r="A9" s="78">
        <v>44265</v>
      </c>
      <c r="B9" s="79" t="s">
        <v>246</v>
      </c>
      <c r="C9" s="18" t="s">
        <v>247</v>
      </c>
      <c r="D9" s="18">
        <v>5040.04</v>
      </c>
      <c r="E9" s="78">
        <v>44265</v>
      </c>
      <c r="F9" s="18" t="s">
        <v>248</v>
      </c>
      <c r="G9" s="18"/>
    </row>
    <row r="10" spans="1:8" ht="36.75" customHeight="1" x14ac:dyDescent="0.3">
      <c r="A10" s="78">
        <v>44267</v>
      </c>
      <c r="B10" s="18" t="s">
        <v>249</v>
      </c>
      <c r="C10" s="18" t="s">
        <v>250</v>
      </c>
      <c r="D10" s="18">
        <v>1853.72</v>
      </c>
      <c r="E10" s="78">
        <v>44239</v>
      </c>
      <c r="F10" s="18" t="s">
        <v>251</v>
      </c>
      <c r="G10" s="18"/>
    </row>
    <row r="11" spans="1:8" ht="36.75" customHeight="1" x14ac:dyDescent="0.3">
      <c r="A11" s="78">
        <v>44265</v>
      </c>
      <c r="B11" s="18" t="s">
        <v>252</v>
      </c>
      <c r="C11" s="18" t="s">
        <v>253</v>
      </c>
      <c r="D11" s="18">
        <v>2904</v>
      </c>
      <c r="E11" s="78">
        <v>44267</v>
      </c>
      <c r="F11" s="18" t="s">
        <v>254</v>
      </c>
      <c r="G11" s="18"/>
    </row>
    <row r="12" spans="1:8" ht="36.75" customHeight="1" x14ac:dyDescent="0.3">
      <c r="A12" s="78">
        <v>44258</v>
      </c>
      <c r="B12" s="18" t="s">
        <v>255</v>
      </c>
      <c r="C12" s="18" t="s">
        <v>256</v>
      </c>
      <c r="D12" s="18">
        <v>12500</v>
      </c>
      <c r="E12" s="18" t="s">
        <v>257</v>
      </c>
      <c r="F12" s="18" t="s">
        <v>258</v>
      </c>
      <c r="G12" s="18"/>
    </row>
    <row r="13" spans="1:8" ht="36.75" customHeight="1" x14ac:dyDescent="0.3">
      <c r="A13" s="78">
        <v>44257</v>
      </c>
      <c r="B13" s="18" t="s">
        <v>259</v>
      </c>
      <c r="C13" s="18" t="s">
        <v>20</v>
      </c>
      <c r="D13" s="18">
        <v>145200</v>
      </c>
      <c r="E13" s="78">
        <v>44253</v>
      </c>
      <c r="F13" s="18" t="s">
        <v>260</v>
      </c>
      <c r="G13" s="18"/>
    </row>
    <row r="14" spans="1:8" ht="36.75" customHeight="1" x14ac:dyDescent="0.3">
      <c r="A14" s="78">
        <v>44257</v>
      </c>
      <c r="B14" s="18" t="s">
        <v>261</v>
      </c>
      <c r="C14" s="18" t="s">
        <v>262</v>
      </c>
      <c r="D14" s="18">
        <v>10000</v>
      </c>
      <c r="E14" s="78">
        <v>44252</v>
      </c>
      <c r="F14" s="18" t="s">
        <v>263</v>
      </c>
      <c r="G14" s="18"/>
      <c r="H14" s="46"/>
    </row>
    <row r="15" spans="1:8" ht="36.75" customHeight="1" x14ac:dyDescent="0.3">
      <c r="A15" s="78">
        <v>44258</v>
      </c>
      <c r="B15" s="18" t="s">
        <v>264</v>
      </c>
      <c r="C15" s="18" t="s">
        <v>265</v>
      </c>
      <c r="D15" s="18">
        <v>98000</v>
      </c>
      <c r="E15" s="78">
        <v>44244</v>
      </c>
      <c r="F15" s="18" t="s">
        <v>92</v>
      </c>
      <c r="G15" s="18" t="s">
        <v>266</v>
      </c>
    </row>
    <row r="16" spans="1:8" ht="36.75" customHeight="1" x14ac:dyDescent="0.3">
      <c r="A16" s="78">
        <v>44256</v>
      </c>
      <c r="B16" s="18" t="s">
        <v>267</v>
      </c>
      <c r="C16" s="18" t="s">
        <v>268</v>
      </c>
      <c r="D16" s="18">
        <v>248.75</v>
      </c>
      <c r="E16" s="18"/>
      <c r="F16" s="18"/>
      <c r="G16" s="18"/>
    </row>
    <row r="17" spans="1:7" ht="36.75" customHeight="1" x14ac:dyDescent="0.3">
      <c r="A17" s="78">
        <v>44258</v>
      </c>
      <c r="B17" s="18" t="s">
        <v>269</v>
      </c>
      <c r="C17" s="18" t="s">
        <v>270</v>
      </c>
      <c r="D17" s="18">
        <v>1920</v>
      </c>
      <c r="E17" s="18" t="s">
        <v>271</v>
      </c>
      <c r="F17" s="18" t="s">
        <v>272</v>
      </c>
      <c r="G17" s="18"/>
    </row>
    <row r="18" spans="1:7" ht="36.75" customHeight="1" x14ac:dyDescent="0.3">
      <c r="A18" s="78">
        <v>44256</v>
      </c>
      <c r="B18" s="18" t="s">
        <v>273</v>
      </c>
      <c r="C18" s="18" t="s">
        <v>274</v>
      </c>
      <c r="D18" s="18">
        <v>3000.02</v>
      </c>
      <c r="E18" s="18"/>
      <c r="F18" s="18"/>
      <c r="G18" s="18"/>
    </row>
    <row r="19" spans="1:7" ht="36.75" customHeight="1" x14ac:dyDescent="0.3">
      <c r="A19" s="78">
        <v>44259</v>
      </c>
      <c r="B19" s="79" t="s">
        <v>275</v>
      </c>
      <c r="C19" s="18" t="s">
        <v>276</v>
      </c>
      <c r="D19" s="18">
        <v>3303.22</v>
      </c>
      <c r="E19" s="78">
        <v>44259</v>
      </c>
      <c r="F19" s="18" t="s">
        <v>277</v>
      </c>
      <c r="G19" s="18"/>
    </row>
    <row r="20" spans="1:7" ht="36.75" customHeight="1" x14ac:dyDescent="0.3">
      <c r="A20" s="78">
        <v>44257</v>
      </c>
      <c r="B20" s="18"/>
      <c r="C20" s="18" t="s">
        <v>278</v>
      </c>
      <c r="D20" s="18">
        <v>6838.38</v>
      </c>
      <c r="E20" s="78">
        <v>44260</v>
      </c>
      <c r="F20" s="18" t="s">
        <v>279</v>
      </c>
      <c r="G20" s="18"/>
    </row>
    <row r="21" spans="1:7" ht="36.75" customHeight="1" x14ac:dyDescent="0.3">
      <c r="A21" s="78">
        <v>44258</v>
      </c>
      <c r="B21" s="18" t="s">
        <v>280</v>
      </c>
      <c r="C21" s="18" t="s">
        <v>281</v>
      </c>
      <c r="D21" s="18">
        <v>11250</v>
      </c>
      <c r="E21" s="78">
        <v>44257</v>
      </c>
      <c r="F21" s="18" t="s">
        <v>282</v>
      </c>
      <c r="G21" s="18"/>
    </row>
    <row r="22" spans="1:7" ht="36.75" customHeight="1" x14ac:dyDescent="0.3">
      <c r="A22" s="18"/>
      <c r="B22" s="18"/>
      <c r="C22" s="18"/>
      <c r="D22" s="18"/>
      <c r="E22" s="18"/>
      <c r="F22" s="18"/>
      <c r="G22" s="18"/>
    </row>
    <row r="23" spans="1:7" ht="36.75" customHeight="1" x14ac:dyDescent="0.3">
      <c r="A23" s="18"/>
      <c r="B23" s="18"/>
      <c r="C23" s="18"/>
      <c r="D23" s="18"/>
      <c r="E23" s="18"/>
      <c r="F23" s="18"/>
      <c r="G23" s="18"/>
    </row>
    <row r="24" spans="1:7" ht="36.75" customHeight="1" x14ac:dyDescent="0.3">
      <c r="A24" s="18"/>
      <c r="B24" s="18"/>
      <c r="C24" s="18"/>
      <c r="D24" s="18"/>
      <c r="E24" s="18"/>
      <c r="F24" s="18"/>
      <c r="G24" s="18"/>
    </row>
    <row r="25" spans="1:7" ht="36.75" customHeight="1" x14ac:dyDescent="0.3">
      <c r="A25" s="18"/>
      <c r="B25" s="18"/>
      <c r="C25" s="18"/>
      <c r="D25" s="18"/>
      <c r="E25" s="18"/>
      <c r="F25" s="18"/>
      <c r="G25" s="18"/>
    </row>
    <row r="26" spans="1:7" ht="36.75" customHeight="1" x14ac:dyDescent="0.3">
      <c r="A26" s="18"/>
      <c r="B26" s="18"/>
      <c r="C26" s="18"/>
      <c r="D26" s="18"/>
      <c r="E26" s="18"/>
      <c r="F26" s="18"/>
      <c r="G26" s="18"/>
    </row>
    <row r="27" spans="1:7" ht="36.75" customHeight="1" x14ac:dyDescent="0.3">
      <c r="A27" s="18"/>
      <c r="B27" s="18"/>
      <c r="C27" s="18"/>
      <c r="D27" s="18"/>
      <c r="E27" s="18"/>
      <c r="F27" s="18"/>
      <c r="G27" s="18"/>
    </row>
    <row r="28" spans="1:7" ht="36.75" customHeight="1" x14ac:dyDescent="0.3">
      <c r="A28" s="18"/>
      <c r="B28" s="18"/>
      <c r="C28" s="18"/>
      <c r="D28" s="18"/>
      <c r="E28" s="18"/>
      <c r="F28" s="18"/>
      <c r="G28" s="18"/>
    </row>
    <row r="29" spans="1:7" ht="36.75" customHeight="1" x14ac:dyDescent="0.3">
      <c r="A29" s="18"/>
      <c r="B29" s="18"/>
      <c r="C29" s="18"/>
      <c r="D29" s="18"/>
      <c r="E29" s="18"/>
      <c r="F29" s="18"/>
      <c r="G29" s="18"/>
    </row>
    <row r="30" spans="1:7" ht="36.75" customHeight="1" x14ac:dyDescent="0.3">
      <c r="A30" s="18"/>
      <c r="B30" s="18"/>
      <c r="C30" s="18"/>
      <c r="D30" s="18"/>
      <c r="E30" s="18"/>
      <c r="F30" s="18"/>
      <c r="G30" s="18"/>
    </row>
    <row r="31" spans="1:7" ht="36.75" customHeight="1" x14ac:dyDescent="0.3">
      <c r="A31" s="18"/>
      <c r="B31" s="18"/>
      <c r="C31" s="18"/>
      <c r="D31" s="18"/>
      <c r="E31" s="18"/>
      <c r="F31" s="18"/>
      <c r="G31" s="18"/>
    </row>
    <row r="32" spans="1:7" ht="36.75" customHeight="1" x14ac:dyDescent="0.3">
      <c r="A32" s="18"/>
      <c r="B32" s="18"/>
      <c r="C32" s="18"/>
      <c r="D32" s="18"/>
      <c r="E32" s="18"/>
      <c r="F32" s="18"/>
      <c r="G32" s="18"/>
    </row>
    <row r="33" spans="1:7" ht="36.75" customHeight="1" x14ac:dyDescent="0.3">
      <c r="A33" s="18"/>
      <c r="B33" s="18"/>
      <c r="C33" s="18"/>
      <c r="D33" s="18"/>
      <c r="E33" s="18"/>
      <c r="F33" s="18"/>
      <c r="G33" s="18"/>
    </row>
    <row r="34" spans="1:7" ht="36.75" customHeight="1" x14ac:dyDescent="0.3">
      <c r="A34" s="18"/>
      <c r="B34" s="18"/>
      <c r="C34" s="18"/>
      <c r="D34" s="18"/>
      <c r="E34" s="18"/>
      <c r="F34" s="18"/>
      <c r="G34" s="18"/>
    </row>
    <row r="35" spans="1:7" ht="36.75" customHeight="1" x14ac:dyDescent="0.3">
      <c r="A35" s="18"/>
      <c r="B35" s="18"/>
      <c r="C35" s="18"/>
      <c r="D35" s="18"/>
      <c r="E35" s="18"/>
      <c r="F35" s="18"/>
      <c r="G35" s="18"/>
    </row>
    <row r="36" spans="1:7" ht="36.75" customHeight="1" x14ac:dyDescent="0.3">
      <c r="A36" s="18"/>
      <c r="B36" s="18"/>
      <c r="C36" s="18"/>
      <c r="D36" s="18"/>
      <c r="E36" s="18"/>
      <c r="F36" s="18"/>
      <c r="G36" s="18"/>
    </row>
    <row r="37" spans="1:7" ht="36.75" customHeight="1" x14ac:dyDescent="0.3">
      <c r="A37" s="18"/>
      <c r="B37" s="18"/>
      <c r="C37" s="18"/>
      <c r="D37" s="18"/>
      <c r="E37" s="18"/>
      <c r="F37" s="18"/>
      <c r="G37" s="18"/>
    </row>
    <row r="38" spans="1:7" ht="36.75" customHeight="1" x14ac:dyDescent="0.3">
      <c r="A38" s="18"/>
      <c r="B38" s="18"/>
      <c r="C38" s="18"/>
      <c r="D38" s="18"/>
      <c r="E38" s="18"/>
      <c r="F38" s="18"/>
      <c r="G38" s="18"/>
    </row>
    <row r="39" spans="1:7" ht="36.75" customHeight="1" x14ac:dyDescent="0.3">
      <c r="A39" s="18"/>
      <c r="B39" s="18"/>
      <c r="C39" s="18"/>
      <c r="D39" s="18"/>
      <c r="E39" s="18"/>
      <c r="F39" s="18"/>
      <c r="G39" s="18"/>
    </row>
    <row r="40" spans="1:7" ht="36.75" customHeight="1" x14ac:dyDescent="0.3">
      <c r="A40" s="18"/>
      <c r="B40" s="18"/>
      <c r="C40" s="18"/>
      <c r="D40" s="18"/>
      <c r="E40" s="18"/>
      <c r="F40" s="18"/>
      <c r="G40" s="18"/>
    </row>
    <row r="41" spans="1:7" ht="36.75" customHeight="1" x14ac:dyDescent="0.3">
      <c r="A41" s="18"/>
      <c r="B41" s="18"/>
      <c r="C41" s="18"/>
      <c r="D41" s="18"/>
      <c r="E41" s="18"/>
      <c r="F41" s="18"/>
      <c r="G41" s="18"/>
    </row>
    <row r="42" spans="1:7" ht="36.75" customHeight="1" x14ac:dyDescent="0.3">
      <c r="A42" s="18"/>
      <c r="B42" s="18"/>
      <c r="C42" s="18"/>
      <c r="D42" s="18"/>
      <c r="E42" s="18"/>
      <c r="F42" s="18"/>
      <c r="G42" s="18"/>
    </row>
    <row r="43" spans="1:7" ht="36.75" customHeight="1" x14ac:dyDescent="0.3">
      <c r="A43" s="18"/>
      <c r="B43" s="18"/>
      <c r="C43" s="18"/>
      <c r="D43" s="18"/>
      <c r="E43" s="18"/>
      <c r="F43" s="18"/>
      <c r="G43" s="18"/>
    </row>
    <row r="44" spans="1:7" ht="36.75" customHeight="1" x14ac:dyDescent="0.3">
      <c r="A44" s="18"/>
      <c r="B44" s="18"/>
      <c r="C44" s="18"/>
      <c r="D44" s="18"/>
      <c r="E44" s="18"/>
      <c r="F44" s="18"/>
      <c r="G44" s="18"/>
    </row>
    <row r="45" spans="1:7" ht="36.75" customHeight="1" x14ac:dyDescent="0.3">
      <c r="A45" s="18"/>
      <c r="B45" s="18"/>
      <c r="C45" s="18"/>
      <c r="D45" s="18"/>
      <c r="E45" s="18"/>
      <c r="F45" s="18"/>
      <c r="G45" s="18"/>
    </row>
    <row r="46" spans="1:7" ht="36.75" customHeight="1" x14ac:dyDescent="0.3">
      <c r="A46" s="18"/>
      <c r="B46" s="18"/>
      <c r="C46" s="18"/>
      <c r="D46" s="18"/>
      <c r="E46" s="18"/>
      <c r="F46" s="18"/>
      <c r="G46" s="18"/>
    </row>
    <row r="47" spans="1:7" ht="36.75" customHeight="1" x14ac:dyDescent="0.3">
      <c r="A47" s="18"/>
      <c r="B47" s="18"/>
      <c r="C47" s="18"/>
      <c r="D47" s="18"/>
      <c r="E47" s="18"/>
      <c r="F47" s="18"/>
      <c r="G47" s="18"/>
    </row>
    <row r="48" spans="1:7" ht="36.75" customHeight="1" x14ac:dyDescent="0.3">
      <c r="A48" s="18"/>
      <c r="B48" s="18"/>
      <c r="C48" s="18"/>
      <c r="D48" s="18"/>
      <c r="E48" s="18"/>
      <c r="F48" s="18"/>
      <c r="G48" s="18"/>
    </row>
    <row r="49" spans="1:7" ht="36.75" customHeight="1" x14ac:dyDescent="0.3">
      <c r="A49" s="18"/>
      <c r="B49" s="18"/>
      <c r="C49" s="18"/>
      <c r="D49" s="18"/>
      <c r="E49" s="18"/>
      <c r="F49" s="18"/>
      <c r="G49" s="18"/>
    </row>
    <row r="50" spans="1:7" ht="27" customHeight="1" x14ac:dyDescent="0.3">
      <c r="A50" s="18"/>
      <c r="B50" s="18"/>
      <c r="C50" s="18"/>
      <c r="D50" s="18"/>
      <c r="E50" s="18"/>
      <c r="F50" s="18"/>
      <c r="G50" s="18"/>
    </row>
    <row r="51" spans="1:7" ht="27.75" customHeight="1" x14ac:dyDescent="0.3">
      <c r="A51" s="18"/>
      <c r="B51" s="18"/>
      <c r="C51" s="18"/>
      <c r="D51" s="18"/>
      <c r="E51" s="18"/>
      <c r="F51" s="18"/>
      <c r="G51" s="18"/>
    </row>
    <row r="52" spans="1:7" ht="27.75" customHeight="1" x14ac:dyDescent="0.3">
      <c r="A52" s="18"/>
      <c r="B52" s="18"/>
      <c r="C52" s="18"/>
      <c r="D52" s="18"/>
      <c r="E52" s="18"/>
      <c r="F52" s="18"/>
      <c r="G52" s="18"/>
    </row>
    <row r="53" spans="1:7" ht="27.75" customHeight="1" x14ac:dyDescent="0.3">
      <c r="A53" s="18"/>
      <c r="B53" s="18"/>
      <c r="C53" s="18"/>
      <c r="D53" s="18"/>
      <c r="E53" s="18"/>
      <c r="F53" s="18"/>
      <c r="G53" s="18"/>
    </row>
    <row r="54" spans="1:7" ht="27.75" customHeight="1" x14ac:dyDescent="0.3">
      <c r="A54" s="18"/>
      <c r="B54" s="18"/>
      <c r="C54" s="18"/>
      <c r="D54" s="18"/>
      <c r="E54" s="18"/>
      <c r="F54" s="18"/>
      <c r="G54" s="18"/>
    </row>
    <row r="55" spans="1:7" ht="27.75" customHeight="1" x14ac:dyDescent="0.3">
      <c r="A55" s="18"/>
      <c r="B55" s="18"/>
      <c r="C55" s="18"/>
      <c r="D55" s="18"/>
      <c r="E55" s="18"/>
      <c r="F55" s="18"/>
      <c r="G55" s="18"/>
    </row>
    <row r="56" spans="1:7" ht="27.75" customHeight="1" x14ac:dyDescent="0.3">
      <c r="A56" s="18"/>
      <c r="B56" s="18"/>
      <c r="C56" s="18"/>
      <c r="D56" s="18"/>
      <c r="E56" s="18"/>
      <c r="F56" s="18"/>
      <c r="G56" s="18"/>
    </row>
    <row r="57" spans="1:7" ht="27.75" customHeight="1" x14ac:dyDescent="0.3">
      <c r="A57" s="18"/>
      <c r="B57" s="18"/>
      <c r="C57" s="18"/>
      <c r="D57" s="18"/>
      <c r="E57" s="18"/>
      <c r="F57" s="18"/>
      <c r="G57" s="18"/>
    </row>
    <row r="58" spans="1:7" ht="27.75" customHeight="1" x14ac:dyDescent="0.3">
      <c r="A58" s="18"/>
      <c r="B58" s="18"/>
      <c r="C58" s="18"/>
      <c r="D58" s="18"/>
      <c r="E58" s="18"/>
      <c r="F58" s="18"/>
      <c r="G58" s="18"/>
    </row>
    <row r="59" spans="1:7" ht="27.75" customHeight="1" x14ac:dyDescent="0.3">
      <c r="A59" s="18"/>
      <c r="B59" s="18"/>
      <c r="C59" s="18"/>
      <c r="D59" s="18"/>
      <c r="E59" s="18"/>
      <c r="F59" s="18"/>
      <c r="G59" s="18"/>
    </row>
    <row r="60" spans="1:7" ht="27.75" customHeight="1" x14ac:dyDescent="0.3">
      <c r="A60" s="18"/>
      <c r="B60" s="18"/>
      <c r="C60" s="18"/>
      <c r="D60" s="18"/>
      <c r="E60" s="18"/>
      <c r="F60" s="18"/>
      <c r="G60" s="18"/>
    </row>
    <row r="61" spans="1:7" ht="27.75" customHeight="1" x14ac:dyDescent="0.3">
      <c r="A61" s="18"/>
      <c r="B61" s="18"/>
      <c r="C61" s="18"/>
      <c r="D61" s="18"/>
      <c r="E61" s="18"/>
      <c r="F61" s="18"/>
      <c r="G61" s="18"/>
    </row>
    <row r="62" spans="1:7" ht="27.75" customHeight="1" x14ac:dyDescent="0.3">
      <c r="A62" s="18"/>
      <c r="B62" s="18"/>
      <c r="C62" s="18"/>
      <c r="D62" s="18"/>
      <c r="E62" s="18"/>
      <c r="F62" s="18"/>
      <c r="G62" s="18"/>
    </row>
    <row r="63" spans="1:7" ht="27.75" customHeight="1" x14ac:dyDescent="0.3">
      <c r="A63" s="18"/>
      <c r="B63" s="18"/>
      <c r="C63" s="18"/>
      <c r="D63" s="18"/>
      <c r="E63" s="18"/>
      <c r="F63" s="18"/>
      <c r="G63" s="18"/>
    </row>
    <row r="64" spans="1:7" ht="27.75" customHeight="1" x14ac:dyDescent="0.3">
      <c r="A64" s="18"/>
      <c r="B64" s="18"/>
      <c r="C64" s="18"/>
      <c r="D64" s="18"/>
      <c r="E64" s="18"/>
      <c r="F64" s="18"/>
      <c r="G64" s="18"/>
    </row>
    <row r="65" spans="1:7" ht="27.75" customHeight="1" x14ac:dyDescent="0.3">
      <c r="A65" s="18"/>
      <c r="B65" s="18"/>
      <c r="C65" s="18"/>
      <c r="D65" s="18"/>
      <c r="E65" s="18"/>
      <c r="F65" s="18"/>
      <c r="G65" s="18"/>
    </row>
    <row r="66" spans="1:7" ht="27.75" customHeight="1" x14ac:dyDescent="0.3">
      <c r="A66" s="18"/>
      <c r="B66" s="18"/>
      <c r="C66" s="18"/>
      <c r="D66" s="18"/>
      <c r="E66" s="18"/>
      <c r="F66" s="18"/>
      <c r="G66" s="18"/>
    </row>
    <row r="67" spans="1:7" ht="27.75" customHeight="1" x14ac:dyDescent="0.3">
      <c r="A67" s="18"/>
      <c r="B67" s="18"/>
      <c r="C67" s="18"/>
      <c r="D67" s="18"/>
      <c r="E67" s="18"/>
      <c r="F67" s="18"/>
      <c r="G67" s="18"/>
    </row>
    <row r="68" spans="1:7" ht="27.75" customHeight="1" x14ac:dyDescent="0.3">
      <c r="A68" s="18"/>
      <c r="B68" s="18"/>
      <c r="C68" s="18"/>
      <c r="D68" s="18"/>
      <c r="E68" s="18"/>
      <c r="F68" s="18"/>
      <c r="G68" s="18"/>
    </row>
    <row r="69" spans="1:7" ht="27.75" customHeight="1" x14ac:dyDescent="0.3">
      <c r="A69" s="18"/>
      <c r="B69" s="18"/>
      <c r="C69" s="18"/>
      <c r="D69" s="18"/>
      <c r="E69" s="18"/>
      <c r="F69" s="18"/>
      <c r="G69" s="18"/>
    </row>
    <row r="70" spans="1:7" ht="27.75" customHeight="1" x14ac:dyDescent="0.3">
      <c r="A70" s="18"/>
      <c r="B70" s="18"/>
      <c r="C70" s="18"/>
      <c r="D70" s="18"/>
      <c r="E70" s="18"/>
      <c r="F70" s="18"/>
      <c r="G70" s="18"/>
    </row>
    <row r="71" spans="1:7" ht="27.75" customHeight="1" x14ac:dyDescent="0.3">
      <c r="A71" s="18"/>
      <c r="B71" s="18"/>
      <c r="C71" s="18"/>
      <c r="D71" s="18"/>
      <c r="E71" s="18"/>
      <c r="F71" s="18"/>
      <c r="G71" s="18"/>
    </row>
    <row r="72" spans="1:7" ht="27.75" customHeight="1" x14ac:dyDescent="0.3">
      <c r="A72" s="18"/>
      <c r="B72" s="18"/>
      <c r="C72" s="18"/>
      <c r="D72" s="18"/>
      <c r="E72" s="18"/>
      <c r="F72" s="18"/>
      <c r="G72" s="18"/>
    </row>
    <row r="73" spans="1:7" ht="27.75" customHeight="1" x14ac:dyDescent="0.3">
      <c r="A73" s="18"/>
      <c r="B73" s="18"/>
      <c r="C73" s="18"/>
      <c r="D73" s="18"/>
      <c r="E73" s="18"/>
      <c r="F73" s="18"/>
      <c r="G73" s="18"/>
    </row>
    <row r="74" spans="1:7" ht="27.75" customHeight="1" x14ac:dyDescent="0.3">
      <c r="A74" s="18"/>
      <c r="B74" s="18"/>
      <c r="C74" s="18"/>
      <c r="D74" s="18"/>
      <c r="E74" s="18"/>
      <c r="F74" s="18"/>
      <c r="G74" s="18"/>
    </row>
    <row r="75" spans="1:7" ht="27.75" customHeight="1" x14ac:dyDescent="0.3">
      <c r="A75" s="18"/>
      <c r="B75" s="18"/>
      <c r="C75" s="18"/>
      <c r="D75" s="18"/>
      <c r="E75" s="18"/>
      <c r="F75" s="18"/>
      <c r="G75" s="18"/>
    </row>
    <row r="76" spans="1:7" ht="27.75" customHeight="1" x14ac:dyDescent="0.3">
      <c r="A76" s="18"/>
      <c r="B76" s="18"/>
      <c r="C76" s="18"/>
      <c r="D76" s="18"/>
      <c r="E76" s="18"/>
      <c r="F76" s="18"/>
      <c r="G76" s="18"/>
    </row>
    <row r="77" spans="1:7" ht="27.75" customHeight="1" x14ac:dyDescent="0.3">
      <c r="A77" s="18"/>
      <c r="B77" s="18"/>
      <c r="C77" s="18"/>
      <c r="D77" s="18"/>
      <c r="E77" s="18"/>
      <c r="F77" s="18"/>
      <c r="G77" s="18"/>
    </row>
    <row r="78" spans="1:7" ht="27.75" customHeight="1" x14ac:dyDescent="0.3">
      <c r="A78" s="18"/>
      <c r="B78" s="18"/>
      <c r="C78" s="18"/>
      <c r="D78" s="18"/>
      <c r="E78" s="18"/>
      <c r="F78" s="18"/>
      <c r="G78" s="18"/>
    </row>
    <row r="79" spans="1:7" ht="27.75" customHeight="1" x14ac:dyDescent="0.3">
      <c r="A79" s="18"/>
      <c r="B79" s="18"/>
      <c r="C79" s="18"/>
      <c r="D79" s="18"/>
      <c r="E79" s="18"/>
      <c r="F79" s="18"/>
      <c r="G79" s="18"/>
    </row>
    <row r="80" spans="1:7" ht="27.75" customHeight="1" x14ac:dyDescent="0.3">
      <c r="A80" s="18"/>
      <c r="B80" s="18"/>
      <c r="C80" s="18"/>
      <c r="D80" s="18"/>
      <c r="E80" s="18"/>
      <c r="F80" s="18"/>
      <c r="G80" s="18"/>
    </row>
    <row r="81" spans="1:7" ht="27.75" customHeight="1" x14ac:dyDescent="0.3">
      <c r="A81" s="18"/>
      <c r="B81" s="18"/>
      <c r="C81" s="18"/>
      <c r="D81" s="18"/>
      <c r="E81" s="18"/>
      <c r="F81" s="18"/>
      <c r="G81" s="18"/>
    </row>
    <row r="82" spans="1:7" ht="27.75" customHeight="1" x14ac:dyDescent="0.3">
      <c r="A82" s="18"/>
      <c r="B82" s="18"/>
      <c r="C82" s="18"/>
      <c r="D82" s="18"/>
      <c r="E82" s="18"/>
      <c r="F82" s="18"/>
      <c r="G82" s="18"/>
    </row>
    <row r="83" spans="1:7" ht="27.75" customHeight="1" x14ac:dyDescent="0.3">
      <c r="A83" s="18"/>
      <c r="B83" s="18"/>
      <c r="C83" s="18"/>
      <c r="D83" s="18"/>
      <c r="E83" s="18"/>
      <c r="F83" s="18"/>
      <c r="G83" s="18"/>
    </row>
    <row r="84" spans="1:7" ht="27.75" customHeight="1" x14ac:dyDescent="0.3">
      <c r="A84" s="6"/>
      <c r="B84" s="8"/>
      <c r="C84" s="18"/>
      <c r="D84" s="8"/>
      <c r="E84" s="20"/>
      <c r="F84" s="20"/>
      <c r="G84" s="20"/>
    </row>
    <row r="85" spans="1:7" ht="27.75" customHeight="1" x14ac:dyDescent="0.3">
      <c r="A85" s="25"/>
      <c r="B85" s="26"/>
      <c r="C85" s="27"/>
      <c r="D85" s="26"/>
      <c r="E85" s="15"/>
      <c r="F85" s="15"/>
      <c r="G85" s="15"/>
    </row>
    <row r="86" spans="1:7" ht="27.75" customHeight="1" x14ac:dyDescent="0.3">
      <c r="A86" s="25"/>
      <c r="B86" s="26"/>
      <c r="C86" s="169" t="s">
        <v>283</v>
      </c>
      <c r="D86" s="170"/>
      <c r="E86" s="170"/>
      <c r="F86" s="15"/>
      <c r="G86" s="15"/>
    </row>
    <row r="87" spans="1:7" ht="15.75" customHeight="1" x14ac:dyDescent="0.3">
      <c r="A87" s="28"/>
      <c r="B87" s="29"/>
      <c r="C87" s="170"/>
      <c r="D87" s="170"/>
      <c r="E87" s="170"/>
      <c r="F87" s="15"/>
    </row>
    <row r="88" spans="1:7" ht="15.75" customHeight="1" x14ac:dyDescent="0.3">
      <c r="A88" s="28"/>
      <c r="B88" s="29"/>
      <c r="C88" s="80"/>
      <c r="D88" s="80"/>
      <c r="E88" s="80"/>
      <c r="F88" s="15"/>
    </row>
    <row r="89" spans="1:7" ht="15.75" customHeight="1" x14ac:dyDescent="0.3">
      <c r="A89" s="28"/>
      <c r="B89" s="29"/>
      <c r="C89" s="30" t="s">
        <v>174</v>
      </c>
      <c r="D89" s="31" t="s">
        <v>175</v>
      </c>
      <c r="E89" s="34" t="s">
        <v>284</v>
      </c>
      <c r="F89" s="15"/>
      <c r="G89" s="15"/>
    </row>
    <row r="90" spans="1:7" ht="15.75" customHeight="1" x14ac:dyDescent="0.3">
      <c r="A90" s="28"/>
      <c r="B90" s="29"/>
      <c r="C90" s="35" t="s">
        <v>179</v>
      </c>
      <c r="D90" s="15">
        <v>31660</v>
      </c>
      <c r="E90" s="35">
        <f t="shared" ref="E90:E99" si="0">D90-10000</f>
        <v>21660</v>
      </c>
      <c r="F90" s="15"/>
      <c r="G90" s="15"/>
    </row>
    <row r="91" spans="1:7" ht="15.75" customHeight="1" x14ac:dyDescent="0.3">
      <c r="A91" s="28"/>
      <c r="B91" s="29"/>
      <c r="C91" s="35" t="s">
        <v>180</v>
      </c>
      <c r="D91" s="15">
        <v>62261</v>
      </c>
      <c r="E91" s="35">
        <f t="shared" si="0"/>
        <v>52261</v>
      </c>
      <c r="F91" s="15"/>
      <c r="G91" s="15"/>
    </row>
    <row r="92" spans="1:7" ht="18.75" customHeight="1" x14ac:dyDescent="0.3">
      <c r="A92" s="28"/>
      <c r="B92" s="29"/>
      <c r="C92" s="35" t="s">
        <v>181</v>
      </c>
      <c r="D92" s="15">
        <v>36660</v>
      </c>
      <c r="E92" s="35">
        <f t="shared" si="0"/>
        <v>26660</v>
      </c>
      <c r="F92" s="15"/>
      <c r="G92" s="15"/>
    </row>
    <row r="93" spans="1:7" ht="18.75" customHeight="1" x14ac:dyDescent="0.3">
      <c r="A93" s="28"/>
      <c r="B93" s="29"/>
      <c r="C93" s="35" t="s">
        <v>182</v>
      </c>
      <c r="D93" s="15">
        <v>38860</v>
      </c>
      <c r="E93" s="35">
        <f t="shared" si="0"/>
        <v>28860</v>
      </c>
      <c r="F93" s="15"/>
      <c r="G93" s="15"/>
    </row>
    <row r="94" spans="1:7" ht="18.75" customHeight="1" x14ac:dyDescent="0.3">
      <c r="A94" s="28"/>
      <c r="B94" s="29"/>
      <c r="C94" s="35" t="s">
        <v>183</v>
      </c>
      <c r="D94" s="15">
        <v>34005</v>
      </c>
      <c r="E94" s="35">
        <f t="shared" si="0"/>
        <v>24005</v>
      </c>
      <c r="F94" s="15"/>
      <c r="G94" s="15"/>
    </row>
    <row r="95" spans="1:7" ht="18.75" customHeight="1" x14ac:dyDescent="0.3">
      <c r="A95" s="28"/>
      <c r="B95" s="29"/>
      <c r="C95" s="35" t="s">
        <v>184</v>
      </c>
      <c r="D95" s="15">
        <v>30860</v>
      </c>
      <c r="E95" s="35">
        <f t="shared" si="0"/>
        <v>20860</v>
      </c>
      <c r="F95" s="15"/>
      <c r="G95" s="15"/>
    </row>
    <row r="96" spans="1:7" ht="18.75" customHeight="1" x14ac:dyDescent="0.3">
      <c r="A96" s="28"/>
      <c r="B96" s="29"/>
      <c r="C96" s="35" t="s">
        <v>185</v>
      </c>
      <c r="D96" s="15">
        <v>26600</v>
      </c>
      <c r="E96" s="35">
        <f t="shared" si="0"/>
        <v>16600</v>
      </c>
      <c r="F96" s="15"/>
      <c r="G96" s="15"/>
    </row>
    <row r="97" spans="1:8" ht="18.75" customHeight="1" x14ac:dyDescent="0.3">
      <c r="A97" s="28"/>
      <c r="B97" s="29"/>
      <c r="C97" s="35" t="s">
        <v>186</v>
      </c>
      <c r="D97" s="15">
        <v>27941</v>
      </c>
      <c r="E97" s="35">
        <f t="shared" si="0"/>
        <v>17941</v>
      </c>
      <c r="F97" s="15"/>
      <c r="G97" s="15"/>
    </row>
    <row r="98" spans="1:8" ht="18.75" customHeight="1" x14ac:dyDescent="0.3">
      <c r="A98" s="28"/>
      <c r="B98" s="38"/>
      <c r="C98" s="35" t="s">
        <v>187</v>
      </c>
      <c r="D98" s="15">
        <v>63269</v>
      </c>
      <c r="E98" s="35">
        <f t="shared" si="0"/>
        <v>53269</v>
      </c>
      <c r="F98" s="15"/>
      <c r="G98" s="15"/>
    </row>
    <row r="99" spans="1:8" ht="18.75" customHeight="1" x14ac:dyDescent="0.3">
      <c r="A99" s="28"/>
      <c r="B99" s="40"/>
      <c r="C99" s="35" t="s">
        <v>188</v>
      </c>
      <c r="D99" s="15">
        <v>32657</v>
      </c>
      <c r="E99" s="35">
        <f t="shared" si="0"/>
        <v>22657</v>
      </c>
      <c r="F99" s="15"/>
      <c r="G99" s="15"/>
    </row>
    <row r="100" spans="1:8" ht="18.75" customHeight="1" x14ac:dyDescent="0.3">
      <c r="A100" s="28"/>
      <c r="C100" s="35"/>
      <c r="D100" s="35"/>
      <c r="E100" s="35"/>
      <c r="F100" s="15"/>
      <c r="G100" s="15"/>
      <c r="H100" s="40"/>
    </row>
    <row r="101" spans="1:8" ht="29.25" customHeight="1" x14ac:dyDescent="0.3">
      <c r="A101" s="28"/>
      <c r="B101" s="43"/>
      <c r="C101" s="30" t="s">
        <v>189</v>
      </c>
      <c r="D101" s="31" t="s">
        <v>175</v>
      </c>
      <c r="E101" s="34" t="s">
        <v>284</v>
      </c>
      <c r="F101" s="15"/>
      <c r="G101" s="15"/>
    </row>
    <row r="102" spans="1:8" ht="18.75" customHeight="1" x14ac:dyDescent="0.3">
      <c r="A102" s="28"/>
      <c r="B102" s="43"/>
      <c r="C102" s="35" t="s">
        <v>191</v>
      </c>
      <c r="D102" s="15">
        <v>69603</v>
      </c>
      <c r="E102" s="35">
        <f t="shared" ref="E102:E107" si="1">D102-10000</f>
        <v>59603</v>
      </c>
      <c r="F102" s="15"/>
      <c r="G102" s="15"/>
    </row>
    <row r="103" spans="1:8" ht="18.75" customHeight="1" x14ac:dyDescent="0.3">
      <c r="A103" s="28"/>
      <c r="B103" s="44"/>
      <c r="C103" s="35" t="s">
        <v>192</v>
      </c>
      <c r="D103" s="15">
        <v>35876</v>
      </c>
      <c r="E103" s="35">
        <f t="shared" si="1"/>
        <v>25876</v>
      </c>
      <c r="F103" s="15"/>
      <c r="G103" s="15"/>
    </row>
    <row r="104" spans="1:8" ht="18.75" customHeight="1" x14ac:dyDescent="0.3">
      <c r="A104" s="28"/>
      <c r="B104" s="44"/>
      <c r="C104" s="35" t="s">
        <v>193</v>
      </c>
      <c r="D104" s="15">
        <v>33263</v>
      </c>
      <c r="E104" s="35">
        <f t="shared" si="1"/>
        <v>23263</v>
      </c>
      <c r="F104" s="15"/>
      <c r="G104" s="15"/>
    </row>
    <row r="105" spans="1:8" ht="18.75" customHeight="1" x14ac:dyDescent="0.3">
      <c r="A105" s="28"/>
      <c r="B105" s="43"/>
      <c r="C105" s="35" t="s">
        <v>194</v>
      </c>
      <c r="D105" s="15">
        <v>34572</v>
      </c>
      <c r="E105" s="35">
        <f t="shared" si="1"/>
        <v>24572</v>
      </c>
      <c r="F105" s="15"/>
      <c r="G105" s="15"/>
    </row>
    <row r="106" spans="1:8" ht="18.75" customHeight="1" x14ac:dyDescent="0.3">
      <c r="A106" s="28"/>
      <c r="B106" s="43"/>
      <c r="C106" s="35" t="s">
        <v>195</v>
      </c>
      <c r="D106" s="15">
        <v>36824</v>
      </c>
      <c r="E106" s="35">
        <f t="shared" si="1"/>
        <v>26824</v>
      </c>
      <c r="F106" s="15"/>
      <c r="G106" s="15"/>
    </row>
    <row r="107" spans="1:8" ht="18.75" customHeight="1" x14ac:dyDescent="0.3">
      <c r="A107" s="28"/>
      <c r="B107" s="29"/>
      <c r="C107" s="35" t="s">
        <v>196</v>
      </c>
      <c r="D107" s="15">
        <v>44860</v>
      </c>
      <c r="E107" s="35">
        <f t="shared" si="1"/>
        <v>34860</v>
      </c>
      <c r="F107" s="15"/>
      <c r="G107" s="15"/>
    </row>
    <row r="108" spans="1:8" ht="18.75" customHeight="1" x14ac:dyDescent="0.3">
      <c r="A108" s="28"/>
      <c r="B108" s="29"/>
      <c r="C108" s="35" t="s">
        <v>197</v>
      </c>
      <c r="D108" s="15">
        <v>42861</v>
      </c>
      <c r="E108" s="35">
        <f>D108-10000-10000</f>
        <v>22861</v>
      </c>
      <c r="F108" s="15"/>
      <c r="G108" s="15"/>
    </row>
    <row r="109" spans="1:8" ht="18.75" customHeight="1" x14ac:dyDescent="0.3">
      <c r="A109" s="28"/>
      <c r="B109" s="29"/>
      <c r="C109" s="35" t="s">
        <v>198</v>
      </c>
      <c r="D109" s="15">
        <v>28860</v>
      </c>
      <c r="E109" s="35">
        <f>D109-10000</f>
        <v>18860</v>
      </c>
      <c r="F109" s="15"/>
      <c r="G109" s="15"/>
    </row>
    <row r="110" spans="1:8" ht="18.75" customHeight="1" x14ac:dyDescent="0.3">
      <c r="A110" s="28"/>
      <c r="B110" s="29"/>
      <c r="C110" s="35" t="s">
        <v>199</v>
      </c>
      <c r="D110" s="15">
        <v>36690</v>
      </c>
      <c r="E110" s="35">
        <f>D110-10000-7000</f>
        <v>19690</v>
      </c>
      <c r="F110" s="15"/>
      <c r="G110" s="15"/>
    </row>
    <row r="111" spans="1:8" ht="18.75" customHeight="1" x14ac:dyDescent="0.3">
      <c r="A111" s="28"/>
      <c r="B111" s="45"/>
      <c r="C111" s="35" t="s">
        <v>200</v>
      </c>
      <c r="D111" s="15">
        <v>28860</v>
      </c>
      <c r="E111" s="35">
        <f>D111-10000</f>
        <v>18860</v>
      </c>
      <c r="F111" s="15"/>
      <c r="G111" s="15"/>
    </row>
    <row r="112" spans="1:8" ht="18.75" customHeight="1" x14ac:dyDescent="0.3">
      <c r="A112" s="28"/>
      <c r="B112" s="38"/>
      <c r="C112" s="35" t="s">
        <v>201</v>
      </c>
      <c r="D112" s="15">
        <v>36502</v>
      </c>
      <c r="E112" s="35">
        <f>D112-10000-3000</f>
        <v>23502</v>
      </c>
      <c r="F112" s="15"/>
      <c r="G112" s="15"/>
    </row>
    <row r="113" spans="1:8" ht="18.75" customHeight="1" x14ac:dyDescent="0.3">
      <c r="A113" s="28"/>
      <c r="B113" s="38"/>
      <c r="C113" s="35" t="s">
        <v>285</v>
      </c>
      <c r="D113" s="15">
        <v>28860</v>
      </c>
      <c r="E113" s="35">
        <f t="shared" ref="E113:E118" si="2">D113-10000</f>
        <v>18860</v>
      </c>
      <c r="F113" s="15"/>
      <c r="G113" s="15"/>
    </row>
    <row r="114" spans="1:8" ht="18.75" customHeight="1" x14ac:dyDescent="0.3">
      <c r="A114" s="28"/>
      <c r="B114" s="43"/>
      <c r="C114" s="35" t="s">
        <v>202</v>
      </c>
      <c r="D114" s="15">
        <v>49477</v>
      </c>
      <c r="E114" s="35">
        <f t="shared" si="2"/>
        <v>39477</v>
      </c>
      <c r="F114" s="15"/>
      <c r="G114" s="15"/>
    </row>
    <row r="115" spans="1:8" ht="18.75" customHeight="1" x14ac:dyDescent="0.3">
      <c r="A115" s="28"/>
      <c r="B115" s="43"/>
      <c r="C115" s="35" t="s">
        <v>203</v>
      </c>
      <c r="D115" s="15">
        <v>48785</v>
      </c>
      <c r="E115" s="35">
        <f t="shared" si="2"/>
        <v>38785</v>
      </c>
      <c r="F115" s="15"/>
      <c r="G115" s="15"/>
    </row>
    <row r="116" spans="1:8" ht="18.75" customHeight="1" x14ac:dyDescent="0.3">
      <c r="A116" s="28"/>
      <c r="B116" s="43"/>
      <c r="C116" s="35" t="s">
        <v>204</v>
      </c>
      <c r="D116" s="15">
        <v>63156</v>
      </c>
      <c r="E116" s="35">
        <f t="shared" si="2"/>
        <v>53156</v>
      </c>
      <c r="F116" s="15"/>
      <c r="G116" s="15"/>
    </row>
    <row r="117" spans="1:8" ht="18.75" customHeight="1" x14ac:dyDescent="0.3">
      <c r="A117" s="28"/>
      <c r="B117" s="29"/>
      <c r="C117" s="35" t="s">
        <v>205</v>
      </c>
      <c r="D117" s="15">
        <v>64264</v>
      </c>
      <c r="E117" s="35">
        <f t="shared" si="2"/>
        <v>54264</v>
      </c>
      <c r="F117" s="15"/>
      <c r="G117" s="15"/>
    </row>
    <row r="118" spans="1:8" ht="18.75" customHeight="1" x14ac:dyDescent="0.3">
      <c r="A118" s="28"/>
      <c r="C118" s="35" t="s">
        <v>286</v>
      </c>
      <c r="D118" s="15">
        <v>54264</v>
      </c>
      <c r="E118" s="35">
        <f t="shared" si="2"/>
        <v>44264</v>
      </c>
      <c r="F118" s="15"/>
      <c r="G118" s="15"/>
      <c r="H118" s="40"/>
    </row>
    <row r="119" spans="1:8" ht="18.75" customHeight="1" x14ac:dyDescent="0.3">
      <c r="A119" s="28"/>
      <c r="C119" s="35"/>
      <c r="E119" s="35"/>
      <c r="F119" s="15"/>
      <c r="G119" s="15"/>
      <c r="H119" s="40"/>
    </row>
    <row r="120" spans="1:8" ht="18.75" customHeight="1" x14ac:dyDescent="0.3">
      <c r="A120" s="28"/>
      <c r="C120" s="29"/>
      <c r="D120" s="40" t="s">
        <v>206</v>
      </c>
      <c r="E120" s="40">
        <f>E118+E100</f>
        <v>44264</v>
      </c>
      <c r="F120" s="15"/>
      <c r="G120" s="15"/>
    </row>
    <row r="121" spans="1:8" ht="18.75" customHeight="1" x14ac:dyDescent="0.3">
      <c r="A121" s="28"/>
      <c r="C121" s="15"/>
      <c r="F121" s="15"/>
    </row>
    <row r="122" spans="1:8" ht="18.75" customHeight="1" x14ac:dyDescent="0.3">
      <c r="A122" s="28"/>
      <c r="C122" s="15"/>
      <c r="F122" s="15"/>
    </row>
    <row r="123" spans="1:8" ht="18.75" customHeight="1" x14ac:dyDescent="0.3">
      <c r="A123" s="28"/>
      <c r="C123" s="15"/>
      <c r="F123" s="15"/>
    </row>
    <row r="124" spans="1:8" ht="18.75" customHeight="1" x14ac:dyDescent="0.3">
      <c r="A124" s="28"/>
      <c r="C124" s="15"/>
      <c r="F124" s="15"/>
    </row>
    <row r="125" spans="1:8" ht="18.75" customHeight="1" x14ac:dyDescent="0.3">
      <c r="A125" s="28"/>
      <c r="C125" s="15"/>
      <c r="F125" s="15"/>
    </row>
    <row r="126" spans="1:8" ht="18.75" customHeight="1" x14ac:dyDescent="0.3">
      <c r="A126" s="28"/>
      <c r="C126" s="15"/>
      <c r="F126" s="15"/>
    </row>
    <row r="127" spans="1:8" ht="18.75" customHeight="1" x14ac:dyDescent="0.3">
      <c r="A127" s="28"/>
      <c r="C127" s="15"/>
      <c r="F127" s="15"/>
    </row>
    <row r="128" spans="1:8" ht="18.75" customHeight="1" x14ac:dyDescent="0.3">
      <c r="A128" s="28"/>
      <c r="C128" s="15"/>
      <c r="F128" s="15"/>
    </row>
    <row r="129" spans="1:6" ht="18.75" customHeight="1" x14ac:dyDescent="0.3">
      <c r="A129" s="28"/>
      <c r="C129" s="15"/>
      <c r="F129" s="15"/>
    </row>
    <row r="130" spans="1:6" ht="18.75" customHeight="1" x14ac:dyDescent="0.3">
      <c r="A130" s="28"/>
      <c r="C130" s="15"/>
      <c r="F130" s="15"/>
    </row>
    <row r="131" spans="1:6" ht="18.75" customHeight="1" x14ac:dyDescent="0.3">
      <c r="A131" s="28"/>
      <c r="C131" s="15"/>
      <c r="F131" s="15"/>
    </row>
    <row r="132" spans="1:6" ht="18.75" customHeight="1" x14ac:dyDescent="0.3">
      <c r="A132" s="28"/>
      <c r="C132" s="15"/>
      <c r="F132" s="15"/>
    </row>
    <row r="133" spans="1:6" ht="18.75" customHeight="1" x14ac:dyDescent="0.3">
      <c r="A133" s="28"/>
      <c r="C133" s="15"/>
      <c r="F133" s="15"/>
    </row>
    <row r="134" spans="1:6" ht="18.75" customHeight="1" x14ac:dyDescent="0.3">
      <c r="A134" s="28"/>
      <c r="C134" s="15"/>
      <c r="F134" s="15"/>
    </row>
    <row r="135" spans="1:6" ht="18.75" customHeight="1" x14ac:dyDescent="0.3">
      <c r="A135" s="28"/>
      <c r="C135" s="15"/>
      <c r="F135" s="15"/>
    </row>
    <row r="136" spans="1:6" ht="18.75" customHeight="1" x14ac:dyDescent="0.3">
      <c r="A136" s="28"/>
      <c r="C136" s="15"/>
      <c r="F136" s="15"/>
    </row>
    <row r="137" spans="1:6" ht="18.75" customHeight="1" x14ac:dyDescent="0.3">
      <c r="A137" s="28"/>
      <c r="C137" s="15"/>
      <c r="F137" s="15"/>
    </row>
    <row r="138" spans="1:6" ht="18.75" customHeight="1" x14ac:dyDescent="0.3">
      <c r="A138" s="28"/>
      <c r="C138" s="15"/>
      <c r="F138" s="15"/>
    </row>
    <row r="139" spans="1:6" ht="18.75" customHeight="1" x14ac:dyDescent="0.3">
      <c r="A139" s="28"/>
      <c r="C139" s="15"/>
      <c r="F139" s="15"/>
    </row>
    <row r="140" spans="1:6" ht="18.75" customHeight="1" x14ac:dyDescent="0.3">
      <c r="A140" s="28"/>
      <c r="C140" s="15"/>
      <c r="F140" s="15"/>
    </row>
    <row r="141" spans="1:6" ht="18.75" customHeight="1" x14ac:dyDescent="0.3">
      <c r="A141" s="28"/>
      <c r="C141" s="15"/>
      <c r="F141" s="15"/>
    </row>
    <row r="142" spans="1:6" ht="18.75" customHeight="1" x14ac:dyDescent="0.3">
      <c r="A142" s="28"/>
      <c r="C142" s="15"/>
      <c r="F142" s="15"/>
    </row>
    <row r="143" spans="1:6" ht="18.75" customHeight="1" x14ac:dyDescent="0.3">
      <c r="A143" s="28"/>
      <c r="C143" s="15"/>
      <c r="F143" s="15"/>
    </row>
    <row r="144" spans="1:6" ht="18.75" customHeight="1" x14ac:dyDescent="0.3">
      <c r="A144" s="28"/>
      <c r="C144" s="15"/>
      <c r="F144" s="15"/>
    </row>
    <row r="145" spans="1:6" ht="18.75" customHeight="1" x14ac:dyDescent="0.3">
      <c r="A145" s="28"/>
      <c r="C145" s="15"/>
      <c r="F145" s="15"/>
    </row>
    <row r="146" spans="1:6" ht="18.75" customHeight="1" x14ac:dyDescent="0.3">
      <c r="A146" s="28"/>
      <c r="C146" s="15"/>
      <c r="F146" s="15"/>
    </row>
    <row r="147" spans="1:6" ht="18.75" customHeight="1" x14ac:dyDescent="0.3">
      <c r="A147" s="28"/>
      <c r="C147" s="15"/>
      <c r="F147" s="15"/>
    </row>
    <row r="148" spans="1:6" ht="18.75" customHeight="1" x14ac:dyDescent="0.3">
      <c r="A148" s="28"/>
      <c r="C148" s="15"/>
      <c r="F148" s="15"/>
    </row>
    <row r="149" spans="1:6" ht="18.75" customHeight="1" x14ac:dyDescent="0.3">
      <c r="A149" s="28"/>
      <c r="C149" s="15"/>
      <c r="F149" s="15"/>
    </row>
    <row r="150" spans="1:6" ht="18.75" customHeight="1" x14ac:dyDescent="0.3">
      <c r="A150" s="28"/>
      <c r="C150" s="15"/>
      <c r="F150" s="15"/>
    </row>
    <row r="151" spans="1:6" ht="18.75" customHeight="1" x14ac:dyDescent="0.3">
      <c r="A151" s="28"/>
      <c r="C151" s="15"/>
      <c r="F151" s="15"/>
    </row>
    <row r="152" spans="1:6" ht="18.75" customHeight="1" x14ac:dyDescent="0.3">
      <c r="A152" s="28"/>
      <c r="C152" s="15"/>
      <c r="F152" s="15"/>
    </row>
    <row r="153" spans="1:6" ht="18.75" customHeight="1" x14ac:dyDescent="0.3">
      <c r="A153" s="28"/>
      <c r="C153" s="15"/>
      <c r="F153" s="15"/>
    </row>
    <row r="154" spans="1:6" ht="18.75" customHeight="1" x14ac:dyDescent="0.3">
      <c r="A154" s="28"/>
      <c r="C154" s="15"/>
      <c r="F154" s="15"/>
    </row>
    <row r="155" spans="1:6" ht="18.75" customHeight="1" x14ac:dyDescent="0.3">
      <c r="A155" s="28"/>
      <c r="C155" s="15"/>
      <c r="F155" s="15"/>
    </row>
    <row r="156" spans="1:6" ht="18.75" customHeight="1" x14ac:dyDescent="0.3">
      <c r="A156" s="28"/>
      <c r="C156" s="15"/>
      <c r="F156" s="15"/>
    </row>
    <row r="157" spans="1:6" ht="18.75" customHeight="1" x14ac:dyDescent="0.3">
      <c r="A157" s="28"/>
      <c r="C157" s="15"/>
      <c r="F157" s="15"/>
    </row>
    <row r="158" spans="1:6" ht="18.75" customHeight="1" x14ac:dyDescent="0.3">
      <c r="A158" s="28"/>
      <c r="C158" s="15"/>
      <c r="F158" s="15"/>
    </row>
    <row r="159" spans="1:6" ht="18.75" customHeight="1" x14ac:dyDescent="0.3">
      <c r="A159" s="28"/>
      <c r="C159" s="15"/>
      <c r="F159" s="15"/>
    </row>
    <row r="160" spans="1:6" ht="18.75" customHeight="1" x14ac:dyDescent="0.3">
      <c r="A160" s="28"/>
      <c r="C160" s="15"/>
      <c r="F160" s="15"/>
    </row>
    <row r="161" spans="1:6" ht="18.75" customHeight="1" x14ac:dyDescent="0.3">
      <c r="A161" s="28"/>
      <c r="C161" s="15"/>
      <c r="F161" s="15"/>
    </row>
    <row r="162" spans="1:6" ht="18.75" customHeight="1" x14ac:dyDescent="0.3">
      <c r="A162" s="28"/>
      <c r="C162" s="15"/>
      <c r="F162" s="15"/>
    </row>
    <row r="163" spans="1:6" ht="18.75" customHeight="1" x14ac:dyDescent="0.3">
      <c r="A163" s="28"/>
      <c r="C163" s="15"/>
      <c r="F163" s="15"/>
    </row>
    <row r="164" spans="1:6" ht="18.75" customHeight="1" x14ac:dyDescent="0.3">
      <c r="A164" s="28"/>
      <c r="C164" s="15"/>
      <c r="F164" s="15"/>
    </row>
    <row r="165" spans="1:6" ht="18.75" customHeight="1" x14ac:dyDescent="0.3">
      <c r="A165" s="28"/>
      <c r="C165" s="15"/>
      <c r="F165" s="15"/>
    </row>
    <row r="166" spans="1:6" ht="18.75" customHeight="1" x14ac:dyDescent="0.3">
      <c r="A166" s="28"/>
      <c r="C166" s="15"/>
      <c r="F166" s="15"/>
    </row>
    <row r="167" spans="1:6" ht="18.75" customHeight="1" x14ac:dyDescent="0.3">
      <c r="A167" s="28"/>
      <c r="C167" s="15"/>
      <c r="F167" s="15"/>
    </row>
    <row r="168" spans="1:6" ht="18.75" customHeight="1" x14ac:dyDescent="0.3">
      <c r="A168" s="28"/>
      <c r="C168" s="15"/>
      <c r="F168" s="15"/>
    </row>
    <row r="169" spans="1:6" ht="18.75" customHeight="1" x14ac:dyDescent="0.3">
      <c r="A169" s="28"/>
      <c r="C169" s="15"/>
      <c r="F169" s="15"/>
    </row>
    <row r="170" spans="1:6" ht="18.75" customHeight="1" x14ac:dyDescent="0.3">
      <c r="A170" s="28"/>
      <c r="C170" s="15"/>
      <c r="F170" s="15"/>
    </row>
    <row r="171" spans="1:6" ht="18.75" customHeight="1" x14ac:dyDescent="0.3">
      <c r="A171" s="28"/>
      <c r="C171" s="15"/>
      <c r="F171" s="15"/>
    </row>
    <row r="172" spans="1:6" ht="18.75" customHeight="1" x14ac:dyDescent="0.3">
      <c r="A172" s="28"/>
      <c r="C172" s="15"/>
    </row>
    <row r="173" spans="1:6" ht="18.75" customHeight="1" x14ac:dyDescent="0.3">
      <c r="A173" s="28"/>
      <c r="C173" s="15"/>
    </row>
    <row r="174" spans="1:6" ht="18.75" customHeight="1" x14ac:dyDescent="0.3">
      <c r="A174" s="28"/>
      <c r="C174" s="15"/>
    </row>
    <row r="175" spans="1:6" ht="18.75" customHeight="1" x14ac:dyDescent="0.3">
      <c r="A175" s="28"/>
      <c r="C175" s="15"/>
    </row>
    <row r="176" spans="1:6" ht="18.75" customHeight="1" x14ac:dyDescent="0.3">
      <c r="A176" s="28"/>
      <c r="C176" s="15"/>
    </row>
    <row r="177" spans="1:3" ht="18.75" customHeight="1" x14ac:dyDescent="0.3">
      <c r="A177" s="28"/>
      <c r="C177" s="15"/>
    </row>
    <row r="178" spans="1:3" ht="18.75" customHeight="1" x14ac:dyDescent="0.3">
      <c r="A178" s="28"/>
      <c r="C178" s="15"/>
    </row>
    <row r="179" spans="1:3" ht="15.75" customHeight="1" x14ac:dyDescent="0.3">
      <c r="A179" s="28"/>
      <c r="C179" s="15"/>
    </row>
    <row r="180" spans="1:3" ht="15.75" customHeight="1" x14ac:dyDescent="0.3">
      <c r="A180" s="28"/>
      <c r="C180" s="15"/>
    </row>
    <row r="181" spans="1:3" ht="15.75" customHeight="1" x14ac:dyDescent="0.3">
      <c r="A181" s="28"/>
      <c r="C181" s="15"/>
    </row>
    <row r="182" spans="1:3" ht="15.75" customHeight="1" x14ac:dyDescent="0.3">
      <c r="A182" s="28"/>
      <c r="C182" s="15"/>
    </row>
    <row r="183" spans="1:3" ht="15.75" customHeight="1" x14ac:dyDescent="0.3">
      <c r="A183" s="28"/>
      <c r="C183" s="15"/>
    </row>
    <row r="184" spans="1:3" ht="15.75" customHeight="1" x14ac:dyDescent="0.3">
      <c r="A184" s="28"/>
      <c r="C184" s="15"/>
    </row>
    <row r="185" spans="1:3" ht="15.75" customHeight="1" x14ac:dyDescent="0.3">
      <c r="A185" s="28"/>
      <c r="C185" s="15"/>
    </row>
    <row r="186" spans="1:3" ht="15.75" customHeight="1" x14ac:dyDescent="0.3">
      <c r="A186" s="28"/>
      <c r="C186" s="15"/>
    </row>
    <row r="187" spans="1:3" ht="15.75" customHeight="1" x14ac:dyDescent="0.3">
      <c r="A187" s="28"/>
      <c r="C187" s="15"/>
    </row>
    <row r="188" spans="1:3" ht="15.75" customHeight="1" x14ac:dyDescent="0.3">
      <c r="A188" s="28"/>
      <c r="C188" s="15"/>
    </row>
    <row r="189" spans="1:3" ht="15.75" customHeight="1" x14ac:dyDescent="0.3">
      <c r="A189" s="28"/>
      <c r="C189" s="15"/>
    </row>
    <row r="190" spans="1:3" ht="15.75" customHeight="1" x14ac:dyDescent="0.3">
      <c r="A190" s="28"/>
      <c r="C190" s="15"/>
    </row>
    <row r="191" spans="1:3" ht="15.75" customHeight="1" x14ac:dyDescent="0.3">
      <c r="A191" s="28"/>
      <c r="C191" s="15"/>
    </row>
    <row r="192" spans="1:3" ht="15.75" customHeight="1" x14ac:dyDescent="0.3">
      <c r="A192" s="28"/>
      <c r="C192" s="15"/>
    </row>
    <row r="193" spans="1:3" ht="15.75" customHeight="1" x14ac:dyDescent="0.3">
      <c r="A193" s="28"/>
      <c r="C193" s="15"/>
    </row>
    <row r="194" spans="1:3" ht="15.75" customHeight="1" x14ac:dyDescent="0.3">
      <c r="A194" s="28"/>
      <c r="C194" s="15"/>
    </row>
    <row r="195" spans="1:3" ht="15.75" customHeight="1" x14ac:dyDescent="0.3">
      <c r="A195" s="28"/>
      <c r="C195" s="15"/>
    </row>
    <row r="196" spans="1:3" ht="15.75" customHeight="1" x14ac:dyDescent="0.3">
      <c r="A196" s="28"/>
      <c r="C196" s="15"/>
    </row>
    <row r="197" spans="1:3" ht="15.75" customHeight="1" x14ac:dyDescent="0.3">
      <c r="A197" s="28"/>
      <c r="C197" s="15"/>
    </row>
    <row r="198" spans="1:3" ht="15.75" customHeight="1" x14ac:dyDescent="0.3">
      <c r="A198" s="28"/>
      <c r="C198" s="15"/>
    </row>
    <row r="199" spans="1:3" ht="15.75" customHeight="1" x14ac:dyDescent="0.3">
      <c r="A199" s="28"/>
      <c r="C199" s="15"/>
    </row>
    <row r="200" spans="1:3" ht="15.75" customHeight="1" x14ac:dyDescent="0.3">
      <c r="A200" s="28"/>
      <c r="C200" s="15"/>
    </row>
    <row r="201" spans="1:3" ht="15.75" customHeight="1" x14ac:dyDescent="0.3">
      <c r="A201" s="28"/>
      <c r="C201" s="15"/>
    </row>
    <row r="202" spans="1:3" ht="15.75" customHeight="1" x14ac:dyDescent="0.3">
      <c r="A202" s="28"/>
      <c r="C202" s="15"/>
    </row>
    <row r="203" spans="1:3" ht="15.75" customHeight="1" x14ac:dyDescent="0.3">
      <c r="A203" s="28"/>
      <c r="C203" s="15"/>
    </row>
    <row r="204" spans="1:3" ht="15.75" customHeight="1" x14ac:dyDescent="0.3">
      <c r="A204" s="28"/>
      <c r="C204" s="15"/>
    </row>
    <row r="205" spans="1:3" ht="15.75" customHeight="1" x14ac:dyDescent="0.3">
      <c r="A205" s="28"/>
      <c r="C205" s="15"/>
    </row>
    <row r="206" spans="1:3" ht="15.75" customHeight="1" x14ac:dyDescent="0.3">
      <c r="A206" s="28"/>
      <c r="C206" s="15"/>
    </row>
    <row r="207" spans="1:3" ht="15.75" customHeight="1" x14ac:dyDescent="0.3">
      <c r="A207" s="28"/>
      <c r="C207" s="15"/>
    </row>
    <row r="208" spans="1:3" ht="15.75" customHeight="1" x14ac:dyDescent="0.3">
      <c r="A208" s="28"/>
      <c r="C208" s="15"/>
    </row>
    <row r="209" spans="1:3" ht="15.75" customHeight="1" x14ac:dyDescent="0.3">
      <c r="A209" s="28"/>
      <c r="C209" s="15"/>
    </row>
    <row r="210" spans="1:3" ht="15.75" customHeight="1" x14ac:dyDescent="0.3">
      <c r="A210" s="28"/>
      <c r="C210" s="15"/>
    </row>
    <row r="211" spans="1:3" ht="15.75" customHeight="1" x14ac:dyDescent="0.3">
      <c r="A211" s="28"/>
      <c r="C211" s="15"/>
    </row>
    <row r="212" spans="1:3" ht="15.75" customHeight="1" x14ac:dyDescent="0.3">
      <c r="A212" s="28"/>
      <c r="C212" s="15"/>
    </row>
    <row r="213" spans="1:3" ht="15.75" customHeight="1" x14ac:dyDescent="0.3">
      <c r="A213" s="28"/>
      <c r="C213" s="15"/>
    </row>
    <row r="214" spans="1:3" ht="15.75" customHeight="1" x14ac:dyDescent="0.3">
      <c r="A214" s="28"/>
      <c r="C214" s="15"/>
    </row>
    <row r="215" spans="1:3" ht="15.75" customHeight="1" x14ac:dyDescent="0.3">
      <c r="A215" s="28"/>
      <c r="C215" s="15"/>
    </row>
    <row r="216" spans="1:3" ht="15.75" customHeight="1" x14ac:dyDescent="0.3">
      <c r="A216" s="28"/>
      <c r="C216" s="15"/>
    </row>
    <row r="217" spans="1:3" ht="15.75" customHeight="1" x14ac:dyDescent="0.3">
      <c r="A217" s="28"/>
      <c r="C217" s="15"/>
    </row>
    <row r="218" spans="1:3" ht="15.75" customHeight="1" x14ac:dyDescent="0.3">
      <c r="A218" s="28"/>
      <c r="C218" s="15"/>
    </row>
    <row r="219" spans="1:3" ht="15.75" customHeight="1" x14ac:dyDescent="0.3">
      <c r="A219" s="28"/>
      <c r="C219" s="15"/>
    </row>
    <row r="220" spans="1:3" ht="15.75" customHeight="1" x14ac:dyDescent="0.3">
      <c r="A220" s="28"/>
      <c r="C220" s="15"/>
    </row>
    <row r="221" spans="1:3" ht="15.75" customHeight="1" x14ac:dyDescent="0.3">
      <c r="A221" s="28"/>
      <c r="C221" s="15"/>
    </row>
    <row r="222" spans="1:3" ht="15.75" customHeight="1" x14ac:dyDescent="0.3">
      <c r="A222" s="28"/>
      <c r="C222" s="15"/>
    </row>
    <row r="223" spans="1:3" ht="15.75" customHeight="1" x14ac:dyDescent="0.3">
      <c r="A223" s="28"/>
      <c r="C223" s="15"/>
    </row>
    <row r="224" spans="1:3" ht="15.75" customHeight="1" x14ac:dyDescent="0.3">
      <c r="A224" s="28"/>
      <c r="C224" s="15"/>
    </row>
    <row r="225" spans="1:3" ht="15.75" customHeight="1" x14ac:dyDescent="0.3">
      <c r="A225" s="28"/>
      <c r="C225" s="15"/>
    </row>
    <row r="226" spans="1:3" ht="15.75" customHeight="1" x14ac:dyDescent="0.3">
      <c r="A226" s="28"/>
      <c r="C226" s="15"/>
    </row>
    <row r="227" spans="1:3" ht="15.75" customHeight="1" x14ac:dyDescent="0.3">
      <c r="A227" s="28"/>
      <c r="C227" s="15"/>
    </row>
    <row r="228" spans="1:3" ht="15.75" customHeight="1" x14ac:dyDescent="0.3">
      <c r="A228" s="28"/>
      <c r="C228" s="15"/>
    </row>
    <row r="229" spans="1:3" ht="15.75" customHeight="1" x14ac:dyDescent="0.3">
      <c r="A229" s="28"/>
      <c r="C229" s="15"/>
    </row>
    <row r="230" spans="1:3" ht="15.75" customHeight="1" x14ac:dyDescent="0.3">
      <c r="A230" s="28"/>
      <c r="C230" s="15"/>
    </row>
    <row r="231" spans="1:3" ht="15.75" customHeight="1" x14ac:dyDescent="0.3">
      <c r="A231" s="28"/>
      <c r="C231" s="15"/>
    </row>
    <row r="232" spans="1:3" ht="15.75" customHeight="1" x14ac:dyDescent="0.3">
      <c r="A232" s="28"/>
      <c r="C232" s="15"/>
    </row>
    <row r="233" spans="1:3" ht="15.75" customHeight="1" x14ac:dyDescent="0.3">
      <c r="A233" s="28"/>
      <c r="C233" s="15"/>
    </row>
    <row r="234" spans="1:3" ht="15.75" customHeight="1" x14ac:dyDescent="0.3">
      <c r="A234" s="28"/>
      <c r="C234" s="15"/>
    </row>
    <row r="235" spans="1:3" ht="15.75" customHeight="1" x14ac:dyDescent="0.3">
      <c r="A235" s="28"/>
      <c r="C235" s="15"/>
    </row>
    <row r="236" spans="1:3" ht="15.75" customHeight="1" x14ac:dyDescent="0.3">
      <c r="A236" s="28"/>
      <c r="C236" s="15"/>
    </row>
    <row r="237" spans="1:3" ht="15.75" customHeight="1" x14ac:dyDescent="0.3">
      <c r="A237" s="28"/>
      <c r="C237" s="15"/>
    </row>
    <row r="238" spans="1:3" ht="15.75" customHeight="1" x14ac:dyDescent="0.3">
      <c r="A238" s="28"/>
      <c r="C238" s="15"/>
    </row>
    <row r="239" spans="1:3" ht="15.75" customHeight="1" x14ac:dyDescent="0.3">
      <c r="A239" s="28"/>
      <c r="C239" s="15"/>
    </row>
    <row r="240" spans="1:3" ht="15.75" customHeight="1" x14ac:dyDescent="0.3">
      <c r="A240" s="28"/>
      <c r="C240" s="15"/>
    </row>
    <row r="241" spans="1:3" ht="15.75" customHeight="1" x14ac:dyDescent="0.3">
      <c r="A241" s="28"/>
      <c r="C241" s="15"/>
    </row>
    <row r="242" spans="1:3" ht="15.75" customHeight="1" x14ac:dyDescent="0.3">
      <c r="A242" s="28"/>
      <c r="C242" s="15"/>
    </row>
    <row r="243" spans="1:3" ht="15.75" customHeight="1" x14ac:dyDescent="0.3">
      <c r="A243" s="28"/>
      <c r="C243" s="15"/>
    </row>
    <row r="244" spans="1:3" ht="15.75" customHeight="1" x14ac:dyDescent="0.3">
      <c r="A244" s="28"/>
      <c r="C244" s="15"/>
    </row>
    <row r="245" spans="1:3" ht="15.75" customHeight="1" x14ac:dyDescent="0.3">
      <c r="A245" s="28"/>
      <c r="C245" s="15"/>
    </row>
    <row r="246" spans="1:3" ht="15.75" customHeight="1" x14ac:dyDescent="0.3">
      <c r="A246" s="28"/>
      <c r="C246" s="15"/>
    </row>
    <row r="247" spans="1:3" ht="15.75" customHeight="1" x14ac:dyDescent="0.3">
      <c r="A247" s="28"/>
      <c r="C247" s="15"/>
    </row>
    <row r="248" spans="1:3" ht="15.75" customHeight="1" x14ac:dyDescent="0.3">
      <c r="A248" s="28"/>
      <c r="C248" s="15"/>
    </row>
    <row r="249" spans="1:3" ht="15.75" customHeight="1" x14ac:dyDescent="0.3">
      <c r="A249" s="28"/>
      <c r="C249" s="15"/>
    </row>
    <row r="250" spans="1:3" ht="15.75" customHeight="1" x14ac:dyDescent="0.3">
      <c r="A250" s="28"/>
      <c r="C250" s="15"/>
    </row>
    <row r="251" spans="1:3" ht="15.75" customHeight="1" x14ac:dyDescent="0.3">
      <c r="A251" s="28"/>
      <c r="C251" s="15"/>
    </row>
    <row r="252" spans="1:3" ht="15.75" customHeight="1" x14ac:dyDescent="0.3">
      <c r="A252" s="28"/>
      <c r="C252" s="15"/>
    </row>
    <row r="253" spans="1:3" ht="15.75" customHeight="1" x14ac:dyDescent="0.3">
      <c r="A253" s="28"/>
      <c r="C253" s="15"/>
    </row>
    <row r="254" spans="1:3" ht="15.75" customHeight="1" x14ac:dyDescent="0.3">
      <c r="A254" s="28"/>
      <c r="C254" s="15"/>
    </row>
    <row r="255" spans="1:3" ht="15.75" customHeight="1" x14ac:dyDescent="0.3">
      <c r="A255" s="28"/>
      <c r="C255" s="15"/>
    </row>
    <row r="256" spans="1:3" ht="15.75" customHeight="1" x14ac:dyDescent="0.3">
      <c r="A256" s="28"/>
      <c r="C256" s="15"/>
    </row>
    <row r="257" spans="1:3" ht="15.75" customHeight="1" x14ac:dyDescent="0.3">
      <c r="A257" s="28"/>
      <c r="C257" s="15"/>
    </row>
    <row r="258" spans="1:3" ht="15.75" customHeight="1" x14ac:dyDescent="0.3">
      <c r="A258" s="28"/>
      <c r="C258" s="15"/>
    </row>
    <row r="259" spans="1:3" ht="15.75" customHeight="1" x14ac:dyDescent="0.3">
      <c r="A259" s="28"/>
      <c r="C259" s="15"/>
    </row>
    <row r="260" spans="1:3" ht="15.75" customHeight="1" x14ac:dyDescent="0.3">
      <c r="A260" s="28"/>
      <c r="C260" s="15"/>
    </row>
    <row r="261" spans="1:3" ht="15.75" customHeight="1" x14ac:dyDescent="0.3">
      <c r="A261" s="28"/>
      <c r="C261" s="15"/>
    </row>
    <row r="262" spans="1:3" ht="15.75" customHeight="1" x14ac:dyDescent="0.3">
      <c r="A262" s="28"/>
      <c r="C262" s="15"/>
    </row>
    <row r="263" spans="1:3" ht="15.75" customHeight="1" x14ac:dyDescent="0.3">
      <c r="A263" s="28"/>
      <c r="C263" s="15"/>
    </row>
    <row r="264" spans="1:3" ht="15.75" customHeight="1" x14ac:dyDescent="0.3">
      <c r="A264" s="28"/>
      <c r="C264" s="15"/>
    </row>
    <row r="265" spans="1:3" ht="15.75" customHeight="1" x14ac:dyDescent="0.3">
      <c r="A265" s="28"/>
      <c r="C265" s="15"/>
    </row>
    <row r="266" spans="1:3" ht="15.75" customHeight="1" x14ac:dyDescent="0.3">
      <c r="A266" s="28"/>
      <c r="C266" s="15"/>
    </row>
    <row r="267" spans="1:3" ht="15.75" customHeight="1" x14ac:dyDescent="0.3">
      <c r="A267" s="28"/>
      <c r="C267" s="15"/>
    </row>
    <row r="268" spans="1:3" ht="15.75" customHeight="1" x14ac:dyDescent="0.3">
      <c r="A268" s="28"/>
      <c r="C268" s="15"/>
    </row>
    <row r="269" spans="1:3" ht="15.75" customHeight="1" x14ac:dyDescent="0.3">
      <c r="A269" s="28"/>
      <c r="C269" s="15"/>
    </row>
    <row r="270" spans="1:3" ht="15.75" customHeight="1" x14ac:dyDescent="0.3">
      <c r="A270" s="28"/>
      <c r="C270" s="15"/>
    </row>
    <row r="271" spans="1:3" ht="15.75" customHeight="1" x14ac:dyDescent="0.3">
      <c r="A271" s="28"/>
      <c r="C271" s="15"/>
    </row>
    <row r="272" spans="1:3" ht="15.75" customHeight="1" x14ac:dyDescent="0.3">
      <c r="A272" s="28"/>
      <c r="C272" s="15"/>
    </row>
    <row r="273" spans="1:3" ht="15.75" customHeight="1" x14ac:dyDescent="0.3">
      <c r="A273" s="28"/>
      <c r="C273" s="15"/>
    </row>
    <row r="274" spans="1:3" ht="15.75" customHeight="1" x14ac:dyDescent="0.3">
      <c r="A274" s="28"/>
      <c r="C274" s="15"/>
    </row>
    <row r="275" spans="1:3" ht="15.75" customHeight="1" x14ac:dyDescent="0.3">
      <c r="A275" s="28"/>
      <c r="C275" s="15"/>
    </row>
    <row r="276" spans="1:3" ht="15.75" customHeight="1" x14ac:dyDescent="0.3">
      <c r="A276" s="28"/>
      <c r="C276" s="15"/>
    </row>
    <row r="277" spans="1:3" ht="15.75" customHeight="1" x14ac:dyDescent="0.3">
      <c r="A277" s="28"/>
      <c r="C277" s="15"/>
    </row>
    <row r="278" spans="1:3" ht="15.75" customHeight="1" x14ac:dyDescent="0.3">
      <c r="A278" s="28"/>
      <c r="C278" s="15"/>
    </row>
    <row r="279" spans="1:3" ht="15.75" customHeight="1" x14ac:dyDescent="0.3">
      <c r="A279" s="28"/>
      <c r="C279" s="15"/>
    </row>
    <row r="280" spans="1:3" ht="15.75" customHeight="1" x14ac:dyDescent="0.3">
      <c r="A280" s="28"/>
      <c r="C280" s="15"/>
    </row>
    <row r="281" spans="1:3" ht="15.75" customHeight="1" x14ac:dyDescent="0.3">
      <c r="A281" s="28"/>
      <c r="C281" s="15"/>
    </row>
    <row r="282" spans="1:3" ht="15.75" customHeight="1" x14ac:dyDescent="0.3">
      <c r="A282" s="28"/>
      <c r="C282" s="15"/>
    </row>
    <row r="283" spans="1:3" ht="15.75" customHeight="1" x14ac:dyDescent="0.3">
      <c r="A283" s="28"/>
      <c r="C283" s="15"/>
    </row>
    <row r="284" spans="1:3" ht="15.75" customHeight="1" x14ac:dyDescent="0.3">
      <c r="A284" s="28"/>
      <c r="C284" s="15"/>
    </row>
    <row r="285" spans="1:3" ht="15.75" customHeight="1" x14ac:dyDescent="0.3">
      <c r="A285" s="28"/>
      <c r="C285" s="15"/>
    </row>
    <row r="286" spans="1:3" ht="15.75" customHeight="1" x14ac:dyDescent="0.3">
      <c r="A286" s="28"/>
      <c r="C286" s="15"/>
    </row>
    <row r="287" spans="1:3" ht="15.75" customHeight="1" x14ac:dyDescent="0.3">
      <c r="A287" s="28"/>
      <c r="C287" s="15"/>
    </row>
    <row r="288" spans="1:3" ht="15.75" customHeight="1" x14ac:dyDescent="0.3">
      <c r="A288" s="28"/>
      <c r="C288" s="15"/>
    </row>
    <row r="289" spans="1:3" ht="15.75" customHeight="1" x14ac:dyDescent="0.3">
      <c r="A289" s="28"/>
      <c r="C289" s="15"/>
    </row>
    <row r="290" spans="1:3" ht="15.75" customHeight="1" x14ac:dyDescent="0.3">
      <c r="A290" s="28"/>
      <c r="C290" s="15"/>
    </row>
    <row r="291" spans="1:3" ht="15.75" customHeight="1" x14ac:dyDescent="0.3">
      <c r="A291" s="28"/>
      <c r="C291" s="15"/>
    </row>
    <row r="292" spans="1:3" ht="15.75" customHeight="1" x14ac:dyDescent="0.3">
      <c r="A292" s="28"/>
      <c r="C292" s="15"/>
    </row>
    <row r="293" spans="1:3" ht="15.75" customHeight="1" x14ac:dyDescent="0.3">
      <c r="A293" s="28"/>
      <c r="C293" s="15"/>
    </row>
    <row r="294" spans="1:3" ht="15.75" customHeight="1" x14ac:dyDescent="0.3">
      <c r="A294" s="28"/>
      <c r="C294" s="15"/>
    </row>
    <row r="295" spans="1:3" ht="15.75" customHeight="1" x14ac:dyDescent="0.3">
      <c r="A295" s="28"/>
      <c r="C295" s="15"/>
    </row>
    <row r="296" spans="1:3" ht="15.75" customHeight="1" x14ac:dyDescent="0.3">
      <c r="A296" s="28"/>
      <c r="C296" s="15"/>
    </row>
    <row r="297" spans="1:3" ht="15.75" customHeight="1" x14ac:dyDescent="0.3">
      <c r="A297" s="28"/>
      <c r="C297" s="15"/>
    </row>
    <row r="298" spans="1:3" ht="15.75" customHeight="1" x14ac:dyDescent="0.3">
      <c r="A298" s="28"/>
      <c r="C298" s="15"/>
    </row>
    <row r="299" spans="1:3" ht="15.75" customHeight="1" x14ac:dyDescent="0.3">
      <c r="A299" s="28"/>
      <c r="C299" s="15"/>
    </row>
    <row r="300" spans="1:3" ht="15.75" customHeight="1" x14ac:dyDescent="0.3">
      <c r="A300" s="28"/>
      <c r="C300" s="15"/>
    </row>
    <row r="301" spans="1:3" ht="15.75" customHeight="1" x14ac:dyDescent="0.3">
      <c r="A301" s="28"/>
      <c r="C301" s="15"/>
    </row>
    <row r="302" spans="1:3" ht="15.75" customHeight="1" x14ac:dyDescent="0.3">
      <c r="A302" s="28"/>
      <c r="C302" s="15"/>
    </row>
    <row r="303" spans="1:3" ht="15.75" customHeight="1" x14ac:dyDescent="0.3">
      <c r="A303" s="28"/>
      <c r="C303" s="15"/>
    </row>
    <row r="304" spans="1:3" ht="15.75" customHeight="1" x14ac:dyDescent="0.3">
      <c r="A304" s="28"/>
      <c r="C304" s="15"/>
    </row>
    <row r="305" spans="1:3" ht="15.75" customHeight="1" x14ac:dyDescent="0.3">
      <c r="A305" s="28"/>
      <c r="C305" s="15"/>
    </row>
    <row r="306" spans="1:3" ht="15.75" customHeight="1" x14ac:dyDescent="0.3">
      <c r="A306" s="28"/>
      <c r="C306" s="15"/>
    </row>
    <row r="307" spans="1:3" ht="15.75" customHeight="1" x14ac:dyDescent="0.3">
      <c r="A307" s="28"/>
      <c r="C307" s="15"/>
    </row>
    <row r="308" spans="1:3" ht="15.75" customHeight="1" x14ac:dyDescent="0.3">
      <c r="A308" s="28"/>
      <c r="C308" s="15"/>
    </row>
    <row r="309" spans="1:3" ht="15.75" customHeight="1" x14ac:dyDescent="0.3">
      <c r="A309" s="28"/>
      <c r="C309" s="15"/>
    </row>
    <row r="310" spans="1:3" ht="15.75" customHeight="1" x14ac:dyDescent="0.3">
      <c r="A310" s="28"/>
      <c r="C310" s="15"/>
    </row>
    <row r="311" spans="1:3" ht="15.75" customHeight="1" x14ac:dyDescent="0.3">
      <c r="A311" s="28"/>
      <c r="C311" s="15"/>
    </row>
    <row r="312" spans="1:3" ht="15.75" customHeight="1" x14ac:dyDescent="0.3">
      <c r="A312" s="28"/>
      <c r="C312" s="15"/>
    </row>
    <row r="313" spans="1:3" ht="15.75" customHeight="1" x14ac:dyDescent="0.3">
      <c r="A313" s="28"/>
      <c r="C313" s="15"/>
    </row>
    <row r="314" spans="1:3" ht="15.75" customHeight="1" x14ac:dyDescent="0.3">
      <c r="A314" s="28"/>
      <c r="C314" s="15"/>
    </row>
    <row r="315" spans="1:3" ht="15.75" customHeight="1" x14ac:dyDescent="0.3">
      <c r="A315" s="28"/>
      <c r="C315" s="15"/>
    </row>
    <row r="316" spans="1:3" ht="15.75" customHeight="1" x14ac:dyDescent="0.3">
      <c r="A316" s="28"/>
      <c r="C316" s="15"/>
    </row>
    <row r="317" spans="1:3" ht="15.75" customHeight="1" x14ac:dyDescent="0.3">
      <c r="A317" s="28"/>
      <c r="C317" s="15"/>
    </row>
    <row r="318" spans="1:3" ht="15.75" customHeight="1" x14ac:dyDescent="0.3">
      <c r="A318" s="28"/>
      <c r="C318" s="15"/>
    </row>
    <row r="319" spans="1:3" ht="15.75" customHeight="1" x14ac:dyDescent="0.3">
      <c r="A319" s="28"/>
      <c r="C319" s="15"/>
    </row>
    <row r="320" spans="1:3" ht="15.75" customHeight="1" x14ac:dyDescent="0.3">
      <c r="A320" s="28"/>
      <c r="C320" s="15"/>
    </row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C86:E87"/>
  </mergeCells>
  <pageMargins left="0.25" right="0.25" top="0.75" bottom="0.75" header="0" footer="0"/>
  <pageSetup paperSize="9" scale="6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/>
  </sheetViews>
  <sheetFormatPr baseColWidth="10" defaultColWidth="14.44140625" defaultRowHeight="15" customHeight="1" x14ac:dyDescent="0.3"/>
  <cols>
    <col min="1" max="1" width="27.33203125" customWidth="1"/>
    <col min="2" max="2" width="41" customWidth="1"/>
    <col min="3" max="4" width="11.44140625" customWidth="1"/>
    <col min="5" max="5" width="2.33203125" customWidth="1"/>
    <col min="6" max="6" width="11.44140625" customWidth="1"/>
    <col min="7" max="25" width="10.6640625" customWidth="1"/>
  </cols>
  <sheetData>
    <row r="1" spans="1:25" ht="28.5" customHeight="1" x14ac:dyDescent="0.3">
      <c r="A1" s="81" t="s">
        <v>287</v>
      </c>
      <c r="B1" s="81" t="s">
        <v>288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spans="1:25" ht="28.5" customHeight="1" x14ac:dyDescent="0.3">
      <c r="A2" s="83" t="s">
        <v>289</v>
      </c>
      <c r="B2" s="83" t="s">
        <v>290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 spans="1:25" ht="28.5" customHeight="1" x14ac:dyDescent="0.3">
      <c r="A3" s="83" t="s">
        <v>291</v>
      </c>
      <c r="B3" s="83" t="s">
        <v>292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 spans="1:25" ht="28.5" customHeight="1" x14ac:dyDescent="0.3">
      <c r="A4" s="83" t="s">
        <v>293</v>
      </c>
      <c r="B4" s="83" t="s">
        <v>294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</row>
    <row r="5" spans="1:25" ht="28.5" customHeight="1" x14ac:dyDescent="0.3">
      <c r="A5" s="83" t="s">
        <v>295</v>
      </c>
      <c r="B5" s="83" t="s">
        <v>296</v>
      </c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</row>
    <row r="6" spans="1:25" ht="28.5" customHeight="1" x14ac:dyDescent="0.3">
      <c r="A6" s="83" t="s">
        <v>297</v>
      </c>
      <c r="B6" s="83" t="s">
        <v>298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</row>
    <row r="7" spans="1:25" ht="28.5" customHeight="1" x14ac:dyDescent="0.3">
      <c r="A7" s="83" t="s">
        <v>299</v>
      </c>
      <c r="B7" s="83" t="s">
        <v>294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</row>
    <row r="8" spans="1:25" ht="28.5" customHeight="1" x14ac:dyDescent="0.3">
      <c r="A8" s="83" t="s">
        <v>300</v>
      </c>
      <c r="B8" s="83" t="s">
        <v>301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 spans="1:25" ht="28.5" customHeight="1" x14ac:dyDescent="0.3">
      <c r="A9" s="83" t="s">
        <v>302</v>
      </c>
      <c r="B9" s="83" t="s">
        <v>303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</row>
    <row r="10" spans="1:25" ht="28.5" customHeight="1" x14ac:dyDescent="0.3">
      <c r="A10" s="83" t="s">
        <v>304</v>
      </c>
      <c r="B10" s="83" t="s">
        <v>303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</row>
    <row r="11" spans="1:25" ht="28.5" customHeight="1" x14ac:dyDescent="0.3">
      <c r="A11" s="83" t="s">
        <v>305</v>
      </c>
      <c r="B11" s="83" t="s">
        <v>298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</row>
    <row r="12" spans="1:25" ht="28.5" customHeight="1" x14ac:dyDescent="0.3">
      <c r="A12" s="83" t="s">
        <v>306</v>
      </c>
      <c r="B12" s="83" t="s">
        <v>298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 spans="1:25" ht="28.5" customHeight="1" x14ac:dyDescent="0.3">
      <c r="A13" s="83" t="s">
        <v>307</v>
      </c>
      <c r="B13" s="83" t="s">
        <v>294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</row>
    <row r="14" spans="1:25" ht="28.5" customHeight="1" x14ac:dyDescent="0.3">
      <c r="A14" s="83" t="s">
        <v>308</v>
      </c>
      <c r="B14" s="83" t="s">
        <v>309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</row>
    <row r="15" spans="1:25" ht="28.5" customHeight="1" x14ac:dyDescent="0.3">
      <c r="A15" s="83" t="s">
        <v>310</v>
      </c>
      <c r="B15" s="83" t="s">
        <v>311</v>
      </c>
      <c r="C15" s="82"/>
      <c r="D15" s="82"/>
      <c r="E15" s="82" t="s">
        <v>312</v>
      </c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</row>
    <row r="16" spans="1:25" ht="28.5" customHeight="1" x14ac:dyDescent="0.3">
      <c r="A16" s="83" t="s">
        <v>313</v>
      </c>
      <c r="B16" s="83" t="s">
        <v>314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</row>
    <row r="17" spans="1:25" ht="28.5" customHeight="1" x14ac:dyDescent="0.3">
      <c r="A17" s="83" t="s">
        <v>315</v>
      </c>
      <c r="B17" s="83" t="s">
        <v>316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</row>
    <row r="18" spans="1:25" ht="28.5" customHeight="1" x14ac:dyDescent="0.3">
      <c r="A18" s="83" t="s">
        <v>207</v>
      </c>
      <c r="B18" s="83" t="s">
        <v>317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</row>
    <row r="19" spans="1:25" ht="28.5" customHeight="1" x14ac:dyDescent="0.3">
      <c r="A19" s="83" t="s">
        <v>318</v>
      </c>
      <c r="B19" s="83" t="s">
        <v>319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</row>
    <row r="20" spans="1:25" ht="28.5" customHeight="1" x14ac:dyDescent="0.3">
      <c r="A20" s="83" t="s">
        <v>320</v>
      </c>
      <c r="B20" s="83" t="s">
        <v>303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</row>
    <row r="21" spans="1:25" ht="28.5" customHeight="1" x14ac:dyDescent="0.3">
      <c r="A21" s="83" t="s">
        <v>321</v>
      </c>
      <c r="B21" s="83" t="s">
        <v>303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</row>
    <row r="22" spans="1:25" ht="28.5" customHeight="1" x14ac:dyDescent="0.3">
      <c r="A22" s="83" t="s">
        <v>322</v>
      </c>
      <c r="B22" s="83" t="s">
        <v>303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</row>
    <row r="23" spans="1:25" ht="28.5" customHeight="1" x14ac:dyDescent="0.3">
      <c r="A23" s="83" t="s">
        <v>323</v>
      </c>
      <c r="B23" s="83" t="s">
        <v>303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</row>
    <row r="24" spans="1:25" ht="28.5" customHeight="1" x14ac:dyDescent="0.3">
      <c r="A24" s="83" t="s">
        <v>118</v>
      </c>
      <c r="B24" s="83" t="s">
        <v>324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</row>
    <row r="25" spans="1:25" ht="28.5" customHeight="1" x14ac:dyDescent="0.3">
      <c r="A25" s="83" t="s">
        <v>325</v>
      </c>
      <c r="B25" s="83" t="s">
        <v>326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</row>
    <row r="26" spans="1:25" ht="28.5" customHeight="1" x14ac:dyDescent="0.3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</row>
    <row r="27" spans="1:25" ht="28.5" customHeight="1" x14ac:dyDescent="0.3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</row>
    <row r="28" spans="1:25" ht="28.5" customHeight="1" x14ac:dyDescent="0.3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</row>
    <row r="29" spans="1:25" ht="28.5" customHeight="1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</row>
    <row r="30" spans="1:25" ht="28.5" customHeight="1" x14ac:dyDescent="0.3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</row>
    <row r="31" spans="1:25" ht="28.5" customHeight="1" x14ac:dyDescent="0.3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</row>
    <row r="32" spans="1:25" ht="28.5" customHeight="1" x14ac:dyDescent="0.3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</row>
    <row r="33" spans="1:25" ht="28.5" customHeight="1" x14ac:dyDescent="0.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</row>
    <row r="34" spans="1:25" ht="28.5" customHeight="1" x14ac:dyDescent="0.3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</row>
    <row r="35" spans="1:25" ht="28.5" customHeight="1" x14ac:dyDescent="0.3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</row>
    <row r="36" spans="1:25" ht="28.5" customHeight="1" x14ac:dyDescent="0.3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</row>
    <row r="37" spans="1:25" ht="28.5" customHeight="1" x14ac:dyDescent="0.3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</row>
    <row r="38" spans="1:25" ht="28.5" customHeight="1" x14ac:dyDescent="0.3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</row>
    <row r="39" spans="1:25" ht="28.5" customHeight="1" x14ac:dyDescent="0.3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</row>
    <row r="40" spans="1:25" ht="28.5" customHeight="1" x14ac:dyDescent="0.3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</row>
    <row r="41" spans="1:25" ht="28.5" customHeight="1" x14ac:dyDescent="0.3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</row>
    <row r="42" spans="1:25" ht="28.5" customHeight="1" x14ac:dyDescent="0.3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</row>
    <row r="43" spans="1:25" ht="28.5" customHeight="1" x14ac:dyDescent="0.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</row>
    <row r="44" spans="1:25" ht="28.5" customHeight="1" x14ac:dyDescent="0.3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</row>
    <row r="45" spans="1:25" ht="28.5" customHeight="1" x14ac:dyDescent="0.3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</row>
    <row r="46" spans="1:25" ht="28.5" customHeight="1" x14ac:dyDescent="0.3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</row>
    <row r="47" spans="1:25" ht="28.5" customHeight="1" x14ac:dyDescent="0.3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</row>
    <row r="48" spans="1:25" ht="28.5" customHeight="1" x14ac:dyDescent="0.3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</row>
    <row r="49" spans="1:25" ht="28.5" customHeight="1" x14ac:dyDescent="0.3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</row>
    <row r="50" spans="1:25" ht="28.5" customHeight="1" x14ac:dyDescent="0.3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</row>
    <row r="51" spans="1:25" ht="28.5" customHeight="1" x14ac:dyDescent="0.3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</row>
    <row r="52" spans="1:25" ht="28.5" customHeight="1" x14ac:dyDescent="0.3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</row>
    <row r="53" spans="1:25" ht="28.5" customHeight="1" x14ac:dyDescent="0.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</row>
    <row r="54" spans="1:25" ht="28.5" customHeight="1" x14ac:dyDescent="0.3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</row>
    <row r="55" spans="1:25" ht="28.5" customHeight="1" x14ac:dyDescent="0.3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</row>
    <row r="56" spans="1:25" ht="28.5" customHeight="1" x14ac:dyDescent="0.3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</row>
    <row r="57" spans="1:25" ht="28.5" customHeight="1" x14ac:dyDescent="0.3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</row>
    <row r="58" spans="1:25" ht="28.5" customHeight="1" x14ac:dyDescent="0.3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</row>
    <row r="59" spans="1:25" ht="28.5" customHeight="1" x14ac:dyDescent="0.3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</row>
    <row r="60" spans="1:25" ht="28.5" customHeight="1" x14ac:dyDescent="0.3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</row>
    <row r="61" spans="1:25" ht="28.5" customHeight="1" x14ac:dyDescent="0.3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</row>
    <row r="62" spans="1:25" ht="28.5" customHeight="1" x14ac:dyDescent="0.3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</row>
    <row r="63" spans="1:25" ht="28.5" customHeight="1" x14ac:dyDescent="0.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</row>
    <row r="64" spans="1:25" ht="28.5" customHeight="1" x14ac:dyDescent="0.3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</row>
    <row r="65" spans="1:25" ht="28.5" customHeight="1" x14ac:dyDescent="0.3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</row>
    <row r="66" spans="1:25" ht="28.5" customHeight="1" x14ac:dyDescent="0.3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</row>
    <row r="67" spans="1:25" ht="28.5" customHeight="1" x14ac:dyDescent="0.3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</row>
    <row r="68" spans="1:25" ht="28.5" customHeight="1" x14ac:dyDescent="0.3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</row>
    <row r="69" spans="1:25" ht="28.5" customHeight="1" x14ac:dyDescent="0.3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</row>
    <row r="70" spans="1:25" ht="28.5" customHeight="1" x14ac:dyDescent="0.3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</row>
    <row r="71" spans="1:25" ht="28.5" customHeight="1" x14ac:dyDescent="0.3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</row>
    <row r="72" spans="1:25" ht="28.5" customHeight="1" x14ac:dyDescent="0.3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</row>
    <row r="73" spans="1:25" ht="28.5" customHeight="1" x14ac:dyDescent="0.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</row>
    <row r="74" spans="1:25" ht="28.5" customHeight="1" x14ac:dyDescent="0.3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</row>
    <row r="75" spans="1:25" ht="28.5" customHeight="1" x14ac:dyDescent="0.3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</row>
    <row r="76" spans="1:25" ht="28.5" customHeight="1" x14ac:dyDescent="0.3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</row>
    <row r="77" spans="1:25" ht="28.5" customHeight="1" x14ac:dyDescent="0.3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</row>
    <row r="78" spans="1:25" ht="28.5" customHeight="1" x14ac:dyDescent="0.3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</row>
    <row r="79" spans="1:25" ht="28.5" customHeight="1" x14ac:dyDescent="0.3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</row>
    <row r="80" spans="1:25" ht="28.5" customHeight="1" x14ac:dyDescent="0.3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</row>
    <row r="81" spans="1:25" ht="28.5" customHeight="1" x14ac:dyDescent="0.3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</row>
    <row r="82" spans="1:25" ht="28.5" customHeight="1" x14ac:dyDescent="0.3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</row>
    <row r="83" spans="1:25" ht="28.5" customHeight="1" x14ac:dyDescent="0.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</row>
    <row r="84" spans="1:25" ht="28.5" customHeight="1" x14ac:dyDescent="0.3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</row>
    <row r="85" spans="1:25" ht="28.5" customHeight="1" x14ac:dyDescent="0.3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</row>
    <row r="86" spans="1:25" ht="28.5" customHeight="1" x14ac:dyDescent="0.3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</row>
    <row r="87" spans="1:25" ht="28.5" customHeight="1" x14ac:dyDescent="0.3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</row>
    <row r="88" spans="1:25" ht="28.5" customHeight="1" x14ac:dyDescent="0.3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</row>
    <row r="89" spans="1:25" ht="28.5" customHeight="1" x14ac:dyDescent="0.3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</row>
    <row r="90" spans="1:25" ht="28.5" customHeight="1" x14ac:dyDescent="0.3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</row>
    <row r="91" spans="1:25" ht="28.5" customHeight="1" x14ac:dyDescent="0.3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</row>
    <row r="92" spans="1:25" ht="28.5" customHeight="1" x14ac:dyDescent="0.3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</row>
    <row r="93" spans="1:25" ht="28.5" customHeight="1" x14ac:dyDescent="0.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</row>
    <row r="94" spans="1:25" ht="28.5" customHeight="1" x14ac:dyDescent="0.3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</row>
    <row r="95" spans="1:25" ht="28.5" customHeight="1" x14ac:dyDescent="0.3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</row>
    <row r="96" spans="1:25" ht="28.5" customHeight="1" x14ac:dyDescent="0.3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</row>
    <row r="97" spans="1:25" ht="28.5" customHeight="1" x14ac:dyDescent="0.3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</row>
    <row r="98" spans="1:25" ht="28.5" customHeight="1" x14ac:dyDescent="0.3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</row>
    <row r="99" spans="1:25" ht="28.5" customHeight="1" x14ac:dyDescent="0.3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</row>
    <row r="100" spans="1:25" ht="28.5" customHeight="1" x14ac:dyDescent="0.3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</row>
    <row r="101" spans="1:25" ht="28.5" customHeight="1" x14ac:dyDescent="0.3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</row>
    <row r="102" spans="1:25" ht="28.5" customHeight="1" x14ac:dyDescent="0.3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</row>
    <row r="103" spans="1:25" ht="28.5" customHeight="1" x14ac:dyDescent="0.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</row>
    <row r="104" spans="1:25" ht="28.5" customHeight="1" x14ac:dyDescent="0.3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</row>
    <row r="105" spans="1:25" ht="28.5" customHeight="1" x14ac:dyDescent="0.3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</row>
    <row r="106" spans="1:25" ht="28.5" customHeight="1" x14ac:dyDescent="0.3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</row>
    <row r="107" spans="1:25" ht="28.5" customHeight="1" x14ac:dyDescent="0.3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</row>
    <row r="108" spans="1:25" ht="28.5" customHeight="1" x14ac:dyDescent="0.3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</row>
    <row r="109" spans="1:25" ht="28.5" customHeight="1" x14ac:dyDescent="0.3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</row>
    <row r="110" spans="1:25" ht="28.5" customHeight="1" x14ac:dyDescent="0.3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</row>
    <row r="111" spans="1:25" ht="28.5" customHeight="1" x14ac:dyDescent="0.3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</row>
    <row r="112" spans="1:25" ht="28.5" customHeight="1" x14ac:dyDescent="0.3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</row>
    <row r="113" spans="1:25" ht="28.5" customHeight="1" x14ac:dyDescent="0.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</row>
    <row r="114" spans="1:25" ht="28.5" customHeight="1" x14ac:dyDescent="0.3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</row>
    <row r="115" spans="1:25" ht="28.5" customHeight="1" x14ac:dyDescent="0.3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</row>
    <row r="116" spans="1:25" ht="28.5" customHeight="1" x14ac:dyDescent="0.3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</row>
    <row r="117" spans="1:25" ht="28.5" customHeight="1" x14ac:dyDescent="0.3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</row>
    <row r="118" spans="1:25" ht="28.5" customHeight="1" x14ac:dyDescent="0.3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</row>
    <row r="119" spans="1:25" ht="28.5" customHeight="1" x14ac:dyDescent="0.3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</row>
    <row r="120" spans="1:25" ht="28.5" customHeight="1" x14ac:dyDescent="0.3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</row>
    <row r="121" spans="1:25" ht="28.5" customHeight="1" x14ac:dyDescent="0.3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</row>
    <row r="122" spans="1:25" ht="28.5" customHeight="1" x14ac:dyDescent="0.3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</row>
    <row r="123" spans="1:25" ht="28.5" customHeight="1" x14ac:dyDescent="0.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</row>
    <row r="124" spans="1:25" ht="28.5" customHeight="1" x14ac:dyDescent="0.3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</row>
    <row r="125" spans="1:25" ht="28.5" customHeight="1" x14ac:dyDescent="0.3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</row>
    <row r="126" spans="1:25" ht="28.5" customHeight="1" x14ac:dyDescent="0.3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</row>
    <row r="127" spans="1:25" ht="28.5" customHeight="1" x14ac:dyDescent="0.3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</row>
    <row r="128" spans="1:25" ht="28.5" customHeight="1" x14ac:dyDescent="0.3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</row>
    <row r="129" spans="1:25" ht="28.5" customHeight="1" x14ac:dyDescent="0.3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</row>
    <row r="130" spans="1:25" ht="28.5" customHeight="1" x14ac:dyDescent="0.3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</row>
    <row r="131" spans="1:25" ht="28.5" customHeight="1" x14ac:dyDescent="0.3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</row>
    <row r="132" spans="1:25" ht="28.5" customHeight="1" x14ac:dyDescent="0.3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</row>
    <row r="133" spans="1:25" ht="28.5" customHeight="1" x14ac:dyDescent="0.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</row>
    <row r="134" spans="1:25" ht="28.5" customHeight="1" x14ac:dyDescent="0.3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</row>
    <row r="135" spans="1:25" ht="28.5" customHeight="1" x14ac:dyDescent="0.3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</row>
    <row r="136" spans="1:25" ht="28.5" customHeight="1" x14ac:dyDescent="0.3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</row>
    <row r="137" spans="1:25" ht="28.5" customHeight="1" x14ac:dyDescent="0.3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</row>
    <row r="138" spans="1:25" ht="28.5" customHeight="1" x14ac:dyDescent="0.3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</row>
    <row r="139" spans="1:25" ht="28.5" customHeight="1" x14ac:dyDescent="0.3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</row>
    <row r="140" spans="1:25" ht="28.5" customHeight="1" x14ac:dyDescent="0.3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</row>
    <row r="141" spans="1:25" ht="28.5" customHeight="1" x14ac:dyDescent="0.3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</row>
    <row r="142" spans="1:25" ht="28.5" customHeight="1" x14ac:dyDescent="0.3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</row>
    <row r="143" spans="1:25" ht="28.5" customHeight="1" x14ac:dyDescent="0.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</row>
    <row r="144" spans="1:25" ht="28.5" customHeight="1" x14ac:dyDescent="0.3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</row>
    <row r="145" spans="1:25" ht="28.5" customHeight="1" x14ac:dyDescent="0.3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</row>
    <row r="146" spans="1:25" ht="28.5" customHeight="1" x14ac:dyDescent="0.3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</row>
    <row r="147" spans="1:25" ht="28.5" customHeight="1" x14ac:dyDescent="0.3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</row>
    <row r="148" spans="1:25" ht="28.5" customHeight="1" x14ac:dyDescent="0.3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</row>
    <row r="149" spans="1:25" ht="28.5" customHeight="1" x14ac:dyDescent="0.3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</row>
    <row r="150" spans="1:25" ht="28.5" customHeight="1" x14ac:dyDescent="0.3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</row>
    <row r="151" spans="1:25" ht="28.5" customHeight="1" x14ac:dyDescent="0.3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</row>
    <row r="152" spans="1:25" ht="28.5" customHeight="1" x14ac:dyDescent="0.3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</row>
    <row r="153" spans="1:25" ht="28.5" customHeight="1" x14ac:dyDescent="0.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</row>
    <row r="154" spans="1:25" ht="28.5" customHeight="1" x14ac:dyDescent="0.3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</row>
    <row r="155" spans="1:25" ht="28.5" customHeight="1" x14ac:dyDescent="0.3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</row>
    <row r="156" spans="1:25" ht="28.5" customHeight="1" x14ac:dyDescent="0.3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</row>
    <row r="157" spans="1:25" ht="28.5" customHeight="1" x14ac:dyDescent="0.3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</row>
    <row r="158" spans="1:25" ht="28.5" customHeight="1" x14ac:dyDescent="0.3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</row>
    <row r="159" spans="1:25" ht="28.5" customHeight="1" x14ac:dyDescent="0.3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</row>
    <row r="160" spans="1:25" ht="28.5" customHeight="1" x14ac:dyDescent="0.3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</row>
    <row r="161" spans="1:25" ht="28.5" customHeight="1" x14ac:dyDescent="0.3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</row>
    <row r="162" spans="1:25" ht="28.5" customHeight="1" x14ac:dyDescent="0.3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</row>
    <row r="163" spans="1:25" ht="28.5" customHeight="1" x14ac:dyDescent="0.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</row>
    <row r="164" spans="1:25" ht="28.5" customHeight="1" x14ac:dyDescent="0.3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</row>
    <row r="165" spans="1:25" ht="28.5" customHeight="1" x14ac:dyDescent="0.3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</row>
    <row r="166" spans="1:25" ht="28.5" customHeight="1" x14ac:dyDescent="0.3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</row>
    <row r="167" spans="1:25" ht="28.5" customHeight="1" x14ac:dyDescent="0.3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</row>
    <row r="168" spans="1:25" ht="28.5" customHeight="1" x14ac:dyDescent="0.3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</row>
    <row r="169" spans="1:25" ht="28.5" customHeight="1" x14ac:dyDescent="0.3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</row>
    <row r="170" spans="1:25" ht="28.5" customHeight="1" x14ac:dyDescent="0.3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</row>
    <row r="171" spans="1:25" ht="28.5" customHeight="1" x14ac:dyDescent="0.3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</row>
    <row r="172" spans="1:25" ht="28.5" customHeight="1" x14ac:dyDescent="0.3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</row>
    <row r="173" spans="1:25" ht="28.5" customHeight="1" x14ac:dyDescent="0.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</row>
    <row r="174" spans="1:25" ht="28.5" customHeight="1" x14ac:dyDescent="0.3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</row>
    <row r="175" spans="1:25" ht="28.5" customHeight="1" x14ac:dyDescent="0.3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</row>
    <row r="176" spans="1:25" ht="28.5" customHeight="1" x14ac:dyDescent="0.3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</row>
    <row r="177" spans="1:25" ht="28.5" customHeight="1" x14ac:dyDescent="0.3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</row>
    <row r="178" spans="1:25" ht="28.5" customHeight="1" x14ac:dyDescent="0.3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</row>
    <row r="179" spans="1:25" ht="28.5" customHeight="1" x14ac:dyDescent="0.3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</row>
    <row r="180" spans="1:25" ht="28.5" customHeight="1" x14ac:dyDescent="0.3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</row>
    <row r="181" spans="1:25" ht="28.5" customHeight="1" x14ac:dyDescent="0.3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</row>
    <row r="182" spans="1:25" ht="28.5" customHeight="1" x14ac:dyDescent="0.3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</row>
    <row r="183" spans="1:25" ht="28.5" customHeight="1" x14ac:dyDescent="0.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</row>
    <row r="184" spans="1:25" ht="28.5" customHeight="1" x14ac:dyDescent="0.3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</row>
    <row r="185" spans="1:25" ht="28.5" customHeight="1" x14ac:dyDescent="0.3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</row>
    <row r="186" spans="1:25" ht="28.5" customHeight="1" x14ac:dyDescent="0.3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</row>
    <row r="187" spans="1:25" ht="28.5" customHeight="1" x14ac:dyDescent="0.3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</row>
    <row r="188" spans="1:25" ht="28.5" customHeight="1" x14ac:dyDescent="0.3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</row>
    <row r="189" spans="1:25" ht="28.5" customHeight="1" x14ac:dyDescent="0.3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</row>
    <row r="190" spans="1:25" ht="28.5" customHeight="1" x14ac:dyDescent="0.3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</row>
    <row r="191" spans="1:25" ht="28.5" customHeight="1" x14ac:dyDescent="0.3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</row>
    <row r="192" spans="1:25" ht="28.5" customHeight="1" x14ac:dyDescent="0.3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</row>
    <row r="193" spans="1:25" ht="28.5" customHeight="1" x14ac:dyDescent="0.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</row>
    <row r="194" spans="1:25" ht="28.5" customHeight="1" x14ac:dyDescent="0.3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</row>
    <row r="195" spans="1:25" ht="28.5" customHeight="1" x14ac:dyDescent="0.3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</row>
    <row r="196" spans="1:25" ht="28.5" customHeight="1" x14ac:dyDescent="0.3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</row>
    <row r="197" spans="1:25" ht="28.5" customHeight="1" x14ac:dyDescent="0.3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</row>
    <row r="198" spans="1:25" ht="28.5" customHeight="1" x14ac:dyDescent="0.3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</row>
    <row r="199" spans="1:25" ht="28.5" customHeight="1" x14ac:dyDescent="0.3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</row>
    <row r="200" spans="1:25" ht="28.5" customHeight="1" x14ac:dyDescent="0.3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</row>
    <row r="201" spans="1:25" ht="28.5" customHeight="1" x14ac:dyDescent="0.3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</row>
    <row r="202" spans="1:25" ht="28.5" customHeight="1" x14ac:dyDescent="0.3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</row>
    <row r="203" spans="1:25" ht="28.5" customHeight="1" x14ac:dyDescent="0.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</row>
    <row r="204" spans="1:25" ht="28.5" customHeight="1" x14ac:dyDescent="0.3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</row>
    <row r="205" spans="1:25" ht="28.5" customHeight="1" x14ac:dyDescent="0.3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</row>
    <row r="206" spans="1:25" ht="28.5" customHeight="1" x14ac:dyDescent="0.3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</row>
    <row r="207" spans="1:25" ht="28.5" customHeight="1" x14ac:dyDescent="0.3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</row>
    <row r="208" spans="1:25" ht="28.5" customHeight="1" x14ac:dyDescent="0.3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</row>
    <row r="209" spans="1:25" ht="28.5" customHeight="1" x14ac:dyDescent="0.3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</row>
    <row r="210" spans="1:25" ht="28.5" customHeight="1" x14ac:dyDescent="0.3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</row>
    <row r="211" spans="1:25" ht="28.5" customHeight="1" x14ac:dyDescent="0.3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</row>
    <row r="212" spans="1:25" ht="28.5" customHeight="1" x14ac:dyDescent="0.3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</row>
    <row r="213" spans="1:25" ht="28.5" customHeight="1" x14ac:dyDescent="0.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</row>
    <row r="214" spans="1:25" ht="28.5" customHeight="1" x14ac:dyDescent="0.3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</row>
    <row r="215" spans="1:25" ht="28.5" customHeight="1" x14ac:dyDescent="0.3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</row>
    <row r="216" spans="1:25" ht="28.5" customHeight="1" x14ac:dyDescent="0.3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</row>
    <row r="217" spans="1:25" ht="28.5" customHeight="1" x14ac:dyDescent="0.3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</row>
    <row r="218" spans="1:25" ht="28.5" customHeight="1" x14ac:dyDescent="0.3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</row>
    <row r="219" spans="1:25" ht="28.5" customHeight="1" x14ac:dyDescent="0.3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</row>
    <row r="220" spans="1:25" ht="28.5" customHeight="1" x14ac:dyDescent="0.3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</row>
    <row r="221" spans="1:25" ht="28.5" customHeight="1" x14ac:dyDescent="0.3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</row>
    <row r="222" spans="1:25" ht="28.5" customHeight="1" x14ac:dyDescent="0.3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</row>
    <row r="223" spans="1:25" ht="28.5" customHeight="1" x14ac:dyDescent="0.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</row>
    <row r="224" spans="1:25" ht="28.5" customHeight="1" x14ac:dyDescent="0.3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</row>
    <row r="225" spans="1:25" ht="28.5" customHeight="1" x14ac:dyDescent="0.3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</row>
    <row r="226" spans="1:25" ht="15.75" customHeight="1" x14ac:dyDescent="0.3"/>
    <row r="227" spans="1:25" ht="15.75" customHeight="1" x14ac:dyDescent="0.3"/>
    <row r="228" spans="1:25" ht="15.75" customHeight="1" x14ac:dyDescent="0.3"/>
    <row r="229" spans="1:25" ht="15.75" customHeight="1" x14ac:dyDescent="0.3"/>
    <row r="230" spans="1:25" ht="15.75" customHeight="1" x14ac:dyDescent="0.3"/>
    <row r="231" spans="1:25" ht="15.75" customHeight="1" x14ac:dyDescent="0.3"/>
    <row r="232" spans="1:25" ht="15.75" customHeight="1" x14ac:dyDescent="0.3"/>
    <row r="233" spans="1:25" ht="15.75" customHeight="1" x14ac:dyDescent="0.3"/>
    <row r="234" spans="1:25" ht="15.75" customHeight="1" x14ac:dyDescent="0.3"/>
    <row r="235" spans="1:25" ht="15.75" customHeight="1" x14ac:dyDescent="0.3"/>
    <row r="236" spans="1:25" ht="15.75" customHeight="1" x14ac:dyDescent="0.3"/>
    <row r="237" spans="1:25" ht="15.75" customHeight="1" x14ac:dyDescent="0.3"/>
    <row r="238" spans="1:25" ht="15.75" customHeight="1" x14ac:dyDescent="0.3"/>
    <row r="239" spans="1:25" ht="15.75" customHeight="1" x14ac:dyDescent="0.3"/>
    <row r="240" spans="1:25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B1" xr:uid="{00000000-0009-0000-0000-000004000000}"/>
  <pageMargins left="0.31496062992125984" right="0.31496062992125984" top="0.74803149606299213" bottom="0.3543307086614173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4.44140625" defaultRowHeight="15" customHeight="1" x14ac:dyDescent="0.3"/>
  <cols>
    <col min="1" max="1" width="31.44140625" customWidth="1"/>
    <col min="2" max="2" width="27.5546875" customWidth="1"/>
    <col min="3" max="3" width="24.44140625" customWidth="1"/>
    <col min="4" max="4" width="17.6640625" customWidth="1"/>
    <col min="5" max="6" width="10.6640625" customWidth="1"/>
  </cols>
  <sheetData>
    <row r="1" spans="1:6" ht="14.4" x14ac:dyDescent="0.3">
      <c r="A1" s="177" t="s">
        <v>327</v>
      </c>
      <c r="B1" s="178"/>
      <c r="C1" s="178"/>
      <c r="D1" s="178"/>
      <c r="E1" s="15"/>
      <c r="F1" s="15"/>
    </row>
    <row r="2" spans="1:6" ht="21.75" customHeight="1" x14ac:dyDescent="0.3">
      <c r="A2" s="84">
        <v>1</v>
      </c>
      <c r="B2" s="47" t="s">
        <v>328</v>
      </c>
      <c r="C2" s="48">
        <v>64817.58</v>
      </c>
      <c r="D2" s="49">
        <v>44276</v>
      </c>
      <c r="E2" s="15"/>
      <c r="F2" s="15"/>
    </row>
    <row r="3" spans="1:6" ht="14.4" x14ac:dyDescent="0.3">
      <c r="A3" s="84">
        <v>211</v>
      </c>
      <c r="B3" s="47" t="s">
        <v>329</v>
      </c>
      <c r="C3" s="48">
        <v>35904.33</v>
      </c>
      <c r="D3" s="49">
        <v>44280</v>
      </c>
      <c r="E3" s="15"/>
      <c r="F3" s="15"/>
    </row>
    <row r="4" spans="1:6" ht="14.4" x14ac:dyDescent="0.3">
      <c r="A4" s="84">
        <v>132</v>
      </c>
      <c r="B4" s="47" t="s">
        <v>208</v>
      </c>
      <c r="C4" s="48">
        <v>43104.56</v>
      </c>
      <c r="D4" s="49">
        <v>44281</v>
      </c>
      <c r="E4" s="15"/>
      <c r="F4" s="15"/>
    </row>
    <row r="5" spans="1:6" ht="14.4" x14ac:dyDescent="0.3">
      <c r="A5" s="84">
        <v>192</v>
      </c>
      <c r="B5" s="47" t="s">
        <v>208</v>
      </c>
      <c r="C5" s="48">
        <v>56169.73</v>
      </c>
      <c r="D5" s="49">
        <v>44281</v>
      </c>
      <c r="E5" s="15"/>
      <c r="F5" s="15"/>
    </row>
    <row r="6" spans="1:6" ht="14.4" x14ac:dyDescent="0.3">
      <c r="A6" s="84">
        <v>202</v>
      </c>
      <c r="B6" s="47" t="s">
        <v>207</v>
      </c>
      <c r="C6" s="48">
        <v>54599.83</v>
      </c>
      <c r="D6" s="49">
        <v>44281</v>
      </c>
      <c r="E6" s="15"/>
      <c r="F6" s="15"/>
    </row>
    <row r="7" spans="1:6" ht="14.4" x14ac:dyDescent="0.3">
      <c r="A7" s="84">
        <v>203</v>
      </c>
      <c r="B7" s="47" t="s">
        <v>207</v>
      </c>
      <c r="C7" s="48">
        <v>18199.939999999999</v>
      </c>
      <c r="D7" s="49">
        <v>44281</v>
      </c>
      <c r="E7" s="15"/>
      <c r="F7" s="15"/>
    </row>
    <row r="8" spans="1:6" ht="14.4" x14ac:dyDescent="0.3">
      <c r="A8" s="85"/>
      <c r="B8" s="86"/>
      <c r="C8" s="87">
        <f>SUM(C2:C7)</f>
        <v>272795.97000000003</v>
      </c>
      <c r="D8" s="15"/>
      <c r="E8" s="15"/>
      <c r="F8" s="15"/>
    </row>
    <row r="9" spans="1:6" ht="14.4" x14ac:dyDescent="0.3">
      <c r="A9" s="15"/>
      <c r="B9" s="88" t="s">
        <v>330</v>
      </c>
      <c r="C9" s="15"/>
      <c r="D9" s="15"/>
      <c r="E9" s="15"/>
      <c r="F9" s="15"/>
    </row>
    <row r="10" spans="1:6" ht="14.4" x14ac:dyDescent="0.3">
      <c r="A10" s="15"/>
      <c r="B10" s="47" t="s">
        <v>331</v>
      </c>
      <c r="C10" s="48">
        <v>42350</v>
      </c>
      <c r="D10" s="15"/>
      <c r="E10" s="15"/>
      <c r="F10" s="15"/>
    </row>
    <row r="11" spans="1:6" ht="14.4" x14ac:dyDescent="0.3">
      <c r="A11" s="15"/>
      <c r="B11" s="47" t="s">
        <v>332</v>
      </c>
      <c r="C11" s="48">
        <v>42350</v>
      </c>
      <c r="D11" s="15"/>
      <c r="E11" s="15"/>
      <c r="F11" s="15"/>
    </row>
    <row r="12" spans="1:6" ht="14.4" x14ac:dyDescent="0.3">
      <c r="A12" s="15"/>
      <c r="B12" s="47" t="s">
        <v>333</v>
      </c>
      <c r="C12" s="48">
        <v>5120</v>
      </c>
      <c r="D12" s="15"/>
      <c r="E12" s="15"/>
      <c r="F12" s="15"/>
    </row>
    <row r="13" spans="1:6" ht="14.4" x14ac:dyDescent="0.3">
      <c r="A13" s="15"/>
      <c r="B13" s="47" t="s">
        <v>334</v>
      </c>
      <c r="C13" s="48">
        <v>6240</v>
      </c>
      <c r="D13" s="15"/>
      <c r="E13" s="15"/>
      <c r="F13" s="15"/>
    </row>
    <row r="14" spans="1:6" ht="14.4" x14ac:dyDescent="0.3">
      <c r="A14" s="15"/>
      <c r="B14" s="47" t="s">
        <v>335</v>
      </c>
      <c r="C14" s="48">
        <v>6050</v>
      </c>
      <c r="D14" s="15"/>
      <c r="E14" s="15"/>
      <c r="F14" s="15"/>
    </row>
    <row r="15" spans="1:6" ht="14.4" x14ac:dyDescent="0.3">
      <c r="A15" s="15"/>
      <c r="B15" s="89"/>
      <c r="C15" s="90">
        <f>SUM(C10:C14)</f>
        <v>102110</v>
      </c>
      <c r="D15" s="15"/>
      <c r="E15" s="15"/>
      <c r="F15" s="15"/>
    </row>
    <row r="16" spans="1:6" ht="14.4" x14ac:dyDescent="0.3">
      <c r="A16" s="15"/>
      <c r="B16" s="89"/>
      <c r="C16" s="15"/>
      <c r="D16" s="15"/>
      <c r="E16" s="15"/>
      <c r="F16" s="15"/>
    </row>
    <row r="17" spans="1:6" ht="14.4" x14ac:dyDescent="0.3">
      <c r="A17" s="15"/>
      <c r="B17" s="89" t="s">
        <v>206</v>
      </c>
      <c r="C17" s="53">
        <f>C15+C8</f>
        <v>374905.97000000003</v>
      </c>
      <c r="D17" s="53">
        <f>C17-100000</f>
        <v>274905.97000000003</v>
      </c>
      <c r="E17" s="15"/>
      <c r="F17" s="15"/>
    </row>
    <row r="18" spans="1:6" ht="14.4" x14ac:dyDescent="0.3">
      <c r="A18" s="15"/>
      <c r="B18" s="89"/>
      <c r="C18" s="53"/>
      <c r="D18" s="15"/>
      <c r="E18" s="15"/>
      <c r="F18" s="15"/>
    </row>
    <row r="19" spans="1:6" ht="14.4" x14ac:dyDescent="0.3">
      <c r="A19" s="15"/>
      <c r="B19" s="89"/>
      <c r="C19" s="53"/>
      <c r="D19" s="15"/>
      <c r="E19" s="15"/>
      <c r="F19" s="15"/>
    </row>
    <row r="20" spans="1:6" ht="14.4" x14ac:dyDescent="0.3">
      <c r="A20" s="15"/>
      <c r="B20" s="89"/>
      <c r="C20" s="15"/>
      <c r="D20" s="15"/>
      <c r="E20" s="15"/>
      <c r="F20" s="15"/>
    </row>
    <row r="21" spans="1:6" ht="15.75" customHeight="1" x14ac:dyDescent="0.3">
      <c r="A21" s="15"/>
      <c r="B21" s="91" t="s">
        <v>336</v>
      </c>
      <c r="C21" s="65">
        <v>7927.4489599999997</v>
      </c>
      <c r="D21" s="15"/>
      <c r="E21" s="15"/>
      <c r="F21" s="15"/>
    </row>
    <row r="22" spans="1:6" ht="15.75" customHeight="1" x14ac:dyDescent="0.3">
      <c r="A22" s="15"/>
      <c r="B22" s="91" t="s">
        <v>337</v>
      </c>
      <c r="C22" s="65">
        <v>9890.4094000000005</v>
      </c>
      <c r="D22" s="15"/>
      <c r="E22" s="15"/>
      <c r="F22" s="15"/>
    </row>
    <row r="23" spans="1:6" ht="15.75" customHeight="1" x14ac:dyDescent="0.3">
      <c r="A23" s="15"/>
      <c r="B23" s="92" t="s">
        <v>206</v>
      </c>
      <c r="C23" s="90">
        <f>SUM(C21:C22)</f>
        <v>17817.858359999998</v>
      </c>
      <c r="D23" s="15"/>
      <c r="E23" s="15"/>
      <c r="F23" s="15"/>
    </row>
    <row r="24" spans="1:6" ht="15.75" customHeight="1" x14ac:dyDescent="0.3">
      <c r="A24" s="15"/>
      <c r="B24" s="89" t="s">
        <v>86</v>
      </c>
      <c r="C24" s="15"/>
      <c r="D24" s="15"/>
      <c r="E24" s="15"/>
      <c r="F24" s="15"/>
    </row>
    <row r="25" spans="1:6" ht="15.75" customHeight="1" x14ac:dyDescent="0.3">
      <c r="A25" s="15"/>
      <c r="B25" s="15" t="s">
        <v>338</v>
      </c>
      <c r="C25" s="65">
        <f>600+2000+2000+10000+1700+15000+10000+10000+3100</f>
        <v>54400</v>
      </c>
      <c r="D25" s="15"/>
      <c r="E25" s="15"/>
      <c r="F25" s="15"/>
    </row>
    <row r="26" spans="1:6" ht="15.75" customHeight="1" x14ac:dyDescent="0.3">
      <c r="A26" s="15"/>
      <c r="B26" s="15" t="s">
        <v>339</v>
      </c>
      <c r="C26" s="65">
        <f>2600+5000+200+10000+1100</f>
        <v>18900</v>
      </c>
      <c r="D26" s="15"/>
      <c r="E26" s="15"/>
      <c r="F26" s="15"/>
    </row>
    <row r="27" spans="1:6" ht="15.75" customHeight="1" x14ac:dyDescent="0.3">
      <c r="A27" s="15"/>
      <c r="B27" s="15" t="s">
        <v>340</v>
      </c>
      <c r="C27" s="65">
        <f>900+900+500+1200+1900+3000+1400+3000+3000+3000+1800+3000+3000+3000+3000</f>
        <v>32600</v>
      </c>
      <c r="D27" s="15"/>
      <c r="E27" s="15"/>
      <c r="F27" s="15"/>
    </row>
    <row r="28" spans="1:6" ht="15.75" customHeight="1" x14ac:dyDescent="0.3">
      <c r="A28" s="15"/>
      <c r="B28" s="92" t="s">
        <v>206</v>
      </c>
      <c r="C28" s="90">
        <f>SUM(C25:C27)</f>
        <v>105900</v>
      </c>
      <c r="D28" s="15"/>
      <c r="E28" s="15"/>
      <c r="F28" s="15"/>
    </row>
    <row r="29" spans="1:6" ht="15.75" customHeight="1" x14ac:dyDescent="0.3">
      <c r="A29" s="15"/>
      <c r="B29" s="15"/>
      <c r="C29" s="15"/>
      <c r="D29" s="15"/>
      <c r="E29" s="15"/>
      <c r="F29" s="15"/>
    </row>
    <row r="30" spans="1:6" ht="15.75" customHeight="1" x14ac:dyDescent="0.3">
      <c r="A30" s="15"/>
      <c r="B30" s="15"/>
      <c r="C30" s="15"/>
      <c r="D30" s="15"/>
      <c r="E30" s="15"/>
      <c r="F30" s="15"/>
    </row>
    <row r="31" spans="1:6" ht="15.75" customHeight="1" x14ac:dyDescent="0.3">
      <c r="A31" s="20" t="s">
        <v>341</v>
      </c>
      <c r="B31" s="84">
        <v>9</v>
      </c>
      <c r="C31" s="50" t="s">
        <v>8</v>
      </c>
      <c r="D31" s="48">
        <v>32789.03</v>
      </c>
      <c r="E31" s="52">
        <v>44294</v>
      </c>
      <c r="F31" s="15"/>
    </row>
    <row r="32" spans="1:6" ht="15.75" customHeight="1" x14ac:dyDescent="0.3">
      <c r="A32" s="20"/>
      <c r="B32" s="84">
        <v>198</v>
      </c>
      <c r="C32" s="50" t="s">
        <v>342</v>
      </c>
      <c r="D32" s="48">
        <v>61053</v>
      </c>
      <c r="E32" s="52">
        <v>44295</v>
      </c>
      <c r="F32" s="15"/>
    </row>
    <row r="33" spans="1:6" ht="15.75" customHeight="1" x14ac:dyDescent="0.3">
      <c r="A33" s="20" t="s">
        <v>341</v>
      </c>
      <c r="B33" s="84">
        <v>1</v>
      </c>
      <c r="C33" s="50" t="s">
        <v>343</v>
      </c>
      <c r="D33" s="65">
        <v>23583</v>
      </c>
      <c r="E33" s="52">
        <v>44297</v>
      </c>
      <c r="F33" s="15"/>
    </row>
    <row r="34" spans="1:6" ht="15.75" customHeight="1" x14ac:dyDescent="0.3">
      <c r="A34" s="20"/>
      <c r="B34" s="84">
        <v>218</v>
      </c>
      <c r="C34" s="50" t="s">
        <v>318</v>
      </c>
      <c r="D34" s="48">
        <v>35342.080000000002</v>
      </c>
      <c r="E34" s="52">
        <v>44301</v>
      </c>
      <c r="F34" s="15"/>
    </row>
    <row r="35" spans="1:6" ht="15.75" customHeight="1" x14ac:dyDescent="0.3">
      <c r="A35" s="20"/>
      <c r="B35" s="84">
        <v>204</v>
      </c>
      <c r="C35" s="50" t="s">
        <v>207</v>
      </c>
      <c r="D35" s="48">
        <v>18199.939999999999</v>
      </c>
      <c r="E35" s="52">
        <v>44302</v>
      </c>
      <c r="F35" s="15"/>
    </row>
    <row r="36" spans="1:6" ht="15.75" customHeight="1" x14ac:dyDescent="0.3">
      <c r="A36" s="20"/>
      <c r="B36" s="84">
        <v>213</v>
      </c>
      <c r="C36" s="50" t="s">
        <v>344</v>
      </c>
      <c r="D36" s="48">
        <v>55962.5</v>
      </c>
      <c r="E36" s="52">
        <v>44302</v>
      </c>
      <c r="F36" s="15"/>
    </row>
    <row r="37" spans="1:6" ht="15.75" customHeight="1" x14ac:dyDescent="0.3">
      <c r="A37" s="20"/>
      <c r="B37" s="84">
        <v>9222</v>
      </c>
      <c r="C37" s="50" t="s">
        <v>345</v>
      </c>
      <c r="D37" s="48">
        <v>34070.06</v>
      </c>
      <c r="E37" s="52">
        <v>44302</v>
      </c>
      <c r="F37" s="15"/>
    </row>
    <row r="38" spans="1:6" ht="15.75" customHeight="1" x14ac:dyDescent="0.3">
      <c r="A38" s="15"/>
      <c r="B38" s="15"/>
      <c r="C38" s="15"/>
      <c r="D38" s="53">
        <f>SUM(D33:D37)</f>
        <v>167157.58000000002</v>
      </c>
      <c r="E38" s="15"/>
      <c r="F38" s="15"/>
    </row>
    <row r="39" spans="1:6" ht="15.75" customHeight="1" x14ac:dyDescent="0.3">
      <c r="A39" s="15"/>
      <c r="B39" s="15"/>
      <c r="C39" s="15"/>
      <c r="D39" s="15"/>
      <c r="E39" s="15"/>
      <c r="F39" s="15"/>
    </row>
    <row r="40" spans="1:6" ht="15.75" customHeight="1" x14ac:dyDescent="0.3">
      <c r="A40" s="15"/>
      <c r="B40" s="15"/>
      <c r="C40" s="15"/>
      <c r="D40" s="15"/>
      <c r="E40" s="15"/>
      <c r="F40" s="15"/>
    </row>
    <row r="41" spans="1:6" ht="15.75" customHeight="1" x14ac:dyDescent="0.3">
      <c r="A41" s="15"/>
      <c r="B41" s="179" t="s">
        <v>346</v>
      </c>
      <c r="C41" s="170"/>
      <c r="D41" s="170"/>
      <c r="E41" s="15"/>
      <c r="F41" s="15"/>
    </row>
    <row r="42" spans="1:6" ht="15.75" customHeight="1" x14ac:dyDescent="0.3">
      <c r="A42" s="15"/>
      <c r="B42" s="178"/>
      <c r="C42" s="178"/>
      <c r="D42" s="178"/>
      <c r="E42" s="15"/>
      <c r="F42" s="15"/>
    </row>
    <row r="43" spans="1:6" ht="15.75" customHeight="1" x14ac:dyDescent="0.3">
      <c r="A43" s="15"/>
      <c r="B43" s="93" t="s">
        <v>343</v>
      </c>
      <c r="C43" s="51">
        <v>23583</v>
      </c>
      <c r="D43" s="52">
        <v>44297</v>
      </c>
      <c r="E43" s="15"/>
      <c r="F43" s="15"/>
    </row>
    <row r="44" spans="1:6" ht="15.75" customHeight="1" x14ac:dyDescent="0.3">
      <c r="A44" s="15"/>
      <c r="B44" s="93" t="s">
        <v>318</v>
      </c>
      <c r="C44" s="51">
        <v>35342.080000000002</v>
      </c>
      <c r="D44" s="52">
        <v>44301</v>
      </c>
      <c r="E44" s="15"/>
      <c r="F44" s="15"/>
    </row>
    <row r="45" spans="1:6" ht="15.75" customHeight="1" x14ac:dyDescent="0.3">
      <c r="A45" s="15"/>
      <c r="B45" s="93" t="s">
        <v>207</v>
      </c>
      <c r="C45" s="51">
        <v>18199.939999999999</v>
      </c>
      <c r="D45" s="52">
        <v>44302</v>
      </c>
      <c r="E45" s="15"/>
      <c r="F45" s="15"/>
    </row>
    <row r="46" spans="1:6" ht="15.75" customHeight="1" x14ac:dyDescent="0.3">
      <c r="A46" s="15"/>
      <c r="B46" s="93" t="s">
        <v>344</v>
      </c>
      <c r="C46" s="51">
        <v>55962.5</v>
      </c>
      <c r="D46" s="52">
        <v>44302</v>
      </c>
      <c r="E46" s="15"/>
      <c r="F46" s="15"/>
    </row>
    <row r="47" spans="1:6" ht="15.75" customHeight="1" x14ac:dyDescent="0.3">
      <c r="A47" s="15"/>
      <c r="B47" s="94" t="s">
        <v>345</v>
      </c>
      <c r="C47" s="51">
        <v>34070.06</v>
      </c>
      <c r="D47" s="52">
        <v>44302</v>
      </c>
      <c r="E47" s="15"/>
      <c r="F47" s="15"/>
    </row>
    <row r="48" spans="1:6" ht="15.75" customHeight="1" x14ac:dyDescent="0.3">
      <c r="A48" s="180" t="s">
        <v>347</v>
      </c>
      <c r="B48" s="13" t="s">
        <v>348</v>
      </c>
      <c r="C48" s="95">
        <v>65520</v>
      </c>
      <c r="D48" s="20"/>
      <c r="E48" s="15"/>
      <c r="F48" s="15"/>
    </row>
    <row r="49" spans="1:6" ht="15.75" customHeight="1" x14ac:dyDescent="0.3">
      <c r="A49" s="163"/>
      <c r="B49" s="13" t="s">
        <v>349</v>
      </c>
      <c r="C49" s="95">
        <v>9828</v>
      </c>
      <c r="D49" s="20"/>
      <c r="E49" s="15"/>
      <c r="F49" s="15"/>
    </row>
    <row r="50" spans="1:6" ht="15.75" customHeight="1" x14ac:dyDescent="0.3">
      <c r="A50" s="164"/>
      <c r="B50" s="13" t="s">
        <v>350</v>
      </c>
      <c r="C50" s="95">
        <v>89847.26</v>
      </c>
      <c r="D50" s="20"/>
      <c r="E50" s="15"/>
      <c r="F50" s="15"/>
    </row>
    <row r="51" spans="1:6" ht="15.75" customHeight="1" x14ac:dyDescent="0.3">
      <c r="A51" s="15"/>
      <c r="B51" s="15"/>
      <c r="C51" s="53">
        <f>SUM(C43:C50)</f>
        <v>332352.84000000003</v>
      </c>
      <c r="D51" s="15"/>
      <c r="E51" s="15"/>
      <c r="F51" s="15"/>
    </row>
    <row r="52" spans="1:6" ht="15.75" customHeight="1" x14ac:dyDescent="0.3">
      <c r="A52" s="15"/>
      <c r="B52" s="15"/>
      <c r="C52" s="15"/>
      <c r="D52" s="15"/>
      <c r="E52" s="15"/>
      <c r="F52" s="15"/>
    </row>
    <row r="53" spans="1:6" ht="15.75" customHeight="1" x14ac:dyDescent="0.3">
      <c r="A53" s="15"/>
      <c r="B53" s="15"/>
      <c r="C53" s="65">
        <f>C51-170000</f>
        <v>162352.84000000003</v>
      </c>
      <c r="D53" s="15"/>
      <c r="E53" s="15"/>
      <c r="F53" s="15"/>
    </row>
    <row r="54" spans="1:6" ht="15.75" customHeight="1" x14ac:dyDescent="0.3">
      <c r="A54" s="15"/>
      <c r="B54" s="15"/>
      <c r="C54" s="15"/>
      <c r="D54" s="15"/>
      <c r="E54" s="15"/>
      <c r="F54" s="15"/>
    </row>
    <row r="55" spans="1:6" ht="15.75" customHeight="1" x14ac:dyDescent="0.3">
      <c r="A55" s="15"/>
      <c r="B55" s="15"/>
      <c r="C55" s="15"/>
      <c r="D55" s="15"/>
      <c r="E55" s="15"/>
      <c r="F55" s="15"/>
    </row>
    <row r="56" spans="1:6" ht="15.75" customHeight="1" x14ac:dyDescent="0.3">
      <c r="A56" s="15"/>
      <c r="B56" s="15"/>
      <c r="C56" s="15"/>
      <c r="D56" s="15"/>
      <c r="E56" s="15"/>
      <c r="F56" s="15"/>
    </row>
    <row r="57" spans="1:6" ht="15.75" customHeight="1" x14ac:dyDescent="0.3">
      <c r="A57" s="15"/>
      <c r="B57" s="15"/>
      <c r="C57" s="15"/>
      <c r="D57" s="15"/>
      <c r="E57" s="15"/>
      <c r="F57" s="15"/>
    </row>
    <row r="58" spans="1:6" ht="15.75" customHeight="1" x14ac:dyDescent="0.3">
      <c r="A58" s="15"/>
      <c r="B58" s="15"/>
      <c r="C58" s="15"/>
      <c r="D58" s="15"/>
      <c r="E58" s="15"/>
      <c r="F58" s="15"/>
    </row>
    <row r="59" spans="1:6" ht="28.5" customHeight="1" x14ac:dyDescent="0.3">
      <c r="A59" s="15"/>
      <c r="B59" s="15"/>
      <c r="C59" s="15"/>
      <c r="D59" s="15"/>
      <c r="E59" s="15"/>
      <c r="F59" s="15"/>
    </row>
    <row r="60" spans="1:6" ht="28.5" customHeight="1" x14ac:dyDescent="0.3">
      <c r="A60" s="15"/>
      <c r="B60" s="15"/>
      <c r="C60" s="15"/>
      <c r="D60" s="15"/>
      <c r="E60" s="15"/>
      <c r="F60" s="15"/>
    </row>
    <row r="61" spans="1:6" ht="20.25" customHeight="1" x14ac:dyDescent="0.3">
      <c r="A61" s="93" t="s">
        <v>212</v>
      </c>
      <c r="B61" s="51">
        <v>35963.9</v>
      </c>
      <c r="C61" s="52">
        <v>44305</v>
      </c>
      <c r="D61" s="15"/>
      <c r="E61" s="15"/>
      <c r="F61" s="15"/>
    </row>
    <row r="62" spans="1:6" ht="20.25" customHeight="1" x14ac:dyDescent="0.3">
      <c r="A62" s="93" t="s">
        <v>328</v>
      </c>
      <c r="B62" s="51">
        <v>64817.58</v>
      </c>
      <c r="C62" s="52">
        <v>44307</v>
      </c>
      <c r="D62" s="15"/>
      <c r="E62" s="15"/>
      <c r="F62" s="15"/>
    </row>
    <row r="63" spans="1:6" ht="20.25" customHeight="1" x14ac:dyDescent="0.3">
      <c r="A63" s="93" t="s">
        <v>351</v>
      </c>
      <c r="B63" s="51">
        <v>35904.33</v>
      </c>
      <c r="C63" s="52">
        <v>44308</v>
      </c>
      <c r="D63" s="15"/>
      <c r="E63" s="15"/>
      <c r="F63" s="15"/>
    </row>
    <row r="64" spans="1:6" ht="20.25" customHeight="1" x14ac:dyDescent="0.3">
      <c r="A64" s="93" t="s">
        <v>318</v>
      </c>
      <c r="B64" s="51">
        <v>10358.68</v>
      </c>
      <c r="C64" s="52">
        <v>44308</v>
      </c>
      <c r="D64" s="15"/>
      <c r="E64" s="15"/>
      <c r="F64" s="15"/>
    </row>
    <row r="65" spans="1:6" ht="20.25" customHeight="1" x14ac:dyDescent="0.3">
      <c r="A65" s="93" t="s">
        <v>208</v>
      </c>
      <c r="B65" s="51">
        <v>15193.51</v>
      </c>
      <c r="C65" s="52">
        <v>44309</v>
      </c>
      <c r="D65" s="15"/>
      <c r="E65" s="15"/>
      <c r="F65" s="15"/>
    </row>
    <row r="66" spans="1:6" ht="20.25" customHeight="1" x14ac:dyDescent="0.3">
      <c r="A66" s="93" t="s">
        <v>208</v>
      </c>
      <c r="B66" s="51">
        <v>56169.72</v>
      </c>
      <c r="C66" s="52">
        <v>44309</v>
      </c>
      <c r="D66" s="15"/>
      <c r="E66" s="15"/>
      <c r="F66" s="15"/>
    </row>
    <row r="67" spans="1:6" ht="20.25" customHeight="1" x14ac:dyDescent="0.3">
      <c r="A67" s="50" t="s">
        <v>208</v>
      </c>
      <c r="B67" s="48">
        <v>39011</v>
      </c>
      <c r="C67" s="52">
        <v>44315</v>
      </c>
      <c r="D67" s="15"/>
      <c r="E67" s="15"/>
      <c r="F67" s="15"/>
    </row>
    <row r="68" spans="1:6" ht="20.25" customHeight="1" x14ac:dyDescent="0.3">
      <c r="A68" s="50" t="s">
        <v>344</v>
      </c>
      <c r="B68" s="48">
        <v>55962.5</v>
      </c>
      <c r="C68" s="52">
        <v>44315</v>
      </c>
      <c r="D68" s="15"/>
      <c r="E68" s="15"/>
      <c r="F68" s="15"/>
    </row>
    <row r="69" spans="1:6" ht="20.25" customHeight="1" x14ac:dyDescent="0.3">
      <c r="A69" s="50" t="s">
        <v>318</v>
      </c>
      <c r="B69" s="48">
        <v>26483.35</v>
      </c>
      <c r="C69" s="52">
        <v>44315</v>
      </c>
      <c r="D69" s="15"/>
      <c r="E69" s="15"/>
      <c r="F69" s="15"/>
    </row>
    <row r="70" spans="1:6" ht="20.25" customHeight="1" x14ac:dyDescent="0.3">
      <c r="A70" s="50" t="s">
        <v>352</v>
      </c>
      <c r="B70" s="48">
        <v>34969</v>
      </c>
      <c r="C70" s="52">
        <v>44316</v>
      </c>
      <c r="D70" s="15"/>
      <c r="E70" s="15"/>
      <c r="F70" s="15"/>
    </row>
    <row r="71" spans="1:6" ht="20.25" customHeight="1" x14ac:dyDescent="0.3">
      <c r="A71" s="93" t="s">
        <v>353</v>
      </c>
      <c r="B71" s="51">
        <v>6050</v>
      </c>
      <c r="C71" s="15"/>
      <c r="D71" s="15"/>
      <c r="E71" s="15"/>
      <c r="F71" s="15"/>
    </row>
    <row r="72" spans="1:6" ht="20.25" customHeight="1" x14ac:dyDescent="0.3">
      <c r="A72" s="93" t="s">
        <v>354</v>
      </c>
      <c r="B72" s="51">
        <v>34813.49</v>
      </c>
      <c r="C72" s="15"/>
      <c r="D72" s="15"/>
      <c r="E72" s="15"/>
      <c r="F72" s="15"/>
    </row>
    <row r="73" spans="1:6" ht="20.25" customHeight="1" x14ac:dyDescent="0.3">
      <c r="A73" s="93" t="s">
        <v>355</v>
      </c>
      <c r="B73" s="51">
        <v>8312.7000000000007</v>
      </c>
      <c r="C73" s="15"/>
      <c r="D73" s="15"/>
      <c r="E73" s="15"/>
      <c r="F73" s="15"/>
    </row>
    <row r="74" spans="1:6" ht="20.25" customHeight="1" x14ac:dyDescent="0.3">
      <c r="A74" s="13" t="s">
        <v>348</v>
      </c>
      <c r="B74" s="95">
        <v>65520</v>
      </c>
      <c r="C74" s="176" t="s">
        <v>356</v>
      </c>
      <c r="D74" s="15"/>
      <c r="E74" s="15"/>
      <c r="F74" s="15"/>
    </row>
    <row r="75" spans="1:6" ht="20.25" customHeight="1" x14ac:dyDescent="0.3">
      <c r="A75" s="13" t="s">
        <v>349</v>
      </c>
      <c r="B75" s="95">
        <v>9828</v>
      </c>
      <c r="C75" s="163"/>
      <c r="D75" s="15"/>
      <c r="E75" s="15"/>
      <c r="F75" s="15"/>
    </row>
    <row r="76" spans="1:6" ht="20.25" customHeight="1" x14ac:dyDescent="0.3">
      <c r="A76" s="13" t="s">
        <v>350</v>
      </c>
      <c r="B76" s="95">
        <v>88799.09</v>
      </c>
      <c r="C76" s="164"/>
      <c r="D76" s="15"/>
      <c r="E76" s="15"/>
      <c r="F76" s="15"/>
    </row>
    <row r="77" spans="1:6" ht="20.25" customHeight="1" x14ac:dyDescent="0.3">
      <c r="A77" s="15"/>
      <c r="B77" s="65">
        <f>SUM(B61:B76)</f>
        <v>588156.85</v>
      </c>
      <c r="C77" s="15"/>
      <c r="D77" s="15"/>
      <c r="E77" s="15"/>
      <c r="F77" s="15"/>
    </row>
    <row r="78" spans="1:6" ht="15.75" customHeight="1" x14ac:dyDescent="0.3">
      <c r="A78" s="15"/>
      <c r="B78" s="15"/>
      <c r="C78" s="15"/>
      <c r="D78" s="15"/>
      <c r="E78" s="15"/>
      <c r="F78" s="15"/>
    </row>
    <row r="79" spans="1:6" ht="15.75" customHeight="1" x14ac:dyDescent="0.3">
      <c r="A79" s="15"/>
      <c r="B79" s="15"/>
      <c r="C79" s="15"/>
      <c r="D79" s="15"/>
      <c r="E79" s="15"/>
      <c r="F79" s="15"/>
    </row>
    <row r="80" spans="1:6" ht="15.75" customHeight="1" x14ac:dyDescent="0.3">
      <c r="A80" s="15"/>
      <c r="B80" s="15"/>
      <c r="C80" s="15"/>
      <c r="D80" s="15"/>
      <c r="E80" s="15"/>
      <c r="F80" s="15"/>
    </row>
    <row r="81" spans="1:6" ht="15.75" customHeight="1" x14ac:dyDescent="0.3">
      <c r="A81" s="15"/>
      <c r="B81" s="15"/>
      <c r="C81" s="15"/>
      <c r="D81" s="15"/>
      <c r="E81" s="15"/>
      <c r="F81" s="15"/>
    </row>
    <row r="82" spans="1:6" ht="15.75" customHeight="1" x14ac:dyDescent="0.3">
      <c r="A82" s="15"/>
      <c r="B82" s="15"/>
      <c r="C82" s="15"/>
      <c r="D82" s="15"/>
      <c r="E82" s="15"/>
      <c r="F82" s="15"/>
    </row>
    <row r="83" spans="1:6" ht="15.75" customHeight="1" x14ac:dyDescent="0.3">
      <c r="A83" s="15"/>
      <c r="B83" s="15"/>
      <c r="C83" s="15"/>
      <c r="D83" s="15"/>
      <c r="E83" s="15"/>
      <c r="F83" s="15"/>
    </row>
    <row r="84" spans="1:6" ht="15.75" customHeight="1" x14ac:dyDescent="0.3"/>
    <row r="85" spans="1:6" ht="15.75" customHeight="1" x14ac:dyDescent="0.3"/>
    <row r="86" spans="1:6" ht="15.75" customHeight="1" x14ac:dyDescent="0.3"/>
    <row r="87" spans="1:6" ht="15.75" customHeight="1" x14ac:dyDescent="0.3"/>
    <row r="88" spans="1:6" ht="15.75" customHeight="1" x14ac:dyDescent="0.3"/>
    <row r="89" spans="1:6" ht="15.75" customHeight="1" x14ac:dyDescent="0.3"/>
    <row r="90" spans="1:6" ht="15.75" customHeight="1" x14ac:dyDescent="0.3"/>
    <row r="91" spans="1:6" ht="15.75" customHeight="1" x14ac:dyDescent="0.3"/>
    <row r="92" spans="1:6" ht="15.75" customHeight="1" x14ac:dyDescent="0.3"/>
    <row r="93" spans="1:6" ht="15.75" customHeight="1" x14ac:dyDescent="0.3"/>
    <row r="94" spans="1:6" ht="15.75" customHeight="1" x14ac:dyDescent="0.3"/>
    <row r="95" spans="1:6" ht="15.75" customHeight="1" x14ac:dyDescent="0.3"/>
    <row r="96" spans="1: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D1"/>
    <mergeCell ref="B41:D42"/>
    <mergeCell ref="A48:A50"/>
    <mergeCell ref="C74:C76"/>
  </mergeCells>
  <pageMargins left="0.25" right="0.25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87"/>
  <sheetViews>
    <sheetView workbookViewId="0">
      <pane ySplit="1" topLeftCell="A60" activePane="bottomLeft" state="frozen"/>
      <selection pane="bottomLeft" activeCell="I7" sqref="I7"/>
    </sheetView>
  </sheetViews>
  <sheetFormatPr baseColWidth="10" defaultColWidth="14.44140625" defaultRowHeight="15" customHeight="1" x14ac:dyDescent="0.3"/>
  <cols>
    <col min="1" max="1" width="7.44140625" customWidth="1"/>
    <col min="2" max="2" width="10.44140625" customWidth="1"/>
    <col min="3" max="3" width="5.88671875" customWidth="1"/>
    <col min="4" max="4" width="14.5546875" customWidth="1"/>
    <col min="5" max="5" width="29.33203125" customWidth="1"/>
    <col min="6" max="6" width="15.6640625" customWidth="1"/>
    <col min="7" max="7" width="7.109375" customWidth="1"/>
    <col min="8" max="8" width="19.109375" customWidth="1"/>
    <col min="9" max="9" width="32.44140625" customWidth="1"/>
    <col min="10" max="10" width="20.5546875" customWidth="1"/>
    <col min="11" max="11" width="2.88671875" customWidth="1"/>
    <col min="12" max="23" width="4.109375" customWidth="1"/>
    <col min="24" max="24" width="10.5546875" customWidth="1"/>
    <col min="25" max="25" width="5.5546875" customWidth="1"/>
    <col min="26" max="26" width="6.5546875" customWidth="1"/>
    <col min="27" max="27" width="9.5546875" customWidth="1"/>
    <col min="28" max="28" width="10.109375" customWidth="1"/>
    <col min="29" max="29" width="6.44140625" customWidth="1"/>
    <col min="30" max="30" width="8.109375" hidden="1" customWidth="1"/>
    <col min="31" max="31" width="8.88671875" hidden="1" customWidth="1"/>
    <col min="32" max="32" width="52.33203125" customWidth="1"/>
    <col min="33" max="33" width="16.6640625" customWidth="1"/>
  </cols>
  <sheetData>
    <row r="1" spans="1:33" ht="33.75" customHeight="1" x14ac:dyDescent="0.3">
      <c r="A1" s="96" t="s">
        <v>357</v>
      </c>
      <c r="B1" s="97" t="s">
        <v>358</v>
      </c>
      <c r="C1" s="98" t="s">
        <v>359</v>
      </c>
      <c r="D1" s="98" t="s">
        <v>360</v>
      </c>
      <c r="E1" s="98" t="s">
        <v>361</v>
      </c>
      <c r="F1" s="98" t="s">
        <v>362</v>
      </c>
      <c r="G1" s="98" t="s">
        <v>363</v>
      </c>
      <c r="H1" s="98" t="s">
        <v>364</v>
      </c>
      <c r="I1" s="98" t="s">
        <v>365</v>
      </c>
      <c r="J1" s="99" t="s">
        <v>366</v>
      </c>
      <c r="K1" s="98" t="s">
        <v>367</v>
      </c>
      <c r="L1" s="98" t="s">
        <v>368</v>
      </c>
      <c r="M1" s="98" t="s">
        <v>369</v>
      </c>
      <c r="N1" s="100" t="s">
        <v>370</v>
      </c>
      <c r="O1" s="100" t="s">
        <v>371</v>
      </c>
      <c r="P1" s="100" t="s">
        <v>372</v>
      </c>
      <c r="Q1" s="100" t="s">
        <v>373</v>
      </c>
      <c r="R1" s="100" t="s">
        <v>374</v>
      </c>
      <c r="S1" s="100" t="s">
        <v>375</v>
      </c>
      <c r="T1" s="100" t="s">
        <v>376</v>
      </c>
      <c r="U1" s="101" t="s">
        <v>377</v>
      </c>
      <c r="V1" s="100" t="s">
        <v>378</v>
      </c>
      <c r="W1" s="100" t="s">
        <v>226</v>
      </c>
      <c r="X1" s="98" t="s">
        <v>379</v>
      </c>
      <c r="Y1" s="99" t="s">
        <v>380</v>
      </c>
      <c r="Z1" s="99" t="s">
        <v>381</v>
      </c>
      <c r="AA1" s="99" t="s">
        <v>382</v>
      </c>
      <c r="AB1" s="99" t="s">
        <v>383</v>
      </c>
      <c r="AC1" s="99" t="s">
        <v>384</v>
      </c>
      <c r="AD1" s="99" t="s">
        <v>365</v>
      </c>
      <c r="AE1" s="99" t="s">
        <v>364</v>
      </c>
      <c r="AF1" s="99" t="s">
        <v>385</v>
      </c>
      <c r="AG1" s="102"/>
    </row>
    <row r="2" spans="1:33" ht="14.25" customHeight="1" x14ac:dyDescent="0.3">
      <c r="A2" s="111">
        <v>45868</v>
      </c>
      <c r="B2" s="140">
        <v>45854</v>
      </c>
      <c r="C2" s="109" t="s">
        <v>396</v>
      </c>
      <c r="D2" s="115" t="s">
        <v>452</v>
      </c>
      <c r="E2" s="123" t="s">
        <v>453</v>
      </c>
      <c r="F2" s="115" t="s">
        <v>387</v>
      </c>
      <c r="G2" s="109" t="s">
        <v>388</v>
      </c>
      <c r="H2" s="109" t="s">
        <v>411</v>
      </c>
      <c r="I2" s="109" t="s">
        <v>465</v>
      </c>
      <c r="J2" s="109" t="s">
        <v>454</v>
      </c>
      <c r="K2" s="119">
        <v>30715327712</v>
      </c>
      <c r="L2" s="129">
        <v>11660.08</v>
      </c>
      <c r="M2" s="123"/>
      <c r="N2" s="130">
        <v>2448.62</v>
      </c>
      <c r="O2" s="130">
        <v>0</v>
      </c>
      <c r="P2" s="124"/>
      <c r="Q2" s="124"/>
      <c r="R2" s="124"/>
      <c r="S2" s="124"/>
      <c r="T2" s="124"/>
      <c r="U2" s="124"/>
      <c r="V2" s="130">
        <v>0</v>
      </c>
      <c r="W2" s="130">
        <v>14108.7</v>
      </c>
      <c r="X2" s="131">
        <v>45853</v>
      </c>
      <c r="Y2" s="110" t="s">
        <v>392</v>
      </c>
      <c r="Z2" s="109" t="s">
        <v>416</v>
      </c>
      <c r="AA2" s="109"/>
      <c r="AB2" s="109"/>
      <c r="AC2" s="109">
        <v>4645</v>
      </c>
      <c r="AD2" s="109"/>
      <c r="AE2" s="109"/>
      <c r="AF2" s="102" t="s">
        <v>447</v>
      </c>
      <c r="AG2" s="102"/>
    </row>
    <row r="3" spans="1:33" ht="14.25" customHeight="1" x14ac:dyDescent="0.3">
      <c r="A3" s="111">
        <v>45868</v>
      </c>
      <c r="B3" s="140">
        <v>45854</v>
      </c>
      <c r="C3" s="109" t="s">
        <v>396</v>
      </c>
      <c r="D3" s="115" t="s">
        <v>457</v>
      </c>
      <c r="E3" s="123" t="s">
        <v>453</v>
      </c>
      <c r="F3" s="115" t="s">
        <v>387</v>
      </c>
      <c r="G3" s="109" t="s">
        <v>388</v>
      </c>
      <c r="H3" s="109" t="s">
        <v>411</v>
      </c>
      <c r="I3" s="109" t="s">
        <v>390</v>
      </c>
      <c r="J3" s="109" t="s">
        <v>454</v>
      </c>
      <c r="K3" s="119">
        <v>30715327712</v>
      </c>
      <c r="L3" s="129">
        <v>11660.08</v>
      </c>
      <c r="M3" s="123"/>
      <c r="N3" s="130">
        <v>2448.62</v>
      </c>
      <c r="O3" s="130">
        <v>0</v>
      </c>
      <c r="P3" s="124"/>
      <c r="Q3" s="124"/>
      <c r="R3" s="124"/>
      <c r="S3" s="124"/>
      <c r="T3" s="124"/>
      <c r="U3" s="124"/>
      <c r="V3" s="130">
        <v>0</v>
      </c>
      <c r="W3" s="130">
        <v>14108.7</v>
      </c>
      <c r="X3" s="131">
        <v>45853</v>
      </c>
      <c r="Y3" s="110" t="s">
        <v>392</v>
      </c>
      <c r="Z3" s="109" t="s">
        <v>416</v>
      </c>
      <c r="AA3" s="115"/>
      <c r="AB3" s="109"/>
      <c r="AC3" s="109">
        <v>4648</v>
      </c>
      <c r="AD3" s="109"/>
      <c r="AE3" s="109"/>
      <c r="AF3" s="102" t="s">
        <v>447</v>
      </c>
      <c r="AG3" s="102"/>
    </row>
    <row r="4" spans="1:33" ht="14.25" customHeight="1" x14ac:dyDescent="0.3">
      <c r="A4" s="111">
        <v>45868</v>
      </c>
      <c r="B4" s="140">
        <v>45854</v>
      </c>
      <c r="C4" s="109" t="s">
        <v>396</v>
      </c>
      <c r="D4" s="115" t="s">
        <v>456</v>
      </c>
      <c r="E4" s="123" t="s">
        <v>453</v>
      </c>
      <c r="F4" s="115" t="s">
        <v>387</v>
      </c>
      <c r="G4" s="109" t="s">
        <v>388</v>
      </c>
      <c r="H4" s="109" t="s">
        <v>411</v>
      </c>
      <c r="I4" s="109" t="s">
        <v>400</v>
      </c>
      <c r="J4" s="109" t="s">
        <v>454</v>
      </c>
      <c r="K4" s="119">
        <v>30715327712</v>
      </c>
      <c r="L4" s="129">
        <v>11660.08</v>
      </c>
      <c r="M4" s="123"/>
      <c r="N4" s="130">
        <v>2448.62</v>
      </c>
      <c r="O4" s="130">
        <v>0</v>
      </c>
      <c r="P4" s="124"/>
      <c r="Q4" s="124"/>
      <c r="R4" s="124"/>
      <c r="S4" s="124"/>
      <c r="T4" s="124"/>
      <c r="U4" s="124"/>
      <c r="V4" s="130">
        <v>0</v>
      </c>
      <c r="W4" s="130">
        <v>14108.7</v>
      </c>
      <c r="X4" s="131">
        <v>45853</v>
      </c>
      <c r="Y4" s="110" t="s">
        <v>392</v>
      </c>
      <c r="Z4" s="109" t="s">
        <v>416</v>
      </c>
      <c r="AA4" s="109"/>
      <c r="AB4" s="109"/>
      <c r="AC4" s="109">
        <v>4647</v>
      </c>
      <c r="AD4" s="109"/>
      <c r="AE4" s="109"/>
      <c r="AF4" s="102" t="s">
        <v>447</v>
      </c>
      <c r="AG4" s="102"/>
    </row>
    <row r="5" spans="1:33" ht="14.25" customHeight="1" x14ac:dyDescent="0.3">
      <c r="A5" s="111">
        <v>45868</v>
      </c>
      <c r="B5" s="140">
        <v>45854</v>
      </c>
      <c r="C5" s="109" t="s">
        <v>396</v>
      </c>
      <c r="D5" s="115" t="s">
        <v>455</v>
      </c>
      <c r="E5" s="123" t="s">
        <v>453</v>
      </c>
      <c r="F5" s="115" t="s">
        <v>387</v>
      </c>
      <c r="G5" s="109" t="s">
        <v>388</v>
      </c>
      <c r="H5" s="109" t="s">
        <v>411</v>
      </c>
      <c r="I5" s="109" t="s">
        <v>404</v>
      </c>
      <c r="J5" s="109" t="s">
        <v>454</v>
      </c>
      <c r="K5" s="119">
        <v>30715327712</v>
      </c>
      <c r="L5" s="129">
        <v>11660.08</v>
      </c>
      <c r="M5" s="123"/>
      <c r="N5" s="130">
        <v>2448.62</v>
      </c>
      <c r="O5" s="130">
        <v>0</v>
      </c>
      <c r="P5" s="124"/>
      <c r="Q5" s="124"/>
      <c r="R5" s="124"/>
      <c r="S5" s="124"/>
      <c r="T5" s="124"/>
      <c r="U5" s="124"/>
      <c r="V5" s="130">
        <v>0</v>
      </c>
      <c r="W5" s="130">
        <v>14108.7</v>
      </c>
      <c r="X5" s="131">
        <v>45853</v>
      </c>
      <c r="Y5" s="110" t="s">
        <v>392</v>
      </c>
      <c r="Z5" s="109" t="s">
        <v>416</v>
      </c>
      <c r="AA5" s="109"/>
      <c r="AB5" s="109"/>
      <c r="AC5" s="109">
        <v>4646</v>
      </c>
      <c r="AD5" s="109"/>
      <c r="AE5" s="109"/>
      <c r="AF5" s="102" t="s">
        <v>447</v>
      </c>
      <c r="AG5" s="102"/>
    </row>
    <row r="6" spans="1:33" ht="14.25" customHeight="1" x14ac:dyDescent="0.3">
      <c r="A6" s="111">
        <v>45868</v>
      </c>
      <c r="B6" s="142">
        <v>45853</v>
      </c>
      <c r="C6" s="109" t="s">
        <v>392</v>
      </c>
      <c r="D6" s="112"/>
      <c r="E6" s="123" t="s">
        <v>453</v>
      </c>
      <c r="F6" s="103"/>
      <c r="G6" s="184" t="s">
        <v>388</v>
      </c>
      <c r="H6" s="184" t="s">
        <v>411</v>
      </c>
      <c r="I6" s="184" t="s">
        <v>421</v>
      </c>
      <c r="J6" s="109" t="s">
        <v>454</v>
      </c>
      <c r="K6" s="190"/>
      <c r="L6" s="160"/>
      <c r="M6" s="133"/>
      <c r="N6" s="134"/>
      <c r="O6" s="134"/>
      <c r="P6" s="134"/>
      <c r="Q6" s="134"/>
      <c r="R6" s="134"/>
      <c r="S6" s="134"/>
      <c r="T6" s="134"/>
      <c r="U6" s="134"/>
      <c r="V6" s="134"/>
      <c r="W6" s="193">
        <v>-56434.8</v>
      </c>
      <c r="X6" s="131">
        <v>45853</v>
      </c>
      <c r="Y6" s="110" t="s">
        <v>392</v>
      </c>
      <c r="Z6" s="109" t="s">
        <v>416</v>
      </c>
      <c r="AA6" s="184" t="s">
        <v>394</v>
      </c>
      <c r="AB6" s="109"/>
      <c r="AC6" s="109">
        <v>4649</v>
      </c>
      <c r="AD6" s="109"/>
      <c r="AE6" s="109"/>
      <c r="AF6" s="102" t="s">
        <v>447</v>
      </c>
      <c r="AG6" s="102"/>
    </row>
    <row r="7" spans="1:33" ht="14.25" customHeight="1" x14ac:dyDescent="0.3">
      <c r="A7" s="111">
        <v>45868</v>
      </c>
      <c r="B7" s="140">
        <v>45852</v>
      </c>
      <c r="C7" s="109" t="s">
        <v>392</v>
      </c>
      <c r="D7" s="141" t="s">
        <v>458</v>
      </c>
      <c r="E7" s="123" t="s">
        <v>428</v>
      </c>
      <c r="F7" s="104" t="s">
        <v>387</v>
      </c>
      <c r="G7" s="109" t="s">
        <v>388</v>
      </c>
      <c r="H7" s="109" t="s">
        <v>459</v>
      </c>
      <c r="I7" s="109" t="s">
        <v>433</v>
      </c>
      <c r="J7" s="109" t="s">
        <v>419</v>
      </c>
      <c r="K7" s="119">
        <v>20140702200</v>
      </c>
      <c r="L7" s="160"/>
      <c r="M7" s="133"/>
      <c r="N7" s="134"/>
      <c r="O7" s="134"/>
      <c r="P7" s="134"/>
      <c r="Q7" s="134"/>
      <c r="R7" s="134"/>
      <c r="S7" s="134"/>
      <c r="T7" s="134"/>
      <c r="U7" s="134"/>
      <c r="V7" s="134"/>
      <c r="W7" s="137">
        <v>-45002.92</v>
      </c>
      <c r="X7" s="131">
        <v>45852</v>
      </c>
      <c r="Y7" s="110" t="s">
        <v>392</v>
      </c>
      <c r="Z7" s="109" t="s">
        <v>395</v>
      </c>
      <c r="AA7" s="109" t="s">
        <v>153</v>
      </c>
      <c r="AB7" s="109"/>
      <c r="AC7" s="109">
        <v>4654</v>
      </c>
      <c r="AD7" s="109"/>
      <c r="AE7" s="109"/>
      <c r="AF7" s="102" t="s">
        <v>447</v>
      </c>
      <c r="AG7" s="102"/>
    </row>
    <row r="8" spans="1:33" ht="14.25" customHeight="1" x14ac:dyDescent="0.3">
      <c r="A8" s="111">
        <v>45868</v>
      </c>
      <c r="B8" s="120" t="s">
        <v>460</v>
      </c>
      <c r="C8" s="109" t="s">
        <v>392</v>
      </c>
      <c r="D8" s="112"/>
      <c r="E8" s="107" t="s">
        <v>426</v>
      </c>
      <c r="F8" s="103"/>
      <c r="G8" s="126" t="s">
        <v>408</v>
      </c>
      <c r="H8" s="109" t="s">
        <v>427</v>
      </c>
      <c r="I8" s="109" t="s">
        <v>410</v>
      </c>
      <c r="J8" s="109" t="s">
        <v>409</v>
      </c>
      <c r="K8" s="128"/>
      <c r="L8" s="160"/>
      <c r="M8" s="133"/>
      <c r="N8" s="134"/>
      <c r="O8" s="134"/>
      <c r="P8" s="134"/>
      <c r="Q8" s="134"/>
      <c r="R8" s="134"/>
      <c r="S8" s="134"/>
      <c r="T8" s="134"/>
      <c r="U8" s="134"/>
      <c r="V8" s="134"/>
      <c r="W8" s="124">
        <v>-169098.85</v>
      </c>
      <c r="X8" s="131">
        <v>45856</v>
      </c>
      <c r="Y8" s="110" t="s">
        <v>392</v>
      </c>
      <c r="Z8" s="109" t="s">
        <v>393</v>
      </c>
      <c r="AA8" s="161" t="s">
        <v>436</v>
      </c>
      <c r="AB8" s="109"/>
      <c r="AC8" s="109">
        <v>4662</v>
      </c>
      <c r="AD8" s="109"/>
      <c r="AE8" s="109"/>
      <c r="AF8" s="102" t="s">
        <v>448</v>
      </c>
      <c r="AG8" s="102"/>
    </row>
    <row r="9" spans="1:33" ht="14.25" customHeight="1" x14ac:dyDescent="0.3">
      <c r="A9" s="111">
        <v>45868</v>
      </c>
      <c r="B9" s="140">
        <v>45869</v>
      </c>
      <c r="C9" s="109" t="s">
        <v>396</v>
      </c>
      <c r="D9" s="115" t="s">
        <v>463</v>
      </c>
      <c r="E9" s="123" t="s">
        <v>462</v>
      </c>
      <c r="F9" s="115" t="s">
        <v>387</v>
      </c>
      <c r="G9" s="109" t="s">
        <v>388</v>
      </c>
      <c r="H9" s="109" t="s">
        <v>459</v>
      </c>
      <c r="I9" s="109" t="s">
        <v>424</v>
      </c>
      <c r="J9" s="109" t="s">
        <v>419</v>
      </c>
      <c r="K9" s="119">
        <v>30708508221</v>
      </c>
      <c r="L9" s="129">
        <v>4958.68</v>
      </c>
      <c r="M9" s="123"/>
      <c r="N9" s="130">
        <v>1041.32</v>
      </c>
      <c r="O9" s="130">
        <v>0</v>
      </c>
      <c r="P9" s="124"/>
      <c r="Q9" s="124"/>
      <c r="R9" s="124"/>
      <c r="S9" s="124"/>
      <c r="T9" s="124"/>
      <c r="U9" s="124"/>
      <c r="V9" s="130">
        <v>0</v>
      </c>
      <c r="W9" s="130">
        <v>6000</v>
      </c>
      <c r="X9" s="131">
        <v>45842</v>
      </c>
      <c r="Y9" s="110" t="s">
        <v>392</v>
      </c>
      <c r="Z9" s="109" t="s">
        <v>395</v>
      </c>
      <c r="AA9" s="109" t="s">
        <v>153</v>
      </c>
      <c r="AB9" s="109"/>
      <c r="AC9" s="109">
        <v>4668</v>
      </c>
      <c r="AD9" s="109"/>
      <c r="AE9" s="109"/>
      <c r="AF9" s="102" t="s">
        <v>447</v>
      </c>
      <c r="AG9" s="102"/>
    </row>
    <row r="10" spans="1:33" ht="14.25" customHeight="1" x14ac:dyDescent="0.3">
      <c r="A10" s="111">
        <v>45868</v>
      </c>
      <c r="B10" s="140">
        <v>45842</v>
      </c>
      <c r="C10" s="109" t="s">
        <v>392</v>
      </c>
      <c r="D10" s="141" t="s">
        <v>461</v>
      </c>
      <c r="E10" s="123" t="s">
        <v>462</v>
      </c>
      <c r="F10" s="104" t="s">
        <v>387</v>
      </c>
      <c r="G10" s="109" t="s">
        <v>388</v>
      </c>
      <c r="H10" s="109" t="s">
        <v>459</v>
      </c>
      <c r="I10" s="109" t="s">
        <v>424</v>
      </c>
      <c r="J10" s="109" t="s">
        <v>419</v>
      </c>
      <c r="K10" s="119">
        <v>30708508221</v>
      </c>
      <c r="L10" s="160"/>
      <c r="M10" s="133"/>
      <c r="N10" s="134"/>
      <c r="O10" s="134"/>
      <c r="P10" s="134"/>
      <c r="Q10" s="134"/>
      <c r="R10" s="134"/>
      <c r="S10" s="134"/>
      <c r="T10" s="134"/>
      <c r="U10" s="134"/>
      <c r="V10" s="134"/>
      <c r="W10" s="137">
        <v>-6000</v>
      </c>
      <c r="X10" s="131">
        <v>45842</v>
      </c>
      <c r="Y10" s="110" t="s">
        <v>392</v>
      </c>
      <c r="Z10" s="116" t="s">
        <v>395</v>
      </c>
      <c r="AA10" s="114" t="s">
        <v>153</v>
      </c>
      <c r="AB10" s="109"/>
      <c r="AC10" s="109">
        <v>4669</v>
      </c>
      <c r="AD10" s="109"/>
      <c r="AE10" s="109"/>
      <c r="AF10" s="102" t="s">
        <v>447</v>
      </c>
      <c r="AG10" s="102"/>
    </row>
    <row r="11" spans="1:33" ht="14.25" customHeight="1" x14ac:dyDescent="0.3">
      <c r="A11" s="111">
        <v>45868</v>
      </c>
      <c r="B11" s="142">
        <v>45839</v>
      </c>
      <c r="C11" s="113" t="s">
        <v>396</v>
      </c>
      <c r="D11" s="147" t="s">
        <v>464</v>
      </c>
      <c r="E11" s="107" t="s">
        <v>417</v>
      </c>
      <c r="F11" s="159" t="s">
        <v>414</v>
      </c>
      <c r="G11" s="126" t="s">
        <v>388</v>
      </c>
      <c r="H11" s="109" t="s">
        <v>415</v>
      </c>
      <c r="I11" s="109" t="s">
        <v>465</v>
      </c>
      <c r="J11" s="109" t="s">
        <v>413</v>
      </c>
      <c r="K11" s="128"/>
      <c r="L11" s="123">
        <v>12233.15</v>
      </c>
      <c r="M11" s="123"/>
      <c r="N11" s="124">
        <v>3302.95</v>
      </c>
      <c r="O11" s="124"/>
      <c r="P11" s="124"/>
      <c r="Q11" s="124"/>
      <c r="R11" s="124"/>
      <c r="S11" s="124"/>
      <c r="T11" s="124"/>
      <c r="U11" s="124"/>
      <c r="V11" s="124">
        <v>1147.83</v>
      </c>
      <c r="W11" s="124">
        <v>16683.93</v>
      </c>
      <c r="X11" s="131">
        <v>45848</v>
      </c>
      <c r="Y11" s="110" t="s">
        <v>392</v>
      </c>
      <c r="Z11" s="109" t="s">
        <v>407</v>
      </c>
      <c r="AA11" s="115"/>
      <c r="AB11" s="109"/>
      <c r="AC11" s="109">
        <v>4710</v>
      </c>
      <c r="AD11" s="109"/>
      <c r="AE11" s="109"/>
      <c r="AF11" s="102" t="s">
        <v>449</v>
      </c>
      <c r="AG11" s="102"/>
    </row>
    <row r="12" spans="1:33" ht="14.25" customHeight="1" x14ac:dyDescent="0.3">
      <c r="A12" s="111">
        <v>45868</v>
      </c>
      <c r="B12" s="142">
        <v>45839</v>
      </c>
      <c r="C12" s="113" t="s">
        <v>396</v>
      </c>
      <c r="D12" s="147" t="s">
        <v>466</v>
      </c>
      <c r="E12" s="107" t="s">
        <v>417</v>
      </c>
      <c r="F12" s="159" t="s">
        <v>414</v>
      </c>
      <c r="G12" s="126" t="s">
        <v>388</v>
      </c>
      <c r="H12" s="109" t="s">
        <v>415</v>
      </c>
      <c r="I12" s="109" t="s">
        <v>465</v>
      </c>
      <c r="J12" s="109" t="s">
        <v>413</v>
      </c>
      <c r="K12" s="128"/>
      <c r="L12" s="123">
        <v>109617.29</v>
      </c>
      <c r="M12" s="123"/>
      <c r="N12" s="124">
        <v>29596.67</v>
      </c>
      <c r="O12" s="124"/>
      <c r="P12" s="124"/>
      <c r="Q12" s="124"/>
      <c r="R12" s="124"/>
      <c r="S12" s="124"/>
      <c r="T12" s="124"/>
      <c r="U12" s="124"/>
      <c r="V12" s="124">
        <v>10285.39</v>
      </c>
      <c r="W12" s="124">
        <v>149499.35</v>
      </c>
      <c r="X12" s="131">
        <v>45848</v>
      </c>
      <c r="Y12" s="110" t="s">
        <v>392</v>
      </c>
      <c r="Z12" s="109" t="s">
        <v>407</v>
      </c>
      <c r="AA12" s="184"/>
      <c r="AB12" s="109"/>
      <c r="AC12" s="109">
        <v>4711</v>
      </c>
      <c r="AD12" s="109"/>
      <c r="AE12" s="109"/>
      <c r="AF12" s="102" t="s">
        <v>449</v>
      </c>
      <c r="AG12" s="102"/>
    </row>
    <row r="13" spans="1:33" ht="14.25" customHeight="1" x14ac:dyDescent="0.3">
      <c r="A13" s="111">
        <v>45868</v>
      </c>
      <c r="B13" s="142">
        <v>45842</v>
      </c>
      <c r="C13" s="113" t="s">
        <v>396</v>
      </c>
      <c r="D13" s="147" t="s">
        <v>467</v>
      </c>
      <c r="E13" s="107" t="s">
        <v>417</v>
      </c>
      <c r="F13" s="159" t="s">
        <v>414</v>
      </c>
      <c r="G13" s="126" t="s">
        <v>388</v>
      </c>
      <c r="H13" s="109" t="s">
        <v>415</v>
      </c>
      <c r="I13" s="109" t="s">
        <v>465</v>
      </c>
      <c r="J13" s="109" t="s">
        <v>413</v>
      </c>
      <c r="K13" s="128"/>
      <c r="L13" s="123">
        <v>518920.99</v>
      </c>
      <c r="M13" s="123"/>
      <c r="N13" s="124">
        <v>140108.67000000001</v>
      </c>
      <c r="O13" s="124"/>
      <c r="P13" s="124"/>
      <c r="Q13" s="124"/>
      <c r="R13" s="124"/>
      <c r="S13" s="124"/>
      <c r="T13" s="124"/>
      <c r="U13" s="124"/>
      <c r="V13" s="124">
        <v>48690.36</v>
      </c>
      <c r="W13" s="124">
        <v>707720.02</v>
      </c>
      <c r="X13" s="131">
        <v>45854</v>
      </c>
      <c r="Y13" s="110" t="s">
        <v>392</v>
      </c>
      <c r="Z13" s="109" t="s">
        <v>407</v>
      </c>
      <c r="AA13" s="109"/>
      <c r="AB13" s="109"/>
      <c r="AC13" s="109">
        <v>4712</v>
      </c>
      <c r="AD13" s="109"/>
      <c r="AE13" s="109"/>
      <c r="AF13" s="102" t="s">
        <v>449</v>
      </c>
      <c r="AG13" s="102"/>
    </row>
    <row r="14" spans="1:33" ht="14.25" customHeight="1" x14ac:dyDescent="0.3">
      <c r="A14" s="111">
        <v>45868</v>
      </c>
      <c r="B14" s="142">
        <v>45867</v>
      </c>
      <c r="C14" s="113" t="s">
        <v>396</v>
      </c>
      <c r="D14" s="147" t="s">
        <v>468</v>
      </c>
      <c r="E14" s="107" t="s">
        <v>417</v>
      </c>
      <c r="F14" s="159" t="s">
        <v>414</v>
      </c>
      <c r="G14" s="126" t="s">
        <v>388</v>
      </c>
      <c r="H14" s="109" t="s">
        <v>415</v>
      </c>
      <c r="I14" s="109" t="s">
        <v>465</v>
      </c>
      <c r="J14" s="109" t="s">
        <v>413</v>
      </c>
      <c r="K14" s="128"/>
      <c r="L14" s="123">
        <v>150125.29999999999</v>
      </c>
      <c r="M14" s="123"/>
      <c r="N14" s="124">
        <v>40533.83</v>
      </c>
      <c r="O14" s="124"/>
      <c r="P14" s="124"/>
      <c r="Q14" s="124"/>
      <c r="R14" s="124"/>
      <c r="S14" s="124"/>
      <c r="T14" s="124"/>
      <c r="U14" s="124"/>
      <c r="V14" s="124">
        <v>14086.26</v>
      </c>
      <c r="W14" s="124">
        <v>204745.39</v>
      </c>
      <c r="X14" s="131">
        <v>45873</v>
      </c>
      <c r="Y14" s="110" t="s">
        <v>392</v>
      </c>
      <c r="Z14" s="109" t="s">
        <v>407</v>
      </c>
      <c r="AA14" s="109"/>
      <c r="AB14" s="109"/>
      <c r="AC14" s="109">
        <v>4714</v>
      </c>
      <c r="AD14" s="109"/>
      <c r="AE14" s="109"/>
      <c r="AF14" s="102" t="s">
        <v>449</v>
      </c>
      <c r="AG14" s="102"/>
    </row>
    <row r="15" spans="1:33" ht="14.25" customHeight="1" x14ac:dyDescent="0.3">
      <c r="A15" s="111">
        <v>45868</v>
      </c>
      <c r="B15" s="142">
        <v>45867</v>
      </c>
      <c r="C15" s="113" t="s">
        <v>396</v>
      </c>
      <c r="D15" s="147" t="s">
        <v>469</v>
      </c>
      <c r="E15" s="107" t="s">
        <v>417</v>
      </c>
      <c r="F15" s="159" t="s">
        <v>414</v>
      </c>
      <c r="G15" s="126" t="s">
        <v>388</v>
      </c>
      <c r="H15" s="109" t="s">
        <v>415</v>
      </c>
      <c r="I15" s="109" t="s">
        <v>465</v>
      </c>
      <c r="J15" s="109" t="s">
        <v>413</v>
      </c>
      <c r="K15" s="128"/>
      <c r="L15" s="123">
        <v>15564.05</v>
      </c>
      <c r="M15" s="123"/>
      <c r="N15" s="124">
        <v>4202.29</v>
      </c>
      <c r="O15" s="124"/>
      <c r="P15" s="124"/>
      <c r="Q15" s="124"/>
      <c r="R15" s="124"/>
      <c r="S15" s="124"/>
      <c r="T15" s="124"/>
      <c r="U15" s="124"/>
      <c r="V15" s="124">
        <v>1460.37</v>
      </c>
      <c r="W15" s="124">
        <v>21226.71</v>
      </c>
      <c r="X15" s="131">
        <v>45873</v>
      </c>
      <c r="Y15" s="110" t="s">
        <v>392</v>
      </c>
      <c r="Z15" s="109" t="s">
        <v>407</v>
      </c>
      <c r="AA15" s="109"/>
      <c r="AB15" s="109"/>
      <c r="AC15" s="109">
        <v>4715</v>
      </c>
      <c r="AD15" s="109"/>
      <c r="AE15" s="109"/>
      <c r="AF15" s="102" t="s">
        <v>449</v>
      </c>
      <c r="AG15" s="102"/>
    </row>
    <row r="16" spans="1:33" ht="14.25" customHeight="1" x14ac:dyDescent="0.3">
      <c r="A16" s="111">
        <v>45868</v>
      </c>
      <c r="B16" s="142">
        <v>45866</v>
      </c>
      <c r="C16" s="113" t="s">
        <v>396</v>
      </c>
      <c r="D16" s="147" t="s">
        <v>470</v>
      </c>
      <c r="E16" s="107" t="s">
        <v>417</v>
      </c>
      <c r="F16" s="159" t="s">
        <v>414</v>
      </c>
      <c r="G16" s="126" t="s">
        <v>388</v>
      </c>
      <c r="H16" s="109" t="s">
        <v>415</v>
      </c>
      <c r="I16" s="109" t="s">
        <v>390</v>
      </c>
      <c r="J16" s="109" t="s">
        <v>413</v>
      </c>
      <c r="K16" s="128"/>
      <c r="L16" s="123">
        <v>116796.22</v>
      </c>
      <c r="M16" s="123"/>
      <c r="N16" s="124">
        <v>31534.98</v>
      </c>
      <c r="O16" s="124"/>
      <c r="P16" s="124"/>
      <c r="Q16" s="124"/>
      <c r="R16" s="124"/>
      <c r="S16" s="124"/>
      <c r="T16" s="124"/>
      <c r="U16" s="124"/>
      <c r="V16" s="124">
        <v>10958.99</v>
      </c>
      <c r="W16" s="124">
        <v>159290.19</v>
      </c>
      <c r="X16" s="131">
        <v>45873</v>
      </c>
      <c r="Y16" s="110" t="s">
        <v>392</v>
      </c>
      <c r="Z16" s="109" t="s">
        <v>407</v>
      </c>
      <c r="AA16" s="109"/>
      <c r="AB16" s="109"/>
      <c r="AC16" s="109">
        <v>4716</v>
      </c>
      <c r="AD16" s="109"/>
      <c r="AE16" s="109"/>
      <c r="AF16" s="102" t="s">
        <v>449</v>
      </c>
      <c r="AG16" s="102"/>
    </row>
    <row r="17" spans="1:33" ht="14.25" customHeight="1" x14ac:dyDescent="0.3">
      <c r="A17" s="111">
        <v>45868</v>
      </c>
      <c r="B17" s="142">
        <v>45866</v>
      </c>
      <c r="C17" s="113" t="s">
        <v>396</v>
      </c>
      <c r="D17" s="147" t="s">
        <v>471</v>
      </c>
      <c r="E17" s="107" t="s">
        <v>417</v>
      </c>
      <c r="F17" s="159" t="s">
        <v>414</v>
      </c>
      <c r="G17" s="126" t="s">
        <v>388</v>
      </c>
      <c r="H17" s="109" t="s">
        <v>415</v>
      </c>
      <c r="I17" s="109" t="s">
        <v>390</v>
      </c>
      <c r="J17" s="109" t="s">
        <v>413</v>
      </c>
      <c r="K17" s="128"/>
      <c r="L17" s="123">
        <v>28181.54</v>
      </c>
      <c r="M17" s="123"/>
      <c r="N17" s="124">
        <v>7609.02</v>
      </c>
      <c r="O17" s="124"/>
      <c r="P17" s="124"/>
      <c r="Q17" s="124"/>
      <c r="R17" s="124"/>
      <c r="S17" s="124"/>
      <c r="T17" s="124"/>
      <c r="U17" s="124"/>
      <c r="V17" s="124">
        <v>2644.28</v>
      </c>
      <c r="W17" s="124">
        <v>38434.839999999997</v>
      </c>
      <c r="X17" s="131">
        <v>45873</v>
      </c>
      <c r="Y17" s="110" t="s">
        <v>392</v>
      </c>
      <c r="Z17" s="109" t="s">
        <v>407</v>
      </c>
      <c r="AA17" s="109"/>
      <c r="AB17" s="109"/>
      <c r="AC17" s="109">
        <v>4717</v>
      </c>
      <c r="AD17" s="109"/>
      <c r="AE17" s="109"/>
      <c r="AF17" s="102" t="s">
        <v>449</v>
      </c>
      <c r="AG17" s="102"/>
    </row>
    <row r="18" spans="1:33" ht="14.25" customHeight="1" x14ac:dyDescent="0.3">
      <c r="A18" s="111">
        <v>45868</v>
      </c>
      <c r="B18" s="142">
        <v>45842</v>
      </c>
      <c r="C18" s="109" t="s">
        <v>392</v>
      </c>
      <c r="D18" s="112"/>
      <c r="E18" s="107" t="s">
        <v>417</v>
      </c>
      <c r="F18" s="103"/>
      <c r="G18" s="126" t="s">
        <v>388</v>
      </c>
      <c r="H18" s="109" t="s">
        <v>415</v>
      </c>
      <c r="I18" s="109" t="s">
        <v>400</v>
      </c>
      <c r="J18" s="109" t="s">
        <v>413</v>
      </c>
      <c r="K18" s="128"/>
      <c r="L18" s="123"/>
      <c r="M18" s="123"/>
      <c r="N18" s="124"/>
      <c r="O18" s="124"/>
      <c r="P18" s="124"/>
      <c r="Q18" s="124"/>
      <c r="R18" s="124"/>
      <c r="S18" s="124"/>
      <c r="T18" s="124"/>
      <c r="U18" s="124"/>
      <c r="V18" s="124"/>
      <c r="W18" s="124">
        <v>-116272</v>
      </c>
      <c r="X18" s="131">
        <v>45842</v>
      </c>
      <c r="Y18" s="110" t="s">
        <v>392</v>
      </c>
      <c r="Z18" s="109" t="s">
        <v>407</v>
      </c>
      <c r="AA18" s="109" t="s">
        <v>392</v>
      </c>
      <c r="AB18" s="109"/>
      <c r="AC18" s="109">
        <v>4705</v>
      </c>
      <c r="AD18" s="109"/>
      <c r="AE18" s="109"/>
      <c r="AF18" s="102" t="s">
        <v>449</v>
      </c>
      <c r="AG18" s="102"/>
    </row>
    <row r="19" spans="1:33" ht="14.25" customHeight="1" x14ac:dyDescent="0.3">
      <c r="A19" s="111">
        <v>45868</v>
      </c>
      <c r="B19" s="142">
        <v>45863</v>
      </c>
      <c r="C19" s="113" t="s">
        <v>396</v>
      </c>
      <c r="D19" s="147" t="s">
        <v>472</v>
      </c>
      <c r="E19" s="107" t="s">
        <v>417</v>
      </c>
      <c r="F19" s="159" t="s">
        <v>414</v>
      </c>
      <c r="G19" s="126" t="s">
        <v>388</v>
      </c>
      <c r="H19" s="109" t="s">
        <v>415</v>
      </c>
      <c r="I19" s="109" t="s">
        <v>400</v>
      </c>
      <c r="J19" s="109" t="s">
        <v>413</v>
      </c>
      <c r="K19" s="128"/>
      <c r="L19" s="123">
        <v>87365.62</v>
      </c>
      <c r="M19" s="123"/>
      <c r="N19" s="124">
        <v>23588.720000000001</v>
      </c>
      <c r="O19" s="124"/>
      <c r="P19" s="124"/>
      <c r="Q19" s="124"/>
      <c r="R19" s="124"/>
      <c r="S19" s="124"/>
      <c r="T19" s="124"/>
      <c r="U19" s="124"/>
      <c r="V19" s="124">
        <v>8197.52</v>
      </c>
      <c r="W19" s="124">
        <v>119151.86</v>
      </c>
      <c r="X19" s="131">
        <v>45873</v>
      </c>
      <c r="Y19" s="110" t="s">
        <v>392</v>
      </c>
      <c r="Z19" s="109" t="s">
        <v>407</v>
      </c>
      <c r="AA19" s="109"/>
      <c r="AB19" s="109"/>
      <c r="AC19" s="109">
        <v>4718</v>
      </c>
      <c r="AD19" s="109"/>
      <c r="AE19" s="109"/>
      <c r="AF19" s="102" t="s">
        <v>449</v>
      </c>
      <c r="AG19" s="102"/>
    </row>
    <row r="20" spans="1:33" ht="14.25" customHeight="1" x14ac:dyDescent="0.3">
      <c r="A20" s="111">
        <v>45868</v>
      </c>
      <c r="B20" s="142">
        <v>45846</v>
      </c>
      <c r="C20" s="109" t="s">
        <v>392</v>
      </c>
      <c r="D20" s="112"/>
      <c r="E20" s="107" t="s">
        <v>417</v>
      </c>
      <c r="F20" s="103"/>
      <c r="G20" s="126" t="s">
        <v>388</v>
      </c>
      <c r="H20" s="109" t="s">
        <v>415</v>
      </c>
      <c r="I20" s="109" t="s">
        <v>404</v>
      </c>
      <c r="J20" s="109" t="s">
        <v>413</v>
      </c>
      <c r="K20" s="128"/>
      <c r="L20" s="123"/>
      <c r="M20" s="123"/>
      <c r="N20" s="124"/>
      <c r="O20" s="124"/>
      <c r="P20" s="124"/>
      <c r="Q20" s="124"/>
      <c r="R20" s="124"/>
      <c r="S20" s="124"/>
      <c r="T20" s="124"/>
      <c r="U20" s="124"/>
      <c r="V20" s="124"/>
      <c r="W20" s="124">
        <v>-76114.399999999994</v>
      </c>
      <c r="X20" s="131">
        <v>45846</v>
      </c>
      <c r="Y20" s="110" t="s">
        <v>392</v>
      </c>
      <c r="Z20" s="109" t="s">
        <v>407</v>
      </c>
      <c r="AA20" s="184" t="s">
        <v>392</v>
      </c>
      <c r="AB20" s="109"/>
      <c r="AC20" s="109">
        <v>4704</v>
      </c>
      <c r="AD20" s="109"/>
      <c r="AE20" s="109"/>
      <c r="AF20" s="102" t="s">
        <v>449</v>
      </c>
      <c r="AG20" s="102"/>
    </row>
    <row r="21" spans="1:33" ht="14.25" customHeight="1" x14ac:dyDescent="0.3">
      <c r="A21" s="111">
        <v>45868</v>
      </c>
      <c r="B21" s="142">
        <v>45866</v>
      </c>
      <c r="C21" s="113" t="s">
        <v>396</v>
      </c>
      <c r="D21" s="147" t="s">
        <v>473</v>
      </c>
      <c r="E21" s="107" t="s">
        <v>417</v>
      </c>
      <c r="F21" s="159" t="s">
        <v>414</v>
      </c>
      <c r="G21" s="126" t="s">
        <v>388</v>
      </c>
      <c r="H21" s="109" t="s">
        <v>415</v>
      </c>
      <c r="I21" s="109" t="s">
        <v>404</v>
      </c>
      <c r="J21" s="109" t="s">
        <v>413</v>
      </c>
      <c r="K21" s="128"/>
      <c r="L21" s="123">
        <v>74279.91</v>
      </c>
      <c r="M21" s="123"/>
      <c r="N21" s="124">
        <v>20055.580000000002</v>
      </c>
      <c r="O21" s="124"/>
      <c r="P21" s="124"/>
      <c r="Q21" s="124"/>
      <c r="R21" s="124"/>
      <c r="S21" s="124"/>
      <c r="T21" s="124"/>
      <c r="U21" s="124"/>
      <c r="V21" s="124">
        <v>6969.69</v>
      </c>
      <c r="W21" s="124">
        <v>101305.18</v>
      </c>
      <c r="X21" s="131">
        <v>45873</v>
      </c>
      <c r="Y21" s="110" t="s">
        <v>392</v>
      </c>
      <c r="Z21" s="109" t="s">
        <v>407</v>
      </c>
      <c r="AA21" s="109"/>
      <c r="AB21" s="109"/>
      <c r="AC21" s="109">
        <v>4719</v>
      </c>
      <c r="AD21" s="109"/>
      <c r="AE21" s="109"/>
      <c r="AF21" s="102" t="s">
        <v>449</v>
      </c>
      <c r="AG21" s="102"/>
    </row>
    <row r="22" spans="1:33" ht="14.25" customHeight="1" x14ac:dyDescent="0.3">
      <c r="A22" s="111">
        <v>45868</v>
      </c>
      <c r="B22" s="142">
        <v>45846</v>
      </c>
      <c r="C22" s="109" t="s">
        <v>392</v>
      </c>
      <c r="D22" s="112"/>
      <c r="E22" s="107" t="s">
        <v>417</v>
      </c>
      <c r="F22" s="103"/>
      <c r="G22" s="126" t="s">
        <v>388</v>
      </c>
      <c r="H22" s="109" t="s">
        <v>415</v>
      </c>
      <c r="I22" s="109" t="s">
        <v>424</v>
      </c>
      <c r="J22" s="109" t="s">
        <v>413</v>
      </c>
      <c r="K22" s="128"/>
      <c r="L22" s="123"/>
      <c r="M22" s="123"/>
      <c r="N22" s="124"/>
      <c r="O22" s="124"/>
      <c r="P22" s="124"/>
      <c r="Q22" s="124"/>
      <c r="R22" s="124"/>
      <c r="S22" s="124"/>
      <c r="T22" s="124"/>
      <c r="U22" s="124"/>
      <c r="V22" s="124"/>
      <c r="W22" s="124">
        <v>-51498.47</v>
      </c>
      <c r="X22" s="131">
        <v>45846</v>
      </c>
      <c r="Y22" s="110" t="s">
        <v>392</v>
      </c>
      <c r="Z22" s="109" t="s">
        <v>407</v>
      </c>
      <c r="AA22" s="184" t="s">
        <v>392</v>
      </c>
      <c r="AB22" s="109"/>
      <c r="AC22" s="109">
        <v>4702</v>
      </c>
      <c r="AD22" s="109"/>
      <c r="AE22" s="109"/>
      <c r="AF22" s="102" t="s">
        <v>449</v>
      </c>
      <c r="AG22" s="102"/>
    </row>
    <row r="23" spans="1:33" ht="14.25" customHeight="1" x14ac:dyDescent="0.3">
      <c r="A23" s="111">
        <v>45868</v>
      </c>
      <c r="B23" s="142">
        <v>45846</v>
      </c>
      <c r="C23" s="113" t="s">
        <v>401</v>
      </c>
      <c r="D23" s="112"/>
      <c r="E23" s="107" t="s">
        <v>417</v>
      </c>
      <c r="F23" s="118" t="s">
        <v>442</v>
      </c>
      <c r="G23" s="132" t="s">
        <v>388</v>
      </c>
      <c r="H23" s="109" t="s">
        <v>415</v>
      </c>
      <c r="I23" s="109" t="s">
        <v>424</v>
      </c>
      <c r="J23" s="109" t="s">
        <v>413</v>
      </c>
      <c r="K23" s="128"/>
      <c r="L23" s="133"/>
      <c r="M23" s="133"/>
      <c r="N23" s="134"/>
      <c r="O23" s="134"/>
      <c r="P23" s="134"/>
      <c r="Q23" s="134"/>
      <c r="R23" s="134"/>
      <c r="S23" s="134"/>
      <c r="T23" s="134"/>
      <c r="U23" s="134"/>
      <c r="V23" s="134"/>
      <c r="W23" s="124">
        <v>51498.47</v>
      </c>
      <c r="X23" s="131">
        <v>45846</v>
      </c>
      <c r="Y23" s="110" t="s">
        <v>392</v>
      </c>
      <c r="Z23" s="109"/>
      <c r="AA23" s="109"/>
      <c r="AB23" s="109"/>
      <c r="AC23" s="109">
        <v>4709</v>
      </c>
      <c r="AD23" s="109"/>
      <c r="AE23" s="109"/>
      <c r="AF23" s="102" t="s">
        <v>449</v>
      </c>
      <c r="AG23" s="102"/>
    </row>
    <row r="24" spans="1:33" ht="14.25" customHeight="1" x14ac:dyDescent="0.3">
      <c r="A24" s="111">
        <v>45868</v>
      </c>
      <c r="B24" s="142">
        <v>45846</v>
      </c>
      <c r="C24" s="109" t="s">
        <v>392</v>
      </c>
      <c r="D24" s="112"/>
      <c r="E24" s="107" t="s">
        <v>417</v>
      </c>
      <c r="F24" s="103"/>
      <c r="G24" s="126" t="s">
        <v>388</v>
      </c>
      <c r="H24" s="109" t="s">
        <v>415</v>
      </c>
      <c r="I24" s="109" t="s">
        <v>390</v>
      </c>
      <c r="J24" s="109" t="s">
        <v>413</v>
      </c>
      <c r="K24" s="128"/>
      <c r="L24" s="160"/>
      <c r="M24" s="133"/>
      <c r="N24" s="134"/>
      <c r="O24" s="134"/>
      <c r="P24" s="134"/>
      <c r="Q24" s="134"/>
      <c r="R24" s="134"/>
      <c r="S24" s="134"/>
      <c r="T24" s="134"/>
      <c r="U24" s="134"/>
      <c r="V24" s="134"/>
      <c r="W24" s="124">
        <v>-130250.3</v>
      </c>
      <c r="X24" s="131">
        <v>45846</v>
      </c>
      <c r="Y24" s="110" t="s">
        <v>392</v>
      </c>
      <c r="Z24" s="109" t="s">
        <v>407</v>
      </c>
      <c r="AA24" s="115" t="s">
        <v>392</v>
      </c>
      <c r="AB24" s="109"/>
      <c r="AC24" s="109">
        <v>4700</v>
      </c>
      <c r="AD24" s="109"/>
      <c r="AE24" s="109"/>
      <c r="AF24" s="102" t="s">
        <v>449</v>
      </c>
      <c r="AG24" s="102"/>
    </row>
    <row r="25" spans="1:33" ht="14.25" customHeight="1" x14ac:dyDescent="0.3">
      <c r="A25" s="111">
        <v>45868</v>
      </c>
      <c r="B25" s="142">
        <v>45846</v>
      </c>
      <c r="C25" s="109" t="s">
        <v>392</v>
      </c>
      <c r="D25" s="112"/>
      <c r="E25" s="107" t="s">
        <v>417</v>
      </c>
      <c r="F25" s="103"/>
      <c r="G25" s="188" t="s">
        <v>388</v>
      </c>
      <c r="H25" s="109" t="s">
        <v>415</v>
      </c>
      <c r="I25" s="109" t="s">
        <v>390</v>
      </c>
      <c r="J25" s="109" t="s">
        <v>413</v>
      </c>
      <c r="K25" s="128"/>
      <c r="L25" s="123"/>
      <c r="M25" s="123"/>
      <c r="N25" s="124"/>
      <c r="O25" s="124"/>
      <c r="P25" s="124"/>
      <c r="Q25" s="124"/>
      <c r="R25" s="124"/>
      <c r="S25" s="124"/>
      <c r="T25" s="124"/>
      <c r="U25" s="124"/>
      <c r="V25" s="124"/>
      <c r="W25" s="124">
        <v>-25188.42</v>
      </c>
      <c r="X25" s="131">
        <v>45846</v>
      </c>
      <c r="Y25" s="110" t="s">
        <v>392</v>
      </c>
      <c r="Z25" s="109" t="s">
        <v>407</v>
      </c>
      <c r="AA25" s="115" t="s">
        <v>392</v>
      </c>
      <c r="AB25" s="109"/>
      <c r="AC25" s="109">
        <v>4701</v>
      </c>
      <c r="AD25" s="109"/>
      <c r="AE25" s="109"/>
      <c r="AF25" s="102" t="s">
        <v>449</v>
      </c>
      <c r="AG25" s="102"/>
    </row>
    <row r="26" spans="1:33" ht="14.25" customHeight="1" x14ac:dyDescent="0.3">
      <c r="A26" s="111">
        <v>45868</v>
      </c>
      <c r="B26" s="142">
        <v>45848</v>
      </c>
      <c r="C26" s="109" t="s">
        <v>392</v>
      </c>
      <c r="D26" s="112"/>
      <c r="E26" s="107" t="s">
        <v>417</v>
      </c>
      <c r="F26" s="103"/>
      <c r="G26" s="126" t="s">
        <v>388</v>
      </c>
      <c r="H26" s="109" t="s">
        <v>415</v>
      </c>
      <c r="I26" s="109" t="s">
        <v>465</v>
      </c>
      <c r="J26" s="109" t="s">
        <v>413</v>
      </c>
      <c r="K26" s="128"/>
      <c r="L26" s="160"/>
      <c r="M26" s="133"/>
      <c r="N26" s="134"/>
      <c r="O26" s="134"/>
      <c r="P26" s="134"/>
      <c r="Q26" s="134"/>
      <c r="R26" s="134"/>
      <c r="S26" s="134"/>
      <c r="T26" s="134"/>
      <c r="U26" s="134"/>
      <c r="V26" s="134"/>
      <c r="W26" s="124">
        <v>-16683.93</v>
      </c>
      <c r="X26" s="131">
        <v>45848</v>
      </c>
      <c r="Y26" s="110" t="s">
        <v>392</v>
      </c>
      <c r="Z26" s="109" t="s">
        <v>407</v>
      </c>
      <c r="AA26" s="115" t="s">
        <v>392</v>
      </c>
      <c r="AB26" s="109"/>
      <c r="AC26" s="109">
        <v>4697</v>
      </c>
      <c r="AD26" s="109"/>
      <c r="AE26" s="109"/>
      <c r="AF26" s="102" t="s">
        <v>449</v>
      </c>
      <c r="AG26" s="102"/>
    </row>
    <row r="27" spans="1:33" ht="14.25" customHeight="1" x14ac:dyDescent="0.3">
      <c r="A27" s="111">
        <v>45868</v>
      </c>
      <c r="B27" s="142">
        <v>45848</v>
      </c>
      <c r="C27" s="109" t="s">
        <v>392</v>
      </c>
      <c r="D27" s="112"/>
      <c r="E27" s="107" t="s">
        <v>417</v>
      </c>
      <c r="F27" s="103"/>
      <c r="G27" s="126" t="s">
        <v>388</v>
      </c>
      <c r="H27" s="109" t="s">
        <v>415</v>
      </c>
      <c r="I27" s="109" t="s">
        <v>465</v>
      </c>
      <c r="J27" s="109" t="s">
        <v>413</v>
      </c>
      <c r="K27" s="128"/>
      <c r="L27" s="160"/>
      <c r="M27" s="133"/>
      <c r="N27" s="134"/>
      <c r="O27" s="134"/>
      <c r="P27" s="134"/>
      <c r="Q27" s="134"/>
      <c r="R27" s="134"/>
      <c r="S27" s="134"/>
      <c r="T27" s="134"/>
      <c r="U27" s="134"/>
      <c r="V27" s="134"/>
      <c r="W27" s="124">
        <v>-149499.35</v>
      </c>
      <c r="X27" s="131">
        <v>45848</v>
      </c>
      <c r="Y27" s="110" t="s">
        <v>392</v>
      </c>
      <c r="Z27" s="109" t="s">
        <v>407</v>
      </c>
      <c r="AA27" s="115" t="s">
        <v>392</v>
      </c>
      <c r="AB27" s="109"/>
      <c r="AC27" s="109">
        <v>4698</v>
      </c>
      <c r="AD27" s="109"/>
      <c r="AE27" s="109"/>
      <c r="AF27" s="102" t="s">
        <v>449</v>
      </c>
      <c r="AG27" s="102"/>
    </row>
    <row r="28" spans="1:33" ht="14.25" customHeight="1" x14ac:dyDescent="0.3">
      <c r="A28" s="111">
        <v>45868</v>
      </c>
      <c r="B28" s="120" t="s">
        <v>451</v>
      </c>
      <c r="C28" s="109" t="s">
        <v>392</v>
      </c>
      <c r="D28" s="112"/>
      <c r="E28" s="123" t="s">
        <v>445</v>
      </c>
      <c r="F28" s="103"/>
      <c r="G28" s="138" t="s">
        <v>388</v>
      </c>
      <c r="H28" s="109" t="s">
        <v>389</v>
      </c>
      <c r="I28" s="109" t="s">
        <v>390</v>
      </c>
      <c r="J28" s="124" t="s">
        <v>391</v>
      </c>
      <c r="K28" s="128"/>
      <c r="L28" s="123"/>
      <c r="M28" s="123"/>
      <c r="N28" s="124"/>
      <c r="O28" s="124"/>
      <c r="P28" s="124"/>
      <c r="Q28" s="124"/>
      <c r="R28" s="124"/>
      <c r="S28" s="124"/>
      <c r="T28" s="124"/>
      <c r="U28" s="124"/>
      <c r="V28" s="124"/>
      <c r="W28" s="124">
        <v>-807312</v>
      </c>
      <c r="X28" s="131">
        <v>45848</v>
      </c>
      <c r="Y28" s="110" t="s">
        <v>392</v>
      </c>
      <c r="Z28" s="109" t="s">
        <v>393</v>
      </c>
      <c r="AA28" s="114" t="s">
        <v>394</v>
      </c>
      <c r="AB28" s="109"/>
      <c r="AC28" s="109">
        <v>4753</v>
      </c>
      <c r="AD28" s="109"/>
      <c r="AE28" s="109"/>
      <c r="AF28" s="102" t="s">
        <v>449</v>
      </c>
    </row>
    <row r="29" spans="1:33" ht="14.25" customHeight="1" x14ac:dyDescent="0.3">
      <c r="A29" s="111">
        <v>45868</v>
      </c>
      <c r="B29" s="140">
        <v>45848</v>
      </c>
      <c r="C29" s="109" t="s">
        <v>386</v>
      </c>
      <c r="D29" s="115" t="s">
        <v>474</v>
      </c>
      <c r="E29" s="123" t="s">
        <v>445</v>
      </c>
      <c r="F29" s="115" t="s">
        <v>387</v>
      </c>
      <c r="G29" s="109" t="s">
        <v>388</v>
      </c>
      <c r="H29" s="109" t="s">
        <v>389</v>
      </c>
      <c r="I29" s="109" t="s">
        <v>390</v>
      </c>
      <c r="J29" s="109" t="s">
        <v>391</v>
      </c>
      <c r="K29" s="119">
        <v>30718566939</v>
      </c>
      <c r="L29" s="129">
        <v>667200</v>
      </c>
      <c r="M29" s="123"/>
      <c r="N29" s="130">
        <v>140112</v>
      </c>
      <c r="O29" s="130">
        <v>0</v>
      </c>
      <c r="P29" s="124"/>
      <c r="Q29" s="124"/>
      <c r="R29" s="124"/>
      <c r="S29" s="124"/>
      <c r="T29" s="124"/>
      <c r="U29" s="124"/>
      <c r="V29" s="130">
        <v>0</v>
      </c>
      <c r="W29" s="130">
        <v>807312</v>
      </c>
      <c r="X29" s="131">
        <v>45848</v>
      </c>
      <c r="Y29" s="110" t="s">
        <v>392</v>
      </c>
      <c r="Z29" s="109" t="s">
        <v>393</v>
      </c>
      <c r="AA29" s="114" t="s">
        <v>394</v>
      </c>
      <c r="AB29" s="109"/>
      <c r="AC29" s="109">
        <v>4754</v>
      </c>
      <c r="AD29" s="109"/>
      <c r="AE29" s="109"/>
      <c r="AF29" s="102" t="s">
        <v>449</v>
      </c>
    </row>
    <row r="30" spans="1:33" ht="14.25" customHeight="1" x14ac:dyDescent="0.3">
      <c r="A30" s="111">
        <v>45868</v>
      </c>
      <c r="B30" s="140">
        <v>45841</v>
      </c>
      <c r="C30" s="109" t="s">
        <v>396</v>
      </c>
      <c r="D30" s="115" t="s">
        <v>475</v>
      </c>
      <c r="E30" s="123" t="s">
        <v>399</v>
      </c>
      <c r="F30" s="115" t="s">
        <v>387</v>
      </c>
      <c r="G30" s="109" t="s">
        <v>388</v>
      </c>
      <c r="H30" s="109" t="s">
        <v>402</v>
      </c>
      <c r="I30" s="109" t="s">
        <v>400</v>
      </c>
      <c r="J30" s="109" t="s">
        <v>397</v>
      </c>
      <c r="K30" s="119">
        <v>30619447928</v>
      </c>
      <c r="L30" s="129">
        <v>1846064.21</v>
      </c>
      <c r="M30" s="123"/>
      <c r="N30" s="130">
        <v>387673.48</v>
      </c>
      <c r="O30" s="130">
        <v>0</v>
      </c>
      <c r="P30" s="124"/>
      <c r="Q30" s="124"/>
      <c r="R30" s="124"/>
      <c r="S30" s="124"/>
      <c r="T30" s="124"/>
      <c r="U30" s="124"/>
      <c r="V30" s="130">
        <v>92303.21</v>
      </c>
      <c r="W30" s="130">
        <v>2326040.9</v>
      </c>
      <c r="X30" s="131"/>
      <c r="Y30" s="110"/>
      <c r="Z30" s="109"/>
      <c r="AA30" s="109"/>
      <c r="AB30" s="109"/>
      <c r="AC30" s="109">
        <v>4763</v>
      </c>
      <c r="AD30" s="109"/>
      <c r="AE30" s="109"/>
      <c r="AF30" s="102" t="s">
        <v>449</v>
      </c>
    </row>
    <row r="31" spans="1:33" ht="14.25" customHeight="1" x14ac:dyDescent="0.3">
      <c r="A31" s="111">
        <v>45868</v>
      </c>
      <c r="B31" s="140">
        <v>45842</v>
      </c>
      <c r="C31" s="109" t="s">
        <v>396</v>
      </c>
      <c r="D31" s="115" t="s">
        <v>476</v>
      </c>
      <c r="E31" s="123" t="s">
        <v>399</v>
      </c>
      <c r="F31" s="115" t="s">
        <v>387</v>
      </c>
      <c r="G31" s="109" t="s">
        <v>388</v>
      </c>
      <c r="H31" s="109" t="s">
        <v>389</v>
      </c>
      <c r="I31" s="109" t="s">
        <v>400</v>
      </c>
      <c r="J31" s="109" t="s">
        <v>397</v>
      </c>
      <c r="K31" s="119">
        <v>30619447928</v>
      </c>
      <c r="L31" s="129">
        <v>1299988.6000000001</v>
      </c>
      <c r="M31" s="123"/>
      <c r="N31" s="130">
        <v>272997.61</v>
      </c>
      <c r="O31" s="130">
        <v>0</v>
      </c>
      <c r="P31" s="124"/>
      <c r="Q31" s="124"/>
      <c r="R31" s="124"/>
      <c r="S31" s="124"/>
      <c r="T31" s="124"/>
      <c r="U31" s="124"/>
      <c r="V31" s="130">
        <v>64999.43</v>
      </c>
      <c r="W31" s="130">
        <v>1637985.64</v>
      </c>
      <c r="X31" s="131"/>
      <c r="Y31" s="110"/>
      <c r="Z31" s="109"/>
      <c r="AA31" s="109"/>
      <c r="AB31" s="109"/>
      <c r="AC31" s="109">
        <v>4764</v>
      </c>
      <c r="AD31" s="109"/>
      <c r="AE31" s="109"/>
      <c r="AF31" s="102" t="s">
        <v>449</v>
      </c>
    </row>
    <row r="32" spans="1:33" ht="14.25" customHeight="1" x14ac:dyDescent="0.3">
      <c r="A32" s="111">
        <v>45868</v>
      </c>
      <c r="B32" s="120" t="s">
        <v>451</v>
      </c>
      <c r="C32" s="109" t="s">
        <v>392</v>
      </c>
      <c r="D32" s="112"/>
      <c r="E32" s="123" t="s">
        <v>399</v>
      </c>
      <c r="F32" s="103"/>
      <c r="G32" s="109" t="s">
        <v>388</v>
      </c>
      <c r="H32" s="109" t="s">
        <v>389</v>
      </c>
      <c r="I32" s="109" t="s">
        <v>400</v>
      </c>
      <c r="J32" s="109" t="s">
        <v>397</v>
      </c>
      <c r="K32" s="128"/>
      <c r="L32" s="123"/>
      <c r="M32" s="123"/>
      <c r="N32" s="124"/>
      <c r="O32" s="124"/>
      <c r="P32" s="124"/>
      <c r="Q32" s="124"/>
      <c r="R32" s="124"/>
      <c r="S32" s="124"/>
      <c r="T32" s="124"/>
      <c r="U32" s="124"/>
      <c r="V32" s="124"/>
      <c r="W32" s="124">
        <v>-1637985.64</v>
      </c>
      <c r="X32" s="131">
        <v>45848</v>
      </c>
      <c r="Y32" s="110" t="s">
        <v>392</v>
      </c>
      <c r="Z32" s="109" t="s">
        <v>393</v>
      </c>
      <c r="AA32" s="195" t="s">
        <v>394</v>
      </c>
      <c r="AB32" s="109"/>
      <c r="AC32" s="109">
        <v>4765</v>
      </c>
      <c r="AD32" s="109"/>
      <c r="AE32" s="109"/>
      <c r="AF32" s="102" t="s">
        <v>449</v>
      </c>
    </row>
    <row r="33" spans="1:33" ht="14.25" customHeight="1" x14ac:dyDescent="0.3">
      <c r="A33" s="111">
        <v>45868</v>
      </c>
      <c r="B33" s="120" t="s">
        <v>451</v>
      </c>
      <c r="C33" s="109" t="s">
        <v>392</v>
      </c>
      <c r="D33" s="112"/>
      <c r="E33" s="123" t="s">
        <v>399</v>
      </c>
      <c r="F33" s="103"/>
      <c r="G33" s="109" t="s">
        <v>388</v>
      </c>
      <c r="H33" s="109" t="s">
        <v>402</v>
      </c>
      <c r="I33" s="109" t="s">
        <v>400</v>
      </c>
      <c r="J33" s="109" t="s">
        <v>397</v>
      </c>
      <c r="K33" s="128"/>
      <c r="L33" s="123"/>
      <c r="M33" s="123"/>
      <c r="N33" s="124"/>
      <c r="O33" s="124"/>
      <c r="P33" s="124"/>
      <c r="Q33" s="124"/>
      <c r="R33" s="124"/>
      <c r="S33" s="124"/>
      <c r="T33" s="124"/>
      <c r="U33" s="124"/>
      <c r="V33" s="124"/>
      <c r="W33" s="124">
        <v>-2326040.9</v>
      </c>
      <c r="X33" s="131">
        <v>45848</v>
      </c>
      <c r="Y33" s="110" t="s">
        <v>392</v>
      </c>
      <c r="Z33" s="109" t="s">
        <v>393</v>
      </c>
      <c r="AA33" s="114" t="s">
        <v>394</v>
      </c>
      <c r="AB33" s="109"/>
      <c r="AC33" s="109">
        <v>4766</v>
      </c>
      <c r="AD33" s="109"/>
      <c r="AE33" s="109"/>
      <c r="AF33" s="102" t="s">
        <v>449</v>
      </c>
    </row>
    <row r="34" spans="1:33" ht="14.25" customHeight="1" x14ac:dyDescent="0.3">
      <c r="A34" s="111">
        <v>45868</v>
      </c>
      <c r="B34" s="140">
        <v>45842</v>
      </c>
      <c r="C34" s="109" t="s">
        <v>396</v>
      </c>
      <c r="D34" s="115" t="s">
        <v>480</v>
      </c>
      <c r="E34" s="123" t="s">
        <v>432</v>
      </c>
      <c r="F34" s="115" t="s">
        <v>387</v>
      </c>
      <c r="G34" s="109" t="s">
        <v>388</v>
      </c>
      <c r="H34" s="109" t="s">
        <v>389</v>
      </c>
      <c r="I34" s="109" t="s">
        <v>434</v>
      </c>
      <c r="J34" s="109" t="s">
        <v>391</v>
      </c>
      <c r="K34" s="119">
        <v>30525399474</v>
      </c>
      <c r="L34" s="129">
        <v>436215.39</v>
      </c>
      <c r="M34" s="123"/>
      <c r="N34" s="130">
        <v>91605.23</v>
      </c>
      <c r="O34" s="130"/>
      <c r="P34" s="124"/>
      <c r="Q34" s="124"/>
      <c r="R34" s="124"/>
      <c r="S34" s="124"/>
      <c r="T34" s="124"/>
      <c r="U34" s="124"/>
      <c r="V34" s="130">
        <v>0</v>
      </c>
      <c r="W34" s="130">
        <v>527820.62</v>
      </c>
      <c r="X34" s="131"/>
      <c r="Y34" s="110"/>
      <c r="Z34" s="109"/>
      <c r="AA34" s="115"/>
      <c r="AB34" s="109"/>
      <c r="AC34" s="109">
        <v>4782</v>
      </c>
      <c r="AD34" s="109"/>
      <c r="AE34" s="109"/>
      <c r="AF34" s="102" t="s">
        <v>449</v>
      </c>
    </row>
    <row r="35" spans="1:33" ht="14.25" customHeight="1" x14ac:dyDescent="0.3">
      <c r="A35" s="111">
        <v>45868</v>
      </c>
      <c r="B35" s="140">
        <v>45842</v>
      </c>
      <c r="C35" s="109" t="s">
        <v>396</v>
      </c>
      <c r="D35" s="115" t="s">
        <v>480</v>
      </c>
      <c r="E35" s="123" t="s">
        <v>432</v>
      </c>
      <c r="F35" s="115" t="s">
        <v>387</v>
      </c>
      <c r="G35" s="109" t="s">
        <v>388</v>
      </c>
      <c r="H35" s="109" t="s">
        <v>402</v>
      </c>
      <c r="I35" s="109" t="s">
        <v>434</v>
      </c>
      <c r="J35" s="109" t="s">
        <v>391</v>
      </c>
      <c r="K35" s="119">
        <v>30525399474</v>
      </c>
      <c r="L35" s="129"/>
      <c r="M35" s="123"/>
      <c r="N35" s="130"/>
      <c r="O35" s="130">
        <v>46940.79</v>
      </c>
      <c r="P35" s="124"/>
      <c r="Q35" s="124"/>
      <c r="R35" s="124"/>
      <c r="S35" s="124"/>
      <c r="T35" s="124"/>
      <c r="U35" s="124"/>
      <c r="V35" s="130">
        <v>0</v>
      </c>
      <c r="W35" s="130">
        <v>46940.79</v>
      </c>
      <c r="X35" s="131"/>
      <c r="Y35" s="110"/>
      <c r="Z35" s="109"/>
      <c r="AA35" s="115"/>
      <c r="AB35" s="109"/>
      <c r="AC35" s="109">
        <v>4782</v>
      </c>
      <c r="AD35" s="109"/>
      <c r="AE35" s="109"/>
      <c r="AF35" s="102" t="s">
        <v>449</v>
      </c>
      <c r="AG35" s="102"/>
    </row>
    <row r="36" spans="1:33" ht="14.25" customHeight="1" x14ac:dyDescent="0.3">
      <c r="A36" s="111">
        <v>45868</v>
      </c>
      <c r="B36" s="140">
        <v>45839</v>
      </c>
      <c r="C36" s="109" t="s">
        <v>396</v>
      </c>
      <c r="D36" s="115" t="s">
        <v>479</v>
      </c>
      <c r="E36" s="123" t="s">
        <v>432</v>
      </c>
      <c r="F36" s="115" t="s">
        <v>387</v>
      </c>
      <c r="G36" s="109" t="s">
        <v>388</v>
      </c>
      <c r="H36" s="109" t="s">
        <v>402</v>
      </c>
      <c r="I36" s="109" t="s">
        <v>443</v>
      </c>
      <c r="J36" s="109" t="s">
        <v>391</v>
      </c>
      <c r="K36" s="119">
        <v>30525399474</v>
      </c>
      <c r="L36" s="129"/>
      <c r="M36" s="123"/>
      <c r="N36" s="130"/>
      <c r="O36" s="130">
        <v>17007.53</v>
      </c>
      <c r="P36" s="124"/>
      <c r="Q36" s="124"/>
      <c r="R36" s="124"/>
      <c r="S36" s="124"/>
      <c r="T36" s="124"/>
      <c r="U36" s="124"/>
      <c r="V36" s="130">
        <v>0</v>
      </c>
      <c r="W36" s="130">
        <v>17007.53</v>
      </c>
      <c r="X36" s="131"/>
      <c r="Y36" s="110"/>
      <c r="Z36" s="109"/>
      <c r="AA36" s="115"/>
      <c r="AB36" s="109"/>
      <c r="AC36" s="109">
        <v>4780</v>
      </c>
      <c r="AD36" s="109"/>
      <c r="AE36" s="109"/>
      <c r="AF36" s="102" t="s">
        <v>449</v>
      </c>
    </row>
    <row r="37" spans="1:33" ht="14.25" customHeight="1" x14ac:dyDescent="0.3">
      <c r="A37" s="111">
        <v>45868</v>
      </c>
      <c r="B37" s="140">
        <v>45839</v>
      </c>
      <c r="C37" s="109" t="s">
        <v>396</v>
      </c>
      <c r="D37" s="115" t="s">
        <v>479</v>
      </c>
      <c r="E37" s="123" t="s">
        <v>432</v>
      </c>
      <c r="F37" s="115" t="s">
        <v>387</v>
      </c>
      <c r="G37" s="109" t="s">
        <v>388</v>
      </c>
      <c r="H37" s="109" t="s">
        <v>389</v>
      </c>
      <c r="I37" s="109" t="s">
        <v>443</v>
      </c>
      <c r="J37" s="109" t="s">
        <v>391</v>
      </c>
      <c r="K37" s="119">
        <v>30525399474</v>
      </c>
      <c r="L37" s="129">
        <v>250000</v>
      </c>
      <c r="M37" s="123"/>
      <c r="N37" s="130">
        <v>52500</v>
      </c>
      <c r="O37" s="130"/>
      <c r="P37" s="124"/>
      <c r="Q37" s="124"/>
      <c r="R37" s="124"/>
      <c r="S37" s="124"/>
      <c r="T37" s="124"/>
      <c r="U37" s="124"/>
      <c r="V37" s="130">
        <v>0</v>
      </c>
      <c r="W37" s="130">
        <v>302500</v>
      </c>
      <c r="X37" s="131"/>
      <c r="Y37" s="110"/>
      <c r="Z37" s="109"/>
      <c r="AA37" s="109"/>
      <c r="AB37" s="109"/>
      <c r="AC37" s="109">
        <v>4781</v>
      </c>
      <c r="AD37" s="109"/>
      <c r="AE37" s="109"/>
      <c r="AF37" s="102" t="s">
        <v>449</v>
      </c>
    </row>
    <row r="38" spans="1:33" ht="14.25" customHeight="1" x14ac:dyDescent="0.3">
      <c r="A38" s="111">
        <v>45868</v>
      </c>
      <c r="B38" s="140">
        <v>45839</v>
      </c>
      <c r="C38" s="109" t="s">
        <v>396</v>
      </c>
      <c r="D38" s="115" t="s">
        <v>478</v>
      </c>
      <c r="E38" s="123" t="s">
        <v>432</v>
      </c>
      <c r="F38" s="115" t="s">
        <v>387</v>
      </c>
      <c r="G38" s="109" t="s">
        <v>388</v>
      </c>
      <c r="H38" s="109" t="s">
        <v>402</v>
      </c>
      <c r="I38" s="109" t="s">
        <v>437</v>
      </c>
      <c r="J38" s="109" t="s">
        <v>391</v>
      </c>
      <c r="K38" s="119">
        <v>30525399474</v>
      </c>
      <c r="L38" s="129"/>
      <c r="M38" s="123"/>
      <c r="N38" s="130"/>
      <c r="O38" s="130">
        <v>293890.13</v>
      </c>
      <c r="P38" s="124"/>
      <c r="Q38" s="124"/>
      <c r="R38" s="124"/>
      <c r="S38" s="124"/>
      <c r="T38" s="124"/>
      <c r="U38" s="124"/>
      <c r="V38" s="130">
        <v>0</v>
      </c>
      <c r="W38" s="130">
        <v>293890.13</v>
      </c>
      <c r="X38" s="131"/>
      <c r="Y38" s="110"/>
      <c r="Z38" s="109"/>
      <c r="AA38" s="109"/>
      <c r="AB38" s="109"/>
      <c r="AC38" s="109">
        <v>4778</v>
      </c>
      <c r="AD38" s="109"/>
      <c r="AE38" s="109"/>
      <c r="AF38" s="102" t="s">
        <v>449</v>
      </c>
    </row>
    <row r="39" spans="1:33" ht="14.25" customHeight="1" x14ac:dyDescent="0.3">
      <c r="A39" s="111">
        <v>45868</v>
      </c>
      <c r="B39" s="140">
        <v>45839</v>
      </c>
      <c r="C39" s="109" t="s">
        <v>396</v>
      </c>
      <c r="D39" s="115" t="s">
        <v>478</v>
      </c>
      <c r="E39" s="123" t="s">
        <v>432</v>
      </c>
      <c r="F39" s="115" t="s">
        <v>387</v>
      </c>
      <c r="G39" s="109" t="s">
        <v>388</v>
      </c>
      <c r="H39" s="109" t="s">
        <v>389</v>
      </c>
      <c r="I39" s="109" t="s">
        <v>437</v>
      </c>
      <c r="J39" s="109" t="s">
        <v>391</v>
      </c>
      <c r="K39" s="119">
        <v>30525399474</v>
      </c>
      <c r="L39" s="129">
        <v>554000</v>
      </c>
      <c r="M39" s="123"/>
      <c r="N39" s="130">
        <v>116340</v>
      </c>
      <c r="O39" s="130"/>
      <c r="P39" s="124"/>
      <c r="Q39" s="124"/>
      <c r="R39" s="124"/>
      <c r="S39" s="124"/>
      <c r="T39" s="124"/>
      <c r="U39" s="124"/>
      <c r="V39" s="130">
        <v>0</v>
      </c>
      <c r="W39" s="130">
        <v>670340</v>
      </c>
      <c r="X39" s="131"/>
      <c r="Y39" s="110"/>
      <c r="Z39" s="109"/>
      <c r="AA39" s="109"/>
      <c r="AB39" s="109"/>
      <c r="AC39" s="109">
        <v>4779</v>
      </c>
      <c r="AD39" s="109"/>
      <c r="AE39" s="109"/>
      <c r="AF39" s="102" t="s">
        <v>449</v>
      </c>
    </row>
    <row r="40" spans="1:33" ht="14.25" customHeight="1" x14ac:dyDescent="0.3">
      <c r="A40" s="111">
        <v>45868</v>
      </c>
      <c r="B40" s="140">
        <v>45839</v>
      </c>
      <c r="C40" s="109" t="s">
        <v>396</v>
      </c>
      <c r="D40" s="115" t="s">
        <v>477</v>
      </c>
      <c r="E40" s="123" t="s">
        <v>432</v>
      </c>
      <c r="F40" s="115" t="s">
        <v>387</v>
      </c>
      <c r="G40" s="109" t="s">
        <v>388</v>
      </c>
      <c r="H40" s="109" t="s">
        <v>402</v>
      </c>
      <c r="I40" s="109" t="s">
        <v>433</v>
      </c>
      <c r="J40" s="109" t="s">
        <v>391</v>
      </c>
      <c r="K40" s="119">
        <v>30525399474</v>
      </c>
      <c r="L40" s="129">
        <v>0</v>
      </c>
      <c r="M40" s="123"/>
      <c r="N40" s="130">
        <v>0</v>
      </c>
      <c r="O40" s="130">
        <v>306815.86</v>
      </c>
      <c r="P40" s="124"/>
      <c r="Q40" s="124"/>
      <c r="R40" s="124"/>
      <c r="S40" s="124"/>
      <c r="T40" s="124"/>
      <c r="U40" s="124"/>
      <c r="V40" s="130">
        <v>0</v>
      </c>
      <c r="W40" s="130">
        <v>306815.86</v>
      </c>
      <c r="X40" s="131"/>
      <c r="Y40" s="110"/>
      <c r="Z40" s="109"/>
      <c r="AA40" s="109"/>
      <c r="AB40" s="109"/>
      <c r="AC40" s="109">
        <v>4776</v>
      </c>
      <c r="AD40" s="109"/>
      <c r="AE40" s="109"/>
      <c r="AF40" s="102" t="s">
        <v>449</v>
      </c>
    </row>
    <row r="41" spans="1:33" ht="14.25" customHeight="1" x14ac:dyDescent="0.3">
      <c r="A41" s="111">
        <v>45868</v>
      </c>
      <c r="B41" s="140">
        <v>45839</v>
      </c>
      <c r="C41" s="109" t="s">
        <v>396</v>
      </c>
      <c r="D41" s="115" t="s">
        <v>477</v>
      </c>
      <c r="E41" s="123" t="s">
        <v>432</v>
      </c>
      <c r="F41" s="115" t="s">
        <v>387</v>
      </c>
      <c r="G41" s="109" t="s">
        <v>388</v>
      </c>
      <c r="H41" s="109" t="s">
        <v>389</v>
      </c>
      <c r="I41" s="109" t="s">
        <v>433</v>
      </c>
      <c r="J41" s="109" t="s">
        <v>391</v>
      </c>
      <c r="K41" s="119">
        <v>30525399474</v>
      </c>
      <c r="L41" s="129">
        <v>599275.1</v>
      </c>
      <c r="M41" s="123"/>
      <c r="N41" s="130">
        <v>125847.77</v>
      </c>
      <c r="O41" s="130"/>
      <c r="P41" s="124"/>
      <c r="Q41" s="124"/>
      <c r="R41" s="124"/>
      <c r="S41" s="124"/>
      <c r="T41" s="124"/>
      <c r="U41" s="124"/>
      <c r="V41" s="130">
        <v>0</v>
      </c>
      <c r="W41" s="130">
        <v>725122.87</v>
      </c>
      <c r="X41" s="131"/>
      <c r="Y41" s="110"/>
      <c r="Z41" s="109"/>
      <c r="AA41" s="184"/>
      <c r="AB41" s="109"/>
      <c r="AC41" s="109">
        <v>4777</v>
      </c>
      <c r="AD41" s="109"/>
      <c r="AE41" s="109"/>
      <c r="AF41" s="102" t="s">
        <v>449</v>
      </c>
    </row>
    <row r="42" spans="1:33" ht="14.25" customHeight="1" x14ac:dyDescent="0.3">
      <c r="A42" s="111">
        <v>45868</v>
      </c>
      <c r="B42" s="120" t="s">
        <v>451</v>
      </c>
      <c r="C42" s="109" t="s">
        <v>392</v>
      </c>
      <c r="D42" s="112"/>
      <c r="E42" s="123" t="s">
        <v>432</v>
      </c>
      <c r="F42" s="103"/>
      <c r="G42" s="126" t="s">
        <v>388</v>
      </c>
      <c r="H42" s="109" t="s">
        <v>389</v>
      </c>
      <c r="I42" s="109" t="s">
        <v>421</v>
      </c>
      <c r="J42" s="109" t="s">
        <v>391</v>
      </c>
      <c r="K42" s="128"/>
      <c r="L42" s="191"/>
      <c r="M42" s="191"/>
      <c r="N42" s="193"/>
      <c r="O42" s="193"/>
      <c r="P42" s="193"/>
      <c r="Q42" s="193"/>
      <c r="R42" s="193"/>
      <c r="S42" s="193"/>
      <c r="T42" s="193"/>
      <c r="U42" s="193"/>
      <c r="V42" s="193"/>
      <c r="W42" s="124">
        <v>-1031938.73</v>
      </c>
      <c r="X42" s="131">
        <v>45848</v>
      </c>
      <c r="Y42" s="110" t="s">
        <v>392</v>
      </c>
      <c r="Z42" s="109" t="s">
        <v>393</v>
      </c>
      <c r="AA42" s="161" t="s">
        <v>394</v>
      </c>
      <c r="AB42" s="109"/>
      <c r="AC42" s="109">
        <v>4772</v>
      </c>
      <c r="AD42" s="109"/>
      <c r="AE42" s="109"/>
      <c r="AF42" s="102" t="s">
        <v>449</v>
      </c>
    </row>
    <row r="43" spans="1:33" ht="14.25" customHeight="1" x14ac:dyDescent="0.3">
      <c r="A43" s="111">
        <v>45868</v>
      </c>
      <c r="B43" s="120" t="s">
        <v>451</v>
      </c>
      <c r="C43" s="109" t="s">
        <v>392</v>
      </c>
      <c r="D43" s="112"/>
      <c r="E43" s="123" t="s">
        <v>432</v>
      </c>
      <c r="F43" s="103"/>
      <c r="G43" s="126" t="s">
        <v>388</v>
      </c>
      <c r="H43" s="109" t="s">
        <v>389</v>
      </c>
      <c r="I43" s="109" t="s">
        <v>421</v>
      </c>
      <c r="J43" s="109" t="s">
        <v>391</v>
      </c>
      <c r="K43" s="128"/>
      <c r="L43" s="191"/>
      <c r="M43" s="191"/>
      <c r="N43" s="193"/>
      <c r="O43" s="193"/>
      <c r="P43" s="193"/>
      <c r="Q43" s="193"/>
      <c r="R43" s="193"/>
      <c r="S43" s="193"/>
      <c r="T43" s="193"/>
      <c r="U43" s="193"/>
      <c r="V43" s="193"/>
      <c r="W43" s="124">
        <v>-964230.13</v>
      </c>
      <c r="X43" s="131">
        <v>45848</v>
      </c>
      <c r="Y43" s="110" t="s">
        <v>392</v>
      </c>
      <c r="Z43" s="109" t="s">
        <v>393</v>
      </c>
      <c r="AA43" s="114" t="s">
        <v>394</v>
      </c>
      <c r="AB43" s="109"/>
      <c r="AC43" s="109">
        <v>4773</v>
      </c>
      <c r="AD43" s="109"/>
      <c r="AE43" s="109"/>
      <c r="AF43" s="102" t="s">
        <v>449</v>
      </c>
    </row>
    <row r="44" spans="1:33" ht="14.25" customHeight="1" x14ac:dyDescent="0.3">
      <c r="A44" s="111">
        <v>45868</v>
      </c>
      <c r="B44" s="120" t="s">
        <v>451</v>
      </c>
      <c r="C44" s="109" t="s">
        <v>392</v>
      </c>
      <c r="D44" s="112"/>
      <c r="E44" s="123" t="s">
        <v>432</v>
      </c>
      <c r="F44" s="103"/>
      <c r="G44" s="126" t="s">
        <v>388</v>
      </c>
      <c r="H44" s="109" t="s">
        <v>389</v>
      </c>
      <c r="I44" s="109" t="s">
        <v>421</v>
      </c>
      <c r="J44" s="109" t="s">
        <v>391</v>
      </c>
      <c r="K44" s="128"/>
      <c r="L44" s="191"/>
      <c r="M44" s="191"/>
      <c r="N44" s="193"/>
      <c r="O44" s="193"/>
      <c r="P44" s="193"/>
      <c r="Q44" s="193"/>
      <c r="R44" s="193"/>
      <c r="S44" s="193"/>
      <c r="T44" s="193"/>
      <c r="U44" s="193"/>
      <c r="V44" s="193"/>
      <c r="W44" s="124">
        <v>-574761.41</v>
      </c>
      <c r="X44" s="131">
        <v>45848</v>
      </c>
      <c r="Y44" s="110" t="s">
        <v>392</v>
      </c>
      <c r="Z44" s="109" t="s">
        <v>393</v>
      </c>
      <c r="AA44" s="161" t="s">
        <v>394</v>
      </c>
      <c r="AB44" s="109"/>
      <c r="AC44" s="109">
        <v>4774</v>
      </c>
      <c r="AD44" s="109"/>
      <c r="AE44" s="109"/>
      <c r="AF44" s="102" t="s">
        <v>449</v>
      </c>
    </row>
    <row r="45" spans="1:33" ht="14.25" customHeight="1" x14ac:dyDescent="0.3">
      <c r="A45" s="111">
        <v>45868</v>
      </c>
      <c r="B45" s="120" t="s">
        <v>451</v>
      </c>
      <c r="C45" s="109" t="s">
        <v>392</v>
      </c>
      <c r="D45" s="112"/>
      <c r="E45" s="123" t="s">
        <v>432</v>
      </c>
      <c r="F45" s="103"/>
      <c r="G45" s="188" t="s">
        <v>388</v>
      </c>
      <c r="H45" s="184" t="s">
        <v>389</v>
      </c>
      <c r="I45" s="184" t="s">
        <v>421</v>
      </c>
      <c r="J45" s="184" t="s">
        <v>391</v>
      </c>
      <c r="K45" s="190"/>
      <c r="L45" s="191"/>
      <c r="M45" s="191"/>
      <c r="N45" s="193"/>
      <c r="O45" s="193"/>
      <c r="P45" s="193"/>
      <c r="Q45" s="193"/>
      <c r="R45" s="193"/>
      <c r="S45" s="193"/>
      <c r="T45" s="193"/>
      <c r="U45" s="193"/>
      <c r="V45" s="193"/>
      <c r="W45" s="193">
        <v>-319507.53000000003</v>
      </c>
      <c r="X45" s="131">
        <v>45848</v>
      </c>
      <c r="Y45" s="110" t="s">
        <v>392</v>
      </c>
      <c r="Z45" s="109" t="s">
        <v>393</v>
      </c>
      <c r="AA45" s="161" t="s">
        <v>394</v>
      </c>
      <c r="AB45" s="109"/>
      <c r="AC45" s="109">
        <v>4775</v>
      </c>
      <c r="AD45" s="109"/>
      <c r="AE45" s="109"/>
      <c r="AF45" s="102" t="s">
        <v>449</v>
      </c>
    </row>
    <row r="46" spans="1:33" ht="14.25" customHeight="1" x14ac:dyDescent="0.3">
      <c r="A46" s="111">
        <v>45868</v>
      </c>
      <c r="B46" s="140">
        <v>45847</v>
      </c>
      <c r="C46" s="109" t="s">
        <v>396</v>
      </c>
      <c r="D46" s="115" t="s">
        <v>481</v>
      </c>
      <c r="E46" s="123" t="s">
        <v>435</v>
      </c>
      <c r="F46" s="115" t="s">
        <v>387</v>
      </c>
      <c r="G46" s="109" t="s">
        <v>388</v>
      </c>
      <c r="H46" s="109" t="s">
        <v>420</v>
      </c>
      <c r="I46" s="109" t="s">
        <v>465</v>
      </c>
      <c r="J46" s="124" t="s">
        <v>419</v>
      </c>
      <c r="K46" s="119">
        <v>20178856767</v>
      </c>
      <c r="L46" s="129">
        <v>37650</v>
      </c>
      <c r="M46" s="123"/>
      <c r="N46" s="123">
        <v>7906.5</v>
      </c>
      <c r="O46" s="130">
        <v>0</v>
      </c>
      <c r="P46" s="124"/>
      <c r="Q46" s="124"/>
      <c r="R46" s="124"/>
      <c r="S46" s="124"/>
      <c r="T46" s="124"/>
      <c r="U46" s="124"/>
      <c r="V46" s="130">
        <v>0</v>
      </c>
      <c r="W46" s="130">
        <v>45556.5</v>
      </c>
      <c r="X46" s="131"/>
      <c r="Y46" s="110"/>
      <c r="Z46" s="109"/>
      <c r="AA46" s="109"/>
      <c r="AB46" s="109"/>
      <c r="AC46" s="109">
        <v>4855</v>
      </c>
      <c r="AD46" s="109"/>
      <c r="AE46" s="109"/>
      <c r="AF46" s="102" t="s">
        <v>449</v>
      </c>
      <c r="AG46" s="102"/>
    </row>
    <row r="47" spans="1:33" ht="14.25" customHeight="1" x14ac:dyDescent="0.3">
      <c r="A47" s="111">
        <v>45868</v>
      </c>
      <c r="B47" s="140">
        <v>45847</v>
      </c>
      <c r="C47" s="109" t="s">
        <v>396</v>
      </c>
      <c r="D47" s="115" t="s">
        <v>481</v>
      </c>
      <c r="E47" s="123" t="s">
        <v>435</v>
      </c>
      <c r="F47" s="115" t="s">
        <v>387</v>
      </c>
      <c r="G47" s="109" t="s">
        <v>388</v>
      </c>
      <c r="H47" s="109" t="s">
        <v>420</v>
      </c>
      <c r="I47" s="109" t="s">
        <v>390</v>
      </c>
      <c r="J47" s="124" t="s">
        <v>419</v>
      </c>
      <c r="K47" s="119">
        <v>20178856767</v>
      </c>
      <c r="L47" s="129">
        <v>30230</v>
      </c>
      <c r="M47" s="123"/>
      <c r="N47" s="123">
        <v>6348.3</v>
      </c>
      <c r="O47" s="130">
        <v>0</v>
      </c>
      <c r="P47" s="124"/>
      <c r="Q47" s="124"/>
      <c r="R47" s="124"/>
      <c r="S47" s="124"/>
      <c r="T47" s="124"/>
      <c r="U47" s="124"/>
      <c r="V47" s="130">
        <v>0</v>
      </c>
      <c r="W47" s="130">
        <v>36578.300000000003</v>
      </c>
      <c r="X47" s="131"/>
      <c r="Y47" s="110"/>
      <c r="Z47" s="109"/>
      <c r="AA47" s="184"/>
      <c r="AB47" s="109"/>
      <c r="AC47" s="109">
        <v>4856</v>
      </c>
      <c r="AD47" s="109"/>
      <c r="AE47" s="109"/>
      <c r="AF47" s="102" t="s">
        <v>449</v>
      </c>
      <c r="AG47" s="102"/>
    </row>
    <row r="48" spans="1:33" ht="14.25" customHeight="1" x14ac:dyDescent="0.3">
      <c r="A48" s="111">
        <v>45868</v>
      </c>
      <c r="B48" s="140">
        <v>45847</v>
      </c>
      <c r="C48" s="109" t="s">
        <v>396</v>
      </c>
      <c r="D48" s="115" t="s">
        <v>481</v>
      </c>
      <c r="E48" s="123" t="s">
        <v>435</v>
      </c>
      <c r="F48" s="115" t="s">
        <v>387</v>
      </c>
      <c r="G48" s="109" t="s">
        <v>388</v>
      </c>
      <c r="H48" s="109" t="s">
        <v>420</v>
      </c>
      <c r="I48" s="109" t="s">
        <v>482</v>
      </c>
      <c r="J48" s="124" t="s">
        <v>419</v>
      </c>
      <c r="K48" s="119">
        <v>20178856767</v>
      </c>
      <c r="L48" s="129">
        <v>30230</v>
      </c>
      <c r="M48" s="123"/>
      <c r="N48" s="123">
        <v>6348.3</v>
      </c>
      <c r="O48" s="130">
        <v>0</v>
      </c>
      <c r="P48" s="124"/>
      <c r="Q48" s="124"/>
      <c r="R48" s="124"/>
      <c r="S48" s="124"/>
      <c r="T48" s="124"/>
      <c r="U48" s="124"/>
      <c r="V48" s="130">
        <v>0</v>
      </c>
      <c r="W48" s="130">
        <v>36578.300000000003</v>
      </c>
      <c r="X48" s="131"/>
      <c r="Y48" s="110"/>
      <c r="Z48" s="109"/>
      <c r="AA48" s="184"/>
      <c r="AB48" s="109"/>
      <c r="AC48" s="109">
        <v>4857</v>
      </c>
      <c r="AD48" s="109"/>
      <c r="AE48" s="109"/>
      <c r="AF48" s="102" t="s">
        <v>449</v>
      </c>
      <c r="AG48" s="102"/>
    </row>
    <row r="49" spans="1:33" ht="14.25" customHeight="1" x14ac:dyDescent="0.3">
      <c r="A49" s="111">
        <v>45868</v>
      </c>
      <c r="B49" s="140">
        <v>45847</v>
      </c>
      <c r="C49" s="109" t="s">
        <v>396</v>
      </c>
      <c r="D49" s="115" t="s">
        <v>481</v>
      </c>
      <c r="E49" s="123" t="s">
        <v>435</v>
      </c>
      <c r="F49" s="115" t="s">
        <v>387</v>
      </c>
      <c r="G49" s="109" t="s">
        <v>388</v>
      </c>
      <c r="H49" s="109" t="s">
        <v>420</v>
      </c>
      <c r="I49" s="109" t="s">
        <v>400</v>
      </c>
      <c r="J49" s="124" t="s">
        <v>419</v>
      </c>
      <c r="K49" s="119">
        <v>20178856767</v>
      </c>
      <c r="L49" s="129">
        <v>30230</v>
      </c>
      <c r="M49" s="123"/>
      <c r="N49" s="123">
        <v>6348.3</v>
      </c>
      <c r="O49" s="130">
        <v>0</v>
      </c>
      <c r="P49" s="124"/>
      <c r="Q49" s="124"/>
      <c r="R49" s="124"/>
      <c r="S49" s="124"/>
      <c r="T49" s="124"/>
      <c r="U49" s="124"/>
      <c r="V49" s="130">
        <v>0</v>
      </c>
      <c r="W49" s="130">
        <v>36578.300000000003</v>
      </c>
      <c r="X49" s="131"/>
      <c r="Y49" s="110"/>
      <c r="Z49" s="109"/>
      <c r="AA49" s="109"/>
      <c r="AB49" s="109"/>
      <c r="AC49" s="109">
        <v>4858</v>
      </c>
      <c r="AD49" s="109"/>
      <c r="AE49" s="109"/>
      <c r="AF49" s="102" t="s">
        <v>449</v>
      </c>
      <c r="AG49" s="102"/>
    </row>
    <row r="50" spans="1:33" ht="14.25" customHeight="1" x14ac:dyDescent="0.3">
      <c r="A50" s="111">
        <v>45868</v>
      </c>
      <c r="B50" s="140">
        <v>45847</v>
      </c>
      <c r="C50" s="109" t="s">
        <v>396</v>
      </c>
      <c r="D50" s="115" t="s">
        <v>481</v>
      </c>
      <c r="E50" s="123" t="s">
        <v>435</v>
      </c>
      <c r="F50" s="115" t="s">
        <v>387</v>
      </c>
      <c r="G50" s="109" t="s">
        <v>388</v>
      </c>
      <c r="H50" s="109" t="s">
        <v>420</v>
      </c>
      <c r="I50" s="109" t="s">
        <v>404</v>
      </c>
      <c r="J50" s="124" t="s">
        <v>419</v>
      </c>
      <c r="K50" s="119">
        <v>20178856767</v>
      </c>
      <c r="L50" s="129">
        <v>30230</v>
      </c>
      <c r="M50" s="123"/>
      <c r="N50" s="123">
        <v>6348.3</v>
      </c>
      <c r="O50" s="130">
        <v>0</v>
      </c>
      <c r="P50" s="124"/>
      <c r="Q50" s="124"/>
      <c r="R50" s="124"/>
      <c r="S50" s="124"/>
      <c r="T50" s="124"/>
      <c r="U50" s="124"/>
      <c r="V50" s="130">
        <v>0</v>
      </c>
      <c r="W50" s="130">
        <v>36578.300000000003</v>
      </c>
      <c r="X50" s="131"/>
      <c r="Y50" s="110"/>
      <c r="Z50" s="109"/>
      <c r="AA50" s="109"/>
      <c r="AB50" s="109"/>
      <c r="AC50" s="109">
        <v>4859</v>
      </c>
      <c r="AD50" s="109"/>
      <c r="AE50" s="109"/>
      <c r="AF50" s="102" t="s">
        <v>449</v>
      </c>
      <c r="AG50" s="102"/>
    </row>
    <row r="51" spans="1:33" ht="14.25" customHeight="1" x14ac:dyDescent="0.3">
      <c r="A51" s="111">
        <v>45868</v>
      </c>
      <c r="B51" s="140">
        <v>45847</v>
      </c>
      <c r="C51" s="109" t="s">
        <v>396</v>
      </c>
      <c r="D51" s="115" t="s">
        <v>481</v>
      </c>
      <c r="E51" s="123" t="s">
        <v>435</v>
      </c>
      <c r="F51" s="115" t="s">
        <v>387</v>
      </c>
      <c r="G51" s="109" t="s">
        <v>388</v>
      </c>
      <c r="H51" s="109" t="s">
        <v>420</v>
      </c>
      <c r="I51" s="109" t="s">
        <v>424</v>
      </c>
      <c r="J51" s="124" t="s">
        <v>419</v>
      </c>
      <c r="K51" s="119">
        <v>20178856767</v>
      </c>
      <c r="L51" s="129">
        <v>30230</v>
      </c>
      <c r="M51" s="123"/>
      <c r="N51" s="123">
        <v>6348.3</v>
      </c>
      <c r="O51" s="130">
        <v>0</v>
      </c>
      <c r="P51" s="124"/>
      <c r="Q51" s="124"/>
      <c r="R51" s="124"/>
      <c r="S51" s="124"/>
      <c r="T51" s="124"/>
      <c r="U51" s="124"/>
      <c r="V51" s="130">
        <v>0</v>
      </c>
      <c r="W51" s="130">
        <v>36578.300000000003</v>
      </c>
      <c r="X51" s="131"/>
      <c r="Y51" s="110"/>
      <c r="Z51" s="109"/>
      <c r="AA51" s="115"/>
      <c r="AB51" s="109"/>
      <c r="AC51" s="109">
        <v>4860</v>
      </c>
      <c r="AD51" s="109"/>
      <c r="AE51" s="109"/>
      <c r="AF51" s="102" t="s">
        <v>449</v>
      </c>
      <c r="AG51" s="102"/>
    </row>
    <row r="52" spans="1:33" ht="14.25" customHeight="1" x14ac:dyDescent="0.3">
      <c r="A52" s="111">
        <v>45868</v>
      </c>
      <c r="B52" s="140">
        <v>45839</v>
      </c>
      <c r="C52" s="109" t="s">
        <v>396</v>
      </c>
      <c r="D52" s="115" t="s">
        <v>483</v>
      </c>
      <c r="E52" s="123" t="s">
        <v>403</v>
      </c>
      <c r="F52" s="115" t="s">
        <v>387</v>
      </c>
      <c r="G52" s="109" t="s">
        <v>388</v>
      </c>
      <c r="H52" s="109" t="s">
        <v>389</v>
      </c>
      <c r="I52" s="109" t="s">
        <v>404</v>
      </c>
      <c r="J52" s="109" t="s">
        <v>391</v>
      </c>
      <c r="K52" s="119">
        <v>30693332865</v>
      </c>
      <c r="L52" s="129">
        <v>1594202.95</v>
      </c>
      <c r="M52" s="123"/>
      <c r="N52" s="130">
        <v>334782.62</v>
      </c>
      <c r="O52" s="130">
        <v>0</v>
      </c>
      <c r="P52" s="124"/>
      <c r="Q52" s="124"/>
      <c r="R52" s="124"/>
      <c r="S52" s="124"/>
      <c r="T52" s="124"/>
      <c r="U52" s="193"/>
      <c r="V52" s="130">
        <v>0</v>
      </c>
      <c r="W52" s="130">
        <v>1928985.58</v>
      </c>
      <c r="X52" s="131"/>
      <c r="Y52" s="110"/>
      <c r="Z52" s="109"/>
      <c r="AA52" s="109"/>
      <c r="AB52" s="109"/>
      <c r="AC52" s="109">
        <v>4871</v>
      </c>
      <c r="AD52" s="109"/>
      <c r="AE52" s="109"/>
      <c r="AF52" s="102" t="s">
        <v>449</v>
      </c>
    </row>
    <row r="53" spans="1:33" ht="14.25" customHeight="1" x14ac:dyDescent="0.3">
      <c r="A53" s="111">
        <v>45868</v>
      </c>
      <c r="B53" s="120" t="s">
        <v>451</v>
      </c>
      <c r="C53" s="109" t="s">
        <v>392</v>
      </c>
      <c r="D53" s="112"/>
      <c r="E53" s="107" t="s">
        <v>403</v>
      </c>
      <c r="F53" s="103"/>
      <c r="G53" s="109" t="s">
        <v>388</v>
      </c>
      <c r="H53" s="109" t="s">
        <v>389</v>
      </c>
      <c r="I53" s="109" t="s">
        <v>404</v>
      </c>
      <c r="J53" s="109" t="s">
        <v>391</v>
      </c>
      <c r="K53" s="128"/>
      <c r="L53" s="123"/>
      <c r="M53" s="123"/>
      <c r="N53" s="124"/>
      <c r="O53" s="124"/>
      <c r="P53" s="124"/>
      <c r="Q53" s="124"/>
      <c r="R53" s="124"/>
      <c r="S53" s="124"/>
      <c r="T53" s="124"/>
      <c r="U53" s="124"/>
      <c r="V53" s="124"/>
      <c r="W53" s="124">
        <v>-1928985.58</v>
      </c>
      <c r="X53" s="131">
        <v>45848</v>
      </c>
      <c r="Y53" s="110" t="s">
        <v>392</v>
      </c>
      <c r="Z53" s="109" t="s">
        <v>393</v>
      </c>
      <c r="AA53" s="161" t="s">
        <v>394</v>
      </c>
      <c r="AB53" s="109"/>
      <c r="AC53" s="109">
        <v>4877</v>
      </c>
      <c r="AD53" s="109"/>
      <c r="AE53" s="109"/>
      <c r="AF53" s="102" t="s">
        <v>449</v>
      </c>
    </row>
    <row r="54" spans="1:33" ht="14.25" customHeight="1" x14ac:dyDescent="0.3">
      <c r="A54" s="111">
        <v>45868</v>
      </c>
      <c r="B54" s="142">
        <v>45848</v>
      </c>
      <c r="C54" s="113" t="s">
        <v>401</v>
      </c>
      <c r="D54" s="112"/>
      <c r="E54" s="107" t="s">
        <v>403</v>
      </c>
      <c r="F54" s="118" t="s">
        <v>442</v>
      </c>
      <c r="G54" s="132" t="s">
        <v>388</v>
      </c>
      <c r="H54" s="109" t="s">
        <v>402</v>
      </c>
      <c r="I54" s="109" t="s">
        <v>404</v>
      </c>
      <c r="J54" s="109" t="s">
        <v>391</v>
      </c>
      <c r="K54" s="128"/>
      <c r="L54" s="133"/>
      <c r="M54" s="133"/>
      <c r="N54" s="134"/>
      <c r="O54" s="134"/>
      <c r="P54" s="134"/>
      <c r="Q54" s="134"/>
      <c r="R54" s="134"/>
      <c r="S54" s="134"/>
      <c r="T54" s="134"/>
      <c r="U54" s="105"/>
      <c r="V54" s="134"/>
      <c r="W54" s="124">
        <v>482202.15</v>
      </c>
      <c r="X54" s="131">
        <v>45848</v>
      </c>
      <c r="Y54" s="110" t="s">
        <v>392</v>
      </c>
      <c r="Z54" s="109"/>
      <c r="AA54" s="109"/>
      <c r="AB54" s="109"/>
      <c r="AC54" s="109">
        <v>4879</v>
      </c>
      <c r="AD54" s="109"/>
      <c r="AE54" s="109"/>
      <c r="AF54" s="102" t="s">
        <v>449</v>
      </c>
    </row>
    <row r="55" spans="1:33" ht="14.25" customHeight="1" x14ac:dyDescent="0.3">
      <c r="A55" s="111">
        <v>45868</v>
      </c>
      <c r="B55" s="140">
        <v>45839</v>
      </c>
      <c r="C55" s="109" t="s">
        <v>396</v>
      </c>
      <c r="D55" s="115" t="s">
        <v>484</v>
      </c>
      <c r="E55" s="123" t="s">
        <v>403</v>
      </c>
      <c r="F55" s="115" t="s">
        <v>387</v>
      </c>
      <c r="G55" s="109" t="s">
        <v>388</v>
      </c>
      <c r="H55" s="109" t="s">
        <v>389</v>
      </c>
      <c r="I55" s="109" t="s">
        <v>424</v>
      </c>
      <c r="J55" s="109" t="s">
        <v>391</v>
      </c>
      <c r="K55" s="119">
        <v>30693332865</v>
      </c>
      <c r="L55" s="129">
        <v>903319.38</v>
      </c>
      <c r="M55" s="123"/>
      <c r="N55" s="130">
        <v>189697.07</v>
      </c>
      <c r="O55" s="130">
        <v>0</v>
      </c>
      <c r="P55" s="124"/>
      <c r="Q55" s="124"/>
      <c r="R55" s="124"/>
      <c r="S55" s="124"/>
      <c r="T55" s="124"/>
      <c r="U55" s="124"/>
      <c r="V55" s="130">
        <v>0</v>
      </c>
      <c r="W55" s="130">
        <v>1093016.47</v>
      </c>
      <c r="X55" s="131"/>
      <c r="Y55" s="110"/>
      <c r="Z55" s="109"/>
      <c r="AA55" s="109"/>
      <c r="AB55" s="109"/>
      <c r="AC55" s="109">
        <v>4873</v>
      </c>
      <c r="AD55" s="109"/>
      <c r="AE55" s="109"/>
      <c r="AF55" s="102" t="s">
        <v>449</v>
      </c>
    </row>
    <row r="56" spans="1:33" ht="14.25" customHeight="1" x14ac:dyDescent="0.3">
      <c r="A56" s="111">
        <v>45868</v>
      </c>
      <c r="B56" s="120" t="s">
        <v>451</v>
      </c>
      <c r="C56" s="109" t="s">
        <v>392</v>
      </c>
      <c r="D56" s="112"/>
      <c r="E56" s="107" t="s">
        <v>403</v>
      </c>
      <c r="F56" s="103"/>
      <c r="G56" s="109" t="s">
        <v>388</v>
      </c>
      <c r="H56" s="109" t="s">
        <v>389</v>
      </c>
      <c r="I56" s="109" t="s">
        <v>424</v>
      </c>
      <c r="J56" s="109" t="s">
        <v>391</v>
      </c>
      <c r="K56" s="128"/>
      <c r="L56" s="123"/>
      <c r="M56" s="123"/>
      <c r="N56" s="124"/>
      <c r="O56" s="124"/>
      <c r="P56" s="124"/>
      <c r="Q56" s="124"/>
      <c r="R56" s="124"/>
      <c r="S56" s="124"/>
      <c r="T56" s="124"/>
      <c r="U56" s="146"/>
      <c r="V56" s="124"/>
      <c r="W56" s="124">
        <v>-1093016.47</v>
      </c>
      <c r="X56" s="131">
        <v>45848</v>
      </c>
      <c r="Y56" s="110" t="s">
        <v>392</v>
      </c>
      <c r="Z56" s="109" t="s">
        <v>393</v>
      </c>
      <c r="AA56" s="161" t="s">
        <v>394</v>
      </c>
      <c r="AB56" s="109"/>
      <c r="AC56" s="109">
        <v>4876</v>
      </c>
      <c r="AD56" s="109"/>
      <c r="AE56" s="109"/>
      <c r="AF56" s="102" t="s">
        <v>449</v>
      </c>
    </row>
    <row r="57" spans="1:33" ht="14.25" customHeight="1" x14ac:dyDescent="0.3">
      <c r="A57" s="111">
        <v>45868</v>
      </c>
      <c r="B57" s="142">
        <v>45848</v>
      </c>
      <c r="C57" s="113" t="s">
        <v>401</v>
      </c>
      <c r="D57" s="112"/>
      <c r="E57" s="107" t="s">
        <v>403</v>
      </c>
      <c r="F57" s="118" t="s">
        <v>442</v>
      </c>
      <c r="G57" s="132" t="s">
        <v>388</v>
      </c>
      <c r="H57" s="109" t="s">
        <v>402</v>
      </c>
      <c r="I57" s="109" t="s">
        <v>424</v>
      </c>
      <c r="J57" s="109" t="s">
        <v>391</v>
      </c>
      <c r="K57" s="128"/>
      <c r="L57" s="121"/>
      <c r="M57" s="121"/>
      <c r="N57" s="105"/>
      <c r="O57" s="105"/>
      <c r="P57" s="105"/>
      <c r="Q57" s="105"/>
      <c r="R57" s="105"/>
      <c r="S57" s="105"/>
      <c r="T57" s="105"/>
      <c r="U57" s="105"/>
      <c r="V57" s="105"/>
      <c r="W57" s="124">
        <v>482202.15</v>
      </c>
      <c r="X57" s="131">
        <v>45848</v>
      </c>
      <c r="Y57" s="110" t="s">
        <v>392</v>
      </c>
      <c r="Z57" s="109"/>
      <c r="AA57" s="115"/>
      <c r="AB57" s="109"/>
      <c r="AC57" s="109">
        <v>4880</v>
      </c>
      <c r="AD57" s="109"/>
      <c r="AE57" s="109"/>
      <c r="AF57" s="102" t="s">
        <v>449</v>
      </c>
    </row>
    <row r="58" spans="1:33" ht="14.25" customHeight="1" x14ac:dyDescent="0.3">
      <c r="A58" s="111">
        <v>45868</v>
      </c>
      <c r="B58" s="120" t="s">
        <v>451</v>
      </c>
      <c r="C58" s="109" t="s">
        <v>392</v>
      </c>
      <c r="D58" s="112"/>
      <c r="E58" s="107" t="s">
        <v>403</v>
      </c>
      <c r="F58" s="103"/>
      <c r="G58" s="184" t="s">
        <v>388</v>
      </c>
      <c r="H58" s="184" t="s">
        <v>402</v>
      </c>
      <c r="I58" s="184" t="s">
        <v>421</v>
      </c>
      <c r="J58" s="184" t="s">
        <v>391</v>
      </c>
      <c r="K58" s="190"/>
      <c r="L58" s="191"/>
      <c r="M58" s="191"/>
      <c r="N58" s="193"/>
      <c r="O58" s="193"/>
      <c r="P58" s="193"/>
      <c r="Q58" s="193"/>
      <c r="R58" s="193"/>
      <c r="S58" s="193"/>
      <c r="T58" s="193"/>
      <c r="U58" s="193"/>
      <c r="V58" s="193"/>
      <c r="W58" s="193">
        <v>-1928808.6</v>
      </c>
      <c r="X58" s="131">
        <v>45848</v>
      </c>
      <c r="Y58" s="110" t="s">
        <v>392</v>
      </c>
      <c r="Z58" s="109" t="s">
        <v>393</v>
      </c>
      <c r="AA58" s="161" t="s">
        <v>394</v>
      </c>
      <c r="AB58" s="109"/>
      <c r="AC58" s="109">
        <v>4874</v>
      </c>
      <c r="AD58" s="109"/>
      <c r="AE58" s="109"/>
      <c r="AF58" s="102" t="s">
        <v>449</v>
      </c>
    </row>
    <row r="59" spans="1:33" ht="14.25" customHeight="1" x14ac:dyDescent="0.3">
      <c r="A59" s="111">
        <v>45868</v>
      </c>
      <c r="B59" s="120" t="s">
        <v>450</v>
      </c>
      <c r="C59" s="109" t="s">
        <v>392</v>
      </c>
      <c r="D59" s="112"/>
      <c r="E59" s="107" t="s">
        <v>423</v>
      </c>
      <c r="F59" s="103"/>
      <c r="G59" s="126" t="s">
        <v>388</v>
      </c>
      <c r="H59" s="109" t="s">
        <v>422</v>
      </c>
      <c r="I59" s="109" t="s">
        <v>465</v>
      </c>
      <c r="J59" s="124" t="s">
        <v>419</v>
      </c>
      <c r="K59" s="128"/>
      <c r="L59" s="133"/>
      <c r="M59" s="133"/>
      <c r="N59" s="134"/>
      <c r="O59" s="134"/>
      <c r="P59" s="134"/>
      <c r="Q59" s="134"/>
      <c r="R59" s="134"/>
      <c r="S59" s="134"/>
      <c r="T59" s="134"/>
      <c r="U59" s="134"/>
      <c r="V59" s="134"/>
      <c r="W59" s="124">
        <v>-198000</v>
      </c>
      <c r="X59" s="131">
        <v>45860</v>
      </c>
      <c r="Y59" s="110" t="s">
        <v>392</v>
      </c>
      <c r="Z59" s="109" t="s">
        <v>393</v>
      </c>
      <c r="AA59" s="161" t="s">
        <v>394</v>
      </c>
      <c r="AB59" s="109"/>
      <c r="AC59" s="109">
        <v>4926</v>
      </c>
      <c r="AD59" s="109"/>
      <c r="AE59" s="109"/>
      <c r="AF59" s="102" t="s">
        <v>447</v>
      </c>
    </row>
    <row r="60" spans="1:33" ht="14.25" customHeight="1" x14ac:dyDescent="0.3">
      <c r="A60" s="111">
        <v>45868</v>
      </c>
      <c r="B60" s="140">
        <v>45845</v>
      </c>
      <c r="C60" s="109" t="s">
        <v>406</v>
      </c>
      <c r="D60" s="115" t="s">
        <v>444</v>
      </c>
      <c r="E60" s="123" t="s">
        <v>440</v>
      </c>
      <c r="F60" s="115" t="s">
        <v>387</v>
      </c>
      <c r="G60" s="109" t="s">
        <v>388</v>
      </c>
      <c r="H60" s="109" t="s">
        <v>441</v>
      </c>
      <c r="I60" s="109" t="s">
        <v>465</v>
      </c>
      <c r="J60" s="109" t="s">
        <v>419</v>
      </c>
      <c r="K60" s="119">
        <v>20366364596</v>
      </c>
      <c r="L60" s="129">
        <v>0</v>
      </c>
      <c r="M60" s="123"/>
      <c r="N60" s="130">
        <v>0</v>
      </c>
      <c r="O60" s="130">
        <v>0</v>
      </c>
      <c r="P60" s="124"/>
      <c r="Q60" s="124"/>
      <c r="R60" s="124"/>
      <c r="S60" s="124"/>
      <c r="T60" s="124"/>
      <c r="U60" s="124"/>
      <c r="V60" s="130">
        <v>0</v>
      </c>
      <c r="W60" s="130">
        <v>55000</v>
      </c>
      <c r="X60" s="131"/>
      <c r="Y60" s="110"/>
      <c r="Z60" s="109"/>
      <c r="AA60" s="109"/>
      <c r="AB60" s="109"/>
      <c r="AC60" s="109">
        <v>4941</v>
      </c>
      <c r="AD60" s="109"/>
      <c r="AE60" s="109"/>
      <c r="AF60" s="102" t="s">
        <v>449</v>
      </c>
    </row>
    <row r="61" spans="1:33" ht="14.25" customHeight="1" x14ac:dyDescent="0.3">
      <c r="A61" s="111">
        <v>45868</v>
      </c>
      <c r="B61" s="140">
        <v>45845</v>
      </c>
      <c r="C61" s="109" t="s">
        <v>406</v>
      </c>
      <c r="D61" s="115" t="s">
        <v>486</v>
      </c>
      <c r="E61" s="123" t="s">
        <v>440</v>
      </c>
      <c r="F61" s="115" t="s">
        <v>387</v>
      </c>
      <c r="G61" s="109" t="s">
        <v>388</v>
      </c>
      <c r="H61" s="109" t="s">
        <v>441</v>
      </c>
      <c r="I61" s="109" t="s">
        <v>465</v>
      </c>
      <c r="J61" s="109" t="s">
        <v>419</v>
      </c>
      <c r="K61" s="119">
        <v>20366364596</v>
      </c>
      <c r="L61" s="129">
        <v>0</v>
      </c>
      <c r="M61" s="123"/>
      <c r="N61" s="130">
        <v>0</v>
      </c>
      <c r="O61" s="130">
        <v>0</v>
      </c>
      <c r="P61" s="124"/>
      <c r="Q61" s="124"/>
      <c r="R61" s="124"/>
      <c r="S61" s="124"/>
      <c r="T61" s="124"/>
      <c r="U61" s="124"/>
      <c r="V61" s="130">
        <v>0</v>
      </c>
      <c r="W61" s="130">
        <v>40000</v>
      </c>
      <c r="X61" s="131"/>
      <c r="Y61" s="110"/>
      <c r="Z61" s="109"/>
      <c r="AA61" s="115"/>
      <c r="AB61" s="109"/>
      <c r="AC61" s="109">
        <v>4957</v>
      </c>
      <c r="AD61" s="109"/>
      <c r="AE61" s="109"/>
      <c r="AF61" s="102" t="s">
        <v>449</v>
      </c>
      <c r="AG61" s="102"/>
    </row>
    <row r="62" spans="1:33" ht="14.25" customHeight="1" x14ac:dyDescent="0.3">
      <c r="A62" s="111">
        <v>45868</v>
      </c>
      <c r="B62" s="140">
        <v>45845</v>
      </c>
      <c r="C62" s="109" t="s">
        <v>406</v>
      </c>
      <c r="D62" s="115" t="s">
        <v>485</v>
      </c>
      <c r="E62" s="123" t="s">
        <v>440</v>
      </c>
      <c r="F62" s="115" t="s">
        <v>387</v>
      </c>
      <c r="G62" s="109" t="s">
        <v>388</v>
      </c>
      <c r="H62" s="109" t="s">
        <v>441</v>
      </c>
      <c r="I62" s="109" t="s">
        <v>465</v>
      </c>
      <c r="J62" s="109" t="s">
        <v>419</v>
      </c>
      <c r="K62" s="119">
        <v>20366364596</v>
      </c>
      <c r="L62" s="129">
        <v>0</v>
      </c>
      <c r="M62" s="123"/>
      <c r="N62" s="130">
        <v>0</v>
      </c>
      <c r="O62" s="130">
        <v>0</v>
      </c>
      <c r="P62" s="124"/>
      <c r="Q62" s="124"/>
      <c r="R62" s="124"/>
      <c r="S62" s="124"/>
      <c r="T62" s="124"/>
      <c r="U62" s="124"/>
      <c r="V62" s="130">
        <v>0</v>
      </c>
      <c r="W62" s="130">
        <v>40000</v>
      </c>
      <c r="X62" s="131"/>
      <c r="Y62" s="110"/>
      <c r="Z62" s="109"/>
      <c r="AA62" s="115"/>
      <c r="AB62" s="109"/>
      <c r="AC62" s="109">
        <v>4948</v>
      </c>
      <c r="AD62" s="109"/>
      <c r="AE62" s="109"/>
      <c r="AF62" s="102" t="s">
        <v>449</v>
      </c>
    </row>
    <row r="63" spans="1:33" ht="14.25" customHeight="1" x14ac:dyDescent="0.3">
      <c r="A63" s="111">
        <v>45868</v>
      </c>
      <c r="B63" s="140">
        <v>45845</v>
      </c>
      <c r="C63" s="109" t="s">
        <v>406</v>
      </c>
      <c r="D63" s="115" t="s">
        <v>444</v>
      </c>
      <c r="E63" s="123" t="s">
        <v>440</v>
      </c>
      <c r="F63" s="115" t="s">
        <v>387</v>
      </c>
      <c r="G63" s="109" t="s">
        <v>388</v>
      </c>
      <c r="H63" s="109" t="s">
        <v>441</v>
      </c>
      <c r="I63" s="109" t="s">
        <v>390</v>
      </c>
      <c r="J63" s="109" t="s">
        <v>419</v>
      </c>
      <c r="K63" s="119">
        <v>20366364596</v>
      </c>
      <c r="L63" s="129">
        <v>0</v>
      </c>
      <c r="M63" s="123"/>
      <c r="N63" s="130">
        <v>0</v>
      </c>
      <c r="O63" s="130">
        <v>0</v>
      </c>
      <c r="P63" s="124"/>
      <c r="Q63" s="124"/>
      <c r="R63" s="124"/>
      <c r="S63" s="124"/>
      <c r="T63" s="124"/>
      <c r="U63" s="124"/>
      <c r="V63" s="130">
        <v>0</v>
      </c>
      <c r="W63" s="130">
        <v>55000</v>
      </c>
      <c r="X63" s="131"/>
      <c r="Y63" s="110"/>
      <c r="Z63" s="109"/>
      <c r="AA63" s="184"/>
      <c r="AB63" s="109"/>
      <c r="AC63" s="109">
        <v>4942</v>
      </c>
      <c r="AD63" s="109"/>
      <c r="AE63" s="109"/>
      <c r="AF63" s="102" t="s">
        <v>449</v>
      </c>
    </row>
    <row r="64" spans="1:33" ht="14.25" customHeight="1" x14ac:dyDescent="0.3">
      <c r="A64" s="111">
        <v>45868</v>
      </c>
      <c r="B64" s="140">
        <v>45845</v>
      </c>
      <c r="C64" s="109" t="s">
        <v>406</v>
      </c>
      <c r="D64" s="115" t="s">
        <v>485</v>
      </c>
      <c r="E64" s="123" t="s">
        <v>440</v>
      </c>
      <c r="F64" s="115" t="s">
        <v>387</v>
      </c>
      <c r="G64" s="109" t="s">
        <v>388</v>
      </c>
      <c r="H64" s="109" t="s">
        <v>441</v>
      </c>
      <c r="I64" s="109" t="s">
        <v>390</v>
      </c>
      <c r="J64" s="109" t="s">
        <v>419</v>
      </c>
      <c r="K64" s="119">
        <v>20366364596</v>
      </c>
      <c r="L64" s="129">
        <v>0</v>
      </c>
      <c r="M64" s="123"/>
      <c r="N64" s="130">
        <v>0</v>
      </c>
      <c r="O64" s="130">
        <v>0</v>
      </c>
      <c r="P64" s="124"/>
      <c r="Q64" s="124"/>
      <c r="R64" s="124"/>
      <c r="S64" s="124"/>
      <c r="T64" s="124"/>
      <c r="U64" s="124"/>
      <c r="V64" s="130">
        <v>0</v>
      </c>
      <c r="W64" s="130">
        <v>40000</v>
      </c>
      <c r="X64" s="131"/>
      <c r="Y64" s="110"/>
      <c r="Z64" s="109"/>
      <c r="AA64" s="184"/>
      <c r="AB64" s="109"/>
      <c r="AC64" s="109">
        <v>4951</v>
      </c>
      <c r="AD64" s="109"/>
      <c r="AE64" s="109"/>
      <c r="AF64" s="102" t="s">
        <v>449</v>
      </c>
    </row>
    <row r="65" spans="1:33" ht="14.25" customHeight="1" x14ac:dyDescent="0.3">
      <c r="A65" s="111">
        <v>45868</v>
      </c>
      <c r="B65" s="140">
        <v>45845</v>
      </c>
      <c r="C65" s="109" t="s">
        <v>406</v>
      </c>
      <c r="D65" s="115" t="s">
        <v>486</v>
      </c>
      <c r="E65" s="123" t="s">
        <v>440</v>
      </c>
      <c r="F65" s="115" t="s">
        <v>387</v>
      </c>
      <c r="G65" s="109" t="s">
        <v>388</v>
      </c>
      <c r="H65" s="109" t="s">
        <v>441</v>
      </c>
      <c r="I65" s="109" t="s">
        <v>390</v>
      </c>
      <c r="J65" s="109" t="s">
        <v>419</v>
      </c>
      <c r="K65" s="119">
        <v>20366364596</v>
      </c>
      <c r="L65" s="129">
        <v>0</v>
      </c>
      <c r="M65" s="123"/>
      <c r="N65" s="130">
        <v>0</v>
      </c>
      <c r="O65" s="130">
        <v>0</v>
      </c>
      <c r="P65" s="124"/>
      <c r="Q65" s="124"/>
      <c r="R65" s="124"/>
      <c r="S65" s="124"/>
      <c r="T65" s="124"/>
      <c r="U65" s="124"/>
      <c r="V65" s="130">
        <v>0</v>
      </c>
      <c r="W65" s="130">
        <v>40000</v>
      </c>
      <c r="X65" s="131"/>
      <c r="Y65" s="110"/>
      <c r="Z65" s="109"/>
      <c r="AA65" s="184"/>
      <c r="AB65" s="109"/>
      <c r="AC65" s="109">
        <v>4958</v>
      </c>
      <c r="AD65" s="109"/>
      <c r="AE65" s="109"/>
      <c r="AF65" s="102" t="s">
        <v>449</v>
      </c>
      <c r="AG65" s="102"/>
    </row>
    <row r="66" spans="1:33" ht="14.25" customHeight="1" x14ac:dyDescent="0.3">
      <c r="A66" s="111">
        <v>45868</v>
      </c>
      <c r="B66" s="140">
        <v>45845</v>
      </c>
      <c r="C66" s="109" t="s">
        <v>406</v>
      </c>
      <c r="D66" s="115" t="s">
        <v>485</v>
      </c>
      <c r="E66" s="123" t="s">
        <v>440</v>
      </c>
      <c r="F66" s="115" t="s">
        <v>387</v>
      </c>
      <c r="G66" s="109" t="s">
        <v>388</v>
      </c>
      <c r="H66" s="109" t="s">
        <v>441</v>
      </c>
      <c r="I66" s="109" t="s">
        <v>433</v>
      </c>
      <c r="J66" s="109" t="s">
        <v>419</v>
      </c>
      <c r="K66" s="119">
        <v>20366364596</v>
      </c>
      <c r="L66" s="129">
        <v>0</v>
      </c>
      <c r="M66" s="123"/>
      <c r="N66" s="130">
        <v>0</v>
      </c>
      <c r="O66" s="130">
        <v>0</v>
      </c>
      <c r="P66" s="124"/>
      <c r="Q66" s="124"/>
      <c r="R66" s="124"/>
      <c r="S66" s="124"/>
      <c r="T66" s="124"/>
      <c r="U66" s="124"/>
      <c r="V66" s="130">
        <v>0</v>
      </c>
      <c r="W66" s="130">
        <v>40000</v>
      </c>
      <c r="X66" s="131"/>
      <c r="Y66" s="110"/>
      <c r="Z66" s="109"/>
      <c r="AA66" s="184"/>
      <c r="AB66" s="109"/>
      <c r="AC66" s="109">
        <v>4949</v>
      </c>
      <c r="AD66" s="109"/>
      <c r="AE66" s="109"/>
      <c r="AF66" s="102" t="s">
        <v>449</v>
      </c>
    </row>
    <row r="67" spans="1:33" ht="14.25" customHeight="1" x14ac:dyDescent="0.3">
      <c r="A67" s="111">
        <v>45868</v>
      </c>
      <c r="B67" s="140">
        <v>45845</v>
      </c>
      <c r="C67" s="109" t="s">
        <v>406</v>
      </c>
      <c r="D67" s="115" t="s">
        <v>486</v>
      </c>
      <c r="E67" s="123" t="s">
        <v>440</v>
      </c>
      <c r="F67" s="115" t="s">
        <v>387</v>
      </c>
      <c r="G67" s="109" t="s">
        <v>388</v>
      </c>
      <c r="H67" s="109" t="s">
        <v>441</v>
      </c>
      <c r="I67" s="109" t="s">
        <v>482</v>
      </c>
      <c r="J67" s="109" t="s">
        <v>419</v>
      </c>
      <c r="K67" s="119">
        <v>20366364596</v>
      </c>
      <c r="L67" s="129">
        <v>0</v>
      </c>
      <c r="M67" s="123"/>
      <c r="N67" s="130">
        <v>0</v>
      </c>
      <c r="O67" s="130">
        <v>0</v>
      </c>
      <c r="P67" s="124"/>
      <c r="Q67" s="124"/>
      <c r="R67" s="124"/>
      <c r="S67" s="124"/>
      <c r="T67" s="124"/>
      <c r="U67" s="124"/>
      <c r="V67" s="130">
        <v>0</v>
      </c>
      <c r="W67" s="130">
        <v>40000</v>
      </c>
      <c r="X67" s="131"/>
      <c r="Y67" s="110"/>
      <c r="Z67" s="109"/>
      <c r="AA67" s="184"/>
      <c r="AB67" s="109"/>
      <c r="AC67" s="109">
        <v>4959</v>
      </c>
      <c r="AD67" s="109"/>
      <c r="AE67" s="109"/>
      <c r="AF67" s="102" t="s">
        <v>449</v>
      </c>
      <c r="AG67" s="102"/>
    </row>
    <row r="68" spans="1:33" ht="14.25" customHeight="1" x14ac:dyDescent="0.3">
      <c r="A68" s="111">
        <v>45868</v>
      </c>
      <c r="B68" s="140">
        <v>45845</v>
      </c>
      <c r="C68" s="109" t="s">
        <v>406</v>
      </c>
      <c r="D68" s="115" t="s">
        <v>444</v>
      </c>
      <c r="E68" s="123" t="s">
        <v>440</v>
      </c>
      <c r="F68" s="115" t="s">
        <v>387</v>
      </c>
      <c r="G68" s="109" t="s">
        <v>388</v>
      </c>
      <c r="H68" s="109" t="s">
        <v>441</v>
      </c>
      <c r="I68" s="109" t="s">
        <v>400</v>
      </c>
      <c r="J68" s="109" t="s">
        <v>419</v>
      </c>
      <c r="K68" s="119">
        <v>20366364596</v>
      </c>
      <c r="L68" s="129">
        <v>0</v>
      </c>
      <c r="M68" s="123"/>
      <c r="N68" s="130">
        <v>0</v>
      </c>
      <c r="O68" s="130">
        <v>0</v>
      </c>
      <c r="P68" s="124"/>
      <c r="Q68" s="124"/>
      <c r="R68" s="124"/>
      <c r="S68" s="124"/>
      <c r="T68" s="124"/>
      <c r="U68" s="124"/>
      <c r="V68" s="130">
        <v>0</v>
      </c>
      <c r="W68" s="130">
        <v>55000</v>
      </c>
      <c r="X68" s="131"/>
      <c r="Y68" s="110"/>
      <c r="Z68" s="109"/>
      <c r="AA68" s="109"/>
      <c r="AB68" s="109"/>
      <c r="AC68" s="109">
        <v>4943</v>
      </c>
      <c r="AD68" s="109"/>
      <c r="AE68" s="109"/>
      <c r="AF68" s="102" t="s">
        <v>449</v>
      </c>
    </row>
    <row r="69" spans="1:33" ht="14.25" customHeight="1" x14ac:dyDescent="0.3">
      <c r="A69" s="111">
        <v>45868</v>
      </c>
      <c r="B69" s="140">
        <v>45845</v>
      </c>
      <c r="C69" s="109" t="s">
        <v>406</v>
      </c>
      <c r="D69" s="115" t="s">
        <v>485</v>
      </c>
      <c r="E69" s="123" t="s">
        <v>440</v>
      </c>
      <c r="F69" s="115" t="s">
        <v>387</v>
      </c>
      <c r="G69" s="109" t="s">
        <v>388</v>
      </c>
      <c r="H69" s="109" t="s">
        <v>441</v>
      </c>
      <c r="I69" s="109" t="s">
        <v>400</v>
      </c>
      <c r="J69" s="109" t="s">
        <v>419</v>
      </c>
      <c r="K69" s="119">
        <v>20366364596</v>
      </c>
      <c r="L69" s="129">
        <v>0</v>
      </c>
      <c r="M69" s="123"/>
      <c r="N69" s="130">
        <v>0</v>
      </c>
      <c r="O69" s="130">
        <v>0</v>
      </c>
      <c r="P69" s="124"/>
      <c r="Q69" s="124"/>
      <c r="R69" s="124"/>
      <c r="S69" s="124"/>
      <c r="T69" s="124"/>
      <c r="U69" s="124"/>
      <c r="V69" s="130">
        <v>0</v>
      </c>
      <c r="W69" s="130">
        <v>40000</v>
      </c>
      <c r="X69" s="131"/>
      <c r="Y69" s="110"/>
      <c r="Z69" s="109"/>
      <c r="AA69" s="109"/>
      <c r="AB69" s="109"/>
      <c r="AC69" s="109">
        <v>4950</v>
      </c>
      <c r="AD69" s="109"/>
      <c r="AE69" s="109"/>
      <c r="AF69" s="102" t="s">
        <v>449</v>
      </c>
    </row>
    <row r="70" spans="1:33" ht="14.25" customHeight="1" x14ac:dyDescent="0.3">
      <c r="A70" s="111">
        <v>45868</v>
      </c>
      <c r="B70" s="140">
        <v>45845</v>
      </c>
      <c r="C70" s="109" t="s">
        <v>406</v>
      </c>
      <c r="D70" s="115" t="s">
        <v>486</v>
      </c>
      <c r="E70" s="123" t="s">
        <v>440</v>
      </c>
      <c r="F70" s="115" t="s">
        <v>387</v>
      </c>
      <c r="G70" s="115" t="s">
        <v>388</v>
      </c>
      <c r="H70" s="109" t="s">
        <v>441</v>
      </c>
      <c r="I70" s="109" t="s">
        <v>400</v>
      </c>
      <c r="J70" s="109" t="s">
        <v>419</v>
      </c>
      <c r="K70" s="119">
        <v>20366364596</v>
      </c>
      <c r="L70" s="129">
        <v>0</v>
      </c>
      <c r="M70" s="123"/>
      <c r="N70" s="130">
        <v>0</v>
      </c>
      <c r="O70" s="130">
        <v>0</v>
      </c>
      <c r="P70" s="124"/>
      <c r="Q70" s="124"/>
      <c r="R70" s="124"/>
      <c r="S70" s="124"/>
      <c r="T70" s="124"/>
      <c r="U70" s="124"/>
      <c r="V70" s="130">
        <v>0</v>
      </c>
      <c r="W70" s="130">
        <v>40000</v>
      </c>
      <c r="X70" s="131"/>
      <c r="Y70" s="110"/>
      <c r="Z70" s="109"/>
      <c r="AA70" s="109"/>
      <c r="AB70" s="109"/>
      <c r="AC70" s="109">
        <v>4960</v>
      </c>
      <c r="AD70" s="109"/>
      <c r="AE70" s="109"/>
      <c r="AF70" s="102" t="s">
        <v>449</v>
      </c>
      <c r="AG70" s="102"/>
    </row>
    <row r="71" spans="1:33" ht="14.25" customHeight="1" x14ac:dyDescent="0.3">
      <c r="A71" s="111">
        <v>45868</v>
      </c>
      <c r="B71" s="181">
        <v>45845</v>
      </c>
      <c r="C71" s="109" t="s">
        <v>406</v>
      </c>
      <c r="D71" s="115" t="s">
        <v>444</v>
      </c>
      <c r="E71" s="123" t="s">
        <v>440</v>
      </c>
      <c r="F71" s="115" t="s">
        <v>387</v>
      </c>
      <c r="G71" s="109" t="s">
        <v>388</v>
      </c>
      <c r="H71" s="109" t="s">
        <v>441</v>
      </c>
      <c r="I71" s="109" t="s">
        <v>404</v>
      </c>
      <c r="J71" s="109" t="s">
        <v>419</v>
      </c>
      <c r="K71" s="119">
        <v>20366364596</v>
      </c>
      <c r="L71" s="192">
        <v>0</v>
      </c>
      <c r="M71" s="191"/>
      <c r="N71" s="194">
        <v>0</v>
      </c>
      <c r="O71" s="194">
        <v>0</v>
      </c>
      <c r="P71" s="193"/>
      <c r="Q71" s="193"/>
      <c r="R71" s="193"/>
      <c r="S71" s="193"/>
      <c r="T71" s="193"/>
      <c r="U71" s="193"/>
      <c r="V71" s="194">
        <v>0</v>
      </c>
      <c r="W71" s="130">
        <v>55000</v>
      </c>
      <c r="X71" s="131"/>
      <c r="Y71" s="110"/>
      <c r="Z71" s="109"/>
      <c r="AA71" s="184"/>
      <c r="AB71" s="109"/>
      <c r="AC71" s="109">
        <v>4944</v>
      </c>
      <c r="AD71" s="109"/>
      <c r="AE71" s="109"/>
      <c r="AF71" s="102" t="s">
        <v>449</v>
      </c>
    </row>
    <row r="72" spans="1:33" ht="14.25" customHeight="1" x14ac:dyDescent="0.3">
      <c r="A72" s="111">
        <v>45868</v>
      </c>
      <c r="B72" s="181">
        <v>45845</v>
      </c>
      <c r="C72" s="109" t="s">
        <v>406</v>
      </c>
      <c r="D72" s="115" t="s">
        <v>485</v>
      </c>
      <c r="E72" s="123" t="s">
        <v>440</v>
      </c>
      <c r="F72" s="115" t="s">
        <v>387</v>
      </c>
      <c r="G72" s="109" t="s">
        <v>388</v>
      </c>
      <c r="H72" s="109" t="s">
        <v>441</v>
      </c>
      <c r="I72" s="109" t="s">
        <v>404</v>
      </c>
      <c r="J72" s="109" t="s">
        <v>419</v>
      </c>
      <c r="K72" s="119">
        <v>20366364596</v>
      </c>
      <c r="L72" s="129">
        <v>0</v>
      </c>
      <c r="M72" s="123"/>
      <c r="N72" s="130">
        <v>0</v>
      </c>
      <c r="O72" s="130">
        <v>0</v>
      </c>
      <c r="P72" s="124"/>
      <c r="Q72" s="124"/>
      <c r="R72" s="124"/>
      <c r="S72" s="124"/>
      <c r="T72" s="124"/>
      <c r="U72" s="124"/>
      <c r="V72" s="130">
        <v>0</v>
      </c>
      <c r="W72" s="130">
        <v>40000</v>
      </c>
      <c r="X72" s="131"/>
      <c r="Y72" s="110"/>
      <c r="Z72" s="109"/>
      <c r="AA72" s="109"/>
      <c r="AB72" s="109"/>
      <c r="AC72" s="109">
        <v>4952</v>
      </c>
      <c r="AD72" s="109"/>
      <c r="AE72" s="109"/>
      <c r="AF72" s="102" t="s">
        <v>449</v>
      </c>
    </row>
    <row r="73" spans="1:33" ht="14.25" customHeight="1" x14ac:dyDescent="0.3">
      <c r="A73" s="111">
        <v>45868</v>
      </c>
      <c r="B73" s="181">
        <v>45845</v>
      </c>
      <c r="C73" s="109" t="s">
        <v>406</v>
      </c>
      <c r="D73" s="184" t="s">
        <v>486</v>
      </c>
      <c r="E73" s="123" t="s">
        <v>440</v>
      </c>
      <c r="F73" s="184" t="s">
        <v>387</v>
      </c>
      <c r="G73" s="109" t="s">
        <v>388</v>
      </c>
      <c r="H73" s="109" t="s">
        <v>441</v>
      </c>
      <c r="I73" s="109" t="s">
        <v>404</v>
      </c>
      <c r="J73" s="109" t="s">
        <v>419</v>
      </c>
      <c r="K73" s="119">
        <v>20366364596</v>
      </c>
      <c r="L73" s="143">
        <v>0</v>
      </c>
      <c r="M73" s="144"/>
      <c r="N73" s="145">
        <v>0</v>
      </c>
      <c r="O73" s="145">
        <v>0</v>
      </c>
      <c r="P73" s="146"/>
      <c r="Q73" s="146"/>
      <c r="R73" s="146"/>
      <c r="S73" s="146"/>
      <c r="T73" s="146"/>
      <c r="U73" s="146"/>
      <c r="V73" s="145">
        <v>0</v>
      </c>
      <c r="W73" s="130">
        <v>40000</v>
      </c>
      <c r="X73" s="131"/>
      <c r="Y73" s="110"/>
      <c r="Z73" s="109"/>
      <c r="AA73" s="109"/>
      <c r="AB73" s="109"/>
      <c r="AC73" s="109">
        <v>4961</v>
      </c>
      <c r="AD73" s="109"/>
      <c r="AE73" s="109"/>
      <c r="AF73" s="102" t="s">
        <v>449</v>
      </c>
      <c r="AG73" s="102"/>
    </row>
    <row r="74" spans="1:33" ht="14.25" customHeight="1" x14ac:dyDescent="0.3">
      <c r="A74" s="111">
        <v>45868</v>
      </c>
      <c r="B74" s="135" t="s">
        <v>450</v>
      </c>
      <c r="C74" s="109" t="s">
        <v>392</v>
      </c>
      <c r="D74" s="183"/>
      <c r="E74" s="123" t="s">
        <v>440</v>
      </c>
      <c r="F74" s="185"/>
      <c r="G74" s="187" t="s">
        <v>388</v>
      </c>
      <c r="H74" s="109" t="s">
        <v>441</v>
      </c>
      <c r="I74" s="109" t="s">
        <v>421</v>
      </c>
      <c r="J74" s="184" t="s">
        <v>419</v>
      </c>
      <c r="K74" s="190"/>
      <c r="L74" s="121"/>
      <c r="M74" s="121"/>
      <c r="N74" s="105"/>
      <c r="O74" s="105"/>
      <c r="P74" s="105"/>
      <c r="Q74" s="105"/>
      <c r="R74" s="105"/>
      <c r="S74" s="105"/>
      <c r="T74" s="105"/>
      <c r="U74" s="105"/>
      <c r="V74" s="105"/>
      <c r="W74" s="193">
        <v>-1050000</v>
      </c>
      <c r="X74" s="131">
        <v>45860</v>
      </c>
      <c r="Y74" s="110" t="s">
        <v>392</v>
      </c>
      <c r="Z74" s="109" t="s">
        <v>393</v>
      </c>
      <c r="AA74" s="114" t="s">
        <v>394</v>
      </c>
      <c r="AB74" s="109"/>
      <c r="AC74" s="109">
        <v>4940</v>
      </c>
      <c r="AD74" s="109"/>
      <c r="AE74" s="109"/>
      <c r="AF74" s="102" t="s">
        <v>449</v>
      </c>
    </row>
    <row r="75" spans="1:33" ht="14.25" customHeight="1" x14ac:dyDescent="0.3">
      <c r="A75" s="111">
        <v>45868</v>
      </c>
      <c r="B75" s="182">
        <v>45848</v>
      </c>
      <c r="C75" s="113" t="s">
        <v>401</v>
      </c>
      <c r="D75" s="183"/>
      <c r="E75" s="107" t="s">
        <v>438</v>
      </c>
      <c r="F75" s="186" t="s">
        <v>442</v>
      </c>
      <c r="G75" s="132" t="s">
        <v>388</v>
      </c>
      <c r="H75" s="109" t="s">
        <v>402</v>
      </c>
      <c r="I75" s="109" t="s">
        <v>390</v>
      </c>
      <c r="J75" s="109" t="s">
        <v>391</v>
      </c>
      <c r="K75" s="128"/>
      <c r="L75" s="121"/>
      <c r="M75" s="121"/>
      <c r="N75" s="105"/>
      <c r="O75" s="105"/>
      <c r="P75" s="105"/>
      <c r="Q75" s="105"/>
      <c r="R75" s="105"/>
      <c r="S75" s="105"/>
      <c r="T75" s="105"/>
      <c r="U75" s="105"/>
      <c r="V75" s="105"/>
      <c r="W75" s="124">
        <v>217135.92</v>
      </c>
      <c r="X75" s="131">
        <v>45848</v>
      </c>
      <c r="Y75" s="110" t="s">
        <v>392</v>
      </c>
      <c r="Z75" s="109"/>
      <c r="AA75" s="184"/>
      <c r="AB75" s="109"/>
      <c r="AC75" s="109">
        <v>4974</v>
      </c>
      <c r="AD75" s="109"/>
      <c r="AE75" s="109"/>
      <c r="AF75" s="102" t="s">
        <v>449</v>
      </c>
      <c r="AG75" s="102"/>
    </row>
    <row r="76" spans="1:33" ht="14.25" customHeight="1" x14ac:dyDescent="0.3">
      <c r="A76" s="111">
        <v>45868</v>
      </c>
      <c r="B76" s="181">
        <v>45855</v>
      </c>
      <c r="C76" s="109" t="s">
        <v>396</v>
      </c>
      <c r="D76" s="115" t="s">
        <v>490</v>
      </c>
      <c r="E76" s="123" t="s">
        <v>418</v>
      </c>
      <c r="F76" s="115" t="s">
        <v>387</v>
      </c>
      <c r="G76" s="106" t="s">
        <v>388</v>
      </c>
      <c r="H76" s="115" t="s">
        <v>412</v>
      </c>
      <c r="I76" s="115" t="s">
        <v>465</v>
      </c>
      <c r="J76" s="115" t="s">
        <v>413</v>
      </c>
      <c r="K76" s="148">
        <v>30639453738</v>
      </c>
      <c r="L76" s="143">
        <v>144997</v>
      </c>
      <c r="M76" s="144"/>
      <c r="N76" s="145">
        <v>30449.37</v>
      </c>
      <c r="O76" s="145">
        <v>0</v>
      </c>
      <c r="P76" s="146"/>
      <c r="Q76" s="146"/>
      <c r="R76" s="146"/>
      <c r="S76" s="146"/>
      <c r="T76" s="146"/>
      <c r="U76" s="146"/>
      <c r="V76" s="145">
        <v>11599.76</v>
      </c>
      <c r="W76" s="145">
        <v>187046.13</v>
      </c>
      <c r="X76" s="131"/>
      <c r="Y76" s="110"/>
      <c r="Z76" s="109"/>
      <c r="AA76" s="184"/>
      <c r="AB76" s="109"/>
      <c r="AC76" s="109">
        <v>5019</v>
      </c>
      <c r="AD76" s="109"/>
      <c r="AE76" s="109"/>
      <c r="AF76" s="102" t="s">
        <v>449</v>
      </c>
      <c r="AG76" s="102"/>
    </row>
    <row r="77" spans="1:33" ht="14.25" customHeight="1" x14ac:dyDescent="0.3">
      <c r="A77" s="111">
        <v>45868</v>
      </c>
      <c r="B77" s="181">
        <v>45855</v>
      </c>
      <c r="C77" s="109" t="s">
        <v>396</v>
      </c>
      <c r="D77" s="115" t="s">
        <v>489</v>
      </c>
      <c r="E77" s="123" t="s">
        <v>418</v>
      </c>
      <c r="F77" s="115" t="s">
        <v>387</v>
      </c>
      <c r="G77" s="106" t="s">
        <v>388</v>
      </c>
      <c r="H77" s="115" t="s">
        <v>412</v>
      </c>
      <c r="I77" s="115" t="s">
        <v>390</v>
      </c>
      <c r="J77" s="115" t="s">
        <v>413</v>
      </c>
      <c r="K77" s="148">
        <v>30639453738</v>
      </c>
      <c r="L77" s="143">
        <v>102700</v>
      </c>
      <c r="M77" s="144"/>
      <c r="N77" s="145">
        <v>21567</v>
      </c>
      <c r="O77" s="145">
        <v>0</v>
      </c>
      <c r="P77" s="146"/>
      <c r="Q77" s="146"/>
      <c r="R77" s="146"/>
      <c r="S77" s="146"/>
      <c r="T77" s="146"/>
      <c r="U77" s="146"/>
      <c r="V77" s="145">
        <v>8216</v>
      </c>
      <c r="W77" s="145">
        <v>132483</v>
      </c>
      <c r="X77" s="131"/>
      <c r="Y77" s="110"/>
      <c r="Z77" s="109"/>
      <c r="AA77" s="109"/>
      <c r="AB77" s="109"/>
      <c r="AC77" s="109">
        <v>5016</v>
      </c>
      <c r="AD77" s="109"/>
      <c r="AE77" s="109"/>
      <c r="AF77" s="102" t="s">
        <v>449</v>
      </c>
      <c r="AG77" s="102"/>
    </row>
    <row r="78" spans="1:33" ht="14.25" customHeight="1" x14ac:dyDescent="0.3">
      <c r="A78" s="111">
        <v>45868</v>
      </c>
      <c r="B78" s="181">
        <v>45855</v>
      </c>
      <c r="C78" s="109" t="s">
        <v>396</v>
      </c>
      <c r="D78" s="115" t="s">
        <v>488</v>
      </c>
      <c r="E78" s="123" t="s">
        <v>418</v>
      </c>
      <c r="F78" s="115" t="s">
        <v>387</v>
      </c>
      <c r="G78" s="106" t="s">
        <v>388</v>
      </c>
      <c r="H78" s="109" t="s">
        <v>412</v>
      </c>
      <c r="I78" s="109" t="s">
        <v>482</v>
      </c>
      <c r="J78" s="115" t="s">
        <v>413</v>
      </c>
      <c r="K78" s="148">
        <v>30639453738</v>
      </c>
      <c r="L78" s="143">
        <v>35325</v>
      </c>
      <c r="M78" s="144"/>
      <c r="N78" s="145">
        <v>7418.25</v>
      </c>
      <c r="O78" s="145">
        <v>0</v>
      </c>
      <c r="P78" s="146"/>
      <c r="Q78" s="146"/>
      <c r="R78" s="146"/>
      <c r="S78" s="146"/>
      <c r="T78" s="146"/>
      <c r="U78" s="146"/>
      <c r="V78" s="145">
        <v>2826</v>
      </c>
      <c r="W78" s="145">
        <v>45569.25</v>
      </c>
      <c r="X78" s="131"/>
      <c r="Y78" s="110"/>
      <c r="Z78" s="109"/>
      <c r="AA78" s="109"/>
      <c r="AB78" s="109"/>
      <c r="AC78" s="109">
        <v>5014</v>
      </c>
      <c r="AD78" s="109"/>
      <c r="AE78" s="109"/>
      <c r="AF78" s="102" t="s">
        <v>449</v>
      </c>
      <c r="AG78" s="102"/>
    </row>
    <row r="79" spans="1:33" ht="14.25" customHeight="1" x14ac:dyDescent="0.3">
      <c r="A79" s="111">
        <v>45868</v>
      </c>
      <c r="B79" s="181">
        <v>45855</v>
      </c>
      <c r="C79" s="109" t="s">
        <v>396</v>
      </c>
      <c r="D79" s="184" t="s">
        <v>487</v>
      </c>
      <c r="E79" s="123" t="s">
        <v>418</v>
      </c>
      <c r="F79" s="115" t="s">
        <v>387</v>
      </c>
      <c r="G79" s="106" t="s">
        <v>388</v>
      </c>
      <c r="H79" s="109" t="s">
        <v>412</v>
      </c>
      <c r="I79" s="109" t="s">
        <v>400</v>
      </c>
      <c r="J79" s="115" t="s">
        <v>413</v>
      </c>
      <c r="K79" s="148">
        <v>30639453738</v>
      </c>
      <c r="L79" s="129">
        <v>57553.72</v>
      </c>
      <c r="M79" s="123"/>
      <c r="N79" s="130">
        <v>12086.28</v>
      </c>
      <c r="O79" s="130">
        <v>0</v>
      </c>
      <c r="P79" s="124"/>
      <c r="Q79" s="124"/>
      <c r="R79" s="124"/>
      <c r="S79" s="124"/>
      <c r="T79" s="124"/>
      <c r="U79" s="124"/>
      <c r="V79" s="130">
        <v>4604.3</v>
      </c>
      <c r="W79" s="145">
        <v>74244.31</v>
      </c>
      <c r="X79" s="131"/>
      <c r="Y79" s="110"/>
      <c r="Z79" s="109"/>
      <c r="AA79" s="109"/>
      <c r="AB79" s="109"/>
      <c r="AC79" s="109">
        <v>5013</v>
      </c>
      <c r="AD79" s="109"/>
      <c r="AE79" s="109"/>
      <c r="AF79" s="102" t="s">
        <v>449</v>
      </c>
      <c r="AG79" s="102"/>
    </row>
    <row r="80" spans="1:33" ht="14.25" customHeight="1" x14ac:dyDescent="0.3">
      <c r="A80" s="111">
        <v>45868</v>
      </c>
      <c r="B80" s="122">
        <v>45867</v>
      </c>
      <c r="C80" s="109" t="s">
        <v>396</v>
      </c>
      <c r="D80" s="109" t="s">
        <v>491</v>
      </c>
      <c r="E80" s="123" t="s">
        <v>492</v>
      </c>
      <c r="F80" s="115" t="s">
        <v>387</v>
      </c>
      <c r="G80" s="115" t="s">
        <v>388</v>
      </c>
      <c r="H80" s="115" t="s">
        <v>411</v>
      </c>
      <c r="I80" s="115" t="s">
        <v>493</v>
      </c>
      <c r="J80" s="189" t="s">
        <v>431</v>
      </c>
      <c r="K80" s="148">
        <v>30709276057</v>
      </c>
      <c r="L80" s="129">
        <v>160000</v>
      </c>
      <c r="M80" s="123"/>
      <c r="N80" s="130">
        <v>33600</v>
      </c>
      <c r="O80" s="130">
        <v>0</v>
      </c>
      <c r="P80" s="124"/>
      <c r="Q80" s="124"/>
      <c r="R80" s="124"/>
      <c r="S80" s="124"/>
      <c r="T80" s="124"/>
      <c r="U80" s="124"/>
      <c r="V80" s="130">
        <v>0</v>
      </c>
      <c r="W80" s="145">
        <v>193600</v>
      </c>
      <c r="X80" s="131"/>
      <c r="Y80" s="110"/>
      <c r="Z80" s="109"/>
      <c r="AA80" s="115"/>
      <c r="AB80" s="109"/>
      <c r="AC80" s="109">
        <v>5029</v>
      </c>
      <c r="AD80" s="109"/>
      <c r="AE80" s="109"/>
      <c r="AF80" s="102" t="s">
        <v>447</v>
      </c>
    </row>
    <row r="81" spans="1:31" ht="14.25" customHeight="1" x14ac:dyDescent="0.3">
      <c r="A81" s="111"/>
      <c r="B81" s="127"/>
      <c r="C81" s="113"/>
      <c r="D81" s="113"/>
      <c r="E81" s="107"/>
      <c r="F81" s="108"/>
      <c r="G81" s="128"/>
      <c r="H81" s="109"/>
      <c r="I81" s="109"/>
      <c r="J81" s="109"/>
      <c r="K81" s="128"/>
      <c r="L81" s="123"/>
      <c r="M81" s="123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31"/>
      <c r="Y81" s="110"/>
      <c r="Z81" s="109"/>
      <c r="AA81" s="109"/>
      <c r="AB81" s="109"/>
      <c r="AC81" s="109"/>
      <c r="AD81" s="109"/>
      <c r="AE81" s="109"/>
    </row>
    <row r="82" spans="1:31" ht="14.25" customHeight="1" x14ac:dyDescent="0.3">
      <c r="A82" s="111"/>
      <c r="B82" s="127"/>
      <c r="C82" s="113"/>
      <c r="D82" s="113"/>
      <c r="E82" s="107"/>
      <c r="F82" s="108"/>
      <c r="G82" s="128"/>
      <c r="H82" s="109"/>
      <c r="I82" s="109"/>
      <c r="J82" s="109"/>
      <c r="K82" s="128"/>
      <c r="L82" s="123"/>
      <c r="M82" s="123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31"/>
      <c r="Y82" s="110"/>
      <c r="Z82" s="109"/>
      <c r="AA82" s="109"/>
      <c r="AB82" s="109"/>
      <c r="AC82" s="109"/>
      <c r="AD82" s="109"/>
      <c r="AE82" s="109"/>
    </row>
    <row r="83" spans="1:31" ht="14.25" customHeight="1" x14ac:dyDescent="0.3">
      <c r="A83" s="111"/>
      <c r="B83" s="127"/>
      <c r="C83" s="113"/>
      <c r="D83" s="113"/>
      <c r="E83" s="107"/>
      <c r="F83" s="108"/>
      <c r="G83" s="128"/>
      <c r="H83" s="109"/>
      <c r="I83" s="109"/>
      <c r="J83" s="109"/>
      <c r="K83" s="128"/>
      <c r="L83" s="123"/>
      <c r="M83" s="123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31"/>
      <c r="Y83" s="110"/>
      <c r="Z83" s="109"/>
      <c r="AA83" s="109"/>
      <c r="AB83" s="109"/>
      <c r="AC83" s="109"/>
      <c r="AD83" s="109"/>
      <c r="AE83" s="109"/>
    </row>
    <row r="84" spans="1:31" ht="14.25" customHeight="1" x14ac:dyDescent="0.3">
      <c r="A84" s="111"/>
      <c r="B84" s="127"/>
      <c r="C84" s="113"/>
      <c r="D84" s="113"/>
      <c r="E84" s="107"/>
      <c r="F84" s="108"/>
      <c r="G84" s="128"/>
      <c r="H84" s="109"/>
      <c r="I84" s="109"/>
      <c r="J84" s="109"/>
      <c r="K84" s="128"/>
      <c r="L84" s="123"/>
      <c r="M84" s="123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31"/>
      <c r="Y84" s="110"/>
      <c r="Z84" s="109"/>
      <c r="AA84" s="109"/>
      <c r="AB84" s="109"/>
      <c r="AC84" s="109"/>
      <c r="AD84" s="109"/>
      <c r="AE84" s="109"/>
    </row>
    <row r="85" spans="1:31" ht="14.25" customHeight="1" x14ac:dyDescent="0.3">
      <c r="A85" s="111"/>
      <c r="B85" s="127"/>
      <c r="C85" s="113"/>
      <c r="D85" s="113"/>
      <c r="E85" s="107"/>
      <c r="F85" s="108"/>
      <c r="G85" s="128"/>
      <c r="H85" s="109"/>
      <c r="I85" s="109"/>
      <c r="J85" s="109"/>
      <c r="K85" s="128"/>
      <c r="L85" s="123"/>
      <c r="M85" s="123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31"/>
      <c r="Y85" s="110"/>
      <c r="Z85" s="109"/>
      <c r="AA85" s="109"/>
      <c r="AB85" s="109"/>
      <c r="AC85" s="109"/>
      <c r="AD85" s="109"/>
      <c r="AE85" s="109"/>
    </row>
    <row r="86" spans="1:31" ht="14.25" customHeight="1" x14ac:dyDescent="0.3">
      <c r="A86" s="111"/>
      <c r="B86" s="127"/>
      <c r="C86" s="113"/>
      <c r="D86" s="113"/>
      <c r="E86" s="107"/>
      <c r="F86" s="108"/>
      <c r="G86" s="128"/>
      <c r="H86" s="109"/>
      <c r="I86" s="109"/>
      <c r="J86" s="109"/>
      <c r="K86" s="128"/>
      <c r="L86" s="123"/>
      <c r="M86" s="123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31"/>
      <c r="Y86" s="110"/>
      <c r="Z86" s="109"/>
      <c r="AA86" s="109"/>
      <c r="AB86" s="109"/>
      <c r="AC86" s="109"/>
      <c r="AD86" s="109"/>
      <c r="AE86" s="109"/>
    </row>
    <row r="87" spans="1:31" ht="14.25" customHeight="1" x14ac:dyDescent="0.3">
      <c r="A87" s="111"/>
      <c r="B87" s="127"/>
      <c r="C87" s="113"/>
      <c r="D87" s="113"/>
      <c r="E87" s="107"/>
      <c r="F87" s="108"/>
      <c r="G87" s="128"/>
      <c r="H87" s="109"/>
      <c r="I87" s="109"/>
      <c r="J87" s="109"/>
      <c r="K87" s="128"/>
      <c r="L87" s="123"/>
      <c r="M87" s="123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31"/>
      <c r="Y87" s="110"/>
      <c r="Z87" s="109"/>
      <c r="AA87" s="109"/>
      <c r="AB87" s="109"/>
      <c r="AC87" s="109"/>
      <c r="AD87" s="109"/>
      <c r="AE87" s="109"/>
    </row>
    <row r="88" spans="1:31" ht="14.25" customHeight="1" x14ac:dyDescent="0.3">
      <c r="A88" s="111"/>
      <c r="B88" s="127"/>
      <c r="C88" s="113"/>
      <c r="D88" s="113"/>
      <c r="E88" s="107"/>
      <c r="F88" s="108"/>
      <c r="G88" s="128"/>
      <c r="H88" s="109"/>
      <c r="I88" s="109"/>
      <c r="J88" s="109"/>
      <c r="K88" s="128"/>
      <c r="L88" s="123"/>
      <c r="M88" s="123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31"/>
      <c r="Y88" s="110"/>
      <c r="Z88" s="109"/>
      <c r="AA88" s="109"/>
      <c r="AB88" s="109"/>
      <c r="AC88" s="109"/>
      <c r="AD88" s="109"/>
      <c r="AE88" s="109"/>
    </row>
    <row r="89" spans="1:31" ht="14.25" customHeight="1" x14ac:dyDescent="0.3">
      <c r="A89" s="111"/>
      <c r="B89" s="127"/>
      <c r="C89" s="113"/>
      <c r="D89" s="113"/>
      <c r="E89" s="107"/>
      <c r="F89" s="108"/>
      <c r="G89" s="128"/>
      <c r="H89" s="109"/>
      <c r="I89" s="109"/>
      <c r="J89" s="109"/>
      <c r="K89" s="128"/>
      <c r="L89" s="123"/>
      <c r="M89" s="123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31"/>
      <c r="Y89" s="110"/>
      <c r="Z89" s="109"/>
      <c r="AA89" s="109"/>
      <c r="AB89" s="109"/>
      <c r="AC89" s="109"/>
      <c r="AD89" s="109"/>
      <c r="AE89" s="109"/>
    </row>
    <row r="90" spans="1:31" ht="14.25" customHeight="1" x14ac:dyDescent="0.3">
      <c r="A90" s="111"/>
      <c r="B90" s="127"/>
      <c r="C90" s="113"/>
      <c r="D90" s="113"/>
      <c r="E90" s="107"/>
      <c r="F90" s="108"/>
      <c r="G90" s="128"/>
      <c r="H90" s="109"/>
      <c r="I90" s="109"/>
      <c r="J90" s="109"/>
      <c r="K90" s="128"/>
      <c r="L90" s="123"/>
      <c r="M90" s="123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31"/>
      <c r="Y90" s="110"/>
      <c r="Z90" s="109"/>
      <c r="AA90" s="109"/>
      <c r="AB90" s="109"/>
      <c r="AC90" s="109"/>
      <c r="AD90" s="109"/>
      <c r="AE90" s="109"/>
    </row>
    <row r="91" spans="1:31" ht="14.25" customHeight="1" x14ac:dyDescent="0.3">
      <c r="A91" s="111"/>
      <c r="B91" s="127"/>
      <c r="C91" s="113"/>
      <c r="D91" s="113"/>
      <c r="E91" s="107"/>
      <c r="F91" s="108"/>
      <c r="G91" s="128"/>
      <c r="H91" s="109"/>
      <c r="I91" s="109"/>
      <c r="J91" s="109"/>
      <c r="K91" s="128"/>
      <c r="L91" s="123"/>
      <c r="M91" s="123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31"/>
      <c r="Y91" s="110"/>
      <c r="Z91" s="109"/>
      <c r="AA91" s="109"/>
      <c r="AB91" s="109"/>
      <c r="AC91" s="109"/>
      <c r="AD91" s="109"/>
      <c r="AE91" s="109"/>
    </row>
    <row r="92" spans="1:31" ht="14.25" customHeight="1" x14ac:dyDescent="0.3">
      <c r="A92" s="111"/>
      <c r="B92" s="127"/>
      <c r="C92" s="113"/>
      <c r="D92" s="113"/>
      <c r="E92" s="107"/>
      <c r="F92" s="108"/>
      <c r="G92" s="128"/>
      <c r="H92" s="109"/>
      <c r="I92" s="109"/>
      <c r="J92" s="109"/>
      <c r="K92" s="128"/>
      <c r="L92" s="123"/>
      <c r="M92" s="123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31"/>
      <c r="Y92" s="110"/>
      <c r="Z92" s="109"/>
      <c r="AA92" s="109"/>
      <c r="AB92" s="109"/>
      <c r="AC92" s="109"/>
      <c r="AD92" s="109"/>
      <c r="AE92" s="109"/>
    </row>
    <row r="93" spans="1:31" ht="14.25" customHeight="1" x14ac:dyDescent="0.3">
      <c r="A93" s="111"/>
      <c r="B93" s="127"/>
      <c r="C93" s="113"/>
      <c r="D93" s="113"/>
      <c r="E93" s="107"/>
      <c r="F93" s="108"/>
      <c r="G93" s="128"/>
      <c r="H93" s="109"/>
      <c r="I93" s="109"/>
      <c r="J93" s="109"/>
      <c r="K93" s="128"/>
      <c r="L93" s="123"/>
      <c r="M93" s="123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31"/>
      <c r="Y93" s="110"/>
      <c r="Z93" s="109"/>
      <c r="AA93" s="109"/>
      <c r="AB93" s="109"/>
      <c r="AC93" s="109"/>
      <c r="AD93" s="109"/>
      <c r="AE93" s="109"/>
    </row>
    <row r="94" spans="1:31" ht="14.25" customHeight="1" x14ac:dyDescent="0.3">
      <c r="A94" s="111"/>
      <c r="B94" s="127"/>
      <c r="C94" s="113"/>
      <c r="D94" s="113"/>
      <c r="E94" s="107"/>
      <c r="F94" s="108"/>
      <c r="G94" s="128"/>
      <c r="H94" s="109"/>
      <c r="I94" s="109"/>
      <c r="J94" s="109"/>
      <c r="K94" s="128"/>
      <c r="L94" s="123"/>
      <c r="M94" s="123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31"/>
      <c r="Y94" s="110"/>
      <c r="Z94" s="109"/>
      <c r="AA94" s="109"/>
      <c r="AB94" s="109"/>
      <c r="AC94" s="109"/>
      <c r="AD94" s="109"/>
      <c r="AE94" s="109"/>
    </row>
    <row r="95" spans="1:31" ht="14.25" customHeight="1" x14ac:dyDescent="0.3">
      <c r="A95" s="111"/>
      <c r="B95" s="127"/>
      <c r="C95" s="113"/>
      <c r="D95" s="113"/>
      <c r="E95" s="107"/>
      <c r="F95" s="108"/>
      <c r="G95" s="128"/>
      <c r="H95" s="109"/>
      <c r="I95" s="109"/>
      <c r="J95" s="109"/>
      <c r="K95" s="128"/>
      <c r="L95" s="123"/>
      <c r="M95" s="123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31"/>
      <c r="Y95" s="110"/>
      <c r="Z95" s="109"/>
      <c r="AA95" s="109"/>
      <c r="AB95" s="109"/>
      <c r="AC95" s="109"/>
      <c r="AD95" s="109"/>
      <c r="AE95" s="109"/>
    </row>
    <row r="96" spans="1:31" ht="14.25" customHeight="1" x14ac:dyDescent="0.3">
      <c r="A96" s="111"/>
      <c r="B96" s="127"/>
      <c r="C96" s="113"/>
      <c r="D96" s="113"/>
      <c r="E96" s="107"/>
      <c r="F96" s="108"/>
      <c r="G96" s="128"/>
      <c r="H96" s="109"/>
      <c r="I96" s="109"/>
      <c r="J96" s="109"/>
      <c r="K96" s="128"/>
      <c r="L96" s="123"/>
      <c r="M96" s="123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31"/>
      <c r="Y96" s="110"/>
      <c r="Z96" s="109"/>
      <c r="AA96" s="109"/>
      <c r="AB96" s="109"/>
      <c r="AC96" s="109"/>
      <c r="AD96" s="109"/>
      <c r="AE96" s="109"/>
    </row>
    <row r="97" spans="1:31" ht="14.25" customHeight="1" x14ac:dyDescent="0.3">
      <c r="A97" s="111"/>
      <c r="B97" s="127"/>
      <c r="C97" s="113"/>
      <c r="D97" s="113"/>
      <c r="E97" s="107"/>
      <c r="F97" s="108"/>
      <c r="G97" s="128"/>
      <c r="H97" s="109"/>
      <c r="I97" s="109"/>
      <c r="J97" s="109"/>
      <c r="K97" s="128"/>
      <c r="L97" s="123"/>
      <c r="M97" s="123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31"/>
      <c r="Y97" s="110"/>
      <c r="Z97" s="109"/>
      <c r="AA97" s="109"/>
      <c r="AB97" s="109"/>
      <c r="AC97" s="109"/>
      <c r="AD97" s="109"/>
      <c r="AE97" s="109"/>
    </row>
    <row r="98" spans="1:31" ht="14.25" customHeight="1" x14ac:dyDescent="0.3">
      <c r="A98" s="111"/>
      <c r="B98" s="127"/>
      <c r="C98" s="113"/>
      <c r="D98" s="113"/>
      <c r="E98" s="107"/>
      <c r="F98" s="108"/>
      <c r="G98" s="128"/>
      <c r="H98" s="109"/>
      <c r="I98" s="109"/>
      <c r="J98" s="109"/>
      <c r="K98" s="128"/>
      <c r="L98" s="123"/>
      <c r="M98" s="123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31"/>
      <c r="Y98" s="110"/>
      <c r="Z98" s="109"/>
      <c r="AA98" s="109"/>
      <c r="AB98" s="109"/>
      <c r="AC98" s="109"/>
      <c r="AD98" s="109"/>
      <c r="AE98" s="109"/>
    </row>
    <row r="99" spans="1:31" ht="14.25" customHeight="1" x14ac:dyDescent="0.3">
      <c r="A99" s="111"/>
      <c r="B99" s="127"/>
      <c r="C99" s="113"/>
      <c r="D99" s="113"/>
      <c r="E99" s="107"/>
      <c r="F99" s="108"/>
      <c r="G99" s="128"/>
      <c r="H99" s="109"/>
      <c r="I99" s="109"/>
      <c r="J99" s="109"/>
      <c r="K99" s="128"/>
      <c r="L99" s="123"/>
      <c r="M99" s="123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31"/>
      <c r="Y99" s="110"/>
      <c r="Z99" s="109"/>
      <c r="AA99" s="109"/>
      <c r="AB99" s="109"/>
      <c r="AC99" s="109"/>
      <c r="AD99" s="109"/>
      <c r="AE99" s="109"/>
    </row>
    <row r="100" spans="1:31" ht="14.25" customHeight="1" x14ac:dyDescent="0.3">
      <c r="A100" s="111"/>
      <c r="B100" s="127"/>
      <c r="C100" s="113"/>
      <c r="D100" s="113"/>
      <c r="E100" s="107"/>
      <c r="F100" s="108"/>
      <c r="G100" s="128"/>
      <c r="H100" s="109"/>
      <c r="I100" s="109"/>
      <c r="J100" s="109"/>
      <c r="K100" s="128"/>
      <c r="L100" s="123"/>
      <c r="M100" s="123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31"/>
      <c r="Y100" s="110"/>
      <c r="Z100" s="109"/>
      <c r="AA100" s="109"/>
      <c r="AB100" s="109"/>
      <c r="AC100" s="109"/>
      <c r="AD100" s="109"/>
      <c r="AE100" s="109"/>
    </row>
    <row r="101" spans="1:31" ht="14.25" customHeight="1" x14ac:dyDescent="0.3">
      <c r="A101" s="111"/>
      <c r="B101" s="127"/>
      <c r="C101" s="113"/>
      <c r="D101" s="113"/>
      <c r="E101" s="107"/>
      <c r="F101" s="108"/>
      <c r="G101" s="128"/>
      <c r="H101" s="109"/>
      <c r="I101" s="109"/>
      <c r="J101" s="109"/>
      <c r="K101" s="128"/>
      <c r="L101" s="123"/>
      <c r="M101" s="123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31"/>
      <c r="Y101" s="110"/>
      <c r="Z101" s="109"/>
      <c r="AA101" s="109"/>
      <c r="AB101" s="109"/>
      <c r="AC101" s="109"/>
      <c r="AD101" s="109"/>
      <c r="AE101" s="109"/>
    </row>
    <row r="102" spans="1:31" ht="14.25" customHeight="1" x14ac:dyDescent="0.3">
      <c r="A102" s="111"/>
      <c r="B102" s="127"/>
      <c r="C102" s="113"/>
      <c r="D102" s="113"/>
      <c r="E102" s="107"/>
      <c r="F102" s="108"/>
      <c r="G102" s="128"/>
      <c r="H102" s="109"/>
      <c r="I102" s="109"/>
      <c r="J102" s="109"/>
      <c r="K102" s="128"/>
      <c r="L102" s="123"/>
      <c r="M102" s="123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31"/>
      <c r="Y102" s="110"/>
      <c r="Z102" s="109"/>
      <c r="AA102" s="109"/>
      <c r="AB102" s="109"/>
      <c r="AC102" s="109"/>
      <c r="AD102" s="109"/>
      <c r="AE102" s="109"/>
    </row>
    <row r="103" spans="1:31" ht="14.25" customHeight="1" x14ac:dyDescent="0.3">
      <c r="A103" s="111"/>
      <c r="B103" s="127"/>
      <c r="C103" s="113"/>
      <c r="D103" s="113"/>
      <c r="E103" s="107"/>
      <c r="F103" s="108"/>
      <c r="G103" s="128"/>
      <c r="H103" s="109"/>
      <c r="I103" s="109"/>
      <c r="J103" s="109"/>
      <c r="K103" s="128"/>
      <c r="L103" s="123"/>
      <c r="M103" s="123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31"/>
      <c r="Y103" s="110"/>
      <c r="Z103" s="109"/>
      <c r="AA103" s="109"/>
      <c r="AB103" s="109"/>
      <c r="AC103" s="109"/>
      <c r="AD103" s="109"/>
      <c r="AE103" s="109"/>
    </row>
    <row r="104" spans="1:31" ht="14.25" customHeight="1" x14ac:dyDescent="0.3">
      <c r="A104" s="111"/>
      <c r="B104" s="127"/>
      <c r="C104" s="113"/>
      <c r="D104" s="113"/>
      <c r="E104" s="107"/>
      <c r="F104" s="108"/>
      <c r="G104" s="128"/>
      <c r="H104" s="109"/>
      <c r="I104" s="109"/>
      <c r="J104" s="109"/>
      <c r="K104" s="128"/>
      <c r="L104" s="123"/>
      <c r="M104" s="123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31"/>
      <c r="Y104" s="110"/>
      <c r="Z104" s="109"/>
      <c r="AA104" s="109"/>
      <c r="AB104" s="109"/>
      <c r="AC104" s="109"/>
      <c r="AD104" s="109"/>
      <c r="AE104" s="109"/>
    </row>
    <row r="105" spans="1:31" ht="14.25" customHeight="1" x14ac:dyDescent="0.3">
      <c r="A105" s="111"/>
      <c r="B105" s="127"/>
      <c r="C105" s="113"/>
      <c r="D105" s="113"/>
      <c r="E105" s="107"/>
      <c r="F105" s="108"/>
      <c r="G105" s="128"/>
      <c r="H105" s="109"/>
      <c r="I105" s="109"/>
      <c r="J105" s="109"/>
      <c r="K105" s="128"/>
      <c r="L105" s="123"/>
      <c r="M105" s="123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31"/>
      <c r="Y105" s="110"/>
      <c r="Z105" s="109"/>
      <c r="AA105" s="109"/>
      <c r="AB105" s="109"/>
      <c r="AC105" s="109"/>
      <c r="AD105" s="109"/>
      <c r="AE105" s="109"/>
    </row>
    <row r="106" spans="1:31" ht="14.25" customHeight="1" x14ac:dyDescent="0.3">
      <c r="A106" s="111"/>
      <c r="B106" s="127"/>
      <c r="C106" s="113"/>
      <c r="D106" s="113"/>
      <c r="E106" s="107"/>
      <c r="F106" s="108"/>
      <c r="G106" s="128"/>
      <c r="H106" s="109"/>
      <c r="I106" s="109"/>
      <c r="J106" s="109"/>
      <c r="K106" s="128"/>
      <c r="L106" s="123"/>
      <c r="M106" s="123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31"/>
      <c r="Y106" s="110"/>
      <c r="Z106" s="109"/>
      <c r="AA106" s="109"/>
      <c r="AB106" s="109"/>
      <c r="AC106" s="109"/>
      <c r="AD106" s="109"/>
      <c r="AE106" s="109"/>
    </row>
    <row r="107" spans="1:31" ht="14.25" customHeight="1" x14ac:dyDescent="0.3">
      <c r="A107" s="111"/>
      <c r="B107" s="127"/>
      <c r="C107" s="113"/>
      <c r="D107" s="113"/>
      <c r="E107" s="107"/>
      <c r="F107" s="108"/>
      <c r="G107" s="128"/>
      <c r="H107" s="109"/>
      <c r="I107" s="109"/>
      <c r="J107" s="109"/>
      <c r="K107" s="128"/>
      <c r="L107" s="123"/>
      <c r="M107" s="123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31"/>
      <c r="Y107" s="110"/>
      <c r="Z107" s="109"/>
      <c r="AA107" s="109"/>
      <c r="AB107" s="109"/>
      <c r="AC107" s="109"/>
      <c r="AD107" s="109"/>
      <c r="AE107" s="109"/>
    </row>
    <row r="108" spans="1:31" ht="14.25" customHeight="1" x14ac:dyDescent="0.3">
      <c r="A108" s="111"/>
      <c r="B108" s="127"/>
      <c r="C108" s="113"/>
      <c r="D108" s="113"/>
      <c r="E108" s="107"/>
      <c r="F108" s="108"/>
      <c r="G108" s="128"/>
      <c r="H108" s="109"/>
      <c r="I108" s="109"/>
      <c r="J108" s="109"/>
      <c r="K108" s="128"/>
      <c r="L108" s="123"/>
      <c r="M108" s="123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31"/>
      <c r="Y108" s="110"/>
      <c r="Z108" s="109"/>
      <c r="AA108" s="109"/>
      <c r="AB108" s="109"/>
      <c r="AC108" s="109"/>
      <c r="AD108" s="109"/>
      <c r="AE108" s="109"/>
    </row>
    <row r="109" spans="1:31" ht="14.25" customHeight="1" x14ac:dyDescent="0.3">
      <c r="A109" s="111"/>
      <c r="B109" s="127"/>
      <c r="C109" s="113"/>
      <c r="D109" s="113"/>
      <c r="E109" s="107"/>
      <c r="F109" s="108"/>
      <c r="G109" s="128"/>
      <c r="H109" s="109"/>
      <c r="I109" s="109"/>
      <c r="J109" s="109"/>
      <c r="K109" s="128"/>
      <c r="L109" s="123"/>
      <c r="M109" s="123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31"/>
      <c r="Y109" s="110"/>
      <c r="Z109" s="109"/>
      <c r="AA109" s="109"/>
      <c r="AB109" s="109"/>
      <c r="AC109" s="109"/>
      <c r="AD109" s="109"/>
      <c r="AE109" s="109"/>
    </row>
    <row r="110" spans="1:31" ht="14.25" customHeight="1" x14ac:dyDescent="0.3">
      <c r="A110" s="111"/>
      <c r="B110" s="127"/>
      <c r="C110" s="113"/>
      <c r="D110" s="113"/>
      <c r="E110" s="107"/>
      <c r="F110" s="108"/>
      <c r="G110" s="128"/>
      <c r="H110" s="109"/>
      <c r="I110" s="109"/>
      <c r="J110" s="109"/>
      <c r="K110" s="128"/>
      <c r="L110" s="123"/>
      <c r="M110" s="123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31"/>
      <c r="Y110" s="110"/>
      <c r="Z110" s="109"/>
      <c r="AA110" s="109"/>
      <c r="AB110" s="109"/>
      <c r="AC110" s="109"/>
      <c r="AD110" s="109"/>
      <c r="AE110" s="109"/>
    </row>
    <row r="111" spans="1:31" ht="14.25" customHeight="1" x14ac:dyDescent="0.3">
      <c r="A111" s="111"/>
      <c r="B111" s="127"/>
      <c r="C111" s="113"/>
      <c r="D111" s="113"/>
      <c r="E111" s="107"/>
      <c r="F111" s="108"/>
      <c r="G111" s="128"/>
      <c r="H111" s="109"/>
      <c r="I111" s="109"/>
      <c r="J111" s="109"/>
      <c r="K111" s="128"/>
      <c r="L111" s="123"/>
      <c r="M111" s="123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31"/>
      <c r="Y111" s="110"/>
      <c r="Z111" s="109"/>
      <c r="AA111" s="109"/>
      <c r="AB111" s="109"/>
      <c r="AC111" s="109"/>
      <c r="AD111" s="109"/>
      <c r="AE111" s="109"/>
    </row>
    <row r="112" spans="1:31" ht="14.25" customHeight="1" x14ac:dyDescent="0.3">
      <c r="A112" s="111"/>
      <c r="B112" s="127"/>
      <c r="C112" s="113"/>
      <c r="D112" s="113"/>
      <c r="E112" s="107"/>
      <c r="F112" s="108"/>
      <c r="G112" s="128"/>
      <c r="H112" s="109"/>
      <c r="I112" s="109"/>
      <c r="J112" s="109"/>
      <c r="K112" s="128"/>
      <c r="L112" s="123"/>
      <c r="M112" s="123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31"/>
      <c r="Y112" s="110"/>
      <c r="Z112" s="109"/>
      <c r="AA112" s="109"/>
      <c r="AB112" s="109"/>
      <c r="AC112" s="109"/>
      <c r="AD112" s="109"/>
      <c r="AE112" s="109"/>
    </row>
    <row r="113" spans="1:31" ht="14.25" customHeight="1" x14ac:dyDescent="0.3">
      <c r="A113" s="111"/>
      <c r="B113" s="127"/>
      <c r="C113" s="113"/>
      <c r="D113" s="113"/>
      <c r="E113" s="107"/>
      <c r="F113" s="108"/>
      <c r="G113" s="128"/>
      <c r="H113" s="109"/>
      <c r="I113" s="109"/>
      <c r="J113" s="109"/>
      <c r="K113" s="128"/>
      <c r="L113" s="123"/>
      <c r="M113" s="123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31"/>
      <c r="Y113" s="110"/>
      <c r="Z113" s="109"/>
      <c r="AA113" s="109"/>
      <c r="AB113" s="109"/>
      <c r="AC113" s="109"/>
      <c r="AD113" s="109"/>
      <c r="AE113" s="109"/>
    </row>
    <row r="114" spans="1:31" ht="14.25" customHeight="1" x14ac:dyDescent="0.3">
      <c r="A114" s="111"/>
      <c r="B114" s="127"/>
      <c r="C114" s="113"/>
      <c r="D114" s="113"/>
      <c r="E114" s="107"/>
      <c r="F114" s="108"/>
      <c r="G114" s="128"/>
      <c r="H114" s="109"/>
      <c r="I114" s="109"/>
      <c r="J114" s="109"/>
      <c r="K114" s="128"/>
      <c r="L114" s="123"/>
      <c r="M114" s="123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31"/>
      <c r="Y114" s="110"/>
      <c r="Z114" s="109"/>
      <c r="AA114" s="109"/>
      <c r="AB114" s="109"/>
      <c r="AC114" s="109"/>
      <c r="AD114" s="109"/>
      <c r="AE114" s="109"/>
    </row>
    <row r="115" spans="1:31" ht="14.25" customHeight="1" x14ac:dyDescent="0.3">
      <c r="A115" s="111"/>
      <c r="B115" s="127"/>
      <c r="C115" s="113"/>
      <c r="D115" s="113"/>
      <c r="E115" s="107"/>
      <c r="F115" s="108"/>
      <c r="G115" s="128"/>
      <c r="H115" s="109"/>
      <c r="I115" s="109"/>
      <c r="J115" s="109"/>
      <c r="K115" s="128"/>
      <c r="L115" s="123"/>
      <c r="M115" s="123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31"/>
      <c r="Y115" s="110"/>
      <c r="Z115" s="109"/>
      <c r="AA115" s="109"/>
      <c r="AB115" s="109"/>
      <c r="AC115" s="109"/>
      <c r="AD115" s="109"/>
      <c r="AE115" s="109"/>
    </row>
    <row r="116" spans="1:31" ht="14.25" customHeight="1" x14ac:dyDescent="0.3">
      <c r="A116" s="111"/>
      <c r="B116" s="127"/>
      <c r="C116" s="113"/>
      <c r="D116" s="113"/>
      <c r="E116" s="107"/>
      <c r="F116" s="108"/>
      <c r="G116" s="128"/>
      <c r="H116" s="109"/>
      <c r="I116" s="109"/>
      <c r="J116" s="109"/>
      <c r="K116" s="128"/>
      <c r="L116" s="123"/>
      <c r="M116" s="123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31"/>
      <c r="Y116" s="110"/>
      <c r="Z116" s="109"/>
      <c r="AA116" s="109"/>
      <c r="AB116" s="109"/>
      <c r="AC116" s="109"/>
      <c r="AD116" s="109"/>
      <c r="AE116" s="109"/>
    </row>
    <row r="117" spans="1:31" ht="14.25" customHeight="1" x14ac:dyDescent="0.3">
      <c r="A117" s="111"/>
      <c r="B117" s="127"/>
      <c r="C117" s="113"/>
      <c r="D117" s="113"/>
      <c r="E117" s="107"/>
      <c r="F117" s="108"/>
      <c r="G117" s="128"/>
      <c r="H117" s="109"/>
      <c r="I117" s="109"/>
      <c r="J117" s="109"/>
      <c r="K117" s="128"/>
      <c r="L117" s="123"/>
      <c r="M117" s="123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31"/>
      <c r="Y117" s="110"/>
      <c r="Z117" s="109"/>
      <c r="AA117" s="109"/>
      <c r="AB117" s="109"/>
      <c r="AC117" s="109"/>
      <c r="AD117" s="109"/>
      <c r="AE117" s="109"/>
    </row>
    <row r="118" spans="1:31" ht="14.25" customHeight="1" x14ac:dyDescent="0.3">
      <c r="A118" s="111"/>
      <c r="B118" s="127"/>
      <c r="C118" s="113"/>
      <c r="D118" s="113"/>
      <c r="E118" s="107"/>
      <c r="F118" s="108"/>
      <c r="G118" s="128"/>
      <c r="H118" s="109"/>
      <c r="I118" s="109"/>
      <c r="J118" s="109"/>
      <c r="K118" s="128"/>
      <c r="L118" s="123"/>
      <c r="M118" s="123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31"/>
      <c r="Y118" s="110"/>
      <c r="Z118" s="109"/>
      <c r="AA118" s="109"/>
      <c r="AB118" s="109"/>
      <c r="AC118" s="109"/>
      <c r="AD118" s="109"/>
      <c r="AE118" s="109"/>
    </row>
    <row r="119" spans="1:31" ht="14.25" customHeight="1" x14ac:dyDescent="0.3">
      <c r="A119" s="111"/>
      <c r="B119" s="127"/>
      <c r="C119" s="113"/>
      <c r="D119" s="113"/>
      <c r="E119" s="107"/>
      <c r="F119" s="108"/>
      <c r="G119" s="128"/>
      <c r="H119" s="109"/>
      <c r="I119" s="109"/>
      <c r="J119" s="109"/>
      <c r="K119" s="128"/>
      <c r="L119" s="123"/>
      <c r="M119" s="123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31"/>
      <c r="Y119" s="110"/>
      <c r="Z119" s="109"/>
      <c r="AA119" s="109"/>
      <c r="AB119" s="109"/>
      <c r="AC119" s="109"/>
      <c r="AD119" s="109"/>
      <c r="AE119" s="109"/>
    </row>
    <row r="120" spans="1:31" ht="14.25" customHeight="1" x14ac:dyDescent="0.3">
      <c r="A120" s="111"/>
      <c r="B120" s="127"/>
      <c r="C120" s="113"/>
      <c r="D120" s="113"/>
      <c r="E120" s="107"/>
      <c r="F120" s="108"/>
      <c r="G120" s="128"/>
      <c r="H120" s="109"/>
      <c r="I120" s="109"/>
      <c r="J120" s="109"/>
      <c r="K120" s="128"/>
      <c r="L120" s="123"/>
      <c r="M120" s="123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31"/>
      <c r="Y120" s="110"/>
      <c r="Z120" s="109"/>
      <c r="AA120" s="109"/>
      <c r="AB120" s="109"/>
      <c r="AC120" s="109"/>
      <c r="AD120" s="109"/>
      <c r="AE120" s="109"/>
    </row>
    <row r="121" spans="1:31" ht="14.25" customHeight="1" x14ac:dyDescent="0.3">
      <c r="A121" s="111"/>
      <c r="B121" s="127"/>
      <c r="C121" s="113"/>
      <c r="D121" s="113"/>
      <c r="E121" s="107"/>
      <c r="F121" s="108"/>
      <c r="G121" s="128"/>
      <c r="H121" s="109"/>
      <c r="I121" s="109"/>
      <c r="J121" s="109"/>
      <c r="K121" s="128"/>
      <c r="L121" s="123"/>
      <c r="M121" s="123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31"/>
      <c r="Y121" s="110"/>
      <c r="Z121" s="109"/>
      <c r="AA121" s="109"/>
      <c r="AB121" s="109"/>
      <c r="AC121" s="109"/>
      <c r="AD121" s="109"/>
      <c r="AE121" s="109"/>
    </row>
    <row r="122" spans="1:31" ht="14.25" customHeight="1" x14ac:dyDescent="0.3">
      <c r="A122" s="111"/>
      <c r="B122" s="127"/>
      <c r="C122" s="113"/>
      <c r="D122" s="113"/>
      <c r="E122" s="107"/>
      <c r="F122" s="108"/>
      <c r="G122" s="128"/>
      <c r="H122" s="109"/>
      <c r="I122" s="109"/>
      <c r="J122" s="109"/>
      <c r="K122" s="128"/>
      <c r="L122" s="123"/>
      <c r="M122" s="123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31"/>
      <c r="Y122" s="110"/>
      <c r="Z122" s="109"/>
      <c r="AA122" s="109"/>
      <c r="AB122" s="109"/>
      <c r="AC122" s="109"/>
      <c r="AD122" s="109"/>
      <c r="AE122" s="109"/>
    </row>
    <row r="123" spans="1:31" ht="14.25" customHeight="1" x14ac:dyDescent="0.3">
      <c r="A123" s="111"/>
      <c r="B123" s="127"/>
      <c r="C123" s="113"/>
      <c r="D123" s="113"/>
      <c r="E123" s="107"/>
      <c r="F123" s="108"/>
      <c r="G123" s="128"/>
      <c r="H123" s="109"/>
      <c r="I123" s="109"/>
      <c r="J123" s="109"/>
      <c r="K123" s="128"/>
      <c r="L123" s="123"/>
      <c r="M123" s="123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31"/>
      <c r="Y123" s="110"/>
      <c r="Z123" s="109"/>
      <c r="AA123" s="109"/>
      <c r="AB123" s="109"/>
      <c r="AC123" s="109"/>
      <c r="AD123" s="109"/>
      <c r="AE123" s="109"/>
    </row>
    <row r="124" spans="1:31" ht="14.25" customHeight="1" x14ac:dyDescent="0.3">
      <c r="A124" s="111"/>
      <c r="B124" s="127"/>
      <c r="C124" s="113"/>
      <c r="D124" s="113"/>
      <c r="E124" s="107"/>
      <c r="F124" s="108"/>
      <c r="G124" s="128"/>
      <c r="H124" s="109"/>
      <c r="I124" s="109"/>
      <c r="J124" s="109"/>
      <c r="K124" s="128"/>
      <c r="L124" s="123"/>
      <c r="M124" s="123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31"/>
      <c r="Y124" s="110"/>
      <c r="Z124" s="109"/>
      <c r="AA124" s="109"/>
      <c r="AB124" s="109"/>
      <c r="AC124" s="109"/>
      <c r="AD124" s="109"/>
      <c r="AE124" s="109"/>
    </row>
    <row r="125" spans="1:31" ht="14.25" customHeight="1" x14ac:dyDescent="0.3">
      <c r="A125" s="111"/>
      <c r="B125" s="127"/>
      <c r="C125" s="113"/>
      <c r="D125" s="113"/>
      <c r="E125" s="107"/>
      <c r="F125" s="108"/>
      <c r="G125" s="128"/>
      <c r="H125" s="109"/>
      <c r="I125" s="109"/>
      <c r="J125" s="109"/>
      <c r="K125" s="128"/>
      <c r="L125" s="123"/>
      <c r="M125" s="123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31"/>
      <c r="Y125" s="110"/>
      <c r="Z125" s="109"/>
      <c r="AA125" s="109"/>
      <c r="AB125" s="109"/>
      <c r="AC125" s="109"/>
      <c r="AD125" s="109"/>
      <c r="AE125" s="109"/>
    </row>
    <row r="126" spans="1:31" ht="14.25" customHeight="1" x14ac:dyDescent="0.3">
      <c r="A126" s="111"/>
      <c r="B126" s="127"/>
      <c r="C126" s="113"/>
      <c r="D126" s="113"/>
      <c r="E126" s="107"/>
      <c r="F126" s="108"/>
      <c r="G126" s="128"/>
      <c r="H126" s="109"/>
      <c r="I126" s="109"/>
      <c r="J126" s="109"/>
      <c r="K126" s="128"/>
      <c r="L126" s="123"/>
      <c r="M126" s="123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31"/>
      <c r="Y126" s="110"/>
      <c r="Z126" s="109"/>
      <c r="AA126" s="109"/>
      <c r="AB126" s="109"/>
      <c r="AC126" s="109"/>
      <c r="AD126" s="109"/>
      <c r="AE126" s="109"/>
    </row>
    <row r="127" spans="1:31" ht="14.25" customHeight="1" x14ac:dyDescent="0.3">
      <c r="A127" s="111"/>
      <c r="B127" s="127"/>
      <c r="C127" s="113"/>
      <c r="D127" s="113"/>
      <c r="E127" s="107"/>
      <c r="F127" s="108"/>
      <c r="G127" s="128"/>
      <c r="H127" s="109"/>
      <c r="I127" s="109"/>
      <c r="J127" s="109"/>
      <c r="K127" s="128"/>
      <c r="L127" s="123"/>
      <c r="M127" s="123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31"/>
      <c r="Y127" s="110"/>
      <c r="Z127" s="109"/>
      <c r="AA127" s="109"/>
      <c r="AB127" s="109"/>
      <c r="AC127" s="109"/>
      <c r="AD127" s="109"/>
      <c r="AE127" s="109"/>
    </row>
    <row r="128" spans="1:31" ht="14.25" customHeight="1" x14ac:dyDescent="0.3">
      <c r="A128" s="111"/>
      <c r="B128" s="127"/>
      <c r="C128" s="113"/>
      <c r="D128" s="113"/>
      <c r="E128" s="107"/>
      <c r="F128" s="108"/>
      <c r="G128" s="128"/>
      <c r="H128" s="109"/>
      <c r="I128" s="109"/>
      <c r="J128" s="109"/>
      <c r="K128" s="128"/>
      <c r="L128" s="123"/>
      <c r="M128" s="123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31"/>
      <c r="Y128" s="110"/>
      <c r="Z128" s="109"/>
      <c r="AA128" s="109"/>
      <c r="AB128" s="109"/>
      <c r="AC128" s="109"/>
      <c r="AD128" s="109"/>
      <c r="AE128" s="109"/>
    </row>
    <row r="129" spans="1:31" ht="14.25" customHeight="1" x14ac:dyDescent="0.3">
      <c r="A129" s="111"/>
      <c r="B129" s="127"/>
      <c r="C129" s="113"/>
      <c r="D129" s="113"/>
      <c r="E129" s="107"/>
      <c r="F129" s="108"/>
      <c r="G129" s="128"/>
      <c r="H129" s="109"/>
      <c r="I129" s="109"/>
      <c r="J129" s="109"/>
      <c r="K129" s="128"/>
      <c r="L129" s="123"/>
      <c r="M129" s="123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31"/>
      <c r="Y129" s="110"/>
      <c r="Z129" s="109"/>
      <c r="AA129" s="109"/>
      <c r="AB129" s="109"/>
      <c r="AC129" s="109"/>
      <c r="AD129" s="109"/>
      <c r="AE129" s="109"/>
    </row>
    <row r="130" spans="1:31" ht="14.25" customHeight="1" x14ac:dyDescent="0.3">
      <c r="A130" s="111"/>
      <c r="B130" s="127"/>
      <c r="C130" s="113"/>
      <c r="D130" s="113"/>
      <c r="E130" s="107"/>
      <c r="F130" s="108"/>
      <c r="G130" s="128"/>
      <c r="H130" s="109"/>
      <c r="I130" s="109"/>
      <c r="J130" s="109"/>
      <c r="K130" s="128"/>
      <c r="L130" s="123"/>
      <c r="M130" s="123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31"/>
      <c r="Y130" s="110"/>
      <c r="Z130" s="109"/>
      <c r="AA130" s="109"/>
      <c r="AB130" s="109"/>
      <c r="AC130" s="109"/>
      <c r="AD130" s="109"/>
      <c r="AE130" s="109"/>
    </row>
    <row r="131" spans="1:31" ht="14.25" customHeight="1" x14ac:dyDescent="0.3">
      <c r="A131" s="111"/>
      <c r="B131" s="127"/>
      <c r="C131" s="113"/>
      <c r="D131" s="113"/>
      <c r="E131" s="107"/>
      <c r="F131" s="108"/>
      <c r="G131" s="128"/>
      <c r="H131" s="109"/>
      <c r="I131" s="109"/>
      <c r="J131" s="109"/>
      <c r="K131" s="128"/>
      <c r="L131" s="123"/>
      <c r="M131" s="123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31"/>
      <c r="Y131" s="110"/>
      <c r="Z131" s="109"/>
      <c r="AA131" s="109"/>
      <c r="AB131" s="109"/>
      <c r="AC131" s="109"/>
      <c r="AD131" s="109"/>
      <c r="AE131" s="109"/>
    </row>
    <row r="132" spans="1:31" ht="14.25" customHeight="1" x14ac:dyDescent="0.3">
      <c r="A132" s="111"/>
      <c r="B132" s="127"/>
      <c r="C132" s="113"/>
      <c r="D132" s="113"/>
      <c r="E132" s="107"/>
      <c r="F132" s="108"/>
      <c r="G132" s="128"/>
      <c r="H132" s="109"/>
      <c r="I132" s="109"/>
      <c r="J132" s="109"/>
      <c r="K132" s="128"/>
      <c r="L132" s="123"/>
      <c r="M132" s="123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31"/>
      <c r="Y132" s="110"/>
      <c r="Z132" s="109"/>
      <c r="AA132" s="109"/>
      <c r="AB132" s="109"/>
      <c r="AC132" s="109"/>
      <c r="AD132" s="109"/>
      <c r="AE132" s="109"/>
    </row>
    <row r="133" spans="1:31" ht="14.25" customHeight="1" x14ac:dyDescent="0.3">
      <c r="A133" s="111"/>
      <c r="B133" s="127"/>
      <c r="C133" s="113"/>
      <c r="D133" s="113"/>
      <c r="E133" s="107"/>
      <c r="F133" s="108"/>
      <c r="G133" s="128"/>
      <c r="H133" s="109"/>
      <c r="I133" s="109"/>
      <c r="J133" s="109"/>
      <c r="K133" s="128"/>
      <c r="L133" s="123"/>
      <c r="M133" s="123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31"/>
      <c r="Y133" s="110"/>
      <c r="Z133" s="109"/>
      <c r="AA133" s="109"/>
      <c r="AB133" s="109"/>
      <c r="AC133" s="109"/>
      <c r="AD133" s="109"/>
      <c r="AE133" s="109"/>
    </row>
    <row r="134" spans="1:31" ht="14.25" customHeight="1" x14ac:dyDescent="0.3">
      <c r="A134" s="111"/>
      <c r="B134" s="127"/>
      <c r="C134" s="113"/>
      <c r="D134" s="113"/>
      <c r="E134" s="107"/>
      <c r="F134" s="108"/>
      <c r="G134" s="128"/>
      <c r="H134" s="109"/>
      <c r="I134" s="109"/>
      <c r="J134" s="109"/>
      <c r="K134" s="128"/>
      <c r="L134" s="123"/>
      <c r="M134" s="123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31"/>
      <c r="Y134" s="110"/>
      <c r="Z134" s="109"/>
      <c r="AA134" s="109"/>
      <c r="AB134" s="109"/>
      <c r="AC134" s="109"/>
      <c r="AD134" s="109"/>
      <c r="AE134" s="109"/>
    </row>
    <row r="135" spans="1:31" ht="14.25" customHeight="1" x14ac:dyDescent="0.3">
      <c r="A135" s="111"/>
      <c r="B135" s="127"/>
      <c r="C135" s="113"/>
      <c r="D135" s="113"/>
      <c r="E135" s="107"/>
      <c r="F135" s="108"/>
      <c r="G135" s="128"/>
      <c r="H135" s="109"/>
      <c r="I135" s="109"/>
      <c r="J135" s="109"/>
      <c r="K135" s="128"/>
      <c r="L135" s="123"/>
      <c r="M135" s="123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31"/>
      <c r="Y135" s="110"/>
      <c r="Z135" s="109"/>
      <c r="AA135" s="109"/>
      <c r="AB135" s="109"/>
      <c r="AC135" s="109"/>
      <c r="AD135" s="109"/>
      <c r="AE135" s="109"/>
    </row>
    <row r="136" spans="1:31" ht="14.25" customHeight="1" x14ac:dyDescent="0.3">
      <c r="A136" s="111"/>
      <c r="B136" s="127"/>
      <c r="C136" s="113"/>
      <c r="D136" s="113"/>
      <c r="E136" s="107"/>
      <c r="F136" s="108"/>
      <c r="G136" s="128"/>
      <c r="H136" s="109"/>
      <c r="I136" s="109"/>
      <c r="J136" s="109"/>
      <c r="K136" s="128"/>
      <c r="L136" s="123"/>
      <c r="M136" s="123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31"/>
      <c r="Y136" s="110"/>
      <c r="Z136" s="109"/>
      <c r="AA136" s="109"/>
      <c r="AB136" s="109"/>
      <c r="AC136" s="109"/>
      <c r="AD136" s="109"/>
      <c r="AE136" s="109"/>
    </row>
    <row r="137" spans="1:31" ht="14.25" customHeight="1" x14ac:dyDescent="0.3">
      <c r="A137" s="111"/>
      <c r="B137" s="127"/>
      <c r="C137" s="113"/>
      <c r="D137" s="113"/>
      <c r="E137" s="107"/>
      <c r="F137" s="108"/>
      <c r="G137" s="128"/>
      <c r="H137" s="109"/>
      <c r="I137" s="109"/>
      <c r="J137" s="109"/>
      <c r="K137" s="128"/>
      <c r="L137" s="123"/>
      <c r="M137" s="123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31"/>
      <c r="Y137" s="110"/>
      <c r="Z137" s="109"/>
      <c r="AA137" s="109"/>
      <c r="AB137" s="109"/>
      <c r="AC137" s="109"/>
      <c r="AD137" s="109"/>
      <c r="AE137" s="109"/>
    </row>
    <row r="138" spans="1:31" ht="14.25" customHeight="1" x14ac:dyDescent="0.3">
      <c r="A138" s="111"/>
      <c r="B138" s="127"/>
      <c r="C138" s="113"/>
      <c r="D138" s="113"/>
      <c r="E138" s="107"/>
      <c r="F138" s="108"/>
      <c r="G138" s="128"/>
      <c r="H138" s="109"/>
      <c r="I138" s="109"/>
      <c r="J138" s="109"/>
      <c r="K138" s="128"/>
      <c r="L138" s="123"/>
      <c r="M138" s="123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31"/>
      <c r="Y138" s="110"/>
      <c r="Z138" s="109"/>
      <c r="AA138" s="109"/>
      <c r="AB138" s="109"/>
      <c r="AC138" s="109"/>
      <c r="AD138" s="109"/>
      <c r="AE138" s="109"/>
    </row>
    <row r="139" spans="1:31" ht="14.25" customHeight="1" x14ac:dyDescent="0.3">
      <c r="A139" s="111"/>
      <c r="B139" s="127"/>
      <c r="C139" s="113"/>
      <c r="D139" s="113"/>
      <c r="E139" s="107"/>
      <c r="F139" s="108"/>
      <c r="G139" s="128"/>
      <c r="H139" s="109"/>
      <c r="I139" s="109"/>
      <c r="J139" s="109"/>
      <c r="K139" s="128"/>
      <c r="L139" s="123"/>
      <c r="M139" s="123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31"/>
      <c r="Y139" s="110"/>
      <c r="Z139" s="109"/>
      <c r="AA139" s="109"/>
      <c r="AB139" s="109"/>
      <c r="AC139" s="109"/>
      <c r="AD139" s="109"/>
      <c r="AE139" s="109"/>
    </row>
    <row r="140" spans="1:31" ht="14.25" customHeight="1" x14ac:dyDescent="0.3">
      <c r="A140" s="111"/>
      <c r="B140" s="127"/>
      <c r="C140" s="113"/>
      <c r="D140" s="113"/>
      <c r="E140" s="107"/>
      <c r="F140" s="108"/>
      <c r="G140" s="128"/>
      <c r="H140" s="109"/>
      <c r="I140" s="109"/>
      <c r="J140" s="109"/>
      <c r="K140" s="128"/>
      <c r="L140" s="123"/>
      <c r="M140" s="123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31"/>
      <c r="Y140" s="110"/>
      <c r="Z140" s="109"/>
      <c r="AA140" s="109"/>
      <c r="AB140" s="109"/>
      <c r="AC140" s="109"/>
      <c r="AD140" s="109"/>
      <c r="AE140" s="109"/>
    </row>
    <row r="141" spans="1:31" ht="14.25" customHeight="1" x14ac:dyDescent="0.3">
      <c r="A141" s="111"/>
      <c r="B141" s="127"/>
      <c r="C141" s="113"/>
      <c r="D141" s="113"/>
      <c r="E141" s="107"/>
      <c r="F141" s="108"/>
      <c r="G141" s="128"/>
      <c r="H141" s="109"/>
      <c r="I141" s="109"/>
      <c r="J141" s="109"/>
      <c r="K141" s="128"/>
      <c r="L141" s="123"/>
      <c r="M141" s="123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31"/>
      <c r="Y141" s="110"/>
      <c r="Z141" s="109"/>
      <c r="AA141" s="109"/>
      <c r="AB141" s="109"/>
      <c r="AC141" s="109"/>
      <c r="AD141" s="109"/>
      <c r="AE141" s="109"/>
    </row>
    <row r="142" spans="1:31" ht="14.25" customHeight="1" x14ac:dyDescent="0.3">
      <c r="A142" s="111"/>
      <c r="B142" s="127"/>
      <c r="C142" s="113"/>
      <c r="D142" s="113"/>
      <c r="E142" s="107"/>
      <c r="F142" s="108"/>
      <c r="G142" s="128"/>
      <c r="H142" s="109"/>
      <c r="I142" s="109"/>
      <c r="J142" s="109"/>
      <c r="K142" s="128"/>
      <c r="L142" s="123"/>
      <c r="M142" s="123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31"/>
      <c r="Y142" s="110"/>
      <c r="Z142" s="109"/>
      <c r="AA142" s="109"/>
      <c r="AB142" s="109"/>
      <c r="AC142" s="109"/>
      <c r="AD142" s="109"/>
      <c r="AE142" s="109"/>
    </row>
    <row r="143" spans="1:31" ht="14.25" customHeight="1" x14ac:dyDescent="0.3">
      <c r="A143" s="111"/>
      <c r="B143" s="127"/>
      <c r="C143" s="113"/>
      <c r="D143" s="113"/>
      <c r="E143" s="107"/>
      <c r="F143" s="108"/>
      <c r="G143" s="128"/>
      <c r="H143" s="109"/>
      <c r="I143" s="109"/>
      <c r="J143" s="109"/>
      <c r="K143" s="128"/>
      <c r="L143" s="123"/>
      <c r="M143" s="123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31"/>
      <c r="Y143" s="110"/>
      <c r="Z143" s="109"/>
      <c r="AA143" s="109"/>
      <c r="AB143" s="109"/>
      <c r="AC143" s="109"/>
      <c r="AD143" s="109"/>
      <c r="AE143" s="109"/>
    </row>
    <row r="144" spans="1:31" ht="14.25" customHeight="1" x14ac:dyDescent="0.3">
      <c r="A144" s="111"/>
      <c r="B144" s="127"/>
      <c r="C144" s="113"/>
      <c r="D144" s="113"/>
      <c r="E144" s="107"/>
      <c r="F144" s="108"/>
      <c r="G144" s="128"/>
      <c r="H144" s="109"/>
      <c r="I144" s="109"/>
      <c r="J144" s="109"/>
      <c r="K144" s="128"/>
      <c r="L144" s="123"/>
      <c r="M144" s="123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31"/>
      <c r="Y144" s="110"/>
      <c r="Z144" s="109"/>
      <c r="AA144" s="109"/>
      <c r="AB144" s="109"/>
      <c r="AC144" s="109"/>
      <c r="AD144" s="109"/>
      <c r="AE144" s="109"/>
    </row>
    <row r="145" spans="1:31" ht="14.25" customHeight="1" x14ac:dyDescent="0.3">
      <c r="A145" s="111"/>
      <c r="B145" s="127"/>
      <c r="C145" s="113"/>
      <c r="D145" s="113"/>
      <c r="E145" s="107"/>
      <c r="F145" s="108"/>
      <c r="G145" s="128"/>
      <c r="H145" s="109"/>
      <c r="I145" s="109"/>
      <c r="J145" s="109"/>
      <c r="K145" s="128"/>
      <c r="L145" s="123"/>
      <c r="M145" s="123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31"/>
      <c r="Y145" s="110"/>
      <c r="Z145" s="109"/>
      <c r="AA145" s="109"/>
      <c r="AB145" s="109"/>
      <c r="AC145" s="109"/>
      <c r="AD145" s="109"/>
      <c r="AE145" s="109"/>
    </row>
    <row r="146" spans="1:31" ht="14.25" customHeight="1" x14ac:dyDescent="0.3">
      <c r="A146" s="111"/>
      <c r="B146" s="127"/>
      <c r="C146" s="113"/>
      <c r="D146" s="113"/>
      <c r="E146" s="107"/>
      <c r="F146" s="108"/>
      <c r="G146" s="128"/>
      <c r="H146" s="109"/>
      <c r="I146" s="109"/>
      <c r="J146" s="109"/>
      <c r="K146" s="128"/>
      <c r="L146" s="123"/>
      <c r="M146" s="123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31"/>
      <c r="Y146" s="110"/>
      <c r="Z146" s="109"/>
      <c r="AA146" s="109"/>
      <c r="AB146" s="109"/>
      <c r="AC146" s="109"/>
      <c r="AD146" s="109"/>
      <c r="AE146" s="109"/>
    </row>
    <row r="147" spans="1:31" ht="14.25" customHeight="1" x14ac:dyDescent="0.3">
      <c r="A147" s="111"/>
      <c r="B147" s="127"/>
      <c r="C147" s="113"/>
      <c r="D147" s="113"/>
      <c r="E147" s="107"/>
      <c r="F147" s="108"/>
      <c r="G147" s="128"/>
      <c r="H147" s="109"/>
      <c r="I147" s="109"/>
      <c r="J147" s="109"/>
      <c r="K147" s="128"/>
      <c r="L147" s="123"/>
      <c r="M147" s="123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31"/>
      <c r="Y147" s="110"/>
      <c r="Z147" s="109"/>
      <c r="AA147" s="109"/>
      <c r="AB147" s="109"/>
      <c r="AC147" s="109"/>
      <c r="AD147" s="109"/>
      <c r="AE147" s="109"/>
    </row>
    <row r="148" spans="1:31" ht="14.25" customHeight="1" x14ac:dyDescent="0.3">
      <c r="A148" s="111"/>
      <c r="B148" s="127"/>
      <c r="C148" s="113"/>
      <c r="D148" s="113"/>
      <c r="E148" s="107"/>
      <c r="F148" s="108"/>
      <c r="G148" s="128"/>
      <c r="H148" s="109"/>
      <c r="I148" s="109"/>
      <c r="J148" s="109"/>
      <c r="K148" s="128"/>
      <c r="L148" s="123"/>
      <c r="M148" s="123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31"/>
      <c r="Y148" s="110"/>
      <c r="Z148" s="109"/>
      <c r="AA148" s="109"/>
      <c r="AB148" s="109"/>
      <c r="AC148" s="109"/>
      <c r="AD148" s="109"/>
      <c r="AE148" s="109"/>
    </row>
    <row r="149" spans="1:31" ht="14.25" customHeight="1" x14ac:dyDescent="0.3">
      <c r="A149" s="111"/>
      <c r="B149" s="127"/>
      <c r="C149" s="113"/>
      <c r="D149" s="113"/>
      <c r="E149" s="107"/>
      <c r="F149" s="108"/>
      <c r="G149" s="128"/>
      <c r="H149" s="109"/>
      <c r="I149" s="109"/>
      <c r="J149" s="109"/>
      <c r="K149" s="128"/>
      <c r="L149" s="123"/>
      <c r="M149" s="123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31"/>
      <c r="Y149" s="110"/>
      <c r="Z149" s="109"/>
      <c r="AA149" s="109"/>
      <c r="AB149" s="109"/>
      <c r="AC149" s="109"/>
      <c r="AD149" s="109"/>
      <c r="AE149" s="109"/>
    </row>
    <row r="150" spans="1:31" ht="14.25" customHeight="1" x14ac:dyDescent="0.3">
      <c r="A150" s="111"/>
      <c r="B150" s="127"/>
      <c r="C150" s="113"/>
      <c r="D150" s="113"/>
      <c r="E150" s="107"/>
      <c r="F150" s="108"/>
      <c r="G150" s="128"/>
      <c r="H150" s="109"/>
      <c r="I150" s="109"/>
      <c r="J150" s="109"/>
      <c r="K150" s="128"/>
      <c r="L150" s="123"/>
      <c r="M150" s="123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31"/>
      <c r="Y150" s="110"/>
      <c r="Z150" s="109"/>
      <c r="AA150" s="109"/>
      <c r="AB150" s="109"/>
      <c r="AC150" s="109"/>
      <c r="AD150" s="109"/>
      <c r="AE150" s="109"/>
    </row>
    <row r="151" spans="1:31" ht="14.25" customHeight="1" x14ac:dyDescent="0.3">
      <c r="A151" s="111"/>
      <c r="B151" s="127"/>
      <c r="C151" s="113"/>
      <c r="D151" s="113"/>
      <c r="E151" s="107"/>
      <c r="F151" s="108"/>
      <c r="G151" s="128"/>
      <c r="H151" s="109"/>
      <c r="I151" s="109"/>
      <c r="J151" s="109"/>
      <c r="K151" s="128"/>
      <c r="L151" s="123"/>
      <c r="M151" s="123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31"/>
      <c r="Y151" s="110"/>
      <c r="Z151" s="109"/>
      <c r="AA151" s="109"/>
      <c r="AB151" s="109"/>
      <c r="AC151" s="109"/>
      <c r="AD151" s="109"/>
      <c r="AE151" s="109"/>
    </row>
    <row r="152" spans="1:31" ht="14.25" customHeight="1" x14ac:dyDescent="0.3">
      <c r="A152" s="111"/>
      <c r="B152" s="127"/>
      <c r="C152" s="113"/>
      <c r="D152" s="113"/>
      <c r="E152" s="107"/>
      <c r="F152" s="108"/>
      <c r="G152" s="128"/>
      <c r="H152" s="109"/>
      <c r="I152" s="109"/>
      <c r="J152" s="109"/>
      <c r="K152" s="128"/>
      <c r="L152" s="123"/>
      <c r="M152" s="123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31"/>
      <c r="Y152" s="110"/>
      <c r="Z152" s="109"/>
      <c r="AA152" s="109"/>
      <c r="AB152" s="109"/>
      <c r="AC152" s="109"/>
      <c r="AD152" s="109"/>
      <c r="AE152" s="109"/>
    </row>
    <row r="153" spans="1:31" ht="14.25" customHeight="1" x14ac:dyDescent="0.3">
      <c r="A153" s="111"/>
      <c r="B153" s="127"/>
      <c r="C153" s="113"/>
      <c r="D153" s="113"/>
      <c r="E153" s="107"/>
      <c r="F153" s="108"/>
      <c r="G153" s="128"/>
      <c r="H153" s="109"/>
      <c r="I153" s="109"/>
      <c r="J153" s="109"/>
      <c r="K153" s="128"/>
      <c r="L153" s="123"/>
      <c r="M153" s="123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31"/>
      <c r="Y153" s="110"/>
      <c r="Z153" s="109"/>
      <c r="AA153" s="109"/>
      <c r="AB153" s="109"/>
      <c r="AC153" s="109"/>
      <c r="AD153" s="109"/>
      <c r="AE153" s="109"/>
    </row>
    <row r="154" spans="1:31" ht="14.25" customHeight="1" x14ac:dyDescent="0.3">
      <c r="A154" s="111"/>
      <c r="B154" s="127"/>
      <c r="C154" s="113"/>
      <c r="D154" s="113"/>
      <c r="E154" s="107"/>
      <c r="F154" s="108"/>
      <c r="G154" s="128"/>
      <c r="H154" s="109"/>
      <c r="I154" s="109"/>
      <c r="J154" s="109"/>
      <c r="K154" s="128"/>
      <c r="L154" s="123"/>
      <c r="M154" s="123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31"/>
      <c r="Y154" s="110"/>
      <c r="Z154" s="109"/>
      <c r="AA154" s="109"/>
      <c r="AB154" s="109"/>
      <c r="AC154" s="109"/>
      <c r="AD154" s="109"/>
      <c r="AE154" s="109"/>
    </row>
    <row r="155" spans="1:31" ht="14.25" customHeight="1" x14ac:dyDescent="0.3">
      <c r="A155" s="111"/>
      <c r="B155" s="127"/>
      <c r="C155" s="113"/>
      <c r="D155" s="113"/>
      <c r="E155" s="107"/>
      <c r="F155" s="108"/>
      <c r="G155" s="128"/>
      <c r="H155" s="109"/>
      <c r="I155" s="109"/>
      <c r="J155" s="109"/>
      <c r="K155" s="128"/>
      <c r="L155" s="123"/>
      <c r="M155" s="123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31"/>
      <c r="Y155" s="110"/>
      <c r="Z155" s="109"/>
      <c r="AA155" s="109"/>
      <c r="AB155" s="109"/>
      <c r="AC155" s="109"/>
      <c r="AD155" s="109"/>
      <c r="AE155" s="109"/>
    </row>
    <row r="156" spans="1:31" ht="14.25" customHeight="1" x14ac:dyDescent="0.3">
      <c r="A156" s="111"/>
      <c r="B156" s="127"/>
      <c r="C156" s="113"/>
      <c r="D156" s="113"/>
      <c r="E156" s="107"/>
      <c r="F156" s="108"/>
      <c r="G156" s="128"/>
      <c r="H156" s="109"/>
      <c r="I156" s="109"/>
      <c r="J156" s="109"/>
      <c r="K156" s="128"/>
      <c r="L156" s="123"/>
      <c r="M156" s="123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31"/>
      <c r="Y156" s="110"/>
      <c r="Z156" s="109"/>
      <c r="AA156" s="109"/>
      <c r="AB156" s="109"/>
      <c r="AC156" s="109"/>
      <c r="AD156" s="109"/>
      <c r="AE156" s="109"/>
    </row>
    <row r="157" spans="1:31" ht="14.25" customHeight="1" x14ac:dyDescent="0.3">
      <c r="A157" s="111"/>
      <c r="B157" s="127"/>
      <c r="C157" s="113"/>
      <c r="D157" s="113"/>
      <c r="E157" s="107"/>
      <c r="F157" s="108"/>
      <c r="G157" s="128"/>
      <c r="H157" s="109"/>
      <c r="I157" s="109"/>
      <c r="J157" s="109"/>
      <c r="K157" s="128"/>
      <c r="L157" s="123"/>
      <c r="M157" s="123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31"/>
      <c r="Y157" s="110"/>
      <c r="Z157" s="109"/>
      <c r="AA157" s="109"/>
      <c r="AB157" s="109"/>
      <c r="AC157" s="109"/>
      <c r="AD157" s="109"/>
      <c r="AE157" s="109"/>
    </row>
    <row r="158" spans="1:31" ht="14.25" customHeight="1" x14ac:dyDescent="0.3">
      <c r="A158" s="111"/>
      <c r="B158" s="127"/>
      <c r="C158" s="113"/>
      <c r="D158" s="113"/>
      <c r="E158" s="107"/>
      <c r="F158" s="108"/>
      <c r="G158" s="128"/>
      <c r="H158" s="109"/>
      <c r="I158" s="109"/>
      <c r="J158" s="109"/>
      <c r="K158" s="128"/>
      <c r="L158" s="123"/>
      <c r="M158" s="123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31"/>
      <c r="Y158" s="110"/>
      <c r="Z158" s="109"/>
      <c r="AA158" s="109"/>
      <c r="AB158" s="109"/>
      <c r="AC158" s="109"/>
      <c r="AD158" s="109"/>
      <c r="AE158" s="109"/>
    </row>
    <row r="159" spans="1:31" ht="14.25" customHeight="1" x14ac:dyDescent="0.3">
      <c r="A159" s="111"/>
      <c r="B159" s="127"/>
      <c r="C159" s="113"/>
      <c r="D159" s="113"/>
      <c r="E159" s="107"/>
      <c r="F159" s="108"/>
      <c r="G159" s="128"/>
      <c r="H159" s="109"/>
      <c r="I159" s="109"/>
      <c r="J159" s="109"/>
      <c r="K159" s="128"/>
      <c r="L159" s="123"/>
      <c r="M159" s="123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31"/>
      <c r="Y159" s="110"/>
      <c r="Z159" s="109"/>
      <c r="AA159" s="109"/>
      <c r="AB159" s="109"/>
      <c r="AC159" s="109"/>
      <c r="AD159" s="109"/>
      <c r="AE159" s="109"/>
    </row>
    <row r="160" spans="1:31" ht="14.25" customHeight="1" x14ac:dyDescent="0.3">
      <c r="A160" s="111"/>
      <c r="B160" s="127"/>
      <c r="C160" s="113"/>
      <c r="D160" s="113"/>
      <c r="E160" s="107"/>
      <c r="F160" s="108"/>
      <c r="G160" s="128"/>
      <c r="H160" s="109"/>
      <c r="I160" s="109"/>
      <c r="J160" s="109"/>
      <c r="K160" s="128"/>
      <c r="L160" s="123"/>
      <c r="M160" s="123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31"/>
      <c r="Y160" s="110"/>
      <c r="Z160" s="109"/>
      <c r="AA160" s="109"/>
      <c r="AB160" s="109"/>
      <c r="AC160" s="109"/>
      <c r="AD160" s="109"/>
      <c r="AE160" s="109"/>
    </row>
    <row r="161" spans="1:31" ht="14.25" customHeight="1" x14ac:dyDescent="0.3">
      <c r="A161" s="111"/>
      <c r="B161" s="127"/>
      <c r="C161" s="113"/>
      <c r="D161" s="113"/>
      <c r="E161" s="107"/>
      <c r="F161" s="108"/>
      <c r="G161" s="128"/>
      <c r="H161" s="109"/>
      <c r="I161" s="109"/>
      <c r="J161" s="109"/>
      <c r="K161" s="128"/>
      <c r="L161" s="123"/>
      <c r="M161" s="123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31"/>
      <c r="Y161" s="110"/>
      <c r="Z161" s="109"/>
      <c r="AA161" s="109"/>
      <c r="AB161" s="109"/>
      <c r="AC161" s="109"/>
      <c r="AD161" s="109"/>
      <c r="AE161" s="109"/>
    </row>
    <row r="162" spans="1:31" ht="14.25" customHeight="1" x14ac:dyDescent="0.3">
      <c r="A162" s="111"/>
      <c r="B162" s="127"/>
      <c r="C162" s="113"/>
      <c r="D162" s="113"/>
      <c r="E162" s="107"/>
      <c r="F162" s="108"/>
      <c r="G162" s="128"/>
      <c r="H162" s="109"/>
      <c r="I162" s="109"/>
      <c r="J162" s="109"/>
      <c r="K162" s="128"/>
      <c r="L162" s="123"/>
      <c r="M162" s="123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31"/>
      <c r="Y162" s="110"/>
      <c r="Z162" s="109"/>
      <c r="AA162" s="109"/>
      <c r="AB162" s="109"/>
      <c r="AC162" s="109"/>
      <c r="AD162" s="109"/>
      <c r="AE162" s="109"/>
    </row>
    <row r="163" spans="1:31" ht="14.25" customHeight="1" x14ac:dyDescent="0.3">
      <c r="A163" s="111"/>
      <c r="B163" s="127"/>
      <c r="C163" s="113"/>
      <c r="D163" s="113"/>
      <c r="E163" s="107"/>
      <c r="F163" s="108"/>
      <c r="G163" s="128"/>
      <c r="H163" s="109"/>
      <c r="I163" s="109"/>
      <c r="J163" s="109"/>
      <c r="K163" s="128"/>
      <c r="L163" s="123"/>
      <c r="M163" s="123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31"/>
      <c r="Y163" s="110"/>
      <c r="Z163" s="109"/>
      <c r="AA163" s="109"/>
      <c r="AB163" s="109"/>
      <c r="AC163" s="109"/>
      <c r="AD163" s="109"/>
      <c r="AE163" s="109"/>
    </row>
    <row r="164" spans="1:31" ht="14.25" customHeight="1" x14ac:dyDescent="0.3">
      <c r="A164" s="111"/>
      <c r="B164" s="127"/>
      <c r="C164" s="113"/>
      <c r="D164" s="113"/>
      <c r="E164" s="107"/>
      <c r="F164" s="108"/>
      <c r="G164" s="128"/>
      <c r="H164" s="109"/>
      <c r="I164" s="109"/>
      <c r="J164" s="109"/>
      <c r="K164" s="128"/>
      <c r="L164" s="123"/>
      <c r="M164" s="123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31"/>
      <c r="Y164" s="110"/>
      <c r="Z164" s="109"/>
      <c r="AA164" s="109"/>
      <c r="AB164" s="109"/>
      <c r="AC164" s="109"/>
      <c r="AD164" s="109"/>
      <c r="AE164" s="109"/>
    </row>
    <row r="165" spans="1:31" ht="14.25" customHeight="1" x14ac:dyDescent="0.3">
      <c r="A165" s="111"/>
      <c r="B165" s="127"/>
      <c r="C165" s="113"/>
      <c r="D165" s="113"/>
      <c r="E165" s="107"/>
      <c r="F165" s="108"/>
      <c r="G165" s="128"/>
      <c r="H165" s="109"/>
      <c r="I165" s="109"/>
      <c r="J165" s="109"/>
      <c r="K165" s="128"/>
      <c r="L165" s="123"/>
      <c r="M165" s="123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31"/>
      <c r="Y165" s="110"/>
      <c r="Z165" s="109"/>
      <c r="AA165" s="109"/>
      <c r="AB165" s="109"/>
      <c r="AC165" s="109"/>
      <c r="AD165" s="109"/>
      <c r="AE165" s="109"/>
    </row>
    <row r="166" spans="1:31" ht="14.25" customHeight="1" x14ac:dyDescent="0.3">
      <c r="A166" s="111"/>
      <c r="B166" s="127"/>
      <c r="C166" s="113"/>
      <c r="D166" s="113"/>
      <c r="E166" s="107"/>
      <c r="F166" s="108"/>
      <c r="G166" s="128"/>
      <c r="H166" s="109"/>
      <c r="I166" s="109"/>
      <c r="J166" s="109"/>
      <c r="K166" s="128"/>
      <c r="L166" s="123"/>
      <c r="M166" s="123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31"/>
      <c r="Y166" s="110"/>
      <c r="Z166" s="109"/>
      <c r="AA166" s="109"/>
      <c r="AB166" s="109"/>
      <c r="AC166" s="109"/>
      <c r="AD166" s="109"/>
      <c r="AE166" s="109"/>
    </row>
    <row r="167" spans="1:31" ht="14.25" customHeight="1" x14ac:dyDescent="0.3">
      <c r="A167" s="111"/>
      <c r="B167" s="127"/>
      <c r="C167" s="113"/>
      <c r="D167" s="113"/>
      <c r="E167" s="107"/>
      <c r="F167" s="108"/>
      <c r="G167" s="128"/>
      <c r="H167" s="109"/>
      <c r="I167" s="109"/>
      <c r="J167" s="109"/>
      <c r="K167" s="128"/>
      <c r="L167" s="123"/>
      <c r="M167" s="123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31"/>
      <c r="Y167" s="110"/>
      <c r="Z167" s="109"/>
      <c r="AA167" s="109"/>
      <c r="AB167" s="109"/>
      <c r="AC167" s="109"/>
      <c r="AD167" s="109"/>
      <c r="AE167" s="109"/>
    </row>
    <row r="168" spans="1:31" ht="14.25" customHeight="1" x14ac:dyDescent="0.3">
      <c r="A168" s="111"/>
      <c r="B168" s="127"/>
      <c r="C168" s="113"/>
      <c r="D168" s="113"/>
      <c r="E168" s="107"/>
      <c r="F168" s="108"/>
      <c r="G168" s="128"/>
      <c r="H168" s="109"/>
      <c r="I168" s="109"/>
      <c r="J168" s="109"/>
      <c r="K168" s="128"/>
      <c r="L168" s="123"/>
      <c r="M168" s="123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31"/>
      <c r="Y168" s="110"/>
      <c r="Z168" s="109"/>
      <c r="AA168" s="109"/>
      <c r="AB168" s="109"/>
      <c r="AC168" s="109"/>
      <c r="AD168" s="109"/>
      <c r="AE168" s="109"/>
    </row>
    <row r="169" spans="1:31" ht="14.25" customHeight="1" x14ac:dyDescent="0.3">
      <c r="A169" s="111"/>
      <c r="B169" s="127"/>
      <c r="C169" s="113"/>
      <c r="D169" s="113"/>
      <c r="E169" s="107"/>
      <c r="F169" s="108"/>
      <c r="G169" s="128"/>
      <c r="H169" s="109"/>
      <c r="I169" s="109"/>
      <c r="J169" s="109"/>
      <c r="K169" s="128"/>
      <c r="L169" s="123"/>
      <c r="M169" s="123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31"/>
      <c r="Y169" s="110"/>
      <c r="Z169" s="109"/>
      <c r="AA169" s="109"/>
      <c r="AB169" s="109"/>
      <c r="AC169" s="109"/>
      <c r="AD169" s="109"/>
      <c r="AE169" s="109"/>
    </row>
    <row r="170" spans="1:31" ht="14.25" customHeight="1" x14ac:dyDescent="0.3">
      <c r="A170" s="111"/>
      <c r="B170" s="127"/>
      <c r="C170" s="113"/>
      <c r="D170" s="113"/>
      <c r="E170" s="107"/>
      <c r="F170" s="108"/>
      <c r="G170" s="128"/>
      <c r="H170" s="109"/>
      <c r="I170" s="109"/>
      <c r="J170" s="109"/>
      <c r="K170" s="128"/>
      <c r="L170" s="123"/>
      <c r="M170" s="123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31"/>
      <c r="Y170" s="110"/>
      <c r="Z170" s="109"/>
      <c r="AA170" s="109"/>
      <c r="AB170" s="109"/>
      <c r="AC170" s="109"/>
      <c r="AD170" s="109"/>
      <c r="AE170" s="109"/>
    </row>
    <row r="171" spans="1:31" ht="14.25" customHeight="1" x14ac:dyDescent="0.3">
      <c r="A171" s="111"/>
      <c r="B171" s="127"/>
      <c r="C171" s="113"/>
      <c r="D171" s="113"/>
      <c r="E171" s="107"/>
      <c r="F171" s="108"/>
      <c r="G171" s="128"/>
      <c r="H171" s="109"/>
      <c r="I171" s="109"/>
      <c r="J171" s="109"/>
      <c r="K171" s="128"/>
      <c r="L171" s="123"/>
      <c r="M171" s="123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31"/>
      <c r="Y171" s="110"/>
      <c r="Z171" s="109"/>
      <c r="AA171" s="109"/>
      <c r="AB171" s="109"/>
      <c r="AC171" s="109"/>
      <c r="AD171" s="109"/>
      <c r="AE171" s="109"/>
    </row>
    <row r="172" spans="1:31" ht="14.25" customHeight="1" x14ac:dyDescent="0.3">
      <c r="A172" s="111"/>
      <c r="B172" s="127"/>
      <c r="C172" s="113"/>
      <c r="D172" s="113"/>
      <c r="E172" s="107"/>
      <c r="F172" s="108"/>
      <c r="G172" s="128"/>
      <c r="H172" s="109"/>
      <c r="I172" s="109"/>
      <c r="J172" s="109"/>
      <c r="K172" s="128"/>
      <c r="L172" s="123"/>
      <c r="M172" s="123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31"/>
      <c r="Y172" s="110"/>
      <c r="Z172" s="109"/>
      <c r="AA172" s="109"/>
      <c r="AB172" s="109"/>
      <c r="AC172" s="109"/>
      <c r="AD172" s="109"/>
      <c r="AE172" s="109"/>
    </row>
    <row r="173" spans="1:31" ht="14.25" customHeight="1" x14ac:dyDescent="0.3">
      <c r="A173" s="111"/>
      <c r="B173" s="127"/>
      <c r="C173" s="113"/>
      <c r="D173" s="113"/>
      <c r="E173" s="107"/>
      <c r="F173" s="108"/>
      <c r="G173" s="128"/>
      <c r="H173" s="109"/>
      <c r="I173" s="109"/>
      <c r="J173" s="109"/>
      <c r="K173" s="128"/>
      <c r="L173" s="123"/>
      <c r="M173" s="123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31"/>
      <c r="Y173" s="110"/>
      <c r="Z173" s="109"/>
      <c r="AA173" s="109"/>
      <c r="AB173" s="109"/>
      <c r="AC173" s="109"/>
      <c r="AD173" s="109"/>
      <c r="AE173" s="109"/>
    </row>
    <row r="174" spans="1:31" ht="14.25" customHeight="1" x14ac:dyDescent="0.3">
      <c r="A174" s="111"/>
      <c r="B174" s="127"/>
      <c r="C174" s="113"/>
      <c r="D174" s="113"/>
      <c r="E174" s="107"/>
      <c r="F174" s="108"/>
      <c r="G174" s="128"/>
      <c r="H174" s="109"/>
      <c r="I174" s="109"/>
      <c r="J174" s="109"/>
      <c r="K174" s="128"/>
      <c r="L174" s="123"/>
      <c r="M174" s="123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31"/>
      <c r="Y174" s="110"/>
      <c r="Z174" s="109"/>
      <c r="AA174" s="109"/>
      <c r="AB174" s="109"/>
      <c r="AC174" s="109"/>
      <c r="AD174" s="109"/>
      <c r="AE174" s="109"/>
    </row>
    <row r="175" spans="1:31" ht="14.25" customHeight="1" x14ac:dyDescent="0.3">
      <c r="A175" s="111"/>
      <c r="B175" s="127"/>
      <c r="C175" s="113"/>
      <c r="D175" s="113"/>
      <c r="E175" s="107"/>
      <c r="F175" s="108"/>
      <c r="G175" s="128"/>
      <c r="H175" s="109"/>
      <c r="I175" s="109"/>
      <c r="J175" s="109"/>
      <c r="K175" s="128"/>
      <c r="L175" s="123"/>
      <c r="M175" s="123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31"/>
      <c r="Y175" s="110"/>
      <c r="Z175" s="109"/>
      <c r="AA175" s="109"/>
      <c r="AB175" s="109"/>
      <c r="AC175" s="109"/>
      <c r="AD175" s="109"/>
      <c r="AE175" s="109"/>
    </row>
    <row r="176" spans="1:31" ht="14.25" customHeight="1" x14ac:dyDescent="0.3">
      <c r="A176" s="111"/>
      <c r="B176" s="127"/>
      <c r="C176" s="113"/>
      <c r="D176" s="113"/>
      <c r="E176" s="107"/>
      <c r="F176" s="108"/>
      <c r="G176" s="128"/>
      <c r="H176" s="109"/>
      <c r="I176" s="109"/>
      <c r="J176" s="109"/>
      <c r="K176" s="128"/>
      <c r="L176" s="123"/>
      <c r="M176" s="123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31"/>
      <c r="Y176" s="110"/>
      <c r="Z176" s="109"/>
      <c r="AA176" s="109"/>
      <c r="AB176" s="109"/>
      <c r="AC176" s="109"/>
      <c r="AD176" s="109"/>
      <c r="AE176" s="109"/>
    </row>
    <row r="177" spans="1:31" ht="14.25" customHeight="1" x14ac:dyDescent="0.3">
      <c r="A177" s="111"/>
      <c r="B177" s="127"/>
      <c r="C177" s="113"/>
      <c r="D177" s="113"/>
      <c r="E177" s="107"/>
      <c r="F177" s="108"/>
      <c r="G177" s="128"/>
      <c r="H177" s="109"/>
      <c r="I177" s="109"/>
      <c r="J177" s="109"/>
      <c r="K177" s="128"/>
      <c r="L177" s="123"/>
      <c r="M177" s="123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31"/>
      <c r="Y177" s="110"/>
      <c r="Z177" s="109"/>
      <c r="AA177" s="109"/>
      <c r="AB177" s="109"/>
      <c r="AC177" s="109"/>
      <c r="AD177" s="109"/>
      <c r="AE177" s="109"/>
    </row>
    <row r="178" spans="1:31" ht="14.25" customHeight="1" x14ac:dyDescent="0.3">
      <c r="A178" s="111"/>
      <c r="B178" s="127"/>
      <c r="C178" s="113"/>
      <c r="D178" s="113"/>
      <c r="E178" s="107"/>
      <c r="F178" s="108"/>
      <c r="G178" s="128"/>
      <c r="H178" s="109"/>
      <c r="I178" s="109"/>
      <c r="J178" s="109"/>
      <c r="K178" s="128"/>
      <c r="L178" s="123"/>
      <c r="M178" s="123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31"/>
      <c r="Y178" s="110"/>
      <c r="Z178" s="109"/>
      <c r="AA178" s="109"/>
      <c r="AB178" s="109"/>
      <c r="AC178" s="109"/>
      <c r="AD178" s="109"/>
      <c r="AE178" s="109"/>
    </row>
    <row r="179" spans="1:31" ht="14.25" customHeight="1" x14ac:dyDescent="0.3">
      <c r="A179" s="111"/>
      <c r="B179" s="127"/>
      <c r="C179" s="113"/>
      <c r="D179" s="113"/>
      <c r="E179" s="107"/>
      <c r="F179" s="108"/>
      <c r="G179" s="128"/>
      <c r="H179" s="109"/>
      <c r="I179" s="109"/>
      <c r="J179" s="109"/>
      <c r="K179" s="128"/>
      <c r="L179" s="123"/>
      <c r="M179" s="123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31"/>
      <c r="Y179" s="110"/>
      <c r="Z179" s="109"/>
      <c r="AA179" s="109"/>
      <c r="AB179" s="109"/>
      <c r="AC179" s="109"/>
      <c r="AD179" s="109"/>
      <c r="AE179" s="109"/>
    </row>
    <row r="180" spans="1:31" ht="14.25" customHeight="1" x14ac:dyDescent="0.3">
      <c r="A180" s="111"/>
      <c r="B180" s="127"/>
      <c r="C180" s="113"/>
      <c r="D180" s="113"/>
      <c r="E180" s="107"/>
      <c r="F180" s="108"/>
      <c r="G180" s="128"/>
      <c r="H180" s="109"/>
      <c r="I180" s="109"/>
      <c r="J180" s="109"/>
      <c r="K180" s="128"/>
      <c r="L180" s="123"/>
      <c r="M180" s="123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31"/>
      <c r="Y180" s="110"/>
      <c r="Z180" s="109"/>
      <c r="AA180" s="109"/>
      <c r="AB180" s="109"/>
      <c r="AC180" s="109"/>
      <c r="AD180" s="109"/>
      <c r="AE180" s="109"/>
    </row>
    <row r="181" spans="1:31" ht="14.25" customHeight="1" x14ac:dyDescent="0.3">
      <c r="A181" s="111"/>
      <c r="B181" s="127"/>
      <c r="C181" s="113"/>
      <c r="D181" s="113"/>
      <c r="E181" s="107"/>
      <c r="F181" s="108"/>
      <c r="G181" s="128"/>
      <c r="H181" s="109"/>
      <c r="I181" s="109"/>
      <c r="J181" s="109"/>
      <c r="K181" s="128"/>
      <c r="L181" s="123"/>
      <c r="M181" s="123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31"/>
      <c r="Y181" s="110"/>
      <c r="Z181" s="109"/>
      <c r="AA181" s="109"/>
      <c r="AB181" s="109"/>
      <c r="AC181" s="109"/>
      <c r="AD181" s="109"/>
      <c r="AE181" s="109"/>
    </row>
    <row r="182" spans="1:31" ht="14.25" customHeight="1" x14ac:dyDescent="0.3">
      <c r="A182" s="111"/>
      <c r="B182" s="127"/>
      <c r="C182" s="113"/>
      <c r="D182" s="113"/>
      <c r="E182" s="107"/>
      <c r="F182" s="108"/>
      <c r="G182" s="128"/>
      <c r="H182" s="109"/>
      <c r="I182" s="109"/>
      <c r="J182" s="109"/>
      <c r="K182" s="128"/>
      <c r="L182" s="123"/>
      <c r="M182" s="123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31"/>
      <c r="Y182" s="110"/>
      <c r="Z182" s="109"/>
      <c r="AA182" s="109"/>
      <c r="AB182" s="109"/>
      <c r="AC182" s="109"/>
      <c r="AD182" s="109"/>
      <c r="AE182" s="109"/>
    </row>
    <row r="183" spans="1:31" ht="14.25" customHeight="1" x14ac:dyDescent="0.3">
      <c r="A183" s="111"/>
      <c r="B183" s="127"/>
      <c r="C183" s="113"/>
      <c r="D183" s="113"/>
      <c r="E183" s="107"/>
      <c r="F183" s="108"/>
      <c r="G183" s="128"/>
      <c r="H183" s="109"/>
      <c r="I183" s="109"/>
      <c r="J183" s="109"/>
      <c r="K183" s="128"/>
      <c r="L183" s="123"/>
      <c r="M183" s="123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31"/>
      <c r="Y183" s="110"/>
      <c r="Z183" s="109"/>
      <c r="AA183" s="109"/>
      <c r="AB183" s="109"/>
      <c r="AC183" s="109"/>
      <c r="AD183" s="109"/>
      <c r="AE183" s="109"/>
    </row>
    <row r="184" spans="1:31" ht="14.25" customHeight="1" x14ac:dyDescent="0.3">
      <c r="A184" s="111"/>
      <c r="B184" s="127"/>
      <c r="C184" s="113"/>
      <c r="D184" s="113"/>
      <c r="E184" s="107"/>
      <c r="F184" s="108"/>
      <c r="G184" s="128"/>
      <c r="H184" s="109"/>
      <c r="I184" s="109"/>
      <c r="J184" s="109"/>
      <c r="K184" s="128"/>
      <c r="L184" s="123"/>
      <c r="M184" s="123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31"/>
      <c r="Y184" s="110"/>
      <c r="Z184" s="109"/>
      <c r="AA184" s="109"/>
      <c r="AB184" s="109"/>
      <c r="AC184" s="109"/>
      <c r="AD184" s="109"/>
      <c r="AE184" s="109"/>
    </row>
    <row r="185" spans="1:31" ht="14.25" customHeight="1" x14ac:dyDescent="0.3">
      <c r="A185" s="111"/>
      <c r="B185" s="127"/>
      <c r="C185" s="113"/>
      <c r="D185" s="113"/>
      <c r="E185" s="107"/>
      <c r="F185" s="108"/>
      <c r="G185" s="128"/>
      <c r="H185" s="109"/>
      <c r="I185" s="109"/>
      <c r="J185" s="109"/>
      <c r="K185" s="128"/>
      <c r="L185" s="123"/>
      <c r="M185" s="123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31"/>
      <c r="Y185" s="110"/>
      <c r="Z185" s="109"/>
      <c r="AA185" s="109"/>
      <c r="AB185" s="109"/>
      <c r="AC185" s="109"/>
      <c r="AD185" s="109"/>
      <c r="AE185" s="109"/>
    </row>
    <row r="186" spans="1:31" ht="14.25" customHeight="1" x14ac:dyDescent="0.3">
      <c r="A186" s="111"/>
      <c r="B186" s="127"/>
      <c r="C186" s="113"/>
      <c r="D186" s="113"/>
      <c r="E186" s="107"/>
      <c r="F186" s="108"/>
      <c r="G186" s="128"/>
      <c r="H186" s="109"/>
      <c r="I186" s="109"/>
      <c r="J186" s="109"/>
      <c r="K186" s="128"/>
      <c r="L186" s="123"/>
      <c r="M186" s="123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31"/>
      <c r="Y186" s="110"/>
      <c r="Z186" s="109"/>
      <c r="AA186" s="109"/>
      <c r="AB186" s="109"/>
      <c r="AC186" s="109"/>
      <c r="AD186" s="109"/>
      <c r="AE186" s="109"/>
    </row>
    <row r="187" spans="1:31" ht="14.25" customHeight="1" x14ac:dyDescent="0.3">
      <c r="A187" s="111"/>
      <c r="B187" s="127"/>
      <c r="C187" s="113"/>
      <c r="D187" s="113"/>
      <c r="E187" s="107"/>
      <c r="F187" s="108"/>
      <c r="G187" s="128"/>
      <c r="H187" s="109"/>
      <c r="I187" s="109"/>
      <c r="J187" s="109"/>
      <c r="K187" s="128"/>
      <c r="L187" s="123"/>
      <c r="M187" s="123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31"/>
      <c r="Y187" s="110"/>
      <c r="Z187" s="109"/>
      <c r="AA187" s="109"/>
      <c r="AB187" s="109"/>
      <c r="AC187" s="109"/>
      <c r="AD187" s="109"/>
      <c r="AE187" s="109"/>
    </row>
    <row r="188" spans="1:31" ht="14.25" customHeight="1" x14ac:dyDescent="0.3">
      <c r="A188" s="111"/>
      <c r="B188" s="127"/>
      <c r="C188" s="113"/>
      <c r="D188" s="113"/>
      <c r="E188" s="107"/>
      <c r="F188" s="108"/>
      <c r="G188" s="128"/>
      <c r="H188" s="109"/>
      <c r="I188" s="109"/>
      <c r="J188" s="109"/>
      <c r="K188" s="128"/>
      <c r="L188" s="123"/>
      <c r="M188" s="123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31"/>
      <c r="Y188" s="110"/>
      <c r="Z188" s="109"/>
      <c r="AA188" s="109"/>
      <c r="AB188" s="109"/>
      <c r="AC188" s="109"/>
      <c r="AD188" s="109"/>
      <c r="AE188" s="109"/>
    </row>
    <row r="189" spans="1:31" ht="14.25" customHeight="1" x14ac:dyDescent="0.3">
      <c r="A189" s="111"/>
      <c r="B189" s="127"/>
      <c r="C189" s="113"/>
      <c r="D189" s="113"/>
      <c r="E189" s="107"/>
      <c r="F189" s="108"/>
      <c r="G189" s="128"/>
      <c r="H189" s="109"/>
      <c r="I189" s="109"/>
      <c r="J189" s="109"/>
      <c r="K189" s="128"/>
      <c r="L189" s="123"/>
      <c r="M189" s="123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31"/>
      <c r="Y189" s="110"/>
      <c r="Z189" s="109"/>
      <c r="AA189" s="109"/>
      <c r="AB189" s="109"/>
      <c r="AC189" s="109"/>
      <c r="AD189" s="109"/>
      <c r="AE189" s="109"/>
    </row>
    <row r="190" spans="1:31" ht="14.25" customHeight="1" x14ac:dyDescent="0.3">
      <c r="A190" s="111"/>
      <c r="B190" s="127"/>
      <c r="C190" s="113"/>
      <c r="D190" s="113"/>
      <c r="E190" s="107"/>
      <c r="F190" s="108"/>
      <c r="G190" s="128"/>
      <c r="H190" s="109"/>
      <c r="I190" s="109"/>
      <c r="J190" s="109"/>
      <c r="K190" s="128"/>
      <c r="L190" s="123"/>
      <c r="M190" s="123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31"/>
      <c r="Y190" s="110"/>
      <c r="Z190" s="109"/>
      <c r="AA190" s="109"/>
      <c r="AB190" s="109"/>
      <c r="AC190" s="109"/>
      <c r="AD190" s="109"/>
      <c r="AE190" s="109"/>
    </row>
    <row r="191" spans="1:31" ht="14.25" customHeight="1" x14ac:dyDescent="0.3">
      <c r="A191" s="111"/>
      <c r="B191" s="127"/>
      <c r="C191" s="113"/>
      <c r="D191" s="113"/>
      <c r="E191" s="107"/>
      <c r="F191" s="108"/>
      <c r="G191" s="128"/>
      <c r="H191" s="109"/>
      <c r="I191" s="109"/>
      <c r="J191" s="109"/>
      <c r="K191" s="128"/>
      <c r="L191" s="123"/>
      <c r="M191" s="123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31"/>
      <c r="Y191" s="110"/>
      <c r="Z191" s="109"/>
      <c r="AA191" s="109"/>
      <c r="AB191" s="109"/>
      <c r="AC191" s="109"/>
      <c r="AD191" s="109"/>
      <c r="AE191" s="109"/>
    </row>
    <row r="192" spans="1:31" ht="14.25" customHeight="1" x14ac:dyDescent="0.3">
      <c r="A192" s="111"/>
      <c r="B192" s="127"/>
      <c r="C192" s="113"/>
      <c r="D192" s="113"/>
      <c r="E192" s="107"/>
      <c r="F192" s="108"/>
      <c r="G192" s="128"/>
      <c r="H192" s="109"/>
      <c r="I192" s="109"/>
      <c r="J192" s="109"/>
      <c r="K192" s="128"/>
      <c r="L192" s="123"/>
      <c r="M192" s="123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31"/>
      <c r="Y192" s="110"/>
      <c r="Z192" s="109"/>
      <c r="AA192" s="109"/>
      <c r="AB192" s="109"/>
      <c r="AC192" s="109"/>
      <c r="AD192" s="109"/>
      <c r="AE192" s="109"/>
    </row>
    <row r="193" spans="1:31" ht="14.25" customHeight="1" x14ac:dyDescent="0.3">
      <c r="A193" s="111"/>
      <c r="B193" s="127"/>
      <c r="C193" s="113"/>
      <c r="D193" s="113"/>
      <c r="E193" s="107"/>
      <c r="F193" s="108"/>
      <c r="G193" s="128"/>
      <c r="H193" s="109"/>
      <c r="I193" s="109"/>
      <c r="J193" s="109"/>
      <c r="K193" s="128"/>
      <c r="L193" s="123"/>
      <c r="M193" s="123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31"/>
      <c r="Y193" s="110"/>
      <c r="Z193" s="109"/>
      <c r="AA193" s="109"/>
      <c r="AB193" s="109"/>
      <c r="AC193" s="109"/>
      <c r="AD193" s="109"/>
      <c r="AE193" s="109"/>
    </row>
    <row r="194" spans="1:31" ht="14.25" customHeight="1" x14ac:dyDescent="0.3">
      <c r="A194" s="111"/>
      <c r="B194" s="127"/>
      <c r="C194" s="113"/>
      <c r="D194" s="113"/>
      <c r="E194" s="107"/>
      <c r="F194" s="108"/>
      <c r="G194" s="128"/>
      <c r="H194" s="109"/>
      <c r="I194" s="109"/>
      <c r="J194" s="109"/>
      <c r="K194" s="128"/>
      <c r="L194" s="123"/>
      <c r="M194" s="123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31"/>
      <c r="Y194" s="110"/>
      <c r="Z194" s="109"/>
      <c r="AA194" s="109"/>
      <c r="AB194" s="109"/>
      <c r="AC194" s="109"/>
      <c r="AD194" s="109"/>
      <c r="AE194" s="109"/>
    </row>
    <row r="195" spans="1:31" ht="14.25" customHeight="1" x14ac:dyDescent="0.3">
      <c r="A195" s="111"/>
      <c r="B195" s="127"/>
      <c r="C195" s="113"/>
      <c r="D195" s="113"/>
      <c r="E195" s="107"/>
      <c r="F195" s="108"/>
      <c r="G195" s="128"/>
      <c r="H195" s="109"/>
      <c r="I195" s="109"/>
      <c r="J195" s="109"/>
      <c r="K195" s="128"/>
      <c r="L195" s="123"/>
      <c r="M195" s="123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31"/>
      <c r="Y195" s="110"/>
      <c r="Z195" s="109"/>
      <c r="AA195" s="109"/>
      <c r="AB195" s="109"/>
      <c r="AC195" s="109"/>
      <c r="AD195" s="109"/>
      <c r="AE195" s="109"/>
    </row>
    <row r="196" spans="1:31" ht="14.25" customHeight="1" x14ac:dyDescent="0.3">
      <c r="A196" s="111"/>
      <c r="B196" s="127"/>
      <c r="C196" s="113"/>
      <c r="D196" s="113"/>
      <c r="E196" s="107"/>
      <c r="F196" s="108"/>
      <c r="G196" s="128"/>
      <c r="H196" s="109"/>
      <c r="I196" s="109"/>
      <c r="J196" s="109"/>
      <c r="K196" s="128"/>
      <c r="L196" s="123"/>
      <c r="M196" s="123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31"/>
      <c r="Y196" s="110"/>
      <c r="Z196" s="109"/>
      <c r="AA196" s="109"/>
      <c r="AB196" s="109"/>
      <c r="AC196" s="109"/>
      <c r="AD196" s="109"/>
      <c r="AE196" s="109"/>
    </row>
    <row r="197" spans="1:31" ht="14.25" customHeight="1" x14ac:dyDescent="0.3">
      <c r="A197" s="111"/>
      <c r="B197" s="127"/>
      <c r="C197" s="113"/>
      <c r="D197" s="113"/>
      <c r="E197" s="107"/>
      <c r="F197" s="108"/>
      <c r="G197" s="128"/>
      <c r="H197" s="109"/>
      <c r="I197" s="109"/>
      <c r="J197" s="109"/>
      <c r="K197" s="128"/>
      <c r="L197" s="123"/>
      <c r="M197" s="123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31"/>
      <c r="Y197" s="110"/>
      <c r="Z197" s="109"/>
      <c r="AA197" s="109"/>
      <c r="AB197" s="109"/>
      <c r="AC197" s="109"/>
      <c r="AD197" s="109"/>
      <c r="AE197" s="109"/>
    </row>
    <row r="198" spans="1:31" ht="14.25" customHeight="1" x14ac:dyDescent="0.3">
      <c r="A198" s="111"/>
      <c r="B198" s="127"/>
      <c r="C198" s="113"/>
      <c r="D198" s="113"/>
      <c r="E198" s="107"/>
      <c r="F198" s="108"/>
      <c r="G198" s="128"/>
      <c r="H198" s="109"/>
      <c r="I198" s="109"/>
      <c r="J198" s="109"/>
      <c r="K198" s="128"/>
      <c r="L198" s="123"/>
      <c r="M198" s="123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31"/>
      <c r="Y198" s="110"/>
      <c r="Z198" s="109"/>
      <c r="AA198" s="109"/>
      <c r="AB198" s="109"/>
      <c r="AC198" s="109"/>
      <c r="AD198" s="109"/>
      <c r="AE198" s="109"/>
    </row>
    <row r="199" spans="1:31" ht="14.25" customHeight="1" x14ac:dyDescent="0.3">
      <c r="A199" s="111"/>
      <c r="B199" s="127"/>
      <c r="C199" s="113"/>
      <c r="D199" s="113"/>
      <c r="E199" s="107"/>
      <c r="F199" s="108"/>
      <c r="G199" s="128"/>
      <c r="H199" s="109"/>
      <c r="I199" s="109"/>
      <c r="J199" s="109"/>
      <c r="K199" s="128"/>
      <c r="L199" s="123"/>
      <c r="M199" s="123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31"/>
      <c r="Y199" s="110"/>
      <c r="Z199" s="109"/>
      <c r="AA199" s="109"/>
      <c r="AB199" s="109"/>
      <c r="AC199" s="109"/>
      <c r="AD199" s="109"/>
      <c r="AE199" s="109"/>
    </row>
    <row r="200" spans="1:31" ht="14.25" customHeight="1" x14ac:dyDescent="0.3">
      <c r="A200" s="111"/>
      <c r="B200" s="127"/>
      <c r="C200" s="113"/>
      <c r="D200" s="113"/>
      <c r="E200" s="107"/>
      <c r="F200" s="108"/>
      <c r="G200" s="128"/>
      <c r="H200" s="109"/>
      <c r="I200" s="109"/>
      <c r="J200" s="109"/>
      <c r="K200" s="128"/>
      <c r="L200" s="123"/>
      <c r="M200" s="123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31"/>
      <c r="Y200" s="110"/>
      <c r="Z200" s="109"/>
      <c r="AA200" s="109"/>
      <c r="AB200" s="109"/>
      <c r="AC200" s="109"/>
      <c r="AD200" s="109"/>
      <c r="AE200" s="109"/>
    </row>
    <row r="201" spans="1:31" ht="14.25" customHeight="1" x14ac:dyDescent="0.3">
      <c r="A201" s="111"/>
      <c r="B201" s="127"/>
      <c r="C201" s="113"/>
      <c r="D201" s="113"/>
      <c r="E201" s="107"/>
      <c r="F201" s="108"/>
      <c r="G201" s="128"/>
      <c r="H201" s="109"/>
      <c r="I201" s="109"/>
      <c r="J201" s="109"/>
      <c r="K201" s="128"/>
      <c r="L201" s="123"/>
      <c r="M201" s="123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31"/>
      <c r="Y201" s="110"/>
      <c r="Z201" s="109"/>
      <c r="AA201" s="109"/>
      <c r="AB201" s="109"/>
      <c r="AC201" s="109"/>
      <c r="AD201" s="109"/>
      <c r="AE201" s="109"/>
    </row>
    <row r="202" spans="1:31" ht="14.25" customHeight="1" x14ac:dyDescent="0.3">
      <c r="A202" s="111"/>
      <c r="B202" s="127"/>
      <c r="C202" s="113"/>
      <c r="D202" s="113"/>
      <c r="E202" s="107"/>
      <c r="F202" s="108"/>
      <c r="G202" s="128"/>
      <c r="H202" s="109"/>
      <c r="I202" s="109"/>
      <c r="J202" s="109"/>
      <c r="K202" s="128"/>
      <c r="L202" s="123"/>
      <c r="M202" s="123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31"/>
      <c r="Y202" s="110"/>
      <c r="Z202" s="109"/>
      <c r="AA202" s="109"/>
      <c r="AB202" s="109"/>
      <c r="AC202" s="109"/>
      <c r="AD202" s="109"/>
      <c r="AE202" s="109"/>
    </row>
    <row r="203" spans="1:31" ht="14.25" customHeight="1" x14ac:dyDescent="0.3">
      <c r="A203" s="111"/>
      <c r="B203" s="127"/>
      <c r="C203" s="113"/>
      <c r="D203" s="113"/>
      <c r="E203" s="107"/>
      <c r="F203" s="108"/>
      <c r="G203" s="128"/>
      <c r="H203" s="109"/>
      <c r="I203" s="109"/>
      <c r="J203" s="109"/>
      <c r="K203" s="128"/>
      <c r="L203" s="123"/>
      <c r="M203" s="123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31"/>
      <c r="Y203" s="110"/>
      <c r="Z203" s="109"/>
      <c r="AA203" s="109"/>
      <c r="AB203" s="109"/>
      <c r="AC203" s="109"/>
      <c r="AD203" s="109"/>
      <c r="AE203" s="109"/>
    </row>
    <row r="204" spans="1:31" ht="14.25" customHeight="1" x14ac:dyDescent="0.3">
      <c r="A204" s="111"/>
      <c r="B204" s="127"/>
      <c r="C204" s="113"/>
      <c r="D204" s="113"/>
      <c r="E204" s="107"/>
      <c r="F204" s="108"/>
      <c r="G204" s="128"/>
      <c r="H204" s="109"/>
      <c r="I204" s="109"/>
      <c r="J204" s="109"/>
      <c r="K204" s="128"/>
      <c r="L204" s="123"/>
      <c r="M204" s="123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31"/>
      <c r="Y204" s="110"/>
      <c r="Z204" s="109"/>
      <c r="AA204" s="109"/>
      <c r="AB204" s="109"/>
      <c r="AC204" s="109"/>
      <c r="AD204" s="109"/>
      <c r="AE204" s="109"/>
    </row>
    <row r="205" spans="1:31" ht="14.25" customHeight="1" x14ac:dyDescent="0.3">
      <c r="A205" s="111"/>
      <c r="B205" s="127"/>
      <c r="C205" s="113"/>
      <c r="D205" s="113"/>
      <c r="E205" s="107"/>
      <c r="F205" s="108"/>
      <c r="G205" s="128"/>
      <c r="H205" s="109"/>
      <c r="I205" s="109"/>
      <c r="J205" s="109"/>
      <c r="K205" s="128"/>
      <c r="L205" s="123"/>
      <c r="M205" s="123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31"/>
      <c r="Y205" s="110"/>
      <c r="Z205" s="109"/>
      <c r="AA205" s="109"/>
      <c r="AB205" s="109"/>
      <c r="AC205" s="109"/>
      <c r="AD205" s="109"/>
      <c r="AE205" s="109"/>
    </row>
    <row r="206" spans="1:31" ht="14.25" customHeight="1" x14ac:dyDescent="0.3">
      <c r="A206" s="111"/>
      <c r="B206" s="127"/>
      <c r="C206" s="113"/>
      <c r="D206" s="113"/>
      <c r="E206" s="107"/>
      <c r="F206" s="108"/>
      <c r="G206" s="128"/>
      <c r="H206" s="109"/>
      <c r="I206" s="109"/>
      <c r="J206" s="109"/>
      <c r="K206" s="128"/>
      <c r="L206" s="123"/>
      <c r="M206" s="123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31"/>
      <c r="Y206" s="110"/>
      <c r="Z206" s="109"/>
      <c r="AA206" s="109"/>
      <c r="AB206" s="109"/>
      <c r="AC206" s="109"/>
      <c r="AD206" s="109"/>
      <c r="AE206" s="109"/>
    </row>
    <row r="207" spans="1:31" ht="14.25" customHeight="1" x14ac:dyDescent="0.3">
      <c r="A207" s="111"/>
      <c r="B207" s="127"/>
      <c r="C207" s="113"/>
      <c r="D207" s="113"/>
      <c r="E207" s="107"/>
      <c r="F207" s="108"/>
      <c r="G207" s="128"/>
      <c r="H207" s="109"/>
      <c r="I207" s="109"/>
      <c r="J207" s="109"/>
      <c r="K207" s="128"/>
      <c r="L207" s="123"/>
      <c r="M207" s="123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31"/>
      <c r="Y207" s="110"/>
      <c r="Z207" s="109"/>
      <c r="AA207" s="109"/>
      <c r="AB207" s="109"/>
      <c r="AC207" s="109"/>
      <c r="AD207" s="109"/>
      <c r="AE207" s="109"/>
    </row>
    <row r="208" spans="1:31" ht="14.25" customHeight="1" x14ac:dyDescent="0.3">
      <c r="A208" s="111"/>
      <c r="B208" s="127"/>
      <c r="C208" s="113"/>
      <c r="D208" s="113"/>
      <c r="E208" s="107"/>
      <c r="F208" s="108"/>
      <c r="G208" s="128"/>
      <c r="H208" s="109"/>
      <c r="I208" s="109"/>
      <c r="J208" s="109"/>
      <c r="K208" s="128"/>
      <c r="L208" s="123"/>
      <c r="M208" s="123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31"/>
      <c r="Y208" s="110"/>
      <c r="Z208" s="109"/>
      <c r="AA208" s="109"/>
      <c r="AB208" s="109"/>
      <c r="AC208" s="109"/>
      <c r="AD208" s="109"/>
      <c r="AE208" s="109"/>
    </row>
    <row r="209" spans="1:31" ht="14.25" customHeight="1" x14ac:dyDescent="0.3">
      <c r="A209" s="111"/>
      <c r="B209" s="127"/>
      <c r="C209" s="113"/>
      <c r="D209" s="113"/>
      <c r="E209" s="107"/>
      <c r="F209" s="108"/>
      <c r="G209" s="128"/>
      <c r="H209" s="109"/>
      <c r="I209" s="109"/>
      <c r="J209" s="109"/>
      <c r="K209" s="128"/>
      <c r="L209" s="123"/>
      <c r="M209" s="123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31"/>
      <c r="Y209" s="110"/>
      <c r="Z209" s="109"/>
      <c r="AA209" s="109"/>
      <c r="AB209" s="109"/>
      <c r="AC209" s="109"/>
      <c r="AD209" s="109"/>
      <c r="AE209" s="109"/>
    </row>
    <row r="210" spans="1:31" ht="14.25" customHeight="1" x14ac:dyDescent="0.3">
      <c r="A210" s="111"/>
      <c r="B210" s="127"/>
      <c r="C210" s="113"/>
      <c r="D210" s="113"/>
      <c r="E210" s="107"/>
      <c r="F210" s="108"/>
      <c r="G210" s="128"/>
      <c r="H210" s="109"/>
      <c r="I210" s="109"/>
      <c r="J210" s="109"/>
      <c r="K210" s="128"/>
      <c r="L210" s="123"/>
      <c r="M210" s="123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31"/>
      <c r="Y210" s="110"/>
      <c r="Z210" s="109"/>
      <c r="AA210" s="109"/>
      <c r="AB210" s="109"/>
      <c r="AC210" s="109"/>
      <c r="AD210" s="109"/>
      <c r="AE210" s="109"/>
    </row>
    <row r="211" spans="1:31" ht="14.25" customHeight="1" x14ac:dyDescent="0.3">
      <c r="A211" s="111"/>
      <c r="B211" s="127"/>
      <c r="C211" s="113"/>
      <c r="D211" s="113"/>
      <c r="E211" s="107"/>
      <c r="F211" s="108"/>
      <c r="G211" s="128"/>
      <c r="H211" s="109"/>
      <c r="I211" s="109"/>
      <c r="J211" s="109"/>
      <c r="K211" s="128"/>
      <c r="L211" s="123"/>
      <c r="M211" s="123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31"/>
      <c r="Y211" s="110"/>
      <c r="Z211" s="109"/>
      <c r="AA211" s="109"/>
      <c r="AB211" s="109"/>
      <c r="AC211" s="109"/>
      <c r="AD211" s="109"/>
      <c r="AE211" s="109"/>
    </row>
    <row r="212" spans="1:31" ht="14.25" customHeight="1" x14ac:dyDescent="0.3">
      <c r="A212" s="111"/>
      <c r="B212" s="127"/>
      <c r="C212" s="113"/>
      <c r="D212" s="113"/>
      <c r="E212" s="107"/>
      <c r="F212" s="108"/>
      <c r="G212" s="128"/>
      <c r="H212" s="109"/>
      <c r="I212" s="109"/>
      <c r="J212" s="109"/>
      <c r="K212" s="128"/>
      <c r="L212" s="123"/>
      <c r="M212" s="123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31"/>
      <c r="Y212" s="110"/>
      <c r="Z212" s="109"/>
      <c r="AA212" s="109"/>
      <c r="AB212" s="109"/>
      <c r="AC212" s="109"/>
      <c r="AD212" s="109"/>
      <c r="AE212" s="109"/>
    </row>
    <row r="213" spans="1:31" ht="14.25" customHeight="1" x14ac:dyDescent="0.3">
      <c r="A213" s="111"/>
      <c r="B213" s="127"/>
      <c r="C213" s="113"/>
      <c r="D213" s="113"/>
      <c r="E213" s="107"/>
      <c r="F213" s="108"/>
      <c r="G213" s="128"/>
      <c r="H213" s="109"/>
      <c r="I213" s="109"/>
      <c r="J213" s="109"/>
      <c r="K213" s="128"/>
      <c r="L213" s="123"/>
      <c r="M213" s="123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31"/>
      <c r="Y213" s="110"/>
      <c r="Z213" s="109"/>
      <c r="AA213" s="109"/>
      <c r="AB213" s="109"/>
      <c r="AC213" s="109"/>
      <c r="AD213" s="109"/>
      <c r="AE213" s="109"/>
    </row>
    <row r="214" spans="1:31" ht="14.25" customHeight="1" x14ac:dyDescent="0.3">
      <c r="A214" s="111"/>
      <c r="B214" s="127"/>
      <c r="C214" s="113"/>
      <c r="D214" s="113"/>
      <c r="E214" s="107"/>
      <c r="F214" s="108"/>
      <c r="G214" s="128"/>
      <c r="H214" s="109"/>
      <c r="I214" s="109"/>
      <c r="J214" s="109"/>
      <c r="K214" s="128"/>
      <c r="L214" s="123"/>
      <c r="M214" s="123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31"/>
      <c r="Y214" s="110"/>
      <c r="Z214" s="109"/>
      <c r="AA214" s="109"/>
      <c r="AB214" s="109"/>
      <c r="AC214" s="109"/>
      <c r="AD214" s="109"/>
      <c r="AE214" s="109"/>
    </row>
    <row r="215" spans="1:31" ht="14.25" customHeight="1" x14ac:dyDescent="0.3">
      <c r="A215" s="111"/>
      <c r="B215" s="127"/>
      <c r="C215" s="113"/>
      <c r="D215" s="113"/>
      <c r="E215" s="107"/>
      <c r="F215" s="108"/>
      <c r="G215" s="128"/>
      <c r="H215" s="109"/>
      <c r="I215" s="109"/>
      <c r="J215" s="109"/>
      <c r="K215" s="128"/>
      <c r="L215" s="123"/>
      <c r="M215" s="123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31"/>
      <c r="Y215" s="110"/>
      <c r="Z215" s="109"/>
      <c r="AA215" s="109"/>
      <c r="AB215" s="109"/>
      <c r="AC215" s="109"/>
      <c r="AD215" s="109"/>
      <c r="AE215" s="109"/>
    </row>
    <row r="216" spans="1:31" ht="14.25" customHeight="1" x14ac:dyDescent="0.3">
      <c r="A216" s="111"/>
      <c r="B216" s="127"/>
      <c r="C216" s="113"/>
      <c r="D216" s="113"/>
      <c r="E216" s="107"/>
      <c r="F216" s="108"/>
      <c r="G216" s="128"/>
      <c r="H216" s="109"/>
      <c r="I216" s="109"/>
      <c r="J216" s="109"/>
      <c r="K216" s="128"/>
      <c r="L216" s="123"/>
      <c r="M216" s="123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31"/>
      <c r="Y216" s="110"/>
      <c r="Z216" s="109"/>
      <c r="AA216" s="109"/>
      <c r="AB216" s="109"/>
      <c r="AC216" s="109"/>
      <c r="AD216" s="109"/>
      <c r="AE216" s="109"/>
    </row>
    <row r="217" spans="1:31" ht="14.25" customHeight="1" x14ac:dyDescent="0.3">
      <c r="A217" s="111"/>
      <c r="B217" s="127"/>
      <c r="C217" s="113"/>
      <c r="D217" s="113"/>
      <c r="E217" s="107"/>
      <c r="F217" s="108"/>
      <c r="G217" s="128"/>
      <c r="H217" s="109"/>
      <c r="I217" s="109"/>
      <c r="J217" s="109"/>
      <c r="K217" s="128"/>
      <c r="L217" s="123"/>
      <c r="M217" s="123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31"/>
      <c r="Y217" s="110"/>
      <c r="Z217" s="109"/>
      <c r="AA217" s="109"/>
      <c r="AB217" s="109"/>
      <c r="AC217" s="109"/>
      <c r="AD217" s="109"/>
      <c r="AE217" s="109"/>
    </row>
    <row r="218" spans="1:31" ht="14.25" customHeight="1" x14ac:dyDescent="0.3">
      <c r="A218" s="111"/>
      <c r="B218" s="127"/>
      <c r="C218" s="113"/>
      <c r="D218" s="113"/>
      <c r="E218" s="107"/>
      <c r="F218" s="108"/>
      <c r="G218" s="128"/>
      <c r="H218" s="109"/>
      <c r="I218" s="109"/>
      <c r="J218" s="109"/>
      <c r="K218" s="128"/>
      <c r="L218" s="123"/>
      <c r="M218" s="123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31"/>
      <c r="Y218" s="110"/>
      <c r="Z218" s="109"/>
      <c r="AA218" s="109"/>
      <c r="AB218" s="109"/>
      <c r="AC218" s="109"/>
      <c r="AD218" s="109"/>
      <c r="AE218" s="109"/>
    </row>
    <row r="219" spans="1:31" ht="14.25" customHeight="1" x14ac:dyDescent="0.3">
      <c r="A219" s="111"/>
      <c r="B219" s="127"/>
      <c r="C219" s="113"/>
      <c r="D219" s="113"/>
      <c r="E219" s="107"/>
      <c r="F219" s="108"/>
      <c r="G219" s="128"/>
      <c r="H219" s="109"/>
      <c r="I219" s="109"/>
      <c r="J219" s="109"/>
      <c r="K219" s="128"/>
      <c r="L219" s="123"/>
      <c r="M219" s="123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31"/>
      <c r="Y219" s="110"/>
      <c r="Z219" s="109"/>
      <c r="AA219" s="109"/>
      <c r="AB219" s="109"/>
      <c r="AC219" s="109"/>
      <c r="AD219" s="109"/>
      <c r="AE219" s="109"/>
    </row>
    <row r="220" spans="1:31" ht="14.25" customHeight="1" x14ac:dyDescent="0.3">
      <c r="A220" s="111"/>
      <c r="B220" s="127"/>
      <c r="C220" s="113"/>
      <c r="D220" s="113"/>
      <c r="E220" s="107"/>
      <c r="F220" s="108"/>
      <c r="G220" s="128"/>
      <c r="H220" s="109"/>
      <c r="I220" s="109"/>
      <c r="J220" s="109"/>
      <c r="K220" s="128"/>
      <c r="L220" s="123"/>
      <c r="M220" s="123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31"/>
      <c r="Y220" s="110"/>
      <c r="Z220" s="109"/>
      <c r="AA220" s="109"/>
      <c r="AB220" s="109"/>
      <c r="AC220" s="109"/>
      <c r="AD220" s="109"/>
      <c r="AE220" s="109"/>
    </row>
    <row r="221" spans="1:31" ht="14.25" customHeight="1" x14ac:dyDescent="0.3">
      <c r="A221" s="111"/>
      <c r="B221" s="127"/>
      <c r="C221" s="113"/>
      <c r="D221" s="113"/>
      <c r="E221" s="107"/>
      <c r="F221" s="108"/>
      <c r="G221" s="128"/>
      <c r="H221" s="109"/>
      <c r="I221" s="109"/>
      <c r="J221" s="109"/>
      <c r="K221" s="128"/>
      <c r="L221" s="123"/>
      <c r="M221" s="123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31"/>
      <c r="Y221" s="110"/>
      <c r="Z221" s="109"/>
      <c r="AA221" s="109"/>
      <c r="AB221" s="109"/>
      <c r="AC221" s="109"/>
      <c r="AD221" s="109"/>
      <c r="AE221" s="109"/>
    </row>
    <row r="222" spans="1:31" ht="14.25" customHeight="1" x14ac:dyDescent="0.3">
      <c r="A222" s="111"/>
      <c r="B222" s="127"/>
      <c r="C222" s="113"/>
      <c r="D222" s="113"/>
      <c r="E222" s="107"/>
      <c r="F222" s="108"/>
      <c r="G222" s="128"/>
      <c r="H222" s="109"/>
      <c r="I222" s="109"/>
      <c r="J222" s="109"/>
      <c r="K222" s="128"/>
      <c r="L222" s="123"/>
      <c r="M222" s="123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31"/>
      <c r="Y222" s="110"/>
      <c r="Z222" s="109"/>
      <c r="AA222" s="109"/>
      <c r="AB222" s="109"/>
      <c r="AC222" s="109"/>
      <c r="AD222" s="109"/>
      <c r="AE222" s="109"/>
    </row>
    <row r="223" spans="1:31" ht="14.25" customHeight="1" x14ac:dyDescent="0.3">
      <c r="A223" s="111"/>
      <c r="B223" s="127"/>
      <c r="C223" s="113"/>
      <c r="D223" s="113"/>
      <c r="E223" s="107"/>
      <c r="F223" s="108"/>
      <c r="G223" s="128"/>
      <c r="H223" s="109"/>
      <c r="I223" s="109"/>
      <c r="J223" s="109"/>
      <c r="K223" s="128"/>
      <c r="L223" s="123"/>
      <c r="M223" s="123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31"/>
      <c r="Y223" s="110"/>
      <c r="Z223" s="109"/>
      <c r="AA223" s="109"/>
      <c r="AB223" s="109"/>
      <c r="AC223" s="109"/>
      <c r="AD223" s="109"/>
      <c r="AE223" s="109"/>
    </row>
    <row r="224" spans="1:31" ht="14.25" customHeight="1" x14ac:dyDescent="0.3">
      <c r="A224" s="111"/>
      <c r="B224" s="127"/>
      <c r="C224" s="113"/>
      <c r="D224" s="113"/>
      <c r="E224" s="107"/>
      <c r="F224" s="108"/>
      <c r="G224" s="128"/>
      <c r="H224" s="109"/>
      <c r="I224" s="109"/>
      <c r="J224" s="109"/>
      <c r="K224" s="128"/>
      <c r="L224" s="123"/>
      <c r="M224" s="123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31"/>
      <c r="Y224" s="110"/>
      <c r="Z224" s="109"/>
      <c r="AA224" s="109"/>
      <c r="AB224" s="109"/>
      <c r="AC224" s="109"/>
      <c r="AD224" s="109"/>
      <c r="AE224" s="109"/>
    </row>
    <row r="225" spans="1:31" ht="14.25" customHeight="1" x14ac:dyDescent="0.3">
      <c r="A225" s="111"/>
      <c r="B225" s="127"/>
      <c r="C225" s="113"/>
      <c r="D225" s="113"/>
      <c r="E225" s="107"/>
      <c r="F225" s="108"/>
      <c r="G225" s="128"/>
      <c r="H225" s="109"/>
      <c r="I225" s="109"/>
      <c r="J225" s="109"/>
      <c r="K225" s="128"/>
      <c r="L225" s="123"/>
      <c r="M225" s="123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31"/>
      <c r="Y225" s="110"/>
      <c r="Z225" s="109"/>
      <c r="AA225" s="109"/>
      <c r="AB225" s="109"/>
      <c r="AC225" s="109"/>
      <c r="AD225" s="109"/>
      <c r="AE225" s="109"/>
    </row>
    <row r="226" spans="1:31" ht="14.25" customHeight="1" x14ac:dyDescent="0.3">
      <c r="A226" s="111"/>
      <c r="B226" s="127"/>
      <c r="C226" s="113"/>
      <c r="D226" s="113"/>
      <c r="E226" s="107"/>
      <c r="F226" s="108"/>
      <c r="G226" s="128"/>
      <c r="H226" s="109"/>
      <c r="I226" s="109"/>
      <c r="J226" s="109"/>
      <c r="K226" s="128"/>
      <c r="L226" s="123"/>
      <c r="M226" s="123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31"/>
      <c r="Y226" s="110"/>
      <c r="Z226" s="109"/>
      <c r="AA226" s="109"/>
      <c r="AB226" s="109"/>
      <c r="AC226" s="109"/>
      <c r="AD226" s="109"/>
      <c r="AE226" s="109"/>
    </row>
    <row r="227" spans="1:31" ht="14.25" customHeight="1" x14ac:dyDescent="0.3">
      <c r="A227" s="111"/>
      <c r="B227" s="127"/>
      <c r="C227" s="113"/>
      <c r="D227" s="113"/>
      <c r="E227" s="107"/>
      <c r="F227" s="108"/>
      <c r="G227" s="128"/>
      <c r="H227" s="109"/>
      <c r="I227" s="109"/>
      <c r="J227" s="109"/>
      <c r="K227" s="128"/>
      <c r="L227" s="123"/>
      <c r="M227" s="123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31"/>
      <c r="Y227" s="110"/>
      <c r="Z227" s="109"/>
      <c r="AA227" s="109"/>
      <c r="AB227" s="109"/>
      <c r="AC227" s="109"/>
      <c r="AD227" s="109"/>
      <c r="AE227" s="109"/>
    </row>
    <row r="228" spans="1:31" ht="14.25" customHeight="1" x14ac:dyDescent="0.3">
      <c r="A228" s="111"/>
      <c r="B228" s="127"/>
      <c r="C228" s="113"/>
      <c r="D228" s="113"/>
      <c r="E228" s="107"/>
      <c r="F228" s="108"/>
      <c r="G228" s="128"/>
      <c r="H228" s="109"/>
      <c r="I228" s="109"/>
      <c r="J228" s="109"/>
      <c r="K228" s="128"/>
      <c r="L228" s="123"/>
      <c r="M228" s="123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31"/>
      <c r="Y228" s="110"/>
      <c r="Z228" s="109"/>
      <c r="AA228" s="109"/>
      <c r="AB228" s="109"/>
      <c r="AC228" s="109"/>
      <c r="AD228" s="109"/>
      <c r="AE228" s="109"/>
    </row>
    <row r="229" spans="1:31" ht="14.25" customHeight="1" x14ac:dyDescent="0.3">
      <c r="A229" s="111"/>
      <c r="B229" s="127"/>
      <c r="C229" s="113"/>
      <c r="D229" s="113"/>
      <c r="E229" s="107"/>
      <c r="F229" s="108"/>
      <c r="G229" s="128"/>
      <c r="H229" s="109"/>
      <c r="I229" s="109"/>
      <c r="J229" s="109"/>
      <c r="K229" s="128"/>
      <c r="L229" s="123"/>
      <c r="M229" s="123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31"/>
      <c r="Y229" s="110"/>
      <c r="Z229" s="109"/>
      <c r="AA229" s="109"/>
      <c r="AB229" s="109"/>
      <c r="AC229" s="109"/>
      <c r="AD229" s="109"/>
      <c r="AE229" s="109"/>
    </row>
    <row r="230" spans="1:31" ht="14.25" customHeight="1" x14ac:dyDescent="0.3">
      <c r="A230" s="111"/>
      <c r="B230" s="127"/>
      <c r="C230" s="113"/>
      <c r="D230" s="113"/>
      <c r="E230" s="107"/>
      <c r="F230" s="108"/>
      <c r="G230" s="128"/>
      <c r="H230" s="109"/>
      <c r="I230" s="109"/>
      <c r="J230" s="109"/>
      <c r="K230" s="128"/>
      <c r="L230" s="123"/>
      <c r="M230" s="123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31"/>
      <c r="Y230" s="110"/>
      <c r="Z230" s="109"/>
      <c r="AA230" s="109"/>
      <c r="AB230" s="109"/>
      <c r="AC230" s="109"/>
      <c r="AD230" s="109"/>
      <c r="AE230" s="109"/>
    </row>
    <row r="231" spans="1:31" ht="14.25" customHeight="1" x14ac:dyDescent="0.3">
      <c r="A231" s="111"/>
      <c r="B231" s="127"/>
      <c r="C231" s="113"/>
      <c r="D231" s="113"/>
      <c r="E231" s="107"/>
      <c r="F231" s="108"/>
      <c r="G231" s="128"/>
      <c r="H231" s="109"/>
      <c r="I231" s="109"/>
      <c r="J231" s="109"/>
      <c r="K231" s="128"/>
      <c r="L231" s="123"/>
      <c r="M231" s="123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31"/>
      <c r="Y231" s="110"/>
      <c r="Z231" s="109"/>
      <c r="AA231" s="109"/>
      <c r="AB231" s="109"/>
      <c r="AC231" s="109"/>
      <c r="AD231" s="109"/>
      <c r="AE231" s="109"/>
    </row>
    <row r="232" spans="1:31" ht="14.25" customHeight="1" x14ac:dyDescent="0.3">
      <c r="A232" s="111"/>
      <c r="B232" s="127"/>
      <c r="C232" s="113"/>
      <c r="D232" s="113"/>
      <c r="E232" s="107"/>
      <c r="F232" s="108"/>
      <c r="G232" s="128"/>
      <c r="H232" s="109"/>
      <c r="I232" s="109"/>
      <c r="J232" s="109"/>
      <c r="K232" s="128"/>
      <c r="L232" s="123"/>
      <c r="M232" s="123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31"/>
      <c r="Y232" s="110"/>
      <c r="Z232" s="109"/>
      <c r="AA232" s="109"/>
      <c r="AB232" s="109"/>
      <c r="AC232" s="109"/>
      <c r="AD232" s="109"/>
      <c r="AE232" s="109"/>
    </row>
    <row r="233" spans="1:31" ht="14.25" customHeight="1" x14ac:dyDescent="0.3">
      <c r="A233" s="111"/>
      <c r="B233" s="127"/>
      <c r="C233" s="113"/>
      <c r="D233" s="113"/>
      <c r="E233" s="107"/>
      <c r="F233" s="108"/>
      <c r="G233" s="128"/>
      <c r="H233" s="109"/>
      <c r="I233" s="109"/>
      <c r="J233" s="109"/>
      <c r="K233" s="128"/>
      <c r="L233" s="123"/>
      <c r="M233" s="123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31"/>
      <c r="Y233" s="110"/>
      <c r="Z233" s="109"/>
      <c r="AA233" s="109"/>
      <c r="AB233" s="109"/>
      <c r="AC233" s="109"/>
      <c r="AD233" s="109"/>
      <c r="AE233" s="109"/>
    </row>
    <row r="234" spans="1:31" ht="14.25" customHeight="1" x14ac:dyDescent="0.3">
      <c r="A234" s="111"/>
      <c r="B234" s="127"/>
      <c r="C234" s="113"/>
      <c r="D234" s="113"/>
      <c r="E234" s="107"/>
      <c r="F234" s="108"/>
      <c r="G234" s="128"/>
      <c r="H234" s="109"/>
      <c r="I234" s="109"/>
      <c r="J234" s="109"/>
      <c r="K234" s="128"/>
      <c r="L234" s="123"/>
      <c r="M234" s="123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31"/>
      <c r="Y234" s="110"/>
      <c r="Z234" s="109"/>
      <c r="AA234" s="109"/>
      <c r="AB234" s="109"/>
      <c r="AC234" s="109"/>
      <c r="AD234" s="109"/>
      <c r="AE234" s="109"/>
    </row>
    <row r="235" spans="1:31" ht="14.25" customHeight="1" x14ac:dyDescent="0.3">
      <c r="A235" s="111"/>
      <c r="B235" s="127"/>
      <c r="C235" s="113"/>
      <c r="D235" s="113"/>
      <c r="E235" s="107"/>
      <c r="F235" s="108"/>
      <c r="G235" s="128"/>
      <c r="H235" s="109"/>
      <c r="I235" s="109"/>
      <c r="J235" s="109"/>
      <c r="K235" s="128"/>
      <c r="L235" s="123"/>
      <c r="M235" s="123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31"/>
      <c r="Y235" s="110"/>
      <c r="Z235" s="109"/>
      <c r="AA235" s="109"/>
      <c r="AB235" s="109"/>
      <c r="AC235" s="109"/>
      <c r="AD235" s="109"/>
      <c r="AE235" s="109"/>
    </row>
    <row r="236" spans="1:31" ht="14.25" customHeight="1" x14ac:dyDescent="0.3">
      <c r="A236" s="111"/>
      <c r="B236" s="127"/>
      <c r="C236" s="113"/>
      <c r="D236" s="113"/>
      <c r="E236" s="107"/>
      <c r="F236" s="108"/>
      <c r="G236" s="128"/>
      <c r="H236" s="109"/>
      <c r="I236" s="109"/>
      <c r="J236" s="109"/>
      <c r="K236" s="128"/>
      <c r="L236" s="123"/>
      <c r="M236" s="123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31"/>
      <c r="Y236" s="110"/>
      <c r="Z236" s="109"/>
      <c r="AA236" s="109"/>
      <c r="AB236" s="109"/>
      <c r="AC236" s="109"/>
      <c r="AD236" s="109"/>
      <c r="AE236" s="109"/>
    </row>
    <row r="237" spans="1:31" ht="14.25" customHeight="1" x14ac:dyDescent="0.3">
      <c r="A237" s="111"/>
      <c r="B237" s="127"/>
      <c r="C237" s="113"/>
      <c r="D237" s="113"/>
      <c r="E237" s="107"/>
      <c r="F237" s="108"/>
      <c r="G237" s="128"/>
      <c r="H237" s="109"/>
      <c r="I237" s="109"/>
      <c r="J237" s="109"/>
      <c r="K237" s="128"/>
      <c r="L237" s="123"/>
      <c r="M237" s="123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31"/>
      <c r="Y237" s="110"/>
      <c r="Z237" s="109"/>
      <c r="AA237" s="109"/>
      <c r="AB237" s="109"/>
      <c r="AC237" s="109"/>
      <c r="AD237" s="109"/>
      <c r="AE237" s="109"/>
    </row>
    <row r="238" spans="1:31" ht="14.25" customHeight="1" x14ac:dyDescent="0.3">
      <c r="A238" s="111"/>
      <c r="B238" s="127"/>
      <c r="C238" s="113"/>
      <c r="D238" s="113"/>
      <c r="E238" s="107"/>
      <c r="F238" s="108"/>
      <c r="G238" s="128"/>
      <c r="H238" s="109"/>
      <c r="I238" s="109"/>
      <c r="J238" s="109"/>
      <c r="K238" s="128"/>
      <c r="L238" s="123"/>
      <c r="M238" s="123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31"/>
      <c r="Y238" s="110"/>
      <c r="Z238" s="109"/>
      <c r="AA238" s="109"/>
      <c r="AB238" s="109"/>
      <c r="AC238" s="109"/>
      <c r="AD238" s="109"/>
      <c r="AE238" s="109"/>
    </row>
    <row r="239" spans="1:31" ht="14.25" customHeight="1" x14ac:dyDescent="0.3">
      <c r="A239" s="111"/>
      <c r="B239" s="127"/>
      <c r="C239" s="113"/>
      <c r="D239" s="113"/>
      <c r="E239" s="107"/>
      <c r="F239" s="108"/>
      <c r="G239" s="128"/>
      <c r="H239" s="109"/>
      <c r="I239" s="109"/>
      <c r="J239" s="109"/>
      <c r="K239" s="128"/>
      <c r="L239" s="123"/>
      <c r="M239" s="123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31"/>
      <c r="Y239" s="110"/>
      <c r="Z239" s="109"/>
      <c r="AA239" s="109"/>
      <c r="AB239" s="109"/>
      <c r="AC239" s="109"/>
      <c r="AD239" s="109"/>
      <c r="AE239" s="109"/>
    </row>
    <row r="240" spans="1:31" ht="14.25" customHeight="1" x14ac:dyDescent="0.3">
      <c r="A240" s="111"/>
      <c r="B240" s="127"/>
      <c r="C240" s="113"/>
      <c r="D240" s="113"/>
      <c r="E240" s="107"/>
      <c r="F240" s="108"/>
      <c r="G240" s="128"/>
      <c r="H240" s="109"/>
      <c r="I240" s="109"/>
      <c r="J240" s="109"/>
      <c r="K240" s="128"/>
      <c r="L240" s="123"/>
      <c r="M240" s="123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31"/>
      <c r="Y240" s="110"/>
      <c r="Z240" s="109"/>
      <c r="AA240" s="109"/>
      <c r="AB240" s="109"/>
      <c r="AC240" s="109"/>
      <c r="AD240" s="109"/>
      <c r="AE240" s="109"/>
    </row>
    <row r="241" spans="1:31" ht="14.25" customHeight="1" x14ac:dyDescent="0.3">
      <c r="A241" s="111"/>
      <c r="B241" s="127"/>
      <c r="C241" s="113"/>
      <c r="D241" s="113"/>
      <c r="E241" s="107"/>
      <c r="F241" s="108"/>
      <c r="G241" s="128"/>
      <c r="H241" s="109"/>
      <c r="I241" s="109"/>
      <c r="J241" s="109"/>
      <c r="K241" s="128"/>
      <c r="L241" s="123"/>
      <c r="M241" s="123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31"/>
      <c r="Y241" s="110"/>
      <c r="Z241" s="109"/>
      <c r="AA241" s="109"/>
      <c r="AB241" s="109"/>
      <c r="AC241" s="109"/>
      <c r="AD241" s="109"/>
      <c r="AE241" s="109"/>
    </row>
    <row r="242" spans="1:31" ht="14.25" customHeight="1" x14ac:dyDescent="0.3">
      <c r="A242" s="111"/>
      <c r="B242" s="127"/>
      <c r="C242" s="113"/>
      <c r="D242" s="113"/>
      <c r="E242" s="107"/>
      <c r="F242" s="108"/>
      <c r="G242" s="128"/>
      <c r="H242" s="109"/>
      <c r="I242" s="109"/>
      <c r="J242" s="109"/>
      <c r="K242" s="128"/>
      <c r="L242" s="123"/>
      <c r="M242" s="123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31"/>
      <c r="Y242" s="110"/>
      <c r="Z242" s="109"/>
      <c r="AA242" s="109"/>
      <c r="AB242" s="109"/>
      <c r="AC242" s="109"/>
      <c r="AD242" s="109"/>
      <c r="AE242" s="109"/>
    </row>
    <row r="243" spans="1:31" ht="14.25" customHeight="1" x14ac:dyDescent="0.3">
      <c r="A243" s="111"/>
      <c r="B243" s="127"/>
      <c r="C243" s="113"/>
      <c r="D243" s="113"/>
      <c r="E243" s="107"/>
      <c r="F243" s="108"/>
      <c r="G243" s="128"/>
      <c r="H243" s="109"/>
      <c r="I243" s="109"/>
      <c r="J243" s="109"/>
      <c r="K243" s="128"/>
      <c r="L243" s="123"/>
      <c r="M243" s="123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31"/>
      <c r="Y243" s="110"/>
      <c r="Z243" s="109"/>
      <c r="AA243" s="109"/>
      <c r="AB243" s="109"/>
      <c r="AC243" s="109"/>
      <c r="AD243" s="109"/>
      <c r="AE243" s="109"/>
    </row>
    <row r="244" spans="1:31" ht="14.25" customHeight="1" x14ac:dyDescent="0.3">
      <c r="A244" s="111"/>
      <c r="B244" s="127"/>
      <c r="C244" s="113"/>
      <c r="D244" s="113"/>
      <c r="E244" s="107"/>
      <c r="F244" s="108"/>
      <c r="G244" s="128"/>
      <c r="H244" s="109"/>
      <c r="I244" s="109"/>
      <c r="J244" s="109"/>
      <c r="K244" s="128"/>
      <c r="L244" s="123"/>
      <c r="M244" s="123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31"/>
      <c r="Y244" s="110"/>
      <c r="Z244" s="109"/>
      <c r="AA244" s="109"/>
      <c r="AB244" s="109"/>
      <c r="AC244" s="109"/>
      <c r="AD244" s="109"/>
      <c r="AE244" s="109"/>
    </row>
    <row r="245" spans="1:31" ht="14.25" customHeight="1" x14ac:dyDescent="0.3">
      <c r="A245" s="111"/>
      <c r="B245" s="127"/>
      <c r="C245" s="113"/>
      <c r="D245" s="113"/>
      <c r="E245" s="107"/>
      <c r="F245" s="108"/>
      <c r="G245" s="128"/>
      <c r="H245" s="109"/>
      <c r="I245" s="109"/>
      <c r="J245" s="109"/>
      <c r="K245" s="128"/>
      <c r="L245" s="123"/>
      <c r="M245" s="123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31"/>
      <c r="Y245" s="110"/>
      <c r="Z245" s="109"/>
      <c r="AA245" s="109"/>
      <c r="AB245" s="109"/>
      <c r="AC245" s="109"/>
      <c r="AD245" s="109"/>
      <c r="AE245" s="109"/>
    </row>
    <row r="246" spans="1:31" ht="14.25" customHeight="1" x14ac:dyDescent="0.3">
      <c r="A246" s="111"/>
      <c r="B246" s="127"/>
      <c r="C246" s="113"/>
      <c r="D246" s="113"/>
      <c r="E246" s="107"/>
      <c r="F246" s="108"/>
      <c r="G246" s="128"/>
      <c r="H246" s="109"/>
      <c r="I246" s="109"/>
      <c r="J246" s="109"/>
      <c r="K246" s="128"/>
      <c r="L246" s="123"/>
      <c r="M246" s="123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31"/>
      <c r="Y246" s="110"/>
      <c r="Z246" s="109"/>
      <c r="AA246" s="109"/>
      <c r="AB246" s="109"/>
      <c r="AC246" s="109"/>
      <c r="AD246" s="109"/>
      <c r="AE246" s="109"/>
    </row>
    <row r="247" spans="1:31" ht="14.25" customHeight="1" x14ac:dyDescent="0.3">
      <c r="A247" s="111"/>
      <c r="B247" s="127"/>
      <c r="C247" s="113"/>
      <c r="D247" s="113"/>
      <c r="E247" s="107"/>
      <c r="F247" s="108"/>
      <c r="G247" s="128"/>
      <c r="H247" s="109"/>
      <c r="I247" s="109"/>
      <c r="J247" s="109"/>
      <c r="K247" s="128"/>
      <c r="L247" s="123"/>
      <c r="M247" s="123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31"/>
      <c r="Y247" s="110"/>
      <c r="Z247" s="109"/>
      <c r="AA247" s="109"/>
      <c r="AB247" s="109"/>
      <c r="AC247" s="109"/>
      <c r="AD247" s="109"/>
      <c r="AE247" s="109"/>
    </row>
    <row r="248" spans="1:31" ht="14.25" customHeight="1" x14ac:dyDescent="0.3">
      <c r="A248" s="111"/>
      <c r="B248" s="127"/>
      <c r="C248" s="113"/>
      <c r="D248" s="113"/>
      <c r="E248" s="107"/>
      <c r="F248" s="108"/>
      <c r="G248" s="128"/>
      <c r="H248" s="109"/>
      <c r="I248" s="109"/>
      <c r="J248" s="109"/>
      <c r="K248" s="128"/>
      <c r="L248" s="123"/>
      <c r="M248" s="123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31"/>
      <c r="Y248" s="110"/>
      <c r="Z248" s="109"/>
      <c r="AA248" s="109"/>
      <c r="AB248" s="109"/>
      <c r="AC248" s="109"/>
      <c r="AD248" s="109"/>
      <c r="AE248" s="109"/>
    </row>
    <row r="249" spans="1:31" ht="14.25" customHeight="1" x14ac:dyDescent="0.3">
      <c r="A249" s="111"/>
      <c r="B249" s="127"/>
      <c r="C249" s="113"/>
      <c r="D249" s="113"/>
      <c r="E249" s="107"/>
      <c r="F249" s="108"/>
      <c r="G249" s="128"/>
      <c r="H249" s="109"/>
      <c r="I249" s="109"/>
      <c r="J249" s="109"/>
      <c r="K249" s="128"/>
      <c r="L249" s="123"/>
      <c r="M249" s="123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31"/>
      <c r="Y249" s="110"/>
      <c r="Z249" s="109"/>
      <c r="AA249" s="109"/>
      <c r="AB249" s="109"/>
      <c r="AC249" s="109"/>
      <c r="AD249" s="109"/>
      <c r="AE249" s="109"/>
    </row>
    <row r="250" spans="1:31" ht="14.25" customHeight="1" x14ac:dyDescent="0.3">
      <c r="A250" s="111"/>
      <c r="B250" s="127"/>
      <c r="C250" s="113"/>
      <c r="D250" s="113"/>
      <c r="E250" s="107"/>
      <c r="F250" s="108"/>
      <c r="G250" s="128"/>
      <c r="H250" s="109"/>
      <c r="I250" s="109"/>
      <c r="J250" s="109"/>
      <c r="K250" s="128"/>
      <c r="L250" s="123"/>
      <c r="M250" s="123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31"/>
      <c r="Y250" s="110"/>
      <c r="Z250" s="109"/>
      <c r="AA250" s="109"/>
      <c r="AB250" s="109"/>
      <c r="AC250" s="109"/>
      <c r="AD250" s="109"/>
      <c r="AE250" s="109"/>
    </row>
    <row r="251" spans="1:31" ht="14.25" customHeight="1" x14ac:dyDescent="0.3">
      <c r="A251" s="111"/>
      <c r="B251" s="127"/>
      <c r="C251" s="113"/>
      <c r="D251" s="113"/>
      <c r="E251" s="107"/>
      <c r="F251" s="108"/>
      <c r="G251" s="128"/>
      <c r="H251" s="109"/>
      <c r="I251" s="109"/>
      <c r="J251" s="109"/>
      <c r="K251" s="128"/>
      <c r="L251" s="123"/>
      <c r="M251" s="123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31"/>
      <c r="Y251" s="110"/>
      <c r="Z251" s="109"/>
      <c r="AA251" s="109"/>
      <c r="AB251" s="109"/>
      <c r="AC251" s="109"/>
      <c r="AD251" s="109"/>
      <c r="AE251" s="109"/>
    </row>
    <row r="252" spans="1:31" ht="14.25" customHeight="1" x14ac:dyDescent="0.3">
      <c r="A252" s="111"/>
      <c r="B252" s="127"/>
      <c r="C252" s="113"/>
      <c r="D252" s="113"/>
      <c r="E252" s="107"/>
      <c r="F252" s="108"/>
      <c r="G252" s="128"/>
      <c r="H252" s="109"/>
      <c r="I252" s="109"/>
      <c r="J252" s="109"/>
      <c r="K252" s="128"/>
      <c r="L252" s="123"/>
      <c r="M252" s="123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31"/>
      <c r="Y252" s="110"/>
      <c r="Z252" s="109"/>
      <c r="AA252" s="109"/>
      <c r="AB252" s="109"/>
      <c r="AC252" s="109"/>
      <c r="AD252" s="109"/>
      <c r="AE252" s="109"/>
    </row>
    <row r="253" spans="1:31" ht="14.25" customHeight="1" x14ac:dyDescent="0.3">
      <c r="A253" s="111"/>
      <c r="B253" s="127"/>
      <c r="C253" s="113"/>
      <c r="D253" s="113"/>
      <c r="E253" s="107"/>
      <c r="F253" s="108"/>
      <c r="G253" s="128"/>
      <c r="H253" s="109"/>
      <c r="I253" s="109"/>
      <c r="J253" s="109"/>
      <c r="K253" s="128"/>
      <c r="L253" s="123"/>
      <c r="M253" s="123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31"/>
      <c r="Y253" s="110"/>
      <c r="Z253" s="109"/>
      <c r="AA253" s="109"/>
      <c r="AB253" s="109"/>
      <c r="AC253" s="109"/>
      <c r="AD253" s="109"/>
      <c r="AE253" s="109"/>
    </row>
    <row r="254" spans="1:31" ht="14.25" customHeight="1" x14ac:dyDescent="0.3">
      <c r="A254" s="111"/>
      <c r="B254" s="127"/>
      <c r="C254" s="113"/>
      <c r="D254" s="113"/>
      <c r="E254" s="107"/>
      <c r="F254" s="108"/>
      <c r="G254" s="128"/>
      <c r="H254" s="109"/>
      <c r="I254" s="109"/>
      <c r="J254" s="109"/>
      <c r="K254" s="128"/>
      <c r="L254" s="123"/>
      <c r="M254" s="123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31"/>
      <c r="Y254" s="110"/>
      <c r="Z254" s="109"/>
      <c r="AA254" s="109"/>
      <c r="AB254" s="109"/>
      <c r="AC254" s="109"/>
      <c r="AD254" s="109"/>
      <c r="AE254" s="109"/>
    </row>
    <row r="255" spans="1:31" ht="14.25" customHeight="1" x14ac:dyDescent="0.3">
      <c r="A255" s="111"/>
      <c r="B255" s="127"/>
      <c r="C255" s="113"/>
      <c r="D255" s="113"/>
      <c r="E255" s="107"/>
      <c r="F255" s="108"/>
      <c r="G255" s="128"/>
      <c r="H255" s="109"/>
      <c r="I255" s="109"/>
      <c r="J255" s="109"/>
      <c r="K255" s="128"/>
      <c r="L255" s="123"/>
      <c r="M255" s="123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31"/>
      <c r="Y255" s="110"/>
      <c r="Z255" s="109"/>
      <c r="AA255" s="109"/>
      <c r="AB255" s="109"/>
      <c r="AC255" s="109"/>
      <c r="AD255" s="109"/>
      <c r="AE255" s="109"/>
    </row>
    <row r="256" spans="1:31" ht="14.25" customHeight="1" x14ac:dyDescent="0.3">
      <c r="A256" s="111"/>
      <c r="B256" s="127"/>
      <c r="C256" s="113"/>
      <c r="D256" s="113"/>
      <c r="E256" s="107"/>
      <c r="F256" s="108"/>
      <c r="G256" s="128"/>
      <c r="H256" s="109"/>
      <c r="I256" s="109"/>
      <c r="J256" s="109"/>
      <c r="K256" s="128"/>
      <c r="L256" s="123"/>
      <c r="M256" s="123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31"/>
      <c r="Y256" s="110"/>
      <c r="Z256" s="109"/>
      <c r="AA256" s="109"/>
      <c r="AB256" s="109"/>
      <c r="AC256" s="109"/>
      <c r="AD256" s="109"/>
      <c r="AE256" s="109"/>
    </row>
    <row r="257" spans="1:31" ht="14.25" customHeight="1" x14ac:dyDescent="0.3">
      <c r="A257" s="111"/>
      <c r="B257" s="127"/>
      <c r="C257" s="113"/>
      <c r="D257" s="113"/>
      <c r="E257" s="107"/>
      <c r="F257" s="108"/>
      <c r="G257" s="128"/>
      <c r="H257" s="109"/>
      <c r="I257" s="109"/>
      <c r="J257" s="109"/>
      <c r="K257" s="128"/>
      <c r="L257" s="123"/>
      <c r="M257" s="123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31"/>
      <c r="Y257" s="110"/>
      <c r="Z257" s="109"/>
      <c r="AA257" s="109"/>
      <c r="AB257" s="109"/>
      <c r="AC257" s="109"/>
      <c r="AD257" s="109"/>
      <c r="AE257" s="109"/>
    </row>
    <row r="258" spans="1:31" ht="14.25" customHeight="1" x14ac:dyDescent="0.3">
      <c r="A258" s="111"/>
      <c r="B258" s="127"/>
      <c r="C258" s="113"/>
      <c r="D258" s="113"/>
      <c r="E258" s="107"/>
      <c r="F258" s="108"/>
      <c r="G258" s="128"/>
      <c r="H258" s="109"/>
      <c r="I258" s="109"/>
      <c r="J258" s="109"/>
      <c r="K258" s="128"/>
      <c r="L258" s="123"/>
      <c r="M258" s="123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31"/>
      <c r="Y258" s="110"/>
      <c r="Z258" s="109"/>
      <c r="AA258" s="109"/>
      <c r="AB258" s="109"/>
      <c r="AC258" s="109"/>
      <c r="AD258" s="109"/>
      <c r="AE258" s="109"/>
    </row>
    <row r="259" spans="1:31" ht="14.25" customHeight="1" x14ac:dyDescent="0.3">
      <c r="A259" s="111"/>
      <c r="B259" s="127"/>
      <c r="C259" s="113"/>
      <c r="D259" s="113"/>
      <c r="E259" s="107"/>
      <c r="F259" s="108"/>
      <c r="G259" s="128"/>
      <c r="H259" s="109"/>
      <c r="I259" s="109"/>
      <c r="J259" s="109"/>
      <c r="K259" s="128"/>
      <c r="L259" s="123"/>
      <c r="M259" s="123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31"/>
      <c r="Y259" s="149"/>
      <c r="Z259" s="109"/>
      <c r="AA259" s="109"/>
      <c r="AB259" s="109"/>
      <c r="AC259" s="109"/>
      <c r="AD259" s="109"/>
      <c r="AE259" s="109"/>
    </row>
    <row r="260" spans="1:31" ht="14.25" customHeight="1" x14ac:dyDescent="0.3">
      <c r="A260" s="111"/>
      <c r="B260" s="127"/>
      <c r="C260" s="113"/>
      <c r="D260" s="113"/>
      <c r="E260" s="107"/>
      <c r="F260" s="108"/>
      <c r="G260" s="128"/>
      <c r="H260" s="109"/>
      <c r="I260" s="109"/>
      <c r="J260" s="109"/>
      <c r="K260" s="128"/>
      <c r="L260" s="123"/>
      <c r="M260" s="123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31"/>
      <c r="Y260" s="149"/>
      <c r="Z260" s="109"/>
      <c r="AA260" s="109"/>
      <c r="AB260" s="109"/>
      <c r="AC260" s="109"/>
      <c r="AD260" s="109"/>
      <c r="AE260" s="109"/>
    </row>
    <row r="261" spans="1:31" ht="14.25" customHeight="1" x14ac:dyDescent="0.3">
      <c r="A261" s="111"/>
      <c r="B261" s="127"/>
      <c r="C261" s="113"/>
      <c r="D261" s="113"/>
      <c r="E261" s="107"/>
      <c r="F261" s="108"/>
      <c r="G261" s="128"/>
      <c r="H261" s="109"/>
      <c r="I261" s="109"/>
      <c r="J261" s="109"/>
      <c r="K261" s="128"/>
      <c r="L261" s="123"/>
      <c r="M261" s="123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31"/>
      <c r="Y261" s="149"/>
      <c r="Z261" s="109"/>
      <c r="AA261" s="109"/>
      <c r="AB261" s="109"/>
      <c r="AC261" s="109"/>
      <c r="AD261" s="109"/>
      <c r="AE261" s="109"/>
    </row>
    <row r="262" spans="1:31" ht="14.25" customHeight="1" x14ac:dyDescent="0.3">
      <c r="A262" s="111"/>
      <c r="B262" s="127"/>
      <c r="C262" s="113"/>
      <c r="D262" s="113"/>
      <c r="E262" s="107"/>
      <c r="F262" s="108"/>
      <c r="G262" s="128"/>
      <c r="H262" s="109"/>
      <c r="I262" s="109"/>
      <c r="J262" s="109"/>
      <c r="K262" s="128"/>
      <c r="L262" s="123"/>
      <c r="M262" s="123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31"/>
      <c r="Y262" s="149"/>
      <c r="Z262" s="109"/>
      <c r="AA262" s="109"/>
      <c r="AB262" s="109"/>
      <c r="AC262" s="109"/>
      <c r="AD262" s="109"/>
      <c r="AE262" s="109"/>
    </row>
    <row r="263" spans="1:31" ht="14.25" customHeight="1" x14ac:dyDescent="0.3">
      <c r="A263" s="111"/>
      <c r="B263" s="127"/>
      <c r="C263" s="113"/>
      <c r="D263" s="113"/>
      <c r="E263" s="107"/>
      <c r="F263" s="108"/>
      <c r="G263" s="128"/>
      <c r="H263" s="109"/>
      <c r="I263" s="109"/>
      <c r="J263" s="109"/>
      <c r="K263" s="128"/>
      <c r="L263" s="123"/>
      <c r="M263" s="123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31"/>
      <c r="Y263" s="149"/>
      <c r="Z263" s="109"/>
      <c r="AA263" s="109"/>
      <c r="AB263" s="109"/>
      <c r="AC263" s="109"/>
      <c r="AD263" s="109"/>
      <c r="AE263" s="109"/>
    </row>
    <row r="264" spans="1:31" ht="14.25" customHeight="1" x14ac:dyDescent="0.3">
      <c r="A264" s="111"/>
      <c r="B264" s="127"/>
      <c r="C264" s="113"/>
      <c r="D264" s="113"/>
      <c r="E264" s="107"/>
      <c r="F264" s="108"/>
      <c r="G264" s="128"/>
      <c r="H264" s="109"/>
      <c r="I264" s="109"/>
      <c r="J264" s="109"/>
      <c r="K264" s="128"/>
      <c r="L264" s="123"/>
      <c r="M264" s="123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31"/>
      <c r="Y264" s="149"/>
      <c r="Z264" s="109"/>
      <c r="AA264" s="109"/>
      <c r="AB264" s="109"/>
      <c r="AC264" s="109"/>
      <c r="AD264" s="109"/>
      <c r="AE264" s="109"/>
    </row>
    <row r="265" spans="1:31" ht="14.25" customHeight="1" x14ac:dyDescent="0.3">
      <c r="A265" s="111"/>
      <c r="B265" s="127"/>
      <c r="C265" s="113"/>
      <c r="D265" s="113"/>
      <c r="E265" s="107"/>
      <c r="F265" s="108"/>
      <c r="G265" s="128"/>
      <c r="H265" s="109"/>
      <c r="I265" s="109"/>
      <c r="J265" s="109"/>
      <c r="K265" s="128"/>
      <c r="L265" s="123"/>
      <c r="M265" s="123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31"/>
      <c r="Y265" s="149"/>
      <c r="Z265" s="109"/>
      <c r="AA265" s="109"/>
      <c r="AB265" s="109"/>
      <c r="AC265" s="109"/>
      <c r="AD265" s="109"/>
      <c r="AE265" s="109"/>
    </row>
    <row r="266" spans="1:31" ht="14.25" customHeight="1" x14ac:dyDescent="0.3">
      <c r="A266" s="111"/>
      <c r="B266" s="127"/>
      <c r="C266" s="113"/>
      <c r="D266" s="113"/>
      <c r="E266" s="107"/>
      <c r="F266" s="108"/>
      <c r="G266" s="128"/>
      <c r="H266" s="109"/>
      <c r="I266" s="109"/>
      <c r="J266" s="109"/>
      <c r="K266" s="128"/>
      <c r="L266" s="123"/>
      <c r="M266" s="123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31"/>
      <c r="Y266" s="149"/>
      <c r="Z266" s="109"/>
      <c r="AA266" s="109"/>
      <c r="AB266" s="109"/>
      <c r="AC266" s="109"/>
      <c r="AD266" s="109"/>
      <c r="AE266" s="109"/>
    </row>
    <row r="267" spans="1:31" ht="14.25" customHeight="1" x14ac:dyDescent="0.3">
      <c r="A267" s="111"/>
      <c r="B267" s="127"/>
      <c r="C267" s="113"/>
      <c r="D267" s="113"/>
      <c r="E267" s="107"/>
      <c r="F267" s="108"/>
      <c r="G267" s="128"/>
      <c r="H267" s="109"/>
      <c r="I267" s="109"/>
      <c r="J267" s="109"/>
      <c r="K267" s="128"/>
      <c r="L267" s="123"/>
      <c r="M267" s="123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31"/>
      <c r="Y267" s="149"/>
      <c r="Z267" s="109"/>
      <c r="AA267" s="109"/>
      <c r="AB267" s="109"/>
      <c r="AC267" s="109"/>
      <c r="AD267" s="109"/>
      <c r="AE267" s="109"/>
    </row>
    <row r="268" spans="1:31" ht="14.25" customHeight="1" x14ac:dyDescent="0.3">
      <c r="A268" s="111"/>
      <c r="B268" s="127"/>
      <c r="C268" s="113"/>
      <c r="D268" s="113"/>
      <c r="E268" s="107"/>
      <c r="F268" s="108"/>
      <c r="G268" s="128"/>
      <c r="H268" s="109"/>
      <c r="I268" s="109"/>
      <c r="J268" s="109"/>
      <c r="K268" s="128"/>
      <c r="L268" s="123"/>
      <c r="M268" s="123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31"/>
      <c r="Y268" s="149"/>
      <c r="Z268" s="109"/>
      <c r="AA268" s="109"/>
      <c r="AB268" s="109"/>
      <c r="AC268" s="109"/>
      <c r="AD268" s="109"/>
      <c r="AE268" s="109"/>
    </row>
    <row r="269" spans="1:31" ht="14.25" customHeight="1" x14ac:dyDescent="0.3">
      <c r="A269" s="111"/>
      <c r="B269" s="127"/>
      <c r="C269" s="113"/>
      <c r="D269" s="113"/>
      <c r="E269" s="107"/>
      <c r="F269" s="108"/>
      <c r="G269" s="128"/>
      <c r="H269" s="109"/>
      <c r="I269" s="109"/>
      <c r="J269" s="109"/>
      <c r="K269" s="128"/>
      <c r="L269" s="123"/>
      <c r="M269" s="123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31"/>
      <c r="Y269" s="149"/>
      <c r="Z269" s="109"/>
      <c r="AA269" s="109"/>
      <c r="AB269" s="109"/>
      <c r="AC269" s="109"/>
      <c r="AD269" s="109"/>
      <c r="AE269" s="109"/>
    </row>
    <row r="270" spans="1:31" ht="14.25" customHeight="1" x14ac:dyDescent="0.3">
      <c r="A270" s="111"/>
      <c r="B270" s="127"/>
      <c r="C270" s="113"/>
      <c r="D270" s="113"/>
      <c r="E270" s="107"/>
      <c r="F270" s="108"/>
      <c r="G270" s="128"/>
      <c r="H270" s="109"/>
      <c r="I270" s="109"/>
      <c r="J270" s="109"/>
      <c r="K270" s="128"/>
      <c r="L270" s="123"/>
      <c r="M270" s="123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31"/>
      <c r="Y270" s="149"/>
      <c r="Z270" s="109"/>
      <c r="AA270" s="109"/>
      <c r="AB270" s="109"/>
      <c r="AC270" s="109"/>
      <c r="AD270" s="109"/>
      <c r="AE270" s="109"/>
    </row>
    <row r="271" spans="1:31" ht="14.25" customHeight="1" x14ac:dyDescent="0.3">
      <c r="A271" s="111"/>
      <c r="B271" s="127"/>
      <c r="C271" s="113"/>
      <c r="D271" s="113"/>
      <c r="E271" s="107"/>
      <c r="F271" s="108"/>
      <c r="G271" s="128"/>
      <c r="H271" s="109"/>
      <c r="I271" s="109"/>
      <c r="J271" s="109"/>
      <c r="K271" s="128"/>
      <c r="L271" s="123"/>
      <c r="M271" s="123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31"/>
      <c r="Y271" s="149"/>
      <c r="Z271" s="109"/>
      <c r="AA271" s="109"/>
      <c r="AB271" s="109"/>
      <c r="AC271" s="109"/>
      <c r="AD271" s="109"/>
      <c r="AE271" s="109"/>
    </row>
    <row r="272" spans="1:31" ht="14.25" customHeight="1" x14ac:dyDescent="0.3">
      <c r="A272" s="111"/>
      <c r="B272" s="127"/>
      <c r="C272" s="113"/>
      <c r="D272" s="113"/>
      <c r="E272" s="107"/>
      <c r="F272" s="108"/>
      <c r="G272" s="128"/>
      <c r="H272" s="109"/>
      <c r="I272" s="109"/>
      <c r="J272" s="109"/>
      <c r="K272" s="128"/>
      <c r="L272" s="123"/>
      <c r="M272" s="123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31"/>
      <c r="Y272" s="149"/>
      <c r="Z272" s="109"/>
      <c r="AA272" s="109"/>
      <c r="AB272" s="109"/>
      <c r="AC272" s="109"/>
      <c r="AD272" s="109"/>
      <c r="AE272" s="109"/>
    </row>
    <row r="273" spans="1:31" ht="14.25" customHeight="1" x14ac:dyDescent="0.3">
      <c r="A273" s="111"/>
      <c r="B273" s="127"/>
      <c r="C273" s="113"/>
      <c r="D273" s="113"/>
      <c r="E273" s="107"/>
      <c r="F273" s="108"/>
      <c r="G273" s="128"/>
      <c r="H273" s="109"/>
      <c r="I273" s="109"/>
      <c r="J273" s="109"/>
      <c r="K273" s="128"/>
      <c r="L273" s="123"/>
      <c r="M273" s="123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31"/>
      <c r="Y273" s="149"/>
      <c r="Z273" s="109"/>
      <c r="AA273" s="109"/>
      <c r="AB273" s="109"/>
      <c r="AC273" s="109"/>
      <c r="AD273" s="109"/>
      <c r="AE273" s="109"/>
    </row>
    <row r="274" spans="1:31" ht="14.25" customHeight="1" x14ac:dyDescent="0.3">
      <c r="A274" s="111"/>
      <c r="B274" s="127"/>
      <c r="C274" s="113"/>
      <c r="D274" s="113"/>
      <c r="E274" s="107"/>
      <c r="F274" s="108"/>
      <c r="G274" s="128"/>
      <c r="H274" s="109"/>
      <c r="I274" s="109"/>
      <c r="J274" s="109"/>
      <c r="K274" s="128"/>
      <c r="L274" s="123"/>
      <c r="M274" s="123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31"/>
      <c r="Y274" s="149"/>
      <c r="Z274" s="109"/>
      <c r="AA274" s="109"/>
      <c r="AB274" s="109"/>
      <c r="AC274" s="109"/>
      <c r="AD274" s="109"/>
      <c r="AE274" s="109"/>
    </row>
    <row r="275" spans="1:31" ht="14.25" customHeight="1" x14ac:dyDescent="0.3">
      <c r="A275" s="111"/>
      <c r="B275" s="127"/>
      <c r="C275" s="113"/>
      <c r="D275" s="113"/>
      <c r="E275" s="107"/>
      <c r="F275" s="108"/>
      <c r="G275" s="128"/>
      <c r="H275" s="109"/>
      <c r="I275" s="109"/>
      <c r="J275" s="109"/>
      <c r="K275" s="128"/>
      <c r="L275" s="123"/>
      <c r="M275" s="123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31"/>
      <c r="Y275" s="149"/>
      <c r="Z275" s="109"/>
      <c r="AA275" s="109"/>
      <c r="AB275" s="109"/>
      <c r="AC275" s="109"/>
      <c r="AD275" s="109"/>
      <c r="AE275" s="109"/>
    </row>
    <row r="276" spans="1:31" ht="14.25" customHeight="1" x14ac:dyDescent="0.3">
      <c r="A276" s="111"/>
      <c r="B276" s="127"/>
      <c r="C276" s="113"/>
      <c r="D276" s="113"/>
      <c r="E276" s="107"/>
      <c r="F276" s="108"/>
      <c r="G276" s="128"/>
      <c r="H276" s="109"/>
      <c r="I276" s="109"/>
      <c r="J276" s="109"/>
      <c r="K276" s="128"/>
      <c r="L276" s="123"/>
      <c r="M276" s="123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31"/>
      <c r="Y276" s="149"/>
      <c r="Z276" s="109"/>
      <c r="AA276" s="109"/>
      <c r="AB276" s="109"/>
      <c r="AC276" s="109"/>
      <c r="AD276" s="109"/>
      <c r="AE276" s="109"/>
    </row>
    <row r="277" spans="1:31" ht="14.25" customHeight="1" x14ac:dyDescent="0.3">
      <c r="A277" s="111"/>
      <c r="B277" s="127"/>
      <c r="C277" s="113"/>
      <c r="D277" s="113"/>
      <c r="E277" s="107"/>
      <c r="F277" s="108"/>
      <c r="G277" s="128"/>
      <c r="H277" s="109"/>
      <c r="I277" s="109"/>
      <c r="J277" s="109"/>
      <c r="K277" s="128"/>
      <c r="L277" s="123"/>
      <c r="M277" s="123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31"/>
      <c r="Y277" s="149"/>
      <c r="Z277" s="109"/>
      <c r="AA277" s="109"/>
      <c r="AB277" s="109"/>
      <c r="AC277" s="109"/>
      <c r="AD277" s="109"/>
      <c r="AE277" s="109"/>
    </row>
    <row r="278" spans="1:31" ht="14.25" customHeight="1" x14ac:dyDescent="0.3">
      <c r="A278" s="111"/>
      <c r="B278" s="127"/>
      <c r="C278" s="113"/>
      <c r="D278" s="113"/>
      <c r="E278" s="107"/>
      <c r="F278" s="108"/>
      <c r="G278" s="128"/>
      <c r="H278" s="109"/>
      <c r="I278" s="109"/>
      <c r="J278" s="109"/>
      <c r="K278" s="128"/>
      <c r="L278" s="123"/>
      <c r="M278" s="123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31"/>
      <c r="Y278" s="149"/>
      <c r="Z278" s="109"/>
      <c r="AA278" s="109"/>
      <c r="AB278" s="109"/>
      <c r="AC278" s="109"/>
      <c r="AD278" s="109"/>
      <c r="AE278" s="109"/>
    </row>
    <row r="279" spans="1:31" ht="14.25" customHeight="1" x14ac:dyDescent="0.3">
      <c r="A279" s="111"/>
      <c r="B279" s="127"/>
      <c r="C279" s="113"/>
      <c r="D279" s="113"/>
      <c r="E279" s="107"/>
      <c r="F279" s="108"/>
      <c r="G279" s="128"/>
      <c r="H279" s="109"/>
      <c r="I279" s="109"/>
      <c r="J279" s="109"/>
      <c r="K279" s="128"/>
      <c r="L279" s="123"/>
      <c r="M279" s="123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31"/>
      <c r="Y279" s="149"/>
      <c r="Z279" s="109"/>
      <c r="AA279" s="109"/>
      <c r="AB279" s="109"/>
      <c r="AC279" s="109"/>
      <c r="AD279" s="109"/>
      <c r="AE279" s="109"/>
    </row>
    <row r="280" spans="1:31" ht="14.25" customHeight="1" x14ac:dyDescent="0.3">
      <c r="A280" s="111"/>
      <c r="B280" s="127"/>
      <c r="C280" s="113"/>
      <c r="D280" s="113"/>
      <c r="E280" s="107"/>
      <c r="F280" s="108"/>
      <c r="G280" s="128"/>
      <c r="H280" s="109"/>
      <c r="I280" s="109"/>
      <c r="J280" s="109"/>
      <c r="K280" s="128"/>
      <c r="L280" s="123"/>
      <c r="M280" s="123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31"/>
      <c r="Y280" s="149"/>
      <c r="Z280" s="109"/>
      <c r="AA280" s="109"/>
      <c r="AB280" s="109"/>
      <c r="AC280" s="109"/>
      <c r="AD280" s="109"/>
      <c r="AE280" s="109"/>
    </row>
    <row r="281" spans="1:31" ht="14.25" customHeight="1" x14ac:dyDescent="0.3">
      <c r="A281" s="111"/>
      <c r="B281" s="127"/>
      <c r="C281" s="113"/>
      <c r="D281" s="113"/>
      <c r="E281" s="107"/>
      <c r="F281" s="108"/>
      <c r="G281" s="128"/>
      <c r="H281" s="109"/>
      <c r="I281" s="109"/>
      <c r="J281" s="109"/>
      <c r="K281" s="128"/>
      <c r="L281" s="123"/>
      <c r="M281" s="123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31"/>
      <c r="Y281" s="149"/>
      <c r="Z281" s="109"/>
      <c r="AA281" s="109"/>
      <c r="AB281" s="109"/>
      <c r="AC281" s="109"/>
      <c r="AD281" s="109"/>
      <c r="AE281" s="109"/>
    </row>
    <row r="282" spans="1:31" ht="14.25" customHeight="1" x14ac:dyDescent="0.3">
      <c r="A282" s="111"/>
      <c r="B282" s="127"/>
      <c r="C282" s="113"/>
      <c r="D282" s="113"/>
      <c r="E282" s="107"/>
      <c r="F282" s="108"/>
      <c r="G282" s="128"/>
      <c r="H282" s="109"/>
      <c r="I282" s="109"/>
      <c r="J282" s="109"/>
      <c r="K282" s="128"/>
      <c r="L282" s="123"/>
      <c r="M282" s="123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31"/>
      <c r="Y282" s="149"/>
      <c r="Z282" s="109"/>
      <c r="AA282" s="109"/>
      <c r="AB282" s="109"/>
      <c r="AC282" s="109"/>
      <c r="AD282" s="109"/>
      <c r="AE282" s="109"/>
    </row>
    <row r="283" spans="1:31" ht="14.25" customHeight="1" x14ac:dyDescent="0.3">
      <c r="A283" s="111"/>
      <c r="B283" s="127"/>
      <c r="C283" s="113"/>
      <c r="D283" s="113"/>
      <c r="E283" s="107"/>
      <c r="F283" s="108"/>
      <c r="G283" s="128"/>
      <c r="H283" s="109"/>
      <c r="I283" s="109"/>
      <c r="J283" s="109"/>
      <c r="K283" s="128"/>
      <c r="L283" s="123"/>
      <c r="M283" s="123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31"/>
      <c r="Y283" s="149"/>
      <c r="Z283" s="109"/>
      <c r="AA283" s="109"/>
      <c r="AB283" s="109"/>
      <c r="AC283" s="109"/>
      <c r="AD283" s="109"/>
      <c r="AE283" s="109"/>
    </row>
    <row r="284" spans="1:31" ht="14.25" customHeight="1" x14ac:dyDescent="0.3">
      <c r="A284" s="111"/>
      <c r="B284" s="127"/>
      <c r="C284" s="113"/>
      <c r="D284" s="113"/>
      <c r="E284" s="107"/>
      <c r="F284" s="108"/>
      <c r="G284" s="128"/>
      <c r="H284" s="109"/>
      <c r="I284" s="109"/>
      <c r="J284" s="109"/>
      <c r="K284" s="128"/>
      <c r="L284" s="123"/>
      <c r="M284" s="123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31"/>
      <c r="Y284" s="149"/>
      <c r="Z284" s="109"/>
      <c r="AA284" s="109"/>
      <c r="AB284" s="109"/>
      <c r="AC284" s="109"/>
      <c r="AD284" s="109"/>
      <c r="AE284" s="109"/>
    </row>
    <row r="285" spans="1:31" ht="14.25" customHeight="1" x14ac:dyDescent="0.3">
      <c r="A285" s="111"/>
      <c r="B285" s="127"/>
      <c r="C285" s="113"/>
      <c r="D285" s="113"/>
      <c r="E285" s="107"/>
      <c r="F285" s="108"/>
      <c r="G285" s="128"/>
      <c r="H285" s="109"/>
      <c r="I285" s="109"/>
      <c r="J285" s="109"/>
      <c r="K285" s="128"/>
      <c r="L285" s="123"/>
      <c r="M285" s="123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31"/>
      <c r="Y285" s="149"/>
      <c r="Z285" s="109"/>
      <c r="AA285" s="109"/>
      <c r="AB285" s="109"/>
      <c r="AC285" s="109"/>
      <c r="AD285" s="109"/>
      <c r="AE285" s="109"/>
    </row>
    <row r="286" spans="1:31" ht="14.25" customHeight="1" x14ac:dyDescent="0.3">
      <c r="A286" s="111"/>
      <c r="B286" s="127"/>
      <c r="C286" s="113"/>
      <c r="D286" s="113"/>
      <c r="E286" s="107"/>
      <c r="F286" s="108"/>
      <c r="G286" s="128"/>
      <c r="H286" s="109"/>
      <c r="I286" s="109"/>
      <c r="J286" s="109"/>
      <c r="K286" s="128"/>
      <c r="L286" s="123"/>
      <c r="M286" s="123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31"/>
      <c r="Y286" s="149"/>
      <c r="Z286" s="109"/>
      <c r="AA286" s="109"/>
      <c r="AB286" s="109"/>
      <c r="AC286" s="109"/>
      <c r="AD286" s="109"/>
      <c r="AE286" s="109"/>
    </row>
    <row r="287" spans="1:31" ht="14.25" customHeight="1" x14ac:dyDescent="0.3">
      <c r="A287" s="111"/>
      <c r="B287" s="127"/>
      <c r="C287" s="113"/>
      <c r="D287" s="113"/>
      <c r="E287" s="107"/>
      <c r="F287" s="108"/>
      <c r="G287" s="128"/>
      <c r="H287" s="109"/>
      <c r="I287" s="109"/>
      <c r="J287" s="109"/>
      <c r="K287" s="128"/>
      <c r="L287" s="123"/>
      <c r="M287" s="123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31"/>
      <c r="Y287" s="149"/>
      <c r="Z287" s="109"/>
      <c r="AA287" s="109"/>
      <c r="AB287" s="109"/>
      <c r="AC287" s="109"/>
      <c r="AD287" s="109"/>
      <c r="AE287" s="109"/>
    </row>
  </sheetData>
  <autoFilter ref="A1:AG80" xr:uid="{00000000-0009-0000-0000-000006000000}"/>
  <sortState xmlns:xlrd2="http://schemas.microsoft.com/office/spreadsheetml/2017/richdata2" ref="A2:AG80">
    <sortCondition ref="E2:E80"/>
  </sortState>
  <customSheetViews>
    <customSheetView guid="{C0ACCC1C-B0B4-41A8-B4B0-DD45525E00F8}" filter="1" showAutoFilter="1">
      <pageMargins left="0.7" right="0.7" top="0.75" bottom="0.75" header="0.3" footer="0.3"/>
      <autoFilter ref="A1:AB2" xr:uid="{5C6E672B-A8E3-4101-B45B-139DA104CCCE}"/>
      <extLst>
        <ext uri="GoogleSheetsCustomDataVersion1">
          <go:sheetsCustomData xmlns:go="http://customooxmlschemas.google.com/" filterViewId="1149523568"/>
        </ext>
      </extLst>
    </customSheetView>
    <customSheetView guid="{1A352C18-E1A0-4164-A0D4-CD2D27ECFD0F}" filter="1" showAutoFilter="1">
      <pageMargins left="0.7" right="0.7" top="0.75" bottom="0.75" header="0.3" footer="0.3"/>
      <autoFilter ref="A1:Z2" xr:uid="{0BADF703-F289-46A8-9147-E614676E95E8}"/>
      <extLst>
        <ext uri="GoogleSheetsCustomDataVersion1">
          <go:sheetsCustomData xmlns:go="http://customooxmlschemas.google.com/" filterViewId="1172777889"/>
        </ext>
      </extLst>
    </customSheetView>
    <customSheetView guid="{3CDDDE2E-B477-49FC-9253-9475FA9DA194}" filter="1" showAutoFilter="1">
      <pageMargins left="0.7" right="0.7" top="0.75" bottom="0.75" header="0.3" footer="0.3"/>
      <autoFilter ref="A1:AB2" xr:uid="{27FC2007-07C4-4D07-A7B3-404B7C271CE3}"/>
      <extLst>
        <ext uri="GoogleSheetsCustomDataVersion1">
          <go:sheetsCustomData xmlns:go="http://customooxmlschemas.google.com/" filterViewId="1242313263"/>
        </ext>
      </extLst>
    </customSheetView>
    <customSheetView guid="{28364CC6-1573-44EA-AE77-28EA9052C665}" filter="1" showAutoFilter="1">
      <pageMargins left="0.7" right="0.7" top="0.75" bottom="0.75" header="0.3" footer="0.3"/>
      <autoFilter ref="A1:AB2" xr:uid="{84165E3F-EDB0-4FA7-AFCE-C54AD0E9B70F}"/>
      <extLst>
        <ext uri="GoogleSheetsCustomDataVersion1">
          <go:sheetsCustomData xmlns:go="http://customooxmlschemas.google.com/" filterViewId="1243308174"/>
        </ext>
      </extLst>
    </customSheetView>
    <customSheetView guid="{185E8D46-1928-4E45-BF79-072539950DAC}" filter="1" showAutoFilter="1">
      <pageMargins left="0.7" right="0.7" top="0.75" bottom="0.75" header="0.3" footer="0.3"/>
      <autoFilter ref="A1:AB2" xr:uid="{3B2B4A09-46CE-4F56-9A21-8C86B211B9E7}"/>
      <extLst>
        <ext uri="GoogleSheetsCustomDataVersion1">
          <go:sheetsCustomData xmlns:go="http://customooxmlschemas.google.com/" filterViewId="1281476441"/>
        </ext>
      </extLst>
    </customSheetView>
    <customSheetView guid="{C9086B91-EECE-45CC-8B68-2DB42B5A9C95}" filter="1" showAutoFilter="1">
      <pageMargins left="0.7" right="0.7" top="0.75" bottom="0.75" header="0.3" footer="0.3"/>
      <autoFilter ref="A1:AB2" xr:uid="{FE83F198-12B3-4FBF-9A33-12F930917D02}"/>
      <extLst>
        <ext uri="GoogleSheetsCustomDataVersion1">
          <go:sheetsCustomData xmlns:go="http://customooxmlschemas.google.com/" filterViewId="1318988556"/>
        </ext>
      </extLst>
    </customSheetView>
    <customSheetView guid="{F213288B-099E-48DF-9175-747A8A2E540D}" filter="1" showAutoFilter="1">
      <pageMargins left="0.7" right="0.7" top="0.75" bottom="0.75" header="0.3" footer="0.3"/>
      <autoFilter ref="A1:AB2" xr:uid="{4F193379-7512-4239-BB2C-BFDD7F11C56A}"/>
      <extLst>
        <ext uri="GoogleSheetsCustomDataVersion1">
          <go:sheetsCustomData xmlns:go="http://customooxmlschemas.google.com/" filterViewId="1389138520"/>
        </ext>
      </extLst>
    </customSheetView>
    <customSheetView guid="{26456F35-FD07-4DAC-8D45-5BB57DD15A71}" filter="1" showAutoFilter="1">
      <pageMargins left="0.7" right="0.7" top="0.75" bottom="0.75" header="0.3" footer="0.3"/>
      <autoFilter ref="A1:AB2" xr:uid="{3FF89215-282C-483B-98A9-38BA56DA2498}"/>
      <extLst>
        <ext uri="GoogleSheetsCustomDataVersion1">
          <go:sheetsCustomData xmlns:go="http://customooxmlschemas.google.com/" filterViewId="1426838319"/>
        </ext>
      </extLst>
    </customSheetView>
    <customSheetView guid="{84373123-4319-40BF-AD9A-5F3B55EBB131}" filter="1" showAutoFilter="1">
      <pageMargins left="0.7" right="0.7" top="0.75" bottom="0.75" header="0.3" footer="0.3"/>
      <autoFilter ref="A1:AB2" xr:uid="{A4A81A8F-E2EA-4781-9824-CAC33CDF413D}"/>
      <extLst>
        <ext uri="GoogleSheetsCustomDataVersion1">
          <go:sheetsCustomData xmlns:go="http://customooxmlschemas.google.com/" filterViewId="1516995861"/>
        </ext>
      </extLst>
    </customSheetView>
    <customSheetView guid="{7F4728BC-642D-48EB-AFB2-5BD255AC51E7}" filter="1" showAutoFilter="1">
      <pageMargins left="0.7" right="0.7" top="0.75" bottom="0.75" header="0.3" footer="0.3"/>
      <autoFilter ref="A1:AB2" xr:uid="{BCCB81F2-307C-44E9-8B6C-216DD8FF15A3}"/>
      <extLst>
        <ext uri="GoogleSheetsCustomDataVersion1">
          <go:sheetsCustomData xmlns:go="http://customooxmlschemas.google.com/" filterViewId="1555804702"/>
        </ext>
      </extLst>
    </customSheetView>
    <customSheetView guid="{036B18E5-9698-461F-8F39-D4F3E888943E}" filter="1" showAutoFilter="1">
      <pageMargins left="0.7" right="0.7" top="0.75" bottom="0.75" header="0.3" footer="0.3"/>
      <autoFilter ref="A1:AB2" xr:uid="{BD1EE2E8-E1FD-4338-926E-2338147E2232}"/>
      <extLst>
        <ext uri="GoogleSheetsCustomDataVersion1">
          <go:sheetsCustomData xmlns:go="http://customooxmlschemas.google.com/" filterViewId="1627280445"/>
        </ext>
      </extLst>
    </customSheetView>
    <customSheetView guid="{5CCC2CDD-0E83-45F6-88DD-2CDC65036E40}" filter="1" showAutoFilter="1">
      <pageMargins left="0.7" right="0.7" top="0.75" bottom="0.75" header="0.3" footer="0.3"/>
      <autoFilter ref="A1:AB2" xr:uid="{2FF2F3F8-9C7F-4583-829C-8433CBD33232}"/>
      <extLst>
        <ext uri="GoogleSheetsCustomDataVersion1">
          <go:sheetsCustomData xmlns:go="http://customooxmlschemas.google.com/" filterViewId="1656932528"/>
        </ext>
      </extLst>
    </customSheetView>
    <customSheetView guid="{C29AD37E-AC54-46AF-8443-D269F69529B6}" filter="1" showAutoFilter="1">
      <pageMargins left="0.7" right="0.7" top="0.75" bottom="0.75" header="0.3" footer="0.3"/>
      <autoFilter ref="A1:AB2" xr:uid="{72B6B67F-01F2-465D-82F9-B0E40DC6E67B}"/>
      <extLst>
        <ext uri="GoogleSheetsCustomDataVersion1">
          <go:sheetsCustomData xmlns:go="http://customooxmlschemas.google.com/" filterViewId="1657254205"/>
        </ext>
      </extLst>
    </customSheetView>
    <customSheetView guid="{7D24FA6A-13EB-4BEC-893F-6A08F0E40C98}" filter="1" showAutoFilter="1">
      <pageMargins left="0.7" right="0.7" top="0.75" bottom="0.75" header="0.3" footer="0.3"/>
      <autoFilter ref="A1:AB2" xr:uid="{4A0F4875-E592-4F01-842A-54F962CD109A}"/>
      <extLst>
        <ext uri="GoogleSheetsCustomDataVersion1">
          <go:sheetsCustomData xmlns:go="http://customooxmlschemas.google.com/" filterViewId="1726450493"/>
        </ext>
      </extLst>
    </customSheetView>
    <customSheetView guid="{DB30A048-6A9B-4984-95A1-AADE79C46EE2}" filter="1" showAutoFilter="1">
      <pageMargins left="0.7" right="0.7" top="0.75" bottom="0.75" header="0.3" footer="0.3"/>
      <autoFilter ref="A1:AB2" xr:uid="{7C7E3596-44E9-4F19-8242-3CEB89B7F3A4}"/>
      <extLst>
        <ext uri="GoogleSheetsCustomDataVersion1">
          <go:sheetsCustomData xmlns:go="http://customooxmlschemas.google.com/" filterViewId="1749986397"/>
        </ext>
      </extLst>
    </customSheetView>
    <customSheetView guid="{5C71E6C5-25AE-4692-8625-270500B3BEDF}" filter="1" showAutoFilter="1">
      <pageMargins left="0.7" right="0.7" top="0.75" bottom="0.75" header="0.3" footer="0.3"/>
      <autoFilter ref="A1:AB2" xr:uid="{4D9D2F7F-8AF5-49B0-9F6F-6880FEF1BF80}"/>
      <extLst>
        <ext uri="GoogleSheetsCustomDataVersion1">
          <go:sheetsCustomData xmlns:go="http://customooxmlschemas.google.com/" filterViewId="180712606"/>
        </ext>
      </extLst>
    </customSheetView>
    <customSheetView guid="{3FFE8CF3-DF5B-48CA-8AEB-7A596FFEF59C}" filter="1" showAutoFilter="1">
      <pageMargins left="0.7" right="0.7" top="0.75" bottom="0.75" header="0.3" footer="0.3"/>
      <autoFilter ref="A1:AB2" xr:uid="{93F2D8E1-63C0-4DEA-A7AB-CBA3DE66DDD9}"/>
      <extLst>
        <ext uri="GoogleSheetsCustomDataVersion1">
          <go:sheetsCustomData xmlns:go="http://customooxmlschemas.google.com/" filterViewId="1813528024"/>
        </ext>
      </extLst>
    </customSheetView>
    <customSheetView guid="{FF9A2457-874B-4927-82E6-0A60C744F7FF}" filter="1" showAutoFilter="1">
      <pageMargins left="0.7" right="0.7" top="0.75" bottom="0.75" header="0.3" footer="0.3"/>
      <autoFilter ref="A1:Z2" xr:uid="{B305F96D-6CF1-438A-917D-5F6040ECA67A}"/>
      <extLst>
        <ext uri="GoogleSheetsCustomDataVersion1">
          <go:sheetsCustomData xmlns:go="http://customooxmlschemas.google.com/" filterViewId="1819537873"/>
        </ext>
      </extLst>
    </customSheetView>
    <customSheetView guid="{7586726A-2D92-4EBB-976F-0650E25C4949}" filter="1" showAutoFilter="1">
      <pageMargins left="0.7" right="0.7" top="0.75" bottom="0.75" header="0.3" footer="0.3"/>
      <autoFilter ref="A1:Z2" xr:uid="{60596295-F3D3-4C8A-8AF4-B1DF734FA470}"/>
      <extLst>
        <ext uri="GoogleSheetsCustomDataVersion1">
          <go:sheetsCustomData xmlns:go="http://customooxmlschemas.google.com/" filterViewId="1916891829"/>
        </ext>
      </extLst>
    </customSheetView>
    <customSheetView guid="{8422291C-0928-4FCD-8A43-0FEFEFF4567C}" filter="1" showAutoFilter="1">
      <pageMargins left="0.7" right="0.7" top="0.75" bottom="0.75" header="0.3" footer="0.3"/>
      <autoFilter ref="A1:AB2" xr:uid="{07DE67D1-B63D-449E-9C62-8E2D0EB898E5}"/>
      <extLst>
        <ext uri="GoogleSheetsCustomDataVersion1">
          <go:sheetsCustomData xmlns:go="http://customooxmlschemas.google.com/" filterViewId="1961109451"/>
        </ext>
      </extLst>
    </customSheetView>
    <customSheetView guid="{35DA9D2F-E32A-42E8-9502-4CB8D7DA951E}" filter="1" showAutoFilter="1">
      <pageMargins left="0.7" right="0.7" top="0.75" bottom="0.75" header="0.3" footer="0.3"/>
      <autoFilter ref="A1:AB2" xr:uid="{17CB97E8-638B-4008-8D0C-15AEDF1B3815}"/>
      <extLst>
        <ext uri="GoogleSheetsCustomDataVersion1">
          <go:sheetsCustomData xmlns:go="http://customooxmlschemas.google.com/" filterViewId="1963498371"/>
        </ext>
      </extLst>
    </customSheetView>
    <customSheetView guid="{18F5304D-A002-4A71-AE56-6209ECCE76A7}" filter="1" showAutoFilter="1">
      <pageMargins left="0.7" right="0.7" top="0.75" bottom="0.75" header="0.3" footer="0.3"/>
      <autoFilter ref="A1:AB2" xr:uid="{378EAD49-60DD-40BA-925B-46B58125DD6D}"/>
      <extLst>
        <ext uri="GoogleSheetsCustomDataVersion1">
          <go:sheetsCustomData xmlns:go="http://customooxmlschemas.google.com/" filterViewId="2032143047"/>
        </ext>
      </extLst>
    </customSheetView>
    <customSheetView guid="{16BFA62E-72EF-4668-9A5B-9B5765DCBA13}" filter="1" showAutoFilter="1">
      <pageMargins left="0.7" right="0.7" top="0.75" bottom="0.75" header="0.3" footer="0.3"/>
      <autoFilter ref="A1:AB2" xr:uid="{FCE0E8C4-1CB6-4AE5-9F65-CB6C57A337FC}"/>
      <extLst>
        <ext uri="GoogleSheetsCustomDataVersion1">
          <go:sheetsCustomData xmlns:go="http://customooxmlschemas.google.com/" filterViewId="2047348509"/>
        </ext>
      </extLst>
    </customSheetView>
    <customSheetView guid="{2E8FE781-CD5A-494F-BF3C-AADB61329082}" filter="1" showAutoFilter="1">
      <pageMargins left="0.7" right="0.7" top="0.75" bottom="0.75" header="0.3" footer="0.3"/>
      <autoFilter ref="A1:AB2" xr:uid="{CA9D127F-7398-4E49-BE6B-4221D190E9A6}"/>
      <extLst>
        <ext uri="GoogleSheetsCustomDataVersion1">
          <go:sheetsCustomData xmlns:go="http://customooxmlschemas.google.com/" filterViewId="2059911019"/>
        </ext>
      </extLst>
    </customSheetView>
    <customSheetView guid="{DCC92ECA-A206-4729-92A9-C2C66D140398}" filter="1" showAutoFilter="1">
      <pageMargins left="0.7" right="0.7" top="0.75" bottom="0.75" header="0.3" footer="0.3"/>
      <autoFilter ref="A1:AB2" xr:uid="{B52FEF4B-3143-4BBE-A7B7-C74B2D5CC740}"/>
      <extLst>
        <ext uri="GoogleSheetsCustomDataVersion1">
          <go:sheetsCustomData xmlns:go="http://customooxmlschemas.google.com/" filterViewId="221785950"/>
        </ext>
      </extLst>
    </customSheetView>
    <customSheetView guid="{D4C13910-BE59-466A-B480-3649B9C0A99E}" filter="1" showAutoFilter="1">
      <pageMargins left="0.7" right="0.7" top="0.75" bottom="0.75" header="0.3" footer="0.3"/>
      <autoFilter ref="A1:AB2" xr:uid="{6227F432-2E12-4FC8-AB49-AF2A40DE918B}"/>
      <extLst>
        <ext uri="GoogleSheetsCustomDataVersion1">
          <go:sheetsCustomData xmlns:go="http://customooxmlschemas.google.com/" filterViewId="225173188"/>
        </ext>
      </extLst>
    </customSheetView>
    <customSheetView guid="{9FB286FD-F11A-45DB-B05A-2013C42EE05A}" filter="1" showAutoFilter="1">
      <pageMargins left="0.7" right="0.7" top="0.75" bottom="0.75" header="0.3" footer="0.3"/>
      <autoFilter ref="A1:AB2" xr:uid="{A58E495B-D4EC-4DA7-B078-063A6DE0E647}"/>
      <extLst>
        <ext uri="GoogleSheetsCustomDataVersion1">
          <go:sheetsCustomData xmlns:go="http://customooxmlschemas.google.com/" filterViewId="254049854"/>
        </ext>
      </extLst>
    </customSheetView>
    <customSheetView guid="{4FED8072-D649-44C5-9105-74E573943820}" filter="1" showAutoFilter="1">
      <pageMargins left="0.7" right="0.7" top="0.75" bottom="0.75" header="0.3" footer="0.3"/>
      <autoFilter ref="A1:AB2" xr:uid="{FF9313F0-47D4-49AF-AC75-18CE48A8F36F}"/>
      <extLst>
        <ext uri="GoogleSheetsCustomDataVersion1">
          <go:sheetsCustomData xmlns:go="http://customooxmlschemas.google.com/" filterViewId="361749946"/>
        </ext>
      </extLst>
    </customSheetView>
    <customSheetView guid="{95948C99-504E-4290-B28B-ABF3B252A1A2}" filter="1" showAutoFilter="1">
      <pageMargins left="0.7" right="0.7" top="0.75" bottom="0.75" header="0.3" footer="0.3"/>
      <autoFilter ref="A1:AB2" xr:uid="{8E8D9B0F-DE9C-4F36-A72A-0DBAB26EBECC}"/>
      <extLst>
        <ext uri="GoogleSheetsCustomDataVersion1">
          <go:sheetsCustomData xmlns:go="http://customooxmlschemas.google.com/" filterViewId="365808327"/>
        </ext>
      </extLst>
    </customSheetView>
    <customSheetView guid="{4A970186-0FCC-413A-8C0C-891D538ECA5D}" filter="1" showAutoFilter="1">
      <pageMargins left="0.7" right="0.7" top="0.75" bottom="0.75" header="0.3" footer="0.3"/>
      <autoFilter ref="A1:AB2" xr:uid="{01C67B59-0755-4F51-8ABB-61D346EC8EE8}"/>
      <extLst>
        <ext uri="GoogleSheetsCustomDataVersion1">
          <go:sheetsCustomData xmlns:go="http://customooxmlschemas.google.com/" filterViewId="38344406"/>
        </ext>
      </extLst>
    </customSheetView>
    <customSheetView guid="{6D178A5A-6ADA-4286-97EE-FCAE2DBD9BE8}" filter="1" showAutoFilter="1">
      <pageMargins left="0.7" right="0.7" top="0.75" bottom="0.75" header="0.3" footer="0.3"/>
      <autoFilter ref="A1:AB2" xr:uid="{7E82228D-21F6-43C5-A6B4-A3EB4908224D}"/>
      <extLst>
        <ext uri="GoogleSheetsCustomDataVersion1">
          <go:sheetsCustomData xmlns:go="http://customooxmlschemas.google.com/" filterViewId="402411784"/>
        </ext>
      </extLst>
    </customSheetView>
    <customSheetView guid="{D807A81D-1F32-4A1C-BD42-C685BB8E44B4}" filter="1" showAutoFilter="1">
      <pageMargins left="0.7" right="0.7" top="0.75" bottom="0.75" header="0.3" footer="0.3"/>
      <autoFilter ref="A1:AB2" xr:uid="{45F6DA79-D358-4E5A-8239-C6AA2637073D}"/>
      <extLst>
        <ext uri="GoogleSheetsCustomDataVersion1">
          <go:sheetsCustomData xmlns:go="http://customooxmlschemas.google.com/" filterViewId="434548919"/>
        </ext>
      </extLst>
    </customSheetView>
    <customSheetView guid="{5BD6D039-24DE-4D9E-B4D9-DD8D5D67856E}" filter="1" showAutoFilter="1">
      <pageMargins left="0.7" right="0.7" top="0.75" bottom="0.75" header="0.3" footer="0.3"/>
      <autoFilter ref="A1:AB2" xr:uid="{A38035A1-FB2C-4B5F-99B2-EC1B57A48F00}"/>
      <extLst>
        <ext uri="GoogleSheetsCustomDataVersion1">
          <go:sheetsCustomData xmlns:go="http://customooxmlschemas.google.com/" filterViewId="446584923"/>
        </ext>
      </extLst>
    </customSheetView>
    <customSheetView guid="{17DDA30B-2692-4B77-99BE-4F26CD17FA18}" filter="1" showAutoFilter="1">
      <pageMargins left="0.7" right="0.7" top="0.75" bottom="0.75" header="0.3" footer="0.3"/>
      <autoFilter ref="A1:AB2" xr:uid="{86B751D1-7DED-4C65-88E5-83976F352FF7}"/>
      <extLst>
        <ext uri="GoogleSheetsCustomDataVersion1">
          <go:sheetsCustomData xmlns:go="http://customooxmlschemas.google.com/" filterViewId="621563269"/>
        </ext>
      </extLst>
    </customSheetView>
    <customSheetView guid="{3F021205-6F16-4AAF-B476-CEEF498BAFA6}" filter="1" showAutoFilter="1">
      <pageMargins left="0.7" right="0.7" top="0.75" bottom="0.75" header="0.3" footer="0.3"/>
      <autoFilter ref="A1:AB2" xr:uid="{9C002CF4-E9A9-412A-839D-300555ED12AA}"/>
      <extLst>
        <ext uri="GoogleSheetsCustomDataVersion1">
          <go:sheetsCustomData xmlns:go="http://customooxmlschemas.google.com/" filterViewId="715356745"/>
        </ext>
      </extLst>
    </customSheetView>
    <customSheetView guid="{22C4439A-EE4E-48AF-9E79-BFDE142C2037}" filter="1" showAutoFilter="1">
      <pageMargins left="0.7" right="0.7" top="0.75" bottom="0.75" header="0.3" footer="0.3"/>
      <autoFilter ref="A1:AB2" xr:uid="{E9C3ABDB-0D82-43C3-8115-8BD12FCAA007}"/>
      <extLst>
        <ext uri="GoogleSheetsCustomDataVersion1">
          <go:sheetsCustomData xmlns:go="http://customooxmlschemas.google.com/" filterViewId="955092390"/>
        </ext>
      </extLst>
    </customSheetView>
  </customSheetViews>
  <conditionalFormatting sqref="W1:W287">
    <cfRule type="cellIs" dxfId="1" priority="1" operator="lessThan">
      <formula>0</formula>
    </cfRule>
  </conditionalFormatting>
  <dataValidations count="1">
    <dataValidation type="list" allowBlank="1" showErrorMessage="1" sqref="J11 J66 I61:I62" xr:uid="{00000000-0002-0000-0600-000000000000}">
      <formula1>#REF!</formula1>
    </dataValidation>
  </dataValidations>
  <pageMargins left="0.70866141732283472" right="0.70866141732283472" top="0.74803149606299213" bottom="0.74803149606299213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957"/>
  <sheetViews>
    <sheetView tabSelected="1" workbookViewId="0">
      <pane ySplit="1" topLeftCell="A2" activePane="bottomLeft" state="frozen"/>
      <selection activeCell="N338" sqref="N338"/>
      <selection pane="bottomLeft"/>
    </sheetView>
  </sheetViews>
  <sheetFormatPr baseColWidth="10" defaultColWidth="14.44140625" defaultRowHeight="15" customHeight="1" x14ac:dyDescent="0.3"/>
  <cols>
    <col min="1" max="1" width="8.88671875" bestFit="1" customWidth="1"/>
    <col min="3" max="3" width="6.44140625" customWidth="1"/>
    <col min="5" max="5" width="17.6640625" customWidth="1"/>
    <col min="7" max="7" width="10" customWidth="1"/>
    <col min="13" max="13" width="4.5546875" customWidth="1"/>
    <col min="16" max="21" width="9.5546875" customWidth="1"/>
    <col min="24" max="24" width="10.109375" customWidth="1"/>
    <col min="25" max="25" width="6.5546875" customWidth="1"/>
    <col min="26" max="26" width="6.44140625" customWidth="1"/>
    <col min="27" max="27" width="4.33203125" customWidth="1"/>
    <col min="29" max="29" width="7" customWidth="1"/>
  </cols>
  <sheetData>
    <row r="1" spans="1:29" ht="57.75" customHeight="1" x14ac:dyDescent="0.3">
      <c r="A1" s="150" t="s">
        <v>357</v>
      </c>
      <c r="B1" s="150" t="s">
        <v>358</v>
      </c>
      <c r="C1" s="150" t="s">
        <v>494</v>
      </c>
      <c r="D1" s="150" t="s">
        <v>360</v>
      </c>
      <c r="E1" s="150" t="s">
        <v>361</v>
      </c>
      <c r="F1" s="150" t="s">
        <v>495</v>
      </c>
      <c r="G1" s="150" t="s">
        <v>363</v>
      </c>
      <c r="H1" s="150" t="s">
        <v>364</v>
      </c>
      <c r="I1" s="150" t="s">
        <v>365</v>
      </c>
      <c r="J1" s="150" t="s">
        <v>366</v>
      </c>
      <c r="K1" s="150" t="s">
        <v>367</v>
      </c>
      <c r="L1" s="150" t="s">
        <v>368</v>
      </c>
      <c r="M1" s="152" t="s">
        <v>369</v>
      </c>
      <c r="N1" s="150" t="s">
        <v>370</v>
      </c>
      <c r="O1" s="150" t="s">
        <v>371</v>
      </c>
      <c r="P1" s="150" t="s">
        <v>372</v>
      </c>
      <c r="Q1" s="150" t="s">
        <v>373</v>
      </c>
      <c r="R1" s="150" t="s">
        <v>496</v>
      </c>
      <c r="S1" s="150" t="s">
        <v>375</v>
      </c>
      <c r="T1" s="153" t="s">
        <v>376</v>
      </c>
      <c r="U1" s="150" t="s">
        <v>377</v>
      </c>
      <c r="V1" s="150" t="s">
        <v>378</v>
      </c>
      <c r="W1" s="150" t="s">
        <v>226</v>
      </c>
      <c r="X1" s="150" t="s">
        <v>497</v>
      </c>
      <c r="Y1" s="150" t="s">
        <v>498</v>
      </c>
      <c r="Z1" s="150" t="s">
        <v>499</v>
      </c>
      <c r="AA1" s="150" t="s">
        <v>500</v>
      </c>
      <c r="AB1" s="150" t="s">
        <v>383</v>
      </c>
      <c r="AC1" s="150" t="s">
        <v>384</v>
      </c>
    </row>
    <row r="2" spans="1:29" ht="14.4" x14ac:dyDescent="0.3">
      <c r="A2" s="154">
        <v>45839</v>
      </c>
      <c r="B2" s="155">
        <v>45846</v>
      </c>
      <c r="C2" s="109" t="s">
        <v>396</v>
      </c>
      <c r="D2" s="109" t="s">
        <v>502</v>
      </c>
      <c r="E2" s="109" t="s">
        <v>503</v>
      </c>
      <c r="F2" s="109" t="s">
        <v>387</v>
      </c>
      <c r="G2" s="109" t="s">
        <v>388</v>
      </c>
      <c r="H2" s="109" t="s">
        <v>389</v>
      </c>
      <c r="I2" s="109" t="s">
        <v>465</v>
      </c>
      <c r="J2" s="109"/>
      <c r="K2" s="109">
        <v>30663465003</v>
      </c>
      <c r="L2" s="139">
        <v>1018313.9</v>
      </c>
      <c r="M2" s="109"/>
      <c r="N2" s="123">
        <v>213845.92</v>
      </c>
      <c r="O2" s="123">
        <v>0</v>
      </c>
      <c r="P2" s="123"/>
      <c r="Q2" s="123"/>
      <c r="R2" s="123"/>
      <c r="S2" s="123"/>
      <c r="T2" s="123"/>
      <c r="U2" s="123"/>
      <c r="V2" s="123">
        <v>0</v>
      </c>
      <c r="W2" s="123">
        <v>1232159.83</v>
      </c>
      <c r="X2" s="109" t="s">
        <v>501</v>
      </c>
      <c r="Y2" s="157"/>
      <c r="Z2" s="109"/>
      <c r="AA2" s="109"/>
      <c r="AB2" s="109"/>
      <c r="AC2" s="109"/>
    </row>
    <row r="3" spans="1:29" ht="14.4" x14ac:dyDescent="0.3">
      <c r="A3" s="154">
        <v>45839</v>
      </c>
      <c r="B3" s="155">
        <v>45846</v>
      </c>
      <c r="C3" s="109" t="s">
        <v>396</v>
      </c>
      <c r="D3" s="109" t="s">
        <v>504</v>
      </c>
      <c r="E3" s="109" t="s">
        <v>503</v>
      </c>
      <c r="F3" s="109" t="s">
        <v>387</v>
      </c>
      <c r="G3" s="109" t="s">
        <v>388</v>
      </c>
      <c r="H3" s="109" t="s">
        <v>389</v>
      </c>
      <c r="I3" s="109" t="s">
        <v>465</v>
      </c>
      <c r="J3" s="109" t="s">
        <v>391</v>
      </c>
      <c r="K3" s="109">
        <v>30663465003</v>
      </c>
      <c r="L3" s="139">
        <v>6375000</v>
      </c>
      <c r="M3" s="109"/>
      <c r="N3" s="123">
        <v>1338750</v>
      </c>
      <c r="O3" s="123">
        <v>0</v>
      </c>
      <c r="P3" s="123"/>
      <c r="Q3" s="123"/>
      <c r="R3" s="123"/>
      <c r="S3" s="123"/>
      <c r="T3" s="123"/>
      <c r="U3" s="123"/>
      <c r="V3" s="123">
        <v>0</v>
      </c>
      <c r="W3" s="123">
        <v>7713750</v>
      </c>
      <c r="X3" s="155">
        <v>45848</v>
      </c>
      <c r="Y3" s="156" t="s">
        <v>392</v>
      </c>
      <c r="Z3" s="109"/>
      <c r="AA3" s="109"/>
      <c r="AB3" s="109"/>
      <c r="AC3" s="109"/>
    </row>
    <row r="4" spans="1:29" ht="14.4" x14ac:dyDescent="0.3">
      <c r="A4" s="154">
        <v>45839</v>
      </c>
      <c r="B4" s="155">
        <v>45848</v>
      </c>
      <c r="C4" s="109" t="s">
        <v>425</v>
      </c>
      <c r="D4" s="109" t="s">
        <v>505</v>
      </c>
      <c r="E4" s="109" t="s">
        <v>503</v>
      </c>
      <c r="F4" s="109" t="s">
        <v>387</v>
      </c>
      <c r="G4" s="109" t="s">
        <v>388</v>
      </c>
      <c r="H4" s="109" t="s">
        <v>446</v>
      </c>
      <c r="I4" s="109" t="s">
        <v>465</v>
      </c>
      <c r="J4" s="109" t="s">
        <v>413</v>
      </c>
      <c r="K4" s="109">
        <v>30663465003</v>
      </c>
      <c r="L4" s="139"/>
      <c r="M4" s="109"/>
      <c r="N4" s="123"/>
      <c r="O4" s="123"/>
      <c r="P4" s="123"/>
      <c r="Q4" s="123"/>
      <c r="R4" s="123"/>
      <c r="S4" s="123"/>
      <c r="T4" s="123"/>
      <c r="U4" s="123"/>
      <c r="V4" s="123">
        <v>0</v>
      </c>
      <c r="W4" s="123">
        <v>514117.53</v>
      </c>
      <c r="X4" s="155">
        <v>45860</v>
      </c>
      <c r="Y4" s="156" t="s">
        <v>392</v>
      </c>
      <c r="Z4" s="109"/>
      <c r="AA4" s="109"/>
      <c r="AB4" s="109"/>
      <c r="AC4" s="109"/>
    </row>
    <row r="5" spans="1:29" ht="14.4" x14ac:dyDescent="0.3">
      <c r="A5" s="154">
        <v>45839</v>
      </c>
      <c r="B5" s="155">
        <v>45848</v>
      </c>
      <c r="C5" s="109" t="s">
        <v>425</v>
      </c>
      <c r="D5" s="109" t="s">
        <v>505</v>
      </c>
      <c r="E5" s="109" t="s">
        <v>503</v>
      </c>
      <c r="F5" s="109" t="s">
        <v>387</v>
      </c>
      <c r="G5" s="109" t="s">
        <v>388</v>
      </c>
      <c r="H5" s="109" t="s">
        <v>429</v>
      </c>
      <c r="I5" s="109" t="s">
        <v>465</v>
      </c>
      <c r="J5" s="109" t="s">
        <v>413</v>
      </c>
      <c r="K5" s="109">
        <v>30663465003</v>
      </c>
      <c r="L5" s="139">
        <v>401304.17</v>
      </c>
      <c r="M5" s="109"/>
      <c r="N5" s="123">
        <v>108352.13</v>
      </c>
      <c r="O5" s="123"/>
      <c r="P5" s="123"/>
      <c r="Q5" s="123"/>
      <c r="R5" s="123"/>
      <c r="S5" s="123"/>
      <c r="T5" s="123"/>
      <c r="U5" s="123"/>
      <c r="V5" s="123">
        <v>0</v>
      </c>
      <c r="W5" s="123">
        <v>534898.32999999996</v>
      </c>
      <c r="X5" s="155">
        <v>45860</v>
      </c>
      <c r="Y5" s="156" t="s">
        <v>392</v>
      </c>
      <c r="Z5" s="109"/>
      <c r="AA5" s="109"/>
      <c r="AB5" s="109"/>
      <c r="AC5" s="109"/>
    </row>
    <row r="6" spans="1:29" ht="14.4" x14ac:dyDescent="0.3">
      <c r="A6" s="154">
        <v>45839</v>
      </c>
      <c r="B6" s="155">
        <v>45848</v>
      </c>
      <c r="C6" s="109" t="s">
        <v>425</v>
      </c>
      <c r="D6" s="109" t="s">
        <v>505</v>
      </c>
      <c r="E6" s="109" t="s">
        <v>503</v>
      </c>
      <c r="F6" s="109" t="s">
        <v>387</v>
      </c>
      <c r="G6" s="109" t="s">
        <v>388</v>
      </c>
      <c r="H6" s="109" t="s">
        <v>402</v>
      </c>
      <c r="I6" s="109" t="s">
        <v>465</v>
      </c>
      <c r="J6" s="109" t="s">
        <v>413</v>
      </c>
      <c r="K6" s="109">
        <v>30663465003</v>
      </c>
      <c r="L6" s="139"/>
      <c r="M6" s="109"/>
      <c r="N6" s="123"/>
      <c r="O6" s="123"/>
      <c r="P6" s="123"/>
      <c r="Q6" s="123"/>
      <c r="R6" s="123"/>
      <c r="S6" s="123"/>
      <c r="T6" s="123"/>
      <c r="U6" s="123"/>
      <c r="V6" s="123">
        <v>0</v>
      </c>
      <c r="W6" s="123">
        <v>515040.5</v>
      </c>
      <c r="X6" s="155">
        <v>45860</v>
      </c>
      <c r="Y6" s="156" t="s">
        <v>392</v>
      </c>
      <c r="Z6" s="109"/>
      <c r="AA6" s="109"/>
      <c r="AB6" s="109"/>
      <c r="AC6" s="109"/>
    </row>
    <row r="7" spans="1:29" ht="14.4" x14ac:dyDescent="0.3">
      <c r="A7" s="154">
        <v>45839</v>
      </c>
      <c r="B7" s="155">
        <v>45846</v>
      </c>
      <c r="C7" s="109" t="s">
        <v>405</v>
      </c>
      <c r="D7" s="109" t="s">
        <v>439</v>
      </c>
      <c r="E7" s="109" t="s">
        <v>503</v>
      </c>
      <c r="F7" s="109" t="s">
        <v>387</v>
      </c>
      <c r="G7" s="109" t="s">
        <v>388</v>
      </c>
      <c r="H7" s="109" t="s">
        <v>389</v>
      </c>
      <c r="I7" s="109" t="s">
        <v>465</v>
      </c>
      <c r="J7" s="109"/>
      <c r="K7" s="109">
        <v>30663465003</v>
      </c>
      <c r="L7" s="158">
        <v>-1018313.9</v>
      </c>
      <c r="M7" s="117"/>
      <c r="N7" s="125">
        <v>-213845.92</v>
      </c>
      <c r="O7" s="125">
        <v>0</v>
      </c>
      <c r="P7" s="125"/>
      <c r="Q7" s="125"/>
      <c r="R7" s="125"/>
      <c r="S7" s="125"/>
      <c r="T7" s="125"/>
      <c r="U7" s="125"/>
      <c r="V7" s="125">
        <v>0</v>
      </c>
      <c r="W7" s="125">
        <v>-1232159.83</v>
      </c>
      <c r="X7" s="109" t="s">
        <v>501</v>
      </c>
      <c r="Y7" s="157"/>
      <c r="Z7" s="109"/>
      <c r="AA7" s="109"/>
      <c r="AB7" s="109"/>
      <c r="AC7" s="109"/>
    </row>
    <row r="8" spans="1:29" ht="14.4" x14ac:dyDescent="0.3">
      <c r="A8" s="154">
        <v>45839</v>
      </c>
      <c r="B8" s="155">
        <v>45848</v>
      </c>
      <c r="C8" s="109" t="s">
        <v>392</v>
      </c>
      <c r="D8" s="136"/>
      <c r="E8" s="109" t="s">
        <v>503</v>
      </c>
      <c r="F8" s="136"/>
      <c r="G8" s="109" t="s">
        <v>388</v>
      </c>
      <c r="H8" s="109" t="s">
        <v>389</v>
      </c>
      <c r="I8" s="109" t="s">
        <v>465</v>
      </c>
      <c r="J8" s="109" t="s">
        <v>391</v>
      </c>
      <c r="K8" s="109"/>
      <c r="L8" s="133"/>
      <c r="M8" s="136"/>
      <c r="N8" s="133"/>
      <c r="O8" s="133"/>
      <c r="P8" s="133"/>
      <c r="Q8" s="133"/>
      <c r="R8" s="133"/>
      <c r="S8" s="133"/>
      <c r="T8" s="133"/>
      <c r="U8" s="133"/>
      <c r="V8" s="133"/>
      <c r="W8" s="123">
        <v>-7713750</v>
      </c>
      <c r="X8" s="155">
        <v>45848</v>
      </c>
      <c r="Y8" s="156" t="s">
        <v>392</v>
      </c>
      <c r="Z8" s="109" t="s">
        <v>398</v>
      </c>
      <c r="AA8" s="109" t="s">
        <v>394</v>
      </c>
      <c r="AB8" s="109"/>
      <c r="AC8" s="109"/>
    </row>
    <row r="9" spans="1:29" ht="14.4" x14ac:dyDescent="0.3">
      <c r="A9" s="154">
        <v>45839</v>
      </c>
      <c r="B9" s="155">
        <v>45860</v>
      </c>
      <c r="C9" s="109" t="s">
        <v>392</v>
      </c>
      <c r="D9" s="136"/>
      <c r="E9" s="109" t="s">
        <v>503</v>
      </c>
      <c r="F9" s="136"/>
      <c r="G9" s="109" t="s">
        <v>388</v>
      </c>
      <c r="H9" s="151" t="s">
        <v>430</v>
      </c>
      <c r="I9" s="109" t="s">
        <v>465</v>
      </c>
      <c r="J9" s="109" t="s">
        <v>413</v>
      </c>
      <c r="K9" s="109"/>
      <c r="L9" s="133"/>
      <c r="M9" s="136"/>
      <c r="N9" s="133"/>
      <c r="O9" s="133"/>
      <c r="P9" s="133"/>
      <c r="Q9" s="133"/>
      <c r="R9" s="133"/>
      <c r="S9" s="133"/>
      <c r="T9" s="133"/>
      <c r="U9" s="133"/>
      <c r="V9" s="133"/>
      <c r="W9" s="123">
        <v>-1564056.36</v>
      </c>
      <c r="X9" s="155">
        <v>45860</v>
      </c>
      <c r="Y9" s="156" t="s">
        <v>392</v>
      </c>
      <c r="Z9" s="109" t="s">
        <v>398</v>
      </c>
      <c r="AA9" s="109" t="s">
        <v>394</v>
      </c>
      <c r="AB9" s="109"/>
      <c r="AC9" s="109"/>
    </row>
    <row r="10" spans="1:29" ht="14.4" x14ac:dyDescent="0.3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39"/>
      <c r="M10" s="109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09"/>
      <c r="Y10" s="109"/>
      <c r="Z10" s="109"/>
      <c r="AA10" s="109"/>
      <c r="AB10" s="109"/>
      <c r="AC10" s="109"/>
    </row>
    <row r="11" spans="1:29" ht="14.4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39"/>
      <c r="M11" s="109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09"/>
      <c r="Y11" s="109"/>
      <c r="Z11" s="109"/>
      <c r="AA11" s="109"/>
      <c r="AB11" s="109"/>
      <c r="AC11" s="109"/>
    </row>
    <row r="12" spans="1:29" ht="14.4" x14ac:dyDescent="0.3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39"/>
      <c r="M12" s="109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09"/>
      <c r="Y12" s="109"/>
      <c r="Z12" s="109"/>
      <c r="AA12" s="109"/>
      <c r="AB12" s="109"/>
      <c r="AC12" s="109"/>
    </row>
    <row r="13" spans="1:29" ht="14.4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39"/>
      <c r="M13" s="109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09"/>
      <c r="Y13" s="109"/>
      <c r="Z13" s="109"/>
      <c r="AA13" s="109"/>
      <c r="AB13" s="109"/>
      <c r="AC13" s="109"/>
    </row>
    <row r="14" spans="1:29" ht="14.4" x14ac:dyDescent="0.3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39"/>
      <c r="M14" s="109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09"/>
      <c r="Y14" s="109"/>
      <c r="Z14" s="109"/>
      <c r="AA14" s="109"/>
      <c r="AB14" s="109"/>
      <c r="AC14" s="109"/>
    </row>
    <row r="15" spans="1:29" ht="14.4" x14ac:dyDescent="0.3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39"/>
      <c r="M15" s="109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09"/>
      <c r="Y15" s="109"/>
      <c r="Z15" s="109"/>
      <c r="AA15" s="109"/>
      <c r="AB15" s="109"/>
      <c r="AC15" s="109"/>
    </row>
    <row r="16" spans="1:29" ht="14.4" x14ac:dyDescent="0.3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39"/>
      <c r="M16" s="109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09"/>
      <c r="Y16" s="109"/>
      <c r="Z16" s="109"/>
      <c r="AA16" s="109"/>
      <c r="AB16" s="109"/>
      <c r="AC16" s="109"/>
    </row>
    <row r="17" spans="1:29" ht="14.4" x14ac:dyDescent="0.3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39"/>
      <c r="M17" s="109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09"/>
      <c r="Y17" s="109"/>
      <c r="Z17" s="109"/>
      <c r="AA17" s="109"/>
      <c r="AB17" s="109"/>
      <c r="AC17" s="109"/>
    </row>
    <row r="18" spans="1:29" ht="14.4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39"/>
      <c r="M18" s="109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09"/>
      <c r="Y18" s="109"/>
      <c r="Z18" s="109"/>
      <c r="AA18" s="109"/>
      <c r="AB18" s="109"/>
      <c r="AC18" s="109"/>
    </row>
    <row r="19" spans="1:29" ht="14.4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39"/>
      <c r="M19" s="109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09"/>
      <c r="Y19" s="109"/>
      <c r="Z19" s="109"/>
      <c r="AA19" s="109"/>
      <c r="AB19" s="109"/>
      <c r="AC19" s="109"/>
    </row>
    <row r="20" spans="1:29" ht="14.4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39"/>
      <c r="M20" s="109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09"/>
      <c r="Y20" s="109"/>
      <c r="Z20" s="109"/>
      <c r="AA20" s="109"/>
      <c r="AB20" s="109"/>
      <c r="AC20" s="109"/>
    </row>
    <row r="21" spans="1:29" ht="14.4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39"/>
      <c r="M21" s="109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09"/>
      <c r="Y21" s="109"/>
      <c r="Z21" s="109"/>
      <c r="AA21" s="109"/>
      <c r="AB21" s="109"/>
      <c r="AC21" s="109"/>
    </row>
    <row r="22" spans="1:29" ht="14.4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39"/>
      <c r="M22" s="109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09"/>
      <c r="Y22" s="109"/>
      <c r="Z22" s="109"/>
      <c r="AA22" s="109"/>
      <c r="AB22" s="109"/>
      <c r="AC22" s="109"/>
    </row>
    <row r="23" spans="1:29" ht="14.4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39"/>
      <c r="M23" s="109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09"/>
      <c r="Y23" s="109"/>
      <c r="Z23" s="109"/>
      <c r="AA23" s="109"/>
      <c r="AB23" s="109"/>
      <c r="AC23" s="109"/>
    </row>
    <row r="24" spans="1:29" ht="14.4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39"/>
      <c r="M24" s="109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09"/>
      <c r="Y24" s="109"/>
      <c r="Z24" s="109"/>
      <c r="AA24" s="109"/>
      <c r="AB24" s="109"/>
      <c r="AC24" s="109"/>
    </row>
    <row r="25" spans="1:29" ht="14.4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39"/>
      <c r="M25" s="109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09"/>
      <c r="Y25" s="109"/>
      <c r="Z25" s="109"/>
      <c r="AA25" s="109"/>
      <c r="AB25" s="109"/>
      <c r="AC25" s="109"/>
    </row>
    <row r="26" spans="1:29" ht="14.4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39"/>
      <c r="M26" s="109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09"/>
      <c r="Y26" s="109"/>
      <c r="Z26" s="109"/>
      <c r="AA26" s="109"/>
      <c r="AB26" s="109"/>
      <c r="AC26" s="109"/>
    </row>
    <row r="27" spans="1:29" ht="14.4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39"/>
      <c r="M27" s="109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09"/>
      <c r="Y27" s="109"/>
      <c r="Z27" s="109"/>
      <c r="AA27" s="109"/>
      <c r="AB27" s="109"/>
      <c r="AC27" s="109"/>
    </row>
    <row r="28" spans="1:29" ht="14.4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39"/>
      <c r="M28" s="109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09"/>
      <c r="Y28" s="109"/>
      <c r="Z28" s="109"/>
      <c r="AA28" s="109"/>
      <c r="AB28" s="109"/>
      <c r="AC28" s="109"/>
    </row>
    <row r="29" spans="1:29" ht="14.4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39"/>
      <c r="M29" s="109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09"/>
      <c r="Y29" s="109"/>
      <c r="Z29" s="109"/>
      <c r="AA29" s="109"/>
      <c r="AB29" s="109"/>
      <c r="AC29" s="109"/>
    </row>
    <row r="30" spans="1:29" ht="14.4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39"/>
      <c r="M30" s="109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09"/>
      <c r="Y30" s="109"/>
      <c r="Z30" s="109"/>
      <c r="AA30" s="109"/>
      <c r="AB30" s="109"/>
      <c r="AC30" s="109"/>
    </row>
    <row r="31" spans="1:29" ht="14.4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39"/>
      <c r="M31" s="109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09"/>
      <c r="Y31" s="109"/>
      <c r="Z31" s="109"/>
      <c r="AA31" s="109"/>
      <c r="AB31" s="109"/>
      <c r="AC31" s="109"/>
    </row>
    <row r="32" spans="1:29" ht="14.4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39"/>
      <c r="M32" s="109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09"/>
      <c r="Y32" s="109"/>
      <c r="Z32" s="109"/>
      <c r="AA32" s="109"/>
      <c r="AB32" s="109"/>
      <c r="AC32" s="109"/>
    </row>
    <row r="33" spans="1:29" ht="14.4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39"/>
      <c r="M33" s="109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09"/>
      <c r="Y33" s="109"/>
      <c r="Z33" s="109"/>
      <c r="AA33" s="109"/>
      <c r="AB33" s="109"/>
      <c r="AC33" s="109"/>
    </row>
    <row r="34" spans="1:29" ht="14.4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39"/>
      <c r="M34" s="109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09"/>
      <c r="Y34" s="109"/>
      <c r="Z34" s="109"/>
      <c r="AA34" s="109"/>
      <c r="AB34" s="109"/>
      <c r="AC34" s="109"/>
    </row>
    <row r="35" spans="1:29" ht="14.4" x14ac:dyDescent="0.3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39"/>
      <c r="M35" s="109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09"/>
      <c r="Y35" s="109"/>
      <c r="Z35" s="109"/>
      <c r="AA35" s="109"/>
      <c r="AB35" s="109"/>
      <c r="AC35" s="109"/>
    </row>
    <row r="36" spans="1:29" ht="14.4" x14ac:dyDescent="0.3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39"/>
      <c r="M36" s="109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09"/>
      <c r="Y36" s="109"/>
      <c r="Z36" s="109"/>
      <c r="AA36" s="109"/>
      <c r="AB36" s="109"/>
      <c r="AC36" s="109"/>
    </row>
    <row r="37" spans="1:29" ht="14.4" x14ac:dyDescent="0.3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39"/>
      <c r="M37" s="109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09"/>
      <c r="Y37" s="109"/>
      <c r="Z37" s="109"/>
      <c r="AA37" s="109"/>
      <c r="AB37" s="109"/>
      <c r="AC37" s="109"/>
    </row>
    <row r="38" spans="1:29" ht="14.4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39"/>
      <c r="M38" s="109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09"/>
      <c r="Y38" s="109"/>
      <c r="Z38" s="109"/>
      <c r="AA38" s="109"/>
      <c r="AB38" s="109"/>
      <c r="AC38" s="109"/>
    </row>
    <row r="39" spans="1:29" ht="14.4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39"/>
      <c r="M39" s="109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09"/>
      <c r="Y39" s="109"/>
      <c r="Z39" s="109"/>
      <c r="AA39" s="109"/>
      <c r="AB39" s="109"/>
      <c r="AC39" s="109"/>
    </row>
    <row r="40" spans="1:29" ht="14.4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39"/>
      <c r="M40" s="109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09"/>
      <c r="Y40" s="109"/>
      <c r="Z40" s="109"/>
      <c r="AA40" s="109"/>
      <c r="AB40" s="109"/>
      <c r="AC40" s="109"/>
    </row>
    <row r="41" spans="1:29" ht="14.4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39"/>
      <c r="M41" s="109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09"/>
      <c r="Y41" s="109"/>
      <c r="Z41" s="109"/>
      <c r="AA41" s="109"/>
      <c r="AB41" s="109"/>
      <c r="AC41" s="109"/>
    </row>
    <row r="42" spans="1:29" ht="14.4" x14ac:dyDescent="0.3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39"/>
      <c r="M42" s="109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09"/>
      <c r="Y42" s="109"/>
      <c r="Z42" s="109"/>
      <c r="AA42" s="109"/>
      <c r="AB42" s="109"/>
      <c r="AC42" s="109"/>
    </row>
    <row r="43" spans="1:29" ht="14.4" x14ac:dyDescent="0.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39"/>
      <c r="M43" s="109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09"/>
      <c r="Y43" s="109"/>
      <c r="Z43" s="109"/>
      <c r="AA43" s="109"/>
      <c r="AB43" s="109"/>
      <c r="AC43" s="109"/>
    </row>
    <row r="44" spans="1:29" ht="14.4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39"/>
      <c r="M44" s="109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09"/>
      <c r="Y44" s="109"/>
      <c r="Z44" s="109"/>
      <c r="AA44" s="109"/>
      <c r="AB44" s="109"/>
      <c r="AC44" s="109"/>
    </row>
    <row r="45" spans="1:29" ht="14.4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39"/>
      <c r="M45" s="109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09"/>
      <c r="Y45" s="109"/>
      <c r="Z45" s="109"/>
      <c r="AA45" s="109"/>
      <c r="AB45" s="109"/>
      <c r="AC45" s="109"/>
    </row>
    <row r="46" spans="1:29" ht="14.4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39"/>
      <c r="M46" s="109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09"/>
      <c r="Y46" s="109"/>
      <c r="Z46" s="109"/>
      <c r="AA46" s="109"/>
      <c r="AB46" s="109"/>
      <c r="AC46" s="109"/>
    </row>
    <row r="47" spans="1:29" ht="14.4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39"/>
      <c r="M47" s="109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09"/>
      <c r="Y47" s="109"/>
      <c r="Z47" s="109"/>
      <c r="AA47" s="109"/>
      <c r="AB47" s="109"/>
      <c r="AC47" s="109"/>
    </row>
    <row r="48" spans="1:29" ht="14.4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39"/>
      <c r="M48" s="109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09"/>
      <c r="Y48" s="109"/>
      <c r="Z48" s="109"/>
      <c r="AA48" s="109"/>
      <c r="AB48" s="109"/>
      <c r="AC48" s="109"/>
    </row>
    <row r="49" spans="1:29" ht="14.4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39"/>
      <c r="M49" s="109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09"/>
      <c r="Y49" s="109"/>
      <c r="Z49" s="109"/>
      <c r="AA49" s="109"/>
      <c r="AB49" s="109"/>
      <c r="AC49" s="109"/>
    </row>
    <row r="50" spans="1:29" ht="14.4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39"/>
      <c r="M50" s="109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09"/>
      <c r="Y50" s="109"/>
      <c r="Z50" s="109"/>
      <c r="AA50" s="109"/>
      <c r="AB50" s="109"/>
      <c r="AC50" s="109"/>
    </row>
    <row r="51" spans="1:29" ht="14.4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39"/>
      <c r="M51" s="109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09"/>
      <c r="Y51" s="109"/>
      <c r="Z51" s="109"/>
      <c r="AA51" s="109"/>
      <c r="AB51" s="109"/>
      <c r="AC51" s="109"/>
    </row>
    <row r="52" spans="1:29" ht="14.4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39"/>
      <c r="M52" s="109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09"/>
      <c r="Y52" s="109"/>
      <c r="Z52" s="109"/>
      <c r="AA52" s="109"/>
      <c r="AB52" s="109"/>
      <c r="AC52" s="109"/>
    </row>
    <row r="53" spans="1:29" ht="14.4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39"/>
      <c r="M53" s="109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09"/>
      <c r="Y53" s="109"/>
      <c r="Z53" s="109"/>
      <c r="AA53" s="109"/>
      <c r="AB53" s="109"/>
      <c r="AC53" s="109"/>
    </row>
    <row r="54" spans="1:29" ht="14.4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39"/>
      <c r="M54" s="109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09"/>
      <c r="Y54" s="109"/>
      <c r="Z54" s="109"/>
      <c r="AA54" s="109"/>
      <c r="AB54" s="109"/>
      <c r="AC54" s="109"/>
    </row>
    <row r="55" spans="1:29" ht="14.4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39"/>
      <c r="M55" s="109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09"/>
      <c r="Y55" s="109"/>
      <c r="Z55" s="109"/>
      <c r="AA55" s="109"/>
      <c r="AB55" s="109"/>
      <c r="AC55" s="109"/>
    </row>
    <row r="56" spans="1:29" ht="14.4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39"/>
      <c r="M56" s="109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09"/>
      <c r="Y56" s="109"/>
      <c r="Z56" s="109"/>
      <c r="AA56" s="109"/>
      <c r="AB56" s="109"/>
      <c r="AC56" s="109"/>
    </row>
    <row r="57" spans="1:29" ht="14.4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39"/>
      <c r="M57" s="109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09"/>
      <c r="Y57" s="109"/>
      <c r="Z57" s="109"/>
      <c r="AA57" s="109"/>
      <c r="AB57" s="109"/>
      <c r="AC57" s="109"/>
    </row>
    <row r="58" spans="1:29" ht="14.4" x14ac:dyDescent="0.3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39"/>
      <c r="M58" s="109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09"/>
      <c r="Y58" s="109"/>
      <c r="Z58" s="109"/>
      <c r="AA58" s="109"/>
      <c r="AB58" s="109"/>
      <c r="AC58" s="109"/>
    </row>
    <row r="59" spans="1:29" ht="14.4" x14ac:dyDescent="0.3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39"/>
      <c r="M59" s="109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09"/>
      <c r="Y59" s="109"/>
      <c r="Z59" s="109"/>
      <c r="AA59" s="109"/>
      <c r="AB59" s="109"/>
      <c r="AC59" s="109"/>
    </row>
    <row r="60" spans="1:29" ht="14.4" x14ac:dyDescent="0.3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39"/>
      <c r="M60" s="109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09"/>
      <c r="Y60" s="109"/>
      <c r="Z60" s="109"/>
      <c r="AA60" s="109"/>
      <c r="AB60" s="109"/>
      <c r="AC60" s="109"/>
    </row>
    <row r="61" spans="1:29" ht="14.4" x14ac:dyDescent="0.3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39"/>
      <c r="M61" s="109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09"/>
      <c r="Y61" s="109"/>
      <c r="Z61" s="109"/>
      <c r="AA61" s="109"/>
      <c r="AB61" s="109"/>
      <c r="AC61" s="109"/>
    </row>
    <row r="62" spans="1:29" ht="14.4" x14ac:dyDescent="0.3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39"/>
      <c r="M62" s="109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09"/>
      <c r="Y62" s="109"/>
      <c r="Z62" s="109"/>
      <c r="AA62" s="109"/>
      <c r="AB62" s="109"/>
      <c r="AC62" s="109"/>
    </row>
    <row r="63" spans="1:29" ht="14.4" x14ac:dyDescent="0.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39"/>
      <c r="M63" s="109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09"/>
      <c r="Y63" s="109"/>
      <c r="Z63" s="109"/>
      <c r="AA63" s="109"/>
      <c r="AB63" s="109"/>
      <c r="AC63" s="109"/>
    </row>
    <row r="64" spans="1:29" ht="14.4" x14ac:dyDescent="0.3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39"/>
      <c r="M64" s="109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09"/>
      <c r="Y64" s="109"/>
      <c r="Z64" s="109"/>
      <c r="AA64" s="109"/>
      <c r="AB64" s="109"/>
      <c r="AC64" s="109"/>
    </row>
    <row r="65" spans="1:29" ht="14.4" x14ac:dyDescent="0.3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39"/>
      <c r="M65" s="109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09"/>
      <c r="Y65" s="109"/>
      <c r="Z65" s="109"/>
      <c r="AA65" s="109"/>
      <c r="AB65" s="109"/>
      <c r="AC65" s="109"/>
    </row>
    <row r="66" spans="1:29" ht="14.4" x14ac:dyDescent="0.3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39"/>
      <c r="M66" s="109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09"/>
      <c r="Y66" s="109"/>
      <c r="Z66" s="109"/>
      <c r="AA66" s="109"/>
      <c r="AB66" s="109"/>
      <c r="AC66" s="109"/>
    </row>
    <row r="67" spans="1:29" ht="14.4" x14ac:dyDescent="0.3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39"/>
      <c r="M67" s="109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09"/>
      <c r="Y67" s="109"/>
      <c r="Z67" s="109"/>
      <c r="AA67" s="109"/>
      <c r="AB67" s="109"/>
      <c r="AC67" s="109"/>
    </row>
    <row r="68" spans="1:29" ht="14.4" x14ac:dyDescent="0.3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39"/>
      <c r="M68" s="109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09"/>
      <c r="Y68" s="109"/>
      <c r="Z68" s="109"/>
      <c r="AA68" s="109"/>
      <c r="AB68" s="109"/>
      <c r="AC68" s="109"/>
    </row>
    <row r="69" spans="1:29" ht="14.4" x14ac:dyDescent="0.3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39"/>
      <c r="M69" s="109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09"/>
      <c r="Y69" s="109"/>
      <c r="Z69" s="109"/>
      <c r="AA69" s="109"/>
      <c r="AB69" s="109"/>
      <c r="AC69" s="109"/>
    </row>
    <row r="70" spans="1:29" ht="14.4" x14ac:dyDescent="0.3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39"/>
      <c r="M70" s="109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09"/>
      <c r="Y70" s="109"/>
      <c r="Z70" s="109"/>
      <c r="AA70" s="109"/>
      <c r="AB70" s="109"/>
      <c r="AC70" s="109"/>
    </row>
    <row r="71" spans="1:29" ht="14.4" x14ac:dyDescent="0.3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39"/>
      <c r="M71" s="109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09"/>
      <c r="Y71" s="109"/>
      <c r="Z71" s="109"/>
      <c r="AA71" s="109"/>
      <c r="AB71" s="109"/>
      <c r="AC71" s="109"/>
    </row>
    <row r="72" spans="1:29" ht="14.4" x14ac:dyDescent="0.3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39"/>
      <c r="M72" s="109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09"/>
      <c r="Y72" s="109"/>
      <c r="Z72" s="109"/>
      <c r="AA72" s="109"/>
      <c r="AB72" s="109"/>
      <c r="AC72" s="109"/>
    </row>
    <row r="73" spans="1:29" ht="14.4" x14ac:dyDescent="0.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39"/>
      <c r="M73" s="109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09"/>
      <c r="Y73" s="109"/>
      <c r="Z73" s="109"/>
      <c r="AA73" s="109"/>
      <c r="AB73" s="109"/>
      <c r="AC73" s="109"/>
    </row>
    <row r="74" spans="1:29" ht="14.4" x14ac:dyDescent="0.3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39"/>
      <c r="M74" s="109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09"/>
      <c r="Y74" s="109"/>
      <c r="Z74" s="109"/>
      <c r="AA74" s="109"/>
      <c r="AB74" s="109"/>
      <c r="AC74" s="109"/>
    </row>
    <row r="75" spans="1:29" ht="14.4" x14ac:dyDescent="0.3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39"/>
      <c r="M75" s="109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09"/>
      <c r="Y75" s="109"/>
      <c r="Z75" s="109"/>
      <c r="AA75" s="109"/>
      <c r="AB75" s="109"/>
      <c r="AC75" s="109"/>
    </row>
    <row r="76" spans="1:29" ht="14.4" x14ac:dyDescent="0.3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39"/>
      <c r="M76" s="109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09"/>
      <c r="Y76" s="109"/>
      <c r="Z76" s="109"/>
      <c r="AA76" s="109"/>
      <c r="AB76" s="109"/>
      <c r="AC76" s="109"/>
    </row>
    <row r="77" spans="1:29" ht="14.4" x14ac:dyDescent="0.3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39"/>
      <c r="M77" s="109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09"/>
      <c r="Y77" s="109"/>
      <c r="Z77" s="109"/>
      <c r="AA77" s="109"/>
      <c r="AB77" s="109"/>
      <c r="AC77" s="109"/>
    </row>
    <row r="78" spans="1:29" ht="14.4" x14ac:dyDescent="0.3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39"/>
      <c r="M78" s="109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09"/>
      <c r="Y78" s="109"/>
      <c r="Z78" s="109"/>
      <c r="AA78" s="109"/>
      <c r="AB78" s="109"/>
      <c r="AC78" s="109"/>
    </row>
    <row r="79" spans="1:29" ht="14.4" x14ac:dyDescent="0.3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39"/>
      <c r="M79" s="109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09"/>
      <c r="Y79" s="109"/>
      <c r="Z79" s="109"/>
      <c r="AA79" s="109"/>
      <c r="AB79" s="109"/>
      <c r="AC79" s="109"/>
    </row>
    <row r="80" spans="1:29" ht="14.4" x14ac:dyDescent="0.3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39"/>
      <c r="M80" s="109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09"/>
      <c r="Y80" s="109"/>
      <c r="Z80" s="109"/>
      <c r="AA80" s="109"/>
      <c r="AB80" s="109"/>
      <c r="AC80" s="109"/>
    </row>
    <row r="81" spans="1:29" ht="14.4" x14ac:dyDescent="0.3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39"/>
      <c r="M81" s="109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09"/>
      <c r="Y81" s="109"/>
      <c r="Z81" s="109"/>
      <c r="AA81" s="109"/>
      <c r="AB81" s="109"/>
      <c r="AC81" s="109"/>
    </row>
    <row r="82" spans="1:29" ht="14.4" x14ac:dyDescent="0.3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39"/>
      <c r="M82" s="109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09"/>
      <c r="Y82" s="109"/>
      <c r="Z82" s="109"/>
      <c r="AA82" s="109"/>
      <c r="AB82" s="109"/>
      <c r="AC82" s="109"/>
    </row>
    <row r="83" spans="1:29" ht="14.4" x14ac:dyDescent="0.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39"/>
      <c r="M83" s="109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09"/>
      <c r="Y83" s="109"/>
      <c r="Z83" s="109"/>
      <c r="AA83" s="109"/>
      <c r="AB83" s="109"/>
      <c r="AC83" s="109"/>
    </row>
    <row r="84" spans="1:29" ht="14.4" x14ac:dyDescent="0.3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39"/>
      <c r="M84" s="109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09"/>
      <c r="Y84" s="109"/>
      <c r="Z84" s="109"/>
      <c r="AA84" s="109"/>
      <c r="AB84" s="109"/>
      <c r="AC84" s="109"/>
    </row>
    <row r="85" spans="1:29" ht="14.4" x14ac:dyDescent="0.3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39"/>
      <c r="M85" s="109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09"/>
      <c r="Y85" s="109"/>
      <c r="Z85" s="109"/>
      <c r="AA85" s="109"/>
      <c r="AB85" s="109"/>
      <c r="AC85" s="109"/>
    </row>
    <row r="86" spans="1:29" ht="14.4" x14ac:dyDescent="0.3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39"/>
      <c r="M86" s="109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09"/>
      <c r="Y86" s="109"/>
      <c r="Z86" s="109"/>
      <c r="AA86" s="109"/>
      <c r="AB86" s="109"/>
      <c r="AC86" s="109"/>
    </row>
    <row r="87" spans="1:29" ht="14.4" x14ac:dyDescent="0.3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39"/>
      <c r="M87" s="109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09"/>
      <c r="Y87" s="109"/>
      <c r="Z87" s="109"/>
      <c r="AA87" s="109"/>
      <c r="AB87" s="109"/>
      <c r="AC87" s="109"/>
    </row>
    <row r="88" spans="1:29" ht="14.4" x14ac:dyDescent="0.3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39"/>
      <c r="M88" s="109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09"/>
      <c r="Y88" s="109"/>
      <c r="Z88" s="109"/>
      <c r="AA88" s="109"/>
      <c r="AB88" s="109"/>
      <c r="AC88" s="109"/>
    </row>
    <row r="89" spans="1:29" ht="14.4" x14ac:dyDescent="0.3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39"/>
      <c r="M89" s="109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09"/>
      <c r="Y89" s="109"/>
      <c r="Z89" s="109"/>
      <c r="AA89" s="109"/>
      <c r="AB89" s="109"/>
      <c r="AC89" s="109"/>
    </row>
    <row r="90" spans="1:29" ht="14.4" x14ac:dyDescent="0.3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39"/>
      <c r="M90" s="109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09"/>
      <c r="Y90" s="109"/>
      <c r="Z90" s="109"/>
      <c r="AA90" s="109"/>
      <c r="AB90" s="109"/>
      <c r="AC90" s="109"/>
    </row>
    <row r="91" spans="1:29" ht="14.4" x14ac:dyDescent="0.3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39"/>
      <c r="M91" s="109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09"/>
      <c r="Y91" s="109"/>
      <c r="Z91" s="109"/>
      <c r="AA91" s="109"/>
      <c r="AB91" s="109"/>
      <c r="AC91" s="109"/>
    </row>
    <row r="92" spans="1:29" ht="14.4" x14ac:dyDescent="0.3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39"/>
      <c r="M92" s="109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09"/>
      <c r="Y92" s="109"/>
      <c r="Z92" s="109"/>
      <c r="AA92" s="109"/>
      <c r="AB92" s="109"/>
      <c r="AC92" s="109"/>
    </row>
    <row r="93" spans="1:29" ht="14.4" x14ac:dyDescent="0.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39"/>
      <c r="M93" s="109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09"/>
      <c r="Y93" s="109"/>
      <c r="Z93" s="109"/>
      <c r="AA93" s="109"/>
      <c r="AB93" s="109"/>
      <c r="AC93" s="109"/>
    </row>
    <row r="94" spans="1:29" ht="14.4" x14ac:dyDescent="0.3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39"/>
      <c r="M94" s="109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09"/>
      <c r="Y94" s="109"/>
      <c r="Z94" s="109"/>
      <c r="AA94" s="109"/>
      <c r="AB94" s="109"/>
      <c r="AC94" s="109"/>
    </row>
    <row r="95" spans="1:29" ht="14.4" x14ac:dyDescent="0.3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39"/>
      <c r="M95" s="109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09"/>
      <c r="Y95" s="109"/>
      <c r="Z95" s="109"/>
      <c r="AA95" s="109"/>
      <c r="AB95" s="109"/>
      <c r="AC95" s="109"/>
    </row>
    <row r="96" spans="1:29" ht="14.4" x14ac:dyDescent="0.3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39"/>
      <c r="M96" s="109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09"/>
      <c r="Y96" s="109"/>
      <c r="Z96" s="109"/>
      <c r="AA96" s="109"/>
      <c r="AB96" s="109"/>
      <c r="AC96" s="109"/>
    </row>
    <row r="97" spans="1:29" ht="14.4" x14ac:dyDescent="0.3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39"/>
      <c r="M97" s="109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09"/>
      <c r="Y97" s="109"/>
      <c r="Z97" s="109"/>
      <c r="AA97" s="109"/>
      <c r="AB97" s="109"/>
      <c r="AC97" s="109"/>
    </row>
    <row r="98" spans="1:29" ht="14.4" x14ac:dyDescent="0.3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39"/>
      <c r="M98" s="109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09"/>
      <c r="Y98" s="109"/>
      <c r="Z98" s="109"/>
      <c r="AA98" s="109"/>
      <c r="AB98" s="109"/>
      <c r="AC98" s="109"/>
    </row>
    <row r="99" spans="1:29" ht="14.4" x14ac:dyDescent="0.3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39"/>
      <c r="M99" s="109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09"/>
      <c r="Y99" s="109"/>
      <c r="Z99" s="109"/>
      <c r="AA99" s="109"/>
      <c r="AB99" s="109"/>
      <c r="AC99" s="109"/>
    </row>
    <row r="100" spans="1:29" ht="14.4" x14ac:dyDescent="0.3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39"/>
      <c r="M100" s="109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09"/>
      <c r="Y100" s="109"/>
      <c r="Z100" s="109"/>
      <c r="AA100" s="109"/>
      <c r="AB100" s="109"/>
      <c r="AC100" s="109"/>
    </row>
    <row r="101" spans="1:29" ht="14.4" x14ac:dyDescent="0.3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39"/>
      <c r="M101" s="109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09"/>
      <c r="Y101" s="109"/>
      <c r="Z101" s="109"/>
      <c r="AA101" s="109"/>
      <c r="AB101" s="109"/>
      <c r="AC101" s="109"/>
    </row>
    <row r="102" spans="1:29" ht="14.4" x14ac:dyDescent="0.3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39"/>
      <c r="M102" s="109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09"/>
      <c r="Y102" s="109"/>
      <c r="Z102" s="109"/>
      <c r="AA102" s="109"/>
      <c r="AB102" s="109"/>
      <c r="AC102" s="109"/>
    </row>
    <row r="103" spans="1:29" ht="14.4" x14ac:dyDescent="0.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39"/>
      <c r="M103" s="109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09"/>
      <c r="Y103" s="109"/>
      <c r="Z103" s="109"/>
      <c r="AA103" s="109"/>
      <c r="AB103" s="109"/>
      <c r="AC103" s="109"/>
    </row>
    <row r="104" spans="1:29" ht="14.4" x14ac:dyDescent="0.3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39"/>
      <c r="M104" s="109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09"/>
      <c r="Y104" s="109"/>
      <c r="Z104" s="109"/>
      <c r="AA104" s="109"/>
      <c r="AB104" s="109"/>
      <c r="AC104" s="109"/>
    </row>
    <row r="105" spans="1:29" ht="14.4" x14ac:dyDescent="0.3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39"/>
      <c r="M105" s="109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09"/>
      <c r="Y105" s="109"/>
      <c r="Z105" s="109"/>
      <c r="AA105" s="109"/>
      <c r="AB105" s="109"/>
      <c r="AC105" s="109"/>
    </row>
    <row r="106" spans="1:29" ht="14.4" x14ac:dyDescent="0.3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39"/>
      <c r="M106" s="109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09"/>
      <c r="Y106" s="109"/>
      <c r="Z106" s="109"/>
      <c r="AA106" s="109"/>
      <c r="AB106" s="109"/>
      <c r="AC106" s="109"/>
    </row>
    <row r="107" spans="1:29" ht="14.4" x14ac:dyDescent="0.3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39"/>
      <c r="M107" s="109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09"/>
      <c r="Y107" s="109"/>
      <c r="Z107" s="109"/>
      <c r="AA107" s="109"/>
      <c r="AB107" s="109"/>
      <c r="AC107" s="109"/>
    </row>
    <row r="108" spans="1:29" ht="14.4" x14ac:dyDescent="0.3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39"/>
      <c r="M108" s="109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09"/>
      <c r="Y108" s="109"/>
      <c r="Z108" s="109"/>
      <c r="AA108" s="109"/>
      <c r="AB108" s="109"/>
      <c r="AC108" s="109"/>
    </row>
    <row r="109" spans="1:29" ht="14.4" x14ac:dyDescent="0.3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39"/>
      <c r="M109" s="109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09"/>
      <c r="Y109" s="109"/>
      <c r="Z109" s="109"/>
      <c r="AA109" s="109"/>
      <c r="AB109" s="109"/>
      <c r="AC109" s="109"/>
    </row>
    <row r="110" spans="1:29" ht="14.4" x14ac:dyDescent="0.3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39"/>
      <c r="M110" s="109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09"/>
      <c r="Y110" s="109"/>
      <c r="Z110" s="109"/>
      <c r="AA110" s="109"/>
      <c r="AB110" s="109"/>
      <c r="AC110" s="109"/>
    </row>
    <row r="111" spans="1:29" ht="14.4" x14ac:dyDescent="0.3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39"/>
      <c r="M111" s="109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09"/>
      <c r="Y111" s="109"/>
      <c r="Z111" s="109"/>
      <c r="AA111" s="109"/>
      <c r="AB111" s="109"/>
      <c r="AC111" s="109"/>
    </row>
    <row r="112" spans="1:29" ht="14.4" x14ac:dyDescent="0.3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39"/>
      <c r="M112" s="109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09"/>
      <c r="Y112" s="109"/>
      <c r="Z112" s="109"/>
      <c r="AA112" s="109"/>
      <c r="AB112" s="109"/>
      <c r="AC112" s="109"/>
    </row>
    <row r="113" spans="1:29" ht="14.4" x14ac:dyDescent="0.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39"/>
      <c r="M113" s="109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09"/>
      <c r="Y113" s="109"/>
      <c r="Z113" s="109"/>
      <c r="AA113" s="109"/>
      <c r="AB113" s="109"/>
      <c r="AC113" s="109"/>
    </row>
    <row r="114" spans="1:29" ht="14.4" x14ac:dyDescent="0.3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39"/>
      <c r="M114" s="109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09"/>
      <c r="Y114" s="109"/>
      <c r="Z114" s="109"/>
      <c r="AA114" s="109"/>
      <c r="AB114" s="109"/>
      <c r="AC114" s="109"/>
    </row>
    <row r="115" spans="1:29" ht="14.4" x14ac:dyDescent="0.3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39"/>
      <c r="M115" s="109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09"/>
      <c r="Y115" s="109"/>
      <c r="Z115" s="109"/>
      <c r="AA115" s="109"/>
      <c r="AB115" s="109"/>
      <c r="AC115" s="109"/>
    </row>
    <row r="116" spans="1:29" ht="14.4" x14ac:dyDescent="0.3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39"/>
      <c r="M116" s="109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09"/>
      <c r="Y116" s="109"/>
      <c r="Z116" s="109"/>
      <c r="AA116" s="109"/>
      <c r="AB116" s="109"/>
      <c r="AC116" s="109"/>
    </row>
    <row r="117" spans="1:29" ht="14.4" x14ac:dyDescent="0.3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39"/>
      <c r="M117" s="109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09"/>
      <c r="Y117" s="109"/>
      <c r="Z117" s="109"/>
      <c r="AA117" s="109"/>
      <c r="AB117" s="109"/>
      <c r="AC117" s="109"/>
    </row>
    <row r="118" spans="1:29" ht="14.4" x14ac:dyDescent="0.3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39"/>
      <c r="M118" s="109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09"/>
      <c r="Y118" s="109"/>
      <c r="Z118" s="109"/>
      <c r="AA118" s="109"/>
      <c r="AB118" s="109"/>
      <c r="AC118" s="109"/>
    </row>
    <row r="119" spans="1:29" ht="14.4" x14ac:dyDescent="0.3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39"/>
      <c r="M119" s="109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09"/>
      <c r="Y119" s="109"/>
      <c r="Z119" s="109"/>
      <c r="AA119" s="109"/>
      <c r="AB119" s="109"/>
      <c r="AC119" s="109"/>
    </row>
    <row r="120" spans="1:29" ht="14.4" x14ac:dyDescent="0.3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39"/>
      <c r="M120" s="109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09"/>
      <c r="Y120" s="109"/>
      <c r="Z120" s="109"/>
      <c r="AA120" s="109"/>
      <c r="AB120" s="109"/>
      <c r="AC120" s="109"/>
    </row>
    <row r="121" spans="1:29" ht="14.4" x14ac:dyDescent="0.3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39"/>
      <c r="M121" s="109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09"/>
      <c r="Y121" s="109"/>
      <c r="Z121" s="109"/>
      <c r="AA121" s="109"/>
      <c r="AB121" s="109"/>
      <c r="AC121" s="109"/>
    </row>
    <row r="122" spans="1:29" ht="14.4" x14ac:dyDescent="0.3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39"/>
      <c r="M122" s="109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09"/>
      <c r="Y122" s="109"/>
      <c r="Z122" s="109"/>
      <c r="AA122" s="109"/>
      <c r="AB122" s="109"/>
      <c r="AC122" s="109"/>
    </row>
    <row r="123" spans="1:29" ht="14.4" x14ac:dyDescent="0.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39"/>
      <c r="M123" s="109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09"/>
      <c r="Y123" s="109"/>
      <c r="Z123" s="109"/>
      <c r="AA123" s="109"/>
      <c r="AB123" s="109"/>
      <c r="AC123" s="109"/>
    </row>
    <row r="124" spans="1:29" ht="14.4" x14ac:dyDescent="0.3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39"/>
      <c r="M124" s="109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09"/>
      <c r="Y124" s="109"/>
      <c r="Z124" s="109"/>
      <c r="AA124" s="109"/>
      <c r="AB124" s="109"/>
      <c r="AC124" s="109"/>
    </row>
    <row r="125" spans="1:29" ht="14.4" x14ac:dyDescent="0.3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39"/>
      <c r="M125" s="109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09"/>
      <c r="Y125" s="109"/>
      <c r="Z125" s="109"/>
      <c r="AA125" s="109"/>
      <c r="AB125" s="109"/>
      <c r="AC125" s="109"/>
    </row>
    <row r="126" spans="1:29" ht="14.4" x14ac:dyDescent="0.3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39"/>
      <c r="M126" s="109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09"/>
      <c r="Y126" s="109"/>
      <c r="Z126" s="109"/>
      <c r="AA126" s="109"/>
      <c r="AB126" s="109"/>
      <c r="AC126" s="109"/>
    </row>
    <row r="127" spans="1:29" ht="14.4" x14ac:dyDescent="0.3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39"/>
      <c r="M127" s="109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09"/>
      <c r="Y127" s="109"/>
      <c r="Z127" s="109"/>
      <c r="AA127" s="109"/>
      <c r="AB127" s="109"/>
      <c r="AC127" s="109"/>
    </row>
    <row r="128" spans="1:29" ht="14.4" x14ac:dyDescent="0.3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39"/>
      <c r="M128" s="109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09"/>
      <c r="Y128" s="109"/>
      <c r="Z128" s="109"/>
      <c r="AA128" s="109"/>
      <c r="AB128" s="109"/>
      <c r="AC128" s="109"/>
    </row>
    <row r="129" spans="1:29" ht="14.4" x14ac:dyDescent="0.3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39"/>
      <c r="M129" s="109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09"/>
      <c r="Y129" s="109"/>
      <c r="Z129" s="109"/>
      <c r="AA129" s="109"/>
      <c r="AB129" s="109"/>
      <c r="AC129" s="109"/>
    </row>
    <row r="130" spans="1:29" ht="14.4" x14ac:dyDescent="0.3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39"/>
      <c r="M130" s="109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09"/>
      <c r="Y130" s="109"/>
      <c r="Z130" s="109"/>
      <c r="AA130" s="109"/>
      <c r="AB130" s="109"/>
      <c r="AC130" s="109"/>
    </row>
    <row r="131" spans="1:29" ht="14.4" x14ac:dyDescent="0.3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39"/>
      <c r="M131" s="109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09"/>
      <c r="Y131" s="109"/>
      <c r="Z131" s="109"/>
      <c r="AA131" s="109"/>
      <c r="AB131" s="109"/>
      <c r="AC131" s="109"/>
    </row>
    <row r="132" spans="1:29" ht="14.4" x14ac:dyDescent="0.3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39"/>
      <c r="M132" s="109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09"/>
      <c r="Y132" s="109"/>
      <c r="Z132" s="109"/>
      <c r="AA132" s="109"/>
      <c r="AB132" s="109"/>
      <c r="AC132" s="109"/>
    </row>
    <row r="133" spans="1:29" ht="14.4" x14ac:dyDescent="0.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39"/>
      <c r="M133" s="109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09"/>
      <c r="Y133" s="109"/>
      <c r="Z133" s="109"/>
      <c r="AA133" s="109"/>
      <c r="AB133" s="109"/>
      <c r="AC133" s="109"/>
    </row>
    <row r="134" spans="1:29" ht="14.4" x14ac:dyDescent="0.3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39"/>
      <c r="M134" s="109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09"/>
      <c r="Y134" s="109"/>
      <c r="Z134" s="109"/>
      <c r="AA134" s="109"/>
      <c r="AB134" s="109"/>
      <c r="AC134" s="109"/>
    </row>
    <row r="135" spans="1:29" ht="14.4" x14ac:dyDescent="0.3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39"/>
      <c r="M135" s="109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09"/>
      <c r="Y135" s="109"/>
      <c r="Z135" s="109"/>
      <c r="AA135" s="109"/>
      <c r="AB135" s="109"/>
      <c r="AC135" s="109"/>
    </row>
    <row r="136" spans="1:29" ht="14.4" x14ac:dyDescent="0.3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39"/>
      <c r="M136" s="109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09"/>
      <c r="Y136" s="109"/>
      <c r="Z136" s="109"/>
      <c r="AA136" s="109"/>
      <c r="AB136" s="109"/>
      <c r="AC136" s="109"/>
    </row>
    <row r="137" spans="1:29" ht="14.4" x14ac:dyDescent="0.3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39"/>
      <c r="M137" s="109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09"/>
      <c r="Y137" s="109"/>
      <c r="Z137" s="109"/>
      <c r="AA137" s="109"/>
      <c r="AB137" s="109"/>
      <c r="AC137" s="109"/>
    </row>
    <row r="138" spans="1:29" ht="14.4" x14ac:dyDescent="0.3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39"/>
      <c r="M138" s="109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09"/>
      <c r="Y138" s="109"/>
      <c r="Z138" s="109"/>
      <c r="AA138" s="109"/>
      <c r="AB138" s="109"/>
      <c r="AC138" s="109"/>
    </row>
    <row r="139" spans="1:29" ht="14.4" x14ac:dyDescent="0.3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39"/>
      <c r="M139" s="109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09"/>
      <c r="Y139" s="109"/>
      <c r="Z139" s="109"/>
      <c r="AA139" s="109"/>
      <c r="AB139" s="109"/>
      <c r="AC139" s="109"/>
    </row>
    <row r="140" spans="1:29" ht="14.4" x14ac:dyDescent="0.3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39"/>
      <c r="M140" s="109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09"/>
      <c r="Y140" s="109"/>
      <c r="Z140" s="109"/>
      <c r="AA140" s="109"/>
      <c r="AB140" s="109"/>
      <c r="AC140" s="109"/>
    </row>
    <row r="141" spans="1:29" ht="14.4" x14ac:dyDescent="0.3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39"/>
      <c r="M141" s="109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09"/>
      <c r="Y141" s="109"/>
      <c r="Z141" s="109"/>
      <c r="AA141" s="109"/>
      <c r="AB141" s="109"/>
      <c r="AC141" s="109"/>
    </row>
    <row r="142" spans="1:29" ht="14.4" x14ac:dyDescent="0.3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39"/>
      <c r="M142" s="109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09"/>
      <c r="Y142" s="109"/>
      <c r="Z142" s="109"/>
      <c r="AA142" s="109"/>
      <c r="AB142" s="109"/>
      <c r="AC142" s="109"/>
    </row>
    <row r="143" spans="1:29" ht="14.4" x14ac:dyDescent="0.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39"/>
      <c r="M143" s="109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09"/>
      <c r="Y143" s="109"/>
      <c r="Z143" s="109"/>
      <c r="AA143" s="109"/>
      <c r="AB143" s="109"/>
      <c r="AC143" s="109"/>
    </row>
    <row r="144" spans="1:29" ht="14.4" x14ac:dyDescent="0.3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39"/>
      <c r="M144" s="109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09"/>
      <c r="Y144" s="109"/>
      <c r="Z144" s="109"/>
      <c r="AA144" s="109"/>
      <c r="AB144" s="109"/>
      <c r="AC144" s="109"/>
    </row>
    <row r="145" spans="1:29" ht="14.4" x14ac:dyDescent="0.3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39"/>
      <c r="M145" s="109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09"/>
      <c r="Y145" s="109"/>
      <c r="Z145" s="109"/>
      <c r="AA145" s="109"/>
      <c r="AB145" s="109"/>
      <c r="AC145" s="109"/>
    </row>
    <row r="146" spans="1:29" ht="14.4" x14ac:dyDescent="0.3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39"/>
      <c r="M146" s="109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09"/>
      <c r="Y146" s="109"/>
      <c r="Z146" s="109"/>
      <c r="AA146" s="109"/>
      <c r="AB146" s="109"/>
      <c r="AC146" s="109"/>
    </row>
    <row r="147" spans="1:29" ht="14.4" x14ac:dyDescent="0.3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39"/>
      <c r="M147" s="109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09"/>
      <c r="Y147" s="109"/>
      <c r="Z147" s="109"/>
      <c r="AA147" s="109"/>
      <c r="AB147" s="109"/>
      <c r="AC147" s="109"/>
    </row>
    <row r="148" spans="1:29" ht="14.4" x14ac:dyDescent="0.3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39"/>
      <c r="M148" s="109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09"/>
      <c r="Y148" s="109"/>
      <c r="Z148" s="109"/>
      <c r="AA148" s="109"/>
      <c r="AB148" s="109"/>
      <c r="AC148" s="109"/>
    </row>
    <row r="149" spans="1:29" ht="14.4" x14ac:dyDescent="0.3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39"/>
      <c r="M149" s="109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09"/>
      <c r="Y149" s="109"/>
      <c r="Z149" s="109"/>
      <c r="AA149" s="109"/>
      <c r="AB149" s="109"/>
      <c r="AC149" s="109"/>
    </row>
    <row r="150" spans="1:29" ht="14.4" x14ac:dyDescent="0.3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39"/>
      <c r="M150" s="109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09"/>
      <c r="Y150" s="109"/>
      <c r="Z150" s="109"/>
      <c r="AA150" s="109"/>
      <c r="AB150" s="109"/>
      <c r="AC150" s="109"/>
    </row>
    <row r="151" spans="1:29" ht="14.4" x14ac:dyDescent="0.3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39"/>
      <c r="M151" s="109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09"/>
      <c r="Y151" s="109"/>
      <c r="Z151" s="109"/>
      <c r="AA151" s="109"/>
      <c r="AB151" s="109"/>
      <c r="AC151" s="109"/>
    </row>
    <row r="152" spans="1:29" ht="14.4" x14ac:dyDescent="0.3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39"/>
      <c r="M152" s="109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09"/>
      <c r="Y152" s="109"/>
      <c r="Z152" s="109"/>
      <c r="AA152" s="109"/>
      <c r="AB152" s="109"/>
      <c r="AC152" s="109"/>
    </row>
    <row r="153" spans="1:29" ht="14.4" x14ac:dyDescent="0.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39"/>
      <c r="M153" s="109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09"/>
      <c r="Y153" s="109"/>
      <c r="Z153" s="109"/>
      <c r="AA153" s="109"/>
      <c r="AB153" s="109"/>
      <c r="AC153" s="109"/>
    </row>
    <row r="154" spans="1:29" ht="14.4" x14ac:dyDescent="0.3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39"/>
      <c r="M154" s="109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09"/>
      <c r="Y154" s="109"/>
      <c r="Z154" s="109"/>
      <c r="AA154" s="109"/>
      <c r="AB154" s="109"/>
      <c r="AC154" s="109"/>
    </row>
    <row r="155" spans="1:29" ht="14.4" x14ac:dyDescent="0.3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39"/>
      <c r="M155" s="109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09"/>
      <c r="Y155" s="109"/>
      <c r="Z155" s="109"/>
      <c r="AA155" s="109"/>
      <c r="AB155" s="109"/>
      <c r="AC155" s="109"/>
    </row>
    <row r="156" spans="1:29" ht="14.4" x14ac:dyDescent="0.3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39"/>
      <c r="M156" s="109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09"/>
      <c r="Y156" s="109"/>
      <c r="Z156" s="109"/>
      <c r="AA156" s="109"/>
      <c r="AB156" s="109"/>
      <c r="AC156" s="109"/>
    </row>
    <row r="157" spans="1:29" ht="14.4" x14ac:dyDescent="0.3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39"/>
      <c r="M157" s="109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09"/>
      <c r="Y157" s="109"/>
      <c r="Z157" s="109"/>
      <c r="AA157" s="109"/>
      <c r="AB157" s="109"/>
      <c r="AC157" s="109"/>
    </row>
    <row r="158" spans="1:29" ht="14.4" x14ac:dyDescent="0.3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39"/>
      <c r="M158" s="109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09"/>
      <c r="Y158" s="109"/>
      <c r="Z158" s="109"/>
      <c r="AA158" s="109"/>
      <c r="AB158" s="109"/>
      <c r="AC158" s="109"/>
    </row>
    <row r="159" spans="1:29" ht="14.4" x14ac:dyDescent="0.3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39"/>
      <c r="M159" s="109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09"/>
      <c r="Y159" s="109"/>
      <c r="Z159" s="109"/>
      <c r="AA159" s="109"/>
      <c r="AB159" s="109"/>
      <c r="AC159" s="109"/>
    </row>
    <row r="160" spans="1:29" ht="14.4" x14ac:dyDescent="0.3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39"/>
      <c r="M160" s="109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09"/>
      <c r="Y160" s="109"/>
      <c r="Z160" s="109"/>
      <c r="AA160" s="109"/>
      <c r="AB160" s="109"/>
      <c r="AC160" s="109"/>
    </row>
    <row r="161" spans="1:29" ht="14.4" x14ac:dyDescent="0.3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39"/>
      <c r="M161" s="109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09"/>
      <c r="Y161" s="109"/>
      <c r="Z161" s="109"/>
      <c r="AA161" s="109"/>
      <c r="AB161" s="109"/>
      <c r="AC161" s="109"/>
    </row>
    <row r="162" spans="1:29" ht="14.4" x14ac:dyDescent="0.3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39"/>
      <c r="M162" s="109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09"/>
      <c r="Y162" s="109"/>
      <c r="Z162" s="109"/>
      <c r="AA162" s="109"/>
      <c r="AB162" s="109"/>
      <c r="AC162" s="109"/>
    </row>
    <row r="163" spans="1:29" ht="14.4" x14ac:dyDescent="0.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39"/>
      <c r="M163" s="109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09"/>
      <c r="Y163" s="109"/>
      <c r="Z163" s="109"/>
      <c r="AA163" s="109"/>
      <c r="AB163" s="109"/>
      <c r="AC163" s="109"/>
    </row>
    <row r="164" spans="1:29" ht="14.4" x14ac:dyDescent="0.3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39"/>
      <c r="M164" s="109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09"/>
      <c r="Y164" s="109"/>
      <c r="Z164" s="109"/>
      <c r="AA164" s="109"/>
      <c r="AB164" s="109"/>
      <c r="AC164" s="109"/>
    </row>
    <row r="165" spans="1:29" ht="14.4" x14ac:dyDescent="0.3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39"/>
      <c r="M165" s="109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09"/>
      <c r="Y165" s="109"/>
      <c r="Z165" s="109"/>
      <c r="AA165" s="109"/>
      <c r="AB165" s="109"/>
      <c r="AC165" s="109"/>
    </row>
    <row r="166" spans="1:29" ht="14.4" x14ac:dyDescent="0.3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39"/>
      <c r="M166" s="109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09"/>
      <c r="Y166" s="109"/>
      <c r="Z166" s="109"/>
      <c r="AA166" s="109"/>
      <c r="AB166" s="109"/>
      <c r="AC166" s="109"/>
    </row>
    <row r="167" spans="1:29" ht="14.4" x14ac:dyDescent="0.3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39"/>
      <c r="M167" s="109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09"/>
      <c r="Y167" s="109"/>
      <c r="Z167" s="109"/>
      <c r="AA167" s="109"/>
      <c r="AB167" s="109"/>
      <c r="AC167" s="109"/>
    </row>
    <row r="168" spans="1:29" ht="14.4" x14ac:dyDescent="0.3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39"/>
      <c r="M168" s="109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09"/>
      <c r="Y168" s="109"/>
      <c r="Z168" s="109"/>
      <c r="AA168" s="109"/>
      <c r="AB168" s="109"/>
      <c r="AC168" s="109"/>
    </row>
    <row r="169" spans="1:29" ht="14.4" x14ac:dyDescent="0.3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39"/>
      <c r="M169" s="109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09"/>
      <c r="Y169" s="109"/>
      <c r="Z169" s="109"/>
      <c r="AA169" s="109"/>
      <c r="AB169" s="109"/>
      <c r="AC169" s="109"/>
    </row>
    <row r="170" spans="1:29" ht="14.4" x14ac:dyDescent="0.3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39"/>
      <c r="M170" s="109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09"/>
      <c r="Y170" s="109"/>
      <c r="Z170" s="109"/>
      <c r="AA170" s="109"/>
      <c r="AB170" s="109"/>
      <c r="AC170" s="109"/>
    </row>
    <row r="171" spans="1:29" ht="14.4" x14ac:dyDescent="0.3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39"/>
      <c r="M171" s="109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09"/>
      <c r="Y171" s="109"/>
      <c r="Z171" s="109"/>
      <c r="AA171" s="109"/>
      <c r="AB171" s="109"/>
      <c r="AC171" s="109"/>
    </row>
    <row r="172" spans="1:29" ht="14.4" x14ac:dyDescent="0.3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39"/>
      <c r="M172" s="109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09"/>
      <c r="Y172" s="109"/>
      <c r="Z172" s="109"/>
      <c r="AA172" s="109"/>
      <c r="AB172" s="109"/>
      <c r="AC172" s="109"/>
    </row>
    <row r="173" spans="1:29" ht="14.4" x14ac:dyDescent="0.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39"/>
      <c r="M173" s="109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09"/>
      <c r="Y173" s="109"/>
      <c r="Z173" s="109"/>
      <c r="AA173" s="109"/>
      <c r="AB173" s="109"/>
      <c r="AC173" s="109"/>
    </row>
    <row r="174" spans="1:29" ht="14.4" x14ac:dyDescent="0.3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39"/>
      <c r="M174" s="109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09"/>
      <c r="Y174" s="109"/>
      <c r="Z174" s="109"/>
      <c r="AA174" s="109"/>
      <c r="AB174" s="109"/>
      <c r="AC174" s="109"/>
    </row>
    <row r="175" spans="1:29" ht="14.4" x14ac:dyDescent="0.3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39"/>
      <c r="M175" s="109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09"/>
      <c r="Y175" s="109"/>
      <c r="Z175" s="109"/>
      <c r="AA175" s="109"/>
      <c r="AB175" s="109"/>
      <c r="AC175" s="109"/>
    </row>
    <row r="176" spans="1:29" ht="14.4" x14ac:dyDescent="0.3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39"/>
      <c r="M176" s="109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09"/>
      <c r="Y176" s="109"/>
      <c r="Z176" s="109"/>
      <c r="AA176" s="109"/>
      <c r="AB176" s="109"/>
      <c r="AC176" s="109"/>
    </row>
    <row r="177" spans="1:29" ht="14.4" x14ac:dyDescent="0.3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39"/>
      <c r="M177" s="109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09"/>
      <c r="Y177" s="109"/>
      <c r="Z177" s="109"/>
      <c r="AA177" s="109"/>
      <c r="AB177" s="109"/>
      <c r="AC177" s="109"/>
    </row>
    <row r="178" spans="1:29" ht="14.4" x14ac:dyDescent="0.3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39"/>
      <c r="M178" s="109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09"/>
      <c r="Y178" s="109"/>
      <c r="Z178" s="109"/>
      <c r="AA178" s="109"/>
      <c r="AB178" s="109"/>
      <c r="AC178" s="109"/>
    </row>
    <row r="179" spans="1:29" ht="14.4" x14ac:dyDescent="0.3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39"/>
      <c r="M179" s="109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09"/>
      <c r="Y179" s="109"/>
      <c r="Z179" s="109"/>
      <c r="AA179" s="109"/>
      <c r="AB179" s="109"/>
      <c r="AC179" s="109"/>
    </row>
    <row r="180" spans="1:29" ht="14.4" x14ac:dyDescent="0.3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39"/>
      <c r="M180" s="109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09"/>
      <c r="Y180" s="109"/>
      <c r="Z180" s="109"/>
      <c r="AA180" s="109"/>
      <c r="AB180" s="109"/>
      <c r="AC180" s="109"/>
    </row>
    <row r="181" spans="1:29" ht="14.4" x14ac:dyDescent="0.3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39"/>
      <c r="M181" s="109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09"/>
      <c r="Y181" s="109"/>
      <c r="Z181" s="109"/>
      <c r="AA181" s="109"/>
      <c r="AB181" s="109"/>
      <c r="AC181" s="109"/>
    </row>
    <row r="182" spans="1:29" ht="14.4" x14ac:dyDescent="0.3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39"/>
      <c r="M182" s="109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09"/>
      <c r="Y182" s="109"/>
      <c r="Z182" s="109"/>
      <c r="AA182" s="109"/>
      <c r="AB182" s="109"/>
      <c r="AC182" s="109"/>
    </row>
    <row r="183" spans="1:29" ht="14.4" x14ac:dyDescent="0.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39"/>
      <c r="M183" s="109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09"/>
      <c r="Y183" s="109"/>
      <c r="Z183" s="109"/>
      <c r="AA183" s="109"/>
      <c r="AB183" s="109"/>
      <c r="AC183" s="109"/>
    </row>
    <row r="184" spans="1:29" ht="14.4" x14ac:dyDescent="0.3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39"/>
      <c r="M184" s="109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09"/>
      <c r="Y184" s="109"/>
      <c r="Z184" s="109"/>
      <c r="AA184" s="109"/>
      <c r="AB184" s="109"/>
      <c r="AC184" s="109"/>
    </row>
    <row r="185" spans="1:29" ht="14.4" x14ac:dyDescent="0.3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39"/>
      <c r="M185" s="109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09"/>
      <c r="Y185" s="109"/>
      <c r="Z185" s="109"/>
      <c r="AA185" s="109"/>
      <c r="AB185" s="109"/>
      <c r="AC185" s="109"/>
    </row>
    <row r="186" spans="1:29" ht="14.4" x14ac:dyDescent="0.3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39"/>
      <c r="M186" s="109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09"/>
      <c r="Y186" s="109"/>
      <c r="Z186" s="109"/>
      <c r="AA186" s="109"/>
      <c r="AB186" s="109"/>
      <c r="AC186" s="109"/>
    </row>
    <row r="187" spans="1:29" ht="14.4" x14ac:dyDescent="0.3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39"/>
      <c r="M187" s="109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09"/>
      <c r="Y187" s="109"/>
      <c r="Z187" s="109"/>
      <c r="AA187" s="109"/>
      <c r="AB187" s="109"/>
      <c r="AC187" s="109"/>
    </row>
    <row r="188" spans="1:29" ht="14.4" x14ac:dyDescent="0.3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39"/>
      <c r="M188" s="109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09"/>
      <c r="Y188" s="109"/>
      <c r="Z188" s="109"/>
      <c r="AA188" s="109"/>
      <c r="AB188" s="109"/>
      <c r="AC188" s="109"/>
    </row>
    <row r="189" spans="1:29" ht="14.4" x14ac:dyDescent="0.3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39"/>
      <c r="M189" s="109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09"/>
      <c r="Y189" s="109"/>
      <c r="Z189" s="109"/>
      <c r="AA189" s="109"/>
      <c r="AB189" s="109"/>
      <c r="AC189" s="109"/>
    </row>
    <row r="190" spans="1:29" ht="14.4" x14ac:dyDescent="0.3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39"/>
      <c r="M190" s="109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09"/>
      <c r="Y190" s="109"/>
      <c r="Z190" s="109"/>
      <c r="AA190" s="109"/>
      <c r="AB190" s="109"/>
      <c r="AC190" s="109"/>
    </row>
    <row r="191" spans="1:29" ht="14.4" x14ac:dyDescent="0.3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39"/>
      <c r="M191" s="109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09"/>
      <c r="Y191" s="109"/>
      <c r="Z191" s="109"/>
      <c r="AA191" s="109"/>
      <c r="AB191" s="109"/>
      <c r="AC191" s="109"/>
    </row>
    <row r="192" spans="1:29" ht="14.4" x14ac:dyDescent="0.3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39"/>
      <c r="M192" s="109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09"/>
      <c r="Y192" s="109"/>
      <c r="Z192" s="109"/>
      <c r="AA192" s="109"/>
      <c r="AB192" s="109"/>
      <c r="AC192" s="109"/>
    </row>
    <row r="193" spans="1:29" ht="14.4" x14ac:dyDescent="0.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39"/>
      <c r="M193" s="109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09"/>
      <c r="Y193" s="109"/>
      <c r="Z193" s="109"/>
      <c r="AA193" s="109"/>
      <c r="AB193" s="109"/>
      <c r="AC193" s="109"/>
    </row>
    <row r="194" spans="1:29" ht="14.4" x14ac:dyDescent="0.3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39"/>
      <c r="M194" s="109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09"/>
      <c r="Y194" s="109"/>
      <c r="Z194" s="109"/>
      <c r="AA194" s="109"/>
      <c r="AB194" s="109"/>
      <c r="AC194" s="109"/>
    </row>
    <row r="195" spans="1:29" ht="14.4" x14ac:dyDescent="0.3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39"/>
      <c r="M195" s="109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09"/>
      <c r="Y195" s="109"/>
      <c r="Z195" s="109"/>
      <c r="AA195" s="109"/>
      <c r="AB195" s="109"/>
      <c r="AC195" s="109"/>
    </row>
    <row r="196" spans="1:29" ht="14.4" x14ac:dyDescent="0.3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39"/>
      <c r="M196" s="109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09"/>
      <c r="Y196" s="109"/>
      <c r="Z196" s="109"/>
      <c r="AA196" s="109"/>
      <c r="AB196" s="109"/>
      <c r="AC196" s="109"/>
    </row>
    <row r="197" spans="1:29" ht="14.4" x14ac:dyDescent="0.3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39"/>
      <c r="M197" s="109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09"/>
      <c r="Y197" s="109"/>
      <c r="Z197" s="109"/>
      <c r="AA197" s="109"/>
      <c r="AB197" s="109"/>
      <c r="AC197" s="109"/>
    </row>
    <row r="198" spans="1:29" ht="14.4" x14ac:dyDescent="0.3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39"/>
      <c r="M198" s="109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09"/>
      <c r="Y198" s="109"/>
      <c r="Z198" s="109"/>
      <c r="AA198" s="109"/>
      <c r="AB198" s="109"/>
      <c r="AC198" s="109"/>
    </row>
    <row r="199" spans="1:29" ht="14.4" x14ac:dyDescent="0.3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39"/>
      <c r="M199" s="109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09"/>
      <c r="Y199" s="109"/>
      <c r="Z199" s="109"/>
      <c r="AA199" s="109"/>
      <c r="AB199" s="109"/>
      <c r="AC199" s="109"/>
    </row>
    <row r="200" spans="1:29" ht="14.4" x14ac:dyDescent="0.3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39"/>
      <c r="M200" s="109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09"/>
      <c r="Y200" s="109"/>
      <c r="Z200" s="109"/>
      <c r="AA200" s="109"/>
      <c r="AB200" s="109"/>
      <c r="AC200" s="109"/>
    </row>
    <row r="201" spans="1:29" ht="14.4" x14ac:dyDescent="0.3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39"/>
      <c r="M201" s="109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09"/>
      <c r="Y201" s="109"/>
      <c r="Z201" s="109"/>
      <c r="AA201" s="109"/>
      <c r="AB201" s="109"/>
      <c r="AC201" s="109"/>
    </row>
    <row r="202" spans="1:29" ht="14.4" x14ac:dyDescent="0.3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39"/>
      <c r="M202" s="109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09"/>
      <c r="Y202" s="109"/>
      <c r="Z202" s="109"/>
      <c r="AA202" s="109"/>
      <c r="AB202" s="109"/>
      <c r="AC202" s="109"/>
    </row>
    <row r="203" spans="1:29" ht="14.4" x14ac:dyDescent="0.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39"/>
      <c r="M203" s="109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09"/>
      <c r="Y203" s="109"/>
      <c r="Z203" s="109"/>
      <c r="AA203" s="109"/>
      <c r="AB203" s="109"/>
      <c r="AC203" s="109"/>
    </row>
    <row r="204" spans="1:29" ht="14.4" x14ac:dyDescent="0.3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39"/>
      <c r="M204" s="109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09"/>
      <c r="Y204" s="109"/>
      <c r="Z204" s="109"/>
      <c r="AA204" s="109"/>
      <c r="AB204" s="109"/>
      <c r="AC204" s="109"/>
    </row>
    <row r="205" spans="1:29" ht="14.4" x14ac:dyDescent="0.3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39"/>
      <c r="M205" s="109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09"/>
      <c r="Y205" s="109"/>
      <c r="Z205" s="109"/>
      <c r="AA205" s="109"/>
      <c r="AB205" s="109"/>
      <c r="AC205" s="109"/>
    </row>
    <row r="206" spans="1:29" ht="14.4" x14ac:dyDescent="0.3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39"/>
      <c r="M206" s="109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09"/>
      <c r="Y206" s="109"/>
      <c r="Z206" s="109"/>
      <c r="AA206" s="109"/>
      <c r="AB206" s="109"/>
      <c r="AC206" s="109"/>
    </row>
    <row r="207" spans="1:29" ht="14.4" x14ac:dyDescent="0.3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39"/>
      <c r="M207" s="109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09"/>
      <c r="Y207" s="109"/>
      <c r="Z207" s="109"/>
      <c r="AA207" s="109"/>
      <c r="AB207" s="109"/>
      <c r="AC207" s="109"/>
    </row>
    <row r="208" spans="1:29" ht="14.4" x14ac:dyDescent="0.3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39"/>
      <c r="M208" s="109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09"/>
      <c r="Y208" s="109"/>
      <c r="Z208" s="109"/>
      <c r="AA208" s="109"/>
      <c r="AB208" s="109"/>
      <c r="AC208" s="109"/>
    </row>
    <row r="209" spans="1:29" ht="14.4" x14ac:dyDescent="0.3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39"/>
      <c r="M209" s="109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09"/>
      <c r="Y209" s="109"/>
      <c r="Z209" s="109"/>
      <c r="AA209" s="109"/>
      <c r="AB209" s="109"/>
      <c r="AC209" s="109"/>
    </row>
    <row r="210" spans="1:29" ht="14.4" x14ac:dyDescent="0.3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39"/>
      <c r="M210" s="109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09"/>
      <c r="Y210" s="109"/>
      <c r="Z210" s="109"/>
      <c r="AA210" s="109"/>
      <c r="AB210" s="109"/>
      <c r="AC210" s="109"/>
    </row>
    <row r="211" spans="1:29" ht="14.4" x14ac:dyDescent="0.3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39"/>
      <c r="M211" s="109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09"/>
      <c r="Y211" s="109"/>
      <c r="Z211" s="109"/>
      <c r="AA211" s="109"/>
      <c r="AB211" s="109"/>
      <c r="AC211" s="109"/>
    </row>
    <row r="212" spans="1:29" ht="14.4" x14ac:dyDescent="0.3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39"/>
      <c r="M212" s="109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09"/>
      <c r="Y212" s="109"/>
      <c r="Z212" s="109"/>
      <c r="AA212" s="109"/>
      <c r="AB212" s="109"/>
      <c r="AC212" s="109"/>
    </row>
    <row r="213" spans="1:29" ht="14.4" x14ac:dyDescent="0.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39"/>
      <c r="M213" s="109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09"/>
      <c r="Y213" s="109"/>
      <c r="Z213" s="109"/>
      <c r="AA213" s="109"/>
      <c r="AB213" s="109"/>
      <c r="AC213" s="109"/>
    </row>
    <row r="214" spans="1:29" ht="14.4" x14ac:dyDescent="0.3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39"/>
      <c r="M214" s="109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09"/>
      <c r="Y214" s="109"/>
      <c r="Z214" s="109"/>
      <c r="AA214" s="109"/>
      <c r="AB214" s="109"/>
      <c r="AC214" s="109"/>
    </row>
    <row r="215" spans="1:29" ht="14.4" x14ac:dyDescent="0.3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39"/>
      <c r="M215" s="109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09"/>
      <c r="Y215" s="109"/>
      <c r="Z215" s="109"/>
      <c r="AA215" s="109"/>
      <c r="AB215" s="109"/>
      <c r="AC215" s="109"/>
    </row>
    <row r="216" spans="1:29" ht="14.4" x14ac:dyDescent="0.3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39"/>
      <c r="M216" s="109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09"/>
      <c r="Y216" s="109"/>
      <c r="Z216" s="109"/>
      <c r="AA216" s="109"/>
      <c r="AB216" s="109"/>
      <c r="AC216" s="109"/>
    </row>
    <row r="217" spans="1:29" ht="14.4" x14ac:dyDescent="0.3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39"/>
      <c r="M217" s="109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09"/>
      <c r="Y217" s="109"/>
      <c r="Z217" s="109"/>
      <c r="AA217" s="109"/>
      <c r="AB217" s="109"/>
      <c r="AC217" s="109"/>
    </row>
    <row r="218" spans="1:29" ht="14.4" x14ac:dyDescent="0.3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39"/>
      <c r="M218" s="109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09"/>
      <c r="Y218" s="109"/>
      <c r="Z218" s="109"/>
      <c r="AA218" s="109"/>
      <c r="AB218" s="109"/>
      <c r="AC218" s="109"/>
    </row>
    <row r="219" spans="1:29" ht="14.4" x14ac:dyDescent="0.3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39"/>
      <c r="M219" s="109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09"/>
      <c r="Y219" s="109"/>
      <c r="Z219" s="109"/>
      <c r="AA219" s="109"/>
      <c r="AB219" s="109"/>
      <c r="AC219" s="109"/>
    </row>
    <row r="220" spans="1:29" ht="14.4" x14ac:dyDescent="0.3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39"/>
      <c r="M220" s="109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09"/>
      <c r="Y220" s="109"/>
      <c r="Z220" s="109"/>
      <c r="AA220" s="109"/>
      <c r="AB220" s="109"/>
      <c r="AC220" s="109"/>
    </row>
    <row r="221" spans="1:29" ht="14.4" x14ac:dyDescent="0.3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39"/>
      <c r="M221" s="109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09"/>
      <c r="Y221" s="109"/>
      <c r="Z221" s="109"/>
      <c r="AA221" s="109"/>
      <c r="AB221" s="109"/>
      <c r="AC221" s="109"/>
    </row>
    <row r="222" spans="1:29" ht="14.4" x14ac:dyDescent="0.3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39"/>
      <c r="M222" s="109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09"/>
      <c r="Y222" s="109"/>
      <c r="Z222" s="109"/>
      <c r="AA222" s="109"/>
      <c r="AB222" s="109"/>
      <c r="AC222" s="109"/>
    </row>
    <row r="223" spans="1:29" ht="14.4" x14ac:dyDescent="0.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39"/>
      <c r="M223" s="109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09"/>
      <c r="Y223" s="109"/>
      <c r="Z223" s="109"/>
      <c r="AA223" s="109"/>
      <c r="AB223" s="109"/>
      <c r="AC223" s="109"/>
    </row>
    <row r="224" spans="1:29" ht="14.4" x14ac:dyDescent="0.3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39"/>
      <c r="M224" s="109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09"/>
      <c r="Y224" s="109"/>
      <c r="Z224" s="109"/>
      <c r="AA224" s="109"/>
      <c r="AB224" s="109"/>
      <c r="AC224" s="109"/>
    </row>
    <row r="225" spans="1:29" ht="14.4" x14ac:dyDescent="0.3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39"/>
      <c r="M225" s="109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09"/>
      <c r="Y225" s="109"/>
      <c r="Z225" s="109"/>
      <c r="AA225" s="109"/>
      <c r="AB225" s="109"/>
      <c r="AC225" s="109"/>
    </row>
    <row r="226" spans="1:29" ht="14.4" x14ac:dyDescent="0.3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39"/>
      <c r="M226" s="109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09"/>
      <c r="Y226" s="109"/>
      <c r="Z226" s="109"/>
      <c r="AA226" s="109"/>
      <c r="AB226" s="109"/>
      <c r="AC226" s="109"/>
    </row>
    <row r="227" spans="1:29" ht="14.4" x14ac:dyDescent="0.3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39"/>
      <c r="M227" s="109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09"/>
      <c r="Y227" s="109"/>
      <c r="Z227" s="109"/>
      <c r="AA227" s="109"/>
      <c r="AB227" s="109"/>
      <c r="AC227" s="109"/>
    </row>
    <row r="228" spans="1:29" ht="14.4" x14ac:dyDescent="0.3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39"/>
      <c r="M228" s="109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09"/>
      <c r="Y228" s="109"/>
      <c r="Z228" s="109"/>
      <c r="AA228" s="109"/>
      <c r="AB228" s="109"/>
      <c r="AC228" s="109"/>
    </row>
    <row r="229" spans="1:29" ht="14.4" x14ac:dyDescent="0.3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39"/>
      <c r="M229" s="109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09"/>
      <c r="Y229" s="109"/>
      <c r="Z229" s="109"/>
      <c r="AA229" s="109"/>
      <c r="AB229" s="109"/>
      <c r="AC229" s="109"/>
    </row>
    <row r="230" spans="1:29" ht="14.4" x14ac:dyDescent="0.3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39"/>
      <c r="M230" s="109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09"/>
      <c r="Y230" s="109"/>
      <c r="Z230" s="109"/>
      <c r="AA230" s="109"/>
      <c r="AB230" s="109"/>
      <c r="AC230" s="109"/>
    </row>
    <row r="231" spans="1:29" ht="14.4" x14ac:dyDescent="0.3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39"/>
      <c r="M231" s="109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09"/>
      <c r="Y231" s="109"/>
      <c r="Z231" s="109"/>
      <c r="AA231" s="109"/>
      <c r="AB231" s="109"/>
      <c r="AC231" s="109"/>
    </row>
    <row r="232" spans="1:29" ht="14.4" x14ac:dyDescent="0.3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39"/>
      <c r="M232" s="109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09"/>
      <c r="Y232" s="109"/>
      <c r="Z232" s="109"/>
      <c r="AA232" s="109"/>
      <c r="AB232" s="109"/>
      <c r="AC232" s="109"/>
    </row>
    <row r="233" spans="1:29" ht="14.4" x14ac:dyDescent="0.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39"/>
      <c r="M233" s="109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09"/>
      <c r="Y233" s="109"/>
      <c r="Z233" s="109"/>
      <c r="AA233" s="109"/>
      <c r="AB233" s="109"/>
      <c r="AC233" s="109"/>
    </row>
    <row r="234" spans="1:29" ht="14.4" x14ac:dyDescent="0.3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39"/>
      <c r="M234" s="109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09"/>
      <c r="Y234" s="109"/>
      <c r="Z234" s="109"/>
      <c r="AA234" s="109"/>
      <c r="AB234" s="109"/>
      <c r="AC234" s="109"/>
    </row>
    <row r="235" spans="1:29" ht="14.4" x14ac:dyDescent="0.3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39"/>
      <c r="M235" s="109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09"/>
      <c r="Y235" s="109"/>
      <c r="Z235" s="109"/>
      <c r="AA235" s="109"/>
      <c r="AB235" s="109"/>
      <c r="AC235" s="109"/>
    </row>
    <row r="236" spans="1:29" ht="14.4" x14ac:dyDescent="0.3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39"/>
      <c r="M236" s="109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09"/>
      <c r="Y236" s="109"/>
      <c r="Z236" s="109"/>
      <c r="AA236" s="109"/>
      <c r="AB236" s="109"/>
      <c r="AC236" s="109"/>
    </row>
    <row r="237" spans="1:29" ht="14.4" x14ac:dyDescent="0.3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39"/>
      <c r="M237" s="109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09"/>
      <c r="Y237" s="109"/>
      <c r="Z237" s="109"/>
      <c r="AA237" s="109"/>
      <c r="AB237" s="109"/>
      <c r="AC237" s="109"/>
    </row>
    <row r="238" spans="1:29" ht="14.4" x14ac:dyDescent="0.3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39"/>
      <c r="M238" s="109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09"/>
      <c r="Y238" s="109"/>
      <c r="Z238" s="109"/>
      <c r="AA238" s="109"/>
      <c r="AB238" s="109"/>
      <c r="AC238" s="109"/>
    </row>
    <row r="239" spans="1:29" ht="14.4" x14ac:dyDescent="0.3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39"/>
      <c r="M239" s="109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09"/>
      <c r="Y239" s="109"/>
      <c r="Z239" s="109"/>
      <c r="AA239" s="109"/>
      <c r="AB239" s="109"/>
      <c r="AC239" s="109"/>
    </row>
    <row r="240" spans="1:29" ht="14.4" x14ac:dyDescent="0.3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39"/>
      <c r="M240" s="109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09"/>
      <c r="Y240" s="109"/>
      <c r="Z240" s="109"/>
      <c r="AA240" s="109"/>
      <c r="AB240" s="109"/>
      <c r="AC240" s="109"/>
    </row>
    <row r="241" spans="1:29" ht="14.4" x14ac:dyDescent="0.3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39"/>
      <c r="M241" s="109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09"/>
      <c r="Y241" s="109"/>
      <c r="Z241" s="109"/>
      <c r="AA241" s="109"/>
      <c r="AB241" s="109"/>
      <c r="AC241" s="109"/>
    </row>
    <row r="242" spans="1:29" ht="14.4" x14ac:dyDescent="0.3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39"/>
      <c r="M242" s="109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09"/>
      <c r="Y242" s="109"/>
      <c r="Z242" s="109"/>
      <c r="AA242" s="109"/>
      <c r="AB242" s="109"/>
      <c r="AC242" s="109"/>
    </row>
    <row r="243" spans="1:29" ht="14.4" x14ac:dyDescent="0.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39"/>
      <c r="M243" s="109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09"/>
      <c r="Y243" s="109"/>
      <c r="Z243" s="109"/>
      <c r="AA243" s="109"/>
      <c r="AB243" s="109"/>
      <c r="AC243" s="109"/>
    </row>
    <row r="244" spans="1:29" ht="14.4" x14ac:dyDescent="0.3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39"/>
      <c r="M244" s="109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09"/>
      <c r="Y244" s="109"/>
      <c r="Z244" s="109"/>
      <c r="AA244" s="109"/>
      <c r="AB244" s="109"/>
      <c r="AC244" s="109"/>
    </row>
    <row r="245" spans="1:29" ht="14.4" x14ac:dyDescent="0.3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39"/>
      <c r="M245" s="109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09"/>
      <c r="Y245" s="109"/>
      <c r="Z245" s="109"/>
      <c r="AA245" s="109"/>
      <c r="AB245" s="109"/>
      <c r="AC245" s="109"/>
    </row>
    <row r="246" spans="1:29" ht="14.4" x14ac:dyDescent="0.3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39"/>
      <c r="M246" s="109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09"/>
      <c r="Y246" s="109"/>
      <c r="Z246" s="109"/>
      <c r="AA246" s="109"/>
      <c r="AB246" s="109"/>
      <c r="AC246" s="109"/>
    </row>
    <row r="247" spans="1:29" ht="14.4" x14ac:dyDescent="0.3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39"/>
      <c r="M247" s="109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09"/>
      <c r="Y247" s="109"/>
      <c r="Z247" s="109"/>
      <c r="AA247" s="109"/>
      <c r="AB247" s="109"/>
      <c r="AC247" s="109"/>
    </row>
    <row r="248" spans="1:29" ht="14.4" x14ac:dyDescent="0.3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39"/>
      <c r="M248" s="109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09"/>
      <c r="Y248" s="109"/>
      <c r="Z248" s="109"/>
      <c r="AA248" s="109"/>
      <c r="AB248" s="109"/>
      <c r="AC248" s="109"/>
    </row>
    <row r="249" spans="1:29" ht="14.4" x14ac:dyDescent="0.3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39"/>
      <c r="M249" s="109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09"/>
      <c r="Y249" s="109"/>
      <c r="Z249" s="109"/>
      <c r="AA249" s="109"/>
      <c r="AB249" s="109"/>
      <c r="AC249" s="109"/>
    </row>
    <row r="250" spans="1:29" ht="14.4" x14ac:dyDescent="0.3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39"/>
      <c r="M250" s="109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09"/>
      <c r="Y250" s="109"/>
      <c r="Z250" s="109"/>
      <c r="AA250" s="109"/>
      <c r="AB250" s="109"/>
      <c r="AC250" s="109"/>
    </row>
    <row r="251" spans="1:29" ht="14.4" x14ac:dyDescent="0.3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39"/>
      <c r="M251" s="109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09"/>
      <c r="Y251" s="109"/>
      <c r="Z251" s="109"/>
      <c r="AA251" s="109"/>
      <c r="AB251" s="109"/>
      <c r="AC251" s="109"/>
    </row>
    <row r="252" spans="1:29" ht="14.4" x14ac:dyDescent="0.3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39"/>
      <c r="M252" s="109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09"/>
      <c r="Y252" s="109"/>
      <c r="Z252" s="109"/>
      <c r="AA252" s="109"/>
      <c r="AB252" s="109"/>
      <c r="AC252" s="109"/>
    </row>
    <row r="253" spans="1:29" ht="14.4" x14ac:dyDescent="0.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39"/>
      <c r="M253" s="109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09"/>
      <c r="Y253" s="109"/>
      <c r="Z253" s="109"/>
      <c r="AA253" s="109"/>
      <c r="AB253" s="109"/>
      <c r="AC253" s="109"/>
    </row>
    <row r="254" spans="1:29" ht="14.4" x14ac:dyDescent="0.3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39"/>
      <c r="M254" s="109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09"/>
      <c r="Y254" s="109"/>
      <c r="Z254" s="109"/>
      <c r="AA254" s="109"/>
      <c r="AB254" s="109"/>
      <c r="AC254" s="109"/>
    </row>
    <row r="255" spans="1:29" ht="14.4" x14ac:dyDescent="0.3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39"/>
      <c r="M255" s="109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09"/>
      <c r="Y255" s="109"/>
      <c r="Z255" s="109"/>
      <c r="AA255" s="109"/>
      <c r="AB255" s="109"/>
      <c r="AC255" s="109"/>
    </row>
    <row r="256" spans="1:29" ht="14.4" x14ac:dyDescent="0.3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39"/>
      <c r="M256" s="109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09"/>
      <c r="Y256" s="109"/>
      <c r="Z256" s="109"/>
      <c r="AA256" s="109"/>
      <c r="AB256" s="109"/>
      <c r="AC256" s="109"/>
    </row>
    <row r="257" spans="1:29" ht="14.4" x14ac:dyDescent="0.3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39"/>
      <c r="M257" s="109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09"/>
      <c r="Y257" s="109"/>
      <c r="Z257" s="109"/>
      <c r="AA257" s="109"/>
      <c r="AB257" s="109"/>
      <c r="AC257" s="109"/>
    </row>
    <row r="258" spans="1:29" ht="14.4" x14ac:dyDescent="0.3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39"/>
      <c r="M258" s="109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09"/>
      <c r="Y258" s="109"/>
      <c r="Z258" s="109"/>
      <c r="AA258" s="109"/>
      <c r="AB258" s="109"/>
      <c r="AC258" s="109"/>
    </row>
    <row r="259" spans="1:29" ht="14.4" x14ac:dyDescent="0.3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39"/>
      <c r="M259" s="109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09"/>
      <c r="Y259" s="109"/>
      <c r="Z259" s="109"/>
      <c r="AA259" s="109"/>
      <c r="AB259" s="109"/>
      <c r="AC259" s="109"/>
    </row>
    <row r="260" spans="1:29" ht="14.4" x14ac:dyDescent="0.3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39"/>
      <c r="M260" s="109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09"/>
      <c r="Y260" s="109"/>
      <c r="Z260" s="109"/>
      <c r="AA260" s="109"/>
      <c r="AB260" s="109"/>
      <c r="AC260" s="109"/>
    </row>
    <row r="261" spans="1:29" ht="14.4" x14ac:dyDescent="0.3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39"/>
      <c r="M261" s="109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09"/>
      <c r="Y261" s="109"/>
      <c r="Z261" s="109"/>
      <c r="AA261" s="109"/>
      <c r="AB261" s="109"/>
      <c r="AC261" s="109"/>
    </row>
    <row r="262" spans="1:29" ht="14.4" x14ac:dyDescent="0.3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39"/>
      <c r="M262" s="109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09"/>
      <c r="Y262" s="109"/>
      <c r="Z262" s="109"/>
      <c r="AA262" s="109"/>
      <c r="AB262" s="109"/>
      <c r="AC262" s="109"/>
    </row>
    <row r="263" spans="1:29" ht="14.4" x14ac:dyDescent="0.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39"/>
      <c r="M263" s="109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09"/>
      <c r="Y263" s="109"/>
      <c r="Z263" s="109"/>
      <c r="AA263" s="109"/>
      <c r="AB263" s="109"/>
      <c r="AC263" s="109"/>
    </row>
    <row r="264" spans="1:29" ht="14.4" x14ac:dyDescent="0.3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39"/>
      <c r="M264" s="109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09"/>
      <c r="Y264" s="109"/>
      <c r="Z264" s="109"/>
      <c r="AA264" s="109"/>
      <c r="AB264" s="109"/>
      <c r="AC264" s="109"/>
    </row>
    <row r="265" spans="1:29" ht="14.4" x14ac:dyDescent="0.3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39"/>
      <c r="M265" s="109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09"/>
      <c r="Y265" s="109"/>
      <c r="Z265" s="109"/>
      <c r="AA265" s="109"/>
      <c r="AB265" s="109"/>
      <c r="AC265" s="109"/>
    </row>
    <row r="266" spans="1:29" ht="14.4" x14ac:dyDescent="0.3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39"/>
      <c r="M266" s="109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09"/>
      <c r="Y266" s="109"/>
      <c r="Z266" s="109"/>
      <c r="AA266" s="109"/>
      <c r="AB266" s="109"/>
      <c r="AC266" s="109"/>
    </row>
    <row r="267" spans="1:29" ht="14.4" x14ac:dyDescent="0.3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39"/>
      <c r="M267" s="109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09"/>
      <c r="Y267" s="109"/>
      <c r="Z267" s="109"/>
      <c r="AA267" s="109"/>
      <c r="AB267" s="109"/>
      <c r="AC267" s="109"/>
    </row>
    <row r="268" spans="1:29" ht="14.4" x14ac:dyDescent="0.3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39"/>
      <c r="M268" s="109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09"/>
      <c r="Y268" s="109"/>
      <c r="Z268" s="109"/>
      <c r="AA268" s="109"/>
      <c r="AB268" s="109"/>
      <c r="AC268" s="109"/>
    </row>
    <row r="269" spans="1:29" ht="14.4" x14ac:dyDescent="0.3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39"/>
      <c r="M269" s="109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09"/>
      <c r="Y269" s="109"/>
      <c r="Z269" s="109"/>
      <c r="AA269" s="109"/>
      <c r="AB269" s="109"/>
      <c r="AC269" s="109"/>
    </row>
    <row r="270" spans="1:29" ht="14.4" x14ac:dyDescent="0.3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39"/>
      <c r="M270" s="109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09"/>
      <c r="Y270" s="109"/>
      <c r="Z270" s="109"/>
      <c r="AA270" s="109"/>
      <c r="AB270" s="109"/>
      <c r="AC270" s="109"/>
    </row>
    <row r="271" spans="1:29" ht="14.4" x14ac:dyDescent="0.3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39"/>
      <c r="M271" s="109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09"/>
      <c r="Y271" s="109"/>
      <c r="Z271" s="109"/>
      <c r="AA271" s="109"/>
      <c r="AB271" s="109"/>
      <c r="AC271" s="109"/>
    </row>
    <row r="272" spans="1:29" ht="14.4" x14ac:dyDescent="0.3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39"/>
      <c r="M272" s="109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09"/>
      <c r="Y272" s="109"/>
      <c r="Z272" s="109"/>
      <c r="AA272" s="109"/>
      <c r="AB272" s="109"/>
      <c r="AC272" s="109"/>
    </row>
    <row r="273" spans="1:29" ht="14.4" x14ac:dyDescent="0.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39"/>
      <c r="M273" s="109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09"/>
      <c r="Y273" s="109"/>
      <c r="Z273" s="109"/>
      <c r="AA273" s="109"/>
      <c r="AB273" s="109"/>
      <c r="AC273" s="109"/>
    </row>
    <row r="274" spans="1:29" ht="14.4" x14ac:dyDescent="0.3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39"/>
      <c r="M274" s="109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09"/>
      <c r="Y274" s="109"/>
      <c r="Z274" s="109"/>
      <c r="AA274" s="109"/>
      <c r="AB274" s="109"/>
      <c r="AC274" s="109"/>
    </row>
    <row r="275" spans="1:29" ht="14.4" x14ac:dyDescent="0.3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39"/>
      <c r="M275" s="109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09"/>
      <c r="Y275" s="109"/>
      <c r="Z275" s="109"/>
      <c r="AA275" s="109"/>
      <c r="AB275" s="109"/>
      <c r="AC275" s="109"/>
    </row>
    <row r="276" spans="1:29" ht="14.4" x14ac:dyDescent="0.3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39"/>
      <c r="M276" s="109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09"/>
      <c r="Y276" s="109"/>
      <c r="Z276" s="109"/>
      <c r="AA276" s="109"/>
      <c r="AB276" s="109"/>
      <c r="AC276" s="109"/>
    </row>
    <row r="277" spans="1:29" ht="14.4" x14ac:dyDescent="0.3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39"/>
      <c r="M277" s="109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09"/>
      <c r="Y277" s="109"/>
      <c r="Z277" s="109"/>
      <c r="AA277" s="109"/>
      <c r="AB277" s="109"/>
      <c r="AC277" s="109"/>
    </row>
    <row r="278" spans="1:29" ht="14.4" x14ac:dyDescent="0.3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39"/>
      <c r="M278" s="109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09"/>
      <c r="Y278" s="109"/>
      <c r="Z278" s="109"/>
      <c r="AA278" s="109"/>
      <c r="AB278" s="109"/>
      <c r="AC278" s="109"/>
    </row>
    <row r="279" spans="1:29" ht="14.4" x14ac:dyDescent="0.3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39"/>
      <c r="M279" s="109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09"/>
      <c r="Y279" s="109"/>
      <c r="Z279" s="109"/>
      <c r="AA279" s="109"/>
      <c r="AB279" s="109"/>
      <c r="AC279" s="109"/>
    </row>
    <row r="280" spans="1:29" ht="14.4" x14ac:dyDescent="0.3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39"/>
      <c r="M280" s="109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09"/>
      <c r="Y280" s="109"/>
      <c r="Z280" s="109"/>
      <c r="AA280" s="109"/>
      <c r="AB280" s="109"/>
      <c r="AC280" s="109"/>
    </row>
    <row r="281" spans="1:29" ht="14.4" x14ac:dyDescent="0.3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39"/>
      <c r="M281" s="109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09"/>
      <c r="Y281" s="109"/>
      <c r="Z281" s="109"/>
      <c r="AA281" s="109"/>
      <c r="AB281" s="109"/>
      <c r="AC281" s="109"/>
    </row>
    <row r="282" spans="1:29" ht="14.4" x14ac:dyDescent="0.3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39"/>
      <c r="M282" s="109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09"/>
      <c r="Y282" s="109"/>
      <c r="Z282" s="109"/>
      <c r="AA282" s="109"/>
      <c r="AB282" s="109"/>
      <c r="AC282" s="109"/>
    </row>
    <row r="283" spans="1:29" ht="14.4" x14ac:dyDescent="0.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39"/>
      <c r="M283" s="109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09"/>
      <c r="Y283" s="109"/>
      <c r="Z283" s="109"/>
      <c r="AA283" s="109"/>
      <c r="AB283" s="109"/>
      <c r="AC283" s="109"/>
    </row>
    <row r="284" spans="1:29" ht="14.4" x14ac:dyDescent="0.3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39"/>
      <c r="M284" s="109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09"/>
      <c r="Y284" s="109"/>
      <c r="Z284" s="109"/>
      <c r="AA284" s="109"/>
      <c r="AB284" s="109"/>
      <c r="AC284" s="109"/>
    </row>
    <row r="285" spans="1:29" ht="14.4" x14ac:dyDescent="0.3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39"/>
      <c r="M285" s="109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09"/>
      <c r="Y285" s="109"/>
      <c r="Z285" s="109"/>
      <c r="AA285" s="109"/>
      <c r="AB285" s="109"/>
      <c r="AC285" s="109"/>
    </row>
    <row r="286" spans="1:29" ht="14.4" x14ac:dyDescent="0.3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39"/>
      <c r="M286" s="109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09"/>
      <c r="Y286" s="109"/>
      <c r="Z286" s="109"/>
      <c r="AA286" s="109"/>
      <c r="AB286" s="109"/>
      <c r="AC286" s="109"/>
    </row>
    <row r="287" spans="1:29" ht="14.4" x14ac:dyDescent="0.3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39"/>
      <c r="M287" s="109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09"/>
      <c r="Y287" s="109"/>
      <c r="Z287" s="109"/>
      <c r="AA287" s="109"/>
      <c r="AB287" s="109"/>
      <c r="AC287" s="109"/>
    </row>
    <row r="288" spans="1:29" ht="14.4" x14ac:dyDescent="0.3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39"/>
      <c r="M288" s="109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09"/>
      <c r="Y288" s="109"/>
      <c r="Z288" s="109"/>
      <c r="AA288" s="109"/>
      <c r="AB288" s="109"/>
      <c r="AC288" s="109"/>
    </row>
    <row r="289" spans="1:29" ht="14.4" x14ac:dyDescent="0.3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39"/>
      <c r="M289" s="109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09"/>
      <c r="Y289" s="109"/>
      <c r="Z289" s="109"/>
      <c r="AA289" s="109"/>
      <c r="AB289" s="109"/>
      <c r="AC289" s="109"/>
    </row>
    <row r="290" spans="1:29" ht="14.4" x14ac:dyDescent="0.3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39"/>
      <c r="M290" s="109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09"/>
      <c r="Y290" s="109"/>
      <c r="Z290" s="109"/>
      <c r="AA290" s="109"/>
      <c r="AB290" s="109"/>
      <c r="AC290" s="109"/>
    </row>
    <row r="291" spans="1:29" ht="14.4" x14ac:dyDescent="0.3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39"/>
      <c r="M291" s="109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09"/>
      <c r="Y291" s="109"/>
      <c r="Z291" s="109"/>
      <c r="AA291" s="109"/>
      <c r="AB291" s="109"/>
      <c r="AC291" s="109"/>
    </row>
    <row r="292" spans="1:29" ht="14.4" x14ac:dyDescent="0.3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39"/>
      <c r="M292" s="109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09"/>
      <c r="Y292" s="109"/>
      <c r="Z292" s="109"/>
      <c r="AA292" s="109"/>
      <c r="AB292" s="109"/>
      <c r="AC292" s="109"/>
    </row>
    <row r="293" spans="1:29" ht="14.4" x14ac:dyDescent="0.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39"/>
      <c r="M293" s="109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09"/>
      <c r="Y293" s="109"/>
      <c r="Z293" s="109"/>
      <c r="AA293" s="109"/>
      <c r="AB293" s="109"/>
      <c r="AC293" s="109"/>
    </row>
    <row r="294" spans="1:29" ht="14.4" x14ac:dyDescent="0.3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39"/>
      <c r="M294" s="109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09"/>
      <c r="Y294" s="109"/>
      <c r="Z294" s="109"/>
      <c r="AA294" s="109"/>
      <c r="AB294" s="109"/>
      <c r="AC294" s="109"/>
    </row>
    <row r="295" spans="1:29" ht="14.4" x14ac:dyDescent="0.3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39"/>
      <c r="M295" s="109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09"/>
      <c r="Y295" s="109"/>
      <c r="Z295" s="109"/>
      <c r="AA295" s="109"/>
      <c r="AB295" s="109"/>
      <c r="AC295" s="109"/>
    </row>
    <row r="296" spans="1:29" ht="14.4" x14ac:dyDescent="0.3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39"/>
      <c r="M296" s="109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09"/>
      <c r="Y296" s="109"/>
      <c r="Z296" s="109"/>
      <c r="AA296" s="109"/>
      <c r="AB296" s="109"/>
      <c r="AC296" s="109"/>
    </row>
    <row r="297" spans="1:29" ht="14.4" x14ac:dyDescent="0.3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39"/>
      <c r="M297" s="109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09"/>
      <c r="Y297" s="109"/>
      <c r="Z297" s="109"/>
      <c r="AA297" s="109"/>
      <c r="AB297" s="109"/>
      <c r="AC297" s="109"/>
    </row>
    <row r="298" spans="1:29" ht="14.4" x14ac:dyDescent="0.3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39"/>
      <c r="M298" s="109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09"/>
      <c r="Y298" s="109"/>
      <c r="Z298" s="109"/>
      <c r="AA298" s="109"/>
      <c r="AB298" s="109"/>
      <c r="AC298" s="109"/>
    </row>
    <row r="299" spans="1:29" ht="14.4" x14ac:dyDescent="0.3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39"/>
      <c r="M299" s="109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09"/>
      <c r="Y299" s="109"/>
      <c r="Z299" s="109"/>
      <c r="AA299" s="109"/>
      <c r="AB299" s="109"/>
      <c r="AC299" s="109"/>
    </row>
    <row r="300" spans="1:29" ht="14.4" x14ac:dyDescent="0.3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39"/>
      <c r="M300" s="109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09"/>
      <c r="Y300" s="109"/>
      <c r="Z300" s="109"/>
      <c r="AA300" s="109"/>
      <c r="AB300" s="109"/>
      <c r="AC300" s="109"/>
    </row>
    <row r="301" spans="1:29" ht="14.4" x14ac:dyDescent="0.3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39"/>
      <c r="M301" s="109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09"/>
      <c r="Y301" s="109"/>
      <c r="Z301" s="109"/>
      <c r="AA301" s="109"/>
      <c r="AB301" s="109"/>
      <c r="AC301" s="109"/>
    </row>
    <row r="302" spans="1:29" ht="14.4" x14ac:dyDescent="0.3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39"/>
      <c r="M302" s="109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09"/>
      <c r="Y302" s="109"/>
      <c r="Z302" s="109"/>
      <c r="AA302" s="109"/>
      <c r="AB302" s="109"/>
      <c r="AC302" s="109"/>
    </row>
    <row r="303" spans="1:29" ht="14.4" x14ac:dyDescent="0.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39"/>
      <c r="M303" s="109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09"/>
      <c r="Y303" s="109"/>
      <c r="Z303" s="109"/>
      <c r="AA303" s="109"/>
      <c r="AB303" s="109"/>
      <c r="AC303" s="109"/>
    </row>
    <row r="304" spans="1:29" ht="14.4" x14ac:dyDescent="0.3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39"/>
      <c r="M304" s="109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09"/>
      <c r="Y304" s="109"/>
      <c r="Z304" s="109"/>
      <c r="AA304" s="109"/>
      <c r="AB304" s="109"/>
      <c r="AC304" s="109"/>
    </row>
    <row r="305" spans="1:29" ht="14.4" x14ac:dyDescent="0.3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39"/>
      <c r="M305" s="109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09"/>
      <c r="Y305" s="109"/>
      <c r="Z305" s="109"/>
      <c r="AA305" s="109"/>
      <c r="AB305" s="109"/>
      <c r="AC305" s="109"/>
    </row>
    <row r="306" spans="1:29" ht="14.4" x14ac:dyDescent="0.3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39"/>
      <c r="M306" s="109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09"/>
      <c r="Y306" s="109"/>
      <c r="Z306" s="109"/>
      <c r="AA306" s="109"/>
      <c r="AB306" s="109"/>
      <c r="AC306" s="109"/>
    </row>
    <row r="307" spans="1:29" ht="14.4" x14ac:dyDescent="0.3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39"/>
      <c r="M307" s="109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09"/>
      <c r="Y307" s="109"/>
      <c r="Z307" s="109"/>
      <c r="AA307" s="109"/>
      <c r="AB307" s="109"/>
      <c r="AC307" s="109"/>
    </row>
    <row r="308" spans="1:29" ht="14.4" x14ac:dyDescent="0.3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39"/>
      <c r="M308" s="109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09"/>
      <c r="Y308" s="109"/>
      <c r="Z308" s="109"/>
      <c r="AA308" s="109"/>
      <c r="AB308" s="109"/>
      <c r="AC308" s="109"/>
    </row>
    <row r="309" spans="1:29" ht="14.4" x14ac:dyDescent="0.3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39"/>
      <c r="M309" s="109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09"/>
      <c r="Y309" s="109"/>
      <c r="Z309" s="109"/>
      <c r="AA309" s="109"/>
      <c r="AB309" s="109"/>
      <c r="AC309" s="109"/>
    </row>
    <row r="310" spans="1:29" ht="14.4" x14ac:dyDescent="0.3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39"/>
      <c r="M310" s="109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09"/>
      <c r="Y310" s="109"/>
      <c r="Z310" s="109"/>
      <c r="AA310" s="109"/>
      <c r="AB310" s="109"/>
      <c r="AC310" s="109"/>
    </row>
    <row r="311" spans="1:29" ht="14.4" x14ac:dyDescent="0.3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39"/>
      <c r="M311" s="109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09"/>
      <c r="Y311" s="109"/>
      <c r="Z311" s="109"/>
      <c r="AA311" s="109"/>
      <c r="AB311" s="109"/>
      <c r="AC311" s="109"/>
    </row>
    <row r="312" spans="1:29" ht="14.4" x14ac:dyDescent="0.3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39"/>
      <c r="M312" s="109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09"/>
      <c r="Y312" s="109"/>
      <c r="Z312" s="109"/>
      <c r="AA312" s="109"/>
      <c r="AB312" s="109"/>
      <c r="AC312" s="109"/>
    </row>
    <row r="313" spans="1:29" ht="14.4" x14ac:dyDescent="0.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39"/>
      <c r="M313" s="109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09"/>
      <c r="Y313" s="109"/>
      <c r="Z313" s="109"/>
      <c r="AA313" s="109"/>
      <c r="AB313" s="109"/>
      <c r="AC313" s="109"/>
    </row>
    <row r="314" spans="1:29" ht="14.4" x14ac:dyDescent="0.3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39"/>
      <c r="M314" s="109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09"/>
      <c r="Y314" s="109"/>
      <c r="Z314" s="109"/>
      <c r="AA314" s="109"/>
      <c r="AB314" s="109"/>
      <c r="AC314" s="109"/>
    </row>
    <row r="315" spans="1:29" ht="14.4" x14ac:dyDescent="0.3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39"/>
      <c r="M315" s="109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09"/>
      <c r="Y315" s="109"/>
      <c r="Z315" s="109"/>
      <c r="AA315" s="109"/>
      <c r="AB315" s="109"/>
      <c r="AC315" s="109"/>
    </row>
    <row r="316" spans="1:29" ht="14.4" x14ac:dyDescent="0.3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39"/>
      <c r="M316" s="109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09"/>
      <c r="Y316" s="109"/>
      <c r="Z316" s="109"/>
      <c r="AA316" s="109"/>
      <c r="AB316" s="109"/>
      <c r="AC316" s="109"/>
    </row>
    <row r="317" spans="1:29" ht="14.4" x14ac:dyDescent="0.3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39"/>
      <c r="M317" s="109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09"/>
      <c r="Y317" s="109"/>
      <c r="Z317" s="109"/>
      <c r="AA317" s="109"/>
      <c r="AB317" s="109"/>
      <c r="AC317" s="109"/>
    </row>
    <row r="318" spans="1:29" ht="14.4" x14ac:dyDescent="0.3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39"/>
      <c r="M318" s="109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09"/>
      <c r="Y318" s="109"/>
      <c r="Z318" s="109"/>
      <c r="AA318" s="109"/>
      <c r="AB318" s="109"/>
      <c r="AC318" s="109"/>
    </row>
    <row r="319" spans="1:29" ht="14.4" x14ac:dyDescent="0.3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39"/>
      <c r="M319" s="109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09"/>
      <c r="Y319" s="109"/>
      <c r="Z319" s="109"/>
      <c r="AA319" s="109"/>
      <c r="AB319" s="109"/>
      <c r="AC319" s="109"/>
    </row>
    <row r="320" spans="1:29" ht="14.4" x14ac:dyDescent="0.3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39"/>
      <c r="M320" s="109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09"/>
      <c r="Y320" s="109"/>
      <c r="Z320" s="109"/>
      <c r="AA320" s="109"/>
      <c r="AB320" s="109"/>
      <c r="AC320" s="109"/>
    </row>
    <row r="321" spans="1:29" ht="14.4" x14ac:dyDescent="0.3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39"/>
      <c r="M321" s="109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09"/>
      <c r="Y321" s="109"/>
      <c r="Z321" s="109"/>
      <c r="AA321" s="109"/>
      <c r="AB321" s="109"/>
      <c r="AC321" s="109"/>
    </row>
    <row r="322" spans="1:29" ht="14.4" x14ac:dyDescent="0.3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39"/>
      <c r="M322" s="109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09"/>
      <c r="Y322" s="109"/>
      <c r="Z322" s="109"/>
      <c r="AA322" s="109"/>
      <c r="AB322" s="109"/>
      <c r="AC322" s="109"/>
    </row>
    <row r="323" spans="1:29" ht="14.4" x14ac:dyDescent="0.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39"/>
      <c r="M323" s="109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09"/>
      <c r="Y323" s="109"/>
      <c r="Z323" s="109"/>
      <c r="AA323" s="109"/>
      <c r="AB323" s="109"/>
      <c r="AC323" s="109"/>
    </row>
    <row r="324" spans="1:29" ht="14.4" x14ac:dyDescent="0.3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39"/>
      <c r="M324" s="109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09"/>
      <c r="Y324" s="109"/>
      <c r="Z324" s="109"/>
      <c r="AA324" s="109"/>
      <c r="AB324" s="109"/>
      <c r="AC324" s="109"/>
    </row>
    <row r="325" spans="1:29" ht="14.4" x14ac:dyDescent="0.3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39"/>
      <c r="M325" s="109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09"/>
      <c r="Y325" s="109"/>
      <c r="Z325" s="109"/>
      <c r="AA325" s="109"/>
      <c r="AB325" s="109"/>
      <c r="AC325" s="109"/>
    </row>
    <row r="326" spans="1:29" ht="14.4" x14ac:dyDescent="0.3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39"/>
      <c r="M326" s="109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09"/>
      <c r="Y326" s="109"/>
      <c r="Z326" s="109"/>
      <c r="AA326" s="109"/>
      <c r="AB326" s="109"/>
      <c r="AC326" s="109"/>
    </row>
    <row r="327" spans="1:29" ht="14.4" x14ac:dyDescent="0.3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39"/>
      <c r="M327" s="109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09"/>
      <c r="Y327" s="109"/>
      <c r="Z327" s="109"/>
      <c r="AA327" s="109"/>
      <c r="AB327" s="109"/>
      <c r="AC327" s="109"/>
    </row>
    <row r="328" spans="1:29" ht="14.4" x14ac:dyDescent="0.3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39"/>
      <c r="M328" s="109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09"/>
      <c r="Y328" s="109"/>
      <c r="Z328" s="109"/>
      <c r="AA328" s="109"/>
      <c r="AB328" s="109"/>
      <c r="AC328" s="109"/>
    </row>
    <row r="329" spans="1:29" ht="14.4" x14ac:dyDescent="0.3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39"/>
      <c r="M329" s="109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09"/>
      <c r="Y329" s="109"/>
      <c r="Z329" s="109"/>
      <c r="AA329" s="109"/>
      <c r="AB329" s="109"/>
      <c r="AC329" s="109"/>
    </row>
    <row r="330" spans="1:29" ht="14.4" x14ac:dyDescent="0.3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39"/>
      <c r="M330" s="109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09"/>
      <c r="Y330" s="109"/>
      <c r="Z330" s="109"/>
      <c r="AA330" s="109"/>
      <c r="AB330" s="109"/>
      <c r="AC330" s="109"/>
    </row>
    <row r="331" spans="1:29" ht="14.4" x14ac:dyDescent="0.3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39"/>
      <c r="M331" s="109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09"/>
      <c r="Y331" s="109"/>
      <c r="Z331" s="109"/>
      <c r="AA331" s="109"/>
      <c r="AB331" s="109"/>
      <c r="AC331" s="109"/>
    </row>
    <row r="332" spans="1:29" ht="14.4" x14ac:dyDescent="0.3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39"/>
      <c r="M332" s="109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09"/>
      <c r="Y332" s="109"/>
      <c r="Z332" s="109"/>
      <c r="AA332" s="109"/>
      <c r="AB332" s="109"/>
      <c r="AC332" s="109"/>
    </row>
    <row r="333" spans="1:29" ht="14.4" x14ac:dyDescent="0.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39"/>
      <c r="M333" s="109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09"/>
      <c r="Y333" s="109"/>
      <c r="Z333" s="109"/>
      <c r="AA333" s="109"/>
      <c r="AB333" s="109"/>
      <c r="AC333" s="109"/>
    </row>
    <row r="334" spans="1:29" ht="14.4" x14ac:dyDescent="0.3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39"/>
      <c r="M334" s="109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09"/>
      <c r="Y334" s="109"/>
      <c r="Z334" s="109"/>
      <c r="AA334" s="109"/>
      <c r="AB334" s="109"/>
      <c r="AC334" s="109"/>
    </row>
    <row r="335" spans="1:29" ht="14.4" x14ac:dyDescent="0.3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39"/>
      <c r="M335" s="109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09"/>
      <c r="Y335" s="109"/>
      <c r="Z335" s="109"/>
      <c r="AA335" s="109"/>
      <c r="AB335" s="109"/>
      <c r="AC335" s="109"/>
    </row>
    <row r="336" spans="1:29" ht="14.4" x14ac:dyDescent="0.3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39"/>
      <c r="M336" s="109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09"/>
      <c r="Y336" s="109"/>
      <c r="Z336" s="109"/>
      <c r="AA336" s="109"/>
      <c r="AB336" s="109"/>
      <c r="AC336" s="109"/>
    </row>
    <row r="337" spans="1:29" ht="14.4" x14ac:dyDescent="0.3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39"/>
      <c r="M337" s="109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09"/>
      <c r="Y337" s="109"/>
      <c r="Z337" s="109"/>
      <c r="AA337" s="109"/>
      <c r="AB337" s="109"/>
      <c r="AC337" s="109"/>
    </row>
    <row r="338" spans="1:29" ht="14.4" x14ac:dyDescent="0.3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39"/>
      <c r="M338" s="109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09"/>
      <c r="Y338" s="109"/>
      <c r="Z338" s="109"/>
      <c r="AA338" s="109"/>
      <c r="AB338" s="109"/>
      <c r="AC338" s="109"/>
    </row>
    <row r="339" spans="1:29" ht="14.4" x14ac:dyDescent="0.3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39"/>
      <c r="M339" s="109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09"/>
      <c r="Y339" s="109"/>
      <c r="Z339" s="109"/>
      <c r="AA339" s="109"/>
      <c r="AB339" s="109"/>
      <c r="AC339" s="109"/>
    </row>
    <row r="340" spans="1:29" ht="14.4" x14ac:dyDescent="0.3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39"/>
      <c r="M340" s="109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09"/>
      <c r="Y340" s="109"/>
      <c r="Z340" s="109"/>
      <c r="AA340" s="109"/>
      <c r="AB340" s="109"/>
      <c r="AC340" s="109"/>
    </row>
    <row r="341" spans="1:29" ht="14.4" x14ac:dyDescent="0.3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39"/>
      <c r="M341" s="109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09"/>
      <c r="Y341" s="109"/>
      <c r="Z341" s="109"/>
      <c r="AA341" s="109"/>
      <c r="AB341" s="109"/>
      <c r="AC341" s="109"/>
    </row>
    <row r="342" spans="1:29" ht="14.4" x14ac:dyDescent="0.3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39"/>
      <c r="M342" s="109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09"/>
      <c r="Y342" s="109"/>
      <c r="Z342" s="109"/>
      <c r="AA342" s="109"/>
      <c r="AB342" s="109"/>
      <c r="AC342" s="109"/>
    </row>
    <row r="343" spans="1:29" ht="14.4" x14ac:dyDescent="0.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39"/>
      <c r="M343" s="109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09"/>
      <c r="Y343" s="109"/>
      <c r="Z343" s="109"/>
      <c r="AA343" s="109"/>
      <c r="AB343" s="109"/>
      <c r="AC343" s="109"/>
    </row>
    <row r="344" spans="1:29" ht="14.4" x14ac:dyDescent="0.3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39"/>
      <c r="M344" s="109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09"/>
      <c r="Y344" s="109"/>
      <c r="Z344" s="109"/>
      <c r="AA344" s="109"/>
      <c r="AB344" s="109"/>
      <c r="AC344" s="109"/>
    </row>
    <row r="345" spans="1:29" ht="14.4" x14ac:dyDescent="0.3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39"/>
      <c r="M345" s="109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09"/>
      <c r="Y345" s="109"/>
      <c r="Z345" s="109"/>
      <c r="AA345" s="109"/>
      <c r="AB345" s="109"/>
      <c r="AC345" s="109"/>
    </row>
    <row r="346" spans="1:29" ht="14.4" x14ac:dyDescent="0.3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39"/>
      <c r="M346" s="109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09"/>
      <c r="Y346" s="109"/>
      <c r="Z346" s="109"/>
      <c r="AA346" s="109"/>
      <c r="AB346" s="109"/>
      <c r="AC346" s="109"/>
    </row>
    <row r="347" spans="1:29" ht="14.4" x14ac:dyDescent="0.3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39"/>
      <c r="M347" s="109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09"/>
      <c r="Y347" s="109"/>
      <c r="Z347" s="109"/>
      <c r="AA347" s="109"/>
      <c r="AB347" s="109"/>
      <c r="AC347" s="109"/>
    </row>
    <row r="348" spans="1:29" ht="14.4" x14ac:dyDescent="0.3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39"/>
      <c r="M348" s="109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09"/>
      <c r="Y348" s="109"/>
      <c r="Z348" s="109"/>
      <c r="AA348" s="109"/>
      <c r="AB348" s="109"/>
      <c r="AC348" s="109"/>
    </row>
    <row r="349" spans="1:29" ht="14.4" x14ac:dyDescent="0.3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39"/>
      <c r="M349" s="109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09"/>
      <c r="Y349" s="109"/>
      <c r="Z349" s="109"/>
      <c r="AA349" s="109"/>
      <c r="AB349" s="109"/>
      <c r="AC349" s="109"/>
    </row>
    <row r="350" spans="1:29" ht="14.4" x14ac:dyDescent="0.3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39"/>
      <c r="M350" s="109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09"/>
      <c r="Y350" s="109"/>
      <c r="Z350" s="109"/>
      <c r="AA350" s="109"/>
      <c r="AB350" s="109"/>
      <c r="AC350" s="109"/>
    </row>
    <row r="351" spans="1:29" ht="14.4" x14ac:dyDescent="0.3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39"/>
      <c r="M351" s="109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09"/>
      <c r="Y351" s="109"/>
      <c r="Z351" s="109"/>
      <c r="AA351" s="109"/>
      <c r="AB351" s="109"/>
      <c r="AC351" s="109"/>
    </row>
    <row r="352" spans="1:29" ht="14.4" x14ac:dyDescent="0.3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39"/>
      <c r="M352" s="109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09"/>
      <c r="Y352" s="109"/>
      <c r="Z352" s="109"/>
      <c r="AA352" s="109"/>
      <c r="AB352" s="109"/>
      <c r="AC352" s="109"/>
    </row>
    <row r="353" spans="1:29" ht="14.4" x14ac:dyDescent="0.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39"/>
      <c r="M353" s="109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09"/>
      <c r="Y353" s="109"/>
      <c r="Z353" s="109"/>
      <c r="AA353" s="109"/>
      <c r="AB353" s="109"/>
      <c r="AC353" s="109"/>
    </row>
    <row r="354" spans="1:29" ht="14.4" x14ac:dyDescent="0.3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39"/>
      <c r="M354" s="109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09"/>
      <c r="Y354" s="109"/>
      <c r="Z354" s="109"/>
      <c r="AA354" s="109"/>
      <c r="AB354" s="109"/>
      <c r="AC354" s="109"/>
    </row>
    <row r="355" spans="1:29" ht="14.4" x14ac:dyDescent="0.3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39"/>
      <c r="M355" s="109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09"/>
      <c r="Y355" s="109"/>
      <c r="Z355" s="109"/>
      <c r="AA355" s="109"/>
      <c r="AB355" s="109"/>
      <c r="AC355" s="109"/>
    </row>
    <row r="356" spans="1:29" ht="14.4" x14ac:dyDescent="0.3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39"/>
      <c r="M356" s="109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09"/>
      <c r="Y356" s="109"/>
      <c r="Z356" s="109"/>
      <c r="AA356" s="109"/>
      <c r="AB356" s="109"/>
      <c r="AC356" s="109"/>
    </row>
    <row r="357" spans="1:29" ht="14.4" x14ac:dyDescent="0.3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39"/>
      <c r="M357" s="109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09"/>
      <c r="Y357" s="109"/>
      <c r="Z357" s="109"/>
      <c r="AA357" s="109"/>
      <c r="AB357" s="109"/>
      <c r="AC357" s="109"/>
    </row>
    <row r="358" spans="1:29" ht="14.4" x14ac:dyDescent="0.3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39"/>
      <c r="M358" s="109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09"/>
      <c r="Y358" s="109"/>
      <c r="Z358" s="109"/>
      <c r="AA358" s="109"/>
      <c r="AB358" s="109"/>
      <c r="AC358" s="109"/>
    </row>
    <row r="359" spans="1:29" ht="14.4" x14ac:dyDescent="0.3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39"/>
      <c r="M359" s="109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09"/>
      <c r="Y359" s="109"/>
      <c r="Z359" s="109"/>
      <c r="AA359" s="109"/>
      <c r="AB359" s="109"/>
      <c r="AC359" s="109"/>
    </row>
    <row r="360" spans="1:29" ht="14.4" x14ac:dyDescent="0.3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39"/>
      <c r="M360" s="109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09"/>
      <c r="Y360" s="109"/>
      <c r="Z360" s="109"/>
      <c r="AA360" s="109"/>
      <c r="AB360" s="109"/>
      <c r="AC360" s="109"/>
    </row>
    <row r="361" spans="1:29" ht="14.4" x14ac:dyDescent="0.3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39"/>
      <c r="M361" s="109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09"/>
      <c r="Y361" s="109"/>
      <c r="Z361" s="109"/>
      <c r="AA361" s="109"/>
      <c r="AB361" s="109"/>
      <c r="AC361" s="109"/>
    </row>
    <row r="362" spans="1:29" ht="14.4" x14ac:dyDescent="0.3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39"/>
      <c r="M362" s="109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09"/>
      <c r="Y362" s="109"/>
      <c r="Z362" s="109"/>
      <c r="AA362" s="109"/>
      <c r="AB362" s="109"/>
      <c r="AC362" s="109"/>
    </row>
    <row r="363" spans="1:29" ht="14.4" x14ac:dyDescent="0.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39"/>
      <c r="M363" s="109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09"/>
      <c r="Y363" s="109"/>
      <c r="Z363" s="109"/>
      <c r="AA363" s="109"/>
      <c r="AB363" s="109"/>
      <c r="AC363" s="109"/>
    </row>
    <row r="364" spans="1:29" ht="14.4" x14ac:dyDescent="0.3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39"/>
      <c r="M364" s="109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09"/>
      <c r="Y364" s="109"/>
      <c r="Z364" s="109"/>
      <c r="AA364" s="109"/>
      <c r="AB364" s="109"/>
      <c r="AC364" s="109"/>
    </row>
    <row r="365" spans="1:29" ht="14.4" x14ac:dyDescent="0.3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39"/>
      <c r="M365" s="109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09"/>
      <c r="Y365" s="109"/>
      <c r="Z365" s="109"/>
      <c r="AA365" s="109"/>
      <c r="AB365" s="109"/>
      <c r="AC365" s="109"/>
    </row>
    <row r="366" spans="1:29" ht="14.4" x14ac:dyDescent="0.3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39"/>
      <c r="M366" s="109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09"/>
      <c r="Y366" s="109"/>
      <c r="Z366" s="109"/>
      <c r="AA366" s="109"/>
      <c r="AB366" s="109"/>
      <c r="AC366" s="109"/>
    </row>
    <row r="367" spans="1:29" ht="14.4" x14ac:dyDescent="0.3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39"/>
      <c r="M367" s="109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09"/>
      <c r="Y367" s="109"/>
      <c r="Z367" s="109"/>
      <c r="AA367" s="109"/>
      <c r="AB367" s="109"/>
      <c r="AC367" s="109"/>
    </row>
    <row r="368" spans="1:29" ht="14.4" x14ac:dyDescent="0.3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39"/>
      <c r="M368" s="109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09"/>
      <c r="Y368" s="109"/>
      <c r="Z368" s="109"/>
      <c r="AA368" s="109"/>
      <c r="AB368" s="109"/>
      <c r="AC368" s="109"/>
    </row>
    <row r="369" spans="1:29" ht="14.4" x14ac:dyDescent="0.3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39"/>
      <c r="M369" s="109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09"/>
      <c r="Y369" s="109"/>
      <c r="Z369" s="109"/>
      <c r="AA369" s="109"/>
      <c r="AB369" s="109"/>
      <c r="AC369" s="109"/>
    </row>
    <row r="370" spans="1:29" ht="14.4" x14ac:dyDescent="0.3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39"/>
      <c r="M370" s="109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09"/>
      <c r="Y370" s="109"/>
      <c r="Z370" s="109"/>
      <c r="AA370" s="109"/>
      <c r="AB370" s="109"/>
      <c r="AC370" s="109"/>
    </row>
    <row r="371" spans="1:29" ht="14.4" x14ac:dyDescent="0.3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39"/>
      <c r="M371" s="109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09"/>
      <c r="Y371" s="109"/>
      <c r="Z371" s="109"/>
      <c r="AA371" s="109"/>
      <c r="AB371" s="109"/>
      <c r="AC371" s="109"/>
    </row>
    <row r="372" spans="1:29" ht="14.4" x14ac:dyDescent="0.3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39"/>
      <c r="M372" s="109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09"/>
      <c r="Y372" s="109"/>
      <c r="Z372" s="109"/>
      <c r="AA372" s="109"/>
      <c r="AB372" s="109"/>
      <c r="AC372" s="109"/>
    </row>
    <row r="373" spans="1:29" ht="14.4" x14ac:dyDescent="0.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39"/>
      <c r="M373" s="109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09"/>
      <c r="Y373" s="109"/>
      <c r="Z373" s="109"/>
      <c r="AA373" s="109"/>
      <c r="AB373" s="109"/>
      <c r="AC373" s="109"/>
    </row>
    <row r="374" spans="1:29" ht="14.4" x14ac:dyDescent="0.3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39"/>
      <c r="M374" s="109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09"/>
      <c r="Y374" s="109"/>
      <c r="Z374" s="109"/>
      <c r="AA374" s="109"/>
      <c r="AB374" s="109"/>
      <c r="AC374" s="109"/>
    </row>
    <row r="375" spans="1:29" ht="14.4" x14ac:dyDescent="0.3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39"/>
      <c r="M375" s="109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09"/>
      <c r="Y375" s="109"/>
      <c r="Z375" s="109"/>
      <c r="AA375" s="109"/>
      <c r="AB375" s="109"/>
      <c r="AC375" s="109"/>
    </row>
    <row r="376" spans="1:29" ht="14.4" x14ac:dyDescent="0.3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39"/>
      <c r="M376" s="109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09"/>
      <c r="Y376" s="109"/>
      <c r="Z376" s="109"/>
      <c r="AA376" s="109"/>
      <c r="AB376" s="109"/>
      <c r="AC376" s="109"/>
    </row>
    <row r="377" spans="1:29" ht="14.4" x14ac:dyDescent="0.3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39"/>
      <c r="M377" s="109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09"/>
      <c r="Y377" s="109"/>
      <c r="Z377" s="109"/>
      <c r="AA377" s="109"/>
      <c r="AB377" s="109"/>
      <c r="AC377" s="109"/>
    </row>
    <row r="378" spans="1:29" ht="14.4" x14ac:dyDescent="0.3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39"/>
      <c r="M378" s="109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09"/>
      <c r="Y378" s="109"/>
      <c r="Z378" s="109"/>
      <c r="AA378" s="109"/>
      <c r="AB378" s="109"/>
      <c r="AC378" s="109"/>
    </row>
    <row r="379" spans="1:29" ht="14.4" x14ac:dyDescent="0.3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39"/>
      <c r="M379" s="109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09"/>
      <c r="Y379" s="109"/>
      <c r="Z379" s="109"/>
      <c r="AA379" s="109"/>
      <c r="AB379" s="109"/>
      <c r="AC379" s="109"/>
    </row>
    <row r="380" spans="1:29" ht="14.4" x14ac:dyDescent="0.3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39"/>
      <c r="M380" s="109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09"/>
      <c r="Y380" s="109"/>
      <c r="Z380" s="109"/>
      <c r="AA380" s="109"/>
      <c r="AB380" s="109"/>
      <c r="AC380" s="109"/>
    </row>
    <row r="381" spans="1:29" ht="14.4" x14ac:dyDescent="0.3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39"/>
      <c r="M381" s="109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09"/>
      <c r="Y381" s="109"/>
      <c r="Z381" s="109"/>
      <c r="AA381" s="109"/>
      <c r="AB381" s="109"/>
      <c r="AC381" s="109"/>
    </row>
    <row r="382" spans="1:29" ht="14.4" x14ac:dyDescent="0.3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39"/>
      <c r="M382" s="109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09"/>
      <c r="Y382" s="109"/>
      <c r="Z382" s="109"/>
      <c r="AA382" s="109"/>
      <c r="AB382" s="109"/>
      <c r="AC382" s="109"/>
    </row>
    <row r="383" spans="1:29" ht="14.4" x14ac:dyDescent="0.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39"/>
      <c r="M383" s="109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09"/>
      <c r="Y383" s="109"/>
      <c r="Z383" s="109"/>
      <c r="AA383" s="109"/>
      <c r="AB383" s="109"/>
      <c r="AC383" s="109"/>
    </row>
    <row r="384" spans="1:29" ht="14.4" x14ac:dyDescent="0.3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39"/>
      <c r="M384" s="109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09"/>
      <c r="Y384" s="109"/>
      <c r="Z384" s="109"/>
      <c r="AA384" s="109"/>
      <c r="AB384" s="109"/>
      <c r="AC384" s="109"/>
    </row>
    <row r="385" spans="1:29" ht="14.4" x14ac:dyDescent="0.3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39"/>
      <c r="M385" s="109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09"/>
      <c r="Y385" s="109"/>
      <c r="Z385" s="109"/>
      <c r="AA385" s="109"/>
      <c r="AB385" s="109"/>
      <c r="AC385" s="109"/>
    </row>
    <row r="386" spans="1:29" ht="14.4" x14ac:dyDescent="0.3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39"/>
      <c r="M386" s="109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09"/>
      <c r="Y386" s="109"/>
      <c r="Z386" s="109"/>
      <c r="AA386" s="109"/>
      <c r="AB386" s="109"/>
      <c r="AC386" s="109"/>
    </row>
    <row r="387" spans="1:29" ht="14.4" x14ac:dyDescent="0.3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39"/>
      <c r="M387" s="109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09"/>
      <c r="Y387" s="109"/>
      <c r="Z387" s="109"/>
      <c r="AA387" s="109"/>
      <c r="AB387" s="109"/>
      <c r="AC387" s="109"/>
    </row>
    <row r="388" spans="1:29" ht="14.4" x14ac:dyDescent="0.3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39"/>
      <c r="M388" s="109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09"/>
      <c r="Y388" s="109"/>
      <c r="Z388" s="109"/>
      <c r="AA388" s="109"/>
      <c r="AB388" s="109"/>
      <c r="AC388" s="109"/>
    </row>
    <row r="389" spans="1:29" ht="14.4" x14ac:dyDescent="0.3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39"/>
      <c r="M389" s="109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09"/>
      <c r="Y389" s="109"/>
      <c r="Z389" s="109"/>
      <c r="AA389" s="109"/>
      <c r="AB389" s="109"/>
      <c r="AC389" s="109"/>
    </row>
    <row r="390" spans="1:29" ht="14.4" x14ac:dyDescent="0.3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39"/>
      <c r="M390" s="109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09"/>
      <c r="Y390" s="109"/>
      <c r="Z390" s="109"/>
      <c r="AA390" s="109"/>
      <c r="AB390" s="109"/>
      <c r="AC390" s="109"/>
    </row>
    <row r="391" spans="1:29" ht="14.4" x14ac:dyDescent="0.3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39"/>
      <c r="M391" s="109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09"/>
      <c r="Y391" s="109"/>
      <c r="Z391" s="109"/>
      <c r="AA391" s="109"/>
      <c r="AB391" s="109"/>
      <c r="AC391" s="109"/>
    </row>
    <row r="392" spans="1:29" ht="14.4" x14ac:dyDescent="0.3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39"/>
      <c r="M392" s="109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09"/>
      <c r="Y392" s="109"/>
      <c r="Z392" s="109"/>
      <c r="AA392" s="109"/>
      <c r="AB392" s="109"/>
      <c r="AC392" s="109"/>
    </row>
    <row r="393" spans="1:29" ht="14.4" x14ac:dyDescent="0.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39"/>
      <c r="M393" s="109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09"/>
      <c r="Y393" s="109"/>
      <c r="Z393" s="109"/>
      <c r="AA393" s="109"/>
      <c r="AB393" s="109"/>
      <c r="AC393" s="109"/>
    </row>
    <row r="394" spans="1:29" ht="14.4" x14ac:dyDescent="0.3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39"/>
      <c r="M394" s="109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09"/>
      <c r="Y394" s="109"/>
      <c r="Z394" s="109"/>
      <c r="AA394" s="109"/>
      <c r="AB394" s="109"/>
      <c r="AC394" s="109"/>
    </row>
    <row r="395" spans="1:29" ht="14.4" x14ac:dyDescent="0.3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39"/>
      <c r="M395" s="109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09"/>
      <c r="Y395" s="109"/>
      <c r="Z395" s="109"/>
      <c r="AA395" s="109"/>
      <c r="AB395" s="109"/>
      <c r="AC395" s="109"/>
    </row>
    <row r="396" spans="1:29" ht="14.4" x14ac:dyDescent="0.3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39"/>
      <c r="M396" s="109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09"/>
      <c r="Y396" s="109"/>
      <c r="Z396" s="109"/>
      <c r="AA396" s="109"/>
      <c r="AB396" s="109"/>
      <c r="AC396" s="109"/>
    </row>
    <row r="397" spans="1:29" ht="14.4" x14ac:dyDescent="0.3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39"/>
      <c r="M397" s="109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09"/>
      <c r="Y397" s="109"/>
      <c r="Z397" s="109"/>
      <c r="AA397" s="109"/>
      <c r="AB397" s="109"/>
      <c r="AC397" s="109"/>
    </row>
    <row r="398" spans="1:29" ht="14.4" x14ac:dyDescent="0.3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39"/>
      <c r="M398" s="109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09"/>
      <c r="Y398" s="109"/>
      <c r="Z398" s="109"/>
      <c r="AA398" s="109"/>
      <c r="AB398" s="109"/>
      <c r="AC398" s="109"/>
    </row>
    <row r="399" spans="1:29" ht="14.4" x14ac:dyDescent="0.3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39"/>
      <c r="M399" s="109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09"/>
      <c r="Y399" s="109"/>
      <c r="Z399" s="109"/>
      <c r="AA399" s="109"/>
      <c r="AB399" s="109"/>
      <c r="AC399" s="109"/>
    </row>
    <row r="400" spans="1:29" ht="14.4" x14ac:dyDescent="0.3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39"/>
      <c r="M400" s="109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09"/>
      <c r="Y400" s="109"/>
      <c r="Z400" s="109"/>
      <c r="AA400" s="109"/>
      <c r="AB400" s="109"/>
      <c r="AC400" s="109"/>
    </row>
    <row r="401" spans="1:29" ht="14.4" x14ac:dyDescent="0.3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39"/>
      <c r="M401" s="109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09"/>
      <c r="Y401" s="109"/>
      <c r="Z401" s="109"/>
      <c r="AA401" s="109"/>
      <c r="AB401" s="109"/>
      <c r="AC401" s="109"/>
    </row>
    <row r="402" spans="1:29" ht="14.4" x14ac:dyDescent="0.3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39"/>
      <c r="M402" s="109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09"/>
      <c r="Y402" s="109"/>
      <c r="Z402" s="109"/>
      <c r="AA402" s="109"/>
      <c r="AB402" s="109"/>
      <c r="AC402" s="109"/>
    </row>
    <row r="403" spans="1:29" ht="14.4" x14ac:dyDescent="0.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39"/>
      <c r="M403" s="109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09"/>
      <c r="Y403" s="109"/>
      <c r="Z403" s="109"/>
      <c r="AA403" s="109"/>
      <c r="AB403" s="109"/>
      <c r="AC403" s="109"/>
    </row>
    <row r="404" spans="1:29" ht="14.4" x14ac:dyDescent="0.3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39"/>
      <c r="M404" s="109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09"/>
      <c r="Y404" s="109"/>
      <c r="Z404" s="109"/>
      <c r="AA404" s="109"/>
      <c r="AB404" s="109"/>
      <c r="AC404" s="109"/>
    </row>
    <row r="405" spans="1:29" ht="14.4" x14ac:dyDescent="0.3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39"/>
      <c r="M405" s="109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09"/>
      <c r="Y405" s="109"/>
      <c r="Z405" s="109"/>
      <c r="AA405" s="109"/>
      <c r="AB405" s="109"/>
      <c r="AC405" s="109"/>
    </row>
    <row r="406" spans="1:29" ht="14.4" x14ac:dyDescent="0.3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39"/>
      <c r="M406" s="109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09"/>
      <c r="Y406" s="109"/>
      <c r="Z406" s="109"/>
      <c r="AA406" s="109"/>
      <c r="AB406" s="109"/>
      <c r="AC406" s="109"/>
    </row>
    <row r="407" spans="1:29" ht="14.4" x14ac:dyDescent="0.3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39"/>
      <c r="M407" s="109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09"/>
      <c r="Y407" s="109"/>
      <c r="Z407" s="109"/>
      <c r="AA407" s="109"/>
      <c r="AB407" s="109"/>
      <c r="AC407" s="109"/>
    </row>
    <row r="408" spans="1:29" ht="14.4" x14ac:dyDescent="0.3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39"/>
      <c r="M408" s="109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09"/>
      <c r="Y408" s="109"/>
      <c r="Z408" s="109"/>
      <c r="AA408" s="109"/>
      <c r="AB408" s="109"/>
      <c r="AC408" s="109"/>
    </row>
    <row r="409" spans="1:29" ht="14.4" x14ac:dyDescent="0.3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39"/>
      <c r="M409" s="109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09"/>
      <c r="Y409" s="109"/>
      <c r="Z409" s="109"/>
      <c r="AA409" s="109"/>
      <c r="AB409" s="109"/>
      <c r="AC409" s="109"/>
    </row>
    <row r="410" spans="1:29" ht="14.4" x14ac:dyDescent="0.3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39"/>
      <c r="M410" s="109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09"/>
      <c r="Y410" s="109"/>
      <c r="Z410" s="109"/>
      <c r="AA410" s="109"/>
      <c r="AB410" s="109"/>
      <c r="AC410" s="109"/>
    </row>
    <row r="411" spans="1:29" ht="14.4" x14ac:dyDescent="0.3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39"/>
      <c r="M411" s="109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09"/>
      <c r="Y411" s="109"/>
      <c r="Z411" s="109"/>
      <c r="AA411" s="109"/>
      <c r="AB411" s="109"/>
      <c r="AC411" s="109"/>
    </row>
    <row r="412" spans="1:29" ht="14.4" x14ac:dyDescent="0.3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39"/>
      <c r="M412" s="109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09"/>
      <c r="Y412" s="109"/>
      <c r="Z412" s="109"/>
      <c r="AA412" s="109"/>
      <c r="AB412" s="109"/>
      <c r="AC412" s="109"/>
    </row>
    <row r="413" spans="1:29" ht="14.4" x14ac:dyDescent="0.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39"/>
      <c r="M413" s="109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09"/>
      <c r="Y413" s="109"/>
      <c r="Z413" s="109"/>
      <c r="AA413" s="109"/>
      <c r="AB413" s="109"/>
      <c r="AC413" s="109"/>
    </row>
    <row r="414" spans="1:29" ht="14.4" x14ac:dyDescent="0.3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39"/>
      <c r="M414" s="109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09"/>
      <c r="Y414" s="109"/>
      <c r="Z414" s="109"/>
      <c r="AA414" s="109"/>
      <c r="AB414" s="109"/>
      <c r="AC414" s="109"/>
    </row>
    <row r="415" spans="1:29" ht="14.4" x14ac:dyDescent="0.3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39"/>
      <c r="M415" s="109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09"/>
      <c r="Y415" s="109"/>
      <c r="Z415" s="109"/>
      <c r="AA415" s="109"/>
      <c r="AB415" s="109"/>
      <c r="AC415" s="109"/>
    </row>
    <row r="416" spans="1:29" ht="14.4" x14ac:dyDescent="0.3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39"/>
      <c r="M416" s="109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09"/>
      <c r="Y416" s="109"/>
      <c r="Z416" s="109"/>
      <c r="AA416" s="109"/>
      <c r="AB416" s="109"/>
      <c r="AC416" s="109"/>
    </row>
    <row r="417" spans="1:29" ht="14.4" x14ac:dyDescent="0.3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39"/>
      <c r="M417" s="109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09"/>
      <c r="Y417" s="109"/>
      <c r="Z417" s="109"/>
      <c r="AA417" s="109"/>
      <c r="AB417" s="109"/>
      <c r="AC417" s="109"/>
    </row>
    <row r="418" spans="1:29" ht="14.4" x14ac:dyDescent="0.3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39"/>
      <c r="M418" s="109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09"/>
      <c r="Y418" s="109"/>
      <c r="Z418" s="109"/>
      <c r="AA418" s="109"/>
      <c r="AB418" s="109"/>
      <c r="AC418" s="109"/>
    </row>
    <row r="419" spans="1:29" ht="14.4" x14ac:dyDescent="0.3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39"/>
      <c r="M419" s="109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09"/>
      <c r="Y419" s="109"/>
      <c r="Z419" s="109"/>
      <c r="AA419" s="109"/>
      <c r="AB419" s="109"/>
      <c r="AC419" s="109"/>
    </row>
    <row r="420" spans="1:29" ht="14.4" x14ac:dyDescent="0.3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39"/>
      <c r="M420" s="109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09"/>
      <c r="Y420" s="109"/>
      <c r="Z420" s="109"/>
      <c r="AA420" s="109"/>
      <c r="AB420" s="109"/>
      <c r="AC420" s="109"/>
    </row>
    <row r="421" spans="1:29" ht="14.4" x14ac:dyDescent="0.3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39"/>
      <c r="M421" s="109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09"/>
      <c r="Y421" s="109"/>
      <c r="Z421" s="109"/>
      <c r="AA421" s="109"/>
      <c r="AB421" s="109"/>
      <c r="AC421" s="109"/>
    </row>
    <row r="422" spans="1:29" ht="14.4" x14ac:dyDescent="0.3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39"/>
      <c r="M422" s="109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09"/>
      <c r="Y422" s="109"/>
      <c r="Z422" s="109"/>
      <c r="AA422" s="109"/>
      <c r="AB422" s="109"/>
      <c r="AC422" s="109"/>
    </row>
    <row r="423" spans="1:29" ht="14.4" x14ac:dyDescent="0.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39"/>
      <c r="M423" s="109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09"/>
      <c r="Y423" s="109"/>
      <c r="Z423" s="109"/>
      <c r="AA423" s="109"/>
      <c r="AB423" s="109"/>
      <c r="AC423" s="109"/>
    </row>
    <row r="424" spans="1:29" ht="14.4" x14ac:dyDescent="0.3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39"/>
      <c r="M424" s="109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09"/>
      <c r="Y424" s="109"/>
      <c r="Z424" s="109"/>
      <c r="AA424" s="109"/>
      <c r="AB424" s="109"/>
      <c r="AC424" s="109"/>
    </row>
    <row r="425" spans="1:29" ht="14.4" x14ac:dyDescent="0.3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39"/>
      <c r="M425" s="109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09"/>
      <c r="Y425" s="109"/>
      <c r="Z425" s="109"/>
      <c r="AA425" s="109"/>
      <c r="AB425" s="109"/>
      <c r="AC425" s="109"/>
    </row>
    <row r="426" spans="1:29" ht="14.4" x14ac:dyDescent="0.3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39"/>
      <c r="M426" s="109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09"/>
      <c r="Y426" s="109"/>
      <c r="Z426" s="109"/>
      <c r="AA426" s="109"/>
      <c r="AB426" s="109"/>
      <c r="AC426" s="109"/>
    </row>
    <row r="427" spans="1:29" ht="14.4" x14ac:dyDescent="0.3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39"/>
      <c r="M427" s="109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09"/>
      <c r="Y427" s="109"/>
      <c r="Z427" s="109"/>
      <c r="AA427" s="109"/>
      <c r="AB427" s="109"/>
      <c r="AC427" s="109"/>
    </row>
    <row r="428" spans="1:29" ht="14.4" x14ac:dyDescent="0.3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39"/>
      <c r="M428" s="109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09"/>
      <c r="Y428" s="109"/>
      <c r="Z428" s="109"/>
      <c r="AA428" s="109"/>
      <c r="AB428" s="109"/>
      <c r="AC428" s="109"/>
    </row>
    <row r="429" spans="1:29" ht="14.4" x14ac:dyDescent="0.3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39"/>
      <c r="M429" s="109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09"/>
      <c r="Y429" s="109"/>
      <c r="Z429" s="109"/>
      <c r="AA429" s="109"/>
      <c r="AB429" s="109"/>
      <c r="AC429" s="109"/>
    </row>
    <row r="430" spans="1:29" ht="14.4" x14ac:dyDescent="0.3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39"/>
      <c r="M430" s="109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09"/>
      <c r="Y430" s="109"/>
      <c r="Z430" s="109"/>
      <c r="AA430" s="109"/>
      <c r="AB430" s="109"/>
      <c r="AC430" s="109"/>
    </row>
    <row r="431" spans="1:29" ht="14.4" x14ac:dyDescent="0.3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39"/>
      <c r="M431" s="109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09"/>
      <c r="Y431" s="109"/>
      <c r="Z431" s="109"/>
      <c r="AA431" s="109"/>
      <c r="AB431" s="109"/>
      <c r="AC431" s="109"/>
    </row>
    <row r="432" spans="1:29" ht="14.4" x14ac:dyDescent="0.3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39"/>
      <c r="M432" s="109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09"/>
      <c r="Y432" s="109"/>
      <c r="Z432" s="109"/>
      <c r="AA432" s="109"/>
      <c r="AB432" s="109"/>
      <c r="AC432" s="109"/>
    </row>
    <row r="433" spans="1:29" ht="14.4" x14ac:dyDescent="0.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39"/>
      <c r="M433" s="109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09"/>
      <c r="Y433" s="109"/>
      <c r="Z433" s="109"/>
      <c r="AA433" s="109"/>
      <c r="AB433" s="109"/>
      <c r="AC433" s="109"/>
    </row>
    <row r="434" spans="1:29" ht="14.4" x14ac:dyDescent="0.3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39"/>
      <c r="M434" s="109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09"/>
      <c r="Y434" s="109"/>
      <c r="Z434" s="109"/>
      <c r="AA434" s="109"/>
      <c r="AB434" s="109"/>
      <c r="AC434" s="109"/>
    </row>
    <row r="435" spans="1:29" ht="14.4" x14ac:dyDescent="0.3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39"/>
      <c r="M435" s="109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09"/>
      <c r="Y435" s="109"/>
      <c r="Z435" s="109"/>
      <c r="AA435" s="109"/>
      <c r="AB435" s="109"/>
      <c r="AC435" s="109"/>
    </row>
    <row r="436" spans="1:29" ht="14.4" x14ac:dyDescent="0.3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39"/>
      <c r="M436" s="109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09"/>
      <c r="Y436" s="109"/>
      <c r="Z436" s="109"/>
      <c r="AA436" s="109"/>
      <c r="AB436" s="109"/>
      <c r="AC436" s="109"/>
    </row>
    <row r="437" spans="1:29" ht="14.4" x14ac:dyDescent="0.3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39"/>
      <c r="M437" s="109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09"/>
      <c r="Y437" s="109"/>
      <c r="Z437" s="109"/>
      <c r="AA437" s="109"/>
      <c r="AB437" s="109"/>
      <c r="AC437" s="109"/>
    </row>
    <row r="438" spans="1:29" ht="14.4" x14ac:dyDescent="0.3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39"/>
      <c r="M438" s="109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09"/>
      <c r="Y438" s="109"/>
      <c r="Z438" s="109"/>
      <c r="AA438" s="109"/>
      <c r="AB438" s="109"/>
      <c r="AC438" s="109"/>
    </row>
    <row r="439" spans="1:29" ht="14.4" x14ac:dyDescent="0.3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39"/>
      <c r="M439" s="109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09"/>
      <c r="Y439" s="109"/>
      <c r="Z439" s="109"/>
      <c r="AA439" s="109"/>
      <c r="AB439" s="109"/>
      <c r="AC439" s="109"/>
    </row>
    <row r="440" spans="1:29" ht="14.4" x14ac:dyDescent="0.3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39"/>
      <c r="M440" s="109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09"/>
      <c r="Y440" s="109"/>
      <c r="Z440" s="109"/>
      <c r="AA440" s="109"/>
      <c r="AB440" s="109"/>
      <c r="AC440" s="109"/>
    </row>
    <row r="441" spans="1:29" ht="14.4" x14ac:dyDescent="0.3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39"/>
      <c r="M441" s="109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09"/>
      <c r="Y441" s="109"/>
      <c r="Z441" s="109"/>
      <c r="AA441" s="109"/>
      <c r="AB441" s="109"/>
      <c r="AC441" s="109"/>
    </row>
    <row r="442" spans="1:29" ht="14.4" x14ac:dyDescent="0.3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39"/>
      <c r="M442" s="109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09"/>
      <c r="Y442" s="109"/>
      <c r="Z442" s="109"/>
      <c r="AA442" s="109"/>
      <c r="AB442" s="109"/>
      <c r="AC442" s="109"/>
    </row>
    <row r="443" spans="1:29" ht="14.4" x14ac:dyDescent="0.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39"/>
      <c r="M443" s="109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09"/>
      <c r="Y443" s="109"/>
      <c r="Z443" s="109"/>
      <c r="AA443" s="109"/>
      <c r="AB443" s="109"/>
      <c r="AC443" s="109"/>
    </row>
    <row r="444" spans="1:29" ht="14.4" x14ac:dyDescent="0.3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39"/>
      <c r="M444" s="109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09"/>
      <c r="Y444" s="109"/>
      <c r="Z444" s="109"/>
      <c r="AA444" s="109"/>
      <c r="AB444" s="109"/>
      <c r="AC444" s="109"/>
    </row>
    <row r="445" spans="1:29" ht="14.4" x14ac:dyDescent="0.3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39"/>
      <c r="M445" s="109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09"/>
      <c r="Y445" s="109"/>
      <c r="Z445" s="109"/>
      <c r="AA445" s="109"/>
      <c r="AB445" s="109"/>
      <c r="AC445" s="109"/>
    </row>
    <row r="446" spans="1:29" ht="14.4" x14ac:dyDescent="0.3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39"/>
      <c r="M446" s="109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09"/>
      <c r="Y446" s="109"/>
      <c r="Z446" s="109"/>
      <c r="AA446" s="109"/>
      <c r="AB446" s="109"/>
      <c r="AC446" s="109"/>
    </row>
    <row r="447" spans="1:29" ht="14.4" x14ac:dyDescent="0.3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39"/>
      <c r="M447" s="109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09"/>
      <c r="Y447" s="109"/>
      <c r="Z447" s="109"/>
      <c r="AA447" s="109"/>
      <c r="AB447" s="109"/>
      <c r="AC447" s="109"/>
    </row>
    <row r="448" spans="1:29" ht="14.4" x14ac:dyDescent="0.3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39"/>
      <c r="M448" s="109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09"/>
      <c r="Y448" s="109"/>
      <c r="Z448" s="109"/>
      <c r="AA448" s="109"/>
      <c r="AB448" s="109"/>
      <c r="AC448" s="109"/>
    </row>
    <row r="449" spans="1:29" ht="14.4" x14ac:dyDescent="0.3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39"/>
      <c r="M449" s="109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09"/>
      <c r="Y449" s="109"/>
      <c r="Z449" s="109"/>
      <c r="AA449" s="109"/>
      <c r="AB449" s="109"/>
      <c r="AC449" s="109"/>
    </row>
    <row r="450" spans="1:29" ht="14.4" x14ac:dyDescent="0.3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39"/>
      <c r="M450" s="109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09"/>
      <c r="Y450" s="109"/>
      <c r="Z450" s="109"/>
      <c r="AA450" s="109"/>
      <c r="AB450" s="109"/>
      <c r="AC450" s="109"/>
    </row>
    <row r="451" spans="1:29" ht="14.4" x14ac:dyDescent="0.3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39"/>
      <c r="M451" s="109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09"/>
      <c r="Y451" s="109"/>
      <c r="Z451" s="109"/>
      <c r="AA451" s="109"/>
      <c r="AB451" s="109"/>
      <c r="AC451" s="109"/>
    </row>
    <row r="452" spans="1:29" ht="14.4" x14ac:dyDescent="0.3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39"/>
      <c r="M452" s="109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09"/>
      <c r="Y452" s="109"/>
      <c r="Z452" s="109"/>
      <c r="AA452" s="109"/>
      <c r="AB452" s="109"/>
      <c r="AC452" s="109"/>
    </row>
    <row r="453" spans="1:29" ht="14.4" x14ac:dyDescent="0.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39"/>
      <c r="M453" s="109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09"/>
      <c r="Y453" s="109"/>
      <c r="Z453" s="109"/>
      <c r="AA453" s="109"/>
      <c r="AB453" s="109"/>
      <c r="AC453" s="109"/>
    </row>
    <row r="454" spans="1:29" ht="14.4" x14ac:dyDescent="0.3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39"/>
      <c r="M454" s="109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09"/>
      <c r="Y454" s="109"/>
      <c r="Z454" s="109"/>
      <c r="AA454" s="109"/>
      <c r="AB454" s="109"/>
      <c r="AC454" s="109"/>
    </row>
    <row r="455" spans="1:29" ht="14.4" x14ac:dyDescent="0.3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39"/>
      <c r="M455" s="109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09"/>
      <c r="Y455" s="109"/>
      <c r="Z455" s="109"/>
      <c r="AA455" s="109"/>
      <c r="AB455" s="109"/>
      <c r="AC455" s="109"/>
    </row>
    <row r="456" spans="1:29" ht="14.4" x14ac:dyDescent="0.3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39"/>
      <c r="M456" s="109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09"/>
      <c r="Y456" s="109"/>
      <c r="Z456" s="109"/>
      <c r="AA456" s="109"/>
      <c r="AB456" s="109"/>
      <c r="AC456" s="109"/>
    </row>
    <row r="457" spans="1:29" ht="14.4" x14ac:dyDescent="0.3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39"/>
      <c r="M457" s="109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09"/>
      <c r="Y457" s="109"/>
      <c r="Z457" s="109"/>
      <c r="AA457" s="109"/>
      <c r="AB457" s="109"/>
      <c r="AC457" s="109"/>
    </row>
    <row r="458" spans="1:29" ht="14.4" x14ac:dyDescent="0.3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39"/>
      <c r="M458" s="109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09"/>
      <c r="Y458" s="109"/>
      <c r="Z458" s="109"/>
      <c r="AA458" s="109"/>
      <c r="AB458" s="109"/>
      <c r="AC458" s="109"/>
    </row>
    <row r="459" spans="1:29" ht="14.4" x14ac:dyDescent="0.3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39"/>
      <c r="M459" s="109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09"/>
      <c r="Y459" s="109"/>
      <c r="Z459" s="109"/>
      <c r="AA459" s="109"/>
      <c r="AB459" s="109"/>
      <c r="AC459" s="109"/>
    </row>
    <row r="460" spans="1:29" ht="14.4" x14ac:dyDescent="0.3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39"/>
      <c r="M460" s="109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09"/>
      <c r="Y460" s="109"/>
      <c r="Z460" s="109"/>
      <c r="AA460" s="109"/>
      <c r="AB460" s="109"/>
      <c r="AC460" s="109"/>
    </row>
    <row r="461" spans="1:29" ht="14.4" x14ac:dyDescent="0.3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39"/>
      <c r="M461" s="109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09"/>
      <c r="Y461" s="109"/>
      <c r="Z461" s="109"/>
      <c r="AA461" s="109"/>
      <c r="AB461" s="109"/>
      <c r="AC461" s="109"/>
    </row>
    <row r="462" spans="1:29" ht="14.4" x14ac:dyDescent="0.3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39"/>
      <c r="M462" s="109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09"/>
      <c r="Y462" s="109"/>
      <c r="Z462" s="109"/>
      <c r="AA462" s="109"/>
      <c r="AB462" s="109"/>
      <c r="AC462" s="109"/>
    </row>
    <row r="463" spans="1:29" ht="14.4" x14ac:dyDescent="0.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39"/>
      <c r="M463" s="109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09"/>
      <c r="Y463" s="109"/>
      <c r="Z463" s="109"/>
      <c r="AA463" s="109"/>
      <c r="AB463" s="109"/>
      <c r="AC463" s="109"/>
    </row>
    <row r="464" spans="1:29" ht="14.4" x14ac:dyDescent="0.3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39"/>
      <c r="M464" s="109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09"/>
      <c r="Y464" s="109"/>
      <c r="Z464" s="109"/>
      <c r="AA464" s="109"/>
      <c r="AB464" s="109"/>
      <c r="AC464" s="109"/>
    </row>
    <row r="465" spans="1:29" ht="14.4" x14ac:dyDescent="0.3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39"/>
      <c r="M465" s="109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09"/>
      <c r="Y465" s="109"/>
      <c r="Z465" s="109"/>
      <c r="AA465" s="109"/>
      <c r="AB465" s="109"/>
      <c r="AC465" s="109"/>
    </row>
    <row r="466" spans="1:29" ht="14.4" x14ac:dyDescent="0.3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39"/>
      <c r="M466" s="109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09"/>
      <c r="Y466" s="109"/>
      <c r="Z466" s="109"/>
      <c r="AA466" s="109"/>
      <c r="AB466" s="109"/>
      <c r="AC466" s="109"/>
    </row>
    <row r="467" spans="1:29" ht="14.4" x14ac:dyDescent="0.3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39"/>
      <c r="M467" s="109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09"/>
      <c r="Y467" s="109"/>
      <c r="Z467" s="109"/>
      <c r="AA467" s="109"/>
      <c r="AB467" s="109"/>
      <c r="AC467" s="109"/>
    </row>
    <row r="468" spans="1:29" ht="14.4" x14ac:dyDescent="0.3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39"/>
      <c r="M468" s="109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09"/>
      <c r="Y468" s="109"/>
      <c r="Z468" s="109"/>
      <c r="AA468" s="109"/>
      <c r="AB468" s="109"/>
      <c r="AC468" s="109"/>
    </row>
    <row r="469" spans="1:29" ht="14.4" x14ac:dyDescent="0.3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39"/>
      <c r="M469" s="109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09"/>
      <c r="Y469" s="109"/>
      <c r="Z469" s="109"/>
      <c r="AA469" s="109"/>
      <c r="AB469" s="109"/>
      <c r="AC469" s="109"/>
    </row>
    <row r="470" spans="1:29" ht="14.4" x14ac:dyDescent="0.3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39"/>
      <c r="M470" s="109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09"/>
      <c r="Y470" s="109"/>
      <c r="Z470" s="109"/>
      <c r="AA470" s="109"/>
      <c r="AB470" s="109"/>
      <c r="AC470" s="109"/>
    </row>
    <row r="471" spans="1:29" ht="14.4" x14ac:dyDescent="0.3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39"/>
      <c r="M471" s="109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09"/>
      <c r="Y471" s="109"/>
      <c r="Z471" s="109"/>
      <c r="AA471" s="109"/>
      <c r="AB471" s="109"/>
      <c r="AC471" s="109"/>
    </row>
    <row r="472" spans="1:29" ht="14.4" x14ac:dyDescent="0.3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39"/>
      <c r="M472" s="109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09"/>
      <c r="Y472" s="109"/>
      <c r="Z472" s="109"/>
      <c r="AA472" s="109"/>
      <c r="AB472" s="109"/>
      <c r="AC472" s="109"/>
    </row>
    <row r="473" spans="1:29" ht="14.4" x14ac:dyDescent="0.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39"/>
      <c r="M473" s="109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09"/>
      <c r="Y473" s="109"/>
      <c r="Z473" s="109"/>
      <c r="AA473" s="109"/>
      <c r="AB473" s="109"/>
      <c r="AC473" s="109"/>
    </row>
    <row r="474" spans="1:29" ht="14.4" x14ac:dyDescent="0.3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39"/>
      <c r="M474" s="109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09"/>
      <c r="Y474" s="109"/>
      <c r="Z474" s="109"/>
      <c r="AA474" s="109"/>
      <c r="AB474" s="109"/>
      <c r="AC474" s="109"/>
    </row>
    <row r="475" spans="1:29" ht="14.4" x14ac:dyDescent="0.3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39"/>
      <c r="M475" s="109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09"/>
      <c r="Y475" s="109"/>
      <c r="Z475" s="109"/>
      <c r="AA475" s="109"/>
      <c r="AB475" s="109"/>
      <c r="AC475" s="109"/>
    </row>
    <row r="476" spans="1:29" ht="14.4" x14ac:dyDescent="0.3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39"/>
      <c r="M476" s="109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09"/>
      <c r="Y476" s="109"/>
      <c r="Z476" s="109"/>
      <c r="AA476" s="109"/>
      <c r="AB476" s="109"/>
      <c r="AC476" s="109"/>
    </row>
    <row r="477" spans="1:29" ht="14.4" x14ac:dyDescent="0.3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39"/>
      <c r="M477" s="109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09"/>
      <c r="Y477" s="109"/>
      <c r="Z477" s="109"/>
      <c r="AA477" s="109"/>
      <c r="AB477" s="109"/>
      <c r="AC477" s="109"/>
    </row>
    <row r="478" spans="1:29" ht="14.4" x14ac:dyDescent="0.3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39"/>
      <c r="M478" s="109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09"/>
      <c r="Y478" s="109"/>
      <c r="Z478" s="109"/>
      <c r="AA478" s="109"/>
      <c r="AB478" s="109"/>
      <c r="AC478" s="109"/>
    </row>
    <row r="479" spans="1:29" ht="14.4" x14ac:dyDescent="0.3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39"/>
      <c r="M479" s="109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09"/>
      <c r="Y479" s="109"/>
      <c r="Z479" s="109"/>
      <c r="AA479" s="109"/>
      <c r="AB479" s="109"/>
      <c r="AC479" s="109"/>
    </row>
    <row r="480" spans="1:29" ht="14.4" x14ac:dyDescent="0.3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39"/>
      <c r="M480" s="109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09"/>
      <c r="Y480" s="109"/>
      <c r="Z480" s="109"/>
      <c r="AA480" s="109"/>
      <c r="AB480" s="109"/>
      <c r="AC480" s="109"/>
    </row>
    <row r="481" spans="1:29" ht="14.4" x14ac:dyDescent="0.3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39"/>
      <c r="M481" s="109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09"/>
      <c r="Y481" s="109"/>
      <c r="Z481" s="109"/>
      <c r="AA481" s="109"/>
      <c r="AB481" s="109"/>
      <c r="AC481" s="109"/>
    </row>
    <row r="482" spans="1:29" ht="14.4" x14ac:dyDescent="0.3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39"/>
      <c r="M482" s="109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09"/>
      <c r="Y482" s="109"/>
      <c r="Z482" s="109"/>
      <c r="AA482" s="109"/>
      <c r="AB482" s="109"/>
      <c r="AC482" s="109"/>
    </row>
    <row r="483" spans="1:29" ht="14.4" x14ac:dyDescent="0.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39"/>
      <c r="M483" s="109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09"/>
      <c r="Y483" s="109"/>
      <c r="Z483" s="109"/>
      <c r="AA483" s="109"/>
      <c r="AB483" s="109"/>
      <c r="AC483" s="109"/>
    </row>
    <row r="484" spans="1:29" ht="14.4" x14ac:dyDescent="0.3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39"/>
      <c r="M484" s="109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09"/>
      <c r="Y484" s="109"/>
      <c r="Z484" s="109"/>
      <c r="AA484" s="109"/>
      <c r="AB484" s="109"/>
      <c r="AC484" s="109"/>
    </row>
    <row r="485" spans="1:29" ht="14.4" x14ac:dyDescent="0.3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39"/>
      <c r="M485" s="109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09"/>
      <c r="Y485" s="109"/>
      <c r="Z485" s="109"/>
      <c r="AA485" s="109"/>
      <c r="AB485" s="109"/>
      <c r="AC485" s="109"/>
    </row>
    <row r="486" spans="1:29" ht="14.4" x14ac:dyDescent="0.3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39"/>
      <c r="M486" s="109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09"/>
      <c r="Y486" s="109"/>
      <c r="Z486" s="109"/>
      <c r="AA486" s="109"/>
      <c r="AB486" s="109"/>
      <c r="AC486" s="109"/>
    </row>
    <row r="487" spans="1:29" ht="14.4" x14ac:dyDescent="0.3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39"/>
      <c r="M487" s="109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09"/>
      <c r="Y487" s="109"/>
      <c r="Z487" s="109"/>
      <c r="AA487" s="109"/>
      <c r="AB487" s="109"/>
      <c r="AC487" s="109"/>
    </row>
    <row r="488" spans="1:29" ht="14.4" x14ac:dyDescent="0.3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39"/>
      <c r="M488" s="109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09"/>
      <c r="Y488" s="109"/>
      <c r="Z488" s="109"/>
      <c r="AA488" s="109"/>
      <c r="AB488" s="109"/>
      <c r="AC488" s="109"/>
    </row>
    <row r="489" spans="1:29" ht="14.4" x14ac:dyDescent="0.3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39"/>
      <c r="M489" s="109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09"/>
      <c r="Y489" s="109"/>
      <c r="Z489" s="109"/>
      <c r="AA489" s="109"/>
      <c r="AB489" s="109"/>
      <c r="AC489" s="109"/>
    </row>
    <row r="490" spans="1:29" ht="14.4" x14ac:dyDescent="0.3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39"/>
      <c r="M490" s="109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09"/>
      <c r="Y490" s="109"/>
      <c r="Z490" s="109"/>
      <c r="AA490" s="109"/>
      <c r="AB490" s="109"/>
      <c r="AC490" s="109"/>
    </row>
    <row r="491" spans="1:29" ht="14.4" x14ac:dyDescent="0.3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39"/>
      <c r="M491" s="109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09"/>
      <c r="Y491" s="109"/>
      <c r="Z491" s="109"/>
      <c r="AA491" s="109"/>
      <c r="AB491" s="109"/>
      <c r="AC491" s="109"/>
    </row>
    <row r="492" spans="1:29" ht="14.4" x14ac:dyDescent="0.3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39"/>
      <c r="M492" s="109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09"/>
      <c r="Y492" s="109"/>
      <c r="Z492" s="109"/>
      <c r="AA492" s="109"/>
      <c r="AB492" s="109"/>
      <c r="AC492" s="109"/>
    </row>
    <row r="493" spans="1:29" ht="14.4" x14ac:dyDescent="0.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39"/>
      <c r="M493" s="109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09"/>
      <c r="Y493" s="109"/>
      <c r="Z493" s="109"/>
      <c r="AA493" s="109"/>
      <c r="AB493" s="109"/>
      <c r="AC493" s="109"/>
    </row>
    <row r="494" spans="1:29" ht="14.4" x14ac:dyDescent="0.3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39"/>
      <c r="M494" s="109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09"/>
      <c r="Y494" s="109"/>
      <c r="Z494" s="109"/>
      <c r="AA494" s="109"/>
      <c r="AB494" s="109"/>
      <c r="AC494" s="109"/>
    </row>
    <row r="495" spans="1:29" ht="14.4" x14ac:dyDescent="0.3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39"/>
      <c r="M495" s="109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09"/>
      <c r="Y495" s="109"/>
      <c r="Z495" s="109"/>
      <c r="AA495" s="109"/>
      <c r="AB495" s="109"/>
      <c r="AC495" s="109"/>
    </row>
    <row r="496" spans="1:29" ht="14.4" x14ac:dyDescent="0.3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39"/>
      <c r="M496" s="109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09"/>
      <c r="Y496" s="109"/>
      <c r="Z496" s="109"/>
      <c r="AA496" s="109"/>
      <c r="AB496" s="109"/>
      <c r="AC496" s="109"/>
    </row>
    <row r="497" spans="1:29" ht="14.4" x14ac:dyDescent="0.3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39"/>
      <c r="M497" s="109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09"/>
      <c r="Y497" s="109"/>
      <c r="Z497" s="109"/>
      <c r="AA497" s="109"/>
      <c r="AB497" s="109"/>
      <c r="AC497" s="109"/>
    </row>
    <row r="498" spans="1:29" ht="14.4" x14ac:dyDescent="0.3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39"/>
      <c r="M498" s="109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09"/>
      <c r="Y498" s="109"/>
      <c r="Z498" s="109"/>
      <c r="AA498" s="109"/>
      <c r="AB498" s="109"/>
      <c r="AC498" s="109"/>
    </row>
    <row r="499" spans="1:29" ht="14.4" x14ac:dyDescent="0.3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39"/>
      <c r="M499" s="109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09"/>
      <c r="Y499" s="109"/>
      <c r="Z499" s="109"/>
      <c r="AA499" s="109"/>
      <c r="AB499" s="109"/>
      <c r="AC499" s="109"/>
    </row>
    <row r="500" spans="1:29" ht="14.4" x14ac:dyDescent="0.3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39"/>
      <c r="M500" s="109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09"/>
      <c r="Y500" s="109"/>
      <c r="Z500" s="109"/>
      <c r="AA500" s="109"/>
      <c r="AB500" s="109"/>
      <c r="AC500" s="109"/>
    </row>
    <row r="501" spans="1:29" ht="14.4" x14ac:dyDescent="0.3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39"/>
      <c r="M501" s="109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09"/>
      <c r="Y501" s="109"/>
      <c r="Z501" s="109"/>
      <c r="AA501" s="109"/>
      <c r="AB501" s="109"/>
      <c r="AC501" s="109"/>
    </row>
    <row r="502" spans="1:29" ht="14.4" x14ac:dyDescent="0.3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39"/>
      <c r="M502" s="109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09"/>
      <c r="Y502" s="109"/>
      <c r="Z502" s="109"/>
      <c r="AA502" s="109"/>
      <c r="AB502" s="109"/>
      <c r="AC502" s="109"/>
    </row>
    <row r="503" spans="1:29" ht="14.4" x14ac:dyDescent="0.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39"/>
      <c r="M503" s="109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09"/>
      <c r="Y503" s="109"/>
      <c r="Z503" s="109"/>
      <c r="AA503" s="109"/>
      <c r="AB503" s="109"/>
      <c r="AC503" s="109"/>
    </row>
    <row r="504" spans="1:29" ht="14.4" x14ac:dyDescent="0.3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39"/>
      <c r="M504" s="109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09"/>
      <c r="Y504" s="109"/>
      <c r="Z504" s="109"/>
      <c r="AA504" s="109"/>
      <c r="AB504" s="109"/>
      <c r="AC504" s="109"/>
    </row>
    <row r="505" spans="1:29" ht="14.4" x14ac:dyDescent="0.3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39"/>
      <c r="M505" s="109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09"/>
      <c r="Y505" s="109"/>
      <c r="Z505" s="109"/>
      <c r="AA505" s="109"/>
      <c r="AB505" s="109"/>
      <c r="AC505" s="109"/>
    </row>
    <row r="506" spans="1:29" ht="14.4" x14ac:dyDescent="0.3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39"/>
      <c r="M506" s="109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09"/>
      <c r="Y506" s="109"/>
      <c r="Z506" s="109"/>
      <c r="AA506" s="109"/>
      <c r="AB506" s="109"/>
      <c r="AC506" s="109"/>
    </row>
    <row r="507" spans="1:29" ht="14.4" x14ac:dyDescent="0.3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39"/>
      <c r="M507" s="109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09"/>
      <c r="Y507" s="109"/>
      <c r="Z507" s="109"/>
      <c r="AA507" s="109"/>
      <c r="AB507" s="109"/>
      <c r="AC507" s="109"/>
    </row>
    <row r="508" spans="1:29" ht="14.4" x14ac:dyDescent="0.3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39"/>
      <c r="M508" s="109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09"/>
      <c r="Y508" s="109"/>
      <c r="Z508" s="109"/>
      <c r="AA508" s="109"/>
      <c r="AB508" s="109"/>
      <c r="AC508" s="109"/>
    </row>
    <row r="509" spans="1:29" ht="14.4" x14ac:dyDescent="0.3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39"/>
      <c r="M509" s="109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09"/>
      <c r="Y509" s="109"/>
      <c r="Z509" s="109"/>
      <c r="AA509" s="109"/>
      <c r="AB509" s="109"/>
      <c r="AC509" s="109"/>
    </row>
    <row r="510" spans="1:29" ht="14.4" x14ac:dyDescent="0.3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39"/>
      <c r="M510" s="109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09"/>
      <c r="Y510" s="109"/>
      <c r="Z510" s="109"/>
      <c r="AA510" s="109"/>
      <c r="AB510" s="109"/>
      <c r="AC510" s="109"/>
    </row>
    <row r="511" spans="1:29" ht="14.4" x14ac:dyDescent="0.3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39"/>
      <c r="M511" s="109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09"/>
      <c r="Y511" s="109"/>
      <c r="Z511" s="109"/>
      <c r="AA511" s="109"/>
      <c r="AB511" s="109"/>
      <c r="AC511" s="109"/>
    </row>
    <row r="512" spans="1:29" ht="14.4" x14ac:dyDescent="0.3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39"/>
      <c r="M512" s="109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09"/>
      <c r="Y512" s="109"/>
      <c r="Z512" s="109"/>
      <c r="AA512" s="109"/>
      <c r="AB512" s="109"/>
      <c r="AC512" s="109"/>
    </row>
    <row r="513" spans="1:29" ht="14.4" x14ac:dyDescent="0.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39"/>
      <c r="M513" s="109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09"/>
      <c r="Y513" s="109"/>
      <c r="Z513" s="109"/>
      <c r="AA513" s="109"/>
      <c r="AB513" s="109"/>
      <c r="AC513" s="109"/>
    </row>
    <row r="514" spans="1:29" ht="14.4" x14ac:dyDescent="0.3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39"/>
      <c r="M514" s="109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09"/>
      <c r="Y514" s="109"/>
      <c r="Z514" s="109"/>
      <c r="AA514" s="109"/>
      <c r="AB514" s="109"/>
      <c r="AC514" s="109"/>
    </row>
    <row r="515" spans="1:29" ht="14.4" x14ac:dyDescent="0.3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39"/>
      <c r="M515" s="109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09"/>
      <c r="Y515" s="109"/>
      <c r="Z515" s="109"/>
      <c r="AA515" s="109"/>
      <c r="AB515" s="109"/>
      <c r="AC515" s="109"/>
    </row>
    <row r="516" spans="1:29" ht="14.4" x14ac:dyDescent="0.3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39"/>
      <c r="M516" s="109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09"/>
      <c r="Y516" s="109"/>
      <c r="Z516" s="109"/>
      <c r="AA516" s="109"/>
      <c r="AB516" s="109"/>
      <c r="AC516" s="109"/>
    </row>
    <row r="517" spans="1:29" ht="14.4" x14ac:dyDescent="0.3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39"/>
      <c r="M517" s="109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09"/>
      <c r="Y517" s="109"/>
      <c r="Z517" s="109"/>
      <c r="AA517" s="109"/>
      <c r="AB517" s="109"/>
      <c r="AC517" s="109"/>
    </row>
    <row r="518" spans="1:29" ht="14.4" x14ac:dyDescent="0.3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39"/>
      <c r="M518" s="109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09"/>
      <c r="Y518" s="109"/>
      <c r="Z518" s="109"/>
      <c r="AA518" s="109"/>
      <c r="AB518" s="109"/>
      <c r="AC518" s="109"/>
    </row>
    <row r="519" spans="1:29" ht="14.4" x14ac:dyDescent="0.3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39"/>
      <c r="M519" s="109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09"/>
      <c r="Y519" s="109"/>
      <c r="Z519" s="109"/>
      <c r="AA519" s="109"/>
      <c r="AB519" s="109"/>
      <c r="AC519" s="109"/>
    </row>
    <row r="520" spans="1:29" ht="14.4" x14ac:dyDescent="0.3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39"/>
      <c r="M520" s="109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09"/>
      <c r="Y520" s="109"/>
      <c r="Z520" s="109"/>
      <c r="AA520" s="109"/>
      <c r="AB520" s="109"/>
      <c r="AC520" s="109"/>
    </row>
    <row r="521" spans="1:29" ht="14.4" x14ac:dyDescent="0.3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39"/>
      <c r="M521" s="109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09"/>
      <c r="Y521" s="109"/>
      <c r="Z521" s="109"/>
      <c r="AA521" s="109"/>
      <c r="AB521" s="109"/>
      <c r="AC521" s="109"/>
    </row>
    <row r="522" spans="1:29" ht="14.4" x14ac:dyDescent="0.3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39"/>
      <c r="M522" s="109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09"/>
      <c r="Y522" s="109"/>
      <c r="Z522" s="109"/>
      <c r="AA522" s="109"/>
      <c r="AB522" s="109"/>
      <c r="AC522" s="109"/>
    </row>
    <row r="523" spans="1:29" ht="14.4" x14ac:dyDescent="0.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39"/>
      <c r="M523" s="109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09"/>
      <c r="Y523" s="109"/>
      <c r="Z523" s="109"/>
      <c r="AA523" s="109"/>
      <c r="AB523" s="109"/>
      <c r="AC523" s="109"/>
    </row>
    <row r="524" spans="1:29" ht="14.4" x14ac:dyDescent="0.3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39"/>
      <c r="M524" s="109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09"/>
      <c r="Y524" s="109"/>
      <c r="Z524" s="109"/>
      <c r="AA524" s="109"/>
      <c r="AB524" s="109"/>
      <c r="AC524" s="109"/>
    </row>
    <row r="525" spans="1:29" ht="14.4" x14ac:dyDescent="0.3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39"/>
      <c r="M525" s="109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09"/>
      <c r="Y525" s="109"/>
      <c r="Z525" s="109"/>
      <c r="AA525" s="109"/>
      <c r="AB525" s="109"/>
      <c r="AC525" s="109"/>
    </row>
    <row r="526" spans="1:29" ht="14.4" x14ac:dyDescent="0.3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39"/>
      <c r="M526" s="109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09"/>
      <c r="Y526" s="109"/>
      <c r="Z526" s="109"/>
      <c r="AA526" s="109"/>
      <c r="AB526" s="109"/>
      <c r="AC526" s="109"/>
    </row>
    <row r="527" spans="1:29" ht="14.4" x14ac:dyDescent="0.3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39"/>
      <c r="M527" s="109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09"/>
      <c r="Y527" s="109"/>
      <c r="Z527" s="109"/>
      <c r="AA527" s="109"/>
      <c r="AB527" s="109"/>
      <c r="AC527" s="109"/>
    </row>
    <row r="528" spans="1:29" ht="14.4" x14ac:dyDescent="0.3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39"/>
      <c r="M528" s="109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09"/>
      <c r="Y528" s="109"/>
      <c r="Z528" s="109"/>
      <c r="AA528" s="109"/>
      <c r="AB528" s="109"/>
      <c r="AC528" s="109"/>
    </row>
    <row r="529" spans="1:29" ht="14.4" x14ac:dyDescent="0.3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39"/>
      <c r="M529" s="109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09"/>
      <c r="Y529" s="109"/>
      <c r="Z529" s="109"/>
      <c r="AA529" s="109"/>
      <c r="AB529" s="109"/>
      <c r="AC529" s="109"/>
    </row>
    <row r="530" spans="1:29" ht="14.4" x14ac:dyDescent="0.3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39"/>
      <c r="M530" s="109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09"/>
      <c r="Y530" s="109"/>
      <c r="Z530" s="109"/>
      <c r="AA530" s="109"/>
      <c r="AB530" s="109"/>
      <c r="AC530" s="109"/>
    </row>
    <row r="531" spans="1:29" ht="14.4" x14ac:dyDescent="0.3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39"/>
      <c r="M531" s="109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09"/>
      <c r="Y531" s="109"/>
      <c r="Z531" s="109"/>
      <c r="AA531" s="109"/>
      <c r="AB531" s="109"/>
      <c r="AC531" s="109"/>
    </row>
    <row r="532" spans="1:29" ht="14.4" x14ac:dyDescent="0.3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39"/>
      <c r="M532" s="109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09"/>
      <c r="Y532" s="109"/>
      <c r="Z532" s="109"/>
      <c r="AA532" s="109"/>
      <c r="AB532" s="109"/>
      <c r="AC532" s="109"/>
    </row>
    <row r="533" spans="1:29" ht="14.4" x14ac:dyDescent="0.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39"/>
      <c r="M533" s="109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09"/>
      <c r="Y533" s="109"/>
      <c r="Z533" s="109"/>
      <c r="AA533" s="109"/>
      <c r="AB533" s="109"/>
      <c r="AC533" s="109"/>
    </row>
    <row r="534" spans="1:29" ht="14.4" x14ac:dyDescent="0.3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39"/>
      <c r="M534" s="109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09"/>
      <c r="Y534" s="109"/>
      <c r="Z534" s="109"/>
      <c r="AA534" s="109"/>
      <c r="AB534" s="109"/>
      <c r="AC534" s="109"/>
    </row>
    <row r="535" spans="1:29" ht="14.4" x14ac:dyDescent="0.3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39"/>
      <c r="M535" s="109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09"/>
      <c r="Y535" s="109"/>
      <c r="Z535" s="109"/>
      <c r="AA535" s="109"/>
      <c r="AB535" s="109"/>
      <c r="AC535" s="109"/>
    </row>
    <row r="536" spans="1:29" ht="14.4" x14ac:dyDescent="0.3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39"/>
      <c r="M536" s="109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09"/>
      <c r="Y536" s="109"/>
      <c r="Z536" s="109"/>
      <c r="AA536" s="109"/>
      <c r="AB536" s="109"/>
      <c r="AC536" s="109"/>
    </row>
    <row r="537" spans="1:29" ht="14.4" x14ac:dyDescent="0.3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39"/>
      <c r="M537" s="109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09"/>
      <c r="Y537" s="109"/>
      <c r="Z537" s="109"/>
      <c r="AA537" s="109"/>
      <c r="AB537" s="109"/>
      <c r="AC537" s="109"/>
    </row>
    <row r="538" spans="1:29" ht="14.4" x14ac:dyDescent="0.3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39"/>
      <c r="M538" s="109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09"/>
      <c r="Y538" s="109"/>
      <c r="Z538" s="109"/>
      <c r="AA538" s="109"/>
      <c r="AB538" s="109"/>
      <c r="AC538" s="109"/>
    </row>
    <row r="539" spans="1:29" ht="14.4" x14ac:dyDescent="0.3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39"/>
      <c r="M539" s="109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09"/>
      <c r="Y539" s="109"/>
      <c r="Z539" s="109"/>
      <c r="AA539" s="109"/>
      <c r="AB539" s="109"/>
      <c r="AC539" s="109"/>
    </row>
    <row r="540" spans="1:29" ht="14.4" x14ac:dyDescent="0.3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39"/>
      <c r="M540" s="109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09"/>
      <c r="Y540" s="109"/>
      <c r="Z540" s="109"/>
      <c r="AA540" s="109"/>
      <c r="AB540" s="109"/>
      <c r="AC540" s="109"/>
    </row>
    <row r="541" spans="1:29" ht="14.4" x14ac:dyDescent="0.3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39"/>
      <c r="M541" s="109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09"/>
      <c r="Y541" s="109"/>
      <c r="Z541" s="109"/>
      <c r="AA541" s="109"/>
      <c r="AB541" s="109"/>
      <c r="AC541" s="109"/>
    </row>
    <row r="542" spans="1:29" ht="14.4" x14ac:dyDescent="0.3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39"/>
      <c r="M542" s="109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09"/>
      <c r="Y542" s="109"/>
      <c r="Z542" s="109"/>
      <c r="AA542" s="109"/>
      <c r="AB542" s="109"/>
      <c r="AC542" s="109"/>
    </row>
    <row r="543" spans="1:29" ht="14.4" x14ac:dyDescent="0.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39"/>
      <c r="M543" s="109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09"/>
      <c r="Y543" s="109"/>
      <c r="Z543" s="109"/>
      <c r="AA543" s="109"/>
      <c r="AB543" s="109"/>
      <c r="AC543" s="109"/>
    </row>
    <row r="544" spans="1:29" ht="14.4" x14ac:dyDescent="0.3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39"/>
      <c r="M544" s="109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09"/>
      <c r="Y544" s="109"/>
      <c r="Z544" s="109"/>
      <c r="AA544" s="109"/>
      <c r="AB544" s="109"/>
      <c r="AC544" s="109"/>
    </row>
    <row r="545" spans="1:29" ht="14.4" x14ac:dyDescent="0.3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39"/>
      <c r="M545" s="109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09"/>
      <c r="Y545" s="109"/>
      <c r="Z545" s="109"/>
      <c r="AA545" s="109"/>
      <c r="AB545" s="109"/>
      <c r="AC545" s="109"/>
    </row>
    <row r="546" spans="1:29" ht="14.4" x14ac:dyDescent="0.3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39"/>
      <c r="M546" s="109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09"/>
      <c r="Y546" s="109"/>
      <c r="Z546" s="109"/>
      <c r="AA546" s="109"/>
      <c r="AB546" s="109"/>
      <c r="AC546" s="109"/>
    </row>
    <row r="547" spans="1:29" ht="14.4" x14ac:dyDescent="0.3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39"/>
      <c r="M547" s="109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09"/>
      <c r="Y547" s="109"/>
      <c r="Z547" s="109"/>
      <c r="AA547" s="109"/>
      <c r="AB547" s="109"/>
      <c r="AC547" s="109"/>
    </row>
    <row r="548" spans="1:29" ht="14.4" x14ac:dyDescent="0.3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39"/>
      <c r="M548" s="109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09"/>
      <c r="Y548" s="109"/>
      <c r="Z548" s="109"/>
      <c r="AA548" s="109"/>
      <c r="AB548" s="109"/>
      <c r="AC548" s="109"/>
    </row>
    <row r="549" spans="1:29" ht="14.4" x14ac:dyDescent="0.3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39"/>
      <c r="M549" s="109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09"/>
      <c r="Y549" s="109"/>
      <c r="Z549" s="109"/>
      <c r="AA549" s="109"/>
      <c r="AB549" s="109"/>
      <c r="AC549" s="109"/>
    </row>
    <row r="550" spans="1:29" ht="14.4" x14ac:dyDescent="0.3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39"/>
      <c r="M550" s="109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09"/>
      <c r="Y550" s="109"/>
      <c r="Z550" s="109"/>
      <c r="AA550" s="109"/>
      <c r="AB550" s="109"/>
      <c r="AC550" s="109"/>
    </row>
    <row r="551" spans="1:29" ht="14.4" x14ac:dyDescent="0.3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39"/>
      <c r="M551" s="109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09"/>
      <c r="Y551" s="109"/>
      <c r="Z551" s="109"/>
      <c r="AA551" s="109"/>
      <c r="AB551" s="109"/>
      <c r="AC551" s="109"/>
    </row>
    <row r="552" spans="1:29" ht="14.4" x14ac:dyDescent="0.3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39"/>
      <c r="M552" s="109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09"/>
      <c r="Y552" s="109"/>
      <c r="Z552" s="109"/>
      <c r="AA552" s="109"/>
      <c r="AB552" s="109"/>
      <c r="AC552" s="109"/>
    </row>
    <row r="553" spans="1:29" ht="14.4" x14ac:dyDescent="0.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39"/>
      <c r="M553" s="109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09"/>
      <c r="Y553" s="109"/>
      <c r="Z553" s="109"/>
      <c r="AA553" s="109"/>
      <c r="AB553" s="109"/>
      <c r="AC553" s="109"/>
    </row>
    <row r="554" spans="1:29" ht="14.4" x14ac:dyDescent="0.3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39"/>
      <c r="M554" s="109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09"/>
      <c r="Y554" s="109"/>
      <c r="Z554" s="109"/>
      <c r="AA554" s="109"/>
      <c r="AB554" s="109"/>
      <c r="AC554" s="109"/>
    </row>
    <row r="555" spans="1:29" ht="14.4" x14ac:dyDescent="0.3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39"/>
      <c r="M555" s="109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09"/>
      <c r="Y555" s="109"/>
      <c r="Z555" s="109"/>
      <c r="AA555" s="109"/>
      <c r="AB555" s="109"/>
      <c r="AC555" s="109"/>
    </row>
    <row r="556" spans="1:29" ht="14.4" x14ac:dyDescent="0.3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39"/>
      <c r="M556" s="109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09"/>
      <c r="Y556" s="109"/>
      <c r="Z556" s="109"/>
      <c r="AA556" s="109"/>
      <c r="AB556" s="109"/>
      <c r="AC556" s="109"/>
    </row>
    <row r="557" spans="1:29" ht="14.4" x14ac:dyDescent="0.3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39"/>
      <c r="M557" s="109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09"/>
      <c r="Y557" s="109"/>
      <c r="Z557" s="109"/>
      <c r="AA557" s="109"/>
      <c r="AB557" s="109"/>
      <c r="AC557" s="109"/>
    </row>
    <row r="558" spans="1:29" ht="14.4" x14ac:dyDescent="0.3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39"/>
      <c r="M558" s="109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09"/>
      <c r="Y558" s="109"/>
      <c r="Z558" s="109"/>
      <c r="AA558" s="109"/>
      <c r="AB558" s="109"/>
      <c r="AC558" s="109"/>
    </row>
    <row r="559" spans="1:29" ht="14.4" x14ac:dyDescent="0.3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39"/>
      <c r="M559" s="109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09"/>
      <c r="Y559" s="109"/>
      <c r="Z559" s="109"/>
      <c r="AA559" s="109"/>
      <c r="AB559" s="109"/>
      <c r="AC559" s="109"/>
    </row>
    <row r="560" spans="1:29" ht="14.4" x14ac:dyDescent="0.3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39"/>
      <c r="M560" s="109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09"/>
      <c r="Y560" s="109"/>
      <c r="Z560" s="109"/>
      <c r="AA560" s="109"/>
      <c r="AB560" s="109"/>
      <c r="AC560" s="109"/>
    </row>
    <row r="561" spans="1:29" ht="14.4" x14ac:dyDescent="0.3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39"/>
      <c r="M561" s="109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09"/>
      <c r="Y561" s="109"/>
      <c r="Z561" s="109"/>
      <c r="AA561" s="109"/>
      <c r="AB561" s="109"/>
      <c r="AC561" s="109"/>
    </row>
    <row r="562" spans="1:29" ht="14.4" x14ac:dyDescent="0.3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39"/>
      <c r="M562" s="109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09"/>
      <c r="Y562" s="109"/>
      <c r="Z562" s="109"/>
      <c r="AA562" s="109"/>
      <c r="AB562" s="109"/>
      <c r="AC562" s="109"/>
    </row>
    <row r="563" spans="1:29" ht="14.4" x14ac:dyDescent="0.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39"/>
      <c r="M563" s="109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09"/>
      <c r="Y563" s="109"/>
      <c r="Z563" s="109"/>
      <c r="AA563" s="109"/>
      <c r="AB563" s="109"/>
      <c r="AC563" s="109"/>
    </row>
    <row r="564" spans="1:29" ht="14.4" x14ac:dyDescent="0.3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39"/>
      <c r="M564" s="109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09"/>
      <c r="Y564" s="109"/>
      <c r="Z564" s="109"/>
      <c r="AA564" s="109"/>
      <c r="AB564" s="109"/>
      <c r="AC564" s="109"/>
    </row>
    <row r="565" spans="1:29" ht="14.4" x14ac:dyDescent="0.3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39"/>
      <c r="M565" s="109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09"/>
      <c r="Y565" s="109"/>
      <c r="Z565" s="109"/>
      <c r="AA565" s="109"/>
      <c r="AB565" s="109"/>
      <c r="AC565" s="109"/>
    </row>
    <row r="566" spans="1:29" ht="14.4" x14ac:dyDescent="0.3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39"/>
      <c r="M566" s="109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09"/>
      <c r="Y566" s="109"/>
      <c r="Z566" s="109"/>
      <c r="AA566" s="109"/>
      <c r="AB566" s="109"/>
      <c r="AC566" s="109"/>
    </row>
    <row r="567" spans="1:29" ht="14.4" x14ac:dyDescent="0.3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39"/>
      <c r="M567" s="109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09"/>
      <c r="Y567" s="109"/>
      <c r="Z567" s="109"/>
      <c r="AA567" s="109"/>
      <c r="AB567" s="109"/>
      <c r="AC567" s="109"/>
    </row>
    <row r="568" spans="1:29" ht="14.4" x14ac:dyDescent="0.3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39"/>
      <c r="M568" s="109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09"/>
      <c r="Y568" s="109"/>
      <c r="Z568" s="109"/>
      <c r="AA568" s="109"/>
      <c r="AB568" s="109"/>
      <c r="AC568" s="109"/>
    </row>
    <row r="569" spans="1:29" ht="14.4" x14ac:dyDescent="0.3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39"/>
      <c r="M569" s="109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09"/>
      <c r="Y569" s="109"/>
      <c r="Z569" s="109"/>
      <c r="AA569" s="109"/>
      <c r="AB569" s="109"/>
      <c r="AC569" s="109"/>
    </row>
    <row r="570" spans="1:29" ht="14.4" x14ac:dyDescent="0.3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39"/>
      <c r="M570" s="109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09"/>
      <c r="Y570" s="109"/>
      <c r="Z570" s="109"/>
      <c r="AA570" s="109"/>
      <c r="AB570" s="109"/>
      <c r="AC570" s="109"/>
    </row>
    <row r="571" spans="1:29" ht="14.4" x14ac:dyDescent="0.3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39"/>
      <c r="M571" s="109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09"/>
      <c r="Y571" s="109"/>
      <c r="Z571" s="109"/>
      <c r="AA571" s="109"/>
      <c r="AB571" s="109"/>
      <c r="AC571" s="109"/>
    </row>
    <row r="572" spans="1:29" ht="14.4" x14ac:dyDescent="0.3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39"/>
      <c r="M572" s="109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09"/>
      <c r="Y572" s="109"/>
      <c r="Z572" s="109"/>
      <c r="AA572" s="109"/>
      <c r="AB572" s="109"/>
      <c r="AC572" s="109"/>
    </row>
    <row r="573" spans="1:29" ht="14.4" x14ac:dyDescent="0.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39"/>
      <c r="M573" s="109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09"/>
      <c r="Y573" s="109"/>
      <c r="Z573" s="109"/>
      <c r="AA573" s="109"/>
      <c r="AB573" s="109"/>
      <c r="AC573" s="109"/>
    </row>
    <row r="574" spans="1:29" ht="14.4" x14ac:dyDescent="0.3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39"/>
      <c r="M574" s="109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09"/>
      <c r="Y574" s="109"/>
      <c r="Z574" s="109"/>
      <c r="AA574" s="109"/>
      <c r="AB574" s="109"/>
      <c r="AC574" s="109"/>
    </row>
    <row r="575" spans="1:29" ht="14.4" x14ac:dyDescent="0.3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39"/>
      <c r="M575" s="109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09"/>
      <c r="Y575" s="109"/>
      <c r="Z575" s="109"/>
      <c r="AA575" s="109"/>
      <c r="AB575" s="109"/>
      <c r="AC575" s="109"/>
    </row>
    <row r="576" spans="1:29" ht="14.4" x14ac:dyDescent="0.3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39"/>
      <c r="M576" s="109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09"/>
      <c r="Y576" s="109"/>
      <c r="Z576" s="109"/>
      <c r="AA576" s="109"/>
      <c r="AB576" s="109"/>
      <c r="AC576" s="109"/>
    </row>
    <row r="577" spans="1:29" ht="14.4" x14ac:dyDescent="0.3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39"/>
      <c r="M577" s="109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09"/>
      <c r="Y577" s="109"/>
      <c r="Z577" s="109"/>
      <c r="AA577" s="109"/>
      <c r="AB577" s="109"/>
      <c r="AC577" s="109"/>
    </row>
    <row r="578" spans="1:29" ht="14.4" x14ac:dyDescent="0.3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39"/>
      <c r="M578" s="109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09"/>
      <c r="Y578" s="109"/>
      <c r="Z578" s="109"/>
      <c r="AA578" s="109"/>
      <c r="AB578" s="109"/>
      <c r="AC578" s="109"/>
    </row>
    <row r="579" spans="1:29" ht="14.4" x14ac:dyDescent="0.3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39"/>
      <c r="M579" s="109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09"/>
      <c r="Y579" s="109"/>
      <c r="Z579" s="109"/>
      <c r="AA579" s="109"/>
      <c r="AB579" s="109"/>
      <c r="AC579" s="109"/>
    </row>
    <row r="580" spans="1:29" ht="14.4" x14ac:dyDescent="0.3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39"/>
      <c r="M580" s="109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09"/>
      <c r="Y580" s="109"/>
      <c r="Z580" s="109"/>
      <c r="AA580" s="109"/>
      <c r="AB580" s="109"/>
      <c r="AC580" s="109"/>
    </row>
    <row r="581" spans="1:29" ht="14.4" x14ac:dyDescent="0.3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39"/>
      <c r="M581" s="109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09"/>
      <c r="Y581" s="109"/>
      <c r="Z581" s="109"/>
      <c r="AA581" s="109"/>
      <c r="AB581" s="109"/>
      <c r="AC581" s="109"/>
    </row>
    <row r="582" spans="1:29" ht="14.4" x14ac:dyDescent="0.3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39"/>
      <c r="M582" s="109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09"/>
      <c r="Y582" s="109"/>
      <c r="Z582" s="109"/>
      <c r="AA582" s="109"/>
      <c r="AB582" s="109"/>
      <c r="AC582" s="109"/>
    </row>
    <row r="583" spans="1:29" ht="14.4" x14ac:dyDescent="0.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39"/>
      <c r="M583" s="109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09"/>
      <c r="Y583" s="109"/>
      <c r="Z583" s="109"/>
      <c r="AA583" s="109"/>
      <c r="AB583" s="109"/>
      <c r="AC583" s="109"/>
    </row>
    <row r="584" spans="1:29" ht="14.4" x14ac:dyDescent="0.3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39"/>
      <c r="M584" s="109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09"/>
      <c r="Y584" s="109"/>
      <c r="Z584" s="109"/>
      <c r="AA584" s="109"/>
      <c r="AB584" s="109"/>
      <c r="AC584" s="109"/>
    </row>
    <row r="585" spans="1:29" ht="14.4" x14ac:dyDescent="0.3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39"/>
      <c r="M585" s="109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09"/>
      <c r="Y585" s="109"/>
      <c r="Z585" s="109"/>
      <c r="AA585" s="109"/>
      <c r="AB585" s="109"/>
      <c r="AC585" s="109"/>
    </row>
    <row r="586" spans="1:29" ht="14.4" x14ac:dyDescent="0.3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39"/>
      <c r="M586" s="109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09"/>
      <c r="Y586" s="109"/>
      <c r="Z586" s="109"/>
      <c r="AA586" s="109"/>
      <c r="AB586" s="109"/>
      <c r="AC586" s="109"/>
    </row>
    <row r="587" spans="1:29" ht="14.4" x14ac:dyDescent="0.3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39"/>
      <c r="M587" s="109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09"/>
      <c r="Y587" s="109"/>
      <c r="Z587" s="109"/>
      <c r="AA587" s="109"/>
      <c r="AB587" s="109"/>
      <c r="AC587" s="109"/>
    </row>
    <row r="588" spans="1:29" ht="14.4" x14ac:dyDescent="0.3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39"/>
      <c r="M588" s="109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09"/>
      <c r="Y588" s="109"/>
      <c r="Z588" s="109"/>
      <c r="AA588" s="109"/>
      <c r="AB588" s="109"/>
      <c r="AC588" s="109"/>
    </row>
    <row r="589" spans="1:29" ht="14.4" x14ac:dyDescent="0.3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39"/>
      <c r="M589" s="109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09"/>
      <c r="Y589" s="109"/>
      <c r="Z589" s="109"/>
      <c r="AA589" s="109"/>
      <c r="AB589" s="109"/>
      <c r="AC589" s="109"/>
    </row>
    <row r="590" spans="1:29" ht="14.4" x14ac:dyDescent="0.3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39"/>
      <c r="M590" s="109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09"/>
      <c r="Y590" s="109"/>
      <c r="Z590" s="109"/>
      <c r="AA590" s="109"/>
      <c r="AB590" s="109"/>
      <c r="AC590" s="109"/>
    </row>
    <row r="591" spans="1:29" ht="14.4" x14ac:dyDescent="0.3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39"/>
      <c r="M591" s="109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09"/>
      <c r="Y591" s="109"/>
      <c r="Z591" s="109"/>
      <c r="AA591" s="109"/>
      <c r="AB591" s="109"/>
      <c r="AC591" s="109"/>
    </row>
    <row r="592" spans="1:29" ht="14.4" x14ac:dyDescent="0.3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39"/>
      <c r="M592" s="109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09"/>
      <c r="Y592" s="109"/>
      <c r="Z592" s="109"/>
      <c r="AA592" s="109"/>
      <c r="AB592" s="109"/>
      <c r="AC592" s="109"/>
    </row>
    <row r="593" spans="1:29" ht="14.4" x14ac:dyDescent="0.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39"/>
      <c r="M593" s="109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09"/>
      <c r="Y593" s="109"/>
      <c r="Z593" s="109"/>
      <c r="AA593" s="109"/>
      <c r="AB593" s="109"/>
      <c r="AC593" s="109"/>
    </row>
    <row r="594" spans="1:29" ht="14.4" x14ac:dyDescent="0.3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39"/>
      <c r="M594" s="109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09"/>
      <c r="Y594" s="109"/>
      <c r="Z594" s="109"/>
      <c r="AA594" s="109"/>
      <c r="AB594" s="109"/>
      <c r="AC594" s="109"/>
    </row>
    <row r="595" spans="1:29" ht="14.4" x14ac:dyDescent="0.3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39"/>
      <c r="M595" s="109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09"/>
      <c r="Y595" s="109"/>
      <c r="Z595" s="109"/>
      <c r="AA595" s="109"/>
      <c r="AB595" s="109"/>
      <c r="AC595" s="109"/>
    </row>
    <row r="596" spans="1:29" ht="14.4" x14ac:dyDescent="0.3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39"/>
      <c r="M596" s="109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09"/>
      <c r="Y596" s="109"/>
      <c r="Z596" s="109"/>
      <c r="AA596" s="109"/>
      <c r="AB596" s="109"/>
      <c r="AC596" s="109"/>
    </row>
    <row r="597" spans="1:29" ht="14.4" x14ac:dyDescent="0.3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39"/>
      <c r="M597" s="109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09"/>
      <c r="Y597" s="109"/>
      <c r="Z597" s="109"/>
      <c r="AA597" s="109"/>
      <c r="AB597" s="109"/>
      <c r="AC597" s="109"/>
    </row>
    <row r="598" spans="1:29" ht="14.4" x14ac:dyDescent="0.3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39"/>
      <c r="M598" s="109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09"/>
      <c r="Y598" s="109"/>
      <c r="Z598" s="109"/>
      <c r="AA598" s="109"/>
      <c r="AB598" s="109"/>
      <c r="AC598" s="109"/>
    </row>
    <row r="599" spans="1:29" ht="14.4" x14ac:dyDescent="0.3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39"/>
      <c r="M599" s="109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09"/>
      <c r="Y599" s="109"/>
      <c r="Z599" s="109"/>
      <c r="AA599" s="109"/>
      <c r="AB599" s="109"/>
      <c r="AC599" s="109"/>
    </row>
    <row r="600" spans="1:29" ht="14.4" x14ac:dyDescent="0.3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39"/>
      <c r="M600" s="109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09"/>
      <c r="Y600" s="109"/>
      <c r="Z600" s="109"/>
      <c r="AA600" s="109"/>
      <c r="AB600" s="109"/>
      <c r="AC600" s="109"/>
    </row>
    <row r="601" spans="1:29" ht="14.4" x14ac:dyDescent="0.3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39"/>
      <c r="M601" s="109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09"/>
      <c r="Y601" s="109"/>
      <c r="Z601" s="109"/>
      <c r="AA601" s="109"/>
      <c r="AB601" s="109"/>
      <c r="AC601" s="109"/>
    </row>
    <row r="602" spans="1:29" ht="14.4" x14ac:dyDescent="0.3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39"/>
      <c r="M602" s="109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09"/>
      <c r="Y602" s="109"/>
      <c r="Z602" s="109"/>
      <c r="AA602" s="109"/>
      <c r="AB602" s="109"/>
      <c r="AC602" s="109"/>
    </row>
    <row r="603" spans="1:29" ht="14.4" x14ac:dyDescent="0.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39"/>
      <c r="M603" s="109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09"/>
      <c r="Y603" s="109"/>
      <c r="Z603" s="109"/>
      <c r="AA603" s="109"/>
      <c r="AB603" s="109"/>
      <c r="AC603" s="109"/>
    </row>
    <row r="604" spans="1:29" ht="14.4" x14ac:dyDescent="0.3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39"/>
      <c r="M604" s="109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09"/>
      <c r="Y604" s="109"/>
      <c r="Z604" s="109"/>
      <c r="AA604" s="109"/>
      <c r="AB604" s="109"/>
      <c r="AC604" s="109"/>
    </row>
    <row r="605" spans="1:29" ht="14.4" x14ac:dyDescent="0.3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39"/>
      <c r="M605" s="109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09"/>
      <c r="Y605" s="109"/>
      <c r="Z605" s="109"/>
      <c r="AA605" s="109"/>
      <c r="AB605" s="109"/>
      <c r="AC605" s="109"/>
    </row>
    <row r="606" spans="1:29" ht="14.4" x14ac:dyDescent="0.3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39"/>
      <c r="M606" s="109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09"/>
      <c r="Y606" s="109"/>
      <c r="Z606" s="109"/>
      <c r="AA606" s="109"/>
      <c r="AB606" s="109"/>
      <c r="AC606" s="109"/>
    </row>
    <row r="607" spans="1:29" ht="14.4" x14ac:dyDescent="0.3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39"/>
      <c r="M607" s="109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09"/>
      <c r="Y607" s="109"/>
      <c r="Z607" s="109"/>
      <c r="AA607" s="109"/>
      <c r="AB607" s="109"/>
      <c r="AC607" s="109"/>
    </row>
    <row r="608" spans="1:29" ht="14.4" x14ac:dyDescent="0.3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39"/>
      <c r="M608" s="109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09"/>
      <c r="Y608" s="109"/>
      <c r="Z608" s="109"/>
      <c r="AA608" s="109"/>
      <c r="AB608" s="109"/>
      <c r="AC608" s="109"/>
    </row>
    <row r="609" spans="1:29" ht="14.4" x14ac:dyDescent="0.3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39"/>
      <c r="M609" s="109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09"/>
      <c r="Y609" s="109"/>
      <c r="Z609" s="109"/>
      <c r="AA609" s="109"/>
      <c r="AB609" s="109"/>
      <c r="AC609" s="109"/>
    </row>
    <row r="610" spans="1:29" ht="14.4" x14ac:dyDescent="0.3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39"/>
      <c r="M610" s="109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09"/>
      <c r="Y610" s="109"/>
      <c r="Z610" s="109"/>
      <c r="AA610" s="109"/>
      <c r="AB610" s="109"/>
      <c r="AC610" s="109"/>
    </row>
    <row r="611" spans="1:29" ht="14.4" x14ac:dyDescent="0.3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39"/>
      <c r="M611" s="109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09"/>
      <c r="Y611" s="109"/>
      <c r="Z611" s="109"/>
      <c r="AA611" s="109"/>
      <c r="AB611" s="109"/>
      <c r="AC611" s="109"/>
    </row>
    <row r="612" spans="1:29" ht="14.4" x14ac:dyDescent="0.3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39"/>
      <c r="M612" s="109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09"/>
      <c r="Y612" s="109"/>
      <c r="Z612" s="109"/>
      <c r="AA612" s="109"/>
      <c r="AB612" s="109"/>
      <c r="AC612" s="109"/>
    </row>
    <row r="613" spans="1:29" ht="14.4" x14ac:dyDescent="0.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39"/>
      <c r="M613" s="109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09"/>
      <c r="Y613" s="109"/>
      <c r="Z613" s="109"/>
      <c r="AA613" s="109"/>
      <c r="AB613" s="109"/>
      <c r="AC613" s="109"/>
    </row>
    <row r="614" spans="1:29" ht="14.4" x14ac:dyDescent="0.3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39"/>
      <c r="M614" s="109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09"/>
      <c r="Y614" s="109"/>
      <c r="Z614" s="109"/>
      <c r="AA614" s="109"/>
      <c r="AB614" s="109"/>
      <c r="AC614" s="109"/>
    </row>
    <row r="615" spans="1:29" ht="14.4" x14ac:dyDescent="0.3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39"/>
      <c r="M615" s="109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09"/>
      <c r="Y615" s="109"/>
      <c r="Z615" s="109"/>
      <c r="AA615" s="109"/>
      <c r="AB615" s="109"/>
      <c r="AC615" s="109"/>
    </row>
    <row r="616" spans="1:29" ht="14.4" x14ac:dyDescent="0.3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39"/>
      <c r="M616" s="109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09"/>
      <c r="Y616" s="109"/>
      <c r="Z616" s="109"/>
      <c r="AA616" s="109"/>
      <c r="AB616" s="109"/>
      <c r="AC616" s="109"/>
    </row>
    <row r="617" spans="1:29" ht="14.4" x14ac:dyDescent="0.3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39"/>
      <c r="M617" s="109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09"/>
      <c r="Y617" s="109"/>
      <c r="Z617" s="109"/>
      <c r="AA617" s="109"/>
      <c r="AB617" s="109"/>
      <c r="AC617" s="109"/>
    </row>
    <row r="618" spans="1:29" ht="14.4" x14ac:dyDescent="0.3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39"/>
      <c r="M618" s="109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09"/>
      <c r="Y618" s="109"/>
      <c r="Z618" s="109"/>
      <c r="AA618" s="109"/>
      <c r="AB618" s="109"/>
      <c r="AC618" s="109"/>
    </row>
    <row r="619" spans="1:29" ht="14.4" x14ac:dyDescent="0.3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39"/>
      <c r="M619" s="109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09"/>
      <c r="Y619" s="109"/>
      <c r="Z619" s="109"/>
      <c r="AA619" s="109"/>
      <c r="AB619" s="109"/>
      <c r="AC619" s="109"/>
    </row>
    <row r="620" spans="1:29" ht="14.4" x14ac:dyDescent="0.3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39"/>
      <c r="M620" s="109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09"/>
      <c r="Y620" s="109"/>
      <c r="Z620" s="109"/>
      <c r="AA620" s="109"/>
      <c r="AB620" s="109"/>
      <c r="AC620" s="109"/>
    </row>
    <row r="621" spans="1:29" ht="14.4" x14ac:dyDescent="0.3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39"/>
      <c r="M621" s="109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09"/>
      <c r="Y621" s="109"/>
      <c r="Z621" s="109"/>
      <c r="AA621" s="109"/>
      <c r="AB621" s="109"/>
      <c r="AC621" s="109"/>
    </row>
    <row r="622" spans="1:29" ht="14.4" x14ac:dyDescent="0.3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39"/>
      <c r="M622" s="109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09"/>
      <c r="Y622" s="109"/>
      <c r="Z622" s="109"/>
      <c r="AA622" s="109"/>
      <c r="AB622" s="109"/>
      <c r="AC622" s="109"/>
    </row>
    <row r="623" spans="1:29" ht="14.4" x14ac:dyDescent="0.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39"/>
      <c r="M623" s="109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09"/>
      <c r="Y623" s="109"/>
      <c r="Z623" s="109"/>
      <c r="AA623" s="109"/>
      <c r="AB623" s="109"/>
      <c r="AC623" s="109"/>
    </row>
    <row r="624" spans="1:29" ht="14.4" x14ac:dyDescent="0.3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39"/>
      <c r="M624" s="109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09"/>
      <c r="Y624" s="109"/>
      <c r="Z624" s="109"/>
      <c r="AA624" s="109"/>
      <c r="AB624" s="109"/>
      <c r="AC624" s="109"/>
    </row>
    <row r="625" spans="1:29" ht="14.4" x14ac:dyDescent="0.3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39"/>
      <c r="M625" s="109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09"/>
      <c r="Y625" s="109"/>
      <c r="Z625" s="109"/>
      <c r="AA625" s="109"/>
      <c r="AB625" s="109"/>
      <c r="AC625" s="109"/>
    </row>
    <row r="626" spans="1:29" ht="14.4" x14ac:dyDescent="0.3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39"/>
      <c r="M626" s="109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09"/>
      <c r="Y626" s="109"/>
      <c r="Z626" s="109"/>
      <c r="AA626" s="109"/>
      <c r="AB626" s="109"/>
      <c r="AC626" s="109"/>
    </row>
    <row r="627" spans="1:29" ht="14.4" x14ac:dyDescent="0.3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39"/>
      <c r="M627" s="109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09"/>
      <c r="Y627" s="109"/>
      <c r="Z627" s="109"/>
      <c r="AA627" s="109"/>
      <c r="AB627" s="109"/>
      <c r="AC627" s="109"/>
    </row>
    <row r="628" spans="1:29" ht="14.4" x14ac:dyDescent="0.3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39"/>
      <c r="M628" s="109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09"/>
      <c r="Y628" s="109"/>
      <c r="Z628" s="109"/>
      <c r="AA628" s="109"/>
      <c r="AB628" s="109"/>
      <c r="AC628" s="109"/>
    </row>
    <row r="629" spans="1:29" ht="14.4" x14ac:dyDescent="0.3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39"/>
      <c r="M629" s="109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09"/>
      <c r="Y629" s="109"/>
      <c r="Z629" s="109"/>
      <c r="AA629" s="109"/>
      <c r="AB629" s="109"/>
      <c r="AC629" s="109"/>
    </row>
    <row r="630" spans="1:29" ht="14.4" x14ac:dyDescent="0.3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39"/>
      <c r="M630" s="109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09"/>
      <c r="Y630" s="109"/>
      <c r="Z630" s="109"/>
      <c r="AA630" s="109"/>
      <c r="AB630" s="109"/>
      <c r="AC630" s="109"/>
    </row>
    <row r="631" spans="1:29" ht="14.4" x14ac:dyDescent="0.3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39"/>
      <c r="M631" s="109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09"/>
      <c r="Y631" s="109"/>
      <c r="Z631" s="109"/>
      <c r="AA631" s="109"/>
      <c r="AB631" s="109"/>
      <c r="AC631" s="109"/>
    </row>
    <row r="632" spans="1:29" ht="14.4" x14ac:dyDescent="0.3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39"/>
      <c r="M632" s="109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09"/>
      <c r="Y632" s="109"/>
      <c r="Z632" s="109"/>
      <c r="AA632" s="109"/>
      <c r="AB632" s="109"/>
      <c r="AC632" s="109"/>
    </row>
    <row r="633" spans="1:29" ht="14.4" x14ac:dyDescent="0.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39"/>
      <c r="M633" s="109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09"/>
      <c r="Y633" s="109"/>
      <c r="Z633" s="109"/>
      <c r="AA633" s="109"/>
      <c r="AB633" s="109"/>
      <c r="AC633" s="109"/>
    </row>
    <row r="634" spans="1:29" ht="14.4" x14ac:dyDescent="0.3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39"/>
      <c r="M634" s="109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09"/>
      <c r="Y634" s="109"/>
      <c r="Z634" s="109"/>
      <c r="AA634" s="109"/>
      <c r="AB634" s="109"/>
      <c r="AC634" s="109"/>
    </row>
    <row r="635" spans="1:29" ht="14.4" x14ac:dyDescent="0.3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39"/>
      <c r="M635" s="109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09"/>
      <c r="Y635" s="109"/>
      <c r="Z635" s="109"/>
      <c r="AA635" s="109"/>
      <c r="AB635" s="109"/>
      <c r="AC635" s="109"/>
    </row>
    <row r="636" spans="1:29" ht="14.4" x14ac:dyDescent="0.3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39"/>
      <c r="M636" s="109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09"/>
      <c r="Y636" s="109"/>
      <c r="Z636" s="109"/>
      <c r="AA636" s="109"/>
      <c r="AB636" s="109"/>
      <c r="AC636" s="109"/>
    </row>
    <row r="637" spans="1:29" ht="14.4" x14ac:dyDescent="0.3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39"/>
      <c r="M637" s="109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09"/>
      <c r="Y637" s="109"/>
      <c r="Z637" s="109"/>
      <c r="AA637" s="109"/>
      <c r="AB637" s="109"/>
      <c r="AC637" s="109"/>
    </row>
    <row r="638" spans="1:29" ht="14.4" x14ac:dyDescent="0.3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39"/>
      <c r="M638" s="109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09"/>
      <c r="Y638" s="109"/>
      <c r="Z638" s="109"/>
      <c r="AA638" s="109"/>
      <c r="AB638" s="109"/>
      <c r="AC638" s="109"/>
    </row>
    <row r="639" spans="1:29" ht="14.4" x14ac:dyDescent="0.3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39"/>
      <c r="M639" s="109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09"/>
      <c r="Y639" s="109"/>
      <c r="Z639" s="109"/>
      <c r="AA639" s="109"/>
      <c r="AB639" s="109"/>
      <c r="AC639" s="109"/>
    </row>
    <row r="640" spans="1:29" ht="14.4" x14ac:dyDescent="0.3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39"/>
      <c r="M640" s="109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09"/>
      <c r="Y640" s="109"/>
      <c r="Z640" s="109"/>
      <c r="AA640" s="109"/>
      <c r="AB640" s="109"/>
      <c r="AC640" s="109"/>
    </row>
    <row r="641" spans="1:29" ht="14.4" x14ac:dyDescent="0.3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39"/>
      <c r="M641" s="109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09"/>
      <c r="Y641" s="109"/>
      <c r="Z641" s="109"/>
      <c r="AA641" s="109"/>
      <c r="AB641" s="109"/>
      <c r="AC641" s="109"/>
    </row>
    <row r="642" spans="1:29" ht="14.4" x14ac:dyDescent="0.3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39"/>
      <c r="M642" s="109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09"/>
      <c r="Y642" s="109"/>
      <c r="Z642" s="109"/>
      <c r="AA642" s="109"/>
      <c r="AB642" s="109"/>
      <c r="AC642" s="109"/>
    </row>
    <row r="643" spans="1:29" ht="14.4" x14ac:dyDescent="0.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39"/>
      <c r="M643" s="109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09"/>
      <c r="Y643" s="109"/>
      <c r="Z643" s="109"/>
      <c r="AA643" s="109"/>
      <c r="AB643" s="109"/>
      <c r="AC643" s="109"/>
    </row>
    <row r="644" spans="1:29" ht="14.4" x14ac:dyDescent="0.3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39"/>
      <c r="M644" s="109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09"/>
      <c r="Y644" s="109"/>
      <c r="Z644" s="109"/>
      <c r="AA644" s="109"/>
      <c r="AB644" s="109"/>
      <c r="AC644" s="109"/>
    </row>
    <row r="645" spans="1:29" ht="14.4" x14ac:dyDescent="0.3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39"/>
      <c r="M645" s="109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09"/>
      <c r="Y645" s="109"/>
      <c r="Z645" s="109"/>
      <c r="AA645" s="109"/>
      <c r="AB645" s="109"/>
      <c r="AC645" s="109"/>
    </row>
    <row r="646" spans="1:29" ht="14.4" x14ac:dyDescent="0.3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39"/>
      <c r="M646" s="109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09"/>
      <c r="Y646" s="109"/>
      <c r="Z646" s="109"/>
      <c r="AA646" s="109"/>
      <c r="AB646" s="109"/>
      <c r="AC646" s="109"/>
    </row>
    <row r="647" spans="1:29" ht="14.4" x14ac:dyDescent="0.3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39"/>
      <c r="M647" s="109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09"/>
      <c r="Y647" s="109"/>
      <c r="Z647" s="109"/>
      <c r="AA647" s="109"/>
      <c r="AB647" s="109"/>
      <c r="AC647" s="109"/>
    </row>
    <row r="648" spans="1:29" ht="14.4" x14ac:dyDescent="0.3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39"/>
      <c r="M648" s="109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09"/>
      <c r="Y648" s="109"/>
      <c r="Z648" s="109"/>
      <c r="AA648" s="109"/>
      <c r="AB648" s="109"/>
      <c r="AC648" s="109"/>
    </row>
    <row r="649" spans="1:29" ht="14.4" x14ac:dyDescent="0.3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39"/>
      <c r="M649" s="109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09"/>
      <c r="Y649" s="109"/>
      <c r="Z649" s="109"/>
      <c r="AA649" s="109"/>
      <c r="AB649" s="109"/>
      <c r="AC649" s="109"/>
    </row>
    <row r="650" spans="1:29" ht="14.4" x14ac:dyDescent="0.3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39"/>
      <c r="M650" s="109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09"/>
      <c r="Y650" s="109"/>
      <c r="Z650" s="109"/>
      <c r="AA650" s="109"/>
      <c r="AB650" s="109"/>
      <c r="AC650" s="109"/>
    </row>
    <row r="651" spans="1:29" ht="14.4" x14ac:dyDescent="0.3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39"/>
      <c r="M651" s="109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09"/>
      <c r="Y651" s="109"/>
      <c r="Z651" s="109"/>
      <c r="AA651" s="109"/>
      <c r="AB651" s="109"/>
      <c r="AC651" s="109"/>
    </row>
    <row r="652" spans="1:29" ht="14.4" x14ac:dyDescent="0.3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39"/>
      <c r="M652" s="109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09"/>
      <c r="Y652" s="109"/>
      <c r="Z652" s="109"/>
      <c r="AA652" s="109"/>
      <c r="AB652" s="109"/>
      <c r="AC652" s="109"/>
    </row>
    <row r="653" spans="1:29" ht="14.4" x14ac:dyDescent="0.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39"/>
      <c r="M653" s="109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09"/>
      <c r="Y653" s="109"/>
      <c r="Z653" s="109"/>
      <c r="AA653" s="109"/>
      <c r="AB653" s="109"/>
      <c r="AC653" s="109"/>
    </row>
    <row r="654" spans="1:29" ht="14.4" x14ac:dyDescent="0.3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39"/>
      <c r="M654" s="109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09"/>
      <c r="Y654" s="109"/>
      <c r="Z654" s="109"/>
      <c r="AA654" s="109"/>
      <c r="AB654" s="109"/>
      <c r="AC654" s="109"/>
    </row>
    <row r="655" spans="1:29" ht="14.4" x14ac:dyDescent="0.3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39"/>
      <c r="M655" s="109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09"/>
      <c r="Y655" s="109"/>
      <c r="Z655" s="109"/>
      <c r="AA655" s="109"/>
      <c r="AB655" s="109"/>
      <c r="AC655" s="109"/>
    </row>
    <row r="656" spans="1:29" ht="14.4" x14ac:dyDescent="0.3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39"/>
      <c r="M656" s="109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09"/>
      <c r="Y656" s="109"/>
      <c r="Z656" s="109"/>
      <c r="AA656" s="109"/>
      <c r="AB656" s="109"/>
      <c r="AC656" s="109"/>
    </row>
    <row r="657" spans="1:29" ht="14.4" x14ac:dyDescent="0.3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39"/>
      <c r="M657" s="109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09"/>
      <c r="Y657" s="109"/>
      <c r="Z657" s="109"/>
      <c r="AA657" s="109"/>
      <c r="AB657" s="109"/>
      <c r="AC657" s="109"/>
    </row>
    <row r="658" spans="1:29" ht="14.4" x14ac:dyDescent="0.3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39"/>
      <c r="M658" s="109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09"/>
      <c r="Y658" s="109"/>
      <c r="Z658" s="109"/>
      <c r="AA658" s="109"/>
      <c r="AB658" s="109"/>
      <c r="AC658" s="109"/>
    </row>
    <row r="659" spans="1:29" ht="14.4" x14ac:dyDescent="0.3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39"/>
      <c r="M659" s="109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09"/>
      <c r="Y659" s="109"/>
      <c r="Z659" s="109"/>
      <c r="AA659" s="109"/>
      <c r="AB659" s="109"/>
      <c r="AC659" s="109"/>
    </row>
    <row r="660" spans="1:29" ht="14.4" x14ac:dyDescent="0.3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39"/>
      <c r="M660" s="109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09"/>
      <c r="Y660" s="109"/>
      <c r="Z660" s="109"/>
      <c r="AA660" s="109"/>
      <c r="AB660" s="109"/>
      <c r="AC660" s="109"/>
    </row>
    <row r="661" spans="1:29" ht="14.4" x14ac:dyDescent="0.3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39"/>
      <c r="M661" s="109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09"/>
      <c r="Y661" s="109"/>
      <c r="Z661" s="109"/>
      <c r="AA661" s="109"/>
      <c r="AB661" s="109"/>
      <c r="AC661" s="109"/>
    </row>
    <row r="662" spans="1:29" ht="14.4" x14ac:dyDescent="0.3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39"/>
      <c r="M662" s="109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09"/>
      <c r="Y662" s="109"/>
      <c r="Z662" s="109"/>
      <c r="AA662" s="109"/>
      <c r="AB662" s="109"/>
      <c r="AC662" s="109"/>
    </row>
    <row r="663" spans="1:29" ht="14.4" x14ac:dyDescent="0.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39"/>
      <c r="M663" s="109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09"/>
      <c r="Y663" s="109"/>
      <c r="Z663" s="109"/>
      <c r="AA663" s="109"/>
      <c r="AB663" s="109"/>
      <c r="AC663" s="109"/>
    </row>
    <row r="664" spans="1:29" ht="14.4" x14ac:dyDescent="0.3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39"/>
      <c r="M664" s="109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09"/>
      <c r="Y664" s="109"/>
      <c r="Z664" s="109"/>
      <c r="AA664" s="109"/>
      <c r="AB664" s="109"/>
      <c r="AC664" s="109"/>
    </row>
    <row r="665" spans="1:29" ht="14.4" x14ac:dyDescent="0.3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39"/>
      <c r="M665" s="109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09"/>
      <c r="Y665" s="109"/>
      <c r="Z665" s="109"/>
      <c r="AA665" s="109"/>
      <c r="AB665" s="109"/>
      <c r="AC665" s="109"/>
    </row>
    <row r="666" spans="1:29" ht="14.4" x14ac:dyDescent="0.3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39"/>
      <c r="M666" s="109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09"/>
      <c r="Y666" s="109"/>
      <c r="Z666" s="109"/>
      <c r="AA666" s="109"/>
      <c r="AB666" s="109"/>
      <c r="AC666" s="109"/>
    </row>
    <row r="667" spans="1:29" ht="14.4" x14ac:dyDescent="0.3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39"/>
      <c r="M667" s="109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09"/>
      <c r="Y667" s="109"/>
      <c r="Z667" s="109"/>
      <c r="AA667" s="109"/>
      <c r="AB667" s="109"/>
      <c r="AC667" s="109"/>
    </row>
    <row r="668" spans="1:29" ht="14.4" x14ac:dyDescent="0.3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39"/>
      <c r="M668" s="109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09"/>
      <c r="Y668" s="109"/>
      <c r="Z668" s="109"/>
      <c r="AA668" s="109"/>
      <c r="AB668" s="109"/>
      <c r="AC668" s="109"/>
    </row>
    <row r="669" spans="1:29" ht="14.4" x14ac:dyDescent="0.3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39"/>
      <c r="M669" s="109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09"/>
      <c r="Y669" s="109"/>
      <c r="Z669" s="109"/>
      <c r="AA669" s="109"/>
      <c r="AB669" s="109"/>
      <c r="AC669" s="109"/>
    </row>
    <row r="670" spans="1:29" ht="14.4" x14ac:dyDescent="0.3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39"/>
      <c r="M670" s="109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09"/>
      <c r="Y670" s="109"/>
      <c r="Z670" s="109"/>
      <c r="AA670" s="109"/>
      <c r="AB670" s="109"/>
      <c r="AC670" s="109"/>
    </row>
    <row r="671" spans="1:29" ht="14.4" x14ac:dyDescent="0.3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39"/>
      <c r="M671" s="109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09"/>
      <c r="Y671" s="109"/>
      <c r="Z671" s="109"/>
      <c r="AA671" s="109"/>
      <c r="AB671" s="109"/>
      <c r="AC671" s="109"/>
    </row>
    <row r="672" spans="1:29" ht="14.4" x14ac:dyDescent="0.3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39"/>
      <c r="M672" s="109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09"/>
      <c r="Y672" s="109"/>
      <c r="Z672" s="109"/>
      <c r="AA672" s="109"/>
      <c r="AB672" s="109"/>
      <c r="AC672" s="109"/>
    </row>
    <row r="673" spans="1:29" ht="14.4" x14ac:dyDescent="0.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39"/>
      <c r="M673" s="109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09"/>
      <c r="Y673" s="109"/>
      <c r="Z673" s="109"/>
      <c r="AA673" s="109"/>
      <c r="AB673" s="109"/>
      <c r="AC673" s="109"/>
    </row>
    <row r="674" spans="1:29" ht="14.4" x14ac:dyDescent="0.3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39"/>
      <c r="M674" s="109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09"/>
      <c r="Y674" s="109"/>
      <c r="Z674" s="109"/>
      <c r="AA674" s="109"/>
      <c r="AB674" s="109"/>
      <c r="AC674" s="109"/>
    </row>
    <row r="675" spans="1:29" ht="14.4" x14ac:dyDescent="0.3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39"/>
      <c r="M675" s="109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09"/>
      <c r="Y675" s="109"/>
      <c r="Z675" s="109"/>
      <c r="AA675" s="109"/>
      <c r="AB675" s="109"/>
      <c r="AC675" s="109"/>
    </row>
    <row r="676" spans="1:29" ht="14.4" x14ac:dyDescent="0.3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39"/>
      <c r="M676" s="109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09"/>
      <c r="Y676" s="109"/>
      <c r="Z676" s="109"/>
      <c r="AA676" s="109"/>
      <c r="AB676" s="109"/>
      <c r="AC676" s="109"/>
    </row>
    <row r="677" spans="1:29" ht="14.4" x14ac:dyDescent="0.3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39"/>
      <c r="M677" s="109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09"/>
      <c r="Y677" s="109"/>
      <c r="Z677" s="109"/>
      <c r="AA677" s="109"/>
      <c r="AB677" s="109"/>
      <c r="AC677" s="109"/>
    </row>
    <row r="678" spans="1:29" ht="14.4" x14ac:dyDescent="0.3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39"/>
      <c r="M678" s="109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09"/>
      <c r="Y678" s="109"/>
      <c r="Z678" s="109"/>
      <c r="AA678" s="109"/>
      <c r="AB678" s="109"/>
      <c r="AC678" s="109"/>
    </row>
    <row r="679" spans="1:29" ht="14.4" x14ac:dyDescent="0.3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39"/>
      <c r="M679" s="109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09"/>
      <c r="Y679" s="109"/>
      <c r="Z679" s="109"/>
      <c r="AA679" s="109"/>
      <c r="AB679" s="109"/>
      <c r="AC679" s="109"/>
    </row>
    <row r="680" spans="1:29" ht="14.4" x14ac:dyDescent="0.3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39"/>
      <c r="M680" s="109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09"/>
      <c r="Y680" s="109"/>
      <c r="Z680" s="109"/>
      <c r="AA680" s="109"/>
      <c r="AB680" s="109"/>
      <c r="AC680" s="109"/>
    </row>
    <row r="681" spans="1:29" ht="14.4" x14ac:dyDescent="0.3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39"/>
      <c r="M681" s="109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09"/>
      <c r="Y681" s="109"/>
      <c r="Z681" s="109"/>
      <c r="AA681" s="109"/>
      <c r="AB681" s="109"/>
      <c r="AC681" s="109"/>
    </row>
    <row r="682" spans="1:29" ht="14.4" x14ac:dyDescent="0.3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39"/>
      <c r="M682" s="109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09"/>
      <c r="Y682" s="109"/>
      <c r="Z682" s="109"/>
      <c r="AA682" s="109"/>
      <c r="AB682" s="109"/>
      <c r="AC682" s="109"/>
    </row>
    <row r="683" spans="1:29" ht="14.4" x14ac:dyDescent="0.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39"/>
      <c r="M683" s="109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09"/>
      <c r="Y683" s="109"/>
      <c r="Z683" s="109"/>
      <c r="AA683" s="109"/>
      <c r="AB683" s="109"/>
      <c r="AC683" s="109"/>
    </row>
    <row r="684" spans="1:29" ht="14.4" x14ac:dyDescent="0.3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39"/>
      <c r="M684" s="109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09"/>
      <c r="Y684" s="109"/>
      <c r="Z684" s="109"/>
      <c r="AA684" s="109"/>
      <c r="AB684" s="109"/>
      <c r="AC684" s="109"/>
    </row>
    <row r="685" spans="1:29" ht="14.4" x14ac:dyDescent="0.3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39"/>
      <c r="M685" s="109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09"/>
      <c r="Y685" s="109"/>
      <c r="Z685" s="109"/>
      <c r="AA685" s="109"/>
      <c r="AB685" s="109"/>
      <c r="AC685" s="109"/>
    </row>
    <row r="686" spans="1:29" ht="14.4" x14ac:dyDescent="0.3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39"/>
      <c r="M686" s="109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09"/>
      <c r="Y686" s="109"/>
      <c r="Z686" s="109"/>
      <c r="AA686" s="109"/>
      <c r="AB686" s="109"/>
      <c r="AC686" s="109"/>
    </row>
    <row r="687" spans="1:29" ht="14.4" x14ac:dyDescent="0.3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39"/>
      <c r="M687" s="109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09"/>
      <c r="Y687" s="109"/>
      <c r="Z687" s="109"/>
      <c r="AA687" s="109"/>
      <c r="AB687" s="109"/>
      <c r="AC687" s="109"/>
    </row>
    <row r="688" spans="1:29" ht="14.4" x14ac:dyDescent="0.3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39"/>
      <c r="M688" s="109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09"/>
      <c r="Y688" s="109"/>
      <c r="Z688" s="109"/>
      <c r="AA688" s="109"/>
      <c r="AB688" s="109"/>
      <c r="AC688" s="109"/>
    </row>
    <row r="689" spans="1:29" ht="14.4" x14ac:dyDescent="0.3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39"/>
      <c r="M689" s="109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09"/>
      <c r="Y689" s="109"/>
      <c r="Z689" s="109"/>
      <c r="AA689" s="109"/>
      <c r="AB689" s="109"/>
      <c r="AC689" s="109"/>
    </row>
    <row r="690" spans="1:29" ht="14.4" x14ac:dyDescent="0.3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39"/>
      <c r="M690" s="109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09"/>
      <c r="Y690" s="109"/>
      <c r="Z690" s="109"/>
      <c r="AA690" s="109"/>
      <c r="AB690" s="109"/>
      <c r="AC690" s="109"/>
    </row>
    <row r="691" spans="1:29" ht="14.4" x14ac:dyDescent="0.3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39"/>
      <c r="M691" s="109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09"/>
      <c r="Y691" s="109"/>
      <c r="Z691" s="109"/>
      <c r="AA691" s="109"/>
      <c r="AB691" s="109"/>
      <c r="AC691" s="109"/>
    </row>
    <row r="692" spans="1:29" ht="14.4" x14ac:dyDescent="0.3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39"/>
      <c r="M692" s="109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09"/>
      <c r="Y692" s="109"/>
      <c r="Z692" s="109"/>
      <c r="AA692" s="109"/>
      <c r="AB692" s="109"/>
      <c r="AC692" s="109"/>
    </row>
    <row r="693" spans="1:29" ht="14.4" x14ac:dyDescent="0.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39"/>
      <c r="M693" s="109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09"/>
      <c r="Y693" s="109"/>
      <c r="Z693" s="109"/>
      <c r="AA693" s="109"/>
      <c r="AB693" s="109"/>
      <c r="AC693" s="109"/>
    </row>
    <row r="694" spans="1:29" ht="14.4" x14ac:dyDescent="0.3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39"/>
      <c r="M694" s="109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09"/>
      <c r="Y694" s="109"/>
      <c r="Z694" s="109"/>
      <c r="AA694" s="109"/>
      <c r="AB694" s="109"/>
      <c r="AC694" s="109"/>
    </row>
    <row r="695" spans="1:29" ht="14.4" x14ac:dyDescent="0.3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39"/>
      <c r="M695" s="109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09"/>
      <c r="Y695" s="109"/>
      <c r="Z695" s="109"/>
      <c r="AA695" s="109"/>
      <c r="AB695" s="109"/>
      <c r="AC695" s="109"/>
    </row>
    <row r="696" spans="1:29" ht="14.4" x14ac:dyDescent="0.3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39"/>
      <c r="M696" s="109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09"/>
      <c r="Y696" s="109"/>
      <c r="Z696" s="109"/>
      <c r="AA696" s="109"/>
      <c r="AB696" s="109"/>
      <c r="AC696" s="109"/>
    </row>
    <row r="697" spans="1:29" ht="14.4" x14ac:dyDescent="0.3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39"/>
      <c r="M697" s="109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09"/>
      <c r="Y697" s="109"/>
      <c r="Z697" s="109"/>
      <c r="AA697" s="109"/>
      <c r="AB697" s="109"/>
      <c r="AC697" s="109"/>
    </row>
    <row r="698" spans="1:29" ht="14.4" x14ac:dyDescent="0.3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39"/>
      <c r="M698" s="109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09"/>
      <c r="Y698" s="109"/>
      <c r="Z698" s="109"/>
      <c r="AA698" s="109"/>
      <c r="AB698" s="109"/>
      <c r="AC698" s="109"/>
    </row>
    <row r="699" spans="1:29" ht="14.4" x14ac:dyDescent="0.3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39"/>
      <c r="M699" s="109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09"/>
      <c r="Y699" s="109"/>
      <c r="Z699" s="109"/>
      <c r="AA699" s="109"/>
      <c r="AB699" s="109"/>
      <c r="AC699" s="109"/>
    </row>
    <row r="700" spans="1:29" ht="14.4" x14ac:dyDescent="0.3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39"/>
      <c r="M700" s="109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09"/>
      <c r="Y700" s="109"/>
      <c r="Z700" s="109"/>
      <c r="AA700" s="109"/>
      <c r="AB700" s="109"/>
      <c r="AC700" s="109"/>
    </row>
    <row r="701" spans="1:29" ht="14.4" x14ac:dyDescent="0.3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39"/>
      <c r="M701" s="109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09"/>
      <c r="Y701" s="109"/>
      <c r="Z701" s="109"/>
      <c r="AA701" s="109"/>
      <c r="AB701" s="109"/>
      <c r="AC701" s="109"/>
    </row>
    <row r="702" spans="1:29" ht="14.4" x14ac:dyDescent="0.3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39"/>
      <c r="M702" s="109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09"/>
      <c r="Y702" s="109"/>
      <c r="Z702" s="109"/>
      <c r="AA702" s="109"/>
      <c r="AB702" s="109"/>
      <c r="AC702" s="109"/>
    </row>
    <row r="703" spans="1:29" ht="14.4" x14ac:dyDescent="0.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39"/>
      <c r="M703" s="109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09"/>
      <c r="Y703" s="109"/>
      <c r="Z703" s="109"/>
      <c r="AA703" s="109"/>
      <c r="AB703" s="109"/>
      <c r="AC703" s="109"/>
    </row>
    <row r="704" spans="1:29" ht="14.4" x14ac:dyDescent="0.3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39"/>
      <c r="M704" s="109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09"/>
      <c r="Y704" s="109"/>
      <c r="Z704" s="109"/>
      <c r="AA704" s="109"/>
      <c r="AB704" s="109"/>
      <c r="AC704" s="109"/>
    </row>
    <row r="705" spans="1:29" ht="14.4" x14ac:dyDescent="0.3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39"/>
      <c r="M705" s="109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09"/>
      <c r="Y705" s="109"/>
      <c r="Z705" s="109"/>
      <c r="AA705" s="109"/>
      <c r="AB705" s="109"/>
      <c r="AC705" s="109"/>
    </row>
    <row r="706" spans="1:29" ht="14.4" x14ac:dyDescent="0.3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39"/>
      <c r="M706" s="109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09"/>
      <c r="Y706" s="109"/>
      <c r="Z706" s="109"/>
      <c r="AA706" s="109"/>
      <c r="AB706" s="109"/>
      <c r="AC706" s="109"/>
    </row>
    <row r="707" spans="1:29" ht="14.4" x14ac:dyDescent="0.3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39"/>
      <c r="M707" s="109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09"/>
      <c r="Y707" s="109"/>
      <c r="Z707" s="109"/>
      <c r="AA707" s="109"/>
      <c r="AB707" s="109"/>
      <c r="AC707" s="109"/>
    </row>
    <row r="708" spans="1:29" ht="14.4" x14ac:dyDescent="0.3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39"/>
      <c r="M708" s="109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09"/>
      <c r="Y708" s="109"/>
      <c r="Z708" s="109"/>
      <c r="AA708" s="109"/>
      <c r="AB708" s="109"/>
      <c r="AC708" s="109"/>
    </row>
    <row r="709" spans="1:29" ht="14.4" x14ac:dyDescent="0.3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39"/>
      <c r="M709" s="109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09"/>
      <c r="Y709" s="109"/>
      <c r="Z709" s="109"/>
      <c r="AA709" s="109"/>
      <c r="AB709" s="109"/>
      <c r="AC709" s="109"/>
    </row>
    <row r="710" spans="1:29" ht="14.4" x14ac:dyDescent="0.3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39"/>
      <c r="M710" s="109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09"/>
      <c r="Y710" s="109"/>
      <c r="Z710" s="109"/>
      <c r="AA710" s="109"/>
      <c r="AB710" s="109"/>
      <c r="AC710" s="109"/>
    </row>
    <row r="711" spans="1:29" ht="14.4" x14ac:dyDescent="0.3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39"/>
      <c r="M711" s="109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09"/>
      <c r="Y711" s="109"/>
      <c r="Z711" s="109"/>
      <c r="AA711" s="109"/>
      <c r="AB711" s="109"/>
      <c r="AC711" s="109"/>
    </row>
    <row r="712" spans="1:29" ht="14.4" x14ac:dyDescent="0.3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39"/>
      <c r="M712" s="109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09"/>
      <c r="Y712" s="109"/>
      <c r="Z712" s="109"/>
      <c r="AA712" s="109"/>
      <c r="AB712" s="109"/>
      <c r="AC712" s="109"/>
    </row>
    <row r="713" spans="1:29" ht="14.4" x14ac:dyDescent="0.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39"/>
      <c r="M713" s="109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09"/>
      <c r="Y713" s="109"/>
      <c r="Z713" s="109"/>
      <c r="AA713" s="109"/>
      <c r="AB713" s="109"/>
      <c r="AC713" s="109"/>
    </row>
    <row r="714" spans="1:29" ht="14.4" x14ac:dyDescent="0.3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39"/>
      <c r="M714" s="109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09"/>
      <c r="Y714" s="109"/>
      <c r="Z714" s="109"/>
      <c r="AA714" s="109"/>
      <c r="AB714" s="109"/>
      <c r="AC714" s="109"/>
    </row>
    <row r="715" spans="1:29" ht="14.4" x14ac:dyDescent="0.3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39"/>
      <c r="M715" s="109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09"/>
      <c r="Y715" s="109"/>
      <c r="Z715" s="109"/>
      <c r="AA715" s="109"/>
      <c r="AB715" s="109"/>
      <c r="AC715" s="109"/>
    </row>
    <row r="716" spans="1:29" ht="14.4" x14ac:dyDescent="0.3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39"/>
      <c r="M716" s="109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09"/>
      <c r="Y716" s="109"/>
      <c r="Z716" s="109"/>
      <c r="AA716" s="109"/>
      <c r="AB716" s="109"/>
      <c r="AC716" s="109"/>
    </row>
    <row r="717" spans="1:29" ht="14.4" x14ac:dyDescent="0.3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39"/>
      <c r="M717" s="109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09"/>
      <c r="Y717" s="109"/>
      <c r="Z717" s="109"/>
      <c r="AA717" s="109"/>
      <c r="AB717" s="109"/>
      <c r="AC717" s="109"/>
    </row>
    <row r="718" spans="1:29" ht="14.4" x14ac:dyDescent="0.3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39"/>
      <c r="M718" s="109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09"/>
      <c r="Y718" s="109"/>
      <c r="Z718" s="109"/>
      <c r="AA718" s="109"/>
      <c r="AB718" s="109"/>
      <c r="AC718" s="109"/>
    </row>
    <row r="719" spans="1:29" ht="14.4" x14ac:dyDescent="0.3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39"/>
      <c r="M719" s="109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09"/>
      <c r="Y719" s="109"/>
      <c r="Z719" s="109"/>
      <c r="AA719" s="109"/>
      <c r="AB719" s="109"/>
      <c r="AC719" s="109"/>
    </row>
    <row r="720" spans="1:29" ht="14.4" x14ac:dyDescent="0.3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39"/>
      <c r="M720" s="109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09"/>
      <c r="Y720" s="109"/>
      <c r="Z720" s="109"/>
      <c r="AA720" s="109"/>
      <c r="AB720" s="109"/>
      <c r="AC720" s="109"/>
    </row>
    <row r="721" spans="1:29" ht="14.4" x14ac:dyDescent="0.3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39"/>
      <c r="M721" s="109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09"/>
      <c r="Y721" s="109"/>
      <c r="Z721" s="109"/>
      <c r="AA721" s="109"/>
      <c r="AB721" s="109"/>
      <c r="AC721" s="109"/>
    </row>
    <row r="722" spans="1:29" ht="14.4" x14ac:dyDescent="0.3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39"/>
      <c r="M722" s="109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09"/>
      <c r="Y722" s="109"/>
      <c r="Z722" s="109"/>
      <c r="AA722" s="109"/>
      <c r="AB722" s="109"/>
      <c r="AC722" s="109"/>
    </row>
    <row r="723" spans="1:29" ht="14.4" x14ac:dyDescent="0.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39"/>
      <c r="M723" s="109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09"/>
      <c r="Y723" s="109"/>
      <c r="Z723" s="109"/>
      <c r="AA723" s="109"/>
      <c r="AB723" s="109"/>
      <c r="AC723" s="109"/>
    </row>
    <row r="724" spans="1:29" ht="14.4" x14ac:dyDescent="0.3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39"/>
      <c r="M724" s="109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09"/>
      <c r="Y724" s="109"/>
      <c r="Z724" s="109"/>
      <c r="AA724" s="109"/>
      <c r="AB724" s="109"/>
      <c r="AC724" s="109"/>
    </row>
    <row r="725" spans="1:29" ht="14.4" x14ac:dyDescent="0.3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39"/>
      <c r="M725" s="109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09"/>
      <c r="Y725" s="109"/>
      <c r="Z725" s="109"/>
      <c r="AA725" s="109"/>
      <c r="AB725" s="109"/>
      <c r="AC725" s="109"/>
    </row>
    <row r="726" spans="1:29" ht="14.4" x14ac:dyDescent="0.3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39"/>
      <c r="M726" s="109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09"/>
      <c r="Y726" s="109"/>
      <c r="Z726" s="109"/>
      <c r="AA726" s="109"/>
      <c r="AB726" s="109"/>
      <c r="AC726" s="109"/>
    </row>
    <row r="727" spans="1:29" ht="14.4" x14ac:dyDescent="0.3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39"/>
      <c r="M727" s="109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09"/>
      <c r="Y727" s="109"/>
      <c r="Z727" s="109"/>
      <c r="AA727" s="109"/>
      <c r="AB727" s="109"/>
      <c r="AC727" s="109"/>
    </row>
    <row r="728" spans="1:29" ht="14.4" x14ac:dyDescent="0.3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39"/>
      <c r="M728" s="109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09"/>
      <c r="Y728" s="109"/>
      <c r="Z728" s="109"/>
      <c r="AA728" s="109"/>
      <c r="AB728" s="109"/>
      <c r="AC728" s="109"/>
    </row>
    <row r="729" spans="1:29" ht="14.4" x14ac:dyDescent="0.3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39"/>
      <c r="M729" s="109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09"/>
      <c r="Y729" s="109"/>
      <c r="Z729" s="109"/>
      <c r="AA729" s="109"/>
      <c r="AB729" s="109"/>
      <c r="AC729" s="109"/>
    </row>
    <row r="730" spans="1:29" ht="14.4" x14ac:dyDescent="0.3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39"/>
      <c r="M730" s="109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09"/>
      <c r="Y730" s="109"/>
      <c r="Z730" s="109"/>
      <c r="AA730" s="109"/>
      <c r="AB730" s="109"/>
      <c r="AC730" s="109"/>
    </row>
    <row r="731" spans="1:29" ht="14.4" x14ac:dyDescent="0.3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39"/>
      <c r="M731" s="109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09"/>
      <c r="Y731" s="109"/>
      <c r="Z731" s="109"/>
      <c r="AA731" s="109"/>
      <c r="AB731" s="109"/>
      <c r="AC731" s="109"/>
    </row>
    <row r="732" spans="1:29" ht="14.4" x14ac:dyDescent="0.3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39"/>
      <c r="M732" s="109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09"/>
      <c r="Y732" s="109"/>
      <c r="Z732" s="109"/>
      <c r="AA732" s="109"/>
      <c r="AB732" s="109"/>
      <c r="AC732" s="109"/>
    </row>
    <row r="733" spans="1:29" ht="14.4" x14ac:dyDescent="0.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39"/>
      <c r="M733" s="109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09"/>
      <c r="Y733" s="109"/>
      <c r="Z733" s="109"/>
      <c r="AA733" s="109"/>
      <c r="AB733" s="109"/>
      <c r="AC733" s="109"/>
    </row>
    <row r="734" spans="1:29" ht="14.4" x14ac:dyDescent="0.3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39"/>
      <c r="M734" s="109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09"/>
      <c r="Y734" s="109"/>
      <c r="Z734" s="109"/>
      <c r="AA734" s="109"/>
      <c r="AB734" s="109"/>
      <c r="AC734" s="109"/>
    </row>
    <row r="735" spans="1:29" ht="14.4" x14ac:dyDescent="0.3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39"/>
      <c r="M735" s="109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09"/>
      <c r="Y735" s="109"/>
      <c r="Z735" s="109"/>
      <c r="AA735" s="109"/>
      <c r="AB735" s="109"/>
      <c r="AC735" s="109"/>
    </row>
    <row r="736" spans="1:29" ht="14.4" x14ac:dyDescent="0.3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39"/>
      <c r="M736" s="109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09"/>
      <c r="Y736" s="109"/>
      <c r="Z736" s="109"/>
      <c r="AA736" s="109"/>
      <c r="AB736" s="109"/>
      <c r="AC736" s="109"/>
    </row>
    <row r="737" spans="1:29" ht="14.4" x14ac:dyDescent="0.3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39"/>
      <c r="M737" s="109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09"/>
      <c r="Y737" s="109"/>
      <c r="Z737" s="109"/>
      <c r="AA737" s="109"/>
      <c r="AB737" s="109"/>
      <c r="AC737" s="109"/>
    </row>
    <row r="738" spans="1:29" ht="14.4" x14ac:dyDescent="0.3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39"/>
      <c r="M738" s="109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09"/>
      <c r="Y738" s="109"/>
      <c r="Z738" s="109"/>
      <c r="AA738" s="109"/>
      <c r="AB738" s="109"/>
      <c r="AC738" s="109"/>
    </row>
    <row r="739" spans="1:29" ht="14.4" x14ac:dyDescent="0.3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39"/>
      <c r="M739" s="109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09"/>
      <c r="Y739" s="109"/>
      <c r="Z739" s="109"/>
      <c r="AA739" s="109"/>
      <c r="AB739" s="109"/>
      <c r="AC739" s="109"/>
    </row>
    <row r="740" spans="1:29" ht="14.4" x14ac:dyDescent="0.3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39"/>
      <c r="M740" s="109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09"/>
      <c r="Y740" s="109"/>
      <c r="Z740" s="109"/>
      <c r="AA740" s="109"/>
      <c r="AB740" s="109"/>
      <c r="AC740" s="109"/>
    </row>
    <row r="741" spans="1:29" ht="14.4" x14ac:dyDescent="0.3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39"/>
      <c r="M741" s="109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09"/>
      <c r="Y741" s="109"/>
      <c r="Z741" s="109"/>
      <c r="AA741" s="109"/>
      <c r="AB741" s="109"/>
      <c r="AC741" s="109"/>
    </row>
    <row r="742" spans="1:29" ht="14.4" x14ac:dyDescent="0.3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39"/>
      <c r="M742" s="109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09"/>
      <c r="Y742" s="109"/>
      <c r="Z742" s="109"/>
      <c r="AA742" s="109"/>
      <c r="AB742" s="109"/>
      <c r="AC742" s="109"/>
    </row>
    <row r="743" spans="1:29" ht="14.4" x14ac:dyDescent="0.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39"/>
      <c r="M743" s="109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09"/>
      <c r="Y743" s="109"/>
      <c r="Z743" s="109"/>
      <c r="AA743" s="109"/>
      <c r="AB743" s="109"/>
      <c r="AC743" s="109"/>
    </row>
    <row r="744" spans="1:29" ht="14.4" x14ac:dyDescent="0.3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39"/>
      <c r="M744" s="109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09"/>
      <c r="Y744" s="109"/>
      <c r="Z744" s="109"/>
      <c r="AA744" s="109"/>
      <c r="AB744" s="109"/>
      <c r="AC744" s="109"/>
    </row>
    <row r="745" spans="1:29" ht="14.4" x14ac:dyDescent="0.3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39"/>
      <c r="M745" s="109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09"/>
      <c r="Y745" s="109"/>
      <c r="Z745" s="109"/>
      <c r="AA745" s="109"/>
      <c r="AB745" s="109"/>
      <c r="AC745" s="109"/>
    </row>
    <row r="746" spans="1:29" ht="14.4" x14ac:dyDescent="0.3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39"/>
      <c r="M746" s="109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09"/>
      <c r="Y746" s="109"/>
      <c r="Z746" s="109"/>
      <c r="AA746" s="109"/>
      <c r="AB746" s="109"/>
      <c r="AC746" s="109"/>
    </row>
    <row r="747" spans="1:29" ht="14.4" x14ac:dyDescent="0.3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39"/>
      <c r="M747" s="109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09"/>
      <c r="Y747" s="109"/>
      <c r="Z747" s="109"/>
      <c r="AA747" s="109"/>
      <c r="AB747" s="109"/>
      <c r="AC747" s="109"/>
    </row>
    <row r="748" spans="1:29" ht="14.4" x14ac:dyDescent="0.3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39"/>
      <c r="M748" s="109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09"/>
      <c r="Y748" s="109"/>
      <c r="Z748" s="109"/>
      <c r="AA748" s="109"/>
      <c r="AB748" s="109"/>
      <c r="AC748" s="109"/>
    </row>
    <row r="749" spans="1:29" ht="14.4" x14ac:dyDescent="0.3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39"/>
      <c r="M749" s="109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09"/>
      <c r="Y749" s="109"/>
      <c r="Z749" s="109"/>
      <c r="AA749" s="109"/>
      <c r="AB749" s="109"/>
      <c r="AC749" s="109"/>
    </row>
    <row r="750" spans="1:29" ht="14.4" x14ac:dyDescent="0.3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39"/>
      <c r="M750" s="109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09"/>
      <c r="Y750" s="109"/>
      <c r="Z750" s="109"/>
      <c r="AA750" s="109"/>
      <c r="AB750" s="109"/>
      <c r="AC750" s="109"/>
    </row>
    <row r="751" spans="1:29" ht="14.4" x14ac:dyDescent="0.3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39"/>
      <c r="M751" s="109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09"/>
      <c r="Y751" s="109"/>
      <c r="Z751" s="109"/>
      <c r="AA751" s="109"/>
      <c r="AB751" s="109"/>
      <c r="AC751" s="109"/>
    </row>
    <row r="752" spans="1:29" ht="14.4" x14ac:dyDescent="0.3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39"/>
      <c r="M752" s="109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09"/>
      <c r="Y752" s="109"/>
      <c r="Z752" s="109"/>
      <c r="AA752" s="109"/>
      <c r="AB752" s="109"/>
      <c r="AC752" s="109"/>
    </row>
    <row r="753" spans="1:29" ht="14.4" x14ac:dyDescent="0.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39"/>
      <c r="M753" s="109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09"/>
      <c r="Y753" s="109"/>
      <c r="Z753" s="109"/>
      <c r="AA753" s="109"/>
      <c r="AB753" s="109"/>
      <c r="AC753" s="109"/>
    </row>
    <row r="754" spans="1:29" ht="14.4" x14ac:dyDescent="0.3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39"/>
      <c r="M754" s="109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09"/>
      <c r="Y754" s="109"/>
      <c r="Z754" s="109"/>
      <c r="AA754" s="109"/>
      <c r="AB754" s="109"/>
      <c r="AC754" s="109"/>
    </row>
    <row r="755" spans="1:29" ht="14.4" x14ac:dyDescent="0.3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39"/>
      <c r="M755" s="109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09"/>
      <c r="Y755" s="109"/>
      <c r="Z755" s="109"/>
      <c r="AA755" s="109"/>
      <c r="AB755" s="109"/>
      <c r="AC755" s="109"/>
    </row>
    <row r="756" spans="1:29" ht="14.4" x14ac:dyDescent="0.3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39"/>
      <c r="M756" s="109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09"/>
      <c r="Y756" s="109"/>
      <c r="Z756" s="109"/>
      <c r="AA756" s="109"/>
      <c r="AB756" s="109"/>
      <c r="AC756" s="109"/>
    </row>
    <row r="757" spans="1:29" ht="14.4" x14ac:dyDescent="0.3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39"/>
      <c r="M757" s="109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09"/>
      <c r="Y757" s="109"/>
      <c r="Z757" s="109"/>
      <c r="AA757" s="109"/>
      <c r="AB757" s="109"/>
      <c r="AC757" s="109"/>
    </row>
    <row r="758" spans="1:29" ht="14.4" x14ac:dyDescent="0.3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39"/>
      <c r="M758" s="109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09"/>
      <c r="Y758" s="109"/>
      <c r="Z758" s="109"/>
      <c r="AA758" s="109"/>
      <c r="AB758" s="109"/>
      <c r="AC758" s="109"/>
    </row>
    <row r="759" spans="1:29" ht="14.4" x14ac:dyDescent="0.3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39"/>
      <c r="M759" s="109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09"/>
      <c r="Y759" s="109"/>
      <c r="Z759" s="109"/>
      <c r="AA759" s="109"/>
      <c r="AB759" s="109"/>
      <c r="AC759" s="109"/>
    </row>
    <row r="760" spans="1:29" ht="14.4" x14ac:dyDescent="0.3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39"/>
      <c r="M760" s="109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09"/>
      <c r="Y760" s="109"/>
      <c r="Z760" s="109"/>
      <c r="AA760" s="109"/>
      <c r="AB760" s="109"/>
      <c r="AC760" s="109"/>
    </row>
    <row r="761" spans="1:29" ht="14.4" x14ac:dyDescent="0.3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39"/>
      <c r="M761" s="109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09"/>
      <c r="Y761" s="109"/>
      <c r="Z761" s="109"/>
      <c r="AA761" s="109"/>
      <c r="AB761" s="109"/>
      <c r="AC761" s="109"/>
    </row>
    <row r="762" spans="1:29" ht="14.4" x14ac:dyDescent="0.3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39"/>
      <c r="M762" s="109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09"/>
      <c r="Y762" s="109"/>
      <c r="Z762" s="109"/>
      <c r="AA762" s="109"/>
      <c r="AB762" s="109"/>
      <c r="AC762" s="109"/>
    </row>
    <row r="763" spans="1:29" ht="14.4" x14ac:dyDescent="0.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39"/>
      <c r="M763" s="109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09"/>
      <c r="Y763" s="109"/>
      <c r="Z763" s="109"/>
      <c r="AA763" s="109"/>
      <c r="AB763" s="109"/>
      <c r="AC763" s="109"/>
    </row>
    <row r="764" spans="1:29" ht="14.4" x14ac:dyDescent="0.3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39"/>
      <c r="M764" s="109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09"/>
      <c r="Y764" s="109"/>
      <c r="Z764" s="109"/>
      <c r="AA764" s="109"/>
      <c r="AB764" s="109"/>
      <c r="AC764" s="109"/>
    </row>
    <row r="765" spans="1:29" ht="14.4" x14ac:dyDescent="0.3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39"/>
      <c r="M765" s="109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09"/>
      <c r="Y765" s="109"/>
      <c r="Z765" s="109"/>
      <c r="AA765" s="109"/>
      <c r="AB765" s="109"/>
      <c r="AC765" s="109"/>
    </row>
    <row r="766" spans="1:29" ht="14.4" x14ac:dyDescent="0.3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39"/>
      <c r="M766" s="109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09"/>
      <c r="Y766" s="109"/>
      <c r="Z766" s="109"/>
      <c r="AA766" s="109"/>
      <c r="AB766" s="109"/>
      <c r="AC766" s="109"/>
    </row>
    <row r="767" spans="1:29" ht="14.4" x14ac:dyDescent="0.3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39"/>
      <c r="M767" s="109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09"/>
      <c r="Y767" s="109"/>
      <c r="Z767" s="109"/>
      <c r="AA767" s="109"/>
      <c r="AB767" s="109"/>
      <c r="AC767" s="109"/>
    </row>
    <row r="768" spans="1:29" ht="14.4" x14ac:dyDescent="0.3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39"/>
      <c r="M768" s="109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09"/>
      <c r="Y768" s="109"/>
      <c r="Z768" s="109"/>
      <c r="AA768" s="109"/>
      <c r="AB768" s="109"/>
      <c r="AC768" s="109"/>
    </row>
    <row r="769" spans="1:29" ht="14.4" x14ac:dyDescent="0.3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39"/>
      <c r="M769" s="109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09"/>
      <c r="Y769" s="109"/>
      <c r="Z769" s="109"/>
      <c r="AA769" s="109"/>
      <c r="AB769" s="109"/>
      <c r="AC769" s="109"/>
    </row>
    <row r="770" spans="1:29" ht="14.4" x14ac:dyDescent="0.3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39"/>
      <c r="M770" s="109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09"/>
      <c r="Y770" s="109"/>
      <c r="Z770" s="109"/>
      <c r="AA770" s="109"/>
      <c r="AB770" s="109"/>
      <c r="AC770" s="109"/>
    </row>
    <row r="771" spans="1:29" ht="14.4" x14ac:dyDescent="0.3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39"/>
      <c r="M771" s="109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09"/>
      <c r="Y771" s="109"/>
      <c r="Z771" s="109"/>
      <c r="AA771" s="109"/>
      <c r="AB771" s="109"/>
      <c r="AC771" s="109"/>
    </row>
    <row r="772" spans="1:29" ht="14.4" x14ac:dyDescent="0.3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39"/>
      <c r="M772" s="109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09"/>
      <c r="Y772" s="109"/>
      <c r="Z772" s="109"/>
      <c r="AA772" s="109"/>
      <c r="AB772" s="109"/>
      <c r="AC772" s="109"/>
    </row>
    <row r="773" spans="1:29" ht="14.4" x14ac:dyDescent="0.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39"/>
      <c r="M773" s="109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09"/>
      <c r="Y773" s="109"/>
      <c r="Z773" s="109"/>
      <c r="AA773" s="109"/>
      <c r="AB773" s="109"/>
      <c r="AC773" s="109"/>
    </row>
    <row r="774" spans="1:29" ht="14.4" x14ac:dyDescent="0.3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39"/>
      <c r="M774" s="109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09"/>
      <c r="Y774" s="109"/>
      <c r="Z774" s="109"/>
      <c r="AA774" s="109"/>
      <c r="AB774" s="109"/>
      <c r="AC774" s="109"/>
    </row>
    <row r="775" spans="1:29" ht="14.4" x14ac:dyDescent="0.3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39"/>
      <c r="M775" s="109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09"/>
      <c r="Y775" s="109"/>
      <c r="Z775" s="109"/>
      <c r="AA775" s="109"/>
      <c r="AB775" s="109"/>
      <c r="AC775" s="109"/>
    </row>
    <row r="776" spans="1:29" ht="14.4" x14ac:dyDescent="0.3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39"/>
      <c r="M776" s="109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09"/>
      <c r="Y776" s="109"/>
      <c r="Z776" s="109"/>
      <c r="AA776" s="109"/>
      <c r="AB776" s="109"/>
      <c r="AC776" s="109"/>
    </row>
    <row r="777" spans="1:29" ht="14.4" x14ac:dyDescent="0.3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39"/>
      <c r="M777" s="109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09"/>
      <c r="Y777" s="109"/>
      <c r="Z777" s="109"/>
      <c r="AA777" s="109"/>
      <c r="AB777" s="109"/>
      <c r="AC777" s="109"/>
    </row>
    <row r="778" spans="1:29" ht="14.4" x14ac:dyDescent="0.3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39"/>
      <c r="M778" s="109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09"/>
      <c r="Y778" s="109"/>
      <c r="Z778" s="109"/>
      <c r="AA778" s="109"/>
      <c r="AB778" s="109"/>
      <c r="AC778" s="109"/>
    </row>
    <row r="779" spans="1:29" ht="14.4" x14ac:dyDescent="0.3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39"/>
      <c r="M779" s="109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09"/>
      <c r="Y779" s="109"/>
      <c r="Z779" s="109"/>
      <c r="AA779" s="109"/>
      <c r="AB779" s="109"/>
      <c r="AC779" s="109"/>
    </row>
    <row r="780" spans="1:29" ht="14.4" x14ac:dyDescent="0.3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39"/>
      <c r="M780" s="109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09"/>
      <c r="Y780" s="109"/>
      <c r="Z780" s="109"/>
      <c r="AA780" s="109"/>
      <c r="AB780" s="109"/>
      <c r="AC780" s="109"/>
    </row>
    <row r="781" spans="1:29" ht="14.4" x14ac:dyDescent="0.3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39"/>
      <c r="M781" s="109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09"/>
      <c r="Y781" s="109"/>
      <c r="Z781" s="109"/>
      <c r="AA781" s="109"/>
      <c r="AB781" s="109"/>
      <c r="AC781" s="109"/>
    </row>
    <row r="782" spans="1:29" ht="14.4" x14ac:dyDescent="0.3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39"/>
      <c r="M782" s="109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09"/>
      <c r="Y782" s="109"/>
      <c r="Z782" s="109"/>
      <c r="AA782" s="109"/>
      <c r="AB782" s="109"/>
      <c r="AC782" s="109"/>
    </row>
    <row r="783" spans="1:29" ht="14.4" x14ac:dyDescent="0.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39"/>
      <c r="M783" s="109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09"/>
      <c r="Y783" s="109"/>
      <c r="Z783" s="109"/>
      <c r="AA783" s="109"/>
      <c r="AB783" s="109"/>
      <c r="AC783" s="109"/>
    </row>
    <row r="784" spans="1:29" ht="14.4" x14ac:dyDescent="0.3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39"/>
      <c r="M784" s="109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09"/>
      <c r="Y784" s="109"/>
      <c r="Z784" s="109"/>
      <c r="AA784" s="109"/>
      <c r="AB784" s="109"/>
      <c r="AC784" s="109"/>
    </row>
    <row r="785" spans="1:29" ht="14.4" x14ac:dyDescent="0.3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39"/>
      <c r="M785" s="109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09"/>
      <c r="Y785" s="109"/>
      <c r="Z785" s="109"/>
      <c r="AA785" s="109"/>
      <c r="AB785" s="109"/>
      <c r="AC785" s="109"/>
    </row>
    <row r="786" spans="1:29" ht="14.4" x14ac:dyDescent="0.3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39"/>
      <c r="M786" s="109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09"/>
      <c r="Y786" s="109"/>
      <c r="Z786" s="109"/>
      <c r="AA786" s="109"/>
      <c r="AB786" s="109"/>
      <c r="AC786" s="109"/>
    </row>
    <row r="787" spans="1:29" ht="14.4" x14ac:dyDescent="0.3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39"/>
      <c r="M787" s="109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09"/>
      <c r="Y787" s="109"/>
      <c r="Z787" s="109"/>
      <c r="AA787" s="109"/>
      <c r="AB787" s="109"/>
      <c r="AC787" s="109"/>
    </row>
    <row r="788" spans="1:29" ht="14.4" x14ac:dyDescent="0.3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39"/>
      <c r="M788" s="109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09"/>
      <c r="Y788" s="109"/>
      <c r="Z788" s="109"/>
      <c r="AA788" s="109"/>
      <c r="AB788" s="109"/>
      <c r="AC788" s="109"/>
    </row>
    <row r="789" spans="1:29" ht="14.4" x14ac:dyDescent="0.3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39"/>
      <c r="M789" s="109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09"/>
      <c r="Y789" s="109"/>
      <c r="Z789" s="109"/>
      <c r="AA789" s="109"/>
      <c r="AB789" s="109"/>
      <c r="AC789" s="109"/>
    </row>
    <row r="790" spans="1:29" ht="14.4" x14ac:dyDescent="0.3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39"/>
      <c r="M790" s="109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09"/>
      <c r="Y790" s="109"/>
      <c r="Z790" s="109"/>
      <c r="AA790" s="109"/>
      <c r="AB790" s="109"/>
      <c r="AC790" s="109"/>
    </row>
    <row r="791" spans="1:29" ht="14.4" x14ac:dyDescent="0.3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39"/>
      <c r="M791" s="109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09"/>
      <c r="Y791" s="109"/>
      <c r="Z791" s="109"/>
      <c r="AA791" s="109"/>
      <c r="AB791" s="109"/>
      <c r="AC791" s="109"/>
    </row>
    <row r="792" spans="1:29" ht="14.4" x14ac:dyDescent="0.3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39"/>
      <c r="M792" s="109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09"/>
      <c r="Y792" s="109"/>
      <c r="Z792" s="109"/>
      <c r="AA792" s="109"/>
      <c r="AB792" s="109"/>
      <c r="AC792" s="109"/>
    </row>
    <row r="793" spans="1:29" ht="14.4" x14ac:dyDescent="0.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39"/>
      <c r="M793" s="109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09"/>
      <c r="Y793" s="109"/>
      <c r="Z793" s="109"/>
      <c r="AA793" s="109"/>
      <c r="AB793" s="109"/>
      <c r="AC793" s="109"/>
    </row>
    <row r="794" spans="1:29" ht="14.4" x14ac:dyDescent="0.3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39"/>
      <c r="M794" s="109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09"/>
      <c r="Y794" s="109"/>
      <c r="Z794" s="109"/>
      <c r="AA794" s="109"/>
      <c r="AB794" s="109"/>
      <c r="AC794" s="109"/>
    </row>
    <row r="795" spans="1:29" ht="14.4" x14ac:dyDescent="0.3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39"/>
      <c r="M795" s="109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09"/>
      <c r="Y795" s="109"/>
      <c r="Z795" s="109"/>
      <c r="AA795" s="109"/>
      <c r="AB795" s="109"/>
      <c r="AC795" s="109"/>
    </row>
    <row r="796" spans="1:29" ht="14.4" x14ac:dyDescent="0.3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39"/>
      <c r="M796" s="109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09"/>
      <c r="Y796" s="109"/>
      <c r="Z796" s="109"/>
      <c r="AA796" s="109"/>
      <c r="AB796" s="109"/>
      <c r="AC796" s="109"/>
    </row>
    <row r="797" spans="1:29" ht="14.4" x14ac:dyDescent="0.3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39"/>
      <c r="M797" s="109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09"/>
      <c r="Y797" s="109"/>
      <c r="Z797" s="109"/>
      <c r="AA797" s="109"/>
      <c r="AB797" s="109"/>
      <c r="AC797" s="109"/>
    </row>
    <row r="798" spans="1:29" ht="14.4" x14ac:dyDescent="0.3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39"/>
      <c r="M798" s="109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09"/>
      <c r="Y798" s="109"/>
      <c r="Z798" s="109"/>
      <c r="AA798" s="109"/>
      <c r="AB798" s="109"/>
      <c r="AC798" s="109"/>
    </row>
    <row r="799" spans="1:29" ht="14.4" x14ac:dyDescent="0.3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39"/>
      <c r="M799" s="109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09"/>
      <c r="Y799" s="109"/>
      <c r="Z799" s="109"/>
      <c r="AA799" s="109"/>
      <c r="AB799" s="109"/>
      <c r="AC799" s="109"/>
    </row>
    <row r="800" spans="1:29" ht="14.4" x14ac:dyDescent="0.3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39"/>
      <c r="M800" s="109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09"/>
      <c r="Y800" s="109"/>
      <c r="Z800" s="109"/>
      <c r="AA800" s="109"/>
      <c r="AB800" s="109"/>
      <c r="AC800" s="109"/>
    </row>
    <row r="801" spans="1:29" ht="14.4" x14ac:dyDescent="0.3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39"/>
      <c r="M801" s="109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09"/>
      <c r="Y801" s="109"/>
      <c r="Z801" s="109"/>
      <c r="AA801" s="109"/>
      <c r="AB801" s="109"/>
      <c r="AC801" s="109"/>
    </row>
    <row r="802" spans="1:29" ht="14.4" x14ac:dyDescent="0.3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39"/>
      <c r="M802" s="109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09"/>
      <c r="Y802" s="109"/>
      <c r="Z802" s="109"/>
      <c r="AA802" s="109"/>
      <c r="AB802" s="109"/>
      <c r="AC802" s="109"/>
    </row>
    <row r="803" spans="1:29" ht="14.4" x14ac:dyDescent="0.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39"/>
      <c r="M803" s="109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09"/>
      <c r="Y803" s="109"/>
      <c r="Z803" s="109"/>
      <c r="AA803" s="109"/>
      <c r="AB803" s="109"/>
      <c r="AC803" s="109"/>
    </row>
    <row r="804" spans="1:29" ht="14.4" x14ac:dyDescent="0.3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39"/>
      <c r="M804" s="109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09"/>
      <c r="Y804" s="109"/>
      <c r="Z804" s="109"/>
      <c r="AA804" s="109"/>
      <c r="AB804" s="109"/>
      <c r="AC804" s="109"/>
    </row>
    <row r="805" spans="1:29" ht="14.4" x14ac:dyDescent="0.3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39"/>
      <c r="M805" s="109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09"/>
      <c r="Y805" s="109"/>
      <c r="Z805" s="109"/>
      <c r="AA805" s="109"/>
      <c r="AB805" s="109"/>
      <c r="AC805" s="109"/>
    </row>
    <row r="806" spans="1:29" ht="14.4" x14ac:dyDescent="0.3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39"/>
      <c r="M806" s="109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09"/>
      <c r="Y806" s="109"/>
      <c r="Z806" s="109"/>
      <c r="AA806" s="109"/>
      <c r="AB806" s="109"/>
      <c r="AC806" s="109"/>
    </row>
    <row r="807" spans="1:29" ht="14.4" x14ac:dyDescent="0.3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39"/>
      <c r="M807" s="109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09"/>
      <c r="Y807" s="109"/>
      <c r="Z807" s="109"/>
      <c r="AA807" s="109"/>
      <c r="AB807" s="109"/>
      <c r="AC807" s="109"/>
    </row>
    <row r="808" spans="1:29" ht="14.4" x14ac:dyDescent="0.3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39"/>
      <c r="M808" s="109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09"/>
      <c r="Y808" s="109"/>
      <c r="Z808" s="109"/>
      <c r="AA808" s="109"/>
      <c r="AB808" s="109"/>
      <c r="AC808" s="109"/>
    </row>
    <row r="809" spans="1:29" ht="14.4" x14ac:dyDescent="0.3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39"/>
      <c r="M809" s="109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09"/>
      <c r="Y809" s="109"/>
      <c r="Z809" s="109"/>
      <c r="AA809" s="109"/>
      <c r="AB809" s="109"/>
      <c r="AC809" s="109"/>
    </row>
    <row r="810" spans="1:29" ht="14.4" x14ac:dyDescent="0.3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39"/>
      <c r="M810" s="109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09"/>
      <c r="Y810" s="109"/>
      <c r="Z810" s="109"/>
      <c r="AA810" s="109"/>
      <c r="AB810" s="109"/>
      <c r="AC810" s="109"/>
    </row>
    <row r="811" spans="1:29" ht="14.4" x14ac:dyDescent="0.3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39"/>
      <c r="M811" s="109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09"/>
      <c r="Y811" s="109"/>
      <c r="Z811" s="109"/>
      <c r="AA811" s="109"/>
      <c r="AB811" s="109"/>
      <c r="AC811" s="109"/>
    </row>
    <row r="812" spans="1:29" ht="14.4" x14ac:dyDescent="0.3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39"/>
      <c r="M812" s="109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09"/>
      <c r="Y812" s="109"/>
      <c r="Z812" s="109"/>
      <c r="AA812" s="109"/>
      <c r="AB812" s="109"/>
      <c r="AC812" s="109"/>
    </row>
    <row r="813" spans="1:29" ht="14.4" x14ac:dyDescent="0.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39"/>
      <c r="M813" s="109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09"/>
      <c r="Y813" s="109"/>
      <c r="Z813" s="109"/>
      <c r="AA813" s="109"/>
      <c r="AB813" s="109"/>
      <c r="AC813" s="109"/>
    </row>
    <row r="814" spans="1:29" ht="14.4" x14ac:dyDescent="0.3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39"/>
      <c r="M814" s="109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09"/>
      <c r="Y814" s="109"/>
      <c r="Z814" s="109"/>
      <c r="AA814" s="109"/>
      <c r="AB814" s="109"/>
      <c r="AC814" s="109"/>
    </row>
    <row r="815" spans="1:29" ht="14.4" x14ac:dyDescent="0.3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39"/>
      <c r="M815" s="109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09"/>
      <c r="Y815" s="109"/>
      <c r="Z815" s="109"/>
      <c r="AA815" s="109"/>
      <c r="AB815" s="109"/>
      <c r="AC815" s="109"/>
    </row>
    <row r="816" spans="1:29" ht="14.4" x14ac:dyDescent="0.3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39"/>
      <c r="M816" s="109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09"/>
      <c r="Y816" s="109"/>
      <c r="Z816" s="109"/>
      <c r="AA816" s="109"/>
      <c r="AB816" s="109"/>
      <c r="AC816" s="109"/>
    </row>
    <row r="817" spans="1:29" ht="14.4" x14ac:dyDescent="0.3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39"/>
      <c r="M817" s="109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09"/>
      <c r="Y817" s="109"/>
      <c r="Z817" s="109"/>
      <c r="AA817" s="109"/>
      <c r="AB817" s="109"/>
      <c r="AC817" s="109"/>
    </row>
    <row r="818" spans="1:29" ht="14.4" x14ac:dyDescent="0.3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39"/>
      <c r="M818" s="109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09"/>
      <c r="Y818" s="109"/>
      <c r="Z818" s="109"/>
      <c r="AA818" s="109"/>
      <c r="AB818" s="109"/>
      <c r="AC818" s="109"/>
    </row>
    <row r="819" spans="1:29" ht="14.4" x14ac:dyDescent="0.3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39"/>
      <c r="M819" s="109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09"/>
      <c r="Y819" s="109"/>
      <c r="Z819" s="109"/>
      <c r="AA819" s="109"/>
      <c r="AB819" s="109"/>
      <c r="AC819" s="109"/>
    </row>
    <row r="820" spans="1:29" ht="14.4" x14ac:dyDescent="0.3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39"/>
      <c r="M820" s="109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09"/>
      <c r="Y820" s="109"/>
      <c r="Z820" s="109"/>
      <c r="AA820" s="109"/>
      <c r="AB820" s="109"/>
      <c r="AC820" s="109"/>
    </row>
    <row r="821" spans="1:29" ht="14.4" x14ac:dyDescent="0.3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39"/>
      <c r="M821" s="109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09"/>
      <c r="Y821" s="109"/>
      <c r="Z821" s="109"/>
      <c r="AA821" s="109"/>
      <c r="AB821" s="109"/>
      <c r="AC821" s="109"/>
    </row>
    <row r="822" spans="1:29" ht="14.4" x14ac:dyDescent="0.3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39"/>
      <c r="M822" s="109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09"/>
      <c r="Y822" s="109"/>
      <c r="Z822" s="109"/>
      <c r="AA822" s="109"/>
      <c r="AB822" s="109"/>
      <c r="AC822" s="109"/>
    </row>
    <row r="823" spans="1:29" ht="14.4" x14ac:dyDescent="0.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39"/>
      <c r="M823" s="109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09"/>
      <c r="Y823" s="109"/>
      <c r="Z823" s="109"/>
      <c r="AA823" s="109"/>
      <c r="AB823" s="109"/>
      <c r="AC823" s="109"/>
    </row>
    <row r="824" spans="1:29" ht="14.4" x14ac:dyDescent="0.3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39"/>
      <c r="M824" s="109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09"/>
      <c r="Y824" s="109"/>
      <c r="Z824" s="109"/>
      <c r="AA824" s="109"/>
      <c r="AB824" s="109"/>
      <c r="AC824" s="109"/>
    </row>
    <row r="825" spans="1:29" ht="14.4" x14ac:dyDescent="0.3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39"/>
      <c r="M825" s="109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09"/>
      <c r="Y825" s="109"/>
      <c r="Z825" s="109"/>
      <c r="AA825" s="109"/>
      <c r="AB825" s="109"/>
      <c r="AC825" s="109"/>
    </row>
    <row r="826" spans="1:29" ht="14.4" x14ac:dyDescent="0.3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39"/>
      <c r="M826" s="109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09"/>
      <c r="Y826" s="109"/>
      <c r="Z826" s="109"/>
      <c r="AA826" s="109"/>
      <c r="AB826" s="109"/>
      <c r="AC826" s="109"/>
    </row>
    <row r="827" spans="1:29" ht="14.4" x14ac:dyDescent="0.3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39"/>
      <c r="M827" s="109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09"/>
      <c r="Y827" s="109"/>
      <c r="Z827" s="109"/>
      <c r="AA827" s="109"/>
      <c r="AB827" s="109"/>
      <c r="AC827" s="109"/>
    </row>
    <row r="828" spans="1:29" ht="14.4" x14ac:dyDescent="0.3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39"/>
      <c r="M828" s="109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09"/>
      <c r="Y828" s="109"/>
      <c r="Z828" s="109"/>
      <c r="AA828" s="109"/>
      <c r="AB828" s="109"/>
      <c r="AC828" s="109"/>
    </row>
    <row r="829" spans="1:29" ht="14.4" x14ac:dyDescent="0.3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39"/>
      <c r="M829" s="109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09"/>
      <c r="Y829" s="109"/>
      <c r="Z829" s="109"/>
      <c r="AA829" s="109"/>
      <c r="AB829" s="109"/>
      <c r="AC829" s="109"/>
    </row>
    <row r="830" spans="1:29" ht="14.4" x14ac:dyDescent="0.3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39"/>
      <c r="M830" s="109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09"/>
      <c r="Y830" s="109"/>
      <c r="Z830" s="109"/>
      <c r="AA830" s="109"/>
      <c r="AB830" s="109"/>
      <c r="AC830" s="109"/>
    </row>
    <row r="831" spans="1:29" ht="14.4" x14ac:dyDescent="0.3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39"/>
      <c r="M831" s="109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09"/>
      <c r="Y831" s="109"/>
      <c r="Z831" s="109"/>
      <c r="AA831" s="109"/>
      <c r="AB831" s="109"/>
      <c r="AC831" s="109"/>
    </row>
    <row r="832" spans="1:29" ht="14.4" x14ac:dyDescent="0.3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39"/>
      <c r="M832" s="109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09"/>
      <c r="Y832" s="109"/>
      <c r="Z832" s="109"/>
      <c r="AA832" s="109"/>
      <c r="AB832" s="109"/>
      <c r="AC832" s="109"/>
    </row>
    <row r="833" spans="1:29" ht="14.4" x14ac:dyDescent="0.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39"/>
      <c r="M833" s="109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09"/>
      <c r="Y833" s="109"/>
      <c r="Z833" s="109"/>
      <c r="AA833" s="109"/>
      <c r="AB833" s="109"/>
      <c r="AC833" s="109"/>
    </row>
    <row r="834" spans="1:29" ht="14.4" x14ac:dyDescent="0.3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39"/>
      <c r="M834" s="109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09"/>
      <c r="Y834" s="109"/>
      <c r="Z834" s="109"/>
      <c r="AA834" s="109"/>
      <c r="AB834" s="109"/>
      <c r="AC834" s="109"/>
    </row>
    <row r="835" spans="1:29" ht="14.4" x14ac:dyDescent="0.3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39"/>
      <c r="M835" s="109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09"/>
      <c r="Y835" s="109"/>
      <c r="Z835" s="109"/>
      <c r="AA835" s="109"/>
      <c r="AB835" s="109"/>
      <c r="AC835" s="109"/>
    </row>
    <row r="836" spans="1:29" ht="14.4" x14ac:dyDescent="0.3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39"/>
      <c r="M836" s="109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09"/>
      <c r="Y836" s="109"/>
      <c r="Z836" s="109"/>
      <c r="AA836" s="109"/>
      <c r="AB836" s="109"/>
      <c r="AC836" s="109"/>
    </row>
    <row r="837" spans="1:29" ht="14.4" x14ac:dyDescent="0.3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39"/>
      <c r="M837" s="109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09"/>
      <c r="Y837" s="109"/>
      <c r="Z837" s="109"/>
      <c r="AA837" s="109"/>
      <c r="AB837" s="109"/>
      <c r="AC837" s="109"/>
    </row>
    <row r="838" spans="1:29" ht="14.4" x14ac:dyDescent="0.3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39"/>
      <c r="M838" s="109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09"/>
      <c r="Y838" s="109"/>
      <c r="Z838" s="109"/>
      <c r="AA838" s="109"/>
      <c r="AB838" s="109"/>
      <c r="AC838" s="109"/>
    </row>
    <row r="839" spans="1:29" ht="14.4" x14ac:dyDescent="0.3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39"/>
      <c r="M839" s="109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09"/>
      <c r="Y839" s="109"/>
      <c r="Z839" s="109"/>
      <c r="AA839" s="109"/>
      <c r="AB839" s="109"/>
      <c r="AC839" s="109"/>
    </row>
    <row r="840" spans="1:29" ht="14.4" x14ac:dyDescent="0.3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39"/>
      <c r="M840" s="109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09"/>
      <c r="Y840" s="109"/>
      <c r="Z840" s="109"/>
      <c r="AA840" s="109"/>
      <c r="AB840" s="109"/>
      <c r="AC840" s="109"/>
    </row>
    <row r="841" spans="1:29" ht="14.4" x14ac:dyDescent="0.3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39"/>
      <c r="M841" s="109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09"/>
      <c r="Y841" s="109"/>
      <c r="Z841" s="109"/>
      <c r="AA841" s="109"/>
      <c r="AB841" s="109"/>
      <c r="AC841" s="109"/>
    </row>
    <row r="842" spans="1:29" ht="14.4" x14ac:dyDescent="0.3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39"/>
      <c r="M842" s="109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09"/>
      <c r="Y842" s="109"/>
      <c r="Z842" s="109"/>
      <c r="AA842" s="109"/>
      <c r="AB842" s="109"/>
      <c r="AC842" s="109"/>
    </row>
    <row r="843" spans="1:29" ht="14.4" x14ac:dyDescent="0.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39"/>
      <c r="M843" s="109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09"/>
      <c r="Y843" s="109"/>
      <c r="Z843" s="109"/>
      <c r="AA843" s="109"/>
      <c r="AB843" s="109"/>
      <c r="AC843" s="109"/>
    </row>
    <row r="844" spans="1:29" ht="14.4" x14ac:dyDescent="0.3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39"/>
      <c r="M844" s="109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09"/>
      <c r="Y844" s="109"/>
      <c r="Z844" s="109"/>
      <c r="AA844" s="109"/>
      <c r="AB844" s="109"/>
      <c r="AC844" s="109"/>
    </row>
    <row r="845" spans="1:29" ht="14.4" x14ac:dyDescent="0.3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39"/>
      <c r="M845" s="109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09"/>
      <c r="Y845" s="109"/>
      <c r="Z845" s="109"/>
      <c r="AA845" s="109"/>
      <c r="AB845" s="109"/>
      <c r="AC845" s="109"/>
    </row>
    <row r="846" spans="1:29" ht="14.4" x14ac:dyDescent="0.3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39"/>
      <c r="M846" s="109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09"/>
      <c r="Y846" s="109"/>
      <c r="Z846" s="109"/>
      <c r="AA846" s="109"/>
      <c r="AB846" s="109"/>
      <c r="AC846" s="109"/>
    </row>
    <row r="847" spans="1:29" ht="14.4" x14ac:dyDescent="0.3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39"/>
      <c r="M847" s="109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09"/>
      <c r="Y847" s="109"/>
      <c r="Z847" s="109"/>
      <c r="AA847" s="109"/>
      <c r="AB847" s="109"/>
      <c r="AC847" s="109"/>
    </row>
    <row r="848" spans="1:29" ht="14.4" x14ac:dyDescent="0.3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39"/>
      <c r="M848" s="109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09"/>
      <c r="Y848" s="109"/>
      <c r="Z848" s="109"/>
      <c r="AA848" s="109"/>
      <c r="AB848" s="109"/>
      <c r="AC848" s="109"/>
    </row>
    <row r="849" spans="1:29" ht="14.4" x14ac:dyDescent="0.3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39"/>
      <c r="M849" s="109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09"/>
      <c r="Y849" s="109"/>
      <c r="Z849" s="109"/>
      <c r="AA849" s="109"/>
      <c r="AB849" s="109"/>
      <c r="AC849" s="109"/>
    </row>
    <row r="850" spans="1:29" ht="14.4" x14ac:dyDescent="0.3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39"/>
      <c r="M850" s="109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09"/>
      <c r="Y850" s="109"/>
      <c r="Z850" s="109"/>
      <c r="AA850" s="109"/>
      <c r="AB850" s="109"/>
      <c r="AC850" s="109"/>
    </row>
    <row r="851" spans="1:29" ht="14.4" x14ac:dyDescent="0.3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39"/>
      <c r="M851" s="109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09"/>
      <c r="Y851" s="109"/>
      <c r="Z851" s="109"/>
      <c r="AA851" s="109"/>
      <c r="AB851" s="109"/>
      <c r="AC851" s="109"/>
    </row>
    <row r="852" spans="1:29" ht="14.4" x14ac:dyDescent="0.3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39"/>
      <c r="M852" s="109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09"/>
      <c r="Y852" s="109"/>
      <c r="Z852" s="109"/>
      <c r="AA852" s="109"/>
      <c r="AB852" s="109"/>
      <c r="AC852" s="109"/>
    </row>
    <row r="853" spans="1:29" ht="14.4" x14ac:dyDescent="0.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39"/>
      <c r="M853" s="109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09"/>
      <c r="Y853" s="109"/>
      <c r="Z853" s="109"/>
      <c r="AA853" s="109"/>
      <c r="AB853" s="109"/>
      <c r="AC853" s="109"/>
    </row>
    <row r="854" spans="1:29" ht="14.4" x14ac:dyDescent="0.3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39"/>
      <c r="M854" s="109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09"/>
      <c r="Y854" s="109"/>
      <c r="Z854" s="109"/>
      <c r="AA854" s="109"/>
      <c r="AB854" s="109"/>
      <c r="AC854" s="109"/>
    </row>
    <row r="855" spans="1:29" ht="14.4" x14ac:dyDescent="0.3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39"/>
      <c r="M855" s="109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09"/>
      <c r="Y855" s="109"/>
      <c r="Z855" s="109"/>
      <c r="AA855" s="109"/>
      <c r="AB855" s="109"/>
      <c r="AC855" s="109"/>
    </row>
    <row r="856" spans="1:29" ht="14.4" x14ac:dyDescent="0.3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39"/>
      <c r="M856" s="109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09"/>
      <c r="Y856" s="109"/>
      <c r="Z856" s="109"/>
      <c r="AA856" s="109"/>
      <c r="AB856" s="109"/>
      <c r="AC856" s="109"/>
    </row>
    <row r="857" spans="1:29" ht="14.4" x14ac:dyDescent="0.3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39"/>
      <c r="M857" s="109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09"/>
      <c r="Y857" s="109"/>
      <c r="Z857" s="109"/>
      <c r="AA857" s="109"/>
      <c r="AB857" s="109"/>
      <c r="AC857" s="109"/>
    </row>
    <row r="858" spans="1:29" ht="14.4" x14ac:dyDescent="0.3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39"/>
      <c r="M858" s="109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09"/>
      <c r="Y858" s="109"/>
      <c r="Z858" s="109"/>
      <c r="AA858" s="109"/>
      <c r="AB858" s="109"/>
      <c r="AC858" s="109"/>
    </row>
    <row r="859" spans="1:29" ht="14.4" x14ac:dyDescent="0.3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39"/>
      <c r="M859" s="109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09"/>
      <c r="Y859" s="109"/>
      <c r="Z859" s="109"/>
      <c r="AA859" s="109"/>
      <c r="AB859" s="109"/>
      <c r="AC859" s="109"/>
    </row>
    <row r="860" spans="1:29" ht="14.4" x14ac:dyDescent="0.3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39"/>
      <c r="M860" s="109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09"/>
      <c r="Y860" s="109"/>
      <c r="Z860" s="109"/>
      <c r="AA860" s="109"/>
      <c r="AB860" s="109"/>
      <c r="AC860" s="109"/>
    </row>
    <row r="861" spans="1:29" ht="14.4" x14ac:dyDescent="0.3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39"/>
      <c r="M861" s="109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09"/>
      <c r="Y861" s="109"/>
      <c r="Z861" s="109"/>
      <c r="AA861" s="109"/>
      <c r="AB861" s="109"/>
      <c r="AC861" s="109"/>
    </row>
    <row r="862" spans="1:29" ht="14.4" x14ac:dyDescent="0.3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39"/>
      <c r="M862" s="109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09"/>
      <c r="Y862" s="109"/>
      <c r="Z862" s="109"/>
      <c r="AA862" s="109"/>
      <c r="AB862" s="109"/>
      <c r="AC862" s="109"/>
    </row>
    <row r="863" spans="1:29" ht="14.4" x14ac:dyDescent="0.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39"/>
      <c r="M863" s="109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09"/>
      <c r="Y863" s="109"/>
      <c r="Z863" s="109"/>
      <c r="AA863" s="109"/>
      <c r="AB863" s="109"/>
      <c r="AC863" s="109"/>
    </row>
    <row r="864" spans="1:29" ht="14.4" x14ac:dyDescent="0.3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39"/>
      <c r="M864" s="109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09"/>
      <c r="Y864" s="109"/>
      <c r="Z864" s="109"/>
      <c r="AA864" s="109"/>
      <c r="AB864" s="109"/>
      <c r="AC864" s="109"/>
    </row>
    <row r="865" spans="1:29" ht="14.4" x14ac:dyDescent="0.3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39"/>
      <c r="M865" s="109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09"/>
      <c r="Y865" s="109"/>
      <c r="Z865" s="109"/>
      <c r="AA865" s="109"/>
      <c r="AB865" s="109"/>
      <c r="AC865" s="109"/>
    </row>
    <row r="866" spans="1:29" ht="14.4" x14ac:dyDescent="0.3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39"/>
      <c r="M866" s="109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09"/>
      <c r="Y866" s="109"/>
      <c r="Z866" s="109"/>
      <c r="AA866" s="109"/>
      <c r="AB866" s="109"/>
      <c r="AC866" s="109"/>
    </row>
    <row r="867" spans="1:29" ht="14.4" x14ac:dyDescent="0.3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39"/>
      <c r="M867" s="109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09"/>
      <c r="Y867" s="109"/>
      <c r="Z867" s="109"/>
      <c r="AA867" s="109"/>
      <c r="AB867" s="109"/>
      <c r="AC867" s="109"/>
    </row>
    <row r="868" spans="1:29" ht="14.4" x14ac:dyDescent="0.3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39"/>
      <c r="M868" s="109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09"/>
      <c r="Y868" s="109"/>
      <c r="Z868" s="109"/>
      <c r="AA868" s="109"/>
      <c r="AB868" s="109"/>
      <c r="AC868" s="109"/>
    </row>
    <row r="869" spans="1:29" ht="14.4" x14ac:dyDescent="0.3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39"/>
      <c r="M869" s="109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09"/>
      <c r="Y869" s="109"/>
      <c r="Z869" s="109"/>
      <c r="AA869" s="109"/>
      <c r="AB869" s="109"/>
      <c r="AC869" s="109"/>
    </row>
    <row r="870" spans="1:29" ht="14.4" x14ac:dyDescent="0.3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39"/>
      <c r="M870" s="109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09"/>
      <c r="Y870" s="109"/>
      <c r="Z870" s="109"/>
      <c r="AA870" s="109"/>
      <c r="AB870" s="109"/>
      <c r="AC870" s="109"/>
    </row>
    <row r="871" spans="1:29" ht="14.4" x14ac:dyDescent="0.3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39"/>
      <c r="M871" s="109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09"/>
      <c r="Y871" s="109"/>
      <c r="Z871" s="109"/>
      <c r="AA871" s="109"/>
      <c r="AB871" s="109"/>
      <c r="AC871" s="109"/>
    </row>
    <row r="872" spans="1:29" ht="14.4" x14ac:dyDescent="0.3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39"/>
      <c r="M872" s="109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09"/>
      <c r="Y872" s="109"/>
      <c r="Z872" s="109"/>
      <c r="AA872" s="109"/>
      <c r="AB872" s="109"/>
      <c r="AC872" s="109"/>
    </row>
    <row r="873" spans="1:29" ht="14.4" x14ac:dyDescent="0.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39"/>
      <c r="M873" s="109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09"/>
      <c r="Y873" s="109"/>
      <c r="Z873" s="109"/>
      <c r="AA873" s="109"/>
      <c r="AB873" s="109"/>
      <c r="AC873" s="109"/>
    </row>
    <row r="874" spans="1:29" ht="14.4" x14ac:dyDescent="0.3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39"/>
      <c r="M874" s="109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09"/>
      <c r="Y874" s="109"/>
      <c r="Z874" s="109"/>
      <c r="AA874" s="109"/>
      <c r="AB874" s="109"/>
      <c r="AC874" s="109"/>
    </row>
    <row r="875" spans="1:29" ht="14.4" x14ac:dyDescent="0.3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39"/>
      <c r="M875" s="109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09"/>
      <c r="Y875" s="109"/>
      <c r="Z875" s="109"/>
      <c r="AA875" s="109"/>
      <c r="AB875" s="109"/>
      <c r="AC875" s="109"/>
    </row>
    <row r="876" spans="1:29" ht="14.4" x14ac:dyDescent="0.3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39"/>
      <c r="M876" s="109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09"/>
      <c r="Y876" s="109"/>
      <c r="Z876" s="109"/>
      <c r="AA876" s="109"/>
      <c r="AB876" s="109"/>
      <c r="AC876" s="109"/>
    </row>
    <row r="877" spans="1:29" ht="14.4" x14ac:dyDescent="0.3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39"/>
      <c r="M877" s="109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09"/>
      <c r="Y877" s="109"/>
      <c r="Z877" s="109"/>
      <c r="AA877" s="109"/>
      <c r="AB877" s="109"/>
      <c r="AC877" s="109"/>
    </row>
    <row r="878" spans="1:29" ht="14.4" x14ac:dyDescent="0.3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39"/>
      <c r="M878" s="109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09"/>
      <c r="Y878" s="109"/>
      <c r="Z878" s="109"/>
      <c r="AA878" s="109"/>
      <c r="AB878" s="109"/>
      <c r="AC878" s="109"/>
    </row>
    <row r="879" spans="1:29" ht="14.4" x14ac:dyDescent="0.3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39"/>
      <c r="M879" s="109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09"/>
      <c r="Y879" s="109"/>
      <c r="Z879" s="109"/>
      <c r="AA879" s="109"/>
      <c r="AB879" s="109"/>
      <c r="AC879" s="109"/>
    </row>
    <row r="880" spans="1:29" ht="14.4" x14ac:dyDescent="0.3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39"/>
      <c r="M880" s="109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09"/>
      <c r="Y880" s="109"/>
      <c r="Z880" s="109"/>
      <c r="AA880" s="109"/>
      <c r="AB880" s="109"/>
      <c r="AC880" s="109"/>
    </row>
    <row r="881" spans="1:29" ht="14.4" x14ac:dyDescent="0.3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39"/>
      <c r="M881" s="109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09"/>
      <c r="Y881" s="109"/>
      <c r="Z881" s="109"/>
      <c r="AA881" s="109"/>
      <c r="AB881" s="109"/>
      <c r="AC881" s="109"/>
    </row>
    <row r="882" spans="1:29" ht="14.4" x14ac:dyDescent="0.3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39"/>
      <c r="M882" s="109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09"/>
      <c r="Y882" s="109"/>
      <c r="Z882" s="109"/>
      <c r="AA882" s="109"/>
      <c r="AB882" s="109"/>
      <c r="AC882" s="109"/>
    </row>
    <row r="883" spans="1:29" ht="14.4" x14ac:dyDescent="0.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39"/>
      <c r="M883" s="109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09"/>
      <c r="Y883" s="109"/>
      <c r="Z883" s="109"/>
      <c r="AA883" s="109"/>
      <c r="AB883" s="109"/>
      <c r="AC883" s="109"/>
    </row>
    <row r="884" spans="1:29" ht="14.4" x14ac:dyDescent="0.3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39"/>
      <c r="M884" s="109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09"/>
      <c r="Y884" s="109"/>
      <c r="Z884" s="109"/>
      <c r="AA884" s="109"/>
      <c r="AB884" s="109"/>
      <c r="AC884" s="109"/>
    </row>
    <row r="885" spans="1:29" ht="14.4" x14ac:dyDescent="0.3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39"/>
      <c r="M885" s="109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09"/>
      <c r="Y885" s="109"/>
      <c r="Z885" s="109"/>
      <c r="AA885" s="109"/>
      <c r="AB885" s="109"/>
      <c r="AC885" s="109"/>
    </row>
    <row r="886" spans="1:29" ht="14.4" x14ac:dyDescent="0.3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39"/>
      <c r="M886" s="109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09"/>
      <c r="Y886" s="109"/>
      <c r="Z886" s="109"/>
      <c r="AA886" s="109"/>
      <c r="AB886" s="109"/>
      <c r="AC886" s="109"/>
    </row>
    <row r="887" spans="1:29" ht="14.4" x14ac:dyDescent="0.3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39"/>
      <c r="M887" s="109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09"/>
      <c r="Y887" s="109"/>
      <c r="Z887" s="109"/>
      <c r="AA887" s="109"/>
      <c r="AB887" s="109"/>
      <c r="AC887" s="109"/>
    </row>
    <row r="888" spans="1:29" ht="14.4" x14ac:dyDescent="0.3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39"/>
      <c r="M888" s="109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09"/>
      <c r="Y888" s="109"/>
      <c r="Z888" s="109"/>
      <c r="AA888" s="109"/>
      <c r="AB888" s="109"/>
      <c r="AC888" s="109"/>
    </row>
    <row r="889" spans="1:29" ht="14.4" x14ac:dyDescent="0.3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39"/>
      <c r="M889" s="109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09"/>
      <c r="Y889" s="109"/>
      <c r="Z889" s="109"/>
      <c r="AA889" s="109"/>
      <c r="AB889" s="109"/>
      <c r="AC889" s="109"/>
    </row>
    <row r="890" spans="1:29" ht="14.4" x14ac:dyDescent="0.3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39"/>
      <c r="M890" s="109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09"/>
      <c r="Y890" s="109"/>
      <c r="Z890" s="109"/>
      <c r="AA890" s="109"/>
      <c r="AB890" s="109"/>
      <c r="AC890" s="109"/>
    </row>
    <row r="891" spans="1:29" ht="14.4" x14ac:dyDescent="0.3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39"/>
      <c r="M891" s="109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09"/>
      <c r="Y891" s="109"/>
      <c r="Z891" s="109"/>
      <c r="AA891" s="109"/>
      <c r="AB891" s="109"/>
      <c r="AC891" s="109"/>
    </row>
    <row r="892" spans="1:29" ht="14.4" x14ac:dyDescent="0.3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39"/>
      <c r="M892" s="109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09"/>
      <c r="Y892" s="109"/>
      <c r="Z892" s="109"/>
      <c r="AA892" s="109"/>
      <c r="AB892" s="109"/>
      <c r="AC892" s="109"/>
    </row>
    <row r="893" spans="1:29" ht="14.4" x14ac:dyDescent="0.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39"/>
      <c r="M893" s="109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09"/>
      <c r="Y893" s="109"/>
      <c r="Z893" s="109"/>
      <c r="AA893" s="109"/>
      <c r="AB893" s="109"/>
      <c r="AC893" s="109"/>
    </row>
    <row r="894" spans="1:29" ht="14.4" x14ac:dyDescent="0.3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39"/>
      <c r="M894" s="109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09"/>
      <c r="Y894" s="109"/>
      <c r="Z894" s="109"/>
      <c r="AA894" s="109"/>
      <c r="AB894" s="109"/>
      <c r="AC894" s="109"/>
    </row>
    <row r="895" spans="1:29" ht="14.4" x14ac:dyDescent="0.3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39"/>
      <c r="M895" s="109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09"/>
      <c r="Y895" s="109"/>
      <c r="Z895" s="109"/>
      <c r="AA895" s="109"/>
      <c r="AB895" s="109"/>
      <c r="AC895" s="109"/>
    </row>
    <row r="896" spans="1:29" ht="14.4" x14ac:dyDescent="0.3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39"/>
      <c r="M896" s="109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09"/>
      <c r="Y896" s="109"/>
      <c r="Z896" s="109"/>
      <c r="AA896" s="109"/>
      <c r="AB896" s="109"/>
      <c r="AC896" s="109"/>
    </row>
    <row r="897" spans="1:29" ht="14.4" x14ac:dyDescent="0.3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39"/>
      <c r="M897" s="109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09"/>
      <c r="Y897" s="109"/>
      <c r="Z897" s="109"/>
      <c r="AA897" s="109"/>
      <c r="AB897" s="109"/>
      <c r="AC897" s="109"/>
    </row>
    <row r="898" spans="1:29" ht="14.4" x14ac:dyDescent="0.3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39"/>
      <c r="M898" s="109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09"/>
      <c r="Y898" s="109"/>
      <c r="Z898" s="109"/>
      <c r="AA898" s="109"/>
      <c r="AB898" s="109"/>
      <c r="AC898" s="109"/>
    </row>
    <row r="899" spans="1:29" ht="14.4" x14ac:dyDescent="0.3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39"/>
      <c r="M899" s="109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09"/>
      <c r="Y899" s="109"/>
      <c r="Z899" s="109"/>
      <c r="AA899" s="109"/>
      <c r="AB899" s="109"/>
      <c r="AC899" s="109"/>
    </row>
    <row r="900" spans="1:29" ht="14.4" x14ac:dyDescent="0.3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39"/>
      <c r="M900" s="109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09"/>
      <c r="Y900" s="109"/>
      <c r="Z900" s="109"/>
      <c r="AA900" s="109"/>
      <c r="AB900" s="109"/>
      <c r="AC900" s="109"/>
    </row>
    <row r="901" spans="1:29" ht="14.4" x14ac:dyDescent="0.3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39"/>
      <c r="M901" s="109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09"/>
      <c r="Y901" s="109"/>
      <c r="Z901" s="109"/>
      <c r="AA901" s="109"/>
      <c r="AB901" s="109"/>
      <c r="AC901" s="109"/>
    </row>
    <row r="902" spans="1:29" ht="14.4" x14ac:dyDescent="0.3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39"/>
      <c r="M902" s="109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09"/>
      <c r="Y902" s="109"/>
      <c r="Z902" s="109"/>
      <c r="AA902" s="109"/>
      <c r="AB902" s="109"/>
      <c r="AC902" s="109"/>
    </row>
    <row r="903" spans="1:29" ht="14.4" x14ac:dyDescent="0.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39"/>
      <c r="M903" s="109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09"/>
      <c r="Y903" s="109"/>
      <c r="Z903" s="109"/>
      <c r="AA903" s="109"/>
      <c r="AB903" s="109"/>
      <c r="AC903" s="109"/>
    </row>
    <row r="904" spans="1:29" ht="14.4" x14ac:dyDescent="0.3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39"/>
      <c r="M904" s="109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09"/>
      <c r="Y904" s="109"/>
      <c r="Z904" s="109"/>
      <c r="AA904" s="109"/>
      <c r="AB904" s="109"/>
      <c r="AC904" s="109"/>
    </row>
    <row r="905" spans="1:29" ht="14.4" x14ac:dyDescent="0.3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39"/>
      <c r="M905" s="109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09"/>
      <c r="Y905" s="109"/>
      <c r="Z905" s="109"/>
      <c r="AA905" s="109"/>
      <c r="AB905" s="109"/>
      <c r="AC905" s="109"/>
    </row>
    <row r="906" spans="1:29" ht="14.4" x14ac:dyDescent="0.3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39"/>
      <c r="M906" s="109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09"/>
      <c r="Y906" s="109"/>
      <c r="Z906" s="109"/>
      <c r="AA906" s="109"/>
      <c r="AB906" s="109"/>
      <c r="AC906" s="109"/>
    </row>
    <row r="907" spans="1:29" ht="14.4" x14ac:dyDescent="0.3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39"/>
      <c r="M907" s="109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09"/>
      <c r="Y907" s="109"/>
      <c r="Z907" s="109"/>
      <c r="AA907" s="109"/>
      <c r="AB907" s="109"/>
      <c r="AC907" s="109"/>
    </row>
    <row r="908" spans="1:29" ht="14.4" x14ac:dyDescent="0.3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39"/>
      <c r="M908" s="109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09"/>
      <c r="Y908" s="109"/>
      <c r="Z908" s="109"/>
      <c r="AA908" s="109"/>
      <c r="AB908" s="109"/>
      <c r="AC908" s="109"/>
    </row>
    <row r="909" spans="1:29" ht="14.4" x14ac:dyDescent="0.3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39"/>
      <c r="M909" s="109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09"/>
      <c r="Y909" s="109"/>
      <c r="Z909" s="109"/>
      <c r="AA909" s="109"/>
      <c r="AB909" s="109"/>
      <c r="AC909" s="109"/>
    </row>
    <row r="910" spans="1:29" ht="14.4" x14ac:dyDescent="0.3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39"/>
      <c r="M910" s="109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09"/>
      <c r="Y910" s="109"/>
      <c r="Z910" s="109"/>
      <c r="AA910" s="109"/>
      <c r="AB910" s="109"/>
      <c r="AC910" s="109"/>
    </row>
    <row r="911" spans="1:29" ht="14.4" x14ac:dyDescent="0.3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39"/>
      <c r="M911" s="109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09"/>
      <c r="Y911" s="109"/>
      <c r="Z911" s="109"/>
      <c r="AA911" s="109"/>
      <c r="AB911" s="109"/>
      <c r="AC911" s="109"/>
    </row>
    <row r="912" spans="1:29" ht="14.4" x14ac:dyDescent="0.3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39"/>
      <c r="M912" s="109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09"/>
      <c r="Y912" s="109"/>
      <c r="Z912" s="109"/>
      <c r="AA912" s="109"/>
      <c r="AB912" s="109"/>
      <c r="AC912" s="109"/>
    </row>
    <row r="913" spans="1:29" ht="14.4" x14ac:dyDescent="0.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39"/>
      <c r="M913" s="109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09"/>
      <c r="Y913" s="109"/>
      <c r="Z913" s="109"/>
      <c r="AA913" s="109"/>
      <c r="AB913" s="109"/>
      <c r="AC913" s="109"/>
    </row>
    <row r="914" spans="1:29" ht="14.4" x14ac:dyDescent="0.3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39"/>
      <c r="M914" s="109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09"/>
      <c r="Y914" s="109"/>
      <c r="Z914" s="109"/>
      <c r="AA914" s="109"/>
      <c r="AB914" s="109"/>
      <c r="AC914" s="109"/>
    </row>
    <row r="915" spans="1:29" ht="14.4" x14ac:dyDescent="0.3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39"/>
      <c r="M915" s="109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09"/>
      <c r="Y915" s="109"/>
      <c r="Z915" s="109"/>
      <c r="AA915" s="109"/>
      <c r="AB915" s="109"/>
      <c r="AC915" s="109"/>
    </row>
    <row r="916" spans="1:29" ht="14.4" x14ac:dyDescent="0.3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39"/>
      <c r="M916" s="109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09"/>
      <c r="Y916" s="109"/>
      <c r="Z916" s="109"/>
      <c r="AA916" s="109"/>
      <c r="AB916" s="109"/>
      <c r="AC916" s="109"/>
    </row>
    <row r="917" spans="1:29" ht="14.4" x14ac:dyDescent="0.3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39"/>
      <c r="M917" s="109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09"/>
      <c r="Y917" s="109"/>
      <c r="Z917" s="109"/>
      <c r="AA917" s="109"/>
      <c r="AB917" s="109"/>
      <c r="AC917" s="109"/>
    </row>
    <row r="918" spans="1:29" ht="14.4" x14ac:dyDescent="0.3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39"/>
      <c r="M918" s="109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09"/>
      <c r="Y918" s="109"/>
      <c r="Z918" s="109"/>
      <c r="AA918" s="109"/>
      <c r="AB918" s="109"/>
      <c r="AC918" s="109"/>
    </row>
    <row r="919" spans="1:29" ht="14.4" x14ac:dyDescent="0.3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39"/>
      <c r="M919" s="109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09"/>
      <c r="Y919" s="109"/>
      <c r="Z919" s="109"/>
      <c r="AA919" s="109"/>
      <c r="AB919" s="109"/>
      <c r="AC919" s="109"/>
    </row>
    <row r="920" spans="1:29" ht="14.4" x14ac:dyDescent="0.3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39"/>
      <c r="M920" s="109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09"/>
      <c r="Y920" s="109"/>
      <c r="Z920" s="109"/>
      <c r="AA920" s="109"/>
      <c r="AB920" s="109"/>
      <c r="AC920" s="109"/>
    </row>
    <row r="921" spans="1:29" ht="14.4" x14ac:dyDescent="0.3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39"/>
      <c r="M921" s="109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09"/>
      <c r="Y921" s="109"/>
      <c r="Z921" s="109"/>
      <c r="AA921" s="109"/>
      <c r="AB921" s="109"/>
      <c r="AC921" s="109"/>
    </row>
    <row r="922" spans="1:29" ht="14.4" x14ac:dyDescent="0.3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39"/>
      <c r="M922" s="109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09"/>
      <c r="Y922" s="109"/>
      <c r="Z922" s="109"/>
      <c r="AA922" s="109"/>
      <c r="AB922" s="109"/>
      <c r="AC922" s="109"/>
    </row>
    <row r="923" spans="1:29" ht="14.4" x14ac:dyDescent="0.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39"/>
      <c r="M923" s="109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09"/>
      <c r="Y923" s="109"/>
      <c r="Z923" s="109"/>
      <c r="AA923" s="109"/>
      <c r="AB923" s="109"/>
      <c r="AC923" s="109"/>
    </row>
    <row r="924" spans="1:29" ht="14.4" x14ac:dyDescent="0.3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39"/>
      <c r="M924" s="109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09"/>
      <c r="Y924" s="109"/>
      <c r="Z924" s="109"/>
      <c r="AA924" s="109"/>
      <c r="AB924" s="109"/>
      <c r="AC924" s="109"/>
    </row>
    <row r="925" spans="1:29" ht="14.4" x14ac:dyDescent="0.3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39"/>
      <c r="M925" s="109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09"/>
      <c r="Y925" s="109"/>
      <c r="Z925" s="109"/>
      <c r="AA925" s="109"/>
      <c r="AB925" s="109"/>
      <c r="AC925" s="109"/>
    </row>
    <row r="926" spans="1:29" ht="14.4" x14ac:dyDescent="0.3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39"/>
      <c r="M926" s="109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09"/>
      <c r="Y926" s="109"/>
      <c r="Z926" s="109"/>
      <c r="AA926" s="109"/>
      <c r="AB926" s="109"/>
      <c r="AC926" s="109"/>
    </row>
    <row r="927" spans="1:29" ht="14.4" x14ac:dyDescent="0.3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39"/>
      <c r="M927" s="109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09"/>
      <c r="Y927" s="109"/>
      <c r="Z927" s="109"/>
      <c r="AA927" s="109"/>
      <c r="AB927" s="109"/>
      <c r="AC927" s="109"/>
    </row>
    <row r="928" spans="1:29" ht="14.4" x14ac:dyDescent="0.3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39"/>
      <c r="M928" s="109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09"/>
      <c r="Y928" s="109"/>
      <c r="Z928" s="109"/>
      <c r="AA928" s="109"/>
      <c r="AB928" s="109"/>
      <c r="AC928" s="109"/>
    </row>
    <row r="929" spans="1:29" ht="14.4" x14ac:dyDescent="0.3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39"/>
      <c r="M929" s="109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09"/>
      <c r="Y929" s="109"/>
      <c r="Z929" s="109"/>
      <c r="AA929" s="109"/>
      <c r="AB929" s="109"/>
      <c r="AC929" s="109"/>
    </row>
    <row r="930" spans="1:29" ht="14.4" x14ac:dyDescent="0.3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39"/>
      <c r="M930" s="109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09"/>
      <c r="Y930" s="109"/>
      <c r="Z930" s="109"/>
      <c r="AA930" s="109"/>
      <c r="AB930" s="109"/>
      <c r="AC930" s="109"/>
    </row>
    <row r="931" spans="1:29" ht="14.4" x14ac:dyDescent="0.3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39"/>
      <c r="M931" s="109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09"/>
      <c r="Y931" s="109"/>
      <c r="Z931" s="109"/>
      <c r="AA931" s="109"/>
      <c r="AB931" s="109"/>
      <c r="AC931" s="109"/>
    </row>
    <row r="932" spans="1:29" ht="14.4" x14ac:dyDescent="0.3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39"/>
      <c r="M932" s="109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09"/>
      <c r="Y932" s="109"/>
      <c r="Z932" s="109"/>
      <c r="AA932" s="109"/>
      <c r="AB932" s="109"/>
      <c r="AC932" s="109"/>
    </row>
    <row r="933" spans="1:29" ht="14.4" x14ac:dyDescent="0.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39"/>
      <c r="M933" s="109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09"/>
      <c r="Y933" s="109"/>
      <c r="Z933" s="109"/>
      <c r="AA933" s="109"/>
      <c r="AB933" s="109"/>
      <c r="AC933" s="109"/>
    </row>
    <row r="934" spans="1:29" ht="14.4" x14ac:dyDescent="0.3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39"/>
      <c r="M934" s="109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09"/>
      <c r="Y934" s="109"/>
      <c r="Z934" s="109"/>
      <c r="AA934" s="109"/>
      <c r="AB934" s="109"/>
      <c r="AC934" s="109"/>
    </row>
    <row r="935" spans="1:29" ht="14.4" x14ac:dyDescent="0.3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39"/>
      <c r="M935" s="109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09"/>
      <c r="Y935" s="109"/>
      <c r="Z935" s="109"/>
      <c r="AA935" s="109"/>
      <c r="AB935" s="109"/>
      <c r="AC935" s="109"/>
    </row>
    <row r="936" spans="1:29" ht="14.4" x14ac:dyDescent="0.3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39"/>
      <c r="M936" s="109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09"/>
      <c r="Y936" s="109"/>
      <c r="Z936" s="109"/>
      <c r="AA936" s="109"/>
      <c r="AB936" s="109"/>
      <c r="AC936" s="109"/>
    </row>
    <row r="937" spans="1:29" ht="14.4" x14ac:dyDescent="0.3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39"/>
      <c r="M937" s="109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09"/>
      <c r="Y937" s="109"/>
      <c r="Z937" s="109"/>
      <c r="AA937" s="109"/>
      <c r="AB937" s="109"/>
      <c r="AC937" s="109"/>
    </row>
    <row r="938" spans="1:29" ht="14.4" x14ac:dyDescent="0.3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39"/>
      <c r="M938" s="109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09"/>
      <c r="Y938" s="109"/>
      <c r="Z938" s="109"/>
      <c r="AA938" s="109"/>
      <c r="AB938" s="109"/>
      <c r="AC938" s="109"/>
    </row>
    <row r="939" spans="1:29" ht="14.4" x14ac:dyDescent="0.3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39"/>
      <c r="M939" s="109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09"/>
      <c r="Y939" s="109"/>
      <c r="Z939" s="109"/>
      <c r="AA939" s="109"/>
      <c r="AB939" s="109"/>
      <c r="AC939" s="109"/>
    </row>
    <row r="940" spans="1:29" ht="14.4" x14ac:dyDescent="0.3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39"/>
      <c r="M940" s="109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09"/>
      <c r="Y940" s="109"/>
      <c r="Z940" s="109"/>
      <c r="AA940" s="109"/>
      <c r="AB940" s="109"/>
      <c r="AC940" s="109"/>
    </row>
    <row r="941" spans="1:29" ht="14.4" x14ac:dyDescent="0.3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39"/>
      <c r="M941" s="109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09"/>
      <c r="Y941" s="109"/>
      <c r="Z941" s="109"/>
      <c r="AA941" s="109"/>
      <c r="AB941" s="109"/>
      <c r="AC941" s="109"/>
    </row>
    <row r="942" spans="1:29" ht="14.4" x14ac:dyDescent="0.3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39"/>
      <c r="M942" s="109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09"/>
      <c r="Y942" s="109"/>
      <c r="Z942" s="109"/>
      <c r="AA942" s="109"/>
      <c r="AB942" s="109"/>
      <c r="AC942" s="109"/>
    </row>
    <row r="943" spans="1:29" ht="14.4" x14ac:dyDescent="0.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39"/>
      <c r="M943" s="109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09"/>
      <c r="Y943" s="109"/>
      <c r="Z943" s="109"/>
      <c r="AA943" s="109"/>
      <c r="AB943" s="109"/>
      <c r="AC943" s="109"/>
    </row>
    <row r="944" spans="1:29" ht="14.4" x14ac:dyDescent="0.3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39"/>
      <c r="M944" s="109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09"/>
      <c r="Y944" s="109"/>
      <c r="Z944" s="109"/>
      <c r="AA944" s="109"/>
      <c r="AB944" s="109"/>
      <c r="AC944" s="109"/>
    </row>
    <row r="945" spans="1:29" ht="14.4" x14ac:dyDescent="0.3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39"/>
      <c r="M945" s="109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09"/>
      <c r="Y945" s="109"/>
      <c r="Z945" s="109"/>
      <c r="AA945" s="109"/>
      <c r="AB945" s="109"/>
      <c r="AC945" s="109"/>
    </row>
    <row r="946" spans="1:29" ht="14.4" x14ac:dyDescent="0.3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39"/>
      <c r="M946" s="109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09"/>
      <c r="Y946" s="109"/>
      <c r="Z946" s="109"/>
      <c r="AA946" s="109"/>
      <c r="AB946" s="109"/>
      <c r="AC946" s="109"/>
    </row>
    <row r="947" spans="1:29" ht="14.4" x14ac:dyDescent="0.3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39"/>
      <c r="M947" s="109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09"/>
      <c r="Y947" s="109"/>
      <c r="Z947" s="109"/>
      <c r="AA947" s="109"/>
      <c r="AB947" s="109"/>
      <c r="AC947" s="109"/>
    </row>
    <row r="948" spans="1:29" ht="14.4" x14ac:dyDescent="0.3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39"/>
      <c r="M948" s="109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09"/>
      <c r="Y948" s="109"/>
      <c r="Z948" s="109"/>
      <c r="AA948" s="109"/>
      <c r="AB948" s="109"/>
      <c r="AC948" s="109"/>
    </row>
    <row r="949" spans="1:29" ht="14.4" x14ac:dyDescent="0.3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39"/>
      <c r="M949" s="109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09"/>
      <c r="Y949" s="109"/>
      <c r="Z949" s="109"/>
      <c r="AA949" s="109"/>
      <c r="AB949" s="109"/>
      <c r="AC949" s="109"/>
    </row>
    <row r="950" spans="1:29" ht="14.4" x14ac:dyDescent="0.3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39"/>
      <c r="M950" s="109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09"/>
      <c r="Y950" s="109"/>
      <c r="Z950" s="109"/>
      <c r="AA950" s="109"/>
      <c r="AB950" s="109"/>
      <c r="AC950" s="109"/>
    </row>
    <row r="951" spans="1:29" ht="14.4" x14ac:dyDescent="0.3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39"/>
      <c r="M951" s="109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09"/>
      <c r="Y951" s="109"/>
      <c r="Z951" s="109"/>
      <c r="AA951" s="109"/>
      <c r="AB951" s="109"/>
      <c r="AC951" s="109"/>
    </row>
    <row r="952" spans="1:29" ht="14.4" x14ac:dyDescent="0.3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39"/>
      <c r="M952" s="109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09"/>
      <c r="Y952" s="109"/>
      <c r="Z952" s="109"/>
      <c r="AA952" s="109"/>
      <c r="AB952" s="109"/>
      <c r="AC952" s="109"/>
    </row>
    <row r="953" spans="1:29" ht="14.4" x14ac:dyDescent="0.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39"/>
      <c r="M953" s="109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09"/>
      <c r="Y953" s="109"/>
      <c r="Z953" s="109"/>
      <c r="AA953" s="109"/>
      <c r="AB953" s="109"/>
      <c r="AC953" s="109"/>
    </row>
    <row r="954" spans="1:29" ht="14.4" x14ac:dyDescent="0.3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39"/>
      <c r="M954" s="109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09"/>
      <c r="Y954" s="109"/>
      <c r="Z954" s="109"/>
      <c r="AA954" s="109"/>
      <c r="AB954" s="109"/>
      <c r="AC954" s="109"/>
    </row>
    <row r="955" spans="1:29" ht="14.4" x14ac:dyDescent="0.3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39"/>
      <c r="M955" s="109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09"/>
      <c r="Y955" s="109"/>
      <c r="Z955" s="109"/>
      <c r="AA955" s="109"/>
      <c r="AB955" s="109"/>
      <c r="AC955" s="109"/>
    </row>
    <row r="956" spans="1:29" ht="14.4" x14ac:dyDescent="0.3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39"/>
      <c r="M956" s="109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09"/>
      <c r="Y956" s="109"/>
      <c r="Z956" s="109"/>
      <c r="AA956" s="109"/>
      <c r="AB956" s="109"/>
      <c r="AC956" s="109"/>
    </row>
    <row r="957" spans="1:29" ht="14.4" x14ac:dyDescent="0.3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39"/>
      <c r="M957" s="109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09"/>
      <c r="Y957" s="109"/>
      <c r="Z957" s="109"/>
      <c r="AA957" s="109"/>
      <c r="AB957" s="109"/>
      <c r="AC957" s="109"/>
    </row>
  </sheetData>
  <autoFilter ref="A1:AC9" xr:uid="{00000000-0009-0000-0000-000008000000}"/>
  <conditionalFormatting sqref="W1:W957">
    <cfRule type="cellIs" dxfId="0" priority="1" operator="lessThan">
      <formula>0</formula>
    </cfRule>
  </conditionalFormatting>
  <hyperlinks>
    <hyperlink ref="T1" r:id="rId1" xr:uid="{00000000-0004-0000-08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Ferero 2021</vt:lpstr>
      <vt:lpstr>Pagos realizados 02</vt:lpstr>
      <vt:lpstr>Marzo 2021</vt:lpstr>
      <vt:lpstr>PROVEEDORES</vt:lpstr>
      <vt:lpstr>Abril 2021</vt:lpstr>
      <vt:lpstr>Fact y pagos SB</vt:lpstr>
      <vt:lpstr>Fact y pagos LC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Lozano R</dc:creator>
  <cp:lastModifiedBy>Silvina Popok</cp:lastModifiedBy>
  <dcterms:created xsi:type="dcterms:W3CDTF">2019-04-05T19:51:24Z</dcterms:created>
  <dcterms:modified xsi:type="dcterms:W3CDTF">2025-08-22T12:54:42Z</dcterms:modified>
</cp:coreProperties>
</file>