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activeTab="1"/>
  </bookViews>
  <sheets>
    <sheet name="Sueldos 03-2025" sheetId="1" r:id="rId1"/>
    <sheet name="Sueldos 04-2025" sheetId="3" r:id="rId2"/>
    <sheet name="Gastos 03-2025" sheetId="2" r:id="rId3"/>
    <sheet name="Gastos 04-2025" sheetId="8" r:id="rId4"/>
  </sheets>
  <definedNames>
    <definedName name="_xlnm._FilterDatabase" localSheetId="2" hidden="1">'Gastos 03-2025'!$A$1:$K$51</definedName>
    <definedName name="_xlnm._FilterDatabase" localSheetId="3" hidden="1">'Gastos 04-2025'!$A$1:$K$49</definedName>
    <definedName name="_xlnm._FilterDatabase" localSheetId="0" hidden="1">'Sueldos 03-2025'!$A$1:$L$27</definedName>
    <definedName name="_xlnm._FilterDatabase" localSheetId="1" hidden="1">'Sueldos 04-2025'!$A$1:$L$27</definedName>
    <definedName name="_xlcn.WorksheetConnection_Sueldos032025A1D271" hidden="1">'Sueldos 03-2025'!$A$1:$D$27</definedName>
    <definedName name="_xlcn.WorksheetConnection_Sueldos042025A1D281" hidden="1">'Sueldos 04-2025'!$A$1:$D$27</definedName>
  </definedNames>
  <calcPr calcId="162913"/>
  <pivotCaches>
    <pivotCache cacheId="21" r:id="rId5"/>
    <pivotCache cacheId="25" r:id="rId6"/>
    <pivotCache cacheId="28" r:id="rId7"/>
    <pivotCache cacheId="36" r:id="rId8"/>
    <pivotCache cacheId="66" r:id="rId9"/>
    <pivotCache cacheId="69" r:id="rId10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Sueldos 04-2025!$A$1:$D$28"/>
          <x15:modelTable id="Rango1" name="Rango1" connection="WorksheetConnection_Sueldos 03-2025!$A$1:$D$27"/>
        </x15:modelTables>
      </x15:dataModel>
    </ext>
  </extLst>
</workbook>
</file>

<file path=xl/calcChain.xml><?xml version="1.0" encoding="utf-8"?>
<calcChain xmlns="http://schemas.openxmlformats.org/spreadsheetml/2006/main">
  <c r="G38" i="2" l="1"/>
  <c r="G37" i="2"/>
  <c r="G20" i="2"/>
  <c r="G13" i="2"/>
  <c r="G2" i="2"/>
  <c r="P3" i="3"/>
  <c r="A11" i="1" l="1"/>
  <c r="B17" i="1"/>
  <c r="A24" i="1"/>
  <c r="A8" i="1"/>
  <c r="B7" i="1"/>
  <c r="B6" i="1"/>
  <c r="B15" i="1"/>
  <c r="B16" i="1"/>
  <c r="B27" i="1"/>
  <c r="A5" i="1"/>
  <c r="B13" i="1"/>
  <c r="A10" i="1"/>
  <c r="A4" i="1"/>
  <c r="A26" i="1"/>
  <c r="A27" i="1"/>
  <c r="A1" i="1"/>
  <c r="A20" i="1"/>
  <c r="B4" i="1"/>
  <c r="A18" i="1"/>
  <c r="A3" i="1"/>
  <c r="B23" i="1"/>
  <c r="B2" i="1"/>
  <c r="A17" i="1"/>
  <c r="B26" i="1"/>
  <c r="A22" i="1"/>
  <c r="B24" i="1"/>
  <c r="A25" i="1"/>
  <c r="A23" i="1"/>
  <c r="A13" i="1"/>
  <c r="B3" i="1"/>
  <c r="A15" i="1"/>
  <c r="A2" i="1"/>
  <c r="B22" i="1"/>
  <c r="A19" i="1"/>
  <c r="B10" i="1"/>
  <c r="B8" i="1"/>
  <c r="B14" i="1"/>
  <c r="B20" i="1"/>
  <c r="B21" i="1"/>
  <c r="A16" i="1"/>
  <c r="B12" i="1"/>
  <c r="A21" i="1"/>
  <c r="A12" i="1"/>
  <c r="B11" i="1"/>
  <c r="B18" i="1"/>
  <c r="B19" i="1"/>
  <c r="B9" i="1"/>
  <c r="A7" i="1"/>
  <c r="A14" i="1"/>
  <c r="B25" i="1"/>
  <c r="A6" i="1"/>
  <c r="A9" i="1"/>
  <c r="B5" i="1"/>
  <c r="B1" i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ueldos 03-2025!$A$1:$D$27" type="102" refreshedVersion="6" minRefreshableVersion="5">
    <extLst>
      <ext xmlns:x15="http://schemas.microsoft.com/office/spreadsheetml/2010/11/main" uri="{DE250136-89BD-433C-8126-D09CA5730AF9}">
        <x15:connection id="Rango1" autoDelete="1">
          <x15:rangePr sourceName="_xlcn.WorksheetConnection_Sueldos032025A1D271"/>
        </x15:connection>
      </ext>
    </extLst>
  </connection>
  <connection id="3" name="WorksheetConnection_Sueldos 04-2025!$A$1:$D$28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Sueldos042025A1D281"/>
        </x15:connection>
      </ext>
    </extLst>
  </connection>
</connections>
</file>

<file path=xl/sharedStrings.xml><?xml version="1.0" encoding="utf-8"?>
<sst xmlns="http://schemas.openxmlformats.org/spreadsheetml/2006/main" count="983" uniqueCount="366">
  <si>
    <t>TIENDA</t>
  </si>
  <si>
    <t>ITEM</t>
  </si>
  <si>
    <t>RAZON SOCIAL</t>
  </si>
  <si>
    <t>OBSERVACIONES</t>
  </si>
  <si>
    <t>IMPORTE</t>
  </si>
  <si>
    <t>IVA/OTRO</t>
  </si>
  <si>
    <t>OTRAS PERCEP.</t>
  </si>
  <si>
    <t>TOTAL</t>
  </si>
  <si>
    <t>FECHA 
 PAGO</t>
  </si>
  <si>
    <t>SEGURIDAD DENAPOLI S.R.L.</t>
  </si>
  <si>
    <t>43.676,16</t>
  </si>
  <si>
    <t>FLORIDA LUCERO (TIENDA)</t>
  </si>
  <si>
    <t>ABL</t>
  </si>
  <si>
    <t>Mageca S.A.</t>
  </si>
  <si>
    <t>ND 00002-00000052</t>
  </si>
  <si>
    <t>405.356,99</t>
  </si>
  <si>
    <t>AYSA</t>
  </si>
  <si>
    <t>388.901,91</t>
  </si>
  <si>
    <t>105.003,52</t>
  </si>
  <si>
    <t>24.461,93</t>
  </si>
  <si>
    <t>518.367,36</t>
  </si>
  <si>
    <t>EDESUR</t>
  </si>
  <si>
    <t>Edesur</t>
  </si>
  <si>
    <t>FA 0501-02178398</t>
  </si>
  <si>
    <t>136.805,33</t>
  </si>
  <si>
    <t>36.937,44</t>
  </si>
  <si>
    <t>12.836,44</t>
  </si>
  <si>
    <t>186.579,21</t>
  </si>
  <si>
    <t>FA 0501-02178642</t>
  </si>
  <si>
    <t>11.872,79</t>
  </si>
  <si>
    <t>3.205,65</t>
  </si>
  <si>
    <t>1.114,02</t>
  </si>
  <si>
    <t>16.192,46</t>
  </si>
  <si>
    <t>FA 9904-02372370</t>
  </si>
  <si>
    <t>443.794,65</t>
  </si>
  <si>
    <t>119.824,56</t>
  </si>
  <si>
    <t>43.547,26</t>
  </si>
  <si>
    <t>607.166,47</t>
  </si>
  <si>
    <t>EXPENSAS</t>
  </si>
  <si>
    <t>386.280,50</t>
  </si>
  <si>
    <t>FUMIGACION</t>
  </si>
  <si>
    <t>MANOLIO MARIANO SERGIO</t>
  </si>
  <si>
    <t>FA 00003-00000955</t>
  </si>
  <si>
    <t>29.756,00</t>
  </si>
  <si>
    <t>6.248,76</t>
  </si>
  <si>
    <t>36.004,76</t>
  </si>
  <si>
    <t>INTERNET</t>
  </si>
  <si>
    <t>Telecom Argentina sa</t>
  </si>
  <si>
    <t>FA 4264-04971072</t>
  </si>
  <si>
    <t>115.950,00</t>
  </si>
  <si>
    <t>35.827,76</t>
  </si>
  <si>
    <t>7.594,00</t>
  </si>
  <si>
    <t>159.371,76</t>
  </si>
  <si>
    <t>ALQUILER</t>
  </si>
  <si>
    <t>FA 00002-00000200</t>
  </si>
  <si>
    <t>2.924.376,08</t>
  </si>
  <si>
    <t>614.118,98</t>
  </si>
  <si>
    <t>3.538.495,06</t>
  </si>
  <si>
    <t>SANES JUAN MANUEL</t>
  </si>
  <si>
    <t>162.152,00</t>
  </si>
  <si>
    <t>FRENCH LUC 27 Y 29 (TIENDA)</t>
  </si>
  <si>
    <t>FA 0501-02168207</t>
  </si>
  <si>
    <t>105.781,06</t>
  </si>
  <si>
    <t>28.560,89</t>
  </si>
  <si>
    <t>8.914,41</t>
  </si>
  <si>
    <t>143.256,36</t>
  </si>
  <si>
    <t>FA 0501-02168206</t>
  </si>
  <si>
    <t>32.735,70</t>
  </si>
  <si>
    <t>8.838,64</t>
  </si>
  <si>
    <t>2.060,56</t>
  </si>
  <si>
    <t>43.634,90</t>
  </si>
  <si>
    <t>Solar de french</t>
  </si>
  <si>
    <t>217.830,00</t>
  </si>
  <si>
    <t>23.896,00</t>
  </si>
  <si>
    <t>5.018,16</t>
  </si>
  <si>
    <t>28.914,16</t>
  </si>
  <si>
    <t>FA 4264-04959817</t>
  </si>
  <si>
    <t>81.550,00</t>
  </si>
  <si>
    <t>23.649,50</t>
  </si>
  <si>
    <t>-</t>
  </si>
  <si>
    <t>105.199,50</t>
  </si>
  <si>
    <t>Fideicomiso Laguna Oscura</t>
  </si>
  <si>
    <t>738.584,00</t>
  </si>
  <si>
    <t>GALERIA GUEMES LOC 08 (TIENDA)</t>
  </si>
  <si>
    <t>FA 4264-04943959</t>
  </si>
  <si>
    <t>30.600,00</t>
  </si>
  <si>
    <t>8.874,00</t>
  </si>
  <si>
    <t>39.474,00</t>
  </si>
  <si>
    <t>Galeria Gral Güemes SAI</t>
  </si>
  <si>
    <t>FA 00003-00018617</t>
  </si>
  <si>
    <t>540.862,00</t>
  </si>
  <si>
    <t>113.581,02</t>
  </si>
  <si>
    <t>280.206,89</t>
  </si>
  <si>
    <t>934.649,91</t>
  </si>
  <si>
    <t>725.872,00</t>
  </si>
  <si>
    <t>1.220.075,00</t>
  </si>
  <si>
    <t>QUILMES AS PDI SA (TIENDA)</t>
  </si>
  <si>
    <t>FA 0501-02195369</t>
  </si>
  <si>
    <t>134.929,12</t>
  </si>
  <si>
    <t>36.430,86</t>
  </si>
  <si>
    <t>11.907,97</t>
  </si>
  <si>
    <t>183.267,95</t>
  </si>
  <si>
    <t>Telefonica Argentina sa</t>
  </si>
  <si>
    <t>FA 3103-00017419</t>
  </si>
  <si>
    <t>80.802,40</t>
  </si>
  <si>
    <t>18.194,62</t>
  </si>
  <si>
    <t>2.424,07</t>
  </si>
  <si>
    <t>101.421,09</t>
  </si>
  <si>
    <t>VARIOS</t>
  </si>
  <si>
    <t>MUNICIPALIDAD DE QUILMES</t>
  </si>
  <si>
    <t>133.584,79</t>
  </si>
  <si>
    <t>AQUINO (FLETE)</t>
  </si>
  <si>
    <t>180.000,00</t>
  </si>
  <si>
    <t>332.100,00</t>
  </si>
  <si>
    <t>RECOLETA LUCERO (TIENDA)</t>
  </si>
  <si>
    <t>FA 0501-02168204</t>
  </si>
  <si>
    <t>82.273,04</t>
  </si>
  <si>
    <t>22.213,72</t>
  </si>
  <si>
    <t>6.708,65</t>
  </si>
  <si>
    <t>111.195,41</t>
  </si>
  <si>
    <t>FORTIN MAURE S.A.</t>
  </si>
  <si>
    <t>FA 0030-00089164</t>
  </si>
  <si>
    <t>1.858.800,59</t>
  </si>
  <si>
    <t>390.348,12</t>
  </si>
  <si>
    <t>92.940,03</t>
  </si>
  <si>
    <t>2.342.088,74</t>
  </si>
  <si>
    <t>FA 4264-05062879</t>
  </si>
  <si>
    <t>48.305,79</t>
  </si>
  <si>
    <t>14.008,68</t>
  </si>
  <si>
    <t>0,01</t>
  </si>
  <si>
    <t>62.314,48</t>
  </si>
  <si>
    <t>FA 0030-00089741</t>
  </si>
  <si>
    <t>1.776.140,28</t>
  </si>
  <si>
    <t>372.989,46</t>
  </si>
  <si>
    <t>88.807,01</t>
  </si>
  <si>
    <t>2.237.936,75</t>
  </si>
  <si>
    <t>49.946,38</t>
  </si>
  <si>
    <t>SAN TELMO AS STORE MESATEL LOC 120/121 (TIENDA)</t>
  </si>
  <si>
    <t>0501-02168205</t>
  </si>
  <si>
    <t>110.998,31</t>
  </si>
  <si>
    <t>29.969,54</t>
  </si>
  <si>
    <t>9.403,94</t>
  </si>
  <si>
    <t>150.371,79</t>
  </si>
  <si>
    <t>MESATEL</t>
  </si>
  <si>
    <t>679.193,52</t>
  </si>
  <si>
    <t>FA 00003-00007586</t>
  </si>
  <si>
    <t>1.696.728,40</t>
  </si>
  <si>
    <t>356.312,96</t>
  </si>
  <si>
    <t>2.053.041,36</t>
  </si>
  <si>
    <t>SAN TELMO LUC MESATEL LOC 92 (TIENDA)</t>
  </si>
  <si>
    <t>FA 0501-02168459</t>
  </si>
  <si>
    <t>68.433,78</t>
  </si>
  <si>
    <t>18.477,12</t>
  </si>
  <si>
    <t>5.410,11</t>
  </si>
  <si>
    <t>92.321,01</t>
  </si>
  <si>
    <t>339.596,76</t>
  </si>
  <si>
    <t>FA 00003-00007585</t>
  </si>
  <si>
    <t>2.333.371,20</t>
  </si>
  <si>
    <t>490.007,95</t>
  </si>
  <si>
    <t>2.823.379,15</t>
  </si>
  <si>
    <t>SAN TELMO LUCERO 2 MESATEL LOC 122 (TIENDA)</t>
  </si>
  <si>
    <t>cliente 03717992</t>
  </si>
  <si>
    <t>95.237,85</t>
  </si>
  <si>
    <t>FA 00003-00007587</t>
  </si>
  <si>
    <t>825.000,00</t>
  </si>
  <si>
    <t>173.250,00</t>
  </si>
  <si>
    <t>998.250,00</t>
  </si>
  <si>
    <t>TIENDA / DEPOSITO / OFICINA / FABRICA</t>
  </si>
  <si>
    <t>FECHA PAGO</t>
  </si>
  <si>
    <t>ALARMA</t>
  </si>
  <si>
    <t>FC 00001-00000058</t>
  </si>
  <si>
    <t>$ 40.000,00</t>
  </si>
  <si>
    <t>FA 0501-02285073</t>
  </si>
  <si>
    <t>$ 237.231,74</t>
  </si>
  <si>
    <t>s/c</t>
  </si>
  <si>
    <t>$ 686.008,98</t>
  </si>
  <si>
    <t>FA 00003-00000965</t>
  </si>
  <si>
    <t>$ 33.250,80</t>
  </si>
  <si>
    <t>FA 3103-00019180</t>
  </si>
  <si>
    <t>$ 104.158,36</t>
  </si>
  <si>
    <t>ND 00002-00000054</t>
  </si>
  <si>
    <t>$ 456.619,16</t>
  </si>
  <si>
    <t>$ 519.510,52</t>
  </si>
  <si>
    <t>FA 0501-02291854</t>
  </si>
  <si>
    <t>$ 161.461,06</t>
  </si>
  <si>
    <t>FA 0501-02291992</t>
  </si>
  <si>
    <t>$ 16.298,62</t>
  </si>
  <si>
    <t>FA 9904-02394351</t>
  </si>
  <si>
    <t>$ 459.788,12</t>
  </si>
  <si>
    <t>$ 407.740,50</t>
  </si>
  <si>
    <t>$ 29.499,80</t>
  </si>
  <si>
    <t>FA 4264-05107815</t>
  </si>
  <si>
    <t>$ 163.831,29</t>
  </si>
  <si>
    <t>FA 0003-00018618</t>
  </si>
  <si>
    <t>$ 6.628,11</t>
  </si>
  <si>
    <t>$ 42.869,79</t>
  </si>
  <si>
    <t>$ 467.459,30</t>
  </si>
  <si>
    <t>$ 654.443,02</t>
  </si>
  <si>
    <t>$ 280.206,89</t>
  </si>
  <si>
    <t>FA 4264-05080411</t>
  </si>
  <si>
    <t>$ 40.441,50</t>
  </si>
  <si>
    <t>FA 0501-02277271</t>
  </si>
  <si>
    <t>$ 114.947,82</t>
  </si>
  <si>
    <t>FA 0030-00089550</t>
  </si>
  <si>
    <t>$ 2.337.671,21</t>
  </si>
  <si>
    <t>FA 4264-05199207</t>
  </si>
  <si>
    <t>$ 63.870,99</t>
  </si>
  <si>
    <t>FA 0501-02284788</t>
  </si>
  <si>
    <t>$ 107.970,61</t>
  </si>
  <si>
    <t>$ 343.004,49</t>
  </si>
  <si>
    <t>sin comprobante</t>
  </si>
  <si>
    <t>$ 110.074,67</t>
  </si>
  <si>
    <t>$ 998.250,00</t>
  </si>
  <si>
    <t>FA 0501-02285075</t>
  </si>
  <si>
    <t>$ 159.964,17</t>
  </si>
  <si>
    <t>FA 0501-02285074</t>
  </si>
  <si>
    <t>$ 68.595,73</t>
  </si>
  <si>
    <t>$ 214.646,93</t>
  </si>
  <si>
    <t>FA 4264-05097061</t>
  </si>
  <si>
    <t>$ 115.842,00</t>
  </si>
  <si>
    <t>$ 738.584,00</t>
  </si>
  <si>
    <t>Periodo</t>
  </si>
  <si>
    <t>Tienda asignada este mes</t>
  </si>
  <si>
    <t>Horas Totales</t>
  </si>
  <si>
    <t>Hs Feriados</t>
  </si>
  <si>
    <t>Hs Normales (con vacaciones)</t>
  </si>
  <si>
    <t>Plus vacacional</t>
  </si>
  <si>
    <t>Sueldo Neto</t>
  </si>
  <si>
    <t>Sueldo Bruto</t>
  </si>
  <si>
    <t>Contribuciones + ART</t>
  </si>
  <si>
    <t>Costo total</t>
  </si>
  <si>
    <t>AS San Telmo</t>
  </si>
  <si>
    <t>SI</t>
  </si>
  <si>
    <t>Lucero San Telmo</t>
  </si>
  <si>
    <t>Lucero French</t>
  </si>
  <si>
    <t>NO</t>
  </si>
  <si>
    <t>Lucero Recoleta</t>
  </si>
  <si>
    <t>Lucero Güemes</t>
  </si>
  <si>
    <t>Lucero Florida</t>
  </si>
  <si>
    <t>Lucero San Telmo 2</t>
  </si>
  <si>
    <t>Legajo</t>
  </si>
  <si>
    <t>Apellido y Nombre</t>
  </si>
  <si>
    <t xml:space="preserve">Horas Totales </t>
  </si>
  <si>
    <t>Carrizo Camila</t>
  </si>
  <si>
    <t>Esposito Candela</t>
  </si>
  <si>
    <t>Bertolo Milagros</t>
  </si>
  <si>
    <t>Barajas Barbara</t>
  </si>
  <si>
    <t>De Brito Rocio</t>
  </si>
  <si>
    <t>Lara Robbio</t>
  </si>
  <si>
    <t>Viña Sofia</t>
  </si>
  <si>
    <t>Molina Agustina</t>
  </si>
  <si>
    <t>Kiara Corbalan</t>
  </si>
  <si>
    <t>Martínez Brisa</t>
  </si>
  <si>
    <t>CORONEL Mailen</t>
  </si>
  <si>
    <t>Ruiz de la Torre Maitena</t>
  </si>
  <si>
    <t>Gimenez Candela</t>
  </si>
  <si>
    <t>Imperiale Candela</t>
  </si>
  <si>
    <t>Machuca Araceli</t>
  </si>
  <si>
    <t>Villarruel Candela</t>
  </si>
  <si>
    <t>Balmaceda Luciana</t>
  </si>
  <si>
    <t>Oliva Micaela</t>
  </si>
  <si>
    <t>Mohamad Daila</t>
  </si>
  <si>
    <t>Sarapura Rebecca</t>
  </si>
  <si>
    <t>Scholler Chavez Ruth</t>
  </si>
  <si>
    <t>Ramirez Lola</t>
  </si>
  <si>
    <t>Machta Gina</t>
  </si>
  <si>
    <t>Dettoni Leguizamon Oriana</t>
  </si>
  <si>
    <t>Florencia Aguero</t>
  </si>
  <si>
    <t>Morena Martinez</t>
  </si>
  <si>
    <t>MATAFUEGOS</t>
  </si>
  <si>
    <t>AS SAN TELMO</t>
  </si>
  <si>
    <t>LUCERO FLORIDA</t>
  </si>
  <si>
    <t>LUCERO GUEMES GONDOLA</t>
  </si>
  <si>
    <t>LUCERO GUEMES LOC.8</t>
  </si>
  <si>
    <t>LUCERO RECOLETA</t>
  </si>
  <si>
    <t>LUCERO ST</t>
  </si>
  <si>
    <t>LUCERO ST 2</t>
  </si>
  <si>
    <t>AS QUILMES</t>
  </si>
  <si>
    <t>LUCERO FRECH</t>
  </si>
  <si>
    <t>saco el iva 21</t>
  </si>
  <si>
    <t>factura C</t>
  </si>
  <si>
    <t>Etiquetas de fila</t>
  </si>
  <si>
    <t>Total general</t>
  </si>
  <si>
    <t>Etiquetas de columna</t>
  </si>
  <si>
    <t>RUBRO</t>
  </si>
  <si>
    <t>OTRO</t>
  </si>
  <si>
    <t>ALQUILER Y EXPENSAS</t>
  </si>
  <si>
    <t>GASTO</t>
  </si>
  <si>
    <t>Suma de GASTO</t>
  </si>
  <si>
    <t>$ 118.639,49</t>
  </si>
  <si>
    <t>$ 32.032,66</t>
  </si>
  <si>
    <t>$ 10.788,91</t>
  </si>
  <si>
    <t>$ 12.202,15</t>
  </si>
  <si>
    <t>$ 3.294,58</t>
  </si>
  <si>
    <t>$ 801,89</t>
  </si>
  <si>
    <t>$ 337.381,60</t>
  </si>
  <si>
    <t>$ 91.093,03</t>
  </si>
  <si>
    <t>$ 31.313,49</t>
  </si>
  <si>
    <t>MAGECA S A</t>
  </si>
  <si>
    <t>$ 2.924.376,08</t>
  </si>
  <si>
    <t>$ 614.118,98</t>
  </si>
  <si>
    <t>$ 3.538.495,06</t>
  </si>
  <si>
    <t>$ 24.380,00</t>
  </si>
  <si>
    <t>$ 5.119,80</t>
  </si>
  <si>
    <t>TELECOM ARGENTINA SOCIEDAD ANONIMA</t>
  </si>
  <si>
    <t>$ 127.001,00</t>
  </si>
  <si>
    <t>$ 26.670,21</t>
  </si>
  <si>
    <t>$ 10.160,08</t>
  </si>
  <si>
    <t>$ 117.541,92</t>
  </si>
  <si>
    <t>$ 31.736,32</t>
  </si>
  <si>
    <t>$ 10.685,93</t>
  </si>
  <si>
    <t>$ 50.547,91</t>
  </si>
  <si>
    <t>$ 13.647,94</t>
  </si>
  <si>
    <t>$ 4.399,88</t>
  </si>
  <si>
    <t>RA 00001-00000029</t>
  </si>
  <si>
    <t>$ -</t>
  </si>
  <si>
    <t>$ 27.480,00</t>
  </si>
  <si>
    <t>$ 5.770,80</t>
  </si>
  <si>
    <t>$ 89.800,00</t>
  </si>
  <si>
    <t>$ 18.858,00</t>
  </si>
  <si>
    <t>$ 7.184,00</t>
  </si>
  <si>
    <t>GALERIA GRAL GUEMES S A I</t>
  </si>
  <si>
    <t>$ 386.330,00</t>
  </si>
  <si>
    <t>$ 81.129,30</t>
  </si>
  <si>
    <t>$ 5.477,78</t>
  </si>
  <si>
    <t>$ 1.150,33</t>
  </si>
  <si>
    <t>$ 540.862,00</t>
  </si>
  <si>
    <t>$ 113.581,02</t>
  </si>
  <si>
    <t>$ 31.350,00</t>
  </si>
  <si>
    <t>$ 6.583,50</t>
  </si>
  <si>
    <t>$ 2.508,00</t>
  </si>
  <si>
    <t>TELEFONICA MOVILES ARGENTINA SOCIEDAD ANONIMA</t>
  </si>
  <si>
    <t>$ 82.983,20</t>
  </si>
  <si>
    <t>$ 18.685,66</t>
  </si>
  <si>
    <t>$ 2.489,50</t>
  </si>
  <si>
    <t>$ 84.534,62</t>
  </si>
  <si>
    <t>$ 22.824,35</t>
  </si>
  <si>
    <t>$ 7.588,85</t>
  </si>
  <si>
    <t>$ 1.776.140,28</t>
  </si>
  <si>
    <t>$ 372.989,46</t>
  </si>
  <si>
    <t>$ 88.807,01</t>
  </si>
  <si>
    <t>$ 2.237.936,75</t>
  </si>
  <si>
    <t>$ 1.855.294,61</t>
  </si>
  <si>
    <t>$ 389.611,87</t>
  </si>
  <si>
    <t>$ 92.764,73</t>
  </si>
  <si>
    <t>$ 49.512,40</t>
  </si>
  <si>
    <t>$ 10.397,60</t>
  </si>
  <si>
    <t>$ 3.960,99</t>
  </si>
  <si>
    <t>$ 174.196,76</t>
  </si>
  <si>
    <t>$ 47.033,13</t>
  </si>
  <si>
    <t>$ 16.001,85</t>
  </si>
  <si>
    <t>MESATEL SA</t>
  </si>
  <si>
    <t>$ 1.696.728,40</t>
  </si>
  <si>
    <t>$ 356.312,96</t>
  </si>
  <si>
    <t>$ 2.053.041,36</t>
  </si>
  <si>
    <t>$ 79.417,99</t>
  </si>
  <si>
    <t>$ 21.443,86</t>
  </si>
  <si>
    <t>$ 7.108,76</t>
  </si>
  <si>
    <t>$ 2.333.371,20</t>
  </si>
  <si>
    <t>$ 490.007,95</t>
  </si>
  <si>
    <t>$ 2.823.379,15</t>
  </si>
  <si>
    <t>$ 825.000,00</t>
  </si>
  <si>
    <t>$ 173.250,00</t>
  </si>
  <si>
    <t>Suma de Costo total</t>
  </si>
  <si>
    <t>Estructura</t>
  </si>
  <si>
    <t>Recuento distinto de Legajo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</si>
</sst>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dd/mm/yyyy"/>
    <numFmt numFmtId="165" formatCode="0.0"/>
    <numFmt numFmtId="167" formatCode="_-&quot;$&quot;\ * #,##0_-;\-&quot;$&quot;\ * #,##0_-;_-&quot;$&quot;\ * &quot;-&quot;??_-;_-@_-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3">
    <xf numFmtId="0" fontId="0" fillId="0" borderId="0" xfId="0" applyFont="1" applyAlignment="1"/>
    <xf numFmtId="0" fontId="2" fillId="0" borderId="0" xfId="0" applyFont="1"/>
    <xf numFmtId="4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4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right"/>
    </xf>
    <xf numFmtId="164" fontId="3" fillId="0" borderId="0" xfId="0" applyNumberFormat="1" applyFont="1"/>
    <xf numFmtId="14" fontId="3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 applyAlignment="1"/>
    <xf numFmtId="1" fontId="2" fillId="0" borderId="0" xfId="0" applyNumberFormat="1" applyFont="1"/>
    <xf numFmtId="1" fontId="3" fillId="0" borderId="0" xfId="0" applyNumberFormat="1" applyFont="1"/>
    <xf numFmtId="1" fontId="0" fillId="0" borderId="0" xfId="0" applyNumberFormat="1" applyFont="1" applyAlignment="1"/>
    <xf numFmtId="0" fontId="1" fillId="0" borderId="0" xfId="0" applyFont="1"/>
    <xf numFmtId="165" fontId="6" fillId="0" borderId="0" xfId="0" applyNumberFormat="1" applyFont="1" applyAlignment="1">
      <alignment horizontal="right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5" fontId="6" fillId="0" borderId="0" xfId="0" applyNumberFormat="1" applyFont="1" applyAlignment="1"/>
    <xf numFmtId="0" fontId="0" fillId="0" borderId="0" xfId="0" applyNumberFormat="1" applyFont="1" applyAlignment="1"/>
    <xf numFmtId="44" fontId="0" fillId="0" borderId="0" xfId="0" applyNumberFormat="1" applyFont="1" applyAlignment="1"/>
    <xf numFmtId="167" fontId="0" fillId="0" borderId="0" xfId="0" applyNumberFormat="1" applyFont="1" applyAlignment="1"/>
    <xf numFmtId="44" fontId="0" fillId="0" borderId="0" xfId="1" applyFont="1" applyAlignment="1"/>
    <xf numFmtId="167" fontId="4" fillId="0" borderId="0" xfId="1" applyNumberFormat="1" applyFont="1" applyAlignment="1">
      <alignment horizontal="center"/>
    </xf>
    <xf numFmtId="167" fontId="6" fillId="0" borderId="0" xfId="1" applyNumberFormat="1" applyFont="1" applyAlignment="1"/>
    <xf numFmtId="167" fontId="5" fillId="0" borderId="0" xfId="1" applyNumberFormat="1" applyFont="1"/>
    <xf numFmtId="167" fontId="0" fillId="0" borderId="0" xfId="1" applyNumberFormat="1" applyFont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0" fontId="9" fillId="0" borderId="0" xfId="0" applyFont="1" applyAlignment="1">
      <alignment horizontal="right"/>
    </xf>
    <xf numFmtId="164" fontId="9" fillId="0" borderId="0" xfId="0" applyNumberFormat="1" applyFont="1" applyAlignment="1"/>
    <xf numFmtId="44" fontId="2" fillId="0" borderId="0" xfId="1" applyFont="1" applyAlignment="1">
      <alignment vertical="center"/>
    </xf>
    <xf numFmtId="44" fontId="3" fillId="0" borderId="0" xfId="1" applyFont="1" applyAlignment="1"/>
  </cellXfs>
  <cellStyles count="2">
    <cellStyle name="Moneda" xfId="1" builtinId="4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6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6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_-;\-&quot;$&quot;\ * #,##0_-;_-&quot;$&quot;\ * &quot;-&quot;??_-;_-@_-"/>
    </dxf>
    <dxf>
      <numFmt numFmtId="166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792.537795833334" createdVersion="6" refreshedVersion="6" minRefreshableVersion="3" recordCount="26">
  <cacheSource type="worksheet">
    <worksheetSource ref="A1:L27" sheet="Sueldos 03-2025"/>
  </cacheSource>
  <cacheFields count="12">
    <cacheField name="Legajo" numFmtId="0">
      <sharedItems containsSemiMixedTypes="0" containsString="0" containsNumber="1" containsInteger="1" minValue="55" maxValue="207"/>
    </cacheField>
    <cacheField name="Apellido y Nombre" numFmtId="0">
      <sharedItems/>
    </cacheField>
    <cacheField name="Periodo" numFmtId="14">
      <sharedItems containsSemiMixedTypes="0" containsNonDate="0" containsDate="1" containsString="0" minDate="2025-03-01T00:00:00" maxDate="2025-03-02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" numFmtId="4">
      <sharedItems containsSemiMixedTypes="0" containsString="0" containsNumber="1" containsInteger="1" minValue="38" maxValue="132"/>
    </cacheField>
    <cacheField name="Hs Feriados" numFmtId="4">
      <sharedItems containsSemiMixedTypes="0" containsString="0" containsNumber="1" containsInteger="1" minValue="0" maxValue="16"/>
    </cacheField>
    <cacheField name="Hs Normales (con vacaciones)" numFmtId="4">
      <sharedItems containsSemiMixedTypes="0" containsString="0" containsNumber="1" containsInteger="1" minValue="29" maxValue="124"/>
    </cacheField>
    <cacheField name="Plus vacacional" numFmtId="4">
      <sharedItems/>
    </cacheField>
    <cacheField name="Sueldo Neto" numFmtId="4">
      <sharedItems containsSemiMixedTypes="0" containsString="0" containsNumber="1" containsInteger="1" minValue="332906" maxValue="722257"/>
    </cacheField>
    <cacheField name="Sueldo Bruto" numFmtId="4">
      <sharedItems containsSemiMixedTypes="0" containsString="0" containsNumber="1" minValue="403444.79" maxValue="909397.24"/>
    </cacheField>
    <cacheField name="Contribuciones + ART" numFmtId="4">
      <sharedItems containsSemiMixedTypes="0" containsString="0" containsNumber="1" minValue="107756.92" maxValue="232349.24"/>
    </cacheField>
    <cacheField name="Costo total" numFmtId="4">
      <sharedItems containsSemiMixedTypes="0" containsString="0" containsNumber="1" minValue="511201.70999999897" maxValue="1141746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5792.544082175926" createdVersion="6" refreshedVersion="6" minRefreshableVersion="3" recordCount="50">
  <cacheSource type="worksheet">
    <worksheetSource ref="A1:C51" sheet="Gastos 03-2025"/>
  </cacheSource>
  <cacheFields count="3">
    <cacheField name="TIENDA" numFmtId="0">
      <sharedItems count="8">
        <s v="SAN TELMO LUC MESATEL LOC 92 (TIENDA)"/>
        <s v="FLORIDA LUCERO (TIENDA)"/>
        <s v="FRENCH LUC 27 Y 29 (TIENDA)"/>
        <s v="GALERIA GUEMES LOC 08 (TIENDA)"/>
        <s v="QUILMES AS PDI SA (TIENDA)"/>
        <s v="RECOLETA LUCERO (TIENDA)"/>
        <s v="SAN TELMO AS STORE MESATEL LOC 120/121 (TIENDA)"/>
        <s v="SAN TELMO LUCERO 2 MESATEL LOC 122 (TIENDA)"/>
      </sharedItems>
    </cacheField>
    <cacheField name="RUBRO" numFmtId="0">
      <sharedItems count="2">
        <s v="OTRO"/>
        <s v="ALQUILER Y EXPENSAS"/>
      </sharedItems>
    </cacheField>
    <cacheField name="GASTO" numFmtId="0">
      <sharedItems containsSemiMixedTypes="0" containsString="0" containsNumber="1" minValue="11872.79" maxValue="2924376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C" refreshedDate="45792.545257754631" createdVersion="6" refreshedVersion="6" minRefreshableVersion="3" recordCount="27">
  <cacheSource type="worksheet">
    <worksheetSource ref="A1:L27" sheet="Sueldos 04-2025"/>
  </cacheSource>
  <cacheFields count="12">
    <cacheField name="Legajo" numFmtId="0">
      <sharedItems containsSemiMixedTypes="0" containsString="0" containsNumber="1" containsInteger="1" minValue="55" maxValue="210"/>
    </cacheField>
    <cacheField name="Apellido y Nombre" numFmtId="0">
      <sharedItems/>
    </cacheField>
    <cacheField name="Periodo" numFmtId="164">
      <sharedItems containsSemiMixedTypes="0" containsNonDate="0" containsDate="1" containsString="0" minDate="2025-04-01T00:00:00" maxDate="2025-04-02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 " numFmtId="1">
      <sharedItems containsSemiMixedTypes="0" containsString="0" containsNumber="1" containsInteger="1" minValue="0" maxValue="132"/>
    </cacheField>
    <cacheField name="Hs Normales (con vacaciones)" numFmtId="1">
      <sharedItems containsString="0" containsBlank="1" containsNumber="1" containsInteger="1" minValue="79" maxValue="123"/>
    </cacheField>
    <cacheField name="Hs Feriados" numFmtId="0">
      <sharedItems containsSemiMixedTypes="0" containsString="0" containsNumber="1" containsInteger="1" minValue="0" maxValue="12"/>
    </cacheField>
    <cacheField name="Plus vacacional" numFmtId="0">
      <sharedItems/>
    </cacheField>
    <cacheField name="Sueldo Neto" numFmtId="4">
      <sharedItems containsSemiMixedTypes="0" containsString="0" containsNumber="1" containsInteger="1" minValue="0" maxValue="769679"/>
    </cacheField>
    <cacheField name="Sueldo Bruto" numFmtId="4">
      <sharedItems containsSemiMixedTypes="0" containsString="0" containsNumber="1" minValue="0" maxValue="973959.74"/>
    </cacheField>
    <cacheField name="Contribuciones + ART" numFmtId="4">
      <sharedItems containsSemiMixedTypes="0" containsString="0" containsNumber="1" minValue="0" maxValue="293490.92199999897"/>
    </cacheField>
    <cacheField name="Costo total" numFmtId="4">
      <sharedItems containsSemiMixedTypes="0" containsString="0" containsNumber="1" minValue="0" maxValue="1267450.6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PC" refreshedDate="45792.549698379633" createdVersion="6" refreshedVersion="6" minRefreshableVersion="3" recordCount="48">
  <cacheSource type="worksheet">
    <worksheetSource ref="A1:C49" sheet="Gastos 04-2025"/>
  </cacheSource>
  <cacheFields count="3">
    <cacheField name="TIENDA / DEPOSITO / OFICINA / FABRICA" numFmtId="0">
      <sharedItems count="9">
        <s v="LUCERO FLORIDA"/>
        <s v="LUCERO FRECH"/>
        <s v="LUCERO GUEMES GONDOLA"/>
        <s v="LUCERO GUEMES LOC.8"/>
        <s v="AS QUILMES"/>
        <s v="LUCERO RECOLETA"/>
        <s v="AS SAN TELMO"/>
        <s v="LUCERO ST"/>
        <s v="LUCERO ST 2"/>
      </sharedItems>
    </cacheField>
    <cacheField name="RUBRO" numFmtId="0">
      <sharedItems count="2">
        <s v="OTRO"/>
        <s v="ALQUILER Y EXPENSAS"/>
      </sharedItems>
    </cacheField>
    <cacheField name="GASTO" numFmtId="44">
      <sharedItems containsSemiMixedTypes="0" containsString="0" containsNumber="1" minValue="5477.78" maxValue="2924376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PC" refreshedDate="45792.55779259259" backgroundQuery="1" createdVersion="6" refreshedVersion="6" minRefreshableVersion="3" recordCount="0" supportSubquery="1" supportAdvancedDrill="1">
  <cacheSource type="external" connectionId="1"/>
  <cacheFields count="2">
    <cacheField name="[Measures].[Recuento distinto de Legajo 2]" caption="Recuento distinto de Legajo 2" numFmtId="0" hierarchy="14" level="32767"/>
    <cacheField name="[Rango1].[Tienda asignada este mes].[Tienda asignada este mes]" caption="Tienda asignada este mes" numFmtId="0" hierarchy="7" level="1">
      <sharedItems count="7">
        <s v="AS San Telmo"/>
        <s v="Lucero Florida"/>
        <s v="Lucero French"/>
        <s v="Lucero Güemes"/>
        <s v="Lucero Recoleta"/>
        <s v="Lucero San Telmo"/>
        <s v="Lucero San Telmo 2"/>
      </sharedItems>
    </cacheField>
  </cacheFields>
  <cacheHierarchies count="15">
    <cacheHierarchy uniqueName="[Rango].[Legajo]" caption="Legajo" attribute="1" defaultMemberUniqueName="[Rango].[Legajo].[All]" allUniqueName="[Rango].[Legajo].[All]" dimensionUniqueName="[Rango]" displayFolder="" count="0" memberValueDatatype="20" unbalanced="0"/>
    <cacheHierarchy uniqueName="[Rango].[Apellido y Nombre]" caption="Apellido y Nombre" attribute="1" defaultMemberUniqueName="[Rango].[Apellido y Nombre].[All]" allUniqueName="[Rango].[Apellido y Nombre].[All]" dimensionUniqueName="[Rango]" displayFolder="" count="0" memberValueDatatype="130" unbalanced="0"/>
    <cacheHierarchy uniqueName="[Rango].[Periodo]" caption="Periodo" attribute="1" time="1" defaultMemberUniqueName="[Rango].[Periodo].[All]" allUniqueName="[Rango].[Periodo].[All]" dimensionUniqueName="[Rango]" displayFolder="" count="0" memberValueDatatype="7" unbalanced="0"/>
    <cacheHierarchy uniqueName="[Rango].[Tienda asignada este mes]" caption="Tienda asignada este mes" attribute="1" defaultMemberUniqueName="[Rango].[Tienda asignada este mes].[All]" allUniqueName="[Rango].[Tienda asignada este mes].[All]" dimensionUniqueName="[Rango]" displayFolder="" count="0" memberValueDatatype="130" unbalanced="0"/>
    <cacheHierarchy uniqueName="[Rango1].[Legajo]" caption="Legajo" attribute="1" defaultMemberUniqueName="[Rango1].[Legajo].[All]" allUniqueName="[Rango1].[Legajo].[All]" dimensionUniqueName="[Rango1]" displayFolder="" count="0" memberValueDatatype="20" unbalanced="0"/>
    <cacheHierarchy uniqueName="[Rango1].[Apellido y Nombre]" caption="Apellido y Nombre" attribute="1" defaultMemberUniqueName="[Rango1].[Apellido y Nombre].[All]" allUniqueName="[Rango1].[Apellido y Nombre].[All]" dimensionUniqueName="[Rango1]" displayFolder="" count="0" memberValueDatatype="130" unbalanced="0"/>
    <cacheHierarchy uniqueName="[Rango1].[Periodo]" caption="Periodo" attribute="1" time="1" defaultMemberUniqueName="[Rango1].[Periodo].[All]" allUniqueName="[Rango1].[Periodo].[All]" dimensionUniqueName="[Rango1]" displayFolder="" count="0" memberValueDatatype="7" unbalanced="0"/>
    <cacheHierarchy uniqueName="[Rango1].[Tienda asignada este mes]" caption="Tienda asignada este mes" attribute="1" defaultMemberUniqueName="[Rango1].[Tienda asignada este mes].[All]" allUniqueName="[Rango1].[Tienda asignada este mes].[All]" dimensionUniqueName="[Rango1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XL_Count Rango1]" caption="__XL_Count Rango1" measure="1" displayFolder="" measureGroup="Rango1" count="0" hidden="1"/>
    <cacheHierarchy uniqueName="[Measures].[__No measures defined]" caption="__No measures defined" measure="1" displayFolder="" count="0" hidden="1"/>
    <cacheHierarchy uniqueName="[Measures].[Suma de Legajo]" caption="Suma de Legajo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Legajo]" caption="Recuento distinto de Legajo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gajo 2]" caption="Suma de Legajo 2" measure="1" displayFolder="" measureGroup="Rango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istinto de Legajo 2]" caption="Recuento distinto de Legajo 2" measure="1" displayFolder="" measureGroup="Rango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1" uniqueName="[Rango1]" caption="Rango1"/>
  </dimensions>
  <measureGroups count="2">
    <measureGroup name="Rango" caption="Rango"/>
    <measureGroup name="Rango1" caption="Rango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PC" refreshedDate="45792.562530208335" backgroundQuery="1" createdVersion="6" refreshedVersion="6" minRefreshableVersion="3" recordCount="0" supportSubquery="1" supportAdvancedDrill="1">
  <cacheSource type="external" connectionId="1"/>
  <cacheFields count="2">
    <cacheField name="[Rango].[Tienda asignada este mes].[Tienda asignada este mes]" caption="Tienda asignada este mes" numFmtId="0" hierarchy="3" level="1">
      <sharedItems count="7">
        <s v="AS San Telmo"/>
        <s v="Lucero Florida"/>
        <s v="Lucero French"/>
        <s v="Lucero Güemes"/>
        <s v="Lucero Recoleta"/>
        <s v="Lucero San Telmo"/>
        <s v="Lucero San Telmo 2"/>
      </sharedItems>
    </cacheField>
    <cacheField name="[Measures].[Recuento distinto de Legajo]" caption="Recuento distinto de Legajo" numFmtId="0" hierarchy="12" level="32767"/>
  </cacheFields>
  <cacheHierarchies count="15">
    <cacheHierarchy uniqueName="[Rango].[Legajo]" caption="Legajo" attribute="1" defaultMemberUniqueName="[Rango].[Legajo].[All]" allUniqueName="[Rango].[Legajo].[All]" dimensionUniqueName="[Rango]" displayFolder="" count="0" memberValueDatatype="20" unbalanced="0"/>
    <cacheHierarchy uniqueName="[Rango].[Apellido y Nombre]" caption="Apellido y Nombre" attribute="1" defaultMemberUniqueName="[Rango].[Apellido y Nombre].[All]" allUniqueName="[Rango].[Apellido y Nombre].[All]" dimensionUniqueName="[Rango]" displayFolder="" count="0" memberValueDatatype="130" unbalanced="0"/>
    <cacheHierarchy uniqueName="[Rango].[Periodo]" caption="Periodo" attribute="1" time="1" defaultMemberUniqueName="[Rango].[Periodo].[All]" allUniqueName="[Rango].[Periodo].[All]" dimensionUniqueName="[Rango]" displayFolder="" count="0" memberValueDatatype="7" unbalanced="0"/>
    <cacheHierarchy uniqueName="[Rango].[Tienda asignada este mes]" caption="Tienda asignada este mes" attribute="1" defaultMemberUniqueName="[Rango].[Tienda asignada este mes].[All]" allUniqueName="[Rango].[Tienda asignada este mes].[All]" dimensionUniqueName="[Rango]" displayFolder="" count="2" memberValueDatatype="130" unbalanced="0">
      <fieldsUsage count="2">
        <fieldUsage x="-1"/>
        <fieldUsage x="0"/>
      </fieldsUsage>
    </cacheHierarchy>
    <cacheHierarchy uniqueName="[Rango1].[Legajo]" caption="Legajo" attribute="1" defaultMemberUniqueName="[Rango1].[Legajo].[All]" allUniqueName="[Rango1].[Legajo].[All]" dimensionUniqueName="[Rango1]" displayFolder="" count="0" memberValueDatatype="20" unbalanced="0"/>
    <cacheHierarchy uniqueName="[Rango1].[Apellido y Nombre]" caption="Apellido y Nombre" attribute="1" defaultMemberUniqueName="[Rango1].[Apellido y Nombre].[All]" allUniqueName="[Rango1].[Apellido y Nombre].[All]" dimensionUniqueName="[Rango1]" displayFolder="" count="0" memberValueDatatype="130" unbalanced="0"/>
    <cacheHierarchy uniqueName="[Rango1].[Periodo]" caption="Periodo" attribute="1" time="1" defaultMemberUniqueName="[Rango1].[Periodo].[All]" allUniqueName="[Rango1].[Periodo].[All]" dimensionUniqueName="[Rango1]" displayFolder="" count="0" memberValueDatatype="7" unbalanced="0"/>
    <cacheHierarchy uniqueName="[Rango1].[Tienda asignada este mes]" caption="Tienda asignada este mes" attribute="1" defaultMemberUniqueName="[Rango1].[Tienda asignada este mes].[All]" allUniqueName="[Rango1].[Tienda asignada este mes].[All]" dimensionUniqueName="[Rango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Rango1]" caption="__XL_Count Rango1" measure="1" displayFolder="" measureGroup="Rango1" count="0" hidden="1"/>
    <cacheHierarchy uniqueName="[Measures].[__No measures defined]" caption="__No measures defined" measure="1" displayFolder="" count="0" hidden="1"/>
    <cacheHierarchy uniqueName="[Measures].[Suma de Legajo]" caption="Suma de Legajo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istinto de Legajo]" caption="Recuento distinto de Legajo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Legajo 2]" caption="Suma de Legajo 2" measure="1" displayFolder="" measureGroup="Rango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istinto de Legajo 2]" caption="Recuento distinto de Legajo 2" measure="1" displayFolder="" measureGroup="Rango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1" uniqueName="[Rango1]" caption="Rango1"/>
  </dimensions>
  <measureGroups count="2">
    <measureGroup name="Rango" caption="Rango"/>
    <measureGroup name="Rango1" caption="Rango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n v="55"/>
    <s v="Carrizo Camila"/>
    <d v="2025-03-01T00:00:00"/>
    <x v="0"/>
    <n v="132"/>
    <n v="15"/>
    <n v="117"/>
    <s v="SI"/>
    <n v="407248"/>
    <n v="502512.64000000001"/>
    <n v="131546.35999999999"/>
    <n v="634059"/>
  </r>
  <r>
    <n v="103"/>
    <s v="Esposito Candela"/>
    <d v="2025-03-01T00:00:00"/>
    <x v="1"/>
    <n v="130"/>
    <n v="16"/>
    <n v="114"/>
    <s v="SI"/>
    <n v="602346"/>
    <n v="754788.33"/>
    <n v="193977.72"/>
    <n v="948766.049999999"/>
  </r>
  <r>
    <n v="120"/>
    <s v="Bertolo Milagros"/>
    <d v="2025-03-01T00:00:00"/>
    <x v="2"/>
    <n v="132"/>
    <n v="14"/>
    <n v="118"/>
    <s v="NO"/>
    <n v="722257"/>
    <n v="909397.24"/>
    <n v="232349.24"/>
    <n v="1141746.48"/>
  </r>
  <r>
    <n v="126"/>
    <s v="Barajas Barbara"/>
    <d v="2025-03-01T00:00:00"/>
    <x v="3"/>
    <n v="126"/>
    <n v="12"/>
    <n v="114"/>
    <s v="NO"/>
    <n v="691491"/>
    <n v="870666.13"/>
    <n v="222504.12"/>
    <n v="1093170.25"/>
  </r>
  <r>
    <n v="131"/>
    <s v="De Brito Rocio"/>
    <d v="2025-03-01T00:00:00"/>
    <x v="4"/>
    <n v="119"/>
    <n v="0"/>
    <n v="119"/>
    <s v="NO"/>
    <n v="653295"/>
    <n v="806071.37"/>
    <n v="210281.4"/>
    <n v="1016352.77"/>
  </r>
  <r>
    <n v="138"/>
    <s v="Lara Robbio"/>
    <d v="2025-03-01T00:00:00"/>
    <x v="1"/>
    <n v="131"/>
    <n v="13"/>
    <n v="118"/>
    <s v="NO"/>
    <n v="719467"/>
    <n v="905958.56"/>
    <n v="231456.44"/>
    <n v="1137415"/>
  </r>
  <r>
    <n v="139"/>
    <s v="Viña Sofia"/>
    <d v="2025-03-01T00:00:00"/>
    <x v="5"/>
    <n v="129"/>
    <n v="5"/>
    <n v="124"/>
    <s v="SI"/>
    <n v="559094"/>
    <n v="699347.93"/>
    <n v="180137.08"/>
    <n v="879485.01"/>
  </r>
  <r>
    <n v="143"/>
    <s v="Molina Agustina"/>
    <d v="2025-03-01T00:00:00"/>
    <x v="0"/>
    <n v="127"/>
    <n v="15"/>
    <n v="112"/>
    <s v="NO"/>
    <n v="696548"/>
    <n v="877030.13"/>
    <n v="224122.36"/>
    <n v="1101152.49"/>
  </r>
  <r>
    <n v="151"/>
    <s v="Kiara Corbalan"/>
    <d v="2025-03-01T00:00:00"/>
    <x v="0"/>
    <n v="128"/>
    <n v="5"/>
    <n v="123"/>
    <s v="SI"/>
    <n v="473930"/>
    <n v="589619.99"/>
    <n v="152884.6"/>
    <n v="742504.59"/>
  </r>
  <r>
    <n v="161"/>
    <s v="Martínez Brisa"/>
    <d v="2025-03-01T00:00:00"/>
    <x v="0"/>
    <n v="127"/>
    <n v="15"/>
    <n v="112"/>
    <s v="SI"/>
    <n v="574623"/>
    <n v="719707.58"/>
    <n v="185106.36"/>
    <n v="904813.94"/>
  </r>
  <r>
    <n v="165"/>
    <s v="CORONEL Mailen"/>
    <d v="2025-03-01T00:00:00"/>
    <x v="4"/>
    <n v="124"/>
    <n v="0"/>
    <n v="124"/>
    <s v="SI"/>
    <n v="446507"/>
    <n v="554880.07999999996"/>
    <n v="144109.24"/>
    <n v="698989.32"/>
  </r>
  <r>
    <n v="170"/>
    <s v="Ruiz de la Torre Maitena"/>
    <d v="2025-03-01T00:00:00"/>
    <x v="5"/>
    <n v="111"/>
    <n v="8"/>
    <n v="103"/>
    <s v="NO"/>
    <n v="599040"/>
    <n v="753792.29"/>
    <n v="192919.8"/>
    <n v="946712.09"/>
  </r>
  <r>
    <n v="171"/>
    <s v="Gimenez Candela"/>
    <d v="2025-03-01T00:00:00"/>
    <x v="3"/>
    <n v="123"/>
    <n v="12"/>
    <n v="111"/>
    <s v="SI"/>
    <n v="626095"/>
    <n v="786964.08"/>
    <n v="201577.4"/>
    <n v="988541.48"/>
  </r>
  <r>
    <n v="173"/>
    <s v="Imperiale Candela"/>
    <d v="2025-03-01T00:00:00"/>
    <x v="5"/>
    <n v="132"/>
    <n v="15"/>
    <n v="117"/>
    <s v="NO"/>
    <n v="721008"/>
    <n v="907996.31"/>
    <n v="231949.56"/>
    <n v="1139945.8700000001"/>
  </r>
  <r>
    <n v="174"/>
    <s v="Machuca Araceli "/>
    <d v="2025-03-01T00:00:00"/>
    <x v="2"/>
    <n v="131"/>
    <n v="15"/>
    <n v="116"/>
    <s v="NO"/>
    <n v="713645"/>
    <n v="898655.25"/>
    <n v="229593.4"/>
    <n v="1128248.6499999999"/>
  </r>
  <r>
    <n v="186"/>
    <s v="Balmaceda Luciana"/>
    <d v="2025-03-01T00:00:00"/>
    <x v="5"/>
    <n v="116"/>
    <n v="10"/>
    <n v="106"/>
    <s v="NO"/>
    <n v="627839"/>
    <n v="790331.62"/>
    <n v="202135.48"/>
    <n v="992467.1"/>
  </r>
  <r>
    <n v="189"/>
    <s v="Oliva Micaela"/>
    <d v="2025-03-01T00:00:00"/>
    <x v="3"/>
    <n v="122"/>
    <n v="13"/>
    <n v="109"/>
    <s v="SI"/>
    <n v="651612"/>
    <n v="820048.87"/>
    <n v="209742.84"/>
    <n v="1029791.71"/>
  </r>
  <r>
    <n v="190"/>
    <s v="Mohamad Daila"/>
    <d v="2025-03-01T00:00:00"/>
    <x v="6"/>
    <n v="132"/>
    <n v="16"/>
    <n v="116"/>
    <s v="NO"/>
    <n v="695866"/>
    <n v="875555.1"/>
    <n v="223904.12"/>
    <n v="1099459.22"/>
  </r>
  <r>
    <n v="192"/>
    <s v="Sarapura Rebecca"/>
    <d v="2025-03-01T00:00:00"/>
    <x v="1"/>
    <n v="130"/>
    <n v="12"/>
    <n v="118"/>
    <s v="NO"/>
    <n v="684548"/>
    <n v="861270.24"/>
    <n v="220282.36"/>
    <n v="1081552.6000000001"/>
  </r>
  <r>
    <n v="194"/>
    <s v="Scholler Chavez Ruth"/>
    <d v="2025-03-01T00:00:00"/>
    <x v="2"/>
    <n v="131"/>
    <n v="14"/>
    <n v="117"/>
    <s v="NO"/>
    <n v="696574"/>
    <n v="876628.1"/>
    <n v="224130.68"/>
    <n v="1100758.78"/>
  </r>
  <r>
    <n v="197"/>
    <s v="Ramirez Lola"/>
    <d v="2025-03-01T00:00:00"/>
    <x v="5"/>
    <n v="118"/>
    <n v="10"/>
    <n v="108"/>
    <s v="NO"/>
    <n v="607593"/>
    <n v="763888.44"/>
    <n v="195656.76"/>
    <n v="959545.2"/>
  </r>
  <r>
    <n v="202"/>
    <s v="Machta Gina"/>
    <d v="2025-03-01T00:00:00"/>
    <x v="5"/>
    <n v="117"/>
    <n v="9"/>
    <n v="108"/>
    <s v="NO"/>
    <n v="599290"/>
    <n v="753334.49"/>
    <n v="192999.8"/>
    <n v="946334.29"/>
  </r>
  <r>
    <n v="204"/>
    <s v="Dettoni Leguizamon Oriana"/>
    <d v="2025-03-01T00:00:00"/>
    <x v="5"/>
    <n v="38"/>
    <n v="9"/>
    <n v="29"/>
    <s v="NO"/>
    <n v="332906"/>
    <n v="403444.79"/>
    <n v="107756.92"/>
    <n v="511201.70999999897"/>
  </r>
  <r>
    <n v="205"/>
    <s v="Florencia Aguero"/>
    <d v="2025-03-01T00:00:00"/>
    <x v="6"/>
    <n v="132"/>
    <n v="11"/>
    <n v="121"/>
    <s v="NO"/>
    <n v="678229"/>
    <n v="852797.53"/>
    <n v="218260.28"/>
    <n v="1071057.81"/>
  </r>
  <r>
    <n v="206"/>
    <s v="Morena Martinez "/>
    <d v="2025-03-01T00:00:00"/>
    <x v="1"/>
    <n v="131"/>
    <n v="12"/>
    <n v="119"/>
    <s v="NO"/>
    <n v="674603"/>
    <n v="848278.57"/>
    <n v="217099.96"/>
    <n v="1065378.53"/>
  </r>
  <r>
    <n v="207"/>
    <s v="Chiara Perazzo"/>
    <d v="2025-03-01T00:00:00"/>
    <x v="0"/>
    <n v="81"/>
    <n v="0"/>
    <n v="81"/>
    <s v="NO"/>
    <n v="461417"/>
    <n v="574002.15"/>
    <n v="148880.44"/>
    <n v="722882.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n v="36096.000000000007"/>
  </r>
  <r>
    <x v="1"/>
    <x v="0"/>
    <n v="405356.99"/>
  </r>
  <r>
    <x v="1"/>
    <x v="0"/>
    <n v="388901.91"/>
  </r>
  <r>
    <x v="1"/>
    <x v="0"/>
    <n v="136805.32999999999"/>
  </r>
  <r>
    <x v="1"/>
    <x v="0"/>
    <n v="11872.79"/>
  </r>
  <r>
    <x v="1"/>
    <x v="0"/>
    <n v="443794.65"/>
  </r>
  <r>
    <x v="1"/>
    <x v="1"/>
    <n v="386280.5"/>
  </r>
  <r>
    <x v="1"/>
    <x v="0"/>
    <n v="29756"/>
  </r>
  <r>
    <x v="1"/>
    <x v="0"/>
    <n v="115950"/>
  </r>
  <r>
    <x v="1"/>
    <x v="1"/>
    <n v="2924376.08"/>
  </r>
  <r>
    <x v="1"/>
    <x v="0"/>
    <n v="162152"/>
  </r>
  <r>
    <x v="1"/>
    <x v="0"/>
    <n v="36096.000000000007"/>
  </r>
  <r>
    <x v="2"/>
    <x v="0"/>
    <n v="105781.06"/>
  </r>
  <r>
    <x v="2"/>
    <x v="0"/>
    <n v="32735.7"/>
  </r>
  <r>
    <x v="2"/>
    <x v="1"/>
    <n v="217830"/>
  </r>
  <r>
    <x v="2"/>
    <x v="0"/>
    <n v="23896"/>
  </r>
  <r>
    <x v="2"/>
    <x v="0"/>
    <n v="81550"/>
  </r>
  <r>
    <x v="2"/>
    <x v="1"/>
    <n v="610400"/>
  </r>
  <r>
    <x v="2"/>
    <x v="0"/>
    <n v="36096.000000000007"/>
  </r>
  <r>
    <x v="3"/>
    <x v="0"/>
    <n v="23896"/>
  </r>
  <r>
    <x v="3"/>
    <x v="0"/>
    <n v="30600"/>
  </r>
  <r>
    <x v="3"/>
    <x v="1"/>
    <n v="540862"/>
  </r>
  <r>
    <x v="3"/>
    <x v="0"/>
    <n v="725872"/>
  </r>
  <r>
    <x v="3"/>
    <x v="0"/>
    <n v="1220075"/>
  </r>
  <r>
    <x v="4"/>
    <x v="0"/>
    <n v="134929.12"/>
  </r>
  <r>
    <x v="4"/>
    <x v="0"/>
    <n v="23896"/>
  </r>
  <r>
    <x v="4"/>
    <x v="0"/>
    <n v="80802.399999999994"/>
  </r>
  <r>
    <x v="4"/>
    <x v="0"/>
    <n v="133584.79"/>
  </r>
  <r>
    <x v="4"/>
    <x v="0"/>
    <n v="180000"/>
  </r>
  <r>
    <x v="4"/>
    <x v="0"/>
    <n v="332100"/>
  </r>
  <r>
    <x v="5"/>
    <x v="0"/>
    <n v="82273.039999999994"/>
  </r>
  <r>
    <x v="5"/>
    <x v="1"/>
    <n v="1858800.59"/>
  </r>
  <r>
    <x v="5"/>
    <x v="0"/>
    <n v="23896"/>
  </r>
  <r>
    <x v="5"/>
    <x v="0"/>
    <n v="48305.79"/>
  </r>
  <r>
    <x v="5"/>
    <x v="1"/>
    <n v="1776140.28"/>
  </r>
  <r>
    <x v="5"/>
    <x v="0"/>
    <n v="36096.000000000007"/>
  </r>
  <r>
    <x v="5"/>
    <x v="0"/>
    <n v="41278"/>
  </r>
  <r>
    <x v="6"/>
    <x v="0"/>
    <n v="110998.31"/>
  </r>
  <r>
    <x v="6"/>
    <x v="1"/>
    <n v="679193.52"/>
  </r>
  <r>
    <x v="6"/>
    <x v="0"/>
    <n v="23896"/>
  </r>
  <r>
    <x v="6"/>
    <x v="0"/>
    <n v="80802.399999999994"/>
  </r>
  <r>
    <x v="6"/>
    <x v="1"/>
    <n v="1696728.4"/>
  </r>
  <r>
    <x v="0"/>
    <x v="0"/>
    <n v="68433.78"/>
  </r>
  <r>
    <x v="0"/>
    <x v="1"/>
    <n v="339596.76"/>
  </r>
  <r>
    <x v="0"/>
    <x v="0"/>
    <n v="23896"/>
  </r>
  <r>
    <x v="0"/>
    <x v="1"/>
    <n v="2333371.2000000002"/>
  </r>
  <r>
    <x v="7"/>
    <x v="0"/>
    <n v="95237.85"/>
  </r>
  <r>
    <x v="7"/>
    <x v="1"/>
    <n v="339596.76"/>
  </r>
  <r>
    <x v="7"/>
    <x v="0"/>
    <n v="23896"/>
  </r>
  <r>
    <x v="7"/>
    <x v="1"/>
    <n v="82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7">
  <r>
    <n v="55"/>
    <s v="Carrizo Camila"/>
    <d v="2025-04-01T00:00:00"/>
    <x v="0"/>
    <n v="132"/>
    <n v="122"/>
    <n v="10"/>
    <s v="NO"/>
    <n v="748018"/>
    <n v="944319.79"/>
    <n v="284598.93699999998"/>
    <n v="1228918.727"/>
  </r>
  <r>
    <n v="103"/>
    <s v="Esposito Candela"/>
    <d v="2025-04-01T00:00:00"/>
    <x v="1"/>
    <n v="129"/>
    <n v="91"/>
    <n v="6"/>
    <s v="SI"/>
    <n v="544266"/>
    <n v="682045.2"/>
    <n v="205916.55999999901"/>
    <n v="887961.75999999896"/>
  </r>
  <r>
    <n v="120"/>
    <s v="Bertolo Milagros"/>
    <d v="2025-04-01T00:00:00"/>
    <x v="2"/>
    <n v="128"/>
    <n v="119"/>
    <n v="9"/>
    <s v="NO"/>
    <n v="720514"/>
    <n v="909608.85"/>
    <n v="274185.65499999898"/>
    <n v="1183794.5049999999"/>
  </r>
  <r>
    <n v="126"/>
    <s v="Barajas Barbara"/>
    <d v="2025-04-01T00:00:00"/>
    <x v="3"/>
    <n v="120"/>
    <n v="111"/>
    <n v="9"/>
    <s v="NO"/>
    <n v="673751"/>
    <n v="850618.43"/>
    <n v="256488.52900000001"/>
    <n v="1107106.959"/>
  </r>
  <r>
    <n v="131"/>
    <s v="De Brito Rocio"/>
    <d v="2025-04-01T00:00:00"/>
    <x v="4"/>
    <n v="122"/>
    <n v="118"/>
    <n v="0"/>
    <s v="NO"/>
    <n v="636686"/>
    <n v="802501.66"/>
    <n v="242053.49799999999"/>
    <n v="1044555.1580000001"/>
  </r>
  <r>
    <n v="138"/>
    <s v="Lara Robbio"/>
    <d v="2025-04-01T00:00:00"/>
    <x v="1"/>
    <n v="121"/>
    <n v="105"/>
    <n v="8"/>
    <s v="NO"/>
    <n v="678666"/>
    <n v="856814.76"/>
    <n v="258347.427999999"/>
    <n v="1115162.1880000001"/>
  </r>
  <r>
    <n v="139"/>
    <s v="Viña Sofia"/>
    <d v="2025-04-01T00:00:00"/>
    <x v="5"/>
    <n v="122"/>
    <n v="112"/>
    <n v="10"/>
    <s v="NO"/>
    <n v="695901"/>
    <n v="878907.97"/>
    <n v="264975.391"/>
    <n v="1143883.361"/>
  </r>
  <r>
    <n v="143"/>
    <s v="Molina Agustina"/>
    <d v="2025-04-01T00:00:00"/>
    <x v="0"/>
    <n v="126"/>
    <n v="116"/>
    <n v="10"/>
    <s v="NO"/>
    <n v="702171"/>
    <n v="886416.02"/>
    <n v="267227.80599999998"/>
    <n v="1153643.8259999999"/>
  </r>
  <r>
    <n v="151"/>
    <s v="Kiara Corbalan"/>
    <d v="2025-04-01T00:00:00"/>
    <x v="0"/>
    <n v="127"/>
    <n v="122"/>
    <n v="5"/>
    <s v="NO"/>
    <n v="690903"/>
    <n v="871731.26"/>
    <n v="262822.37800000003"/>
    <n v="1134553.638"/>
  </r>
  <r>
    <n v="161"/>
    <s v="Martínez Brisa"/>
    <d v="2025-04-01T00:00:00"/>
    <x v="0"/>
    <n v="126"/>
    <n v="93"/>
    <n v="5"/>
    <s v="SI"/>
    <n v="567481"/>
    <n v="712622.67"/>
    <n v="215089.80100000001"/>
    <n v="927712.47100000002"/>
  </r>
  <r>
    <n v="165"/>
    <s v="CORONEL Mailen"/>
    <d v="2025-04-01T00:00:00"/>
    <x v="4"/>
    <n v="123"/>
    <n v="123"/>
    <n v="0"/>
    <s v="NO"/>
    <n v="769679"/>
    <n v="973959.74"/>
    <n v="293490.92199999897"/>
    <n v="1267450.662"/>
  </r>
  <r>
    <n v="170"/>
    <s v="Ruiz de la Torre Maitena"/>
    <d v="2025-04-01T00:00:00"/>
    <x v="5"/>
    <n v="125"/>
    <n v="115"/>
    <n v="10"/>
    <s v="NO"/>
    <n v="711966"/>
    <n v="899200.38"/>
    <n v="271063.114"/>
    <n v="1170263.4939999999"/>
  </r>
  <r>
    <n v="171"/>
    <s v="Gimenez Candela"/>
    <d v="2025-04-01T00:00:00"/>
    <x v="3"/>
    <n v="127"/>
    <n v="117"/>
    <n v="10"/>
    <s v="NO"/>
    <n v="714613"/>
    <n v="902324.75"/>
    <n v="272000.42499999999"/>
    <n v="1174325.175"/>
  </r>
  <r>
    <n v="173"/>
    <s v="Imperiale Candela"/>
    <d v="2025-04-01T00:00:00"/>
    <x v="5"/>
    <n v="132"/>
    <n v="120"/>
    <n v="12"/>
    <s v="NO"/>
    <n v="749642"/>
    <n v="946985.8"/>
    <n v="285398.74"/>
    <n v="1232384.54"/>
  </r>
  <r>
    <n v="174"/>
    <s v="Machuca Araceli"/>
    <d v="2025-04-01T00:00:00"/>
    <x v="2"/>
    <n v="121"/>
    <n v="112"/>
    <n v="9"/>
    <s v="NO"/>
    <n v="669939"/>
    <n v="845728.49"/>
    <n v="255021.54699999999"/>
    <n v="1100750.037"/>
  </r>
  <r>
    <n v="184"/>
    <s v="Villarruel Candela"/>
    <d v="2025-04-01T00:00:00"/>
    <x v="0"/>
    <n v="88"/>
    <m/>
    <n v="0"/>
    <s v="NO"/>
    <n v="452065"/>
    <n v="569356.43000000005"/>
    <n v="172109.929"/>
    <n v="741466.35900000005"/>
  </r>
  <r>
    <n v="186"/>
    <s v="Balmaceda Luciana"/>
    <d v="2025-04-01T00:00:00"/>
    <x v="5"/>
    <n v="113"/>
    <n v="104"/>
    <n v="9"/>
    <s v="NO"/>
    <n v="632219"/>
    <n v="798210.54"/>
    <n v="240766.16200000001"/>
    <n v="1038976.702"/>
  </r>
  <r>
    <n v="189"/>
    <s v="Oliva Micaela"/>
    <d v="2025-04-01T00:00:00"/>
    <x v="3"/>
    <n v="118"/>
    <n v="107"/>
    <n v="11"/>
    <s v="NO"/>
    <n v="664213"/>
    <n v="838772.66"/>
    <n v="252934.79800000001"/>
    <n v="1091707.4580000001"/>
  </r>
  <r>
    <n v="190"/>
    <s v="Mohamad Daila"/>
    <d v="2025-04-01T00:00:00"/>
    <x v="6"/>
    <n v="129"/>
    <n v="119"/>
    <n v="10"/>
    <s v="NO"/>
    <n v="718261"/>
    <n v="906926.69"/>
    <n v="273381.00699999998"/>
    <n v="1180307.6969999999"/>
  </r>
  <r>
    <n v="192"/>
    <s v="Sarapura Rebecca"/>
    <d v="2025-04-01T00:00:00"/>
    <x v="1"/>
    <n v="119"/>
    <n v="111"/>
    <n v="8"/>
    <s v="NO"/>
    <n v="681246"/>
    <n v="860606.43"/>
    <n v="259484.929"/>
    <n v="1120091.3589999999"/>
  </r>
  <r>
    <n v="194"/>
    <s v="Scholler Chavez Ruth"/>
    <d v="2025-04-01T00:00:00"/>
    <x v="2"/>
    <n v="122"/>
    <n v="117"/>
    <n v="5"/>
    <s v="NO"/>
    <n v="660181"/>
    <n v="832993.42"/>
    <n v="251201.02600000001"/>
    <n v="1084194.446"/>
  </r>
  <r>
    <n v="197"/>
    <s v="Ramirez Lola"/>
    <d v="2025-04-01T00:00:00"/>
    <x v="5"/>
    <n v="30"/>
    <m/>
    <n v="0"/>
    <s v="NO"/>
    <n v="631496"/>
    <n v="770333.3"/>
    <n v="232402.99"/>
    <n v="1002736.29"/>
  </r>
  <r>
    <n v="202"/>
    <s v="Machta Gina"/>
    <d v="2025-04-01T00:00:00"/>
    <x v="5"/>
    <n v="45"/>
    <m/>
    <n v="0"/>
    <s v="NO"/>
    <n v="386912"/>
    <n v="462356.36"/>
    <n v="140009.908"/>
    <n v="602366.26799999899"/>
  </r>
  <r>
    <n v="204"/>
    <s v="Dettoni Leguizamon Oriana"/>
    <d v="2025-04-01T00:00:00"/>
    <x v="5"/>
    <n v="0"/>
    <m/>
    <n v="0"/>
    <s v="NO"/>
    <n v="0"/>
    <n v="0"/>
    <n v="0"/>
    <n v="0"/>
  </r>
  <r>
    <n v="205"/>
    <s v="Florencia Aguero"/>
    <d v="2025-04-01T00:00:00"/>
    <x v="6"/>
    <n v="128"/>
    <n v="119"/>
    <n v="9"/>
    <s v="NO"/>
    <n v="682276"/>
    <n v="860638.46"/>
    <n v="259494.53799999901"/>
    <n v="1120132.9979999999"/>
  </r>
  <r>
    <n v="206"/>
    <s v="Morena Martinez"/>
    <d v="2025-04-01T00:00:00"/>
    <x v="1"/>
    <n v="119"/>
    <n v="111"/>
    <n v="8"/>
    <s v="NO"/>
    <n v="633222"/>
    <n v="798639.95"/>
    <n v="240894.98499999999"/>
    <n v="1039534.93499999"/>
  </r>
  <r>
    <n v="210"/>
    <s v="Dettoni Leguizamon Oriana"/>
    <d v="2025-04-01T00:00:00"/>
    <x v="5"/>
    <n v="84"/>
    <n v="79"/>
    <n v="5"/>
    <s v="NO"/>
    <n v="445820"/>
    <n v="561874.75"/>
    <n v="169865.42499999999"/>
    <n v="731740.1750000000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8">
  <r>
    <x v="0"/>
    <x v="0"/>
    <n v="118639.49"/>
  </r>
  <r>
    <x v="0"/>
    <x v="0"/>
    <n v="12202.15"/>
  </r>
  <r>
    <x v="0"/>
    <x v="0"/>
    <n v="337381.6"/>
  </r>
  <r>
    <x v="0"/>
    <x v="1"/>
    <n v="2924376.08"/>
  </r>
  <r>
    <x v="0"/>
    <x v="1"/>
    <n v="407740.5"/>
  </r>
  <r>
    <x v="0"/>
    <x v="0"/>
    <n v="456619.16"/>
  </r>
  <r>
    <x v="0"/>
    <x v="0"/>
    <n v="519510.52"/>
  </r>
  <r>
    <x v="0"/>
    <x v="0"/>
    <n v="24380"/>
  </r>
  <r>
    <x v="0"/>
    <x v="0"/>
    <n v="40000"/>
  </r>
  <r>
    <x v="0"/>
    <x v="0"/>
    <n v="127001"/>
  </r>
  <r>
    <x v="1"/>
    <x v="0"/>
    <n v="117541.92"/>
  </r>
  <r>
    <x v="1"/>
    <x v="0"/>
    <n v="50547.91"/>
  </r>
  <r>
    <x v="1"/>
    <x v="1"/>
    <n v="738584"/>
  </r>
  <r>
    <x v="1"/>
    <x v="0"/>
    <n v="27480"/>
  </r>
  <r>
    <x v="1"/>
    <x v="0"/>
    <n v="40000"/>
  </r>
  <r>
    <x v="1"/>
    <x v="1"/>
    <n v="214646.93"/>
  </r>
  <r>
    <x v="1"/>
    <x v="0"/>
    <n v="89800"/>
  </r>
  <r>
    <x v="2"/>
    <x v="1"/>
    <n v="386330"/>
  </r>
  <r>
    <x v="2"/>
    <x v="1"/>
    <n v="42869.79"/>
  </r>
  <r>
    <x v="2"/>
    <x v="0"/>
    <n v="5477.78"/>
  </r>
  <r>
    <x v="3"/>
    <x v="1"/>
    <n v="540862"/>
  </r>
  <r>
    <x v="3"/>
    <x v="1"/>
    <n v="280206.89"/>
  </r>
  <r>
    <x v="3"/>
    <x v="0"/>
    <n v="27480"/>
  </r>
  <r>
    <x v="3"/>
    <x v="0"/>
    <n v="31350"/>
  </r>
  <r>
    <x v="4"/>
    <x v="0"/>
    <n v="27480"/>
  </r>
  <r>
    <x v="4"/>
    <x v="0"/>
    <n v="40000"/>
  </r>
  <r>
    <x v="4"/>
    <x v="0"/>
    <n v="82983.199999999997"/>
  </r>
  <r>
    <x v="5"/>
    <x v="0"/>
    <n v="84534.62"/>
  </r>
  <r>
    <x v="5"/>
    <x v="1"/>
    <n v="1776140.28"/>
  </r>
  <r>
    <x v="5"/>
    <x v="1"/>
    <n v="1855294.61"/>
  </r>
  <r>
    <x v="5"/>
    <x v="0"/>
    <n v="27480"/>
  </r>
  <r>
    <x v="5"/>
    <x v="0"/>
    <n v="40000"/>
  </r>
  <r>
    <x v="5"/>
    <x v="0"/>
    <n v="49512.4"/>
  </r>
  <r>
    <x v="6"/>
    <x v="0"/>
    <n v="174196.76"/>
  </r>
  <r>
    <x v="6"/>
    <x v="0"/>
    <n v="27480"/>
  </r>
  <r>
    <x v="6"/>
    <x v="1"/>
    <n v="1696728.4"/>
  </r>
  <r>
    <x v="6"/>
    <x v="1"/>
    <n v="686008.98"/>
  </r>
  <r>
    <x v="6"/>
    <x v="0"/>
    <n v="40000"/>
  </r>
  <r>
    <x v="6"/>
    <x v="0"/>
    <n v="82983.199999999997"/>
  </r>
  <r>
    <x v="7"/>
    <x v="0"/>
    <n v="79417.990000000005"/>
  </r>
  <r>
    <x v="7"/>
    <x v="0"/>
    <n v="27480"/>
  </r>
  <r>
    <x v="7"/>
    <x v="1"/>
    <n v="2333371.2000000002"/>
  </r>
  <r>
    <x v="7"/>
    <x v="1"/>
    <n v="343004.49"/>
  </r>
  <r>
    <x v="7"/>
    <x v="0"/>
    <n v="40000"/>
  </r>
  <r>
    <x v="8"/>
    <x v="0"/>
    <n v="110074.67"/>
  </r>
  <r>
    <x v="8"/>
    <x v="0"/>
    <n v="27480"/>
  </r>
  <r>
    <x v="8"/>
    <x v="1"/>
    <n v="825000"/>
  </r>
  <r>
    <x v="8"/>
    <x v="1"/>
    <n v="343004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ablaDinámica8" cacheId="6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N14:O22" firstHeaderRow="1" firstDataRow="1" firstDataCol="1"/>
  <pivotFields count="2"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istinto de Legaj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eldos 03-2025!$A$1:$D$27">
        <x15:activeTabTopLevelEntity name="[Rango1]"/>
      </x15:pivotTableUISettings>
    </ext>
  </extLst>
</pivotTableDefinition>
</file>

<file path=xl/pivotTables/pivotTable2.xml><?xml version="1.0" encoding="utf-8"?>
<pivotTableDefinition xmlns="http://schemas.openxmlformats.org/spreadsheetml/2006/main" name="TablaDinámica3" cacheId="2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N2:O10" firstHeaderRow="1" firstDataRow="1" firstDataCol="1"/>
  <pivotFields count="12">
    <pivotField showAll="0"/>
    <pivotField showAll="0"/>
    <pivotField numFmtId="14"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1" baseField="0" baseItem="0" numFmtId="167"/>
  </dataFields>
  <formats count="3"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7" cacheId="6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N13:O21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istinto de Legajo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eldos 04-2025!$A$1:$D$28">
        <x15:activeTabTopLevelEntity name="[Rango]"/>
      </x15:pivotTableUISettings>
    </ext>
  </extLst>
</pivotTableDefinition>
</file>

<file path=xl/pivotTables/pivotTable4.xml><?xml version="1.0" encoding="utf-8"?>
<pivotTableDefinition xmlns="http://schemas.openxmlformats.org/spreadsheetml/2006/main" name="TablaDinámica5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N1:O9" firstHeaderRow="1" firstDataRow="1" firstDataCol="1"/>
  <pivotFields count="12">
    <pivotField showAll="0"/>
    <pivotField showAll="0"/>
    <pivotField numFmtId="164"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numFmtId="1"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1" baseField="0" baseItem="0" numFmtId="167"/>
  </dataFields>
  <formats count="3"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4" cacheId="2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N1:Q10" firstHeaderRow="1" firstDataRow="2" firstDataCol="1"/>
  <pivotFields count="3">
    <pivotField axis="axisRow" showAll="0">
      <items count="9">
        <item x="1"/>
        <item x="2"/>
        <item x="3"/>
        <item h="1" x="4"/>
        <item x="5"/>
        <item x="6"/>
        <item x="0"/>
        <item x="7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GASTO" fld="2" baseField="0" baseItem="0" numFmtId="167"/>
  </dataFields>
  <formats count="3"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6" cacheId="3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M2:P11" firstHeaderRow="1" firstDataRow="2" firstDataCol="1"/>
  <pivotFields count="3">
    <pivotField axis="axisRow" showAll="0">
      <items count="10">
        <item h="1" x="4"/>
        <item x="6"/>
        <item x="0"/>
        <item x="1"/>
        <item h="1" x="2"/>
        <item x="3"/>
        <item x="5"/>
        <item x="7"/>
        <item x="8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8"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GASTO" fld="2" baseField="0" baseItem="0" numFmtId="4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89"/>
  <sheetViews>
    <sheetView workbookViewId="0"/>
  </sheetViews>
  <sheetFormatPr baseColWidth="10" defaultColWidth="12.6328125" defaultRowHeight="15.75" customHeight="1" x14ac:dyDescent="0.25"/>
  <cols>
    <col min="1" max="1" width="6" customWidth="1"/>
    <col min="2" max="2" width="21.26953125" customWidth="1"/>
    <col min="3" max="3" width="9.90625" bestFit="1" customWidth="1"/>
    <col min="4" max="4" width="26.1796875" bestFit="1" customWidth="1"/>
    <col min="5" max="5" width="11.08984375" customWidth="1"/>
    <col min="6" max="6" width="10" customWidth="1"/>
    <col min="7" max="7" width="11.26953125" customWidth="1"/>
    <col min="8" max="8" width="9.08984375" customWidth="1"/>
    <col min="9" max="9" width="13.26953125" customWidth="1"/>
    <col min="10" max="10" width="13.36328125" customWidth="1"/>
    <col min="11" max="11" width="14.7265625" customWidth="1"/>
    <col min="12" max="12" width="17" customWidth="1"/>
    <col min="13" max="13" width="18.36328125" customWidth="1"/>
    <col min="14" max="14" width="17" customWidth="1"/>
    <col min="15" max="15" width="25.08984375" bestFit="1" customWidth="1"/>
  </cols>
  <sheetData>
    <row r="1" spans="1:25" ht="52" x14ac:dyDescent="0.3">
      <c r="A1" s="1" t="str">
        <f ca="1">IFERROR(__xludf.DUMMYFUNCTION("IMPORTRANGE(""https://docs.google.com/spreadsheets/d/1wvfkf5xX2FDS85orIC5Z6K49ytMj34maGqGgJrXycTM/edit?gid=430646878#gid=430646878"",""Comercial!A1:z100"")"),"Legajo")</f>
        <v>Legajo</v>
      </c>
      <c r="B1" s="1" t="str">
        <f ca="1">IFERROR(__xludf.DUMMYFUNCTION("""COMPUTED_VALUE"""),"Apellido y Nombre")</f>
        <v>Apellido y Nombre</v>
      </c>
      <c r="C1" s="1" t="s">
        <v>221</v>
      </c>
      <c r="D1" s="1" t="s">
        <v>222</v>
      </c>
      <c r="E1" s="2" t="s">
        <v>223</v>
      </c>
      <c r="F1" s="2" t="s">
        <v>224</v>
      </c>
      <c r="G1" s="3" t="s">
        <v>225</v>
      </c>
      <c r="H1" s="3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5">
      <c r="A2" s="4">
        <f ca="1">IFERROR(__xludf.DUMMYFUNCTION("""COMPUTED_VALUE"""),55)</f>
        <v>55</v>
      </c>
      <c r="B2" s="4" t="str">
        <f ca="1">IFERROR(__xludf.DUMMYFUNCTION("""COMPUTED_VALUE"""),"Carrizo Camila")</f>
        <v>Carrizo Camila</v>
      </c>
      <c r="C2" s="17">
        <v>45717</v>
      </c>
      <c r="D2" s="4" t="s">
        <v>231</v>
      </c>
      <c r="E2" s="5">
        <v>132</v>
      </c>
      <c r="F2" s="5">
        <v>15</v>
      </c>
      <c r="G2" s="5">
        <v>117</v>
      </c>
      <c r="H2" s="5" t="s">
        <v>232</v>
      </c>
      <c r="I2" s="5">
        <v>407248</v>
      </c>
      <c r="J2" s="5">
        <v>502512.64000000001</v>
      </c>
      <c r="K2" s="5">
        <v>131546.35999999999</v>
      </c>
      <c r="L2" s="5">
        <v>634059</v>
      </c>
      <c r="M2" s="5"/>
      <c r="N2" s="25" t="s">
        <v>281</v>
      </c>
      <c r="O2" t="s">
        <v>363</v>
      </c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 x14ac:dyDescent="0.25">
      <c r="A3" s="4">
        <f ca="1">IFERROR(__xludf.DUMMYFUNCTION("""COMPUTED_VALUE"""),103)</f>
        <v>103</v>
      </c>
      <c r="B3" s="4" t="str">
        <f ca="1">IFERROR(__xludf.DUMMYFUNCTION("""COMPUTED_VALUE"""),"Esposito Candela")</f>
        <v>Esposito Candela</v>
      </c>
      <c r="C3" s="17">
        <v>45717</v>
      </c>
      <c r="D3" s="4" t="s">
        <v>233</v>
      </c>
      <c r="E3" s="5">
        <v>130</v>
      </c>
      <c r="F3" s="5">
        <v>16</v>
      </c>
      <c r="G3" s="5">
        <v>114</v>
      </c>
      <c r="H3" s="5" t="s">
        <v>232</v>
      </c>
      <c r="I3" s="5">
        <v>602346</v>
      </c>
      <c r="J3" s="5">
        <v>754788.33</v>
      </c>
      <c r="K3" s="5">
        <v>193977.72</v>
      </c>
      <c r="L3" s="5">
        <v>948766.049999999</v>
      </c>
      <c r="M3" s="5"/>
      <c r="N3" s="26" t="s">
        <v>231</v>
      </c>
      <c r="O3" s="30">
        <v>4105412.61</v>
      </c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 x14ac:dyDescent="0.25">
      <c r="A4" s="4">
        <f ca="1">IFERROR(__xludf.DUMMYFUNCTION("""COMPUTED_VALUE"""),120)</f>
        <v>120</v>
      </c>
      <c r="B4" s="4" t="str">
        <f ca="1">IFERROR(__xludf.DUMMYFUNCTION("""COMPUTED_VALUE"""),"Bertolo Milagros")</f>
        <v>Bertolo Milagros</v>
      </c>
      <c r="C4" s="17">
        <v>45717</v>
      </c>
      <c r="D4" s="4" t="s">
        <v>234</v>
      </c>
      <c r="E4" s="5">
        <v>132</v>
      </c>
      <c r="F4" s="5">
        <v>14</v>
      </c>
      <c r="G4" s="5">
        <v>118</v>
      </c>
      <c r="H4" s="5" t="s">
        <v>235</v>
      </c>
      <c r="I4" s="5">
        <v>722257</v>
      </c>
      <c r="J4" s="5">
        <v>909397.24</v>
      </c>
      <c r="K4" s="5">
        <v>232349.24</v>
      </c>
      <c r="L4" s="5">
        <v>1141746.48</v>
      </c>
      <c r="M4" s="5"/>
      <c r="N4" s="26" t="s">
        <v>238</v>
      </c>
      <c r="O4" s="30">
        <v>6375691.2699999996</v>
      </c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 x14ac:dyDescent="0.25">
      <c r="A5" s="4">
        <f ca="1">IFERROR(__xludf.DUMMYFUNCTION("""COMPUTED_VALUE"""),126)</f>
        <v>126</v>
      </c>
      <c r="B5" s="4" t="str">
        <f ca="1">IFERROR(__xludf.DUMMYFUNCTION("""COMPUTED_VALUE"""),"Barajas Barbara")</f>
        <v>Barajas Barbara</v>
      </c>
      <c r="C5" s="17">
        <v>45717</v>
      </c>
      <c r="D5" s="4" t="s">
        <v>236</v>
      </c>
      <c r="E5" s="5">
        <v>126</v>
      </c>
      <c r="F5" s="5">
        <v>12</v>
      </c>
      <c r="G5" s="5">
        <v>114</v>
      </c>
      <c r="H5" s="5" t="s">
        <v>235</v>
      </c>
      <c r="I5" s="5">
        <v>691491</v>
      </c>
      <c r="J5" s="5">
        <v>870666.13</v>
      </c>
      <c r="K5" s="5">
        <v>222504.12</v>
      </c>
      <c r="L5" s="5">
        <v>1093170.25</v>
      </c>
      <c r="M5" s="5"/>
      <c r="N5" s="26" t="s">
        <v>234</v>
      </c>
      <c r="O5" s="30">
        <v>3370753.91</v>
      </c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 x14ac:dyDescent="0.25">
      <c r="A6" s="4">
        <f ca="1">IFERROR(__xludf.DUMMYFUNCTION("""COMPUTED_VALUE"""),131)</f>
        <v>131</v>
      </c>
      <c r="B6" s="4" t="str">
        <f ca="1">IFERROR(__xludf.DUMMYFUNCTION("""COMPUTED_VALUE"""),"De Brito Rocio")</f>
        <v>De Brito Rocio</v>
      </c>
      <c r="C6" s="17">
        <v>45717</v>
      </c>
      <c r="D6" s="4" t="s">
        <v>237</v>
      </c>
      <c r="E6" s="5">
        <v>119</v>
      </c>
      <c r="F6" s="5">
        <v>0</v>
      </c>
      <c r="G6" s="5">
        <v>119</v>
      </c>
      <c r="H6" s="5" t="s">
        <v>235</v>
      </c>
      <c r="I6" s="5">
        <v>653295</v>
      </c>
      <c r="J6" s="5">
        <v>806071.37</v>
      </c>
      <c r="K6" s="5">
        <v>210281.4</v>
      </c>
      <c r="L6" s="5">
        <v>1016352.77</v>
      </c>
      <c r="M6" s="5"/>
      <c r="N6" s="26" t="s">
        <v>237</v>
      </c>
      <c r="O6" s="30">
        <v>1715342.0899999999</v>
      </c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 x14ac:dyDescent="0.25">
      <c r="A7" s="4">
        <f ca="1">IFERROR(__xludf.DUMMYFUNCTION("""COMPUTED_VALUE"""),138)</f>
        <v>138</v>
      </c>
      <c r="B7" s="4" t="str">
        <f ca="1">IFERROR(__xludf.DUMMYFUNCTION("""COMPUTED_VALUE"""),"Lara Robbio")</f>
        <v>Lara Robbio</v>
      </c>
      <c r="C7" s="17">
        <v>45717</v>
      </c>
      <c r="D7" s="4" t="s">
        <v>233</v>
      </c>
      <c r="E7" s="5">
        <v>131</v>
      </c>
      <c r="F7" s="5">
        <v>13</v>
      </c>
      <c r="G7" s="5">
        <v>118</v>
      </c>
      <c r="H7" s="5" t="s">
        <v>235</v>
      </c>
      <c r="I7" s="5">
        <v>719467</v>
      </c>
      <c r="J7" s="5">
        <v>905958.56</v>
      </c>
      <c r="K7" s="5">
        <v>231456.44</v>
      </c>
      <c r="L7" s="5">
        <v>1137415</v>
      </c>
      <c r="M7" s="5"/>
      <c r="N7" s="26" t="s">
        <v>236</v>
      </c>
      <c r="O7" s="30">
        <v>3111503.44</v>
      </c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 x14ac:dyDescent="0.25">
      <c r="A8" s="4">
        <f ca="1">IFERROR(__xludf.DUMMYFUNCTION("""COMPUTED_VALUE"""),139)</f>
        <v>139</v>
      </c>
      <c r="B8" s="4" t="str">
        <f ca="1">IFERROR(__xludf.DUMMYFUNCTION("""COMPUTED_VALUE"""),"Viña Sofia")</f>
        <v>Viña Sofia</v>
      </c>
      <c r="C8" s="17">
        <v>45717</v>
      </c>
      <c r="D8" s="4" t="s">
        <v>238</v>
      </c>
      <c r="E8" s="5">
        <v>129</v>
      </c>
      <c r="F8" s="5">
        <v>5</v>
      </c>
      <c r="G8" s="5">
        <v>124</v>
      </c>
      <c r="H8" s="5" t="s">
        <v>232</v>
      </c>
      <c r="I8" s="5">
        <v>559094</v>
      </c>
      <c r="J8" s="5">
        <v>699347.93</v>
      </c>
      <c r="K8" s="5">
        <v>180137.08</v>
      </c>
      <c r="L8" s="5">
        <v>879485.01</v>
      </c>
      <c r="M8" s="5"/>
      <c r="N8" s="26" t="s">
        <v>233</v>
      </c>
      <c r="O8" s="30">
        <v>4233112.1799999988</v>
      </c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 x14ac:dyDescent="0.25">
      <c r="A9" s="4">
        <f ca="1">IFERROR(__xludf.DUMMYFUNCTION("""COMPUTED_VALUE"""),143)</f>
        <v>143</v>
      </c>
      <c r="B9" s="4" t="str">
        <f ca="1">IFERROR(__xludf.DUMMYFUNCTION("""COMPUTED_VALUE"""),"Molina Agustina")</f>
        <v>Molina Agustina</v>
      </c>
      <c r="C9" s="17">
        <v>45717</v>
      </c>
      <c r="D9" s="4" t="s">
        <v>231</v>
      </c>
      <c r="E9" s="5">
        <v>127</v>
      </c>
      <c r="F9" s="5">
        <v>15</v>
      </c>
      <c r="G9" s="5">
        <v>112</v>
      </c>
      <c r="H9" s="5" t="s">
        <v>235</v>
      </c>
      <c r="I9" s="5">
        <v>696548</v>
      </c>
      <c r="J9" s="5">
        <v>877030.13</v>
      </c>
      <c r="K9" s="5">
        <v>224122.36</v>
      </c>
      <c r="L9" s="5">
        <v>1101152.49</v>
      </c>
      <c r="M9" s="5"/>
      <c r="N9" s="26" t="s">
        <v>239</v>
      </c>
      <c r="O9" s="30">
        <v>2170517.0300000003</v>
      </c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 x14ac:dyDescent="0.25">
      <c r="A10" s="4">
        <f ca="1">IFERROR(__xludf.DUMMYFUNCTION("""COMPUTED_VALUE"""),151)</f>
        <v>151</v>
      </c>
      <c r="B10" s="4" t="str">
        <f ca="1">IFERROR(__xludf.DUMMYFUNCTION("""COMPUTED_VALUE"""),"Kiara Corbalan")</f>
        <v>Kiara Corbalan</v>
      </c>
      <c r="C10" s="17">
        <v>45717</v>
      </c>
      <c r="D10" s="4" t="s">
        <v>231</v>
      </c>
      <c r="E10" s="5">
        <v>128</v>
      </c>
      <c r="F10" s="5">
        <v>5</v>
      </c>
      <c r="G10" s="5">
        <v>123</v>
      </c>
      <c r="H10" s="5" t="s">
        <v>232</v>
      </c>
      <c r="I10" s="5">
        <v>473930</v>
      </c>
      <c r="J10" s="5">
        <v>589619.99</v>
      </c>
      <c r="K10" s="5">
        <v>152884.6</v>
      </c>
      <c r="L10" s="5">
        <v>742504.59</v>
      </c>
      <c r="M10" s="5"/>
      <c r="N10" s="26" t="s">
        <v>282</v>
      </c>
      <c r="O10" s="30">
        <v>25082332.530000001</v>
      </c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 x14ac:dyDescent="0.25">
      <c r="A11" s="4">
        <f ca="1">IFERROR(__xludf.DUMMYFUNCTION("""COMPUTED_VALUE"""),161)</f>
        <v>161</v>
      </c>
      <c r="B11" s="4" t="str">
        <f ca="1">IFERROR(__xludf.DUMMYFUNCTION("""COMPUTED_VALUE"""),"Martínez Brisa")</f>
        <v>Martínez Brisa</v>
      </c>
      <c r="C11" s="17">
        <v>45717</v>
      </c>
      <c r="D11" s="4" t="s">
        <v>231</v>
      </c>
      <c r="E11" s="5">
        <v>127</v>
      </c>
      <c r="F11" s="5">
        <v>15</v>
      </c>
      <c r="G11" s="5">
        <v>112</v>
      </c>
      <c r="H11" s="5" t="s">
        <v>232</v>
      </c>
      <c r="I11" s="5">
        <v>574623</v>
      </c>
      <c r="J11" s="5">
        <v>719707.58</v>
      </c>
      <c r="K11" s="5">
        <v>185106.36</v>
      </c>
      <c r="L11" s="5">
        <v>904813.94</v>
      </c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 x14ac:dyDescent="0.25">
      <c r="A12" s="4">
        <f ca="1">IFERROR(__xludf.DUMMYFUNCTION("""COMPUTED_VALUE"""),165)</f>
        <v>165</v>
      </c>
      <c r="B12" s="4" t="str">
        <f ca="1">IFERROR(__xludf.DUMMYFUNCTION("""COMPUTED_VALUE"""),"CORONEL Mailen")</f>
        <v>CORONEL Mailen</v>
      </c>
      <c r="C12" s="17">
        <v>45717</v>
      </c>
      <c r="D12" s="4" t="s">
        <v>237</v>
      </c>
      <c r="E12" s="5">
        <v>124</v>
      </c>
      <c r="F12" s="5">
        <v>0</v>
      </c>
      <c r="G12" s="5">
        <v>124</v>
      </c>
      <c r="H12" s="5" t="s">
        <v>232</v>
      </c>
      <c r="I12" s="5">
        <v>446507</v>
      </c>
      <c r="J12" s="5">
        <v>554880.07999999996</v>
      </c>
      <c r="K12" s="5">
        <v>144109.24</v>
      </c>
      <c r="L12" s="5">
        <v>698989.32</v>
      </c>
      <c r="M12" s="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 x14ac:dyDescent="0.25">
      <c r="A13" s="4">
        <f ca="1">IFERROR(__xludf.DUMMYFUNCTION("""COMPUTED_VALUE"""),170)</f>
        <v>170</v>
      </c>
      <c r="B13" s="4" t="str">
        <f ca="1">IFERROR(__xludf.DUMMYFUNCTION("""COMPUTED_VALUE"""),"Ruiz de la Torre Maitena")</f>
        <v>Ruiz de la Torre Maitena</v>
      </c>
      <c r="C13" s="17">
        <v>45717</v>
      </c>
      <c r="D13" s="4" t="s">
        <v>238</v>
      </c>
      <c r="E13" s="5">
        <v>111</v>
      </c>
      <c r="F13" s="5">
        <v>8</v>
      </c>
      <c r="G13" s="5">
        <v>103</v>
      </c>
      <c r="H13" s="5" t="s">
        <v>235</v>
      </c>
      <c r="I13" s="5">
        <v>599040</v>
      </c>
      <c r="J13" s="5">
        <v>753792.29</v>
      </c>
      <c r="K13" s="5">
        <v>192919.8</v>
      </c>
      <c r="L13" s="5">
        <v>946712.09</v>
      </c>
      <c r="M13" s="5"/>
      <c r="N13" s="4" t="s">
        <v>364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 x14ac:dyDescent="0.25">
      <c r="A14" s="4">
        <f ca="1">IFERROR(__xludf.DUMMYFUNCTION("""COMPUTED_VALUE"""),171)</f>
        <v>171</v>
      </c>
      <c r="B14" s="4" t="str">
        <f ca="1">IFERROR(__xludf.DUMMYFUNCTION("""COMPUTED_VALUE"""),"Gimenez Candela")</f>
        <v>Gimenez Candela</v>
      </c>
      <c r="C14" s="17">
        <v>45717</v>
      </c>
      <c r="D14" s="4" t="s">
        <v>236</v>
      </c>
      <c r="E14" s="5">
        <v>123</v>
      </c>
      <c r="F14" s="5">
        <v>12</v>
      </c>
      <c r="G14" s="5">
        <v>111</v>
      </c>
      <c r="H14" s="5" t="s">
        <v>232</v>
      </c>
      <c r="I14" s="5">
        <v>626095</v>
      </c>
      <c r="J14" s="5">
        <v>786964.08</v>
      </c>
      <c r="K14" s="5">
        <v>201577.4</v>
      </c>
      <c r="L14" s="5">
        <v>988541.48</v>
      </c>
      <c r="M14" s="5"/>
      <c r="N14" s="25" t="s">
        <v>281</v>
      </c>
      <c r="O14" t="s">
        <v>365</v>
      </c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 x14ac:dyDescent="0.25">
      <c r="A15" s="4">
        <f ca="1">IFERROR(__xludf.DUMMYFUNCTION("""COMPUTED_VALUE"""),173)</f>
        <v>173</v>
      </c>
      <c r="B15" s="4" t="str">
        <f ca="1">IFERROR(__xludf.DUMMYFUNCTION("""COMPUTED_VALUE"""),"Imperiale Candela")</f>
        <v>Imperiale Candela</v>
      </c>
      <c r="C15" s="17">
        <v>45717</v>
      </c>
      <c r="D15" s="4" t="s">
        <v>238</v>
      </c>
      <c r="E15" s="5">
        <v>132</v>
      </c>
      <c r="F15" s="5">
        <v>15</v>
      </c>
      <c r="G15" s="5">
        <v>117</v>
      </c>
      <c r="H15" s="5" t="s">
        <v>235</v>
      </c>
      <c r="I15" s="5">
        <v>721008</v>
      </c>
      <c r="J15" s="5">
        <v>907996.31</v>
      </c>
      <c r="K15" s="5">
        <v>231949.56</v>
      </c>
      <c r="L15" s="5">
        <v>1139945.8700000001</v>
      </c>
      <c r="M15" s="5"/>
      <c r="N15" s="26" t="s">
        <v>231</v>
      </c>
      <c r="O15" s="28">
        <v>5</v>
      </c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 x14ac:dyDescent="0.25">
      <c r="A16" s="4">
        <f ca="1">IFERROR(__xludf.DUMMYFUNCTION("""COMPUTED_VALUE"""),174)</f>
        <v>174</v>
      </c>
      <c r="B16" s="4" t="str">
        <f ca="1">IFERROR(__xludf.DUMMYFUNCTION("""COMPUTED_VALUE"""),"Machuca Araceli ")</f>
        <v xml:space="preserve">Machuca Araceli </v>
      </c>
      <c r="C16" s="17">
        <v>45717</v>
      </c>
      <c r="D16" s="4" t="s">
        <v>234</v>
      </c>
      <c r="E16" s="5">
        <v>131</v>
      </c>
      <c r="F16" s="5">
        <v>15</v>
      </c>
      <c r="G16" s="5">
        <v>116</v>
      </c>
      <c r="H16" s="5" t="s">
        <v>235</v>
      </c>
      <c r="I16" s="5">
        <v>713645</v>
      </c>
      <c r="J16" s="5">
        <v>898655.25</v>
      </c>
      <c r="K16" s="5">
        <v>229593.4</v>
      </c>
      <c r="L16" s="5">
        <v>1128248.6499999999</v>
      </c>
      <c r="M16" s="5"/>
      <c r="N16" s="26" t="s">
        <v>238</v>
      </c>
      <c r="O16" s="28">
        <v>7</v>
      </c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x14ac:dyDescent="0.25">
      <c r="A17" s="4">
        <f ca="1">IFERROR(__xludf.DUMMYFUNCTION("""COMPUTED_VALUE"""),186)</f>
        <v>186</v>
      </c>
      <c r="B17" s="4" t="str">
        <f ca="1">IFERROR(__xludf.DUMMYFUNCTION("""COMPUTED_VALUE"""),"Balmaceda Luciana")</f>
        <v>Balmaceda Luciana</v>
      </c>
      <c r="C17" s="17">
        <v>45717</v>
      </c>
      <c r="D17" s="4" t="s">
        <v>238</v>
      </c>
      <c r="E17" s="5">
        <v>116</v>
      </c>
      <c r="F17" s="5">
        <v>10</v>
      </c>
      <c r="G17" s="5">
        <v>106</v>
      </c>
      <c r="H17" s="5" t="s">
        <v>235</v>
      </c>
      <c r="I17" s="5">
        <v>627839</v>
      </c>
      <c r="J17" s="5">
        <v>790331.62</v>
      </c>
      <c r="K17" s="5">
        <v>202135.48</v>
      </c>
      <c r="L17" s="5">
        <v>992467.1</v>
      </c>
      <c r="M17" s="5"/>
      <c r="N17" s="26" t="s">
        <v>234</v>
      </c>
      <c r="O17" s="28">
        <v>3</v>
      </c>
      <c r="Q17" s="4"/>
      <c r="R17" s="4"/>
      <c r="S17" s="4"/>
      <c r="T17" s="4"/>
      <c r="U17" s="4"/>
      <c r="V17" s="4"/>
      <c r="W17" s="4"/>
      <c r="X17" s="4"/>
      <c r="Y17" s="4"/>
    </row>
    <row r="18" spans="1:25" ht="12.5" x14ac:dyDescent="0.25">
      <c r="A18" s="4">
        <f ca="1">IFERROR(__xludf.DUMMYFUNCTION("""COMPUTED_VALUE"""),189)</f>
        <v>189</v>
      </c>
      <c r="B18" s="4" t="str">
        <f ca="1">IFERROR(__xludf.DUMMYFUNCTION("""COMPUTED_VALUE"""),"Oliva Micaela")</f>
        <v>Oliva Micaela</v>
      </c>
      <c r="C18" s="17">
        <v>45717</v>
      </c>
      <c r="D18" s="4" t="s">
        <v>236</v>
      </c>
      <c r="E18" s="5">
        <v>122</v>
      </c>
      <c r="F18" s="5">
        <v>13</v>
      </c>
      <c r="G18" s="5">
        <v>109</v>
      </c>
      <c r="H18" s="5" t="s">
        <v>232</v>
      </c>
      <c r="I18" s="5">
        <v>651612</v>
      </c>
      <c r="J18" s="5">
        <v>820048.87</v>
      </c>
      <c r="K18" s="5">
        <v>209742.84</v>
      </c>
      <c r="L18" s="5">
        <v>1029791.71</v>
      </c>
      <c r="M18" s="5"/>
      <c r="N18" s="26" t="s">
        <v>237</v>
      </c>
      <c r="O18" s="28">
        <v>2</v>
      </c>
      <c r="Q18" s="4"/>
      <c r="R18" s="4"/>
      <c r="S18" s="4"/>
      <c r="T18" s="4"/>
      <c r="U18" s="4"/>
      <c r="V18" s="4"/>
      <c r="W18" s="4"/>
      <c r="X18" s="4"/>
      <c r="Y18" s="4"/>
    </row>
    <row r="19" spans="1:25" ht="12.5" x14ac:dyDescent="0.25">
      <c r="A19" s="4">
        <f ca="1">IFERROR(__xludf.DUMMYFUNCTION("""COMPUTED_VALUE"""),190)</f>
        <v>190</v>
      </c>
      <c r="B19" s="4" t="str">
        <f ca="1">IFERROR(__xludf.DUMMYFUNCTION("""COMPUTED_VALUE"""),"Mohamad Daila")</f>
        <v>Mohamad Daila</v>
      </c>
      <c r="C19" s="17">
        <v>45717</v>
      </c>
      <c r="D19" s="4" t="s">
        <v>239</v>
      </c>
      <c r="E19" s="5">
        <v>132</v>
      </c>
      <c r="F19" s="5">
        <v>16</v>
      </c>
      <c r="G19" s="5">
        <v>116</v>
      </c>
      <c r="H19" s="5" t="s">
        <v>235</v>
      </c>
      <c r="I19" s="5">
        <v>695866</v>
      </c>
      <c r="J19" s="5">
        <v>875555.1</v>
      </c>
      <c r="K19" s="5">
        <v>223904.12</v>
      </c>
      <c r="L19" s="5">
        <v>1099459.22</v>
      </c>
      <c r="M19" s="5"/>
      <c r="N19" s="26" t="s">
        <v>236</v>
      </c>
      <c r="O19" s="28">
        <v>3</v>
      </c>
      <c r="Q19" s="4"/>
      <c r="R19" s="4"/>
      <c r="S19" s="4"/>
      <c r="T19" s="4"/>
      <c r="U19" s="4"/>
      <c r="V19" s="4"/>
      <c r="W19" s="4"/>
      <c r="X19" s="4"/>
      <c r="Y19" s="4"/>
    </row>
    <row r="20" spans="1:25" ht="12.5" x14ac:dyDescent="0.25">
      <c r="A20" s="4">
        <f ca="1">IFERROR(__xludf.DUMMYFUNCTION("""COMPUTED_VALUE"""),192)</f>
        <v>192</v>
      </c>
      <c r="B20" s="4" t="str">
        <f ca="1">IFERROR(__xludf.DUMMYFUNCTION("""COMPUTED_VALUE"""),"Sarapura Rebecca")</f>
        <v>Sarapura Rebecca</v>
      </c>
      <c r="C20" s="17">
        <v>45717</v>
      </c>
      <c r="D20" s="4" t="s">
        <v>233</v>
      </c>
      <c r="E20" s="5">
        <v>130</v>
      </c>
      <c r="F20" s="5">
        <v>12</v>
      </c>
      <c r="G20" s="5">
        <v>118</v>
      </c>
      <c r="H20" s="5" t="s">
        <v>235</v>
      </c>
      <c r="I20" s="5">
        <v>684548</v>
      </c>
      <c r="J20" s="5">
        <v>861270.24</v>
      </c>
      <c r="K20" s="5">
        <v>220282.36</v>
      </c>
      <c r="L20" s="5">
        <v>1081552.6000000001</v>
      </c>
      <c r="M20" s="5"/>
      <c r="N20" s="26" t="s">
        <v>233</v>
      </c>
      <c r="O20" s="28">
        <v>4</v>
      </c>
      <c r="Q20" s="4"/>
      <c r="R20" s="4"/>
      <c r="S20" s="4"/>
      <c r="T20" s="4"/>
      <c r="U20" s="4"/>
      <c r="V20" s="4"/>
      <c r="W20" s="4"/>
      <c r="X20" s="4"/>
      <c r="Y20" s="4"/>
    </row>
    <row r="21" spans="1:25" ht="12.5" x14ac:dyDescent="0.25">
      <c r="A21" s="4">
        <f ca="1">IFERROR(__xludf.DUMMYFUNCTION("""COMPUTED_VALUE"""),194)</f>
        <v>194</v>
      </c>
      <c r="B21" s="4" t="str">
        <f ca="1">IFERROR(__xludf.DUMMYFUNCTION("""COMPUTED_VALUE"""),"Scholler Chavez Ruth")</f>
        <v>Scholler Chavez Ruth</v>
      </c>
      <c r="C21" s="17">
        <v>45717</v>
      </c>
      <c r="D21" s="4" t="s">
        <v>234</v>
      </c>
      <c r="E21" s="5">
        <v>131</v>
      </c>
      <c r="F21" s="5">
        <v>14</v>
      </c>
      <c r="G21" s="5">
        <v>117</v>
      </c>
      <c r="H21" s="5" t="s">
        <v>235</v>
      </c>
      <c r="I21" s="5">
        <v>696574</v>
      </c>
      <c r="J21" s="5">
        <v>876628.1</v>
      </c>
      <c r="K21" s="5">
        <v>224130.68</v>
      </c>
      <c r="L21" s="5">
        <v>1100758.78</v>
      </c>
      <c r="M21" s="5"/>
      <c r="N21" s="26" t="s">
        <v>239</v>
      </c>
      <c r="O21" s="28">
        <v>2</v>
      </c>
      <c r="Q21" s="4"/>
      <c r="R21" s="4"/>
      <c r="S21" s="4"/>
      <c r="T21" s="4"/>
      <c r="U21" s="4"/>
      <c r="V21" s="4"/>
      <c r="W21" s="4"/>
      <c r="X21" s="4"/>
      <c r="Y21" s="4"/>
    </row>
    <row r="22" spans="1:25" ht="12.5" x14ac:dyDescent="0.25">
      <c r="A22" s="4">
        <f ca="1">IFERROR(__xludf.DUMMYFUNCTION("""COMPUTED_VALUE"""),197)</f>
        <v>197</v>
      </c>
      <c r="B22" s="4" t="str">
        <f ca="1">IFERROR(__xludf.DUMMYFUNCTION("""COMPUTED_VALUE"""),"Ramirez Lola")</f>
        <v>Ramirez Lola</v>
      </c>
      <c r="C22" s="17">
        <v>45717</v>
      </c>
      <c r="D22" s="4" t="s">
        <v>238</v>
      </c>
      <c r="E22" s="5">
        <v>118</v>
      </c>
      <c r="F22" s="5">
        <v>10</v>
      </c>
      <c r="G22" s="5">
        <v>108</v>
      </c>
      <c r="H22" s="5" t="s">
        <v>235</v>
      </c>
      <c r="I22" s="5">
        <v>607593</v>
      </c>
      <c r="J22" s="5">
        <v>763888.44</v>
      </c>
      <c r="K22" s="5">
        <v>195656.76</v>
      </c>
      <c r="L22" s="5">
        <v>959545.2</v>
      </c>
      <c r="M22" s="5"/>
      <c r="N22" s="26" t="s">
        <v>282</v>
      </c>
      <c r="O22" s="28">
        <v>26</v>
      </c>
      <c r="Q22" s="4"/>
      <c r="R22" s="4"/>
      <c r="S22" s="4"/>
      <c r="T22" s="4"/>
      <c r="U22" s="4"/>
      <c r="V22" s="4"/>
      <c r="W22" s="4"/>
      <c r="X22" s="4"/>
      <c r="Y22" s="4"/>
    </row>
    <row r="23" spans="1:25" ht="12.5" x14ac:dyDescent="0.25">
      <c r="A23" s="4">
        <f ca="1">IFERROR(__xludf.DUMMYFUNCTION("""COMPUTED_VALUE"""),202)</f>
        <v>202</v>
      </c>
      <c r="B23" s="4" t="str">
        <f ca="1">IFERROR(__xludf.DUMMYFUNCTION("""COMPUTED_VALUE"""),"Machta Gina")</f>
        <v>Machta Gina</v>
      </c>
      <c r="C23" s="17">
        <v>45717</v>
      </c>
      <c r="D23" s="4" t="s">
        <v>238</v>
      </c>
      <c r="E23" s="5">
        <v>117</v>
      </c>
      <c r="F23" s="5">
        <v>9</v>
      </c>
      <c r="G23" s="5">
        <v>108</v>
      </c>
      <c r="H23" s="5" t="s">
        <v>235</v>
      </c>
      <c r="I23" s="5">
        <v>599290</v>
      </c>
      <c r="J23" s="5">
        <v>753334.49</v>
      </c>
      <c r="K23" s="5">
        <v>192999.8</v>
      </c>
      <c r="L23" s="5">
        <v>946334.29</v>
      </c>
      <c r="M23" s="5"/>
      <c r="Q23" s="4"/>
      <c r="R23" s="4"/>
      <c r="S23" s="4"/>
      <c r="T23" s="4"/>
      <c r="U23" s="4"/>
      <c r="V23" s="4"/>
      <c r="W23" s="4"/>
      <c r="X23" s="4"/>
      <c r="Y23" s="4"/>
    </row>
    <row r="24" spans="1:25" ht="12.5" x14ac:dyDescent="0.25">
      <c r="A24" s="4">
        <f ca="1">IFERROR(__xludf.DUMMYFUNCTION("""COMPUTED_VALUE"""),204)</f>
        <v>204</v>
      </c>
      <c r="B24" s="4" t="str">
        <f ca="1">IFERROR(__xludf.DUMMYFUNCTION("""COMPUTED_VALUE"""),"Dettoni Leguizamon Oriana")</f>
        <v>Dettoni Leguizamon Oriana</v>
      </c>
      <c r="C24" s="17">
        <v>45717</v>
      </c>
      <c r="D24" s="4" t="s">
        <v>238</v>
      </c>
      <c r="E24" s="5">
        <v>38</v>
      </c>
      <c r="F24" s="5">
        <v>9</v>
      </c>
      <c r="G24" s="5">
        <v>29</v>
      </c>
      <c r="H24" s="5" t="s">
        <v>235</v>
      </c>
      <c r="I24" s="5">
        <v>332906</v>
      </c>
      <c r="J24" s="5">
        <v>403444.79</v>
      </c>
      <c r="K24" s="5">
        <v>107756.92</v>
      </c>
      <c r="L24" s="5">
        <v>511201.70999999897</v>
      </c>
      <c r="M24" s="5"/>
      <c r="Q24" s="4"/>
      <c r="R24" s="4"/>
      <c r="S24" s="4"/>
      <c r="T24" s="4"/>
      <c r="U24" s="4"/>
      <c r="V24" s="4"/>
      <c r="W24" s="4"/>
      <c r="X24" s="4"/>
      <c r="Y24" s="4"/>
    </row>
    <row r="25" spans="1:25" ht="12.5" x14ac:dyDescent="0.25">
      <c r="A25" s="4">
        <f ca="1">IFERROR(__xludf.DUMMYFUNCTION("""COMPUTED_VALUE"""),205)</f>
        <v>205</v>
      </c>
      <c r="B25" s="4" t="str">
        <f ca="1">IFERROR(__xludf.DUMMYFUNCTION("""COMPUTED_VALUE"""),"Florencia Aguero")</f>
        <v>Florencia Aguero</v>
      </c>
      <c r="C25" s="17">
        <v>45717</v>
      </c>
      <c r="D25" s="4" t="s">
        <v>239</v>
      </c>
      <c r="E25" s="5">
        <v>132</v>
      </c>
      <c r="F25" s="5">
        <v>11</v>
      </c>
      <c r="G25" s="5">
        <v>121</v>
      </c>
      <c r="H25" s="5" t="s">
        <v>235</v>
      </c>
      <c r="I25" s="5">
        <v>678229</v>
      </c>
      <c r="J25" s="5">
        <v>852797.53</v>
      </c>
      <c r="K25" s="5">
        <v>218260.28</v>
      </c>
      <c r="L25" s="5">
        <v>1071057.81</v>
      </c>
      <c r="M25" s="5"/>
      <c r="Q25" s="4"/>
      <c r="R25" s="4"/>
      <c r="S25" s="4"/>
      <c r="T25" s="4"/>
      <c r="U25" s="4"/>
      <c r="V25" s="4"/>
      <c r="W25" s="4"/>
      <c r="X25" s="4"/>
      <c r="Y25" s="4"/>
    </row>
    <row r="26" spans="1:25" ht="12.5" x14ac:dyDescent="0.25">
      <c r="A26" s="4">
        <f ca="1">IFERROR(__xludf.DUMMYFUNCTION("""COMPUTED_VALUE"""),206)</f>
        <v>206</v>
      </c>
      <c r="B26" s="4" t="str">
        <f ca="1">IFERROR(__xludf.DUMMYFUNCTION("""COMPUTED_VALUE"""),"Morena Martinez ")</f>
        <v xml:space="preserve">Morena Martinez </v>
      </c>
      <c r="C26" s="17">
        <v>45717</v>
      </c>
      <c r="D26" s="4" t="s">
        <v>233</v>
      </c>
      <c r="E26" s="5">
        <v>131</v>
      </c>
      <c r="F26" s="5">
        <v>12</v>
      </c>
      <c r="G26" s="5">
        <v>119</v>
      </c>
      <c r="H26" s="5" t="s">
        <v>235</v>
      </c>
      <c r="I26" s="5">
        <v>674603</v>
      </c>
      <c r="J26" s="5">
        <v>848278.57</v>
      </c>
      <c r="K26" s="5">
        <v>217099.96</v>
      </c>
      <c r="L26" s="5">
        <v>1065378.53</v>
      </c>
      <c r="M26" s="5"/>
      <c r="Q26" s="4"/>
      <c r="R26" s="4"/>
      <c r="S26" s="4"/>
      <c r="T26" s="4"/>
      <c r="U26" s="4"/>
      <c r="V26" s="4"/>
      <c r="W26" s="4"/>
      <c r="X26" s="4"/>
      <c r="Y26" s="4"/>
    </row>
    <row r="27" spans="1:25" ht="12.5" x14ac:dyDescent="0.25">
      <c r="A27" s="4">
        <f ca="1">IFERROR(__xludf.DUMMYFUNCTION("""COMPUTED_VALUE"""),207)</f>
        <v>207</v>
      </c>
      <c r="B27" s="4" t="str">
        <f ca="1">IFERROR(__xludf.DUMMYFUNCTION("""COMPUTED_VALUE"""),"Chiara Perazzo")</f>
        <v>Chiara Perazzo</v>
      </c>
      <c r="C27" s="17">
        <v>45717</v>
      </c>
      <c r="D27" s="4" t="s">
        <v>231</v>
      </c>
      <c r="E27" s="5">
        <v>81</v>
      </c>
      <c r="F27" s="5">
        <v>0</v>
      </c>
      <c r="G27" s="5">
        <v>81</v>
      </c>
      <c r="H27" s="5" t="s">
        <v>235</v>
      </c>
      <c r="I27" s="5">
        <v>461417</v>
      </c>
      <c r="J27" s="5">
        <v>574002.15</v>
      </c>
      <c r="K27" s="5">
        <v>148880.44</v>
      </c>
      <c r="L27" s="5">
        <v>722882.59</v>
      </c>
      <c r="M27" s="5"/>
      <c r="Q27" s="4"/>
      <c r="R27" s="4"/>
      <c r="S27" s="4"/>
      <c r="T27" s="4"/>
      <c r="U27" s="4"/>
      <c r="V27" s="4"/>
      <c r="W27" s="4"/>
      <c r="X27" s="4"/>
      <c r="Y27" s="4"/>
    </row>
    <row r="28" spans="1:25" ht="12.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5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</sheetData>
  <autoFilter ref="A1:L27"/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86"/>
  <sheetViews>
    <sheetView tabSelected="1" workbookViewId="0">
      <selection activeCell="D13" sqref="D13"/>
    </sheetView>
  </sheetViews>
  <sheetFormatPr baseColWidth="10" defaultColWidth="12.6328125" defaultRowHeight="15.75" customHeight="1" x14ac:dyDescent="0.25"/>
  <cols>
    <col min="2" max="2" width="22" customWidth="1"/>
    <col min="3" max="3" width="12.26953125" customWidth="1"/>
    <col min="4" max="4" width="23.36328125" bestFit="1" customWidth="1"/>
    <col min="5" max="5" width="14" style="22" customWidth="1"/>
    <col min="6" max="6" width="12.6328125" style="22"/>
    <col min="14" max="14" width="17" bestFit="1" customWidth="1"/>
    <col min="15" max="15" width="25.08984375" customWidth="1"/>
  </cols>
  <sheetData>
    <row r="1" spans="1:25" ht="13" x14ac:dyDescent="0.3">
      <c r="A1" s="1" t="s">
        <v>240</v>
      </c>
      <c r="B1" s="1" t="s">
        <v>241</v>
      </c>
      <c r="C1" s="1" t="s">
        <v>221</v>
      </c>
      <c r="D1" s="1" t="s">
        <v>222</v>
      </c>
      <c r="E1" s="20" t="s">
        <v>242</v>
      </c>
      <c r="F1" s="20" t="s">
        <v>225</v>
      </c>
      <c r="G1" s="1" t="s">
        <v>224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/>
      <c r="N1" s="25" t="s">
        <v>281</v>
      </c>
      <c r="O1" t="s">
        <v>363</v>
      </c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4">
        <v>55</v>
      </c>
      <c r="B2" s="4" t="s">
        <v>243</v>
      </c>
      <c r="C2" s="16">
        <v>45748</v>
      </c>
      <c r="D2" s="4" t="s">
        <v>231</v>
      </c>
      <c r="E2" s="21">
        <v>132</v>
      </c>
      <c r="F2" s="21">
        <v>122</v>
      </c>
      <c r="G2" s="4">
        <v>10</v>
      </c>
      <c r="H2" s="4" t="s">
        <v>235</v>
      </c>
      <c r="I2" s="5">
        <v>748018</v>
      </c>
      <c r="J2" s="5">
        <v>944319.79</v>
      </c>
      <c r="K2" s="5">
        <v>284598.93699999998</v>
      </c>
      <c r="L2" s="5">
        <v>1228918.727</v>
      </c>
      <c r="M2" s="4"/>
      <c r="N2" s="26" t="s">
        <v>231</v>
      </c>
      <c r="O2" s="30">
        <v>5186295.0209999997</v>
      </c>
      <c r="Q2" s="4"/>
      <c r="R2" s="4"/>
      <c r="S2" s="4"/>
      <c r="T2" s="4"/>
      <c r="U2" s="4"/>
      <c r="V2" s="4"/>
      <c r="W2" s="4"/>
      <c r="X2" s="4"/>
    </row>
    <row r="3" spans="1:25" ht="15.75" customHeight="1" x14ac:dyDescent="0.25">
      <c r="A3" s="4">
        <v>103</v>
      </c>
      <c r="B3" s="4" t="s">
        <v>244</v>
      </c>
      <c r="C3" s="16">
        <v>45748</v>
      </c>
      <c r="D3" s="4" t="s">
        <v>233</v>
      </c>
      <c r="E3" s="21">
        <v>129</v>
      </c>
      <c r="F3" s="21">
        <v>91</v>
      </c>
      <c r="G3" s="4">
        <v>6</v>
      </c>
      <c r="H3" s="4" t="s">
        <v>232</v>
      </c>
      <c r="I3" s="5">
        <v>544266</v>
      </c>
      <c r="J3" s="5">
        <v>682045.2</v>
      </c>
      <c r="K3" s="5">
        <v>205916.55999999901</v>
      </c>
      <c r="L3" s="5">
        <v>887961.75999999896</v>
      </c>
      <c r="M3" s="4"/>
      <c r="N3" s="26" t="s">
        <v>238</v>
      </c>
      <c r="O3" s="30">
        <v>6922350.8299999991</v>
      </c>
      <c r="P3">
        <f>GETPIVOTDATA("Costo total",$N$1,"Tienda asignada este mes","Lucero Florida")-GETPIVOTDATA("Costo total",'Sueldos 03-2025'!$N$2,"Tienda asignada este mes","Lucero Florida")</f>
        <v>546659.55999999959</v>
      </c>
      <c r="Q3" s="4"/>
      <c r="R3" s="4"/>
      <c r="S3" s="4"/>
      <c r="T3" s="4"/>
      <c r="U3" s="4"/>
      <c r="V3" s="4"/>
      <c r="W3" s="4"/>
      <c r="X3" s="4"/>
    </row>
    <row r="4" spans="1:25" ht="15.75" customHeight="1" x14ac:dyDescent="0.25">
      <c r="A4" s="4">
        <v>120</v>
      </c>
      <c r="B4" s="4" t="s">
        <v>245</v>
      </c>
      <c r="C4" s="16">
        <v>45748</v>
      </c>
      <c r="D4" s="4" t="s">
        <v>234</v>
      </c>
      <c r="E4" s="21">
        <v>128</v>
      </c>
      <c r="F4" s="21">
        <v>119</v>
      </c>
      <c r="G4" s="4">
        <v>9</v>
      </c>
      <c r="H4" s="4" t="s">
        <v>235</v>
      </c>
      <c r="I4" s="5">
        <v>720514</v>
      </c>
      <c r="J4" s="5">
        <v>909608.85</v>
      </c>
      <c r="K4" s="5">
        <v>274185.65499999898</v>
      </c>
      <c r="L4" s="5">
        <v>1183794.5049999999</v>
      </c>
      <c r="M4" s="4"/>
      <c r="N4" s="26" t="s">
        <v>234</v>
      </c>
      <c r="O4" s="30">
        <v>3368738.9879999999</v>
      </c>
      <c r="Q4" s="4"/>
      <c r="R4" s="4"/>
      <c r="S4" s="4"/>
      <c r="T4" s="4"/>
      <c r="U4" s="4"/>
      <c r="V4" s="4"/>
      <c r="W4" s="4"/>
      <c r="X4" s="4"/>
    </row>
    <row r="5" spans="1:25" ht="15.75" customHeight="1" x14ac:dyDescent="0.25">
      <c r="A5" s="4">
        <v>126</v>
      </c>
      <c r="B5" s="4" t="s">
        <v>246</v>
      </c>
      <c r="C5" s="16">
        <v>45748</v>
      </c>
      <c r="D5" s="4" t="s">
        <v>236</v>
      </c>
      <c r="E5" s="21">
        <v>120</v>
      </c>
      <c r="F5" s="21">
        <v>111</v>
      </c>
      <c r="G5" s="4">
        <v>9</v>
      </c>
      <c r="H5" s="4" t="s">
        <v>235</v>
      </c>
      <c r="I5" s="5">
        <v>673751</v>
      </c>
      <c r="J5" s="5">
        <v>850618.43</v>
      </c>
      <c r="K5" s="5">
        <v>256488.52900000001</v>
      </c>
      <c r="L5" s="5">
        <v>1107106.959</v>
      </c>
      <c r="M5" s="4"/>
      <c r="N5" s="26" t="s">
        <v>237</v>
      </c>
      <c r="O5" s="30">
        <v>2312005.8200000003</v>
      </c>
      <c r="Q5" s="4"/>
      <c r="R5" s="4"/>
      <c r="S5" s="4"/>
      <c r="T5" s="4"/>
      <c r="U5" s="4"/>
      <c r="V5" s="4"/>
      <c r="W5" s="4"/>
      <c r="X5" s="4"/>
    </row>
    <row r="6" spans="1:25" ht="15.75" customHeight="1" x14ac:dyDescent="0.25">
      <c r="A6" s="4">
        <v>131</v>
      </c>
      <c r="B6" s="4" t="s">
        <v>247</v>
      </c>
      <c r="C6" s="16">
        <v>45748</v>
      </c>
      <c r="D6" s="4" t="s">
        <v>237</v>
      </c>
      <c r="E6" s="21">
        <v>122</v>
      </c>
      <c r="F6" s="21">
        <v>118</v>
      </c>
      <c r="G6" s="4">
        <v>0</v>
      </c>
      <c r="H6" s="4" t="s">
        <v>235</v>
      </c>
      <c r="I6" s="5">
        <v>636686</v>
      </c>
      <c r="J6" s="5">
        <v>802501.66</v>
      </c>
      <c r="K6" s="5">
        <v>242053.49799999999</v>
      </c>
      <c r="L6" s="5">
        <v>1044555.1580000001</v>
      </c>
      <c r="M6" s="4"/>
      <c r="N6" s="26" t="s">
        <v>236</v>
      </c>
      <c r="O6" s="30">
        <v>3373139.5920000002</v>
      </c>
      <c r="Q6" s="4"/>
      <c r="R6" s="4"/>
      <c r="S6" s="4"/>
      <c r="T6" s="4"/>
      <c r="U6" s="4"/>
      <c r="V6" s="4"/>
      <c r="W6" s="4"/>
      <c r="X6" s="4"/>
    </row>
    <row r="7" spans="1:25" ht="15.75" customHeight="1" x14ac:dyDescent="0.25">
      <c r="A7" s="4">
        <v>138</v>
      </c>
      <c r="B7" s="4" t="s">
        <v>248</v>
      </c>
      <c r="C7" s="16">
        <v>45748</v>
      </c>
      <c r="D7" s="4" t="s">
        <v>233</v>
      </c>
      <c r="E7" s="21">
        <v>121</v>
      </c>
      <c r="F7" s="21">
        <v>105</v>
      </c>
      <c r="G7" s="4">
        <v>8</v>
      </c>
      <c r="H7" s="4" t="s">
        <v>235</v>
      </c>
      <c r="I7" s="5">
        <v>678666</v>
      </c>
      <c r="J7" s="5">
        <v>856814.76</v>
      </c>
      <c r="K7" s="5">
        <v>258347.427999999</v>
      </c>
      <c r="L7" s="5">
        <v>1115162.1880000001</v>
      </c>
      <c r="M7" s="4"/>
      <c r="N7" s="26" t="s">
        <v>233</v>
      </c>
      <c r="O7" s="30">
        <v>4162750.2419999894</v>
      </c>
      <c r="Q7" s="4"/>
      <c r="R7" s="4"/>
      <c r="S7" s="4"/>
      <c r="T7" s="4"/>
      <c r="U7" s="4"/>
      <c r="V7" s="4"/>
      <c r="W7" s="4"/>
      <c r="X7" s="4"/>
    </row>
    <row r="8" spans="1:25" ht="15.75" customHeight="1" x14ac:dyDescent="0.25">
      <c r="A8" s="4">
        <v>139</v>
      </c>
      <c r="B8" s="4" t="s">
        <v>249</v>
      </c>
      <c r="C8" s="16">
        <v>45748</v>
      </c>
      <c r="D8" s="4" t="s">
        <v>238</v>
      </c>
      <c r="E8" s="21">
        <v>122</v>
      </c>
      <c r="F8" s="21">
        <v>112</v>
      </c>
      <c r="G8" s="4">
        <v>10</v>
      </c>
      <c r="H8" s="4" t="s">
        <v>235</v>
      </c>
      <c r="I8" s="5">
        <v>695901</v>
      </c>
      <c r="J8" s="5">
        <v>878907.97</v>
      </c>
      <c r="K8" s="5">
        <v>264975.391</v>
      </c>
      <c r="L8" s="5">
        <v>1143883.361</v>
      </c>
      <c r="M8" s="4"/>
      <c r="N8" s="26" t="s">
        <v>239</v>
      </c>
      <c r="O8" s="30">
        <v>2300440.6949999998</v>
      </c>
      <c r="Q8" s="4"/>
      <c r="R8" s="4"/>
      <c r="S8" s="4"/>
      <c r="T8" s="4"/>
      <c r="U8" s="4"/>
      <c r="V8" s="4"/>
      <c r="W8" s="4"/>
      <c r="X8" s="4"/>
    </row>
    <row r="9" spans="1:25" ht="15.75" customHeight="1" x14ac:dyDescent="0.25">
      <c r="A9" s="4">
        <v>143</v>
      </c>
      <c r="B9" s="4" t="s">
        <v>250</v>
      </c>
      <c r="C9" s="16">
        <v>45748</v>
      </c>
      <c r="D9" s="4" t="s">
        <v>231</v>
      </c>
      <c r="E9" s="21">
        <v>126</v>
      </c>
      <c r="F9" s="21">
        <v>116</v>
      </c>
      <c r="G9" s="4">
        <v>10</v>
      </c>
      <c r="H9" s="4" t="s">
        <v>235</v>
      </c>
      <c r="I9" s="5">
        <v>702171</v>
      </c>
      <c r="J9" s="5">
        <v>886416.02</v>
      </c>
      <c r="K9" s="5">
        <v>267227.80599999998</v>
      </c>
      <c r="L9" s="5">
        <v>1153643.8259999999</v>
      </c>
      <c r="M9" s="4"/>
      <c r="N9" s="26" t="s">
        <v>282</v>
      </c>
      <c r="O9" s="30">
        <v>27625721.187999994</v>
      </c>
      <c r="Q9" s="4"/>
      <c r="R9" s="4"/>
      <c r="S9" s="4"/>
      <c r="T9" s="4"/>
      <c r="U9" s="4"/>
      <c r="V9" s="4"/>
      <c r="W9" s="4"/>
      <c r="X9" s="4"/>
    </row>
    <row r="10" spans="1:25" ht="15.75" customHeight="1" x14ac:dyDescent="0.25">
      <c r="A10" s="4">
        <v>151</v>
      </c>
      <c r="B10" s="4" t="s">
        <v>251</v>
      </c>
      <c r="C10" s="16">
        <v>45748</v>
      </c>
      <c r="D10" s="4" t="s">
        <v>231</v>
      </c>
      <c r="E10" s="21">
        <v>127</v>
      </c>
      <c r="F10" s="21">
        <v>122</v>
      </c>
      <c r="G10" s="4">
        <v>5</v>
      </c>
      <c r="H10" s="4" t="s">
        <v>235</v>
      </c>
      <c r="I10" s="5">
        <v>690903</v>
      </c>
      <c r="J10" s="5">
        <v>871731.26</v>
      </c>
      <c r="K10" s="5">
        <v>262822.37800000003</v>
      </c>
      <c r="L10" s="5">
        <v>1134553.638</v>
      </c>
      <c r="M10" s="4"/>
      <c r="Q10" s="4"/>
      <c r="R10" s="4"/>
      <c r="S10" s="4"/>
      <c r="T10" s="4"/>
      <c r="U10" s="4"/>
      <c r="V10" s="4"/>
      <c r="W10" s="4"/>
      <c r="X10" s="4"/>
    </row>
    <row r="11" spans="1:25" ht="15.75" customHeight="1" x14ac:dyDescent="0.25">
      <c r="A11" s="4">
        <v>161</v>
      </c>
      <c r="B11" s="4" t="s">
        <v>252</v>
      </c>
      <c r="C11" s="16">
        <v>45748</v>
      </c>
      <c r="D11" s="4" t="s">
        <v>231</v>
      </c>
      <c r="E11" s="21">
        <v>126</v>
      </c>
      <c r="F11" s="21">
        <v>93</v>
      </c>
      <c r="G11" s="4">
        <v>5</v>
      </c>
      <c r="H11" s="4" t="s">
        <v>232</v>
      </c>
      <c r="I11" s="5">
        <v>567481</v>
      </c>
      <c r="J11" s="5">
        <v>712622.67</v>
      </c>
      <c r="K11" s="5">
        <v>215089.80100000001</v>
      </c>
      <c r="L11" s="5">
        <v>927712.47100000002</v>
      </c>
      <c r="M11" s="4"/>
      <c r="Q11" s="4"/>
      <c r="R11" s="4"/>
      <c r="S11" s="4"/>
      <c r="T11" s="4"/>
      <c r="U11" s="4"/>
      <c r="V11" s="4"/>
      <c r="W11" s="4"/>
      <c r="X11" s="4"/>
    </row>
    <row r="12" spans="1:25" ht="15.75" customHeight="1" x14ac:dyDescent="0.25">
      <c r="A12" s="4">
        <v>165</v>
      </c>
      <c r="B12" s="4" t="s">
        <v>253</v>
      </c>
      <c r="C12" s="16">
        <v>45748</v>
      </c>
      <c r="D12" s="4" t="s">
        <v>237</v>
      </c>
      <c r="E12" s="21">
        <v>123</v>
      </c>
      <c r="F12" s="21">
        <v>123</v>
      </c>
      <c r="G12" s="4">
        <v>0</v>
      </c>
      <c r="H12" s="4" t="s">
        <v>235</v>
      </c>
      <c r="I12" s="5">
        <v>769679</v>
      </c>
      <c r="J12" s="5">
        <v>973959.74</v>
      </c>
      <c r="K12" s="5">
        <v>293490.92199999897</v>
      </c>
      <c r="L12" s="5">
        <v>1267450.662</v>
      </c>
      <c r="M12" s="4"/>
      <c r="N12" s="26" t="s">
        <v>364</v>
      </c>
      <c r="Q12" s="4"/>
      <c r="R12" s="4"/>
      <c r="S12" s="4"/>
      <c r="T12" s="4"/>
      <c r="U12" s="4"/>
      <c r="V12" s="4"/>
      <c r="W12" s="4"/>
      <c r="X12" s="4"/>
    </row>
    <row r="13" spans="1:25" ht="15.75" customHeight="1" x14ac:dyDescent="0.25">
      <c r="A13" s="4">
        <v>170</v>
      </c>
      <c r="B13" s="4" t="s">
        <v>254</v>
      </c>
      <c r="C13" s="16">
        <v>45748</v>
      </c>
      <c r="D13" s="4" t="s">
        <v>238</v>
      </c>
      <c r="E13" s="21">
        <v>125</v>
      </c>
      <c r="F13" s="21">
        <v>115</v>
      </c>
      <c r="G13" s="4">
        <v>10</v>
      </c>
      <c r="H13" s="4" t="s">
        <v>235</v>
      </c>
      <c r="I13" s="5">
        <v>711966</v>
      </c>
      <c r="J13" s="5">
        <v>899200.38</v>
      </c>
      <c r="K13" s="5">
        <v>271063.114</v>
      </c>
      <c r="L13" s="5">
        <v>1170263.4939999999</v>
      </c>
      <c r="M13" s="4"/>
      <c r="N13" s="25" t="s">
        <v>281</v>
      </c>
      <c r="O13" t="s">
        <v>365</v>
      </c>
      <c r="Q13" s="4"/>
      <c r="R13" s="4"/>
      <c r="S13" s="4"/>
      <c r="T13" s="4"/>
      <c r="U13" s="4"/>
      <c r="V13" s="4"/>
      <c r="W13" s="4"/>
      <c r="X13" s="4"/>
    </row>
    <row r="14" spans="1:25" ht="15.75" customHeight="1" x14ac:dyDescent="0.25">
      <c r="A14" s="4">
        <v>171</v>
      </c>
      <c r="B14" s="4" t="s">
        <v>255</v>
      </c>
      <c r="C14" s="16">
        <v>45748</v>
      </c>
      <c r="D14" s="4" t="s">
        <v>236</v>
      </c>
      <c r="E14" s="21">
        <v>127</v>
      </c>
      <c r="F14" s="21">
        <v>117</v>
      </c>
      <c r="G14" s="4">
        <v>10</v>
      </c>
      <c r="H14" s="4" t="s">
        <v>235</v>
      </c>
      <c r="I14" s="5">
        <v>714613</v>
      </c>
      <c r="J14" s="5">
        <v>902324.75</v>
      </c>
      <c r="K14" s="5">
        <v>272000.42499999999</v>
      </c>
      <c r="L14" s="5">
        <v>1174325.175</v>
      </c>
      <c r="M14" s="4"/>
      <c r="N14" s="26" t="s">
        <v>231</v>
      </c>
      <c r="O14" s="28">
        <v>5</v>
      </c>
      <c r="Q14" s="4"/>
      <c r="R14" s="4"/>
      <c r="S14" s="4"/>
      <c r="T14" s="4"/>
      <c r="U14" s="4"/>
      <c r="V14" s="4"/>
      <c r="W14" s="4"/>
      <c r="X14" s="4"/>
    </row>
    <row r="15" spans="1:25" ht="15.75" customHeight="1" x14ac:dyDescent="0.25">
      <c r="A15" s="4">
        <v>173</v>
      </c>
      <c r="B15" s="4" t="s">
        <v>256</v>
      </c>
      <c r="C15" s="16">
        <v>45748</v>
      </c>
      <c r="D15" s="4" t="s">
        <v>238</v>
      </c>
      <c r="E15" s="21">
        <v>132</v>
      </c>
      <c r="F15" s="21">
        <v>120</v>
      </c>
      <c r="G15" s="4">
        <v>12</v>
      </c>
      <c r="H15" s="4" t="s">
        <v>235</v>
      </c>
      <c r="I15" s="5">
        <v>749642</v>
      </c>
      <c r="J15" s="5">
        <v>946985.8</v>
      </c>
      <c r="K15" s="5">
        <v>285398.74</v>
      </c>
      <c r="L15" s="5">
        <v>1232384.54</v>
      </c>
      <c r="M15" s="4"/>
      <c r="N15" s="26" t="s">
        <v>238</v>
      </c>
      <c r="O15" s="28">
        <v>7</v>
      </c>
      <c r="Q15" s="4"/>
      <c r="R15" s="4"/>
      <c r="S15" s="4"/>
      <c r="T15" s="4"/>
      <c r="U15" s="4"/>
      <c r="V15" s="4"/>
      <c r="W15" s="4"/>
      <c r="X15" s="4"/>
    </row>
    <row r="16" spans="1:25" ht="15.75" customHeight="1" x14ac:dyDescent="0.25">
      <c r="A16" s="4">
        <v>174</v>
      </c>
      <c r="B16" s="4" t="s">
        <v>257</v>
      </c>
      <c r="C16" s="16">
        <v>45748</v>
      </c>
      <c r="D16" s="4" t="s">
        <v>234</v>
      </c>
      <c r="E16" s="21">
        <v>121</v>
      </c>
      <c r="F16" s="21">
        <v>112</v>
      </c>
      <c r="G16" s="4">
        <v>9</v>
      </c>
      <c r="H16" s="4" t="s">
        <v>235</v>
      </c>
      <c r="I16" s="5">
        <v>669939</v>
      </c>
      <c r="J16" s="5">
        <v>845728.49</v>
      </c>
      <c r="K16" s="5">
        <v>255021.54699999999</v>
      </c>
      <c r="L16" s="5">
        <v>1100750.037</v>
      </c>
      <c r="M16" s="4"/>
      <c r="N16" s="26" t="s">
        <v>234</v>
      </c>
      <c r="O16" s="28">
        <v>3</v>
      </c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25">
      <c r="A17" s="4">
        <v>184</v>
      </c>
      <c r="B17" s="4" t="s">
        <v>258</v>
      </c>
      <c r="C17" s="16">
        <v>45748</v>
      </c>
      <c r="D17" s="4" t="s">
        <v>231</v>
      </c>
      <c r="E17" s="21">
        <v>88</v>
      </c>
      <c r="F17" s="21"/>
      <c r="G17" s="4">
        <v>0</v>
      </c>
      <c r="H17" s="4" t="s">
        <v>235</v>
      </c>
      <c r="I17" s="5">
        <v>452065</v>
      </c>
      <c r="J17" s="5">
        <v>569356.43000000005</v>
      </c>
      <c r="K17" s="5">
        <v>172109.929</v>
      </c>
      <c r="L17" s="5">
        <v>741466.35900000005</v>
      </c>
      <c r="M17" s="4"/>
      <c r="N17" s="26" t="s">
        <v>237</v>
      </c>
      <c r="O17" s="28">
        <v>2</v>
      </c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25">
      <c r="A18" s="4">
        <v>186</v>
      </c>
      <c r="B18" s="4" t="s">
        <v>259</v>
      </c>
      <c r="C18" s="16">
        <v>45748</v>
      </c>
      <c r="D18" s="4" t="s">
        <v>238</v>
      </c>
      <c r="E18" s="21">
        <v>113</v>
      </c>
      <c r="F18" s="21">
        <v>104</v>
      </c>
      <c r="G18" s="4">
        <v>9</v>
      </c>
      <c r="H18" s="4" t="s">
        <v>235</v>
      </c>
      <c r="I18" s="5">
        <v>632219</v>
      </c>
      <c r="J18" s="5">
        <v>798210.54</v>
      </c>
      <c r="K18" s="5">
        <v>240766.16200000001</v>
      </c>
      <c r="L18" s="5">
        <v>1038976.702</v>
      </c>
      <c r="M18" s="4"/>
      <c r="N18" s="26" t="s">
        <v>236</v>
      </c>
      <c r="O18" s="28">
        <v>3</v>
      </c>
      <c r="Q18" s="4"/>
      <c r="R18" s="4"/>
      <c r="S18" s="4"/>
      <c r="T18" s="4"/>
      <c r="U18" s="4"/>
      <c r="V18" s="4"/>
      <c r="W18" s="4"/>
      <c r="X18" s="4"/>
    </row>
    <row r="19" spans="1:24" ht="12.5" x14ac:dyDescent="0.25">
      <c r="A19" s="4">
        <v>189</v>
      </c>
      <c r="B19" s="4" t="s">
        <v>260</v>
      </c>
      <c r="C19" s="16">
        <v>45748</v>
      </c>
      <c r="D19" s="4" t="s">
        <v>236</v>
      </c>
      <c r="E19" s="21">
        <v>118</v>
      </c>
      <c r="F19" s="21">
        <v>107</v>
      </c>
      <c r="G19" s="4">
        <v>11</v>
      </c>
      <c r="H19" s="4" t="s">
        <v>235</v>
      </c>
      <c r="I19" s="5">
        <v>664213</v>
      </c>
      <c r="J19" s="5">
        <v>838772.66</v>
      </c>
      <c r="K19" s="5">
        <v>252934.79800000001</v>
      </c>
      <c r="L19" s="5">
        <v>1091707.4580000001</v>
      </c>
      <c r="M19" s="4"/>
      <c r="N19" s="26" t="s">
        <v>233</v>
      </c>
      <c r="O19" s="28">
        <v>4</v>
      </c>
      <c r="Q19" s="4"/>
      <c r="R19" s="4"/>
      <c r="S19" s="4"/>
      <c r="T19" s="4"/>
      <c r="U19" s="4"/>
      <c r="V19" s="4"/>
      <c r="W19" s="4"/>
      <c r="X19" s="4"/>
    </row>
    <row r="20" spans="1:24" ht="12.5" x14ac:dyDescent="0.25">
      <c r="A20" s="4">
        <v>190</v>
      </c>
      <c r="B20" s="4" t="s">
        <v>261</v>
      </c>
      <c r="C20" s="16">
        <v>45748</v>
      </c>
      <c r="D20" s="4" t="s">
        <v>239</v>
      </c>
      <c r="E20" s="21">
        <v>129</v>
      </c>
      <c r="F20" s="21">
        <v>119</v>
      </c>
      <c r="G20" s="4">
        <v>10</v>
      </c>
      <c r="H20" s="4" t="s">
        <v>235</v>
      </c>
      <c r="I20" s="5">
        <v>718261</v>
      </c>
      <c r="J20" s="5">
        <v>906926.69</v>
      </c>
      <c r="K20" s="5">
        <v>273381.00699999998</v>
      </c>
      <c r="L20" s="5">
        <v>1180307.6969999999</v>
      </c>
      <c r="M20" s="4"/>
      <c r="N20" s="26" t="s">
        <v>239</v>
      </c>
      <c r="O20" s="28">
        <v>2</v>
      </c>
      <c r="Q20" s="4"/>
      <c r="R20" s="4"/>
      <c r="S20" s="4"/>
      <c r="T20" s="4"/>
      <c r="U20" s="4"/>
      <c r="V20" s="4"/>
      <c r="W20" s="4"/>
      <c r="X20" s="4"/>
    </row>
    <row r="21" spans="1:24" ht="12.5" x14ac:dyDescent="0.25">
      <c r="A21" s="4">
        <v>192</v>
      </c>
      <c r="B21" s="4" t="s">
        <v>262</v>
      </c>
      <c r="C21" s="16">
        <v>45748</v>
      </c>
      <c r="D21" s="4" t="s">
        <v>233</v>
      </c>
      <c r="E21" s="21">
        <v>119</v>
      </c>
      <c r="F21" s="21">
        <v>111</v>
      </c>
      <c r="G21" s="4">
        <v>8</v>
      </c>
      <c r="H21" s="4" t="s">
        <v>235</v>
      </c>
      <c r="I21" s="5">
        <v>681246</v>
      </c>
      <c r="J21" s="5">
        <v>860606.43</v>
      </c>
      <c r="K21" s="5">
        <v>259484.929</v>
      </c>
      <c r="L21" s="5">
        <v>1120091.3589999999</v>
      </c>
      <c r="M21" s="4"/>
      <c r="N21" s="26" t="s">
        <v>282</v>
      </c>
      <c r="O21" s="28">
        <v>26</v>
      </c>
      <c r="Q21" s="4"/>
      <c r="R21" s="4"/>
      <c r="S21" s="4"/>
      <c r="T21" s="4"/>
      <c r="U21" s="4"/>
      <c r="V21" s="4"/>
      <c r="W21" s="4"/>
      <c r="X21" s="4"/>
    </row>
    <row r="22" spans="1:24" ht="12.5" x14ac:dyDescent="0.25">
      <c r="A22" s="4">
        <v>194</v>
      </c>
      <c r="B22" s="4" t="s">
        <v>263</v>
      </c>
      <c r="C22" s="16">
        <v>45748</v>
      </c>
      <c r="D22" s="4" t="s">
        <v>234</v>
      </c>
      <c r="E22" s="21">
        <v>122</v>
      </c>
      <c r="F22" s="21">
        <v>117</v>
      </c>
      <c r="G22" s="4">
        <v>5</v>
      </c>
      <c r="H22" s="4" t="s">
        <v>235</v>
      </c>
      <c r="I22" s="5">
        <v>660181</v>
      </c>
      <c r="J22" s="5">
        <v>832993.42</v>
      </c>
      <c r="K22" s="5">
        <v>251201.02600000001</v>
      </c>
      <c r="L22" s="5">
        <v>1084194.446</v>
      </c>
      <c r="M22" s="4"/>
      <c r="Q22" s="4"/>
      <c r="R22" s="4"/>
      <c r="S22" s="4"/>
      <c r="T22" s="4"/>
      <c r="U22" s="4"/>
      <c r="V22" s="4"/>
      <c r="W22" s="4"/>
      <c r="X22" s="4"/>
    </row>
    <row r="23" spans="1:24" ht="12.5" x14ac:dyDescent="0.25">
      <c r="A23" s="4">
        <v>197</v>
      </c>
      <c r="B23" s="4" t="s">
        <v>264</v>
      </c>
      <c r="C23" s="16">
        <v>45748</v>
      </c>
      <c r="D23" s="4" t="s">
        <v>238</v>
      </c>
      <c r="E23" s="21">
        <v>30</v>
      </c>
      <c r="F23" s="21"/>
      <c r="G23" s="4">
        <v>0</v>
      </c>
      <c r="H23" s="4" t="s">
        <v>235</v>
      </c>
      <c r="I23" s="5">
        <v>631496</v>
      </c>
      <c r="J23" s="5">
        <v>770333.3</v>
      </c>
      <c r="K23" s="5">
        <v>232402.99</v>
      </c>
      <c r="L23" s="5">
        <v>1002736.29</v>
      </c>
      <c r="M23" s="4"/>
      <c r="Q23" s="4"/>
      <c r="R23" s="4"/>
      <c r="S23" s="4"/>
      <c r="T23" s="4"/>
      <c r="U23" s="4"/>
      <c r="V23" s="4"/>
      <c r="W23" s="4"/>
      <c r="X23" s="4"/>
    </row>
    <row r="24" spans="1:24" ht="12.5" x14ac:dyDescent="0.25">
      <c r="A24" s="4">
        <v>202</v>
      </c>
      <c r="B24" s="4" t="s">
        <v>265</v>
      </c>
      <c r="C24" s="16">
        <v>45748</v>
      </c>
      <c r="D24" s="4" t="s">
        <v>238</v>
      </c>
      <c r="E24" s="21">
        <v>45</v>
      </c>
      <c r="F24" s="21"/>
      <c r="G24" s="4">
        <v>0</v>
      </c>
      <c r="H24" s="4" t="s">
        <v>235</v>
      </c>
      <c r="I24" s="5">
        <v>386912</v>
      </c>
      <c r="J24" s="5">
        <v>462356.36</v>
      </c>
      <c r="K24" s="5">
        <v>140009.908</v>
      </c>
      <c r="L24" s="5">
        <v>602366.26799999899</v>
      </c>
      <c r="M24" s="4"/>
      <c r="Q24" s="4"/>
      <c r="R24" s="4"/>
      <c r="S24" s="4"/>
      <c r="T24" s="4"/>
      <c r="U24" s="4"/>
      <c r="V24" s="4"/>
      <c r="W24" s="4"/>
      <c r="X24" s="4"/>
    </row>
    <row r="25" spans="1:24" ht="12.5" x14ac:dyDescent="0.25">
      <c r="A25" s="4">
        <v>205</v>
      </c>
      <c r="B25" s="4" t="s">
        <v>267</v>
      </c>
      <c r="C25" s="16">
        <v>45748</v>
      </c>
      <c r="D25" s="4" t="s">
        <v>239</v>
      </c>
      <c r="E25" s="21">
        <v>128</v>
      </c>
      <c r="F25" s="21">
        <v>119</v>
      </c>
      <c r="G25" s="4">
        <v>9</v>
      </c>
      <c r="H25" s="4" t="s">
        <v>235</v>
      </c>
      <c r="I25" s="5">
        <v>682276</v>
      </c>
      <c r="J25" s="5">
        <v>860638.46</v>
      </c>
      <c r="K25" s="5">
        <v>259494.53799999901</v>
      </c>
      <c r="L25" s="5">
        <v>1120132.9979999999</v>
      </c>
      <c r="M25" s="4"/>
      <c r="Q25" s="4"/>
      <c r="R25" s="4"/>
      <c r="S25" s="4"/>
      <c r="T25" s="4"/>
      <c r="U25" s="4"/>
      <c r="V25" s="4"/>
      <c r="W25" s="4"/>
      <c r="X25" s="4"/>
    </row>
    <row r="26" spans="1:24" ht="12.5" x14ac:dyDescent="0.25">
      <c r="A26" s="4">
        <v>206</v>
      </c>
      <c r="B26" s="4" t="s">
        <v>268</v>
      </c>
      <c r="C26" s="16">
        <v>45748</v>
      </c>
      <c r="D26" s="4" t="s">
        <v>233</v>
      </c>
      <c r="E26" s="21">
        <v>119</v>
      </c>
      <c r="F26" s="21">
        <v>111</v>
      </c>
      <c r="G26" s="4">
        <v>8</v>
      </c>
      <c r="H26" s="4" t="s">
        <v>235</v>
      </c>
      <c r="I26" s="5">
        <v>633222</v>
      </c>
      <c r="J26" s="5">
        <v>798639.95</v>
      </c>
      <c r="K26" s="5">
        <v>240894.98499999999</v>
      </c>
      <c r="L26" s="5">
        <v>1039534.93499999</v>
      </c>
      <c r="M26" s="4"/>
      <c r="Q26" s="4"/>
      <c r="R26" s="4"/>
      <c r="S26" s="4"/>
      <c r="T26" s="4"/>
      <c r="U26" s="4"/>
      <c r="V26" s="4"/>
      <c r="W26" s="4"/>
      <c r="X26" s="4"/>
    </row>
    <row r="27" spans="1:24" ht="12.5" x14ac:dyDescent="0.25">
      <c r="A27" s="4">
        <v>210</v>
      </c>
      <c r="B27" s="4" t="s">
        <v>266</v>
      </c>
      <c r="C27" s="16">
        <v>45748</v>
      </c>
      <c r="D27" s="4" t="s">
        <v>238</v>
      </c>
      <c r="E27" s="21">
        <v>84</v>
      </c>
      <c r="F27" s="21">
        <v>79</v>
      </c>
      <c r="G27" s="4">
        <v>5</v>
      </c>
      <c r="H27" s="4" t="s">
        <v>235</v>
      </c>
      <c r="I27" s="5">
        <v>445820</v>
      </c>
      <c r="J27" s="5">
        <v>561874.75</v>
      </c>
      <c r="K27" s="5">
        <v>169865.42499999999</v>
      </c>
      <c r="L27" s="5">
        <v>731740.17500000005</v>
      </c>
      <c r="M27" s="4"/>
      <c r="Q27" s="4"/>
      <c r="R27" s="4"/>
      <c r="S27" s="4"/>
      <c r="T27" s="4"/>
      <c r="U27" s="4"/>
      <c r="V27" s="4"/>
      <c r="W27" s="4"/>
      <c r="X27" s="4"/>
    </row>
    <row r="28" spans="1:24" ht="12.5" x14ac:dyDescent="0.25">
      <c r="A28" s="4"/>
      <c r="B28" s="4"/>
      <c r="C28" s="4"/>
      <c r="D28" s="4"/>
      <c r="E28" s="21"/>
      <c r="F28" s="21"/>
      <c r="G28" s="4"/>
      <c r="H28" s="4"/>
      <c r="I28" s="4"/>
      <c r="J28" s="4"/>
      <c r="K28" s="4"/>
      <c r="L28" s="4"/>
      <c r="M28" s="4"/>
      <c r="Q28" s="4"/>
      <c r="R28" s="4"/>
      <c r="S28" s="4"/>
      <c r="T28" s="4"/>
      <c r="U28" s="4"/>
      <c r="V28" s="4"/>
      <c r="W28" s="4"/>
      <c r="X28" s="4"/>
    </row>
    <row r="29" spans="1:24" ht="12.5" x14ac:dyDescent="0.25">
      <c r="A29" s="4"/>
      <c r="B29" s="4"/>
      <c r="C29" s="4"/>
      <c r="D29" s="4"/>
      <c r="E29" s="21"/>
      <c r="F29" s="21"/>
      <c r="G29" s="4"/>
      <c r="H29" s="4"/>
      <c r="I29" s="4"/>
      <c r="J29" s="4"/>
      <c r="K29" s="4"/>
      <c r="L29" s="4"/>
      <c r="M29" s="4"/>
      <c r="Q29" s="4"/>
      <c r="R29" s="4"/>
      <c r="S29" s="4"/>
      <c r="T29" s="4"/>
      <c r="U29" s="4"/>
      <c r="V29" s="4"/>
      <c r="W29" s="4"/>
      <c r="X29" s="4"/>
    </row>
    <row r="30" spans="1:24" ht="12.5" x14ac:dyDescent="0.25">
      <c r="A30" s="4"/>
      <c r="B30" s="4"/>
      <c r="C30" s="4"/>
      <c r="D30" s="4"/>
      <c r="E30" s="21"/>
      <c r="F30" s="2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2.5" x14ac:dyDescent="0.25">
      <c r="A31" s="4"/>
      <c r="B31" s="4"/>
      <c r="C31" s="4"/>
      <c r="D31" s="4"/>
      <c r="E31" s="21"/>
      <c r="F31" s="2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2.5" x14ac:dyDescent="0.25">
      <c r="A32" s="4"/>
      <c r="B32" s="4"/>
      <c r="C32" s="4"/>
      <c r="D32" s="4"/>
      <c r="E32" s="21"/>
      <c r="F32" s="2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2.5" x14ac:dyDescent="0.25">
      <c r="A33" s="4"/>
      <c r="B33" s="4"/>
      <c r="C33" s="4"/>
      <c r="D33" s="4"/>
      <c r="E33" s="21"/>
      <c r="F33" s="2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2.5" x14ac:dyDescent="0.25">
      <c r="A34" s="4"/>
      <c r="B34" s="4"/>
      <c r="C34" s="4"/>
      <c r="D34" s="4"/>
      <c r="E34" s="21"/>
      <c r="F34" s="2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2.5" x14ac:dyDescent="0.25">
      <c r="A35" s="4"/>
      <c r="B35" s="4"/>
      <c r="C35" s="4"/>
      <c r="D35" s="4"/>
      <c r="E35" s="21"/>
      <c r="F35" s="2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2.5" x14ac:dyDescent="0.25">
      <c r="A36" s="4"/>
      <c r="B36" s="4"/>
      <c r="C36" s="4"/>
      <c r="D36" s="4"/>
      <c r="E36" s="21"/>
      <c r="F36" s="2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2.5" x14ac:dyDescent="0.25">
      <c r="A37" s="4"/>
      <c r="B37" s="4"/>
      <c r="C37" s="4"/>
      <c r="D37" s="4"/>
      <c r="E37" s="21"/>
      <c r="F37" s="2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2.5" x14ac:dyDescent="0.25">
      <c r="A38" s="4"/>
      <c r="B38" s="4"/>
      <c r="C38" s="4"/>
      <c r="D38" s="4"/>
      <c r="E38" s="21"/>
      <c r="F38" s="2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2.5" x14ac:dyDescent="0.25">
      <c r="A39" s="4"/>
      <c r="B39" s="4"/>
      <c r="C39" s="4"/>
      <c r="D39" s="4"/>
      <c r="E39" s="21"/>
      <c r="F39" s="2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2.5" x14ac:dyDescent="0.25">
      <c r="A40" s="4"/>
      <c r="B40" s="4"/>
      <c r="C40" s="4"/>
      <c r="D40" s="4"/>
      <c r="E40" s="21"/>
      <c r="F40" s="2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2.5" x14ac:dyDescent="0.25">
      <c r="A41" s="4"/>
      <c r="B41" s="4"/>
      <c r="C41" s="4"/>
      <c r="D41" s="4"/>
      <c r="E41" s="21"/>
      <c r="F41" s="2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2.5" x14ac:dyDescent="0.25">
      <c r="A42" s="4"/>
      <c r="B42" s="4"/>
      <c r="C42" s="4"/>
      <c r="D42" s="4"/>
      <c r="E42" s="21"/>
      <c r="F42" s="2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2.5" x14ac:dyDescent="0.25">
      <c r="A43" s="4"/>
      <c r="B43" s="4"/>
      <c r="C43" s="4"/>
      <c r="D43" s="4"/>
      <c r="E43" s="21"/>
      <c r="F43" s="2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2.5" x14ac:dyDescent="0.25">
      <c r="A44" s="4"/>
      <c r="B44" s="4"/>
      <c r="C44" s="4"/>
      <c r="D44" s="4"/>
      <c r="E44" s="21"/>
      <c r="F44" s="2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2.5" x14ac:dyDescent="0.25">
      <c r="A45" s="4"/>
      <c r="B45" s="4"/>
      <c r="C45" s="4"/>
      <c r="D45" s="4"/>
      <c r="E45" s="21"/>
      <c r="F45" s="2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2.5" x14ac:dyDescent="0.25">
      <c r="A46" s="4"/>
      <c r="B46" s="4"/>
      <c r="C46" s="4"/>
      <c r="D46" s="4"/>
      <c r="E46" s="21"/>
      <c r="F46" s="2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2.5" x14ac:dyDescent="0.25">
      <c r="A47" s="4"/>
      <c r="B47" s="4"/>
      <c r="C47" s="4"/>
      <c r="D47" s="4"/>
      <c r="E47" s="21"/>
      <c r="F47" s="2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2.5" x14ac:dyDescent="0.25">
      <c r="A48" s="4"/>
      <c r="B48" s="4"/>
      <c r="C48" s="4"/>
      <c r="D48" s="4"/>
      <c r="E48" s="21"/>
      <c r="F48" s="2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2.5" x14ac:dyDescent="0.25">
      <c r="A49" s="4"/>
      <c r="B49" s="4"/>
      <c r="C49" s="4"/>
      <c r="D49" s="4"/>
      <c r="E49" s="21"/>
      <c r="F49" s="2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2.5" x14ac:dyDescent="0.25">
      <c r="A50" s="4"/>
      <c r="B50" s="4"/>
      <c r="C50" s="4"/>
      <c r="D50" s="4"/>
      <c r="E50" s="21"/>
      <c r="F50" s="2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2.5" x14ac:dyDescent="0.25">
      <c r="A51" s="4"/>
      <c r="B51" s="4"/>
      <c r="C51" s="4"/>
      <c r="D51" s="4"/>
      <c r="E51" s="21"/>
      <c r="F51" s="2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2.5" x14ac:dyDescent="0.25">
      <c r="A52" s="4"/>
      <c r="B52" s="4"/>
      <c r="C52" s="4"/>
      <c r="D52" s="4"/>
      <c r="E52" s="21"/>
      <c r="F52" s="2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2.5" x14ac:dyDescent="0.25">
      <c r="A53" s="4"/>
      <c r="B53" s="4"/>
      <c r="C53" s="4"/>
      <c r="D53" s="4"/>
      <c r="E53" s="21"/>
      <c r="F53" s="2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2.5" x14ac:dyDescent="0.25">
      <c r="A54" s="4"/>
      <c r="B54" s="4"/>
      <c r="C54" s="4"/>
      <c r="D54" s="4"/>
      <c r="E54" s="21"/>
      <c r="F54" s="2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2.5" x14ac:dyDescent="0.25">
      <c r="A55" s="4"/>
      <c r="B55" s="4"/>
      <c r="C55" s="4"/>
      <c r="D55" s="4"/>
      <c r="E55" s="21"/>
      <c r="F55" s="2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2.5" x14ac:dyDescent="0.25">
      <c r="A56" s="4"/>
      <c r="B56" s="4"/>
      <c r="C56" s="4"/>
      <c r="D56" s="4"/>
      <c r="E56" s="21"/>
      <c r="F56" s="2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2.5" x14ac:dyDescent="0.25">
      <c r="A57" s="4"/>
      <c r="B57" s="4"/>
      <c r="C57" s="4"/>
      <c r="D57" s="4"/>
      <c r="E57" s="21"/>
      <c r="F57" s="2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2.5" x14ac:dyDescent="0.25">
      <c r="A58" s="4"/>
      <c r="B58" s="4"/>
      <c r="C58" s="4"/>
      <c r="D58" s="4"/>
      <c r="E58" s="21"/>
      <c r="F58" s="2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2.5" x14ac:dyDescent="0.25">
      <c r="A59" s="4"/>
      <c r="B59" s="4"/>
      <c r="C59" s="4"/>
      <c r="D59" s="4"/>
      <c r="E59" s="21"/>
      <c r="F59" s="2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2.5" x14ac:dyDescent="0.25">
      <c r="A60" s="4"/>
      <c r="B60" s="4"/>
      <c r="C60" s="4"/>
      <c r="D60" s="4"/>
      <c r="E60" s="21"/>
      <c r="F60" s="2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2.5" x14ac:dyDescent="0.25">
      <c r="A61" s="4"/>
      <c r="B61" s="4"/>
      <c r="C61" s="4"/>
      <c r="D61" s="4"/>
      <c r="E61" s="21"/>
      <c r="F61" s="2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2.5" x14ac:dyDescent="0.25">
      <c r="A62" s="4"/>
      <c r="B62" s="4"/>
      <c r="C62" s="4"/>
      <c r="D62" s="4"/>
      <c r="E62" s="21"/>
      <c r="F62" s="2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2.5" x14ac:dyDescent="0.25">
      <c r="A63" s="4"/>
      <c r="B63" s="4"/>
      <c r="C63" s="4"/>
      <c r="D63" s="4"/>
      <c r="E63" s="21"/>
      <c r="F63" s="2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2.5" x14ac:dyDescent="0.25">
      <c r="A64" s="4"/>
      <c r="B64" s="4"/>
      <c r="C64" s="4"/>
      <c r="D64" s="4"/>
      <c r="E64" s="21"/>
      <c r="F64" s="2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2.5" x14ac:dyDescent="0.25">
      <c r="A65" s="4"/>
      <c r="B65" s="4"/>
      <c r="C65" s="4"/>
      <c r="D65" s="4"/>
      <c r="E65" s="21"/>
      <c r="F65" s="2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2.5" x14ac:dyDescent="0.25">
      <c r="A66" s="4"/>
      <c r="B66" s="4"/>
      <c r="C66" s="4"/>
      <c r="D66" s="4"/>
      <c r="E66" s="21"/>
      <c r="F66" s="2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.5" x14ac:dyDescent="0.25">
      <c r="A67" s="4"/>
      <c r="B67" s="4"/>
      <c r="C67" s="4"/>
      <c r="D67" s="4"/>
      <c r="E67" s="21"/>
      <c r="F67" s="2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2.5" x14ac:dyDescent="0.25">
      <c r="A68" s="4"/>
      <c r="B68" s="4"/>
      <c r="C68" s="4"/>
      <c r="D68" s="4"/>
      <c r="E68" s="21"/>
      <c r="F68" s="2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2.5" x14ac:dyDescent="0.25">
      <c r="A69" s="4"/>
      <c r="B69" s="4"/>
      <c r="C69" s="4"/>
      <c r="D69" s="4"/>
      <c r="E69" s="21"/>
      <c r="F69" s="2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2.5" x14ac:dyDescent="0.25">
      <c r="A70" s="4"/>
      <c r="B70" s="4"/>
      <c r="C70" s="4"/>
      <c r="D70" s="4"/>
      <c r="E70" s="21"/>
      <c r="F70" s="2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2.5" x14ac:dyDescent="0.25">
      <c r="A71" s="4"/>
      <c r="B71" s="4"/>
      <c r="C71" s="4"/>
      <c r="D71" s="4"/>
      <c r="E71" s="21"/>
      <c r="F71" s="2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2.5" x14ac:dyDescent="0.25">
      <c r="A72" s="4"/>
      <c r="B72" s="4"/>
      <c r="C72" s="4"/>
      <c r="D72" s="4"/>
      <c r="E72" s="21"/>
      <c r="F72" s="2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2.5" x14ac:dyDescent="0.25">
      <c r="A73" s="4"/>
      <c r="B73" s="4"/>
      <c r="C73" s="4"/>
      <c r="D73" s="4"/>
      <c r="E73" s="21"/>
      <c r="F73" s="2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2.5" x14ac:dyDescent="0.25">
      <c r="A74" s="4"/>
      <c r="B74" s="4"/>
      <c r="C74" s="4"/>
      <c r="D74" s="4"/>
      <c r="E74" s="21"/>
      <c r="F74" s="2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2.5" x14ac:dyDescent="0.25">
      <c r="A75" s="4"/>
      <c r="B75" s="4"/>
      <c r="C75" s="4"/>
      <c r="D75" s="4"/>
      <c r="E75" s="21"/>
      <c r="F75" s="2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2.5" x14ac:dyDescent="0.25">
      <c r="A76" s="4"/>
      <c r="B76" s="4"/>
      <c r="C76" s="4"/>
      <c r="D76" s="4"/>
      <c r="E76" s="21"/>
      <c r="F76" s="2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2.5" x14ac:dyDescent="0.25">
      <c r="A77" s="4"/>
      <c r="B77" s="4"/>
      <c r="C77" s="4"/>
      <c r="D77" s="4"/>
      <c r="E77" s="21"/>
      <c r="F77" s="2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2.5" x14ac:dyDescent="0.25">
      <c r="A78" s="4"/>
      <c r="B78" s="4"/>
      <c r="C78" s="4"/>
      <c r="D78" s="4"/>
      <c r="E78" s="21"/>
      <c r="F78" s="2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2.5" x14ac:dyDescent="0.25">
      <c r="A79" s="4"/>
      <c r="B79" s="4"/>
      <c r="C79" s="4"/>
      <c r="D79" s="4"/>
      <c r="E79" s="21"/>
      <c r="F79" s="2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2.5" x14ac:dyDescent="0.25">
      <c r="A80" s="4"/>
      <c r="B80" s="4"/>
      <c r="C80" s="4"/>
      <c r="D80" s="4"/>
      <c r="E80" s="21"/>
      <c r="F80" s="2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2.5" x14ac:dyDescent="0.25">
      <c r="A81" s="4"/>
      <c r="B81" s="4"/>
      <c r="C81" s="4"/>
      <c r="D81" s="4"/>
      <c r="E81" s="21"/>
      <c r="F81" s="2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2.5" x14ac:dyDescent="0.25">
      <c r="A82" s="4"/>
      <c r="B82" s="4"/>
      <c r="C82" s="4"/>
      <c r="D82" s="4"/>
      <c r="E82" s="21"/>
      <c r="F82" s="2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2.5" x14ac:dyDescent="0.25">
      <c r="A83" s="4"/>
      <c r="B83" s="4"/>
      <c r="C83" s="4"/>
      <c r="D83" s="4"/>
      <c r="E83" s="21"/>
      <c r="F83" s="2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2.5" x14ac:dyDescent="0.25">
      <c r="A84" s="4"/>
      <c r="B84" s="4"/>
      <c r="C84" s="4"/>
      <c r="D84" s="4"/>
      <c r="E84" s="21"/>
      <c r="F84" s="2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2.5" x14ac:dyDescent="0.25">
      <c r="A85" s="4"/>
      <c r="B85" s="4"/>
      <c r="C85" s="4"/>
      <c r="D85" s="4"/>
      <c r="E85" s="21"/>
      <c r="F85" s="2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2.5" x14ac:dyDescent="0.25">
      <c r="A86" s="4"/>
      <c r="B86" s="4"/>
      <c r="C86" s="4"/>
      <c r="D86" s="4"/>
      <c r="E86" s="21"/>
      <c r="F86" s="2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</sheetData>
  <autoFilter ref="A1:L27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0"/>
  <sheetViews>
    <sheetView topLeftCell="B1" workbookViewId="0">
      <selection activeCell="P7" sqref="P7"/>
    </sheetView>
  </sheetViews>
  <sheetFormatPr baseColWidth="10" defaultColWidth="12.6328125" defaultRowHeight="15.75" customHeight="1" x14ac:dyDescent="0.25"/>
  <cols>
    <col min="1" max="2" width="41.6328125" customWidth="1"/>
    <col min="3" max="3" width="14.08984375" style="35" bestFit="1" customWidth="1"/>
    <col min="4" max="4" width="11.08984375" customWidth="1"/>
    <col min="5" max="5" width="23" customWidth="1"/>
    <col min="6" max="6" width="16.36328125" customWidth="1"/>
    <col min="7" max="9" width="12.08984375" customWidth="1"/>
    <col min="10" max="10" width="13.6328125" customWidth="1"/>
    <col min="11" max="11" width="13" customWidth="1"/>
    <col min="14" max="14" width="50" bestFit="1" customWidth="1"/>
    <col min="15" max="15" width="21.81640625" bestFit="1" customWidth="1"/>
    <col min="16" max="16" width="11.7265625" bestFit="1" customWidth="1"/>
    <col min="17" max="17" width="12.7265625" bestFit="1" customWidth="1"/>
  </cols>
  <sheetData>
    <row r="1" spans="1:28" ht="15.75" customHeight="1" x14ac:dyDescent="0.35">
      <c r="A1" s="6" t="s">
        <v>0</v>
      </c>
      <c r="B1" s="6" t="s">
        <v>284</v>
      </c>
      <c r="C1" s="32" t="s">
        <v>287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7"/>
      <c r="M1" s="7"/>
      <c r="N1" s="25" t="s">
        <v>288</v>
      </c>
      <c r="O1" s="25" t="s">
        <v>283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 x14ac:dyDescent="0.35">
      <c r="A2" s="10" t="s">
        <v>149</v>
      </c>
      <c r="B2" s="10" t="s">
        <v>285</v>
      </c>
      <c r="C2" s="27">
        <v>36096.000000000007</v>
      </c>
      <c r="D2" s="9" t="s">
        <v>269</v>
      </c>
      <c r="E2" s="8" t="s">
        <v>9</v>
      </c>
      <c r="F2" s="10"/>
      <c r="G2" s="24">
        <f>J2/1.21</f>
        <v>36096.000000000007</v>
      </c>
      <c r="H2" s="11"/>
      <c r="I2" s="10"/>
      <c r="J2" s="12" t="s">
        <v>10</v>
      </c>
      <c r="K2" s="13">
        <v>45722</v>
      </c>
      <c r="L2" s="23" t="s">
        <v>279</v>
      </c>
      <c r="M2" s="7"/>
      <c r="N2" s="25" t="s">
        <v>281</v>
      </c>
      <c r="O2" t="s">
        <v>286</v>
      </c>
      <c r="P2" t="s">
        <v>285</v>
      </c>
      <c r="Q2" t="s">
        <v>282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 x14ac:dyDescent="0.35">
      <c r="A3" s="8" t="s">
        <v>11</v>
      </c>
      <c r="B3" s="10" t="s">
        <v>285</v>
      </c>
      <c r="C3" s="33">
        <v>405356.99</v>
      </c>
      <c r="D3" s="14" t="s">
        <v>12</v>
      </c>
      <c r="E3" s="8" t="s">
        <v>13</v>
      </c>
      <c r="F3" s="8" t="s">
        <v>14</v>
      </c>
      <c r="G3" s="10"/>
      <c r="H3" s="10"/>
      <c r="I3" s="10"/>
      <c r="J3" s="12" t="s">
        <v>15</v>
      </c>
      <c r="K3" s="13">
        <v>45734</v>
      </c>
      <c r="L3" s="7"/>
      <c r="M3" s="7"/>
      <c r="N3" s="26" t="s">
        <v>11</v>
      </c>
      <c r="O3" s="30">
        <v>3310656.58</v>
      </c>
      <c r="P3" s="30">
        <v>1730685.67</v>
      </c>
      <c r="Q3" s="30">
        <v>5041342.25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 x14ac:dyDescent="0.35">
      <c r="A4" s="8" t="s">
        <v>11</v>
      </c>
      <c r="B4" s="10" t="s">
        <v>285</v>
      </c>
      <c r="C4" s="33">
        <v>388901.91</v>
      </c>
      <c r="D4" s="14" t="s">
        <v>16</v>
      </c>
      <c r="E4" s="8" t="s">
        <v>13</v>
      </c>
      <c r="F4" s="8" t="s">
        <v>14</v>
      </c>
      <c r="G4" s="12" t="s">
        <v>17</v>
      </c>
      <c r="H4" s="12" t="s">
        <v>18</v>
      </c>
      <c r="I4" s="12" t="s">
        <v>19</v>
      </c>
      <c r="J4" s="12" t="s">
        <v>20</v>
      </c>
      <c r="K4" s="13">
        <v>45734</v>
      </c>
      <c r="L4" s="7"/>
      <c r="M4" s="7"/>
      <c r="N4" s="26" t="s">
        <v>60</v>
      </c>
      <c r="O4" s="30">
        <v>828230</v>
      </c>
      <c r="P4" s="30">
        <v>280058.76</v>
      </c>
      <c r="Q4" s="30">
        <v>1108288.76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customHeight="1" x14ac:dyDescent="0.35">
      <c r="A5" s="8" t="s">
        <v>11</v>
      </c>
      <c r="B5" s="10" t="s">
        <v>285</v>
      </c>
      <c r="C5" s="33">
        <v>136805.32999999999</v>
      </c>
      <c r="D5" s="14" t="s">
        <v>21</v>
      </c>
      <c r="E5" s="8" t="s">
        <v>22</v>
      </c>
      <c r="F5" s="8" t="s">
        <v>23</v>
      </c>
      <c r="G5" s="12" t="s">
        <v>24</v>
      </c>
      <c r="H5" s="12" t="s">
        <v>25</v>
      </c>
      <c r="I5" s="12" t="s">
        <v>26</v>
      </c>
      <c r="J5" s="12" t="s">
        <v>27</v>
      </c>
      <c r="K5" s="13">
        <v>45727</v>
      </c>
      <c r="L5" s="7"/>
      <c r="M5" s="7"/>
      <c r="N5" s="26" t="s">
        <v>83</v>
      </c>
      <c r="O5" s="30">
        <v>540862</v>
      </c>
      <c r="P5" s="30">
        <v>2000443</v>
      </c>
      <c r="Q5" s="30">
        <v>2541305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5.75" customHeight="1" x14ac:dyDescent="0.35">
      <c r="A6" s="8" t="s">
        <v>11</v>
      </c>
      <c r="B6" s="10" t="s">
        <v>285</v>
      </c>
      <c r="C6" s="33">
        <v>11872.79</v>
      </c>
      <c r="D6" s="14" t="s">
        <v>21</v>
      </c>
      <c r="E6" s="8" t="s">
        <v>22</v>
      </c>
      <c r="F6" s="8" t="s">
        <v>28</v>
      </c>
      <c r="G6" s="12" t="s">
        <v>29</v>
      </c>
      <c r="H6" s="12" t="s">
        <v>30</v>
      </c>
      <c r="I6" s="12" t="s">
        <v>31</v>
      </c>
      <c r="J6" s="12" t="s">
        <v>32</v>
      </c>
      <c r="K6" s="13">
        <v>45727</v>
      </c>
      <c r="L6" s="7"/>
      <c r="M6" s="7"/>
      <c r="N6" s="26" t="s">
        <v>114</v>
      </c>
      <c r="O6" s="30">
        <v>3634940.87</v>
      </c>
      <c r="P6" s="30">
        <v>231848.83</v>
      </c>
      <c r="Q6" s="30">
        <v>3866789.7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customHeight="1" x14ac:dyDescent="0.35">
      <c r="A7" s="8" t="s">
        <v>11</v>
      </c>
      <c r="B7" s="10" t="s">
        <v>285</v>
      </c>
      <c r="C7" s="33">
        <v>443794.65</v>
      </c>
      <c r="D7" s="14" t="s">
        <v>21</v>
      </c>
      <c r="E7" s="8" t="s">
        <v>22</v>
      </c>
      <c r="F7" s="8" t="s">
        <v>33</v>
      </c>
      <c r="G7" s="12" t="s">
        <v>34</v>
      </c>
      <c r="H7" s="12" t="s">
        <v>35</v>
      </c>
      <c r="I7" s="12" t="s">
        <v>36</v>
      </c>
      <c r="J7" s="12" t="s">
        <v>37</v>
      </c>
      <c r="K7" s="13">
        <v>45733</v>
      </c>
      <c r="L7" s="7"/>
      <c r="M7" s="7"/>
      <c r="N7" s="26" t="s">
        <v>137</v>
      </c>
      <c r="O7" s="30">
        <v>2375921.92</v>
      </c>
      <c r="P7" s="30">
        <v>215696.71</v>
      </c>
      <c r="Q7" s="30">
        <v>2591618.63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customHeight="1" x14ac:dyDescent="0.35">
      <c r="A8" s="8" t="s">
        <v>11</v>
      </c>
      <c r="B8" s="10" t="s">
        <v>286</v>
      </c>
      <c r="C8" s="27">
        <v>386280.5</v>
      </c>
      <c r="D8" s="14" t="s">
        <v>38</v>
      </c>
      <c r="E8" s="8" t="s">
        <v>13</v>
      </c>
      <c r="F8" s="8" t="s">
        <v>14</v>
      </c>
      <c r="G8" s="10"/>
      <c r="H8" s="10"/>
      <c r="I8" s="10"/>
      <c r="J8" s="12" t="s">
        <v>39</v>
      </c>
      <c r="K8" s="13">
        <v>45734</v>
      </c>
      <c r="L8" s="7"/>
      <c r="M8" s="7"/>
      <c r="N8" s="26" t="s">
        <v>149</v>
      </c>
      <c r="O8" s="30">
        <v>2672967.96</v>
      </c>
      <c r="P8" s="30">
        <v>128425.78</v>
      </c>
      <c r="Q8" s="30">
        <v>2801393.7399999998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 x14ac:dyDescent="0.35">
      <c r="A9" s="8" t="s">
        <v>11</v>
      </c>
      <c r="B9" s="10" t="s">
        <v>285</v>
      </c>
      <c r="C9" s="33">
        <v>29756</v>
      </c>
      <c r="D9" s="14" t="s">
        <v>40</v>
      </c>
      <c r="E9" s="8" t="s">
        <v>41</v>
      </c>
      <c r="F9" s="8" t="s">
        <v>42</v>
      </c>
      <c r="G9" s="12" t="s">
        <v>43</v>
      </c>
      <c r="H9" s="12" t="s">
        <v>44</v>
      </c>
      <c r="I9" s="10"/>
      <c r="J9" s="12" t="s">
        <v>45</v>
      </c>
      <c r="K9" s="13">
        <v>45737</v>
      </c>
      <c r="L9" s="7"/>
      <c r="M9" s="7"/>
      <c r="N9" s="26" t="s">
        <v>160</v>
      </c>
      <c r="O9" s="30">
        <v>1164596.76</v>
      </c>
      <c r="P9" s="30">
        <v>119133.85</v>
      </c>
      <c r="Q9" s="30">
        <v>1283730.6100000001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.75" customHeight="1" x14ac:dyDescent="0.35">
      <c r="A10" s="8" t="s">
        <v>11</v>
      </c>
      <c r="B10" s="10" t="s">
        <v>285</v>
      </c>
      <c r="C10" s="33">
        <v>115950</v>
      </c>
      <c r="D10" s="14" t="s">
        <v>46</v>
      </c>
      <c r="E10" s="8" t="s">
        <v>47</v>
      </c>
      <c r="F10" s="8" t="s">
        <v>48</v>
      </c>
      <c r="G10" s="12" t="s">
        <v>49</v>
      </c>
      <c r="H10" s="12" t="s">
        <v>50</v>
      </c>
      <c r="I10" s="12" t="s">
        <v>51</v>
      </c>
      <c r="J10" s="12" t="s">
        <v>52</v>
      </c>
      <c r="K10" s="13">
        <v>45722</v>
      </c>
      <c r="L10" s="7"/>
      <c r="M10" s="7"/>
      <c r="N10" s="26" t="s">
        <v>282</v>
      </c>
      <c r="O10" s="30">
        <v>14528176.090000002</v>
      </c>
      <c r="P10" s="30">
        <v>4706292.5999999996</v>
      </c>
      <c r="Q10" s="30">
        <v>19234468.689999998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customHeight="1" x14ac:dyDescent="0.35">
      <c r="A11" s="8" t="s">
        <v>11</v>
      </c>
      <c r="B11" s="10" t="s">
        <v>286</v>
      </c>
      <c r="C11" s="27">
        <v>2924376.08</v>
      </c>
      <c r="D11" s="14" t="s">
        <v>53</v>
      </c>
      <c r="E11" s="8" t="s">
        <v>13</v>
      </c>
      <c r="F11" s="8" t="s">
        <v>54</v>
      </c>
      <c r="G11" s="12" t="s">
        <v>55</v>
      </c>
      <c r="H11" s="12" t="s">
        <v>56</v>
      </c>
      <c r="I11" s="10"/>
      <c r="J11" s="12" t="s">
        <v>57</v>
      </c>
      <c r="K11" s="13">
        <v>45754</v>
      </c>
      <c r="L11" s="7"/>
      <c r="M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customHeight="1" x14ac:dyDescent="0.35">
      <c r="A12" s="8" t="s">
        <v>11</v>
      </c>
      <c r="B12" s="10" t="s">
        <v>285</v>
      </c>
      <c r="C12" s="33">
        <v>162152</v>
      </c>
      <c r="D12" s="9" t="s">
        <v>169</v>
      </c>
      <c r="E12" s="8" t="s">
        <v>58</v>
      </c>
      <c r="F12" s="10"/>
      <c r="G12" s="11"/>
      <c r="H12" s="11"/>
      <c r="I12" s="10"/>
      <c r="J12" s="12" t="s">
        <v>59</v>
      </c>
      <c r="K12" s="13">
        <v>45737</v>
      </c>
      <c r="L12" s="23" t="s">
        <v>280</v>
      </c>
      <c r="M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customHeight="1" x14ac:dyDescent="0.35">
      <c r="A13" s="8" t="s">
        <v>11</v>
      </c>
      <c r="B13" s="10" t="s">
        <v>285</v>
      </c>
      <c r="C13" s="33">
        <v>36096.000000000007</v>
      </c>
      <c r="D13" s="14" t="s">
        <v>269</v>
      </c>
      <c r="E13" s="8" t="s">
        <v>9</v>
      </c>
      <c r="F13" s="10"/>
      <c r="G13" s="24">
        <f>J13/1.21</f>
        <v>36096.000000000007</v>
      </c>
      <c r="H13" s="11"/>
      <c r="I13" s="10"/>
      <c r="J13" s="12" t="s">
        <v>10</v>
      </c>
      <c r="K13" s="13">
        <v>45722</v>
      </c>
      <c r="L13" s="7"/>
      <c r="M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customHeight="1" x14ac:dyDescent="0.35">
      <c r="A14" s="8" t="s">
        <v>60</v>
      </c>
      <c r="B14" s="10" t="s">
        <v>285</v>
      </c>
      <c r="C14" s="27">
        <v>105781.06</v>
      </c>
      <c r="D14" s="14" t="s">
        <v>21</v>
      </c>
      <c r="E14" s="8" t="s">
        <v>22</v>
      </c>
      <c r="F14" s="8" t="s">
        <v>61</v>
      </c>
      <c r="G14" s="12" t="s">
        <v>62</v>
      </c>
      <c r="H14" s="12" t="s">
        <v>63</v>
      </c>
      <c r="I14" s="12" t="s">
        <v>64</v>
      </c>
      <c r="J14" s="12" t="s">
        <v>65</v>
      </c>
      <c r="K14" s="13">
        <v>45727</v>
      </c>
      <c r="L14" s="7"/>
      <c r="M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 x14ac:dyDescent="0.35">
      <c r="A15" s="8" t="s">
        <v>60</v>
      </c>
      <c r="B15" s="10" t="s">
        <v>285</v>
      </c>
      <c r="C15" s="27">
        <v>32735.7</v>
      </c>
      <c r="D15" s="14" t="s">
        <v>21</v>
      </c>
      <c r="E15" s="8" t="s">
        <v>22</v>
      </c>
      <c r="F15" s="8" t="s">
        <v>66</v>
      </c>
      <c r="G15" s="12" t="s">
        <v>67</v>
      </c>
      <c r="H15" s="12" t="s">
        <v>68</v>
      </c>
      <c r="I15" s="12" t="s">
        <v>69</v>
      </c>
      <c r="J15" s="12" t="s">
        <v>70</v>
      </c>
      <c r="K15" s="13">
        <v>45727</v>
      </c>
      <c r="L15" s="7"/>
      <c r="M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35">
      <c r="A16" s="8" t="s">
        <v>60</v>
      </c>
      <c r="B16" s="10" t="s">
        <v>286</v>
      </c>
      <c r="C16" s="27">
        <v>217830</v>
      </c>
      <c r="D16" s="14" t="s">
        <v>38</v>
      </c>
      <c r="E16" s="8" t="s">
        <v>71</v>
      </c>
      <c r="F16" s="10"/>
      <c r="G16" s="12"/>
      <c r="H16" s="10"/>
      <c r="I16" s="10"/>
      <c r="J16" s="12" t="s">
        <v>72</v>
      </c>
      <c r="K16" s="13">
        <v>45730</v>
      </c>
      <c r="L16" s="7"/>
      <c r="M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 x14ac:dyDescent="0.35">
      <c r="A17" s="8" t="s">
        <v>60</v>
      </c>
      <c r="B17" s="10" t="s">
        <v>285</v>
      </c>
      <c r="C17" s="27">
        <v>23896</v>
      </c>
      <c r="D17" s="14" t="s">
        <v>40</v>
      </c>
      <c r="E17" s="8" t="s">
        <v>41</v>
      </c>
      <c r="F17" s="8" t="s">
        <v>42</v>
      </c>
      <c r="G17" s="12" t="s">
        <v>73</v>
      </c>
      <c r="H17" s="12" t="s">
        <v>74</v>
      </c>
      <c r="I17" s="10"/>
      <c r="J17" s="12" t="s">
        <v>75</v>
      </c>
      <c r="K17" s="13">
        <v>45737</v>
      </c>
      <c r="L17" s="7"/>
      <c r="M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 x14ac:dyDescent="0.35">
      <c r="A18" s="8" t="s">
        <v>60</v>
      </c>
      <c r="B18" s="10" t="s">
        <v>285</v>
      </c>
      <c r="C18" s="27">
        <v>81550</v>
      </c>
      <c r="D18" s="14" t="s">
        <v>46</v>
      </c>
      <c r="E18" s="8" t="s">
        <v>47</v>
      </c>
      <c r="F18" s="8" t="s">
        <v>76</v>
      </c>
      <c r="G18" s="12" t="s">
        <v>77</v>
      </c>
      <c r="H18" s="12" t="s">
        <v>78</v>
      </c>
      <c r="I18" s="12" t="s">
        <v>79</v>
      </c>
      <c r="J18" s="12" t="s">
        <v>80</v>
      </c>
      <c r="K18" s="13">
        <v>45722</v>
      </c>
      <c r="L18" s="7"/>
      <c r="M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 x14ac:dyDescent="0.35">
      <c r="A19" s="8" t="s">
        <v>60</v>
      </c>
      <c r="B19" s="10" t="s">
        <v>286</v>
      </c>
      <c r="C19" s="27">
        <v>610400</v>
      </c>
      <c r="D19" s="14" t="s">
        <v>53</v>
      </c>
      <c r="E19" s="8" t="s">
        <v>81</v>
      </c>
      <c r="F19" s="10"/>
      <c r="G19" s="10">
        <v>610400</v>
      </c>
      <c r="H19" s="12">
        <v>128124</v>
      </c>
      <c r="I19" s="10"/>
      <c r="J19" s="12" t="s">
        <v>82</v>
      </c>
      <c r="K19" s="13">
        <v>45763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 x14ac:dyDescent="0.35">
      <c r="A20" s="8" t="s">
        <v>60</v>
      </c>
      <c r="B20" s="10" t="s">
        <v>285</v>
      </c>
      <c r="C20" s="27">
        <v>36096.000000000007</v>
      </c>
      <c r="D20" s="14" t="s">
        <v>269</v>
      </c>
      <c r="E20" s="8" t="s">
        <v>9</v>
      </c>
      <c r="F20" s="10"/>
      <c r="G20" s="24">
        <f>J20/1.21</f>
        <v>36096.000000000007</v>
      </c>
      <c r="H20" s="11"/>
      <c r="I20" s="10"/>
      <c r="J20" s="12" t="s">
        <v>10</v>
      </c>
      <c r="K20" s="13">
        <v>45722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 x14ac:dyDescent="0.35">
      <c r="A21" s="8" t="s">
        <v>83</v>
      </c>
      <c r="B21" s="10" t="s">
        <v>285</v>
      </c>
      <c r="C21" s="27">
        <v>23896</v>
      </c>
      <c r="D21" s="14" t="s">
        <v>40</v>
      </c>
      <c r="E21" s="8" t="s">
        <v>41</v>
      </c>
      <c r="F21" s="8" t="s">
        <v>42</v>
      </c>
      <c r="G21" s="12" t="s">
        <v>73</v>
      </c>
      <c r="H21" s="12" t="s">
        <v>74</v>
      </c>
      <c r="I21" s="10"/>
      <c r="J21" s="12" t="s">
        <v>75</v>
      </c>
      <c r="K21" s="13">
        <v>45737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4.5" x14ac:dyDescent="0.35">
      <c r="A22" s="8" t="s">
        <v>83</v>
      </c>
      <c r="B22" s="10" t="s">
        <v>285</v>
      </c>
      <c r="C22" s="27">
        <v>30600</v>
      </c>
      <c r="D22" s="14" t="s">
        <v>46</v>
      </c>
      <c r="E22" s="8" t="s">
        <v>47</v>
      </c>
      <c r="F22" s="8" t="s">
        <v>84</v>
      </c>
      <c r="G22" s="12" t="s">
        <v>85</v>
      </c>
      <c r="H22" s="12" t="s">
        <v>86</v>
      </c>
      <c r="I22" s="10"/>
      <c r="J22" s="12" t="s">
        <v>87</v>
      </c>
      <c r="K22" s="13">
        <v>45722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4.5" x14ac:dyDescent="0.35">
      <c r="A23" s="8" t="s">
        <v>83</v>
      </c>
      <c r="B23" s="10" t="s">
        <v>286</v>
      </c>
      <c r="C23" s="27">
        <v>540862</v>
      </c>
      <c r="D23" s="14" t="s">
        <v>53</v>
      </c>
      <c r="E23" s="8" t="s">
        <v>88</v>
      </c>
      <c r="F23" s="8" t="s">
        <v>89</v>
      </c>
      <c r="G23" s="12" t="s">
        <v>90</v>
      </c>
      <c r="H23" s="12" t="s">
        <v>91</v>
      </c>
      <c r="I23" s="12" t="s">
        <v>92</v>
      </c>
      <c r="J23" s="12" t="s">
        <v>93</v>
      </c>
      <c r="K23" s="13">
        <v>45761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4.5" x14ac:dyDescent="0.35">
      <c r="A24" s="8" t="s">
        <v>83</v>
      </c>
      <c r="B24" s="10" t="s">
        <v>285</v>
      </c>
      <c r="C24" s="27">
        <v>725872</v>
      </c>
      <c r="D24" s="9" t="s">
        <v>169</v>
      </c>
      <c r="E24" s="8" t="s">
        <v>58</v>
      </c>
      <c r="F24" s="10"/>
      <c r="G24" s="11"/>
      <c r="H24" s="11"/>
      <c r="I24" s="10"/>
      <c r="J24" s="12" t="s">
        <v>94</v>
      </c>
      <c r="K24" s="13">
        <v>45737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4.5" x14ac:dyDescent="0.35">
      <c r="A25" s="8" t="s">
        <v>83</v>
      </c>
      <c r="B25" s="10" t="s">
        <v>285</v>
      </c>
      <c r="C25" s="27">
        <v>1220075</v>
      </c>
      <c r="D25" s="9" t="s">
        <v>169</v>
      </c>
      <c r="E25" s="8" t="s">
        <v>58</v>
      </c>
      <c r="F25" s="10"/>
      <c r="G25" s="11"/>
      <c r="H25" s="11"/>
      <c r="I25" s="10"/>
      <c r="J25" s="12" t="s">
        <v>95</v>
      </c>
      <c r="K25" s="13">
        <v>45737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4.5" x14ac:dyDescent="0.35">
      <c r="A26" s="8" t="s">
        <v>96</v>
      </c>
      <c r="B26" s="10" t="s">
        <v>285</v>
      </c>
      <c r="C26" s="27">
        <v>134929.12</v>
      </c>
      <c r="D26" s="14" t="s">
        <v>21</v>
      </c>
      <c r="E26" s="8" t="s">
        <v>22</v>
      </c>
      <c r="F26" s="8" t="s">
        <v>97</v>
      </c>
      <c r="G26" s="12" t="s">
        <v>98</v>
      </c>
      <c r="H26" s="12" t="s">
        <v>99</v>
      </c>
      <c r="I26" s="12" t="s">
        <v>100</v>
      </c>
      <c r="J26" s="12" t="s">
        <v>101</v>
      </c>
      <c r="K26" s="13">
        <v>45730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4.5" x14ac:dyDescent="0.35">
      <c r="A27" s="8" t="s">
        <v>96</v>
      </c>
      <c r="B27" s="10" t="s">
        <v>285</v>
      </c>
      <c r="C27" s="27">
        <v>23896</v>
      </c>
      <c r="D27" s="14" t="s">
        <v>40</v>
      </c>
      <c r="E27" s="8" t="s">
        <v>41</v>
      </c>
      <c r="F27" s="8" t="s">
        <v>42</v>
      </c>
      <c r="G27" s="12" t="s">
        <v>73</v>
      </c>
      <c r="H27" s="12" t="s">
        <v>74</v>
      </c>
      <c r="I27" s="10"/>
      <c r="J27" s="12" t="s">
        <v>75</v>
      </c>
      <c r="K27" s="13">
        <v>45737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4.5" x14ac:dyDescent="0.35">
      <c r="A28" s="8" t="s">
        <v>96</v>
      </c>
      <c r="B28" s="10" t="s">
        <v>285</v>
      </c>
      <c r="C28" s="27">
        <v>80802.399999999994</v>
      </c>
      <c r="D28" s="14" t="s">
        <v>46</v>
      </c>
      <c r="E28" s="8" t="s">
        <v>102</v>
      </c>
      <c r="F28" s="8" t="s">
        <v>103</v>
      </c>
      <c r="G28" s="12" t="s">
        <v>104</v>
      </c>
      <c r="H28" s="12" t="s">
        <v>105</v>
      </c>
      <c r="I28" s="12" t="s">
        <v>106</v>
      </c>
      <c r="J28" s="12" t="s">
        <v>107</v>
      </c>
      <c r="K28" s="13">
        <v>45741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4.5" x14ac:dyDescent="0.35">
      <c r="A29" s="8" t="s">
        <v>96</v>
      </c>
      <c r="B29" s="10" t="s">
        <v>285</v>
      </c>
      <c r="C29" s="27">
        <v>133584.79</v>
      </c>
      <c r="D29" s="14" t="s">
        <v>108</v>
      </c>
      <c r="E29" s="8" t="s">
        <v>109</v>
      </c>
      <c r="F29" s="10"/>
      <c r="G29" s="11"/>
      <c r="H29" s="11"/>
      <c r="I29" s="10"/>
      <c r="J29" s="12" t="s">
        <v>110</v>
      </c>
      <c r="K29" s="13">
        <v>45728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4.5" x14ac:dyDescent="0.35">
      <c r="A30" s="8" t="s">
        <v>96</v>
      </c>
      <c r="B30" s="10" t="s">
        <v>285</v>
      </c>
      <c r="C30" s="27">
        <v>180000</v>
      </c>
      <c r="D30" s="14" t="s">
        <v>108</v>
      </c>
      <c r="E30" s="8" t="s">
        <v>111</v>
      </c>
      <c r="F30" s="10"/>
      <c r="G30" s="11"/>
      <c r="H30" s="11"/>
      <c r="I30" s="10"/>
      <c r="J30" s="12" t="s">
        <v>112</v>
      </c>
      <c r="K30" s="13">
        <v>45744</v>
      </c>
      <c r="L30" s="23" t="s">
        <v>280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4.5" x14ac:dyDescent="0.35">
      <c r="A31" s="8" t="s">
        <v>96</v>
      </c>
      <c r="B31" s="10" t="s">
        <v>285</v>
      </c>
      <c r="C31" s="27">
        <v>332100</v>
      </c>
      <c r="D31" s="9" t="s">
        <v>169</v>
      </c>
      <c r="E31" s="8" t="s">
        <v>58</v>
      </c>
      <c r="F31" s="10"/>
      <c r="G31" s="11"/>
      <c r="H31" s="11"/>
      <c r="I31" s="10"/>
      <c r="J31" s="12" t="s">
        <v>113</v>
      </c>
      <c r="K31" s="13">
        <v>45737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4.5" x14ac:dyDescent="0.35">
      <c r="A32" s="8" t="s">
        <v>114</v>
      </c>
      <c r="B32" s="10" t="s">
        <v>285</v>
      </c>
      <c r="C32" s="27">
        <v>82273.039999999994</v>
      </c>
      <c r="D32" s="14" t="s">
        <v>21</v>
      </c>
      <c r="E32" s="8" t="s">
        <v>22</v>
      </c>
      <c r="F32" s="8" t="s">
        <v>115</v>
      </c>
      <c r="G32" s="12" t="s">
        <v>116</v>
      </c>
      <c r="H32" s="12" t="s">
        <v>117</v>
      </c>
      <c r="I32" s="12" t="s">
        <v>118</v>
      </c>
      <c r="J32" s="12" t="s">
        <v>119</v>
      </c>
      <c r="K32" s="13">
        <v>45727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4.5" x14ac:dyDescent="0.35">
      <c r="A33" s="8" t="s">
        <v>114</v>
      </c>
      <c r="B33" s="10" t="s">
        <v>286</v>
      </c>
      <c r="C33" s="27">
        <v>1858800.59</v>
      </c>
      <c r="D33" s="14" t="s">
        <v>38</v>
      </c>
      <c r="E33" s="8" t="s">
        <v>120</v>
      </c>
      <c r="F33" s="8" t="s">
        <v>121</v>
      </c>
      <c r="G33" s="12" t="s">
        <v>122</v>
      </c>
      <c r="H33" s="12" t="s">
        <v>123</v>
      </c>
      <c r="I33" s="12" t="s">
        <v>124</v>
      </c>
      <c r="J33" s="12" t="s">
        <v>125</v>
      </c>
      <c r="K33" s="13">
        <v>45734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4.5" x14ac:dyDescent="0.35">
      <c r="A34" s="8" t="s">
        <v>114</v>
      </c>
      <c r="B34" s="10" t="s">
        <v>285</v>
      </c>
      <c r="C34" s="27">
        <v>23896</v>
      </c>
      <c r="D34" s="14" t="s">
        <v>40</v>
      </c>
      <c r="E34" s="8" t="s">
        <v>41</v>
      </c>
      <c r="F34" s="8" t="s">
        <v>42</v>
      </c>
      <c r="G34" s="12" t="s">
        <v>73</v>
      </c>
      <c r="H34" s="12" t="s">
        <v>74</v>
      </c>
      <c r="I34" s="10"/>
      <c r="J34" s="12" t="s">
        <v>75</v>
      </c>
      <c r="K34" s="13">
        <v>45737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4.5" x14ac:dyDescent="0.35">
      <c r="A35" s="8" t="s">
        <v>114</v>
      </c>
      <c r="B35" s="10" t="s">
        <v>285</v>
      </c>
      <c r="C35" s="27">
        <v>48305.79</v>
      </c>
      <c r="D35" s="14" t="s">
        <v>46</v>
      </c>
      <c r="E35" s="8" t="s">
        <v>47</v>
      </c>
      <c r="F35" s="8" t="s">
        <v>126</v>
      </c>
      <c r="G35" s="12" t="s">
        <v>127</v>
      </c>
      <c r="H35" s="12" t="s">
        <v>128</v>
      </c>
      <c r="I35" s="12" t="s">
        <v>129</v>
      </c>
      <c r="J35" s="12" t="s">
        <v>130</v>
      </c>
      <c r="K35" s="13">
        <v>45723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4.5" x14ac:dyDescent="0.35">
      <c r="A36" s="8" t="s">
        <v>114</v>
      </c>
      <c r="B36" s="10" t="s">
        <v>286</v>
      </c>
      <c r="C36" s="27">
        <v>1776140.28</v>
      </c>
      <c r="D36" s="14" t="s">
        <v>53</v>
      </c>
      <c r="E36" s="8" t="s">
        <v>120</v>
      </c>
      <c r="F36" s="8" t="s">
        <v>131</v>
      </c>
      <c r="G36" s="12" t="s">
        <v>132</v>
      </c>
      <c r="H36" s="12" t="s">
        <v>133</v>
      </c>
      <c r="I36" s="12" t="s">
        <v>134</v>
      </c>
      <c r="J36" s="12" t="s">
        <v>135</v>
      </c>
      <c r="K36" s="13">
        <v>45758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4.5" x14ac:dyDescent="0.35">
      <c r="A37" s="8" t="s">
        <v>114</v>
      </c>
      <c r="B37" s="10" t="s">
        <v>285</v>
      </c>
      <c r="C37" s="27">
        <v>36096.000000000007</v>
      </c>
      <c r="D37" s="14" t="s">
        <v>269</v>
      </c>
      <c r="E37" s="8" t="s">
        <v>9</v>
      </c>
      <c r="F37" s="10"/>
      <c r="G37" s="24">
        <f>J37/1.21</f>
        <v>36096.000000000007</v>
      </c>
      <c r="H37" s="11"/>
      <c r="I37" s="10"/>
      <c r="J37" s="12" t="s">
        <v>10</v>
      </c>
      <c r="K37" s="13">
        <v>45722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4.5" x14ac:dyDescent="0.35">
      <c r="A38" s="8" t="s">
        <v>114</v>
      </c>
      <c r="B38" s="10" t="s">
        <v>285</v>
      </c>
      <c r="C38" s="27">
        <v>41278</v>
      </c>
      <c r="D38" s="14" t="s">
        <v>269</v>
      </c>
      <c r="E38" s="8" t="s">
        <v>9</v>
      </c>
      <c r="F38" s="10"/>
      <c r="G38" s="24">
        <f>J38/1.21</f>
        <v>41278</v>
      </c>
      <c r="H38" s="11"/>
      <c r="I38" s="10"/>
      <c r="J38" s="12" t="s">
        <v>136</v>
      </c>
      <c r="K38" s="13">
        <v>45722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4.5" x14ac:dyDescent="0.35">
      <c r="A39" s="8" t="s">
        <v>137</v>
      </c>
      <c r="B39" s="10" t="s">
        <v>285</v>
      </c>
      <c r="C39" s="27">
        <v>110998.31</v>
      </c>
      <c r="D39" s="14" t="s">
        <v>21</v>
      </c>
      <c r="E39" s="8" t="s">
        <v>22</v>
      </c>
      <c r="F39" s="8" t="s">
        <v>138</v>
      </c>
      <c r="G39" s="12" t="s">
        <v>139</v>
      </c>
      <c r="H39" s="12" t="s">
        <v>140</v>
      </c>
      <c r="I39" s="12" t="s">
        <v>141</v>
      </c>
      <c r="J39" s="12" t="s">
        <v>142</v>
      </c>
      <c r="K39" s="13">
        <v>45727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4.5" x14ac:dyDescent="0.35">
      <c r="A40" s="8" t="s">
        <v>137</v>
      </c>
      <c r="B40" s="10" t="s">
        <v>286</v>
      </c>
      <c r="C40" s="27">
        <v>679193.52</v>
      </c>
      <c r="D40" s="14" t="s">
        <v>38</v>
      </c>
      <c r="E40" s="8" t="s">
        <v>143</v>
      </c>
      <c r="F40" s="10"/>
      <c r="G40" s="10"/>
      <c r="H40" s="10"/>
      <c r="I40" s="10"/>
      <c r="J40" s="12" t="s">
        <v>144</v>
      </c>
      <c r="K40" s="15">
        <v>45727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4.5" x14ac:dyDescent="0.35">
      <c r="A41" s="8" t="s">
        <v>137</v>
      </c>
      <c r="B41" s="10" t="s">
        <v>285</v>
      </c>
      <c r="C41" s="27">
        <v>23896</v>
      </c>
      <c r="D41" s="14" t="s">
        <v>40</v>
      </c>
      <c r="E41" s="8" t="s">
        <v>41</v>
      </c>
      <c r="F41" s="8" t="s">
        <v>42</v>
      </c>
      <c r="G41" s="12" t="s">
        <v>73</v>
      </c>
      <c r="H41" s="12" t="s">
        <v>74</v>
      </c>
      <c r="I41" s="10"/>
      <c r="J41" s="12" t="s">
        <v>75</v>
      </c>
      <c r="K41" s="13">
        <v>45737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4.5" x14ac:dyDescent="0.35">
      <c r="A42" s="8" t="s">
        <v>137</v>
      </c>
      <c r="B42" s="10" t="s">
        <v>285</v>
      </c>
      <c r="C42" s="27">
        <v>80802.399999999994</v>
      </c>
      <c r="D42" s="14" t="s">
        <v>46</v>
      </c>
      <c r="E42" s="8" t="s">
        <v>102</v>
      </c>
      <c r="F42" s="8" t="s">
        <v>103</v>
      </c>
      <c r="G42" s="12" t="s">
        <v>104</v>
      </c>
      <c r="H42" s="12" t="s">
        <v>105</v>
      </c>
      <c r="I42" s="12" t="s">
        <v>106</v>
      </c>
      <c r="J42" s="12" t="s">
        <v>107</v>
      </c>
      <c r="K42" s="13">
        <v>45741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4.5" x14ac:dyDescent="0.35">
      <c r="A43" s="8" t="s">
        <v>137</v>
      </c>
      <c r="B43" s="10" t="s">
        <v>286</v>
      </c>
      <c r="C43" s="27">
        <v>1696728.4</v>
      </c>
      <c r="D43" s="14" t="s">
        <v>53</v>
      </c>
      <c r="E43" s="8" t="s">
        <v>143</v>
      </c>
      <c r="F43" s="8" t="s">
        <v>145</v>
      </c>
      <c r="G43" s="12" t="s">
        <v>146</v>
      </c>
      <c r="H43" s="12" t="s">
        <v>147</v>
      </c>
      <c r="I43" s="10"/>
      <c r="J43" s="12" t="s">
        <v>148</v>
      </c>
      <c r="K43" s="13">
        <v>45762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4.5" x14ac:dyDescent="0.35">
      <c r="A44" s="8" t="s">
        <v>149</v>
      </c>
      <c r="B44" s="10" t="s">
        <v>285</v>
      </c>
      <c r="C44" s="27">
        <v>68433.78</v>
      </c>
      <c r="D44" s="14" t="s">
        <v>21</v>
      </c>
      <c r="E44" s="8" t="s">
        <v>22</v>
      </c>
      <c r="F44" s="8" t="s">
        <v>150</v>
      </c>
      <c r="G44" s="12" t="s">
        <v>151</v>
      </c>
      <c r="H44" s="12" t="s">
        <v>152</v>
      </c>
      <c r="I44" s="12" t="s">
        <v>153</v>
      </c>
      <c r="J44" s="12" t="s">
        <v>154</v>
      </c>
      <c r="K44" s="13">
        <v>45727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4.5" x14ac:dyDescent="0.35">
      <c r="A45" s="8" t="s">
        <v>149</v>
      </c>
      <c r="B45" s="10" t="s">
        <v>286</v>
      </c>
      <c r="C45" s="27">
        <v>339596.76</v>
      </c>
      <c r="D45" s="14" t="s">
        <v>38</v>
      </c>
      <c r="E45" s="8" t="s">
        <v>143</v>
      </c>
      <c r="F45" s="10"/>
      <c r="G45" s="10"/>
      <c r="H45" s="10"/>
      <c r="I45" s="10"/>
      <c r="J45" s="12" t="s">
        <v>155</v>
      </c>
      <c r="K45" s="13">
        <v>45727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4.5" x14ac:dyDescent="0.35">
      <c r="A46" s="8" t="s">
        <v>149</v>
      </c>
      <c r="B46" s="10" t="s">
        <v>285</v>
      </c>
      <c r="C46" s="27">
        <v>23896</v>
      </c>
      <c r="D46" s="14" t="s">
        <v>40</v>
      </c>
      <c r="E46" s="8" t="s">
        <v>41</v>
      </c>
      <c r="F46" s="8" t="s">
        <v>42</v>
      </c>
      <c r="G46" s="12" t="s">
        <v>73</v>
      </c>
      <c r="H46" s="12" t="s">
        <v>74</v>
      </c>
      <c r="I46" s="10"/>
      <c r="J46" s="12" t="s">
        <v>75</v>
      </c>
      <c r="K46" s="13">
        <v>45737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4.5" x14ac:dyDescent="0.35">
      <c r="A47" s="8" t="s">
        <v>149</v>
      </c>
      <c r="B47" s="10" t="s">
        <v>286</v>
      </c>
      <c r="C47" s="27">
        <v>2333371.2000000002</v>
      </c>
      <c r="D47" s="14" t="s">
        <v>53</v>
      </c>
      <c r="E47" s="8" t="s">
        <v>143</v>
      </c>
      <c r="F47" s="8" t="s">
        <v>156</v>
      </c>
      <c r="G47" s="12" t="s">
        <v>157</v>
      </c>
      <c r="H47" s="12" t="s">
        <v>158</v>
      </c>
      <c r="I47" s="10"/>
      <c r="J47" s="12" t="s">
        <v>159</v>
      </c>
      <c r="K47" s="13">
        <v>45762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4.5" x14ac:dyDescent="0.35">
      <c r="A48" s="8" t="s">
        <v>160</v>
      </c>
      <c r="B48" s="10" t="s">
        <v>285</v>
      </c>
      <c r="C48" s="27">
        <v>95237.85</v>
      </c>
      <c r="D48" s="14" t="s">
        <v>21</v>
      </c>
      <c r="E48" s="8" t="s">
        <v>22</v>
      </c>
      <c r="F48" s="8" t="s">
        <v>161</v>
      </c>
      <c r="G48" s="12" t="s">
        <v>162</v>
      </c>
      <c r="H48" s="10"/>
      <c r="I48" s="10"/>
      <c r="J48" s="12" t="s">
        <v>162</v>
      </c>
      <c r="K48" s="13">
        <v>45727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4.5" x14ac:dyDescent="0.35">
      <c r="A49" s="8" t="s">
        <v>160</v>
      </c>
      <c r="B49" s="10" t="s">
        <v>286</v>
      </c>
      <c r="C49" s="27">
        <v>339596.76</v>
      </c>
      <c r="D49" s="14" t="s">
        <v>38</v>
      </c>
      <c r="E49" s="8" t="s">
        <v>143</v>
      </c>
      <c r="F49" s="10"/>
      <c r="G49" s="10"/>
      <c r="H49" s="10"/>
      <c r="I49" s="10"/>
      <c r="J49" s="12" t="s">
        <v>155</v>
      </c>
      <c r="K49" s="13">
        <v>45727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4.5" x14ac:dyDescent="0.35">
      <c r="A50" s="8" t="s">
        <v>160</v>
      </c>
      <c r="B50" s="10" t="s">
        <v>285</v>
      </c>
      <c r="C50" s="27">
        <v>23896</v>
      </c>
      <c r="D50" s="14" t="s">
        <v>40</v>
      </c>
      <c r="E50" s="8" t="s">
        <v>41</v>
      </c>
      <c r="F50" s="8" t="s">
        <v>42</v>
      </c>
      <c r="G50" s="12" t="s">
        <v>73</v>
      </c>
      <c r="H50" s="12" t="s">
        <v>74</v>
      </c>
      <c r="I50" s="10"/>
      <c r="J50" s="12" t="s">
        <v>75</v>
      </c>
      <c r="K50" s="13">
        <v>45737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4.5" x14ac:dyDescent="0.35">
      <c r="A51" s="8" t="s">
        <v>160</v>
      </c>
      <c r="B51" s="10" t="s">
        <v>286</v>
      </c>
      <c r="C51" s="27">
        <v>825000</v>
      </c>
      <c r="D51" s="14" t="s">
        <v>53</v>
      </c>
      <c r="E51" s="8" t="s">
        <v>143</v>
      </c>
      <c r="F51" s="8" t="s">
        <v>163</v>
      </c>
      <c r="G51" s="12" t="s">
        <v>164</v>
      </c>
      <c r="H51" s="12" t="s">
        <v>165</v>
      </c>
      <c r="I51" s="10"/>
      <c r="J51" s="12" t="s">
        <v>166</v>
      </c>
      <c r="K51" s="13">
        <v>45762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4.5" x14ac:dyDescent="0.35">
      <c r="A52" s="10"/>
      <c r="B52" s="10"/>
      <c r="C52" s="33"/>
      <c r="D52" s="9"/>
      <c r="E52" s="10"/>
      <c r="F52" s="10"/>
      <c r="G52" s="24"/>
      <c r="H52" s="11"/>
      <c r="I52" s="10"/>
      <c r="J52" s="11"/>
      <c r="K52" s="11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4.5" x14ac:dyDescent="0.35">
      <c r="A53" s="10"/>
      <c r="B53" s="10"/>
      <c r="C53" s="33"/>
      <c r="D53" s="9"/>
      <c r="E53" s="10"/>
      <c r="F53" s="10"/>
      <c r="G53" s="11"/>
      <c r="H53" s="11"/>
      <c r="I53" s="10"/>
      <c r="J53" s="11"/>
      <c r="K53" s="11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4" x14ac:dyDescent="0.3">
      <c r="A54" s="7"/>
      <c r="B54" s="7"/>
      <c r="C54" s="3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4" x14ac:dyDescent="0.3">
      <c r="A55" s="7"/>
      <c r="B55" s="7"/>
      <c r="C55" s="3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4" x14ac:dyDescent="0.3">
      <c r="A56" s="7"/>
      <c r="B56" s="7"/>
      <c r="C56" s="3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4" x14ac:dyDescent="0.3">
      <c r="A57" s="7"/>
      <c r="B57" s="7"/>
      <c r="C57" s="3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4" x14ac:dyDescent="0.3">
      <c r="A58" s="7"/>
      <c r="B58" s="7"/>
      <c r="C58" s="3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4" x14ac:dyDescent="0.3">
      <c r="A59" s="7"/>
      <c r="B59" s="7"/>
      <c r="C59" s="3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4" x14ac:dyDescent="0.3">
      <c r="A60" s="7"/>
      <c r="B60" s="7"/>
      <c r="C60" s="3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4" x14ac:dyDescent="0.3">
      <c r="A61" s="7"/>
      <c r="B61" s="7"/>
      <c r="C61" s="3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4" x14ac:dyDescent="0.3">
      <c r="A62" s="7"/>
      <c r="B62" s="7"/>
      <c r="C62" s="3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4" x14ac:dyDescent="0.3">
      <c r="A63" s="7"/>
      <c r="B63" s="7"/>
      <c r="C63" s="3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4" x14ac:dyDescent="0.3">
      <c r="A64" s="7"/>
      <c r="B64" s="7"/>
      <c r="C64" s="3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4" x14ac:dyDescent="0.3">
      <c r="A65" s="7"/>
      <c r="B65" s="7"/>
      <c r="C65" s="3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4" x14ac:dyDescent="0.3">
      <c r="A66" s="7"/>
      <c r="B66" s="7"/>
      <c r="C66" s="3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4" x14ac:dyDescent="0.3">
      <c r="A67" s="7"/>
      <c r="B67" s="7"/>
      <c r="C67" s="3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4" x14ac:dyDescent="0.3">
      <c r="A68" s="7"/>
      <c r="B68" s="7"/>
      <c r="C68" s="3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4" x14ac:dyDescent="0.3">
      <c r="A69" s="7"/>
      <c r="B69" s="7"/>
      <c r="C69" s="3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4" x14ac:dyDescent="0.3">
      <c r="A70" s="7"/>
      <c r="B70" s="7"/>
      <c r="C70" s="3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4" x14ac:dyDescent="0.3">
      <c r="A71" s="7"/>
      <c r="B71" s="7"/>
      <c r="C71" s="3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4" x14ac:dyDescent="0.3">
      <c r="A72" s="7"/>
      <c r="B72" s="7"/>
      <c r="C72" s="3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4" x14ac:dyDescent="0.3">
      <c r="A73" s="7"/>
      <c r="B73" s="7"/>
      <c r="C73" s="3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4" x14ac:dyDescent="0.3">
      <c r="A74" s="7"/>
      <c r="B74" s="7"/>
      <c r="C74" s="3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4" x14ac:dyDescent="0.3">
      <c r="A75" s="7"/>
      <c r="B75" s="7"/>
      <c r="C75" s="3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4" x14ac:dyDescent="0.3">
      <c r="A76" s="7"/>
      <c r="B76" s="7"/>
      <c r="C76" s="3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4" x14ac:dyDescent="0.3">
      <c r="A77" s="7"/>
      <c r="B77" s="7"/>
      <c r="C77" s="3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4" x14ac:dyDescent="0.3">
      <c r="A78" s="7"/>
      <c r="B78" s="7"/>
      <c r="C78" s="3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4" x14ac:dyDescent="0.3">
      <c r="A79" s="7"/>
      <c r="B79" s="7"/>
      <c r="C79" s="3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4" x14ac:dyDescent="0.3">
      <c r="A80" s="7"/>
      <c r="B80" s="7"/>
      <c r="C80" s="3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4" x14ac:dyDescent="0.3">
      <c r="A81" s="7"/>
      <c r="B81" s="7"/>
      <c r="C81" s="3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4" x14ac:dyDescent="0.3">
      <c r="A82" s="7"/>
      <c r="B82" s="7"/>
      <c r="C82" s="3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4" x14ac:dyDescent="0.3">
      <c r="A83" s="7"/>
      <c r="B83" s="7"/>
      <c r="C83" s="3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4" x14ac:dyDescent="0.3">
      <c r="A84" s="7"/>
      <c r="B84" s="7"/>
      <c r="C84" s="3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4" x14ac:dyDescent="0.3">
      <c r="A85" s="7"/>
      <c r="B85" s="7"/>
      <c r="C85" s="3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4" x14ac:dyDescent="0.3">
      <c r="A86" s="7"/>
      <c r="B86" s="7"/>
      <c r="C86" s="3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4" x14ac:dyDescent="0.3">
      <c r="A87" s="7"/>
      <c r="B87" s="7"/>
      <c r="C87" s="3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4" x14ac:dyDescent="0.3">
      <c r="A88" s="7"/>
      <c r="B88" s="7"/>
      <c r="C88" s="3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4" x14ac:dyDescent="0.3">
      <c r="A89" s="7"/>
      <c r="B89" s="7"/>
      <c r="C89" s="3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4" x14ac:dyDescent="0.3">
      <c r="A90" s="7"/>
      <c r="B90" s="7"/>
      <c r="C90" s="3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4" x14ac:dyDescent="0.3">
      <c r="A91" s="7"/>
      <c r="B91" s="7"/>
      <c r="C91" s="3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4" x14ac:dyDescent="0.3">
      <c r="A92" s="7"/>
      <c r="B92" s="7"/>
      <c r="C92" s="3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4" x14ac:dyDescent="0.3">
      <c r="A93" s="7"/>
      <c r="B93" s="7"/>
      <c r="C93" s="3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4" x14ac:dyDescent="0.3">
      <c r="A94" s="7"/>
      <c r="B94" s="7"/>
      <c r="C94" s="3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4" x14ac:dyDescent="0.3">
      <c r="A95" s="7"/>
      <c r="B95" s="7"/>
      <c r="C95" s="3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4" x14ac:dyDescent="0.3">
      <c r="A96" s="7"/>
      <c r="B96" s="7"/>
      <c r="C96" s="3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4" x14ac:dyDescent="0.3">
      <c r="A97" s="7"/>
      <c r="B97" s="7"/>
      <c r="C97" s="3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4" x14ac:dyDescent="0.3">
      <c r="A98" s="7"/>
      <c r="B98" s="7"/>
      <c r="C98" s="3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4" x14ac:dyDescent="0.3">
      <c r="A99" s="7"/>
      <c r="B99" s="7"/>
      <c r="C99" s="3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4" x14ac:dyDescent="0.3">
      <c r="A100" s="7"/>
      <c r="B100" s="7"/>
      <c r="C100" s="3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4" x14ac:dyDescent="0.3">
      <c r="A101" s="7"/>
      <c r="B101" s="7"/>
      <c r="C101" s="3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4" x14ac:dyDescent="0.3">
      <c r="A102" s="7"/>
      <c r="B102" s="7"/>
      <c r="C102" s="3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4" x14ac:dyDescent="0.3">
      <c r="A103" s="7"/>
      <c r="B103" s="7"/>
      <c r="C103" s="3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4" x14ac:dyDescent="0.3">
      <c r="A104" s="7"/>
      <c r="B104" s="7"/>
      <c r="C104" s="3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4" x14ac:dyDescent="0.3">
      <c r="A105" s="7"/>
      <c r="B105" s="7"/>
      <c r="C105" s="3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4" x14ac:dyDescent="0.3">
      <c r="A106" s="7"/>
      <c r="B106" s="7"/>
      <c r="C106" s="3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4" x14ac:dyDescent="0.3">
      <c r="A107" s="7"/>
      <c r="B107" s="7"/>
      <c r="C107" s="3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4" x14ac:dyDescent="0.3">
      <c r="A108" s="7"/>
      <c r="B108" s="7"/>
      <c r="C108" s="3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4" x14ac:dyDescent="0.3">
      <c r="A109" s="7"/>
      <c r="B109" s="7"/>
      <c r="C109" s="3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4" x14ac:dyDescent="0.3">
      <c r="A110" s="7"/>
      <c r="B110" s="7"/>
      <c r="C110" s="3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4" x14ac:dyDescent="0.3">
      <c r="A111" s="7"/>
      <c r="B111" s="7"/>
      <c r="C111" s="3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4" x14ac:dyDescent="0.3">
      <c r="A112" s="7"/>
      <c r="B112" s="7"/>
      <c r="C112" s="3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4" x14ac:dyDescent="0.3">
      <c r="A113" s="7"/>
      <c r="B113" s="7"/>
      <c r="C113" s="3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4" x14ac:dyDescent="0.3">
      <c r="A114" s="7"/>
      <c r="B114" s="7"/>
      <c r="C114" s="3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4" x14ac:dyDescent="0.3">
      <c r="A115" s="7"/>
      <c r="B115" s="7"/>
      <c r="C115" s="3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4" x14ac:dyDescent="0.3">
      <c r="A116" s="7"/>
      <c r="B116" s="7"/>
      <c r="C116" s="3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4" x14ac:dyDescent="0.3">
      <c r="A117" s="7"/>
      <c r="B117" s="7"/>
      <c r="C117" s="3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4" x14ac:dyDescent="0.3">
      <c r="A118" s="7"/>
      <c r="B118" s="7"/>
      <c r="C118" s="3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4" x14ac:dyDescent="0.3">
      <c r="A119" s="7"/>
      <c r="B119" s="7"/>
      <c r="C119" s="3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4" x14ac:dyDescent="0.3">
      <c r="A120" s="7"/>
      <c r="B120" s="7"/>
      <c r="C120" s="3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4" x14ac:dyDescent="0.3">
      <c r="A121" s="7"/>
      <c r="B121" s="7"/>
      <c r="C121" s="3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4" x14ac:dyDescent="0.3">
      <c r="A122" s="7"/>
      <c r="B122" s="7"/>
      <c r="C122" s="3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4" x14ac:dyDescent="0.3">
      <c r="A123" s="7"/>
      <c r="B123" s="7"/>
      <c r="C123" s="3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4" x14ac:dyDescent="0.3">
      <c r="A124" s="7"/>
      <c r="B124" s="7"/>
      <c r="C124" s="3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4" x14ac:dyDescent="0.3">
      <c r="A125" s="7"/>
      <c r="B125" s="7"/>
      <c r="C125" s="3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4" x14ac:dyDescent="0.3">
      <c r="A126" s="7"/>
      <c r="B126" s="7"/>
      <c r="C126" s="3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4" x14ac:dyDescent="0.3">
      <c r="A127" s="7"/>
      <c r="B127" s="7"/>
      <c r="C127" s="3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4" x14ac:dyDescent="0.3">
      <c r="A128" s="7"/>
      <c r="B128" s="7"/>
      <c r="C128" s="3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4" x14ac:dyDescent="0.3">
      <c r="A129" s="7"/>
      <c r="B129" s="7"/>
      <c r="C129" s="3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4" x14ac:dyDescent="0.3">
      <c r="A130" s="7"/>
      <c r="B130" s="7"/>
      <c r="C130" s="3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4" x14ac:dyDescent="0.3">
      <c r="A131" s="7"/>
      <c r="B131" s="7"/>
      <c r="C131" s="3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4" x14ac:dyDescent="0.3">
      <c r="A132" s="7"/>
      <c r="B132" s="7"/>
      <c r="C132" s="3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4" x14ac:dyDescent="0.3">
      <c r="A133" s="7"/>
      <c r="B133" s="7"/>
      <c r="C133" s="3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4" x14ac:dyDescent="0.3">
      <c r="A134" s="7"/>
      <c r="B134" s="7"/>
      <c r="C134" s="3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4" x14ac:dyDescent="0.3">
      <c r="A135" s="7"/>
      <c r="B135" s="7"/>
      <c r="C135" s="3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4" x14ac:dyDescent="0.3">
      <c r="A136" s="7"/>
      <c r="B136" s="7"/>
      <c r="C136" s="3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4" x14ac:dyDescent="0.3">
      <c r="A137" s="7"/>
      <c r="B137" s="7"/>
      <c r="C137" s="3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4" x14ac:dyDescent="0.3">
      <c r="A138" s="7"/>
      <c r="B138" s="7"/>
      <c r="C138" s="3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4" x14ac:dyDescent="0.3">
      <c r="A139" s="7"/>
      <c r="B139" s="7"/>
      <c r="C139" s="3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4" x14ac:dyDescent="0.3">
      <c r="A140" s="7"/>
      <c r="B140" s="7"/>
      <c r="C140" s="3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4" x14ac:dyDescent="0.3">
      <c r="A141" s="7"/>
      <c r="B141" s="7"/>
      <c r="C141" s="3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4" x14ac:dyDescent="0.3">
      <c r="A142" s="7"/>
      <c r="B142" s="7"/>
      <c r="C142" s="3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4" x14ac:dyDescent="0.3">
      <c r="A143" s="7"/>
      <c r="B143" s="7"/>
      <c r="C143" s="3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4" x14ac:dyDescent="0.3">
      <c r="A144" s="7"/>
      <c r="B144" s="7"/>
      <c r="C144" s="3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4" x14ac:dyDescent="0.3">
      <c r="A145" s="7"/>
      <c r="B145" s="7"/>
      <c r="C145" s="3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4" x14ac:dyDescent="0.3">
      <c r="A146" s="7"/>
      <c r="B146" s="7"/>
      <c r="C146" s="3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4" x14ac:dyDescent="0.3">
      <c r="A147" s="7"/>
      <c r="B147" s="7"/>
      <c r="C147" s="3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4" x14ac:dyDescent="0.3">
      <c r="A148" s="7"/>
      <c r="B148" s="7"/>
      <c r="C148" s="3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4" x14ac:dyDescent="0.3">
      <c r="A149" s="7"/>
      <c r="B149" s="7"/>
      <c r="C149" s="3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4" x14ac:dyDescent="0.3">
      <c r="A150" s="7"/>
      <c r="B150" s="7"/>
      <c r="C150" s="3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4" x14ac:dyDescent="0.3">
      <c r="A151" s="7"/>
      <c r="B151" s="7"/>
      <c r="C151" s="3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4" x14ac:dyDescent="0.3">
      <c r="A152" s="7"/>
      <c r="B152" s="7"/>
      <c r="C152" s="3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4" x14ac:dyDescent="0.3">
      <c r="A153" s="7"/>
      <c r="B153" s="7"/>
      <c r="C153" s="3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4" x14ac:dyDescent="0.3">
      <c r="A154" s="7"/>
      <c r="B154" s="7"/>
      <c r="C154" s="3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4" x14ac:dyDescent="0.3">
      <c r="A155" s="7"/>
      <c r="B155" s="7"/>
      <c r="C155" s="3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4" x14ac:dyDescent="0.3">
      <c r="A156" s="7"/>
      <c r="B156" s="7"/>
      <c r="C156" s="3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4" x14ac:dyDescent="0.3">
      <c r="A157" s="7"/>
      <c r="B157" s="7"/>
      <c r="C157" s="3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4" x14ac:dyDescent="0.3">
      <c r="A158" s="7"/>
      <c r="B158" s="7"/>
      <c r="C158" s="3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4" x14ac:dyDescent="0.3">
      <c r="A159" s="7"/>
      <c r="B159" s="7"/>
      <c r="C159" s="3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4" x14ac:dyDescent="0.3">
      <c r="A160" s="7"/>
      <c r="B160" s="7"/>
      <c r="C160" s="3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4" x14ac:dyDescent="0.3">
      <c r="A161" s="7"/>
      <c r="B161" s="7"/>
      <c r="C161" s="3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4" x14ac:dyDescent="0.3">
      <c r="A162" s="7"/>
      <c r="B162" s="7"/>
      <c r="C162" s="3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4" x14ac:dyDescent="0.3">
      <c r="A163" s="7"/>
      <c r="B163" s="7"/>
      <c r="C163" s="3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4" x14ac:dyDescent="0.3">
      <c r="A164" s="7"/>
      <c r="B164" s="7"/>
      <c r="C164" s="3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4" x14ac:dyDescent="0.3">
      <c r="A165" s="7"/>
      <c r="B165" s="7"/>
      <c r="C165" s="3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4" x14ac:dyDescent="0.3">
      <c r="A166" s="7"/>
      <c r="B166" s="7"/>
      <c r="C166" s="3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4" x14ac:dyDescent="0.3">
      <c r="A167" s="7"/>
      <c r="B167" s="7"/>
      <c r="C167" s="3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4" x14ac:dyDescent="0.3">
      <c r="A168" s="7"/>
      <c r="B168" s="7"/>
      <c r="C168" s="3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4" x14ac:dyDescent="0.3">
      <c r="A169" s="7"/>
      <c r="B169" s="7"/>
      <c r="C169" s="3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4" x14ac:dyDescent="0.3">
      <c r="A170" s="7"/>
      <c r="B170" s="7"/>
      <c r="C170" s="3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4" x14ac:dyDescent="0.3">
      <c r="A171" s="7"/>
      <c r="B171" s="7"/>
      <c r="C171" s="3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4" x14ac:dyDescent="0.3">
      <c r="A172" s="7"/>
      <c r="B172" s="7"/>
      <c r="C172" s="3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4" x14ac:dyDescent="0.3">
      <c r="A173" s="7"/>
      <c r="B173" s="7"/>
      <c r="C173" s="3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4" x14ac:dyDescent="0.3">
      <c r="A174" s="7"/>
      <c r="B174" s="7"/>
      <c r="C174" s="3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4" x14ac:dyDescent="0.3">
      <c r="A175" s="7"/>
      <c r="B175" s="7"/>
      <c r="C175" s="3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4" x14ac:dyDescent="0.3">
      <c r="A176" s="7"/>
      <c r="B176" s="7"/>
      <c r="C176" s="3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4" x14ac:dyDescent="0.3">
      <c r="A177" s="7"/>
      <c r="B177" s="7"/>
      <c r="C177" s="3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4" x14ac:dyDescent="0.3">
      <c r="A178" s="7"/>
      <c r="B178" s="7"/>
      <c r="C178" s="3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4" x14ac:dyDescent="0.3">
      <c r="A179" s="7"/>
      <c r="B179" s="7"/>
      <c r="C179" s="3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4" x14ac:dyDescent="0.3">
      <c r="A180" s="7"/>
      <c r="B180" s="7"/>
      <c r="C180" s="3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4" x14ac:dyDescent="0.3">
      <c r="A181" s="7"/>
      <c r="B181" s="7"/>
      <c r="C181" s="3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4" x14ac:dyDescent="0.3">
      <c r="A182" s="7"/>
      <c r="B182" s="7"/>
      <c r="C182" s="3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4" x14ac:dyDescent="0.3">
      <c r="A183" s="7"/>
      <c r="B183" s="7"/>
      <c r="C183" s="3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4" x14ac:dyDescent="0.3">
      <c r="A184" s="7"/>
      <c r="B184" s="7"/>
      <c r="C184" s="3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4" x14ac:dyDescent="0.3">
      <c r="A185" s="7"/>
      <c r="B185" s="7"/>
      <c r="C185" s="3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4" x14ac:dyDescent="0.3">
      <c r="A186" s="7"/>
      <c r="B186" s="7"/>
      <c r="C186" s="3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4" x14ac:dyDescent="0.3">
      <c r="A187" s="7"/>
      <c r="B187" s="7"/>
      <c r="C187" s="3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4" x14ac:dyDescent="0.3">
      <c r="A188" s="7"/>
      <c r="B188" s="7"/>
      <c r="C188" s="3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4" x14ac:dyDescent="0.3">
      <c r="A189" s="7"/>
      <c r="B189" s="7"/>
      <c r="C189" s="3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4" x14ac:dyDescent="0.3">
      <c r="A190" s="7"/>
      <c r="B190" s="7"/>
      <c r="C190" s="3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4" x14ac:dyDescent="0.3">
      <c r="A191" s="7"/>
      <c r="B191" s="7"/>
      <c r="C191" s="3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4" x14ac:dyDescent="0.3">
      <c r="A192" s="7"/>
      <c r="B192" s="7"/>
      <c r="C192" s="3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4" x14ac:dyDescent="0.3">
      <c r="A193" s="7"/>
      <c r="B193" s="7"/>
      <c r="C193" s="3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4" x14ac:dyDescent="0.3">
      <c r="A194" s="7"/>
      <c r="B194" s="7"/>
      <c r="C194" s="3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4" x14ac:dyDescent="0.3">
      <c r="A195" s="7"/>
      <c r="B195" s="7"/>
      <c r="C195" s="3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4" x14ac:dyDescent="0.3">
      <c r="A196" s="7"/>
      <c r="B196" s="7"/>
      <c r="C196" s="3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4" x14ac:dyDescent="0.3">
      <c r="A197" s="7"/>
      <c r="B197" s="7"/>
      <c r="C197" s="3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4" x14ac:dyDescent="0.3">
      <c r="A198" s="7"/>
      <c r="B198" s="7"/>
      <c r="C198" s="3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4" x14ac:dyDescent="0.3">
      <c r="A199" s="7"/>
      <c r="B199" s="7"/>
      <c r="C199" s="3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4" x14ac:dyDescent="0.3">
      <c r="A200" s="7"/>
      <c r="B200" s="7"/>
      <c r="C200" s="3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4" x14ac:dyDescent="0.3">
      <c r="A201" s="7"/>
      <c r="B201" s="7"/>
      <c r="C201" s="3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4" x14ac:dyDescent="0.3">
      <c r="A202" s="7"/>
      <c r="B202" s="7"/>
      <c r="C202" s="3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4" x14ac:dyDescent="0.3">
      <c r="A203" s="7"/>
      <c r="B203" s="7"/>
      <c r="C203" s="3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4" x14ac:dyDescent="0.3">
      <c r="A204" s="7"/>
      <c r="B204" s="7"/>
      <c r="C204" s="3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4" x14ac:dyDescent="0.3">
      <c r="A205" s="7"/>
      <c r="B205" s="7"/>
      <c r="C205" s="3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4" x14ac:dyDescent="0.3">
      <c r="A206" s="7"/>
      <c r="B206" s="7"/>
      <c r="C206" s="3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4" x14ac:dyDescent="0.3">
      <c r="A207" s="7"/>
      <c r="B207" s="7"/>
      <c r="C207" s="3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4" x14ac:dyDescent="0.3">
      <c r="A208" s="7"/>
      <c r="B208" s="7"/>
      <c r="C208" s="3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4" x14ac:dyDescent="0.3">
      <c r="A209" s="7"/>
      <c r="B209" s="7"/>
      <c r="C209" s="3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4" x14ac:dyDescent="0.3">
      <c r="A210" s="7"/>
      <c r="B210" s="7"/>
      <c r="C210" s="3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4" x14ac:dyDescent="0.3">
      <c r="A211" s="7"/>
      <c r="B211" s="7"/>
      <c r="C211" s="3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4" x14ac:dyDescent="0.3">
      <c r="A212" s="7"/>
      <c r="B212" s="7"/>
      <c r="C212" s="3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4" x14ac:dyDescent="0.3">
      <c r="A213" s="7"/>
      <c r="B213" s="7"/>
      <c r="C213" s="3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4" x14ac:dyDescent="0.3">
      <c r="A214" s="7"/>
      <c r="B214" s="7"/>
      <c r="C214" s="3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4" x14ac:dyDescent="0.3">
      <c r="A215" s="7"/>
      <c r="B215" s="7"/>
      <c r="C215" s="3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4" x14ac:dyDescent="0.3">
      <c r="A216" s="7"/>
      <c r="B216" s="7"/>
      <c r="C216" s="3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4" x14ac:dyDescent="0.3">
      <c r="A217" s="7"/>
      <c r="B217" s="7"/>
      <c r="C217" s="3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4" x14ac:dyDescent="0.3">
      <c r="A218" s="7"/>
      <c r="B218" s="7"/>
      <c r="C218" s="3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4" x14ac:dyDescent="0.3">
      <c r="A219" s="7"/>
      <c r="B219" s="7"/>
      <c r="C219" s="3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4" x14ac:dyDescent="0.3">
      <c r="A220" s="7"/>
      <c r="B220" s="7"/>
      <c r="C220" s="3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4" x14ac:dyDescent="0.3">
      <c r="A221" s="7"/>
      <c r="B221" s="7"/>
      <c r="C221" s="3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4" x14ac:dyDescent="0.3">
      <c r="A222" s="7"/>
      <c r="B222" s="7"/>
      <c r="C222" s="3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4" x14ac:dyDescent="0.3">
      <c r="A223" s="7"/>
      <c r="B223" s="7"/>
      <c r="C223" s="3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4" x14ac:dyDescent="0.3">
      <c r="A224" s="7"/>
      <c r="B224" s="7"/>
      <c r="C224" s="3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4" x14ac:dyDescent="0.3">
      <c r="A225" s="7"/>
      <c r="B225" s="7"/>
      <c r="C225" s="3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4" x14ac:dyDescent="0.3">
      <c r="A226" s="7"/>
      <c r="B226" s="7"/>
      <c r="C226" s="3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4" x14ac:dyDescent="0.3">
      <c r="A227" s="7"/>
      <c r="B227" s="7"/>
      <c r="C227" s="3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4" x14ac:dyDescent="0.3">
      <c r="A228" s="7"/>
      <c r="B228" s="7"/>
      <c r="C228" s="3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4" x14ac:dyDescent="0.3">
      <c r="A229" s="7"/>
      <c r="B229" s="7"/>
      <c r="C229" s="3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4" x14ac:dyDescent="0.3">
      <c r="A230" s="7"/>
      <c r="B230" s="7"/>
      <c r="C230" s="3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4" x14ac:dyDescent="0.3">
      <c r="A231" s="7"/>
      <c r="B231" s="7"/>
      <c r="C231" s="3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4" x14ac:dyDescent="0.3">
      <c r="A232" s="7"/>
      <c r="B232" s="7"/>
      <c r="C232" s="3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4" x14ac:dyDescent="0.3">
      <c r="A233" s="7"/>
      <c r="B233" s="7"/>
      <c r="C233" s="3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4" x14ac:dyDescent="0.3">
      <c r="A234" s="7"/>
      <c r="B234" s="7"/>
      <c r="C234" s="3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4" x14ac:dyDescent="0.3">
      <c r="A235" s="7"/>
      <c r="B235" s="7"/>
      <c r="C235" s="3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4" x14ac:dyDescent="0.3">
      <c r="A236" s="7"/>
      <c r="B236" s="7"/>
      <c r="C236" s="3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4" x14ac:dyDescent="0.3">
      <c r="A237" s="7"/>
      <c r="B237" s="7"/>
      <c r="C237" s="3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4" x14ac:dyDescent="0.3">
      <c r="A238" s="7"/>
      <c r="B238" s="7"/>
      <c r="C238" s="3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4" x14ac:dyDescent="0.3">
      <c r="A239" s="7"/>
      <c r="B239" s="7"/>
      <c r="C239" s="3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4" x14ac:dyDescent="0.3">
      <c r="A240" s="7"/>
      <c r="B240" s="7"/>
      <c r="C240" s="3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4" x14ac:dyDescent="0.3">
      <c r="A241" s="7"/>
      <c r="B241" s="7"/>
      <c r="C241" s="3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4" x14ac:dyDescent="0.3">
      <c r="A242" s="7"/>
      <c r="B242" s="7"/>
      <c r="C242" s="3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4" x14ac:dyDescent="0.3">
      <c r="A243" s="7"/>
      <c r="B243" s="7"/>
      <c r="C243" s="3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4" x14ac:dyDescent="0.3">
      <c r="A244" s="7"/>
      <c r="B244" s="7"/>
      <c r="C244" s="3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4" x14ac:dyDescent="0.3">
      <c r="A245" s="7"/>
      <c r="B245" s="7"/>
      <c r="C245" s="3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4" x14ac:dyDescent="0.3">
      <c r="A246" s="7"/>
      <c r="B246" s="7"/>
      <c r="C246" s="3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4" x14ac:dyDescent="0.3">
      <c r="A247" s="7"/>
      <c r="B247" s="7"/>
      <c r="C247" s="3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4" x14ac:dyDescent="0.3">
      <c r="A248" s="7"/>
      <c r="B248" s="7"/>
      <c r="C248" s="3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4" x14ac:dyDescent="0.3">
      <c r="A249" s="7"/>
      <c r="B249" s="7"/>
      <c r="C249" s="3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4" x14ac:dyDescent="0.3">
      <c r="A250" s="7"/>
      <c r="B250" s="7"/>
      <c r="C250" s="3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4" x14ac:dyDescent="0.3">
      <c r="A251" s="7"/>
      <c r="B251" s="7"/>
      <c r="C251" s="3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4" x14ac:dyDescent="0.3">
      <c r="A252" s="7"/>
      <c r="B252" s="7"/>
      <c r="C252" s="3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4" x14ac:dyDescent="0.3">
      <c r="A253" s="7"/>
      <c r="B253" s="7"/>
      <c r="C253" s="3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4" x14ac:dyDescent="0.3">
      <c r="A254" s="7"/>
      <c r="B254" s="7"/>
      <c r="C254" s="3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4" x14ac:dyDescent="0.3">
      <c r="A255" s="7"/>
      <c r="B255" s="7"/>
      <c r="C255" s="3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4" x14ac:dyDescent="0.3">
      <c r="A256" s="7"/>
      <c r="B256" s="7"/>
      <c r="C256" s="3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4" x14ac:dyDescent="0.3">
      <c r="A257" s="7"/>
      <c r="B257" s="7"/>
      <c r="C257" s="3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4" x14ac:dyDescent="0.3">
      <c r="A258" s="7"/>
      <c r="B258" s="7"/>
      <c r="C258" s="3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4" x14ac:dyDescent="0.3">
      <c r="A259" s="7"/>
      <c r="B259" s="7"/>
      <c r="C259" s="3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4" x14ac:dyDescent="0.3">
      <c r="A260" s="7"/>
      <c r="B260" s="7"/>
      <c r="C260" s="3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4" x14ac:dyDescent="0.3">
      <c r="A261" s="7"/>
      <c r="B261" s="7"/>
      <c r="C261" s="3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4" x14ac:dyDescent="0.3">
      <c r="A262" s="7"/>
      <c r="B262" s="7"/>
      <c r="C262" s="3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4" x14ac:dyDescent="0.3">
      <c r="A263" s="7"/>
      <c r="B263" s="7"/>
      <c r="C263" s="3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4" x14ac:dyDescent="0.3">
      <c r="A264" s="7"/>
      <c r="B264" s="7"/>
      <c r="C264" s="3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4" x14ac:dyDescent="0.3">
      <c r="A265" s="7"/>
      <c r="B265" s="7"/>
      <c r="C265" s="3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4" x14ac:dyDescent="0.3">
      <c r="A266" s="7"/>
      <c r="B266" s="7"/>
      <c r="C266" s="3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4" x14ac:dyDescent="0.3">
      <c r="A267" s="7"/>
      <c r="B267" s="7"/>
      <c r="C267" s="3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4" x14ac:dyDescent="0.3">
      <c r="A268" s="7"/>
      <c r="B268" s="7"/>
      <c r="C268" s="3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4" x14ac:dyDescent="0.3">
      <c r="A269" s="7"/>
      <c r="B269" s="7"/>
      <c r="C269" s="3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4" x14ac:dyDescent="0.3">
      <c r="A270" s="7"/>
      <c r="B270" s="7"/>
      <c r="C270" s="3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4" x14ac:dyDescent="0.3">
      <c r="A271" s="7"/>
      <c r="B271" s="7"/>
      <c r="C271" s="3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4" x14ac:dyDescent="0.3">
      <c r="A272" s="7"/>
      <c r="B272" s="7"/>
      <c r="C272" s="3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4" x14ac:dyDescent="0.3">
      <c r="A273" s="7"/>
      <c r="B273" s="7"/>
      <c r="C273" s="3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4" x14ac:dyDescent="0.3">
      <c r="A274" s="7"/>
      <c r="B274" s="7"/>
      <c r="C274" s="3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4" x14ac:dyDescent="0.3">
      <c r="A275" s="7"/>
      <c r="B275" s="7"/>
      <c r="C275" s="3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4" x14ac:dyDescent="0.3">
      <c r="A276" s="7"/>
      <c r="B276" s="7"/>
      <c r="C276" s="3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4" x14ac:dyDescent="0.3">
      <c r="A277" s="7"/>
      <c r="B277" s="7"/>
      <c r="C277" s="3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4" x14ac:dyDescent="0.3">
      <c r="A278" s="7"/>
      <c r="B278" s="7"/>
      <c r="C278" s="3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4" x14ac:dyDescent="0.3">
      <c r="A279" s="7"/>
      <c r="B279" s="7"/>
      <c r="C279" s="3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4" x14ac:dyDescent="0.3">
      <c r="A280" s="7"/>
      <c r="B280" s="7"/>
      <c r="C280" s="3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4" x14ac:dyDescent="0.3">
      <c r="A281" s="7"/>
      <c r="B281" s="7"/>
      <c r="C281" s="3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4" x14ac:dyDescent="0.3">
      <c r="A282" s="7"/>
      <c r="B282" s="7"/>
      <c r="C282" s="3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4" x14ac:dyDescent="0.3">
      <c r="A283" s="7"/>
      <c r="B283" s="7"/>
      <c r="C283" s="3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4" x14ac:dyDescent="0.3">
      <c r="A284" s="7"/>
      <c r="B284" s="7"/>
      <c r="C284" s="3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4" x14ac:dyDescent="0.3">
      <c r="A285" s="7"/>
      <c r="B285" s="7"/>
      <c r="C285" s="3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4" x14ac:dyDescent="0.3">
      <c r="A286" s="7"/>
      <c r="B286" s="7"/>
      <c r="C286" s="3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4" x14ac:dyDescent="0.3">
      <c r="A287" s="7"/>
      <c r="B287" s="7"/>
      <c r="C287" s="3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4" x14ac:dyDescent="0.3">
      <c r="A288" s="7"/>
      <c r="B288" s="7"/>
      <c r="C288" s="3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4" x14ac:dyDescent="0.3">
      <c r="A289" s="7"/>
      <c r="B289" s="7"/>
      <c r="C289" s="3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4" x14ac:dyDescent="0.3">
      <c r="A290" s="7"/>
      <c r="B290" s="7"/>
      <c r="C290" s="3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4" x14ac:dyDescent="0.3">
      <c r="A291" s="7"/>
      <c r="B291" s="7"/>
      <c r="C291" s="3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4" x14ac:dyDescent="0.3">
      <c r="A292" s="7"/>
      <c r="B292" s="7"/>
      <c r="C292" s="3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4" x14ac:dyDescent="0.3">
      <c r="A293" s="7"/>
      <c r="B293" s="7"/>
      <c r="C293" s="3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4" x14ac:dyDescent="0.3">
      <c r="A294" s="7"/>
      <c r="B294" s="7"/>
      <c r="C294" s="3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4" x14ac:dyDescent="0.3">
      <c r="A295" s="7"/>
      <c r="B295" s="7"/>
      <c r="C295" s="3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4" x14ac:dyDescent="0.3">
      <c r="A296" s="7"/>
      <c r="B296" s="7"/>
      <c r="C296" s="3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4" x14ac:dyDescent="0.3">
      <c r="A297" s="7"/>
      <c r="B297" s="7"/>
      <c r="C297" s="3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4" x14ac:dyDescent="0.3">
      <c r="A298" s="7"/>
      <c r="B298" s="7"/>
      <c r="C298" s="3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4" x14ac:dyDescent="0.3">
      <c r="A299" s="7"/>
      <c r="B299" s="7"/>
      <c r="C299" s="3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4" x14ac:dyDescent="0.3">
      <c r="A300" s="7"/>
      <c r="B300" s="7"/>
      <c r="C300" s="3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4" x14ac:dyDescent="0.3">
      <c r="A301" s="7"/>
      <c r="B301" s="7"/>
      <c r="C301" s="3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4" x14ac:dyDescent="0.3">
      <c r="A302" s="7"/>
      <c r="B302" s="7"/>
      <c r="C302" s="3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4" x14ac:dyDescent="0.3">
      <c r="A303" s="7"/>
      <c r="B303" s="7"/>
      <c r="C303" s="3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4" x14ac:dyDescent="0.3">
      <c r="A304" s="7"/>
      <c r="B304" s="7"/>
      <c r="C304" s="3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4" x14ac:dyDescent="0.3">
      <c r="A305" s="7"/>
      <c r="B305" s="7"/>
      <c r="C305" s="3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4" x14ac:dyDescent="0.3">
      <c r="A306" s="7"/>
      <c r="B306" s="7"/>
      <c r="C306" s="3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4" x14ac:dyDescent="0.3">
      <c r="A307" s="7"/>
      <c r="B307" s="7"/>
      <c r="C307" s="3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4" x14ac:dyDescent="0.3">
      <c r="A308" s="7"/>
      <c r="B308" s="7"/>
      <c r="C308" s="3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4" x14ac:dyDescent="0.3">
      <c r="A309" s="7"/>
      <c r="B309" s="7"/>
      <c r="C309" s="3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4" x14ac:dyDescent="0.3">
      <c r="A310" s="7"/>
      <c r="B310" s="7"/>
      <c r="C310" s="3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4" x14ac:dyDescent="0.3">
      <c r="A311" s="7"/>
      <c r="B311" s="7"/>
      <c r="C311" s="3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4" x14ac:dyDescent="0.3">
      <c r="A312" s="7"/>
      <c r="B312" s="7"/>
      <c r="C312" s="3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4" x14ac:dyDescent="0.3">
      <c r="A313" s="7"/>
      <c r="B313" s="7"/>
      <c r="C313" s="3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4" x14ac:dyDescent="0.3">
      <c r="A314" s="7"/>
      <c r="B314" s="7"/>
      <c r="C314" s="3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4" x14ac:dyDescent="0.3">
      <c r="A315" s="7"/>
      <c r="B315" s="7"/>
      <c r="C315" s="3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4" x14ac:dyDescent="0.3">
      <c r="A316" s="7"/>
      <c r="B316" s="7"/>
      <c r="C316" s="3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4" x14ac:dyDescent="0.3">
      <c r="A317" s="7"/>
      <c r="B317" s="7"/>
      <c r="C317" s="3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4" x14ac:dyDescent="0.3">
      <c r="A318" s="7"/>
      <c r="B318" s="7"/>
      <c r="C318" s="3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4" x14ac:dyDescent="0.3">
      <c r="A319" s="7"/>
      <c r="B319" s="7"/>
      <c r="C319" s="3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4" x14ac:dyDescent="0.3">
      <c r="A320" s="7"/>
      <c r="B320" s="7"/>
      <c r="C320" s="3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4" x14ac:dyDescent="0.3">
      <c r="A321" s="7"/>
      <c r="B321" s="7"/>
      <c r="C321" s="3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4" x14ac:dyDescent="0.3">
      <c r="A322" s="7"/>
      <c r="B322" s="7"/>
      <c r="C322" s="3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4" x14ac:dyDescent="0.3">
      <c r="A323" s="7"/>
      <c r="B323" s="7"/>
      <c r="C323" s="3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4" x14ac:dyDescent="0.3">
      <c r="A324" s="7"/>
      <c r="B324" s="7"/>
      <c r="C324" s="3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4" x14ac:dyDescent="0.3">
      <c r="A325" s="7"/>
      <c r="B325" s="7"/>
      <c r="C325" s="3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4" x14ac:dyDescent="0.3">
      <c r="A326" s="7"/>
      <c r="B326" s="7"/>
      <c r="C326" s="3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4" x14ac:dyDescent="0.3">
      <c r="A327" s="7"/>
      <c r="B327" s="7"/>
      <c r="C327" s="3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4" x14ac:dyDescent="0.3">
      <c r="A328" s="7"/>
      <c r="B328" s="7"/>
      <c r="C328" s="3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4" x14ac:dyDescent="0.3">
      <c r="A329" s="7"/>
      <c r="B329" s="7"/>
      <c r="C329" s="3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4" x14ac:dyDescent="0.3">
      <c r="A330" s="7"/>
      <c r="B330" s="7"/>
      <c r="C330" s="3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4" x14ac:dyDescent="0.3">
      <c r="A331" s="7"/>
      <c r="B331" s="7"/>
      <c r="C331" s="3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4" x14ac:dyDescent="0.3">
      <c r="A332" s="7"/>
      <c r="B332" s="7"/>
      <c r="C332" s="3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4" x14ac:dyDescent="0.3">
      <c r="A333" s="7"/>
      <c r="B333" s="7"/>
      <c r="C333" s="3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4" x14ac:dyDescent="0.3">
      <c r="A334" s="7"/>
      <c r="B334" s="7"/>
      <c r="C334" s="3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4" x14ac:dyDescent="0.3">
      <c r="A335" s="7"/>
      <c r="B335" s="7"/>
      <c r="C335" s="3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4" x14ac:dyDescent="0.3">
      <c r="A336" s="7"/>
      <c r="B336" s="7"/>
      <c r="C336" s="3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4" x14ac:dyDescent="0.3">
      <c r="A337" s="7"/>
      <c r="B337" s="7"/>
      <c r="C337" s="3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4" x14ac:dyDescent="0.3">
      <c r="A338" s="7"/>
      <c r="B338" s="7"/>
      <c r="C338" s="3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4" x14ac:dyDescent="0.3">
      <c r="A339" s="7"/>
      <c r="B339" s="7"/>
      <c r="C339" s="3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4" x14ac:dyDescent="0.3">
      <c r="A340" s="7"/>
      <c r="B340" s="7"/>
      <c r="C340" s="3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4" x14ac:dyDescent="0.3">
      <c r="A341" s="7"/>
      <c r="B341" s="7"/>
      <c r="C341" s="3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4" x14ac:dyDescent="0.3">
      <c r="A342" s="7"/>
      <c r="B342" s="7"/>
      <c r="C342" s="3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4" x14ac:dyDescent="0.3">
      <c r="A343" s="7"/>
      <c r="B343" s="7"/>
      <c r="C343" s="3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4" x14ac:dyDescent="0.3">
      <c r="A344" s="7"/>
      <c r="B344" s="7"/>
      <c r="C344" s="3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4" x14ac:dyDescent="0.3">
      <c r="A345" s="7"/>
      <c r="B345" s="7"/>
      <c r="C345" s="3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4" x14ac:dyDescent="0.3">
      <c r="A346" s="7"/>
      <c r="B346" s="7"/>
      <c r="C346" s="3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4" x14ac:dyDescent="0.3">
      <c r="A347" s="7"/>
      <c r="B347" s="7"/>
      <c r="C347" s="3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4" x14ac:dyDescent="0.3">
      <c r="A348" s="7"/>
      <c r="B348" s="7"/>
      <c r="C348" s="3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4" x14ac:dyDescent="0.3">
      <c r="A349" s="7"/>
      <c r="B349" s="7"/>
      <c r="C349" s="3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4" x14ac:dyDescent="0.3">
      <c r="A350" s="7"/>
      <c r="B350" s="7"/>
      <c r="C350" s="3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4" x14ac:dyDescent="0.3">
      <c r="A351" s="7"/>
      <c r="B351" s="7"/>
      <c r="C351" s="3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4" x14ac:dyDescent="0.3">
      <c r="A352" s="7"/>
      <c r="B352" s="7"/>
      <c r="C352" s="3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4" x14ac:dyDescent="0.3">
      <c r="A353" s="7"/>
      <c r="B353" s="7"/>
      <c r="C353" s="3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4" x14ac:dyDescent="0.3">
      <c r="A354" s="7"/>
      <c r="B354" s="7"/>
      <c r="C354" s="3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4" x14ac:dyDescent="0.3">
      <c r="A355" s="7"/>
      <c r="B355" s="7"/>
      <c r="C355" s="3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4" x14ac:dyDescent="0.3">
      <c r="A356" s="7"/>
      <c r="B356" s="7"/>
      <c r="C356" s="3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4" x14ac:dyDescent="0.3">
      <c r="A357" s="7"/>
      <c r="B357" s="7"/>
      <c r="C357" s="3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4" x14ac:dyDescent="0.3">
      <c r="A358" s="7"/>
      <c r="B358" s="7"/>
      <c r="C358" s="3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4" x14ac:dyDescent="0.3">
      <c r="A359" s="7"/>
      <c r="B359" s="7"/>
      <c r="C359" s="3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4" x14ac:dyDescent="0.3">
      <c r="A360" s="7"/>
      <c r="B360" s="7"/>
      <c r="C360" s="3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4" x14ac:dyDescent="0.3">
      <c r="A361" s="7"/>
      <c r="B361" s="7"/>
      <c r="C361" s="3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4" x14ac:dyDescent="0.3">
      <c r="A362" s="7"/>
      <c r="B362" s="7"/>
      <c r="C362" s="3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4" x14ac:dyDescent="0.3">
      <c r="A363" s="7"/>
      <c r="B363" s="7"/>
      <c r="C363" s="3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4" x14ac:dyDescent="0.3">
      <c r="A364" s="7"/>
      <c r="B364" s="7"/>
      <c r="C364" s="3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4" x14ac:dyDescent="0.3">
      <c r="A365" s="7"/>
      <c r="B365" s="7"/>
      <c r="C365" s="3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4" x14ac:dyDescent="0.3">
      <c r="A366" s="7"/>
      <c r="B366" s="7"/>
      <c r="C366" s="3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4" x14ac:dyDescent="0.3">
      <c r="A367" s="7"/>
      <c r="B367" s="7"/>
      <c r="C367" s="3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4" x14ac:dyDescent="0.3">
      <c r="A368" s="7"/>
      <c r="B368" s="7"/>
      <c r="C368" s="3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4" x14ac:dyDescent="0.3">
      <c r="A369" s="7"/>
      <c r="B369" s="7"/>
      <c r="C369" s="3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4" x14ac:dyDescent="0.3">
      <c r="A370" s="7"/>
      <c r="B370" s="7"/>
      <c r="C370" s="3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4" x14ac:dyDescent="0.3">
      <c r="A371" s="7"/>
      <c r="B371" s="7"/>
      <c r="C371" s="3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4" x14ac:dyDescent="0.3">
      <c r="A372" s="7"/>
      <c r="B372" s="7"/>
      <c r="C372" s="3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4" x14ac:dyDescent="0.3">
      <c r="A373" s="7"/>
      <c r="B373" s="7"/>
      <c r="C373" s="3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4" x14ac:dyDescent="0.3">
      <c r="A374" s="7"/>
      <c r="B374" s="7"/>
      <c r="C374" s="3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4" x14ac:dyDescent="0.3">
      <c r="A375" s="7"/>
      <c r="B375" s="7"/>
      <c r="C375" s="3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4" x14ac:dyDescent="0.3">
      <c r="A376" s="7"/>
      <c r="B376" s="7"/>
      <c r="C376" s="3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4" x14ac:dyDescent="0.3">
      <c r="A377" s="7"/>
      <c r="B377" s="7"/>
      <c r="C377" s="3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4" x14ac:dyDescent="0.3">
      <c r="A378" s="7"/>
      <c r="B378" s="7"/>
      <c r="C378" s="3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4" x14ac:dyDescent="0.3">
      <c r="A379" s="7"/>
      <c r="B379" s="7"/>
      <c r="C379" s="3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4" x14ac:dyDescent="0.3">
      <c r="A380" s="7"/>
      <c r="B380" s="7"/>
      <c r="C380" s="3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4" x14ac:dyDescent="0.3">
      <c r="A381" s="7"/>
      <c r="B381" s="7"/>
      <c r="C381" s="3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4" x14ac:dyDescent="0.3">
      <c r="A382" s="7"/>
      <c r="B382" s="7"/>
      <c r="C382" s="3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4" x14ac:dyDescent="0.3">
      <c r="A383" s="7"/>
      <c r="B383" s="7"/>
      <c r="C383" s="3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4" x14ac:dyDescent="0.3">
      <c r="A384" s="7"/>
      <c r="B384" s="7"/>
      <c r="C384" s="3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4" x14ac:dyDescent="0.3">
      <c r="A385" s="7"/>
      <c r="B385" s="7"/>
      <c r="C385" s="3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4" x14ac:dyDescent="0.3">
      <c r="A386" s="7"/>
      <c r="B386" s="7"/>
      <c r="C386" s="3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4" x14ac:dyDescent="0.3">
      <c r="A387" s="7"/>
      <c r="B387" s="7"/>
      <c r="C387" s="3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4" x14ac:dyDescent="0.3">
      <c r="A388" s="7"/>
      <c r="B388" s="7"/>
      <c r="C388" s="3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4" x14ac:dyDescent="0.3">
      <c r="A389" s="7"/>
      <c r="B389" s="7"/>
      <c r="C389" s="3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4" x14ac:dyDescent="0.3">
      <c r="A390" s="7"/>
      <c r="B390" s="7"/>
      <c r="C390" s="3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4" x14ac:dyDescent="0.3">
      <c r="A391" s="7"/>
      <c r="B391" s="7"/>
      <c r="C391" s="3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4" x14ac:dyDescent="0.3">
      <c r="A392" s="7"/>
      <c r="B392" s="7"/>
      <c r="C392" s="3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4" x14ac:dyDescent="0.3">
      <c r="A393" s="7"/>
      <c r="B393" s="7"/>
      <c r="C393" s="3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4" x14ac:dyDescent="0.3">
      <c r="A394" s="7"/>
      <c r="B394" s="7"/>
      <c r="C394" s="3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4" x14ac:dyDescent="0.3">
      <c r="A395" s="7"/>
      <c r="B395" s="7"/>
      <c r="C395" s="3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4" x14ac:dyDescent="0.3">
      <c r="A396" s="7"/>
      <c r="B396" s="7"/>
      <c r="C396" s="3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4" x14ac:dyDescent="0.3">
      <c r="A397" s="7"/>
      <c r="B397" s="7"/>
      <c r="C397" s="3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4" x14ac:dyDescent="0.3">
      <c r="A398" s="7"/>
      <c r="B398" s="7"/>
      <c r="C398" s="3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4" x14ac:dyDescent="0.3">
      <c r="A399" s="7"/>
      <c r="B399" s="7"/>
      <c r="C399" s="3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4" x14ac:dyDescent="0.3">
      <c r="A400" s="7"/>
      <c r="B400" s="7"/>
      <c r="C400" s="3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4" x14ac:dyDescent="0.3">
      <c r="A401" s="7"/>
      <c r="B401" s="7"/>
      <c r="C401" s="3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4" x14ac:dyDescent="0.3">
      <c r="A402" s="7"/>
      <c r="B402" s="7"/>
      <c r="C402" s="3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4" x14ac:dyDescent="0.3">
      <c r="A403" s="7"/>
      <c r="B403" s="7"/>
      <c r="C403" s="3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4" x14ac:dyDescent="0.3">
      <c r="A404" s="7"/>
      <c r="B404" s="7"/>
      <c r="C404" s="3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4" x14ac:dyDescent="0.3">
      <c r="A405" s="7"/>
      <c r="B405" s="7"/>
      <c r="C405" s="3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4" x14ac:dyDescent="0.3">
      <c r="A406" s="7"/>
      <c r="B406" s="7"/>
      <c r="C406" s="3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4" x14ac:dyDescent="0.3">
      <c r="A407" s="7"/>
      <c r="B407" s="7"/>
      <c r="C407" s="3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4" x14ac:dyDescent="0.3">
      <c r="A408" s="7"/>
      <c r="B408" s="7"/>
      <c r="C408" s="3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4" x14ac:dyDescent="0.3">
      <c r="A409" s="7"/>
      <c r="B409" s="7"/>
      <c r="C409" s="3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4" x14ac:dyDescent="0.3">
      <c r="A410" s="7"/>
      <c r="B410" s="7"/>
      <c r="C410" s="3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4" x14ac:dyDescent="0.3">
      <c r="A411" s="7"/>
      <c r="B411" s="7"/>
      <c r="C411" s="3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4" x14ac:dyDescent="0.3">
      <c r="A412" s="7"/>
      <c r="B412" s="7"/>
      <c r="C412" s="3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4" x14ac:dyDescent="0.3">
      <c r="A413" s="7"/>
      <c r="B413" s="7"/>
      <c r="C413" s="3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4" x14ac:dyDescent="0.3">
      <c r="A414" s="7"/>
      <c r="B414" s="7"/>
      <c r="C414" s="3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4" x14ac:dyDescent="0.3">
      <c r="A415" s="7"/>
      <c r="B415" s="7"/>
      <c r="C415" s="3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4" x14ac:dyDescent="0.3">
      <c r="A416" s="7"/>
      <c r="B416" s="7"/>
      <c r="C416" s="3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4" x14ac:dyDescent="0.3">
      <c r="A417" s="7"/>
      <c r="B417" s="7"/>
      <c r="C417" s="3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4" x14ac:dyDescent="0.3">
      <c r="A418" s="7"/>
      <c r="B418" s="7"/>
      <c r="C418" s="3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4" x14ac:dyDescent="0.3">
      <c r="A419" s="7"/>
      <c r="B419" s="7"/>
      <c r="C419" s="3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4" x14ac:dyDescent="0.3">
      <c r="A420" s="7"/>
      <c r="B420" s="7"/>
      <c r="C420" s="3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4" x14ac:dyDescent="0.3">
      <c r="A421" s="7"/>
      <c r="B421" s="7"/>
      <c r="C421" s="3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4" x14ac:dyDescent="0.3">
      <c r="A422" s="7"/>
      <c r="B422" s="7"/>
      <c r="C422" s="3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4" x14ac:dyDescent="0.3">
      <c r="A423" s="7"/>
      <c r="B423" s="7"/>
      <c r="C423" s="3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4" x14ac:dyDescent="0.3">
      <c r="A424" s="7"/>
      <c r="B424" s="7"/>
      <c r="C424" s="3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4" x14ac:dyDescent="0.3">
      <c r="A425" s="7"/>
      <c r="B425" s="7"/>
      <c r="C425" s="3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4" x14ac:dyDescent="0.3">
      <c r="A426" s="7"/>
      <c r="B426" s="7"/>
      <c r="C426" s="3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4" x14ac:dyDescent="0.3">
      <c r="A427" s="7"/>
      <c r="B427" s="7"/>
      <c r="C427" s="3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4" x14ac:dyDescent="0.3">
      <c r="A428" s="7"/>
      <c r="B428" s="7"/>
      <c r="C428" s="3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4" x14ac:dyDescent="0.3">
      <c r="A429" s="7"/>
      <c r="B429" s="7"/>
      <c r="C429" s="3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4" x14ac:dyDescent="0.3">
      <c r="A430" s="7"/>
      <c r="B430" s="7"/>
      <c r="C430" s="3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4" x14ac:dyDescent="0.3">
      <c r="A431" s="7"/>
      <c r="B431" s="7"/>
      <c r="C431" s="3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4" x14ac:dyDescent="0.3">
      <c r="A432" s="7"/>
      <c r="B432" s="7"/>
      <c r="C432" s="3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4" x14ac:dyDescent="0.3">
      <c r="A433" s="7"/>
      <c r="B433" s="7"/>
      <c r="C433" s="3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4" x14ac:dyDescent="0.3">
      <c r="A434" s="7"/>
      <c r="B434" s="7"/>
      <c r="C434" s="3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4" x14ac:dyDescent="0.3">
      <c r="A435" s="7"/>
      <c r="B435" s="7"/>
      <c r="C435" s="3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4" x14ac:dyDescent="0.3">
      <c r="A436" s="7"/>
      <c r="B436" s="7"/>
      <c r="C436" s="3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4" x14ac:dyDescent="0.3">
      <c r="A437" s="7"/>
      <c r="B437" s="7"/>
      <c r="C437" s="3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4" x14ac:dyDescent="0.3">
      <c r="A438" s="7"/>
      <c r="B438" s="7"/>
      <c r="C438" s="3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4" x14ac:dyDescent="0.3">
      <c r="A439" s="7"/>
      <c r="B439" s="7"/>
      <c r="C439" s="3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4" x14ac:dyDescent="0.3">
      <c r="A440" s="7"/>
      <c r="B440" s="7"/>
      <c r="C440" s="3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4" x14ac:dyDescent="0.3">
      <c r="A441" s="7"/>
      <c r="B441" s="7"/>
      <c r="C441" s="3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4" x14ac:dyDescent="0.3">
      <c r="A442" s="7"/>
      <c r="B442" s="7"/>
      <c r="C442" s="3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4" x14ac:dyDescent="0.3">
      <c r="A443" s="7"/>
      <c r="B443" s="7"/>
      <c r="C443" s="3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4" x14ac:dyDescent="0.3">
      <c r="A444" s="7"/>
      <c r="B444" s="7"/>
      <c r="C444" s="3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4" x14ac:dyDescent="0.3">
      <c r="A445" s="7"/>
      <c r="B445" s="7"/>
      <c r="C445" s="3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4" x14ac:dyDescent="0.3">
      <c r="A446" s="7"/>
      <c r="B446" s="7"/>
      <c r="C446" s="3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4" x14ac:dyDescent="0.3">
      <c r="A447" s="7"/>
      <c r="B447" s="7"/>
      <c r="C447" s="3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4" x14ac:dyDescent="0.3">
      <c r="A448" s="7"/>
      <c r="B448" s="7"/>
      <c r="C448" s="3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4" x14ac:dyDescent="0.3">
      <c r="A449" s="7"/>
      <c r="B449" s="7"/>
      <c r="C449" s="3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4" x14ac:dyDescent="0.3">
      <c r="A450" s="7"/>
      <c r="B450" s="7"/>
      <c r="C450" s="3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14" x14ac:dyDescent="0.3">
      <c r="A451" s="7"/>
      <c r="B451" s="7"/>
      <c r="C451" s="3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14" x14ac:dyDescent="0.3">
      <c r="A452" s="7"/>
      <c r="B452" s="7"/>
      <c r="C452" s="3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4" x14ac:dyDescent="0.3">
      <c r="A453" s="7"/>
      <c r="B453" s="7"/>
      <c r="C453" s="3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4" x14ac:dyDescent="0.3">
      <c r="A454" s="7"/>
      <c r="B454" s="7"/>
      <c r="C454" s="3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4" x14ac:dyDescent="0.3">
      <c r="A455" s="7"/>
      <c r="B455" s="7"/>
      <c r="C455" s="3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4" x14ac:dyDescent="0.3">
      <c r="A456" s="7"/>
      <c r="B456" s="7"/>
      <c r="C456" s="3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4" x14ac:dyDescent="0.3">
      <c r="A457" s="7"/>
      <c r="B457" s="7"/>
      <c r="C457" s="3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4" x14ac:dyDescent="0.3">
      <c r="A458" s="7"/>
      <c r="B458" s="7"/>
      <c r="C458" s="3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4" x14ac:dyDescent="0.3">
      <c r="A459" s="7"/>
      <c r="B459" s="7"/>
      <c r="C459" s="3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4" x14ac:dyDescent="0.3">
      <c r="A460" s="7"/>
      <c r="B460" s="7"/>
      <c r="C460" s="3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4" x14ac:dyDescent="0.3">
      <c r="A461" s="7"/>
      <c r="B461" s="7"/>
      <c r="C461" s="3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4" x14ac:dyDescent="0.3">
      <c r="A462" s="7"/>
      <c r="B462" s="7"/>
      <c r="C462" s="3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4" x14ac:dyDescent="0.3">
      <c r="A463" s="7"/>
      <c r="B463" s="7"/>
      <c r="C463" s="3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4" x14ac:dyDescent="0.3">
      <c r="A464" s="7"/>
      <c r="B464" s="7"/>
      <c r="C464" s="3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4" x14ac:dyDescent="0.3">
      <c r="A465" s="7"/>
      <c r="B465" s="7"/>
      <c r="C465" s="3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4" x14ac:dyDescent="0.3">
      <c r="A466" s="7"/>
      <c r="B466" s="7"/>
      <c r="C466" s="3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4" x14ac:dyDescent="0.3">
      <c r="A467" s="7"/>
      <c r="B467" s="7"/>
      <c r="C467" s="3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4" x14ac:dyDescent="0.3">
      <c r="A468" s="7"/>
      <c r="B468" s="7"/>
      <c r="C468" s="3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4" x14ac:dyDescent="0.3">
      <c r="A469" s="7"/>
      <c r="B469" s="7"/>
      <c r="C469" s="3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4" x14ac:dyDescent="0.3">
      <c r="A470" s="7"/>
      <c r="B470" s="7"/>
      <c r="C470" s="3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4" x14ac:dyDescent="0.3">
      <c r="A471" s="7"/>
      <c r="B471" s="7"/>
      <c r="C471" s="3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4" x14ac:dyDescent="0.3">
      <c r="A472" s="7"/>
      <c r="B472" s="7"/>
      <c r="C472" s="3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4" x14ac:dyDescent="0.3">
      <c r="A473" s="7"/>
      <c r="B473" s="7"/>
      <c r="C473" s="3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4" x14ac:dyDescent="0.3">
      <c r="A474" s="7"/>
      <c r="B474" s="7"/>
      <c r="C474" s="3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4" x14ac:dyDescent="0.3">
      <c r="A475" s="7"/>
      <c r="B475" s="7"/>
      <c r="C475" s="3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4" x14ac:dyDescent="0.3">
      <c r="A476" s="7"/>
      <c r="B476" s="7"/>
      <c r="C476" s="3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4" x14ac:dyDescent="0.3">
      <c r="A477" s="7"/>
      <c r="B477" s="7"/>
      <c r="C477" s="3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4" x14ac:dyDescent="0.3">
      <c r="A478" s="7"/>
      <c r="B478" s="7"/>
      <c r="C478" s="3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4" x14ac:dyDescent="0.3">
      <c r="A479" s="7"/>
      <c r="B479" s="7"/>
      <c r="C479" s="3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4" x14ac:dyDescent="0.3">
      <c r="A480" s="7"/>
      <c r="B480" s="7"/>
      <c r="C480" s="3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4" x14ac:dyDescent="0.3">
      <c r="A481" s="7"/>
      <c r="B481" s="7"/>
      <c r="C481" s="3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4" x14ac:dyDescent="0.3">
      <c r="A482" s="7"/>
      <c r="B482" s="7"/>
      <c r="C482" s="3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4" x14ac:dyDescent="0.3">
      <c r="A483" s="7"/>
      <c r="B483" s="7"/>
      <c r="C483" s="3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4" x14ac:dyDescent="0.3">
      <c r="A484" s="7"/>
      <c r="B484" s="7"/>
      <c r="C484" s="3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4" x14ac:dyDescent="0.3">
      <c r="A485" s="7"/>
      <c r="B485" s="7"/>
      <c r="C485" s="3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4" x14ac:dyDescent="0.3">
      <c r="A486" s="7"/>
      <c r="B486" s="7"/>
      <c r="C486" s="3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4" x14ac:dyDescent="0.3">
      <c r="A487" s="7"/>
      <c r="B487" s="7"/>
      <c r="C487" s="3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4" x14ac:dyDescent="0.3">
      <c r="A488" s="7"/>
      <c r="B488" s="7"/>
      <c r="C488" s="3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4" x14ac:dyDescent="0.3">
      <c r="A489" s="7"/>
      <c r="B489" s="7"/>
      <c r="C489" s="3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4" x14ac:dyDescent="0.3">
      <c r="A490" s="7"/>
      <c r="B490" s="7"/>
      <c r="C490" s="3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4" x14ac:dyDescent="0.3">
      <c r="A491" s="7"/>
      <c r="B491" s="7"/>
      <c r="C491" s="3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4" x14ac:dyDescent="0.3">
      <c r="A492" s="7"/>
      <c r="B492" s="7"/>
      <c r="C492" s="3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4" x14ac:dyDescent="0.3">
      <c r="A493" s="7"/>
      <c r="B493" s="7"/>
      <c r="C493" s="3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4" x14ac:dyDescent="0.3">
      <c r="A494" s="7"/>
      <c r="B494" s="7"/>
      <c r="C494" s="3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4" x14ac:dyDescent="0.3">
      <c r="A495" s="7"/>
      <c r="B495" s="7"/>
      <c r="C495" s="3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4" x14ac:dyDescent="0.3">
      <c r="A496" s="7"/>
      <c r="B496" s="7"/>
      <c r="C496" s="3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4" x14ac:dyDescent="0.3">
      <c r="A497" s="7"/>
      <c r="B497" s="7"/>
      <c r="C497" s="3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4" x14ac:dyDescent="0.3">
      <c r="A498" s="7"/>
      <c r="B498" s="7"/>
      <c r="C498" s="3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4" x14ac:dyDescent="0.3">
      <c r="A499" s="7"/>
      <c r="B499" s="7"/>
      <c r="C499" s="3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4" x14ac:dyDescent="0.3">
      <c r="A500" s="7"/>
      <c r="B500" s="7"/>
      <c r="C500" s="3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4" x14ac:dyDescent="0.3">
      <c r="A501" s="7"/>
      <c r="B501" s="7"/>
      <c r="C501" s="3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4" x14ac:dyDescent="0.3">
      <c r="A502" s="7"/>
      <c r="B502" s="7"/>
      <c r="C502" s="3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4" x14ac:dyDescent="0.3">
      <c r="A503" s="7"/>
      <c r="B503" s="7"/>
      <c r="C503" s="3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4" x14ac:dyDescent="0.3">
      <c r="A504" s="7"/>
      <c r="B504" s="7"/>
      <c r="C504" s="3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4" x14ac:dyDescent="0.3">
      <c r="A505" s="7"/>
      <c r="B505" s="7"/>
      <c r="C505" s="3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4" x14ac:dyDescent="0.3">
      <c r="A506" s="7"/>
      <c r="B506" s="7"/>
      <c r="C506" s="3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4" x14ac:dyDescent="0.3">
      <c r="A507" s="7"/>
      <c r="B507" s="7"/>
      <c r="C507" s="3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4" x14ac:dyDescent="0.3">
      <c r="A508" s="7"/>
      <c r="B508" s="7"/>
      <c r="C508" s="3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4" x14ac:dyDescent="0.3">
      <c r="A509" s="7"/>
      <c r="B509" s="7"/>
      <c r="C509" s="3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4" x14ac:dyDescent="0.3">
      <c r="A510" s="7"/>
      <c r="B510" s="7"/>
      <c r="C510" s="3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4" x14ac:dyDescent="0.3">
      <c r="A511" s="7"/>
      <c r="B511" s="7"/>
      <c r="C511" s="3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4" x14ac:dyDescent="0.3">
      <c r="A512" s="7"/>
      <c r="B512" s="7"/>
      <c r="C512" s="3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4" x14ac:dyDescent="0.3">
      <c r="A513" s="7"/>
      <c r="B513" s="7"/>
      <c r="C513" s="3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4" x14ac:dyDescent="0.3">
      <c r="A514" s="7"/>
      <c r="B514" s="7"/>
      <c r="C514" s="3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4" x14ac:dyDescent="0.3">
      <c r="A515" s="7"/>
      <c r="B515" s="7"/>
      <c r="C515" s="3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4" x14ac:dyDescent="0.3">
      <c r="A516" s="7"/>
      <c r="B516" s="7"/>
      <c r="C516" s="3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4" x14ac:dyDescent="0.3">
      <c r="A517" s="7"/>
      <c r="B517" s="7"/>
      <c r="C517" s="3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4" x14ac:dyDescent="0.3">
      <c r="A518" s="7"/>
      <c r="B518" s="7"/>
      <c r="C518" s="3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4" x14ac:dyDescent="0.3">
      <c r="A519" s="7"/>
      <c r="B519" s="7"/>
      <c r="C519" s="3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4" x14ac:dyDescent="0.3">
      <c r="A520" s="7"/>
      <c r="B520" s="7"/>
      <c r="C520" s="3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4" x14ac:dyDescent="0.3">
      <c r="A521" s="7"/>
      <c r="B521" s="7"/>
      <c r="C521" s="3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4" x14ac:dyDescent="0.3">
      <c r="A522" s="7"/>
      <c r="B522" s="7"/>
      <c r="C522" s="3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4" x14ac:dyDescent="0.3">
      <c r="A523" s="7"/>
      <c r="B523" s="7"/>
      <c r="C523" s="3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4" x14ac:dyDescent="0.3">
      <c r="A524" s="7"/>
      <c r="B524" s="7"/>
      <c r="C524" s="3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4" x14ac:dyDescent="0.3">
      <c r="A525" s="7"/>
      <c r="B525" s="7"/>
      <c r="C525" s="3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4" x14ac:dyDescent="0.3">
      <c r="A526" s="7"/>
      <c r="B526" s="7"/>
      <c r="C526" s="3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4" x14ac:dyDescent="0.3">
      <c r="A527" s="7"/>
      <c r="B527" s="7"/>
      <c r="C527" s="3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4" x14ac:dyDescent="0.3">
      <c r="A528" s="7"/>
      <c r="B528" s="7"/>
      <c r="C528" s="3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4" x14ac:dyDescent="0.3">
      <c r="A529" s="7"/>
      <c r="B529" s="7"/>
      <c r="C529" s="3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4" x14ac:dyDescent="0.3">
      <c r="A530" s="7"/>
      <c r="B530" s="7"/>
      <c r="C530" s="3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4" x14ac:dyDescent="0.3">
      <c r="A531" s="7"/>
      <c r="B531" s="7"/>
      <c r="C531" s="3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4" x14ac:dyDescent="0.3">
      <c r="A532" s="7"/>
      <c r="B532" s="7"/>
      <c r="C532" s="3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4" x14ac:dyDescent="0.3">
      <c r="A533" s="7"/>
      <c r="B533" s="7"/>
      <c r="C533" s="3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4" x14ac:dyDescent="0.3">
      <c r="A534" s="7"/>
      <c r="B534" s="7"/>
      <c r="C534" s="3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4" x14ac:dyDescent="0.3">
      <c r="A535" s="7"/>
      <c r="B535" s="7"/>
      <c r="C535" s="3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4" x14ac:dyDescent="0.3">
      <c r="A536" s="7"/>
      <c r="B536" s="7"/>
      <c r="C536" s="3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4" x14ac:dyDescent="0.3">
      <c r="A537" s="7"/>
      <c r="B537" s="7"/>
      <c r="C537" s="3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4" x14ac:dyDescent="0.3">
      <c r="A538" s="7"/>
      <c r="B538" s="7"/>
      <c r="C538" s="3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4" x14ac:dyDescent="0.3">
      <c r="A539" s="7"/>
      <c r="B539" s="7"/>
      <c r="C539" s="3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4" x14ac:dyDescent="0.3">
      <c r="A540" s="7"/>
      <c r="B540" s="7"/>
      <c r="C540" s="3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4" x14ac:dyDescent="0.3">
      <c r="A541" s="7"/>
      <c r="B541" s="7"/>
      <c r="C541" s="3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4" x14ac:dyDescent="0.3">
      <c r="A542" s="7"/>
      <c r="B542" s="7"/>
      <c r="C542" s="3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4" x14ac:dyDescent="0.3">
      <c r="A543" s="7"/>
      <c r="B543" s="7"/>
      <c r="C543" s="3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4" x14ac:dyDescent="0.3">
      <c r="A544" s="7"/>
      <c r="B544" s="7"/>
      <c r="C544" s="3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4" x14ac:dyDescent="0.3">
      <c r="A545" s="7"/>
      <c r="B545" s="7"/>
      <c r="C545" s="3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4" x14ac:dyDescent="0.3">
      <c r="A546" s="7"/>
      <c r="B546" s="7"/>
      <c r="C546" s="3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4" x14ac:dyDescent="0.3">
      <c r="A547" s="7"/>
      <c r="B547" s="7"/>
      <c r="C547" s="3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4" x14ac:dyDescent="0.3">
      <c r="A548" s="7"/>
      <c r="B548" s="7"/>
      <c r="C548" s="3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4" x14ac:dyDescent="0.3">
      <c r="A549" s="7"/>
      <c r="B549" s="7"/>
      <c r="C549" s="3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4" x14ac:dyDescent="0.3">
      <c r="A550" s="7"/>
      <c r="B550" s="7"/>
      <c r="C550" s="3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4" x14ac:dyDescent="0.3">
      <c r="A551" s="7"/>
      <c r="B551" s="7"/>
      <c r="C551" s="3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4" x14ac:dyDescent="0.3">
      <c r="A552" s="7"/>
      <c r="B552" s="7"/>
      <c r="C552" s="3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4" x14ac:dyDescent="0.3">
      <c r="A553" s="7"/>
      <c r="B553" s="7"/>
      <c r="C553" s="3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4" x14ac:dyDescent="0.3">
      <c r="A554" s="7"/>
      <c r="B554" s="7"/>
      <c r="C554" s="3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4" x14ac:dyDescent="0.3">
      <c r="A555" s="7"/>
      <c r="B555" s="7"/>
      <c r="C555" s="3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4" x14ac:dyDescent="0.3">
      <c r="A556" s="7"/>
      <c r="B556" s="7"/>
      <c r="C556" s="3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4" x14ac:dyDescent="0.3">
      <c r="A557" s="7"/>
      <c r="B557" s="7"/>
      <c r="C557" s="3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4" x14ac:dyDescent="0.3">
      <c r="A558" s="7"/>
      <c r="B558" s="7"/>
      <c r="C558" s="3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4" x14ac:dyDescent="0.3">
      <c r="A559" s="7"/>
      <c r="B559" s="7"/>
      <c r="C559" s="3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4" x14ac:dyDescent="0.3">
      <c r="A560" s="7"/>
      <c r="B560" s="7"/>
      <c r="C560" s="3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4" x14ac:dyDescent="0.3">
      <c r="A561" s="7"/>
      <c r="B561" s="7"/>
      <c r="C561" s="3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4" x14ac:dyDescent="0.3">
      <c r="A562" s="7"/>
      <c r="B562" s="7"/>
      <c r="C562" s="3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4" x14ac:dyDescent="0.3">
      <c r="A563" s="7"/>
      <c r="B563" s="7"/>
      <c r="C563" s="3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4" x14ac:dyDescent="0.3">
      <c r="A564" s="7"/>
      <c r="B564" s="7"/>
      <c r="C564" s="3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4" x14ac:dyDescent="0.3">
      <c r="A565" s="7"/>
      <c r="B565" s="7"/>
      <c r="C565" s="3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4" x14ac:dyDescent="0.3">
      <c r="A566" s="7"/>
      <c r="B566" s="7"/>
      <c r="C566" s="3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4" x14ac:dyDescent="0.3">
      <c r="A567" s="7"/>
      <c r="B567" s="7"/>
      <c r="C567" s="3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4" x14ac:dyDescent="0.3">
      <c r="A568" s="7"/>
      <c r="B568" s="7"/>
      <c r="C568" s="3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4" x14ac:dyDescent="0.3">
      <c r="A569" s="7"/>
      <c r="B569" s="7"/>
      <c r="C569" s="3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4" x14ac:dyDescent="0.3">
      <c r="A570" s="7"/>
      <c r="B570" s="7"/>
      <c r="C570" s="3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4" x14ac:dyDescent="0.3">
      <c r="A571" s="7"/>
      <c r="B571" s="7"/>
      <c r="C571" s="3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4" x14ac:dyDescent="0.3">
      <c r="A572" s="7"/>
      <c r="B572" s="7"/>
      <c r="C572" s="3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4" x14ac:dyDescent="0.3">
      <c r="A573" s="7"/>
      <c r="B573" s="7"/>
      <c r="C573" s="3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4" x14ac:dyDescent="0.3">
      <c r="A574" s="7"/>
      <c r="B574" s="7"/>
      <c r="C574" s="3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4" x14ac:dyDescent="0.3">
      <c r="A575" s="7"/>
      <c r="B575" s="7"/>
      <c r="C575" s="3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4" x14ac:dyDescent="0.3">
      <c r="A576" s="7"/>
      <c r="B576" s="7"/>
      <c r="C576" s="3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4" x14ac:dyDescent="0.3">
      <c r="A577" s="7"/>
      <c r="B577" s="7"/>
      <c r="C577" s="3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4" x14ac:dyDescent="0.3">
      <c r="A578" s="7"/>
      <c r="B578" s="7"/>
      <c r="C578" s="3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4" x14ac:dyDescent="0.3">
      <c r="A579" s="7"/>
      <c r="B579" s="7"/>
      <c r="C579" s="3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4" x14ac:dyDescent="0.3">
      <c r="A580" s="7"/>
      <c r="B580" s="7"/>
      <c r="C580" s="3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4" x14ac:dyDescent="0.3">
      <c r="A581" s="7"/>
      <c r="B581" s="7"/>
      <c r="C581" s="3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4" x14ac:dyDescent="0.3">
      <c r="A582" s="7"/>
      <c r="B582" s="7"/>
      <c r="C582" s="3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4" x14ac:dyDescent="0.3">
      <c r="A583" s="7"/>
      <c r="B583" s="7"/>
      <c r="C583" s="3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4" x14ac:dyDescent="0.3">
      <c r="A584" s="7"/>
      <c r="B584" s="7"/>
      <c r="C584" s="3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4" x14ac:dyDescent="0.3">
      <c r="A585" s="7"/>
      <c r="B585" s="7"/>
      <c r="C585" s="3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4" x14ac:dyDescent="0.3">
      <c r="A586" s="7"/>
      <c r="B586" s="7"/>
      <c r="C586" s="3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4" x14ac:dyDescent="0.3">
      <c r="A587" s="7"/>
      <c r="B587" s="7"/>
      <c r="C587" s="3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4" x14ac:dyDescent="0.3">
      <c r="A588" s="7"/>
      <c r="B588" s="7"/>
      <c r="C588" s="3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4" x14ac:dyDescent="0.3">
      <c r="A589" s="7"/>
      <c r="B589" s="7"/>
      <c r="C589" s="3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4" x14ac:dyDescent="0.3">
      <c r="A590" s="7"/>
      <c r="B590" s="7"/>
      <c r="C590" s="3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4" x14ac:dyDescent="0.3">
      <c r="A591" s="7"/>
      <c r="B591" s="7"/>
      <c r="C591" s="3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4" x14ac:dyDescent="0.3">
      <c r="A592" s="7"/>
      <c r="B592" s="7"/>
      <c r="C592" s="3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4" x14ac:dyDescent="0.3">
      <c r="A593" s="7"/>
      <c r="B593" s="7"/>
      <c r="C593" s="3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4" x14ac:dyDescent="0.3">
      <c r="A594" s="7"/>
      <c r="B594" s="7"/>
      <c r="C594" s="3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4" x14ac:dyDescent="0.3">
      <c r="A595" s="7"/>
      <c r="B595" s="7"/>
      <c r="C595" s="3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4" x14ac:dyDescent="0.3">
      <c r="A596" s="7"/>
      <c r="B596" s="7"/>
      <c r="C596" s="3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4" x14ac:dyDescent="0.3">
      <c r="A597" s="7"/>
      <c r="B597" s="7"/>
      <c r="C597" s="3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4" x14ac:dyDescent="0.3">
      <c r="A598" s="7"/>
      <c r="B598" s="7"/>
      <c r="C598" s="3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4" x14ac:dyDescent="0.3">
      <c r="A599" s="7"/>
      <c r="B599" s="7"/>
      <c r="C599" s="3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4" x14ac:dyDescent="0.3">
      <c r="A600" s="7"/>
      <c r="B600" s="7"/>
      <c r="C600" s="3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4" x14ac:dyDescent="0.3">
      <c r="A601" s="7"/>
      <c r="B601" s="7"/>
      <c r="C601" s="3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4" x14ac:dyDescent="0.3">
      <c r="A602" s="7"/>
      <c r="B602" s="7"/>
      <c r="C602" s="3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4" x14ac:dyDescent="0.3">
      <c r="A603" s="7"/>
      <c r="B603" s="7"/>
      <c r="C603" s="3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4" x14ac:dyDescent="0.3">
      <c r="A604" s="7"/>
      <c r="B604" s="7"/>
      <c r="C604" s="3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4" x14ac:dyDescent="0.3">
      <c r="A605" s="7"/>
      <c r="B605" s="7"/>
      <c r="C605" s="3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4" x14ac:dyDescent="0.3">
      <c r="A606" s="7"/>
      <c r="B606" s="7"/>
      <c r="C606" s="3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4" x14ac:dyDescent="0.3">
      <c r="A607" s="7"/>
      <c r="B607" s="7"/>
      <c r="C607" s="3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4" x14ac:dyDescent="0.3">
      <c r="A608" s="7"/>
      <c r="B608" s="7"/>
      <c r="C608" s="3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4" x14ac:dyDescent="0.3">
      <c r="A609" s="7"/>
      <c r="B609" s="7"/>
      <c r="C609" s="3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4" x14ac:dyDescent="0.3">
      <c r="A610" s="7"/>
      <c r="B610" s="7"/>
      <c r="C610" s="3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4" x14ac:dyDescent="0.3">
      <c r="A611" s="7"/>
      <c r="B611" s="7"/>
      <c r="C611" s="3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4" x14ac:dyDescent="0.3">
      <c r="A612" s="7"/>
      <c r="B612" s="7"/>
      <c r="C612" s="3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4" x14ac:dyDescent="0.3">
      <c r="A613" s="7"/>
      <c r="B613" s="7"/>
      <c r="C613" s="3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4" x14ac:dyDescent="0.3">
      <c r="A614" s="7"/>
      <c r="B614" s="7"/>
      <c r="C614" s="3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4" x14ac:dyDescent="0.3">
      <c r="A615" s="7"/>
      <c r="B615" s="7"/>
      <c r="C615" s="3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4" x14ac:dyDescent="0.3">
      <c r="A616" s="7"/>
      <c r="B616" s="7"/>
      <c r="C616" s="3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4" x14ac:dyDescent="0.3">
      <c r="A617" s="7"/>
      <c r="B617" s="7"/>
      <c r="C617" s="3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4" x14ac:dyDescent="0.3">
      <c r="A618" s="7"/>
      <c r="B618" s="7"/>
      <c r="C618" s="3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4" x14ac:dyDescent="0.3">
      <c r="A619" s="7"/>
      <c r="B619" s="7"/>
      <c r="C619" s="3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4" x14ac:dyDescent="0.3">
      <c r="A620" s="7"/>
      <c r="B620" s="7"/>
      <c r="C620" s="3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4" x14ac:dyDescent="0.3">
      <c r="A621" s="7"/>
      <c r="B621" s="7"/>
      <c r="C621" s="3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4" x14ac:dyDescent="0.3">
      <c r="A622" s="7"/>
      <c r="B622" s="7"/>
      <c r="C622" s="3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4" x14ac:dyDescent="0.3">
      <c r="A623" s="7"/>
      <c r="B623" s="7"/>
      <c r="C623" s="3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4" x14ac:dyDescent="0.3">
      <c r="A624" s="7"/>
      <c r="B624" s="7"/>
      <c r="C624" s="3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4" x14ac:dyDescent="0.3">
      <c r="A625" s="7"/>
      <c r="B625" s="7"/>
      <c r="C625" s="3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4" x14ac:dyDescent="0.3">
      <c r="A626" s="7"/>
      <c r="B626" s="7"/>
      <c r="C626" s="3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4" x14ac:dyDescent="0.3">
      <c r="A627" s="7"/>
      <c r="B627" s="7"/>
      <c r="C627" s="3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4" x14ac:dyDescent="0.3">
      <c r="A628" s="7"/>
      <c r="B628" s="7"/>
      <c r="C628" s="3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4" x14ac:dyDescent="0.3">
      <c r="A629" s="7"/>
      <c r="B629" s="7"/>
      <c r="C629" s="3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4" x14ac:dyDescent="0.3">
      <c r="A630" s="7"/>
      <c r="B630" s="7"/>
      <c r="C630" s="3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4" x14ac:dyDescent="0.3">
      <c r="A631" s="7"/>
      <c r="B631" s="7"/>
      <c r="C631" s="3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4" x14ac:dyDescent="0.3">
      <c r="A632" s="7"/>
      <c r="B632" s="7"/>
      <c r="C632" s="3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4" x14ac:dyDescent="0.3">
      <c r="A633" s="7"/>
      <c r="B633" s="7"/>
      <c r="C633" s="3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4" x14ac:dyDescent="0.3">
      <c r="A634" s="7"/>
      <c r="B634" s="7"/>
      <c r="C634" s="3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4" x14ac:dyDescent="0.3">
      <c r="A635" s="7"/>
      <c r="B635" s="7"/>
      <c r="C635" s="3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4" x14ac:dyDescent="0.3">
      <c r="A636" s="7"/>
      <c r="B636" s="7"/>
      <c r="C636" s="3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4" x14ac:dyDescent="0.3">
      <c r="A637" s="7"/>
      <c r="B637" s="7"/>
      <c r="C637" s="3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4" x14ac:dyDescent="0.3">
      <c r="A638" s="7"/>
      <c r="B638" s="7"/>
      <c r="C638" s="3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4" x14ac:dyDescent="0.3">
      <c r="A639" s="7"/>
      <c r="B639" s="7"/>
      <c r="C639" s="3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4" x14ac:dyDescent="0.3">
      <c r="A640" s="7"/>
      <c r="B640" s="7"/>
      <c r="C640" s="3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4" x14ac:dyDescent="0.3">
      <c r="A641" s="7"/>
      <c r="B641" s="7"/>
      <c r="C641" s="3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4" x14ac:dyDescent="0.3">
      <c r="A642" s="7"/>
      <c r="B642" s="7"/>
      <c r="C642" s="3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4" x14ac:dyDescent="0.3">
      <c r="A643" s="7"/>
      <c r="B643" s="7"/>
      <c r="C643" s="3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4" x14ac:dyDescent="0.3">
      <c r="A644" s="7"/>
      <c r="B644" s="7"/>
      <c r="C644" s="3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4" x14ac:dyDescent="0.3">
      <c r="A645" s="7"/>
      <c r="B645" s="7"/>
      <c r="C645" s="3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4" x14ac:dyDescent="0.3">
      <c r="A646" s="7"/>
      <c r="B646" s="7"/>
      <c r="C646" s="3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4" x14ac:dyDescent="0.3">
      <c r="A647" s="7"/>
      <c r="B647" s="7"/>
      <c r="C647" s="3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4" x14ac:dyDescent="0.3">
      <c r="A648" s="7"/>
      <c r="B648" s="7"/>
      <c r="C648" s="3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4" x14ac:dyDescent="0.3">
      <c r="A649" s="7"/>
      <c r="B649" s="7"/>
      <c r="C649" s="3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4" x14ac:dyDescent="0.3">
      <c r="A650" s="7"/>
      <c r="B650" s="7"/>
      <c r="C650" s="3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4" x14ac:dyDescent="0.3">
      <c r="A651" s="7"/>
      <c r="B651" s="7"/>
      <c r="C651" s="3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4" x14ac:dyDescent="0.3">
      <c r="A652" s="7"/>
      <c r="B652" s="7"/>
      <c r="C652" s="3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4" x14ac:dyDescent="0.3">
      <c r="A653" s="7"/>
      <c r="B653" s="7"/>
      <c r="C653" s="3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4" x14ac:dyDescent="0.3">
      <c r="A654" s="7"/>
      <c r="B654" s="7"/>
      <c r="C654" s="3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4" x14ac:dyDescent="0.3">
      <c r="A655" s="7"/>
      <c r="B655" s="7"/>
      <c r="C655" s="3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4" x14ac:dyDescent="0.3">
      <c r="A656" s="7"/>
      <c r="B656" s="7"/>
      <c r="C656" s="3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4" x14ac:dyDescent="0.3">
      <c r="A657" s="7"/>
      <c r="B657" s="7"/>
      <c r="C657" s="3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4" x14ac:dyDescent="0.3">
      <c r="A658" s="7"/>
      <c r="B658" s="7"/>
      <c r="C658" s="3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4" x14ac:dyDescent="0.3">
      <c r="A659" s="7"/>
      <c r="B659" s="7"/>
      <c r="C659" s="3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4" x14ac:dyDescent="0.3">
      <c r="A660" s="7"/>
      <c r="B660" s="7"/>
      <c r="C660" s="3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4" x14ac:dyDescent="0.3">
      <c r="A661" s="7"/>
      <c r="B661" s="7"/>
      <c r="C661" s="3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4" x14ac:dyDescent="0.3">
      <c r="A662" s="7"/>
      <c r="B662" s="7"/>
      <c r="C662" s="3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4" x14ac:dyDescent="0.3">
      <c r="A663" s="7"/>
      <c r="B663" s="7"/>
      <c r="C663" s="3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4" x14ac:dyDescent="0.3">
      <c r="A664" s="7"/>
      <c r="B664" s="7"/>
      <c r="C664" s="3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4" x14ac:dyDescent="0.3">
      <c r="A665" s="7"/>
      <c r="B665" s="7"/>
      <c r="C665" s="3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4" x14ac:dyDescent="0.3">
      <c r="A666" s="7"/>
      <c r="B666" s="7"/>
      <c r="C666" s="3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4" x14ac:dyDescent="0.3">
      <c r="A667" s="7"/>
      <c r="B667" s="7"/>
      <c r="C667" s="3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4" x14ac:dyDescent="0.3">
      <c r="A668" s="7"/>
      <c r="B668" s="7"/>
      <c r="C668" s="3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4" x14ac:dyDescent="0.3">
      <c r="A669" s="7"/>
      <c r="B669" s="7"/>
      <c r="C669" s="3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4" x14ac:dyDescent="0.3">
      <c r="A670" s="7"/>
      <c r="B670" s="7"/>
      <c r="C670" s="3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4" x14ac:dyDescent="0.3">
      <c r="A671" s="7"/>
      <c r="B671" s="7"/>
      <c r="C671" s="3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4" x14ac:dyDescent="0.3">
      <c r="A672" s="7"/>
      <c r="B672" s="7"/>
      <c r="C672" s="3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4" x14ac:dyDescent="0.3">
      <c r="A673" s="7"/>
      <c r="B673" s="7"/>
      <c r="C673" s="3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4" x14ac:dyDescent="0.3">
      <c r="A674" s="7"/>
      <c r="B674" s="7"/>
      <c r="C674" s="3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4" x14ac:dyDescent="0.3">
      <c r="A675" s="7"/>
      <c r="B675" s="7"/>
      <c r="C675" s="3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4" x14ac:dyDescent="0.3">
      <c r="A676" s="7"/>
      <c r="B676" s="7"/>
      <c r="C676" s="3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4" x14ac:dyDescent="0.3">
      <c r="A677" s="7"/>
      <c r="B677" s="7"/>
      <c r="C677" s="3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4" x14ac:dyDescent="0.3">
      <c r="A678" s="7"/>
      <c r="B678" s="7"/>
      <c r="C678" s="3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4" x14ac:dyDescent="0.3">
      <c r="A679" s="7"/>
      <c r="B679" s="7"/>
      <c r="C679" s="3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4" x14ac:dyDescent="0.3">
      <c r="A680" s="7"/>
      <c r="B680" s="7"/>
      <c r="C680" s="3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4" x14ac:dyDescent="0.3">
      <c r="A681" s="7"/>
      <c r="B681" s="7"/>
      <c r="C681" s="3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4" x14ac:dyDescent="0.3">
      <c r="A682" s="7"/>
      <c r="B682" s="7"/>
      <c r="C682" s="3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4" x14ac:dyDescent="0.3">
      <c r="A683" s="7"/>
      <c r="B683" s="7"/>
      <c r="C683" s="3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4" x14ac:dyDescent="0.3">
      <c r="A684" s="7"/>
      <c r="B684" s="7"/>
      <c r="C684" s="3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4" x14ac:dyDescent="0.3">
      <c r="A685" s="7"/>
      <c r="B685" s="7"/>
      <c r="C685" s="3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4" x14ac:dyDescent="0.3">
      <c r="A686" s="7"/>
      <c r="B686" s="7"/>
      <c r="C686" s="3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4" x14ac:dyDescent="0.3">
      <c r="A687" s="7"/>
      <c r="B687" s="7"/>
      <c r="C687" s="3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4" x14ac:dyDescent="0.3">
      <c r="A688" s="7"/>
      <c r="B688" s="7"/>
      <c r="C688" s="3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4" x14ac:dyDescent="0.3">
      <c r="A689" s="7"/>
      <c r="B689" s="7"/>
      <c r="C689" s="3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4" x14ac:dyDescent="0.3">
      <c r="A690" s="7"/>
      <c r="B690" s="7"/>
      <c r="C690" s="3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4" x14ac:dyDescent="0.3">
      <c r="A691" s="7"/>
      <c r="B691" s="7"/>
      <c r="C691" s="3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4" x14ac:dyDescent="0.3">
      <c r="A692" s="7"/>
      <c r="B692" s="7"/>
      <c r="C692" s="3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4" x14ac:dyDescent="0.3">
      <c r="A693" s="7"/>
      <c r="B693" s="7"/>
      <c r="C693" s="3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4" x14ac:dyDescent="0.3">
      <c r="A694" s="7"/>
      <c r="B694" s="7"/>
      <c r="C694" s="3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4" x14ac:dyDescent="0.3">
      <c r="A695" s="7"/>
      <c r="B695" s="7"/>
      <c r="C695" s="3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4" x14ac:dyDescent="0.3">
      <c r="A696" s="7"/>
      <c r="B696" s="7"/>
      <c r="C696" s="3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4" x14ac:dyDescent="0.3">
      <c r="A697" s="7"/>
      <c r="B697" s="7"/>
      <c r="C697" s="3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4" x14ac:dyDescent="0.3">
      <c r="A698" s="7"/>
      <c r="B698" s="7"/>
      <c r="C698" s="3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4" x14ac:dyDescent="0.3">
      <c r="A699" s="7"/>
      <c r="B699" s="7"/>
      <c r="C699" s="3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4" x14ac:dyDescent="0.3">
      <c r="A700" s="7"/>
      <c r="B700" s="7"/>
      <c r="C700" s="3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4" x14ac:dyDescent="0.3">
      <c r="A701" s="7"/>
      <c r="B701" s="7"/>
      <c r="C701" s="3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4" x14ac:dyDescent="0.3">
      <c r="A702" s="7"/>
      <c r="B702" s="7"/>
      <c r="C702" s="3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4" x14ac:dyDescent="0.3">
      <c r="A703" s="7"/>
      <c r="B703" s="7"/>
      <c r="C703" s="3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4" x14ac:dyDescent="0.3">
      <c r="A704" s="7"/>
      <c r="B704" s="7"/>
      <c r="C704" s="3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4" x14ac:dyDescent="0.3">
      <c r="A705" s="7"/>
      <c r="B705" s="7"/>
      <c r="C705" s="3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4" x14ac:dyDescent="0.3">
      <c r="A706" s="7"/>
      <c r="B706" s="7"/>
      <c r="C706" s="3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4" x14ac:dyDescent="0.3">
      <c r="A707" s="7"/>
      <c r="B707" s="7"/>
      <c r="C707" s="3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4" x14ac:dyDescent="0.3">
      <c r="A708" s="7"/>
      <c r="B708" s="7"/>
      <c r="C708" s="3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4" x14ac:dyDescent="0.3">
      <c r="A709" s="7"/>
      <c r="B709" s="7"/>
      <c r="C709" s="3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4" x14ac:dyDescent="0.3">
      <c r="A710" s="7"/>
      <c r="B710" s="7"/>
      <c r="C710" s="3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4" x14ac:dyDescent="0.3">
      <c r="A711" s="7"/>
      <c r="B711" s="7"/>
      <c r="C711" s="3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4" x14ac:dyDescent="0.3">
      <c r="A712" s="7"/>
      <c r="B712" s="7"/>
      <c r="C712" s="3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4" x14ac:dyDescent="0.3">
      <c r="A713" s="7"/>
      <c r="B713" s="7"/>
      <c r="C713" s="3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4" x14ac:dyDescent="0.3">
      <c r="A714" s="7"/>
      <c r="B714" s="7"/>
      <c r="C714" s="3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4" x14ac:dyDescent="0.3">
      <c r="A715" s="7"/>
      <c r="B715" s="7"/>
      <c r="C715" s="3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4" x14ac:dyDescent="0.3">
      <c r="A716" s="7"/>
      <c r="B716" s="7"/>
      <c r="C716" s="3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4" x14ac:dyDescent="0.3">
      <c r="A717" s="7"/>
      <c r="B717" s="7"/>
      <c r="C717" s="3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4" x14ac:dyDescent="0.3">
      <c r="A718" s="7"/>
      <c r="B718" s="7"/>
      <c r="C718" s="3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4" x14ac:dyDescent="0.3">
      <c r="A719" s="7"/>
      <c r="B719" s="7"/>
      <c r="C719" s="3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4" x14ac:dyDescent="0.3">
      <c r="A720" s="7"/>
      <c r="B720" s="7"/>
      <c r="C720" s="3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4" x14ac:dyDescent="0.3">
      <c r="A721" s="7"/>
      <c r="B721" s="7"/>
      <c r="C721" s="3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4" x14ac:dyDescent="0.3">
      <c r="A722" s="7"/>
      <c r="B722" s="7"/>
      <c r="C722" s="3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4" x14ac:dyDescent="0.3">
      <c r="A723" s="7"/>
      <c r="B723" s="7"/>
      <c r="C723" s="3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4" x14ac:dyDescent="0.3">
      <c r="A724" s="7"/>
      <c r="B724" s="7"/>
      <c r="C724" s="3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4" x14ac:dyDescent="0.3">
      <c r="A725" s="7"/>
      <c r="B725" s="7"/>
      <c r="C725" s="3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4" x14ac:dyDescent="0.3">
      <c r="A726" s="7"/>
      <c r="B726" s="7"/>
      <c r="C726" s="3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4" x14ac:dyDescent="0.3">
      <c r="A727" s="7"/>
      <c r="B727" s="7"/>
      <c r="C727" s="3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4" x14ac:dyDescent="0.3">
      <c r="A728" s="7"/>
      <c r="B728" s="7"/>
      <c r="C728" s="3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4" x14ac:dyDescent="0.3">
      <c r="A729" s="7"/>
      <c r="B729" s="7"/>
      <c r="C729" s="3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4" x14ac:dyDescent="0.3">
      <c r="A730" s="7"/>
      <c r="B730" s="7"/>
      <c r="C730" s="3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4" x14ac:dyDescent="0.3">
      <c r="A731" s="7"/>
      <c r="B731" s="7"/>
      <c r="C731" s="3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4" x14ac:dyDescent="0.3">
      <c r="A732" s="7"/>
      <c r="B732" s="7"/>
      <c r="C732" s="3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14" x14ac:dyDescent="0.3">
      <c r="A733" s="7"/>
      <c r="B733" s="7"/>
      <c r="C733" s="3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14" x14ac:dyDescent="0.3">
      <c r="A734" s="7"/>
      <c r="B734" s="7"/>
      <c r="C734" s="3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14" x14ac:dyDescent="0.3">
      <c r="A735" s="7"/>
      <c r="B735" s="7"/>
      <c r="C735" s="3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14" x14ac:dyDescent="0.3">
      <c r="A736" s="7"/>
      <c r="B736" s="7"/>
      <c r="C736" s="3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14" x14ac:dyDescent="0.3">
      <c r="A737" s="7"/>
      <c r="B737" s="7"/>
      <c r="C737" s="3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14" x14ac:dyDescent="0.3">
      <c r="A738" s="7"/>
      <c r="B738" s="7"/>
      <c r="C738" s="3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14" x14ac:dyDescent="0.3">
      <c r="A739" s="7"/>
      <c r="B739" s="7"/>
      <c r="C739" s="3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14" x14ac:dyDescent="0.3">
      <c r="A740" s="7"/>
      <c r="B740" s="7"/>
      <c r="C740" s="3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14" x14ac:dyDescent="0.3">
      <c r="A741" s="7"/>
      <c r="B741" s="7"/>
      <c r="C741" s="3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14" x14ac:dyDescent="0.3">
      <c r="A742" s="7"/>
      <c r="B742" s="7"/>
      <c r="C742" s="3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14" x14ac:dyDescent="0.3">
      <c r="A743" s="7"/>
      <c r="B743" s="7"/>
      <c r="C743" s="3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14" x14ac:dyDescent="0.3">
      <c r="A744" s="7"/>
      <c r="B744" s="7"/>
      <c r="C744" s="3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14" x14ac:dyDescent="0.3">
      <c r="A745" s="7"/>
      <c r="B745" s="7"/>
      <c r="C745" s="3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14" x14ac:dyDescent="0.3">
      <c r="A746" s="7"/>
      <c r="B746" s="7"/>
      <c r="C746" s="3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14" x14ac:dyDescent="0.3">
      <c r="A747" s="7"/>
      <c r="B747" s="7"/>
      <c r="C747" s="3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14" x14ac:dyDescent="0.3">
      <c r="A748" s="7"/>
      <c r="B748" s="7"/>
      <c r="C748" s="3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14" x14ac:dyDescent="0.3">
      <c r="A749" s="7"/>
      <c r="B749" s="7"/>
      <c r="C749" s="3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14" x14ac:dyDescent="0.3">
      <c r="A750" s="7"/>
      <c r="B750" s="7"/>
      <c r="C750" s="3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14" x14ac:dyDescent="0.3">
      <c r="A751" s="7"/>
      <c r="B751" s="7"/>
      <c r="C751" s="3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14" x14ac:dyDescent="0.3">
      <c r="A752" s="7"/>
      <c r="B752" s="7"/>
      <c r="C752" s="3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4" x14ac:dyDescent="0.3">
      <c r="A753" s="7"/>
      <c r="B753" s="7"/>
      <c r="C753" s="3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4" x14ac:dyDescent="0.3">
      <c r="A754" s="7"/>
      <c r="B754" s="7"/>
      <c r="C754" s="3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4" x14ac:dyDescent="0.3">
      <c r="A755" s="7"/>
      <c r="B755" s="7"/>
      <c r="C755" s="3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4" x14ac:dyDescent="0.3">
      <c r="A756" s="7"/>
      <c r="B756" s="7"/>
      <c r="C756" s="3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4" x14ac:dyDescent="0.3">
      <c r="A757" s="7"/>
      <c r="B757" s="7"/>
      <c r="C757" s="3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4" x14ac:dyDescent="0.3">
      <c r="A758" s="7"/>
      <c r="B758" s="7"/>
      <c r="C758" s="3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4" x14ac:dyDescent="0.3">
      <c r="A759" s="7"/>
      <c r="B759" s="7"/>
      <c r="C759" s="3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4" x14ac:dyDescent="0.3">
      <c r="A760" s="7"/>
      <c r="B760" s="7"/>
      <c r="C760" s="3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4" x14ac:dyDescent="0.3">
      <c r="A761" s="7"/>
      <c r="B761" s="7"/>
      <c r="C761" s="3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4" x14ac:dyDescent="0.3">
      <c r="A762" s="7"/>
      <c r="B762" s="7"/>
      <c r="C762" s="3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4" x14ac:dyDescent="0.3">
      <c r="A763" s="7"/>
      <c r="B763" s="7"/>
      <c r="C763" s="3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4" x14ac:dyDescent="0.3">
      <c r="A764" s="7"/>
      <c r="B764" s="7"/>
      <c r="C764" s="3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14" x14ac:dyDescent="0.3">
      <c r="A765" s="7"/>
      <c r="B765" s="7"/>
      <c r="C765" s="3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4" x14ac:dyDescent="0.3">
      <c r="A766" s="7"/>
      <c r="B766" s="7"/>
      <c r="C766" s="3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4" x14ac:dyDescent="0.3">
      <c r="A767" s="7"/>
      <c r="B767" s="7"/>
      <c r="C767" s="3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4" x14ac:dyDescent="0.3">
      <c r="A768" s="7"/>
      <c r="B768" s="7"/>
      <c r="C768" s="3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4" x14ac:dyDescent="0.3">
      <c r="A769" s="7"/>
      <c r="B769" s="7"/>
      <c r="C769" s="3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4" x14ac:dyDescent="0.3">
      <c r="A770" s="7"/>
      <c r="B770" s="7"/>
      <c r="C770" s="3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4" x14ac:dyDescent="0.3">
      <c r="A771" s="7"/>
      <c r="B771" s="7"/>
      <c r="C771" s="3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4" x14ac:dyDescent="0.3">
      <c r="A772" s="7"/>
      <c r="B772" s="7"/>
      <c r="C772" s="3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4" x14ac:dyDescent="0.3">
      <c r="A773" s="7"/>
      <c r="B773" s="7"/>
      <c r="C773" s="3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4" x14ac:dyDescent="0.3">
      <c r="A774" s="7"/>
      <c r="B774" s="7"/>
      <c r="C774" s="3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4" x14ac:dyDescent="0.3">
      <c r="A775" s="7"/>
      <c r="B775" s="7"/>
      <c r="C775" s="3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4" x14ac:dyDescent="0.3">
      <c r="A776" s="7"/>
      <c r="B776" s="7"/>
      <c r="C776" s="3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4" x14ac:dyDescent="0.3">
      <c r="A777" s="7"/>
      <c r="B777" s="7"/>
      <c r="C777" s="3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4" x14ac:dyDescent="0.3">
      <c r="A778" s="7"/>
      <c r="B778" s="7"/>
      <c r="C778" s="3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4" x14ac:dyDescent="0.3">
      <c r="A779" s="7"/>
      <c r="B779" s="7"/>
      <c r="C779" s="3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4" x14ac:dyDescent="0.3">
      <c r="A780" s="7"/>
      <c r="B780" s="7"/>
      <c r="C780" s="3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4" x14ac:dyDescent="0.3">
      <c r="A781" s="7"/>
      <c r="B781" s="7"/>
      <c r="C781" s="3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4" x14ac:dyDescent="0.3">
      <c r="A782" s="7"/>
      <c r="B782" s="7"/>
      <c r="C782" s="3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4" x14ac:dyDescent="0.3">
      <c r="A783" s="7"/>
      <c r="B783" s="7"/>
      <c r="C783" s="3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4" x14ac:dyDescent="0.3">
      <c r="A784" s="7"/>
      <c r="B784" s="7"/>
      <c r="C784" s="3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4" x14ac:dyDescent="0.3">
      <c r="A785" s="7"/>
      <c r="B785" s="7"/>
      <c r="C785" s="3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4" x14ac:dyDescent="0.3">
      <c r="A786" s="7"/>
      <c r="B786" s="7"/>
      <c r="C786" s="3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4" x14ac:dyDescent="0.3">
      <c r="A787" s="7"/>
      <c r="B787" s="7"/>
      <c r="C787" s="3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4" x14ac:dyDescent="0.3">
      <c r="A788" s="7"/>
      <c r="B788" s="7"/>
      <c r="C788" s="3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4" x14ac:dyDescent="0.3">
      <c r="A789" s="7"/>
      <c r="B789" s="7"/>
      <c r="C789" s="3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4" x14ac:dyDescent="0.3">
      <c r="A790" s="7"/>
      <c r="B790" s="7"/>
      <c r="C790" s="3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4" x14ac:dyDescent="0.3">
      <c r="A791" s="7"/>
      <c r="B791" s="7"/>
      <c r="C791" s="3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14" x14ac:dyDescent="0.3">
      <c r="A792" s="7"/>
      <c r="B792" s="7"/>
      <c r="C792" s="3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14" x14ac:dyDescent="0.3">
      <c r="A793" s="7"/>
      <c r="B793" s="7"/>
      <c r="C793" s="3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14" x14ac:dyDescent="0.3">
      <c r="A794" s="7"/>
      <c r="B794" s="7"/>
      <c r="C794" s="3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14" x14ac:dyDescent="0.3">
      <c r="A795" s="7"/>
      <c r="B795" s="7"/>
      <c r="C795" s="3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14" x14ac:dyDescent="0.3">
      <c r="A796" s="7"/>
      <c r="B796" s="7"/>
      <c r="C796" s="3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14" x14ac:dyDescent="0.3">
      <c r="A797" s="7"/>
      <c r="B797" s="7"/>
      <c r="C797" s="3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14" x14ac:dyDescent="0.3">
      <c r="A798" s="7"/>
      <c r="B798" s="7"/>
      <c r="C798" s="3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14" x14ac:dyDescent="0.3">
      <c r="A799" s="7"/>
      <c r="B799" s="7"/>
      <c r="C799" s="3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14" x14ac:dyDescent="0.3">
      <c r="A800" s="7"/>
      <c r="B800" s="7"/>
      <c r="C800" s="3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14" x14ac:dyDescent="0.3">
      <c r="A801" s="7"/>
      <c r="B801" s="7"/>
      <c r="C801" s="3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14" x14ac:dyDescent="0.3">
      <c r="A802" s="7"/>
      <c r="B802" s="7"/>
      <c r="C802" s="3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14" x14ac:dyDescent="0.3">
      <c r="A803" s="7"/>
      <c r="B803" s="7"/>
      <c r="C803" s="3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14" x14ac:dyDescent="0.3">
      <c r="A804" s="7"/>
      <c r="B804" s="7"/>
      <c r="C804" s="3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14" x14ac:dyDescent="0.3">
      <c r="A805" s="7"/>
      <c r="B805" s="7"/>
      <c r="C805" s="3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14" x14ac:dyDescent="0.3">
      <c r="A806" s="7"/>
      <c r="B806" s="7"/>
      <c r="C806" s="3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14" x14ac:dyDescent="0.3">
      <c r="A807" s="7"/>
      <c r="B807" s="7"/>
      <c r="C807" s="3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14" x14ac:dyDescent="0.3">
      <c r="A808" s="7"/>
      <c r="B808" s="7"/>
      <c r="C808" s="3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14" x14ac:dyDescent="0.3">
      <c r="A809" s="7"/>
      <c r="B809" s="7"/>
      <c r="C809" s="3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14" x14ac:dyDescent="0.3">
      <c r="A810" s="7"/>
      <c r="B810" s="7"/>
      <c r="C810" s="3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14" x14ac:dyDescent="0.3">
      <c r="A811" s="7"/>
      <c r="B811" s="7"/>
      <c r="C811" s="3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14" x14ac:dyDescent="0.3">
      <c r="A812" s="7"/>
      <c r="B812" s="7"/>
      <c r="C812" s="3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14" x14ac:dyDescent="0.3">
      <c r="A813" s="7"/>
      <c r="B813" s="7"/>
      <c r="C813" s="3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14" x14ac:dyDescent="0.3">
      <c r="A814" s="7"/>
      <c r="B814" s="7"/>
      <c r="C814" s="3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14" x14ac:dyDescent="0.3">
      <c r="A815" s="7"/>
      <c r="B815" s="7"/>
      <c r="C815" s="3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14" x14ac:dyDescent="0.3">
      <c r="A816" s="7"/>
      <c r="B816" s="7"/>
      <c r="C816" s="3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14" x14ac:dyDescent="0.3">
      <c r="A817" s="7"/>
      <c r="B817" s="7"/>
      <c r="C817" s="3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14" x14ac:dyDescent="0.3">
      <c r="A818" s="7"/>
      <c r="B818" s="7"/>
      <c r="C818" s="3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14" x14ac:dyDescent="0.3">
      <c r="A819" s="7"/>
      <c r="B819" s="7"/>
      <c r="C819" s="3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14" x14ac:dyDescent="0.3">
      <c r="A820" s="7"/>
      <c r="B820" s="7"/>
      <c r="C820" s="3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14" x14ac:dyDescent="0.3">
      <c r="A821" s="7"/>
      <c r="B821" s="7"/>
      <c r="C821" s="3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14" x14ac:dyDescent="0.3">
      <c r="A822" s="7"/>
      <c r="B822" s="7"/>
      <c r="C822" s="3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14" x14ac:dyDescent="0.3">
      <c r="A823" s="7"/>
      <c r="B823" s="7"/>
      <c r="C823" s="3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14" x14ac:dyDescent="0.3">
      <c r="A824" s="7"/>
      <c r="B824" s="7"/>
      <c r="C824" s="3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14" x14ac:dyDescent="0.3">
      <c r="A825" s="7"/>
      <c r="B825" s="7"/>
      <c r="C825" s="3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14" x14ac:dyDescent="0.3">
      <c r="A826" s="7"/>
      <c r="B826" s="7"/>
      <c r="C826" s="3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14" x14ac:dyDescent="0.3">
      <c r="A827" s="7"/>
      <c r="B827" s="7"/>
      <c r="C827" s="3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14" x14ac:dyDescent="0.3">
      <c r="A828" s="7"/>
      <c r="B828" s="7"/>
      <c r="C828" s="3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14" x14ac:dyDescent="0.3">
      <c r="A829" s="7"/>
      <c r="B829" s="7"/>
      <c r="C829" s="3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14" x14ac:dyDescent="0.3">
      <c r="A830" s="7"/>
      <c r="B830" s="7"/>
      <c r="C830" s="3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14" x14ac:dyDescent="0.3">
      <c r="A831" s="7"/>
      <c r="B831" s="7"/>
      <c r="C831" s="3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14" x14ac:dyDescent="0.3">
      <c r="A832" s="7"/>
      <c r="B832" s="7"/>
      <c r="C832" s="3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14" x14ac:dyDescent="0.3">
      <c r="A833" s="7"/>
      <c r="B833" s="7"/>
      <c r="C833" s="3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14" x14ac:dyDescent="0.3">
      <c r="A834" s="7"/>
      <c r="B834" s="7"/>
      <c r="C834" s="3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14" x14ac:dyDescent="0.3">
      <c r="A835" s="7"/>
      <c r="B835" s="7"/>
      <c r="C835" s="3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14" x14ac:dyDescent="0.3">
      <c r="A836" s="7"/>
      <c r="B836" s="7"/>
      <c r="C836" s="3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14" x14ac:dyDescent="0.3">
      <c r="A837" s="7"/>
      <c r="B837" s="7"/>
      <c r="C837" s="3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14" x14ac:dyDescent="0.3">
      <c r="A838" s="7"/>
      <c r="B838" s="7"/>
      <c r="C838" s="3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14" x14ac:dyDescent="0.3">
      <c r="A839" s="7"/>
      <c r="B839" s="7"/>
      <c r="C839" s="3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14" x14ac:dyDescent="0.3">
      <c r="A840" s="7"/>
      <c r="B840" s="7"/>
      <c r="C840" s="3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14" x14ac:dyDescent="0.3">
      <c r="A841" s="7"/>
      <c r="B841" s="7"/>
      <c r="C841" s="3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14" x14ac:dyDescent="0.3">
      <c r="A842" s="7"/>
      <c r="B842" s="7"/>
      <c r="C842" s="3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14" x14ac:dyDescent="0.3">
      <c r="A843" s="7"/>
      <c r="B843" s="7"/>
      <c r="C843" s="3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14" x14ac:dyDescent="0.3">
      <c r="A844" s="7"/>
      <c r="B844" s="7"/>
      <c r="C844" s="3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14" x14ac:dyDescent="0.3">
      <c r="A845" s="7"/>
      <c r="B845" s="7"/>
      <c r="C845" s="3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14" x14ac:dyDescent="0.3">
      <c r="A846" s="7"/>
      <c r="B846" s="7"/>
      <c r="C846" s="3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14" x14ac:dyDescent="0.3">
      <c r="A847" s="7"/>
      <c r="B847" s="7"/>
      <c r="C847" s="3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14" x14ac:dyDescent="0.3">
      <c r="A848" s="7"/>
      <c r="B848" s="7"/>
      <c r="C848" s="3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14" x14ac:dyDescent="0.3">
      <c r="A849" s="7"/>
      <c r="B849" s="7"/>
      <c r="C849" s="3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14" x14ac:dyDescent="0.3">
      <c r="A850" s="7"/>
      <c r="B850" s="7"/>
      <c r="C850" s="3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14" x14ac:dyDescent="0.3">
      <c r="A851" s="7"/>
      <c r="B851" s="7"/>
      <c r="C851" s="3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14" x14ac:dyDescent="0.3">
      <c r="A852" s="7"/>
      <c r="B852" s="7"/>
      <c r="C852" s="3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14" x14ac:dyDescent="0.3">
      <c r="A853" s="7"/>
      <c r="B853" s="7"/>
      <c r="C853" s="3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14" x14ac:dyDescent="0.3">
      <c r="A854" s="7"/>
      <c r="B854" s="7"/>
      <c r="C854" s="3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14" x14ac:dyDescent="0.3">
      <c r="A855" s="7"/>
      <c r="B855" s="7"/>
      <c r="C855" s="3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14" x14ac:dyDescent="0.3">
      <c r="A856" s="7"/>
      <c r="B856" s="7"/>
      <c r="C856" s="3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14" x14ac:dyDescent="0.3">
      <c r="A857" s="7"/>
      <c r="B857" s="7"/>
      <c r="C857" s="3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14" x14ac:dyDescent="0.3">
      <c r="A858" s="7"/>
      <c r="B858" s="7"/>
      <c r="C858" s="3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14" x14ac:dyDescent="0.3">
      <c r="A859" s="7"/>
      <c r="B859" s="7"/>
      <c r="C859" s="3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ht="14" x14ac:dyDescent="0.3">
      <c r="A860" s="7"/>
      <c r="B860" s="7"/>
      <c r="C860" s="3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ht="14" x14ac:dyDescent="0.3">
      <c r="A861" s="7"/>
      <c r="B861" s="7"/>
      <c r="C861" s="3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ht="14" x14ac:dyDescent="0.3">
      <c r="A862" s="7"/>
      <c r="B862" s="7"/>
      <c r="C862" s="3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ht="14" x14ac:dyDescent="0.3">
      <c r="A863" s="7"/>
      <c r="B863" s="7"/>
      <c r="C863" s="3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ht="14" x14ac:dyDescent="0.3">
      <c r="A864" s="7"/>
      <c r="B864" s="7"/>
      <c r="C864" s="3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ht="14" x14ac:dyDescent="0.3">
      <c r="A865" s="7"/>
      <c r="B865" s="7"/>
      <c r="C865" s="3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ht="14" x14ac:dyDescent="0.3">
      <c r="A866" s="7"/>
      <c r="B866" s="7"/>
      <c r="C866" s="3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ht="14" x14ac:dyDescent="0.3">
      <c r="A867" s="7"/>
      <c r="B867" s="7"/>
      <c r="C867" s="3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ht="14" x14ac:dyDescent="0.3">
      <c r="A868" s="7"/>
      <c r="B868" s="7"/>
      <c r="C868" s="3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ht="14" x14ac:dyDescent="0.3">
      <c r="A869" s="7"/>
      <c r="B869" s="7"/>
      <c r="C869" s="3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ht="14" x14ac:dyDescent="0.3">
      <c r="A870" s="7"/>
      <c r="B870" s="7"/>
      <c r="C870" s="3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ht="14" x14ac:dyDescent="0.3">
      <c r="A871" s="7"/>
      <c r="B871" s="7"/>
      <c r="C871" s="3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ht="14" x14ac:dyDescent="0.3">
      <c r="A872" s="7"/>
      <c r="B872" s="7"/>
      <c r="C872" s="3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ht="14" x14ac:dyDescent="0.3">
      <c r="A873" s="7"/>
      <c r="B873" s="7"/>
      <c r="C873" s="3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ht="14" x14ac:dyDescent="0.3">
      <c r="A874" s="7"/>
      <c r="B874" s="7"/>
      <c r="C874" s="3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ht="14" x14ac:dyDescent="0.3">
      <c r="A875" s="7"/>
      <c r="B875" s="7"/>
      <c r="C875" s="3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ht="14" x14ac:dyDescent="0.3">
      <c r="A876" s="7"/>
      <c r="B876" s="7"/>
      <c r="C876" s="3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ht="14" x14ac:dyDescent="0.3">
      <c r="A877" s="7"/>
      <c r="B877" s="7"/>
      <c r="C877" s="3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ht="14" x14ac:dyDescent="0.3">
      <c r="A878" s="7"/>
      <c r="B878" s="7"/>
      <c r="C878" s="3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ht="14" x14ac:dyDescent="0.3">
      <c r="A879" s="7"/>
      <c r="B879" s="7"/>
      <c r="C879" s="3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ht="14" x14ac:dyDescent="0.3">
      <c r="A880" s="7"/>
      <c r="B880" s="7"/>
      <c r="C880" s="3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ht="14" x14ac:dyDescent="0.3">
      <c r="A881" s="7"/>
      <c r="B881" s="7"/>
      <c r="C881" s="3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ht="14" x14ac:dyDescent="0.3">
      <c r="A882" s="7"/>
      <c r="B882" s="7"/>
      <c r="C882" s="3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ht="14" x14ac:dyDescent="0.3">
      <c r="A883" s="7"/>
      <c r="B883" s="7"/>
      <c r="C883" s="3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ht="14" x14ac:dyDescent="0.3">
      <c r="A884" s="7"/>
      <c r="B884" s="7"/>
      <c r="C884" s="3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ht="14" x14ac:dyDescent="0.3">
      <c r="A885" s="7"/>
      <c r="B885" s="7"/>
      <c r="C885" s="3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ht="14" x14ac:dyDescent="0.3">
      <c r="A886" s="7"/>
      <c r="B886" s="7"/>
      <c r="C886" s="3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ht="14" x14ac:dyDescent="0.3">
      <c r="A887" s="7"/>
      <c r="B887" s="7"/>
      <c r="C887" s="3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ht="14" x14ac:dyDescent="0.3">
      <c r="A888" s="7"/>
      <c r="B888" s="7"/>
      <c r="C888" s="3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ht="14" x14ac:dyDescent="0.3">
      <c r="A889" s="7"/>
      <c r="B889" s="7"/>
      <c r="C889" s="3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ht="14" x14ac:dyDescent="0.3">
      <c r="A890" s="7"/>
      <c r="B890" s="7"/>
      <c r="C890" s="3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ht="14" x14ac:dyDescent="0.3">
      <c r="A891" s="7"/>
      <c r="B891" s="7"/>
      <c r="C891" s="3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ht="14" x14ac:dyDescent="0.3">
      <c r="A892" s="7"/>
      <c r="B892" s="7"/>
      <c r="C892" s="3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ht="14" x14ac:dyDescent="0.3">
      <c r="A893" s="7"/>
      <c r="B893" s="7"/>
      <c r="C893" s="3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ht="14" x14ac:dyDescent="0.3">
      <c r="A894" s="7"/>
      <c r="B894" s="7"/>
      <c r="C894" s="3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ht="14" x14ac:dyDescent="0.3">
      <c r="A895" s="7"/>
      <c r="B895" s="7"/>
      <c r="C895" s="3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ht="14" x14ac:dyDescent="0.3">
      <c r="A896" s="7"/>
      <c r="B896" s="7"/>
      <c r="C896" s="3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ht="14" x14ac:dyDescent="0.3">
      <c r="A897" s="7"/>
      <c r="B897" s="7"/>
      <c r="C897" s="3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ht="14" x14ac:dyDescent="0.3">
      <c r="A898" s="7"/>
      <c r="B898" s="7"/>
      <c r="C898" s="3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ht="14" x14ac:dyDescent="0.3">
      <c r="A899" s="7"/>
      <c r="B899" s="7"/>
      <c r="C899" s="3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ht="14" x14ac:dyDescent="0.3">
      <c r="A900" s="7"/>
      <c r="B900" s="7"/>
      <c r="C900" s="3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ht="14" x14ac:dyDescent="0.3">
      <c r="A901" s="7"/>
      <c r="B901" s="7"/>
      <c r="C901" s="3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ht="14" x14ac:dyDescent="0.3">
      <c r="A902" s="7"/>
      <c r="B902" s="7"/>
      <c r="C902" s="3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ht="14" x14ac:dyDescent="0.3">
      <c r="A903" s="7"/>
      <c r="B903" s="7"/>
      <c r="C903" s="3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ht="14" x14ac:dyDescent="0.3">
      <c r="A904" s="7"/>
      <c r="B904" s="7"/>
      <c r="C904" s="3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ht="14" x14ac:dyDescent="0.3">
      <c r="A905" s="7"/>
      <c r="B905" s="7"/>
      <c r="C905" s="3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ht="14" x14ac:dyDescent="0.3">
      <c r="A906" s="7"/>
      <c r="B906" s="7"/>
      <c r="C906" s="3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ht="14" x14ac:dyDescent="0.3">
      <c r="A907" s="7"/>
      <c r="B907" s="7"/>
      <c r="C907" s="3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ht="14" x14ac:dyDescent="0.3">
      <c r="A908" s="7"/>
      <c r="B908" s="7"/>
      <c r="C908" s="3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ht="14" x14ac:dyDescent="0.3">
      <c r="A909" s="7"/>
      <c r="B909" s="7"/>
      <c r="C909" s="3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ht="14" x14ac:dyDescent="0.3">
      <c r="A910" s="7"/>
      <c r="B910" s="7"/>
      <c r="C910" s="3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ht="14" x14ac:dyDescent="0.3">
      <c r="A911" s="7"/>
      <c r="B911" s="7"/>
      <c r="C911" s="3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ht="14" x14ac:dyDescent="0.3">
      <c r="A912" s="7"/>
      <c r="B912" s="7"/>
      <c r="C912" s="3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ht="14" x14ac:dyDescent="0.3">
      <c r="A913" s="7"/>
      <c r="B913" s="7"/>
      <c r="C913" s="3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ht="14" x14ac:dyDescent="0.3">
      <c r="A914" s="7"/>
      <c r="B914" s="7"/>
      <c r="C914" s="3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ht="14" x14ac:dyDescent="0.3">
      <c r="A915" s="7"/>
      <c r="B915" s="7"/>
      <c r="C915" s="3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ht="14" x14ac:dyDescent="0.3">
      <c r="A916" s="7"/>
      <c r="B916" s="7"/>
      <c r="C916" s="3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ht="14" x14ac:dyDescent="0.3">
      <c r="A917" s="7"/>
      <c r="B917" s="7"/>
      <c r="C917" s="3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ht="14" x14ac:dyDescent="0.3">
      <c r="A918" s="7"/>
      <c r="B918" s="7"/>
      <c r="C918" s="3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ht="14" x14ac:dyDescent="0.3">
      <c r="A919" s="7"/>
      <c r="B919" s="7"/>
      <c r="C919" s="3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ht="14" x14ac:dyDescent="0.3">
      <c r="A920" s="7"/>
      <c r="B920" s="7"/>
      <c r="C920" s="3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ht="14" x14ac:dyDescent="0.3">
      <c r="A921" s="7"/>
      <c r="B921" s="7"/>
      <c r="C921" s="3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ht="14" x14ac:dyDescent="0.3">
      <c r="A922" s="7"/>
      <c r="B922" s="7"/>
      <c r="C922" s="3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ht="14" x14ac:dyDescent="0.3">
      <c r="A923" s="7"/>
      <c r="B923" s="7"/>
      <c r="C923" s="3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ht="14" x14ac:dyDescent="0.3">
      <c r="A924" s="7"/>
      <c r="B924" s="7"/>
      <c r="C924" s="3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ht="14" x14ac:dyDescent="0.3">
      <c r="A925" s="7"/>
      <c r="B925" s="7"/>
      <c r="C925" s="3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ht="14" x14ac:dyDescent="0.3">
      <c r="A926" s="7"/>
      <c r="B926" s="7"/>
      <c r="C926" s="3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ht="14" x14ac:dyDescent="0.3">
      <c r="A927" s="7"/>
      <c r="B927" s="7"/>
      <c r="C927" s="3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ht="14" x14ac:dyDescent="0.3">
      <c r="A928" s="7"/>
      <c r="B928" s="7"/>
      <c r="C928" s="3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ht="14" x14ac:dyDescent="0.3">
      <c r="A929" s="7"/>
      <c r="B929" s="7"/>
      <c r="C929" s="3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ht="14" x14ac:dyDescent="0.3">
      <c r="A930" s="7"/>
      <c r="B930" s="7"/>
      <c r="C930" s="3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ht="14" x14ac:dyDescent="0.3">
      <c r="A931" s="7"/>
      <c r="B931" s="7"/>
      <c r="C931" s="3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ht="14" x14ac:dyDescent="0.3">
      <c r="A932" s="7"/>
      <c r="B932" s="7"/>
      <c r="C932" s="3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ht="14" x14ac:dyDescent="0.3">
      <c r="A933" s="7"/>
      <c r="B933" s="7"/>
      <c r="C933" s="3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ht="14" x14ac:dyDescent="0.3">
      <c r="A934" s="7"/>
      <c r="B934" s="7"/>
      <c r="C934" s="3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ht="14" x14ac:dyDescent="0.3">
      <c r="A935" s="7"/>
      <c r="B935" s="7"/>
      <c r="C935" s="3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ht="14" x14ac:dyDescent="0.3">
      <c r="A936" s="7"/>
      <c r="B936" s="7"/>
      <c r="C936" s="3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ht="14" x14ac:dyDescent="0.3">
      <c r="A937" s="7"/>
      <c r="B937" s="7"/>
      <c r="C937" s="3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ht="14" x14ac:dyDescent="0.3">
      <c r="A938" s="7"/>
      <c r="B938" s="7"/>
      <c r="C938" s="3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ht="14" x14ac:dyDescent="0.3">
      <c r="A939" s="7"/>
      <c r="B939" s="7"/>
      <c r="C939" s="3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ht="14" x14ac:dyDescent="0.3">
      <c r="A940" s="7"/>
      <c r="B940" s="7"/>
      <c r="C940" s="3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ht="14" x14ac:dyDescent="0.3">
      <c r="A941" s="7"/>
      <c r="B941" s="7"/>
      <c r="C941" s="3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ht="14" x14ac:dyDescent="0.3">
      <c r="A942" s="7"/>
      <c r="B942" s="7"/>
      <c r="C942" s="3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ht="14" x14ac:dyDescent="0.3">
      <c r="A943" s="7"/>
      <c r="B943" s="7"/>
      <c r="C943" s="3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ht="14" x14ac:dyDescent="0.3">
      <c r="A944" s="7"/>
      <c r="B944" s="7"/>
      <c r="C944" s="3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ht="14" x14ac:dyDescent="0.3">
      <c r="A945" s="7"/>
      <c r="B945" s="7"/>
      <c r="C945" s="3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ht="14" x14ac:dyDescent="0.3">
      <c r="A946" s="7"/>
      <c r="B946" s="7"/>
      <c r="C946" s="3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ht="14" x14ac:dyDescent="0.3">
      <c r="A947" s="7"/>
      <c r="B947" s="7"/>
      <c r="C947" s="3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ht="14" x14ac:dyDescent="0.3">
      <c r="A948" s="7"/>
      <c r="B948" s="7"/>
      <c r="C948" s="3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ht="14" x14ac:dyDescent="0.3">
      <c r="A949" s="7"/>
      <c r="B949" s="7"/>
      <c r="C949" s="3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ht="14" x14ac:dyDescent="0.3">
      <c r="A950" s="7"/>
      <c r="B950" s="7"/>
      <c r="C950" s="3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ht="14" x14ac:dyDescent="0.3">
      <c r="A951" s="7"/>
      <c r="B951" s="7"/>
      <c r="C951" s="3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ht="14" x14ac:dyDescent="0.3">
      <c r="A952" s="7"/>
      <c r="B952" s="7"/>
      <c r="C952" s="3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ht="14" x14ac:dyDescent="0.3">
      <c r="A953" s="7"/>
      <c r="B953" s="7"/>
      <c r="C953" s="3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ht="14" x14ac:dyDescent="0.3">
      <c r="A954" s="7"/>
      <c r="B954" s="7"/>
      <c r="C954" s="3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ht="14" x14ac:dyDescent="0.3">
      <c r="A955" s="7"/>
      <c r="B955" s="7"/>
      <c r="C955" s="3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ht="14" x14ac:dyDescent="0.3">
      <c r="A956" s="7"/>
      <c r="B956" s="7"/>
      <c r="C956" s="3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ht="14" x14ac:dyDescent="0.3">
      <c r="A957" s="7"/>
      <c r="B957" s="7"/>
      <c r="C957" s="3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ht="14" x14ac:dyDescent="0.3">
      <c r="A958" s="7"/>
      <c r="B958" s="7"/>
      <c r="C958" s="3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ht="14" x14ac:dyDescent="0.3">
      <c r="A959" s="7"/>
      <c r="B959" s="7"/>
      <c r="C959" s="3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ht="14" x14ac:dyDescent="0.3">
      <c r="A960" s="7"/>
      <c r="B960" s="7"/>
      <c r="C960" s="3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ht="14" x14ac:dyDescent="0.3">
      <c r="A961" s="7"/>
      <c r="B961" s="7"/>
      <c r="C961" s="3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ht="14" x14ac:dyDescent="0.3">
      <c r="A962" s="7"/>
      <c r="B962" s="7"/>
      <c r="C962" s="3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ht="14" x14ac:dyDescent="0.3">
      <c r="A963" s="7"/>
      <c r="B963" s="7"/>
      <c r="C963" s="3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ht="14" x14ac:dyDescent="0.3">
      <c r="A964" s="7"/>
      <c r="B964" s="7"/>
      <c r="C964" s="3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ht="14" x14ac:dyDescent="0.3">
      <c r="A965" s="7"/>
      <c r="B965" s="7"/>
      <c r="C965" s="3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ht="14" x14ac:dyDescent="0.3">
      <c r="A966" s="7"/>
      <c r="B966" s="7"/>
      <c r="C966" s="3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ht="14" x14ac:dyDescent="0.3">
      <c r="A967" s="7"/>
      <c r="B967" s="7"/>
      <c r="C967" s="3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ht="14" x14ac:dyDescent="0.3">
      <c r="A968" s="7"/>
      <c r="B968" s="7"/>
      <c r="C968" s="3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ht="14" x14ac:dyDescent="0.3">
      <c r="A969" s="7"/>
      <c r="B969" s="7"/>
      <c r="C969" s="3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ht="14" x14ac:dyDescent="0.3">
      <c r="A970" s="7"/>
      <c r="B970" s="7"/>
      <c r="C970" s="3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ht="14" x14ac:dyDescent="0.3">
      <c r="A971" s="7"/>
      <c r="B971" s="7"/>
      <c r="C971" s="3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 ht="14" x14ac:dyDescent="0.3">
      <c r="A972" s="7"/>
      <c r="B972" s="7"/>
      <c r="C972" s="3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ht="14" x14ac:dyDescent="0.3">
      <c r="A973" s="7"/>
      <c r="B973" s="7"/>
      <c r="C973" s="3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ht="14" x14ac:dyDescent="0.3">
      <c r="A974" s="7"/>
      <c r="B974" s="7"/>
      <c r="C974" s="3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 ht="14" x14ac:dyDescent="0.3">
      <c r="A975" s="7"/>
      <c r="B975" s="7"/>
      <c r="C975" s="3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ht="14" x14ac:dyDescent="0.3">
      <c r="A976" s="7"/>
      <c r="B976" s="7"/>
      <c r="C976" s="3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ht="14" x14ac:dyDescent="0.3">
      <c r="A977" s="7"/>
      <c r="B977" s="7"/>
      <c r="C977" s="3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 ht="14" x14ac:dyDescent="0.3">
      <c r="A978" s="7"/>
      <c r="B978" s="7"/>
      <c r="C978" s="3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ht="14" x14ac:dyDescent="0.3">
      <c r="A979" s="7"/>
      <c r="B979" s="7"/>
      <c r="C979" s="3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ht="14" x14ac:dyDescent="0.3">
      <c r="A980" s="7"/>
      <c r="B980" s="7"/>
      <c r="C980" s="3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ht="14" x14ac:dyDescent="0.3">
      <c r="A981" s="7"/>
      <c r="B981" s="7"/>
      <c r="C981" s="3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ht="14" x14ac:dyDescent="0.3">
      <c r="A982" s="7"/>
      <c r="B982" s="7"/>
      <c r="C982" s="3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 ht="14" x14ac:dyDescent="0.3">
      <c r="A983" s="7"/>
      <c r="B983" s="7"/>
      <c r="C983" s="3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ht="14" x14ac:dyDescent="0.3">
      <c r="A984" s="7"/>
      <c r="B984" s="7"/>
      <c r="C984" s="3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 ht="14" x14ac:dyDescent="0.3">
      <c r="A985" s="7"/>
      <c r="B985" s="7"/>
      <c r="C985" s="3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ht="14" x14ac:dyDescent="0.3">
      <c r="A986" s="7"/>
      <c r="B986" s="7"/>
      <c r="C986" s="3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ht="14" x14ac:dyDescent="0.3">
      <c r="A987" s="7"/>
      <c r="B987" s="7"/>
      <c r="C987" s="3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ht="14" x14ac:dyDescent="0.3">
      <c r="A988" s="7"/>
      <c r="B988" s="7"/>
      <c r="C988" s="3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ht="14" x14ac:dyDescent="0.3">
      <c r="A989" s="7"/>
      <c r="B989" s="7"/>
      <c r="C989" s="3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ht="14" x14ac:dyDescent="0.3">
      <c r="A990" s="7"/>
      <c r="B990" s="7"/>
      <c r="C990" s="3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ht="14" x14ac:dyDescent="0.3">
      <c r="A991" s="7"/>
      <c r="B991" s="7"/>
      <c r="C991" s="3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 ht="14" x14ac:dyDescent="0.3">
      <c r="A992" s="7"/>
      <c r="B992" s="7"/>
      <c r="C992" s="3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ht="14" x14ac:dyDescent="0.3">
      <c r="A993" s="7"/>
      <c r="B993" s="7"/>
      <c r="C993" s="3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 ht="14" x14ac:dyDescent="0.3">
      <c r="A994" s="7"/>
      <c r="B994" s="7"/>
      <c r="C994" s="3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ht="14" x14ac:dyDescent="0.3">
      <c r="A995" s="7"/>
      <c r="B995" s="7"/>
      <c r="C995" s="3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ht="14" x14ac:dyDescent="0.3">
      <c r="A996" s="7"/>
      <c r="B996" s="7"/>
      <c r="C996" s="3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 ht="14" x14ac:dyDescent="0.3">
      <c r="A997" s="7"/>
      <c r="B997" s="7"/>
      <c r="C997" s="3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ht="14" x14ac:dyDescent="0.3">
      <c r="A998" s="7"/>
      <c r="B998" s="7"/>
      <c r="C998" s="3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ht="14" x14ac:dyDescent="0.3">
      <c r="A999" s="7"/>
      <c r="B999" s="7"/>
      <c r="C999" s="34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ht="14" x14ac:dyDescent="0.3">
      <c r="A1000" s="7"/>
      <c r="B1000" s="7"/>
      <c r="C1000" s="34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autoFilter ref="A1:K5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04"/>
  <sheetViews>
    <sheetView topLeftCell="L1" workbookViewId="0">
      <selection activeCell="O21" sqref="O21"/>
    </sheetView>
  </sheetViews>
  <sheetFormatPr baseColWidth="10" defaultColWidth="12.6328125" defaultRowHeight="15.75" customHeight="1" x14ac:dyDescent="0.25"/>
  <cols>
    <col min="1" max="1" width="36" customWidth="1"/>
    <col min="2" max="2" width="21.6328125" bestFit="1" customWidth="1"/>
    <col min="3" max="3" width="15.1796875" style="31" customWidth="1"/>
    <col min="4" max="4" width="11.6328125" customWidth="1"/>
    <col min="5" max="5" width="29" customWidth="1"/>
    <col min="6" max="6" width="21.453125" customWidth="1"/>
    <col min="7" max="7" width="14.90625" customWidth="1"/>
    <col min="8" max="9" width="14.6328125" customWidth="1"/>
    <col min="10" max="10" width="12.453125" customWidth="1"/>
    <col min="11" max="11" width="17.90625" customWidth="1"/>
    <col min="13" max="13" width="22.453125" customWidth="1"/>
    <col min="14" max="14" width="21.81640625" bestFit="1" customWidth="1"/>
    <col min="15" max="15" width="14.26953125" bestFit="1" customWidth="1"/>
    <col min="16" max="16" width="15.26953125" bestFit="1" customWidth="1"/>
  </cols>
  <sheetData>
    <row r="1" spans="1:22" ht="24.75" customHeight="1" x14ac:dyDescent="0.25">
      <c r="A1" s="36" t="s">
        <v>167</v>
      </c>
      <c r="B1" s="18" t="s">
        <v>284</v>
      </c>
      <c r="C1" s="41" t="s">
        <v>287</v>
      </c>
      <c r="D1" s="36" t="s">
        <v>1</v>
      </c>
      <c r="E1" s="36" t="s">
        <v>2</v>
      </c>
      <c r="F1" s="36" t="s">
        <v>3</v>
      </c>
      <c r="G1" s="36" t="s">
        <v>4</v>
      </c>
      <c r="H1" s="36" t="s">
        <v>5</v>
      </c>
      <c r="I1" s="36" t="s">
        <v>6</v>
      </c>
      <c r="J1" s="36" t="s">
        <v>7</v>
      </c>
      <c r="K1" s="36" t="s">
        <v>168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2.5" x14ac:dyDescent="0.25">
      <c r="A2" s="38" t="s">
        <v>271</v>
      </c>
      <c r="B2" s="19" t="s">
        <v>285</v>
      </c>
      <c r="C2" s="42">
        <v>118639.49</v>
      </c>
      <c r="D2" s="38" t="s">
        <v>21</v>
      </c>
      <c r="E2" s="38" t="s">
        <v>21</v>
      </c>
      <c r="F2" s="38" t="s">
        <v>183</v>
      </c>
      <c r="G2" s="39" t="s">
        <v>289</v>
      </c>
      <c r="H2" s="38" t="s">
        <v>290</v>
      </c>
      <c r="I2" s="38" t="s">
        <v>291</v>
      </c>
      <c r="J2" s="38" t="s">
        <v>184</v>
      </c>
      <c r="K2" s="40">
        <v>45756</v>
      </c>
      <c r="M2" s="25" t="s">
        <v>288</v>
      </c>
      <c r="N2" s="25" t="s">
        <v>283</v>
      </c>
    </row>
    <row r="3" spans="1:22" ht="12.5" x14ac:dyDescent="0.25">
      <c r="A3" s="38" t="s">
        <v>271</v>
      </c>
      <c r="B3" s="19" t="s">
        <v>285</v>
      </c>
      <c r="C3" s="42">
        <v>12202.15</v>
      </c>
      <c r="D3" s="38" t="s">
        <v>21</v>
      </c>
      <c r="E3" s="38" t="s">
        <v>21</v>
      </c>
      <c r="F3" s="38" t="s">
        <v>185</v>
      </c>
      <c r="G3" s="39" t="s">
        <v>292</v>
      </c>
      <c r="H3" s="38" t="s">
        <v>293</v>
      </c>
      <c r="I3" s="38" t="s">
        <v>294</v>
      </c>
      <c r="J3" s="38" t="s">
        <v>186</v>
      </c>
      <c r="K3" s="40">
        <v>45756</v>
      </c>
      <c r="M3" s="25" t="s">
        <v>281</v>
      </c>
      <c r="N3" t="s">
        <v>286</v>
      </c>
      <c r="O3" t="s">
        <v>285</v>
      </c>
      <c r="P3" t="s">
        <v>282</v>
      </c>
    </row>
    <row r="4" spans="1:22" ht="12.5" x14ac:dyDescent="0.25">
      <c r="A4" s="38" t="s">
        <v>271</v>
      </c>
      <c r="B4" s="19" t="s">
        <v>285</v>
      </c>
      <c r="C4" s="42">
        <v>337381.6</v>
      </c>
      <c r="D4" s="38" t="s">
        <v>21</v>
      </c>
      <c r="E4" s="38" t="s">
        <v>21</v>
      </c>
      <c r="F4" s="38" t="s">
        <v>187</v>
      </c>
      <c r="G4" s="39" t="s">
        <v>295</v>
      </c>
      <c r="H4" s="38" t="s">
        <v>296</v>
      </c>
      <c r="I4" s="38" t="s">
        <v>297</v>
      </c>
      <c r="J4" s="38" t="s">
        <v>188</v>
      </c>
      <c r="K4" s="40">
        <v>45762</v>
      </c>
      <c r="M4" s="26" t="s">
        <v>270</v>
      </c>
      <c r="N4" s="29">
        <v>2382737.38</v>
      </c>
      <c r="O4" s="29">
        <v>324659.96000000002</v>
      </c>
      <c r="P4" s="29">
        <v>2707397.34</v>
      </c>
    </row>
    <row r="5" spans="1:22" ht="12.5" x14ac:dyDescent="0.25">
      <c r="A5" s="38" t="s">
        <v>271</v>
      </c>
      <c r="B5" s="19" t="s">
        <v>286</v>
      </c>
      <c r="C5" s="42">
        <v>2924376.08</v>
      </c>
      <c r="D5" s="38" t="s">
        <v>53</v>
      </c>
      <c r="E5" s="38" t="s">
        <v>298</v>
      </c>
      <c r="F5" s="38" t="s">
        <v>54</v>
      </c>
      <c r="G5" s="39" t="s">
        <v>299</v>
      </c>
      <c r="H5" s="38" t="s">
        <v>300</v>
      </c>
      <c r="I5" s="40"/>
      <c r="J5" s="38" t="s">
        <v>301</v>
      </c>
      <c r="K5" s="40">
        <v>45754</v>
      </c>
      <c r="M5" s="26" t="s">
        <v>271</v>
      </c>
      <c r="N5" s="29">
        <v>3332116.58</v>
      </c>
      <c r="O5" s="29">
        <v>1635733.92</v>
      </c>
      <c r="P5" s="29">
        <v>4967850.5</v>
      </c>
    </row>
    <row r="6" spans="1:22" ht="12.5" x14ac:dyDescent="0.25">
      <c r="A6" s="38" t="s">
        <v>271</v>
      </c>
      <c r="B6" s="19" t="s">
        <v>286</v>
      </c>
      <c r="C6" s="42">
        <v>407740.5</v>
      </c>
      <c r="D6" s="38" t="s">
        <v>38</v>
      </c>
      <c r="E6" s="38" t="s">
        <v>298</v>
      </c>
      <c r="F6" s="38" t="s">
        <v>180</v>
      </c>
      <c r="G6" s="39"/>
      <c r="H6" s="38"/>
      <c r="I6" s="40"/>
      <c r="J6" s="38" t="s">
        <v>189</v>
      </c>
      <c r="K6" s="40">
        <v>45770</v>
      </c>
      <c r="M6" s="26" t="s">
        <v>278</v>
      </c>
      <c r="N6" s="29">
        <v>953230.92999999993</v>
      </c>
      <c r="O6" s="29">
        <v>325369.83</v>
      </c>
      <c r="P6" s="29">
        <v>1278600.76</v>
      </c>
    </row>
    <row r="7" spans="1:22" ht="12.5" x14ac:dyDescent="0.25">
      <c r="A7" s="38" t="s">
        <v>271</v>
      </c>
      <c r="B7" s="19" t="s">
        <v>285</v>
      </c>
      <c r="C7" s="42">
        <v>456619.16</v>
      </c>
      <c r="D7" s="38" t="s">
        <v>12</v>
      </c>
      <c r="E7" s="38" t="s">
        <v>298</v>
      </c>
      <c r="F7" s="38" t="s">
        <v>180</v>
      </c>
      <c r="G7" s="39"/>
      <c r="H7" s="38"/>
      <c r="I7" s="40"/>
      <c r="J7" s="38" t="s">
        <v>181</v>
      </c>
      <c r="K7" s="40">
        <v>45770</v>
      </c>
      <c r="M7" s="26" t="s">
        <v>273</v>
      </c>
      <c r="N7" s="29">
        <v>821068.89</v>
      </c>
      <c r="O7" s="29">
        <v>58830</v>
      </c>
      <c r="P7" s="29">
        <v>879898.89</v>
      </c>
    </row>
    <row r="8" spans="1:22" ht="12.5" x14ac:dyDescent="0.25">
      <c r="A8" s="38" t="s">
        <v>271</v>
      </c>
      <c r="B8" s="19" t="s">
        <v>285</v>
      </c>
      <c r="C8" s="42">
        <v>519510.52</v>
      </c>
      <c r="D8" s="38" t="s">
        <v>16</v>
      </c>
      <c r="E8" s="38" t="s">
        <v>298</v>
      </c>
      <c r="F8" s="38" t="s">
        <v>180</v>
      </c>
      <c r="G8" s="39"/>
      <c r="H8" s="38"/>
      <c r="I8" s="40"/>
      <c r="J8" s="38" t="s">
        <v>182</v>
      </c>
      <c r="K8" s="40">
        <v>45770</v>
      </c>
      <c r="M8" s="26" t="s">
        <v>274</v>
      </c>
      <c r="N8" s="29">
        <v>3631434.89</v>
      </c>
      <c r="O8" s="29">
        <v>201527.02</v>
      </c>
      <c r="P8" s="29">
        <v>3832961.91</v>
      </c>
    </row>
    <row r="9" spans="1:22" ht="12.5" x14ac:dyDescent="0.25">
      <c r="A9" s="38" t="s">
        <v>271</v>
      </c>
      <c r="B9" s="19" t="s">
        <v>285</v>
      </c>
      <c r="C9" s="42">
        <v>24380</v>
      </c>
      <c r="D9" s="38" t="s">
        <v>40</v>
      </c>
      <c r="E9" s="38" t="s">
        <v>41</v>
      </c>
      <c r="F9" s="38" t="s">
        <v>176</v>
      </c>
      <c r="G9" s="39" t="s">
        <v>302</v>
      </c>
      <c r="H9" s="38" t="s">
        <v>303</v>
      </c>
      <c r="I9" s="40"/>
      <c r="J9" s="38" t="s">
        <v>190</v>
      </c>
      <c r="K9" s="40">
        <v>45770</v>
      </c>
      <c r="M9" s="26" t="s">
        <v>275</v>
      </c>
      <c r="N9" s="29">
        <v>2676375.6900000004</v>
      </c>
      <c r="O9" s="29">
        <v>146897.99</v>
      </c>
      <c r="P9" s="29">
        <v>2823273.6800000006</v>
      </c>
    </row>
    <row r="10" spans="1:22" ht="12.5" x14ac:dyDescent="0.25">
      <c r="A10" s="38" t="s">
        <v>271</v>
      </c>
      <c r="B10" s="19" t="s">
        <v>285</v>
      </c>
      <c r="C10" s="42">
        <v>40000</v>
      </c>
      <c r="D10" s="38" t="s">
        <v>169</v>
      </c>
      <c r="E10" s="38" t="s">
        <v>58</v>
      </c>
      <c r="F10" s="38" t="s">
        <v>170</v>
      </c>
      <c r="G10" s="39"/>
      <c r="H10" s="38"/>
      <c r="I10" s="40"/>
      <c r="J10" s="38" t="s">
        <v>171</v>
      </c>
      <c r="K10" s="40">
        <v>45783</v>
      </c>
      <c r="M10" s="26" t="s">
        <v>276</v>
      </c>
      <c r="N10" s="29">
        <v>1168004.49</v>
      </c>
      <c r="O10" s="29">
        <v>137554.66999999998</v>
      </c>
      <c r="P10" s="29">
        <v>1305559.1599999999</v>
      </c>
    </row>
    <row r="11" spans="1:22" ht="12.5" x14ac:dyDescent="0.25">
      <c r="A11" s="38" t="s">
        <v>271</v>
      </c>
      <c r="B11" s="19" t="s">
        <v>285</v>
      </c>
      <c r="C11" s="42">
        <v>127001</v>
      </c>
      <c r="D11" s="38" t="s">
        <v>46</v>
      </c>
      <c r="E11" s="38" t="s">
        <v>304</v>
      </c>
      <c r="F11" s="38" t="s">
        <v>191</v>
      </c>
      <c r="G11" s="39" t="s">
        <v>305</v>
      </c>
      <c r="H11" s="38" t="s">
        <v>306</v>
      </c>
      <c r="I11" s="38" t="s">
        <v>307</v>
      </c>
      <c r="J11" s="38" t="s">
        <v>192</v>
      </c>
      <c r="K11" s="40">
        <v>45754</v>
      </c>
      <c r="M11" s="26" t="s">
        <v>282</v>
      </c>
      <c r="N11" s="29">
        <v>14964968.85</v>
      </c>
      <c r="O11" s="29">
        <v>2830573.3899999997</v>
      </c>
      <c r="P11" s="29">
        <v>17795542.240000002</v>
      </c>
    </row>
    <row r="12" spans="1:22" ht="12.5" x14ac:dyDescent="0.25">
      <c r="A12" s="38" t="s">
        <v>278</v>
      </c>
      <c r="B12" s="19" t="s">
        <v>285</v>
      </c>
      <c r="C12" s="42">
        <v>117541.92</v>
      </c>
      <c r="D12" s="38" t="s">
        <v>21</v>
      </c>
      <c r="E12" s="38" t="s">
        <v>21</v>
      </c>
      <c r="F12" s="38" t="s">
        <v>213</v>
      </c>
      <c r="G12" s="39" t="s">
        <v>308</v>
      </c>
      <c r="H12" s="38" t="s">
        <v>309</v>
      </c>
      <c r="I12" s="38" t="s">
        <v>310</v>
      </c>
      <c r="J12" s="38" t="s">
        <v>214</v>
      </c>
      <c r="K12" s="40">
        <v>45756</v>
      </c>
    </row>
    <row r="13" spans="1:22" ht="12.5" x14ac:dyDescent="0.25">
      <c r="A13" s="38" t="s">
        <v>278</v>
      </c>
      <c r="B13" s="19" t="s">
        <v>285</v>
      </c>
      <c r="C13" s="42">
        <v>50547.91</v>
      </c>
      <c r="D13" s="38" t="s">
        <v>21</v>
      </c>
      <c r="E13" s="38" t="s">
        <v>21</v>
      </c>
      <c r="F13" s="38" t="s">
        <v>215</v>
      </c>
      <c r="G13" s="39" t="s">
        <v>311</v>
      </c>
      <c r="H13" s="38" t="s">
        <v>312</v>
      </c>
      <c r="I13" s="38" t="s">
        <v>313</v>
      </c>
      <c r="J13" s="38" t="s">
        <v>216</v>
      </c>
      <c r="K13" s="40">
        <v>45756</v>
      </c>
    </row>
    <row r="14" spans="1:22" ht="12.5" x14ac:dyDescent="0.25">
      <c r="A14" s="38" t="s">
        <v>278</v>
      </c>
      <c r="B14" s="19" t="s">
        <v>286</v>
      </c>
      <c r="C14" s="42">
        <v>738584</v>
      </c>
      <c r="D14" s="38" t="s">
        <v>53</v>
      </c>
      <c r="E14" s="38" t="s">
        <v>81</v>
      </c>
      <c r="F14" s="38" t="s">
        <v>314</v>
      </c>
      <c r="G14" s="39"/>
      <c r="H14" s="38" t="s">
        <v>315</v>
      </c>
      <c r="I14" s="40"/>
      <c r="J14" s="38" t="s">
        <v>220</v>
      </c>
      <c r="K14" s="40">
        <v>45763</v>
      </c>
    </row>
    <row r="15" spans="1:22" ht="12.5" x14ac:dyDescent="0.25">
      <c r="A15" s="38" t="s">
        <v>278</v>
      </c>
      <c r="B15" s="19" t="s">
        <v>285</v>
      </c>
      <c r="C15" s="42">
        <v>27480</v>
      </c>
      <c r="D15" s="38" t="s">
        <v>40</v>
      </c>
      <c r="E15" s="38" t="s">
        <v>41</v>
      </c>
      <c r="F15" s="38" t="s">
        <v>176</v>
      </c>
      <c r="G15" s="39" t="s">
        <v>316</v>
      </c>
      <c r="H15" s="38" t="s">
        <v>317</v>
      </c>
      <c r="I15" s="40"/>
      <c r="J15" s="38" t="s">
        <v>177</v>
      </c>
      <c r="K15" s="40">
        <v>45770</v>
      </c>
    </row>
    <row r="16" spans="1:22" ht="12.5" x14ac:dyDescent="0.25">
      <c r="A16" s="38" t="s">
        <v>278</v>
      </c>
      <c r="B16" s="19" t="s">
        <v>285</v>
      </c>
      <c r="C16" s="42">
        <v>40000</v>
      </c>
      <c r="D16" s="38" t="s">
        <v>169</v>
      </c>
      <c r="E16" s="38" t="s">
        <v>58</v>
      </c>
      <c r="F16" s="38" t="s">
        <v>170</v>
      </c>
      <c r="G16" s="39"/>
      <c r="H16" s="38"/>
      <c r="I16" s="40"/>
      <c r="J16" s="38" t="s">
        <v>171</v>
      </c>
      <c r="K16" s="40">
        <v>45783</v>
      </c>
    </row>
    <row r="17" spans="1:11" ht="12.5" x14ac:dyDescent="0.25">
      <c r="A17" s="38" t="s">
        <v>278</v>
      </c>
      <c r="B17" s="19" t="s">
        <v>286</v>
      </c>
      <c r="C17" s="42">
        <v>214646.93</v>
      </c>
      <c r="D17" s="38" t="s">
        <v>38</v>
      </c>
      <c r="E17" s="38" t="s">
        <v>71</v>
      </c>
      <c r="F17" s="38" t="s">
        <v>174</v>
      </c>
      <c r="G17" s="39" t="s">
        <v>217</v>
      </c>
      <c r="H17" s="38"/>
      <c r="I17" s="40"/>
      <c r="J17" s="38" t="s">
        <v>217</v>
      </c>
      <c r="K17" s="40">
        <v>45757</v>
      </c>
    </row>
    <row r="18" spans="1:11" ht="12.5" x14ac:dyDescent="0.25">
      <c r="A18" s="38" t="s">
        <v>278</v>
      </c>
      <c r="B18" s="19" t="s">
        <v>285</v>
      </c>
      <c r="C18" s="42">
        <v>89800</v>
      </c>
      <c r="D18" s="38" t="s">
        <v>46</v>
      </c>
      <c r="E18" s="38" t="s">
        <v>304</v>
      </c>
      <c r="F18" s="38" t="s">
        <v>218</v>
      </c>
      <c r="G18" s="39" t="s">
        <v>318</v>
      </c>
      <c r="H18" s="38" t="s">
        <v>319</v>
      </c>
      <c r="I18" s="38" t="s">
        <v>320</v>
      </c>
      <c r="J18" s="38" t="s">
        <v>219</v>
      </c>
      <c r="K18" s="40">
        <v>45754</v>
      </c>
    </row>
    <row r="19" spans="1:11" ht="12.5" x14ac:dyDescent="0.25">
      <c r="A19" s="38" t="s">
        <v>272</v>
      </c>
      <c r="B19" s="19" t="s">
        <v>286</v>
      </c>
      <c r="C19" s="42">
        <v>386330</v>
      </c>
      <c r="D19" s="38" t="s">
        <v>53</v>
      </c>
      <c r="E19" s="38" t="s">
        <v>321</v>
      </c>
      <c r="F19" s="38" t="s">
        <v>193</v>
      </c>
      <c r="G19" s="39" t="s">
        <v>322</v>
      </c>
      <c r="H19" s="38" t="s">
        <v>323</v>
      </c>
      <c r="I19" s="40"/>
      <c r="J19" s="38" t="s">
        <v>196</v>
      </c>
      <c r="K19" s="40">
        <v>45761</v>
      </c>
    </row>
    <row r="20" spans="1:11" ht="12.5" x14ac:dyDescent="0.25">
      <c r="A20" s="38" t="s">
        <v>272</v>
      </c>
      <c r="B20" s="19" t="s">
        <v>286</v>
      </c>
      <c r="C20" s="42">
        <v>42869.79</v>
      </c>
      <c r="D20" s="38" t="s">
        <v>38</v>
      </c>
      <c r="E20" s="38" t="s">
        <v>321</v>
      </c>
      <c r="F20" s="38" t="s">
        <v>193</v>
      </c>
      <c r="G20" s="39"/>
      <c r="H20" s="38"/>
      <c r="I20" s="38" t="s">
        <v>195</v>
      </c>
      <c r="J20" s="38" t="s">
        <v>195</v>
      </c>
      <c r="K20" s="40">
        <v>45761</v>
      </c>
    </row>
    <row r="21" spans="1:11" ht="12.5" x14ac:dyDescent="0.25">
      <c r="A21" s="38" t="s">
        <v>272</v>
      </c>
      <c r="B21" s="19" t="s">
        <v>285</v>
      </c>
      <c r="C21" s="42">
        <v>5477.78</v>
      </c>
      <c r="D21" s="38" t="s">
        <v>21</v>
      </c>
      <c r="E21" s="38" t="s">
        <v>321</v>
      </c>
      <c r="F21" s="38" t="s">
        <v>193</v>
      </c>
      <c r="G21" s="39" t="s">
        <v>324</v>
      </c>
      <c r="H21" s="38" t="s">
        <v>325</v>
      </c>
      <c r="I21" s="40"/>
      <c r="J21" s="38" t="s">
        <v>194</v>
      </c>
      <c r="K21" s="40">
        <v>45761</v>
      </c>
    </row>
    <row r="22" spans="1:11" ht="12.5" x14ac:dyDescent="0.25">
      <c r="A22" s="38" t="s">
        <v>273</v>
      </c>
      <c r="B22" s="19" t="s">
        <v>286</v>
      </c>
      <c r="C22" s="42">
        <v>540862</v>
      </c>
      <c r="D22" s="38" t="s">
        <v>53</v>
      </c>
      <c r="E22" s="38" t="s">
        <v>321</v>
      </c>
      <c r="F22" s="38" t="s">
        <v>89</v>
      </c>
      <c r="G22" s="39" t="s">
        <v>326</v>
      </c>
      <c r="H22" s="38" t="s">
        <v>327</v>
      </c>
      <c r="I22" s="40"/>
      <c r="J22" s="38" t="s">
        <v>197</v>
      </c>
      <c r="K22" s="40">
        <v>45761</v>
      </c>
    </row>
    <row r="23" spans="1:11" ht="12.5" x14ac:dyDescent="0.25">
      <c r="A23" s="38" t="s">
        <v>273</v>
      </c>
      <c r="B23" s="19" t="s">
        <v>286</v>
      </c>
      <c r="C23" s="42">
        <v>280206.89</v>
      </c>
      <c r="D23" s="38" t="s">
        <v>38</v>
      </c>
      <c r="E23" s="38" t="s">
        <v>321</v>
      </c>
      <c r="F23" s="38" t="s">
        <v>89</v>
      </c>
      <c r="G23" s="39"/>
      <c r="H23" s="38"/>
      <c r="I23" s="38" t="s">
        <v>198</v>
      </c>
      <c r="J23" s="38" t="s">
        <v>198</v>
      </c>
      <c r="K23" s="40">
        <v>45761</v>
      </c>
    </row>
    <row r="24" spans="1:11" ht="12.5" x14ac:dyDescent="0.25">
      <c r="A24" s="38" t="s">
        <v>273</v>
      </c>
      <c r="B24" s="19" t="s">
        <v>285</v>
      </c>
      <c r="C24" s="42">
        <v>27480</v>
      </c>
      <c r="D24" s="38" t="s">
        <v>40</v>
      </c>
      <c r="E24" s="38" t="s">
        <v>41</v>
      </c>
      <c r="F24" s="38" t="s">
        <v>176</v>
      </c>
      <c r="G24" s="39" t="s">
        <v>316</v>
      </c>
      <c r="H24" s="38" t="s">
        <v>317</v>
      </c>
      <c r="I24" s="40"/>
      <c r="J24" s="38" t="s">
        <v>177</v>
      </c>
      <c r="K24" s="40">
        <v>45770</v>
      </c>
    </row>
    <row r="25" spans="1:11" ht="12.5" x14ac:dyDescent="0.25">
      <c r="A25" s="38" t="s">
        <v>273</v>
      </c>
      <c r="B25" s="19" t="s">
        <v>285</v>
      </c>
      <c r="C25" s="42">
        <v>31350</v>
      </c>
      <c r="D25" s="38" t="s">
        <v>46</v>
      </c>
      <c r="E25" s="38" t="s">
        <v>304</v>
      </c>
      <c r="F25" s="38" t="s">
        <v>199</v>
      </c>
      <c r="G25" s="39" t="s">
        <v>328</v>
      </c>
      <c r="H25" s="38" t="s">
        <v>329</v>
      </c>
      <c r="I25" s="38" t="s">
        <v>330</v>
      </c>
      <c r="J25" s="38" t="s">
        <v>200</v>
      </c>
      <c r="K25" s="40">
        <v>45770</v>
      </c>
    </row>
    <row r="26" spans="1:11" ht="12.5" x14ac:dyDescent="0.25">
      <c r="A26" s="38" t="s">
        <v>277</v>
      </c>
      <c r="B26" s="19" t="s">
        <v>285</v>
      </c>
      <c r="C26" s="42">
        <v>27480</v>
      </c>
      <c r="D26" s="38" t="s">
        <v>40</v>
      </c>
      <c r="E26" s="38" t="s">
        <v>41</v>
      </c>
      <c r="F26" s="38" t="s">
        <v>176</v>
      </c>
      <c r="G26" s="39" t="s">
        <v>316</v>
      </c>
      <c r="H26" s="38" t="s">
        <v>317</v>
      </c>
      <c r="I26" s="40"/>
      <c r="J26" s="38" t="s">
        <v>177</v>
      </c>
      <c r="K26" s="40">
        <v>45770</v>
      </c>
    </row>
    <row r="27" spans="1:11" ht="12.5" x14ac:dyDescent="0.25">
      <c r="A27" s="38" t="s">
        <v>277</v>
      </c>
      <c r="B27" s="19" t="s">
        <v>285</v>
      </c>
      <c r="C27" s="42">
        <v>40000</v>
      </c>
      <c r="D27" s="38" t="s">
        <v>169</v>
      </c>
      <c r="E27" s="38" t="s">
        <v>58</v>
      </c>
      <c r="F27" s="38" t="s">
        <v>170</v>
      </c>
      <c r="G27" s="39"/>
      <c r="I27" s="40"/>
      <c r="J27" s="38" t="s">
        <v>171</v>
      </c>
      <c r="K27" s="40">
        <v>45783</v>
      </c>
    </row>
    <row r="28" spans="1:11" ht="12.5" x14ac:dyDescent="0.25">
      <c r="A28" s="38" t="s">
        <v>277</v>
      </c>
      <c r="B28" s="19" t="s">
        <v>285</v>
      </c>
      <c r="C28" s="42">
        <v>82983.199999999997</v>
      </c>
      <c r="D28" s="38" t="s">
        <v>46</v>
      </c>
      <c r="E28" s="38" t="s">
        <v>331</v>
      </c>
      <c r="F28" s="38" t="s">
        <v>178</v>
      </c>
      <c r="G28" s="39" t="s">
        <v>332</v>
      </c>
      <c r="H28" s="38" t="s">
        <v>333</v>
      </c>
      <c r="I28" s="38" t="s">
        <v>334</v>
      </c>
      <c r="J28" s="38" t="s">
        <v>179</v>
      </c>
      <c r="K28" s="40">
        <v>45771</v>
      </c>
    </row>
    <row r="29" spans="1:11" ht="12.5" x14ac:dyDescent="0.25">
      <c r="A29" s="38" t="s">
        <v>274</v>
      </c>
      <c r="B29" s="19" t="s">
        <v>285</v>
      </c>
      <c r="C29" s="42">
        <v>84534.62</v>
      </c>
      <c r="D29" s="38" t="s">
        <v>21</v>
      </c>
      <c r="E29" s="38" t="s">
        <v>21</v>
      </c>
      <c r="F29" s="38" t="s">
        <v>201</v>
      </c>
      <c r="G29" s="39" t="s">
        <v>335</v>
      </c>
      <c r="H29" s="38" t="s">
        <v>336</v>
      </c>
      <c r="I29" s="38" t="s">
        <v>337</v>
      </c>
      <c r="J29" s="38" t="s">
        <v>202</v>
      </c>
      <c r="K29" s="40">
        <v>45755</v>
      </c>
    </row>
    <row r="30" spans="1:11" ht="12.5" x14ac:dyDescent="0.25">
      <c r="A30" s="38" t="s">
        <v>274</v>
      </c>
      <c r="B30" s="19" t="s">
        <v>286</v>
      </c>
      <c r="C30" s="42">
        <v>1776140.28</v>
      </c>
      <c r="D30" s="38" t="s">
        <v>53</v>
      </c>
      <c r="E30" s="38" t="s">
        <v>120</v>
      </c>
      <c r="F30" s="38" t="s">
        <v>131</v>
      </c>
      <c r="G30" s="39" t="s">
        <v>338</v>
      </c>
      <c r="H30" s="38" t="s">
        <v>339</v>
      </c>
      <c r="I30" s="38" t="s">
        <v>340</v>
      </c>
      <c r="J30" s="38" t="s">
        <v>341</v>
      </c>
      <c r="K30" s="40">
        <v>45758</v>
      </c>
    </row>
    <row r="31" spans="1:11" ht="12.5" x14ac:dyDescent="0.25">
      <c r="A31" s="38" t="s">
        <v>274</v>
      </c>
      <c r="B31" s="19" t="s">
        <v>286</v>
      </c>
      <c r="C31" s="42">
        <v>1855294.61</v>
      </c>
      <c r="D31" s="38" t="s">
        <v>38</v>
      </c>
      <c r="E31" s="38" t="s">
        <v>120</v>
      </c>
      <c r="F31" s="38" t="s">
        <v>203</v>
      </c>
      <c r="G31" s="39" t="s">
        <v>342</v>
      </c>
      <c r="H31" s="38" t="s">
        <v>343</v>
      </c>
      <c r="I31" s="38" t="s">
        <v>344</v>
      </c>
      <c r="J31" s="38" t="s">
        <v>204</v>
      </c>
      <c r="K31" s="40">
        <v>45758</v>
      </c>
    </row>
    <row r="32" spans="1:11" ht="12.5" x14ac:dyDescent="0.25">
      <c r="A32" s="38" t="s">
        <v>274</v>
      </c>
      <c r="B32" s="19" t="s">
        <v>285</v>
      </c>
      <c r="C32" s="42">
        <v>27480</v>
      </c>
      <c r="D32" s="38" t="s">
        <v>40</v>
      </c>
      <c r="E32" s="38" t="s">
        <v>41</v>
      </c>
      <c r="F32" s="38" t="s">
        <v>176</v>
      </c>
      <c r="G32" s="39" t="s">
        <v>316</v>
      </c>
      <c r="H32" s="38" t="s">
        <v>317</v>
      </c>
      <c r="I32" s="40"/>
      <c r="J32" s="38" t="s">
        <v>177</v>
      </c>
      <c r="K32" s="40">
        <v>45770</v>
      </c>
    </row>
    <row r="33" spans="1:11" ht="12.5" x14ac:dyDescent="0.25">
      <c r="A33" s="38" t="s">
        <v>274</v>
      </c>
      <c r="B33" s="19" t="s">
        <v>285</v>
      </c>
      <c r="C33" s="42">
        <v>40000</v>
      </c>
      <c r="D33" s="38" t="s">
        <v>169</v>
      </c>
      <c r="E33" s="38" t="s">
        <v>58</v>
      </c>
      <c r="F33" s="38" t="s">
        <v>170</v>
      </c>
      <c r="G33" s="39"/>
      <c r="I33" s="40"/>
      <c r="J33" s="38" t="s">
        <v>171</v>
      </c>
      <c r="K33" s="40">
        <v>45783</v>
      </c>
    </row>
    <row r="34" spans="1:11" ht="12.5" x14ac:dyDescent="0.25">
      <c r="A34" s="38" t="s">
        <v>274</v>
      </c>
      <c r="B34" s="19" t="s">
        <v>285</v>
      </c>
      <c r="C34" s="42">
        <v>49512.4</v>
      </c>
      <c r="D34" s="38" t="s">
        <v>46</v>
      </c>
      <c r="E34" s="38" t="s">
        <v>304</v>
      </c>
      <c r="F34" s="38" t="s">
        <v>205</v>
      </c>
      <c r="G34" s="39" t="s">
        <v>345</v>
      </c>
      <c r="H34" s="38" t="s">
        <v>346</v>
      </c>
      <c r="I34" s="38" t="s">
        <v>347</v>
      </c>
      <c r="J34" s="38" t="s">
        <v>206</v>
      </c>
      <c r="K34" s="40">
        <v>45755</v>
      </c>
    </row>
    <row r="35" spans="1:11" ht="12.5" x14ac:dyDescent="0.25">
      <c r="A35" s="38" t="s">
        <v>270</v>
      </c>
      <c r="B35" s="19" t="s">
        <v>285</v>
      </c>
      <c r="C35" s="42">
        <v>174196.76</v>
      </c>
      <c r="D35" s="38" t="s">
        <v>21</v>
      </c>
      <c r="E35" s="38" t="s">
        <v>21</v>
      </c>
      <c r="F35" s="38" t="s">
        <v>172</v>
      </c>
      <c r="G35" s="39" t="s">
        <v>348</v>
      </c>
      <c r="H35" s="38" t="s">
        <v>349</v>
      </c>
      <c r="I35" s="38" t="s">
        <v>350</v>
      </c>
      <c r="J35" s="38" t="s">
        <v>173</v>
      </c>
      <c r="K35" s="40">
        <v>45756</v>
      </c>
    </row>
    <row r="36" spans="1:11" ht="12.5" x14ac:dyDescent="0.25">
      <c r="A36" s="38" t="s">
        <v>270</v>
      </c>
      <c r="B36" s="19" t="s">
        <v>285</v>
      </c>
      <c r="C36" s="42">
        <v>27480</v>
      </c>
      <c r="D36" s="38" t="s">
        <v>40</v>
      </c>
      <c r="E36" s="38" t="s">
        <v>41</v>
      </c>
      <c r="F36" s="38" t="s">
        <v>176</v>
      </c>
      <c r="G36" s="39" t="s">
        <v>316</v>
      </c>
      <c r="H36" s="38" t="s">
        <v>317</v>
      </c>
      <c r="J36" s="38" t="s">
        <v>177</v>
      </c>
      <c r="K36" s="40">
        <v>45770</v>
      </c>
    </row>
    <row r="37" spans="1:11" ht="12.5" x14ac:dyDescent="0.25">
      <c r="A37" s="38" t="s">
        <v>270</v>
      </c>
      <c r="B37" s="19" t="s">
        <v>286</v>
      </c>
      <c r="C37" s="42">
        <v>1696728.4</v>
      </c>
      <c r="D37" s="38" t="s">
        <v>53</v>
      </c>
      <c r="E37" s="38" t="s">
        <v>351</v>
      </c>
      <c r="F37" s="38" t="s">
        <v>145</v>
      </c>
      <c r="G37" s="39" t="s">
        <v>352</v>
      </c>
      <c r="H37" s="38" t="s">
        <v>353</v>
      </c>
      <c r="I37" s="40"/>
      <c r="J37" s="38" t="s">
        <v>354</v>
      </c>
      <c r="K37" s="40">
        <v>45762</v>
      </c>
    </row>
    <row r="38" spans="1:11" ht="12.5" x14ac:dyDescent="0.25">
      <c r="A38" s="38" t="s">
        <v>270</v>
      </c>
      <c r="B38" s="19" t="s">
        <v>286</v>
      </c>
      <c r="C38" s="42">
        <v>686008.98</v>
      </c>
      <c r="D38" s="38" t="s">
        <v>38</v>
      </c>
      <c r="E38" s="38" t="s">
        <v>351</v>
      </c>
      <c r="F38" s="38" t="s">
        <v>174</v>
      </c>
      <c r="G38" s="39"/>
      <c r="I38" s="40"/>
      <c r="J38" s="38" t="s">
        <v>175</v>
      </c>
      <c r="K38" s="40">
        <v>45761</v>
      </c>
    </row>
    <row r="39" spans="1:11" ht="12.5" x14ac:dyDescent="0.25">
      <c r="A39" s="38" t="s">
        <v>270</v>
      </c>
      <c r="B39" s="19" t="s">
        <v>285</v>
      </c>
      <c r="C39" s="42">
        <v>40000</v>
      </c>
      <c r="D39" s="38" t="s">
        <v>169</v>
      </c>
      <c r="E39" s="38" t="s">
        <v>58</v>
      </c>
      <c r="F39" s="38" t="s">
        <v>170</v>
      </c>
      <c r="G39" s="39"/>
      <c r="I39" s="40"/>
      <c r="J39" s="38" t="s">
        <v>171</v>
      </c>
      <c r="K39" s="40">
        <v>45783</v>
      </c>
    </row>
    <row r="40" spans="1:11" ht="12.5" x14ac:dyDescent="0.25">
      <c r="A40" s="38" t="s">
        <v>270</v>
      </c>
      <c r="B40" s="19" t="s">
        <v>285</v>
      </c>
      <c r="C40" s="42">
        <v>82983.199999999997</v>
      </c>
      <c r="D40" s="38" t="s">
        <v>46</v>
      </c>
      <c r="E40" s="38" t="s">
        <v>331</v>
      </c>
      <c r="F40" s="38" t="s">
        <v>178</v>
      </c>
      <c r="G40" s="39" t="s">
        <v>332</v>
      </c>
      <c r="H40" s="38" t="s">
        <v>333</v>
      </c>
      <c r="I40" s="38" t="s">
        <v>334</v>
      </c>
      <c r="J40" s="38" t="s">
        <v>179</v>
      </c>
      <c r="K40" s="40">
        <v>45771</v>
      </c>
    </row>
    <row r="41" spans="1:11" ht="12.5" x14ac:dyDescent="0.25">
      <c r="A41" s="38" t="s">
        <v>275</v>
      </c>
      <c r="B41" s="19" t="s">
        <v>285</v>
      </c>
      <c r="C41" s="42">
        <v>79417.990000000005</v>
      </c>
      <c r="D41" s="38" t="s">
        <v>21</v>
      </c>
      <c r="E41" s="38" t="s">
        <v>21</v>
      </c>
      <c r="F41" s="38" t="s">
        <v>207</v>
      </c>
      <c r="G41" s="39" t="s">
        <v>355</v>
      </c>
      <c r="H41" s="38" t="s">
        <v>356</v>
      </c>
      <c r="I41" s="38" t="s">
        <v>357</v>
      </c>
      <c r="J41" s="38" t="s">
        <v>208</v>
      </c>
      <c r="K41" s="40">
        <v>45756</v>
      </c>
    </row>
    <row r="42" spans="1:11" ht="12.5" x14ac:dyDescent="0.25">
      <c r="A42" s="38" t="s">
        <v>275</v>
      </c>
      <c r="B42" s="19" t="s">
        <v>285</v>
      </c>
      <c r="C42" s="42">
        <v>27480</v>
      </c>
      <c r="D42" s="38" t="s">
        <v>40</v>
      </c>
      <c r="E42" s="38" t="s">
        <v>41</v>
      </c>
      <c r="F42" s="38" t="s">
        <v>176</v>
      </c>
      <c r="G42" s="39" t="s">
        <v>316</v>
      </c>
      <c r="H42" s="38" t="s">
        <v>317</v>
      </c>
      <c r="I42" s="40"/>
      <c r="J42" s="38" t="s">
        <v>177</v>
      </c>
      <c r="K42" s="40">
        <v>45770</v>
      </c>
    </row>
    <row r="43" spans="1:11" ht="12.5" x14ac:dyDescent="0.25">
      <c r="A43" s="38" t="s">
        <v>275</v>
      </c>
      <c r="B43" s="19" t="s">
        <v>286</v>
      </c>
      <c r="C43" s="42">
        <v>2333371.2000000002</v>
      </c>
      <c r="D43" s="38" t="s">
        <v>53</v>
      </c>
      <c r="E43" s="38" t="s">
        <v>351</v>
      </c>
      <c r="F43" s="38" t="s">
        <v>156</v>
      </c>
      <c r="G43" s="39" t="s">
        <v>358</v>
      </c>
      <c r="H43" s="38" t="s">
        <v>359</v>
      </c>
      <c r="I43" s="40"/>
      <c r="J43" s="38" t="s">
        <v>360</v>
      </c>
      <c r="K43" s="40">
        <v>45762</v>
      </c>
    </row>
    <row r="44" spans="1:11" ht="12.5" x14ac:dyDescent="0.25">
      <c r="A44" s="38" t="s">
        <v>275</v>
      </c>
      <c r="B44" s="19" t="s">
        <v>286</v>
      </c>
      <c r="C44" s="42">
        <v>343004.49</v>
      </c>
      <c r="D44" s="38" t="s">
        <v>38</v>
      </c>
      <c r="E44" s="38" t="s">
        <v>351</v>
      </c>
      <c r="F44" s="38" t="s">
        <v>174</v>
      </c>
      <c r="G44" s="39"/>
      <c r="J44" s="38" t="s">
        <v>209</v>
      </c>
      <c r="K44" s="40">
        <v>45761</v>
      </c>
    </row>
    <row r="45" spans="1:11" ht="12.5" x14ac:dyDescent="0.25">
      <c r="A45" s="38" t="s">
        <v>275</v>
      </c>
      <c r="B45" s="19" t="s">
        <v>285</v>
      </c>
      <c r="C45" s="42">
        <v>40000</v>
      </c>
      <c r="D45" s="38" t="s">
        <v>169</v>
      </c>
      <c r="E45" s="38" t="s">
        <v>58</v>
      </c>
      <c r="F45" s="38" t="s">
        <v>170</v>
      </c>
      <c r="G45" s="39"/>
      <c r="J45" s="38" t="s">
        <v>171</v>
      </c>
      <c r="K45" s="40">
        <v>45783</v>
      </c>
    </row>
    <row r="46" spans="1:11" ht="12.5" x14ac:dyDescent="0.25">
      <c r="A46" s="38" t="s">
        <v>276</v>
      </c>
      <c r="B46" s="19" t="s">
        <v>285</v>
      </c>
      <c r="C46" s="42">
        <v>110074.67</v>
      </c>
      <c r="D46" s="38" t="s">
        <v>21</v>
      </c>
      <c r="E46" s="38" t="s">
        <v>21</v>
      </c>
      <c r="F46" s="38" t="s">
        <v>210</v>
      </c>
      <c r="G46" s="39"/>
      <c r="J46" s="38" t="s">
        <v>211</v>
      </c>
      <c r="K46" s="40">
        <v>45756</v>
      </c>
    </row>
    <row r="47" spans="1:11" ht="12.5" x14ac:dyDescent="0.25">
      <c r="A47" s="38" t="s">
        <v>276</v>
      </c>
      <c r="B47" s="19" t="s">
        <v>285</v>
      </c>
      <c r="C47" s="42">
        <v>27480</v>
      </c>
      <c r="D47" s="38" t="s">
        <v>40</v>
      </c>
      <c r="E47" s="38" t="s">
        <v>41</v>
      </c>
      <c r="F47" s="38" t="s">
        <v>176</v>
      </c>
      <c r="G47" s="39" t="s">
        <v>316</v>
      </c>
      <c r="H47" s="38" t="s">
        <v>317</v>
      </c>
      <c r="J47" s="38" t="s">
        <v>177</v>
      </c>
      <c r="K47" s="40">
        <v>45770</v>
      </c>
    </row>
    <row r="48" spans="1:11" ht="12.5" x14ac:dyDescent="0.25">
      <c r="A48" s="38" t="s">
        <v>276</v>
      </c>
      <c r="B48" s="19" t="s">
        <v>286</v>
      </c>
      <c r="C48" s="42">
        <v>825000</v>
      </c>
      <c r="D48" s="38" t="s">
        <v>53</v>
      </c>
      <c r="E48" s="38" t="s">
        <v>351</v>
      </c>
      <c r="F48" s="38" t="s">
        <v>163</v>
      </c>
      <c r="G48" s="39" t="s">
        <v>361</v>
      </c>
      <c r="H48" s="38" t="s">
        <v>362</v>
      </c>
      <c r="J48" s="38" t="s">
        <v>212</v>
      </c>
      <c r="K48" s="40">
        <v>45762</v>
      </c>
    </row>
    <row r="49" spans="1:11" ht="12.5" x14ac:dyDescent="0.25">
      <c r="A49" s="38" t="s">
        <v>276</v>
      </c>
      <c r="B49" s="19" t="s">
        <v>286</v>
      </c>
      <c r="C49" s="42">
        <v>343004.49</v>
      </c>
      <c r="D49" s="38" t="s">
        <v>38</v>
      </c>
      <c r="E49" s="38" t="s">
        <v>351</v>
      </c>
      <c r="F49" s="38" t="s">
        <v>174</v>
      </c>
      <c r="G49" s="39"/>
      <c r="H49" s="38" t="s">
        <v>315</v>
      </c>
      <c r="J49" s="38" t="s">
        <v>209</v>
      </c>
      <c r="K49" s="40">
        <v>45761</v>
      </c>
    </row>
    <row r="50" spans="1:11" ht="12.5" x14ac:dyDescent="0.25">
      <c r="G50" s="39"/>
    </row>
    <row r="51" spans="1:11" ht="12.5" x14ac:dyDescent="0.25">
      <c r="G51" s="39"/>
    </row>
    <row r="52" spans="1:11" ht="12.5" x14ac:dyDescent="0.25">
      <c r="G52" s="39"/>
    </row>
    <row r="53" spans="1:11" ht="12.5" x14ac:dyDescent="0.25">
      <c r="G53" s="39"/>
    </row>
    <row r="54" spans="1:11" ht="12.5" x14ac:dyDescent="0.25">
      <c r="G54" s="39"/>
    </row>
    <row r="55" spans="1:11" ht="12.5" x14ac:dyDescent="0.25">
      <c r="G55" s="39"/>
    </row>
    <row r="56" spans="1:11" ht="12.5" x14ac:dyDescent="0.25">
      <c r="G56" s="39"/>
    </row>
    <row r="57" spans="1:11" ht="12.5" x14ac:dyDescent="0.25">
      <c r="G57" s="39"/>
    </row>
    <row r="58" spans="1:11" ht="12.5" x14ac:dyDescent="0.25">
      <c r="G58" s="39"/>
    </row>
    <row r="59" spans="1:11" ht="12.5" x14ac:dyDescent="0.25">
      <c r="G59" s="39"/>
    </row>
    <row r="60" spans="1:11" ht="12.5" x14ac:dyDescent="0.25">
      <c r="G60" s="39"/>
    </row>
    <row r="61" spans="1:11" ht="12.5" x14ac:dyDescent="0.25">
      <c r="G61" s="39"/>
    </row>
    <row r="62" spans="1:11" ht="12.5" x14ac:dyDescent="0.25">
      <c r="G62" s="39"/>
    </row>
    <row r="63" spans="1:11" ht="12.5" x14ac:dyDescent="0.25">
      <c r="G63" s="39"/>
    </row>
    <row r="64" spans="1:11" ht="12.5" x14ac:dyDescent="0.25">
      <c r="G64" s="39"/>
    </row>
    <row r="65" spans="7:7" ht="12.5" x14ac:dyDescent="0.25">
      <c r="G65" s="39"/>
    </row>
    <row r="66" spans="7:7" ht="12.5" x14ac:dyDescent="0.25">
      <c r="G66" s="39"/>
    </row>
    <row r="67" spans="7:7" ht="12.5" x14ac:dyDescent="0.25">
      <c r="G67" s="39"/>
    </row>
    <row r="68" spans="7:7" ht="12.5" x14ac:dyDescent="0.25">
      <c r="G68" s="39"/>
    </row>
    <row r="69" spans="7:7" ht="12.5" x14ac:dyDescent="0.25">
      <c r="G69" s="39"/>
    </row>
    <row r="70" spans="7:7" ht="12.5" x14ac:dyDescent="0.25">
      <c r="G70" s="39"/>
    </row>
    <row r="71" spans="7:7" ht="12.5" x14ac:dyDescent="0.25">
      <c r="G71" s="39"/>
    </row>
    <row r="72" spans="7:7" ht="12.5" x14ac:dyDescent="0.25">
      <c r="G72" s="39"/>
    </row>
    <row r="73" spans="7:7" ht="12.5" x14ac:dyDescent="0.25">
      <c r="G73" s="39"/>
    </row>
    <row r="74" spans="7:7" ht="12.5" x14ac:dyDescent="0.25">
      <c r="G74" s="39"/>
    </row>
    <row r="75" spans="7:7" ht="12.5" x14ac:dyDescent="0.25">
      <c r="G75" s="39"/>
    </row>
    <row r="76" spans="7:7" ht="12.5" x14ac:dyDescent="0.25">
      <c r="G76" s="39"/>
    </row>
    <row r="77" spans="7:7" ht="12.5" x14ac:dyDescent="0.25">
      <c r="G77" s="39"/>
    </row>
    <row r="78" spans="7:7" ht="12.5" x14ac:dyDescent="0.25">
      <c r="G78" s="39"/>
    </row>
    <row r="79" spans="7:7" ht="12.5" x14ac:dyDescent="0.25">
      <c r="G79" s="39"/>
    </row>
    <row r="80" spans="7:7" ht="12.5" x14ac:dyDescent="0.25">
      <c r="G80" s="39"/>
    </row>
    <row r="81" spans="7:7" ht="12.5" x14ac:dyDescent="0.25">
      <c r="G81" s="39"/>
    </row>
    <row r="82" spans="7:7" ht="12.5" x14ac:dyDescent="0.25">
      <c r="G82" s="39"/>
    </row>
    <row r="83" spans="7:7" ht="12.5" x14ac:dyDescent="0.25">
      <c r="G83" s="39"/>
    </row>
    <row r="84" spans="7:7" ht="12.5" x14ac:dyDescent="0.25">
      <c r="G84" s="39"/>
    </row>
    <row r="85" spans="7:7" ht="12.5" x14ac:dyDescent="0.25">
      <c r="G85" s="39"/>
    </row>
    <row r="86" spans="7:7" ht="12.5" x14ac:dyDescent="0.25">
      <c r="G86" s="39"/>
    </row>
    <row r="87" spans="7:7" ht="12.5" x14ac:dyDescent="0.25">
      <c r="G87" s="39"/>
    </row>
    <row r="88" spans="7:7" ht="12.5" x14ac:dyDescent="0.25">
      <c r="G88" s="39"/>
    </row>
    <row r="89" spans="7:7" ht="12.5" x14ac:dyDescent="0.25">
      <c r="G89" s="39"/>
    </row>
    <row r="90" spans="7:7" ht="12.5" x14ac:dyDescent="0.25">
      <c r="G90" s="39"/>
    </row>
    <row r="91" spans="7:7" ht="12.5" x14ac:dyDescent="0.25">
      <c r="G91" s="39"/>
    </row>
    <row r="92" spans="7:7" ht="12.5" x14ac:dyDescent="0.25">
      <c r="G92" s="39"/>
    </row>
    <row r="93" spans="7:7" ht="12.5" x14ac:dyDescent="0.25">
      <c r="G93" s="39"/>
    </row>
    <row r="94" spans="7:7" ht="12.5" x14ac:dyDescent="0.25">
      <c r="G94" s="39"/>
    </row>
    <row r="95" spans="7:7" ht="12.5" x14ac:dyDescent="0.25">
      <c r="G95" s="39"/>
    </row>
    <row r="96" spans="7:7" ht="12.5" x14ac:dyDescent="0.25">
      <c r="G96" s="39"/>
    </row>
    <row r="97" spans="7:7" ht="12.5" x14ac:dyDescent="0.25">
      <c r="G97" s="39"/>
    </row>
    <row r="98" spans="7:7" ht="12.5" x14ac:dyDescent="0.25">
      <c r="G98" s="39"/>
    </row>
    <row r="99" spans="7:7" ht="12.5" x14ac:dyDescent="0.25">
      <c r="G99" s="39"/>
    </row>
    <row r="100" spans="7:7" ht="12.5" x14ac:dyDescent="0.25">
      <c r="G100" s="39"/>
    </row>
    <row r="101" spans="7:7" ht="12.5" x14ac:dyDescent="0.25">
      <c r="G101" s="39"/>
    </row>
    <row r="102" spans="7:7" ht="12.5" x14ac:dyDescent="0.25">
      <c r="G102" s="39"/>
    </row>
    <row r="103" spans="7:7" ht="12.5" x14ac:dyDescent="0.25">
      <c r="G103" s="39"/>
    </row>
    <row r="104" spans="7:7" ht="12.5" x14ac:dyDescent="0.25">
      <c r="G104" s="39"/>
    </row>
    <row r="105" spans="7:7" ht="12.5" x14ac:dyDescent="0.25">
      <c r="G105" s="39"/>
    </row>
    <row r="106" spans="7:7" ht="12.5" x14ac:dyDescent="0.25">
      <c r="G106" s="39"/>
    </row>
    <row r="107" spans="7:7" ht="12.5" x14ac:dyDescent="0.25">
      <c r="G107" s="39"/>
    </row>
    <row r="108" spans="7:7" ht="12.5" x14ac:dyDescent="0.25">
      <c r="G108" s="39"/>
    </row>
    <row r="109" spans="7:7" ht="12.5" x14ac:dyDescent="0.25">
      <c r="G109" s="39"/>
    </row>
    <row r="110" spans="7:7" ht="12.5" x14ac:dyDescent="0.25">
      <c r="G110" s="39"/>
    </row>
    <row r="111" spans="7:7" ht="12.5" x14ac:dyDescent="0.25">
      <c r="G111" s="39"/>
    </row>
    <row r="112" spans="7:7" ht="12.5" x14ac:dyDescent="0.25">
      <c r="G112" s="39"/>
    </row>
    <row r="113" spans="7:7" ht="12.5" x14ac:dyDescent="0.25">
      <c r="G113" s="39"/>
    </row>
    <row r="114" spans="7:7" ht="12.5" x14ac:dyDescent="0.25">
      <c r="G114" s="39"/>
    </row>
    <row r="115" spans="7:7" ht="12.5" x14ac:dyDescent="0.25">
      <c r="G115" s="39"/>
    </row>
    <row r="116" spans="7:7" ht="12.5" x14ac:dyDescent="0.25">
      <c r="G116" s="39"/>
    </row>
    <row r="117" spans="7:7" ht="12.5" x14ac:dyDescent="0.25">
      <c r="G117" s="39"/>
    </row>
    <row r="118" spans="7:7" ht="12.5" x14ac:dyDescent="0.25">
      <c r="G118" s="39"/>
    </row>
    <row r="119" spans="7:7" ht="12.5" x14ac:dyDescent="0.25">
      <c r="G119" s="39"/>
    </row>
    <row r="120" spans="7:7" ht="12.5" x14ac:dyDescent="0.25">
      <c r="G120" s="39"/>
    </row>
    <row r="121" spans="7:7" ht="12.5" x14ac:dyDescent="0.25">
      <c r="G121" s="39"/>
    </row>
    <row r="122" spans="7:7" ht="12.5" x14ac:dyDescent="0.25">
      <c r="G122" s="39"/>
    </row>
    <row r="123" spans="7:7" ht="12.5" x14ac:dyDescent="0.25">
      <c r="G123" s="39"/>
    </row>
    <row r="124" spans="7:7" ht="12.5" x14ac:dyDescent="0.25">
      <c r="G124" s="39"/>
    </row>
    <row r="125" spans="7:7" ht="12.5" x14ac:dyDescent="0.25">
      <c r="G125" s="39"/>
    </row>
    <row r="126" spans="7:7" ht="12.5" x14ac:dyDescent="0.25">
      <c r="G126" s="39"/>
    </row>
    <row r="127" spans="7:7" ht="12.5" x14ac:dyDescent="0.25">
      <c r="G127" s="39"/>
    </row>
    <row r="128" spans="7:7" ht="12.5" x14ac:dyDescent="0.25">
      <c r="G128" s="39"/>
    </row>
    <row r="129" spans="7:7" ht="12.5" x14ac:dyDescent="0.25">
      <c r="G129" s="39"/>
    </row>
    <row r="130" spans="7:7" ht="12.5" x14ac:dyDescent="0.25">
      <c r="G130" s="39"/>
    </row>
    <row r="131" spans="7:7" ht="12.5" x14ac:dyDescent="0.25">
      <c r="G131" s="39"/>
    </row>
    <row r="132" spans="7:7" ht="12.5" x14ac:dyDescent="0.25">
      <c r="G132" s="39"/>
    </row>
    <row r="133" spans="7:7" ht="12.5" x14ac:dyDescent="0.25">
      <c r="G133" s="39"/>
    </row>
    <row r="134" spans="7:7" ht="12.5" x14ac:dyDescent="0.25">
      <c r="G134" s="39"/>
    </row>
    <row r="135" spans="7:7" ht="12.5" x14ac:dyDescent="0.25">
      <c r="G135" s="39"/>
    </row>
    <row r="136" spans="7:7" ht="12.5" x14ac:dyDescent="0.25">
      <c r="G136" s="39"/>
    </row>
    <row r="137" spans="7:7" ht="12.5" x14ac:dyDescent="0.25">
      <c r="G137" s="39"/>
    </row>
    <row r="138" spans="7:7" ht="12.5" x14ac:dyDescent="0.25">
      <c r="G138" s="39"/>
    </row>
    <row r="139" spans="7:7" ht="12.5" x14ac:dyDescent="0.25">
      <c r="G139" s="39"/>
    </row>
    <row r="140" spans="7:7" ht="12.5" x14ac:dyDescent="0.25">
      <c r="G140" s="39"/>
    </row>
    <row r="141" spans="7:7" ht="12.5" x14ac:dyDescent="0.25">
      <c r="G141" s="39"/>
    </row>
    <row r="142" spans="7:7" ht="12.5" x14ac:dyDescent="0.25">
      <c r="G142" s="39"/>
    </row>
    <row r="143" spans="7:7" ht="12.5" x14ac:dyDescent="0.25">
      <c r="G143" s="39"/>
    </row>
    <row r="144" spans="7:7" ht="12.5" x14ac:dyDescent="0.25">
      <c r="G144" s="39"/>
    </row>
    <row r="145" spans="7:7" ht="12.5" x14ac:dyDescent="0.25">
      <c r="G145" s="39"/>
    </row>
    <row r="146" spans="7:7" ht="12.5" x14ac:dyDescent="0.25">
      <c r="G146" s="39"/>
    </row>
    <row r="147" spans="7:7" ht="12.5" x14ac:dyDescent="0.25">
      <c r="G147" s="39"/>
    </row>
    <row r="148" spans="7:7" ht="12.5" x14ac:dyDescent="0.25">
      <c r="G148" s="39"/>
    </row>
    <row r="149" spans="7:7" ht="12.5" x14ac:dyDescent="0.25">
      <c r="G149" s="39"/>
    </row>
    <row r="150" spans="7:7" ht="12.5" x14ac:dyDescent="0.25">
      <c r="G150" s="39"/>
    </row>
    <row r="151" spans="7:7" ht="12.5" x14ac:dyDescent="0.25">
      <c r="G151" s="39"/>
    </row>
    <row r="152" spans="7:7" ht="12.5" x14ac:dyDescent="0.25">
      <c r="G152" s="39"/>
    </row>
    <row r="153" spans="7:7" ht="12.5" x14ac:dyDescent="0.25">
      <c r="G153" s="39"/>
    </row>
    <row r="154" spans="7:7" ht="12.5" x14ac:dyDescent="0.25">
      <c r="G154" s="39"/>
    </row>
    <row r="155" spans="7:7" ht="12.5" x14ac:dyDescent="0.25">
      <c r="G155" s="39"/>
    </row>
    <row r="156" spans="7:7" ht="12.5" x14ac:dyDescent="0.25">
      <c r="G156" s="39"/>
    </row>
    <row r="157" spans="7:7" ht="12.5" x14ac:dyDescent="0.25">
      <c r="G157" s="39"/>
    </row>
    <row r="158" spans="7:7" ht="12.5" x14ac:dyDescent="0.25">
      <c r="G158" s="39"/>
    </row>
    <row r="159" spans="7:7" ht="12.5" x14ac:dyDescent="0.25">
      <c r="G159" s="39"/>
    </row>
    <row r="160" spans="7:7" ht="12.5" x14ac:dyDescent="0.25">
      <c r="G160" s="39"/>
    </row>
    <row r="161" spans="7:7" ht="12.5" x14ac:dyDescent="0.25">
      <c r="G161" s="39"/>
    </row>
    <row r="162" spans="7:7" ht="12.5" x14ac:dyDescent="0.25">
      <c r="G162" s="39"/>
    </row>
    <row r="163" spans="7:7" ht="12.5" x14ac:dyDescent="0.25">
      <c r="G163" s="39"/>
    </row>
    <row r="164" spans="7:7" ht="12.5" x14ac:dyDescent="0.25">
      <c r="G164" s="39"/>
    </row>
    <row r="165" spans="7:7" ht="12.5" x14ac:dyDescent="0.25">
      <c r="G165" s="39"/>
    </row>
    <row r="166" spans="7:7" ht="12.5" x14ac:dyDescent="0.25">
      <c r="G166" s="39"/>
    </row>
    <row r="167" spans="7:7" ht="12.5" x14ac:dyDescent="0.25">
      <c r="G167" s="39"/>
    </row>
    <row r="168" spans="7:7" ht="12.5" x14ac:dyDescent="0.25">
      <c r="G168" s="39"/>
    </row>
    <row r="169" spans="7:7" ht="12.5" x14ac:dyDescent="0.25">
      <c r="G169" s="39"/>
    </row>
    <row r="170" spans="7:7" ht="12.5" x14ac:dyDescent="0.25">
      <c r="G170" s="39"/>
    </row>
    <row r="171" spans="7:7" ht="12.5" x14ac:dyDescent="0.25">
      <c r="G171" s="39"/>
    </row>
    <row r="172" spans="7:7" ht="12.5" x14ac:dyDescent="0.25">
      <c r="G172" s="39"/>
    </row>
    <row r="173" spans="7:7" ht="12.5" x14ac:dyDescent="0.25">
      <c r="G173" s="39"/>
    </row>
    <row r="174" spans="7:7" ht="12.5" x14ac:dyDescent="0.25">
      <c r="G174" s="39"/>
    </row>
    <row r="175" spans="7:7" ht="12.5" x14ac:dyDescent="0.25">
      <c r="G175" s="39"/>
    </row>
    <row r="176" spans="7:7" ht="12.5" x14ac:dyDescent="0.25">
      <c r="G176" s="39"/>
    </row>
    <row r="177" spans="7:7" ht="12.5" x14ac:dyDescent="0.25">
      <c r="G177" s="39"/>
    </row>
    <row r="178" spans="7:7" ht="12.5" x14ac:dyDescent="0.25">
      <c r="G178" s="39"/>
    </row>
    <row r="179" spans="7:7" ht="12.5" x14ac:dyDescent="0.25">
      <c r="G179" s="39"/>
    </row>
    <row r="180" spans="7:7" ht="12.5" x14ac:dyDescent="0.25">
      <c r="G180" s="39"/>
    </row>
    <row r="181" spans="7:7" ht="12.5" x14ac:dyDescent="0.25">
      <c r="G181" s="39"/>
    </row>
    <row r="182" spans="7:7" ht="12.5" x14ac:dyDescent="0.25">
      <c r="G182" s="39"/>
    </row>
    <row r="183" spans="7:7" ht="12.5" x14ac:dyDescent="0.25">
      <c r="G183" s="39"/>
    </row>
    <row r="184" spans="7:7" ht="12.5" x14ac:dyDescent="0.25">
      <c r="G184" s="39"/>
    </row>
    <row r="185" spans="7:7" ht="12.5" x14ac:dyDescent="0.25">
      <c r="G185" s="39"/>
    </row>
    <row r="186" spans="7:7" ht="12.5" x14ac:dyDescent="0.25">
      <c r="G186" s="39"/>
    </row>
    <row r="187" spans="7:7" ht="12.5" x14ac:dyDescent="0.25">
      <c r="G187" s="39"/>
    </row>
    <row r="188" spans="7:7" ht="12.5" x14ac:dyDescent="0.25">
      <c r="G188" s="39"/>
    </row>
    <row r="189" spans="7:7" ht="12.5" x14ac:dyDescent="0.25">
      <c r="G189" s="39"/>
    </row>
    <row r="190" spans="7:7" ht="12.5" x14ac:dyDescent="0.25">
      <c r="G190" s="39"/>
    </row>
    <row r="191" spans="7:7" ht="12.5" x14ac:dyDescent="0.25">
      <c r="G191" s="39"/>
    </row>
    <row r="192" spans="7:7" ht="12.5" x14ac:dyDescent="0.25">
      <c r="G192" s="39"/>
    </row>
    <row r="193" spans="7:7" ht="12.5" x14ac:dyDescent="0.25">
      <c r="G193" s="39"/>
    </row>
    <row r="194" spans="7:7" ht="12.5" x14ac:dyDescent="0.25">
      <c r="G194" s="39"/>
    </row>
    <row r="195" spans="7:7" ht="12.5" x14ac:dyDescent="0.25">
      <c r="G195" s="39"/>
    </row>
    <row r="196" spans="7:7" ht="12.5" x14ac:dyDescent="0.25">
      <c r="G196" s="39"/>
    </row>
    <row r="197" spans="7:7" ht="12.5" x14ac:dyDescent="0.25">
      <c r="G197" s="39"/>
    </row>
    <row r="198" spans="7:7" ht="12.5" x14ac:dyDescent="0.25">
      <c r="G198" s="39"/>
    </row>
    <row r="199" spans="7:7" ht="12.5" x14ac:dyDescent="0.25">
      <c r="G199" s="39"/>
    </row>
    <row r="200" spans="7:7" ht="12.5" x14ac:dyDescent="0.25">
      <c r="G200" s="39"/>
    </row>
    <row r="201" spans="7:7" ht="12.5" x14ac:dyDescent="0.25">
      <c r="G201" s="39"/>
    </row>
    <row r="202" spans="7:7" ht="12.5" x14ac:dyDescent="0.25">
      <c r="G202" s="39"/>
    </row>
    <row r="203" spans="7:7" ht="12.5" x14ac:dyDescent="0.25">
      <c r="G203" s="39"/>
    </row>
    <row r="204" spans="7:7" ht="12.5" x14ac:dyDescent="0.25">
      <c r="G204" s="39"/>
    </row>
    <row r="205" spans="7:7" ht="12.5" x14ac:dyDescent="0.25">
      <c r="G205" s="39"/>
    </row>
    <row r="206" spans="7:7" ht="12.5" x14ac:dyDescent="0.25">
      <c r="G206" s="39"/>
    </row>
    <row r="207" spans="7:7" ht="12.5" x14ac:dyDescent="0.25">
      <c r="G207" s="39"/>
    </row>
    <row r="208" spans="7:7" ht="12.5" x14ac:dyDescent="0.25">
      <c r="G208" s="39"/>
    </row>
    <row r="209" spans="7:7" ht="12.5" x14ac:dyDescent="0.25">
      <c r="G209" s="39"/>
    </row>
    <row r="210" spans="7:7" ht="12.5" x14ac:dyDescent="0.25">
      <c r="G210" s="39"/>
    </row>
    <row r="211" spans="7:7" ht="12.5" x14ac:dyDescent="0.25">
      <c r="G211" s="39"/>
    </row>
    <row r="212" spans="7:7" ht="12.5" x14ac:dyDescent="0.25">
      <c r="G212" s="39"/>
    </row>
    <row r="213" spans="7:7" ht="12.5" x14ac:dyDescent="0.25">
      <c r="G213" s="39"/>
    </row>
    <row r="214" spans="7:7" ht="12.5" x14ac:dyDescent="0.25">
      <c r="G214" s="39"/>
    </row>
    <row r="215" spans="7:7" ht="12.5" x14ac:dyDescent="0.25">
      <c r="G215" s="39"/>
    </row>
    <row r="216" spans="7:7" ht="12.5" x14ac:dyDescent="0.25">
      <c r="G216" s="39"/>
    </row>
    <row r="217" spans="7:7" ht="12.5" x14ac:dyDescent="0.25">
      <c r="G217" s="39"/>
    </row>
    <row r="218" spans="7:7" ht="12.5" x14ac:dyDescent="0.25">
      <c r="G218" s="39"/>
    </row>
    <row r="219" spans="7:7" ht="12.5" x14ac:dyDescent="0.25">
      <c r="G219" s="39"/>
    </row>
    <row r="220" spans="7:7" ht="12.5" x14ac:dyDescent="0.25">
      <c r="G220" s="39"/>
    </row>
    <row r="221" spans="7:7" ht="12.5" x14ac:dyDescent="0.25">
      <c r="G221" s="39"/>
    </row>
    <row r="222" spans="7:7" ht="12.5" x14ac:dyDescent="0.25">
      <c r="G222" s="39"/>
    </row>
    <row r="223" spans="7:7" ht="12.5" x14ac:dyDescent="0.25">
      <c r="G223" s="39"/>
    </row>
    <row r="224" spans="7:7" ht="12.5" x14ac:dyDescent="0.25">
      <c r="G224" s="39"/>
    </row>
    <row r="225" spans="7:7" ht="12.5" x14ac:dyDescent="0.25">
      <c r="G225" s="39"/>
    </row>
    <row r="226" spans="7:7" ht="12.5" x14ac:dyDescent="0.25">
      <c r="G226" s="39"/>
    </row>
    <row r="227" spans="7:7" ht="12.5" x14ac:dyDescent="0.25">
      <c r="G227" s="39"/>
    </row>
    <row r="228" spans="7:7" ht="12.5" x14ac:dyDescent="0.25">
      <c r="G228" s="39"/>
    </row>
    <row r="229" spans="7:7" ht="12.5" x14ac:dyDescent="0.25">
      <c r="G229" s="39"/>
    </row>
    <row r="230" spans="7:7" ht="12.5" x14ac:dyDescent="0.25">
      <c r="G230" s="39"/>
    </row>
    <row r="231" spans="7:7" ht="12.5" x14ac:dyDescent="0.25">
      <c r="G231" s="39"/>
    </row>
    <row r="232" spans="7:7" ht="12.5" x14ac:dyDescent="0.25">
      <c r="G232" s="39"/>
    </row>
    <row r="233" spans="7:7" ht="12.5" x14ac:dyDescent="0.25">
      <c r="G233" s="39"/>
    </row>
    <row r="234" spans="7:7" ht="12.5" x14ac:dyDescent="0.25">
      <c r="G234" s="39"/>
    </row>
    <row r="235" spans="7:7" ht="12.5" x14ac:dyDescent="0.25">
      <c r="G235" s="39"/>
    </row>
    <row r="236" spans="7:7" ht="12.5" x14ac:dyDescent="0.25">
      <c r="G236" s="39"/>
    </row>
    <row r="237" spans="7:7" ht="12.5" x14ac:dyDescent="0.25">
      <c r="G237" s="39"/>
    </row>
    <row r="238" spans="7:7" ht="12.5" x14ac:dyDescent="0.25">
      <c r="G238" s="39"/>
    </row>
    <row r="239" spans="7:7" ht="12.5" x14ac:dyDescent="0.25">
      <c r="G239" s="39"/>
    </row>
    <row r="240" spans="7:7" ht="12.5" x14ac:dyDescent="0.25">
      <c r="G240" s="39"/>
    </row>
    <row r="241" spans="7:7" ht="12.5" x14ac:dyDescent="0.25">
      <c r="G241" s="39"/>
    </row>
    <row r="242" spans="7:7" ht="12.5" x14ac:dyDescent="0.25">
      <c r="G242" s="39"/>
    </row>
    <row r="243" spans="7:7" ht="12.5" x14ac:dyDescent="0.25">
      <c r="G243" s="39"/>
    </row>
    <row r="244" spans="7:7" ht="12.5" x14ac:dyDescent="0.25">
      <c r="G244" s="39"/>
    </row>
    <row r="245" spans="7:7" ht="12.5" x14ac:dyDescent="0.25">
      <c r="G245" s="39"/>
    </row>
    <row r="246" spans="7:7" ht="12.5" x14ac:dyDescent="0.25">
      <c r="G246" s="39"/>
    </row>
    <row r="247" spans="7:7" ht="12.5" x14ac:dyDescent="0.25">
      <c r="G247" s="39"/>
    </row>
    <row r="248" spans="7:7" ht="12.5" x14ac:dyDescent="0.25">
      <c r="G248" s="39"/>
    </row>
    <row r="249" spans="7:7" ht="12.5" x14ac:dyDescent="0.25">
      <c r="G249" s="39"/>
    </row>
    <row r="250" spans="7:7" ht="12.5" x14ac:dyDescent="0.25">
      <c r="G250" s="39"/>
    </row>
    <row r="251" spans="7:7" ht="12.5" x14ac:dyDescent="0.25">
      <c r="G251" s="39"/>
    </row>
    <row r="252" spans="7:7" ht="12.5" x14ac:dyDescent="0.25">
      <c r="G252" s="39"/>
    </row>
    <row r="253" spans="7:7" ht="12.5" x14ac:dyDescent="0.25">
      <c r="G253" s="39"/>
    </row>
    <row r="254" spans="7:7" ht="12.5" x14ac:dyDescent="0.25">
      <c r="G254" s="39"/>
    </row>
    <row r="255" spans="7:7" ht="12.5" x14ac:dyDescent="0.25">
      <c r="G255" s="39"/>
    </row>
    <row r="256" spans="7:7" ht="12.5" x14ac:dyDescent="0.25">
      <c r="G256" s="39"/>
    </row>
    <row r="257" spans="7:7" ht="12.5" x14ac:dyDescent="0.25">
      <c r="G257" s="39"/>
    </row>
    <row r="258" spans="7:7" ht="12.5" x14ac:dyDescent="0.25">
      <c r="G258" s="39"/>
    </row>
    <row r="259" spans="7:7" ht="12.5" x14ac:dyDescent="0.25">
      <c r="G259" s="39"/>
    </row>
    <row r="260" spans="7:7" ht="12.5" x14ac:dyDescent="0.25">
      <c r="G260" s="39"/>
    </row>
    <row r="261" spans="7:7" ht="12.5" x14ac:dyDescent="0.25">
      <c r="G261" s="39"/>
    </row>
    <row r="262" spans="7:7" ht="12.5" x14ac:dyDescent="0.25">
      <c r="G262" s="39"/>
    </row>
    <row r="263" spans="7:7" ht="12.5" x14ac:dyDescent="0.25">
      <c r="G263" s="39"/>
    </row>
    <row r="264" spans="7:7" ht="12.5" x14ac:dyDescent="0.25">
      <c r="G264" s="39"/>
    </row>
    <row r="265" spans="7:7" ht="12.5" x14ac:dyDescent="0.25">
      <c r="G265" s="39"/>
    </row>
    <row r="266" spans="7:7" ht="12.5" x14ac:dyDescent="0.25">
      <c r="G266" s="39"/>
    </row>
    <row r="267" spans="7:7" ht="12.5" x14ac:dyDescent="0.25">
      <c r="G267" s="39"/>
    </row>
    <row r="268" spans="7:7" ht="12.5" x14ac:dyDescent="0.25">
      <c r="G268" s="39"/>
    </row>
    <row r="269" spans="7:7" ht="12.5" x14ac:dyDescent="0.25">
      <c r="G269" s="39"/>
    </row>
    <row r="270" spans="7:7" ht="12.5" x14ac:dyDescent="0.25">
      <c r="G270" s="39"/>
    </row>
    <row r="271" spans="7:7" ht="12.5" x14ac:dyDescent="0.25">
      <c r="G271" s="39"/>
    </row>
    <row r="272" spans="7:7" ht="12.5" x14ac:dyDescent="0.25">
      <c r="G272" s="39"/>
    </row>
    <row r="273" spans="7:7" ht="12.5" x14ac:dyDescent="0.25">
      <c r="G273" s="39"/>
    </row>
    <row r="274" spans="7:7" ht="12.5" x14ac:dyDescent="0.25">
      <c r="G274" s="39"/>
    </row>
    <row r="275" spans="7:7" ht="12.5" x14ac:dyDescent="0.25">
      <c r="G275" s="39"/>
    </row>
    <row r="276" spans="7:7" ht="12.5" x14ac:dyDescent="0.25">
      <c r="G276" s="39"/>
    </row>
    <row r="277" spans="7:7" ht="12.5" x14ac:dyDescent="0.25">
      <c r="G277" s="39"/>
    </row>
    <row r="278" spans="7:7" ht="12.5" x14ac:dyDescent="0.25">
      <c r="G278" s="39"/>
    </row>
    <row r="279" spans="7:7" ht="12.5" x14ac:dyDescent="0.25">
      <c r="G279" s="39"/>
    </row>
    <row r="280" spans="7:7" ht="12.5" x14ac:dyDescent="0.25">
      <c r="G280" s="39"/>
    </row>
    <row r="281" spans="7:7" ht="12.5" x14ac:dyDescent="0.25">
      <c r="G281" s="39"/>
    </row>
    <row r="282" spans="7:7" ht="12.5" x14ac:dyDescent="0.25">
      <c r="G282" s="39"/>
    </row>
    <row r="283" spans="7:7" ht="12.5" x14ac:dyDescent="0.25">
      <c r="G283" s="39"/>
    </row>
    <row r="284" spans="7:7" ht="12.5" x14ac:dyDescent="0.25">
      <c r="G284" s="39"/>
    </row>
    <row r="285" spans="7:7" ht="12.5" x14ac:dyDescent="0.25">
      <c r="G285" s="39"/>
    </row>
    <row r="286" spans="7:7" ht="12.5" x14ac:dyDescent="0.25">
      <c r="G286" s="39"/>
    </row>
    <row r="287" spans="7:7" ht="12.5" x14ac:dyDescent="0.25">
      <c r="G287" s="39"/>
    </row>
    <row r="288" spans="7:7" ht="12.5" x14ac:dyDescent="0.25">
      <c r="G288" s="39"/>
    </row>
    <row r="289" spans="7:7" ht="12.5" x14ac:dyDescent="0.25">
      <c r="G289" s="39"/>
    </row>
    <row r="290" spans="7:7" ht="12.5" x14ac:dyDescent="0.25">
      <c r="G290" s="39"/>
    </row>
    <row r="291" spans="7:7" ht="12.5" x14ac:dyDescent="0.25">
      <c r="G291" s="39"/>
    </row>
    <row r="292" spans="7:7" ht="12.5" x14ac:dyDescent="0.25">
      <c r="G292" s="39"/>
    </row>
    <row r="293" spans="7:7" ht="12.5" x14ac:dyDescent="0.25">
      <c r="G293" s="39"/>
    </row>
    <row r="294" spans="7:7" ht="12.5" x14ac:dyDescent="0.25">
      <c r="G294" s="39"/>
    </row>
    <row r="295" spans="7:7" ht="12.5" x14ac:dyDescent="0.25">
      <c r="G295" s="39"/>
    </row>
    <row r="296" spans="7:7" ht="12.5" x14ac:dyDescent="0.25">
      <c r="G296" s="39"/>
    </row>
    <row r="297" spans="7:7" ht="12.5" x14ac:dyDescent="0.25">
      <c r="G297" s="39"/>
    </row>
    <row r="298" spans="7:7" ht="12.5" x14ac:dyDescent="0.25">
      <c r="G298" s="39"/>
    </row>
    <row r="299" spans="7:7" ht="12.5" x14ac:dyDescent="0.25">
      <c r="G299" s="39"/>
    </row>
    <row r="300" spans="7:7" ht="12.5" x14ac:dyDescent="0.25">
      <c r="G300" s="39"/>
    </row>
    <row r="301" spans="7:7" ht="12.5" x14ac:dyDescent="0.25">
      <c r="G301" s="39"/>
    </row>
    <row r="302" spans="7:7" ht="12.5" x14ac:dyDescent="0.25">
      <c r="G302" s="39"/>
    </row>
    <row r="303" spans="7:7" ht="12.5" x14ac:dyDescent="0.25">
      <c r="G303" s="39"/>
    </row>
    <row r="304" spans="7:7" ht="12.5" x14ac:dyDescent="0.25">
      <c r="G304" s="39"/>
    </row>
    <row r="305" spans="7:7" ht="12.5" x14ac:dyDescent="0.25">
      <c r="G305" s="39"/>
    </row>
    <row r="306" spans="7:7" ht="12.5" x14ac:dyDescent="0.25">
      <c r="G306" s="39"/>
    </row>
    <row r="307" spans="7:7" ht="12.5" x14ac:dyDescent="0.25">
      <c r="G307" s="39"/>
    </row>
    <row r="308" spans="7:7" ht="12.5" x14ac:dyDescent="0.25">
      <c r="G308" s="39"/>
    </row>
    <row r="309" spans="7:7" ht="12.5" x14ac:dyDescent="0.25">
      <c r="G309" s="39"/>
    </row>
    <row r="310" spans="7:7" ht="12.5" x14ac:dyDescent="0.25">
      <c r="G310" s="39"/>
    </row>
    <row r="311" spans="7:7" ht="12.5" x14ac:dyDescent="0.25">
      <c r="G311" s="39"/>
    </row>
    <row r="312" spans="7:7" ht="12.5" x14ac:dyDescent="0.25">
      <c r="G312" s="39"/>
    </row>
    <row r="313" spans="7:7" ht="12.5" x14ac:dyDescent="0.25">
      <c r="G313" s="39"/>
    </row>
    <row r="314" spans="7:7" ht="12.5" x14ac:dyDescent="0.25">
      <c r="G314" s="39"/>
    </row>
    <row r="315" spans="7:7" ht="12.5" x14ac:dyDescent="0.25">
      <c r="G315" s="39"/>
    </row>
    <row r="316" spans="7:7" ht="12.5" x14ac:dyDescent="0.25">
      <c r="G316" s="39"/>
    </row>
    <row r="317" spans="7:7" ht="12.5" x14ac:dyDescent="0.25">
      <c r="G317" s="39"/>
    </row>
    <row r="318" spans="7:7" ht="12.5" x14ac:dyDescent="0.25">
      <c r="G318" s="39"/>
    </row>
    <row r="319" spans="7:7" ht="12.5" x14ac:dyDescent="0.25">
      <c r="G319" s="39"/>
    </row>
    <row r="320" spans="7:7" ht="12.5" x14ac:dyDescent="0.25">
      <c r="G320" s="39"/>
    </row>
    <row r="321" spans="7:7" ht="12.5" x14ac:dyDescent="0.25">
      <c r="G321" s="39"/>
    </row>
    <row r="322" spans="7:7" ht="12.5" x14ac:dyDescent="0.25">
      <c r="G322" s="39"/>
    </row>
    <row r="323" spans="7:7" ht="12.5" x14ac:dyDescent="0.25">
      <c r="G323" s="39"/>
    </row>
    <row r="324" spans="7:7" ht="12.5" x14ac:dyDescent="0.25">
      <c r="G324" s="39"/>
    </row>
    <row r="325" spans="7:7" ht="12.5" x14ac:dyDescent="0.25">
      <c r="G325" s="39"/>
    </row>
    <row r="326" spans="7:7" ht="12.5" x14ac:dyDescent="0.25">
      <c r="G326" s="39"/>
    </row>
    <row r="327" spans="7:7" ht="12.5" x14ac:dyDescent="0.25">
      <c r="G327" s="39"/>
    </row>
    <row r="328" spans="7:7" ht="12.5" x14ac:dyDescent="0.25">
      <c r="G328" s="39"/>
    </row>
    <row r="329" spans="7:7" ht="12.5" x14ac:dyDescent="0.25">
      <c r="G329" s="39"/>
    </row>
    <row r="330" spans="7:7" ht="12.5" x14ac:dyDescent="0.25">
      <c r="G330" s="39"/>
    </row>
    <row r="331" spans="7:7" ht="12.5" x14ac:dyDescent="0.25">
      <c r="G331" s="39"/>
    </row>
    <row r="332" spans="7:7" ht="12.5" x14ac:dyDescent="0.25">
      <c r="G332" s="39"/>
    </row>
    <row r="333" spans="7:7" ht="12.5" x14ac:dyDescent="0.25">
      <c r="G333" s="39"/>
    </row>
    <row r="334" spans="7:7" ht="12.5" x14ac:dyDescent="0.25">
      <c r="G334" s="39"/>
    </row>
    <row r="335" spans="7:7" ht="12.5" x14ac:dyDescent="0.25">
      <c r="G335" s="39"/>
    </row>
    <row r="336" spans="7:7" ht="12.5" x14ac:dyDescent="0.25">
      <c r="G336" s="39"/>
    </row>
    <row r="337" spans="7:7" ht="12.5" x14ac:dyDescent="0.25">
      <c r="G337" s="39"/>
    </row>
    <row r="338" spans="7:7" ht="12.5" x14ac:dyDescent="0.25">
      <c r="G338" s="39"/>
    </row>
    <row r="339" spans="7:7" ht="12.5" x14ac:dyDescent="0.25">
      <c r="G339" s="39"/>
    </row>
    <row r="340" spans="7:7" ht="12.5" x14ac:dyDescent="0.25">
      <c r="G340" s="39"/>
    </row>
    <row r="341" spans="7:7" ht="12.5" x14ac:dyDescent="0.25">
      <c r="G341" s="39"/>
    </row>
    <row r="342" spans="7:7" ht="12.5" x14ac:dyDescent="0.25">
      <c r="G342" s="39"/>
    </row>
    <row r="343" spans="7:7" ht="12.5" x14ac:dyDescent="0.25">
      <c r="G343" s="39"/>
    </row>
    <row r="344" spans="7:7" ht="12.5" x14ac:dyDescent="0.25">
      <c r="G344" s="39"/>
    </row>
    <row r="345" spans="7:7" ht="12.5" x14ac:dyDescent="0.25">
      <c r="G345" s="39"/>
    </row>
    <row r="346" spans="7:7" ht="12.5" x14ac:dyDescent="0.25">
      <c r="G346" s="39"/>
    </row>
    <row r="347" spans="7:7" ht="12.5" x14ac:dyDescent="0.25">
      <c r="G347" s="39"/>
    </row>
    <row r="348" spans="7:7" ht="12.5" x14ac:dyDescent="0.25">
      <c r="G348" s="39"/>
    </row>
    <row r="349" spans="7:7" ht="12.5" x14ac:dyDescent="0.25">
      <c r="G349" s="39"/>
    </row>
    <row r="350" spans="7:7" ht="12.5" x14ac:dyDescent="0.25">
      <c r="G350" s="39"/>
    </row>
    <row r="351" spans="7:7" ht="12.5" x14ac:dyDescent="0.25">
      <c r="G351" s="39"/>
    </row>
    <row r="352" spans="7:7" ht="12.5" x14ac:dyDescent="0.25">
      <c r="G352" s="39"/>
    </row>
    <row r="353" spans="7:7" ht="12.5" x14ac:dyDescent="0.25">
      <c r="G353" s="39"/>
    </row>
    <row r="354" spans="7:7" ht="12.5" x14ac:dyDescent="0.25">
      <c r="G354" s="39"/>
    </row>
    <row r="355" spans="7:7" ht="12.5" x14ac:dyDescent="0.25">
      <c r="G355" s="39"/>
    </row>
    <row r="356" spans="7:7" ht="12.5" x14ac:dyDescent="0.25">
      <c r="G356" s="39"/>
    </row>
    <row r="357" spans="7:7" ht="12.5" x14ac:dyDescent="0.25">
      <c r="G357" s="39"/>
    </row>
    <row r="358" spans="7:7" ht="12.5" x14ac:dyDescent="0.25">
      <c r="G358" s="39"/>
    </row>
    <row r="359" spans="7:7" ht="12.5" x14ac:dyDescent="0.25">
      <c r="G359" s="39"/>
    </row>
    <row r="360" spans="7:7" ht="12.5" x14ac:dyDescent="0.25">
      <c r="G360" s="39"/>
    </row>
    <row r="361" spans="7:7" ht="12.5" x14ac:dyDescent="0.25">
      <c r="G361" s="39"/>
    </row>
    <row r="362" spans="7:7" ht="12.5" x14ac:dyDescent="0.25">
      <c r="G362" s="39"/>
    </row>
    <row r="363" spans="7:7" ht="12.5" x14ac:dyDescent="0.25">
      <c r="G363" s="39"/>
    </row>
    <row r="364" spans="7:7" ht="12.5" x14ac:dyDescent="0.25">
      <c r="G364" s="39"/>
    </row>
    <row r="365" spans="7:7" ht="12.5" x14ac:dyDescent="0.25">
      <c r="G365" s="39"/>
    </row>
    <row r="366" spans="7:7" ht="12.5" x14ac:dyDescent="0.25">
      <c r="G366" s="39"/>
    </row>
    <row r="367" spans="7:7" ht="12.5" x14ac:dyDescent="0.25">
      <c r="G367" s="39"/>
    </row>
    <row r="368" spans="7:7" ht="12.5" x14ac:dyDescent="0.25">
      <c r="G368" s="39"/>
    </row>
    <row r="369" spans="7:7" ht="12.5" x14ac:dyDescent="0.25">
      <c r="G369" s="39"/>
    </row>
    <row r="370" spans="7:7" ht="12.5" x14ac:dyDescent="0.25">
      <c r="G370" s="39"/>
    </row>
    <row r="371" spans="7:7" ht="12.5" x14ac:dyDescent="0.25">
      <c r="G371" s="39"/>
    </row>
    <row r="372" spans="7:7" ht="12.5" x14ac:dyDescent="0.25">
      <c r="G372" s="39"/>
    </row>
    <row r="373" spans="7:7" ht="12.5" x14ac:dyDescent="0.25">
      <c r="G373" s="39"/>
    </row>
    <row r="374" spans="7:7" ht="12.5" x14ac:dyDescent="0.25">
      <c r="G374" s="39"/>
    </row>
    <row r="375" spans="7:7" ht="12.5" x14ac:dyDescent="0.25">
      <c r="G375" s="39"/>
    </row>
    <row r="376" spans="7:7" ht="12.5" x14ac:dyDescent="0.25">
      <c r="G376" s="39"/>
    </row>
    <row r="377" spans="7:7" ht="12.5" x14ac:dyDescent="0.25">
      <c r="G377" s="39"/>
    </row>
    <row r="378" spans="7:7" ht="12.5" x14ac:dyDescent="0.25">
      <c r="G378" s="39"/>
    </row>
    <row r="379" spans="7:7" ht="12.5" x14ac:dyDescent="0.25">
      <c r="G379" s="39"/>
    </row>
    <row r="380" spans="7:7" ht="12.5" x14ac:dyDescent="0.25">
      <c r="G380" s="39"/>
    </row>
    <row r="381" spans="7:7" ht="12.5" x14ac:dyDescent="0.25">
      <c r="G381" s="39"/>
    </row>
    <row r="382" spans="7:7" ht="12.5" x14ac:dyDescent="0.25">
      <c r="G382" s="39"/>
    </row>
    <row r="383" spans="7:7" ht="12.5" x14ac:dyDescent="0.25">
      <c r="G383" s="39"/>
    </row>
    <row r="384" spans="7:7" ht="12.5" x14ac:dyDescent="0.25">
      <c r="G384" s="39"/>
    </row>
    <row r="385" spans="7:7" ht="12.5" x14ac:dyDescent="0.25">
      <c r="G385" s="39"/>
    </row>
    <row r="386" spans="7:7" ht="12.5" x14ac:dyDescent="0.25">
      <c r="G386" s="39"/>
    </row>
    <row r="387" spans="7:7" ht="12.5" x14ac:dyDescent="0.25">
      <c r="G387" s="39"/>
    </row>
    <row r="388" spans="7:7" ht="12.5" x14ac:dyDescent="0.25">
      <c r="G388" s="39"/>
    </row>
    <row r="389" spans="7:7" ht="12.5" x14ac:dyDescent="0.25">
      <c r="G389" s="39"/>
    </row>
    <row r="390" spans="7:7" ht="12.5" x14ac:dyDescent="0.25">
      <c r="G390" s="39"/>
    </row>
    <row r="391" spans="7:7" ht="12.5" x14ac:dyDescent="0.25">
      <c r="G391" s="39"/>
    </row>
    <row r="392" spans="7:7" ht="12.5" x14ac:dyDescent="0.25">
      <c r="G392" s="39"/>
    </row>
    <row r="393" spans="7:7" ht="12.5" x14ac:dyDescent="0.25">
      <c r="G393" s="39"/>
    </row>
    <row r="394" spans="7:7" ht="12.5" x14ac:dyDescent="0.25">
      <c r="G394" s="39"/>
    </row>
    <row r="395" spans="7:7" ht="12.5" x14ac:dyDescent="0.25">
      <c r="G395" s="39"/>
    </row>
    <row r="396" spans="7:7" ht="12.5" x14ac:dyDescent="0.25">
      <c r="G396" s="39"/>
    </row>
    <row r="397" spans="7:7" ht="12.5" x14ac:dyDescent="0.25">
      <c r="G397" s="39"/>
    </row>
    <row r="398" spans="7:7" ht="12.5" x14ac:dyDescent="0.25">
      <c r="G398" s="39"/>
    </row>
    <row r="399" spans="7:7" ht="12.5" x14ac:dyDescent="0.25">
      <c r="G399" s="39"/>
    </row>
    <row r="400" spans="7:7" ht="12.5" x14ac:dyDescent="0.25">
      <c r="G400" s="39"/>
    </row>
    <row r="401" spans="7:7" ht="12.5" x14ac:dyDescent="0.25">
      <c r="G401" s="39"/>
    </row>
    <row r="402" spans="7:7" ht="12.5" x14ac:dyDescent="0.25">
      <c r="G402" s="39"/>
    </row>
    <row r="403" spans="7:7" ht="12.5" x14ac:dyDescent="0.25">
      <c r="G403" s="39"/>
    </row>
    <row r="404" spans="7:7" ht="12.5" x14ac:dyDescent="0.25">
      <c r="G404" s="39"/>
    </row>
    <row r="405" spans="7:7" ht="12.5" x14ac:dyDescent="0.25">
      <c r="G405" s="39"/>
    </row>
    <row r="406" spans="7:7" ht="12.5" x14ac:dyDescent="0.25">
      <c r="G406" s="39"/>
    </row>
    <row r="407" spans="7:7" ht="12.5" x14ac:dyDescent="0.25">
      <c r="G407" s="39"/>
    </row>
    <row r="408" spans="7:7" ht="12.5" x14ac:dyDescent="0.25">
      <c r="G408" s="39"/>
    </row>
    <row r="409" spans="7:7" ht="12.5" x14ac:dyDescent="0.25">
      <c r="G409" s="39"/>
    </row>
    <row r="410" spans="7:7" ht="12.5" x14ac:dyDescent="0.25">
      <c r="G410" s="39"/>
    </row>
    <row r="411" spans="7:7" ht="12.5" x14ac:dyDescent="0.25">
      <c r="G411" s="39"/>
    </row>
    <row r="412" spans="7:7" ht="12.5" x14ac:dyDescent="0.25">
      <c r="G412" s="39"/>
    </row>
    <row r="413" spans="7:7" ht="12.5" x14ac:dyDescent="0.25">
      <c r="G413" s="39"/>
    </row>
    <row r="414" spans="7:7" ht="12.5" x14ac:dyDescent="0.25">
      <c r="G414" s="39"/>
    </row>
    <row r="415" spans="7:7" ht="12.5" x14ac:dyDescent="0.25">
      <c r="G415" s="39"/>
    </row>
    <row r="416" spans="7:7" ht="12.5" x14ac:dyDescent="0.25">
      <c r="G416" s="39"/>
    </row>
    <row r="417" spans="7:7" ht="12.5" x14ac:dyDescent="0.25">
      <c r="G417" s="39"/>
    </row>
    <row r="418" spans="7:7" ht="12.5" x14ac:dyDescent="0.25">
      <c r="G418" s="39"/>
    </row>
    <row r="419" spans="7:7" ht="12.5" x14ac:dyDescent="0.25">
      <c r="G419" s="39"/>
    </row>
    <row r="420" spans="7:7" ht="12.5" x14ac:dyDescent="0.25">
      <c r="G420" s="39"/>
    </row>
    <row r="421" spans="7:7" ht="12.5" x14ac:dyDescent="0.25">
      <c r="G421" s="39"/>
    </row>
    <row r="422" spans="7:7" ht="12.5" x14ac:dyDescent="0.25">
      <c r="G422" s="39"/>
    </row>
    <row r="423" spans="7:7" ht="12.5" x14ac:dyDescent="0.25">
      <c r="G423" s="39"/>
    </row>
    <row r="424" spans="7:7" ht="12.5" x14ac:dyDescent="0.25">
      <c r="G424" s="39"/>
    </row>
    <row r="425" spans="7:7" ht="12.5" x14ac:dyDescent="0.25">
      <c r="G425" s="39"/>
    </row>
    <row r="426" spans="7:7" ht="12.5" x14ac:dyDescent="0.25">
      <c r="G426" s="39"/>
    </row>
    <row r="427" spans="7:7" ht="12.5" x14ac:dyDescent="0.25">
      <c r="G427" s="39"/>
    </row>
    <row r="428" spans="7:7" ht="12.5" x14ac:dyDescent="0.25">
      <c r="G428" s="39"/>
    </row>
    <row r="429" spans="7:7" ht="12.5" x14ac:dyDescent="0.25">
      <c r="G429" s="39"/>
    </row>
    <row r="430" spans="7:7" ht="12.5" x14ac:dyDescent="0.25">
      <c r="G430" s="39"/>
    </row>
    <row r="431" spans="7:7" ht="12.5" x14ac:dyDescent="0.25">
      <c r="G431" s="39"/>
    </row>
    <row r="432" spans="7:7" ht="12.5" x14ac:dyDescent="0.25">
      <c r="G432" s="39"/>
    </row>
    <row r="433" spans="7:7" ht="12.5" x14ac:dyDescent="0.25">
      <c r="G433" s="39"/>
    </row>
    <row r="434" spans="7:7" ht="12.5" x14ac:dyDescent="0.25">
      <c r="G434" s="39"/>
    </row>
    <row r="435" spans="7:7" ht="12.5" x14ac:dyDescent="0.25">
      <c r="G435" s="39"/>
    </row>
    <row r="436" spans="7:7" ht="12.5" x14ac:dyDescent="0.25">
      <c r="G436" s="39"/>
    </row>
    <row r="437" spans="7:7" ht="12.5" x14ac:dyDescent="0.25">
      <c r="G437" s="39"/>
    </row>
    <row r="438" spans="7:7" ht="12.5" x14ac:dyDescent="0.25">
      <c r="G438" s="39"/>
    </row>
    <row r="439" spans="7:7" ht="12.5" x14ac:dyDescent="0.25">
      <c r="G439" s="39"/>
    </row>
    <row r="440" spans="7:7" ht="12.5" x14ac:dyDescent="0.25">
      <c r="G440" s="39"/>
    </row>
    <row r="441" spans="7:7" ht="12.5" x14ac:dyDescent="0.25">
      <c r="G441" s="39"/>
    </row>
    <row r="442" spans="7:7" ht="12.5" x14ac:dyDescent="0.25">
      <c r="G442" s="39"/>
    </row>
    <row r="443" spans="7:7" ht="12.5" x14ac:dyDescent="0.25">
      <c r="G443" s="39"/>
    </row>
    <row r="444" spans="7:7" ht="12.5" x14ac:dyDescent="0.25">
      <c r="G444" s="39"/>
    </row>
    <row r="445" spans="7:7" ht="12.5" x14ac:dyDescent="0.25">
      <c r="G445" s="39"/>
    </row>
    <row r="446" spans="7:7" ht="12.5" x14ac:dyDescent="0.25">
      <c r="G446" s="39"/>
    </row>
    <row r="447" spans="7:7" ht="12.5" x14ac:dyDescent="0.25">
      <c r="G447" s="39"/>
    </row>
    <row r="448" spans="7:7" ht="12.5" x14ac:dyDescent="0.25">
      <c r="G448" s="39"/>
    </row>
    <row r="449" spans="7:7" ht="12.5" x14ac:dyDescent="0.25">
      <c r="G449" s="39"/>
    </row>
    <row r="450" spans="7:7" ht="12.5" x14ac:dyDescent="0.25">
      <c r="G450" s="39"/>
    </row>
    <row r="451" spans="7:7" ht="12.5" x14ac:dyDescent="0.25">
      <c r="G451" s="39"/>
    </row>
    <row r="452" spans="7:7" ht="12.5" x14ac:dyDescent="0.25">
      <c r="G452" s="39"/>
    </row>
    <row r="453" spans="7:7" ht="12.5" x14ac:dyDescent="0.25">
      <c r="G453" s="39"/>
    </row>
    <row r="454" spans="7:7" ht="12.5" x14ac:dyDescent="0.25">
      <c r="G454" s="39"/>
    </row>
    <row r="455" spans="7:7" ht="12.5" x14ac:dyDescent="0.25">
      <c r="G455" s="39"/>
    </row>
    <row r="456" spans="7:7" ht="12.5" x14ac:dyDescent="0.25">
      <c r="G456" s="39"/>
    </row>
    <row r="457" spans="7:7" ht="12.5" x14ac:dyDescent="0.25">
      <c r="G457" s="39"/>
    </row>
    <row r="458" spans="7:7" ht="12.5" x14ac:dyDescent="0.25">
      <c r="G458" s="39"/>
    </row>
    <row r="459" spans="7:7" ht="12.5" x14ac:dyDescent="0.25">
      <c r="G459" s="39"/>
    </row>
    <row r="460" spans="7:7" ht="12.5" x14ac:dyDescent="0.25">
      <c r="G460" s="39"/>
    </row>
    <row r="461" spans="7:7" ht="12.5" x14ac:dyDescent="0.25">
      <c r="G461" s="39"/>
    </row>
    <row r="462" spans="7:7" ht="12.5" x14ac:dyDescent="0.25">
      <c r="G462" s="39"/>
    </row>
    <row r="463" spans="7:7" ht="12.5" x14ac:dyDescent="0.25">
      <c r="G463" s="39"/>
    </row>
    <row r="464" spans="7:7" ht="12.5" x14ac:dyDescent="0.25">
      <c r="G464" s="39"/>
    </row>
    <row r="465" spans="7:7" ht="12.5" x14ac:dyDescent="0.25">
      <c r="G465" s="39"/>
    </row>
    <row r="466" spans="7:7" ht="12.5" x14ac:dyDescent="0.25">
      <c r="G466" s="39"/>
    </row>
    <row r="467" spans="7:7" ht="12.5" x14ac:dyDescent="0.25">
      <c r="G467" s="39"/>
    </row>
    <row r="468" spans="7:7" ht="12.5" x14ac:dyDescent="0.25">
      <c r="G468" s="39"/>
    </row>
    <row r="469" spans="7:7" ht="12.5" x14ac:dyDescent="0.25">
      <c r="G469" s="39"/>
    </row>
    <row r="470" spans="7:7" ht="12.5" x14ac:dyDescent="0.25">
      <c r="G470" s="39"/>
    </row>
    <row r="471" spans="7:7" ht="12.5" x14ac:dyDescent="0.25">
      <c r="G471" s="39"/>
    </row>
    <row r="472" spans="7:7" ht="12.5" x14ac:dyDescent="0.25">
      <c r="G472" s="39"/>
    </row>
    <row r="473" spans="7:7" ht="12.5" x14ac:dyDescent="0.25">
      <c r="G473" s="39"/>
    </row>
    <row r="474" spans="7:7" ht="12.5" x14ac:dyDescent="0.25">
      <c r="G474" s="39"/>
    </row>
    <row r="475" spans="7:7" ht="12.5" x14ac:dyDescent="0.25">
      <c r="G475" s="39"/>
    </row>
    <row r="476" spans="7:7" ht="12.5" x14ac:dyDescent="0.25">
      <c r="G476" s="39"/>
    </row>
    <row r="477" spans="7:7" ht="12.5" x14ac:dyDescent="0.25">
      <c r="G477" s="39"/>
    </row>
    <row r="478" spans="7:7" ht="12.5" x14ac:dyDescent="0.25">
      <c r="G478" s="39"/>
    </row>
    <row r="479" spans="7:7" ht="12.5" x14ac:dyDescent="0.25">
      <c r="G479" s="39"/>
    </row>
    <row r="480" spans="7:7" ht="12.5" x14ac:dyDescent="0.25">
      <c r="G480" s="39"/>
    </row>
    <row r="481" spans="7:7" ht="12.5" x14ac:dyDescent="0.25">
      <c r="G481" s="39"/>
    </row>
    <row r="482" spans="7:7" ht="12.5" x14ac:dyDescent="0.25">
      <c r="G482" s="39"/>
    </row>
    <row r="483" spans="7:7" ht="12.5" x14ac:dyDescent="0.25">
      <c r="G483" s="39"/>
    </row>
    <row r="484" spans="7:7" ht="12.5" x14ac:dyDescent="0.25">
      <c r="G484" s="39"/>
    </row>
    <row r="485" spans="7:7" ht="12.5" x14ac:dyDescent="0.25">
      <c r="G485" s="39"/>
    </row>
    <row r="486" spans="7:7" ht="12.5" x14ac:dyDescent="0.25">
      <c r="G486" s="39"/>
    </row>
    <row r="487" spans="7:7" ht="12.5" x14ac:dyDescent="0.25">
      <c r="G487" s="39"/>
    </row>
    <row r="488" spans="7:7" ht="12.5" x14ac:dyDescent="0.25">
      <c r="G488" s="39"/>
    </row>
    <row r="489" spans="7:7" ht="12.5" x14ac:dyDescent="0.25">
      <c r="G489" s="39"/>
    </row>
    <row r="490" spans="7:7" ht="12.5" x14ac:dyDescent="0.25">
      <c r="G490" s="39"/>
    </row>
    <row r="491" spans="7:7" ht="12.5" x14ac:dyDescent="0.25">
      <c r="G491" s="39"/>
    </row>
    <row r="492" spans="7:7" ht="12.5" x14ac:dyDescent="0.25">
      <c r="G492" s="39"/>
    </row>
    <row r="493" spans="7:7" ht="12.5" x14ac:dyDescent="0.25">
      <c r="G493" s="39"/>
    </row>
    <row r="494" spans="7:7" ht="12.5" x14ac:dyDescent="0.25">
      <c r="G494" s="39"/>
    </row>
    <row r="495" spans="7:7" ht="12.5" x14ac:dyDescent="0.25">
      <c r="G495" s="39"/>
    </row>
    <row r="496" spans="7:7" ht="12.5" x14ac:dyDescent="0.25">
      <c r="G496" s="39"/>
    </row>
    <row r="497" spans="7:7" ht="12.5" x14ac:dyDescent="0.25">
      <c r="G497" s="39"/>
    </row>
    <row r="498" spans="7:7" ht="12.5" x14ac:dyDescent="0.25">
      <c r="G498" s="39"/>
    </row>
    <row r="499" spans="7:7" ht="12.5" x14ac:dyDescent="0.25">
      <c r="G499" s="39"/>
    </row>
    <row r="500" spans="7:7" ht="12.5" x14ac:dyDescent="0.25">
      <c r="G500" s="39"/>
    </row>
    <row r="501" spans="7:7" ht="12.5" x14ac:dyDescent="0.25">
      <c r="G501" s="39"/>
    </row>
    <row r="502" spans="7:7" ht="12.5" x14ac:dyDescent="0.25">
      <c r="G502" s="39"/>
    </row>
    <row r="503" spans="7:7" ht="12.5" x14ac:dyDescent="0.25">
      <c r="G503" s="39"/>
    </row>
    <row r="504" spans="7:7" ht="12.5" x14ac:dyDescent="0.25">
      <c r="G504" s="39"/>
    </row>
    <row r="505" spans="7:7" ht="12.5" x14ac:dyDescent="0.25">
      <c r="G505" s="39"/>
    </row>
    <row r="506" spans="7:7" ht="12.5" x14ac:dyDescent="0.25">
      <c r="G506" s="39"/>
    </row>
    <row r="507" spans="7:7" ht="12.5" x14ac:dyDescent="0.25">
      <c r="G507" s="39"/>
    </row>
    <row r="508" spans="7:7" ht="12.5" x14ac:dyDescent="0.25">
      <c r="G508" s="39"/>
    </row>
    <row r="509" spans="7:7" ht="12.5" x14ac:dyDescent="0.25">
      <c r="G509" s="39"/>
    </row>
    <row r="510" spans="7:7" ht="12.5" x14ac:dyDescent="0.25">
      <c r="G510" s="39"/>
    </row>
    <row r="511" spans="7:7" ht="12.5" x14ac:dyDescent="0.25">
      <c r="G511" s="39"/>
    </row>
    <row r="512" spans="7:7" ht="12.5" x14ac:dyDescent="0.25">
      <c r="G512" s="39"/>
    </row>
    <row r="513" spans="7:7" ht="12.5" x14ac:dyDescent="0.25">
      <c r="G513" s="39"/>
    </row>
    <row r="514" spans="7:7" ht="12.5" x14ac:dyDescent="0.25">
      <c r="G514" s="39"/>
    </row>
    <row r="515" spans="7:7" ht="12.5" x14ac:dyDescent="0.25">
      <c r="G515" s="39"/>
    </row>
    <row r="516" spans="7:7" ht="12.5" x14ac:dyDescent="0.25">
      <c r="G516" s="39"/>
    </row>
    <row r="517" spans="7:7" ht="12.5" x14ac:dyDescent="0.25">
      <c r="G517" s="39"/>
    </row>
    <row r="518" spans="7:7" ht="12.5" x14ac:dyDescent="0.25">
      <c r="G518" s="39"/>
    </row>
    <row r="519" spans="7:7" ht="12.5" x14ac:dyDescent="0.25">
      <c r="G519" s="39"/>
    </row>
    <row r="520" spans="7:7" ht="12.5" x14ac:dyDescent="0.25">
      <c r="G520" s="39"/>
    </row>
    <row r="521" spans="7:7" ht="12.5" x14ac:dyDescent="0.25">
      <c r="G521" s="39"/>
    </row>
    <row r="522" spans="7:7" ht="12.5" x14ac:dyDescent="0.25">
      <c r="G522" s="39"/>
    </row>
    <row r="523" spans="7:7" ht="12.5" x14ac:dyDescent="0.25">
      <c r="G523" s="39"/>
    </row>
    <row r="524" spans="7:7" ht="12.5" x14ac:dyDescent="0.25">
      <c r="G524" s="39"/>
    </row>
    <row r="525" spans="7:7" ht="12.5" x14ac:dyDescent="0.25">
      <c r="G525" s="39"/>
    </row>
    <row r="526" spans="7:7" ht="12.5" x14ac:dyDescent="0.25">
      <c r="G526" s="39"/>
    </row>
    <row r="527" spans="7:7" ht="12.5" x14ac:dyDescent="0.25">
      <c r="G527" s="39"/>
    </row>
    <row r="528" spans="7:7" ht="12.5" x14ac:dyDescent="0.25">
      <c r="G528" s="39"/>
    </row>
    <row r="529" spans="7:7" ht="12.5" x14ac:dyDescent="0.25">
      <c r="G529" s="39"/>
    </row>
    <row r="530" spans="7:7" ht="12.5" x14ac:dyDescent="0.25">
      <c r="G530" s="39"/>
    </row>
    <row r="531" spans="7:7" ht="12.5" x14ac:dyDescent="0.25">
      <c r="G531" s="39"/>
    </row>
    <row r="532" spans="7:7" ht="12.5" x14ac:dyDescent="0.25">
      <c r="G532" s="39"/>
    </row>
    <row r="533" spans="7:7" ht="12.5" x14ac:dyDescent="0.25">
      <c r="G533" s="39"/>
    </row>
    <row r="534" spans="7:7" ht="12.5" x14ac:dyDescent="0.25">
      <c r="G534" s="39"/>
    </row>
    <row r="535" spans="7:7" ht="12.5" x14ac:dyDescent="0.25">
      <c r="G535" s="39"/>
    </row>
    <row r="536" spans="7:7" ht="12.5" x14ac:dyDescent="0.25">
      <c r="G536" s="39"/>
    </row>
    <row r="537" spans="7:7" ht="12.5" x14ac:dyDescent="0.25">
      <c r="G537" s="39"/>
    </row>
    <row r="538" spans="7:7" ht="12.5" x14ac:dyDescent="0.25">
      <c r="G538" s="39"/>
    </row>
    <row r="539" spans="7:7" ht="12.5" x14ac:dyDescent="0.25">
      <c r="G539" s="39"/>
    </row>
    <row r="540" spans="7:7" ht="12.5" x14ac:dyDescent="0.25">
      <c r="G540" s="39"/>
    </row>
    <row r="541" spans="7:7" ht="12.5" x14ac:dyDescent="0.25">
      <c r="G541" s="39"/>
    </row>
    <row r="542" spans="7:7" ht="12.5" x14ac:dyDescent="0.25">
      <c r="G542" s="39"/>
    </row>
    <row r="543" spans="7:7" ht="12.5" x14ac:dyDescent="0.25">
      <c r="G543" s="39"/>
    </row>
    <row r="544" spans="7:7" ht="12.5" x14ac:dyDescent="0.25">
      <c r="G544" s="39"/>
    </row>
    <row r="545" spans="7:7" ht="12.5" x14ac:dyDescent="0.25">
      <c r="G545" s="39"/>
    </row>
    <row r="546" spans="7:7" ht="12.5" x14ac:dyDescent="0.25">
      <c r="G546" s="39"/>
    </row>
    <row r="547" spans="7:7" ht="12.5" x14ac:dyDescent="0.25">
      <c r="G547" s="39"/>
    </row>
    <row r="548" spans="7:7" ht="12.5" x14ac:dyDescent="0.25">
      <c r="G548" s="39"/>
    </row>
    <row r="549" spans="7:7" ht="12.5" x14ac:dyDescent="0.25">
      <c r="G549" s="39"/>
    </row>
    <row r="550" spans="7:7" ht="12.5" x14ac:dyDescent="0.25">
      <c r="G550" s="39"/>
    </row>
    <row r="551" spans="7:7" ht="12.5" x14ac:dyDescent="0.25">
      <c r="G551" s="39"/>
    </row>
    <row r="552" spans="7:7" ht="12.5" x14ac:dyDescent="0.25">
      <c r="G552" s="39"/>
    </row>
    <row r="553" spans="7:7" ht="12.5" x14ac:dyDescent="0.25">
      <c r="G553" s="39"/>
    </row>
    <row r="554" spans="7:7" ht="12.5" x14ac:dyDescent="0.25">
      <c r="G554" s="39"/>
    </row>
    <row r="555" spans="7:7" ht="12.5" x14ac:dyDescent="0.25">
      <c r="G555" s="39"/>
    </row>
    <row r="556" spans="7:7" ht="12.5" x14ac:dyDescent="0.25">
      <c r="G556" s="39"/>
    </row>
    <row r="557" spans="7:7" ht="12.5" x14ac:dyDescent="0.25">
      <c r="G557" s="39"/>
    </row>
    <row r="558" spans="7:7" ht="12.5" x14ac:dyDescent="0.25">
      <c r="G558" s="39"/>
    </row>
    <row r="559" spans="7:7" ht="12.5" x14ac:dyDescent="0.25">
      <c r="G559" s="39"/>
    </row>
    <row r="560" spans="7:7" ht="12.5" x14ac:dyDescent="0.25">
      <c r="G560" s="39"/>
    </row>
    <row r="561" spans="7:7" ht="12.5" x14ac:dyDescent="0.25">
      <c r="G561" s="39"/>
    </row>
    <row r="562" spans="7:7" ht="12.5" x14ac:dyDescent="0.25">
      <c r="G562" s="39"/>
    </row>
    <row r="563" spans="7:7" ht="12.5" x14ac:dyDescent="0.25">
      <c r="G563" s="39"/>
    </row>
    <row r="564" spans="7:7" ht="12.5" x14ac:dyDescent="0.25">
      <c r="G564" s="39"/>
    </row>
    <row r="565" spans="7:7" ht="12.5" x14ac:dyDescent="0.25">
      <c r="G565" s="39"/>
    </row>
    <row r="566" spans="7:7" ht="12.5" x14ac:dyDescent="0.25">
      <c r="G566" s="39"/>
    </row>
    <row r="567" spans="7:7" ht="12.5" x14ac:dyDescent="0.25">
      <c r="G567" s="39"/>
    </row>
    <row r="568" spans="7:7" ht="12.5" x14ac:dyDescent="0.25">
      <c r="G568" s="39"/>
    </row>
    <row r="569" spans="7:7" ht="12.5" x14ac:dyDescent="0.25">
      <c r="G569" s="39"/>
    </row>
    <row r="570" spans="7:7" ht="12.5" x14ac:dyDescent="0.25">
      <c r="G570" s="39"/>
    </row>
    <row r="571" spans="7:7" ht="12.5" x14ac:dyDescent="0.25">
      <c r="G571" s="39"/>
    </row>
    <row r="572" spans="7:7" ht="12.5" x14ac:dyDescent="0.25">
      <c r="G572" s="39"/>
    </row>
    <row r="573" spans="7:7" ht="12.5" x14ac:dyDescent="0.25">
      <c r="G573" s="39"/>
    </row>
    <row r="574" spans="7:7" ht="12.5" x14ac:dyDescent="0.25">
      <c r="G574" s="39"/>
    </row>
    <row r="575" spans="7:7" ht="12.5" x14ac:dyDescent="0.25">
      <c r="G575" s="39"/>
    </row>
    <row r="576" spans="7:7" ht="12.5" x14ac:dyDescent="0.25">
      <c r="G576" s="39"/>
    </row>
    <row r="577" spans="7:7" ht="12.5" x14ac:dyDescent="0.25">
      <c r="G577" s="39"/>
    </row>
    <row r="578" spans="7:7" ht="12.5" x14ac:dyDescent="0.25">
      <c r="G578" s="39"/>
    </row>
    <row r="579" spans="7:7" ht="12.5" x14ac:dyDescent="0.25">
      <c r="G579" s="39"/>
    </row>
    <row r="580" spans="7:7" ht="12.5" x14ac:dyDescent="0.25">
      <c r="G580" s="39"/>
    </row>
    <row r="581" spans="7:7" ht="12.5" x14ac:dyDescent="0.25">
      <c r="G581" s="39"/>
    </row>
    <row r="582" spans="7:7" ht="12.5" x14ac:dyDescent="0.25">
      <c r="G582" s="39"/>
    </row>
    <row r="583" spans="7:7" ht="12.5" x14ac:dyDescent="0.25">
      <c r="G583" s="39"/>
    </row>
    <row r="584" spans="7:7" ht="12.5" x14ac:dyDescent="0.25">
      <c r="G584" s="39"/>
    </row>
    <row r="585" spans="7:7" ht="12.5" x14ac:dyDescent="0.25">
      <c r="G585" s="39"/>
    </row>
    <row r="586" spans="7:7" ht="12.5" x14ac:dyDescent="0.25">
      <c r="G586" s="39"/>
    </row>
    <row r="587" spans="7:7" ht="12.5" x14ac:dyDescent="0.25">
      <c r="G587" s="39"/>
    </row>
    <row r="588" spans="7:7" ht="12.5" x14ac:dyDescent="0.25">
      <c r="G588" s="39"/>
    </row>
    <row r="589" spans="7:7" ht="12.5" x14ac:dyDescent="0.25">
      <c r="G589" s="39"/>
    </row>
    <row r="590" spans="7:7" ht="12.5" x14ac:dyDescent="0.25">
      <c r="G590" s="39"/>
    </row>
    <row r="591" spans="7:7" ht="12.5" x14ac:dyDescent="0.25">
      <c r="G591" s="39"/>
    </row>
    <row r="592" spans="7:7" ht="12.5" x14ac:dyDescent="0.25">
      <c r="G592" s="39"/>
    </row>
    <row r="593" spans="7:7" ht="12.5" x14ac:dyDescent="0.25">
      <c r="G593" s="39"/>
    </row>
    <row r="594" spans="7:7" ht="12.5" x14ac:dyDescent="0.25">
      <c r="G594" s="39"/>
    </row>
    <row r="595" spans="7:7" ht="12.5" x14ac:dyDescent="0.25">
      <c r="G595" s="39"/>
    </row>
    <row r="596" spans="7:7" ht="12.5" x14ac:dyDescent="0.25">
      <c r="G596" s="39"/>
    </row>
    <row r="597" spans="7:7" ht="12.5" x14ac:dyDescent="0.25">
      <c r="G597" s="39"/>
    </row>
    <row r="598" spans="7:7" ht="12.5" x14ac:dyDescent="0.25">
      <c r="G598" s="39"/>
    </row>
    <row r="599" spans="7:7" ht="12.5" x14ac:dyDescent="0.25">
      <c r="G599" s="39"/>
    </row>
    <row r="600" spans="7:7" ht="12.5" x14ac:dyDescent="0.25">
      <c r="G600" s="39"/>
    </row>
    <row r="601" spans="7:7" ht="12.5" x14ac:dyDescent="0.25">
      <c r="G601" s="39"/>
    </row>
    <row r="602" spans="7:7" ht="12.5" x14ac:dyDescent="0.25">
      <c r="G602" s="39"/>
    </row>
    <row r="603" spans="7:7" ht="12.5" x14ac:dyDescent="0.25">
      <c r="G603" s="39"/>
    </row>
    <row r="604" spans="7:7" ht="12.5" x14ac:dyDescent="0.25">
      <c r="G604" s="39"/>
    </row>
    <row r="605" spans="7:7" ht="12.5" x14ac:dyDescent="0.25">
      <c r="G605" s="39"/>
    </row>
    <row r="606" spans="7:7" ht="12.5" x14ac:dyDescent="0.25">
      <c r="G606" s="39"/>
    </row>
    <row r="607" spans="7:7" ht="12.5" x14ac:dyDescent="0.25">
      <c r="G607" s="39"/>
    </row>
    <row r="608" spans="7:7" ht="12.5" x14ac:dyDescent="0.25">
      <c r="G608" s="39"/>
    </row>
    <row r="609" spans="7:7" ht="12.5" x14ac:dyDescent="0.25">
      <c r="G609" s="39"/>
    </row>
    <row r="610" spans="7:7" ht="12.5" x14ac:dyDescent="0.25">
      <c r="G610" s="39"/>
    </row>
    <row r="611" spans="7:7" ht="12.5" x14ac:dyDescent="0.25">
      <c r="G611" s="39"/>
    </row>
    <row r="612" spans="7:7" ht="12.5" x14ac:dyDescent="0.25">
      <c r="G612" s="39"/>
    </row>
    <row r="613" spans="7:7" ht="12.5" x14ac:dyDescent="0.25">
      <c r="G613" s="39"/>
    </row>
    <row r="614" spans="7:7" ht="12.5" x14ac:dyDescent="0.25">
      <c r="G614" s="39"/>
    </row>
    <row r="615" spans="7:7" ht="12.5" x14ac:dyDescent="0.25">
      <c r="G615" s="39"/>
    </row>
    <row r="616" spans="7:7" ht="12.5" x14ac:dyDescent="0.25">
      <c r="G616" s="39"/>
    </row>
    <row r="617" spans="7:7" ht="12.5" x14ac:dyDescent="0.25">
      <c r="G617" s="39"/>
    </row>
    <row r="618" spans="7:7" ht="12.5" x14ac:dyDescent="0.25">
      <c r="G618" s="39"/>
    </row>
    <row r="619" spans="7:7" ht="12.5" x14ac:dyDescent="0.25">
      <c r="G619" s="39"/>
    </row>
    <row r="620" spans="7:7" ht="12.5" x14ac:dyDescent="0.25">
      <c r="G620" s="39"/>
    </row>
    <row r="621" spans="7:7" ht="12.5" x14ac:dyDescent="0.25">
      <c r="G621" s="39"/>
    </row>
    <row r="622" spans="7:7" ht="12.5" x14ac:dyDescent="0.25">
      <c r="G622" s="39"/>
    </row>
    <row r="623" spans="7:7" ht="12.5" x14ac:dyDescent="0.25">
      <c r="G623" s="39"/>
    </row>
    <row r="624" spans="7:7" ht="12.5" x14ac:dyDescent="0.25">
      <c r="G624" s="39"/>
    </row>
    <row r="625" spans="7:7" ht="12.5" x14ac:dyDescent="0.25">
      <c r="G625" s="39"/>
    </row>
    <row r="626" spans="7:7" ht="12.5" x14ac:dyDescent="0.25">
      <c r="G626" s="39"/>
    </row>
    <row r="627" spans="7:7" ht="12.5" x14ac:dyDescent="0.25">
      <c r="G627" s="39"/>
    </row>
    <row r="628" spans="7:7" ht="12.5" x14ac:dyDescent="0.25">
      <c r="G628" s="39"/>
    </row>
    <row r="629" spans="7:7" ht="12.5" x14ac:dyDescent="0.25">
      <c r="G629" s="39"/>
    </row>
    <row r="630" spans="7:7" ht="12.5" x14ac:dyDescent="0.25">
      <c r="G630" s="39"/>
    </row>
    <row r="631" spans="7:7" ht="12.5" x14ac:dyDescent="0.25">
      <c r="G631" s="39"/>
    </row>
    <row r="632" spans="7:7" ht="12.5" x14ac:dyDescent="0.25">
      <c r="G632" s="39"/>
    </row>
    <row r="633" spans="7:7" ht="12.5" x14ac:dyDescent="0.25">
      <c r="G633" s="39"/>
    </row>
    <row r="634" spans="7:7" ht="12.5" x14ac:dyDescent="0.25">
      <c r="G634" s="39"/>
    </row>
    <row r="635" spans="7:7" ht="12.5" x14ac:dyDescent="0.25">
      <c r="G635" s="39"/>
    </row>
    <row r="636" spans="7:7" ht="12.5" x14ac:dyDescent="0.25">
      <c r="G636" s="39"/>
    </row>
    <row r="637" spans="7:7" ht="12.5" x14ac:dyDescent="0.25">
      <c r="G637" s="39"/>
    </row>
    <row r="638" spans="7:7" ht="12.5" x14ac:dyDescent="0.25">
      <c r="G638" s="39"/>
    </row>
    <row r="639" spans="7:7" ht="12.5" x14ac:dyDescent="0.25">
      <c r="G639" s="39"/>
    </row>
    <row r="640" spans="7:7" ht="12.5" x14ac:dyDescent="0.25">
      <c r="G640" s="39"/>
    </row>
    <row r="641" spans="7:7" ht="12.5" x14ac:dyDescent="0.25">
      <c r="G641" s="39"/>
    </row>
    <row r="642" spans="7:7" ht="12.5" x14ac:dyDescent="0.25">
      <c r="G642" s="39"/>
    </row>
    <row r="643" spans="7:7" ht="12.5" x14ac:dyDescent="0.25">
      <c r="G643" s="39"/>
    </row>
    <row r="644" spans="7:7" ht="12.5" x14ac:dyDescent="0.25">
      <c r="G644" s="39"/>
    </row>
    <row r="645" spans="7:7" ht="12.5" x14ac:dyDescent="0.25">
      <c r="G645" s="39"/>
    </row>
    <row r="646" spans="7:7" ht="12.5" x14ac:dyDescent="0.25">
      <c r="G646" s="39"/>
    </row>
    <row r="647" spans="7:7" ht="12.5" x14ac:dyDescent="0.25">
      <c r="G647" s="39"/>
    </row>
    <row r="648" spans="7:7" ht="12.5" x14ac:dyDescent="0.25">
      <c r="G648" s="39"/>
    </row>
    <row r="649" spans="7:7" ht="12.5" x14ac:dyDescent="0.25">
      <c r="G649" s="39"/>
    </row>
    <row r="650" spans="7:7" ht="12.5" x14ac:dyDescent="0.25">
      <c r="G650" s="39"/>
    </row>
    <row r="651" spans="7:7" ht="12.5" x14ac:dyDescent="0.25">
      <c r="G651" s="39"/>
    </row>
    <row r="652" spans="7:7" ht="12.5" x14ac:dyDescent="0.25">
      <c r="G652" s="39"/>
    </row>
    <row r="653" spans="7:7" ht="12.5" x14ac:dyDescent="0.25">
      <c r="G653" s="39"/>
    </row>
    <row r="654" spans="7:7" ht="12.5" x14ac:dyDescent="0.25">
      <c r="G654" s="39"/>
    </row>
    <row r="655" spans="7:7" ht="12.5" x14ac:dyDescent="0.25">
      <c r="G655" s="39"/>
    </row>
    <row r="656" spans="7:7" ht="12.5" x14ac:dyDescent="0.25">
      <c r="G656" s="39"/>
    </row>
    <row r="657" spans="7:7" ht="12.5" x14ac:dyDescent="0.25">
      <c r="G657" s="39"/>
    </row>
    <row r="658" spans="7:7" ht="12.5" x14ac:dyDescent="0.25">
      <c r="G658" s="39"/>
    </row>
    <row r="659" spans="7:7" ht="12.5" x14ac:dyDescent="0.25">
      <c r="G659" s="39"/>
    </row>
    <row r="660" spans="7:7" ht="12.5" x14ac:dyDescent="0.25">
      <c r="G660" s="39"/>
    </row>
    <row r="661" spans="7:7" ht="12.5" x14ac:dyDescent="0.25">
      <c r="G661" s="39"/>
    </row>
    <row r="662" spans="7:7" ht="12.5" x14ac:dyDescent="0.25">
      <c r="G662" s="39"/>
    </row>
    <row r="663" spans="7:7" ht="12.5" x14ac:dyDescent="0.25">
      <c r="G663" s="39"/>
    </row>
    <row r="664" spans="7:7" ht="12.5" x14ac:dyDescent="0.25">
      <c r="G664" s="39"/>
    </row>
    <row r="665" spans="7:7" ht="12.5" x14ac:dyDescent="0.25">
      <c r="G665" s="39"/>
    </row>
    <row r="666" spans="7:7" ht="12.5" x14ac:dyDescent="0.25">
      <c r="G666" s="39"/>
    </row>
    <row r="667" spans="7:7" ht="12.5" x14ac:dyDescent="0.25">
      <c r="G667" s="39"/>
    </row>
    <row r="668" spans="7:7" ht="12.5" x14ac:dyDescent="0.25">
      <c r="G668" s="39"/>
    </row>
    <row r="669" spans="7:7" ht="12.5" x14ac:dyDescent="0.25">
      <c r="G669" s="39"/>
    </row>
    <row r="670" spans="7:7" ht="12.5" x14ac:dyDescent="0.25">
      <c r="G670" s="39"/>
    </row>
    <row r="671" spans="7:7" ht="12.5" x14ac:dyDescent="0.25">
      <c r="G671" s="39"/>
    </row>
    <row r="672" spans="7:7" ht="12.5" x14ac:dyDescent="0.25">
      <c r="G672" s="39"/>
    </row>
    <row r="673" spans="7:7" ht="12.5" x14ac:dyDescent="0.25">
      <c r="G673" s="39"/>
    </row>
    <row r="674" spans="7:7" ht="12.5" x14ac:dyDescent="0.25">
      <c r="G674" s="39"/>
    </row>
    <row r="675" spans="7:7" ht="12.5" x14ac:dyDescent="0.25">
      <c r="G675" s="39"/>
    </row>
    <row r="676" spans="7:7" ht="12.5" x14ac:dyDescent="0.25">
      <c r="G676" s="39"/>
    </row>
    <row r="677" spans="7:7" ht="12.5" x14ac:dyDescent="0.25">
      <c r="G677" s="39"/>
    </row>
    <row r="678" spans="7:7" ht="12.5" x14ac:dyDescent="0.25">
      <c r="G678" s="39"/>
    </row>
    <row r="679" spans="7:7" ht="12.5" x14ac:dyDescent="0.25">
      <c r="G679" s="39"/>
    </row>
    <row r="680" spans="7:7" ht="12.5" x14ac:dyDescent="0.25">
      <c r="G680" s="39"/>
    </row>
    <row r="681" spans="7:7" ht="12.5" x14ac:dyDescent="0.25">
      <c r="G681" s="39"/>
    </row>
    <row r="682" spans="7:7" ht="12.5" x14ac:dyDescent="0.25">
      <c r="G682" s="39"/>
    </row>
    <row r="683" spans="7:7" ht="12.5" x14ac:dyDescent="0.25">
      <c r="G683" s="39"/>
    </row>
    <row r="684" spans="7:7" ht="12.5" x14ac:dyDescent="0.25">
      <c r="G684" s="39"/>
    </row>
    <row r="685" spans="7:7" ht="12.5" x14ac:dyDescent="0.25">
      <c r="G685" s="39"/>
    </row>
    <row r="686" spans="7:7" ht="12.5" x14ac:dyDescent="0.25">
      <c r="G686" s="39"/>
    </row>
    <row r="687" spans="7:7" ht="12.5" x14ac:dyDescent="0.25">
      <c r="G687" s="39"/>
    </row>
    <row r="688" spans="7:7" ht="12.5" x14ac:dyDescent="0.25">
      <c r="G688" s="39"/>
    </row>
    <row r="689" spans="7:7" ht="12.5" x14ac:dyDescent="0.25">
      <c r="G689" s="39"/>
    </row>
    <row r="690" spans="7:7" ht="12.5" x14ac:dyDescent="0.25">
      <c r="G690" s="39"/>
    </row>
    <row r="691" spans="7:7" ht="12.5" x14ac:dyDescent="0.25">
      <c r="G691" s="39"/>
    </row>
    <row r="692" spans="7:7" ht="12.5" x14ac:dyDescent="0.25">
      <c r="G692" s="39"/>
    </row>
    <row r="693" spans="7:7" ht="12.5" x14ac:dyDescent="0.25">
      <c r="G693" s="39"/>
    </row>
    <row r="694" spans="7:7" ht="12.5" x14ac:dyDescent="0.25">
      <c r="G694" s="39"/>
    </row>
    <row r="695" spans="7:7" ht="12.5" x14ac:dyDescent="0.25">
      <c r="G695" s="39"/>
    </row>
    <row r="696" spans="7:7" ht="12.5" x14ac:dyDescent="0.25">
      <c r="G696" s="39"/>
    </row>
    <row r="697" spans="7:7" ht="12.5" x14ac:dyDescent="0.25">
      <c r="G697" s="39"/>
    </row>
    <row r="698" spans="7:7" ht="12.5" x14ac:dyDescent="0.25">
      <c r="G698" s="39"/>
    </row>
    <row r="699" spans="7:7" ht="12.5" x14ac:dyDescent="0.25">
      <c r="G699" s="39"/>
    </row>
    <row r="700" spans="7:7" ht="12.5" x14ac:dyDescent="0.25">
      <c r="G700" s="39"/>
    </row>
    <row r="701" spans="7:7" ht="12.5" x14ac:dyDescent="0.25">
      <c r="G701" s="39"/>
    </row>
    <row r="702" spans="7:7" ht="12.5" x14ac:dyDescent="0.25">
      <c r="G702" s="39"/>
    </row>
    <row r="703" spans="7:7" ht="12.5" x14ac:dyDescent="0.25">
      <c r="G703" s="39"/>
    </row>
    <row r="704" spans="7:7" ht="12.5" x14ac:dyDescent="0.25">
      <c r="G704" s="39"/>
    </row>
    <row r="705" spans="7:7" ht="12.5" x14ac:dyDescent="0.25">
      <c r="G705" s="39"/>
    </row>
    <row r="706" spans="7:7" ht="12.5" x14ac:dyDescent="0.25">
      <c r="G706" s="39"/>
    </row>
    <row r="707" spans="7:7" ht="12.5" x14ac:dyDescent="0.25">
      <c r="G707" s="39"/>
    </row>
    <row r="708" spans="7:7" ht="12.5" x14ac:dyDescent="0.25">
      <c r="G708" s="39"/>
    </row>
    <row r="709" spans="7:7" ht="12.5" x14ac:dyDescent="0.25">
      <c r="G709" s="39"/>
    </row>
    <row r="710" spans="7:7" ht="12.5" x14ac:dyDescent="0.25">
      <c r="G710" s="39"/>
    </row>
    <row r="711" spans="7:7" ht="12.5" x14ac:dyDescent="0.25">
      <c r="G711" s="39"/>
    </row>
    <row r="712" spans="7:7" ht="12.5" x14ac:dyDescent="0.25">
      <c r="G712" s="39"/>
    </row>
    <row r="713" spans="7:7" ht="12.5" x14ac:dyDescent="0.25">
      <c r="G713" s="39"/>
    </row>
    <row r="714" spans="7:7" ht="12.5" x14ac:dyDescent="0.25">
      <c r="G714" s="39"/>
    </row>
    <row r="715" spans="7:7" ht="12.5" x14ac:dyDescent="0.25">
      <c r="G715" s="39"/>
    </row>
    <row r="716" spans="7:7" ht="12.5" x14ac:dyDescent="0.25">
      <c r="G716" s="39"/>
    </row>
    <row r="717" spans="7:7" ht="12.5" x14ac:dyDescent="0.25">
      <c r="G717" s="39"/>
    </row>
    <row r="718" spans="7:7" ht="12.5" x14ac:dyDescent="0.25">
      <c r="G718" s="39"/>
    </row>
    <row r="719" spans="7:7" ht="12.5" x14ac:dyDescent="0.25">
      <c r="G719" s="39"/>
    </row>
    <row r="720" spans="7:7" ht="12.5" x14ac:dyDescent="0.25">
      <c r="G720" s="39"/>
    </row>
    <row r="721" spans="7:7" ht="12.5" x14ac:dyDescent="0.25">
      <c r="G721" s="39"/>
    </row>
    <row r="722" spans="7:7" ht="12.5" x14ac:dyDescent="0.25">
      <c r="G722" s="39"/>
    </row>
    <row r="723" spans="7:7" ht="12.5" x14ac:dyDescent="0.25">
      <c r="G723" s="39"/>
    </row>
    <row r="724" spans="7:7" ht="12.5" x14ac:dyDescent="0.25">
      <c r="G724" s="39"/>
    </row>
    <row r="725" spans="7:7" ht="12.5" x14ac:dyDescent="0.25">
      <c r="G725" s="39"/>
    </row>
    <row r="726" spans="7:7" ht="12.5" x14ac:dyDescent="0.25">
      <c r="G726" s="39"/>
    </row>
    <row r="727" spans="7:7" ht="12.5" x14ac:dyDescent="0.25">
      <c r="G727" s="39"/>
    </row>
    <row r="728" spans="7:7" ht="12.5" x14ac:dyDescent="0.25">
      <c r="G728" s="39"/>
    </row>
    <row r="729" spans="7:7" ht="12.5" x14ac:dyDescent="0.25">
      <c r="G729" s="39"/>
    </row>
    <row r="730" spans="7:7" ht="12.5" x14ac:dyDescent="0.25">
      <c r="G730" s="39"/>
    </row>
    <row r="731" spans="7:7" ht="12.5" x14ac:dyDescent="0.25">
      <c r="G731" s="39"/>
    </row>
    <row r="732" spans="7:7" ht="12.5" x14ac:dyDescent="0.25">
      <c r="G732" s="39"/>
    </row>
    <row r="733" spans="7:7" ht="12.5" x14ac:dyDescent="0.25">
      <c r="G733" s="39"/>
    </row>
    <row r="734" spans="7:7" ht="12.5" x14ac:dyDescent="0.25">
      <c r="G734" s="39"/>
    </row>
    <row r="735" spans="7:7" ht="12.5" x14ac:dyDescent="0.25">
      <c r="G735" s="39"/>
    </row>
    <row r="736" spans="7:7" ht="12.5" x14ac:dyDescent="0.25">
      <c r="G736" s="39"/>
    </row>
    <row r="737" spans="7:7" ht="12.5" x14ac:dyDescent="0.25">
      <c r="G737" s="39"/>
    </row>
    <row r="738" spans="7:7" ht="12.5" x14ac:dyDescent="0.25">
      <c r="G738" s="39"/>
    </row>
    <row r="739" spans="7:7" ht="12.5" x14ac:dyDescent="0.25">
      <c r="G739" s="39"/>
    </row>
    <row r="740" spans="7:7" ht="12.5" x14ac:dyDescent="0.25">
      <c r="G740" s="39"/>
    </row>
    <row r="741" spans="7:7" ht="12.5" x14ac:dyDescent="0.25">
      <c r="G741" s="39"/>
    </row>
    <row r="742" spans="7:7" ht="12.5" x14ac:dyDescent="0.25">
      <c r="G742" s="39"/>
    </row>
    <row r="743" spans="7:7" ht="12.5" x14ac:dyDescent="0.25">
      <c r="G743" s="39"/>
    </row>
    <row r="744" spans="7:7" ht="12.5" x14ac:dyDescent="0.25">
      <c r="G744" s="39"/>
    </row>
    <row r="745" spans="7:7" ht="12.5" x14ac:dyDescent="0.25">
      <c r="G745" s="39"/>
    </row>
    <row r="746" spans="7:7" ht="12.5" x14ac:dyDescent="0.25">
      <c r="G746" s="39"/>
    </row>
    <row r="747" spans="7:7" ht="12.5" x14ac:dyDescent="0.25">
      <c r="G747" s="39"/>
    </row>
    <row r="748" spans="7:7" ht="12.5" x14ac:dyDescent="0.25">
      <c r="G748" s="39"/>
    </row>
    <row r="749" spans="7:7" ht="12.5" x14ac:dyDescent="0.25">
      <c r="G749" s="39"/>
    </row>
    <row r="750" spans="7:7" ht="12.5" x14ac:dyDescent="0.25">
      <c r="G750" s="39"/>
    </row>
    <row r="751" spans="7:7" ht="12.5" x14ac:dyDescent="0.25">
      <c r="G751" s="39"/>
    </row>
    <row r="752" spans="7:7" ht="12.5" x14ac:dyDescent="0.25">
      <c r="G752" s="39"/>
    </row>
    <row r="753" spans="7:7" ht="12.5" x14ac:dyDescent="0.25">
      <c r="G753" s="39"/>
    </row>
    <row r="754" spans="7:7" ht="12.5" x14ac:dyDescent="0.25">
      <c r="G754" s="39"/>
    </row>
    <row r="755" spans="7:7" ht="12.5" x14ac:dyDescent="0.25">
      <c r="G755" s="39"/>
    </row>
    <row r="756" spans="7:7" ht="12.5" x14ac:dyDescent="0.25">
      <c r="G756" s="39"/>
    </row>
    <row r="757" spans="7:7" ht="12.5" x14ac:dyDescent="0.25">
      <c r="G757" s="39"/>
    </row>
    <row r="758" spans="7:7" ht="12.5" x14ac:dyDescent="0.25">
      <c r="G758" s="39"/>
    </row>
    <row r="759" spans="7:7" ht="12.5" x14ac:dyDescent="0.25">
      <c r="G759" s="39"/>
    </row>
    <row r="760" spans="7:7" ht="12.5" x14ac:dyDescent="0.25">
      <c r="G760" s="39"/>
    </row>
    <row r="761" spans="7:7" ht="12.5" x14ac:dyDescent="0.25">
      <c r="G761" s="39"/>
    </row>
    <row r="762" spans="7:7" ht="12.5" x14ac:dyDescent="0.25">
      <c r="G762" s="39"/>
    </row>
    <row r="763" spans="7:7" ht="12.5" x14ac:dyDescent="0.25">
      <c r="G763" s="39"/>
    </row>
    <row r="764" spans="7:7" ht="12.5" x14ac:dyDescent="0.25">
      <c r="G764" s="39"/>
    </row>
    <row r="765" spans="7:7" ht="12.5" x14ac:dyDescent="0.25">
      <c r="G765" s="39"/>
    </row>
    <row r="766" spans="7:7" ht="12.5" x14ac:dyDescent="0.25">
      <c r="G766" s="39"/>
    </row>
    <row r="767" spans="7:7" ht="12.5" x14ac:dyDescent="0.25">
      <c r="G767" s="39"/>
    </row>
    <row r="768" spans="7:7" ht="12.5" x14ac:dyDescent="0.25">
      <c r="G768" s="39"/>
    </row>
    <row r="769" spans="7:7" ht="12.5" x14ac:dyDescent="0.25">
      <c r="G769" s="39"/>
    </row>
    <row r="770" spans="7:7" ht="12.5" x14ac:dyDescent="0.25">
      <c r="G770" s="39"/>
    </row>
    <row r="771" spans="7:7" ht="12.5" x14ac:dyDescent="0.25">
      <c r="G771" s="39"/>
    </row>
    <row r="772" spans="7:7" ht="12.5" x14ac:dyDescent="0.25">
      <c r="G772" s="39"/>
    </row>
    <row r="773" spans="7:7" ht="12.5" x14ac:dyDescent="0.25">
      <c r="G773" s="39"/>
    </row>
    <row r="774" spans="7:7" ht="12.5" x14ac:dyDescent="0.25">
      <c r="G774" s="39"/>
    </row>
    <row r="775" spans="7:7" ht="12.5" x14ac:dyDescent="0.25">
      <c r="G775" s="39"/>
    </row>
    <row r="776" spans="7:7" ht="12.5" x14ac:dyDescent="0.25">
      <c r="G776" s="39"/>
    </row>
    <row r="777" spans="7:7" ht="12.5" x14ac:dyDescent="0.25">
      <c r="G777" s="39"/>
    </row>
    <row r="778" spans="7:7" ht="12.5" x14ac:dyDescent="0.25">
      <c r="G778" s="39"/>
    </row>
    <row r="779" spans="7:7" ht="12.5" x14ac:dyDescent="0.25">
      <c r="G779" s="39"/>
    </row>
    <row r="780" spans="7:7" ht="12.5" x14ac:dyDescent="0.25">
      <c r="G780" s="39"/>
    </row>
    <row r="781" spans="7:7" ht="12.5" x14ac:dyDescent="0.25">
      <c r="G781" s="39"/>
    </row>
    <row r="782" spans="7:7" ht="12.5" x14ac:dyDescent="0.25">
      <c r="G782" s="39"/>
    </row>
    <row r="783" spans="7:7" ht="12.5" x14ac:dyDescent="0.25">
      <c r="G783" s="39"/>
    </row>
    <row r="784" spans="7:7" ht="12.5" x14ac:dyDescent="0.25">
      <c r="G784" s="39"/>
    </row>
    <row r="785" spans="7:7" ht="12.5" x14ac:dyDescent="0.25">
      <c r="G785" s="39"/>
    </row>
    <row r="786" spans="7:7" ht="12.5" x14ac:dyDescent="0.25">
      <c r="G786" s="39"/>
    </row>
    <row r="787" spans="7:7" ht="12.5" x14ac:dyDescent="0.25">
      <c r="G787" s="39"/>
    </row>
    <row r="788" spans="7:7" ht="12.5" x14ac:dyDescent="0.25">
      <c r="G788" s="39"/>
    </row>
    <row r="789" spans="7:7" ht="12.5" x14ac:dyDescent="0.25">
      <c r="G789" s="39"/>
    </row>
    <row r="790" spans="7:7" ht="12.5" x14ac:dyDescent="0.25">
      <c r="G790" s="39"/>
    </row>
    <row r="791" spans="7:7" ht="12.5" x14ac:dyDescent="0.25">
      <c r="G791" s="39"/>
    </row>
    <row r="792" spans="7:7" ht="12.5" x14ac:dyDescent="0.25">
      <c r="G792" s="39"/>
    </row>
    <row r="793" spans="7:7" ht="12.5" x14ac:dyDescent="0.25">
      <c r="G793" s="39"/>
    </row>
    <row r="794" spans="7:7" ht="12.5" x14ac:dyDescent="0.25">
      <c r="G794" s="39"/>
    </row>
    <row r="795" spans="7:7" ht="12.5" x14ac:dyDescent="0.25">
      <c r="G795" s="39"/>
    </row>
    <row r="796" spans="7:7" ht="12.5" x14ac:dyDescent="0.25">
      <c r="G796" s="39"/>
    </row>
    <row r="797" spans="7:7" ht="12.5" x14ac:dyDescent="0.25">
      <c r="G797" s="39"/>
    </row>
    <row r="798" spans="7:7" ht="12.5" x14ac:dyDescent="0.25">
      <c r="G798" s="39"/>
    </row>
    <row r="799" spans="7:7" ht="12.5" x14ac:dyDescent="0.25">
      <c r="G799" s="39"/>
    </row>
    <row r="800" spans="7:7" ht="12.5" x14ac:dyDescent="0.25">
      <c r="G800" s="39"/>
    </row>
    <row r="801" spans="7:7" ht="12.5" x14ac:dyDescent="0.25">
      <c r="G801" s="39"/>
    </row>
    <row r="802" spans="7:7" ht="12.5" x14ac:dyDescent="0.25">
      <c r="G802" s="39"/>
    </row>
    <row r="803" spans="7:7" ht="12.5" x14ac:dyDescent="0.25">
      <c r="G803" s="39"/>
    </row>
    <row r="804" spans="7:7" ht="12.5" x14ac:dyDescent="0.25">
      <c r="G804" s="39"/>
    </row>
    <row r="805" spans="7:7" ht="12.5" x14ac:dyDescent="0.25">
      <c r="G805" s="39"/>
    </row>
    <row r="806" spans="7:7" ht="12.5" x14ac:dyDescent="0.25">
      <c r="G806" s="39"/>
    </row>
    <row r="807" spans="7:7" ht="12.5" x14ac:dyDescent="0.25">
      <c r="G807" s="39"/>
    </row>
    <row r="808" spans="7:7" ht="12.5" x14ac:dyDescent="0.25">
      <c r="G808" s="39"/>
    </row>
    <row r="809" spans="7:7" ht="12.5" x14ac:dyDescent="0.25">
      <c r="G809" s="39"/>
    </row>
    <row r="810" spans="7:7" ht="12.5" x14ac:dyDescent="0.25">
      <c r="G810" s="39"/>
    </row>
    <row r="811" spans="7:7" ht="12.5" x14ac:dyDescent="0.25">
      <c r="G811" s="39"/>
    </row>
    <row r="812" spans="7:7" ht="12.5" x14ac:dyDescent="0.25">
      <c r="G812" s="39"/>
    </row>
    <row r="813" spans="7:7" ht="12.5" x14ac:dyDescent="0.25">
      <c r="G813" s="39"/>
    </row>
    <row r="814" spans="7:7" ht="12.5" x14ac:dyDescent="0.25">
      <c r="G814" s="39"/>
    </row>
    <row r="815" spans="7:7" ht="12.5" x14ac:dyDescent="0.25">
      <c r="G815" s="39"/>
    </row>
    <row r="816" spans="7:7" ht="12.5" x14ac:dyDescent="0.25">
      <c r="G816" s="39"/>
    </row>
    <row r="817" spans="7:7" ht="12.5" x14ac:dyDescent="0.25">
      <c r="G817" s="39"/>
    </row>
    <row r="818" spans="7:7" ht="12.5" x14ac:dyDescent="0.25">
      <c r="G818" s="39"/>
    </row>
    <row r="819" spans="7:7" ht="12.5" x14ac:dyDescent="0.25">
      <c r="G819" s="39"/>
    </row>
    <row r="820" spans="7:7" ht="12.5" x14ac:dyDescent="0.25">
      <c r="G820" s="39"/>
    </row>
    <row r="821" spans="7:7" ht="12.5" x14ac:dyDescent="0.25">
      <c r="G821" s="39"/>
    </row>
    <row r="822" spans="7:7" ht="12.5" x14ac:dyDescent="0.25">
      <c r="G822" s="39"/>
    </row>
    <row r="823" spans="7:7" ht="12.5" x14ac:dyDescent="0.25">
      <c r="G823" s="39"/>
    </row>
    <row r="824" spans="7:7" ht="12.5" x14ac:dyDescent="0.25">
      <c r="G824" s="39"/>
    </row>
    <row r="825" spans="7:7" ht="12.5" x14ac:dyDescent="0.25">
      <c r="G825" s="39"/>
    </row>
    <row r="826" spans="7:7" ht="12.5" x14ac:dyDescent="0.25">
      <c r="G826" s="39"/>
    </row>
    <row r="827" spans="7:7" ht="12.5" x14ac:dyDescent="0.25">
      <c r="G827" s="39"/>
    </row>
    <row r="828" spans="7:7" ht="12.5" x14ac:dyDescent="0.25">
      <c r="G828" s="39"/>
    </row>
    <row r="829" spans="7:7" ht="12.5" x14ac:dyDescent="0.25">
      <c r="G829" s="39"/>
    </row>
    <row r="830" spans="7:7" ht="12.5" x14ac:dyDescent="0.25">
      <c r="G830" s="39"/>
    </row>
    <row r="831" spans="7:7" ht="12.5" x14ac:dyDescent="0.25">
      <c r="G831" s="39"/>
    </row>
    <row r="832" spans="7:7" ht="12.5" x14ac:dyDescent="0.25">
      <c r="G832" s="39"/>
    </row>
    <row r="833" spans="7:7" ht="12.5" x14ac:dyDescent="0.25">
      <c r="G833" s="39"/>
    </row>
    <row r="834" spans="7:7" ht="12.5" x14ac:dyDescent="0.25">
      <c r="G834" s="39"/>
    </row>
    <row r="835" spans="7:7" ht="12.5" x14ac:dyDescent="0.25">
      <c r="G835" s="39"/>
    </row>
    <row r="836" spans="7:7" ht="12.5" x14ac:dyDescent="0.25">
      <c r="G836" s="39"/>
    </row>
    <row r="837" spans="7:7" ht="12.5" x14ac:dyDescent="0.25">
      <c r="G837" s="39"/>
    </row>
    <row r="838" spans="7:7" ht="12.5" x14ac:dyDescent="0.25">
      <c r="G838" s="39"/>
    </row>
    <row r="839" spans="7:7" ht="12.5" x14ac:dyDescent="0.25">
      <c r="G839" s="39"/>
    </row>
    <row r="840" spans="7:7" ht="12.5" x14ac:dyDescent="0.25">
      <c r="G840" s="39"/>
    </row>
    <row r="841" spans="7:7" ht="12.5" x14ac:dyDescent="0.25">
      <c r="G841" s="39"/>
    </row>
    <row r="842" spans="7:7" ht="12.5" x14ac:dyDescent="0.25">
      <c r="G842" s="39"/>
    </row>
    <row r="843" spans="7:7" ht="12.5" x14ac:dyDescent="0.25">
      <c r="G843" s="39"/>
    </row>
    <row r="844" spans="7:7" ht="12.5" x14ac:dyDescent="0.25">
      <c r="G844" s="39"/>
    </row>
    <row r="845" spans="7:7" ht="12.5" x14ac:dyDescent="0.25">
      <c r="G845" s="39"/>
    </row>
    <row r="846" spans="7:7" ht="12.5" x14ac:dyDescent="0.25">
      <c r="G846" s="39"/>
    </row>
    <row r="847" spans="7:7" ht="12.5" x14ac:dyDescent="0.25">
      <c r="G847" s="39"/>
    </row>
    <row r="848" spans="7:7" ht="12.5" x14ac:dyDescent="0.25">
      <c r="G848" s="39"/>
    </row>
    <row r="849" spans="7:7" ht="12.5" x14ac:dyDescent="0.25">
      <c r="G849" s="39"/>
    </row>
    <row r="850" spans="7:7" ht="12.5" x14ac:dyDescent="0.25">
      <c r="G850" s="39"/>
    </row>
    <row r="851" spans="7:7" ht="12.5" x14ac:dyDescent="0.25">
      <c r="G851" s="39"/>
    </row>
    <row r="852" spans="7:7" ht="12.5" x14ac:dyDescent="0.25">
      <c r="G852" s="39"/>
    </row>
    <row r="853" spans="7:7" ht="12.5" x14ac:dyDescent="0.25">
      <c r="G853" s="39"/>
    </row>
    <row r="854" spans="7:7" ht="12.5" x14ac:dyDescent="0.25">
      <c r="G854" s="39"/>
    </row>
    <row r="855" spans="7:7" ht="12.5" x14ac:dyDescent="0.25">
      <c r="G855" s="39"/>
    </row>
    <row r="856" spans="7:7" ht="12.5" x14ac:dyDescent="0.25">
      <c r="G856" s="39"/>
    </row>
    <row r="857" spans="7:7" ht="12.5" x14ac:dyDescent="0.25">
      <c r="G857" s="39"/>
    </row>
    <row r="858" spans="7:7" ht="12.5" x14ac:dyDescent="0.25">
      <c r="G858" s="39"/>
    </row>
    <row r="859" spans="7:7" ht="12.5" x14ac:dyDescent="0.25">
      <c r="G859" s="39"/>
    </row>
    <row r="860" spans="7:7" ht="12.5" x14ac:dyDescent="0.25">
      <c r="G860" s="39"/>
    </row>
    <row r="861" spans="7:7" ht="12.5" x14ac:dyDescent="0.25">
      <c r="G861" s="39"/>
    </row>
    <row r="862" spans="7:7" ht="12.5" x14ac:dyDescent="0.25">
      <c r="G862" s="39"/>
    </row>
    <row r="863" spans="7:7" ht="12.5" x14ac:dyDescent="0.25">
      <c r="G863" s="39"/>
    </row>
    <row r="864" spans="7:7" ht="12.5" x14ac:dyDescent="0.25">
      <c r="G864" s="39"/>
    </row>
    <row r="865" spans="7:7" ht="12.5" x14ac:dyDescent="0.25">
      <c r="G865" s="39"/>
    </row>
    <row r="866" spans="7:7" ht="12.5" x14ac:dyDescent="0.25">
      <c r="G866" s="39"/>
    </row>
    <row r="867" spans="7:7" ht="12.5" x14ac:dyDescent="0.25">
      <c r="G867" s="39"/>
    </row>
    <row r="868" spans="7:7" ht="12.5" x14ac:dyDescent="0.25">
      <c r="G868" s="39"/>
    </row>
    <row r="869" spans="7:7" ht="12.5" x14ac:dyDescent="0.25">
      <c r="G869" s="39"/>
    </row>
    <row r="870" spans="7:7" ht="12.5" x14ac:dyDescent="0.25">
      <c r="G870" s="39"/>
    </row>
    <row r="871" spans="7:7" ht="12.5" x14ac:dyDescent="0.25">
      <c r="G871" s="39"/>
    </row>
    <row r="872" spans="7:7" ht="12.5" x14ac:dyDescent="0.25">
      <c r="G872" s="39"/>
    </row>
    <row r="873" spans="7:7" ht="12.5" x14ac:dyDescent="0.25">
      <c r="G873" s="39"/>
    </row>
    <row r="874" spans="7:7" ht="12.5" x14ac:dyDescent="0.25">
      <c r="G874" s="39"/>
    </row>
    <row r="875" spans="7:7" ht="12.5" x14ac:dyDescent="0.25">
      <c r="G875" s="39"/>
    </row>
    <row r="876" spans="7:7" ht="12.5" x14ac:dyDescent="0.25">
      <c r="G876" s="39"/>
    </row>
    <row r="877" spans="7:7" ht="12.5" x14ac:dyDescent="0.25">
      <c r="G877" s="39"/>
    </row>
    <row r="878" spans="7:7" ht="12.5" x14ac:dyDescent="0.25">
      <c r="G878" s="39"/>
    </row>
    <row r="879" spans="7:7" ht="12.5" x14ac:dyDescent="0.25">
      <c r="G879" s="39"/>
    </row>
    <row r="880" spans="7:7" ht="12.5" x14ac:dyDescent="0.25">
      <c r="G880" s="39"/>
    </row>
    <row r="881" spans="7:7" ht="12.5" x14ac:dyDescent="0.25">
      <c r="G881" s="39"/>
    </row>
    <row r="882" spans="7:7" ht="12.5" x14ac:dyDescent="0.25">
      <c r="G882" s="39"/>
    </row>
    <row r="883" spans="7:7" ht="12.5" x14ac:dyDescent="0.25">
      <c r="G883" s="39"/>
    </row>
    <row r="884" spans="7:7" ht="12.5" x14ac:dyDescent="0.25">
      <c r="G884" s="39"/>
    </row>
    <row r="885" spans="7:7" ht="12.5" x14ac:dyDescent="0.25">
      <c r="G885" s="39"/>
    </row>
    <row r="886" spans="7:7" ht="12.5" x14ac:dyDescent="0.25">
      <c r="G886" s="39"/>
    </row>
    <row r="887" spans="7:7" ht="12.5" x14ac:dyDescent="0.25">
      <c r="G887" s="39"/>
    </row>
    <row r="888" spans="7:7" ht="12.5" x14ac:dyDescent="0.25">
      <c r="G888" s="39"/>
    </row>
    <row r="889" spans="7:7" ht="12.5" x14ac:dyDescent="0.25">
      <c r="G889" s="39"/>
    </row>
    <row r="890" spans="7:7" ht="12.5" x14ac:dyDescent="0.25">
      <c r="G890" s="39"/>
    </row>
    <row r="891" spans="7:7" ht="12.5" x14ac:dyDescent="0.25">
      <c r="G891" s="39"/>
    </row>
    <row r="892" spans="7:7" ht="12.5" x14ac:dyDescent="0.25">
      <c r="G892" s="39"/>
    </row>
    <row r="893" spans="7:7" ht="12.5" x14ac:dyDescent="0.25">
      <c r="G893" s="39"/>
    </row>
    <row r="894" spans="7:7" ht="12.5" x14ac:dyDescent="0.25">
      <c r="G894" s="39"/>
    </row>
    <row r="895" spans="7:7" ht="12.5" x14ac:dyDescent="0.25">
      <c r="G895" s="39"/>
    </row>
    <row r="896" spans="7:7" ht="12.5" x14ac:dyDescent="0.25">
      <c r="G896" s="39"/>
    </row>
    <row r="897" spans="7:7" ht="12.5" x14ac:dyDescent="0.25">
      <c r="G897" s="39"/>
    </row>
    <row r="898" spans="7:7" ht="12.5" x14ac:dyDescent="0.25">
      <c r="G898" s="39"/>
    </row>
    <row r="899" spans="7:7" ht="12.5" x14ac:dyDescent="0.25">
      <c r="G899" s="39"/>
    </row>
    <row r="900" spans="7:7" ht="12.5" x14ac:dyDescent="0.25">
      <c r="G900" s="39"/>
    </row>
    <row r="901" spans="7:7" ht="12.5" x14ac:dyDescent="0.25">
      <c r="G901" s="39"/>
    </row>
    <row r="902" spans="7:7" ht="12.5" x14ac:dyDescent="0.25">
      <c r="G902" s="39"/>
    </row>
    <row r="903" spans="7:7" ht="12.5" x14ac:dyDescent="0.25">
      <c r="G903" s="39"/>
    </row>
    <row r="904" spans="7:7" ht="12.5" x14ac:dyDescent="0.25">
      <c r="G904" s="39"/>
    </row>
  </sheetData>
  <autoFilter ref="A1:K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Sueldos 03-2025</vt:lpstr>
      <vt:lpstr>Sueldos 04-2025</vt:lpstr>
      <vt:lpstr>Gastos 03-2025</vt:lpstr>
      <vt:lpstr>Gastos 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2025-05-15T17:59:43Z</dcterms:modified>
</cp:coreProperties>
</file>