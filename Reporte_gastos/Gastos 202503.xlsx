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firstSheet="2" activeTab="4"/>
  </bookViews>
  <sheets>
    <sheet name="Resumen gastos 2025-03" sheetId="4" r:id="rId1"/>
    <sheet name="Gastos 03-2025" sheetId="2" r:id="rId2"/>
    <sheet name="Resumen personal 2025-03" sheetId="5" r:id="rId3"/>
    <sheet name="Sueldos 03-2025 (2)" sheetId="7" r:id="rId4"/>
    <sheet name="Sueldos 03-2025" sheetId="1" r:id="rId5"/>
    <sheet name="Sueldos 04-2025" sheetId="3" r:id="rId6"/>
  </sheets>
  <definedNames>
    <definedName name="_xlnm._FilterDatabase" localSheetId="1" hidden="1">'Gastos 03-2025'!$A$1:$E$51</definedName>
    <definedName name="_xlnm._FilterDatabase" localSheetId="4" hidden="1">'Sueldos 03-2025'!$A$1:$M$30</definedName>
    <definedName name="_xlnm._FilterDatabase" localSheetId="5" hidden="1">'Sueldos 04-2025'!$A$1:$M$35</definedName>
    <definedName name="_xlcn.WorksheetConnection_Gastos032025A1H511" hidden="1">'Gastos 03-2025'!$A$1:$E$51</definedName>
    <definedName name="_xlcn.WorksheetConnection_Sueldos032025A1M321" hidden="1">'Sueldos 03-2025'!$A$1:$M$28</definedName>
  </definedNames>
  <calcPr calcId="162913"/>
  <pivotCaches>
    <pivotCache cacheId="128" r:id="rId7"/>
    <pivotCache cacheId="163" r:id="rId8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Gastos 03-2025!$A$1:$H$51"/>
          <x15:modelTable id="Rango1" name="Rango1" connection="WorksheetConnection_Sueldos 03-2025!$A$1:$M$32"/>
        </x15:modelTables>
      </x15:dataModel>
    </ext>
  </extLst>
</workbook>
</file>

<file path=xl/calcChain.xml><?xml version="1.0" encoding="utf-8"?>
<calcChain xmlns="http://schemas.openxmlformats.org/spreadsheetml/2006/main">
  <c r="L26" i="7" l="1"/>
  <c r="D26" i="7"/>
  <c r="H25" i="7"/>
  <c r="G24" i="7"/>
  <c r="L23" i="7"/>
  <c r="D23" i="7"/>
  <c r="H22" i="7"/>
  <c r="L21" i="7"/>
  <c r="D21" i="7"/>
  <c r="H20" i="7"/>
  <c r="L19" i="7"/>
  <c r="D19" i="7"/>
  <c r="H18" i="7"/>
  <c r="L17" i="7"/>
  <c r="D17" i="7"/>
  <c r="H16" i="7"/>
  <c r="L15" i="7"/>
  <c r="D15" i="7"/>
  <c r="H14" i="7"/>
  <c r="L13" i="7"/>
  <c r="D13" i="7"/>
  <c r="L12" i="7"/>
  <c r="D12" i="7"/>
  <c r="H11" i="7"/>
  <c r="L10" i="7"/>
  <c r="D10" i="7"/>
  <c r="H9" i="7"/>
  <c r="L8" i="7"/>
  <c r="D8" i="7"/>
  <c r="H7" i="7"/>
  <c r="L6" i="7"/>
  <c r="D6" i="7"/>
  <c r="H5" i="7"/>
  <c r="L4" i="7"/>
  <c r="D4" i="7"/>
  <c r="H3" i="7"/>
  <c r="L2" i="7"/>
  <c r="D2" i="7"/>
  <c r="M1" i="7"/>
  <c r="E1" i="7"/>
  <c r="K26" i="7"/>
  <c r="G25" i="7"/>
  <c r="C23" i="7"/>
  <c r="K21" i="7"/>
  <c r="G20" i="7"/>
  <c r="C19" i="7"/>
  <c r="K17" i="7"/>
  <c r="C17" i="7"/>
  <c r="K15" i="7"/>
  <c r="G14" i="7"/>
  <c r="K13" i="7"/>
  <c r="C12" i="7"/>
  <c r="K10" i="7"/>
  <c r="C10" i="7"/>
  <c r="K8" i="7"/>
  <c r="G7" i="7"/>
  <c r="C6" i="7"/>
  <c r="C4" i="7"/>
  <c r="K2" i="7"/>
  <c r="L1" i="7"/>
  <c r="J6" i="7"/>
  <c r="C26" i="7"/>
  <c r="F24" i="7"/>
  <c r="K23" i="7"/>
  <c r="G22" i="7"/>
  <c r="C21" i="7"/>
  <c r="K19" i="7"/>
  <c r="G18" i="7"/>
  <c r="G16" i="7"/>
  <c r="C15" i="7"/>
  <c r="C13" i="7"/>
  <c r="K12" i="7"/>
  <c r="G11" i="7"/>
  <c r="G9" i="7"/>
  <c r="C8" i="7"/>
  <c r="K6" i="7"/>
  <c r="G5" i="7"/>
  <c r="K4" i="7"/>
  <c r="G3" i="7"/>
  <c r="C2" i="7"/>
  <c r="D1" i="7"/>
  <c r="J4" i="7"/>
  <c r="J26" i="7"/>
  <c r="B26" i="7"/>
  <c r="F25" i="7"/>
  <c r="E24" i="7"/>
  <c r="J23" i="7"/>
  <c r="B23" i="7"/>
  <c r="F22" i="7"/>
  <c r="J21" i="7"/>
  <c r="B21" i="7"/>
  <c r="F20" i="7"/>
  <c r="J19" i="7"/>
  <c r="B19" i="7"/>
  <c r="F18" i="7"/>
  <c r="J17" i="7"/>
  <c r="B17" i="7"/>
  <c r="F16" i="7"/>
  <c r="J15" i="7"/>
  <c r="B15" i="7"/>
  <c r="F14" i="7"/>
  <c r="J13" i="7"/>
  <c r="B13" i="7"/>
  <c r="J12" i="7"/>
  <c r="B12" i="7"/>
  <c r="F11" i="7"/>
  <c r="J10" i="7"/>
  <c r="B10" i="7"/>
  <c r="F9" i="7"/>
  <c r="J8" i="7"/>
  <c r="B8" i="7"/>
  <c r="F7" i="7"/>
  <c r="F5" i="7"/>
  <c r="J2" i="7"/>
  <c r="K1" i="7"/>
  <c r="I26" i="7"/>
  <c r="A26" i="7"/>
  <c r="E25" i="7"/>
  <c r="L24" i="7"/>
  <c r="D24" i="7"/>
  <c r="I23" i="7"/>
  <c r="A23" i="7"/>
  <c r="E22" i="7"/>
  <c r="I21" i="7"/>
  <c r="A21" i="7"/>
  <c r="E20" i="7"/>
  <c r="I19" i="7"/>
  <c r="A19" i="7"/>
  <c r="E18" i="7"/>
  <c r="I17" i="7"/>
  <c r="A17" i="7"/>
  <c r="E16" i="7"/>
  <c r="I15" i="7"/>
  <c r="A15" i="7"/>
  <c r="E14" i="7"/>
  <c r="I13" i="7"/>
  <c r="A13" i="7"/>
  <c r="I12" i="7"/>
  <c r="A12" i="7"/>
  <c r="E11" i="7"/>
  <c r="I10" i="7"/>
  <c r="A10" i="7"/>
  <c r="E9" i="7"/>
  <c r="I8" i="7"/>
  <c r="A8" i="7"/>
  <c r="E7" i="7"/>
  <c r="I6" i="7"/>
  <c r="A6" i="7"/>
  <c r="E5" i="7"/>
  <c r="I4" i="7"/>
  <c r="A4" i="7"/>
  <c r="E3" i="7"/>
  <c r="I2" i="7"/>
  <c r="A2" i="7"/>
  <c r="J1" i="7"/>
  <c r="B1" i="7"/>
  <c r="B5" i="7"/>
  <c r="F2" i="7"/>
  <c r="E26" i="7"/>
  <c r="I25" i="7"/>
  <c r="A25" i="7"/>
  <c r="I22" i="7"/>
  <c r="I20" i="7"/>
  <c r="I18" i="7"/>
  <c r="I16" i="7"/>
  <c r="I14" i="7"/>
  <c r="I11" i="7"/>
  <c r="E10" i="7"/>
  <c r="I7" i="7"/>
  <c r="E6" i="7"/>
  <c r="E4" i="7"/>
  <c r="E2" i="7"/>
  <c r="B6" i="7"/>
  <c r="B2" i="7"/>
  <c r="H26" i="7"/>
  <c r="L25" i="7"/>
  <c r="D25" i="7"/>
  <c r="K24" i="7"/>
  <c r="C24" i="7"/>
  <c r="H23" i="7"/>
  <c r="L22" i="7"/>
  <c r="D22" i="7"/>
  <c r="H21" i="7"/>
  <c r="L20" i="7"/>
  <c r="D20" i="7"/>
  <c r="H19" i="7"/>
  <c r="L18" i="7"/>
  <c r="D18" i="7"/>
  <c r="H17" i="7"/>
  <c r="L16" i="7"/>
  <c r="D16" i="7"/>
  <c r="H15" i="7"/>
  <c r="L14" i="7"/>
  <c r="D14" i="7"/>
  <c r="H13" i="7"/>
  <c r="H12" i="7"/>
  <c r="L11" i="7"/>
  <c r="D11" i="7"/>
  <c r="H10" i="7"/>
  <c r="L9" i="7"/>
  <c r="D9" i="7"/>
  <c r="H8" i="7"/>
  <c r="L7" i="7"/>
  <c r="D7" i="7"/>
  <c r="H6" i="7"/>
  <c r="L5" i="7"/>
  <c r="D5" i="7"/>
  <c r="H4" i="7"/>
  <c r="L3" i="7"/>
  <c r="D3" i="7"/>
  <c r="H2" i="7"/>
  <c r="I1" i="7"/>
  <c r="A1" i="7"/>
  <c r="J25" i="7"/>
  <c r="A24" i="7"/>
  <c r="F23" i="7"/>
  <c r="F21" i="7"/>
  <c r="B20" i="7"/>
  <c r="J18" i="7"/>
  <c r="F17" i="7"/>
  <c r="B16" i="7"/>
  <c r="J14" i="7"/>
  <c r="F13" i="7"/>
  <c r="J11" i="7"/>
  <c r="J9" i="7"/>
  <c r="F8" i="7"/>
  <c r="B7" i="7"/>
  <c r="J5" i="7"/>
  <c r="J3" i="7"/>
  <c r="A22" i="7"/>
  <c r="A20" i="7"/>
  <c r="A18" i="7"/>
  <c r="A16" i="7"/>
  <c r="A14" i="7"/>
  <c r="E12" i="7"/>
  <c r="I9" i="7"/>
  <c r="E8" i="7"/>
  <c r="I5" i="7"/>
  <c r="I3" i="7"/>
  <c r="F1" i="7"/>
  <c r="F3" i="7"/>
  <c r="C1" i="7"/>
  <c r="G26" i="7"/>
  <c r="K25" i="7"/>
  <c r="C25" i="7"/>
  <c r="J24" i="7"/>
  <c r="B24" i="7"/>
  <c r="G23" i="7"/>
  <c r="K22" i="7"/>
  <c r="C22" i="7"/>
  <c r="G21" i="7"/>
  <c r="K20" i="7"/>
  <c r="C20" i="7"/>
  <c r="G19" i="7"/>
  <c r="K18" i="7"/>
  <c r="C18" i="7"/>
  <c r="G17" i="7"/>
  <c r="K16" i="7"/>
  <c r="C16" i="7"/>
  <c r="G15" i="7"/>
  <c r="K14" i="7"/>
  <c r="C14" i="7"/>
  <c r="G13" i="7"/>
  <c r="G12" i="7"/>
  <c r="K11" i="7"/>
  <c r="C11" i="7"/>
  <c r="G10" i="7"/>
  <c r="K9" i="7"/>
  <c r="C9" i="7"/>
  <c r="G8" i="7"/>
  <c r="K7" i="7"/>
  <c r="C7" i="7"/>
  <c r="G6" i="7"/>
  <c r="K5" i="7"/>
  <c r="C5" i="7"/>
  <c r="G4" i="7"/>
  <c r="K3" i="7"/>
  <c r="C3" i="7"/>
  <c r="G2" i="7"/>
  <c r="H1" i="7"/>
  <c r="F26" i="7"/>
  <c r="B25" i="7"/>
  <c r="I24" i="7"/>
  <c r="J22" i="7"/>
  <c r="B22" i="7"/>
  <c r="J20" i="7"/>
  <c r="F19" i="7"/>
  <c r="B18" i="7"/>
  <c r="J16" i="7"/>
  <c r="F15" i="7"/>
  <c r="B14" i="7"/>
  <c r="F12" i="7"/>
  <c r="B11" i="7"/>
  <c r="F10" i="7"/>
  <c r="B9" i="7"/>
  <c r="J7" i="7"/>
  <c r="F6" i="7"/>
  <c r="F4" i="7"/>
  <c r="B3" i="7"/>
  <c r="G1" i="7"/>
  <c r="H24" i="7"/>
  <c r="E23" i="7"/>
  <c r="E21" i="7"/>
  <c r="E19" i="7"/>
  <c r="E17" i="7"/>
  <c r="E15" i="7"/>
  <c r="E13" i="7"/>
  <c r="A11" i="7"/>
  <c r="A9" i="7"/>
  <c r="A7" i="7"/>
  <c r="A5" i="7"/>
  <c r="A3" i="7"/>
  <c r="B4" i="7"/>
  <c r="J1" i="1" l="1"/>
  <c r="A1" i="1"/>
  <c r="M1" i="1"/>
  <c r="I1" i="1"/>
  <c r="H1" i="1"/>
  <c r="G1" i="1"/>
  <c r="E1" i="1"/>
  <c r="F1" i="1"/>
  <c r="L1" i="1"/>
  <c r="D1" i="1"/>
  <c r="K1" i="1"/>
  <c r="C1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Gastos 03-2025!$A$1:$H$51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Gastos032025A1H511"/>
        </x15:connection>
      </ext>
    </extLst>
  </connection>
  <connection id="3" name="WorksheetConnection_Sueldos 03-2025!$A$1:$M$32" type="102" refreshedVersion="6" minRefreshableVersion="5">
    <extLst>
      <ext xmlns:x15="http://schemas.microsoft.com/office/spreadsheetml/2010/11/main" uri="{DE250136-89BD-433C-8126-D09CA5730AF9}">
        <x15:connection id="Rango1" autoDelete="1">
          <x15:rangePr sourceName="_xlcn.WorksheetConnection_Sueldos032025A1M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1].[Apellido y Nombre].&amp;[Viña Sofia],[Rango1].[Apellido y Nombre].&amp;[Machta Gina],[Rango1].[Apellido y Nombre].&amp;[Robbio Lara],[Rango1].[Apellido y Nombre].&amp;[Ramirez Lola],[Rango1].[Apellido y Nombre].&amp;[Mohamad Daila],[Rango1].[Apellido y Nombre].&amp;[Oliva Micaela],[Rango1].[Apellido y Nombre].&amp;[CORONEL Mailen],[Rango1].[Apellido y Nombre].&amp;[Carrizo Camila],[Rango1].[Apellido y Nombre].&amp;[Corbalan Kiara],[Rango1].[Apellido y Nombre].&amp;[De Brito Rocio],[Rango1].[Apellido y Nombre].&amp;[Martínez Brisa],[Rango1].[Apellido y Nombre].&amp;[Barajas Barbara],[Rango1].[Apellido y Nombre].&amp;[Gimenez Candela],[Rango1].[Apellido y Nombre].&amp;[Machuca Araceli],[Rango1].[Apellido y Nombre].&amp;[Martinez Morena],[Rango1].[Apellido y Nombre].&amp;[Molina Agustina],[Rango1].[Apellido y Nombre].&amp;[Agüero Florencia],[Rango1].[Apellido y Nombre].&amp;[Bertolo Milagros],[Rango1].[Apellido y Nombre].&amp;[Esposito Candela],[Rango1].[Apellido y Nombre].&amp;[Sarapura Rebecca],[Rango1].[Apellido y Nombre].&amp;[Balmaceda Luciana],[Rango1].[Apellido y Nombre].&amp;[Imperiale Candela],[Rango1].[Apellido y Nombre].&amp;[Villarruel Candela],[Rango1].[Apellido y Nombre].&amp;[Scholler Chavez Ruth],[Rango1].[Apellido y Nombre].&amp;[Ruiz de la Torre Maiten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<sst xmlns="http://schemas.openxmlformats.org/spreadsheetml/2006/main" count="453" uniqueCount="130">
  <si>
    <t>TIENDA</t>
  </si>
  <si>
    <t>ITEM</t>
  </si>
  <si>
    <t>RAZON SOCIAL</t>
  </si>
  <si>
    <t>IMPORTE</t>
  </si>
  <si>
    <t>TOTAL</t>
  </si>
  <si>
    <t>COM LUCERO SAN TELMO</t>
  </si>
  <si>
    <t>SEGURIDAD DENAPOLI S.R.L.</t>
  </si>
  <si>
    <t>FLORIDA LUCERO (TIENDA)</t>
  </si>
  <si>
    <t>ABL</t>
  </si>
  <si>
    <t>Mageca S.A.</t>
  </si>
  <si>
    <t>AYSA</t>
  </si>
  <si>
    <t>EDESUR</t>
  </si>
  <si>
    <t>Edesur</t>
  </si>
  <si>
    <t>EXPENSAS</t>
  </si>
  <si>
    <t>FUMIGACION</t>
  </si>
  <si>
    <t>MANOLIO MARIANO SERGIO</t>
  </si>
  <si>
    <t>INTERNET</t>
  </si>
  <si>
    <t>Telecom Argentina sa</t>
  </si>
  <si>
    <t>ALQUILER</t>
  </si>
  <si>
    <t>SANES JUAN MANUEL</t>
  </si>
  <si>
    <t>FRENCH LUC 27 Y 29 (TIENDA)</t>
  </si>
  <si>
    <t>Solar de french</t>
  </si>
  <si>
    <t>Fideicomiso Laguna Oscura</t>
  </si>
  <si>
    <t>GALERIA GUEMES LOC 08 (TIENDA)</t>
  </si>
  <si>
    <t>Galeria Gral Güemes SAI</t>
  </si>
  <si>
    <t>QUILMES AS PDI SA (TIENDA)</t>
  </si>
  <si>
    <t>Telefonica Argentina sa</t>
  </si>
  <si>
    <t>VARIOS</t>
  </si>
  <si>
    <t>MUNICIPALIDAD DE QUILMES</t>
  </si>
  <si>
    <t>AQUINO (FLETE)</t>
  </si>
  <si>
    <t>RECOLETA LUCERO (TIENDA)</t>
  </si>
  <si>
    <t>FORTIN MAURE S.A.</t>
  </si>
  <si>
    <t>SAN TELMO AS STORE MESATEL LOC 120/121 (TIENDA)</t>
  </si>
  <si>
    <t>MESATEL</t>
  </si>
  <si>
    <t>SAN TELMO LUC MESATEL LOC 92 (TIENDA)</t>
  </si>
  <si>
    <t>SAN TELMO LUCERO 2 MESATEL LOC 122 (TIENDA)</t>
  </si>
  <si>
    <t>SANES</t>
  </si>
  <si>
    <t>FLETE</t>
  </si>
  <si>
    <t>MATAFUEGOS</t>
  </si>
  <si>
    <t>ALARMA</t>
  </si>
  <si>
    <t>Etiquetas de fila</t>
  </si>
  <si>
    <t>Total general</t>
  </si>
  <si>
    <t>Etiquetas de columna</t>
  </si>
  <si>
    <t>Suma de IMPORTE</t>
  </si>
  <si>
    <t>ITEM_AGRUPADO</t>
  </si>
  <si>
    <t>Otros gastos</t>
  </si>
  <si>
    <t>Alquiler y expensas</t>
  </si>
  <si>
    <t>AS Quilmes</t>
  </si>
  <si>
    <t>AS San Telmo</t>
  </si>
  <si>
    <t>Lucero Florida</t>
  </si>
  <si>
    <t>Lucero French</t>
  </si>
  <si>
    <t>Lucero Güemes</t>
  </si>
  <si>
    <t>Lucero Recoleta</t>
  </si>
  <si>
    <t>Lucero San Telmo</t>
  </si>
  <si>
    <t>Lucero San Telmo 1</t>
  </si>
  <si>
    <t>Lucero San Telmo 2</t>
  </si>
  <si>
    <t>Supervisora</t>
  </si>
  <si>
    <t>Visual</t>
  </si>
  <si>
    <t>Tienda</t>
  </si>
  <si>
    <t>Costo total</t>
  </si>
  <si>
    <t>Personal</t>
  </si>
  <si>
    <t>Cabovianco Natalia</t>
  </si>
  <si>
    <t>Eredia Cintia</t>
  </si>
  <si>
    <t>Carrizo Camila</t>
  </si>
  <si>
    <t>Esposito Candela</t>
  </si>
  <si>
    <t>Bertolo Milagros</t>
  </si>
  <si>
    <t>Barajas Barbara</t>
  </si>
  <si>
    <t>De Brito Rocio</t>
  </si>
  <si>
    <t>Lara Robbio</t>
  </si>
  <si>
    <t>Viña Sofia</t>
  </si>
  <si>
    <t>Molina Agustina</t>
  </si>
  <si>
    <t>Kiara Corbalan</t>
  </si>
  <si>
    <t>Martínez Brisa</t>
  </si>
  <si>
    <t>CORONEL Mailen</t>
  </si>
  <si>
    <t>Urbieta Barbara Giselle</t>
  </si>
  <si>
    <t>Ruiz de la Torre Maitena</t>
  </si>
  <si>
    <t>Gimenez Candela</t>
  </si>
  <si>
    <t>Imperiale Candela</t>
  </si>
  <si>
    <t>Machuca Araceli</t>
  </si>
  <si>
    <t>Villarruel Candela</t>
  </si>
  <si>
    <t>Balmaceda Luciana</t>
  </si>
  <si>
    <t>Oliva Micaela</t>
  </si>
  <si>
    <t>Mohamad Daila</t>
  </si>
  <si>
    <t>Sarapura Rebecca</t>
  </si>
  <si>
    <t>Scholler Chavez Ruth</t>
  </si>
  <si>
    <t>Ramirez Lola</t>
  </si>
  <si>
    <t>Machta Gina</t>
  </si>
  <si>
    <t>Dettoni Leguizamon Oriana</t>
  </si>
  <si>
    <t>Florencia Aguero</t>
  </si>
  <si>
    <t>Morena Martinez</t>
  </si>
  <si>
    <t>Apellido y Nombre</t>
  </si>
  <si>
    <t xml:space="preserve">Urbieta Barbara Giselle </t>
  </si>
  <si>
    <t xml:space="preserve">Machuca Araceli </t>
  </si>
  <si>
    <t>VENDEDORA B 88 HS</t>
  </si>
  <si>
    <t>VENDEDORA B 132 HS</t>
  </si>
  <si>
    <t>Robbio Lara</t>
  </si>
  <si>
    <t>Corbalan Kiara</t>
  </si>
  <si>
    <t>Guerreño Naomi</t>
  </si>
  <si>
    <t>Agüero Florencia</t>
  </si>
  <si>
    <t>Martinez Morena</t>
  </si>
  <si>
    <t>Perazzo Chiara</t>
  </si>
  <si>
    <t>(Varios elementos)</t>
  </si>
  <si>
    <t>NO</t>
  </si>
  <si>
    <t>SI</t>
  </si>
  <si>
    <t>No figura en Liq Estudio</t>
  </si>
  <si>
    <t>Dif plus vacacional 132 Hs</t>
  </si>
  <si>
    <t>Dif plus vacacional 88hs</t>
  </si>
  <si>
    <t>BAJA</t>
  </si>
  <si>
    <t>27,00 D</t>
  </si>
  <si>
    <t>3,00 D</t>
  </si>
  <si>
    <t>VENDEDOR B - tarifa standard</t>
  </si>
  <si>
    <t>88</t>
  </si>
  <si>
    <t>28,00 D</t>
  </si>
  <si>
    <t>2,00 D</t>
  </si>
  <si>
    <t>1,00 D</t>
  </si>
  <si>
    <t>Vendedor B - S Neto</t>
  </si>
  <si>
    <t>Vendedor B - S Bruto</t>
  </si>
  <si>
    <t xml:space="preserve">Contribuciones + ART </t>
  </si>
  <si>
    <t>COSTO TOTAL</t>
  </si>
  <si>
    <t>Legajo</t>
  </si>
  <si>
    <t>Periodo</t>
  </si>
  <si>
    <t>Tienda asignada este mes</t>
  </si>
  <si>
    <t xml:space="preserve">Horas Totales </t>
  </si>
  <si>
    <t>Hs Normales (con vacaciones)</t>
  </si>
  <si>
    <t>Hs Feriados</t>
  </si>
  <si>
    <t>Plus vacacional</t>
  </si>
  <si>
    <t>Sueldo Neto</t>
  </si>
  <si>
    <t>Sueldo Bruto</t>
  </si>
  <si>
    <t>Contribuciones + ART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</si>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</sst>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dd&quot;/&quot;mm&quot;/&quot;yyyy"/>
    <numFmt numFmtId="166" formatCode="dd/mm/yyyy"/>
    <numFmt numFmtId="167" formatCode="_-&quot;$&quot;\ * #,##0.0_-;\-&quot;$&quot;\ * #,##0.0_-;_-&quot;$&quot;\ * &quot;-&quot;??_-;_-@_-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164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0" fontId="2" fillId="3" borderId="0" xfId="0" applyFont="1" applyFill="1"/>
    <xf numFmtId="4" fontId="2" fillId="3" borderId="0" xfId="0" applyNumberFormat="1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66" fontId="2" fillId="0" borderId="0" xfId="0" applyNumberFormat="1" applyFont="1"/>
    <xf numFmtId="3" fontId="2" fillId="0" borderId="0" xfId="0" applyNumberFormat="1" applyFont="1"/>
    <xf numFmtId="14" fontId="2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2" fontId="2" fillId="3" borderId="0" xfId="0" applyNumberFormat="1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pivotButton="1" applyFont="1" applyAlignment="1"/>
    <xf numFmtId="0" fontId="0" fillId="0" borderId="0" xfId="0" applyNumberFormat="1" applyFont="1" applyAlignment="1"/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2" fontId="4" fillId="0" borderId="0" xfId="0" applyNumberFormat="1" applyFont="1"/>
    <xf numFmtId="2" fontId="0" fillId="0" borderId="0" xfId="0" applyNumberFormat="1" applyFont="1" applyAlignment="1"/>
    <xf numFmtId="167" fontId="0" fillId="0" borderId="0" xfId="1" applyNumberFormat="1" applyFont="1" applyAlignment="1"/>
    <xf numFmtId="167" fontId="0" fillId="0" borderId="0" xfId="0" applyNumberFormat="1" applyFont="1" applyAlignment="1"/>
  </cellXfs>
  <cellStyles count="2">
    <cellStyle name="Moneda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67" formatCode="_-&quot;$&quot;\ * #,##0.0_-;\-&quot;$&quot;\ * #,##0.0_-;_-&quot;$&quot;\ * &quot;-&quot;??_-;_-@_-"/>
    </dxf>
    <dxf>
      <numFmt numFmtId="167" formatCode="_-&quot;$&quot;\ * #,##0.0_-;\-&quot;$&quot;\ * #,##0.0_-;_-&quot;$&quot;\ * &quot;-&quot;??_-;_-@_-"/>
    </dxf>
    <dxf>
      <numFmt numFmtId="167" formatCode="_-&quot;$&quot;\ * #,##0.0_-;\-&quot;$&quot;\ * #,##0.0_-;_-&quot;$&quot;\ * &quot;-&quot;??_-;_-@_-"/>
    </dxf>
    <dxf>
      <numFmt numFmtId="167" formatCode="_-&quot;$&quot;\ * #,##0.0_-;\-&quot;$&quot;\ * #,##0.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C" refreshedDate="45789.618154398151" backgroundQuery="1" createdVersion="6" refreshedVersion="6" minRefreshableVersion="3" recordCount="0" supportSubquery="1" supportAdvancedDrill="1">
  <cacheSource type="external" connectionId="1"/>
  <cacheFields count="3">
    <cacheField name="[Rango].[TIENDA].[TIENDA]" caption="TIENDA" numFmtId="0" level="1">
      <sharedItems count="8">
        <s v="FLORIDA LUCERO (TIENDA)"/>
        <s v="FRENCH LUC 27 Y 29 (TIENDA)"/>
        <s v="GALERIA GUEMES LOC 08 (TIENDA)"/>
        <s v="QUILMES AS PDI SA (TIENDA)"/>
        <s v="RECOLETA LUCERO (TIENDA)"/>
        <s v="SAN TELMO AS STORE MESATEL LOC 120/121 (TIENDA)"/>
        <s v="SAN TELMO LUC MESATEL LOC 92 (TIENDA)"/>
        <s v="SAN TELMO LUCERO 2 MESATEL LOC 122 (TIENDA)"/>
      </sharedItems>
    </cacheField>
    <cacheField name="[Measures].[Suma de IMPORTE]" caption="Suma de IMPORTE" numFmtId="0" hierarchy="22" level="32767"/>
    <cacheField name="[Rango].[ITEM_AGRUPADO].[ITEM_AGRUPADO]" caption="ITEM_AGRUPADO" numFmtId="0" hierarchy="1" level="1">
      <sharedItems count="2">
        <s v="Alquiler y expensas"/>
        <s v="Otros gastos"/>
      </sharedItems>
    </cacheField>
  </cacheFields>
  <cacheHierarchies count="29">
    <cacheHierarchy uniqueName="[Rango].[TIENDA]" caption="TIENDA" attribute="1" defaultMemberUniqueName="[Rango].[TIENDA].[All]" allUniqueName="[Rango].[TIENDA].[All]" dimensionUniqueName="[Rango]" displayFolder="" count="2" memberValueDatatype="130" unbalanced="0">
      <fieldsUsage count="2">
        <fieldUsage x="-1"/>
        <fieldUsage x="0"/>
      </fieldsUsage>
    </cacheHierarchy>
    <cacheHierarchy uniqueName="[Rango].[ITEM_AGRUPADO]" caption="ITEM_AGRUPADO" attribute="1" defaultMemberUniqueName="[Rango].[ITEM_AGRUPADO].[All]" allUniqueName="[Rango].[ITEM_AGRUPADO].[All]" dimensionUniqueName="[Rango]" displayFolder="" count="2" memberValueDatatype="130" unbalanced="0">
      <fieldsUsage count="2">
        <fieldUsage x="-1"/>
        <fieldUsage x="2"/>
      </fieldsUsage>
    </cacheHierarchy>
    <cacheHierarchy uniqueName="[Rango].[ITEM]" caption="ITEM" attribute="1" defaultMemberUniqueName="[Rango].[ITEM].[All]" allUniqueName="[Rango].[ITEM].[All]" dimensionUniqueName="[Rango]" displayFolder="" count="0" memberValueDatatype="130" unbalanced="0"/>
    <cacheHierarchy uniqueName="[Rango].[RAZON SOCIAL]" caption="RAZON SOCIAL" attribute="1" defaultMemberUniqueName="[Rango].[RAZON SOCIAL].[All]" allUniqueName="[Rango].[RAZON SOCIAL].[All]" dimensionUniqueName="[Rango]" displayFolder="" count="0" memberValueDatatype="130" unbalanced="0"/>
    <cacheHierarchy uniqueName="[Rango].[IMPORTE]" caption="IMPORTE" attribute="1" defaultMemberUniqueName="[Rango].[IMPORTE].[All]" allUniqueName="[Rango].[IMPORTE].[All]" dimensionUniqueName="[Rango]" displayFolder="" count="0" memberValueDatatype="5" unbalanced="0"/>
    <cacheHierarchy uniqueName="[Rango1].[Legajo]" caption="Legajo" attribute="1" defaultMemberUniqueName="[Rango1].[Legajo].[All]" allUniqueName="[Rango1].[Legajo].[All]" dimensionUniqueName="[Rango1]" displayFolder="" count="0" memberValueDatatype="20" unbalanced="0"/>
    <cacheHierarchy uniqueName="[Rango1].[Apellido y Nombre]" caption="Apellido y Nombre" attribute="1" defaultMemberUniqueName="[Rango1].[Apellido y Nombre].[All]" allUniqueName="[Rango1].[Apellido y Nombre].[All]" dimensionUniqueName="[Rango1]" displayFolder="" count="0" memberValueDatatype="130" unbalanced="0"/>
    <cacheHierarchy uniqueName="[Rango1].[Periodo]" caption="Periodo" attribute="1" time="1" defaultMemberUniqueName="[Rango1].[Periodo].[All]" allUniqueName="[Rango1].[Periodo].[All]" dimensionUniqueName="[Rango1]" displayFolder="" count="0" memberValueDatatype="7" unbalanced="0"/>
    <cacheHierarchy uniqueName="[Rango1].[Tienda asignada este mes]" caption="Tienda asignada este mes" attribute="1" defaultMemberUniqueName="[Rango1].[Tienda asignada este mes].[All]" allUniqueName="[Rango1].[Tienda asignada este mes].[All]" dimensionUniqueName="[Rango1]" displayFolder="" count="0" memberValueDatatype="130" unbalanced="0"/>
    <cacheHierarchy uniqueName="[Rango1].[Horas Totales]" caption="Horas Totales" attribute="1" defaultMemberUniqueName="[Rango1].[Horas Totales].[All]" allUniqueName="[Rango1].[Horas Totales].[All]" dimensionUniqueName="[Rango1]" displayFolder="" count="0" memberValueDatatype="130" unbalanced="0"/>
    <cacheHierarchy uniqueName="[Rango1].[Hs Feriados]" caption="Hs Feriados" attribute="1" defaultMemberUniqueName="[Rango1].[Hs Feriados].[All]" allUniqueName="[Rango1].[Hs Feriados].[All]" dimensionUniqueName="[Rango1]" displayFolder="" count="0" memberValueDatatype="130" unbalanced="0"/>
    <cacheHierarchy uniqueName="[Rango1].[Hs Normales (con vacaciones)]" caption="Hs Normales (con vacaciones)" attribute="1" defaultMemberUniqueName="[Rango1].[Hs Normales (con vacaciones)].[All]" allUniqueName="[Rango1].[Hs Normales (con vacaciones)].[All]" dimensionUniqueName="[Rango1]" displayFolder="" count="0" memberValueDatatype="20" unbalanced="0"/>
    <cacheHierarchy uniqueName="[Rango1].[Plus vacacional]" caption="Plus vacacional" attribute="1" defaultMemberUniqueName="[Rango1].[Plus vacacional].[All]" allUniqueName="[Rango1].[Plus vacacional].[All]" dimensionUniqueName="[Rango1]" displayFolder="" count="0" memberValueDatatype="130" unbalanced="0"/>
    <cacheHierarchy uniqueName="[Rango1].[Sueldo Neto]" caption="Sueldo Neto" attribute="1" defaultMemberUniqueName="[Rango1].[Sueldo Neto].[All]" allUniqueName="[Rango1].[Sueldo Neto].[All]" dimensionUniqueName="[Rango1]" displayFolder="" count="0" memberValueDatatype="20" unbalanced="0"/>
    <cacheHierarchy uniqueName="[Rango1].[Sueldo Bruto]" caption="Sueldo Bruto" attribute="1" defaultMemberUniqueName="[Rango1].[Sueldo Bruto].[All]" allUniqueName="[Rango1].[Sueldo Bruto].[All]" dimensionUniqueName="[Rango1]" displayFolder="" count="0" memberValueDatatype="5" unbalanced="0"/>
    <cacheHierarchy uniqueName="[Rango1].[Cargas + ART]" caption="Cargas + ART" attribute="1" defaultMemberUniqueName="[Rango1].[Cargas + ART].[All]" allUniqueName="[Rango1].[Cargas + ART].[All]" dimensionUniqueName="[Rango1]" displayFolder="" count="0" memberValueDatatype="5" unbalanced="0"/>
    <cacheHierarchy uniqueName="[Rango1].[Costo total]" caption="Costo total" attribute="1" defaultMemberUniqueName="[Rango1].[Costo total].[All]" allUniqueName="[Rango1].[Costo total].[All]" dimensionUniqueName="[Rango1]" displayFolder="" count="0" memberValueDatatype="5" unbalanced="0"/>
    <cacheHierarchy uniqueName="[Rango1].[Observaciones]" caption="Observaciones" attribute="1" defaultMemberUniqueName="[Rango1].[Observaciones].[All]" allUniqueName="[Rango1].[Observaciones].[All]" dimensionUniqueName="[Rango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Recuento de IMPORTE]" caption="Recuento de IMPORTE" measure="1" displayFolder="" measureGroup="Rang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IMPORTE]" caption="Suma de IMPORTE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osto total]" caption="Suma de Costo total" measure="1" displayFolder="" measureGroup="Rango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egajo]" caption="Suma de Legajo" measure="1" displayFolder="" measureGroup="Rango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istinto de Legajo]" caption="Recuento distinto de Legajo" measure="1" displayFolder="" measureGroup="Rango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Tienda asignada este mes]" caption="Recuento de Tienda asignada este mes" measure="1" displayFolder="" measureGroup="Rango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Tienda asignada este mes]" caption="Recuento distinto de Tienda asignada este mes" measure="1" displayFolder="" measureGroup="Rango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Apellido y Nombre]" caption="Recuento de Apellido y Nombre" measure="1" displayFolder="" measureGroup="Rango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PC" refreshedDate="45789.65517824074" backgroundQuery="1" createdVersion="6" refreshedVersion="6" minRefreshableVersion="3" recordCount="0" supportSubquery="1" supportAdvancedDrill="1">
  <cacheSource type="external" connectionId="1"/>
  <cacheFields count="4">
    <cacheField name="[Rango1].[Tienda asignada este mes].[Tienda asignada este mes]" caption="Tienda asignada este mes" numFmtId="0" hierarchy="8" level="1">
      <sharedItems count="8">
        <s v="AS Quilmes"/>
        <s v="AS San Telmo"/>
        <s v="Lucero Florida"/>
        <s v="Lucero French"/>
        <s v="Lucero Güemes"/>
        <s v="Lucero Recoleta"/>
        <s v="Lucero San Telmo"/>
        <s v="Lucero San Telmo 2"/>
      </sharedItems>
    </cacheField>
    <cacheField name="[Measures].[Suma de Costo total]" caption="Suma de Costo total" numFmtId="0" hierarchy="23" level="32767"/>
    <cacheField name="[Rango1].[Apellido y Nombre].[Apellido y Nombre]" caption="Apellido y Nombre" numFmtId="0" hierarchy="6" level="1">
      <sharedItems containsSemiMixedTypes="0" containsNonDate="0" containsString="0"/>
    </cacheField>
    <cacheField name="[Measures].[Recuento distinto de Legajo]" caption="Recuento distinto de Legajo" numFmtId="0" hierarchy="25" level="32767"/>
  </cacheFields>
  <cacheHierarchies count="29">
    <cacheHierarchy uniqueName="[Rango].[TIENDA]" caption="TIENDA" attribute="1" defaultMemberUniqueName="[Rango].[TIENDA].[All]" allUniqueName="[Rango].[TIENDA].[All]" dimensionUniqueName="[Rango]" displayFolder="" count="0" memberValueDatatype="130" unbalanced="0"/>
    <cacheHierarchy uniqueName="[Rango].[ITEM_AGRUPADO]" caption="ITEM_AGRUPADO" attribute="1" defaultMemberUniqueName="[Rango].[ITEM_AGRUPADO].[All]" allUniqueName="[Rango].[ITEM_AGRUPADO].[All]" dimensionUniqueName="[Rango]" displayFolder="" count="0" memberValueDatatype="130" unbalanced="0"/>
    <cacheHierarchy uniqueName="[Rango].[ITEM]" caption="ITEM" attribute="1" defaultMemberUniqueName="[Rango].[ITEM].[All]" allUniqueName="[Rango].[ITEM].[All]" dimensionUniqueName="[Rango]" displayFolder="" count="0" memberValueDatatype="130" unbalanced="0"/>
    <cacheHierarchy uniqueName="[Rango].[RAZON SOCIAL]" caption="RAZON SOCIAL" attribute="1" defaultMemberUniqueName="[Rango].[RAZON SOCIAL].[All]" allUniqueName="[Rango].[RAZON SOCIAL].[All]" dimensionUniqueName="[Rango]" displayFolder="" count="0" memberValueDatatype="130" unbalanced="0"/>
    <cacheHierarchy uniqueName="[Rango].[IMPORTE]" caption="IMPORTE" attribute="1" defaultMemberUniqueName="[Rango].[IMPORTE].[All]" allUniqueName="[Rango].[IMPORTE].[All]" dimensionUniqueName="[Rango]" displayFolder="" count="0" memberValueDatatype="5" unbalanced="0"/>
    <cacheHierarchy uniqueName="[Rango1].[Legajo]" caption="Legajo" attribute="1" defaultMemberUniqueName="[Rango1].[Legajo].[All]" allUniqueName="[Rango1].[Legajo].[All]" dimensionUniqueName="[Rango1]" displayFolder="" count="0" memberValueDatatype="20" unbalanced="0"/>
    <cacheHierarchy uniqueName="[Rango1].[Apellido y Nombre]" caption="Apellido y Nombre" attribute="1" defaultMemberUniqueName="[Rango1].[Apellido y Nombre].[All]" allUniqueName="[Rango1].[Apellido y Nombre].[All]" dimensionUniqueName="[Rango1]" displayFolder="" count="2" memberValueDatatype="130" unbalanced="0">
      <fieldsUsage count="2">
        <fieldUsage x="-1"/>
        <fieldUsage x="2"/>
      </fieldsUsage>
    </cacheHierarchy>
    <cacheHierarchy uniqueName="[Rango1].[Periodo]" caption="Periodo" attribute="1" time="1" defaultMemberUniqueName="[Rango1].[Periodo].[All]" allUniqueName="[Rango1].[Periodo].[All]" dimensionUniqueName="[Rango1]" displayFolder="" count="0" memberValueDatatype="7" unbalanced="0"/>
    <cacheHierarchy uniqueName="[Rango1].[Tienda asignada este mes]" caption="Tienda asignada este mes" attribute="1" defaultMemberUniqueName="[Rango1].[Tienda asignada este mes].[All]" allUniqueName="[Rango1].[Tienda asignada este mes].[All]" dimensionUniqueName="[Rango1]" displayFolder="" count="2" memberValueDatatype="130" unbalanced="0">
      <fieldsUsage count="2">
        <fieldUsage x="-1"/>
        <fieldUsage x="0"/>
      </fieldsUsage>
    </cacheHierarchy>
    <cacheHierarchy uniqueName="[Rango1].[Horas Totales]" caption="Horas Totales" attribute="1" defaultMemberUniqueName="[Rango1].[Horas Totales].[All]" allUniqueName="[Rango1].[Horas Totales].[All]" dimensionUniqueName="[Rango1]" displayFolder="" count="0" memberValueDatatype="130" unbalanced="0"/>
    <cacheHierarchy uniqueName="[Rango1].[Hs Feriados]" caption="Hs Feriados" attribute="1" defaultMemberUniqueName="[Rango1].[Hs Feriados].[All]" allUniqueName="[Rango1].[Hs Feriados].[All]" dimensionUniqueName="[Rango1]" displayFolder="" count="0" memberValueDatatype="130" unbalanced="0"/>
    <cacheHierarchy uniqueName="[Rango1].[Hs Normales (con vacaciones)]" caption="Hs Normales (con vacaciones)" attribute="1" defaultMemberUniqueName="[Rango1].[Hs Normales (con vacaciones)].[All]" allUniqueName="[Rango1].[Hs Normales (con vacaciones)].[All]" dimensionUniqueName="[Rango1]" displayFolder="" count="0" memberValueDatatype="20" unbalanced="0"/>
    <cacheHierarchy uniqueName="[Rango1].[Plus vacacional]" caption="Plus vacacional" attribute="1" defaultMemberUniqueName="[Rango1].[Plus vacacional].[All]" allUniqueName="[Rango1].[Plus vacacional].[All]" dimensionUniqueName="[Rango1]" displayFolder="" count="0" memberValueDatatype="130" unbalanced="0"/>
    <cacheHierarchy uniqueName="[Rango1].[Sueldo Neto]" caption="Sueldo Neto" attribute="1" defaultMemberUniqueName="[Rango1].[Sueldo Neto].[All]" allUniqueName="[Rango1].[Sueldo Neto].[All]" dimensionUniqueName="[Rango1]" displayFolder="" count="0" memberValueDatatype="20" unbalanced="0"/>
    <cacheHierarchy uniqueName="[Rango1].[Sueldo Bruto]" caption="Sueldo Bruto" attribute="1" defaultMemberUniqueName="[Rango1].[Sueldo Bruto].[All]" allUniqueName="[Rango1].[Sueldo Bruto].[All]" dimensionUniqueName="[Rango1]" displayFolder="" count="0" memberValueDatatype="5" unbalanced="0"/>
    <cacheHierarchy uniqueName="[Rango1].[Cargas + ART]" caption="Cargas + ART" attribute="1" defaultMemberUniqueName="[Rango1].[Cargas + ART].[All]" allUniqueName="[Rango1].[Cargas + ART].[All]" dimensionUniqueName="[Rango1]" displayFolder="" count="0" memberValueDatatype="5" unbalanced="0"/>
    <cacheHierarchy uniqueName="[Rango1].[Costo total]" caption="Costo total" attribute="1" defaultMemberUniqueName="[Rango1].[Costo total].[All]" allUniqueName="[Rango1].[Costo total].[All]" dimensionUniqueName="[Rango1]" displayFolder="" count="0" memberValueDatatype="5" unbalanced="0"/>
    <cacheHierarchy uniqueName="[Rango1].[Observaciones]" caption="Observaciones" attribute="1" defaultMemberUniqueName="[Rango1].[Observaciones].[All]" allUniqueName="[Rango1].[Observaciones].[All]" dimensionUniqueName="[Rango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Recuento de IMPORTE]" caption="Recuento de IMPORTE" measure="1" displayFolder="" measureGroup="Rang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IMPORTE]" caption="Suma de IMPORTE" measure="1" displayFolder="" measureGroup="Rang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osto total]" caption="Suma de Costo total" measure="1" displayFolder="" measureGroup="Rango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egajo]" caption="Suma de Legajo" measure="1" displayFolder="" measureGroup="Rango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istinto de Legajo]" caption="Recuento distinto de Legajo" measure="1" displayFolder="" measureGroup="Rango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Tienda asignada este mes]" caption="Recuento de Tienda asignada este mes" measure="1" displayFolder="" measureGroup="Rango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Tienda asignada este mes]" caption="Recuento distinto de Tienda asignada este mes" measure="1" displayFolder="" measureGroup="Rango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Apellido y Nombre]" caption="Recuento de Apellido y Nombre" measure="1" displayFolder="" measureGroup="Rango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1" cacheId="1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3" firstHeaderRow="1" firstDataRow="2" firstDataCol="1"/>
  <pivotFields count="3">
    <pivotField axis="axisRow" allDrilled="1" showAll="0" dataSourceSort="1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t="default"/>
      </items>
    </pivotField>
    <pivotField dataField="1" showAll="0"/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IMPORTE" fld="1" baseField="0" baseItem="2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astos 03-2025!$A$1:$H$51">
        <x15:activeTabTopLevelEntity name="[Rango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2" cacheId="16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ienda">
  <location ref="A3:C12" firstHeaderRow="0" firstDataRow="1" firstDataCol="1" rowPageCount="1" colPageCount="1"/>
  <pivotFields count="4">
    <pivotField axis="axisRow" allDrilled="1" showAll="0" dataSourceSort="1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6" name="[Rango1].[Apellido y Nombre].&amp;[Viña Sofia]" cap="Viña Sofia"/>
  </pageFields>
  <dataFields count="2">
    <dataField name="Personal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sto total" fld="1" baseField="0" baseItem="0" numFmtId="167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5" level="1">
        <member name="[Rango1].[Apellido y Nombre].&amp;[Viña Sofia]"/>
        <member name="[Rango1].[Apellido y Nombre].&amp;[Machta Gina]"/>
        <member name="[Rango1].[Apellido y Nombre].&amp;[Robbio Lara]"/>
        <member name="[Rango1].[Apellido y Nombre].&amp;[Ramirez Lola]"/>
        <member name="[Rango1].[Apellido y Nombre].&amp;[Mohamad Daila]"/>
        <member name="[Rango1].[Apellido y Nombre].&amp;[Oliva Micaela]"/>
        <member name="[Rango1].[Apellido y Nombre].&amp;[CORONEL Mailen]"/>
        <member name="[Rango1].[Apellido y Nombre].&amp;[Carrizo Camila]"/>
        <member name="[Rango1].[Apellido y Nombre].&amp;[Corbalan Kiara]"/>
        <member name="[Rango1].[Apellido y Nombre].&amp;[De Brito Rocio]"/>
        <member name="[Rango1].[Apellido y Nombre].&amp;[Martínez Brisa]"/>
        <member name="[Rango1].[Apellido y Nombre].&amp;[Barajas Barbara]"/>
        <member name="[Rango1].[Apellido y Nombre].&amp;[Gimenez Candela]"/>
        <member name="[Rango1].[Apellido y Nombre].&amp;[Machuca Araceli]"/>
        <member name="[Rango1].[Apellido y Nombre].&amp;[Martinez Morena]"/>
        <member name="[Rango1].[Apellido y Nombre].&amp;[Molina Agustina]"/>
        <member name="[Rango1].[Apellido y Nombre].&amp;[Agüero Florencia]"/>
        <member name="[Rango1].[Apellido y Nombre].&amp;[Bertolo Milagros]"/>
        <member name="[Rango1].[Apellido y Nombre].&amp;[Esposito Candela]"/>
        <member name="[Rango1].[Apellido y Nombre].&amp;[Sarapura Rebecca]"/>
        <member name="[Rango1].[Apellido y Nombre].&amp;[Balmaceda Luciana]"/>
        <member name="[Rango1].[Apellido y Nombre].&amp;[Imperiale Candela]"/>
        <member name="[Rango1].[Apellido y Nombre].&amp;[Villarruel Candela]"/>
        <member name="[Rango1].[Apellido y Nombre].&amp;[Scholler Chavez Ruth]"/>
        <member name="[Rango1].[Apellido y Nombre].&amp;[Ruiz de la Torre Maiten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3-2025!$A$1:$M$32">
        <x15:activeTabTopLevelEntity name="[Rango1]"/>
      </x15:pivotTableUISettings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C6" sqref="C6"/>
    </sheetView>
  </sheetViews>
  <sheetFormatPr baseColWidth="10" defaultRowHeight="12.5" x14ac:dyDescent="0.25"/>
  <cols>
    <col min="1" max="1" width="50" customWidth="1"/>
    <col min="2" max="2" width="21.7265625" hidden="1" customWidth="1"/>
    <col min="3" max="5" width="12.08984375" bestFit="1" customWidth="1"/>
    <col min="6" max="6" width="12.26953125" customWidth="1"/>
    <col min="7" max="7" width="9.81640625" customWidth="1"/>
    <col min="8" max="8" width="9.81640625" bestFit="1" customWidth="1"/>
    <col min="9" max="9" width="8.26953125" customWidth="1"/>
    <col min="10" max="10" width="6.81640625" bestFit="1" customWidth="1"/>
    <col min="11" max="11" width="13.54296875" bestFit="1" customWidth="1"/>
    <col min="12" max="12" width="6.81640625" customWidth="1"/>
    <col min="13" max="13" width="9.81640625" bestFit="1" customWidth="1"/>
    <col min="14" max="14" width="12.08984375" bestFit="1" customWidth="1"/>
  </cols>
  <sheetData>
    <row r="3" spans="1:4" x14ac:dyDescent="0.25">
      <c r="A3" s="26" t="s">
        <v>43</v>
      </c>
      <c r="B3" s="26" t="s">
        <v>42</v>
      </c>
    </row>
    <row r="4" spans="1:4" x14ac:dyDescent="0.25">
      <c r="A4" s="26" t="s">
        <v>40</v>
      </c>
      <c r="B4" t="s">
        <v>46</v>
      </c>
      <c r="C4" t="s">
        <v>45</v>
      </c>
      <c r="D4" t="s">
        <v>41</v>
      </c>
    </row>
    <row r="5" spans="1:4" x14ac:dyDescent="0.25">
      <c r="A5" s="25" t="s">
        <v>7</v>
      </c>
      <c r="B5" s="27">
        <v>3310656.58</v>
      </c>
      <c r="C5" s="27">
        <v>1738265.83</v>
      </c>
      <c r="D5" s="27">
        <v>5048922.41</v>
      </c>
    </row>
    <row r="6" spans="1:4" x14ac:dyDescent="0.25">
      <c r="A6" s="25" t="s">
        <v>20</v>
      </c>
      <c r="B6" s="27">
        <v>956414</v>
      </c>
      <c r="C6" s="27">
        <v>287638.92</v>
      </c>
      <c r="D6" s="27">
        <v>1244052.92</v>
      </c>
    </row>
    <row r="7" spans="1:4" x14ac:dyDescent="0.25">
      <c r="A7" s="25" t="s">
        <v>23</v>
      </c>
      <c r="B7" s="27">
        <v>540862</v>
      </c>
      <c r="C7" s="27">
        <v>2000443</v>
      </c>
      <c r="D7" s="27">
        <v>2541305</v>
      </c>
    </row>
    <row r="8" spans="1:4" x14ac:dyDescent="0.25">
      <c r="A8" s="25" t="s">
        <v>25</v>
      </c>
      <c r="B8" s="27"/>
      <c r="C8" s="27">
        <v>885312.31</v>
      </c>
      <c r="D8" s="27">
        <v>885312.31</v>
      </c>
    </row>
    <row r="9" spans="1:4" x14ac:dyDescent="0.25">
      <c r="A9" s="25" t="s">
        <v>30</v>
      </c>
      <c r="B9" s="27">
        <v>3634940.87</v>
      </c>
      <c r="C9" s="27">
        <v>248097.37</v>
      </c>
      <c r="D9" s="27">
        <v>3883038.24</v>
      </c>
    </row>
    <row r="10" spans="1:4" x14ac:dyDescent="0.25">
      <c r="A10" s="25" t="s">
        <v>32</v>
      </c>
      <c r="B10" s="27">
        <v>2375921.92</v>
      </c>
      <c r="C10" s="27">
        <v>215696.71</v>
      </c>
      <c r="D10" s="27">
        <v>2591618.63</v>
      </c>
    </row>
    <row r="11" spans="1:4" x14ac:dyDescent="0.25">
      <c r="A11" s="25" t="s">
        <v>34</v>
      </c>
      <c r="B11" s="27">
        <v>2672967.96</v>
      </c>
      <c r="C11" s="27">
        <v>92329.78</v>
      </c>
      <c r="D11" s="27">
        <v>2765297.74</v>
      </c>
    </row>
    <row r="12" spans="1:4" x14ac:dyDescent="0.25">
      <c r="A12" s="25" t="s">
        <v>35</v>
      </c>
      <c r="B12" s="27">
        <v>1164596.76</v>
      </c>
      <c r="C12" s="27">
        <v>119133.85</v>
      </c>
      <c r="D12" s="27">
        <v>1283730.6100000001</v>
      </c>
    </row>
    <row r="13" spans="1:4" x14ac:dyDescent="0.25">
      <c r="A13" s="25" t="s">
        <v>41</v>
      </c>
      <c r="B13" s="27">
        <v>14656360.09</v>
      </c>
      <c r="C13" s="27">
        <v>5586917.7699999996</v>
      </c>
      <c r="D13" s="27">
        <v>20243277.859999999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>
      <selection activeCell="E52" sqref="E52"/>
    </sheetView>
  </sheetViews>
  <sheetFormatPr baseColWidth="10" defaultColWidth="12.6328125" defaultRowHeight="15.75" customHeight="1" x14ac:dyDescent="0.25"/>
  <cols>
    <col min="1" max="2" width="41.6328125" customWidth="1"/>
    <col min="3" max="3" width="11.08984375" style="25" customWidth="1"/>
    <col min="4" max="4" width="23" customWidth="1"/>
    <col min="5" max="5" width="12.08984375" style="31" customWidth="1"/>
  </cols>
  <sheetData>
    <row r="1" spans="1:22" ht="15.75" customHeight="1" x14ac:dyDescent="0.35">
      <c r="A1" s="11" t="s">
        <v>0</v>
      </c>
      <c r="B1" s="11" t="s">
        <v>44</v>
      </c>
      <c r="C1" s="11" t="s">
        <v>1</v>
      </c>
      <c r="D1" s="11" t="s">
        <v>2</v>
      </c>
      <c r="E1" s="28" t="s">
        <v>3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75" customHeight="1" x14ac:dyDescent="0.35">
      <c r="A2" s="13" t="s">
        <v>5</v>
      </c>
      <c r="B2" s="14" t="s">
        <v>45</v>
      </c>
      <c r="C2" s="23" t="s">
        <v>38</v>
      </c>
      <c r="D2" s="13" t="s">
        <v>6</v>
      </c>
      <c r="E2" s="15">
        <v>43676.160000000003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.75" customHeight="1" x14ac:dyDescent="0.35">
      <c r="A3" s="13" t="s">
        <v>7</v>
      </c>
      <c r="B3" s="14" t="s">
        <v>45</v>
      </c>
      <c r="C3" s="23" t="s">
        <v>8</v>
      </c>
      <c r="D3" s="13" t="s">
        <v>9</v>
      </c>
      <c r="E3" s="15">
        <v>405356.99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5.75" customHeight="1" x14ac:dyDescent="0.35">
      <c r="A4" s="13" t="s">
        <v>7</v>
      </c>
      <c r="B4" s="14" t="s">
        <v>45</v>
      </c>
      <c r="C4" s="23" t="s">
        <v>10</v>
      </c>
      <c r="D4" s="13" t="s">
        <v>9</v>
      </c>
      <c r="E4" s="29">
        <v>388901.91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5.75" customHeight="1" x14ac:dyDescent="0.35">
      <c r="A5" s="13" t="s">
        <v>7</v>
      </c>
      <c r="B5" s="14" t="s">
        <v>45</v>
      </c>
      <c r="C5" s="23" t="s">
        <v>11</v>
      </c>
      <c r="D5" s="13" t="s">
        <v>12</v>
      </c>
      <c r="E5" s="29">
        <v>136805.32999999999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.75" customHeight="1" x14ac:dyDescent="0.35">
      <c r="A6" s="13" t="s">
        <v>7</v>
      </c>
      <c r="B6" s="14" t="s">
        <v>45</v>
      </c>
      <c r="C6" s="23" t="s">
        <v>11</v>
      </c>
      <c r="D6" s="13" t="s">
        <v>12</v>
      </c>
      <c r="E6" s="29">
        <v>11872.79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customHeight="1" x14ac:dyDescent="0.35">
      <c r="A7" s="13" t="s">
        <v>7</v>
      </c>
      <c r="B7" s="14" t="s">
        <v>45</v>
      </c>
      <c r="C7" s="23" t="s">
        <v>11</v>
      </c>
      <c r="D7" s="13" t="s">
        <v>12</v>
      </c>
      <c r="E7" s="29">
        <v>443794.65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5.75" customHeight="1" x14ac:dyDescent="0.35">
      <c r="A8" s="13" t="s">
        <v>7</v>
      </c>
      <c r="B8" s="14" t="s">
        <v>46</v>
      </c>
      <c r="C8" s="23" t="s">
        <v>13</v>
      </c>
      <c r="D8" s="13" t="s">
        <v>9</v>
      </c>
      <c r="E8" s="15">
        <v>386280.5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5.75" customHeight="1" x14ac:dyDescent="0.35">
      <c r="A9" s="13" t="s">
        <v>7</v>
      </c>
      <c r="B9" s="14" t="s">
        <v>45</v>
      </c>
      <c r="C9" s="23" t="s">
        <v>14</v>
      </c>
      <c r="D9" s="13" t="s">
        <v>15</v>
      </c>
      <c r="E9" s="29">
        <v>29756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5.75" customHeight="1" x14ac:dyDescent="0.35">
      <c r="A10" s="13" t="s">
        <v>7</v>
      </c>
      <c r="B10" s="14" t="s">
        <v>45</v>
      </c>
      <c r="C10" s="23" t="s">
        <v>16</v>
      </c>
      <c r="D10" s="13" t="s">
        <v>17</v>
      </c>
      <c r="E10" s="29">
        <v>115950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5.75" customHeight="1" x14ac:dyDescent="0.35">
      <c r="A11" s="13" t="s">
        <v>7</v>
      </c>
      <c r="B11" s="14" t="s">
        <v>46</v>
      </c>
      <c r="C11" s="23" t="s">
        <v>18</v>
      </c>
      <c r="D11" s="13" t="s">
        <v>9</v>
      </c>
      <c r="E11" s="29">
        <v>2924376.08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5.75" customHeight="1" x14ac:dyDescent="0.35">
      <c r="A12" s="13" t="s">
        <v>7</v>
      </c>
      <c r="B12" s="14" t="s">
        <v>45</v>
      </c>
      <c r="C12" s="23" t="s">
        <v>36</v>
      </c>
      <c r="D12" s="13" t="s">
        <v>19</v>
      </c>
      <c r="E12" s="15">
        <v>162152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5.75" customHeight="1" x14ac:dyDescent="0.35">
      <c r="A13" s="13" t="s">
        <v>7</v>
      </c>
      <c r="B13" s="14" t="s">
        <v>45</v>
      </c>
      <c r="C13" s="23" t="s">
        <v>38</v>
      </c>
      <c r="D13" s="13" t="s">
        <v>6</v>
      </c>
      <c r="E13" s="15">
        <v>43676.160000000003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5.75" customHeight="1" x14ac:dyDescent="0.35">
      <c r="A14" s="13" t="s">
        <v>20</v>
      </c>
      <c r="B14" s="14" t="s">
        <v>45</v>
      </c>
      <c r="C14" s="23" t="s">
        <v>11</v>
      </c>
      <c r="D14" s="13" t="s">
        <v>12</v>
      </c>
      <c r="E14" s="29">
        <v>105781.06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5.75" customHeight="1" x14ac:dyDescent="0.35">
      <c r="A15" s="13" t="s">
        <v>20</v>
      </c>
      <c r="B15" s="14" t="s">
        <v>45</v>
      </c>
      <c r="C15" s="23" t="s">
        <v>11</v>
      </c>
      <c r="D15" s="13" t="s">
        <v>12</v>
      </c>
      <c r="E15" s="29">
        <v>32735.7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5.75" customHeight="1" x14ac:dyDescent="0.35">
      <c r="A16" s="13" t="s">
        <v>20</v>
      </c>
      <c r="B16" s="14" t="s">
        <v>46</v>
      </c>
      <c r="C16" s="23" t="s">
        <v>13</v>
      </c>
      <c r="D16" s="13" t="s">
        <v>21</v>
      </c>
      <c r="E16" s="29">
        <v>217830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5.75" customHeight="1" x14ac:dyDescent="0.35">
      <c r="A17" s="13" t="s">
        <v>20</v>
      </c>
      <c r="B17" s="14" t="s">
        <v>45</v>
      </c>
      <c r="C17" s="23" t="s">
        <v>14</v>
      </c>
      <c r="D17" s="13" t="s">
        <v>15</v>
      </c>
      <c r="E17" s="29">
        <v>23896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5.75" customHeight="1" x14ac:dyDescent="0.35">
      <c r="A18" s="13" t="s">
        <v>20</v>
      </c>
      <c r="B18" s="14" t="s">
        <v>45</v>
      </c>
      <c r="C18" s="23" t="s">
        <v>16</v>
      </c>
      <c r="D18" s="13" t="s">
        <v>17</v>
      </c>
      <c r="E18" s="29">
        <v>81550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5.75" customHeight="1" x14ac:dyDescent="0.35">
      <c r="A19" s="13" t="s">
        <v>20</v>
      </c>
      <c r="B19" s="14" t="s">
        <v>46</v>
      </c>
      <c r="C19" s="23" t="s">
        <v>18</v>
      </c>
      <c r="D19" s="13" t="s">
        <v>22</v>
      </c>
      <c r="E19" s="15">
        <v>738584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5.75" customHeight="1" x14ac:dyDescent="0.35">
      <c r="A20" s="13" t="s">
        <v>20</v>
      </c>
      <c r="B20" s="14" t="s">
        <v>45</v>
      </c>
      <c r="C20" s="23" t="s">
        <v>38</v>
      </c>
      <c r="D20" s="13" t="s">
        <v>6</v>
      </c>
      <c r="E20" s="15">
        <v>43676.160000000003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5.75" customHeight="1" x14ac:dyDescent="0.35">
      <c r="A21" s="13" t="s">
        <v>23</v>
      </c>
      <c r="B21" s="14" t="s">
        <v>45</v>
      </c>
      <c r="C21" s="23" t="s">
        <v>14</v>
      </c>
      <c r="D21" s="13" t="s">
        <v>15</v>
      </c>
      <c r="E21" s="29">
        <v>23896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4.5" x14ac:dyDescent="0.35">
      <c r="A22" s="13" t="s">
        <v>23</v>
      </c>
      <c r="B22" s="14" t="s">
        <v>45</v>
      </c>
      <c r="C22" s="23" t="s">
        <v>16</v>
      </c>
      <c r="D22" s="13" t="s">
        <v>17</v>
      </c>
      <c r="E22" s="29">
        <v>30600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4.5" x14ac:dyDescent="0.35">
      <c r="A23" s="13" t="s">
        <v>23</v>
      </c>
      <c r="B23" s="14" t="s">
        <v>46</v>
      </c>
      <c r="C23" s="23" t="s">
        <v>18</v>
      </c>
      <c r="D23" s="13" t="s">
        <v>24</v>
      </c>
      <c r="E23" s="29">
        <v>540862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4.5" x14ac:dyDescent="0.35">
      <c r="A24" s="13" t="s">
        <v>23</v>
      </c>
      <c r="B24" s="14" t="s">
        <v>45</v>
      </c>
      <c r="C24" s="23" t="s">
        <v>39</v>
      </c>
      <c r="D24" s="13" t="s">
        <v>19</v>
      </c>
      <c r="E24" s="15">
        <v>725872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4.5" x14ac:dyDescent="0.35">
      <c r="A25" s="13" t="s">
        <v>23</v>
      </c>
      <c r="B25" s="14" t="s">
        <v>45</v>
      </c>
      <c r="C25" s="23" t="s">
        <v>39</v>
      </c>
      <c r="D25" s="13" t="s">
        <v>19</v>
      </c>
      <c r="E25" s="15">
        <v>1220075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4.5" x14ac:dyDescent="0.35">
      <c r="A26" s="13" t="s">
        <v>25</v>
      </c>
      <c r="B26" s="14" t="s">
        <v>45</v>
      </c>
      <c r="C26" s="23" t="s">
        <v>11</v>
      </c>
      <c r="D26" s="13" t="s">
        <v>12</v>
      </c>
      <c r="E26" s="29">
        <v>134929.12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4.5" x14ac:dyDescent="0.35">
      <c r="A27" s="13" t="s">
        <v>25</v>
      </c>
      <c r="B27" s="14" t="s">
        <v>45</v>
      </c>
      <c r="C27" s="23" t="s">
        <v>14</v>
      </c>
      <c r="D27" s="13" t="s">
        <v>15</v>
      </c>
      <c r="E27" s="29">
        <v>23896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4.5" x14ac:dyDescent="0.35">
      <c r="A28" s="13" t="s">
        <v>25</v>
      </c>
      <c r="B28" s="14" t="s">
        <v>45</v>
      </c>
      <c r="C28" s="23" t="s">
        <v>16</v>
      </c>
      <c r="D28" s="13" t="s">
        <v>26</v>
      </c>
      <c r="E28" s="29">
        <v>80802.399999999994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4.5" x14ac:dyDescent="0.35">
      <c r="A29" s="13" t="s">
        <v>25</v>
      </c>
      <c r="B29" s="14" t="s">
        <v>45</v>
      </c>
      <c r="C29" s="23" t="s">
        <v>27</v>
      </c>
      <c r="D29" s="13" t="s">
        <v>28</v>
      </c>
      <c r="E29" s="15">
        <v>133584.79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4.5" x14ac:dyDescent="0.35">
      <c r="A30" s="13" t="s">
        <v>25</v>
      </c>
      <c r="B30" s="14" t="s">
        <v>45</v>
      </c>
      <c r="C30" s="23" t="s">
        <v>37</v>
      </c>
      <c r="D30" s="13" t="s">
        <v>29</v>
      </c>
      <c r="E30" s="15">
        <v>180000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4.5" x14ac:dyDescent="0.35">
      <c r="A31" s="13" t="s">
        <v>25</v>
      </c>
      <c r="B31" s="14" t="s">
        <v>45</v>
      </c>
      <c r="C31" s="23" t="s">
        <v>39</v>
      </c>
      <c r="D31" s="13" t="s">
        <v>19</v>
      </c>
      <c r="E31" s="15">
        <v>332100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4.5" x14ac:dyDescent="0.35">
      <c r="A32" s="13" t="s">
        <v>30</v>
      </c>
      <c r="B32" s="14" t="s">
        <v>45</v>
      </c>
      <c r="C32" s="23" t="s">
        <v>11</v>
      </c>
      <c r="D32" s="13" t="s">
        <v>12</v>
      </c>
      <c r="E32" s="29">
        <v>82273.039999999994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4.5" x14ac:dyDescent="0.35">
      <c r="A33" s="13" t="s">
        <v>30</v>
      </c>
      <c r="B33" s="14" t="s">
        <v>46</v>
      </c>
      <c r="C33" s="23" t="s">
        <v>13</v>
      </c>
      <c r="D33" s="13" t="s">
        <v>31</v>
      </c>
      <c r="E33" s="29">
        <v>1858800.59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4.5" x14ac:dyDescent="0.35">
      <c r="A34" s="13" t="s">
        <v>30</v>
      </c>
      <c r="B34" s="14" t="s">
        <v>45</v>
      </c>
      <c r="C34" s="23" t="s">
        <v>14</v>
      </c>
      <c r="D34" s="13" t="s">
        <v>15</v>
      </c>
      <c r="E34" s="29">
        <v>23896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4.5" x14ac:dyDescent="0.35">
      <c r="A35" s="13" t="s">
        <v>30</v>
      </c>
      <c r="B35" s="14" t="s">
        <v>45</v>
      </c>
      <c r="C35" s="23" t="s">
        <v>16</v>
      </c>
      <c r="D35" s="13" t="s">
        <v>17</v>
      </c>
      <c r="E35" s="29">
        <v>48305.79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4.5" x14ac:dyDescent="0.35">
      <c r="A36" s="13" t="s">
        <v>30</v>
      </c>
      <c r="B36" s="14" t="s">
        <v>46</v>
      </c>
      <c r="C36" s="23" t="s">
        <v>18</v>
      </c>
      <c r="D36" s="13" t="s">
        <v>31</v>
      </c>
      <c r="E36" s="29">
        <v>1776140.28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4.5" x14ac:dyDescent="0.35">
      <c r="A37" s="13" t="s">
        <v>30</v>
      </c>
      <c r="B37" s="14" t="s">
        <v>45</v>
      </c>
      <c r="C37" s="23" t="s">
        <v>38</v>
      </c>
      <c r="D37" s="13" t="s">
        <v>6</v>
      </c>
      <c r="E37" s="15">
        <v>43676.160000000003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4.5" x14ac:dyDescent="0.35">
      <c r="A38" s="13" t="s">
        <v>30</v>
      </c>
      <c r="B38" s="14" t="s">
        <v>45</v>
      </c>
      <c r="C38" s="23" t="s">
        <v>38</v>
      </c>
      <c r="D38" s="13" t="s">
        <v>6</v>
      </c>
      <c r="E38" s="15">
        <v>49946.38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4.5" x14ac:dyDescent="0.35">
      <c r="A39" s="13" t="s">
        <v>32</v>
      </c>
      <c r="B39" s="14" t="s">
        <v>45</v>
      </c>
      <c r="C39" s="23" t="s">
        <v>11</v>
      </c>
      <c r="D39" s="13" t="s">
        <v>12</v>
      </c>
      <c r="E39" s="29">
        <v>110998.31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4.5" x14ac:dyDescent="0.35">
      <c r="A40" s="13" t="s">
        <v>32</v>
      </c>
      <c r="B40" s="14" t="s">
        <v>46</v>
      </c>
      <c r="C40" s="23" t="s">
        <v>13</v>
      </c>
      <c r="D40" s="13" t="s">
        <v>33</v>
      </c>
      <c r="E40" s="15">
        <v>679193.52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4.5" x14ac:dyDescent="0.35">
      <c r="A41" s="13" t="s">
        <v>32</v>
      </c>
      <c r="B41" s="14" t="s">
        <v>45</v>
      </c>
      <c r="C41" s="23" t="s">
        <v>14</v>
      </c>
      <c r="D41" s="13" t="s">
        <v>15</v>
      </c>
      <c r="E41" s="29">
        <v>23896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4.5" x14ac:dyDescent="0.35">
      <c r="A42" s="13" t="s">
        <v>32</v>
      </c>
      <c r="B42" s="14" t="s">
        <v>45</v>
      </c>
      <c r="C42" s="23" t="s">
        <v>16</v>
      </c>
      <c r="D42" s="13" t="s">
        <v>26</v>
      </c>
      <c r="E42" s="29">
        <v>80802.399999999994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4.5" x14ac:dyDescent="0.35">
      <c r="A43" s="13" t="s">
        <v>32</v>
      </c>
      <c r="B43" s="14" t="s">
        <v>46</v>
      </c>
      <c r="C43" s="23" t="s">
        <v>18</v>
      </c>
      <c r="D43" s="13" t="s">
        <v>33</v>
      </c>
      <c r="E43" s="29">
        <v>1696728.4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4.5" x14ac:dyDescent="0.35">
      <c r="A44" s="13" t="s">
        <v>34</v>
      </c>
      <c r="B44" s="14" t="s">
        <v>45</v>
      </c>
      <c r="C44" s="23" t="s">
        <v>11</v>
      </c>
      <c r="D44" s="13" t="s">
        <v>12</v>
      </c>
      <c r="E44" s="29">
        <v>68433.78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4.5" x14ac:dyDescent="0.35">
      <c r="A45" s="13" t="s">
        <v>34</v>
      </c>
      <c r="B45" s="14" t="s">
        <v>46</v>
      </c>
      <c r="C45" s="23" t="s">
        <v>13</v>
      </c>
      <c r="D45" s="13" t="s">
        <v>33</v>
      </c>
      <c r="E45" s="15">
        <v>339596.76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4.5" x14ac:dyDescent="0.35">
      <c r="A46" s="13" t="s">
        <v>34</v>
      </c>
      <c r="B46" s="14" t="s">
        <v>45</v>
      </c>
      <c r="C46" s="23" t="s">
        <v>14</v>
      </c>
      <c r="D46" s="13" t="s">
        <v>15</v>
      </c>
      <c r="E46" s="29">
        <v>23896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4.5" x14ac:dyDescent="0.35">
      <c r="A47" s="13" t="s">
        <v>34</v>
      </c>
      <c r="B47" s="14" t="s">
        <v>46</v>
      </c>
      <c r="C47" s="23" t="s">
        <v>18</v>
      </c>
      <c r="D47" s="13" t="s">
        <v>33</v>
      </c>
      <c r="E47" s="29">
        <v>2333371.2000000002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4.5" x14ac:dyDescent="0.35">
      <c r="A48" s="13" t="s">
        <v>35</v>
      </c>
      <c r="B48" s="14" t="s">
        <v>45</v>
      </c>
      <c r="C48" s="23" t="s">
        <v>11</v>
      </c>
      <c r="D48" s="13" t="s">
        <v>12</v>
      </c>
      <c r="E48" s="29">
        <v>95237.85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4.5" x14ac:dyDescent="0.35">
      <c r="A49" s="13" t="s">
        <v>35</v>
      </c>
      <c r="B49" s="14" t="s">
        <v>46</v>
      </c>
      <c r="C49" s="23" t="s">
        <v>13</v>
      </c>
      <c r="D49" s="13" t="s">
        <v>33</v>
      </c>
      <c r="E49" s="15">
        <v>339596.76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4.5" x14ac:dyDescent="0.35">
      <c r="A50" s="13" t="s">
        <v>35</v>
      </c>
      <c r="B50" s="14" t="s">
        <v>45</v>
      </c>
      <c r="C50" s="23" t="s">
        <v>14</v>
      </c>
      <c r="D50" s="13" t="s">
        <v>15</v>
      </c>
      <c r="E50" s="29">
        <v>23896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4.5" x14ac:dyDescent="0.35">
      <c r="A51" s="13" t="s">
        <v>35</v>
      </c>
      <c r="B51" s="14" t="s">
        <v>46</v>
      </c>
      <c r="C51" s="23" t="s">
        <v>18</v>
      </c>
      <c r="D51" s="13" t="s">
        <v>33</v>
      </c>
      <c r="E51" s="29">
        <v>825000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4.5" x14ac:dyDescent="0.35">
      <c r="A52" s="14"/>
      <c r="B52" s="14"/>
      <c r="C52" s="23"/>
      <c r="D52" s="14"/>
      <c r="E52" s="2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4.5" x14ac:dyDescent="0.35">
      <c r="A53" s="14"/>
      <c r="B53" s="14"/>
      <c r="C53" s="23"/>
      <c r="D53" s="14"/>
      <c r="E53" s="2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4" x14ac:dyDescent="0.3">
      <c r="A54" s="12"/>
      <c r="B54" s="12"/>
      <c r="C54" s="24"/>
      <c r="D54" s="12"/>
      <c r="E54" s="30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4" x14ac:dyDescent="0.3">
      <c r="A55" s="12"/>
      <c r="B55" s="12"/>
      <c r="C55" s="24"/>
      <c r="D55" s="12"/>
      <c r="E55" s="30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4" x14ac:dyDescent="0.3">
      <c r="A56" s="12"/>
      <c r="B56" s="12"/>
      <c r="C56" s="24"/>
      <c r="D56" s="12"/>
      <c r="E56" s="30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4" x14ac:dyDescent="0.3">
      <c r="A57" s="12"/>
      <c r="B57" s="12"/>
      <c r="C57" s="24"/>
      <c r="D57" s="12"/>
      <c r="E57" s="30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4" x14ac:dyDescent="0.3">
      <c r="A58" s="12"/>
      <c r="B58" s="12"/>
      <c r="C58" s="24"/>
      <c r="D58" s="12"/>
      <c r="E58" s="3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4" x14ac:dyDescent="0.3">
      <c r="A59" s="12"/>
      <c r="B59" s="12"/>
      <c r="C59" s="24"/>
      <c r="D59" s="12"/>
      <c r="E59" s="30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4" x14ac:dyDescent="0.3">
      <c r="A60" s="12"/>
      <c r="B60" s="12"/>
      <c r="C60" s="24"/>
      <c r="D60" s="12"/>
      <c r="E60" s="3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4" x14ac:dyDescent="0.3">
      <c r="A61" s="12"/>
      <c r="B61" s="12"/>
      <c r="C61" s="24"/>
      <c r="D61" s="12"/>
      <c r="E61" s="30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4" x14ac:dyDescent="0.3">
      <c r="A62" s="12"/>
      <c r="B62" s="12"/>
      <c r="C62" s="24"/>
      <c r="D62" s="12"/>
      <c r="E62" s="3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4" x14ac:dyDescent="0.3">
      <c r="A63" s="12"/>
      <c r="B63" s="12"/>
      <c r="C63" s="24"/>
      <c r="D63" s="12"/>
      <c r="E63" s="30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4" x14ac:dyDescent="0.3">
      <c r="A64" s="12"/>
      <c r="B64" s="12"/>
      <c r="C64" s="24"/>
      <c r="D64" s="12"/>
      <c r="E64" s="30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4" x14ac:dyDescent="0.3">
      <c r="A65" s="12"/>
      <c r="B65" s="12"/>
      <c r="C65" s="24"/>
      <c r="D65" s="12"/>
      <c r="E65" s="30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4" x14ac:dyDescent="0.3">
      <c r="A66" s="12"/>
      <c r="B66" s="12"/>
      <c r="C66" s="24"/>
      <c r="D66" s="12"/>
      <c r="E66" s="30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4" x14ac:dyDescent="0.3">
      <c r="A67" s="12"/>
      <c r="B67" s="12"/>
      <c r="C67" s="24"/>
      <c r="D67" s="12"/>
      <c r="E67" s="30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4" x14ac:dyDescent="0.3">
      <c r="A68" s="12"/>
      <c r="B68" s="12"/>
      <c r="C68" s="24"/>
      <c r="D68" s="12"/>
      <c r="E68" s="30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4" x14ac:dyDescent="0.3">
      <c r="A69" s="12"/>
      <c r="B69" s="12"/>
      <c r="C69" s="24"/>
      <c r="D69" s="12"/>
      <c r="E69" s="30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4" x14ac:dyDescent="0.3">
      <c r="A70" s="12"/>
      <c r="B70" s="12"/>
      <c r="C70" s="24"/>
      <c r="D70" s="12"/>
      <c r="E70" s="30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4" x14ac:dyDescent="0.3">
      <c r="A71" s="12"/>
      <c r="B71" s="12"/>
      <c r="C71" s="24"/>
      <c r="D71" s="12"/>
      <c r="E71" s="30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4" x14ac:dyDescent="0.3">
      <c r="A72" s="12"/>
      <c r="B72" s="12"/>
      <c r="C72" s="24"/>
      <c r="D72" s="12"/>
      <c r="E72" s="30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4" x14ac:dyDescent="0.3">
      <c r="A73" s="12"/>
      <c r="B73" s="12"/>
      <c r="C73" s="24"/>
      <c r="D73" s="12"/>
      <c r="E73" s="3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4" x14ac:dyDescent="0.3">
      <c r="A74" s="12"/>
      <c r="B74" s="12"/>
      <c r="C74" s="24"/>
      <c r="D74" s="12"/>
      <c r="E74" s="3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4" x14ac:dyDescent="0.3">
      <c r="A75" s="12"/>
      <c r="B75" s="12"/>
      <c r="C75" s="24"/>
      <c r="D75" s="12"/>
      <c r="E75" s="30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4" x14ac:dyDescent="0.3">
      <c r="A76" s="12"/>
      <c r="B76" s="12"/>
      <c r="C76" s="24"/>
      <c r="D76" s="12"/>
      <c r="E76" s="30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4" x14ac:dyDescent="0.3">
      <c r="A77" s="12"/>
      <c r="B77" s="12"/>
      <c r="C77" s="24"/>
      <c r="D77" s="12"/>
      <c r="E77" s="30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4" x14ac:dyDescent="0.3">
      <c r="A78" s="12"/>
      <c r="B78" s="12"/>
      <c r="C78" s="24"/>
      <c r="D78" s="12"/>
      <c r="E78" s="30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4" x14ac:dyDescent="0.3">
      <c r="A79" s="12"/>
      <c r="B79" s="12"/>
      <c r="C79" s="24"/>
      <c r="D79" s="12"/>
      <c r="E79" s="30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4" x14ac:dyDescent="0.3">
      <c r="A80" s="12"/>
      <c r="B80" s="12"/>
      <c r="C80" s="24"/>
      <c r="D80" s="12"/>
      <c r="E80" s="30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4" x14ac:dyDescent="0.3">
      <c r="A81" s="12"/>
      <c r="B81" s="12"/>
      <c r="C81" s="24"/>
      <c r="D81" s="12"/>
      <c r="E81" s="3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4" x14ac:dyDescent="0.3">
      <c r="A82" s="12"/>
      <c r="B82" s="12"/>
      <c r="C82" s="24"/>
      <c r="D82" s="12"/>
      <c r="E82" s="30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4" x14ac:dyDescent="0.3">
      <c r="A83" s="12"/>
      <c r="B83" s="12"/>
      <c r="C83" s="24"/>
      <c r="D83" s="12"/>
      <c r="E83" s="3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4" x14ac:dyDescent="0.3">
      <c r="A84" s="12"/>
      <c r="B84" s="12"/>
      <c r="C84" s="24"/>
      <c r="D84" s="12"/>
      <c r="E84" s="3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4" x14ac:dyDescent="0.3">
      <c r="A85" s="12"/>
      <c r="B85" s="12"/>
      <c r="C85" s="24"/>
      <c r="D85" s="12"/>
      <c r="E85" s="30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4" x14ac:dyDescent="0.3">
      <c r="A86" s="12"/>
      <c r="B86" s="12"/>
      <c r="C86" s="24"/>
      <c r="D86" s="12"/>
      <c r="E86" s="30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4" x14ac:dyDescent="0.3">
      <c r="A87" s="12"/>
      <c r="B87" s="12"/>
      <c r="C87" s="24"/>
      <c r="D87" s="12"/>
      <c r="E87" s="3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4" x14ac:dyDescent="0.3">
      <c r="A88" s="12"/>
      <c r="B88" s="12"/>
      <c r="C88" s="24"/>
      <c r="D88" s="12"/>
      <c r="E88" s="30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4" x14ac:dyDescent="0.3">
      <c r="A89" s="12"/>
      <c r="B89" s="12"/>
      <c r="C89" s="24"/>
      <c r="D89" s="12"/>
      <c r="E89" s="3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4" x14ac:dyDescent="0.3">
      <c r="A90" s="12"/>
      <c r="B90" s="12"/>
      <c r="C90" s="24"/>
      <c r="D90" s="12"/>
      <c r="E90" s="30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4" x14ac:dyDescent="0.3">
      <c r="A91" s="12"/>
      <c r="B91" s="12"/>
      <c r="C91" s="24"/>
      <c r="D91" s="12"/>
      <c r="E91" s="3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4" x14ac:dyDescent="0.3">
      <c r="A92" s="12"/>
      <c r="B92" s="12"/>
      <c r="C92" s="24"/>
      <c r="D92" s="12"/>
      <c r="E92" s="3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4" x14ac:dyDescent="0.3">
      <c r="A93" s="12"/>
      <c r="B93" s="12"/>
      <c r="C93" s="24"/>
      <c r="D93" s="12"/>
      <c r="E93" s="30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4" x14ac:dyDescent="0.3">
      <c r="A94" s="12"/>
      <c r="B94" s="12"/>
      <c r="C94" s="24"/>
      <c r="D94" s="12"/>
      <c r="E94" s="30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4" x14ac:dyDescent="0.3">
      <c r="A95" s="12"/>
      <c r="B95" s="12"/>
      <c r="C95" s="24"/>
      <c r="D95" s="12"/>
      <c r="E95" s="30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4" x14ac:dyDescent="0.3">
      <c r="A96" s="12"/>
      <c r="B96" s="12"/>
      <c r="C96" s="24"/>
      <c r="D96" s="12"/>
      <c r="E96" s="30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4" x14ac:dyDescent="0.3">
      <c r="A97" s="12"/>
      <c r="B97" s="12"/>
      <c r="C97" s="24"/>
      <c r="D97" s="12"/>
      <c r="E97" s="30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4" x14ac:dyDescent="0.3">
      <c r="A98" s="12"/>
      <c r="B98" s="12"/>
      <c r="C98" s="24"/>
      <c r="D98" s="12"/>
      <c r="E98" s="30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4" x14ac:dyDescent="0.3">
      <c r="A99" s="12"/>
      <c r="B99" s="12"/>
      <c r="C99" s="24"/>
      <c r="D99" s="12"/>
      <c r="E99" s="30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4" x14ac:dyDescent="0.3">
      <c r="A100" s="12"/>
      <c r="B100" s="12"/>
      <c r="C100" s="24"/>
      <c r="D100" s="12"/>
      <c r="E100" s="30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4" x14ac:dyDescent="0.3">
      <c r="A101" s="12"/>
      <c r="B101" s="12"/>
      <c r="C101" s="24"/>
      <c r="D101" s="12"/>
      <c r="E101" s="30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4" x14ac:dyDescent="0.3">
      <c r="A102" s="12"/>
      <c r="B102" s="12"/>
      <c r="C102" s="24"/>
      <c r="D102" s="12"/>
      <c r="E102" s="30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4" x14ac:dyDescent="0.3">
      <c r="A103" s="12"/>
      <c r="B103" s="12"/>
      <c r="C103" s="24"/>
      <c r="D103" s="12"/>
      <c r="E103" s="30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4" x14ac:dyDescent="0.3">
      <c r="A104" s="12"/>
      <c r="B104" s="12"/>
      <c r="C104" s="24"/>
      <c r="D104" s="12"/>
      <c r="E104" s="30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4" x14ac:dyDescent="0.3">
      <c r="A105" s="12"/>
      <c r="B105" s="12"/>
      <c r="C105" s="24"/>
      <c r="D105" s="12"/>
      <c r="E105" s="30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4" x14ac:dyDescent="0.3">
      <c r="A106" s="12"/>
      <c r="B106" s="12"/>
      <c r="C106" s="24"/>
      <c r="D106" s="12"/>
      <c r="E106" s="3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4" x14ac:dyDescent="0.3">
      <c r="A107" s="12"/>
      <c r="B107" s="12"/>
      <c r="C107" s="24"/>
      <c r="D107" s="12"/>
      <c r="E107" s="30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4" x14ac:dyDescent="0.3">
      <c r="A108" s="12"/>
      <c r="B108" s="12"/>
      <c r="C108" s="24"/>
      <c r="D108" s="12"/>
      <c r="E108" s="30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4" x14ac:dyDescent="0.3">
      <c r="A109" s="12"/>
      <c r="B109" s="12"/>
      <c r="C109" s="24"/>
      <c r="D109" s="12"/>
      <c r="E109" s="30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4" x14ac:dyDescent="0.3">
      <c r="A110" s="12"/>
      <c r="B110" s="12"/>
      <c r="C110" s="24"/>
      <c r="D110" s="12"/>
      <c r="E110" s="3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4" x14ac:dyDescent="0.3">
      <c r="A111" s="12"/>
      <c r="B111" s="12"/>
      <c r="C111" s="24"/>
      <c r="D111" s="12"/>
      <c r="E111" s="30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4" x14ac:dyDescent="0.3">
      <c r="A112" s="12"/>
      <c r="B112" s="12"/>
      <c r="C112" s="24"/>
      <c r="D112" s="12"/>
      <c r="E112" s="30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4" x14ac:dyDescent="0.3">
      <c r="A113" s="12"/>
      <c r="B113" s="12"/>
      <c r="C113" s="24"/>
      <c r="D113" s="12"/>
      <c r="E113" s="3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4" x14ac:dyDescent="0.3">
      <c r="A114" s="12"/>
      <c r="B114" s="12"/>
      <c r="C114" s="24"/>
      <c r="D114" s="12"/>
      <c r="E114" s="30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4" x14ac:dyDescent="0.3">
      <c r="A115" s="12"/>
      <c r="B115" s="12"/>
      <c r="C115" s="24"/>
      <c r="D115" s="12"/>
      <c r="E115" s="30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4" x14ac:dyDescent="0.3">
      <c r="A116" s="12"/>
      <c r="B116" s="12"/>
      <c r="C116" s="24"/>
      <c r="D116" s="12"/>
      <c r="E116" s="30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4" x14ac:dyDescent="0.3">
      <c r="A117" s="12"/>
      <c r="B117" s="12"/>
      <c r="C117" s="24"/>
      <c r="D117" s="12"/>
      <c r="E117" s="30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4" x14ac:dyDescent="0.3">
      <c r="A118" s="12"/>
      <c r="B118" s="12"/>
      <c r="C118" s="24"/>
      <c r="D118" s="12"/>
      <c r="E118" s="3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4" x14ac:dyDescent="0.3">
      <c r="A119" s="12"/>
      <c r="B119" s="12"/>
      <c r="C119" s="24"/>
      <c r="D119" s="12"/>
      <c r="E119" s="30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4" x14ac:dyDescent="0.3">
      <c r="A120" s="12"/>
      <c r="B120" s="12"/>
      <c r="C120" s="24"/>
      <c r="D120" s="12"/>
      <c r="E120" s="30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4" x14ac:dyDescent="0.3">
      <c r="A121" s="12"/>
      <c r="B121" s="12"/>
      <c r="C121" s="24"/>
      <c r="D121" s="12"/>
      <c r="E121" s="30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4" x14ac:dyDescent="0.3">
      <c r="A122" s="12"/>
      <c r="B122" s="12"/>
      <c r="C122" s="24"/>
      <c r="D122" s="12"/>
      <c r="E122" s="30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4" x14ac:dyDescent="0.3">
      <c r="A123" s="12"/>
      <c r="B123" s="12"/>
      <c r="C123" s="24"/>
      <c r="D123" s="12"/>
      <c r="E123" s="3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4" x14ac:dyDescent="0.3">
      <c r="A124" s="12"/>
      <c r="B124" s="12"/>
      <c r="C124" s="24"/>
      <c r="D124" s="12"/>
      <c r="E124" s="30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4" x14ac:dyDescent="0.3">
      <c r="A125" s="12"/>
      <c r="B125" s="12"/>
      <c r="C125" s="24"/>
      <c r="D125" s="12"/>
      <c r="E125" s="30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4" x14ac:dyDescent="0.3">
      <c r="A126" s="12"/>
      <c r="B126" s="12"/>
      <c r="C126" s="24"/>
      <c r="D126" s="12"/>
      <c r="E126" s="30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4" x14ac:dyDescent="0.3">
      <c r="A127" s="12"/>
      <c r="B127" s="12"/>
      <c r="C127" s="24"/>
      <c r="D127" s="12"/>
      <c r="E127" s="30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4" x14ac:dyDescent="0.3">
      <c r="A128" s="12"/>
      <c r="B128" s="12"/>
      <c r="C128" s="24"/>
      <c r="D128" s="12"/>
      <c r="E128" s="30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4" x14ac:dyDescent="0.3">
      <c r="A129" s="12"/>
      <c r="B129" s="12"/>
      <c r="C129" s="24"/>
      <c r="D129" s="12"/>
      <c r="E129" s="30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4" x14ac:dyDescent="0.3">
      <c r="A130" s="12"/>
      <c r="B130" s="12"/>
      <c r="C130" s="24"/>
      <c r="D130" s="12"/>
      <c r="E130" s="30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4" x14ac:dyDescent="0.3">
      <c r="A131" s="12"/>
      <c r="B131" s="12"/>
      <c r="C131" s="24"/>
      <c r="D131" s="12"/>
      <c r="E131" s="30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4" x14ac:dyDescent="0.3">
      <c r="A132" s="12"/>
      <c r="B132" s="12"/>
      <c r="C132" s="24"/>
      <c r="D132" s="12"/>
      <c r="E132" s="30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4" x14ac:dyDescent="0.3">
      <c r="A133" s="12"/>
      <c r="B133" s="12"/>
      <c r="C133" s="24"/>
      <c r="D133" s="12"/>
      <c r="E133" s="30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4" x14ac:dyDescent="0.3">
      <c r="A134" s="12"/>
      <c r="B134" s="12"/>
      <c r="C134" s="24"/>
      <c r="D134" s="12"/>
      <c r="E134" s="30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4" x14ac:dyDescent="0.3">
      <c r="A135" s="12"/>
      <c r="B135" s="12"/>
      <c r="C135" s="24"/>
      <c r="D135" s="12"/>
      <c r="E135" s="30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4" x14ac:dyDescent="0.3">
      <c r="A136" s="12"/>
      <c r="B136" s="12"/>
      <c r="C136" s="24"/>
      <c r="D136" s="12"/>
      <c r="E136" s="30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4" x14ac:dyDescent="0.3">
      <c r="A137" s="12"/>
      <c r="B137" s="12"/>
      <c r="C137" s="24"/>
      <c r="D137" s="12"/>
      <c r="E137" s="3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4" x14ac:dyDescent="0.3">
      <c r="A138" s="12"/>
      <c r="B138" s="12"/>
      <c r="C138" s="24"/>
      <c r="D138" s="12"/>
      <c r="E138" s="3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4" x14ac:dyDescent="0.3">
      <c r="A139" s="12"/>
      <c r="B139" s="12"/>
      <c r="C139" s="24"/>
      <c r="D139" s="12"/>
      <c r="E139" s="30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4" x14ac:dyDescent="0.3">
      <c r="A140" s="12"/>
      <c r="B140" s="12"/>
      <c r="C140" s="24"/>
      <c r="D140" s="12"/>
      <c r="E140" s="30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4" x14ac:dyDescent="0.3">
      <c r="A141" s="12"/>
      <c r="B141" s="12"/>
      <c r="C141" s="24"/>
      <c r="D141" s="12"/>
      <c r="E141" s="30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4" x14ac:dyDescent="0.3">
      <c r="A142" s="12"/>
      <c r="B142" s="12"/>
      <c r="C142" s="24"/>
      <c r="D142" s="12"/>
      <c r="E142" s="30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4" x14ac:dyDescent="0.3">
      <c r="A143" s="12"/>
      <c r="B143" s="12"/>
      <c r="C143" s="24"/>
      <c r="D143" s="12"/>
      <c r="E143" s="30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4" x14ac:dyDescent="0.3">
      <c r="A144" s="12"/>
      <c r="B144" s="12"/>
      <c r="C144" s="24"/>
      <c r="D144" s="12"/>
      <c r="E144" s="30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4" x14ac:dyDescent="0.3">
      <c r="A145" s="12"/>
      <c r="B145" s="12"/>
      <c r="C145" s="24"/>
      <c r="D145" s="12"/>
      <c r="E145" s="30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4" x14ac:dyDescent="0.3">
      <c r="A146" s="12"/>
      <c r="B146" s="12"/>
      <c r="C146" s="24"/>
      <c r="D146" s="12"/>
      <c r="E146" s="3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4" x14ac:dyDescent="0.3">
      <c r="A147" s="12"/>
      <c r="B147" s="12"/>
      <c r="C147" s="24"/>
      <c r="D147" s="12"/>
      <c r="E147" s="3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4" x14ac:dyDescent="0.3">
      <c r="A148" s="12"/>
      <c r="B148" s="12"/>
      <c r="C148" s="24"/>
      <c r="D148" s="12"/>
      <c r="E148" s="30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4" x14ac:dyDescent="0.3">
      <c r="A149" s="12"/>
      <c r="B149" s="12"/>
      <c r="C149" s="24"/>
      <c r="D149" s="12"/>
      <c r="E149" s="30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4" x14ac:dyDescent="0.3">
      <c r="A150" s="12"/>
      <c r="B150" s="12"/>
      <c r="C150" s="24"/>
      <c r="D150" s="12"/>
      <c r="E150" s="30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4" x14ac:dyDescent="0.3">
      <c r="A151" s="12"/>
      <c r="B151" s="12"/>
      <c r="C151" s="24"/>
      <c r="D151" s="12"/>
      <c r="E151" s="30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4" x14ac:dyDescent="0.3">
      <c r="A152" s="12"/>
      <c r="B152" s="12"/>
      <c r="C152" s="24"/>
      <c r="D152" s="12"/>
      <c r="E152" s="30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4" x14ac:dyDescent="0.3">
      <c r="A153" s="12"/>
      <c r="B153" s="12"/>
      <c r="C153" s="24"/>
      <c r="D153" s="12"/>
      <c r="E153" s="30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4" x14ac:dyDescent="0.3">
      <c r="A154" s="12"/>
      <c r="B154" s="12"/>
      <c r="C154" s="24"/>
      <c r="D154" s="12"/>
      <c r="E154" s="30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4" x14ac:dyDescent="0.3">
      <c r="A155" s="12"/>
      <c r="B155" s="12"/>
      <c r="C155" s="24"/>
      <c r="D155" s="12"/>
      <c r="E155" s="30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4" x14ac:dyDescent="0.3">
      <c r="A156" s="12"/>
      <c r="B156" s="12"/>
      <c r="C156" s="24"/>
      <c r="D156" s="12"/>
      <c r="E156" s="30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4" x14ac:dyDescent="0.3">
      <c r="A157" s="12"/>
      <c r="B157" s="12"/>
      <c r="C157" s="24"/>
      <c r="D157" s="12"/>
      <c r="E157" s="30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4" x14ac:dyDescent="0.3">
      <c r="A158" s="12"/>
      <c r="B158" s="12"/>
      <c r="C158" s="24"/>
      <c r="D158" s="12"/>
      <c r="E158" s="30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4" x14ac:dyDescent="0.3">
      <c r="A159" s="12"/>
      <c r="B159" s="12"/>
      <c r="C159" s="24"/>
      <c r="D159" s="12"/>
      <c r="E159" s="30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4" x14ac:dyDescent="0.3">
      <c r="A160" s="12"/>
      <c r="B160" s="12"/>
      <c r="C160" s="24"/>
      <c r="D160" s="12"/>
      <c r="E160" s="30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4" x14ac:dyDescent="0.3">
      <c r="A161" s="12"/>
      <c r="B161" s="12"/>
      <c r="C161" s="24"/>
      <c r="D161" s="12"/>
      <c r="E161" s="30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4" x14ac:dyDescent="0.3">
      <c r="A162" s="12"/>
      <c r="B162" s="12"/>
      <c r="C162" s="24"/>
      <c r="D162" s="12"/>
      <c r="E162" s="30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4" x14ac:dyDescent="0.3">
      <c r="A163" s="12"/>
      <c r="B163" s="12"/>
      <c r="C163" s="24"/>
      <c r="D163" s="12"/>
      <c r="E163" s="30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4" x14ac:dyDescent="0.3">
      <c r="A164" s="12"/>
      <c r="B164" s="12"/>
      <c r="C164" s="24"/>
      <c r="D164" s="12"/>
      <c r="E164" s="30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4" x14ac:dyDescent="0.3">
      <c r="A165" s="12"/>
      <c r="B165" s="12"/>
      <c r="C165" s="24"/>
      <c r="D165" s="12"/>
      <c r="E165" s="30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4" x14ac:dyDescent="0.3">
      <c r="A166" s="12"/>
      <c r="B166" s="12"/>
      <c r="C166" s="24"/>
      <c r="D166" s="12"/>
      <c r="E166" s="30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4" x14ac:dyDescent="0.3">
      <c r="A167" s="12"/>
      <c r="B167" s="12"/>
      <c r="C167" s="24"/>
      <c r="D167" s="12"/>
      <c r="E167" s="30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4" x14ac:dyDescent="0.3">
      <c r="A168" s="12"/>
      <c r="B168" s="12"/>
      <c r="C168" s="24"/>
      <c r="D168" s="12"/>
      <c r="E168" s="30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4" x14ac:dyDescent="0.3">
      <c r="A169" s="12"/>
      <c r="B169" s="12"/>
      <c r="C169" s="24"/>
      <c r="D169" s="12"/>
      <c r="E169" s="30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4" x14ac:dyDescent="0.3">
      <c r="A170" s="12"/>
      <c r="B170" s="12"/>
      <c r="C170" s="24"/>
      <c r="D170" s="12"/>
      <c r="E170" s="30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4" x14ac:dyDescent="0.3">
      <c r="A171" s="12"/>
      <c r="B171" s="12"/>
      <c r="C171" s="24"/>
      <c r="D171" s="12"/>
      <c r="E171" s="30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4" x14ac:dyDescent="0.3">
      <c r="A172" s="12"/>
      <c r="B172" s="12"/>
      <c r="C172" s="24"/>
      <c r="D172" s="12"/>
      <c r="E172" s="30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4" x14ac:dyDescent="0.3">
      <c r="A173" s="12"/>
      <c r="B173" s="12"/>
      <c r="C173" s="24"/>
      <c r="D173" s="12"/>
      <c r="E173" s="30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4" x14ac:dyDescent="0.3">
      <c r="A174" s="12"/>
      <c r="B174" s="12"/>
      <c r="C174" s="24"/>
      <c r="D174" s="12"/>
      <c r="E174" s="30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4" x14ac:dyDescent="0.3">
      <c r="A175" s="12"/>
      <c r="B175" s="12"/>
      <c r="C175" s="24"/>
      <c r="D175" s="12"/>
      <c r="E175" s="30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4" x14ac:dyDescent="0.3">
      <c r="A176" s="12"/>
      <c r="B176" s="12"/>
      <c r="C176" s="24"/>
      <c r="D176" s="12"/>
      <c r="E176" s="30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4" x14ac:dyDescent="0.3">
      <c r="A177" s="12"/>
      <c r="B177" s="12"/>
      <c r="C177" s="24"/>
      <c r="D177" s="12"/>
      <c r="E177" s="30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4" x14ac:dyDescent="0.3">
      <c r="A178" s="12"/>
      <c r="B178" s="12"/>
      <c r="C178" s="24"/>
      <c r="D178" s="12"/>
      <c r="E178" s="30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4" x14ac:dyDescent="0.3">
      <c r="A179" s="12"/>
      <c r="B179" s="12"/>
      <c r="C179" s="24"/>
      <c r="D179" s="12"/>
      <c r="E179" s="30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4" x14ac:dyDescent="0.3">
      <c r="A180" s="12"/>
      <c r="B180" s="12"/>
      <c r="C180" s="24"/>
      <c r="D180" s="12"/>
      <c r="E180" s="30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4" x14ac:dyDescent="0.3">
      <c r="A181" s="12"/>
      <c r="B181" s="12"/>
      <c r="C181" s="24"/>
      <c r="D181" s="12"/>
      <c r="E181" s="30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4" x14ac:dyDescent="0.3">
      <c r="A182" s="12"/>
      <c r="B182" s="12"/>
      <c r="C182" s="24"/>
      <c r="D182" s="12"/>
      <c r="E182" s="30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4" x14ac:dyDescent="0.3">
      <c r="A183" s="12"/>
      <c r="B183" s="12"/>
      <c r="C183" s="24"/>
      <c r="D183" s="12"/>
      <c r="E183" s="30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4" x14ac:dyDescent="0.3">
      <c r="A184" s="12"/>
      <c r="B184" s="12"/>
      <c r="C184" s="24"/>
      <c r="D184" s="12"/>
      <c r="E184" s="3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4" x14ac:dyDescent="0.3">
      <c r="A185" s="12"/>
      <c r="B185" s="12"/>
      <c r="C185" s="24"/>
      <c r="D185" s="12"/>
      <c r="E185" s="30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4" x14ac:dyDescent="0.3">
      <c r="A186" s="12"/>
      <c r="B186" s="12"/>
      <c r="C186" s="24"/>
      <c r="D186" s="12"/>
      <c r="E186" s="30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4" x14ac:dyDescent="0.3">
      <c r="A187" s="12"/>
      <c r="B187" s="12"/>
      <c r="C187" s="24"/>
      <c r="D187" s="12"/>
      <c r="E187" s="30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4" x14ac:dyDescent="0.3">
      <c r="A188" s="12"/>
      <c r="B188" s="12"/>
      <c r="C188" s="24"/>
      <c r="D188" s="12"/>
      <c r="E188" s="30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4" x14ac:dyDescent="0.3">
      <c r="A189" s="12"/>
      <c r="B189" s="12"/>
      <c r="C189" s="24"/>
      <c r="D189" s="12"/>
      <c r="E189" s="30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4" x14ac:dyDescent="0.3">
      <c r="A190" s="12"/>
      <c r="B190" s="12"/>
      <c r="C190" s="24"/>
      <c r="D190" s="12"/>
      <c r="E190" s="30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4" x14ac:dyDescent="0.3">
      <c r="A191" s="12"/>
      <c r="B191" s="12"/>
      <c r="C191" s="24"/>
      <c r="D191" s="12"/>
      <c r="E191" s="30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4" x14ac:dyDescent="0.3">
      <c r="A192" s="12"/>
      <c r="B192" s="12"/>
      <c r="C192" s="24"/>
      <c r="D192" s="12"/>
      <c r="E192" s="30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4" x14ac:dyDescent="0.3">
      <c r="A193" s="12"/>
      <c r="B193" s="12"/>
      <c r="C193" s="24"/>
      <c r="D193" s="12"/>
      <c r="E193" s="30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4" x14ac:dyDescent="0.3">
      <c r="A194" s="12"/>
      <c r="B194" s="12"/>
      <c r="C194" s="24"/>
      <c r="D194" s="12"/>
      <c r="E194" s="30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4" x14ac:dyDescent="0.3">
      <c r="A195" s="12"/>
      <c r="B195" s="12"/>
      <c r="C195" s="24"/>
      <c r="D195" s="12"/>
      <c r="E195" s="30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4" x14ac:dyDescent="0.3">
      <c r="A196" s="12"/>
      <c r="B196" s="12"/>
      <c r="C196" s="24"/>
      <c r="D196" s="12"/>
      <c r="E196" s="3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4" x14ac:dyDescent="0.3">
      <c r="A197" s="12"/>
      <c r="B197" s="12"/>
      <c r="C197" s="24"/>
      <c r="D197" s="12"/>
      <c r="E197" s="30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4" x14ac:dyDescent="0.3">
      <c r="A198" s="12"/>
      <c r="B198" s="12"/>
      <c r="C198" s="24"/>
      <c r="D198" s="12"/>
      <c r="E198" s="30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4" x14ac:dyDescent="0.3">
      <c r="A199" s="12"/>
      <c r="B199" s="12"/>
      <c r="C199" s="24"/>
      <c r="D199" s="12"/>
      <c r="E199" s="30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4" x14ac:dyDescent="0.3">
      <c r="A200" s="12"/>
      <c r="B200" s="12"/>
      <c r="C200" s="24"/>
      <c r="D200" s="12"/>
      <c r="E200" s="30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4" x14ac:dyDescent="0.3">
      <c r="A201" s="12"/>
      <c r="B201" s="12"/>
      <c r="C201" s="24"/>
      <c r="D201" s="12"/>
      <c r="E201" s="30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4" x14ac:dyDescent="0.3">
      <c r="A202" s="12"/>
      <c r="B202" s="12"/>
      <c r="C202" s="24"/>
      <c r="D202" s="12"/>
      <c r="E202" s="30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4" x14ac:dyDescent="0.3">
      <c r="A203" s="12"/>
      <c r="B203" s="12"/>
      <c r="C203" s="24"/>
      <c r="D203" s="12"/>
      <c r="E203" s="3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4" x14ac:dyDescent="0.3">
      <c r="A204" s="12"/>
      <c r="B204" s="12"/>
      <c r="C204" s="24"/>
      <c r="D204" s="12"/>
      <c r="E204" s="30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4" x14ac:dyDescent="0.3">
      <c r="A205" s="12"/>
      <c r="B205" s="12"/>
      <c r="C205" s="24"/>
      <c r="D205" s="12"/>
      <c r="E205" s="30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4" x14ac:dyDescent="0.3">
      <c r="A206" s="12"/>
      <c r="B206" s="12"/>
      <c r="C206" s="24"/>
      <c r="D206" s="12"/>
      <c r="E206" s="30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4" x14ac:dyDescent="0.3">
      <c r="A207" s="12"/>
      <c r="B207" s="12"/>
      <c r="C207" s="24"/>
      <c r="D207" s="12"/>
      <c r="E207" s="30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4" x14ac:dyDescent="0.3">
      <c r="A208" s="12"/>
      <c r="B208" s="12"/>
      <c r="C208" s="24"/>
      <c r="D208" s="12"/>
      <c r="E208" s="30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4" x14ac:dyDescent="0.3">
      <c r="A209" s="12"/>
      <c r="B209" s="12"/>
      <c r="C209" s="24"/>
      <c r="D209" s="12"/>
      <c r="E209" s="30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4" x14ac:dyDescent="0.3">
      <c r="A210" s="12"/>
      <c r="B210" s="12"/>
      <c r="C210" s="24"/>
      <c r="D210" s="12"/>
      <c r="E210" s="30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4" x14ac:dyDescent="0.3">
      <c r="A211" s="12"/>
      <c r="B211" s="12"/>
      <c r="C211" s="24"/>
      <c r="D211" s="12"/>
      <c r="E211" s="30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4" x14ac:dyDescent="0.3">
      <c r="A212" s="12"/>
      <c r="B212" s="12"/>
      <c r="C212" s="24"/>
      <c r="D212" s="12"/>
      <c r="E212" s="3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4" x14ac:dyDescent="0.3">
      <c r="A213" s="12"/>
      <c r="B213" s="12"/>
      <c r="C213" s="24"/>
      <c r="D213" s="12"/>
      <c r="E213" s="30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4" x14ac:dyDescent="0.3">
      <c r="A214" s="12"/>
      <c r="B214" s="12"/>
      <c r="C214" s="24"/>
      <c r="D214" s="12"/>
      <c r="E214" s="30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4" x14ac:dyDescent="0.3">
      <c r="A215" s="12"/>
      <c r="B215" s="12"/>
      <c r="C215" s="24"/>
      <c r="D215" s="12"/>
      <c r="E215" s="30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4" x14ac:dyDescent="0.3">
      <c r="A216" s="12"/>
      <c r="B216" s="12"/>
      <c r="C216" s="24"/>
      <c r="D216" s="12"/>
      <c r="E216" s="30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4" x14ac:dyDescent="0.3">
      <c r="A217" s="12"/>
      <c r="B217" s="12"/>
      <c r="C217" s="24"/>
      <c r="D217" s="12"/>
      <c r="E217" s="30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4" x14ac:dyDescent="0.3">
      <c r="A218" s="12"/>
      <c r="B218" s="12"/>
      <c r="C218" s="24"/>
      <c r="D218" s="12"/>
      <c r="E218" s="30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4" x14ac:dyDescent="0.3">
      <c r="A219" s="12"/>
      <c r="B219" s="12"/>
      <c r="C219" s="24"/>
      <c r="D219" s="12"/>
      <c r="E219" s="30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4" x14ac:dyDescent="0.3">
      <c r="A220" s="12"/>
      <c r="B220" s="12"/>
      <c r="C220" s="24"/>
      <c r="D220" s="12"/>
      <c r="E220" s="3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4" x14ac:dyDescent="0.3">
      <c r="A221" s="12"/>
      <c r="B221" s="12"/>
      <c r="C221" s="24"/>
      <c r="D221" s="12"/>
      <c r="E221" s="3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4" x14ac:dyDescent="0.3">
      <c r="A222" s="12"/>
      <c r="B222" s="12"/>
      <c r="C222" s="24"/>
      <c r="D222" s="12"/>
      <c r="E222" s="30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4" x14ac:dyDescent="0.3">
      <c r="A223" s="12"/>
      <c r="B223" s="12"/>
      <c r="C223" s="24"/>
      <c r="D223" s="12"/>
      <c r="E223" s="30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4" x14ac:dyDescent="0.3">
      <c r="A224" s="12"/>
      <c r="B224" s="12"/>
      <c r="C224" s="24"/>
      <c r="D224" s="12"/>
      <c r="E224" s="30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4" x14ac:dyDescent="0.3">
      <c r="A225" s="12"/>
      <c r="B225" s="12"/>
      <c r="C225" s="24"/>
      <c r="D225" s="12"/>
      <c r="E225" s="30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4" x14ac:dyDescent="0.3">
      <c r="A226" s="12"/>
      <c r="B226" s="12"/>
      <c r="C226" s="24"/>
      <c r="D226" s="12"/>
      <c r="E226" s="30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4" x14ac:dyDescent="0.3">
      <c r="A227" s="12"/>
      <c r="B227" s="12"/>
      <c r="C227" s="24"/>
      <c r="D227" s="12"/>
      <c r="E227" s="30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4" x14ac:dyDescent="0.3">
      <c r="A228" s="12"/>
      <c r="B228" s="12"/>
      <c r="C228" s="24"/>
      <c r="D228" s="12"/>
      <c r="E228" s="30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4" x14ac:dyDescent="0.3">
      <c r="A229" s="12"/>
      <c r="B229" s="12"/>
      <c r="C229" s="24"/>
      <c r="D229" s="12"/>
      <c r="E229" s="30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4" x14ac:dyDescent="0.3">
      <c r="A230" s="12"/>
      <c r="B230" s="12"/>
      <c r="C230" s="24"/>
      <c r="D230" s="12"/>
      <c r="E230" s="3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4" x14ac:dyDescent="0.3">
      <c r="A231" s="12"/>
      <c r="B231" s="12"/>
      <c r="C231" s="24"/>
      <c r="D231" s="12"/>
      <c r="E231" s="30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4" x14ac:dyDescent="0.3">
      <c r="A232" s="12"/>
      <c r="B232" s="12"/>
      <c r="C232" s="24"/>
      <c r="D232" s="12"/>
      <c r="E232" s="30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4" x14ac:dyDescent="0.3">
      <c r="A233" s="12"/>
      <c r="B233" s="12"/>
      <c r="C233" s="24"/>
      <c r="D233" s="12"/>
      <c r="E233" s="30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4" x14ac:dyDescent="0.3">
      <c r="A234" s="12"/>
      <c r="B234" s="12"/>
      <c r="C234" s="24"/>
      <c r="D234" s="12"/>
      <c r="E234" s="30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4" x14ac:dyDescent="0.3">
      <c r="A235" s="12"/>
      <c r="B235" s="12"/>
      <c r="C235" s="24"/>
      <c r="D235" s="12"/>
      <c r="E235" s="30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4" x14ac:dyDescent="0.3">
      <c r="A236" s="12"/>
      <c r="B236" s="12"/>
      <c r="C236" s="24"/>
      <c r="D236" s="12"/>
      <c r="E236" s="30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4" x14ac:dyDescent="0.3">
      <c r="A237" s="12"/>
      <c r="B237" s="12"/>
      <c r="C237" s="24"/>
      <c r="D237" s="12"/>
      <c r="E237" s="3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4" x14ac:dyDescent="0.3">
      <c r="A238" s="12"/>
      <c r="B238" s="12"/>
      <c r="C238" s="24"/>
      <c r="D238" s="12"/>
      <c r="E238" s="30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4" x14ac:dyDescent="0.3">
      <c r="A239" s="12"/>
      <c r="B239" s="12"/>
      <c r="C239" s="24"/>
      <c r="D239" s="12"/>
      <c r="E239" s="30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4" x14ac:dyDescent="0.3">
      <c r="A240" s="12"/>
      <c r="B240" s="12"/>
      <c r="C240" s="24"/>
      <c r="D240" s="12"/>
      <c r="E240" s="30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4" x14ac:dyDescent="0.3">
      <c r="A241" s="12"/>
      <c r="B241" s="12"/>
      <c r="C241" s="24"/>
      <c r="D241" s="12"/>
      <c r="E241" s="30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4" x14ac:dyDescent="0.3">
      <c r="A242" s="12"/>
      <c r="B242" s="12"/>
      <c r="C242" s="24"/>
      <c r="D242" s="12"/>
      <c r="E242" s="30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t="14" x14ac:dyDescent="0.3">
      <c r="A243" s="12"/>
      <c r="B243" s="12"/>
      <c r="C243" s="24"/>
      <c r="D243" s="12"/>
      <c r="E243" s="30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1:22" ht="14" x14ac:dyDescent="0.3">
      <c r="A244" s="12"/>
      <c r="B244" s="12"/>
      <c r="C244" s="24"/>
      <c r="D244" s="12"/>
      <c r="E244" s="30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14" x14ac:dyDescent="0.3">
      <c r="A245" s="12"/>
      <c r="B245" s="12"/>
      <c r="C245" s="24"/>
      <c r="D245" s="12"/>
      <c r="E245" s="30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t="14" x14ac:dyDescent="0.3">
      <c r="A246" s="12"/>
      <c r="B246" s="12"/>
      <c r="C246" s="24"/>
      <c r="D246" s="12"/>
      <c r="E246" s="30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t="14" x14ac:dyDescent="0.3">
      <c r="A247" s="12"/>
      <c r="B247" s="12"/>
      <c r="C247" s="24"/>
      <c r="D247" s="12"/>
      <c r="E247" s="30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t="14" x14ac:dyDescent="0.3">
      <c r="A248" s="12"/>
      <c r="B248" s="12"/>
      <c r="C248" s="24"/>
      <c r="D248" s="12"/>
      <c r="E248" s="30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t="14" x14ac:dyDescent="0.3">
      <c r="A249" s="12"/>
      <c r="B249" s="12"/>
      <c r="C249" s="24"/>
      <c r="D249" s="12"/>
      <c r="E249" s="30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1:22" ht="14" x14ac:dyDescent="0.3">
      <c r="A250" s="12"/>
      <c r="B250" s="12"/>
      <c r="C250" s="24"/>
      <c r="D250" s="12"/>
      <c r="E250" s="30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t="14" x14ac:dyDescent="0.3">
      <c r="A251" s="12"/>
      <c r="B251" s="12"/>
      <c r="C251" s="24"/>
      <c r="D251" s="12"/>
      <c r="E251" s="30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t="14" x14ac:dyDescent="0.3">
      <c r="A252" s="12"/>
      <c r="B252" s="12"/>
      <c r="C252" s="24"/>
      <c r="D252" s="12"/>
      <c r="E252" s="30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t="14" x14ac:dyDescent="0.3">
      <c r="A253" s="12"/>
      <c r="B253" s="12"/>
      <c r="C253" s="24"/>
      <c r="D253" s="12"/>
      <c r="E253" s="30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t="14" x14ac:dyDescent="0.3">
      <c r="A254" s="12"/>
      <c r="B254" s="12"/>
      <c r="C254" s="24"/>
      <c r="D254" s="12"/>
      <c r="E254" s="30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t="14" x14ac:dyDescent="0.3">
      <c r="A255" s="12"/>
      <c r="B255" s="12"/>
      <c r="C255" s="24"/>
      <c r="D255" s="12"/>
      <c r="E255" s="30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1:22" ht="14" x14ac:dyDescent="0.3">
      <c r="A256" s="12"/>
      <c r="B256" s="12"/>
      <c r="C256" s="24"/>
      <c r="D256" s="12"/>
      <c r="E256" s="30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t="14" x14ac:dyDescent="0.3">
      <c r="A257" s="12"/>
      <c r="B257" s="12"/>
      <c r="C257" s="24"/>
      <c r="D257" s="12"/>
      <c r="E257" s="30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t="14" x14ac:dyDescent="0.3">
      <c r="A258" s="12"/>
      <c r="B258" s="12"/>
      <c r="C258" s="24"/>
      <c r="D258" s="12"/>
      <c r="E258" s="30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t="14" x14ac:dyDescent="0.3">
      <c r="A259" s="12"/>
      <c r="B259" s="12"/>
      <c r="C259" s="24"/>
      <c r="D259" s="12"/>
      <c r="E259" s="30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t="14" x14ac:dyDescent="0.3">
      <c r="A260" s="12"/>
      <c r="B260" s="12"/>
      <c r="C260" s="24"/>
      <c r="D260" s="12"/>
      <c r="E260" s="30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4" x14ac:dyDescent="0.3">
      <c r="A261" s="12"/>
      <c r="B261" s="12"/>
      <c r="C261" s="24"/>
      <c r="D261" s="12"/>
      <c r="E261" s="30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1:22" ht="14" x14ac:dyDescent="0.3">
      <c r="A262" s="12"/>
      <c r="B262" s="12"/>
      <c r="C262" s="24"/>
      <c r="D262" s="12"/>
      <c r="E262" s="30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t="14" x14ac:dyDescent="0.3">
      <c r="A263" s="12"/>
      <c r="B263" s="12"/>
      <c r="C263" s="24"/>
      <c r="D263" s="12"/>
      <c r="E263" s="30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t="14" x14ac:dyDescent="0.3">
      <c r="A264" s="12"/>
      <c r="B264" s="12"/>
      <c r="C264" s="24"/>
      <c r="D264" s="12"/>
      <c r="E264" s="30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t="14" x14ac:dyDescent="0.3">
      <c r="A265" s="12"/>
      <c r="B265" s="12"/>
      <c r="C265" s="24"/>
      <c r="D265" s="12"/>
      <c r="E265" s="30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t="14" x14ac:dyDescent="0.3">
      <c r="A266" s="12"/>
      <c r="B266" s="12"/>
      <c r="C266" s="24"/>
      <c r="D266" s="12"/>
      <c r="E266" s="30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1:22" ht="14" x14ac:dyDescent="0.3">
      <c r="A267" s="12"/>
      <c r="B267" s="12"/>
      <c r="C267" s="24"/>
      <c r="D267" s="12"/>
      <c r="E267" s="30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1:22" ht="14" x14ac:dyDescent="0.3">
      <c r="A268" s="12"/>
      <c r="B268" s="12"/>
      <c r="C268" s="24"/>
      <c r="D268" s="12"/>
      <c r="E268" s="30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1:22" ht="14" x14ac:dyDescent="0.3">
      <c r="A269" s="12"/>
      <c r="B269" s="12"/>
      <c r="C269" s="24"/>
      <c r="D269" s="12"/>
      <c r="E269" s="30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14" x14ac:dyDescent="0.3">
      <c r="A270" s="12"/>
      <c r="B270" s="12"/>
      <c r="C270" s="24"/>
      <c r="D270" s="12"/>
      <c r="E270" s="30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1:22" ht="14" x14ac:dyDescent="0.3">
      <c r="A271" s="12"/>
      <c r="B271" s="12"/>
      <c r="C271" s="24"/>
      <c r="D271" s="12"/>
      <c r="E271" s="30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1:22" ht="14" x14ac:dyDescent="0.3">
      <c r="A272" s="12"/>
      <c r="B272" s="12"/>
      <c r="C272" s="24"/>
      <c r="D272" s="12"/>
      <c r="E272" s="30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1:22" ht="14" x14ac:dyDescent="0.3">
      <c r="A273" s="12"/>
      <c r="B273" s="12"/>
      <c r="C273" s="24"/>
      <c r="D273" s="12"/>
      <c r="E273" s="30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1:22" ht="14" x14ac:dyDescent="0.3">
      <c r="A274" s="12"/>
      <c r="B274" s="12"/>
      <c r="C274" s="24"/>
      <c r="D274" s="12"/>
      <c r="E274" s="30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1:22" ht="14" x14ac:dyDescent="0.3">
      <c r="A275" s="12"/>
      <c r="B275" s="12"/>
      <c r="C275" s="24"/>
      <c r="D275" s="12"/>
      <c r="E275" s="30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1:22" ht="14" x14ac:dyDescent="0.3">
      <c r="A276" s="12"/>
      <c r="B276" s="12"/>
      <c r="C276" s="24"/>
      <c r="D276" s="12"/>
      <c r="E276" s="30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1:22" ht="14" x14ac:dyDescent="0.3">
      <c r="A277" s="12"/>
      <c r="B277" s="12"/>
      <c r="C277" s="24"/>
      <c r="D277" s="12"/>
      <c r="E277" s="30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1:22" ht="14" x14ac:dyDescent="0.3">
      <c r="A278" s="12"/>
      <c r="B278" s="12"/>
      <c r="C278" s="24"/>
      <c r="D278" s="12"/>
      <c r="E278" s="30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1:22" ht="14" x14ac:dyDescent="0.3">
      <c r="A279" s="12"/>
      <c r="B279" s="12"/>
      <c r="C279" s="24"/>
      <c r="D279" s="12"/>
      <c r="E279" s="30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1:22" ht="14" x14ac:dyDescent="0.3">
      <c r="A280" s="12"/>
      <c r="B280" s="12"/>
      <c r="C280" s="24"/>
      <c r="D280" s="12"/>
      <c r="E280" s="30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1:22" ht="14" x14ac:dyDescent="0.3">
      <c r="A281" s="12"/>
      <c r="B281" s="12"/>
      <c r="C281" s="24"/>
      <c r="D281" s="12"/>
      <c r="E281" s="30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1:22" ht="14" x14ac:dyDescent="0.3">
      <c r="A282" s="12"/>
      <c r="B282" s="12"/>
      <c r="C282" s="24"/>
      <c r="D282" s="12"/>
      <c r="E282" s="30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1:22" ht="14" x14ac:dyDescent="0.3">
      <c r="A283" s="12"/>
      <c r="B283" s="12"/>
      <c r="C283" s="24"/>
      <c r="D283" s="12"/>
      <c r="E283" s="30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1:22" ht="14" x14ac:dyDescent="0.3">
      <c r="A284" s="12"/>
      <c r="B284" s="12"/>
      <c r="C284" s="24"/>
      <c r="D284" s="12"/>
      <c r="E284" s="30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1:22" ht="14" x14ac:dyDescent="0.3">
      <c r="A285" s="12"/>
      <c r="B285" s="12"/>
      <c r="C285" s="24"/>
      <c r="D285" s="12"/>
      <c r="E285" s="30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1:22" ht="14" x14ac:dyDescent="0.3">
      <c r="A286" s="12"/>
      <c r="B286" s="12"/>
      <c r="C286" s="24"/>
      <c r="D286" s="12"/>
      <c r="E286" s="30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t="14" x14ac:dyDescent="0.3">
      <c r="A287" s="12"/>
      <c r="B287" s="12"/>
      <c r="C287" s="24"/>
      <c r="D287" s="12"/>
      <c r="E287" s="30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14" x14ac:dyDescent="0.3">
      <c r="A288" s="12"/>
      <c r="B288" s="12"/>
      <c r="C288" s="24"/>
      <c r="D288" s="12"/>
      <c r="E288" s="30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1:22" ht="14" x14ac:dyDescent="0.3">
      <c r="A289" s="12"/>
      <c r="B289" s="12"/>
      <c r="C289" s="24"/>
      <c r="D289" s="12"/>
      <c r="E289" s="30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1:22" ht="14" x14ac:dyDescent="0.3">
      <c r="A290" s="12"/>
      <c r="B290" s="12"/>
      <c r="C290" s="24"/>
      <c r="D290" s="12"/>
      <c r="E290" s="30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1:22" ht="14" x14ac:dyDescent="0.3">
      <c r="A291" s="12"/>
      <c r="B291" s="12"/>
      <c r="C291" s="24"/>
      <c r="D291" s="12"/>
      <c r="E291" s="30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1:22" ht="14" x14ac:dyDescent="0.3">
      <c r="A292" s="12"/>
      <c r="B292" s="12"/>
      <c r="C292" s="24"/>
      <c r="D292" s="12"/>
      <c r="E292" s="30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4" x14ac:dyDescent="0.3">
      <c r="A293" s="12"/>
      <c r="B293" s="12"/>
      <c r="C293" s="24"/>
      <c r="D293" s="12"/>
      <c r="E293" s="30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4" x14ac:dyDescent="0.3">
      <c r="A294" s="12"/>
      <c r="B294" s="12"/>
      <c r="C294" s="24"/>
      <c r="D294" s="12"/>
      <c r="E294" s="30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4" x14ac:dyDescent="0.3">
      <c r="A295" s="12"/>
      <c r="B295" s="12"/>
      <c r="C295" s="24"/>
      <c r="D295" s="12"/>
      <c r="E295" s="30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1:22" ht="14" x14ac:dyDescent="0.3">
      <c r="A296" s="12"/>
      <c r="B296" s="12"/>
      <c r="C296" s="24"/>
      <c r="D296" s="12"/>
      <c r="E296" s="30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1:22" ht="14" x14ac:dyDescent="0.3">
      <c r="A297" s="12"/>
      <c r="B297" s="12"/>
      <c r="C297" s="24"/>
      <c r="D297" s="12"/>
      <c r="E297" s="30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1:22" ht="14" x14ac:dyDescent="0.3">
      <c r="A298" s="12"/>
      <c r="B298" s="12"/>
      <c r="C298" s="24"/>
      <c r="D298" s="12"/>
      <c r="E298" s="30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1:22" ht="14" x14ac:dyDescent="0.3">
      <c r="A299" s="12"/>
      <c r="B299" s="12"/>
      <c r="C299" s="24"/>
      <c r="D299" s="12"/>
      <c r="E299" s="30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1:22" ht="14" x14ac:dyDescent="0.3">
      <c r="A300" s="12"/>
      <c r="B300" s="12"/>
      <c r="C300" s="24"/>
      <c r="D300" s="12"/>
      <c r="E300" s="30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1:22" ht="14" x14ac:dyDescent="0.3">
      <c r="A301" s="12"/>
      <c r="B301" s="12"/>
      <c r="C301" s="24"/>
      <c r="D301" s="12"/>
      <c r="E301" s="30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1:22" ht="14" x14ac:dyDescent="0.3">
      <c r="A302" s="12"/>
      <c r="B302" s="12"/>
      <c r="C302" s="24"/>
      <c r="D302" s="12"/>
      <c r="E302" s="30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1:22" ht="14" x14ac:dyDescent="0.3">
      <c r="A303" s="12"/>
      <c r="B303" s="12"/>
      <c r="C303" s="24"/>
      <c r="D303" s="12"/>
      <c r="E303" s="30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1:22" ht="14" x14ac:dyDescent="0.3">
      <c r="A304" s="12"/>
      <c r="B304" s="12"/>
      <c r="C304" s="24"/>
      <c r="D304" s="12"/>
      <c r="E304" s="30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1:22" ht="14" x14ac:dyDescent="0.3">
      <c r="A305" s="12"/>
      <c r="B305" s="12"/>
      <c r="C305" s="24"/>
      <c r="D305" s="12"/>
      <c r="E305" s="30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1:22" ht="14" x14ac:dyDescent="0.3">
      <c r="A306" s="12"/>
      <c r="B306" s="12"/>
      <c r="C306" s="24"/>
      <c r="D306" s="12"/>
      <c r="E306" s="30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1:22" ht="14" x14ac:dyDescent="0.3">
      <c r="A307" s="12"/>
      <c r="B307" s="12"/>
      <c r="C307" s="24"/>
      <c r="D307" s="12"/>
      <c r="E307" s="30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1:22" ht="14" x14ac:dyDescent="0.3">
      <c r="A308" s="12"/>
      <c r="B308" s="12"/>
      <c r="C308" s="24"/>
      <c r="D308" s="12"/>
      <c r="E308" s="30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1:22" ht="14" x14ac:dyDescent="0.3">
      <c r="A309" s="12"/>
      <c r="B309" s="12"/>
      <c r="C309" s="24"/>
      <c r="D309" s="12"/>
      <c r="E309" s="30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1:22" ht="14" x14ac:dyDescent="0.3">
      <c r="A310" s="12"/>
      <c r="B310" s="12"/>
      <c r="C310" s="24"/>
      <c r="D310" s="12"/>
      <c r="E310" s="30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1:22" ht="14" x14ac:dyDescent="0.3">
      <c r="A311" s="12"/>
      <c r="B311" s="12"/>
      <c r="C311" s="24"/>
      <c r="D311" s="12"/>
      <c r="E311" s="30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1:22" ht="14" x14ac:dyDescent="0.3">
      <c r="A312" s="12"/>
      <c r="B312" s="12"/>
      <c r="C312" s="24"/>
      <c r="D312" s="12"/>
      <c r="E312" s="30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1:22" ht="14" x14ac:dyDescent="0.3">
      <c r="A313" s="12"/>
      <c r="B313" s="12"/>
      <c r="C313" s="24"/>
      <c r="D313" s="12"/>
      <c r="E313" s="30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1:22" ht="14" x14ac:dyDescent="0.3">
      <c r="A314" s="12"/>
      <c r="B314" s="12"/>
      <c r="C314" s="24"/>
      <c r="D314" s="12"/>
      <c r="E314" s="30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1:22" ht="14" x14ac:dyDescent="0.3">
      <c r="A315" s="12"/>
      <c r="B315" s="12"/>
      <c r="C315" s="24"/>
      <c r="D315" s="12"/>
      <c r="E315" s="30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1:22" ht="14" x14ac:dyDescent="0.3">
      <c r="A316" s="12"/>
      <c r="B316" s="12"/>
      <c r="C316" s="24"/>
      <c r="D316" s="12"/>
      <c r="E316" s="30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1:22" ht="14" x14ac:dyDescent="0.3">
      <c r="A317" s="12"/>
      <c r="B317" s="12"/>
      <c r="C317" s="24"/>
      <c r="D317" s="12"/>
      <c r="E317" s="30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1:22" ht="14" x14ac:dyDescent="0.3">
      <c r="A318" s="12"/>
      <c r="B318" s="12"/>
      <c r="C318" s="24"/>
      <c r="D318" s="12"/>
      <c r="E318" s="30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1:22" ht="14" x14ac:dyDescent="0.3">
      <c r="A319" s="12"/>
      <c r="B319" s="12"/>
      <c r="C319" s="24"/>
      <c r="D319" s="12"/>
      <c r="E319" s="30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1:22" ht="14" x14ac:dyDescent="0.3">
      <c r="A320" s="12"/>
      <c r="B320" s="12"/>
      <c r="C320" s="24"/>
      <c r="D320" s="12"/>
      <c r="E320" s="30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1:22" ht="14" x14ac:dyDescent="0.3">
      <c r="A321" s="12"/>
      <c r="B321" s="12"/>
      <c r="C321" s="24"/>
      <c r="D321" s="12"/>
      <c r="E321" s="30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1:22" ht="14" x14ac:dyDescent="0.3">
      <c r="A322" s="12"/>
      <c r="B322" s="12"/>
      <c r="C322" s="24"/>
      <c r="D322" s="12"/>
      <c r="E322" s="30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1:22" ht="14" x14ac:dyDescent="0.3">
      <c r="A323" s="12"/>
      <c r="B323" s="12"/>
      <c r="C323" s="24"/>
      <c r="D323" s="12"/>
      <c r="E323" s="30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1:22" ht="14" x14ac:dyDescent="0.3">
      <c r="A324" s="12"/>
      <c r="B324" s="12"/>
      <c r="C324" s="24"/>
      <c r="D324" s="12"/>
      <c r="E324" s="30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1:22" ht="14" x14ac:dyDescent="0.3">
      <c r="A325" s="12"/>
      <c r="B325" s="12"/>
      <c r="C325" s="24"/>
      <c r="D325" s="12"/>
      <c r="E325" s="30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1:22" ht="14" x14ac:dyDescent="0.3">
      <c r="A326" s="12"/>
      <c r="B326" s="12"/>
      <c r="C326" s="24"/>
      <c r="D326" s="12"/>
      <c r="E326" s="30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1:22" ht="14" x14ac:dyDescent="0.3">
      <c r="A327" s="12"/>
      <c r="B327" s="12"/>
      <c r="C327" s="24"/>
      <c r="D327" s="12"/>
      <c r="E327" s="30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1:22" ht="14" x14ac:dyDescent="0.3">
      <c r="A328" s="12"/>
      <c r="B328" s="12"/>
      <c r="C328" s="24"/>
      <c r="D328" s="12"/>
      <c r="E328" s="30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1:22" ht="14" x14ac:dyDescent="0.3">
      <c r="A329" s="12"/>
      <c r="B329" s="12"/>
      <c r="C329" s="24"/>
      <c r="D329" s="12"/>
      <c r="E329" s="30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14" x14ac:dyDescent="0.3">
      <c r="A330" s="12"/>
      <c r="B330" s="12"/>
      <c r="C330" s="24"/>
      <c r="D330" s="12"/>
      <c r="E330" s="30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1:22" ht="14" x14ac:dyDescent="0.3">
      <c r="A331" s="12"/>
      <c r="B331" s="12"/>
      <c r="C331" s="24"/>
      <c r="D331" s="12"/>
      <c r="E331" s="30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1:22" ht="14" x14ac:dyDescent="0.3">
      <c r="A332" s="12"/>
      <c r="B332" s="12"/>
      <c r="C332" s="24"/>
      <c r="D332" s="12"/>
      <c r="E332" s="30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1:22" ht="14" x14ac:dyDescent="0.3">
      <c r="A333" s="12"/>
      <c r="B333" s="12"/>
      <c r="C333" s="24"/>
      <c r="D333" s="12"/>
      <c r="E333" s="30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1:22" ht="14" x14ac:dyDescent="0.3">
      <c r="A334" s="12"/>
      <c r="B334" s="12"/>
      <c r="C334" s="24"/>
      <c r="D334" s="12"/>
      <c r="E334" s="30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1:22" ht="14" x14ac:dyDescent="0.3">
      <c r="A335" s="12"/>
      <c r="B335" s="12"/>
      <c r="C335" s="24"/>
      <c r="D335" s="12"/>
      <c r="E335" s="30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1:22" ht="14" x14ac:dyDescent="0.3">
      <c r="A336" s="12"/>
      <c r="B336" s="12"/>
      <c r="C336" s="24"/>
      <c r="D336" s="12"/>
      <c r="E336" s="30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1:22" ht="14" x14ac:dyDescent="0.3">
      <c r="A337" s="12"/>
      <c r="B337" s="12"/>
      <c r="C337" s="24"/>
      <c r="D337" s="12"/>
      <c r="E337" s="30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1:22" ht="14" x14ac:dyDescent="0.3">
      <c r="A338" s="12"/>
      <c r="B338" s="12"/>
      <c r="C338" s="24"/>
      <c r="D338" s="12"/>
      <c r="E338" s="30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1:22" ht="14" x14ac:dyDescent="0.3">
      <c r="A339" s="12"/>
      <c r="B339" s="12"/>
      <c r="C339" s="24"/>
      <c r="D339" s="12"/>
      <c r="E339" s="30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1:22" ht="14" x14ac:dyDescent="0.3">
      <c r="A340" s="12"/>
      <c r="B340" s="12"/>
      <c r="C340" s="24"/>
      <c r="D340" s="12"/>
      <c r="E340" s="30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1:22" ht="14" x14ac:dyDescent="0.3">
      <c r="A341" s="12"/>
      <c r="B341" s="12"/>
      <c r="C341" s="24"/>
      <c r="D341" s="12"/>
      <c r="E341" s="30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1:22" ht="14" x14ac:dyDescent="0.3">
      <c r="A342" s="12"/>
      <c r="B342" s="12"/>
      <c r="C342" s="24"/>
      <c r="D342" s="12"/>
      <c r="E342" s="30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1:22" ht="14" x14ac:dyDescent="0.3">
      <c r="A343" s="12"/>
      <c r="B343" s="12"/>
      <c r="C343" s="24"/>
      <c r="D343" s="12"/>
      <c r="E343" s="30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1:22" ht="14" x14ac:dyDescent="0.3">
      <c r="A344" s="12"/>
      <c r="B344" s="12"/>
      <c r="C344" s="24"/>
      <c r="D344" s="12"/>
      <c r="E344" s="30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1:22" ht="14" x14ac:dyDescent="0.3">
      <c r="A345" s="12"/>
      <c r="B345" s="12"/>
      <c r="C345" s="24"/>
      <c r="D345" s="12"/>
      <c r="E345" s="30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1:22" ht="14" x14ac:dyDescent="0.3">
      <c r="A346" s="12"/>
      <c r="B346" s="12"/>
      <c r="C346" s="24"/>
      <c r="D346" s="12"/>
      <c r="E346" s="30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1:22" ht="14" x14ac:dyDescent="0.3">
      <c r="A347" s="12"/>
      <c r="B347" s="12"/>
      <c r="C347" s="24"/>
      <c r="D347" s="12"/>
      <c r="E347" s="30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1:22" ht="14" x14ac:dyDescent="0.3">
      <c r="A348" s="12"/>
      <c r="B348" s="12"/>
      <c r="C348" s="24"/>
      <c r="D348" s="12"/>
      <c r="E348" s="30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1:22" ht="14" x14ac:dyDescent="0.3">
      <c r="A349" s="12"/>
      <c r="B349" s="12"/>
      <c r="C349" s="24"/>
      <c r="D349" s="12"/>
      <c r="E349" s="30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1:22" ht="14" x14ac:dyDescent="0.3">
      <c r="A350" s="12"/>
      <c r="B350" s="12"/>
      <c r="C350" s="24"/>
      <c r="D350" s="12"/>
      <c r="E350" s="30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1:22" ht="14" x14ac:dyDescent="0.3">
      <c r="A351" s="12"/>
      <c r="B351" s="12"/>
      <c r="C351" s="24"/>
      <c r="D351" s="12"/>
      <c r="E351" s="30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1:22" ht="14" x14ac:dyDescent="0.3">
      <c r="A352" s="12"/>
      <c r="B352" s="12"/>
      <c r="C352" s="24"/>
      <c r="D352" s="12"/>
      <c r="E352" s="30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1:22" ht="14" x14ac:dyDescent="0.3">
      <c r="A353" s="12"/>
      <c r="B353" s="12"/>
      <c r="C353" s="24"/>
      <c r="D353" s="12"/>
      <c r="E353" s="30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1:22" ht="14" x14ac:dyDescent="0.3">
      <c r="A354" s="12"/>
      <c r="B354" s="12"/>
      <c r="C354" s="24"/>
      <c r="D354" s="12"/>
      <c r="E354" s="30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1:22" ht="14" x14ac:dyDescent="0.3">
      <c r="A355" s="12"/>
      <c r="B355" s="12"/>
      <c r="C355" s="24"/>
      <c r="D355" s="12"/>
      <c r="E355" s="30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1:22" ht="14" x14ac:dyDescent="0.3">
      <c r="A356" s="12"/>
      <c r="B356" s="12"/>
      <c r="C356" s="24"/>
      <c r="D356" s="12"/>
      <c r="E356" s="30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1:22" ht="14" x14ac:dyDescent="0.3">
      <c r="A357" s="12"/>
      <c r="B357" s="12"/>
      <c r="C357" s="24"/>
      <c r="D357" s="12"/>
      <c r="E357" s="30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1:22" ht="14" x14ac:dyDescent="0.3">
      <c r="A358" s="12"/>
      <c r="B358" s="12"/>
      <c r="C358" s="24"/>
      <c r="D358" s="12"/>
      <c r="E358" s="30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1:22" ht="14" x14ac:dyDescent="0.3">
      <c r="A359" s="12"/>
      <c r="B359" s="12"/>
      <c r="C359" s="24"/>
      <c r="D359" s="12"/>
      <c r="E359" s="30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1:22" ht="14" x14ac:dyDescent="0.3">
      <c r="A360" s="12"/>
      <c r="B360" s="12"/>
      <c r="C360" s="24"/>
      <c r="D360" s="12"/>
      <c r="E360" s="30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1:22" ht="14" x14ac:dyDescent="0.3">
      <c r="A361" s="12"/>
      <c r="B361" s="12"/>
      <c r="C361" s="24"/>
      <c r="D361" s="12"/>
      <c r="E361" s="30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1:22" ht="14" x14ac:dyDescent="0.3">
      <c r="A362" s="12"/>
      <c r="B362" s="12"/>
      <c r="C362" s="24"/>
      <c r="D362" s="12"/>
      <c r="E362" s="30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1:22" ht="14" x14ac:dyDescent="0.3">
      <c r="A363" s="12"/>
      <c r="B363" s="12"/>
      <c r="C363" s="24"/>
      <c r="D363" s="12"/>
      <c r="E363" s="30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1:22" ht="14" x14ac:dyDescent="0.3">
      <c r="A364" s="12"/>
      <c r="B364" s="12"/>
      <c r="C364" s="24"/>
      <c r="D364" s="12"/>
      <c r="E364" s="30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1:22" ht="14" x14ac:dyDescent="0.3">
      <c r="A365" s="12"/>
      <c r="B365" s="12"/>
      <c r="C365" s="24"/>
      <c r="D365" s="12"/>
      <c r="E365" s="30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1:22" ht="14" x14ac:dyDescent="0.3">
      <c r="A366" s="12"/>
      <c r="B366" s="12"/>
      <c r="C366" s="24"/>
      <c r="D366" s="12"/>
      <c r="E366" s="30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1:22" ht="14" x14ac:dyDescent="0.3">
      <c r="A367" s="12"/>
      <c r="B367" s="12"/>
      <c r="C367" s="24"/>
      <c r="D367" s="12"/>
      <c r="E367" s="30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1:22" ht="14" x14ac:dyDescent="0.3">
      <c r="A368" s="12"/>
      <c r="B368" s="12"/>
      <c r="C368" s="24"/>
      <c r="D368" s="12"/>
      <c r="E368" s="30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1:22" ht="14" x14ac:dyDescent="0.3">
      <c r="A369" s="12"/>
      <c r="B369" s="12"/>
      <c r="C369" s="24"/>
      <c r="D369" s="12"/>
      <c r="E369" s="30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1:22" ht="14" x14ac:dyDescent="0.3">
      <c r="A370" s="12"/>
      <c r="B370" s="12"/>
      <c r="C370" s="24"/>
      <c r="D370" s="12"/>
      <c r="E370" s="30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14" x14ac:dyDescent="0.3">
      <c r="A371" s="12"/>
      <c r="B371" s="12"/>
      <c r="C371" s="24"/>
      <c r="D371" s="12"/>
      <c r="E371" s="30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1:22" ht="14" x14ac:dyDescent="0.3">
      <c r="A372" s="12"/>
      <c r="B372" s="12"/>
      <c r="C372" s="24"/>
      <c r="D372" s="12"/>
      <c r="E372" s="30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1:22" ht="14" x14ac:dyDescent="0.3">
      <c r="A373" s="12"/>
      <c r="B373" s="12"/>
      <c r="C373" s="24"/>
      <c r="D373" s="12"/>
      <c r="E373" s="30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1:22" ht="14" x14ac:dyDescent="0.3">
      <c r="A374" s="12"/>
      <c r="B374" s="12"/>
      <c r="C374" s="24"/>
      <c r="D374" s="12"/>
      <c r="E374" s="30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1:22" ht="14" x14ac:dyDescent="0.3">
      <c r="A375" s="12"/>
      <c r="B375" s="12"/>
      <c r="C375" s="24"/>
      <c r="D375" s="12"/>
      <c r="E375" s="30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1:22" ht="14" x14ac:dyDescent="0.3">
      <c r="A376" s="12"/>
      <c r="B376" s="12"/>
      <c r="C376" s="24"/>
      <c r="D376" s="12"/>
      <c r="E376" s="30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1:22" ht="14" x14ac:dyDescent="0.3">
      <c r="A377" s="12"/>
      <c r="B377" s="12"/>
      <c r="C377" s="24"/>
      <c r="D377" s="12"/>
      <c r="E377" s="30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1:22" ht="14" x14ac:dyDescent="0.3">
      <c r="A378" s="12"/>
      <c r="B378" s="12"/>
      <c r="C378" s="24"/>
      <c r="D378" s="12"/>
      <c r="E378" s="30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1:22" ht="14" x14ac:dyDescent="0.3">
      <c r="A379" s="12"/>
      <c r="B379" s="12"/>
      <c r="C379" s="24"/>
      <c r="D379" s="12"/>
      <c r="E379" s="30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1:22" ht="14" x14ac:dyDescent="0.3">
      <c r="A380" s="12"/>
      <c r="B380" s="12"/>
      <c r="C380" s="24"/>
      <c r="D380" s="12"/>
      <c r="E380" s="30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1:22" ht="14" x14ac:dyDescent="0.3">
      <c r="A381" s="12"/>
      <c r="B381" s="12"/>
      <c r="C381" s="24"/>
      <c r="D381" s="12"/>
      <c r="E381" s="30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1:22" ht="14" x14ac:dyDescent="0.3">
      <c r="A382" s="12"/>
      <c r="B382" s="12"/>
      <c r="C382" s="24"/>
      <c r="D382" s="12"/>
      <c r="E382" s="30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1:22" ht="14" x14ac:dyDescent="0.3">
      <c r="A383" s="12"/>
      <c r="B383" s="12"/>
      <c r="C383" s="24"/>
      <c r="D383" s="12"/>
      <c r="E383" s="30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1:22" ht="14" x14ac:dyDescent="0.3">
      <c r="A384" s="12"/>
      <c r="B384" s="12"/>
      <c r="C384" s="24"/>
      <c r="D384" s="12"/>
      <c r="E384" s="30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1:22" ht="14" x14ac:dyDescent="0.3">
      <c r="A385" s="12"/>
      <c r="B385" s="12"/>
      <c r="C385" s="24"/>
      <c r="D385" s="12"/>
      <c r="E385" s="30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1:22" ht="14" x14ac:dyDescent="0.3">
      <c r="A386" s="12"/>
      <c r="B386" s="12"/>
      <c r="C386" s="24"/>
      <c r="D386" s="12"/>
      <c r="E386" s="30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1:22" ht="14" x14ac:dyDescent="0.3">
      <c r="A387" s="12"/>
      <c r="B387" s="12"/>
      <c r="C387" s="24"/>
      <c r="D387" s="12"/>
      <c r="E387" s="30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1:22" ht="14" x14ac:dyDescent="0.3">
      <c r="A388" s="12"/>
      <c r="B388" s="12"/>
      <c r="C388" s="24"/>
      <c r="D388" s="12"/>
      <c r="E388" s="30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1:22" ht="14" x14ac:dyDescent="0.3">
      <c r="A389" s="12"/>
      <c r="B389" s="12"/>
      <c r="C389" s="24"/>
      <c r="D389" s="12"/>
      <c r="E389" s="30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1:22" ht="14" x14ac:dyDescent="0.3">
      <c r="A390" s="12"/>
      <c r="B390" s="12"/>
      <c r="C390" s="24"/>
      <c r="D390" s="12"/>
      <c r="E390" s="30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1:22" ht="14" x14ac:dyDescent="0.3">
      <c r="A391" s="12"/>
      <c r="B391" s="12"/>
      <c r="C391" s="24"/>
      <c r="D391" s="12"/>
      <c r="E391" s="30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1:22" ht="14" x14ac:dyDescent="0.3">
      <c r="A392" s="12"/>
      <c r="B392" s="12"/>
      <c r="C392" s="24"/>
      <c r="D392" s="12"/>
      <c r="E392" s="30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1:22" ht="14" x14ac:dyDescent="0.3">
      <c r="A393" s="12"/>
      <c r="B393" s="12"/>
      <c r="C393" s="24"/>
      <c r="D393" s="12"/>
      <c r="E393" s="30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1:22" ht="14" x14ac:dyDescent="0.3">
      <c r="A394" s="12"/>
      <c r="B394" s="12"/>
      <c r="C394" s="24"/>
      <c r="D394" s="12"/>
      <c r="E394" s="30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1:22" ht="14" x14ac:dyDescent="0.3">
      <c r="A395" s="12"/>
      <c r="B395" s="12"/>
      <c r="C395" s="24"/>
      <c r="D395" s="12"/>
      <c r="E395" s="30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 ht="14" x14ac:dyDescent="0.3">
      <c r="A396" s="12"/>
      <c r="B396" s="12"/>
      <c r="C396" s="24"/>
      <c r="D396" s="12"/>
      <c r="E396" s="30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 ht="14" x14ac:dyDescent="0.3">
      <c r="A397" s="12"/>
      <c r="B397" s="12"/>
      <c r="C397" s="24"/>
      <c r="D397" s="12"/>
      <c r="E397" s="30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 ht="14" x14ac:dyDescent="0.3">
      <c r="A398" s="12"/>
      <c r="B398" s="12"/>
      <c r="C398" s="24"/>
      <c r="D398" s="12"/>
      <c r="E398" s="30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 ht="14" x14ac:dyDescent="0.3">
      <c r="A399" s="12"/>
      <c r="B399" s="12"/>
      <c r="C399" s="24"/>
      <c r="D399" s="12"/>
      <c r="E399" s="30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 ht="14" x14ac:dyDescent="0.3">
      <c r="A400" s="12"/>
      <c r="B400" s="12"/>
      <c r="C400" s="24"/>
      <c r="D400" s="12"/>
      <c r="E400" s="30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 ht="14" x14ac:dyDescent="0.3">
      <c r="A401" s="12"/>
      <c r="B401" s="12"/>
      <c r="C401" s="24"/>
      <c r="D401" s="12"/>
      <c r="E401" s="30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 ht="14" x14ac:dyDescent="0.3">
      <c r="A402" s="12"/>
      <c r="B402" s="12"/>
      <c r="C402" s="24"/>
      <c r="D402" s="12"/>
      <c r="E402" s="30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 ht="14" x14ac:dyDescent="0.3">
      <c r="A403" s="12"/>
      <c r="B403" s="12"/>
      <c r="C403" s="24"/>
      <c r="D403" s="12"/>
      <c r="E403" s="30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 ht="14" x14ac:dyDescent="0.3">
      <c r="A404" s="12"/>
      <c r="B404" s="12"/>
      <c r="C404" s="24"/>
      <c r="D404" s="12"/>
      <c r="E404" s="30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 ht="14" x14ac:dyDescent="0.3">
      <c r="A405" s="12"/>
      <c r="B405" s="12"/>
      <c r="C405" s="24"/>
      <c r="D405" s="12"/>
      <c r="E405" s="30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1:22" ht="14" x14ac:dyDescent="0.3">
      <c r="A406" s="12"/>
      <c r="B406" s="12"/>
      <c r="C406" s="24"/>
      <c r="D406" s="12"/>
      <c r="E406" s="30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1:22" ht="14" x14ac:dyDescent="0.3">
      <c r="A407" s="12"/>
      <c r="B407" s="12"/>
      <c r="C407" s="24"/>
      <c r="D407" s="12"/>
      <c r="E407" s="30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1:22" ht="14" x14ac:dyDescent="0.3">
      <c r="A408" s="12"/>
      <c r="B408" s="12"/>
      <c r="C408" s="24"/>
      <c r="D408" s="12"/>
      <c r="E408" s="30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1:22" ht="14" x14ac:dyDescent="0.3">
      <c r="A409" s="12"/>
      <c r="B409" s="12"/>
      <c r="C409" s="24"/>
      <c r="D409" s="12"/>
      <c r="E409" s="30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1:22" ht="14" x14ac:dyDescent="0.3">
      <c r="A410" s="12"/>
      <c r="B410" s="12"/>
      <c r="C410" s="24"/>
      <c r="D410" s="12"/>
      <c r="E410" s="30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1:22" ht="14" x14ac:dyDescent="0.3">
      <c r="A411" s="12"/>
      <c r="B411" s="12"/>
      <c r="C411" s="24"/>
      <c r="D411" s="12"/>
      <c r="E411" s="30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1:22" ht="14" x14ac:dyDescent="0.3">
      <c r="A412" s="12"/>
      <c r="B412" s="12"/>
      <c r="C412" s="24"/>
      <c r="D412" s="12"/>
      <c r="E412" s="30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1:22" ht="14" x14ac:dyDescent="0.3">
      <c r="A413" s="12"/>
      <c r="B413" s="12"/>
      <c r="C413" s="24"/>
      <c r="D413" s="12"/>
      <c r="E413" s="30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1:22" ht="14" x14ac:dyDescent="0.3">
      <c r="A414" s="12"/>
      <c r="B414" s="12"/>
      <c r="C414" s="24"/>
      <c r="D414" s="12"/>
      <c r="E414" s="30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14" x14ac:dyDescent="0.3">
      <c r="A415" s="12"/>
      <c r="B415" s="12"/>
      <c r="C415" s="24"/>
      <c r="D415" s="12"/>
      <c r="E415" s="30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1:22" ht="14" x14ac:dyDescent="0.3">
      <c r="A416" s="12"/>
      <c r="B416" s="12"/>
      <c r="C416" s="24"/>
      <c r="D416" s="12"/>
      <c r="E416" s="30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1:22" ht="14" x14ac:dyDescent="0.3">
      <c r="A417" s="12"/>
      <c r="B417" s="12"/>
      <c r="C417" s="24"/>
      <c r="D417" s="12"/>
      <c r="E417" s="30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1:22" ht="14" x14ac:dyDescent="0.3">
      <c r="A418" s="12"/>
      <c r="B418" s="12"/>
      <c r="C418" s="24"/>
      <c r="D418" s="12"/>
      <c r="E418" s="30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1:22" ht="14" x14ac:dyDescent="0.3">
      <c r="A419" s="12"/>
      <c r="B419" s="12"/>
      <c r="C419" s="24"/>
      <c r="D419" s="12"/>
      <c r="E419" s="30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1:22" ht="14" x14ac:dyDescent="0.3">
      <c r="A420" s="12"/>
      <c r="B420" s="12"/>
      <c r="C420" s="24"/>
      <c r="D420" s="12"/>
      <c r="E420" s="30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1:22" ht="14" x14ac:dyDescent="0.3">
      <c r="A421" s="12"/>
      <c r="B421" s="12"/>
      <c r="C421" s="24"/>
      <c r="D421" s="12"/>
      <c r="E421" s="30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1:22" ht="14" x14ac:dyDescent="0.3">
      <c r="A422" s="12"/>
      <c r="B422" s="12"/>
      <c r="C422" s="24"/>
      <c r="D422" s="12"/>
      <c r="E422" s="30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1:22" ht="14" x14ac:dyDescent="0.3">
      <c r="A423" s="12"/>
      <c r="B423" s="12"/>
      <c r="C423" s="24"/>
      <c r="D423" s="12"/>
      <c r="E423" s="30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1:22" ht="14" x14ac:dyDescent="0.3">
      <c r="A424" s="12"/>
      <c r="B424" s="12"/>
      <c r="C424" s="24"/>
      <c r="D424" s="12"/>
      <c r="E424" s="30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1:22" ht="14" x14ac:dyDescent="0.3">
      <c r="A425" s="12"/>
      <c r="B425" s="12"/>
      <c r="C425" s="24"/>
      <c r="D425" s="12"/>
      <c r="E425" s="30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1:22" ht="14" x14ac:dyDescent="0.3">
      <c r="A426" s="12"/>
      <c r="B426" s="12"/>
      <c r="C426" s="24"/>
      <c r="D426" s="12"/>
      <c r="E426" s="30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1:22" ht="14" x14ac:dyDescent="0.3">
      <c r="A427" s="12"/>
      <c r="B427" s="12"/>
      <c r="C427" s="24"/>
      <c r="D427" s="12"/>
      <c r="E427" s="30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1:22" ht="14" x14ac:dyDescent="0.3">
      <c r="A428" s="12"/>
      <c r="B428" s="12"/>
      <c r="C428" s="24"/>
      <c r="D428" s="12"/>
      <c r="E428" s="30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1:22" ht="14" x14ac:dyDescent="0.3">
      <c r="A429" s="12"/>
      <c r="B429" s="12"/>
      <c r="C429" s="24"/>
      <c r="D429" s="12"/>
      <c r="E429" s="30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1:22" ht="14" x14ac:dyDescent="0.3">
      <c r="A430" s="12"/>
      <c r="B430" s="12"/>
      <c r="C430" s="24"/>
      <c r="D430" s="12"/>
      <c r="E430" s="30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1:22" ht="14" x14ac:dyDescent="0.3">
      <c r="A431" s="12"/>
      <c r="B431" s="12"/>
      <c r="C431" s="24"/>
      <c r="D431" s="12"/>
      <c r="E431" s="30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1:22" ht="14" x14ac:dyDescent="0.3">
      <c r="A432" s="12"/>
      <c r="B432" s="12"/>
      <c r="C432" s="24"/>
      <c r="D432" s="12"/>
      <c r="E432" s="30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1:22" ht="14" x14ac:dyDescent="0.3">
      <c r="A433" s="12"/>
      <c r="B433" s="12"/>
      <c r="C433" s="24"/>
      <c r="D433" s="12"/>
      <c r="E433" s="30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1:22" ht="14" x14ac:dyDescent="0.3">
      <c r="A434" s="12"/>
      <c r="B434" s="12"/>
      <c r="C434" s="24"/>
      <c r="D434" s="12"/>
      <c r="E434" s="30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1:22" ht="14" x14ac:dyDescent="0.3">
      <c r="A435" s="12"/>
      <c r="B435" s="12"/>
      <c r="C435" s="24"/>
      <c r="D435" s="12"/>
      <c r="E435" s="30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1:22" ht="14" x14ac:dyDescent="0.3">
      <c r="A436" s="12"/>
      <c r="B436" s="12"/>
      <c r="C436" s="24"/>
      <c r="D436" s="12"/>
      <c r="E436" s="30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1:22" ht="14" x14ac:dyDescent="0.3">
      <c r="A437" s="12"/>
      <c r="B437" s="12"/>
      <c r="C437" s="24"/>
      <c r="D437" s="12"/>
      <c r="E437" s="30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1:22" ht="14" x14ac:dyDescent="0.3">
      <c r="A438" s="12"/>
      <c r="B438" s="12"/>
      <c r="C438" s="24"/>
      <c r="D438" s="12"/>
      <c r="E438" s="30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1:22" ht="14" x14ac:dyDescent="0.3">
      <c r="A439" s="12"/>
      <c r="B439" s="12"/>
      <c r="C439" s="24"/>
      <c r="D439" s="12"/>
      <c r="E439" s="30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1:22" ht="14" x14ac:dyDescent="0.3">
      <c r="A440" s="12"/>
      <c r="B440" s="12"/>
      <c r="C440" s="24"/>
      <c r="D440" s="12"/>
      <c r="E440" s="30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1:22" ht="14" x14ac:dyDescent="0.3">
      <c r="A441" s="12"/>
      <c r="B441" s="12"/>
      <c r="C441" s="24"/>
      <c r="D441" s="12"/>
      <c r="E441" s="30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1:22" ht="14" x14ac:dyDescent="0.3">
      <c r="A442" s="12"/>
      <c r="B442" s="12"/>
      <c r="C442" s="24"/>
      <c r="D442" s="12"/>
      <c r="E442" s="30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1:22" ht="14" x14ac:dyDescent="0.3">
      <c r="A443" s="12"/>
      <c r="B443" s="12"/>
      <c r="C443" s="24"/>
      <c r="D443" s="12"/>
      <c r="E443" s="30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1:22" ht="14" x14ac:dyDescent="0.3">
      <c r="A444" s="12"/>
      <c r="B444" s="12"/>
      <c r="C444" s="24"/>
      <c r="D444" s="12"/>
      <c r="E444" s="30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1:22" ht="14" x14ac:dyDescent="0.3">
      <c r="A445" s="12"/>
      <c r="B445" s="12"/>
      <c r="C445" s="24"/>
      <c r="D445" s="12"/>
      <c r="E445" s="30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1:22" ht="14" x14ac:dyDescent="0.3">
      <c r="A446" s="12"/>
      <c r="B446" s="12"/>
      <c r="C446" s="24"/>
      <c r="D446" s="12"/>
      <c r="E446" s="30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1:22" ht="14" x14ac:dyDescent="0.3">
      <c r="A447" s="12"/>
      <c r="B447" s="12"/>
      <c r="C447" s="24"/>
      <c r="D447" s="12"/>
      <c r="E447" s="30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1:22" ht="14" x14ac:dyDescent="0.3">
      <c r="A448" s="12"/>
      <c r="B448" s="12"/>
      <c r="C448" s="24"/>
      <c r="D448" s="12"/>
      <c r="E448" s="30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1:22" ht="14" x14ac:dyDescent="0.3">
      <c r="A449" s="12"/>
      <c r="B449" s="12"/>
      <c r="C449" s="24"/>
      <c r="D449" s="12"/>
      <c r="E449" s="30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1:22" ht="14" x14ac:dyDescent="0.3">
      <c r="A450" s="12"/>
      <c r="B450" s="12"/>
      <c r="C450" s="24"/>
      <c r="D450" s="12"/>
      <c r="E450" s="30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1:22" ht="14" x14ac:dyDescent="0.3">
      <c r="A451" s="12"/>
      <c r="B451" s="12"/>
      <c r="C451" s="24"/>
      <c r="D451" s="12"/>
      <c r="E451" s="30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1:22" ht="14" x14ac:dyDescent="0.3">
      <c r="A452" s="12"/>
      <c r="B452" s="12"/>
      <c r="C452" s="24"/>
      <c r="D452" s="12"/>
      <c r="E452" s="30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1:22" ht="14" x14ac:dyDescent="0.3">
      <c r="A453" s="12"/>
      <c r="B453" s="12"/>
      <c r="C453" s="24"/>
      <c r="D453" s="12"/>
      <c r="E453" s="30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1:22" ht="14" x14ac:dyDescent="0.3">
      <c r="A454" s="12"/>
      <c r="B454" s="12"/>
      <c r="C454" s="24"/>
      <c r="D454" s="12"/>
      <c r="E454" s="30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14" x14ac:dyDescent="0.3">
      <c r="A455" s="12"/>
      <c r="B455" s="12"/>
      <c r="C455" s="24"/>
      <c r="D455" s="12"/>
      <c r="E455" s="30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1:22" ht="14" x14ac:dyDescent="0.3">
      <c r="A456" s="12"/>
      <c r="B456" s="12"/>
      <c r="C456" s="24"/>
      <c r="D456" s="12"/>
      <c r="E456" s="30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1:22" ht="14" x14ac:dyDescent="0.3">
      <c r="A457" s="12"/>
      <c r="B457" s="12"/>
      <c r="C457" s="24"/>
      <c r="D457" s="12"/>
      <c r="E457" s="30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1:22" ht="14" x14ac:dyDescent="0.3">
      <c r="A458" s="12"/>
      <c r="B458" s="12"/>
      <c r="C458" s="24"/>
      <c r="D458" s="12"/>
      <c r="E458" s="30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1:22" ht="14" x14ac:dyDescent="0.3">
      <c r="A459" s="12"/>
      <c r="B459" s="12"/>
      <c r="C459" s="24"/>
      <c r="D459" s="12"/>
      <c r="E459" s="30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1:22" ht="14" x14ac:dyDescent="0.3">
      <c r="A460" s="12"/>
      <c r="B460" s="12"/>
      <c r="C460" s="24"/>
      <c r="D460" s="12"/>
      <c r="E460" s="30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1:22" ht="14" x14ac:dyDescent="0.3">
      <c r="A461" s="12"/>
      <c r="B461" s="12"/>
      <c r="C461" s="24"/>
      <c r="D461" s="12"/>
      <c r="E461" s="30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1:22" ht="14" x14ac:dyDescent="0.3">
      <c r="A462" s="12"/>
      <c r="B462" s="12"/>
      <c r="C462" s="24"/>
      <c r="D462" s="12"/>
      <c r="E462" s="30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1:22" ht="14" x14ac:dyDescent="0.3">
      <c r="A463" s="12"/>
      <c r="B463" s="12"/>
      <c r="C463" s="24"/>
      <c r="D463" s="12"/>
      <c r="E463" s="30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1:22" ht="14" x14ac:dyDescent="0.3">
      <c r="A464" s="12"/>
      <c r="B464" s="12"/>
      <c r="C464" s="24"/>
      <c r="D464" s="12"/>
      <c r="E464" s="30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1:22" ht="14" x14ac:dyDescent="0.3">
      <c r="A465" s="12"/>
      <c r="B465" s="12"/>
      <c r="C465" s="24"/>
      <c r="D465" s="12"/>
      <c r="E465" s="30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1:22" ht="14" x14ac:dyDescent="0.3">
      <c r="A466" s="12"/>
      <c r="B466" s="12"/>
      <c r="C466" s="24"/>
      <c r="D466" s="12"/>
      <c r="E466" s="30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1:22" ht="14" x14ac:dyDescent="0.3">
      <c r="A467" s="12"/>
      <c r="B467" s="12"/>
      <c r="C467" s="24"/>
      <c r="D467" s="12"/>
      <c r="E467" s="30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1:22" ht="14" x14ac:dyDescent="0.3">
      <c r="A468" s="12"/>
      <c r="B468" s="12"/>
      <c r="C468" s="24"/>
      <c r="D468" s="12"/>
      <c r="E468" s="30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1:22" ht="14" x14ac:dyDescent="0.3">
      <c r="A469" s="12"/>
      <c r="B469" s="12"/>
      <c r="C469" s="24"/>
      <c r="D469" s="12"/>
      <c r="E469" s="30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1:22" ht="14" x14ac:dyDescent="0.3">
      <c r="A470" s="12"/>
      <c r="B470" s="12"/>
      <c r="C470" s="24"/>
      <c r="D470" s="12"/>
      <c r="E470" s="30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1:22" ht="14" x14ac:dyDescent="0.3">
      <c r="A471" s="12"/>
      <c r="B471" s="12"/>
      <c r="C471" s="24"/>
      <c r="D471" s="12"/>
      <c r="E471" s="30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1:22" ht="14" x14ac:dyDescent="0.3">
      <c r="A472" s="12"/>
      <c r="B472" s="12"/>
      <c r="C472" s="24"/>
      <c r="D472" s="12"/>
      <c r="E472" s="30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1:22" ht="14" x14ac:dyDescent="0.3">
      <c r="A473" s="12"/>
      <c r="B473" s="12"/>
      <c r="C473" s="24"/>
      <c r="D473" s="12"/>
      <c r="E473" s="30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1:22" ht="14" x14ac:dyDescent="0.3">
      <c r="A474" s="12"/>
      <c r="B474" s="12"/>
      <c r="C474" s="24"/>
      <c r="D474" s="12"/>
      <c r="E474" s="30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1:22" ht="14" x14ac:dyDescent="0.3">
      <c r="A475" s="12"/>
      <c r="B475" s="12"/>
      <c r="C475" s="24"/>
      <c r="D475" s="12"/>
      <c r="E475" s="30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1:22" ht="14" x14ac:dyDescent="0.3">
      <c r="A476" s="12"/>
      <c r="B476" s="12"/>
      <c r="C476" s="24"/>
      <c r="D476" s="12"/>
      <c r="E476" s="30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1:22" ht="14" x14ac:dyDescent="0.3">
      <c r="A477" s="12"/>
      <c r="B477" s="12"/>
      <c r="C477" s="24"/>
      <c r="D477" s="12"/>
      <c r="E477" s="30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1:22" ht="14" x14ac:dyDescent="0.3">
      <c r="A478" s="12"/>
      <c r="B478" s="12"/>
      <c r="C478" s="24"/>
      <c r="D478" s="12"/>
      <c r="E478" s="30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1:22" ht="14" x14ac:dyDescent="0.3">
      <c r="A479" s="12"/>
      <c r="B479" s="12"/>
      <c r="C479" s="24"/>
      <c r="D479" s="12"/>
      <c r="E479" s="30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1:22" ht="14" x14ac:dyDescent="0.3">
      <c r="A480" s="12"/>
      <c r="B480" s="12"/>
      <c r="C480" s="24"/>
      <c r="D480" s="12"/>
      <c r="E480" s="30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1:22" ht="14" x14ac:dyDescent="0.3">
      <c r="A481" s="12"/>
      <c r="B481" s="12"/>
      <c r="C481" s="24"/>
      <c r="D481" s="12"/>
      <c r="E481" s="30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1:22" ht="14" x14ac:dyDescent="0.3">
      <c r="A482" s="12"/>
      <c r="B482" s="12"/>
      <c r="C482" s="24"/>
      <c r="D482" s="12"/>
      <c r="E482" s="30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1:22" ht="14" x14ac:dyDescent="0.3">
      <c r="A483" s="12"/>
      <c r="B483" s="12"/>
      <c r="C483" s="24"/>
      <c r="D483" s="12"/>
      <c r="E483" s="30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1:22" ht="14" x14ac:dyDescent="0.3">
      <c r="A484" s="12"/>
      <c r="B484" s="12"/>
      <c r="C484" s="24"/>
      <c r="D484" s="12"/>
      <c r="E484" s="30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1:22" ht="14" x14ac:dyDescent="0.3">
      <c r="A485" s="12"/>
      <c r="B485" s="12"/>
      <c r="C485" s="24"/>
      <c r="D485" s="12"/>
      <c r="E485" s="30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1:22" ht="14" x14ac:dyDescent="0.3">
      <c r="A486" s="12"/>
      <c r="B486" s="12"/>
      <c r="C486" s="24"/>
      <c r="D486" s="12"/>
      <c r="E486" s="30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1:22" ht="14" x14ac:dyDescent="0.3">
      <c r="A487" s="12"/>
      <c r="B487" s="12"/>
      <c r="C487" s="24"/>
      <c r="D487" s="12"/>
      <c r="E487" s="30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1:22" ht="14" x14ac:dyDescent="0.3">
      <c r="A488" s="12"/>
      <c r="B488" s="12"/>
      <c r="C488" s="24"/>
      <c r="D488" s="12"/>
      <c r="E488" s="30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1:22" ht="14" x14ac:dyDescent="0.3">
      <c r="A489" s="12"/>
      <c r="B489" s="12"/>
      <c r="C489" s="24"/>
      <c r="D489" s="12"/>
      <c r="E489" s="30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1:22" ht="14" x14ac:dyDescent="0.3">
      <c r="A490" s="12"/>
      <c r="B490" s="12"/>
      <c r="C490" s="24"/>
      <c r="D490" s="12"/>
      <c r="E490" s="30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1:22" ht="14" x14ac:dyDescent="0.3">
      <c r="A491" s="12"/>
      <c r="B491" s="12"/>
      <c r="C491" s="24"/>
      <c r="D491" s="12"/>
      <c r="E491" s="30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1:22" ht="14" x14ac:dyDescent="0.3">
      <c r="A492" s="12"/>
      <c r="B492" s="12"/>
      <c r="C492" s="24"/>
      <c r="D492" s="12"/>
      <c r="E492" s="30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1:22" ht="14" x14ac:dyDescent="0.3">
      <c r="A493" s="12"/>
      <c r="B493" s="12"/>
      <c r="C493" s="24"/>
      <c r="D493" s="12"/>
      <c r="E493" s="30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1:22" ht="14" x14ac:dyDescent="0.3">
      <c r="A494" s="12"/>
      <c r="B494" s="12"/>
      <c r="C494" s="24"/>
      <c r="D494" s="12"/>
      <c r="E494" s="30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1:22" ht="14" x14ac:dyDescent="0.3">
      <c r="A495" s="12"/>
      <c r="B495" s="12"/>
      <c r="C495" s="24"/>
      <c r="D495" s="12"/>
      <c r="E495" s="30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1:22" ht="14" x14ac:dyDescent="0.3">
      <c r="A496" s="12"/>
      <c r="B496" s="12"/>
      <c r="C496" s="24"/>
      <c r="D496" s="12"/>
      <c r="E496" s="30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14" x14ac:dyDescent="0.3">
      <c r="A497" s="12"/>
      <c r="B497" s="12"/>
      <c r="C497" s="24"/>
      <c r="D497" s="12"/>
      <c r="E497" s="30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1:22" ht="14" x14ac:dyDescent="0.3">
      <c r="A498" s="12"/>
      <c r="B498" s="12"/>
      <c r="C498" s="24"/>
      <c r="D498" s="12"/>
      <c r="E498" s="30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1:22" ht="14" x14ac:dyDescent="0.3">
      <c r="A499" s="12"/>
      <c r="B499" s="12"/>
      <c r="C499" s="24"/>
      <c r="D499" s="12"/>
      <c r="E499" s="30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1:22" ht="14" x14ac:dyDescent="0.3">
      <c r="A500" s="12"/>
      <c r="B500" s="12"/>
      <c r="C500" s="24"/>
      <c r="D500" s="12"/>
      <c r="E500" s="30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1:22" ht="14" x14ac:dyDescent="0.3">
      <c r="A501" s="12"/>
      <c r="B501" s="12"/>
      <c r="C501" s="24"/>
      <c r="D501" s="12"/>
      <c r="E501" s="30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1:22" ht="14" x14ac:dyDescent="0.3">
      <c r="A502" s="12"/>
      <c r="B502" s="12"/>
      <c r="C502" s="24"/>
      <c r="D502" s="12"/>
      <c r="E502" s="30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1:22" ht="14" x14ac:dyDescent="0.3">
      <c r="A503" s="12"/>
      <c r="B503" s="12"/>
      <c r="C503" s="24"/>
      <c r="D503" s="12"/>
      <c r="E503" s="30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1:22" ht="14" x14ac:dyDescent="0.3">
      <c r="A504" s="12"/>
      <c r="B504" s="12"/>
      <c r="C504" s="24"/>
      <c r="D504" s="12"/>
      <c r="E504" s="30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1:22" ht="14" x14ac:dyDescent="0.3">
      <c r="A505" s="12"/>
      <c r="B505" s="12"/>
      <c r="C505" s="24"/>
      <c r="D505" s="12"/>
      <c r="E505" s="30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1:22" ht="14" x14ac:dyDescent="0.3">
      <c r="A506" s="12"/>
      <c r="B506" s="12"/>
      <c r="C506" s="24"/>
      <c r="D506" s="12"/>
      <c r="E506" s="30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1:22" ht="14" x14ac:dyDescent="0.3">
      <c r="A507" s="12"/>
      <c r="B507" s="12"/>
      <c r="C507" s="24"/>
      <c r="D507" s="12"/>
      <c r="E507" s="30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1:22" ht="14" x14ac:dyDescent="0.3">
      <c r="A508" s="12"/>
      <c r="B508" s="12"/>
      <c r="C508" s="24"/>
      <c r="D508" s="12"/>
      <c r="E508" s="30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1:22" ht="14" x14ac:dyDescent="0.3">
      <c r="A509" s="12"/>
      <c r="B509" s="12"/>
      <c r="C509" s="24"/>
      <c r="D509" s="12"/>
      <c r="E509" s="30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1:22" ht="14" x14ac:dyDescent="0.3">
      <c r="A510" s="12"/>
      <c r="B510" s="12"/>
      <c r="C510" s="24"/>
      <c r="D510" s="12"/>
      <c r="E510" s="30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1:22" ht="14" x14ac:dyDescent="0.3">
      <c r="A511" s="12"/>
      <c r="B511" s="12"/>
      <c r="C511" s="24"/>
      <c r="D511" s="12"/>
      <c r="E511" s="30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1:22" ht="14" x14ac:dyDescent="0.3">
      <c r="A512" s="12"/>
      <c r="B512" s="12"/>
      <c r="C512" s="24"/>
      <c r="D512" s="12"/>
      <c r="E512" s="30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1:22" ht="14" x14ac:dyDescent="0.3">
      <c r="A513" s="12"/>
      <c r="B513" s="12"/>
      <c r="C513" s="24"/>
      <c r="D513" s="12"/>
      <c r="E513" s="30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1:22" ht="14" x14ac:dyDescent="0.3">
      <c r="A514" s="12"/>
      <c r="B514" s="12"/>
      <c r="C514" s="24"/>
      <c r="D514" s="12"/>
      <c r="E514" s="30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1:22" ht="14" x14ac:dyDescent="0.3">
      <c r="A515" s="12"/>
      <c r="B515" s="12"/>
      <c r="C515" s="24"/>
      <c r="D515" s="12"/>
      <c r="E515" s="30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1:22" ht="14" x14ac:dyDescent="0.3">
      <c r="A516" s="12"/>
      <c r="B516" s="12"/>
      <c r="C516" s="24"/>
      <c r="D516" s="12"/>
      <c r="E516" s="30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1:22" ht="14" x14ac:dyDescent="0.3">
      <c r="A517" s="12"/>
      <c r="B517" s="12"/>
      <c r="C517" s="24"/>
      <c r="D517" s="12"/>
      <c r="E517" s="30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1:22" ht="14" x14ac:dyDescent="0.3">
      <c r="A518" s="12"/>
      <c r="B518" s="12"/>
      <c r="C518" s="24"/>
      <c r="D518" s="12"/>
      <c r="E518" s="30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1:22" ht="14" x14ac:dyDescent="0.3">
      <c r="A519" s="12"/>
      <c r="B519" s="12"/>
      <c r="C519" s="24"/>
      <c r="D519" s="12"/>
      <c r="E519" s="30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1:22" ht="14" x14ac:dyDescent="0.3">
      <c r="A520" s="12"/>
      <c r="B520" s="12"/>
      <c r="C520" s="24"/>
      <c r="D520" s="12"/>
      <c r="E520" s="30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1:22" ht="14" x14ac:dyDescent="0.3">
      <c r="A521" s="12"/>
      <c r="B521" s="12"/>
      <c r="C521" s="24"/>
      <c r="D521" s="12"/>
      <c r="E521" s="30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1:22" ht="14" x14ac:dyDescent="0.3">
      <c r="A522" s="12"/>
      <c r="B522" s="12"/>
      <c r="C522" s="24"/>
      <c r="D522" s="12"/>
      <c r="E522" s="30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1:22" ht="14" x14ac:dyDescent="0.3">
      <c r="A523" s="12"/>
      <c r="B523" s="12"/>
      <c r="C523" s="24"/>
      <c r="D523" s="12"/>
      <c r="E523" s="30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1:22" ht="14" x14ac:dyDescent="0.3">
      <c r="A524" s="12"/>
      <c r="B524" s="12"/>
      <c r="C524" s="24"/>
      <c r="D524" s="12"/>
      <c r="E524" s="30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1:22" ht="14" x14ac:dyDescent="0.3">
      <c r="A525" s="12"/>
      <c r="B525" s="12"/>
      <c r="C525" s="24"/>
      <c r="D525" s="12"/>
      <c r="E525" s="30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1:22" ht="14" x14ac:dyDescent="0.3">
      <c r="A526" s="12"/>
      <c r="B526" s="12"/>
      <c r="C526" s="24"/>
      <c r="D526" s="12"/>
      <c r="E526" s="30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1:22" ht="14" x14ac:dyDescent="0.3">
      <c r="A527" s="12"/>
      <c r="B527" s="12"/>
      <c r="C527" s="24"/>
      <c r="D527" s="12"/>
      <c r="E527" s="30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1:22" ht="14" x14ac:dyDescent="0.3">
      <c r="A528" s="12"/>
      <c r="B528" s="12"/>
      <c r="C528" s="24"/>
      <c r="D528" s="12"/>
      <c r="E528" s="30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1:22" ht="14" x14ac:dyDescent="0.3">
      <c r="A529" s="12"/>
      <c r="B529" s="12"/>
      <c r="C529" s="24"/>
      <c r="D529" s="12"/>
      <c r="E529" s="30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1:22" ht="14" x14ac:dyDescent="0.3">
      <c r="A530" s="12"/>
      <c r="B530" s="12"/>
      <c r="C530" s="24"/>
      <c r="D530" s="12"/>
      <c r="E530" s="30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1:22" ht="14" x14ac:dyDescent="0.3">
      <c r="A531" s="12"/>
      <c r="B531" s="12"/>
      <c r="C531" s="24"/>
      <c r="D531" s="12"/>
      <c r="E531" s="30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1:22" ht="14" x14ac:dyDescent="0.3">
      <c r="A532" s="12"/>
      <c r="B532" s="12"/>
      <c r="C532" s="24"/>
      <c r="D532" s="12"/>
      <c r="E532" s="30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1:22" ht="14" x14ac:dyDescent="0.3">
      <c r="A533" s="12"/>
      <c r="B533" s="12"/>
      <c r="C533" s="24"/>
      <c r="D533" s="12"/>
      <c r="E533" s="30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1:22" ht="14" x14ac:dyDescent="0.3">
      <c r="A534" s="12"/>
      <c r="B534" s="12"/>
      <c r="C534" s="24"/>
      <c r="D534" s="12"/>
      <c r="E534" s="30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1:22" ht="14" x14ac:dyDescent="0.3">
      <c r="A535" s="12"/>
      <c r="B535" s="12"/>
      <c r="C535" s="24"/>
      <c r="D535" s="12"/>
      <c r="E535" s="30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1:22" ht="14" x14ac:dyDescent="0.3">
      <c r="A536" s="12"/>
      <c r="B536" s="12"/>
      <c r="C536" s="24"/>
      <c r="D536" s="12"/>
      <c r="E536" s="30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1:22" ht="14" x14ac:dyDescent="0.3">
      <c r="A537" s="12"/>
      <c r="B537" s="12"/>
      <c r="C537" s="24"/>
      <c r="D537" s="12"/>
      <c r="E537" s="30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14" x14ac:dyDescent="0.3">
      <c r="A538" s="12"/>
      <c r="B538" s="12"/>
      <c r="C538" s="24"/>
      <c r="D538" s="12"/>
      <c r="E538" s="30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1:22" ht="14" x14ac:dyDescent="0.3">
      <c r="A539" s="12"/>
      <c r="B539" s="12"/>
      <c r="C539" s="24"/>
      <c r="D539" s="12"/>
      <c r="E539" s="30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1:22" ht="14" x14ac:dyDescent="0.3">
      <c r="A540" s="12"/>
      <c r="B540" s="12"/>
      <c r="C540" s="24"/>
      <c r="D540" s="12"/>
      <c r="E540" s="30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1:22" ht="14" x14ac:dyDescent="0.3">
      <c r="A541" s="12"/>
      <c r="B541" s="12"/>
      <c r="C541" s="24"/>
      <c r="D541" s="12"/>
      <c r="E541" s="30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1:22" ht="14" x14ac:dyDescent="0.3">
      <c r="A542" s="12"/>
      <c r="B542" s="12"/>
      <c r="C542" s="24"/>
      <c r="D542" s="12"/>
      <c r="E542" s="30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1:22" ht="14" x14ac:dyDescent="0.3">
      <c r="A543" s="12"/>
      <c r="B543" s="12"/>
      <c r="C543" s="24"/>
      <c r="D543" s="12"/>
      <c r="E543" s="30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1:22" ht="14" x14ac:dyDescent="0.3">
      <c r="A544" s="12"/>
      <c r="B544" s="12"/>
      <c r="C544" s="24"/>
      <c r="D544" s="12"/>
      <c r="E544" s="30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1:22" ht="14" x14ac:dyDescent="0.3">
      <c r="A545" s="12"/>
      <c r="B545" s="12"/>
      <c r="C545" s="24"/>
      <c r="D545" s="12"/>
      <c r="E545" s="30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1:22" ht="14" x14ac:dyDescent="0.3">
      <c r="A546" s="12"/>
      <c r="B546" s="12"/>
      <c r="C546" s="24"/>
      <c r="D546" s="12"/>
      <c r="E546" s="30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1:22" ht="14" x14ac:dyDescent="0.3">
      <c r="A547" s="12"/>
      <c r="B547" s="12"/>
      <c r="C547" s="24"/>
      <c r="D547" s="12"/>
      <c r="E547" s="30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1:22" ht="14" x14ac:dyDescent="0.3">
      <c r="A548" s="12"/>
      <c r="B548" s="12"/>
      <c r="C548" s="24"/>
      <c r="D548" s="12"/>
      <c r="E548" s="30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1:22" ht="14" x14ac:dyDescent="0.3">
      <c r="A549" s="12"/>
      <c r="B549" s="12"/>
      <c r="C549" s="24"/>
      <c r="D549" s="12"/>
      <c r="E549" s="30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1:22" ht="14" x14ac:dyDescent="0.3">
      <c r="A550" s="12"/>
      <c r="B550" s="12"/>
      <c r="C550" s="24"/>
      <c r="D550" s="12"/>
      <c r="E550" s="30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1:22" ht="14" x14ac:dyDescent="0.3">
      <c r="A551" s="12"/>
      <c r="B551" s="12"/>
      <c r="C551" s="24"/>
      <c r="D551" s="12"/>
      <c r="E551" s="30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1:22" ht="14" x14ac:dyDescent="0.3">
      <c r="A552" s="12"/>
      <c r="B552" s="12"/>
      <c r="C552" s="24"/>
      <c r="D552" s="12"/>
      <c r="E552" s="30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1:22" ht="14" x14ac:dyDescent="0.3">
      <c r="A553" s="12"/>
      <c r="B553" s="12"/>
      <c r="C553" s="24"/>
      <c r="D553" s="12"/>
      <c r="E553" s="30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1:22" ht="14" x14ac:dyDescent="0.3">
      <c r="A554" s="12"/>
      <c r="B554" s="12"/>
      <c r="C554" s="24"/>
      <c r="D554" s="12"/>
      <c r="E554" s="30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1:22" ht="14" x14ac:dyDescent="0.3">
      <c r="A555" s="12"/>
      <c r="B555" s="12"/>
      <c r="C555" s="24"/>
      <c r="D555" s="12"/>
      <c r="E555" s="30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1:22" ht="14" x14ac:dyDescent="0.3">
      <c r="A556" s="12"/>
      <c r="B556" s="12"/>
      <c r="C556" s="24"/>
      <c r="D556" s="12"/>
      <c r="E556" s="30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1:22" ht="14" x14ac:dyDescent="0.3">
      <c r="A557" s="12"/>
      <c r="B557" s="12"/>
      <c r="C557" s="24"/>
      <c r="D557" s="12"/>
      <c r="E557" s="30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1:22" ht="14" x14ac:dyDescent="0.3">
      <c r="A558" s="12"/>
      <c r="B558" s="12"/>
      <c r="C558" s="24"/>
      <c r="D558" s="12"/>
      <c r="E558" s="30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1:22" ht="14" x14ac:dyDescent="0.3">
      <c r="A559" s="12"/>
      <c r="B559" s="12"/>
      <c r="C559" s="24"/>
      <c r="D559" s="12"/>
      <c r="E559" s="30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1:22" ht="14" x14ac:dyDescent="0.3">
      <c r="A560" s="12"/>
      <c r="B560" s="12"/>
      <c r="C560" s="24"/>
      <c r="D560" s="12"/>
      <c r="E560" s="30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1:22" ht="14" x14ac:dyDescent="0.3">
      <c r="A561" s="12"/>
      <c r="B561" s="12"/>
      <c r="C561" s="24"/>
      <c r="D561" s="12"/>
      <c r="E561" s="30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1:22" ht="14" x14ac:dyDescent="0.3">
      <c r="A562" s="12"/>
      <c r="B562" s="12"/>
      <c r="C562" s="24"/>
      <c r="D562" s="12"/>
      <c r="E562" s="30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1:22" ht="14" x14ac:dyDescent="0.3">
      <c r="A563" s="12"/>
      <c r="B563" s="12"/>
      <c r="C563" s="24"/>
      <c r="D563" s="12"/>
      <c r="E563" s="30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1:22" ht="14" x14ac:dyDescent="0.3">
      <c r="A564" s="12"/>
      <c r="B564" s="12"/>
      <c r="C564" s="24"/>
      <c r="D564" s="12"/>
      <c r="E564" s="30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1:22" ht="14" x14ac:dyDescent="0.3">
      <c r="A565" s="12"/>
      <c r="B565" s="12"/>
      <c r="C565" s="24"/>
      <c r="D565" s="12"/>
      <c r="E565" s="30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1:22" ht="14" x14ac:dyDescent="0.3">
      <c r="A566" s="12"/>
      <c r="B566" s="12"/>
      <c r="C566" s="24"/>
      <c r="D566" s="12"/>
      <c r="E566" s="30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1:22" ht="14" x14ac:dyDescent="0.3">
      <c r="A567" s="12"/>
      <c r="B567" s="12"/>
      <c r="C567" s="24"/>
      <c r="D567" s="12"/>
      <c r="E567" s="30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1:22" ht="14" x14ac:dyDescent="0.3">
      <c r="A568" s="12"/>
      <c r="B568" s="12"/>
      <c r="C568" s="24"/>
      <c r="D568" s="12"/>
      <c r="E568" s="30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1:22" ht="14" x14ac:dyDescent="0.3">
      <c r="A569" s="12"/>
      <c r="B569" s="12"/>
      <c r="C569" s="24"/>
      <c r="D569" s="12"/>
      <c r="E569" s="30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1:22" ht="14" x14ac:dyDescent="0.3">
      <c r="A570" s="12"/>
      <c r="B570" s="12"/>
      <c r="C570" s="24"/>
      <c r="D570" s="12"/>
      <c r="E570" s="30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1:22" ht="14" x14ac:dyDescent="0.3">
      <c r="A571" s="12"/>
      <c r="B571" s="12"/>
      <c r="C571" s="24"/>
      <c r="D571" s="12"/>
      <c r="E571" s="30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1:22" ht="14" x14ac:dyDescent="0.3">
      <c r="A572" s="12"/>
      <c r="B572" s="12"/>
      <c r="C572" s="24"/>
      <c r="D572" s="12"/>
      <c r="E572" s="30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1:22" ht="14" x14ac:dyDescent="0.3">
      <c r="A573" s="12"/>
      <c r="B573" s="12"/>
      <c r="C573" s="24"/>
      <c r="D573" s="12"/>
      <c r="E573" s="30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1:22" ht="14" x14ac:dyDescent="0.3">
      <c r="A574" s="12"/>
      <c r="B574" s="12"/>
      <c r="C574" s="24"/>
      <c r="D574" s="12"/>
      <c r="E574" s="30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1:22" ht="14" x14ac:dyDescent="0.3">
      <c r="A575" s="12"/>
      <c r="B575" s="12"/>
      <c r="C575" s="24"/>
      <c r="D575" s="12"/>
      <c r="E575" s="30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1:22" ht="14" x14ac:dyDescent="0.3">
      <c r="A576" s="12"/>
      <c r="B576" s="12"/>
      <c r="C576" s="24"/>
      <c r="D576" s="12"/>
      <c r="E576" s="30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1:22" ht="14" x14ac:dyDescent="0.3">
      <c r="A577" s="12"/>
      <c r="B577" s="12"/>
      <c r="C577" s="24"/>
      <c r="D577" s="12"/>
      <c r="E577" s="30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1:22" ht="14" x14ac:dyDescent="0.3">
      <c r="A578" s="12"/>
      <c r="B578" s="12"/>
      <c r="C578" s="24"/>
      <c r="D578" s="12"/>
      <c r="E578" s="30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14" x14ac:dyDescent="0.3">
      <c r="A579" s="12"/>
      <c r="B579" s="12"/>
      <c r="C579" s="24"/>
      <c r="D579" s="12"/>
      <c r="E579" s="30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1:22" ht="14" x14ac:dyDescent="0.3">
      <c r="A580" s="12"/>
      <c r="B580" s="12"/>
      <c r="C580" s="24"/>
      <c r="D580" s="12"/>
      <c r="E580" s="30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1:22" ht="14" x14ac:dyDescent="0.3">
      <c r="A581" s="12"/>
      <c r="B581" s="12"/>
      <c r="C581" s="24"/>
      <c r="D581" s="12"/>
      <c r="E581" s="30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1:22" ht="14" x14ac:dyDescent="0.3">
      <c r="A582" s="12"/>
      <c r="B582" s="12"/>
      <c r="C582" s="24"/>
      <c r="D582" s="12"/>
      <c r="E582" s="30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1:22" ht="14" x14ac:dyDescent="0.3">
      <c r="A583" s="12"/>
      <c r="B583" s="12"/>
      <c r="C583" s="24"/>
      <c r="D583" s="12"/>
      <c r="E583" s="30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1:22" ht="14" x14ac:dyDescent="0.3">
      <c r="A584" s="12"/>
      <c r="B584" s="12"/>
      <c r="C584" s="24"/>
      <c r="D584" s="12"/>
      <c r="E584" s="30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1:22" ht="14" x14ac:dyDescent="0.3">
      <c r="A585" s="12"/>
      <c r="B585" s="12"/>
      <c r="C585" s="24"/>
      <c r="D585" s="12"/>
      <c r="E585" s="30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1:22" ht="14" x14ac:dyDescent="0.3">
      <c r="A586" s="12"/>
      <c r="B586" s="12"/>
      <c r="C586" s="24"/>
      <c r="D586" s="12"/>
      <c r="E586" s="30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1:22" ht="14" x14ac:dyDescent="0.3">
      <c r="A587" s="12"/>
      <c r="B587" s="12"/>
      <c r="C587" s="24"/>
      <c r="D587" s="12"/>
      <c r="E587" s="30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1:22" ht="14" x14ac:dyDescent="0.3">
      <c r="A588" s="12"/>
      <c r="B588" s="12"/>
      <c r="C588" s="24"/>
      <c r="D588" s="12"/>
      <c r="E588" s="30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1:22" ht="14" x14ac:dyDescent="0.3">
      <c r="A589" s="12"/>
      <c r="B589" s="12"/>
      <c r="C589" s="24"/>
      <c r="D589" s="12"/>
      <c r="E589" s="30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1:22" ht="14" x14ac:dyDescent="0.3">
      <c r="A590" s="12"/>
      <c r="B590" s="12"/>
      <c r="C590" s="24"/>
      <c r="D590" s="12"/>
      <c r="E590" s="30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1:22" ht="14" x14ac:dyDescent="0.3">
      <c r="A591" s="12"/>
      <c r="B591" s="12"/>
      <c r="C591" s="24"/>
      <c r="D591" s="12"/>
      <c r="E591" s="30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1:22" ht="14" x14ac:dyDescent="0.3">
      <c r="A592" s="12"/>
      <c r="B592" s="12"/>
      <c r="C592" s="24"/>
      <c r="D592" s="12"/>
      <c r="E592" s="30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1:22" ht="14" x14ac:dyDescent="0.3">
      <c r="A593" s="12"/>
      <c r="B593" s="12"/>
      <c r="C593" s="24"/>
      <c r="D593" s="12"/>
      <c r="E593" s="30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1:22" ht="14" x14ac:dyDescent="0.3">
      <c r="A594" s="12"/>
      <c r="B594" s="12"/>
      <c r="C594" s="24"/>
      <c r="D594" s="12"/>
      <c r="E594" s="30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1:22" ht="14" x14ac:dyDescent="0.3">
      <c r="A595" s="12"/>
      <c r="B595" s="12"/>
      <c r="C595" s="24"/>
      <c r="D595" s="12"/>
      <c r="E595" s="30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1:22" ht="14" x14ac:dyDescent="0.3">
      <c r="A596" s="12"/>
      <c r="B596" s="12"/>
      <c r="C596" s="24"/>
      <c r="D596" s="12"/>
      <c r="E596" s="30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1:22" ht="14" x14ac:dyDescent="0.3">
      <c r="A597" s="12"/>
      <c r="B597" s="12"/>
      <c r="C597" s="24"/>
      <c r="D597" s="12"/>
      <c r="E597" s="30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1:22" ht="14" x14ac:dyDescent="0.3">
      <c r="A598" s="12"/>
      <c r="B598" s="12"/>
      <c r="C598" s="24"/>
      <c r="D598" s="12"/>
      <c r="E598" s="30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1:22" ht="14" x14ac:dyDescent="0.3">
      <c r="A599" s="12"/>
      <c r="B599" s="12"/>
      <c r="C599" s="24"/>
      <c r="D599" s="12"/>
      <c r="E599" s="30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1:22" ht="14" x14ac:dyDescent="0.3">
      <c r="A600" s="12"/>
      <c r="B600" s="12"/>
      <c r="C600" s="24"/>
      <c r="D600" s="12"/>
      <c r="E600" s="30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1:22" ht="14" x14ac:dyDescent="0.3">
      <c r="A601" s="12"/>
      <c r="B601" s="12"/>
      <c r="C601" s="24"/>
      <c r="D601" s="12"/>
      <c r="E601" s="30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1:22" ht="14" x14ac:dyDescent="0.3">
      <c r="A602" s="12"/>
      <c r="B602" s="12"/>
      <c r="C602" s="24"/>
      <c r="D602" s="12"/>
      <c r="E602" s="30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1:22" ht="14" x14ac:dyDescent="0.3">
      <c r="A603" s="12"/>
      <c r="B603" s="12"/>
      <c r="C603" s="24"/>
      <c r="D603" s="12"/>
      <c r="E603" s="30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1:22" ht="14" x14ac:dyDescent="0.3">
      <c r="A604" s="12"/>
      <c r="B604" s="12"/>
      <c r="C604" s="24"/>
      <c r="D604" s="12"/>
      <c r="E604" s="30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1:22" ht="14" x14ac:dyDescent="0.3">
      <c r="A605" s="12"/>
      <c r="B605" s="12"/>
      <c r="C605" s="24"/>
      <c r="D605" s="12"/>
      <c r="E605" s="30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1:22" ht="14" x14ac:dyDescent="0.3">
      <c r="A606" s="12"/>
      <c r="B606" s="12"/>
      <c r="C606" s="24"/>
      <c r="D606" s="12"/>
      <c r="E606" s="30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1:22" ht="14" x14ac:dyDescent="0.3">
      <c r="A607" s="12"/>
      <c r="B607" s="12"/>
      <c r="C607" s="24"/>
      <c r="D607" s="12"/>
      <c r="E607" s="30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1:22" ht="14" x14ac:dyDescent="0.3">
      <c r="A608" s="12"/>
      <c r="B608" s="12"/>
      <c r="C608" s="24"/>
      <c r="D608" s="12"/>
      <c r="E608" s="30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1:22" ht="14" x14ac:dyDescent="0.3">
      <c r="A609" s="12"/>
      <c r="B609" s="12"/>
      <c r="C609" s="24"/>
      <c r="D609" s="12"/>
      <c r="E609" s="30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1:22" ht="14" x14ac:dyDescent="0.3">
      <c r="A610" s="12"/>
      <c r="B610" s="12"/>
      <c r="C610" s="24"/>
      <c r="D610" s="12"/>
      <c r="E610" s="30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1:22" ht="14" x14ac:dyDescent="0.3">
      <c r="A611" s="12"/>
      <c r="B611" s="12"/>
      <c r="C611" s="24"/>
      <c r="D611" s="12"/>
      <c r="E611" s="30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1:22" ht="14" x14ac:dyDescent="0.3">
      <c r="A612" s="12"/>
      <c r="B612" s="12"/>
      <c r="C612" s="24"/>
      <c r="D612" s="12"/>
      <c r="E612" s="30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1:22" ht="14" x14ac:dyDescent="0.3">
      <c r="A613" s="12"/>
      <c r="B613" s="12"/>
      <c r="C613" s="24"/>
      <c r="D613" s="12"/>
      <c r="E613" s="30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1:22" ht="14" x14ac:dyDescent="0.3">
      <c r="A614" s="12"/>
      <c r="B614" s="12"/>
      <c r="C614" s="24"/>
      <c r="D614" s="12"/>
      <c r="E614" s="30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1:22" ht="14" x14ac:dyDescent="0.3">
      <c r="A615" s="12"/>
      <c r="B615" s="12"/>
      <c r="C615" s="24"/>
      <c r="D615" s="12"/>
      <c r="E615" s="30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1:22" ht="14" x14ac:dyDescent="0.3">
      <c r="A616" s="12"/>
      <c r="B616" s="12"/>
      <c r="C616" s="24"/>
      <c r="D616" s="12"/>
      <c r="E616" s="30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1:22" ht="14" x14ac:dyDescent="0.3">
      <c r="A617" s="12"/>
      <c r="B617" s="12"/>
      <c r="C617" s="24"/>
      <c r="D617" s="12"/>
      <c r="E617" s="30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1:22" ht="14" x14ac:dyDescent="0.3">
      <c r="A618" s="12"/>
      <c r="B618" s="12"/>
      <c r="C618" s="24"/>
      <c r="D618" s="12"/>
      <c r="E618" s="30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1:22" ht="14" x14ac:dyDescent="0.3">
      <c r="A619" s="12"/>
      <c r="B619" s="12"/>
      <c r="C619" s="24"/>
      <c r="D619" s="12"/>
      <c r="E619" s="30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14" x14ac:dyDescent="0.3">
      <c r="A620" s="12"/>
      <c r="B620" s="12"/>
      <c r="C620" s="24"/>
      <c r="D620" s="12"/>
      <c r="E620" s="30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1:22" ht="14" x14ac:dyDescent="0.3">
      <c r="A621" s="12"/>
      <c r="B621" s="12"/>
      <c r="C621" s="24"/>
      <c r="D621" s="12"/>
      <c r="E621" s="30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1:22" ht="14" x14ac:dyDescent="0.3">
      <c r="A622" s="12"/>
      <c r="B622" s="12"/>
      <c r="C622" s="24"/>
      <c r="D622" s="12"/>
      <c r="E622" s="30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spans="1:22" ht="14" x14ac:dyDescent="0.3">
      <c r="A623" s="12"/>
      <c r="B623" s="12"/>
      <c r="C623" s="24"/>
      <c r="D623" s="12"/>
      <c r="E623" s="30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spans="1:22" ht="14" x14ac:dyDescent="0.3">
      <c r="A624" s="12"/>
      <c r="B624" s="12"/>
      <c r="C624" s="24"/>
      <c r="D624" s="12"/>
      <c r="E624" s="30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spans="1:22" ht="14" x14ac:dyDescent="0.3">
      <c r="A625" s="12"/>
      <c r="B625" s="12"/>
      <c r="C625" s="24"/>
      <c r="D625" s="12"/>
      <c r="E625" s="30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spans="1:22" ht="14" x14ac:dyDescent="0.3">
      <c r="A626" s="12"/>
      <c r="B626" s="12"/>
      <c r="C626" s="24"/>
      <c r="D626" s="12"/>
      <c r="E626" s="30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spans="1:22" ht="14" x14ac:dyDescent="0.3">
      <c r="A627" s="12"/>
      <c r="B627" s="12"/>
      <c r="C627" s="24"/>
      <c r="D627" s="12"/>
      <c r="E627" s="30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spans="1:22" ht="14" x14ac:dyDescent="0.3">
      <c r="A628" s="12"/>
      <c r="B628" s="12"/>
      <c r="C628" s="24"/>
      <c r="D628" s="12"/>
      <c r="E628" s="30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spans="1:22" ht="14" x14ac:dyDescent="0.3">
      <c r="A629" s="12"/>
      <c r="B629" s="12"/>
      <c r="C629" s="24"/>
      <c r="D629" s="12"/>
      <c r="E629" s="30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spans="1:22" ht="14" x14ac:dyDescent="0.3">
      <c r="A630" s="12"/>
      <c r="B630" s="12"/>
      <c r="C630" s="24"/>
      <c r="D630" s="12"/>
      <c r="E630" s="30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spans="1:22" ht="14" x14ac:dyDescent="0.3">
      <c r="A631" s="12"/>
      <c r="B631" s="12"/>
      <c r="C631" s="24"/>
      <c r="D631" s="12"/>
      <c r="E631" s="30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spans="1:22" ht="14" x14ac:dyDescent="0.3">
      <c r="A632" s="12"/>
      <c r="B632" s="12"/>
      <c r="C632" s="24"/>
      <c r="D632" s="12"/>
      <c r="E632" s="30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spans="1:22" ht="14" x14ac:dyDescent="0.3">
      <c r="A633" s="12"/>
      <c r="B633" s="12"/>
      <c r="C633" s="24"/>
      <c r="D633" s="12"/>
      <c r="E633" s="30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spans="1:22" ht="14" x14ac:dyDescent="0.3">
      <c r="A634" s="12"/>
      <c r="B634" s="12"/>
      <c r="C634" s="24"/>
      <c r="D634" s="12"/>
      <c r="E634" s="30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spans="1:22" ht="14" x14ac:dyDescent="0.3">
      <c r="A635" s="12"/>
      <c r="B635" s="12"/>
      <c r="C635" s="24"/>
      <c r="D635" s="12"/>
      <c r="E635" s="30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spans="1:22" ht="14" x14ac:dyDescent="0.3">
      <c r="A636" s="12"/>
      <c r="B636" s="12"/>
      <c r="C636" s="24"/>
      <c r="D636" s="12"/>
      <c r="E636" s="30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spans="1:22" ht="14" x14ac:dyDescent="0.3">
      <c r="A637" s="12"/>
      <c r="B637" s="12"/>
      <c r="C637" s="24"/>
      <c r="D637" s="12"/>
      <c r="E637" s="30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spans="1:22" ht="14" x14ac:dyDescent="0.3">
      <c r="A638" s="12"/>
      <c r="B638" s="12"/>
      <c r="C638" s="24"/>
      <c r="D638" s="12"/>
      <c r="E638" s="30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spans="1:22" ht="14" x14ac:dyDescent="0.3">
      <c r="A639" s="12"/>
      <c r="B639" s="12"/>
      <c r="C639" s="24"/>
      <c r="D639" s="12"/>
      <c r="E639" s="30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spans="1:22" ht="14" x14ac:dyDescent="0.3">
      <c r="A640" s="12"/>
      <c r="B640" s="12"/>
      <c r="C640" s="24"/>
      <c r="D640" s="12"/>
      <c r="E640" s="30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spans="1:22" ht="14" x14ac:dyDescent="0.3">
      <c r="A641" s="12"/>
      <c r="B641" s="12"/>
      <c r="C641" s="24"/>
      <c r="D641" s="12"/>
      <c r="E641" s="30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spans="1:22" ht="14" x14ac:dyDescent="0.3">
      <c r="A642" s="12"/>
      <c r="B642" s="12"/>
      <c r="C642" s="24"/>
      <c r="D642" s="12"/>
      <c r="E642" s="30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spans="1:22" ht="14" x14ac:dyDescent="0.3">
      <c r="A643" s="12"/>
      <c r="B643" s="12"/>
      <c r="C643" s="24"/>
      <c r="D643" s="12"/>
      <c r="E643" s="30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spans="1:22" ht="14" x14ac:dyDescent="0.3">
      <c r="A644" s="12"/>
      <c r="B644" s="12"/>
      <c r="C644" s="24"/>
      <c r="D644" s="12"/>
      <c r="E644" s="30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spans="1:22" ht="14" x14ac:dyDescent="0.3">
      <c r="A645" s="12"/>
      <c r="B645" s="12"/>
      <c r="C645" s="24"/>
      <c r="D645" s="12"/>
      <c r="E645" s="30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spans="1:22" ht="14" x14ac:dyDescent="0.3">
      <c r="A646" s="12"/>
      <c r="B646" s="12"/>
      <c r="C646" s="24"/>
      <c r="D646" s="12"/>
      <c r="E646" s="30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spans="1:22" ht="14" x14ac:dyDescent="0.3">
      <c r="A647" s="12"/>
      <c r="B647" s="12"/>
      <c r="C647" s="24"/>
      <c r="D647" s="12"/>
      <c r="E647" s="30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spans="1:22" ht="14" x14ac:dyDescent="0.3">
      <c r="A648" s="12"/>
      <c r="B648" s="12"/>
      <c r="C648" s="24"/>
      <c r="D648" s="12"/>
      <c r="E648" s="30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spans="1:22" ht="14" x14ac:dyDescent="0.3">
      <c r="A649" s="12"/>
      <c r="B649" s="12"/>
      <c r="C649" s="24"/>
      <c r="D649" s="12"/>
      <c r="E649" s="30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spans="1:22" ht="14" x14ac:dyDescent="0.3">
      <c r="A650" s="12"/>
      <c r="B650" s="12"/>
      <c r="C650" s="24"/>
      <c r="D650" s="12"/>
      <c r="E650" s="30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spans="1:22" ht="14" x14ac:dyDescent="0.3">
      <c r="A651" s="12"/>
      <c r="B651" s="12"/>
      <c r="C651" s="24"/>
      <c r="D651" s="12"/>
      <c r="E651" s="30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spans="1:22" ht="14" x14ac:dyDescent="0.3">
      <c r="A652" s="12"/>
      <c r="B652" s="12"/>
      <c r="C652" s="24"/>
      <c r="D652" s="12"/>
      <c r="E652" s="30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spans="1:22" ht="14" x14ac:dyDescent="0.3">
      <c r="A653" s="12"/>
      <c r="B653" s="12"/>
      <c r="C653" s="24"/>
      <c r="D653" s="12"/>
      <c r="E653" s="30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spans="1:22" ht="14" x14ac:dyDescent="0.3">
      <c r="A654" s="12"/>
      <c r="B654" s="12"/>
      <c r="C654" s="24"/>
      <c r="D654" s="12"/>
      <c r="E654" s="30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spans="1:22" ht="14" x14ac:dyDescent="0.3">
      <c r="A655" s="12"/>
      <c r="B655" s="12"/>
      <c r="C655" s="24"/>
      <c r="D655" s="12"/>
      <c r="E655" s="30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spans="1:22" ht="14" x14ac:dyDescent="0.3">
      <c r="A656" s="12"/>
      <c r="B656" s="12"/>
      <c r="C656" s="24"/>
      <c r="D656" s="12"/>
      <c r="E656" s="30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spans="1:22" ht="14" x14ac:dyDescent="0.3">
      <c r="A657" s="12"/>
      <c r="B657" s="12"/>
      <c r="C657" s="24"/>
      <c r="D657" s="12"/>
      <c r="E657" s="30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spans="1:22" ht="14" x14ac:dyDescent="0.3">
      <c r="A658" s="12"/>
      <c r="B658" s="12"/>
      <c r="C658" s="24"/>
      <c r="D658" s="12"/>
      <c r="E658" s="30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spans="1:22" ht="14" x14ac:dyDescent="0.3">
      <c r="A659" s="12"/>
      <c r="B659" s="12"/>
      <c r="C659" s="24"/>
      <c r="D659" s="12"/>
      <c r="E659" s="30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spans="1:22" ht="14" x14ac:dyDescent="0.3">
      <c r="A660" s="12"/>
      <c r="B660" s="12"/>
      <c r="C660" s="24"/>
      <c r="D660" s="12"/>
      <c r="E660" s="30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1:22" ht="14" x14ac:dyDescent="0.3">
      <c r="A661" s="12"/>
      <c r="B661" s="12"/>
      <c r="C661" s="24"/>
      <c r="D661" s="12"/>
      <c r="E661" s="30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spans="1:22" ht="14" x14ac:dyDescent="0.3">
      <c r="A662" s="12"/>
      <c r="B662" s="12"/>
      <c r="C662" s="24"/>
      <c r="D662" s="12"/>
      <c r="E662" s="30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spans="1:22" ht="14" x14ac:dyDescent="0.3">
      <c r="A663" s="12"/>
      <c r="B663" s="12"/>
      <c r="C663" s="24"/>
      <c r="D663" s="12"/>
      <c r="E663" s="30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spans="1:22" ht="14" x14ac:dyDescent="0.3">
      <c r="A664" s="12"/>
      <c r="B664" s="12"/>
      <c r="C664" s="24"/>
      <c r="D664" s="12"/>
      <c r="E664" s="30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spans="1:22" ht="14" x14ac:dyDescent="0.3">
      <c r="A665" s="12"/>
      <c r="B665" s="12"/>
      <c r="C665" s="24"/>
      <c r="D665" s="12"/>
      <c r="E665" s="30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spans="1:22" ht="14" x14ac:dyDescent="0.3">
      <c r="A666" s="12"/>
      <c r="B666" s="12"/>
      <c r="C666" s="24"/>
      <c r="D666" s="12"/>
      <c r="E666" s="30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spans="1:22" ht="14" x14ac:dyDescent="0.3">
      <c r="A667" s="12"/>
      <c r="B667" s="12"/>
      <c r="C667" s="24"/>
      <c r="D667" s="12"/>
      <c r="E667" s="30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spans="1:22" ht="14" x14ac:dyDescent="0.3">
      <c r="A668" s="12"/>
      <c r="B668" s="12"/>
      <c r="C668" s="24"/>
      <c r="D668" s="12"/>
      <c r="E668" s="30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spans="1:22" ht="14" x14ac:dyDescent="0.3">
      <c r="A669" s="12"/>
      <c r="B669" s="12"/>
      <c r="C669" s="24"/>
      <c r="D669" s="12"/>
      <c r="E669" s="30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spans="1:22" ht="14" x14ac:dyDescent="0.3">
      <c r="A670" s="12"/>
      <c r="B670" s="12"/>
      <c r="C670" s="24"/>
      <c r="D670" s="12"/>
      <c r="E670" s="30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spans="1:22" ht="14" x14ac:dyDescent="0.3">
      <c r="A671" s="12"/>
      <c r="B671" s="12"/>
      <c r="C671" s="24"/>
      <c r="D671" s="12"/>
      <c r="E671" s="30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spans="1:22" ht="14" x14ac:dyDescent="0.3">
      <c r="A672" s="12"/>
      <c r="B672" s="12"/>
      <c r="C672" s="24"/>
      <c r="D672" s="12"/>
      <c r="E672" s="30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spans="1:22" ht="14" x14ac:dyDescent="0.3">
      <c r="A673" s="12"/>
      <c r="B673" s="12"/>
      <c r="C673" s="24"/>
      <c r="D673" s="12"/>
      <c r="E673" s="30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spans="1:22" ht="14" x14ac:dyDescent="0.3">
      <c r="A674" s="12"/>
      <c r="B674" s="12"/>
      <c r="C674" s="24"/>
      <c r="D674" s="12"/>
      <c r="E674" s="30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spans="1:22" ht="14" x14ac:dyDescent="0.3">
      <c r="A675" s="12"/>
      <c r="B675" s="12"/>
      <c r="C675" s="24"/>
      <c r="D675" s="12"/>
      <c r="E675" s="30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spans="1:22" ht="14" x14ac:dyDescent="0.3">
      <c r="A676" s="12"/>
      <c r="B676" s="12"/>
      <c r="C676" s="24"/>
      <c r="D676" s="12"/>
      <c r="E676" s="30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spans="1:22" ht="14" x14ac:dyDescent="0.3">
      <c r="A677" s="12"/>
      <c r="B677" s="12"/>
      <c r="C677" s="24"/>
      <c r="D677" s="12"/>
      <c r="E677" s="30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spans="1:22" ht="14" x14ac:dyDescent="0.3">
      <c r="A678" s="12"/>
      <c r="B678" s="12"/>
      <c r="C678" s="24"/>
      <c r="D678" s="12"/>
      <c r="E678" s="30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spans="1:22" ht="14" x14ac:dyDescent="0.3">
      <c r="A679" s="12"/>
      <c r="B679" s="12"/>
      <c r="C679" s="24"/>
      <c r="D679" s="12"/>
      <c r="E679" s="30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spans="1:22" ht="14" x14ac:dyDescent="0.3">
      <c r="A680" s="12"/>
      <c r="B680" s="12"/>
      <c r="C680" s="24"/>
      <c r="D680" s="12"/>
      <c r="E680" s="30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spans="1:22" ht="14" x14ac:dyDescent="0.3">
      <c r="A681" s="12"/>
      <c r="B681" s="12"/>
      <c r="C681" s="24"/>
      <c r="D681" s="12"/>
      <c r="E681" s="30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spans="1:22" ht="14" x14ac:dyDescent="0.3">
      <c r="A682" s="12"/>
      <c r="B682" s="12"/>
      <c r="C682" s="24"/>
      <c r="D682" s="12"/>
      <c r="E682" s="30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spans="1:22" ht="14" x14ac:dyDescent="0.3">
      <c r="A683" s="12"/>
      <c r="B683" s="12"/>
      <c r="C683" s="24"/>
      <c r="D683" s="12"/>
      <c r="E683" s="30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spans="1:22" ht="14" x14ac:dyDescent="0.3">
      <c r="A684" s="12"/>
      <c r="B684" s="12"/>
      <c r="C684" s="24"/>
      <c r="D684" s="12"/>
      <c r="E684" s="30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spans="1:22" ht="14" x14ac:dyDescent="0.3">
      <c r="A685" s="12"/>
      <c r="B685" s="12"/>
      <c r="C685" s="24"/>
      <c r="D685" s="12"/>
      <c r="E685" s="30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spans="1:22" ht="14" x14ac:dyDescent="0.3">
      <c r="A686" s="12"/>
      <c r="B686" s="12"/>
      <c r="C686" s="24"/>
      <c r="D686" s="12"/>
      <c r="E686" s="30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spans="1:22" ht="14" x14ac:dyDescent="0.3">
      <c r="A687" s="12"/>
      <c r="B687" s="12"/>
      <c r="C687" s="24"/>
      <c r="D687" s="12"/>
      <c r="E687" s="30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spans="1:22" ht="14" x14ac:dyDescent="0.3">
      <c r="A688" s="12"/>
      <c r="B688" s="12"/>
      <c r="C688" s="24"/>
      <c r="D688" s="12"/>
      <c r="E688" s="30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spans="1:22" ht="14" x14ac:dyDescent="0.3">
      <c r="A689" s="12"/>
      <c r="B689" s="12"/>
      <c r="C689" s="24"/>
      <c r="D689" s="12"/>
      <c r="E689" s="30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spans="1:22" ht="14" x14ac:dyDescent="0.3">
      <c r="A690" s="12"/>
      <c r="B690" s="12"/>
      <c r="C690" s="24"/>
      <c r="D690" s="12"/>
      <c r="E690" s="30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spans="1:22" ht="14" x14ac:dyDescent="0.3">
      <c r="A691" s="12"/>
      <c r="B691" s="12"/>
      <c r="C691" s="24"/>
      <c r="D691" s="12"/>
      <c r="E691" s="30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spans="1:22" ht="14" x14ac:dyDescent="0.3">
      <c r="A692" s="12"/>
      <c r="B692" s="12"/>
      <c r="C692" s="24"/>
      <c r="D692" s="12"/>
      <c r="E692" s="30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spans="1:22" ht="14" x14ac:dyDescent="0.3">
      <c r="A693" s="12"/>
      <c r="B693" s="12"/>
      <c r="C693" s="24"/>
      <c r="D693" s="12"/>
      <c r="E693" s="30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spans="1:22" ht="14" x14ac:dyDescent="0.3">
      <c r="A694" s="12"/>
      <c r="B694" s="12"/>
      <c r="C694" s="24"/>
      <c r="D694" s="12"/>
      <c r="E694" s="30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spans="1:22" ht="14" x14ac:dyDescent="0.3">
      <c r="A695" s="12"/>
      <c r="B695" s="12"/>
      <c r="C695" s="24"/>
      <c r="D695" s="12"/>
      <c r="E695" s="30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spans="1:22" ht="14" x14ac:dyDescent="0.3">
      <c r="A696" s="12"/>
      <c r="B696" s="12"/>
      <c r="C696" s="24"/>
      <c r="D696" s="12"/>
      <c r="E696" s="30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spans="1:22" ht="14" x14ac:dyDescent="0.3">
      <c r="A697" s="12"/>
      <c r="B697" s="12"/>
      <c r="C697" s="24"/>
      <c r="D697" s="12"/>
      <c r="E697" s="30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spans="1:22" ht="14" x14ac:dyDescent="0.3">
      <c r="A698" s="12"/>
      <c r="B698" s="12"/>
      <c r="C698" s="24"/>
      <c r="D698" s="12"/>
      <c r="E698" s="30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spans="1:22" ht="14" x14ac:dyDescent="0.3">
      <c r="A699" s="12"/>
      <c r="B699" s="12"/>
      <c r="C699" s="24"/>
      <c r="D699" s="12"/>
      <c r="E699" s="30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spans="1:22" ht="14" x14ac:dyDescent="0.3">
      <c r="A700" s="12"/>
      <c r="B700" s="12"/>
      <c r="C700" s="24"/>
      <c r="D700" s="12"/>
      <c r="E700" s="30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spans="1:22" ht="14" x14ac:dyDescent="0.3">
      <c r="A701" s="12"/>
      <c r="B701" s="12"/>
      <c r="C701" s="24"/>
      <c r="D701" s="12"/>
      <c r="E701" s="30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spans="1:22" ht="14" x14ac:dyDescent="0.3">
      <c r="A702" s="12"/>
      <c r="B702" s="12"/>
      <c r="C702" s="24"/>
      <c r="D702" s="12"/>
      <c r="E702" s="30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spans="1:22" ht="14" x14ac:dyDescent="0.3">
      <c r="A703" s="12"/>
      <c r="B703" s="12"/>
      <c r="C703" s="24"/>
      <c r="D703" s="12"/>
      <c r="E703" s="30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spans="1:22" ht="14" x14ac:dyDescent="0.3">
      <c r="A704" s="12"/>
      <c r="B704" s="12"/>
      <c r="C704" s="24"/>
      <c r="D704" s="12"/>
      <c r="E704" s="30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spans="1:22" ht="14" x14ac:dyDescent="0.3">
      <c r="A705" s="12"/>
      <c r="B705" s="12"/>
      <c r="C705" s="24"/>
      <c r="D705" s="12"/>
      <c r="E705" s="30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spans="1:22" ht="14" x14ac:dyDescent="0.3">
      <c r="A706" s="12"/>
      <c r="B706" s="12"/>
      <c r="C706" s="24"/>
      <c r="D706" s="12"/>
      <c r="E706" s="30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spans="1:22" ht="14" x14ac:dyDescent="0.3">
      <c r="A707" s="12"/>
      <c r="B707" s="12"/>
      <c r="C707" s="24"/>
      <c r="D707" s="12"/>
      <c r="E707" s="30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spans="1:22" ht="14" x14ac:dyDescent="0.3">
      <c r="A708" s="12"/>
      <c r="B708" s="12"/>
      <c r="C708" s="24"/>
      <c r="D708" s="12"/>
      <c r="E708" s="30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spans="1:22" ht="14" x14ac:dyDescent="0.3">
      <c r="A709" s="12"/>
      <c r="B709" s="12"/>
      <c r="C709" s="24"/>
      <c r="D709" s="12"/>
      <c r="E709" s="30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spans="1:22" ht="14" x14ac:dyDescent="0.3">
      <c r="A710" s="12"/>
      <c r="B710" s="12"/>
      <c r="C710" s="24"/>
      <c r="D710" s="12"/>
      <c r="E710" s="30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spans="1:22" ht="14" x14ac:dyDescent="0.3">
      <c r="A711" s="12"/>
      <c r="B711" s="12"/>
      <c r="C711" s="24"/>
      <c r="D711" s="12"/>
      <c r="E711" s="30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spans="1:22" ht="14" x14ac:dyDescent="0.3">
      <c r="A712" s="12"/>
      <c r="B712" s="12"/>
      <c r="C712" s="24"/>
      <c r="D712" s="12"/>
      <c r="E712" s="30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spans="1:22" ht="14" x14ac:dyDescent="0.3">
      <c r="A713" s="12"/>
      <c r="B713" s="12"/>
      <c r="C713" s="24"/>
      <c r="D713" s="12"/>
      <c r="E713" s="30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spans="1:22" ht="14" x14ac:dyDescent="0.3">
      <c r="A714" s="12"/>
      <c r="B714" s="12"/>
      <c r="C714" s="24"/>
      <c r="D714" s="12"/>
      <c r="E714" s="30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spans="1:22" ht="14" x14ac:dyDescent="0.3">
      <c r="A715" s="12"/>
      <c r="B715" s="12"/>
      <c r="C715" s="24"/>
      <c r="D715" s="12"/>
      <c r="E715" s="30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spans="1:22" ht="14" x14ac:dyDescent="0.3">
      <c r="A716" s="12"/>
      <c r="B716" s="12"/>
      <c r="C716" s="24"/>
      <c r="D716" s="12"/>
      <c r="E716" s="30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spans="1:22" ht="14" x14ac:dyDescent="0.3">
      <c r="A717" s="12"/>
      <c r="B717" s="12"/>
      <c r="C717" s="24"/>
      <c r="D717" s="12"/>
      <c r="E717" s="30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spans="1:22" ht="14" x14ac:dyDescent="0.3">
      <c r="A718" s="12"/>
      <c r="B718" s="12"/>
      <c r="C718" s="24"/>
      <c r="D718" s="12"/>
      <c r="E718" s="30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spans="1:22" ht="14" x14ac:dyDescent="0.3">
      <c r="A719" s="12"/>
      <c r="B719" s="12"/>
      <c r="C719" s="24"/>
      <c r="D719" s="12"/>
      <c r="E719" s="30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spans="1:22" ht="14" x14ac:dyDescent="0.3">
      <c r="A720" s="12"/>
      <c r="B720" s="12"/>
      <c r="C720" s="24"/>
      <c r="D720" s="12"/>
      <c r="E720" s="30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spans="1:22" ht="14" x14ac:dyDescent="0.3">
      <c r="A721" s="12"/>
      <c r="B721" s="12"/>
      <c r="C721" s="24"/>
      <c r="D721" s="12"/>
      <c r="E721" s="30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spans="1:22" ht="14" x14ac:dyDescent="0.3">
      <c r="A722" s="12"/>
      <c r="B722" s="12"/>
      <c r="C722" s="24"/>
      <c r="D722" s="12"/>
      <c r="E722" s="30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spans="1:22" ht="14" x14ac:dyDescent="0.3">
      <c r="A723" s="12"/>
      <c r="B723" s="12"/>
      <c r="C723" s="24"/>
      <c r="D723" s="12"/>
      <c r="E723" s="30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spans="1:22" ht="14" x14ac:dyDescent="0.3">
      <c r="A724" s="12"/>
      <c r="B724" s="12"/>
      <c r="C724" s="24"/>
      <c r="D724" s="12"/>
      <c r="E724" s="30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spans="1:22" ht="14" x14ac:dyDescent="0.3">
      <c r="A725" s="12"/>
      <c r="B725" s="12"/>
      <c r="C725" s="24"/>
      <c r="D725" s="12"/>
      <c r="E725" s="30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spans="1:22" ht="14" x14ac:dyDescent="0.3">
      <c r="A726" s="12"/>
      <c r="B726" s="12"/>
      <c r="C726" s="24"/>
      <c r="D726" s="12"/>
      <c r="E726" s="30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spans="1:22" ht="14" x14ac:dyDescent="0.3">
      <c r="A727" s="12"/>
      <c r="B727" s="12"/>
      <c r="C727" s="24"/>
      <c r="D727" s="12"/>
      <c r="E727" s="30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spans="1:22" ht="14" x14ac:dyDescent="0.3">
      <c r="A728" s="12"/>
      <c r="B728" s="12"/>
      <c r="C728" s="24"/>
      <c r="D728" s="12"/>
      <c r="E728" s="30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spans="1:22" ht="14" x14ac:dyDescent="0.3">
      <c r="A729" s="12"/>
      <c r="B729" s="12"/>
      <c r="C729" s="24"/>
      <c r="D729" s="12"/>
      <c r="E729" s="30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spans="1:22" ht="14" x14ac:dyDescent="0.3">
      <c r="A730" s="12"/>
      <c r="B730" s="12"/>
      <c r="C730" s="24"/>
      <c r="D730" s="12"/>
      <c r="E730" s="30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spans="1:22" ht="14" x14ac:dyDescent="0.3">
      <c r="A731" s="12"/>
      <c r="B731" s="12"/>
      <c r="C731" s="24"/>
      <c r="D731" s="12"/>
      <c r="E731" s="30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spans="1:22" ht="14" x14ac:dyDescent="0.3">
      <c r="A732" s="12"/>
      <c r="B732" s="12"/>
      <c r="C732" s="24"/>
      <c r="D732" s="12"/>
      <c r="E732" s="30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spans="1:22" ht="14" x14ac:dyDescent="0.3">
      <c r="A733" s="12"/>
      <c r="B733" s="12"/>
      <c r="C733" s="24"/>
      <c r="D733" s="12"/>
      <c r="E733" s="30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spans="1:22" ht="14" x14ac:dyDescent="0.3">
      <c r="A734" s="12"/>
      <c r="B734" s="12"/>
      <c r="C734" s="24"/>
      <c r="D734" s="12"/>
      <c r="E734" s="30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spans="1:22" ht="14" x14ac:dyDescent="0.3">
      <c r="A735" s="12"/>
      <c r="B735" s="12"/>
      <c r="C735" s="24"/>
      <c r="D735" s="12"/>
      <c r="E735" s="30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spans="1:22" ht="14" x14ac:dyDescent="0.3">
      <c r="A736" s="12"/>
      <c r="B736" s="12"/>
      <c r="C736" s="24"/>
      <c r="D736" s="12"/>
      <c r="E736" s="30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spans="1:22" ht="14" x14ac:dyDescent="0.3">
      <c r="A737" s="12"/>
      <c r="B737" s="12"/>
      <c r="C737" s="24"/>
      <c r="D737" s="12"/>
      <c r="E737" s="30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spans="1:22" ht="14" x14ac:dyDescent="0.3">
      <c r="A738" s="12"/>
      <c r="B738" s="12"/>
      <c r="C738" s="24"/>
      <c r="D738" s="12"/>
      <c r="E738" s="30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spans="1:22" ht="14" x14ac:dyDescent="0.3">
      <c r="A739" s="12"/>
      <c r="B739" s="12"/>
      <c r="C739" s="24"/>
      <c r="D739" s="12"/>
      <c r="E739" s="30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spans="1:22" ht="14" x14ac:dyDescent="0.3">
      <c r="A740" s="12"/>
      <c r="B740" s="12"/>
      <c r="C740" s="24"/>
      <c r="D740" s="12"/>
      <c r="E740" s="30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spans="1:22" ht="14" x14ac:dyDescent="0.3">
      <c r="A741" s="12"/>
      <c r="B741" s="12"/>
      <c r="C741" s="24"/>
      <c r="D741" s="12"/>
      <c r="E741" s="30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spans="1:22" ht="14" x14ac:dyDescent="0.3">
      <c r="A742" s="12"/>
      <c r="B742" s="12"/>
      <c r="C742" s="24"/>
      <c r="D742" s="12"/>
      <c r="E742" s="30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spans="1:22" ht="14" x14ac:dyDescent="0.3">
      <c r="A743" s="12"/>
      <c r="B743" s="12"/>
      <c r="C743" s="24"/>
      <c r="D743" s="12"/>
      <c r="E743" s="30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spans="1:22" ht="14" x14ac:dyDescent="0.3">
      <c r="A744" s="12"/>
      <c r="B744" s="12"/>
      <c r="C744" s="24"/>
      <c r="D744" s="12"/>
      <c r="E744" s="30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spans="1:22" ht="14" x14ac:dyDescent="0.3">
      <c r="A745" s="12"/>
      <c r="B745" s="12"/>
      <c r="C745" s="24"/>
      <c r="D745" s="12"/>
      <c r="E745" s="30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spans="1:22" ht="14" x14ac:dyDescent="0.3">
      <c r="A746" s="12"/>
      <c r="B746" s="12"/>
      <c r="C746" s="24"/>
      <c r="D746" s="12"/>
      <c r="E746" s="30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spans="1:22" ht="14" x14ac:dyDescent="0.3">
      <c r="A747" s="12"/>
      <c r="B747" s="12"/>
      <c r="C747" s="24"/>
      <c r="D747" s="12"/>
      <c r="E747" s="30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spans="1:22" ht="14" x14ac:dyDescent="0.3">
      <c r="A748" s="12"/>
      <c r="B748" s="12"/>
      <c r="C748" s="24"/>
      <c r="D748" s="12"/>
      <c r="E748" s="30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spans="1:22" ht="14" x14ac:dyDescent="0.3">
      <c r="A749" s="12"/>
      <c r="B749" s="12"/>
      <c r="C749" s="24"/>
      <c r="D749" s="12"/>
      <c r="E749" s="30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spans="1:22" ht="14" x14ac:dyDescent="0.3">
      <c r="A750" s="12"/>
      <c r="B750" s="12"/>
      <c r="C750" s="24"/>
      <c r="D750" s="12"/>
      <c r="E750" s="30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spans="1:22" ht="14" x14ac:dyDescent="0.3">
      <c r="A751" s="12"/>
      <c r="B751" s="12"/>
      <c r="C751" s="24"/>
      <c r="D751" s="12"/>
      <c r="E751" s="30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spans="1:22" ht="14" x14ac:dyDescent="0.3">
      <c r="A752" s="12"/>
      <c r="B752" s="12"/>
      <c r="C752" s="24"/>
      <c r="D752" s="12"/>
      <c r="E752" s="30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spans="1:22" ht="14" x14ac:dyDescent="0.3">
      <c r="A753" s="12"/>
      <c r="B753" s="12"/>
      <c r="C753" s="24"/>
      <c r="D753" s="12"/>
      <c r="E753" s="30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spans="1:22" ht="14" x14ac:dyDescent="0.3">
      <c r="A754" s="12"/>
      <c r="B754" s="12"/>
      <c r="C754" s="24"/>
      <c r="D754" s="12"/>
      <c r="E754" s="30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spans="1:22" ht="14" x14ac:dyDescent="0.3">
      <c r="A755" s="12"/>
      <c r="B755" s="12"/>
      <c r="C755" s="24"/>
      <c r="D755" s="12"/>
      <c r="E755" s="30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spans="1:22" ht="14" x14ac:dyDescent="0.3">
      <c r="A756" s="12"/>
      <c r="B756" s="12"/>
      <c r="C756" s="24"/>
      <c r="D756" s="12"/>
      <c r="E756" s="30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spans="1:22" ht="14" x14ac:dyDescent="0.3">
      <c r="A757" s="12"/>
      <c r="B757" s="12"/>
      <c r="C757" s="24"/>
      <c r="D757" s="12"/>
      <c r="E757" s="30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spans="1:22" ht="14" x14ac:dyDescent="0.3">
      <c r="A758" s="12"/>
      <c r="B758" s="12"/>
      <c r="C758" s="24"/>
      <c r="D758" s="12"/>
      <c r="E758" s="30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spans="1:22" ht="14" x14ac:dyDescent="0.3">
      <c r="A759" s="12"/>
      <c r="B759" s="12"/>
      <c r="C759" s="24"/>
      <c r="D759" s="12"/>
      <c r="E759" s="30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spans="1:22" ht="14" x14ac:dyDescent="0.3">
      <c r="A760" s="12"/>
      <c r="B760" s="12"/>
      <c r="C760" s="24"/>
      <c r="D760" s="12"/>
      <c r="E760" s="30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spans="1:22" ht="14" x14ac:dyDescent="0.3">
      <c r="A761" s="12"/>
      <c r="B761" s="12"/>
      <c r="C761" s="24"/>
      <c r="D761" s="12"/>
      <c r="E761" s="30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spans="1:22" ht="14" x14ac:dyDescent="0.3">
      <c r="A762" s="12"/>
      <c r="B762" s="12"/>
      <c r="C762" s="24"/>
      <c r="D762" s="12"/>
      <c r="E762" s="30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spans="1:22" ht="14" x14ac:dyDescent="0.3">
      <c r="A763" s="12"/>
      <c r="B763" s="12"/>
      <c r="C763" s="24"/>
      <c r="D763" s="12"/>
      <c r="E763" s="30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spans="1:22" ht="14" x14ac:dyDescent="0.3">
      <c r="A764" s="12"/>
      <c r="B764" s="12"/>
      <c r="C764" s="24"/>
      <c r="D764" s="12"/>
      <c r="E764" s="30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spans="1:22" ht="14" x14ac:dyDescent="0.3">
      <c r="A765" s="12"/>
      <c r="B765" s="12"/>
      <c r="C765" s="24"/>
      <c r="D765" s="12"/>
      <c r="E765" s="30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spans="1:22" ht="14" x14ac:dyDescent="0.3">
      <c r="A766" s="12"/>
      <c r="B766" s="12"/>
      <c r="C766" s="24"/>
      <c r="D766" s="12"/>
      <c r="E766" s="30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spans="1:22" ht="14" x14ac:dyDescent="0.3">
      <c r="A767" s="12"/>
      <c r="B767" s="12"/>
      <c r="C767" s="24"/>
      <c r="D767" s="12"/>
      <c r="E767" s="30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spans="1:22" ht="14" x14ac:dyDescent="0.3">
      <c r="A768" s="12"/>
      <c r="B768" s="12"/>
      <c r="C768" s="24"/>
      <c r="D768" s="12"/>
      <c r="E768" s="30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spans="1:22" ht="14" x14ac:dyDescent="0.3">
      <c r="A769" s="12"/>
      <c r="B769" s="12"/>
      <c r="C769" s="24"/>
      <c r="D769" s="12"/>
      <c r="E769" s="30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spans="1:22" ht="14" x14ac:dyDescent="0.3">
      <c r="A770" s="12"/>
      <c r="B770" s="12"/>
      <c r="C770" s="24"/>
      <c r="D770" s="12"/>
      <c r="E770" s="30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spans="1:22" ht="14" x14ac:dyDescent="0.3">
      <c r="A771" s="12"/>
      <c r="B771" s="12"/>
      <c r="C771" s="24"/>
      <c r="D771" s="12"/>
      <c r="E771" s="30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spans="1:22" ht="14" x14ac:dyDescent="0.3">
      <c r="A772" s="12"/>
      <c r="B772" s="12"/>
      <c r="C772" s="24"/>
      <c r="D772" s="12"/>
      <c r="E772" s="30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spans="1:22" ht="14" x14ac:dyDescent="0.3">
      <c r="A773" s="12"/>
      <c r="B773" s="12"/>
      <c r="C773" s="24"/>
      <c r="D773" s="12"/>
      <c r="E773" s="30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spans="1:22" ht="14" x14ac:dyDescent="0.3">
      <c r="A774" s="12"/>
      <c r="B774" s="12"/>
      <c r="C774" s="24"/>
      <c r="D774" s="12"/>
      <c r="E774" s="30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spans="1:22" ht="14" x14ac:dyDescent="0.3">
      <c r="A775" s="12"/>
      <c r="B775" s="12"/>
      <c r="C775" s="24"/>
      <c r="D775" s="12"/>
      <c r="E775" s="30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spans="1:22" ht="14" x14ac:dyDescent="0.3">
      <c r="A776" s="12"/>
      <c r="B776" s="12"/>
      <c r="C776" s="24"/>
      <c r="D776" s="12"/>
      <c r="E776" s="30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spans="1:22" ht="14" x14ac:dyDescent="0.3">
      <c r="A777" s="12"/>
      <c r="B777" s="12"/>
      <c r="C777" s="24"/>
      <c r="D777" s="12"/>
      <c r="E777" s="30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spans="1:22" ht="14" x14ac:dyDescent="0.3">
      <c r="A778" s="12"/>
      <c r="B778" s="12"/>
      <c r="C778" s="24"/>
      <c r="D778" s="12"/>
      <c r="E778" s="30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spans="1:22" ht="14" x14ac:dyDescent="0.3">
      <c r="A779" s="12"/>
      <c r="B779" s="12"/>
      <c r="C779" s="24"/>
      <c r="D779" s="12"/>
      <c r="E779" s="30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spans="1:22" ht="14" x14ac:dyDescent="0.3">
      <c r="A780" s="12"/>
      <c r="B780" s="12"/>
      <c r="C780" s="24"/>
      <c r="D780" s="12"/>
      <c r="E780" s="30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spans="1:22" ht="14" x14ac:dyDescent="0.3">
      <c r="A781" s="12"/>
      <c r="B781" s="12"/>
      <c r="C781" s="24"/>
      <c r="D781" s="12"/>
      <c r="E781" s="30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spans="1:22" ht="14" x14ac:dyDescent="0.3">
      <c r="A782" s="12"/>
      <c r="B782" s="12"/>
      <c r="C782" s="24"/>
      <c r="D782" s="12"/>
      <c r="E782" s="30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spans="1:22" ht="14" x14ac:dyDescent="0.3">
      <c r="A783" s="12"/>
      <c r="B783" s="12"/>
      <c r="C783" s="24"/>
      <c r="D783" s="12"/>
      <c r="E783" s="30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spans="1:22" ht="14" x14ac:dyDescent="0.3">
      <c r="A784" s="12"/>
      <c r="B784" s="12"/>
      <c r="C784" s="24"/>
      <c r="D784" s="12"/>
      <c r="E784" s="30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spans="1:22" ht="14" x14ac:dyDescent="0.3">
      <c r="A785" s="12"/>
      <c r="B785" s="12"/>
      <c r="C785" s="24"/>
      <c r="D785" s="12"/>
      <c r="E785" s="30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spans="1:22" ht="14" x14ac:dyDescent="0.3">
      <c r="A786" s="12"/>
      <c r="B786" s="12"/>
      <c r="C786" s="24"/>
      <c r="D786" s="12"/>
      <c r="E786" s="30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spans="1:22" ht="14" x14ac:dyDescent="0.3">
      <c r="A787" s="12"/>
      <c r="B787" s="12"/>
      <c r="C787" s="24"/>
      <c r="D787" s="12"/>
      <c r="E787" s="30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spans="1:22" ht="14" x14ac:dyDescent="0.3">
      <c r="A788" s="12"/>
      <c r="B788" s="12"/>
      <c r="C788" s="24"/>
      <c r="D788" s="12"/>
      <c r="E788" s="30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spans="1:22" ht="14" x14ac:dyDescent="0.3">
      <c r="A789" s="12"/>
      <c r="B789" s="12"/>
      <c r="C789" s="24"/>
      <c r="D789" s="12"/>
      <c r="E789" s="30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spans="1:22" ht="14" x14ac:dyDescent="0.3">
      <c r="A790" s="12"/>
      <c r="B790" s="12"/>
      <c r="C790" s="24"/>
      <c r="D790" s="12"/>
      <c r="E790" s="30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spans="1:22" ht="14" x14ac:dyDescent="0.3">
      <c r="A791" s="12"/>
      <c r="B791" s="12"/>
      <c r="C791" s="24"/>
      <c r="D791" s="12"/>
      <c r="E791" s="30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spans="1:22" ht="14" x14ac:dyDescent="0.3">
      <c r="A792" s="12"/>
      <c r="B792" s="12"/>
      <c r="C792" s="24"/>
      <c r="D792" s="12"/>
      <c r="E792" s="30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spans="1:22" ht="14" x14ac:dyDescent="0.3">
      <c r="A793" s="12"/>
      <c r="B793" s="12"/>
      <c r="C793" s="24"/>
      <c r="D793" s="12"/>
      <c r="E793" s="30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spans="1:22" ht="14" x14ac:dyDescent="0.3">
      <c r="A794" s="12"/>
      <c r="B794" s="12"/>
      <c r="C794" s="24"/>
      <c r="D794" s="12"/>
      <c r="E794" s="30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spans="1:22" ht="14" x14ac:dyDescent="0.3">
      <c r="A795" s="12"/>
      <c r="B795" s="12"/>
      <c r="C795" s="24"/>
      <c r="D795" s="12"/>
      <c r="E795" s="30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spans="1:22" ht="14" x14ac:dyDescent="0.3">
      <c r="A796" s="12"/>
      <c r="B796" s="12"/>
      <c r="C796" s="24"/>
      <c r="D796" s="12"/>
      <c r="E796" s="30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spans="1:22" ht="14" x14ac:dyDescent="0.3">
      <c r="A797" s="12"/>
      <c r="B797" s="12"/>
      <c r="C797" s="24"/>
      <c r="D797" s="12"/>
      <c r="E797" s="30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spans="1:22" ht="14" x14ac:dyDescent="0.3">
      <c r="A798" s="12"/>
      <c r="B798" s="12"/>
      <c r="C798" s="24"/>
      <c r="D798" s="12"/>
      <c r="E798" s="30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spans="1:22" ht="14" x14ac:dyDescent="0.3">
      <c r="A799" s="12"/>
      <c r="B799" s="12"/>
      <c r="C799" s="24"/>
      <c r="D799" s="12"/>
      <c r="E799" s="30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spans="1:22" ht="14" x14ac:dyDescent="0.3">
      <c r="A800" s="12"/>
      <c r="B800" s="12"/>
      <c r="C800" s="24"/>
      <c r="D800" s="12"/>
      <c r="E800" s="30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spans="1:22" ht="14" x14ac:dyDescent="0.3">
      <c r="A801" s="12"/>
      <c r="B801" s="12"/>
      <c r="C801" s="24"/>
      <c r="D801" s="12"/>
      <c r="E801" s="30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spans="1:22" ht="14" x14ac:dyDescent="0.3">
      <c r="A802" s="12"/>
      <c r="B802" s="12"/>
      <c r="C802" s="24"/>
      <c r="D802" s="12"/>
      <c r="E802" s="30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spans="1:22" ht="14" x14ac:dyDescent="0.3">
      <c r="A803" s="12"/>
      <c r="B803" s="12"/>
      <c r="C803" s="24"/>
      <c r="D803" s="12"/>
      <c r="E803" s="30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spans="1:22" ht="14" x14ac:dyDescent="0.3">
      <c r="A804" s="12"/>
      <c r="B804" s="12"/>
      <c r="C804" s="24"/>
      <c r="D804" s="12"/>
      <c r="E804" s="30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spans="1:22" ht="14" x14ac:dyDescent="0.3">
      <c r="A805" s="12"/>
      <c r="B805" s="12"/>
      <c r="C805" s="24"/>
      <c r="D805" s="12"/>
      <c r="E805" s="30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spans="1:22" ht="14" x14ac:dyDescent="0.3">
      <c r="A806" s="12"/>
      <c r="B806" s="12"/>
      <c r="C806" s="24"/>
      <c r="D806" s="12"/>
      <c r="E806" s="30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spans="1:22" ht="14" x14ac:dyDescent="0.3">
      <c r="A807" s="12"/>
      <c r="B807" s="12"/>
      <c r="C807" s="24"/>
      <c r="D807" s="12"/>
      <c r="E807" s="30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spans="1:22" ht="14" x14ac:dyDescent="0.3">
      <c r="A808" s="12"/>
      <c r="B808" s="12"/>
      <c r="C808" s="24"/>
      <c r="D808" s="12"/>
      <c r="E808" s="30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spans="1:22" ht="14" x14ac:dyDescent="0.3">
      <c r="A809" s="12"/>
      <c r="B809" s="12"/>
      <c r="C809" s="24"/>
      <c r="D809" s="12"/>
      <c r="E809" s="30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spans="1:22" ht="14" x14ac:dyDescent="0.3">
      <c r="A810" s="12"/>
      <c r="B810" s="12"/>
      <c r="C810" s="24"/>
      <c r="D810" s="12"/>
      <c r="E810" s="30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spans="1:22" ht="14" x14ac:dyDescent="0.3">
      <c r="A811" s="12"/>
      <c r="B811" s="12"/>
      <c r="C811" s="24"/>
      <c r="D811" s="12"/>
      <c r="E811" s="30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spans="1:22" ht="14" x14ac:dyDescent="0.3">
      <c r="A812" s="12"/>
      <c r="B812" s="12"/>
      <c r="C812" s="24"/>
      <c r="D812" s="12"/>
      <c r="E812" s="30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spans="1:22" ht="14" x14ac:dyDescent="0.3">
      <c r="A813" s="12"/>
      <c r="B813" s="12"/>
      <c r="C813" s="24"/>
      <c r="D813" s="12"/>
      <c r="E813" s="30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spans="1:22" ht="14" x14ac:dyDescent="0.3">
      <c r="A814" s="12"/>
      <c r="B814" s="12"/>
      <c r="C814" s="24"/>
      <c r="D814" s="12"/>
      <c r="E814" s="30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spans="1:22" ht="14" x14ac:dyDescent="0.3">
      <c r="A815" s="12"/>
      <c r="B815" s="12"/>
      <c r="C815" s="24"/>
      <c r="D815" s="12"/>
      <c r="E815" s="30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spans="1:22" ht="14" x14ac:dyDescent="0.3">
      <c r="A816" s="12"/>
      <c r="B816" s="12"/>
      <c r="C816" s="24"/>
      <c r="D816" s="12"/>
      <c r="E816" s="30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spans="1:22" ht="14" x14ac:dyDescent="0.3">
      <c r="A817" s="12"/>
      <c r="B817" s="12"/>
      <c r="C817" s="24"/>
      <c r="D817" s="12"/>
      <c r="E817" s="30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spans="1:22" ht="14" x14ac:dyDescent="0.3">
      <c r="A818" s="12"/>
      <c r="B818" s="12"/>
      <c r="C818" s="24"/>
      <c r="D818" s="12"/>
      <c r="E818" s="30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spans="1:22" ht="14" x14ac:dyDescent="0.3">
      <c r="A819" s="12"/>
      <c r="B819" s="12"/>
      <c r="C819" s="24"/>
      <c r="D819" s="12"/>
      <c r="E819" s="30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spans="1:22" ht="14" x14ac:dyDescent="0.3">
      <c r="A820" s="12"/>
      <c r="B820" s="12"/>
      <c r="C820" s="24"/>
      <c r="D820" s="12"/>
      <c r="E820" s="30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spans="1:22" ht="14" x14ac:dyDescent="0.3">
      <c r="A821" s="12"/>
      <c r="B821" s="12"/>
      <c r="C821" s="24"/>
      <c r="D821" s="12"/>
      <c r="E821" s="30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spans="1:22" ht="14" x14ac:dyDescent="0.3">
      <c r="A822" s="12"/>
      <c r="B822" s="12"/>
      <c r="C822" s="24"/>
      <c r="D822" s="12"/>
      <c r="E822" s="30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spans="1:22" ht="14" x14ac:dyDescent="0.3">
      <c r="A823" s="12"/>
      <c r="B823" s="12"/>
      <c r="C823" s="24"/>
      <c r="D823" s="12"/>
      <c r="E823" s="30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spans="1:22" ht="14" x14ac:dyDescent="0.3">
      <c r="A824" s="12"/>
      <c r="B824" s="12"/>
      <c r="C824" s="24"/>
      <c r="D824" s="12"/>
      <c r="E824" s="30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spans="1:22" ht="14" x14ac:dyDescent="0.3">
      <c r="A825" s="12"/>
      <c r="B825" s="12"/>
      <c r="C825" s="24"/>
      <c r="D825" s="12"/>
      <c r="E825" s="30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spans="1:22" ht="14" x14ac:dyDescent="0.3">
      <c r="A826" s="12"/>
      <c r="B826" s="12"/>
      <c r="C826" s="24"/>
      <c r="D826" s="12"/>
      <c r="E826" s="30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spans="1:22" ht="14" x14ac:dyDescent="0.3">
      <c r="A827" s="12"/>
      <c r="B827" s="12"/>
      <c r="C827" s="24"/>
      <c r="D827" s="12"/>
      <c r="E827" s="30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spans="1:22" ht="14" x14ac:dyDescent="0.3">
      <c r="A828" s="12"/>
      <c r="B828" s="12"/>
      <c r="C828" s="24"/>
      <c r="D828" s="12"/>
      <c r="E828" s="30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spans="1:22" ht="14" x14ac:dyDescent="0.3">
      <c r="A829" s="12"/>
      <c r="B829" s="12"/>
      <c r="C829" s="24"/>
      <c r="D829" s="12"/>
      <c r="E829" s="30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spans="1:22" ht="14" x14ac:dyDescent="0.3">
      <c r="A830" s="12"/>
      <c r="B830" s="12"/>
      <c r="C830" s="24"/>
      <c r="D830" s="12"/>
      <c r="E830" s="30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spans="1:22" ht="14" x14ac:dyDescent="0.3">
      <c r="A831" s="12"/>
      <c r="B831" s="12"/>
      <c r="C831" s="24"/>
      <c r="D831" s="12"/>
      <c r="E831" s="30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spans="1:22" ht="14" x14ac:dyDescent="0.3">
      <c r="A832" s="12"/>
      <c r="B832" s="12"/>
      <c r="C832" s="24"/>
      <c r="D832" s="12"/>
      <c r="E832" s="30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spans="1:22" ht="14" x14ac:dyDescent="0.3">
      <c r="A833" s="12"/>
      <c r="B833" s="12"/>
      <c r="C833" s="24"/>
      <c r="D833" s="12"/>
      <c r="E833" s="30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spans="1:22" ht="14" x14ac:dyDescent="0.3">
      <c r="A834" s="12"/>
      <c r="B834" s="12"/>
      <c r="C834" s="24"/>
      <c r="D834" s="12"/>
      <c r="E834" s="30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spans="1:22" ht="14" x14ac:dyDescent="0.3">
      <c r="A835" s="12"/>
      <c r="B835" s="12"/>
      <c r="C835" s="24"/>
      <c r="D835" s="12"/>
      <c r="E835" s="30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spans="1:22" ht="14" x14ac:dyDescent="0.3">
      <c r="A836" s="12"/>
      <c r="B836" s="12"/>
      <c r="C836" s="24"/>
      <c r="D836" s="12"/>
      <c r="E836" s="30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spans="1:22" ht="14" x14ac:dyDescent="0.3">
      <c r="A837" s="12"/>
      <c r="B837" s="12"/>
      <c r="C837" s="24"/>
      <c r="D837" s="12"/>
      <c r="E837" s="30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spans="1:22" ht="14" x14ac:dyDescent="0.3">
      <c r="A838" s="12"/>
      <c r="B838" s="12"/>
      <c r="C838" s="24"/>
      <c r="D838" s="12"/>
      <c r="E838" s="30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spans="1:22" ht="14" x14ac:dyDescent="0.3">
      <c r="A839" s="12"/>
      <c r="B839" s="12"/>
      <c r="C839" s="24"/>
      <c r="D839" s="12"/>
      <c r="E839" s="30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spans="1:22" ht="14" x14ac:dyDescent="0.3">
      <c r="A840" s="12"/>
      <c r="B840" s="12"/>
      <c r="C840" s="24"/>
      <c r="D840" s="12"/>
      <c r="E840" s="30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spans="1:22" ht="14" x14ac:dyDescent="0.3">
      <c r="A841" s="12"/>
      <c r="B841" s="12"/>
      <c r="C841" s="24"/>
      <c r="D841" s="12"/>
      <c r="E841" s="30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spans="1:22" ht="14" x14ac:dyDescent="0.3">
      <c r="A842" s="12"/>
      <c r="B842" s="12"/>
      <c r="C842" s="24"/>
      <c r="D842" s="12"/>
      <c r="E842" s="30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spans="1:22" ht="14" x14ac:dyDescent="0.3">
      <c r="A843" s="12"/>
      <c r="B843" s="12"/>
      <c r="C843" s="24"/>
      <c r="D843" s="12"/>
      <c r="E843" s="30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spans="1:22" ht="14" x14ac:dyDescent="0.3">
      <c r="A844" s="12"/>
      <c r="B844" s="12"/>
      <c r="C844" s="24"/>
      <c r="D844" s="12"/>
      <c r="E844" s="30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spans="1:22" ht="14" x14ac:dyDescent="0.3">
      <c r="A845" s="12"/>
      <c r="B845" s="12"/>
      <c r="C845" s="24"/>
      <c r="D845" s="12"/>
      <c r="E845" s="30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spans="1:22" ht="14" x14ac:dyDescent="0.3">
      <c r="A846" s="12"/>
      <c r="B846" s="12"/>
      <c r="C846" s="24"/>
      <c r="D846" s="12"/>
      <c r="E846" s="30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spans="1:22" ht="14" x14ac:dyDescent="0.3">
      <c r="A847" s="12"/>
      <c r="B847" s="12"/>
      <c r="C847" s="24"/>
      <c r="D847" s="12"/>
      <c r="E847" s="30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spans="1:22" ht="14" x14ac:dyDescent="0.3">
      <c r="A848" s="12"/>
      <c r="B848" s="12"/>
      <c r="C848" s="24"/>
      <c r="D848" s="12"/>
      <c r="E848" s="30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spans="1:22" ht="14" x14ac:dyDescent="0.3">
      <c r="A849" s="12"/>
      <c r="B849" s="12"/>
      <c r="C849" s="24"/>
      <c r="D849" s="12"/>
      <c r="E849" s="30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spans="1:22" ht="14" x14ac:dyDescent="0.3">
      <c r="A850" s="12"/>
      <c r="B850" s="12"/>
      <c r="C850" s="24"/>
      <c r="D850" s="12"/>
      <c r="E850" s="30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spans="1:22" ht="14" x14ac:dyDescent="0.3">
      <c r="A851" s="12"/>
      <c r="B851" s="12"/>
      <c r="C851" s="24"/>
      <c r="D851" s="12"/>
      <c r="E851" s="30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spans="1:22" ht="14" x14ac:dyDescent="0.3">
      <c r="A852" s="12"/>
      <c r="B852" s="12"/>
      <c r="C852" s="24"/>
      <c r="D852" s="12"/>
      <c r="E852" s="30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spans="1:22" ht="14" x14ac:dyDescent="0.3">
      <c r="A853" s="12"/>
      <c r="B853" s="12"/>
      <c r="C853" s="24"/>
      <c r="D853" s="12"/>
      <c r="E853" s="30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spans="1:22" ht="14" x14ac:dyDescent="0.3">
      <c r="A854" s="12"/>
      <c r="B854" s="12"/>
      <c r="C854" s="24"/>
      <c r="D854" s="12"/>
      <c r="E854" s="30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spans="1:22" ht="14" x14ac:dyDescent="0.3">
      <c r="A855" s="12"/>
      <c r="B855" s="12"/>
      <c r="C855" s="24"/>
      <c r="D855" s="12"/>
      <c r="E855" s="30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spans="1:22" ht="14" x14ac:dyDescent="0.3">
      <c r="A856" s="12"/>
      <c r="B856" s="12"/>
      <c r="C856" s="24"/>
      <c r="D856" s="12"/>
      <c r="E856" s="30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spans="1:22" ht="14" x14ac:dyDescent="0.3">
      <c r="A857" s="12"/>
      <c r="B857" s="12"/>
      <c r="C857" s="24"/>
      <c r="D857" s="12"/>
      <c r="E857" s="30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spans="1:22" ht="14" x14ac:dyDescent="0.3">
      <c r="A858" s="12"/>
      <c r="B858" s="12"/>
      <c r="C858" s="24"/>
      <c r="D858" s="12"/>
      <c r="E858" s="30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spans="1:22" ht="14" x14ac:dyDescent="0.3">
      <c r="A859" s="12"/>
      <c r="B859" s="12"/>
      <c r="C859" s="24"/>
      <c r="D859" s="12"/>
      <c r="E859" s="30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spans="1:22" ht="14" x14ac:dyDescent="0.3">
      <c r="A860" s="12"/>
      <c r="B860" s="12"/>
      <c r="C860" s="24"/>
      <c r="D860" s="12"/>
      <c r="E860" s="30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spans="1:22" ht="14" x14ac:dyDescent="0.3">
      <c r="A861" s="12"/>
      <c r="B861" s="12"/>
      <c r="C861" s="24"/>
      <c r="D861" s="12"/>
      <c r="E861" s="30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spans="1:22" ht="14" x14ac:dyDescent="0.3">
      <c r="A862" s="12"/>
      <c r="B862" s="12"/>
      <c r="C862" s="24"/>
      <c r="D862" s="12"/>
      <c r="E862" s="30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spans="1:22" ht="14" x14ac:dyDescent="0.3">
      <c r="A863" s="12"/>
      <c r="B863" s="12"/>
      <c r="C863" s="24"/>
      <c r="D863" s="12"/>
      <c r="E863" s="30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spans="1:22" ht="14" x14ac:dyDescent="0.3">
      <c r="A864" s="12"/>
      <c r="B864" s="12"/>
      <c r="C864" s="24"/>
      <c r="D864" s="12"/>
      <c r="E864" s="30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spans="1:22" ht="14" x14ac:dyDescent="0.3">
      <c r="A865" s="12"/>
      <c r="B865" s="12"/>
      <c r="C865" s="24"/>
      <c r="D865" s="12"/>
      <c r="E865" s="30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spans="1:22" ht="14" x14ac:dyDescent="0.3">
      <c r="A866" s="12"/>
      <c r="B866" s="12"/>
      <c r="C866" s="24"/>
      <c r="D866" s="12"/>
      <c r="E866" s="30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spans="1:22" ht="14" x14ac:dyDescent="0.3">
      <c r="A867" s="12"/>
      <c r="B867" s="12"/>
      <c r="C867" s="24"/>
      <c r="D867" s="12"/>
      <c r="E867" s="30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spans="1:22" ht="14" x14ac:dyDescent="0.3">
      <c r="A868" s="12"/>
      <c r="B868" s="12"/>
      <c r="C868" s="24"/>
      <c r="D868" s="12"/>
      <c r="E868" s="30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spans="1:22" ht="14" x14ac:dyDescent="0.3">
      <c r="A869" s="12"/>
      <c r="B869" s="12"/>
      <c r="C869" s="24"/>
      <c r="D869" s="12"/>
      <c r="E869" s="30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spans="1:22" ht="14" x14ac:dyDescent="0.3">
      <c r="A870" s="12"/>
      <c r="B870" s="12"/>
      <c r="C870" s="24"/>
      <c r="D870" s="12"/>
      <c r="E870" s="30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spans="1:22" ht="14" x14ac:dyDescent="0.3">
      <c r="A871" s="12"/>
      <c r="B871" s="12"/>
      <c r="C871" s="24"/>
      <c r="D871" s="12"/>
      <c r="E871" s="30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spans="1:22" ht="14" x14ac:dyDescent="0.3">
      <c r="A872" s="12"/>
      <c r="B872" s="12"/>
      <c r="C872" s="24"/>
      <c r="D872" s="12"/>
      <c r="E872" s="30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spans="1:22" ht="14" x14ac:dyDescent="0.3">
      <c r="A873" s="12"/>
      <c r="B873" s="12"/>
      <c r="C873" s="24"/>
      <c r="D873" s="12"/>
      <c r="E873" s="30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spans="1:22" ht="14" x14ac:dyDescent="0.3">
      <c r="A874" s="12"/>
      <c r="B874" s="12"/>
      <c r="C874" s="24"/>
      <c r="D874" s="12"/>
      <c r="E874" s="30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spans="1:22" ht="14" x14ac:dyDescent="0.3">
      <c r="A875" s="12"/>
      <c r="B875" s="12"/>
      <c r="C875" s="24"/>
      <c r="D875" s="12"/>
      <c r="E875" s="30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spans="1:22" ht="14" x14ac:dyDescent="0.3">
      <c r="A876" s="12"/>
      <c r="B876" s="12"/>
      <c r="C876" s="24"/>
      <c r="D876" s="12"/>
      <c r="E876" s="30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spans="1:22" ht="14" x14ac:dyDescent="0.3">
      <c r="A877" s="12"/>
      <c r="B877" s="12"/>
      <c r="C877" s="24"/>
      <c r="D877" s="12"/>
      <c r="E877" s="30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spans="1:22" ht="14" x14ac:dyDescent="0.3">
      <c r="A878" s="12"/>
      <c r="B878" s="12"/>
      <c r="C878" s="24"/>
      <c r="D878" s="12"/>
      <c r="E878" s="30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spans="1:22" ht="14" x14ac:dyDescent="0.3">
      <c r="A879" s="12"/>
      <c r="B879" s="12"/>
      <c r="C879" s="24"/>
      <c r="D879" s="12"/>
      <c r="E879" s="30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spans="1:22" ht="14" x14ac:dyDescent="0.3">
      <c r="A880" s="12"/>
      <c r="B880" s="12"/>
      <c r="C880" s="24"/>
      <c r="D880" s="12"/>
      <c r="E880" s="30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spans="1:22" ht="14" x14ac:dyDescent="0.3">
      <c r="A881" s="12"/>
      <c r="B881" s="12"/>
      <c r="C881" s="24"/>
      <c r="D881" s="12"/>
      <c r="E881" s="30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spans="1:22" ht="14" x14ac:dyDescent="0.3">
      <c r="A882" s="12"/>
      <c r="B882" s="12"/>
      <c r="C882" s="24"/>
      <c r="D882" s="12"/>
      <c r="E882" s="30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spans="1:22" ht="14" x14ac:dyDescent="0.3">
      <c r="A883" s="12"/>
      <c r="B883" s="12"/>
      <c r="C883" s="24"/>
      <c r="D883" s="12"/>
      <c r="E883" s="30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spans="1:22" ht="14" x14ac:dyDescent="0.3">
      <c r="A884" s="12"/>
      <c r="B884" s="12"/>
      <c r="C884" s="24"/>
      <c r="D884" s="12"/>
      <c r="E884" s="30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spans="1:22" ht="14" x14ac:dyDescent="0.3">
      <c r="A885" s="12"/>
      <c r="B885" s="12"/>
      <c r="C885" s="24"/>
      <c r="D885" s="12"/>
      <c r="E885" s="30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spans="1:22" ht="14" x14ac:dyDescent="0.3">
      <c r="A886" s="12"/>
      <c r="B886" s="12"/>
      <c r="C886" s="24"/>
      <c r="D886" s="12"/>
      <c r="E886" s="30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spans="1:22" ht="14" x14ac:dyDescent="0.3">
      <c r="A887" s="12"/>
      <c r="B887" s="12"/>
      <c r="C887" s="24"/>
      <c r="D887" s="12"/>
      <c r="E887" s="30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spans="1:22" ht="14" x14ac:dyDescent="0.3">
      <c r="A888" s="12"/>
      <c r="B888" s="12"/>
      <c r="C888" s="24"/>
      <c r="D888" s="12"/>
      <c r="E888" s="30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spans="1:22" ht="14" x14ac:dyDescent="0.3">
      <c r="A889" s="12"/>
      <c r="B889" s="12"/>
      <c r="C889" s="24"/>
      <c r="D889" s="12"/>
      <c r="E889" s="30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spans="1:22" ht="14" x14ac:dyDescent="0.3">
      <c r="A890" s="12"/>
      <c r="B890" s="12"/>
      <c r="C890" s="24"/>
      <c r="D890" s="12"/>
      <c r="E890" s="30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spans="1:22" ht="14" x14ac:dyDescent="0.3">
      <c r="A891" s="12"/>
      <c r="B891" s="12"/>
      <c r="C891" s="24"/>
      <c r="D891" s="12"/>
      <c r="E891" s="30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spans="1:22" ht="14" x14ac:dyDescent="0.3">
      <c r="A892" s="12"/>
      <c r="B892" s="12"/>
      <c r="C892" s="24"/>
      <c r="D892" s="12"/>
      <c r="E892" s="30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spans="1:22" ht="14" x14ac:dyDescent="0.3">
      <c r="A893" s="12"/>
      <c r="B893" s="12"/>
      <c r="C893" s="24"/>
      <c r="D893" s="12"/>
      <c r="E893" s="30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spans="1:22" ht="14" x14ac:dyDescent="0.3">
      <c r="A894" s="12"/>
      <c r="B894" s="12"/>
      <c r="C894" s="24"/>
      <c r="D894" s="12"/>
      <c r="E894" s="30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spans="1:22" ht="14" x14ac:dyDescent="0.3">
      <c r="A895" s="12"/>
      <c r="B895" s="12"/>
      <c r="C895" s="24"/>
      <c r="D895" s="12"/>
      <c r="E895" s="30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spans="1:22" ht="14" x14ac:dyDescent="0.3">
      <c r="A896" s="12"/>
      <c r="B896" s="12"/>
      <c r="C896" s="24"/>
      <c r="D896" s="12"/>
      <c r="E896" s="30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spans="1:22" ht="14" x14ac:dyDescent="0.3">
      <c r="A897" s="12"/>
      <c r="B897" s="12"/>
      <c r="C897" s="24"/>
      <c r="D897" s="12"/>
      <c r="E897" s="30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spans="1:22" ht="14" x14ac:dyDescent="0.3">
      <c r="A898" s="12"/>
      <c r="B898" s="12"/>
      <c r="C898" s="24"/>
      <c r="D898" s="12"/>
      <c r="E898" s="30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spans="1:22" ht="14" x14ac:dyDescent="0.3">
      <c r="A899" s="12"/>
      <c r="B899" s="12"/>
      <c r="C899" s="24"/>
      <c r="D899" s="12"/>
      <c r="E899" s="30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spans="1:22" ht="14" x14ac:dyDescent="0.3">
      <c r="A900" s="12"/>
      <c r="B900" s="12"/>
      <c r="C900" s="24"/>
      <c r="D900" s="12"/>
      <c r="E900" s="30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spans="1:22" ht="14" x14ac:dyDescent="0.3">
      <c r="A901" s="12"/>
      <c r="B901" s="12"/>
      <c r="C901" s="24"/>
      <c r="D901" s="12"/>
      <c r="E901" s="30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spans="1:22" ht="14" x14ac:dyDescent="0.3">
      <c r="A902" s="12"/>
      <c r="B902" s="12"/>
      <c r="C902" s="24"/>
      <c r="D902" s="12"/>
      <c r="E902" s="30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spans="1:22" ht="14" x14ac:dyDescent="0.3">
      <c r="A903" s="12"/>
      <c r="B903" s="12"/>
      <c r="C903" s="24"/>
      <c r="D903" s="12"/>
      <c r="E903" s="30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spans="1:22" ht="14" x14ac:dyDescent="0.3">
      <c r="A904" s="12"/>
      <c r="B904" s="12"/>
      <c r="C904" s="24"/>
      <c r="D904" s="12"/>
      <c r="E904" s="30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spans="1:22" ht="14" x14ac:dyDescent="0.3">
      <c r="A905" s="12"/>
      <c r="B905" s="12"/>
      <c r="C905" s="24"/>
      <c r="D905" s="12"/>
      <c r="E905" s="30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spans="1:22" ht="14" x14ac:dyDescent="0.3">
      <c r="A906" s="12"/>
      <c r="B906" s="12"/>
      <c r="C906" s="24"/>
      <c r="D906" s="12"/>
      <c r="E906" s="30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spans="1:22" ht="14" x14ac:dyDescent="0.3">
      <c r="A907" s="12"/>
      <c r="B907" s="12"/>
      <c r="C907" s="24"/>
      <c r="D907" s="12"/>
      <c r="E907" s="30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spans="1:22" ht="14" x14ac:dyDescent="0.3">
      <c r="A908" s="12"/>
      <c r="B908" s="12"/>
      <c r="C908" s="24"/>
      <c r="D908" s="12"/>
      <c r="E908" s="30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spans="1:22" ht="14" x14ac:dyDescent="0.3">
      <c r="A909" s="12"/>
      <c r="B909" s="12"/>
      <c r="C909" s="24"/>
      <c r="D909" s="12"/>
      <c r="E909" s="30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spans="1:22" ht="14" x14ac:dyDescent="0.3">
      <c r="A910" s="12"/>
      <c r="B910" s="12"/>
      <c r="C910" s="24"/>
      <c r="D910" s="12"/>
      <c r="E910" s="30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spans="1:22" ht="14" x14ac:dyDescent="0.3">
      <c r="A911" s="12"/>
      <c r="B911" s="12"/>
      <c r="C911" s="24"/>
      <c r="D911" s="12"/>
      <c r="E911" s="30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spans="1:22" ht="14" x14ac:dyDescent="0.3">
      <c r="A912" s="12"/>
      <c r="B912" s="12"/>
      <c r="C912" s="24"/>
      <c r="D912" s="12"/>
      <c r="E912" s="30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spans="1:22" ht="14" x14ac:dyDescent="0.3">
      <c r="A913" s="12"/>
      <c r="B913" s="12"/>
      <c r="C913" s="24"/>
      <c r="D913" s="12"/>
      <c r="E913" s="30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spans="1:22" ht="14" x14ac:dyDescent="0.3">
      <c r="A914" s="12"/>
      <c r="B914" s="12"/>
      <c r="C914" s="24"/>
      <c r="D914" s="12"/>
      <c r="E914" s="30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spans="1:22" ht="14" x14ac:dyDescent="0.3">
      <c r="A915" s="12"/>
      <c r="B915" s="12"/>
      <c r="C915" s="24"/>
      <c r="D915" s="12"/>
      <c r="E915" s="30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spans="1:22" ht="14" x14ac:dyDescent="0.3">
      <c r="A916" s="12"/>
      <c r="B916" s="12"/>
      <c r="C916" s="24"/>
      <c r="D916" s="12"/>
      <c r="E916" s="30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spans="1:22" ht="14" x14ac:dyDescent="0.3">
      <c r="A917" s="12"/>
      <c r="B917" s="12"/>
      <c r="C917" s="24"/>
      <c r="D917" s="12"/>
      <c r="E917" s="30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spans="1:22" ht="14" x14ac:dyDescent="0.3">
      <c r="A918" s="12"/>
      <c r="B918" s="12"/>
      <c r="C918" s="24"/>
      <c r="D918" s="12"/>
      <c r="E918" s="30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spans="1:22" ht="14" x14ac:dyDescent="0.3">
      <c r="A919" s="12"/>
      <c r="B919" s="12"/>
      <c r="C919" s="24"/>
      <c r="D919" s="12"/>
      <c r="E919" s="30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spans="1:22" ht="14" x14ac:dyDescent="0.3">
      <c r="A920" s="12"/>
      <c r="B920" s="12"/>
      <c r="C920" s="24"/>
      <c r="D920" s="12"/>
      <c r="E920" s="30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spans="1:22" ht="14" x14ac:dyDescent="0.3">
      <c r="A921" s="12"/>
      <c r="B921" s="12"/>
      <c r="C921" s="24"/>
      <c r="D921" s="12"/>
      <c r="E921" s="30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spans="1:22" ht="14" x14ac:dyDescent="0.3">
      <c r="A922" s="12"/>
      <c r="B922" s="12"/>
      <c r="C922" s="24"/>
      <c r="D922" s="12"/>
      <c r="E922" s="30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spans="1:22" ht="14" x14ac:dyDescent="0.3">
      <c r="A923" s="12"/>
      <c r="B923" s="12"/>
      <c r="C923" s="24"/>
      <c r="D923" s="12"/>
      <c r="E923" s="30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spans="1:22" ht="14" x14ac:dyDescent="0.3">
      <c r="A924" s="12"/>
      <c r="B924" s="12"/>
      <c r="C924" s="24"/>
      <c r="D924" s="12"/>
      <c r="E924" s="30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spans="1:22" ht="14" x14ac:dyDescent="0.3">
      <c r="A925" s="12"/>
      <c r="B925" s="12"/>
      <c r="C925" s="24"/>
      <c r="D925" s="12"/>
      <c r="E925" s="30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spans="1:22" ht="14" x14ac:dyDescent="0.3">
      <c r="A926" s="12"/>
      <c r="B926" s="12"/>
      <c r="C926" s="24"/>
      <c r="D926" s="12"/>
      <c r="E926" s="30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spans="1:22" ht="14" x14ac:dyDescent="0.3">
      <c r="A927" s="12"/>
      <c r="B927" s="12"/>
      <c r="C927" s="24"/>
      <c r="D927" s="12"/>
      <c r="E927" s="30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spans="1:22" ht="14" x14ac:dyDescent="0.3">
      <c r="A928" s="12"/>
      <c r="B928" s="12"/>
      <c r="C928" s="24"/>
      <c r="D928" s="12"/>
      <c r="E928" s="30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spans="1:22" ht="14" x14ac:dyDescent="0.3">
      <c r="A929" s="12"/>
      <c r="B929" s="12"/>
      <c r="C929" s="24"/>
      <c r="D929" s="12"/>
      <c r="E929" s="30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spans="1:22" ht="14" x14ac:dyDescent="0.3">
      <c r="A930" s="12"/>
      <c r="B930" s="12"/>
      <c r="C930" s="24"/>
      <c r="D930" s="12"/>
      <c r="E930" s="30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spans="1:22" ht="14" x14ac:dyDescent="0.3">
      <c r="A931" s="12"/>
      <c r="B931" s="12"/>
      <c r="C931" s="24"/>
      <c r="D931" s="12"/>
      <c r="E931" s="30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spans="1:22" ht="14" x14ac:dyDescent="0.3">
      <c r="A932" s="12"/>
      <c r="B932" s="12"/>
      <c r="C932" s="24"/>
      <c r="D932" s="12"/>
      <c r="E932" s="30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spans="1:22" ht="14" x14ac:dyDescent="0.3">
      <c r="A933" s="12"/>
      <c r="B933" s="12"/>
      <c r="C933" s="24"/>
      <c r="D933" s="12"/>
      <c r="E933" s="30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spans="1:22" ht="14" x14ac:dyDescent="0.3">
      <c r="A934" s="12"/>
      <c r="B934" s="12"/>
      <c r="C934" s="24"/>
      <c r="D934" s="12"/>
      <c r="E934" s="30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spans="1:22" ht="14" x14ac:dyDescent="0.3">
      <c r="A935" s="12"/>
      <c r="B935" s="12"/>
      <c r="C935" s="24"/>
      <c r="D935" s="12"/>
      <c r="E935" s="30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spans="1:22" ht="14" x14ac:dyDescent="0.3">
      <c r="A936" s="12"/>
      <c r="B936" s="12"/>
      <c r="C936" s="24"/>
      <c r="D936" s="12"/>
      <c r="E936" s="30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spans="1:22" ht="14" x14ac:dyDescent="0.3">
      <c r="A937" s="12"/>
      <c r="B937" s="12"/>
      <c r="C937" s="24"/>
      <c r="D937" s="12"/>
      <c r="E937" s="30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spans="1:22" ht="14" x14ac:dyDescent="0.3">
      <c r="A938" s="12"/>
      <c r="B938" s="12"/>
      <c r="C938" s="24"/>
      <c r="D938" s="12"/>
      <c r="E938" s="30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spans="1:22" ht="14" x14ac:dyDescent="0.3">
      <c r="A939" s="12"/>
      <c r="B939" s="12"/>
      <c r="C939" s="24"/>
      <c r="D939" s="12"/>
      <c r="E939" s="30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spans="1:22" ht="14" x14ac:dyDescent="0.3">
      <c r="A940" s="12"/>
      <c r="B940" s="12"/>
      <c r="C940" s="24"/>
      <c r="D940" s="12"/>
      <c r="E940" s="30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spans="1:22" ht="14" x14ac:dyDescent="0.3">
      <c r="A941" s="12"/>
      <c r="B941" s="12"/>
      <c r="C941" s="24"/>
      <c r="D941" s="12"/>
      <c r="E941" s="30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spans="1:22" ht="14" x14ac:dyDescent="0.3">
      <c r="A942" s="12"/>
      <c r="B942" s="12"/>
      <c r="C942" s="24"/>
      <c r="D942" s="12"/>
      <c r="E942" s="30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spans="1:22" ht="14" x14ac:dyDescent="0.3">
      <c r="A943" s="12"/>
      <c r="B943" s="12"/>
      <c r="C943" s="24"/>
      <c r="D943" s="12"/>
      <c r="E943" s="30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spans="1:22" ht="14" x14ac:dyDescent="0.3">
      <c r="A944" s="12"/>
      <c r="B944" s="12"/>
      <c r="C944" s="24"/>
      <c r="D944" s="12"/>
      <c r="E944" s="30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spans="1:22" ht="14" x14ac:dyDescent="0.3">
      <c r="A945" s="12"/>
      <c r="B945" s="12"/>
      <c r="C945" s="24"/>
      <c r="D945" s="12"/>
      <c r="E945" s="30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spans="1:22" ht="14" x14ac:dyDescent="0.3">
      <c r="A946" s="12"/>
      <c r="B946" s="12"/>
      <c r="C946" s="24"/>
      <c r="D946" s="12"/>
      <c r="E946" s="30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spans="1:22" ht="14" x14ac:dyDescent="0.3">
      <c r="A947" s="12"/>
      <c r="B947" s="12"/>
      <c r="C947" s="24"/>
      <c r="D947" s="12"/>
      <c r="E947" s="30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spans="1:22" ht="14" x14ac:dyDescent="0.3">
      <c r="A948" s="12"/>
      <c r="B948" s="12"/>
      <c r="C948" s="24"/>
      <c r="D948" s="12"/>
      <c r="E948" s="30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spans="1:22" ht="14" x14ac:dyDescent="0.3">
      <c r="A949" s="12"/>
      <c r="B949" s="12"/>
      <c r="C949" s="24"/>
      <c r="D949" s="12"/>
      <c r="E949" s="30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spans="1:22" ht="14" x14ac:dyDescent="0.3">
      <c r="A950" s="12"/>
      <c r="B950" s="12"/>
      <c r="C950" s="24"/>
      <c r="D950" s="12"/>
      <c r="E950" s="30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spans="1:22" ht="14" x14ac:dyDescent="0.3">
      <c r="A951" s="12"/>
      <c r="B951" s="12"/>
      <c r="C951" s="24"/>
      <c r="D951" s="12"/>
      <c r="E951" s="30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spans="1:22" ht="14" x14ac:dyDescent="0.3">
      <c r="A952" s="12"/>
      <c r="B952" s="12"/>
      <c r="C952" s="24"/>
      <c r="D952" s="12"/>
      <c r="E952" s="30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spans="1:22" ht="14" x14ac:dyDescent="0.3">
      <c r="A953" s="12"/>
      <c r="B953" s="12"/>
      <c r="C953" s="24"/>
      <c r="D953" s="12"/>
      <c r="E953" s="30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spans="1:22" ht="14" x14ac:dyDescent="0.3">
      <c r="A954" s="12"/>
      <c r="B954" s="12"/>
      <c r="C954" s="24"/>
      <c r="D954" s="12"/>
      <c r="E954" s="30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spans="1:22" ht="14" x14ac:dyDescent="0.3">
      <c r="A955" s="12"/>
      <c r="B955" s="12"/>
      <c r="C955" s="24"/>
      <c r="D955" s="12"/>
      <c r="E955" s="30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spans="1:22" ht="14" x14ac:dyDescent="0.3">
      <c r="A956" s="12"/>
      <c r="B956" s="12"/>
      <c r="C956" s="24"/>
      <c r="D956" s="12"/>
      <c r="E956" s="30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spans="1:22" ht="14" x14ac:dyDescent="0.3">
      <c r="A957" s="12"/>
      <c r="B957" s="12"/>
      <c r="C957" s="24"/>
      <c r="D957" s="12"/>
      <c r="E957" s="30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spans="1:22" ht="14" x14ac:dyDescent="0.3">
      <c r="A958" s="12"/>
      <c r="B958" s="12"/>
      <c r="C958" s="24"/>
      <c r="D958" s="12"/>
      <c r="E958" s="30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spans="1:22" ht="14" x14ac:dyDescent="0.3">
      <c r="A959" s="12"/>
      <c r="B959" s="12"/>
      <c r="C959" s="24"/>
      <c r="D959" s="12"/>
      <c r="E959" s="30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spans="1:22" ht="14" x14ac:dyDescent="0.3">
      <c r="A960" s="12"/>
      <c r="B960" s="12"/>
      <c r="C960" s="24"/>
      <c r="D960" s="12"/>
      <c r="E960" s="30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spans="1:22" ht="14" x14ac:dyDescent="0.3">
      <c r="A961" s="12"/>
      <c r="B961" s="12"/>
      <c r="C961" s="24"/>
      <c r="D961" s="12"/>
      <c r="E961" s="30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spans="1:22" ht="14" x14ac:dyDescent="0.3">
      <c r="A962" s="12"/>
      <c r="B962" s="12"/>
      <c r="C962" s="24"/>
      <c r="D962" s="12"/>
      <c r="E962" s="30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spans="1:22" ht="14" x14ac:dyDescent="0.3">
      <c r="A963" s="12"/>
      <c r="B963" s="12"/>
      <c r="C963" s="24"/>
      <c r="D963" s="12"/>
      <c r="E963" s="30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spans="1:22" ht="14" x14ac:dyDescent="0.3">
      <c r="A964" s="12"/>
      <c r="B964" s="12"/>
      <c r="C964" s="24"/>
      <c r="D964" s="12"/>
      <c r="E964" s="30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spans="1:22" ht="14" x14ac:dyDescent="0.3">
      <c r="A965" s="12"/>
      <c r="B965" s="12"/>
      <c r="C965" s="24"/>
      <c r="D965" s="12"/>
      <c r="E965" s="30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spans="1:22" ht="14" x14ac:dyDescent="0.3">
      <c r="A966" s="12"/>
      <c r="B966" s="12"/>
      <c r="C966" s="24"/>
      <c r="D966" s="12"/>
      <c r="E966" s="30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spans="1:22" ht="14" x14ac:dyDescent="0.3">
      <c r="A967" s="12"/>
      <c r="B967" s="12"/>
      <c r="C967" s="24"/>
      <c r="D967" s="12"/>
      <c r="E967" s="30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spans="1:22" ht="14" x14ac:dyDescent="0.3">
      <c r="A968" s="12"/>
      <c r="B968" s="12"/>
      <c r="C968" s="24"/>
      <c r="D968" s="12"/>
      <c r="E968" s="30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spans="1:22" ht="14" x14ac:dyDescent="0.3">
      <c r="A969" s="12"/>
      <c r="B969" s="12"/>
      <c r="C969" s="24"/>
      <c r="D969" s="12"/>
      <c r="E969" s="30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spans="1:22" ht="14" x14ac:dyDescent="0.3">
      <c r="A970" s="12"/>
      <c r="B970" s="12"/>
      <c r="C970" s="24"/>
      <c r="D970" s="12"/>
      <c r="E970" s="30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spans="1:22" ht="14" x14ac:dyDescent="0.3">
      <c r="A971" s="12"/>
      <c r="B971" s="12"/>
      <c r="C971" s="24"/>
      <c r="D971" s="12"/>
      <c r="E971" s="30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spans="1:22" ht="14" x14ac:dyDescent="0.3">
      <c r="A972" s="12"/>
      <c r="B972" s="12"/>
      <c r="C972" s="24"/>
      <c r="D972" s="12"/>
      <c r="E972" s="30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spans="1:22" ht="14" x14ac:dyDescent="0.3">
      <c r="A973" s="12"/>
      <c r="B973" s="12"/>
      <c r="C973" s="24"/>
      <c r="D973" s="12"/>
      <c r="E973" s="30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spans="1:22" ht="14" x14ac:dyDescent="0.3">
      <c r="A974" s="12"/>
      <c r="B974" s="12"/>
      <c r="C974" s="24"/>
      <c r="D974" s="12"/>
      <c r="E974" s="30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spans="1:22" ht="14" x14ac:dyDescent="0.3">
      <c r="A975" s="12"/>
      <c r="B975" s="12"/>
      <c r="C975" s="24"/>
      <c r="D975" s="12"/>
      <c r="E975" s="30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spans="1:22" ht="14" x14ac:dyDescent="0.3">
      <c r="A976" s="12"/>
      <c r="B976" s="12"/>
      <c r="C976" s="24"/>
      <c r="D976" s="12"/>
      <c r="E976" s="30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spans="1:22" ht="14" x14ac:dyDescent="0.3">
      <c r="A977" s="12"/>
      <c r="B977" s="12"/>
      <c r="C977" s="24"/>
      <c r="D977" s="12"/>
      <c r="E977" s="30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spans="1:22" ht="14" x14ac:dyDescent="0.3">
      <c r="A978" s="12"/>
      <c r="B978" s="12"/>
      <c r="C978" s="24"/>
      <c r="D978" s="12"/>
      <c r="E978" s="30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spans="1:22" ht="14" x14ac:dyDescent="0.3">
      <c r="A979" s="12"/>
      <c r="B979" s="12"/>
      <c r="C979" s="24"/>
      <c r="D979" s="12"/>
      <c r="E979" s="30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spans="1:22" ht="14" x14ac:dyDescent="0.3">
      <c r="A980" s="12"/>
      <c r="B980" s="12"/>
      <c r="C980" s="24"/>
      <c r="D980" s="12"/>
      <c r="E980" s="30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spans="1:22" ht="14" x14ac:dyDescent="0.3">
      <c r="A981" s="12"/>
      <c r="B981" s="12"/>
      <c r="C981" s="24"/>
      <c r="D981" s="12"/>
      <c r="E981" s="30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spans="1:22" ht="14" x14ac:dyDescent="0.3">
      <c r="A982" s="12"/>
      <c r="B982" s="12"/>
      <c r="C982" s="24"/>
      <c r="D982" s="12"/>
      <c r="E982" s="30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spans="1:22" ht="14" x14ac:dyDescent="0.3">
      <c r="A983" s="12"/>
      <c r="B983" s="12"/>
      <c r="C983" s="24"/>
      <c r="D983" s="12"/>
      <c r="E983" s="30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spans="1:22" ht="14" x14ac:dyDescent="0.3">
      <c r="A984" s="12"/>
      <c r="B984" s="12"/>
      <c r="C984" s="24"/>
      <c r="D984" s="12"/>
      <c r="E984" s="30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spans="1:22" ht="14" x14ac:dyDescent="0.3">
      <c r="A985" s="12"/>
      <c r="B985" s="12"/>
      <c r="C985" s="24"/>
      <c r="D985" s="12"/>
      <c r="E985" s="30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spans="1:22" ht="14" x14ac:dyDescent="0.3">
      <c r="A986" s="12"/>
      <c r="B986" s="12"/>
      <c r="C986" s="24"/>
      <c r="D986" s="12"/>
      <c r="E986" s="30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spans="1:22" ht="14" x14ac:dyDescent="0.3">
      <c r="A987" s="12"/>
      <c r="B987" s="12"/>
      <c r="C987" s="24"/>
      <c r="D987" s="12"/>
      <c r="E987" s="30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spans="1:22" ht="14" x14ac:dyDescent="0.3">
      <c r="A988" s="12"/>
      <c r="B988" s="12"/>
      <c r="C988" s="24"/>
      <c r="D988" s="12"/>
      <c r="E988" s="30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spans="1:22" ht="14" x14ac:dyDescent="0.3">
      <c r="A989" s="12"/>
      <c r="B989" s="12"/>
      <c r="C989" s="24"/>
      <c r="D989" s="12"/>
      <c r="E989" s="30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spans="1:22" ht="14" x14ac:dyDescent="0.3">
      <c r="A990" s="12"/>
      <c r="B990" s="12"/>
      <c r="C990" s="24"/>
      <c r="D990" s="12"/>
      <c r="E990" s="30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spans="1:22" ht="14" x14ac:dyDescent="0.3">
      <c r="A991" s="12"/>
      <c r="B991" s="12"/>
      <c r="C991" s="24"/>
      <c r="D991" s="12"/>
      <c r="E991" s="30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spans="1:22" ht="14" x14ac:dyDescent="0.3">
      <c r="A992" s="12"/>
      <c r="B992" s="12"/>
      <c r="C992" s="24"/>
      <c r="D992" s="12"/>
      <c r="E992" s="30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spans="1:22" ht="14" x14ac:dyDescent="0.3">
      <c r="A993" s="12"/>
      <c r="B993" s="12"/>
      <c r="C993" s="24"/>
      <c r="D993" s="12"/>
      <c r="E993" s="30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spans="1:22" ht="14" x14ac:dyDescent="0.3">
      <c r="A994" s="12"/>
      <c r="B994" s="12"/>
      <c r="C994" s="24"/>
      <c r="D994" s="12"/>
      <c r="E994" s="30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spans="1:22" ht="14" x14ac:dyDescent="0.3">
      <c r="A995" s="12"/>
      <c r="B995" s="12"/>
      <c r="C995" s="24"/>
      <c r="D995" s="12"/>
      <c r="E995" s="30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spans="1:22" ht="14" x14ac:dyDescent="0.3">
      <c r="A996" s="12"/>
      <c r="B996" s="12"/>
      <c r="C996" s="24"/>
      <c r="D996" s="12"/>
      <c r="E996" s="30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spans="1:22" ht="14" x14ac:dyDescent="0.3">
      <c r="A997" s="12"/>
      <c r="B997" s="12"/>
      <c r="C997" s="24"/>
      <c r="D997" s="12"/>
      <c r="E997" s="30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spans="1:22" ht="14" x14ac:dyDescent="0.3">
      <c r="A998" s="12"/>
      <c r="B998" s="12"/>
      <c r="C998" s="24"/>
      <c r="D998" s="12"/>
      <c r="E998" s="30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spans="1:22" ht="14" x14ac:dyDescent="0.3">
      <c r="A999" s="12"/>
      <c r="B999" s="12"/>
      <c r="C999" s="24"/>
      <c r="D999" s="12"/>
      <c r="E999" s="30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spans="1:22" ht="14" x14ac:dyDescent="0.3">
      <c r="A1000" s="12"/>
      <c r="B1000" s="12"/>
      <c r="C1000" s="24"/>
      <c r="D1000" s="12"/>
      <c r="E1000" s="30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autoFilter ref="A1:E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3" sqref="B13"/>
    </sheetView>
  </sheetViews>
  <sheetFormatPr baseColWidth="10" defaultRowHeight="12.5" x14ac:dyDescent="0.25"/>
  <cols>
    <col min="1" max="1" width="17" bestFit="1" customWidth="1"/>
    <col min="2" max="2" width="18.26953125" customWidth="1"/>
    <col min="3" max="3" width="14.26953125" style="32" bestFit="1" customWidth="1"/>
  </cols>
  <sheetData>
    <row r="1" spans="1:3" x14ac:dyDescent="0.25">
      <c r="A1" s="26" t="s">
        <v>90</v>
      </c>
      <c r="B1" t="s" vm="1">
        <v>101</v>
      </c>
    </row>
    <row r="3" spans="1:3" x14ac:dyDescent="0.25">
      <c r="A3" s="26" t="s">
        <v>58</v>
      </c>
      <c r="B3" t="s">
        <v>60</v>
      </c>
      <c r="C3" s="33" t="s">
        <v>59</v>
      </c>
    </row>
    <row r="4" spans="1:3" x14ac:dyDescent="0.25">
      <c r="A4" s="25" t="s">
        <v>47</v>
      </c>
      <c r="B4" s="27">
        <v>1</v>
      </c>
      <c r="C4" s="33">
        <v>820136.26399999997</v>
      </c>
    </row>
    <row r="5" spans="1:3" x14ac:dyDescent="0.25">
      <c r="A5" s="25" t="s">
        <v>48</v>
      </c>
      <c r="B5" s="27">
        <v>4</v>
      </c>
      <c r="C5" s="33">
        <v>3498756.865999999</v>
      </c>
    </row>
    <row r="6" spans="1:3" x14ac:dyDescent="0.25">
      <c r="A6" s="25" t="s">
        <v>49</v>
      </c>
      <c r="B6" s="27">
        <v>6</v>
      </c>
      <c r="C6" s="33">
        <v>6065038.216</v>
      </c>
    </row>
    <row r="7" spans="1:3" x14ac:dyDescent="0.25">
      <c r="A7" s="25" t="s">
        <v>50</v>
      </c>
      <c r="B7" s="27">
        <v>3</v>
      </c>
      <c r="C7" s="33">
        <v>3485907.6140000001</v>
      </c>
    </row>
    <row r="8" spans="1:3" x14ac:dyDescent="0.25">
      <c r="A8" s="25" t="s">
        <v>51</v>
      </c>
      <c r="B8" s="27">
        <v>2</v>
      </c>
      <c r="C8" s="33">
        <v>1774731.398</v>
      </c>
    </row>
    <row r="9" spans="1:3" x14ac:dyDescent="0.25">
      <c r="A9" s="25" t="s">
        <v>52</v>
      </c>
      <c r="B9" s="27">
        <v>3</v>
      </c>
      <c r="C9" s="33">
        <v>3217840.1319999998</v>
      </c>
    </row>
    <row r="10" spans="1:3" x14ac:dyDescent="0.25">
      <c r="A10" s="25" t="s">
        <v>53</v>
      </c>
      <c r="B10" s="27">
        <v>4</v>
      </c>
      <c r="C10" s="33">
        <v>4377884.2359999996</v>
      </c>
    </row>
    <row r="11" spans="1:3" x14ac:dyDescent="0.25">
      <c r="A11" s="25" t="s">
        <v>55</v>
      </c>
      <c r="B11" s="27">
        <v>2</v>
      </c>
      <c r="C11" s="33">
        <v>2244718.16</v>
      </c>
    </row>
    <row r="12" spans="1:3" x14ac:dyDescent="0.25">
      <c r="A12" s="25" t="s">
        <v>41</v>
      </c>
      <c r="B12" s="27">
        <v>25</v>
      </c>
      <c r="C12" s="33">
        <v>25485012.885999996</v>
      </c>
    </row>
    <row r="13" spans="1:3" x14ac:dyDescent="0.25">
      <c r="C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0"/>
  <sheetViews>
    <sheetView topLeftCell="A10" workbookViewId="0">
      <selection activeCell="C21" sqref="C21"/>
    </sheetView>
  </sheetViews>
  <sheetFormatPr baseColWidth="10" defaultColWidth="12.6328125" defaultRowHeight="15.75" customHeight="1" x14ac:dyDescent="0.25"/>
  <cols>
    <col min="1" max="1" width="6" customWidth="1"/>
    <col min="2" max="2" width="21.26953125" customWidth="1"/>
    <col min="3" max="3" width="9.90625" bestFit="1" customWidth="1"/>
    <col min="4" max="4" width="24.08984375" customWidth="1"/>
    <col min="5" max="5" width="11.08984375" customWidth="1"/>
    <col min="6" max="6" width="10" customWidth="1"/>
    <col min="7" max="7" width="15.08984375" customWidth="1"/>
    <col min="8" max="8" width="12.6328125" customWidth="1"/>
    <col min="9" max="9" width="13.26953125" customWidth="1"/>
    <col min="10" max="10" width="13.36328125" customWidth="1"/>
    <col min="11" max="11" width="14.7265625" customWidth="1"/>
    <col min="12" max="12" width="13.26953125" customWidth="1"/>
    <col min="13" max="13" width="18.7265625" customWidth="1"/>
  </cols>
  <sheetData>
    <row r="1" spans="1:26" ht="39" x14ac:dyDescent="0.3">
      <c r="A1" s="1" t="str">
        <f ca="1">IFERROR(__xludf.DUMMYFUNCTION("IMPORTRANGE(""https://docs.google.com/spreadsheets/d/1wvfkf5xX2FDS85orIC5Z6K49ytMj34maGqGgJrXycTM/edit?gid=430646878#gid=430646878"",""Comercial!A1:z100"")"),"Legajo")</f>
        <v>Legajo</v>
      </c>
      <c r="B1" s="1" t="str">
        <f ca="1">IFERROR(__xludf.DUMMYFUNCTION("""COMPUTED_VALUE"""),"Apellido y Nombre")</f>
        <v>Apellido y Nombre</v>
      </c>
      <c r="C1" s="1" t="str">
        <f ca="1">IFERROR(__xludf.DUMMYFUNCTION("""COMPUTED_VALUE"""),"Periodo")</f>
        <v>Periodo</v>
      </c>
      <c r="D1" s="1" t="str">
        <f ca="1">IFERROR(__xludf.DUMMYFUNCTION("""COMPUTED_VALUE"""),"Tienda asignada este mes")</f>
        <v>Tienda asignada este mes</v>
      </c>
      <c r="E1" s="2" t="str">
        <f ca="1">IFERROR(__xludf.DUMMYFUNCTION("""COMPUTED_VALUE"""),"Horas Totales")</f>
        <v>Horas Totales</v>
      </c>
      <c r="F1" s="2" t="str">
        <f ca="1">IFERROR(__xludf.DUMMYFUNCTION("""COMPUTED_VALUE"""),"Hs Feriados")</f>
        <v>Hs Feriados</v>
      </c>
      <c r="G1" s="3" t="str">
        <f ca="1">IFERROR(__xludf.DUMMYFUNCTION("""COMPUTED_VALUE"""),"Hs Normales (con vacaciones)")</f>
        <v>Hs Normales (con vacaciones)</v>
      </c>
      <c r="H1" s="3" t="str">
        <f ca="1">IFERROR(__xludf.DUMMYFUNCTION("""COMPUTED_VALUE"""),"Plus vacacional")</f>
        <v>Plus vacacional</v>
      </c>
      <c r="I1" s="1" t="str">
        <f ca="1">IFERROR(__xludf.DUMMYFUNCTION("""COMPUTED_VALUE"""),"Sueldo Neto")</f>
        <v>Sueldo Neto</v>
      </c>
      <c r="J1" s="1" t="str">
        <f ca="1">IFERROR(__xludf.DUMMYFUNCTION("""COMPUTED_VALUE"""),"Sueldo Bruto")</f>
        <v>Sueldo Bruto</v>
      </c>
      <c r="K1" s="1" t="str">
        <f ca="1">IFERROR(__xludf.DUMMYFUNCTION("""COMPUTED_VALUE"""),"Cargas + ART")</f>
        <v>Cargas + ART</v>
      </c>
      <c r="L1" s="1" t="str">
        <f ca="1">IFERROR(__xludf.DUMMYFUNCTION("""COMPUTED_VALUE"""),"Costo total")</f>
        <v>Costo total</v>
      </c>
      <c r="M1" s="1" t="str">
        <f ca="1">IFERROR(__xludf.DUMMYFUNCTION("""COMPUTED_VALUE"""),"Observaciones")</f>
        <v>Observaciones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4">
        <f ca="1">IFERROR(__xludf.DUMMYFUNCTION("""COMPUTED_VALUE"""),55)</f>
        <v>55</v>
      </c>
      <c r="B2" s="4" t="str">
        <f ca="1">IFERROR(__xludf.DUMMYFUNCTION("""COMPUTED_VALUE"""),"Carrizo Camila")</f>
        <v>Carrizo Camila</v>
      </c>
      <c r="C2" s="6">
        <f ca="1">IFERROR(__xludf.DUMMYFUNCTION("""COMPUTED_VALUE"""),44414)</f>
        <v>44414</v>
      </c>
      <c r="D2" s="4" t="str">
        <f ca="1">IFERROR(__xludf.DUMMYFUNCTION("""COMPUTED_VALUE"""),"AS San Telmo")</f>
        <v>AS San Telmo</v>
      </c>
      <c r="E2" s="7">
        <f ca="1">IFERROR(__xludf.DUMMYFUNCTION("""COMPUTED_VALUE"""),132)</f>
        <v>132</v>
      </c>
      <c r="F2" s="7">
        <f ca="1">IFERROR(__xludf.DUMMYFUNCTION("""COMPUTED_VALUE"""),15)</f>
        <v>15</v>
      </c>
      <c r="G2" s="7">
        <f ca="1">IFERROR(__xludf.DUMMYFUNCTION("""COMPUTED_VALUE"""),117)</f>
        <v>117</v>
      </c>
      <c r="H2" s="7" t="str">
        <f ca="1">IFERROR(__xludf.DUMMYFUNCTION("""COMPUTED_VALUE"""),"SI")</f>
        <v>SI</v>
      </c>
      <c r="I2" s="7">
        <f ca="1">IFERROR(__xludf.DUMMYFUNCTION("""COMPUTED_VALUE"""),407248)</f>
        <v>407248</v>
      </c>
      <c r="J2" s="7">
        <f ca="1">IFERROR(__xludf.DUMMYFUNCTION("""COMPUTED_VALUE"""),502512.64)</f>
        <v>502512.64000000001</v>
      </c>
      <c r="K2" s="7">
        <f ca="1">IFERROR(__xludf.DUMMYFUNCTION("""COMPUTED_VALUE"""),153537.752)</f>
        <v>153537.75200000001</v>
      </c>
      <c r="L2" s="7">
        <f ca="1">IFERROR(__xludf.DUMMYFUNCTION("""COMPUTED_VALUE"""),656050.392)</f>
        <v>656050.39199999999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4">
        <f ca="1">IFERROR(__xludf.DUMMYFUNCTION("""COMPUTED_VALUE"""),103)</f>
        <v>103</v>
      </c>
      <c r="B3" s="4" t="str">
        <f ca="1">IFERROR(__xludf.DUMMYFUNCTION("""COMPUTED_VALUE"""),"Esposito Candela")</f>
        <v>Esposito Candela</v>
      </c>
      <c r="C3" s="6">
        <f ca="1">IFERROR(__xludf.DUMMYFUNCTION("""COMPUTED_VALUE"""),44854)</f>
        <v>44854</v>
      </c>
      <c r="D3" s="4" t="str">
        <f ca="1">IFERROR(__xludf.DUMMYFUNCTION("""COMPUTED_VALUE"""),"Lucero San Telmo")</f>
        <v>Lucero San Telmo</v>
      </c>
      <c r="E3" s="7">
        <f ca="1">IFERROR(__xludf.DUMMYFUNCTION("""COMPUTED_VALUE"""),130)</f>
        <v>130</v>
      </c>
      <c r="F3" s="7">
        <f ca="1">IFERROR(__xludf.DUMMYFUNCTION("""COMPUTED_VALUE"""),16)</f>
        <v>16</v>
      </c>
      <c r="G3" s="7">
        <f ca="1">IFERROR(__xludf.DUMMYFUNCTION("""COMPUTED_VALUE"""),114)</f>
        <v>114</v>
      </c>
      <c r="H3" s="7" t="str">
        <f ca="1">IFERROR(__xludf.DUMMYFUNCTION("""COMPUTED_VALUE"""),"SI")</f>
        <v>SI</v>
      </c>
      <c r="I3" s="7">
        <f ca="1">IFERROR(__xludf.DUMMYFUNCTION("""COMPUTED_VALUE"""),602346)</f>
        <v>602346</v>
      </c>
      <c r="J3" s="7">
        <f ca="1">IFERROR(__xludf.DUMMYFUNCTION("""COMPUTED_VALUE"""),754788.33)</f>
        <v>754788.33</v>
      </c>
      <c r="K3" s="7">
        <f ca="1">IFERROR(__xludf.DUMMYFUNCTION("""COMPUTED_VALUE"""),226504.404)</f>
        <v>226504.40400000001</v>
      </c>
      <c r="L3" s="7">
        <f ca="1">IFERROR(__xludf.DUMMYFUNCTION("""COMPUTED_VALUE"""),981292.733999999)</f>
        <v>981292.73399999901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4">
        <f ca="1">IFERROR(__xludf.DUMMYFUNCTION("""COMPUTED_VALUE"""),120)</f>
        <v>120</v>
      </c>
      <c r="B4" s="4" t="str">
        <f ca="1">IFERROR(__xludf.DUMMYFUNCTION("""COMPUTED_VALUE"""),"Bertolo Milagros")</f>
        <v>Bertolo Milagros</v>
      </c>
      <c r="C4" s="6">
        <f ca="1">IFERROR(__xludf.DUMMYFUNCTION("""COMPUTED_VALUE"""),45020)</f>
        <v>45020</v>
      </c>
      <c r="D4" s="4" t="str">
        <f ca="1">IFERROR(__xludf.DUMMYFUNCTION("""COMPUTED_VALUE"""),"Lucero French")</f>
        <v>Lucero French</v>
      </c>
      <c r="E4" s="7">
        <f ca="1">IFERROR(__xludf.DUMMYFUNCTION("""COMPUTED_VALUE"""),132)</f>
        <v>132</v>
      </c>
      <c r="F4" s="7">
        <f ca="1">IFERROR(__xludf.DUMMYFUNCTION("""COMPUTED_VALUE"""),14)</f>
        <v>14</v>
      </c>
      <c r="G4" s="7">
        <f ca="1">IFERROR(__xludf.DUMMYFUNCTION("""COMPUTED_VALUE"""),118)</f>
        <v>118</v>
      </c>
      <c r="H4" s="7" t="str">
        <f ca="1">IFERROR(__xludf.DUMMYFUNCTION("""COMPUTED_VALUE"""),"NO")</f>
        <v>NO</v>
      </c>
      <c r="I4" s="7">
        <f ca="1">IFERROR(__xludf.DUMMYFUNCTION("""COMPUTED_VALUE"""),722257)</f>
        <v>722257</v>
      </c>
      <c r="J4" s="7">
        <f ca="1">IFERROR(__xludf.DUMMYFUNCTION("""COMPUTED_VALUE"""),909397.24)</f>
        <v>909397.24</v>
      </c>
      <c r="K4" s="7">
        <f ca="1">IFERROR(__xludf.DUMMYFUNCTION("""COMPUTED_VALUE"""),271351.118)</f>
        <v>271351.11800000002</v>
      </c>
      <c r="L4" s="7">
        <f ca="1">IFERROR(__xludf.DUMMYFUNCTION("""COMPUTED_VALUE"""),1180748.358)</f>
        <v>1180748.358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4">
        <f ca="1">IFERROR(__xludf.DUMMYFUNCTION("""COMPUTED_VALUE"""),126)</f>
        <v>126</v>
      </c>
      <c r="B5" s="4" t="str">
        <f ca="1">IFERROR(__xludf.DUMMYFUNCTION("""COMPUTED_VALUE"""),"Barajas Barbara")</f>
        <v>Barajas Barbara</v>
      </c>
      <c r="C5" s="6">
        <f ca="1">IFERROR(__xludf.DUMMYFUNCTION("""COMPUTED_VALUE"""),45057)</f>
        <v>45057</v>
      </c>
      <c r="D5" s="4" t="str">
        <f ca="1">IFERROR(__xludf.DUMMYFUNCTION("""COMPUTED_VALUE"""),"Lucero Recoleta")</f>
        <v>Lucero Recoleta</v>
      </c>
      <c r="E5" s="7">
        <f ca="1">IFERROR(__xludf.DUMMYFUNCTION("""COMPUTED_VALUE"""),126)</f>
        <v>126</v>
      </c>
      <c r="F5" s="7">
        <f ca="1">IFERROR(__xludf.DUMMYFUNCTION("""COMPUTED_VALUE"""),12)</f>
        <v>12</v>
      </c>
      <c r="G5" s="7">
        <f ca="1">IFERROR(__xludf.DUMMYFUNCTION("""COMPUTED_VALUE"""),114)</f>
        <v>114</v>
      </c>
      <c r="H5" s="7" t="str">
        <f ca="1">IFERROR(__xludf.DUMMYFUNCTION("""COMPUTED_VALUE"""),"NO")</f>
        <v>NO</v>
      </c>
      <c r="I5" s="7">
        <f ca="1">IFERROR(__xludf.DUMMYFUNCTION("""COMPUTED_VALUE"""),691491)</f>
        <v>691491</v>
      </c>
      <c r="J5" s="7">
        <f ca="1">IFERROR(__xludf.DUMMYFUNCTION("""COMPUTED_VALUE"""),870666.13)</f>
        <v>870666.13</v>
      </c>
      <c r="K5" s="7">
        <f ca="1">IFERROR(__xludf.DUMMYFUNCTION("""COMPUTED_VALUE"""),259844.634)</f>
        <v>259844.63399999999</v>
      </c>
      <c r="L5" s="7">
        <f ca="1">IFERROR(__xludf.DUMMYFUNCTION("""COMPUTED_VALUE"""),1130510.764)</f>
        <v>1130510.764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>
        <f ca="1">IFERROR(__xludf.DUMMYFUNCTION("""COMPUTED_VALUE"""),131)</f>
        <v>131</v>
      </c>
      <c r="B6" s="4" t="str">
        <f ca="1">IFERROR(__xludf.DUMMYFUNCTION("""COMPUTED_VALUE"""),"De Brito Rocio")</f>
        <v>De Brito Rocio</v>
      </c>
      <c r="C6" s="6">
        <f ca="1">IFERROR(__xludf.DUMMYFUNCTION("""COMPUTED_VALUE"""),45085)</f>
        <v>45085</v>
      </c>
      <c r="D6" s="4" t="str">
        <f ca="1">IFERROR(__xludf.DUMMYFUNCTION("""COMPUTED_VALUE"""),"Lucero Güemes")</f>
        <v>Lucero Güemes</v>
      </c>
      <c r="E6" s="7">
        <f ca="1">IFERROR(__xludf.DUMMYFUNCTION("""COMPUTED_VALUE"""),119)</f>
        <v>119</v>
      </c>
      <c r="F6" s="7">
        <f ca="1">IFERROR(__xludf.DUMMYFUNCTION("""COMPUTED_VALUE"""),0)</f>
        <v>0</v>
      </c>
      <c r="G6" s="7">
        <f ca="1">IFERROR(__xludf.DUMMYFUNCTION("""COMPUTED_VALUE"""),119)</f>
        <v>119</v>
      </c>
      <c r="H6" s="7" t="str">
        <f ca="1">IFERROR(__xludf.DUMMYFUNCTION("""COMPUTED_VALUE"""),"NO")</f>
        <v>NO</v>
      </c>
      <c r="I6" s="7">
        <f ca="1">IFERROR(__xludf.DUMMYFUNCTION("""COMPUTED_VALUE"""),653295)</f>
        <v>653295</v>
      </c>
      <c r="J6" s="7">
        <f ca="1">IFERROR(__xludf.DUMMYFUNCTION("""COMPUTED_VALUE"""),806071.37)</f>
        <v>806071.37</v>
      </c>
      <c r="K6" s="7">
        <f ca="1">IFERROR(__xludf.DUMMYFUNCTION("""COMPUTED_VALUE"""),245559.33)</f>
        <v>245559.33</v>
      </c>
      <c r="L6" s="7">
        <f ca="1">IFERROR(__xludf.DUMMYFUNCTION("""COMPUTED_VALUE"""),1051630.7)</f>
        <v>1051630.7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4">
        <f ca="1">IFERROR(__xludf.DUMMYFUNCTION("""COMPUTED_VALUE"""),138)</f>
        <v>138</v>
      </c>
      <c r="B7" s="4" t="str">
        <f ca="1">IFERROR(__xludf.DUMMYFUNCTION("""COMPUTED_VALUE"""),"Lara Robbio")</f>
        <v>Lara Robbio</v>
      </c>
      <c r="C7" s="6">
        <f ca="1">IFERROR(__xludf.DUMMYFUNCTION("""COMPUTED_VALUE"""),45139)</f>
        <v>45139</v>
      </c>
      <c r="D7" s="4" t="str">
        <f ca="1">IFERROR(__xludf.DUMMYFUNCTION("""COMPUTED_VALUE"""),"Lucero San Telmo")</f>
        <v>Lucero San Telmo</v>
      </c>
      <c r="E7" s="7">
        <f ca="1">IFERROR(__xludf.DUMMYFUNCTION("""COMPUTED_VALUE"""),131)</f>
        <v>131</v>
      </c>
      <c r="F7" s="7">
        <f ca="1">IFERROR(__xludf.DUMMYFUNCTION("""COMPUTED_VALUE"""),13)</f>
        <v>13</v>
      </c>
      <c r="G7" s="7">
        <f ca="1">IFERROR(__xludf.DUMMYFUNCTION("""COMPUTED_VALUE"""),118)</f>
        <v>118</v>
      </c>
      <c r="H7" s="7" t="str">
        <f ca="1">IFERROR(__xludf.DUMMYFUNCTION("""COMPUTED_VALUE"""),"NO")</f>
        <v>NO</v>
      </c>
      <c r="I7" s="7">
        <f ca="1">IFERROR(__xludf.DUMMYFUNCTION("""COMPUTED_VALUE"""),719467)</f>
        <v>719467</v>
      </c>
      <c r="J7" s="7">
        <f ca="1">IFERROR(__xludf.DUMMYFUNCTION("""COMPUTED_VALUE"""),905958.56)</f>
        <v>905958.56</v>
      </c>
      <c r="K7" s="7">
        <f ca="1">IFERROR(__xludf.DUMMYFUNCTION("""COMPUTED_VALUE"""),270307.658)</f>
        <v>270307.658</v>
      </c>
      <c r="L7" s="7">
        <f ca="1">IFERROR(__xludf.DUMMYFUNCTION("""COMPUTED_VALUE"""),1176266.218)</f>
        <v>1176266.2180000001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4">
        <f ca="1">IFERROR(__xludf.DUMMYFUNCTION("""COMPUTED_VALUE"""),139)</f>
        <v>139</v>
      </c>
      <c r="B8" s="4" t="str">
        <f ca="1">IFERROR(__xludf.DUMMYFUNCTION("""COMPUTED_VALUE"""),"Viña Sofia")</f>
        <v>Viña Sofia</v>
      </c>
      <c r="C8" s="6">
        <f ca="1">IFERROR(__xludf.DUMMYFUNCTION("""COMPUTED_VALUE"""),45139)</f>
        <v>45139</v>
      </c>
      <c r="D8" s="4" t="str">
        <f ca="1">IFERROR(__xludf.DUMMYFUNCTION("""COMPUTED_VALUE"""),"Lucero Florida")</f>
        <v>Lucero Florida</v>
      </c>
      <c r="E8" s="7">
        <f ca="1">IFERROR(__xludf.DUMMYFUNCTION("""COMPUTED_VALUE"""),129)</f>
        <v>129</v>
      </c>
      <c r="F8" s="7">
        <f ca="1">IFERROR(__xludf.DUMMYFUNCTION("""COMPUTED_VALUE"""),5)</f>
        <v>5</v>
      </c>
      <c r="G8" s="7">
        <f ca="1">IFERROR(__xludf.DUMMYFUNCTION("""COMPUTED_VALUE"""),124)</f>
        <v>124</v>
      </c>
      <c r="H8" s="7" t="str">
        <f ca="1">IFERROR(__xludf.DUMMYFUNCTION("""COMPUTED_VALUE"""),"SI")</f>
        <v>SI</v>
      </c>
      <c r="I8" s="7">
        <f ca="1">IFERROR(__xludf.DUMMYFUNCTION("""COMPUTED_VALUE"""),559094)</f>
        <v>559094</v>
      </c>
      <c r="J8" s="7">
        <f ca="1">IFERROR(__xludf.DUMMYFUNCTION("""COMPUTED_VALUE"""),699347.93)</f>
        <v>699347.93</v>
      </c>
      <c r="K8" s="7">
        <f ca="1">IFERROR(__xludf.DUMMYFUNCTION("""COMPUTED_VALUE"""),210328.156)</f>
        <v>210328.15599999999</v>
      </c>
      <c r="L8" s="7">
        <f ca="1">IFERROR(__xludf.DUMMYFUNCTION("""COMPUTED_VALUE"""),909676.086)</f>
        <v>909676.08600000001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4">
        <f ca="1">IFERROR(__xludf.DUMMYFUNCTION("""COMPUTED_VALUE"""),143)</f>
        <v>143</v>
      </c>
      <c r="B9" s="4" t="str">
        <f ca="1">IFERROR(__xludf.DUMMYFUNCTION("""COMPUTED_VALUE"""),"Molina Agustina")</f>
        <v>Molina Agustina</v>
      </c>
      <c r="C9" s="6">
        <f ca="1">IFERROR(__xludf.DUMMYFUNCTION("""COMPUTED_VALUE"""),45184)</f>
        <v>45184</v>
      </c>
      <c r="D9" s="4" t="str">
        <f ca="1">IFERROR(__xludf.DUMMYFUNCTION("""COMPUTED_VALUE"""),"AS San Telmo")</f>
        <v>AS San Telmo</v>
      </c>
      <c r="E9" s="7">
        <f ca="1">IFERROR(__xludf.DUMMYFUNCTION("""COMPUTED_VALUE"""),127)</f>
        <v>127</v>
      </c>
      <c r="F9" s="7">
        <f ca="1">IFERROR(__xludf.DUMMYFUNCTION("""COMPUTED_VALUE"""),15)</f>
        <v>15</v>
      </c>
      <c r="G9" s="7">
        <f ca="1">IFERROR(__xludf.DUMMYFUNCTION("""COMPUTED_VALUE"""),112)</f>
        <v>112</v>
      </c>
      <c r="H9" s="7" t="str">
        <f ca="1">IFERROR(__xludf.DUMMYFUNCTION("""COMPUTED_VALUE"""),"NO")</f>
        <v>NO</v>
      </c>
      <c r="I9" s="7">
        <f ca="1">IFERROR(__xludf.DUMMYFUNCTION("""COMPUTED_VALUE"""),696548)</f>
        <v>696548</v>
      </c>
      <c r="J9" s="7">
        <f ca="1">IFERROR(__xludf.DUMMYFUNCTION("""COMPUTED_VALUE"""),877030.13)</f>
        <v>877030.13</v>
      </c>
      <c r="K9" s="7">
        <f ca="1">IFERROR(__xludf.DUMMYFUNCTION("""COMPUTED_VALUE"""),261735.952)</f>
        <v>261735.95199999999</v>
      </c>
      <c r="L9" s="7">
        <f ca="1">IFERROR(__xludf.DUMMYFUNCTION("""COMPUTED_VALUE"""),1138766.082)</f>
        <v>1138766.0819999999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4">
        <f ca="1">IFERROR(__xludf.DUMMYFUNCTION("""COMPUTED_VALUE"""),151)</f>
        <v>151</v>
      </c>
      <c r="B10" s="4" t="str">
        <f ca="1">IFERROR(__xludf.DUMMYFUNCTION("""COMPUTED_VALUE"""),"Kiara Corbalan")</f>
        <v>Kiara Corbalan</v>
      </c>
      <c r="C10" s="6">
        <f ca="1">IFERROR(__xludf.DUMMYFUNCTION("""COMPUTED_VALUE"""),45201)</f>
        <v>45201</v>
      </c>
      <c r="D10" s="4" t="str">
        <f ca="1">IFERROR(__xludf.DUMMYFUNCTION("""COMPUTED_VALUE"""),"AS San Telmo")</f>
        <v>AS San Telmo</v>
      </c>
      <c r="E10" s="7">
        <f ca="1">IFERROR(__xludf.DUMMYFUNCTION("""COMPUTED_VALUE"""),128)</f>
        <v>128</v>
      </c>
      <c r="F10" s="7">
        <f ca="1">IFERROR(__xludf.DUMMYFUNCTION("""COMPUTED_VALUE"""),5)</f>
        <v>5</v>
      </c>
      <c r="G10" s="7">
        <f ca="1">IFERROR(__xludf.DUMMYFUNCTION("""COMPUTED_VALUE"""),123)</f>
        <v>123</v>
      </c>
      <c r="H10" s="7" t="str">
        <f ca="1">IFERROR(__xludf.DUMMYFUNCTION("""COMPUTED_VALUE"""),"SI")</f>
        <v>SI</v>
      </c>
      <c r="I10" s="7">
        <f ca="1">IFERROR(__xludf.DUMMYFUNCTION("""COMPUTED_VALUE"""),473930)</f>
        <v>473930</v>
      </c>
      <c r="J10" s="7">
        <f ca="1">IFERROR(__xludf.DUMMYFUNCTION("""COMPUTED_VALUE"""),589619.99)</f>
        <v>589619.99</v>
      </c>
      <c r="K10" s="7">
        <f ca="1">IFERROR(__xludf.DUMMYFUNCTION("""COMPUTED_VALUE"""),178476.82)</f>
        <v>178476.82</v>
      </c>
      <c r="L10" s="7">
        <f ca="1">IFERROR(__xludf.DUMMYFUNCTION("""COMPUTED_VALUE"""),768096.81)</f>
        <v>768096.81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>
        <f ca="1">IFERROR(__xludf.DUMMYFUNCTION("""COMPUTED_VALUE"""),161)</f>
        <v>161</v>
      </c>
      <c r="B11" s="4" t="str">
        <f ca="1">IFERROR(__xludf.DUMMYFUNCTION("""COMPUTED_VALUE"""),"Martínez Brisa")</f>
        <v>Martínez Brisa</v>
      </c>
      <c r="C11" s="6">
        <f ca="1">IFERROR(__xludf.DUMMYFUNCTION("""COMPUTED_VALUE"""),45272)</f>
        <v>45272</v>
      </c>
      <c r="D11" s="4" t="str">
        <f ca="1">IFERROR(__xludf.DUMMYFUNCTION("""COMPUTED_VALUE"""),"AS San Telmo")</f>
        <v>AS San Telmo</v>
      </c>
      <c r="E11" s="7">
        <f ca="1">IFERROR(__xludf.DUMMYFUNCTION("""COMPUTED_VALUE"""),127)</f>
        <v>127</v>
      </c>
      <c r="F11" s="7">
        <f ca="1">IFERROR(__xludf.DUMMYFUNCTION("""COMPUTED_VALUE"""),15)</f>
        <v>15</v>
      </c>
      <c r="G11" s="7">
        <f ca="1">IFERROR(__xludf.DUMMYFUNCTION("""COMPUTED_VALUE"""),112)</f>
        <v>112</v>
      </c>
      <c r="H11" s="7" t="str">
        <f ca="1">IFERROR(__xludf.DUMMYFUNCTION("""COMPUTED_VALUE"""),"SI")</f>
        <v>SI</v>
      </c>
      <c r="I11" s="7">
        <f ca="1">IFERROR(__xludf.DUMMYFUNCTION("""COMPUTED_VALUE"""),574623)</f>
        <v>574623</v>
      </c>
      <c r="J11" s="7">
        <f ca="1">IFERROR(__xludf.DUMMYFUNCTION("""COMPUTED_VALUE"""),719707.58)</f>
        <v>719707.58</v>
      </c>
      <c r="K11" s="7">
        <f ca="1">IFERROR(__xludf.DUMMYFUNCTION("""COMPUTED_VALUE"""),216136.002)</f>
        <v>216136.00200000001</v>
      </c>
      <c r="L11" s="7">
        <f ca="1">IFERROR(__xludf.DUMMYFUNCTION("""COMPUTED_VALUE"""),935843.581999999)</f>
        <v>935843.58199999901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>
        <f ca="1">IFERROR(__xludf.DUMMYFUNCTION("""COMPUTED_VALUE"""),165)</f>
        <v>165</v>
      </c>
      <c r="B12" s="4" t="str">
        <f ca="1">IFERROR(__xludf.DUMMYFUNCTION("""COMPUTED_VALUE"""),"CORONEL Mailen")</f>
        <v>CORONEL Mailen</v>
      </c>
      <c r="C12" s="6">
        <f ca="1">IFERROR(__xludf.DUMMYFUNCTION("""COMPUTED_VALUE"""),45311)</f>
        <v>45311</v>
      </c>
      <c r="D12" s="4" t="str">
        <f ca="1">IFERROR(__xludf.DUMMYFUNCTION("""COMPUTED_VALUE"""),"Lucero Güemes")</f>
        <v>Lucero Güemes</v>
      </c>
      <c r="E12" s="7">
        <f ca="1">IFERROR(__xludf.DUMMYFUNCTION("""COMPUTED_VALUE"""),124)</f>
        <v>124</v>
      </c>
      <c r="F12" s="7">
        <f ca="1">IFERROR(__xludf.DUMMYFUNCTION("""COMPUTED_VALUE"""),0)</f>
        <v>0</v>
      </c>
      <c r="G12" s="7">
        <f ca="1">IFERROR(__xludf.DUMMYFUNCTION("""COMPUTED_VALUE"""),124)</f>
        <v>124</v>
      </c>
      <c r="H12" s="7" t="str">
        <f ca="1">IFERROR(__xludf.DUMMYFUNCTION("""COMPUTED_VALUE"""),"SI")</f>
        <v>SI</v>
      </c>
      <c r="I12" s="7">
        <f ca="1">IFERROR(__xludf.DUMMYFUNCTION("""COMPUTED_VALUE"""),446507)</f>
        <v>446507</v>
      </c>
      <c r="J12" s="7">
        <f ca="1">IFERROR(__xludf.DUMMYFUNCTION("""COMPUTED_VALUE"""),554880.08)</f>
        <v>554880.07999999996</v>
      </c>
      <c r="K12" s="7">
        <f ca="1">IFERROR(__xludf.DUMMYFUNCTION("""COMPUTED_VALUE"""),168220.618)</f>
        <v>168220.61799999999</v>
      </c>
      <c r="L12" s="7">
        <f ca="1">IFERROR(__xludf.DUMMYFUNCTION("""COMPUTED_VALUE"""),723100.698)</f>
        <v>723100.69799999997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>
        <f ca="1">IFERROR(__xludf.DUMMYFUNCTION("""COMPUTED_VALUE"""),170)</f>
        <v>170</v>
      </c>
      <c r="B13" s="4" t="str">
        <f ca="1">IFERROR(__xludf.DUMMYFUNCTION("""COMPUTED_VALUE"""),"Ruiz de la Torre Maitena")</f>
        <v>Ruiz de la Torre Maitena</v>
      </c>
      <c r="C13" s="6">
        <f ca="1">IFERROR(__xludf.DUMMYFUNCTION("""COMPUTED_VALUE"""),45345)</f>
        <v>45345</v>
      </c>
      <c r="D13" s="4" t="str">
        <f ca="1">IFERROR(__xludf.DUMMYFUNCTION("""COMPUTED_VALUE"""),"Lucero Florida")</f>
        <v>Lucero Florida</v>
      </c>
      <c r="E13" s="7">
        <f ca="1">IFERROR(__xludf.DUMMYFUNCTION("""COMPUTED_VALUE"""),111)</f>
        <v>111</v>
      </c>
      <c r="F13" s="7">
        <f ca="1">IFERROR(__xludf.DUMMYFUNCTION("""COMPUTED_VALUE"""),8)</f>
        <v>8</v>
      </c>
      <c r="G13" s="7">
        <f ca="1">IFERROR(__xludf.DUMMYFUNCTION("""COMPUTED_VALUE"""),103)</f>
        <v>103</v>
      </c>
      <c r="H13" s="7" t="str">
        <f ca="1">IFERROR(__xludf.DUMMYFUNCTION("""COMPUTED_VALUE"""),"NO")</f>
        <v>NO</v>
      </c>
      <c r="I13" s="7">
        <f ca="1">IFERROR(__xludf.DUMMYFUNCTION("""COMPUTED_VALUE"""),599040)</f>
        <v>599040</v>
      </c>
      <c r="J13" s="7">
        <f ca="1">IFERROR(__xludf.DUMMYFUNCTION("""COMPUTED_VALUE"""),753792.29)</f>
        <v>753792.29</v>
      </c>
      <c r="K13" s="7">
        <f ca="1">IFERROR(__xludf.DUMMYFUNCTION("""COMPUTED_VALUE"""),225267.96)</f>
        <v>225267.96</v>
      </c>
      <c r="L13" s="7">
        <f ca="1">IFERROR(__xludf.DUMMYFUNCTION("""COMPUTED_VALUE"""),979060.25)</f>
        <v>979060.25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>
        <f ca="1">IFERROR(__xludf.DUMMYFUNCTION("""COMPUTED_VALUE"""),171)</f>
        <v>171</v>
      </c>
      <c r="B14" s="4" t="str">
        <f ca="1">IFERROR(__xludf.DUMMYFUNCTION("""COMPUTED_VALUE"""),"Gimenez Candela")</f>
        <v>Gimenez Candela</v>
      </c>
      <c r="C14" s="6">
        <f ca="1">IFERROR(__xludf.DUMMYFUNCTION("""COMPUTED_VALUE"""),45789)</f>
        <v>45789</v>
      </c>
      <c r="D14" s="4" t="str">
        <f ca="1">IFERROR(__xludf.DUMMYFUNCTION("""COMPUTED_VALUE"""),"Lucero Recoleta")</f>
        <v>Lucero Recoleta</v>
      </c>
      <c r="E14" s="7">
        <f ca="1">IFERROR(__xludf.DUMMYFUNCTION("""COMPUTED_VALUE"""),123)</f>
        <v>123</v>
      </c>
      <c r="F14" s="7">
        <f ca="1">IFERROR(__xludf.DUMMYFUNCTION("""COMPUTED_VALUE"""),12)</f>
        <v>12</v>
      </c>
      <c r="G14" s="7">
        <f ca="1">IFERROR(__xludf.DUMMYFUNCTION("""COMPUTED_VALUE"""),111)</f>
        <v>111</v>
      </c>
      <c r="H14" s="7" t="str">
        <f ca="1">IFERROR(__xludf.DUMMYFUNCTION("""COMPUTED_VALUE"""),"SI")</f>
        <v>SI</v>
      </c>
      <c r="I14" s="7">
        <f ca="1">IFERROR(__xludf.DUMMYFUNCTION("""COMPUTED_VALUE"""),626095)</f>
        <v>626095</v>
      </c>
      <c r="J14" s="7">
        <f ca="1">IFERROR(__xludf.DUMMYFUNCTION("""COMPUTED_VALUE"""),786964.08)</f>
        <v>786964.08</v>
      </c>
      <c r="K14" s="7">
        <f ca="1">IFERROR(__xludf.DUMMYFUNCTION("""COMPUTED_VALUE"""),235386.53)</f>
        <v>235386.53</v>
      </c>
      <c r="L14" s="7">
        <f ca="1">IFERROR(__xludf.DUMMYFUNCTION("""COMPUTED_VALUE"""),1022350.61)</f>
        <v>1022350.61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>
        <f ca="1">IFERROR(__xludf.DUMMYFUNCTION("""COMPUTED_VALUE"""),173)</f>
        <v>173</v>
      </c>
      <c r="B15" s="4" t="str">
        <f ca="1">IFERROR(__xludf.DUMMYFUNCTION("""COMPUTED_VALUE"""),"Imperiale Candela")</f>
        <v>Imperiale Candela</v>
      </c>
      <c r="C15" s="6">
        <f ca="1">IFERROR(__xludf.DUMMYFUNCTION("""COMPUTED_VALUE"""),45447)</f>
        <v>45447</v>
      </c>
      <c r="D15" s="4" t="str">
        <f ca="1">IFERROR(__xludf.DUMMYFUNCTION("""COMPUTED_VALUE"""),"Lucero Florida")</f>
        <v>Lucero Florida</v>
      </c>
      <c r="E15" s="7">
        <f ca="1">IFERROR(__xludf.DUMMYFUNCTION("""COMPUTED_VALUE"""),132)</f>
        <v>132</v>
      </c>
      <c r="F15" s="7">
        <f ca="1">IFERROR(__xludf.DUMMYFUNCTION("""COMPUTED_VALUE"""),15)</f>
        <v>15</v>
      </c>
      <c r="G15" s="7">
        <f ca="1">IFERROR(__xludf.DUMMYFUNCTION("""COMPUTED_VALUE"""),117)</f>
        <v>117</v>
      </c>
      <c r="H15" s="7" t="str">
        <f ca="1">IFERROR(__xludf.DUMMYFUNCTION("""COMPUTED_VALUE"""),"NO")</f>
        <v>NO</v>
      </c>
      <c r="I15" s="7">
        <f ca="1">IFERROR(__xludf.DUMMYFUNCTION("""COMPUTED_VALUE"""),721008)</f>
        <v>721008</v>
      </c>
      <c r="J15" s="7">
        <f ca="1">IFERROR(__xludf.DUMMYFUNCTION("""COMPUTED_VALUE"""),907996.31)</f>
        <v>907996.31</v>
      </c>
      <c r="K15" s="7">
        <f ca="1">IFERROR(__xludf.DUMMYFUNCTION("""COMPUTED_VALUE"""),270883.992)</f>
        <v>270883.99200000003</v>
      </c>
      <c r="L15" s="7">
        <f ca="1">IFERROR(__xludf.DUMMYFUNCTION("""COMPUTED_VALUE"""),1178880.302)</f>
        <v>1178880.3019999999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>
        <f ca="1">IFERROR(__xludf.DUMMYFUNCTION("""COMPUTED_VALUE"""),174)</f>
        <v>174</v>
      </c>
      <c r="B16" s="4" t="str">
        <f ca="1">IFERROR(__xludf.DUMMYFUNCTION("""COMPUTED_VALUE"""),"Machuca Araceli ")</f>
        <v xml:space="preserve">Machuca Araceli </v>
      </c>
      <c r="C16" s="6">
        <f ca="1">IFERROR(__xludf.DUMMYFUNCTION("""COMPUTED_VALUE"""),45477)</f>
        <v>45477</v>
      </c>
      <c r="D16" s="4" t="str">
        <f ca="1">IFERROR(__xludf.DUMMYFUNCTION("""COMPUTED_VALUE"""),"Lucero French")</f>
        <v>Lucero French</v>
      </c>
      <c r="E16" s="7">
        <f ca="1">IFERROR(__xludf.DUMMYFUNCTION("""COMPUTED_VALUE"""),131)</f>
        <v>131</v>
      </c>
      <c r="F16" s="7">
        <f ca="1">IFERROR(__xludf.DUMMYFUNCTION("""COMPUTED_VALUE"""),15)</f>
        <v>15</v>
      </c>
      <c r="G16" s="7">
        <f ca="1">IFERROR(__xludf.DUMMYFUNCTION("""COMPUTED_VALUE"""),116)</f>
        <v>116</v>
      </c>
      <c r="H16" s="7" t="str">
        <f ca="1">IFERROR(__xludf.DUMMYFUNCTION("""COMPUTED_VALUE"""),"NO")</f>
        <v>NO</v>
      </c>
      <c r="I16" s="7">
        <f ca="1">IFERROR(__xludf.DUMMYFUNCTION("""COMPUTED_VALUE"""),713645)</f>
        <v>713645</v>
      </c>
      <c r="J16" s="7">
        <f ca="1">IFERROR(__xludf.DUMMYFUNCTION("""COMPUTED_VALUE"""),898655.25)</f>
        <v>898655.25</v>
      </c>
      <c r="K16" s="7">
        <f ca="1">IFERROR(__xludf.DUMMYFUNCTION("""COMPUTED_VALUE"""),268130.23)</f>
        <v>268130.23</v>
      </c>
      <c r="L16" s="7">
        <f ca="1">IFERROR(__xludf.DUMMYFUNCTION("""COMPUTED_VALUE"""),1166785.48)</f>
        <v>1166785.48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>
        <f ca="1">IFERROR(__xludf.DUMMYFUNCTION("""COMPUTED_VALUE"""),184)</f>
        <v>184</v>
      </c>
      <c r="B17" s="4" t="str">
        <f ca="1">IFERROR(__xludf.DUMMYFUNCTION("""COMPUTED_VALUE"""),"Villarruel Candela")</f>
        <v>Villarruel Candela</v>
      </c>
      <c r="C17" s="6">
        <f ca="1">IFERROR(__xludf.DUMMYFUNCTION("""COMPUTED_VALUE"""),45569)</f>
        <v>45569</v>
      </c>
      <c r="D17" s="4" t="str">
        <f ca="1">IFERROR(__xludf.DUMMYFUNCTION("""COMPUTED_VALUE"""),"AS Quilmes")</f>
        <v>AS Quilmes</v>
      </c>
      <c r="E17" s="7">
        <f ca="1">IFERROR(__xludf.DUMMYFUNCTION("""COMPUTED_VALUE"""),53)</f>
        <v>53</v>
      </c>
      <c r="F17" s="7">
        <f ca="1">IFERROR(__xludf.DUMMYFUNCTION("""COMPUTED_VALUE"""),0)</f>
        <v>0</v>
      </c>
      <c r="G17" s="7">
        <f ca="1">IFERROR(__xludf.DUMMYFUNCTION("""COMPUTED_VALUE"""),53)</f>
        <v>53</v>
      </c>
      <c r="H17" s="7" t="str">
        <f ca="1">IFERROR(__xludf.DUMMYFUNCTION("""COMPUTED_VALUE"""),"NO")</f>
        <v>NO</v>
      </c>
      <c r="I17" s="7">
        <f ca="1">IFERROR(__xludf.DUMMYFUNCTION("""COMPUTED_VALUE"""),502486)</f>
        <v>502486</v>
      </c>
      <c r="J17" s="7">
        <f ca="1">IFERROR(__xludf.DUMMYFUNCTION("""COMPUTED_VALUE"""),630979.5)</f>
        <v>630979.5</v>
      </c>
      <c r="K17" s="7">
        <f ca="1">IFERROR(__xludf.DUMMYFUNCTION("""COMPUTED_VALUE"""),189156.764)</f>
        <v>189156.764</v>
      </c>
      <c r="L17" s="7">
        <f ca="1">IFERROR(__xludf.DUMMYFUNCTION("""COMPUTED_VALUE"""),820136.264)</f>
        <v>820136.26399999997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4">
        <f ca="1">IFERROR(__xludf.DUMMYFUNCTION("""COMPUTED_VALUE"""),186)</f>
        <v>186</v>
      </c>
      <c r="B18" s="4" t="str">
        <f ca="1">IFERROR(__xludf.DUMMYFUNCTION("""COMPUTED_VALUE"""),"Balmaceda Luciana")</f>
        <v>Balmaceda Luciana</v>
      </c>
      <c r="C18" s="6">
        <f ca="1">IFERROR(__xludf.DUMMYFUNCTION("""COMPUTED_VALUE"""),45587)</f>
        <v>45587</v>
      </c>
      <c r="D18" s="4" t="str">
        <f ca="1">IFERROR(__xludf.DUMMYFUNCTION("""COMPUTED_VALUE"""),"Lucero Florida")</f>
        <v>Lucero Florida</v>
      </c>
      <c r="E18" s="7">
        <f ca="1">IFERROR(__xludf.DUMMYFUNCTION("""COMPUTED_VALUE"""),116)</f>
        <v>116</v>
      </c>
      <c r="F18" s="7">
        <f ca="1">IFERROR(__xludf.DUMMYFUNCTION("""COMPUTED_VALUE"""),10)</f>
        <v>10</v>
      </c>
      <c r="G18" s="7">
        <f ca="1">IFERROR(__xludf.DUMMYFUNCTION("""COMPUTED_VALUE"""),106)</f>
        <v>106</v>
      </c>
      <c r="H18" s="7" t="str">
        <f ca="1">IFERROR(__xludf.DUMMYFUNCTION("""COMPUTED_VALUE"""),"NO")</f>
        <v>NO</v>
      </c>
      <c r="I18" s="7">
        <f ca="1">IFERROR(__xludf.DUMMYFUNCTION("""COMPUTED_VALUE"""),627839)</f>
        <v>627839</v>
      </c>
      <c r="J18" s="7">
        <f ca="1">IFERROR(__xludf.DUMMYFUNCTION("""COMPUTED_VALUE"""),790331.62)</f>
        <v>790331.62</v>
      </c>
      <c r="K18" s="7">
        <f ca="1">IFERROR(__xludf.DUMMYFUNCTION("""COMPUTED_VALUE"""),236038.786)</f>
        <v>236038.78599999999</v>
      </c>
      <c r="L18" s="7">
        <f ca="1">IFERROR(__xludf.DUMMYFUNCTION("""COMPUTED_VALUE"""),1026370.406)</f>
        <v>1026370.406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5" x14ac:dyDescent="0.25">
      <c r="A19" s="4">
        <f ca="1">IFERROR(__xludf.DUMMYFUNCTION("""COMPUTED_VALUE"""),189)</f>
        <v>189</v>
      </c>
      <c r="B19" s="4" t="str">
        <f ca="1">IFERROR(__xludf.DUMMYFUNCTION("""COMPUTED_VALUE"""),"Oliva Micaela")</f>
        <v>Oliva Micaela</v>
      </c>
      <c r="C19" s="6">
        <f ca="1">IFERROR(__xludf.DUMMYFUNCTION("""COMPUTED_VALUE"""),45597)</f>
        <v>45597</v>
      </c>
      <c r="D19" s="4" t="str">
        <f ca="1">IFERROR(__xludf.DUMMYFUNCTION("""COMPUTED_VALUE"""),"Lucero Recoleta")</f>
        <v>Lucero Recoleta</v>
      </c>
      <c r="E19" s="7">
        <f ca="1">IFERROR(__xludf.DUMMYFUNCTION("""COMPUTED_VALUE"""),122)</f>
        <v>122</v>
      </c>
      <c r="F19" s="7">
        <f ca="1">IFERROR(__xludf.DUMMYFUNCTION("""COMPUTED_VALUE"""),13)</f>
        <v>13</v>
      </c>
      <c r="G19" s="7">
        <f ca="1">IFERROR(__xludf.DUMMYFUNCTION("""COMPUTED_VALUE"""),109)</f>
        <v>109</v>
      </c>
      <c r="H19" s="7" t="str">
        <f ca="1">IFERROR(__xludf.DUMMYFUNCTION("""COMPUTED_VALUE"""),"SI")</f>
        <v>SI</v>
      </c>
      <c r="I19" s="7">
        <f ca="1">IFERROR(__xludf.DUMMYFUNCTION("""COMPUTED_VALUE"""),651612)</f>
        <v>651612</v>
      </c>
      <c r="J19" s="7">
        <f ca="1">IFERROR(__xludf.DUMMYFUNCTION("""COMPUTED_VALUE"""),820048.87)</f>
        <v>820048.87</v>
      </c>
      <c r="K19" s="7">
        <f ca="1">IFERROR(__xludf.DUMMYFUNCTION("""COMPUTED_VALUE"""),244929.888)</f>
        <v>244929.88800000001</v>
      </c>
      <c r="L19" s="7">
        <f ca="1">IFERROR(__xludf.DUMMYFUNCTION("""COMPUTED_VALUE"""),1064978.758)</f>
        <v>1064978.7579999999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5" x14ac:dyDescent="0.25">
      <c r="A20" s="4">
        <f ca="1">IFERROR(__xludf.DUMMYFUNCTION("""COMPUTED_VALUE"""),190)</f>
        <v>190</v>
      </c>
      <c r="B20" s="4" t="str">
        <f ca="1">IFERROR(__xludf.DUMMYFUNCTION("""COMPUTED_VALUE"""),"Mohamad Daila")</f>
        <v>Mohamad Daila</v>
      </c>
      <c r="C20" s="6">
        <f ca="1">IFERROR(__xludf.DUMMYFUNCTION("""COMPUTED_VALUE"""),45597)</f>
        <v>45597</v>
      </c>
      <c r="D20" s="4" t="str">
        <f ca="1">IFERROR(__xludf.DUMMYFUNCTION("""COMPUTED_VALUE"""),"Lucero San Telmo 2")</f>
        <v>Lucero San Telmo 2</v>
      </c>
      <c r="E20" s="7">
        <f ca="1">IFERROR(__xludf.DUMMYFUNCTION("""COMPUTED_VALUE"""),132)</f>
        <v>132</v>
      </c>
      <c r="F20" s="7">
        <f ca="1">IFERROR(__xludf.DUMMYFUNCTION("""COMPUTED_VALUE"""),16)</f>
        <v>16</v>
      </c>
      <c r="G20" s="7">
        <f ca="1">IFERROR(__xludf.DUMMYFUNCTION("""COMPUTED_VALUE"""),116)</f>
        <v>116</v>
      </c>
      <c r="H20" s="7" t="str">
        <f ca="1">IFERROR(__xludf.DUMMYFUNCTION("""COMPUTED_VALUE"""),"NO")</f>
        <v>NO</v>
      </c>
      <c r="I20" s="7">
        <f ca="1">IFERROR(__xludf.DUMMYFUNCTION("""COMPUTED_VALUE"""),695866)</f>
        <v>695866</v>
      </c>
      <c r="J20" s="7">
        <f ca="1">IFERROR(__xludf.DUMMYFUNCTION("""COMPUTED_VALUE"""),875555.1)</f>
        <v>875555.1</v>
      </c>
      <c r="K20" s="7">
        <f ca="1">IFERROR(__xludf.DUMMYFUNCTION("""COMPUTED_VALUE"""),261480.884)</f>
        <v>261480.88399999999</v>
      </c>
      <c r="L20" s="7">
        <f ca="1">IFERROR(__xludf.DUMMYFUNCTION("""COMPUTED_VALUE"""),1137035.984)</f>
        <v>1137035.9839999999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5" x14ac:dyDescent="0.25">
      <c r="A21" s="4">
        <f ca="1">IFERROR(__xludf.DUMMYFUNCTION("""COMPUTED_VALUE"""),192)</f>
        <v>192</v>
      </c>
      <c r="B21" s="4" t="str">
        <f ca="1">IFERROR(__xludf.DUMMYFUNCTION("""COMPUTED_VALUE"""),"Sarapura Rebecca")</f>
        <v>Sarapura Rebecca</v>
      </c>
      <c r="C21" s="6">
        <f ca="1">IFERROR(__xludf.DUMMYFUNCTION("""COMPUTED_VALUE"""),45597)</f>
        <v>45597</v>
      </c>
      <c r="D21" s="4" t="str">
        <f ca="1">IFERROR(__xludf.DUMMYFUNCTION("""COMPUTED_VALUE"""),"Lucero San Telmo 1")</f>
        <v>Lucero San Telmo 1</v>
      </c>
      <c r="E21" s="7">
        <f ca="1">IFERROR(__xludf.DUMMYFUNCTION("""COMPUTED_VALUE"""),130)</f>
        <v>130</v>
      </c>
      <c r="F21" s="7">
        <f ca="1">IFERROR(__xludf.DUMMYFUNCTION("""COMPUTED_VALUE"""),12)</f>
        <v>12</v>
      </c>
      <c r="G21" s="7">
        <f ca="1">IFERROR(__xludf.DUMMYFUNCTION("""COMPUTED_VALUE"""),118)</f>
        <v>118</v>
      </c>
      <c r="H21" s="7" t="str">
        <f ca="1">IFERROR(__xludf.DUMMYFUNCTION("""COMPUTED_VALUE"""),"NO")</f>
        <v>NO</v>
      </c>
      <c r="I21" s="7">
        <f ca="1">IFERROR(__xludf.DUMMYFUNCTION("""COMPUTED_VALUE"""),684548)</f>
        <v>684548</v>
      </c>
      <c r="J21" s="7">
        <f ca="1">IFERROR(__xludf.DUMMYFUNCTION("""COMPUTED_VALUE"""),861270.24)</f>
        <v>861270.24</v>
      </c>
      <c r="K21" s="7">
        <f ca="1">IFERROR(__xludf.DUMMYFUNCTION("""COMPUTED_VALUE"""),257247.952)</f>
        <v>257247.95199999999</v>
      </c>
      <c r="L21" s="7">
        <f ca="1">IFERROR(__xludf.DUMMYFUNCTION("""COMPUTED_VALUE"""),1118518.192)</f>
        <v>1118518.192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 x14ac:dyDescent="0.25">
      <c r="A22" s="4">
        <f ca="1">IFERROR(__xludf.DUMMYFUNCTION("""COMPUTED_VALUE"""),194)</f>
        <v>194</v>
      </c>
      <c r="B22" s="4" t="str">
        <f ca="1">IFERROR(__xludf.DUMMYFUNCTION("""COMPUTED_VALUE"""),"Scholler Chavez Ruth")</f>
        <v>Scholler Chavez Ruth</v>
      </c>
      <c r="C22" s="6">
        <f ca="1">IFERROR(__xludf.DUMMYFUNCTION("""COMPUTED_VALUE"""),45639)</f>
        <v>45639</v>
      </c>
      <c r="D22" s="4" t="str">
        <f ca="1">IFERROR(__xludf.DUMMYFUNCTION("""COMPUTED_VALUE"""),"Lucero French")</f>
        <v>Lucero French</v>
      </c>
      <c r="E22" s="7">
        <f ca="1">IFERROR(__xludf.DUMMYFUNCTION("""COMPUTED_VALUE"""),131)</f>
        <v>131</v>
      </c>
      <c r="F22" s="7">
        <f ca="1">IFERROR(__xludf.DUMMYFUNCTION("""COMPUTED_VALUE"""),14)</f>
        <v>14</v>
      </c>
      <c r="G22" s="7">
        <f ca="1">IFERROR(__xludf.DUMMYFUNCTION("""COMPUTED_VALUE"""),117)</f>
        <v>117</v>
      </c>
      <c r="H22" s="7" t="str">
        <f ca="1">IFERROR(__xludf.DUMMYFUNCTION("""COMPUTED_VALUE"""),"NO")</f>
        <v>NO</v>
      </c>
      <c r="I22" s="7">
        <f ca="1">IFERROR(__xludf.DUMMYFUNCTION("""COMPUTED_VALUE"""),696574)</f>
        <v>696574</v>
      </c>
      <c r="J22" s="7">
        <f ca="1">IFERROR(__xludf.DUMMYFUNCTION("""COMPUTED_VALUE"""),876628.1)</f>
        <v>876628.1</v>
      </c>
      <c r="K22" s="7">
        <f ca="1">IFERROR(__xludf.DUMMYFUNCTION("""COMPUTED_VALUE"""),261745.676)</f>
        <v>261745.67600000001</v>
      </c>
      <c r="L22" s="7">
        <f ca="1">IFERROR(__xludf.DUMMYFUNCTION("""COMPUTED_VALUE"""),1138373.776)</f>
        <v>1138373.7760000001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 x14ac:dyDescent="0.25">
      <c r="A23" s="4">
        <f ca="1">IFERROR(__xludf.DUMMYFUNCTION("""COMPUTED_VALUE"""),197)</f>
        <v>197</v>
      </c>
      <c r="B23" s="4" t="str">
        <f ca="1">IFERROR(__xludf.DUMMYFUNCTION("""COMPUTED_VALUE"""),"Ramirez Lola")</f>
        <v>Ramirez Lola</v>
      </c>
      <c r="C23" s="6">
        <f ca="1">IFERROR(__xludf.DUMMYFUNCTION("""COMPUTED_VALUE"""),45659)</f>
        <v>45659</v>
      </c>
      <c r="D23" s="4" t="str">
        <f ca="1">IFERROR(__xludf.DUMMYFUNCTION("""COMPUTED_VALUE"""),"Lucero Florida")</f>
        <v>Lucero Florida</v>
      </c>
      <c r="E23" s="7">
        <f ca="1">IFERROR(__xludf.DUMMYFUNCTION("""COMPUTED_VALUE"""),118)</f>
        <v>118</v>
      </c>
      <c r="F23" s="7">
        <f ca="1">IFERROR(__xludf.DUMMYFUNCTION("""COMPUTED_VALUE"""),10)</f>
        <v>10</v>
      </c>
      <c r="G23" s="7">
        <f ca="1">IFERROR(__xludf.DUMMYFUNCTION("""COMPUTED_VALUE"""),108)</f>
        <v>108</v>
      </c>
      <c r="H23" s="7" t="str">
        <f ca="1">IFERROR(__xludf.DUMMYFUNCTION("""COMPUTED_VALUE"""),"NO")</f>
        <v>NO</v>
      </c>
      <c r="I23" s="7">
        <f ca="1">IFERROR(__xludf.DUMMYFUNCTION("""COMPUTED_VALUE"""),607593)</f>
        <v>607593</v>
      </c>
      <c r="J23" s="7">
        <f ca="1">IFERROR(__xludf.DUMMYFUNCTION("""COMPUTED_VALUE"""),763888.44)</f>
        <v>763888.44</v>
      </c>
      <c r="K23" s="7">
        <f ca="1">IFERROR(__xludf.DUMMYFUNCTION("""COMPUTED_VALUE"""),228466.782)</f>
        <v>228466.78200000001</v>
      </c>
      <c r="L23" s="7">
        <f ca="1">IFERROR(__xludf.DUMMYFUNCTION("""COMPUTED_VALUE"""),992355.222)</f>
        <v>992355.22199999995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x14ac:dyDescent="0.25">
      <c r="A24" s="4">
        <f ca="1">IFERROR(__xludf.DUMMYFUNCTION("""COMPUTED_VALUE"""),202)</f>
        <v>202</v>
      </c>
      <c r="B24" s="4" t="str">
        <f ca="1">IFERROR(__xludf.DUMMYFUNCTION("""COMPUTED_VALUE"""),"Machta Gina")</f>
        <v>Machta Gina</v>
      </c>
      <c r="C24" s="6">
        <f ca="1">IFERROR(__xludf.DUMMYFUNCTION("""COMPUTED_VALUE"""),45666)</f>
        <v>45666</v>
      </c>
      <c r="D24" s="4" t="str">
        <f ca="1">IFERROR(__xludf.DUMMYFUNCTION("""COMPUTED_VALUE"""),"Lucero Florida")</f>
        <v>Lucero Florida</v>
      </c>
      <c r="E24" s="7">
        <f ca="1">IFERROR(__xludf.DUMMYFUNCTION("""COMPUTED_VALUE"""),117)</f>
        <v>117</v>
      </c>
      <c r="F24" s="7">
        <f ca="1">IFERROR(__xludf.DUMMYFUNCTION("""COMPUTED_VALUE"""),9)</f>
        <v>9</v>
      </c>
      <c r="G24" s="7">
        <f ca="1">IFERROR(__xludf.DUMMYFUNCTION("""COMPUTED_VALUE"""),108)</f>
        <v>108</v>
      </c>
      <c r="H24" s="7" t="str">
        <f ca="1">IFERROR(__xludf.DUMMYFUNCTION("""COMPUTED_VALUE"""),"NO")</f>
        <v>NO</v>
      </c>
      <c r="I24" s="7">
        <f ca="1">IFERROR(__xludf.DUMMYFUNCTION("""COMPUTED_VALUE"""),599290)</f>
        <v>599290</v>
      </c>
      <c r="J24" s="7">
        <f ca="1">IFERROR(__xludf.DUMMYFUNCTION("""COMPUTED_VALUE"""),753334.49)</f>
        <v>753334.49</v>
      </c>
      <c r="K24" s="7">
        <f ca="1">IFERROR(__xludf.DUMMYFUNCTION("""COMPUTED_VALUE"""),225361.46)</f>
        <v>225361.46</v>
      </c>
      <c r="L24" s="7">
        <f ca="1">IFERROR(__xludf.DUMMYFUNCTION("""COMPUTED_VALUE"""),978695.95)</f>
        <v>978695.95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 x14ac:dyDescent="0.25">
      <c r="A25" s="4">
        <f ca="1">IFERROR(__xludf.DUMMYFUNCTION("""COMPUTED_VALUE"""),205)</f>
        <v>205</v>
      </c>
      <c r="B25" s="4" t="str">
        <f ca="1">IFERROR(__xludf.DUMMYFUNCTION("""COMPUTED_VALUE"""),"Florencia Aguero")</f>
        <v>Florencia Aguero</v>
      </c>
      <c r="C25" s="6">
        <f ca="1">IFERROR(__xludf.DUMMYFUNCTION("""COMPUTED_VALUE"""),45713)</f>
        <v>45713</v>
      </c>
      <c r="D25" s="4" t="str">
        <f ca="1">IFERROR(__xludf.DUMMYFUNCTION("""COMPUTED_VALUE"""),"Lucero San Telmo 2")</f>
        <v>Lucero San Telmo 2</v>
      </c>
      <c r="E25" s="7">
        <f ca="1">IFERROR(__xludf.DUMMYFUNCTION("""COMPUTED_VALUE"""),132)</f>
        <v>132</v>
      </c>
      <c r="F25" s="7">
        <f ca="1">IFERROR(__xludf.DUMMYFUNCTION("""COMPUTED_VALUE"""),11)</f>
        <v>11</v>
      </c>
      <c r="G25" s="7">
        <f ca="1">IFERROR(__xludf.DUMMYFUNCTION("""COMPUTED_VALUE"""),121)</f>
        <v>121</v>
      </c>
      <c r="H25" s="7" t="str">
        <f ca="1">IFERROR(__xludf.DUMMYFUNCTION("""COMPUTED_VALUE"""),"NO")</f>
        <v>NO</v>
      </c>
      <c r="I25" s="7">
        <f ca="1">IFERROR(__xludf.DUMMYFUNCTION("""COMPUTED_VALUE"""),678229)</f>
        <v>678229</v>
      </c>
      <c r="J25" s="7">
        <f ca="1">IFERROR(__xludf.DUMMYFUNCTION("""COMPUTED_VALUE"""),852797.53)</f>
        <v>852797.53</v>
      </c>
      <c r="K25" s="7">
        <f ca="1">IFERROR(__xludf.DUMMYFUNCTION("""COMPUTED_VALUE"""),254884.646)</f>
        <v>254884.64600000001</v>
      </c>
      <c r="L25" s="7">
        <f ca="1">IFERROR(__xludf.DUMMYFUNCTION("""COMPUTED_VALUE"""),1107682.176)</f>
        <v>1107682.176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x14ac:dyDescent="0.25">
      <c r="A26" s="4">
        <f ca="1">IFERROR(__xludf.DUMMYFUNCTION("""COMPUTED_VALUE"""),206)</f>
        <v>206</v>
      </c>
      <c r="B26" s="4" t="str">
        <f ca="1">IFERROR(__xludf.DUMMYFUNCTION("""COMPUTED_VALUE"""),"Morena Martinez ")</f>
        <v xml:space="preserve">Morena Martinez </v>
      </c>
      <c r="C26" s="6">
        <f ca="1">IFERROR(__xludf.DUMMYFUNCTION("""COMPUTED_VALUE"""),45713)</f>
        <v>45713</v>
      </c>
      <c r="D26" s="4" t="str">
        <f ca="1">IFERROR(__xludf.DUMMYFUNCTION("""COMPUTED_VALUE"""),"Lucero San Telmo 1")</f>
        <v>Lucero San Telmo 1</v>
      </c>
      <c r="E26" s="7">
        <f ca="1">IFERROR(__xludf.DUMMYFUNCTION("""COMPUTED_VALUE"""),131)</f>
        <v>131</v>
      </c>
      <c r="F26" s="7">
        <f ca="1">IFERROR(__xludf.DUMMYFUNCTION("""COMPUTED_VALUE"""),12)</f>
        <v>12</v>
      </c>
      <c r="G26" s="7">
        <f ca="1">IFERROR(__xludf.DUMMYFUNCTION("""COMPUTED_VALUE"""),119)</f>
        <v>119</v>
      </c>
      <c r="H26" s="7" t="str">
        <f ca="1">IFERROR(__xludf.DUMMYFUNCTION("""COMPUTED_VALUE"""),"NO")</f>
        <v>NO</v>
      </c>
      <c r="I26" s="7">
        <f ca="1">IFERROR(__xludf.DUMMYFUNCTION("""COMPUTED_VALUE"""),674603)</f>
        <v>674603</v>
      </c>
      <c r="J26" s="7">
        <f ca="1">IFERROR(__xludf.DUMMYFUNCTION("""COMPUTED_VALUE"""),848278.57)</f>
        <v>848278.57</v>
      </c>
      <c r="K26" s="7">
        <f ca="1">IFERROR(__xludf.DUMMYFUNCTION("""COMPUTED_VALUE"""),253528.522)</f>
        <v>253528.522</v>
      </c>
      <c r="L26" s="7">
        <f ca="1">IFERROR(__xludf.DUMMYFUNCTION("""COMPUTED_VALUE"""),1101807.092)</f>
        <v>1101807.0919999999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0"/>
  <sheetViews>
    <sheetView tabSelected="1" topLeftCell="D14" workbookViewId="0">
      <selection activeCell="N34" sqref="N34"/>
    </sheetView>
  </sheetViews>
  <sheetFormatPr baseColWidth="10" defaultColWidth="12.6328125" defaultRowHeight="15.75" customHeight="1" x14ac:dyDescent="0.25"/>
  <cols>
    <col min="1" max="1" width="6" customWidth="1"/>
    <col min="2" max="2" width="21.26953125" customWidth="1"/>
    <col min="3" max="3" width="9.90625" bestFit="1" customWidth="1"/>
    <col min="4" max="4" width="24.08984375" customWidth="1"/>
    <col min="5" max="5" width="11.08984375" customWidth="1"/>
    <col min="6" max="6" width="10" customWidth="1"/>
    <col min="7" max="7" width="15.08984375" customWidth="1"/>
    <col min="8" max="8" width="12.6328125" customWidth="1"/>
    <col min="9" max="9" width="13.26953125" customWidth="1"/>
    <col min="10" max="10" width="13.36328125" customWidth="1"/>
    <col min="11" max="11" width="14.7265625" customWidth="1"/>
    <col min="12" max="12" width="13.26953125" customWidth="1"/>
    <col min="13" max="13" width="18.7265625" customWidth="1"/>
  </cols>
  <sheetData>
    <row r="1" spans="1:26" x14ac:dyDescent="0.3">
      <c r="A1" s="1" t="str">
        <f ca="1">IFERROR(__xludf.DUMMYFUNCTION("IMPORTRANGE(""https://docs.google.com/spreadsheets/d/1wvfkf5xX2FDS85orIC5Z6K49ytMj34maGqGgJrXycTM/edit?gid=430646878#gid=430646878"",""Comercial!A1:z100"")"),"Legajo")</f>
        <v>Legajo</v>
      </c>
      <c r="B1" s="1" t="s">
        <v>90</v>
      </c>
      <c r="C1" s="1" t="str">
        <f ca="1">IFERROR(__xludf.DUMMYFUNCTION("""COMPUTED_VALUE"""),"Periodo")</f>
        <v>Periodo</v>
      </c>
      <c r="D1" s="1" t="str">
        <f ca="1">IFERROR(__xludf.DUMMYFUNCTION("""COMPUTED_VALUE"""),"Tienda asignada este mes")</f>
        <v>Tienda asignada este mes</v>
      </c>
      <c r="E1" s="2" t="str">
        <f ca="1">IFERROR(__xludf.DUMMYFUNCTION("""COMPUTED_VALUE"""),"Horas Totales")</f>
        <v>Horas Totales</v>
      </c>
      <c r="F1" s="2" t="str">
        <f ca="1">IFERROR(__xludf.DUMMYFUNCTION("""COMPUTED_VALUE"""),"Hs Feriados")</f>
        <v>Hs Feriados</v>
      </c>
      <c r="G1" s="3" t="str">
        <f ca="1">IFERROR(__xludf.DUMMYFUNCTION("""COMPUTED_VALUE"""),"Hs Normales (con vacaciones)")</f>
        <v>Hs Normales (con vacaciones)</v>
      </c>
      <c r="H1" s="3" t="str">
        <f ca="1">IFERROR(__xludf.DUMMYFUNCTION("""COMPUTED_VALUE"""),"Plus vacacional")</f>
        <v>Plus vacacional</v>
      </c>
      <c r="I1" s="1" t="str">
        <f ca="1">IFERROR(__xludf.DUMMYFUNCTION("""COMPUTED_VALUE"""),"Sueldo Neto")</f>
        <v>Sueldo Neto</v>
      </c>
      <c r="J1" s="1" t="str">
        <f ca="1">IFERROR(__xludf.DUMMYFUNCTION("""COMPUTED_VALUE"""),"Sueldo Bruto")</f>
        <v>Sueldo Bruto</v>
      </c>
      <c r="K1" s="1" t="str">
        <f ca="1">IFERROR(__xludf.DUMMYFUNCTION("""COMPUTED_VALUE"""),"Cargas + ART")</f>
        <v>Cargas + ART</v>
      </c>
      <c r="L1" s="1" t="str">
        <f ca="1">IFERROR(__xludf.DUMMYFUNCTION("""COMPUTED_VALUE"""),"Costo total")</f>
        <v>Costo total</v>
      </c>
      <c r="M1" s="1" t="str">
        <f ca="1">IFERROR(__xludf.DUMMYFUNCTION("""COMPUTED_VALUE"""),"Observaciones")</f>
        <v>Observaciones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4">
        <v>184</v>
      </c>
      <c r="B2" s="4" t="s">
        <v>79</v>
      </c>
      <c r="C2" s="6">
        <v>45569</v>
      </c>
      <c r="D2" s="4" t="s">
        <v>47</v>
      </c>
      <c r="E2" s="7">
        <v>53</v>
      </c>
      <c r="F2" s="7">
        <v>0</v>
      </c>
      <c r="G2" s="7">
        <v>53</v>
      </c>
      <c r="H2" s="7" t="s">
        <v>102</v>
      </c>
      <c r="I2" s="7">
        <v>502486</v>
      </c>
      <c r="J2" s="7">
        <v>630979.5</v>
      </c>
      <c r="K2" s="7">
        <v>189156.764</v>
      </c>
      <c r="L2" s="7">
        <v>820136.26399999997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4">
        <v>55</v>
      </c>
      <c r="B3" s="4" t="s">
        <v>63</v>
      </c>
      <c r="C3" s="6">
        <v>44414</v>
      </c>
      <c r="D3" s="4" t="s">
        <v>48</v>
      </c>
      <c r="E3" s="7">
        <v>132</v>
      </c>
      <c r="F3" s="7">
        <v>15</v>
      </c>
      <c r="G3" s="7">
        <v>117</v>
      </c>
      <c r="H3" s="7" t="s">
        <v>103</v>
      </c>
      <c r="I3" s="7">
        <v>407248</v>
      </c>
      <c r="J3" s="7">
        <v>502512.64000000001</v>
      </c>
      <c r="K3" s="7">
        <v>153537.75200000001</v>
      </c>
      <c r="L3" s="7">
        <v>656050.39199999999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4">
        <v>143</v>
      </c>
      <c r="B4" s="4" t="s">
        <v>70</v>
      </c>
      <c r="C4" s="6">
        <v>45184</v>
      </c>
      <c r="D4" s="4" t="s">
        <v>48</v>
      </c>
      <c r="E4" s="7">
        <v>127</v>
      </c>
      <c r="F4" s="7">
        <v>15</v>
      </c>
      <c r="G4" s="7">
        <v>112</v>
      </c>
      <c r="H4" s="7" t="s">
        <v>102</v>
      </c>
      <c r="I4" s="7">
        <v>696548</v>
      </c>
      <c r="J4" s="7">
        <v>877030.13</v>
      </c>
      <c r="K4" s="7">
        <v>261735.95199999999</v>
      </c>
      <c r="L4" s="7">
        <v>1138766.0819999999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4">
        <v>151</v>
      </c>
      <c r="B5" s="4" t="s">
        <v>96</v>
      </c>
      <c r="C5" s="6">
        <v>45201</v>
      </c>
      <c r="D5" s="4" t="s">
        <v>48</v>
      </c>
      <c r="E5" s="7">
        <v>128</v>
      </c>
      <c r="F5" s="7">
        <v>5</v>
      </c>
      <c r="G5" s="7">
        <v>123</v>
      </c>
      <c r="H5" s="7" t="s">
        <v>103</v>
      </c>
      <c r="I5" s="7">
        <v>473930</v>
      </c>
      <c r="J5" s="7">
        <v>589619.99</v>
      </c>
      <c r="K5" s="7">
        <v>178476.82</v>
      </c>
      <c r="L5" s="7">
        <v>768096.81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>
        <v>161</v>
      </c>
      <c r="B6" s="4" t="s">
        <v>72</v>
      </c>
      <c r="C6" s="6">
        <v>45272</v>
      </c>
      <c r="D6" s="4" t="s">
        <v>48</v>
      </c>
      <c r="E6" s="7">
        <v>127</v>
      </c>
      <c r="F6" s="7">
        <v>15</v>
      </c>
      <c r="G6" s="7">
        <v>112</v>
      </c>
      <c r="H6" s="7" t="s">
        <v>103</v>
      </c>
      <c r="I6" s="7">
        <v>574623</v>
      </c>
      <c r="J6" s="7">
        <v>719707.58</v>
      </c>
      <c r="K6" s="7">
        <v>216136.00200000001</v>
      </c>
      <c r="L6" s="7">
        <v>935843.58199999901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4">
        <v>139</v>
      </c>
      <c r="B7" s="4" t="s">
        <v>69</v>
      </c>
      <c r="C7" s="6">
        <v>45139</v>
      </c>
      <c r="D7" s="4" t="s">
        <v>49</v>
      </c>
      <c r="E7" s="7">
        <v>129</v>
      </c>
      <c r="F7" s="7">
        <v>5</v>
      </c>
      <c r="G7" s="7">
        <v>124</v>
      </c>
      <c r="H7" s="7" t="s">
        <v>103</v>
      </c>
      <c r="I7" s="7">
        <v>559094</v>
      </c>
      <c r="J7" s="7">
        <v>699347.93</v>
      </c>
      <c r="K7" s="7">
        <v>210328.15599999999</v>
      </c>
      <c r="L7" s="7">
        <v>909676.08600000001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4">
        <v>170</v>
      </c>
      <c r="B8" s="4" t="s">
        <v>75</v>
      </c>
      <c r="C8" s="6">
        <v>45345</v>
      </c>
      <c r="D8" s="4" t="s">
        <v>49</v>
      </c>
      <c r="E8" s="7">
        <v>111</v>
      </c>
      <c r="F8" s="7">
        <v>8</v>
      </c>
      <c r="G8" s="7">
        <v>103</v>
      </c>
      <c r="H8" s="7" t="s">
        <v>102</v>
      </c>
      <c r="I8" s="7">
        <v>599040</v>
      </c>
      <c r="J8" s="7">
        <v>753792.29</v>
      </c>
      <c r="K8" s="7">
        <v>225267.96</v>
      </c>
      <c r="L8" s="7">
        <v>979060.25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4">
        <v>173</v>
      </c>
      <c r="B9" s="4" t="s">
        <v>77</v>
      </c>
      <c r="C9" s="6">
        <v>45447</v>
      </c>
      <c r="D9" s="4" t="s">
        <v>49</v>
      </c>
      <c r="E9" s="7">
        <v>132</v>
      </c>
      <c r="F9" s="7">
        <v>15</v>
      </c>
      <c r="G9" s="7">
        <v>117</v>
      </c>
      <c r="H9" s="7" t="s">
        <v>102</v>
      </c>
      <c r="I9" s="7">
        <v>721008</v>
      </c>
      <c r="J9" s="7">
        <v>907996.31</v>
      </c>
      <c r="K9" s="7">
        <v>270883.99200000003</v>
      </c>
      <c r="L9" s="7">
        <v>1178880.3019999999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4">
        <v>186</v>
      </c>
      <c r="B10" s="4" t="s">
        <v>80</v>
      </c>
      <c r="C10" s="6">
        <v>45587</v>
      </c>
      <c r="D10" s="4" t="s">
        <v>49</v>
      </c>
      <c r="E10" s="7">
        <v>116</v>
      </c>
      <c r="F10" s="7">
        <v>10</v>
      </c>
      <c r="G10" s="7">
        <v>106</v>
      </c>
      <c r="H10" s="7" t="s">
        <v>102</v>
      </c>
      <c r="I10" s="7">
        <v>627839</v>
      </c>
      <c r="J10" s="7">
        <v>790331.62</v>
      </c>
      <c r="K10" s="7">
        <v>236038.78599999999</v>
      </c>
      <c r="L10" s="7">
        <v>1026370.406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>
        <v>197</v>
      </c>
      <c r="B11" s="4" t="s">
        <v>85</v>
      </c>
      <c r="C11" s="6">
        <v>45659</v>
      </c>
      <c r="D11" s="4" t="s">
        <v>49</v>
      </c>
      <c r="E11" s="7">
        <v>118</v>
      </c>
      <c r="F11" s="7">
        <v>10</v>
      </c>
      <c r="G11" s="7">
        <v>108</v>
      </c>
      <c r="H11" s="7" t="s">
        <v>102</v>
      </c>
      <c r="I11" s="7">
        <v>607593</v>
      </c>
      <c r="J11" s="7">
        <v>763888.44</v>
      </c>
      <c r="K11" s="7">
        <v>228466.78200000001</v>
      </c>
      <c r="L11" s="7">
        <v>992355.22199999995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>
        <v>202</v>
      </c>
      <c r="B12" s="4" t="s">
        <v>86</v>
      </c>
      <c r="C12" s="6">
        <v>45666</v>
      </c>
      <c r="D12" s="4" t="s">
        <v>49</v>
      </c>
      <c r="E12" s="7">
        <v>117</v>
      </c>
      <c r="F12" s="7">
        <v>9</v>
      </c>
      <c r="G12" s="7">
        <v>108</v>
      </c>
      <c r="H12" s="7" t="s">
        <v>102</v>
      </c>
      <c r="I12" s="7">
        <v>599290</v>
      </c>
      <c r="J12" s="7">
        <v>753334.49</v>
      </c>
      <c r="K12" s="7">
        <v>225361.46</v>
      </c>
      <c r="L12" s="7">
        <v>978695.95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>
        <v>120</v>
      </c>
      <c r="B13" s="4" t="s">
        <v>65</v>
      </c>
      <c r="C13" s="6">
        <v>45020</v>
      </c>
      <c r="D13" s="4" t="s">
        <v>50</v>
      </c>
      <c r="E13" s="7">
        <v>132</v>
      </c>
      <c r="F13" s="7">
        <v>14</v>
      </c>
      <c r="G13" s="7">
        <v>118</v>
      </c>
      <c r="H13" s="7" t="s">
        <v>102</v>
      </c>
      <c r="I13" s="7">
        <v>722257</v>
      </c>
      <c r="J13" s="7">
        <v>909397.24</v>
      </c>
      <c r="K13" s="7">
        <v>271351.11800000002</v>
      </c>
      <c r="L13" s="7">
        <v>1180748.358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>
        <v>174</v>
      </c>
      <c r="B14" s="4" t="s">
        <v>92</v>
      </c>
      <c r="C14" s="6">
        <v>45477</v>
      </c>
      <c r="D14" s="4" t="s">
        <v>50</v>
      </c>
      <c r="E14" s="7">
        <v>131</v>
      </c>
      <c r="F14" s="7">
        <v>15</v>
      </c>
      <c r="G14" s="7">
        <v>116</v>
      </c>
      <c r="H14" s="7" t="s">
        <v>102</v>
      </c>
      <c r="I14" s="7">
        <v>713645</v>
      </c>
      <c r="J14" s="7">
        <v>898655.25</v>
      </c>
      <c r="K14" s="7">
        <v>268130.23</v>
      </c>
      <c r="L14" s="7">
        <v>1166785.48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>
        <v>194</v>
      </c>
      <c r="B15" s="4" t="s">
        <v>84</v>
      </c>
      <c r="C15" s="6">
        <v>45639</v>
      </c>
      <c r="D15" s="4" t="s">
        <v>50</v>
      </c>
      <c r="E15" s="7">
        <v>131</v>
      </c>
      <c r="F15" s="7">
        <v>14</v>
      </c>
      <c r="G15" s="7">
        <v>117</v>
      </c>
      <c r="H15" s="7" t="s">
        <v>102</v>
      </c>
      <c r="I15" s="7">
        <v>696574</v>
      </c>
      <c r="J15" s="7">
        <v>876628.1</v>
      </c>
      <c r="K15" s="7">
        <v>261745.67600000001</v>
      </c>
      <c r="L15" s="7">
        <v>1138373.7760000001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>
        <v>131</v>
      </c>
      <c r="B16" s="4" t="s">
        <v>67</v>
      </c>
      <c r="C16" s="6">
        <v>45085</v>
      </c>
      <c r="D16" s="4" t="s">
        <v>51</v>
      </c>
      <c r="E16" s="7">
        <v>119</v>
      </c>
      <c r="F16" s="7">
        <v>0</v>
      </c>
      <c r="G16" s="7">
        <v>119</v>
      </c>
      <c r="H16" s="7" t="s">
        <v>102</v>
      </c>
      <c r="I16" s="7">
        <v>653295</v>
      </c>
      <c r="J16" s="7">
        <v>806071.37</v>
      </c>
      <c r="K16" s="7">
        <v>245559.33</v>
      </c>
      <c r="L16" s="7">
        <v>1051630.7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>
        <v>165</v>
      </c>
      <c r="B17" s="4" t="s">
        <v>73</v>
      </c>
      <c r="C17" s="6">
        <v>45311</v>
      </c>
      <c r="D17" s="4" t="s">
        <v>51</v>
      </c>
      <c r="E17" s="7">
        <v>124</v>
      </c>
      <c r="F17" s="7">
        <v>0</v>
      </c>
      <c r="G17" s="7">
        <v>124</v>
      </c>
      <c r="H17" s="7" t="s">
        <v>103</v>
      </c>
      <c r="I17" s="7">
        <v>446507</v>
      </c>
      <c r="J17" s="7">
        <v>554880.07999999996</v>
      </c>
      <c r="K17" s="7">
        <v>168220.61799999999</v>
      </c>
      <c r="L17" s="7">
        <v>723100.69799999997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5" x14ac:dyDescent="0.25">
      <c r="A18" s="4">
        <v>126</v>
      </c>
      <c r="B18" s="4" t="s">
        <v>66</v>
      </c>
      <c r="C18" s="6">
        <v>45057</v>
      </c>
      <c r="D18" s="4" t="s">
        <v>52</v>
      </c>
      <c r="E18" s="7">
        <v>126</v>
      </c>
      <c r="F18" s="7">
        <v>12</v>
      </c>
      <c r="G18" s="7">
        <v>114</v>
      </c>
      <c r="H18" s="7" t="s">
        <v>102</v>
      </c>
      <c r="I18" s="7">
        <v>691491</v>
      </c>
      <c r="J18" s="7">
        <v>870666.13</v>
      </c>
      <c r="K18" s="7">
        <v>259844.63399999999</v>
      </c>
      <c r="L18" s="7">
        <v>1130510.764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5" x14ac:dyDescent="0.25">
      <c r="A19" s="4">
        <v>171</v>
      </c>
      <c r="B19" s="4" t="s">
        <v>76</v>
      </c>
      <c r="C19" s="6">
        <v>45789</v>
      </c>
      <c r="D19" s="4" t="s">
        <v>52</v>
      </c>
      <c r="E19" s="7">
        <v>123</v>
      </c>
      <c r="F19" s="7">
        <v>12</v>
      </c>
      <c r="G19" s="7">
        <v>111</v>
      </c>
      <c r="H19" s="7" t="s">
        <v>103</v>
      </c>
      <c r="I19" s="7">
        <v>626095</v>
      </c>
      <c r="J19" s="7">
        <v>786964.08</v>
      </c>
      <c r="K19" s="7">
        <v>235386.53</v>
      </c>
      <c r="L19" s="7">
        <v>1022350.61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5" x14ac:dyDescent="0.25">
      <c r="A20" s="4">
        <v>189</v>
      </c>
      <c r="B20" s="4" t="s">
        <v>81</v>
      </c>
      <c r="C20" s="6">
        <v>45597</v>
      </c>
      <c r="D20" s="4" t="s">
        <v>52</v>
      </c>
      <c r="E20" s="7">
        <v>122</v>
      </c>
      <c r="F20" s="7">
        <v>13</v>
      </c>
      <c r="G20" s="7">
        <v>109</v>
      </c>
      <c r="H20" s="7" t="s">
        <v>103</v>
      </c>
      <c r="I20" s="7">
        <v>651612</v>
      </c>
      <c r="J20" s="7">
        <v>820048.87</v>
      </c>
      <c r="K20" s="7">
        <v>244929.88800000001</v>
      </c>
      <c r="L20" s="7">
        <v>1064978.7579999999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5" x14ac:dyDescent="0.25">
      <c r="A21" s="4">
        <v>103</v>
      </c>
      <c r="B21" s="4" t="s">
        <v>64</v>
      </c>
      <c r="C21" s="6">
        <v>44854</v>
      </c>
      <c r="D21" s="4" t="s">
        <v>53</v>
      </c>
      <c r="E21" s="7">
        <v>130</v>
      </c>
      <c r="F21" s="7">
        <v>16</v>
      </c>
      <c r="G21" s="7">
        <v>114</v>
      </c>
      <c r="H21" s="7" t="s">
        <v>103</v>
      </c>
      <c r="I21" s="7">
        <v>602346</v>
      </c>
      <c r="J21" s="7">
        <v>754788.33</v>
      </c>
      <c r="K21" s="7">
        <v>226504.40400000001</v>
      </c>
      <c r="L21" s="7">
        <v>981292.73399999901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 x14ac:dyDescent="0.25">
      <c r="A22" s="4">
        <v>138</v>
      </c>
      <c r="B22" s="4" t="s">
        <v>95</v>
      </c>
      <c r="C22" s="6">
        <v>45139</v>
      </c>
      <c r="D22" s="4" t="s">
        <v>53</v>
      </c>
      <c r="E22" s="7">
        <v>131</v>
      </c>
      <c r="F22" s="7">
        <v>13</v>
      </c>
      <c r="G22" s="7">
        <v>118</v>
      </c>
      <c r="H22" s="7" t="s">
        <v>102</v>
      </c>
      <c r="I22" s="7">
        <v>719467</v>
      </c>
      <c r="J22" s="7">
        <v>905958.56</v>
      </c>
      <c r="K22" s="7">
        <v>270307.658</v>
      </c>
      <c r="L22" s="7">
        <v>1176266.2180000001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 x14ac:dyDescent="0.25">
      <c r="A23" s="4">
        <v>192</v>
      </c>
      <c r="B23" s="4" t="s">
        <v>83</v>
      </c>
      <c r="C23" s="6">
        <v>45597</v>
      </c>
      <c r="D23" s="4" t="s">
        <v>53</v>
      </c>
      <c r="E23" s="7">
        <v>130</v>
      </c>
      <c r="F23" s="7">
        <v>12</v>
      </c>
      <c r="G23" s="7">
        <v>118</v>
      </c>
      <c r="H23" s="7" t="s">
        <v>102</v>
      </c>
      <c r="I23" s="7">
        <v>684548</v>
      </c>
      <c r="J23" s="7">
        <v>861270.24</v>
      </c>
      <c r="K23" s="7">
        <v>257247.95199999999</v>
      </c>
      <c r="L23" s="7">
        <v>1118518.192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x14ac:dyDescent="0.25">
      <c r="A24" s="4">
        <v>206</v>
      </c>
      <c r="B24" s="4" t="s">
        <v>99</v>
      </c>
      <c r="C24" s="6">
        <v>45713</v>
      </c>
      <c r="D24" s="4" t="s">
        <v>53</v>
      </c>
      <c r="E24" s="7">
        <v>131</v>
      </c>
      <c r="F24" s="7">
        <v>12</v>
      </c>
      <c r="G24" s="7">
        <v>119</v>
      </c>
      <c r="H24" s="7" t="s">
        <v>102</v>
      </c>
      <c r="I24" s="7">
        <v>674603</v>
      </c>
      <c r="J24" s="7">
        <v>848278.57</v>
      </c>
      <c r="K24" s="7">
        <v>253528.522</v>
      </c>
      <c r="L24" s="7">
        <v>1101807.0919999999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 x14ac:dyDescent="0.25">
      <c r="A25" s="4">
        <v>190</v>
      </c>
      <c r="B25" s="4" t="s">
        <v>82</v>
      </c>
      <c r="C25" s="6">
        <v>45597</v>
      </c>
      <c r="D25" s="4" t="s">
        <v>55</v>
      </c>
      <c r="E25" s="7">
        <v>132</v>
      </c>
      <c r="F25" s="7">
        <v>16</v>
      </c>
      <c r="G25" s="7">
        <v>116</v>
      </c>
      <c r="H25" s="7" t="s">
        <v>102</v>
      </c>
      <c r="I25" s="7">
        <v>695866</v>
      </c>
      <c r="J25" s="7">
        <v>875555.1</v>
      </c>
      <c r="K25" s="7">
        <v>261480.88399999999</v>
      </c>
      <c r="L25" s="7">
        <v>1137035.9839999999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x14ac:dyDescent="0.25">
      <c r="A26" s="4">
        <v>205</v>
      </c>
      <c r="B26" s="4" t="s">
        <v>98</v>
      </c>
      <c r="C26" s="6">
        <v>45713</v>
      </c>
      <c r="D26" s="4" t="s">
        <v>55</v>
      </c>
      <c r="E26" s="7">
        <v>132</v>
      </c>
      <c r="F26" s="7">
        <v>11</v>
      </c>
      <c r="G26" s="7">
        <v>121</v>
      </c>
      <c r="H26" s="7" t="s">
        <v>102</v>
      </c>
      <c r="I26" s="7">
        <v>678229</v>
      </c>
      <c r="J26" s="7">
        <v>852797.53</v>
      </c>
      <c r="K26" s="7">
        <v>254884.64600000001</v>
      </c>
      <c r="L26" s="7">
        <v>1107682.176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5">
        <v>10</v>
      </c>
      <c r="B27" s="5" t="s">
        <v>61</v>
      </c>
      <c r="C27" s="6">
        <v>40030</v>
      </c>
      <c r="D27" s="4" t="s">
        <v>56</v>
      </c>
      <c r="E27" s="7" t="s">
        <v>108</v>
      </c>
      <c r="F27" s="7" t="s">
        <v>109</v>
      </c>
      <c r="G27" s="8"/>
      <c r="H27" s="4"/>
      <c r="I27" s="7">
        <v>550512</v>
      </c>
      <c r="J27" s="7">
        <v>650422.06000000006</v>
      </c>
      <c r="K27" s="7">
        <v>207118.48800000001</v>
      </c>
      <c r="L27" s="7">
        <v>857540.54799999995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5">
        <v>169</v>
      </c>
      <c r="B28" s="5" t="s">
        <v>91</v>
      </c>
      <c r="C28" s="6">
        <v>45341</v>
      </c>
      <c r="D28" s="4" t="s">
        <v>56</v>
      </c>
      <c r="E28" s="7" t="s">
        <v>108</v>
      </c>
      <c r="F28" s="7">
        <v>0</v>
      </c>
      <c r="G28" s="7">
        <v>0</v>
      </c>
      <c r="H28" s="7" t="s">
        <v>102</v>
      </c>
      <c r="I28" s="7">
        <v>657525</v>
      </c>
      <c r="J28" s="7">
        <v>1035616.49</v>
      </c>
      <c r="K28" s="7">
        <v>247141.35</v>
      </c>
      <c r="L28" s="7">
        <v>1282757.8400000001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5">
        <v>47</v>
      </c>
      <c r="B29" s="5" t="s">
        <v>62</v>
      </c>
      <c r="C29" s="6">
        <v>44295</v>
      </c>
      <c r="D29" s="4" t="s">
        <v>57</v>
      </c>
      <c r="E29" s="7" t="s">
        <v>108</v>
      </c>
      <c r="F29" s="7" t="s">
        <v>109</v>
      </c>
      <c r="G29" s="4"/>
      <c r="H29" s="4"/>
      <c r="I29" s="7">
        <v>827217</v>
      </c>
      <c r="J29" s="7">
        <v>1000553.3</v>
      </c>
      <c r="K29" s="7">
        <v>310606.158</v>
      </c>
      <c r="L29" s="7">
        <v>1311159.4580000001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4">
        <v>201</v>
      </c>
      <c r="B30" s="4" t="s">
        <v>97</v>
      </c>
      <c r="C30" s="4"/>
      <c r="D30" s="4"/>
      <c r="E30" s="7">
        <v>0</v>
      </c>
      <c r="F30" s="7">
        <v>0</v>
      </c>
      <c r="G30" s="7">
        <v>0</v>
      </c>
      <c r="H30" s="7" t="s">
        <v>102</v>
      </c>
      <c r="I30" s="4"/>
      <c r="J30" s="4"/>
      <c r="K30" s="7">
        <v>1227</v>
      </c>
      <c r="L30" s="7">
        <v>1227</v>
      </c>
      <c r="M30" s="4" t="s">
        <v>107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>
        <v>204</v>
      </c>
      <c r="B31" s="4" t="s">
        <v>87</v>
      </c>
      <c r="C31" s="6">
        <v>45693</v>
      </c>
      <c r="D31" s="4" t="s">
        <v>49</v>
      </c>
      <c r="E31" s="7">
        <v>0</v>
      </c>
      <c r="F31" s="7">
        <v>0</v>
      </c>
      <c r="G31" s="7">
        <v>0</v>
      </c>
      <c r="H31" s="7" t="s">
        <v>102</v>
      </c>
      <c r="I31" s="4"/>
      <c r="J31" s="4"/>
      <c r="K31" s="7">
        <v>1227</v>
      </c>
      <c r="L31" s="7">
        <v>1227</v>
      </c>
      <c r="M31" s="4" t="s">
        <v>107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>
        <v>207</v>
      </c>
      <c r="B32" s="4" t="s">
        <v>100</v>
      </c>
      <c r="C32" s="6">
        <v>45721</v>
      </c>
      <c r="D32" s="4" t="s">
        <v>48</v>
      </c>
      <c r="E32" s="7">
        <v>81</v>
      </c>
      <c r="F32" s="7">
        <v>0</v>
      </c>
      <c r="G32" s="7">
        <v>81</v>
      </c>
      <c r="H32" s="7" t="s">
        <v>102</v>
      </c>
      <c r="I32" s="4"/>
      <c r="J32" s="4"/>
      <c r="K32" s="7">
        <v>1227</v>
      </c>
      <c r="L32" s="7">
        <v>1227</v>
      </c>
      <c r="M32" s="4" t="s">
        <v>104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</sheetData>
  <autoFilter ref="A1:M30"/>
  <sortState ref="A2:M100">
    <sortCondition ref="D1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"/>
  <sheetViews>
    <sheetView workbookViewId="0"/>
  </sheetViews>
  <sheetFormatPr baseColWidth="10" defaultColWidth="12.6328125" defaultRowHeight="15.75" customHeight="1" x14ac:dyDescent="0.25"/>
  <cols>
    <col min="2" max="2" width="22" customWidth="1"/>
    <col min="3" max="3" width="12.26953125" customWidth="1"/>
    <col min="4" max="4" width="25.6328125" bestFit="1" customWidth="1"/>
    <col min="5" max="5" width="14" customWidth="1"/>
  </cols>
  <sheetData>
    <row r="1" spans="1:26" x14ac:dyDescent="0.3">
      <c r="A1" s="1" t="s">
        <v>119</v>
      </c>
      <c r="B1" s="1" t="s">
        <v>90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59</v>
      </c>
      <c r="M1" s="1" t="s">
        <v>129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9">
        <v>500</v>
      </c>
      <c r="B2" s="19" t="s">
        <v>93</v>
      </c>
      <c r="C2" s="22">
        <v>449185</v>
      </c>
      <c r="D2" s="10">
        <v>563819.84933200001</v>
      </c>
      <c r="E2" s="10">
        <v>169222.19</v>
      </c>
      <c r="F2" s="10">
        <v>733042.03933199996</v>
      </c>
      <c r="G2" s="9"/>
      <c r="H2" s="9"/>
      <c r="I2" s="9"/>
      <c r="J2" s="9"/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6" ht="15.75" customHeight="1" x14ac:dyDescent="0.3">
      <c r="A3" s="9">
        <v>501</v>
      </c>
      <c r="B3" s="19" t="s">
        <v>94</v>
      </c>
      <c r="C3" s="22">
        <v>671588</v>
      </c>
      <c r="D3" s="10">
        <v>843540.27399799996</v>
      </c>
      <c r="E3" s="10">
        <v>252400.91200000001</v>
      </c>
      <c r="F3" s="10">
        <v>1095941.185998</v>
      </c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6" ht="15.75" customHeight="1" x14ac:dyDescent="0.25">
      <c r="A4" s="4">
        <v>55</v>
      </c>
      <c r="B4" s="4" t="s">
        <v>63</v>
      </c>
      <c r="C4" s="16">
        <v>44414</v>
      </c>
      <c r="D4" s="4" t="s">
        <v>48</v>
      </c>
      <c r="E4" s="17">
        <v>132</v>
      </c>
      <c r="F4" s="17">
        <v>122</v>
      </c>
      <c r="G4" s="4">
        <v>10</v>
      </c>
      <c r="H4" s="4" t="s">
        <v>102</v>
      </c>
      <c r="I4" s="7">
        <v>748018</v>
      </c>
      <c r="J4" s="7">
        <v>944319.79</v>
      </c>
      <c r="K4" s="7">
        <v>284522.93699999998</v>
      </c>
      <c r="L4" s="7">
        <v>1228842.727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6" ht="15.75" customHeight="1" x14ac:dyDescent="0.25">
      <c r="A5" s="4">
        <v>143</v>
      </c>
      <c r="B5" s="4" t="s">
        <v>70</v>
      </c>
      <c r="C5" s="16">
        <v>45184</v>
      </c>
      <c r="D5" s="4" t="s">
        <v>48</v>
      </c>
      <c r="E5" s="17">
        <v>126</v>
      </c>
      <c r="F5" s="17">
        <v>116</v>
      </c>
      <c r="G5" s="4">
        <v>10</v>
      </c>
      <c r="H5" s="4" t="s">
        <v>102</v>
      </c>
      <c r="I5" s="7">
        <v>702171</v>
      </c>
      <c r="J5" s="7">
        <v>886416.02</v>
      </c>
      <c r="K5" s="7">
        <v>267151.80599999998</v>
      </c>
      <c r="L5" s="7">
        <v>1153567.8259999999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6" ht="15.75" customHeight="1" x14ac:dyDescent="0.25">
      <c r="A6" s="4">
        <v>151</v>
      </c>
      <c r="B6" s="4" t="s">
        <v>71</v>
      </c>
      <c r="C6" s="16">
        <v>45201</v>
      </c>
      <c r="D6" s="4" t="s">
        <v>48</v>
      </c>
      <c r="E6" s="17">
        <v>127</v>
      </c>
      <c r="F6" s="17">
        <v>122</v>
      </c>
      <c r="G6" s="4">
        <v>5</v>
      </c>
      <c r="H6" s="4" t="s">
        <v>102</v>
      </c>
      <c r="I6" s="7">
        <v>690903</v>
      </c>
      <c r="J6" s="7">
        <v>871731.26</v>
      </c>
      <c r="K6" s="7">
        <v>262746.37800000003</v>
      </c>
      <c r="L6" s="7">
        <v>1134477.638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6" ht="15.75" customHeight="1" x14ac:dyDescent="0.25">
      <c r="A7" s="4">
        <v>161</v>
      </c>
      <c r="B7" s="4" t="s">
        <v>72</v>
      </c>
      <c r="C7" s="18">
        <v>45272</v>
      </c>
      <c r="D7" s="4" t="s">
        <v>48</v>
      </c>
      <c r="E7" s="17">
        <v>126</v>
      </c>
      <c r="F7" s="17">
        <v>93</v>
      </c>
      <c r="G7" s="4">
        <v>5</v>
      </c>
      <c r="H7" s="4" t="s">
        <v>103</v>
      </c>
      <c r="I7" s="7">
        <v>567481</v>
      </c>
      <c r="J7" s="7">
        <v>712622.67</v>
      </c>
      <c r="K7" s="7">
        <v>215013.80100000001</v>
      </c>
      <c r="L7" s="7">
        <v>927636.47100000002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ht="15.75" customHeight="1" x14ac:dyDescent="0.25">
      <c r="A8" s="4">
        <v>184</v>
      </c>
      <c r="B8" s="4" t="s">
        <v>79</v>
      </c>
      <c r="C8" s="16">
        <v>45569</v>
      </c>
      <c r="D8" s="4" t="s">
        <v>48</v>
      </c>
      <c r="E8" s="17" t="s">
        <v>111</v>
      </c>
      <c r="F8" s="4"/>
      <c r="G8" s="4">
        <v>0</v>
      </c>
      <c r="H8" s="4" t="s">
        <v>102</v>
      </c>
      <c r="I8" s="7">
        <v>452065</v>
      </c>
      <c r="J8" s="7">
        <v>569356.43000000005</v>
      </c>
      <c r="K8" s="7">
        <v>172033.929</v>
      </c>
      <c r="L8" s="7">
        <v>741390.35900000005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ht="15.75" customHeight="1" x14ac:dyDescent="0.25">
      <c r="A9" s="4">
        <v>139</v>
      </c>
      <c r="B9" s="4" t="s">
        <v>69</v>
      </c>
      <c r="C9" s="16">
        <v>45139</v>
      </c>
      <c r="D9" s="4" t="s">
        <v>49</v>
      </c>
      <c r="E9" s="17">
        <v>122</v>
      </c>
      <c r="F9" s="17">
        <v>112</v>
      </c>
      <c r="G9" s="4">
        <v>10</v>
      </c>
      <c r="H9" s="4" t="s">
        <v>102</v>
      </c>
      <c r="I9" s="7">
        <v>695901</v>
      </c>
      <c r="J9" s="7">
        <v>878907.97</v>
      </c>
      <c r="K9" s="7">
        <v>264899.391</v>
      </c>
      <c r="L9" s="7">
        <v>1143807.361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6" ht="15.75" customHeight="1" x14ac:dyDescent="0.25">
      <c r="A10" s="4">
        <v>170</v>
      </c>
      <c r="B10" s="4" t="s">
        <v>75</v>
      </c>
      <c r="C10" s="16">
        <v>45345</v>
      </c>
      <c r="D10" s="4" t="s">
        <v>49</v>
      </c>
      <c r="E10" s="17">
        <v>125</v>
      </c>
      <c r="F10" s="17">
        <v>115</v>
      </c>
      <c r="G10" s="4">
        <v>10</v>
      </c>
      <c r="H10" s="4" t="s">
        <v>102</v>
      </c>
      <c r="I10" s="7">
        <v>711966</v>
      </c>
      <c r="J10" s="7">
        <v>899200.38</v>
      </c>
      <c r="K10" s="7">
        <v>270987.114</v>
      </c>
      <c r="L10" s="7">
        <v>1170187.4939999999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15.75" customHeight="1" x14ac:dyDescent="0.25">
      <c r="A11" s="4">
        <v>173</v>
      </c>
      <c r="B11" s="4" t="s">
        <v>77</v>
      </c>
      <c r="C11" s="16">
        <v>45447</v>
      </c>
      <c r="D11" s="4" t="s">
        <v>49</v>
      </c>
      <c r="E11" s="17">
        <v>132</v>
      </c>
      <c r="F11" s="17">
        <v>120</v>
      </c>
      <c r="G11" s="4">
        <v>12</v>
      </c>
      <c r="H11" s="4" t="s">
        <v>102</v>
      </c>
      <c r="I11" s="7">
        <v>749642</v>
      </c>
      <c r="J11" s="7">
        <v>946985.8</v>
      </c>
      <c r="K11" s="7">
        <v>285322.74</v>
      </c>
      <c r="L11" s="7">
        <v>1232308.54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6" ht="15.75" customHeight="1" x14ac:dyDescent="0.25">
      <c r="A12" s="4">
        <v>186</v>
      </c>
      <c r="B12" s="4" t="s">
        <v>80</v>
      </c>
      <c r="C12" s="18">
        <v>45587</v>
      </c>
      <c r="D12" s="4" t="s">
        <v>49</v>
      </c>
      <c r="E12" s="17">
        <v>113</v>
      </c>
      <c r="F12" s="17">
        <v>104</v>
      </c>
      <c r="G12" s="4">
        <v>9</v>
      </c>
      <c r="H12" s="4" t="s">
        <v>102</v>
      </c>
      <c r="I12" s="7">
        <v>632219</v>
      </c>
      <c r="J12" s="7">
        <v>798210.54</v>
      </c>
      <c r="K12" s="7">
        <v>240690.16200000001</v>
      </c>
      <c r="L12" s="7">
        <v>1038900.702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6" ht="15.75" customHeight="1" x14ac:dyDescent="0.25">
      <c r="A13" s="4">
        <v>197</v>
      </c>
      <c r="B13" s="4" t="s">
        <v>85</v>
      </c>
      <c r="C13" s="16">
        <v>45659</v>
      </c>
      <c r="D13" s="4" t="s">
        <v>49</v>
      </c>
      <c r="E13" s="4">
        <v>30</v>
      </c>
      <c r="F13" s="4"/>
      <c r="G13" s="4">
        <v>0</v>
      </c>
      <c r="H13" s="4" t="s">
        <v>102</v>
      </c>
      <c r="I13" s="7">
        <v>631496</v>
      </c>
      <c r="J13" s="7">
        <v>770333.3</v>
      </c>
      <c r="K13" s="7">
        <v>232326.99</v>
      </c>
      <c r="L13" s="7">
        <v>1002660.29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6" ht="15.75" customHeight="1" x14ac:dyDescent="0.25">
      <c r="A14" s="4">
        <v>202</v>
      </c>
      <c r="B14" s="4" t="s">
        <v>86</v>
      </c>
      <c r="C14" s="16">
        <v>45666</v>
      </c>
      <c r="D14" s="4" t="s">
        <v>49</v>
      </c>
      <c r="E14" s="4">
        <v>45</v>
      </c>
      <c r="F14" s="4"/>
      <c r="G14" s="4">
        <v>0</v>
      </c>
      <c r="H14" s="4" t="s">
        <v>102</v>
      </c>
      <c r="I14" s="7">
        <v>386912</v>
      </c>
      <c r="J14" s="7">
        <v>462356.36</v>
      </c>
      <c r="K14" s="7">
        <v>139933.908</v>
      </c>
      <c r="L14" s="7">
        <v>602290.26799999899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6" ht="15.75" customHeight="1" x14ac:dyDescent="0.25">
      <c r="A15" s="4">
        <v>204</v>
      </c>
      <c r="B15" s="4" t="s">
        <v>87</v>
      </c>
      <c r="C15" s="16">
        <v>45693</v>
      </c>
      <c r="D15" s="4" t="s">
        <v>49</v>
      </c>
      <c r="E15" s="4">
        <v>0</v>
      </c>
      <c r="F15" s="4"/>
      <c r="G15" s="4">
        <v>0</v>
      </c>
      <c r="H15" s="4" t="s">
        <v>102</v>
      </c>
      <c r="I15" s="7">
        <v>0</v>
      </c>
      <c r="J15" s="7">
        <v>0</v>
      </c>
      <c r="K15" s="7">
        <v>1227</v>
      </c>
      <c r="L15" s="7">
        <v>1227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6" ht="15.75" customHeight="1" x14ac:dyDescent="0.25">
      <c r="A16" s="4">
        <v>210</v>
      </c>
      <c r="B16" s="4" t="s">
        <v>87</v>
      </c>
      <c r="C16" s="16">
        <v>45759</v>
      </c>
      <c r="D16" s="4" t="s">
        <v>49</v>
      </c>
      <c r="E16" s="4">
        <v>84</v>
      </c>
      <c r="F16" s="4">
        <v>79</v>
      </c>
      <c r="G16" s="4">
        <v>5</v>
      </c>
      <c r="H16" s="4" t="s">
        <v>102</v>
      </c>
      <c r="I16" s="7">
        <v>445820</v>
      </c>
      <c r="J16" s="7">
        <v>561874.75</v>
      </c>
      <c r="K16" s="7">
        <v>169789.42499999999</v>
      </c>
      <c r="L16" s="7">
        <v>731664.17500000005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5">
      <c r="A17" s="4">
        <v>120</v>
      </c>
      <c r="B17" s="4" t="s">
        <v>65</v>
      </c>
      <c r="C17" s="16">
        <v>45020</v>
      </c>
      <c r="D17" s="4" t="s">
        <v>50</v>
      </c>
      <c r="E17" s="17">
        <v>128</v>
      </c>
      <c r="F17" s="17">
        <v>119</v>
      </c>
      <c r="G17" s="4">
        <v>9</v>
      </c>
      <c r="H17" s="4" t="s">
        <v>102</v>
      </c>
      <c r="I17" s="7">
        <v>720514</v>
      </c>
      <c r="J17" s="7">
        <v>909608.85</v>
      </c>
      <c r="K17" s="7">
        <v>274109.65499999898</v>
      </c>
      <c r="L17" s="7">
        <v>1183718.5049999999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4">
        <v>174</v>
      </c>
      <c r="B18" s="4" t="s">
        <v>78</v>
      </c>
      <c r="C18" s="16">
        <v>45477</v>
      </c>
      <c r="D18" s="4" t="s">
        <v>50</v>
      </c>
      <c r="E18" s="17">
        <v>121</v>
      </c>
      <c r="F18" s="17">
        <v>112</v>
      </c>
      <c r="G18" s="4">
        <v>9</v>
      </c>
      <c r="H18" s="4" t="s">
        <v>102</v>
      </c>
      <c r="I18" s="7">
        <v>669939</v>
      </c>
      <c r="J18" s="7">
        <v>845728.49</v>
      </c>
      <c r="K18" s="7">
        <v>254945.54699999999</v>
      </c>
      <c r="L18" s="7">
        <v>1100674.037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5">
      <c r="A19" s="4">
        <v>194</v>
      </c>
      <c r="B19" s="4" t="s">
        <v>84</v>
      </c>
      <c r="C19" s="18">
        <v>45639</v>
      </c>
      <c r="D19" s="4" t="s">
        <v>50</v>
      </c>
      <c r="E19" s="17">
        <v>122</v>
      </c>
      <c r="F19" s="17">
        <v>117</v>
      </c>
      <c r="G19" s="4">
        <v>5</v>
      </c>
      <c r="H19" s="4" t="s">
        <v>102</v>
      </c>
      <c r="I19" s="7">
        <v>660181</v>
      </c>
      <c r="J19" s="7">
        <v>832993.42</v>
      </c>
      <c r="K19" s="7">
        <v>251125.02600000001</v>
      </c>
      <c r="L19" s="7">
        <v>1084118.446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>
        <v>131</v>
      </c>
      <c r="B20" s="4" t="s">
        <v>67</v>
      </c>
      <c r="C20" s="16">
        <v>45085</v>
      </c>
      <c r="D20" s="4" t="s">
        <v>51</v>
      </c>
      <c r="E20" s="17">
        <v>122</v>
      </c>
      <c r="F20" s="17">
        <v>118</v>
      </c>
      <c r="G20" s="4">
        <v>0</v>
      </c>
      <c r="H20" s="4" t="s">
        <v>102</v>
      </c>
      <c r="I20" s="7">
        <v>636686</v>
      </c>
      <c r="J20" s="7">
        <v>802501.66</v>
      </c>
      <c r="K20" s="7">
        <v>241977.49799999999</v>
      </c>
      <c r="L20" s="7">
        <v>1044479.1580000001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>
        <v>165</v>
      </c>
      <c r="B21" s="4" t="s">
        <v>73</v>
      </c>
      <c r="C21" s="16">
        <v>45311</v>
      </c>
      <c r="D21" s="4" t="s">
        <v>51</v>
      </c>
      <c r="E21" s="17">
        <v>123</v>
      </c>
      <c r="F21" s="17">
        <v>123</v>
      </c>
      <c r="G21" s="4">
        <v>0</v>
      </c>
      <c r="H21" s="4" t="s">
        <v>102</v>
      </c>
      <c r="I21" s="7">
        <v>769679</v>
      </c>
      <c r="J21" s="7">
        <v>973959.74</v>
      </c>
      <c r="K21" s="7">
        <v>293414.92199999897</v>
      </c>
      <c r="L21" s="7">
        <v>1267374.662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5" x14ac:dyDescent="0.25">
      <c r="A22" s="4">
        <v>126</v>
      </c>
      <c r="B22" s="4" t="s">
        <v>66</v>
      </c>
      <c r="C22" s="16">
        <v>45057</v>
      </c>
      <c r="D22" s="4" t="s">
        <v>52</v>
      </c>
      <c r="E22" s="17">
        <v>120</v>
      </c>
      <c r="F22" s="17">
        <v>111</v>
      </c>
      <c r="G22" s="4">
        <v>9</v>
      </c>
      <c r="H22" s="4" t="s">
        <v>102</v>
      </c>
      <c r="I22" s="7">
        <v>673751</v>
      </c>
      <c r="J22" s="7">
        <v>850618.43</v>
      </c>
      <c r="K22" s="7">
        <v>256412.52900000001</v>
      </c>
      <c r="L22" s="7">
        <v>1107030.959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5" x14ac:dyDescent="0.25">
      <c r="A23" s="4">
        <v>171</v>
      </c>
      <c r="B23" s="4" t="s">
        <v>76</v>
      </c>
      <c r="C23" s="16">
        <v>45771</v>
      </c>
      <c r="D23" s="4" t="s">
        <v>52</v>
      </c>
      <c r="E23" s="17">
        <v>127</v>
      </c>
      <c r="F23" s="17">
        <v>117</v>
      </c>
      <c r="G23" s="4">
        <v>10</v>
      </c>
      <c r="H23" s="4" t="s">
        <v>102</v>
      </c>
      <c r="I23" s="7">
        <v>714613</v>
      </c>
      <c r="J23" s="7">
        <v>902324.75</v>
      </c>
      <c r="K23" s="7">
        <v>271924.42499999999</v>
      </c>
      <c r="L23" s="7">
        <v>1174249.175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5" x14ac:dyDescent="0.25">
      <c r="A24" s="4">
        <v>189</v>
      </c>
      <c r="B24" s="4" t="s">
        <v>81</v>
      </c>
      <c r="C24" s="16">
        <v>45597</v>
      </c>
      <c r="D24" s="4" t="s">
        <v>52</v>
      </c>
      <c r="E24" s="17">
        <v>118</v>
      </c>
      <c r="F24" s="17">
        <v>107</v>
      </c>
      <c r="G24" s="4">
        <v>11</v>
      </c>
      <c r="H24" s="4" t="s">
        <v>102</v>
      </c>
      <c r="I24" s="7">
        <v>664213</v>
      </c>
      <c r="J24" s="7">
        <v>838772.66</v>
      </c>
      <c r="K24" s="7">
        <v>252858.79800000001</v>
      </c>
      <c r="L24" s="7">
        <v>1091631.4580000001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5" x14ac:dyDescent="0.25">
      <c r="A25" s="4">
        <v>103</v>
      </c>
      <c r="B25" s="4" t="s">
        <v>64</v>
      </c>
      <c r="C25" s="18">
        <v>44854</v>
      </c>
      <c r="D25" s="4" t="s">
        <v>53</v>
      </c>
      <c r="E25" s="17">
        <v>129</v>
      </c>
      <c r="F25" s="17">
        <v>91</v>
      </c>
      <c r="G25" s="4">
        <v>6</v>
      </c>
      <c r="H25" s="4" t="s">
        <v>103</v>
      </c>
      <c r="I25" s="7">
        <v>544266</v>
      </c>
      <c r="J25" s="7">
        <v>682045.2</v>
      </c>
      <c r="K25" s="7">
        <v>205840.55999999901</v>
      </c>
      <c r="L25" s="7">
        <v>887885.75999999896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5" x14ac:dyDescent="0.25">
      <c r="A26" s="4">
        <v>138</v>
      </c>
      <c r="B26" s="4" t="s">
        <v>68</v>
      </c>
      <c r="C26" s="16">
        <v>45139</v>
      </c>
      <c r="D26" s="4" t="s">
        <v>53</v>
      </c>
      <c r="E26" s="17">
        <v>121</v>
      </c>
      <c r="F26" s="17">
        <v>105</v>
      </c>
      <c r="G26" s="4">
        <v>8</v>
      </c>
      <c r="H26" s="4" t="s">
        <v>102</v>
      </c>
      <c r="I26" s="7">
        <v>678666</v>
      </c>
      <c r="J26" s="7">
        <v>856814.76</v>
      </c>
      <c r="K26" s="7">
        <v>258271.427999999</v>
      </c>
      <c r="L26" s="7">
        <v>1115086.1880000001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5" x14ac:dyDescent="0.25">
      <c r="A27" s="4">
        <v>192</v>
      </c>
      <c r="B27" s="4" t="s">
        <v>83</v>
      </c>
      <c r="C27" s="16">
        <v>45597</v>
      </c>
      <c r="D27" s="4" t="s">
        <v>54</v>
      </c>
      <c r="E27" s="17">
        <v>119</v>
      </c>
      <c r="F27" s="17">
        <v>111</v>
      </c>
      <c r="G27" s="4">
        <v>8</v>
      </c>
      <c r="H27" s="4" t="s">
        <v>102</v>
      </c>
      <c r="I27" s="7">
        <v>681246</v>
      </c>
      <c r="J27" s="7">
        <v>860606.43</v>
      </c>
      <c r="K27" s="7">
        <v>259408.929</v>
      </c>
      <c r="L27" s="7">
        <v>1120015.3589999999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5" x14ac:dyDescent="0.25">
      <c r="A28" s="4">
        <v>206</v>
      </c>
      <c r="B28" s="4" t="s">
        <v>89</v>
      </c>
      <c r="C28" s="16">
        <v>45713</v>
      </c>
      <c r="D28" s="4" t="s">
        <v>54</v>
      </c>
      <c r="E28" s="17">
        <v>119</v>
      </c>
      <c r="F28" s="17">
        <v>111</v>
      </c>
      <c r="G28" s="4">
        <v>8</v>
      </c>
      <c r="H28" s="4" t="s">
        <v>102</v>
      </c>
      <c r="I28" s="7">
        <v>633222</v>
      </c>
      <c r="J28" s="7">
        <v>798639.95</v>
      </c>
      <c r="K28" s="7">
        <v>240818.98499999999</v>
      </c>
      <c r="L28" s="7">
        <v>1039458.93499999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5" x14ac:dyDescent="0.25">
      <c r="A29" s="4">
        <v>190</v>
      </c>
      <c r="B29" s="4" t="s">
        <v>82</v>
      </c>
      <c r="C29" s="16">
        <v>45597</v>
      </c>
      <c r="D29" s="4" t="s">
        <v>55</v>
      </c>
      <c r="E29" s="17">
        <v>129</v>
      </c>
      <c r="F29" s="17">
        <v>119</v>
      </c>
      <c r="G29" s="4">
        <v>10</v>
      </c>
      <c r="H29" s="4" t="s">
        <v>102</v>
      </c>
      <c r="I29" s="7">
        <v>718261</v>
      </c>
      <c r="J29" s="7">
        <v>906926.69</v>
      </c>
      <c r="K29" s="7">
        <v>273305.00699999998</v>
      </c>
      <c r="L29" s="7">
        <v>1180231.6969999999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5" x14ac:dyDescent="0.25">
      <c r="A30" s="4">
        <v>205</v>
      </c>
      <c r="B30" s="4" t="s">
        <v>88</v>
      </c>
      <c r="C30" s="16">
        <v>45713</v>
      </c>
      <c r="D30" s="4" t="s">
        <v>55</v>
      </c>
      <c r="E30" s="17">
        <v>128</v>
      </c>
      <c r="F30" s="17">
        <v>119</v>
      </c>
      <c r="G30" s="4">
        <v>9</v>
      </c>
      <c r="H30" s="4" t="s">
        <v>102</v>
      </c>
      <c r="I30" s="7">
        <v>682276</v>
      </c>
      <c r="J30" s="7">
        <v>860638.46</v>
      </c>
      <c r="K30" s="7">
        <v>259418.53799999901</v>
      </c>
      <c r="L30" s="7">
        <v>1120056.9979999999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5" x14ac:dyDescent="0.25">
      <c r="A31" s="5">
        <v>10</v>
      </c>
      <c r="B31" s="5" t="s">
        <v>61</v>
      </c>
      <c r="C31" s="16">
        <v>40030</v>
      </c>
      <c r="D31" s="4" t="s">
        <v>56</v>
      </c>
      <c r="E31" s="4" t="s">
        <v>112</v>
      </c>
      <c r="F31" s="4"/>
      <c r="G31" s="4" t="s">
        <v>113</v>
      </c>
      <c r="H31" s="4" t="s">
        <v>102</v>
      </c>
      <c r="I31" s="7">
        <v>1145324</v>
      </c>
      <c r="J31" s="7">
        <v>1392408.06</v>
      </c>
      <c r="K31" s="7">
        <v>418949.41800000001</v>
      </c>
      <c r="L31" s="7">
        <v>1811357.4779999999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5" x14ac:dyDescent="0.25">
      <c r="A32" s="5">
        <v>169</v>
      </c>
      <c r="B32" s="5" t="s">
        <v>74</v>
      </c>
      <c r="C32" s="16">
        <v>45341</v>
      </c>
      <c r="D32" s="4" t="s">
        <v>56</v>
      </c>
      <c r="E32" s="4" t="s">
        <v>108</v>
      </c>
      <c r="F32" s="4"/>
      <c r="G32" s="4" t="s">
        <v>114</v>
      </c>
      <c r="H32" s="4" t="s">
        <v>102</v>
      </c>
      <c r="I32" s="7">
        <v>780313</v>
      </c>
      <c r="J32" s="7">
        <v>1190861.57</v>
      </c>
      <c r="K32" s="7">
        <v>358485.47100000002</v>
      </c>
      <c r="L32" s="7">
        <v>1549347.041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6" ht="26" x14ac:dyDescent="0.3">
      <c r="A33" s="9"/>
      <c r="B33" s="9"/>
      <c r="C33" s="20" t="s">
        <v>115</v>
      </c>
      <c r="D33" s="20" t="s">
        <v>116</v>
      </c>
      <c r="E33" s="20" t="s">
        <v>117</v>
      </c>
      <c r="F33" s="21" t="s">
        <v>118</v>
      </c>
      <c r="G33" s="20"/>
      <c r="H33" s="9"/>
      <c r="I33" s="9"/>
      <c r="J33" s="9"/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6" ht="12.5" x14ac:dyDescent="0.25">
      <c r="A34" s="5">
        <v>47</v>
      </c>
      <c r="B34" s="5" t="s">
        <v>62</v>
      </c>
      <c r="C34" s="16">
        <v>44295</v>
      </c>
      <c r="D34" s="4" t="s">
        <v>57</v>
      </c>
      <c r="E34" s="4" t="s">
        <v>112</v>
      </c>
      <c r="F34" s="4"/>
      <c r="G34" s="4" t="s">
        <v>114</v>
      </c>
      <c r="H34" s="4" t="s">
        <v>102</v>
      </c>
      <c r="I34" s="7">
        <v>970183</v>
      </c>
      <c r="J34" s="7">
        <v>1180379.3899999999</v>
      </c>
      <c r="K34" s="7">
        <v>355340.81699999998</v>
      </c>
      <c r="L34" s="7">
        <v>1535720.2069999999</v>
      </c>
      <c r="M34" s="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5" x14ac:dyDescent="0.25">
      <c r="A35" s="4" t="s">
        <v>4</v>
      </c>
      <c r="B35" s="4"/>
      <c r="C35" s="4"/>
      <c r="D35" s="4"/>
      <c r="E35" s="4"/>
      <c r="F35" s="4"/>
      <c r="G35" s="4"/>
      <c r="H35" s="4"/>
      <c r="I35" s="7">
        <v>19757927</v>
      </c>
      <c r="J35" s="4"/>
      <c r="K35" s="4"/>
      <c r="L35" s="4"/>
      <c r="M35" s="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" x14ac:dyDescent="0.3">
      <c r="A37" s="19" t="s">
        <v>110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5" x14ac:dyDescent="0.25">
      <c r="A39" s="9"/>
      <c r="B39" s="9" t="s">
        <v>106</v>
      </c>
      <c r="C39" s="22">
        <v>41923.933333333298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5" x14ac:dyDescent="0.25">
      <c r="A40" s="9"/>
      <c r="B40" s="9" t="s">
        <v>105</v>
      </c>
      <c r="C40" s="22">
        <v>62681.546666666603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</sheetData>
  <autoFilter ref="A1:M35"/>
  <sortState ref="A2:M100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gastos 2025-03</vt:lpstr>
      <vt:lpstr>Gastos 03-2025</vt:lpstr>
      <vt:lpstr>Resumen personal 2025-03</vt:lpstr>
      <vt:lpstr>Sueldos 03-2025 (2)</vt:lpstr>
      <vt:lpstr>Sueldos 03-2025</vt:lpstr>
      <vt:lpstr>Sueldos 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2025-05-12T18:55:21Z</dcterms:modified>
</cp:coreProperties>
</file>