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Hoja2" sheetId="2" r:id="rId1"/>
    <sheet name="Hoja1" sheetId="1" r:id="rId2"/>
  </sheets>
  <definedNames>
    <definedName name="_xlnm._FilterDatabase" localSheetId="1" hidden="1">Hoja1!$A$1:$P$779</definedName>
  </definedNames>
  <calcPr calcId="162913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N25" i="2"/>
  <c r="N24" i="2"/>
  <c r="N23" i="2"/>
  <c r="N22" i="2"/>
  <c r="N21" i="2"/>
  <c r="N20" i="2"/>
  <c r="K26" i="2"/>
  <c r="K25" i="2"/>
  <c r="K24" i="2"/>
  <c r="K23" i="2"/>
  <c r="K22" i="2"/>
  <c r="K21" i="2"/>
  <c r="K20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9" i="1"/>
  <c r="J660" i="1"/>
  <c r="J661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2" i="1"/>
</calcChain>
</file>

<file path=xl/sharedStrings.xml><?xml version="1.0" encoding="utf-8"?>
<sst xmlns="http://schemas.openxmlformats.org/spreadsheetml/2006/main" count="4869" uniqueCount="483">
  <si>
    <t>CHACO 25 DE MAYO</t>
  </si>
  <si>
    <t>ALQUILER</t>
  </si>
  <si>
    <t>CRICNOGAP SOCIEDAD ANONIMA</t>
  </si>
  <si>
    <t>FA 00002-00001323</t>
  </si>
  <si>
    <t>CREDICOOP</t>
  </si>
  <si>
    <t>-sep-25</t>
  </si>
  <si>
    <t>ALUMBRADO</t>
  </si>
  <si>
    <t>S/C</t>
  </si>
  <si>
    <t>$ -</t>
  </si>
  <si>
    <t>AYSA</t>
  </si>
  <si>
    <t>CLARO</t>
  </si>
  <si>
    <t>AMX ARGENTINA SOCIEDAD ANONIMA</t>
  </si>
  <si>
    <t>A nombre de Carlotex</t>
  </si>
  <si>
    <t>SECHEEP</t>
  </si>
  <si>
    <t>sin comprobante</t>
  </si>
  <si>
    <t>COM AS SAN TELMO</t>
  </si>
  <si>
    <t>EDESUR</t>
  </si>
  <si>
    <t>FA 0501-0285295817</t>
  </si>
  <si>
    <t>PROVINCIA</t>
  </si>
  <si>
    <t>INTERNET</t>
  </si>
  <si>
    <t>TELEFONICA MOVILES ARGENTINA SOCIEDAD ANONIMA</t>
  </si>
  <si>
    <t>FA 3103-00027437</t>
  </si>
  <si>
    <t>PRODUCCION - DEPOSITO 2468</t>
  </si>
  <si>
    <t>MATAFUEGO</t>
  </si>
  <si>
    <t>SEGURIDAD DENAPOLI SRL</t>
  </si>
  <si>
    <t>FA 00004-00010158</t>
  </si>
  <si>
    <t>COM LUCERO FRENCH</t>
  </si>
  <si>
    <t>ALARMA</t>
  </si>
  <si>
    <t>SANES JUAN MANUEL</t>
  </si>
  <si>
    <t>FC 00001-00000090</t>
  </si>
  <si>
    <t>(libre)</t>
  </si>
  <si>
    <t>MANOLIO MARIANO SERGIO</t>
  </si>
  <si>
    <t>FA 00003-00001016</t>
  </si>
  <si>
    <t>COM LUCERO FLORIDA</t>
  </si>
  <si>
    <t>FA 0501-0286565617</t>
  </si>
  <si>
    <t>FA 0501-0286439217</t>
  </si>
  <si>
    <t>FA 9904-0249573917</t>
  </si>
  <si>
    <t>TELECOM ARGENTINA SOCIEDAD ANONIMA</t>
  </si>
  <si>
    <t>FA 4264-05797339</t>
  </si>
  <si>
    <t>DEB. AUT. CRED.</t>
  </si>
  <si>
    <t>FA 0501-0285295917</t>
  </si>
  <si>
    <t>FA 0501-0285296017</t>
  </si>
  <si>
    <t>FA 4264-05786439</t>
  </si>
  <si>
    <t>COM LUCERO GUEMES</t>
  </si>
  <si>
    <t>FA 4264-05761516</t>
  </si>
  <si>
    <t>MP</t>
  </si>
  <si>
    <t>COM LUCERO GUEMES GONDOLA 13</t>
  </si>
  <si>
    <t>GALERIA GRAL GUEMES S A I</t>
  </si>
  <si>
    <t>CREDICOOP C de I</t>
  </si>
  <si>
    <t>COM LUCERO RECOLETA</t>
  </si>
  <si>
    <t>FA 0501-02837979</t>
  </si>
  <si>
    <t>FA 4264-05885094</t>
  </si>
  <si>
    <t>COM LUCERO ST</t>
  </si>
  <si>
    <t>FA 0501-0285288517</t>
  </si>
  <si>
    <t>ECHEQ</t>
  </si>
  <si>
    <t>ADMINISTRACION - OFICINA FLORIDA</t>
  </si>
  <si>
    <t>ABL</t>
  </si>
  <si>
    <t>MAGECA S A</t>
  </si>
  <si>
    <t>ND 00002-00000064</t>
  </si>
  <si>
    <t>FA 00002-00000223</t>
  </si>
  <si>
    <t>EXPENSAS</t>
  </si>
  <si>
    <t>FUMIGACION</t>
  </si>
  <si>
    <t>FA 4264-05834294</t>
  </si>
  <si>
    <t>PRODUCCION - DEPOSITO 2463</t>
  </si>
  <si>
    <t>Condominio Marinelli</t>
  </si>
  <si>
    <t>FA 00002-00000150</t>
  </si>
  <si>
    <t>Se paga 64% a MARINELLI MA ESTER y 36% a MARINELLI INES</t>
  </si>
  <si>
    <t>FA 0501-0282639017</t>
  </si>
  <si>
    <t>FA 4264-05834245</t>
  </si>
  <si>
    <t>AGIP a cta de otra RS</t>
  </si>
  <si>
    <t>Partida 118462</t>
  </si>
  <si>
    <t>FA 1331-01038171</t>
  </si>
  <si>
    <t>VISION 101 S.A.</t>
  </si>
  <si>
    <t>FA 01815-00000193</t>
  </si>
  <si>
    <t>TELECENTRO</t>
  </si>
  <si>
    <t>A nombre de Le Marroq</t>
  </si>
  <si>
    <t>Cliente 2404938</t>
  </si>
  <si>
    <t>METROGAS</t>
  </si>
  <si>
    <t>Metrogas</t>
  </si>
  <si>
    <t>cliente 10442982300</t>
  </si>
  <si>
    <t>TELEFONIA</t>
  </si>
  <si>
    <t>FA A6364-09283836</t>
  </si>
  <si>
    <t>PRODUCCION - DEPOSITO PERDRIEL</t>
  </si>
  <si>
    <t>Partida 1381816</t>
  </si>
  <si>
    <t>HOME CITY S.A.</t>
  </si>
  <si>
    <t>FA 00002-00000710</t>
  </si>
  <si>
    <t>FA 00002-00000714</t>
  </si>
  <si>
    <t>saldo a favor</t>
  </si>
  <si>
    <t>FA 0501-02943102</t>
  </si>
  <si>
    <t>FA 4264-05826627</t>
  </si>
  <si>
    <t>PRODUCCION SD 2626</t>
  </si>
  <si>
    <t>-octubre-2025</t>
  </si>
  <si>
    <t>-oct-25</t>
  </si>
  <si>
    <t>FA 0501-0967727</t>
  </si>
  <si>
    <t>FA 4264-05971278</t>
  </si>
  <si>
    <t>FA 0501-02967729</t>
  </si>
  <si>
    <t>FA 0501-02967728</t>
  </si>
  <si>
    <t>FA 4264-05926248</t>
  </si>
  <si>
    <t>FA 0501-02955940</t>
  </si>
  <si>
    <t>FA 4264-06023609</t>
  </si>
  <si>
    <t>FA 0501-02966199</t>
  </si>
  <si>
    <t>MANTENIMIENTO</t>
  </si>
  <si>
    <t>RETAMAR VICTOR ARMANDO</t>
  </si>
  <si>
    <t>FC 00004-00000032</t>
  </si>
  <si>
    <t>FA 4264-05937556</t>
  </si>
  <si>
    <t>FA 0501-02944330</t>
  </si>
  <si>
    <t>FA 4264-05973757</t>
  </si>
  <si>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</si>
  <si>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</si>
  <si>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</si>
  <si>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</si>
  <si>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</si>
  <si>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</si>
  <si>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</si>
  <si>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TOTAL</t>
  </si>
  <si>
    <t>MEDIO DE PAGO</t>
  </si>
  <si>
    <t>FECHA A PAGAR</t>
  </si>
  <si>
    <t>FECHA 
PAGO</t>
  </si>
  <si>
    <t>OBSERVACIONES</t>
  </si>
  <si>
    <t>OCT VTAS.</t>
  </si>
  <si>
    <t>Mes</t>
  </si>
  <si>
    <t>PREVISION Servicios 1era sem</t>
  </si>
  <si>
    <t>SERVICIOS</t>
  </si>
  <si>
    <t>-jul-25</t>
  </si>
  <si>
    <t>PREVISION Servicios resto</t>
  </si>
  <si>
    <t>PREVISION alquileres tiendas</t>
  </si>
  <si>
    <t>-ago-25</t>
  </si>
  <si>
    <t>PREVISION expensas tiendas</t>
  </si>
  <si>
    <t>PREVISION alquileres dep/ofic // tiendas</t>
  </si>
  <si>
    <t>PREVISION expensas dep/ofic</t>
  </si>
  <si>
    <t>-abr-25</t>
  </si>
  <si>
    <t>FA 00002-00001291</t>
  </si>
  <si>
    <t>AGUA</t>
  </si>
  <si>
    <t>OFICINA FLORIDA</t>
  </si>
  <si>
    <t>FA 00002-00000199</t>
  </si>
  <si>
    <t>ND 00002-00000055</t>
  </si>
  <si>
    <t>FA 00003-00000965</t>
  </si>
  <si>
    <t>FA 4264-05146990</t>
  </si>
  <si>
    <t>FA 0501-02291854</t>
  </si>
  <si>
    <t>FA 0501-02291992</t>
  </si>
  <si>
    <t>FA 9904-02394351</t>
  </si>
  <si>
    <t>FA 00002-00000200</t>
  </si>
  <si>
    <t>ND 00002-00000054</t>
  </si>
  <si>
    <t>FC 00001-00000058</t>
  </si>
  <si>
    <t>FA 4264-05107815</t>
  </si>
  <si>
    <t>FA 0501-02285075</t>
  </si>
  <si>
    <t>FA 0501-02285074</t>
  </si>
  <si>
    <t>Fideicomiso Laguna Oscura</t>
  </si>
  <si>
    <t>RA 00001-00000029</t>
  </si>
  <si>
    <t>Solar de french</t>
  </si>
  <si>
    <t>EFECTIVO</t>
  </si>
  <si>
    <t>FA 4264-05097061</t>
  </si>
  <si>
    <t>PRESIDENCIA GALERIA GUEMES (Andressa)</t>
  </si>
  <si>
    <t>FA 0003-00018624</t>
  </si>
  <si>
    <t>PRESIDENCIA GALERIA GUEMES (OFICINA)</t>
  </si>
  <si>
    <t>FA 00003-00018616</t>
  </si>
  <si>
    <t>COM LUCERO GUEMES GONDOLA 7</t>
  </si>
  <si>
    <t>FA 0003-00018618</t>
  </si>
  <si>
    <t>FA 00003-00018617</t>
  </si>
  <si>
    <t>FA 4264-05080411</t>
  </si>
  <si>
    <t>FA 0501-02261988</t>
  </si>
  <si>
    <t>FA 00002-00000672</t>
  </si>
  <si>
    <t>Se pagó fuera de vencimiento</t>
  </si>
  <si>
    <t>FA 4264-05141967</t>
  </si>
  <si>
    <t>COM AS QUILMES</t>
  </si>
  <si>
    <t>FA 3103-00019180</t>
  </si>
  <si>
    <t>FA 0501-02277271</t>
  </si>
  <si>
    <t>FORTIN MAURE S.A.</t>
  </si>
  <si>
    <t>FA 0030-00089741</t>
  </si>
  <si>
    <t>FA 0030-00089550</t>
  </si>
  <si>
    <t>FA 4264-05199207</t>
  </si>
  <si>
    <t>FA 0501-02285073</t>
  </si>
  <si>
    <t>MESATEL SA</t>
  </si>
  <si>
    <t>FA 00003-00007586</t>
  </si>
  <si>
    <t>FA 0501-02284788</t>
  </si>
  <si>
    <t>FA 00003-00007585</t>
  </si>
  <si>
    <t>COM LUCERO ST 2</t>
  </si>
  <si>
    <t>FA 00003-00007587</t>
  </si>
  <si>
    <t>FA 00002-00000145</t>
  </si>
  <si>
    <t>FA 0501-02262103</t>
  </si>
  <si>
    <t>FA 4264-05145448</t>
  </si>
  <si>
    <t>FA 01331-00186969</t>
  </si>
  <si>
    <t>FA 4264-08990059</t>
  </si>
  <si>
    <t>FA 1815-00000181</t>
  </si>
  <si>
    <t>-mayo-2025</t>
  </si>
  <si>
    <t>-may-25</t>
  </si>
  <si>
    <t>FA 00002-00001298</t>
  </si>
  <si>
    <t>No se pagó en fecha. Se abona en junio</t>
  </si>
  <si>
    <t>FC</t>
  </si>
  <si>
    <t>FA 00003-00007698</t>
  </si>
  <si>
    <t>FA 0501-02399783</t>
  </si>
  <si>
    <t>emision 29/04/2025</t>
  </si>
  <si>
    <t>FA 00003-00000974</t>
  </si>
  <si>
    <t>FA 3103-00021024</t>
  </si>
  <si>
    <t>ND 00002-00000057</t>
  </si>
  <si>
    <t>FC 00001-00000065</t>
  </si>
  <si>
    <t>FA 00002-00000202</t>
  </si>
  <si>
    <t>FA 0501-02399786</t>
  </si>
  <si>
    <t>FA 0501-02400314</t>
  </si>
  <si>
    <t>FA 9904-02414082</t>
  </si>
  <si>
    <t>Tiene intereses x pago fuera de vto</t>
  </si>
  <si>
    <t>FA 4264-05249336</t>
  </si>
  <si>
    <t>emision 18/04/2025</t>
  </si>
  <si>
    <t>FA 00004-00009645</t>
  </si>
  <si>
    <t>FA 00003-00018750</t>
  </si>
  <si>
    <t>FA 4264-05217439</t>
  </si>
  <si>
    <t>FA 4264-05351455</t>
  </si>
  <si>
    <t>emision 21/05/2025</t>
  </si>
  <si>
    <t>verificar saldo a favor x $40441,50</t>
  </si>
  <si>
    <t>FA 00003-00018767</t>
  </si>
  <si>
    <t>FA 00003-00018751</t>
  </si>
  <si>
    <t>FC 00001-00000066</t>
  </si>
  <si>
    <t>FA 0030-000090177</t>
  </si>
  <si>
    <t>FA 0501-02389941</t>
  </si>
  <si>
    <t>emision 28/04/2025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</si>
  <si>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</si>
  <si>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</si>
  <si>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</si>
  <si>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</si>
  <si>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</si>
  <si>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</si>
  <si>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</si>
  <si>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FA 0501-702412401</t>
  </si>
  <si>
    <t>cargada en factura y pagos</t>
  </si>
  <si>
    <t>FA 0505-00007707</t>
  </si>
  <si>
    <t>RA 00001-00000056</t>
  </si>
  <si>
    <t>FA 0501-02399784</t>
  </si>
  <si>
    <t>FA 0501-02399785</t>
  </si>
  <si>
    <t>FA 4264-05236055</t>
  </si>
  <si>
    <t>FA 00004-00009640</t>
  </si>
  <si>
    <t>FA 00002-00000146</t>
  </si>
  <si>
    <t>FA 0501-02381259</t>
  </si>
  <si>
    <t>emision 25/04/2025</t>
  </si>
  <si>
    <t>FA 4264-05286833</t>
  </si>
  <si>
    <t>FA 1331-00363079</t>
  </si>
  <si>
    <t>FA 1331-00522777</t>
  </si>
  <si>
    <t>Se pagó dos veces abril. Chequear en junio</t>
  </si>
  <si>
    <t>verificar saldo a favor x $83,754,48,-</t>
  </si>
  <si>
    <t>FA 01815-00000182</t>
  </si>
  <si>
    <t>FA 00004-00009642</t>
  </si>
  <si>
    <t>FA</t>
  </si>
  <si>
    <t>FA 00002-00000679</t>
  </si>
  <si>
    <t>FA 0501-02379298</t>
  </si>
  <si>
    <t>emision 24/04/2025</t>
  </si>
  <si>
    <t>FA 4264-05281973</t>
  </si>
  <si>
    <t>FA 00004-00009641</t>
  </si>
  <si>
    <t>ND 00002-00000056</t>
  </si>
  <si>
    <t>FA 00002-00000201</t>
  </si>
  <si>
    <t>FA 4264-05283285</t>
  </si>
  <si>
    <t>FA 00003-00018757</t>
  </si>
  <si>
    <t>FA 00003-00018749</t>
  </si>
  <si>
    <t>C DE I - OFICINA GALERIA GUEMES</t>
  </si>
  <si>
    <t>FA 00003-00018769 // NCA 00003-00000915</t>
  </si>
  <si>
    <t>FA 00003-00018769</t>
  </si>
  <si>
    <t>-junio-2025</t>
  </si>
  <si>
    <t>ADMINISTRACION</t>
  </si>
  <si>
    <t>FA 6364-09113929</t>
  </si>
  <si>
    <t>-jun-25</t>
  </si>
  <si>
    <t>FA00002-00001300</t>
  </si>
  <si>
    <t>FC 00001-00000075</t>
  </si>
  <si>
    <t>FA 00003-00007838</t>
  </si>
  <si>
    <t>FA 0501-02510981</t>
  </si>
  <si>
    <t>FA 00003-00000986</t>
  </si>
  <si>
    <t>FA 3103-00021534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</si>
  <si>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</si>
  <si>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</si>
  <si>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</si>
  <si>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</si>
  <si>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</si>
  <si>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</si>
  <si>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FA 00003-00018889</t>
  </si>
  <si>
    <t>BBVA</t>
  </si>
  <si>
    <t>FA 00003-00018918</t>
  </si>
  <si>
    <t>FA 00004-00009818</t>
  </si>
  <si>
    <t>FA 00003-00018906</t>
  </si>
  <si>
    <t>FA 00003-00018890</t>
  </si>
  <si>
    <t>FA 00003-00018920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</si>
  <si>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</si>
  <si>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</si>
  <si>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</si>
  <si>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</si>
  <si>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</si>
  <si>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</si>
  <si>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</si>
  <si>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</si>
  <si>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</si>
  <si>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</si>
  <si>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</si>
  <si>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</si>
  <si>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FA 00002-00000147</t>
  </si>
  <si>
    <t>FA 0501-02487419</t>
  </si>
  <si>
    <t>FA 4264-05421317</t>
  </si>
  <si>
    <t>FA 01815-00000184</t>
  </si>
  <si>
    <t>FA 00002-00000685</t>
  </si>
  <si>
    <t>FA 00002-00000689</t>
  </si>
  <si>
    <t>FA 0501-02485354</t>
  </si>
  <si>
    <t>FA 4264-05415123</t>
  </si>
  <si>
    <t>FC 00004-00000021</t>
  </si>
  <si>
    <t>ND 00002-00000059</t>
  </si>
  <si>
    <t>FA 00002-00000207</t>
  </si>
  <si>
    <t>FA 4264-05421242</t>
  </si>
  <si>
    <t>FA 00003-00018896</t>
  </si>
  <si>
    <t>FA 00003-00018917</t>
  </si>
  <si>
    <t>FA 00003-00018888</t>
  </si>
  <si>
    <t>FA 00003-00018914</t>
  </si>
  <si>
    <t>-julio-2025</t>
  </si>
  <si>
    <t>ND 00002-00000060</t>
  </si>
  <si>
    <t>FA 00002-00000214</t>
  </si>
  <si>
    <t>ND</t>
  </si>
  <si>
    <t>FA 00003-00000996</t>
  </si>
  <si>
    <t>FA 4264-05559207</t>
  </si>
  <si>
    <t>GUTIERREZ MASIN DIEGO ALEJANDRO</t>
  </si>
  <si>
    <t>FA 00001-00000099</t>
  </si>
  <si>
    <t>SPH</t>
  </si>
  <si>
    <t>FA 00002-00001307</t>
  </si>
  <si>
    <t>FC 00001-00000076</t>
  </si>
  <si>
    <t>FA 00003-00007940</t>
  </si>
  <si>
    <t>FA 0501-02631328</t>
  </si>
  <si>
    <t>FA 3103-00024016</t>
  </si>
  <si>
    <t>ND 00002-00000061</t>
  </si>
  <si>
    <t>FC 00001-00000077</t>
  </si>
  <si>
    <t>FA 00002-00000215</t>
  </si>
  <si>
    <t>FA 0501-02636593</t>
  </si>
  <si>
    <t>FA 0501-02636038</t>
  </si>
  <si>
    <t>FA 9904-0245536217</t>
  </si>
  <si>
    <t>FA 4264-05521129</t>
  </si>
  <si>
    <t>FC 00004-00000022</t>
  </si>
  <si>
    <t>RA 00001-00000113</t>
  </si>
  <si>
    <t>FA 0501-02631330</t>
  </si>
  <si>
    <t>FA0501-02631329</t>
  </si>
  <si>
    <t>FA 4264-05508161</t>
  </si>
  <si>
    <t>FA 00003-00019045</t>
  </si>
  <si>
    <t>FA 00003-00019054</t>
  </si>
  <si>
    <t>COM LUCERO GUEMES LOCAL 04</t>
  </si>
  <si>
    <t>FA 00003-00019035</t>
  </si>
  <si>
    <t>COM LUCERO GUEMES LOCAL 08</t>
  </si>
  <si>
    <t>FA 00003-00019029</t>
  </si>
  <si>
    <t>FA 4264-05488775</t>
  </si>
  <si>
    <t>FA 0030-00090846</t>
  </si>
  <si>
    <t>FA 0501-02614658</t>
  </si>
  <si>
    <t>FA 0030-00090767</t>
  </si>
  <si>
    <t>FA 4264-05609033</t>
  </si>
  <si>
    <t>FA 00003-00007939</t>
  </si>
  <si>
    <t>FA 0501-02626440</t>
  </si>
  <si>
    <t>FA 00003-00007941</t>
  </si>
  <si>
    <t>FA 00004-00009912</t>
  </si>
  <si>
    <t>FA 00002-00000148</t>
  </si>
  <si>
    <t>FA 0501-02599183</t>
  </si>
  <si>
    <t>FA 4264-05559268</t>
  </si>
  <si>
    <t>FA 1331-00692332</t>
  </si>
  <si>
    <t>FA 01815-00000190</t>
  </si>
  <si>
    <t>CHECK CLIMATIZACION</t>
  </si>
  <si>
    <t>FA 00001-00000183</t>
  </si>
  <si>
    <t>FA 00004-00009959</t>
  </si>
  <si>
    <t>OC 1094</t>
  </si>
  <si>
    <t>PRODUCCION - DEPOSITO 2626</t>
  </si>
  <si>
    <t>FA 00002-00000695</t>
  </si>
  <si>
    <t>FA 0501-02599188</t>
  </si>
  <si>
    <t>FA 4264-05553324</t>
  </si>
  <si>
    <t>-agosto-2025</t>
  </si>
  <si>
    <t>ND 00002-00000062</t>
  </si>
  <si>
    <t>FA 00002-00000218</t>
  </si>
  <si>
    <t>FA 00003-00001006</t>
  </si>
  <si>
    <t>FA 4264-05695167</t>
  </si>
  <si>
    <t>FA 00002-00001315</t>
  </si>
  <si>
    <t>FC 00001-00000088</t>
  </si>
  <si>
    <t>FA 0501-02737818</t>
  </si>
  <si>
    <t>FA 3103-00025772</t>
  </si>
  <si>
    <t>FA 00001-00000188</t>
  </si>
  <si>
    <t>PPTO 4902</t>
  </si>
  <si>
    <t>FC 00004-00000029</t>
  </si>
  <si>
    <t>FA 0501-02743414</t>
  </si>
  <si>
    <t>FA 0501-02743784</t>
  </si>
  <si>
    <t>FA 9904-0247509417</t>
  </si>
  <si>
    <t>FA 4264-05658214</t>
  </si>
  <si>
    <t>FA 00004-00010036</t>
  </si>
  <si>
    <t>RA</t>
  </si>
  <si>
    <t>FA 0501-02737820</t>
  </si>
  <si>
    <t>FA 0501-02737819</t>
  </si>
  <si>
    <t>FA 4264-05647876</t>
  </si>
  <si>
    <t>FA 4264-05624998</t>
  </si>
  <si>
    <t>MARKETING LUCERO</t>
  </si>
  <si>
    <t>NUEVA ATENEA SRL</t>
  </si>
  <si>
    <t>FA 0002-00000890</t>
  </si>
  <si>
    <t>OC 1124</t>
  </si>
  <si>
    <t>FA 0501-02731127</t>
  </si>
  <si>
    <t>FA 0030-00091179</t>
  </si>
  <si>
    <t>FA 4264-05746386</t>
  </si>
  <si>
    <t>COM LUCERO SAN TELMO</t>
  </si>
  <si>
    <t>FA 0501-02735148</t>
  </si>
  <si>
    <t>FA 00002-00000149</t>
  </si>
  <si>
    <t>Se paga 64% a MARINELLI MA ESTER y 36% a MARINELLI INES ($652563,21)</t>
  </si>
  <si>
    <t>FA 0501-02715794</t>
  </si>
  <si>
    <t>FA 4264-05695976</t>
  </si>
  <si>
    <t>FA 00004-00010038</t>
  </si>
  <si>
    <t>INSUMOS</t>
  </si>
  <si>
    <t>MARTINEZ VANESA ROSANA</t>
  </si>
  <si>
    <t>FA 00004-00004246</t>
  </si>
  <si>
    <t>FA 1331-00872224</t>
  </si>
  <si>
    <t>FA 01815-00000192</t>
  </si>
  <si>
    <t>FA 00004-00010001</t>
  </si>
  <si>
    <t>FC 00004-00000027</t>
  </si>
  <si>
    <t>FA 0A6364-09227303</t>
  </si>
  <si>
    <t>FA 00004-00010037</t>
  </si>
  <si>
    <t>FA 00002-00000703</t>
  </si>
  <si>
    <t>FA 0501-0282445817</t>
  </si>
  <si>
    <t>FA 4264-05689959</t>
  </si>
  <si>
    <t>-septiembre-2025</t>
  </si>
  <si>
    <t>PREVISION alquileres ST</t>
  </si>
  <si>
    <t>PREVISION alquiler Florida</t>
  </si>
  <si>
    <t>PREVISION otros</t>
  </si>
  <si>
    <t>SANABRIA GUSTAVO</t>
  </si>
  <si>
    <t>FA 0005-00002375</t>
  </si>
  <si>
    <t>CH 30/60 DS</t>
  </si>
  <si>
    <t>00001-00000191</t>
  </si>
  <si>
    <t>PAGO 1 DE 2 PPTO 4910</t>
  </si>
  <si>
    <t>FA 00003-00008096</t>
  </si>
  <si>
    <t>COM FLORIDA LUCERO</t>
  </si>
  <si>
    <t>ND 00002-00000063</t>
  </si>
  <si>
    <t>FC 00001-00000089</t>
  </si>
  <si>
    <t>FA 00002-00000220</t>
  </si>
  <si>
    <t>FA 00004-00010043</t>
  </si>
  <si>
    <t>FA 00003-00001007</t>
  </si>
  <si>
    <t>FA A00003-00019233</t>
  </si>
  <si>
    <t>FA A00003-00019217</t>
  </si>
  <si>
    <t>FA A00003-00019223</t>
  </si>
  <si>
    <t>FA 0005-00002371</t>
  </si>
  <si>
    <t>FA A00003-00019216</t>
  </si>
  <si>
    <t>FA 0005-00002376</t>
  </si>
  <si>
    <t>FA 00004-00010039</t>
  </si>
  <si>
    <t>FA 0030-00091406</t>
  </si>
  <si>
    <t>FA 00004-00010052</t>
  </si>
  <si>
    <t>FA 0005-00002373</t>
  </si>
  <si>
    <t>FA 00004-00010042</t>
  </si>
  <si>
    <t>FA 00003-00008098</t>
  </si>
  <si>
    <t>FA 0005-00002372</t>
  </si>
  <si>
    <t>FA 00003-00008097</t>
  </si>
  <si>
    <t>FC 00001-00000091</t>
  </si>
  <si>
    <t>FA 00003-00008177</t>
  </si>
  <si>
    <t>FA 00003-00001017</t>
  </si>
  <si>
    <t>00001-00000194</t>
  </si>
  <si>
    <t>PAGO 2 DE 2 PPTO 4910</t>
  </si>
  <si>
    <t>FA 00004-00010112</t>
  </si>
  <si>
    <t>FA XXX-XXXXXXXX</t>
  </si>
  <si>
    <t>ND 00002-00000065</t>
  </si>
  <si>
    <t>FA 00002-00000224</t>
  </si>
  <si>
    <t>FA 0005-00002415</t>
  </si>
  <si>
    <t>PAGO CON CH BBVA</t>
  </si>
  <si>
    <t>A favor para Octubre 2812</t>
  </si>
  <si>
    <t>FA 00003-00019359</t>
  </si>
  <si>
    <t>FA 00004-00010111</t>
  </si>
  <si>
    <t>FA 00003-00019376</t>
  </si>
  <si>
    <t>FA 00003-00019360</t>
  </si>
  <si>
    <t>FA 00003-00019366</t>
  </si>
  <si>
    <t>FA 0030-00091683</t>
  </si>
  <si>
    <t>FA 0030-00091550</t>
  </si>
  <si>
    <t>FA 00003-00008176</t>
  </si>
  <si>
    <t>FA 00004-00010110</t>
  </si>
  <si>
    <t>FA 00003-00008178</t>
  </si>
  <si>
    <t>S/C 0501-0285736117</t>
  </si>
  <si>
    <t>COMLUCERO SOLAR</t>
  </si>
  <si>
    <t>FA 0030-00091783</t>
  </si>
  <si>
    <t>$1.013.700 se abonaron con Echeq</t>
  </si>
  <si>
    <t>FA 0005-00002426</t>
  </si>
  <si>
    <t>MARTINEZ VANESA</t>
  </si>
  <si>
    <t>FA 00004-00004332</t>
  </si>
  <si>
    <t>FA 00003-00019400</t>
  </si>
  <si>
    <t>RETAMAR VICTOR</t>
  </si>
  <si>
    <t>FC 00004-00000033</t>
  </si>
  <si>
    <t>ND 00002-0000</t>
  </si>
  <si>
    <t>FC 00001-0000</t>
  </si>
  <si>
    <t>S/C 0501-02967314</t>
  </si>
  <si>
    <t>Etiquetas de fila</t>
  </si>
  <si>
    <t>Total general</t>
  </si>
  <si>
    <t>Etiquetas de columna</t>
  </si>
  <si>
    <t>OTRAS PERCEP,</t>
  </si>
  <si>
    <t>TOTAL SIN IVA</t>
  </si>
  <si>
    <t>Suma de TOTAL SIN IVA</t>
  </si>
  <si>
    <t>COM FLORIDA</t>
  </si>
  <si>
    <t>Total -sep-25</t>
  </si>
  <si>
    <t>TIENDA</t>
  </si>
  <si>
    <t>TOTAL OTROS GASTOS</t>
  </si>
  <si>
    <t>TOTAL ALQUILER+EXPENSAS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</si>
</sst>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44" fontId="0" fillId="0" borderId="1" xfId="1" applyFont="1" applyBorder="1"/>
    <xf numFmtId="44" fontId="0" fillId="0" borderId="1" xfId="1" applyFont="1" applyFill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44" fontId="2" fillId="0" borderId="1" xfId="1" applyFont="1" applyBorder="1"/>
    <xf numFmtId="44" fontId="2" fillId="0" borderId="1" xfId="0" applyNumberFormat="1" applyFont="1" applyBorder="1"/>
  </cellXfs>
  <cellStyles count="2">
    <cellStyle name="Moneda" xfId="1" builtinId="4"/>
    <cellStyle name="Normal" xfId="0" builtinId="0"/>
  </cellStyles>
  <dxfs count="1"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31.620193981478" createdVersion="6" refreshedVersion="6" minRefreshableVersion="3" recordCount="778">
  <cacheSource type="worksheet">
    <worksheetSource ref="A1:P779" sheet="Hoja1"/>
  </cacheSource>
  <cacheFields count="17">
    <cacheField name="TIENDA / DEPOSITO / OFICINA / FABRICA" numFmtId="0">
      <sharedItems containsBlank="1" count="44">
        <s v="PREVISION Servicios 1era sem"/>
        <s v="PREVISION Servicios resto"/>
        <s v="PREVISION alquileres tiendas"/>
        <s v="PREVISION expensas tiendas"/>
        <s v="PREVISION alquileres dep/ofic // tiendas"/>
        <s v="PREVISION expensas dep/ofic"/>
        <s v="CHACO 25 DE MAYO"/>
        <s v="OFICINA FLORIDA"/>
        <s v="COM LUCERO FLORIDA"/>
        <s v="COM LUCERO FRENCH"/>
        <s v="PRESIDENCIA GALERIA GUEMES (Andressa)"/>
        <s v="PRESIDENCIA GALERIA GUEMES (OFICINA)"/>
        <s v="COM LUCERO GUEMES GONDOLA 7"/>
        <s v="COM LUCERO GUEMES"/>
        <s v="PRODUCCION - DEPOSITO PERDRIEL"/>
        <s v="COM AS QUILMES"/>
        <s v="COM LUCERO RECOLETA"/>
        <s v="COM AS SAN TELMO"/>
        <s v="COM LUCERO ST"/>
        <s v="COM LUCERO ST 2"/>
        <s v="PRODUCCION - DEPOSITO 2463"/>
        <s v="PRODUCCION - DEPOSITO 2468"/>
        <s v="PRODUCCION SD 2626"/>
        <s v="-mayo-2025"/>
        <s v="COM LUCERO GUEMES GONDOLA 13"/>
        <s v="C DE I - OFICINA GALERIA GUEMES"/>
        <s v="-junio-2025"/>
        <s v="ADMINISTRACION"/>
        <s v="-julio-2025"/>
        <s v="(libre)"/>
        <s v="ADMINISTRACION - OFICINA FLORIDA"/>
        <s v="COM LUCERO GUEMES LOCAL 04"/>
        <s v="COM LUCERO GUEMES LOCAL 08"/>
        <s v="PRODUCCION - DEPOSITO 2626"/>
        <s v="-agosto-2025"/>
        <s v="COM LUCERO SAN TELMO"/>
        <s v="-septiembre-2025"/>
        <m/>
        <s v="-octubre-2025"/>
        <s v="PREVISION alquileres ST"/>
        <s v="PREVISION alquiler Florida"/>
        <s v="PREVISION otros"/>
        <s v="COM FLORIDA LUCERO"/>
        <s v="COMLUCERO SOLAR"/>
      </sharedItems>
      <fieldGroup par="16"/>
    </cacheField>
    <cacheField name="ITEM" numFmtId="0">
      <sharedItems containsBlank="1" count="21">
        <s v="SERVICIOS"/>
        <s v="ALQUILER"/>
        <s v="EXPENSAS"/>
        <s v="INTERNET"/>
        <s v="ALUMBRADO"/>
        <s v="AGUA"/>
        <s v="EDESUR"/>
        <s v="ABL"/>
        <s v="AYSA"/>
        <s v="FUMIGACION"/>
        <s v="ALARMA"/>
        <s v="METROGAS"/>
        <s v="TELEFONIA"/>
        <m/>
        <s v="MATAFUEGO"/>
        <s v="MANTENIMIENTO"/>
        <s v="SECHEEP"/>
        <s v="MARKETING LUCERO"/>
        <s v="INSUMOS"/>
        <s v="CLARO"/>
        <s v="(libre)"/>
      </sharedItems>
    </cacheField>
    <cacheField name="RAZON SOCIAL" numFmtId="0">
      <sharedItems containsBlank="1"/>
    </cacheField>
    <cacheField name="FACTURA" numFmtId="0">
      <sharedItems containsBlank="1"/>
    </cacheField>
    <cacheField name="FECHA EMISION" numFmtId="0">
      <sharedItems containsNonDate="0" containsDate="1" containsString="0" containsBlank="1" minDate="2025-04-18T00:00:00" maxDate="2025-09-28T00:00:00"/>
    </cacheField>
    <cacheField name="IMPORTE" numFmtId="0">
      <sharedItems containsBlank="1" containsMixedTypes="1" containsNumber="1" minValue="1683.48" maxValue="7000000"/>
    </cacheField>
    <cacheField name="IVA/OTRO" numFmtId="0">
      <sharedItems containsBlank="1" containsMixedTypes="1" containsNumber="1" minValue="353.53" maxValue="1470000"/>
    </cacheField>
    <cacheField name="OTRAS PERCEP," numFmtId="0">
      <sharedItems containsBlank="1" containsMixedTypes="1" containsNumber="1" minValue="-3154.37" maxValue="1126508.49"/>
    </cacheField>
    <cacheField name="TOTAL" numFmtId="0">
      <sharedItems containsBlank="1" containsMixedTypes="1" containsNumber="1" minValue="1116.9000000000001" maxValue="10000000"/>
    </cacheField>
    <cacheField name="TOTAL SIN IVA" numFmtId="8">
      <sharedItems containsMixedTypes="1" containsNumber="1" minValue="0" maxValue="10000000"/>
    </cacheField>
    <cacheField name="MEDIO DE PAGO" numFmtId="0">
      <sharedItems containsBlank="1"/>
    </cacheField>
    <cacheField name="FECHA A PAGAR" numFmtId="0">
      <sharedItems containsNonDate="0" containsDate="1" containsString="0" containsBlank="1" minDate="2025-04-01T00:00:00" maxDate="2025-10-11T00:00:00"/>
    </cacheField>
    <cacheField name="FECHA _x000a_PAGO" numFmtId="0">
      <sharedItems containsNonDate="0" containsDate="1" containsString="0" containsBlank="1" minDate="2025-04-01T00:00:00" maxDate="2025-10-06T00:00:00"/>
    </cacheField>
    <cacheField name="OBSERVACIONES" numFmtId="0">
      <sharedItems containsBlank="1"/>
    </cacheField>
    <cacheField name="OCT VTAS." numFmtId="0">
      <sharedItems containsBlank="1"/>
    </cacheField>
    <cacheField name="Mes" numFmtId="0">
      <sharedItems containsBlank="1" count="8">
        <s v="-jul-25"/>
        <s v="-oct-25"/>
        <s v="-ago-25"/>
        <s v="-abr-25"/>
        <s v="-may-25"/>
        <s v="-jun-25"/>
        <s v="-sep-25"/>
        <m/>
      </sharedItems>
    </cacheField>
    <cacheField name="TIENDA / DEPOSITO / OFICINA / FABRICA2" numFmtId="0" databaseField="0">
      <fieldGroup base="0">
        <discretePr count="44">
          <x v="0"/>
          <x v="1"/>
          <x v="2"/>
          <x v="3"/>
          <x v="4"/>
          <x v="5"/>
          <x v="6"/>
          <x v="7"/>
          <x v="42"/>
          <x v="8"/>
          <x v="9"/>
          <x v="10"/>
          <x v="11"/>
          <x v="12"/>
          <x v="13"/>
          <x v="14"/>
          <x v="15"/>
          <x v="16"/>
          <x v="17"/>
          <x v="18"/>
          <x v="19"/>
          <x v="20"/>
          <x v="21"/>
          <x v="22"/>
          <x v="23"/>
          <x v="24"/>
          <x v="25"/>
          <x v="26"/>
          <x v="27"/>
          <x v="28"/>
          <x v="29"/>
          <x v="30"/>
          <x v="31"/>
          <x v="32"/>
          <x v="33"/>
          <x v="34"/>
          <x v="35"/>
          <x v="36"/>
          <x v="37"/>
          <x v="38"/>
          <x v="39"/>
          <x v="40"/>
          <x v="42"/>
          <x v="41"/>
        </discretePr>
        <groupItems count="43">
          <s v="PREVISION Servicios 1era sem"/>
          <s v="PREVISION Servicios resto"/>
          <s v="PREVISION alquileres tiendas"/>
          <s v="PREVISION expensas tiendas"/>
          <s v="PREVISION alquileres dep/ofic // tiendas"/>
          <s v="PREVISION expensas dep/ofic"/>
          <s v="CHACO 25 DE MAYO"/>
          <s v="OFICINA FLORIDA"/>
          <s v="COM LUCERO FRENCH"/>
          <s v="PRESIDENCIA GALERIA GUEMES (Andressa)"/>
          <s v="PRESIDENCIA GALERIA GUEMES (OFICINA)"/>
          <s v="COM LUCERO GUEMES GONDOLA 7"/>
          <s v="COM LUCERO GUEMES"/>
          <s v="PRODUCCION - DEPOSITO PERDRIEL"/>
          <s v="COM AS QUILMES"/>
          <s v="COM LUCERO RECOLETA"/>
          <s v="COM AS SAN TELMO"/>
          <s v="COM LUCERO ST"/>
          <s v="COM LUCERO ST 2"/>
          <s v="PRODUCCION - DEPOSITO 2463"/>
          <s v="PRODUCCION - DEPOSITO 2468"/>
          <s v="PRODUCCION SD 2626"/>
          <s v="-mayo-2025"/>
          <s v="COM LUCERO GUEMES GONDOLA 13"/>
          <s v="C DE I - OFICINA GALERIA GUEMES"/>
          <s v="-junio-2025"/>
          <s v="ADMINISTRACION"/>
          <s v="-julio-2025"/>
          <s v="(libre)"/>
          <s v="ADMINISTRACION - OFICINA FLORIDA"/>
          <s v="COM LUCERO GUEMES LOCAL 04"/>
          <s v="COM LUCERO GUEMES LOCAL 08"/>
          <s v="PRODUCCION - DEPOSITO 2626"/>
          <s v="-agosto-2025"/>
          <s v="COM LUCERO SAN TELMO"/>
          <s v="-septiembre-2025"/>
          <m/>
          <s v="-octubre-2025"/>
          <s v="PREVISION alquileres ST"/>
          <s v="PREVISION alquiler Florida"/>
          <s v="PREVISION otros"/>
          <s v="COMLUCERO SOLAR"/>
          <s v="Grupo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8">
  <r>
    <x v="0"/>
    <x v="0"/>
    <m/>
    <m/>
    <m/>
    <m/>
    <m/>
    <m/>
    <n v="3200000"/>
    <n v="3200000"/>
    <m/>
    <d v="2025-10-07T00:00:00"/>
    <m/>
    <m/>
    <m/>
    <x v="0"/>
  </r>
  <r>
    <x v="1"/>
    <x v="0"/>
    <m/>
    <m/>
    <m/>
    <m/>
    <m/>
    <m/>
    <n v="4000000"/>
    <n v="4000000"/>
    <m/>
    <d v="2025-10-10T00:00:00"/>
    <m/>
    <m/>
    <m/>
    <x v="1"/>
  </r>
  <r>
    <x v="2"/>
    <x v="1"/>
    <m/>
    <m/>
    <m/>
    <m/>
    <m/>
    <m/>
    <s v="$ -"/>
    <s v="$ -"/>
    <m/>
    <d v="2025-08-11T00:00:00"/>
    <d v="2025-08-11T00:00:00"/>
    <m/>
    <m/>
    <x v="2"/>
  </r>
  <r>
    <x v="3"/>
    <x v="2"/>
    <m/>
    <m/>
    <m/>
    <m/>
    <m/>
    <m/>
    <s v="$ -"/>
    <s v="$ -"/>
    <m/>
    <d v="2025-08-11T00:00:00"/>
    <d v="2025-08-11T00:00:00"/>
    <m/>
    <m/>
    <x v="2"/>
  </r>
  <r>
    <x v="4"/>
    <x v="1"/>
    <m/>
    <m/>
    <m/>
    <m/>
    <m/>
    <m/>
    <n v="6000000"/>
    <n v="6000000"/>
    <m/>
    <d v="2025-10-10T00:00:00"/>
    <m/>
    <m/>
    <m/>
    <x v="1"/>
  </r>
  <r>
    <x v="5"/>
    <x v="2"/>
    <m/>
    <m/>
    <m/>
    <m/>
    <m/>
    <m/>
    <n v="350000"/>
    <n v="350000"/>
    <m/>
    <d v="2025-10-10T00:00:00"/>
    <m/>
    <m/>
    <m/>
    <x v="1"/>
  </r>
  <r>
    <x v="6"/>
    <x v="3"/>
    <s v="AMX ARGENTINA SOCIEDAD ANONIMA"/>
    <m/>
    <m/>
    <m/>
    <m/>
    <m/>
    <n v="21306.6"/>
    <n v="21306.6"/>
    <s v="CREDICOOP"/>
    <d v="2025-05-05T00:00:00"/>
    <d v="2025-05-07T00:00:00"/>
    <m/>
    <m/>
    <x v="3"/>
  </r>
  <r>
    <x v="6"/>
    <x v="1"/>
    <s v="CRICNOGAP SOCIEDAD ANONIMA"/>
    <s v="FA 00002-00001291"/>
    <m/>
    <n v="600000"/>
    <n v="126000"/>
    <m/>
    <n v="726000"/>
    <n v="600000"/>
    <s v="CREDICOOP"/>
    <d v="2025-04-11T00:00:00"/>
    <d v="2025-04-11T00:00:00"/>
    <m/>
    <m/>
    <x v="3"/>
  </r>
  <r>
    <x v="6"/>
    <x v="4"/>
    <s v="CRICNOGAP SOCIEDAD ANONIMA"/>
    <m/>
    <m/>
    <m/>
    <m/>
    <m/>
    <n v="15341.48"/>
    <n v="15341.48"/>
    <s v="CREDICOOP"/>
    <d v="2025-04-11T00:00:00"/>
    <d v="2025-04-11T00:00:00"/>
    <m/>
    <m/>
    <x v="3"/>
  </r>
  <r>
    <x v="6"/>
    <x v="5"/>
    <m/>
    <m/>
    <m/>
    <m/>
    <m/>
    <m/>
    <m/>
    <n v="0"/>
    <m/>
    <d v="2025-04-01T00:00:00"/>
    <d v="2025-04-01T00:00:00"/>
    <m/>
    <m/>
    <x v="3"/>
  </r>
  <r>
    <x v="7"/>
    <x v="1"/>
    <s v="MAGECA S A"/>
    <s v="FA 00002-00000199"/>
    <m/>
    <n v="941117.31"/>
    <n v="197634.64"/>
    <m/>
    <n v="1138751.95"/>
    <n v="941117.31"/>
    <s v="CREDICOOP"/>
    <d v="2025-04-07T00:00:00"/>
    <d v="2025-04-07T00:00:00"/>
    <m/>
    <m/>
    <x v="3"/>
  </r>
  <r>
    <x v="7"/>
    <x v="2"/>
    <s v="MAGECA S A"/>
    <s v="ND 00002-00000055"/>
    <m/>
    <m/>
    <m/>
    <m/>
    <n v="285021.89"/>
    <n v="285021.89"/>
    <s v="CREDICOOP"/>
    <d v="2025-04-23T00:00:00"/>
    <d v="2025-04-23T00:00:00"/>
    <m/>
    <m/>
    <x v="3"/>
  </r>
  <r>
    <x v="7"/>
    <x v="6"/>
    <s v="MAGECA S A"/>
    <s v="ND 00002-00000055"/>
    <m/>
    <m/>
    <m/>
    <m/>
    <n v="261802.71"/>
    <n v="261802.71"/>
    <s v="CREDICOOP"/>
    <d v="2025-04-23T00:00:00"/>
    <d v="2025-04-23T00:00:00"/>
    <m/>
    <m/>
    <x v="3"/>
  </r>
  <r>
    <x v="7"/>
    <x v="7"/>
    <s v="MAGECA S A"/>
    <s v="ND 00002-00000055"/>
    <m/>
    <m/>
    <m/>
    <m/>
    <n v="45283.21"/>
    <n v="45283.21"/>
    <s v="CREDICOOP"/>
    <d v="2025-04-23T00:00:00"/>
    <d v="2025-04-23T00:00:00"/>
    <m/>
    <m/>
    <x v="3"/>
  </r>
  <r>
    <x v="7"/>
    <x v="8"/>
    <s v="MAGECA S A"/>
    <s v="ND 00002-00000055"/>
    <m/>
    <m/>
    <m/>
    <m/>
    <n v="81350.42"/>
    <n v="81350.42"/>
    <s v="CREDICOOP"/>
    <d v="2025-04-23T00:00:00"/>
    <d v="2025-04-23T00:00:00"/>
    <m/>
    <m/>
    <x v="3"/>
  </r>
  <r>
    <x v="7"/>
    <x v="9"/>
    <s v="MANOLIO MARIANO SERGIO"/>
    <s v="FA 00003-00000965"/>
    <m/>
    <n v="34220"/>
    <n v="7186.2"/>
    <m/>
    <n v="41406.199999999997"/>
    <n v="34220"/>
    <s v="CREDICOOP"/>
    <d v="2025-04-23T00:00:00"/>
    <d v="2025-04-23T00:00:00"/>
    <m/>
    <m/>
    <x v="3"/>
  </r>
  <r>
    <x v="7"/>
    <x v="3"/>
    <s v="TELECOM ARGENTINA SOCIEDAD ANONIMA"/>
    <s v="FA 4264-05146990"/>
    <m/>
    <n v="64701"/>
    <n v="13587.21"/>
    <n v="5176.08"/>
    <n v="83464.289999999994"/>
    <n v="64701"/>
    <s v="DEB. AUT. CRED."/>
    <d v="2025-04-07T00:00:00"/>
    <d v="2025-04-07T00:00:00"/>
    <m/>
    <m/>
    <x v="3"/>
  </r>
  <r>
    <x v="8"/>
    <x v="6"/>
    <s v="EDESUR"/>
    <s v="FA 0501-02291854"/>
    <m/>
    <n v="118639.49"/>
    <n v="32032.66"/>
    <n v="10788.91"/>
    <n v="161461.06"/>
    <n v="118639.49"/>
    <s v="PROVINCIA"/>
    <d v="2025-04-09T00:00:00"/>
    <d v="2025-04-09T00:00:00"/>
    <m/>
    <m/>
    <x v="3"/>
  </r>
  <r>
    <x v="8"/>
    <x v="6"/>
    <s v="EDESUR"/>
    <s v="FA 0501-02291992"/>
    <m/>
    <n v="12202.15"/>
    <n v="3294.58"/>
    <n v="801.89"/>
    <n v="16298.62"/>
    <n v="12202.15"/>
    <s v="PROVINCIA"/>
    <d v="2025-04-09T00:00:00"/>
    <d v="2025-04-09T00:00:00"/>
    <m/>
    <m/>
    <x v="3"/>
  </r>
  <r>
    <x v="8"/>
    <x v="6"/>
    <s v="EDESUR"/>
    <s v="FA 9904-02394351"/>
    <m/>
    <n v="337381.6"/>
    <n v="91093.03"/>
    <n v="31313.49"/>
    <n v="459788.12"/>
    <n v="337381.6"/>
    <s v="PROVINCIA"/>
    <d v="2025-04-15T00:00:00"/>
    <d v="2025-04-15T00:00:00"/>
    <m/>
    <m/>
    <x v="3"/>
  </r>
  <r>
    <x v="8"/>
    <x v="1"/>
    <s v="MAGECA S A"/>
    <s v="FA 00002-00000200"/>
    <m/>
    <n v="2924376.08"/>
    <n v="614118.98"/>
    <m/>
    <n v="3538495.06"/>
    <n v="2924376.08"/>
    <s v="CREDICOOP"/>
    <d v="2025-04-07T00:00:00"/>
    <d v="2025-04-07T00:00:00"/>
    <m/>
    <m/>
    <x v="3"/>
  </r>
  <r>
    <x v="8"/>
    <x v="2"/>
    <s v="MAGECA S A"/>
    <s v="ND 00002-00000054"/>
    <m/>
    <m/>
    <m/>
    <m/>
    <n v="407740.5"/>
    <n v="407740.5"/>
    <s v="CREDICOOP"/>
    <d v="2025-04-23T00:00:00"/>
    <d v="2025-04-23T00:00:00"/>
    <m/>
    <m/>
    <x v="3"/>
  </r>
  <r>
    <x v="8"/>
    <x v="7"/>
    <s v="MAGECA S A"/>
    <s v="ND 00002-00000054"/>
    <m/>
    <m/>
    <m/>
    <m/>
    <n v="456619.16"/>
    <n v="456619.16"/>
    <s v="CREDICOOP"/>
    <d v="2025-04-23T00:00:00"/>
    <d v="2025-04-23T00:00:00"/>
    <m/>
    <m/>
    <x v="3"/>
  </r>
  <r>
    <x v="8"/>
    <x v="8"/>
    <s v="MAGECA S A"/>
    <s v="ND 00002-00000054"/>
    <m/>
    <m/>
    <m/>
    <m/>
    <n v="519510.52"/>
    <n v="519510.52"/>
    <s v="CREDICOOP"/>
    <d v="2025-04-23T00:00:00"/>
    <d v="2025-04-23T00:00:00"/>
    <m/>
    <m/>
    <x v="3"/>
  </r>
  <r>
    <x v="8"/>
    <x v="9"/>
    <s v="MANOLIO MARIANO SERGIO"/>
    <s v="FA 00003-00000965"/>
    <m/>
    <n v="24380"/>
    <n v="5119.8"/>
    <m/>
    <n v="29499.8"/>
    <n v="24380"/>
    <s v="CREDICOOP"/>
    <d v="2025-04-23T00:00:00"/>
    <d v="2025-04-23T00:00:00"/>
    <m/>
    <m/>
    <x v="3"/>
  </r>
  <r>
    <x v="8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8"/>
    <x v="3"/>
    <s v="TELECOM ARGENTINA SOCIEDAD ANONIMA"/>
    <s v="FA 4264-05107815"/>
    <m/>
    <n v="127001"/>
    <n v="26670.21"/>
    <n v="10160.08"/>
    <n v="163831.29"/>
    <n v="127001"/>
    <s v="DEB. AUT. CRED."/>
    <d v="2025-04-07T00:00:00"/>
    <d v="2025-04-07T00:00:00"/>
    <m/>
    <m/>
    <x v="3"/>
  </r>
  <r>
    <x v="9"/>
    <x v="6"/>
    <s v="EDESUR"/>
    <s v="FA 0501-02285075"/>
    <m/>
    <n v="117541.92"/>
    <n v="31736.32"/>
    <n v="10685.93"/>
    <n v="159964.17000000001"/>
    <n v="117541.92"/>
    <s v="PROVINCIA"/>
    <d v="2025-04-09T00:00:00"/>
    <d v="2025-04-09T00:00:00"/>
    <m/>
    <m/>
    <x v="3"/>
  </r>
  <r>
    <x v="9"/>
    <x v="6"/>
    <s v="EDESUR"/>
    <s v="FA 0501-02285074"/>
    <m/>
    <n v="50547.91"/>
    <n v="13647.94"/>
    <n v="4399.88"/>
    <n v="68595.73"/>
    <n v="50547.91"/>
    <s v="PROVINCIA"/>
    <d v="2025-04-09T00:00:00"/>
    <d v="2025-04-09T00:00:00"/>
    <m/>
    <m/>
    <x v="3"/>
  </r>
  <r>
    <x v="9"/>
    <x v="1"/>
    <s v="Fideicomiso Laguna Oscura"/>
    <s v="RA 00001-00000029"/>
    <m/>
    <m/>
    <s v="$ -"/>
    <m/>
    <n v="738584"/>
    <n v="738584"/>
    <s v="CREDICOOP"/>
    <d v="2025-04-16T00:00:00"/>
    <d v="2025-04-16T00:00:00"/>
    <m/>
    <m/>
    <x v="3"/>
  </r>
  <r>
    <x v="9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9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9"/>
    <x v="2"/>
    <s v="Solar de french"/>
    <s v="S/C"/>
    <m/>
    <n v="214646.93"/>
    <m/>
    <m/>
    <n v="214646.93"/>
    <n v="214646.93"/>
    <s v="EFECTIVO"/>
    <d v="2025-04-10T00:00:00"/>
    <d v="2025-04-10T00:00:00"/>
    <m/>
    <m/>
    <x v="3"/>
  </r>
  <r>
    <x v="9"/>
    <x v="3"/>
    <s v="TELECOM ARGENTINA SOCIEDAD ANONIMA"/>
    <s v="FA 4264-05097061"/>
    <m/>
    <n v="89800"/>
    <n v="18858"/>
    <n v="7184"/>
    <n v="115842"/>
    <n v="89800"/>
    <s v="PROVINCIA"/>
    <d v="2025-04-07T00:00:00"/>
    <d v="2025-04-07T00:00:00"/>
    <m/>
    <m/>
    <x v="3"/>
  </r>
  <r>
    <x v="10"/>
    <x v="1"/>
    <s v="GALERIA GRAL GUEMES S A I"/>
    <s v="FA 0003-00018624"/>
    <m/>
    <n v="500000"/>
    <n v="105000"/>
    <m/>
    <n v="605000"/>
    <n v="500000"/>
    <s v="CREDICOOP"/>
    <d v="2025-04-14T00:00:00"/>
    <d v="2025-04-14T00:00:00"/>
    <m/>
    <m/>
    <x v="3"/>
  </r>
  <r>
    <x v="10"/>
    <x v="2"/>
    <s v="GALERIA GRAL GUEMES S A I"/>
    <s v="FA 0003-00018624"/>
    <m/>
    <m/>
    <m/>
    <n v="268402.17"/>
    <n v="268402.17"/>
    <n v="268402.17"/>
    <s v="CREDICOOP"/>
    <d v="2025-04-14T00:00:00"/>
    <d v="2025-04-14T00:00:00"/>
    <m/>
    <m/>
    <x v="3"/>
  </r>
  <r>
    <x v="11"/>
    <x v="1"/>
    <s v="GALERIA GRAL GUEMES S A I"/>
    <s v="FA 00003-00018616"/>
    <m/>
    <n v="211929.60000000001"/>
    <n v="44505.22"/>
    <m/>
    <n v="256434.82"/>
    <n v="211929.60000000001"/>
    <s v="CREDICOOP"/>
    <d v="2025-04-14T00:00:00"/>
    <d v="2025-04-14T00:00:00"/>
    <m/>
    <m/>
    <x v="3"/>
  </r>
  <r>
    <x v="11"/>
    <x v="2"/>
    <s v="GALERIA GRAL GUEMES S A I"/>
    <s v="FA 00003-00018616"/>
    <m/>
    <m/>
    <m/>
    <n v="477159.41"/>
    <n v="477159.41"/>
    <n v="477159.41"/>
    <s v="CREDICOOP"/>
    <d v="2025-04-14T00:00:00"/>
    <d v="2025-04-14T00:00:00"/>
    <m/>
    <m/>
    <x v="3"/>
  </r>
  <r>
    <x v="12"/>
    <x v="1"/>
    <s v="GALERIA GRAL GUEMES S A I"/>
    <s v="FA 0003-00018618"/>
    <m/>
    <n v="386330"/>
    <n v="81129.3"/>
    <m/>
    <n v="467459.3"/>
    <n v="386330"/>
    <s v="CREDICOOP"/>
    <d v="2025-04-14T00:00:00"/>
    <d v="2025-04-14T00:00:00"/>
    <m/>
    <m/>
    <x v="3"/>
  </r>
  <r>
    <x v="12"/>
    <x v="2"/>
    <s v="GALERIA GRAL GUEMES S A I"/>
    <s v="FA 0003-00018618"/>
    <m/>
    <m/>
    <m/>
    <n v="42869.79"/>
    <n v="42869.79"/>
    <n v="42869.79"/>
    <s v="CREDICOOP"/>
    <d v="2025-04-14T00:00:00"/>
    <d v="2025-04-14T00:00:00"/>
    <m/>
    <m/>
    <x v="3"/>
  </r>
  <r>
    <x v="12"/>
    <x v="6"/>
    <s v="GALERIA GRAL GUEMES S A I"/>
    <s v="FA 0003-00018618"/>
    <m/>
    <n v="5477.78"/>
    <n v="1150.33"/>
    <m/>
    <n v="6628.11"/>
    <n v="5477.78"/>
    <s v="CREDICOOP"/>
    <d v="2025-04-14T00:00:00"/>
    <d v="2025-04-14T00:00:00"/>
    <m/>
    <m/>
    <x v="3"/>
  </r>
  <r>
    <x v="13"/>
    <x v="1"/>
    <s v="GALERIA GRAL GUEMES S A I"/>
    <s v="FA 00003-00018617"/>
    <m/>
    <n v="540862"/>
    <n v="113581.02"/>
    <m/>
    <n v="654443.02"/>
    <n v="540862"/>
    <s v="CREDICOOP"/>
    <d v="2025-04-14T00:00:00"/>
    <d v="2025-04-14T00:00:00"/>
    <m/>
    <m/>
    <x v="3"/>
  </r>
  <r>
    <x v="13"/>
    <x v="2"/>
    <s v="GALERIA GRAL GUEMES S A I"/>
    <s v="FA 00003-00018617"/>
    <m/>
    <m/>
    <m/>
    <n v="280206.89"/>
    <n v="280206.89"/>
    <n v="280206.89"/>
    <s v="CREDICOOP"/>
    <d v="2025-04-14T00:00:00"/>
    <d v="2025-04-14T00:00:00"/>
    <m/>
    <m/>
    <x v="3"/>
  </r>
  <r>
    <x v="13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13"/>
    <x v="3"/>
    <s v="TELECOM ARGENTINA SOCIEDAD ANONIMA"/>
    <s v="FA 4264-05080411"/>
    <m/>
    <n v="31350"/>
    <n v="6583.5"/>
    <n v="2508"/>
    <n v="40441.5"/>
    <n v="31350"/>
    <s v="MP"/>
    <d v="2025-04-14T00:00:00"/>
    <d v="2025-04-23T00:00:00"/>
    <m/>
    <m/>
    <x v="3"/>
  </r>
  <r>
    <x v="14"/>
    <x v="6"/>
    <s v="EDESUR"/>
    <s v="FA 0501-02261988"/>
    <m/>
    <n v="87120.87"/>
    <n v="23522.63"/>
    <n v="7831.53"/>
    <n v="118475.03"/>
    <n v="87120.87"/>
    <s v="PROVINCIA"/>
    <d v="2025-04-03T00:00:00"/>
    <d v="2025-04-03T00:00:00"/>
    <m/>
    <m/>
    <x v="3"/>
  </r>
  <r>
    <x v="14"/>
    <x v="1"/>
    <s v="HOME CITY S.A."/>
    <s v="FA 00002-00000672"/>
    <m/>
    <n v="1251541"/>
    <n v="262823.61"/>
    <m/>
    <n v="1514364.61"/>
    <n v="1251541"/>
    <s v="CREDICOOP"/>
    <d v="2025-04-11T00:00:00"/>
    <d v="2025-04-11T00:00:00"/>
    <m/>
    <m/>
    <x v="3"/>
  </r>
  <r>
    <x v="14"/>
    <x v="1"/>
    <s v="HOME CITY S.A."/>
    <m/>
    <m/>
    <m/>
    <m/>
    <m/>
    <m/>
    <n v="0"/>
    <m/>
    <d v="2025-04-01T00:00:00"/>
    <d v="2025-04-01T00:00:00"/>
    <m/>
    <m/>
    <x v="3"/>
  </r>
  <r>
    <x v="14"/>
    <x v="9"/>
    <s v="MANOLIO MARIANO SERGIO"/>
    <s v="FA 00003-00000965"/>
    <m/>
    <n v="81557"/>
    <n v="17126.97"/>
    <m/>
    <n v="98683.97"/>
    <n v="81557"/>
    <s v="CREDICOOP"/>
    <d v="2025-04-23T00:00:00"/>
    <d v="2025-04-23T00:00:00"/>
    <m/>
    <m/>
    <x v="3"/>
  </r>
  <r>
    <x v="14"/>
    <x v="7"/>
    <s v="AGIP a cta de otra RS"/>
    <s v="S/C"/>
    <m/>
    <m/>
    <m/>
    <m/>
    <n v="411367.81"/>
    <n v="411367.81"/>
    <s v="PROVINCIA"/>
    <d v="2025-04-23T00:00:00"/>
    <d v="2025-04-23T00:00:00"/>
    <s v="Partida 1381816"/>
    <m/>
    <x v="3"/>
  </r>
  <r>
    <x v="14"/>
    <x v="8"/>
    <s v="sin comprobante"/>
    <s v="S/C"/>
    <m/>
    <m/>
    <m/>
    <m/>
    <n v="63905.18"/>
    <n v="63905.18"/>
    <s v="PROVINCIA"/>
    <d v="2025-04-16T00:00:00"/>
    <d v="2025-04-16T00:00:00"/>
    <s v="Se pagó fuera de vencimiento"/>
    <m/>
    <x v="3"/>
  </r>
  <r>
    <x v="14"/>
    <x v="8"/>
    <s v="sin comprobante"/>
    <s v="S/C"/>
    <m/>
    <m/>
    <m/>
    <m/>
    <n v="62195.92"/>
    <n v="62195.92"/>
    <s v="PROVINCIA"/>
    <d v="2025-04-29T00:00:00"/>
    <d v="2025-04-29T00:00:00"/>
    <m/>
    <m/>
    <x v="3"/>
  </r>
  <r>
    <x v="14"/>
    <x v="3"/>
    <s v="TELECOM ARGENTINA SOCIEDAD ANONIMA"/>
    <s v="FA 4264-05141967"/>
    <m/>
    <n v="28250"/>
    <n v="5932.5"/>
    <n v="2260"/>
    <n v="36442.5"/>
    <n v="28250"/>
    <s v="PROVINCIA"/>
    <d v="2025-04-07T00:00:00"/>
    <d v="2025-04-07T00:00:00"/>
    <m/>
    <m/>
    <x v="3"/>
  </r>
  <r>
    <x v="15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15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15"/>
    <x v="3"/>
    <s v="TELEFONICA MOVILES ARGENTINA SOCIEDAD ANONIMA"/>
    <s v="FA 3103-00019180"/>
    <m/>
    <n v="82983.199999999997"/>
    <n v="18685.66"/>
    <n v="2489.5"/>
    <n v="104158.36"/>
    <n v="82983.199999999997"/>
    <s v="PROVINCIA"/>
    <d v="2025-04-25T00:00:00"/>
    <d v="2025-04-24T00:00:00"/>
    <m/>
    <m/>
    <x v="3"/>
  </r>
  <r>
    <x v="16"/>
    <x v="6"/>
    <s v="EDESUR"/>
    <s v="FA 0501-02277271"/>
    <m/>
    <n v="84534.62"/>
    <n v="22824.35"/>
    <n v="7588.85"/>
    <n v="114947.82"/>
    <n v="84534.62"/>
    <s v="PROVINCIA"/>
    <d v="2025-04-08T00:00:00"/>
    <d v="2025-04-08T00:00:00"/>
    <m/>
    <m/>
    <x v="3"/>
  </r>
  <r>
    <x v="16"/>
    <x v="1"/>
    <s v="FORTIN MAURE S.A."/>
    <s v="FA 0030-00089741"/>
    <m/>
    <n v="1776140.28"/>
    <n v="372989.46"/>
    <n v="88807.01"/>
    <n v="2237936.75"/>
    <n v="1776140.28"/>
    <s v="CREDICOOP"/>
    <d v="2025-04-11T00:00:00"/>
    <d v="2025-04-11T00:00:00"/>
    <m/>
    <m/>
    <x v="3"/>
  </r>
  <r>
    <x v="16"/>
    <x v="2"/>
    <s v="FORTIN MAURE S.A."/>
    <s v="FA 0030-00089550"/>
    <m/>
    <n v="1855294.61"/>
    <n v="389611.87"/>
    <n v="92764.73"/>
    <n v="2337671.21"/>
    <n v="1855294.61"/>
    <s v="CREDICOOP"/>
    <d v="2025-04-11T00:00:00"/>
    <d v="2025-04-11T00:00:00"/>
    <m/>
    <m/>
    <x v="3"/>
  </r>
  <r>
    <x v="16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16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16"/>
    <x v="3"/>
    <s v="TELECOM ARGENTINA SOCIEDAD ANONIMA"/>
    <s v="FA 4264-05199207"/>
    <m/>
    <n v="49512.4"/>
    <n v="10397.6"/>
    <n v="3960.99"/>
    <n v="63870.99"/>
    <n v="49512.4"/>
    <s v="DEB. AUT. CRED."/>
    <d v="2025-04-08T00:00:00"/>
    <d v="2025-04-08T00:00:00"/>
    <m/>
    <m/>
    <x v="3"/>
  </r>
  <r>
    <x v="17"/>
    <x v="6"/>
    <s v="EDESUR"/>
    <s v="FA 0501-02285073"/>
    <m/>
    <n v="174196.76"/>
    <n v="47033.13"/>
    <n v="16001.85"/>
    <n v="237231.74"/>
    <n v="174196.76"/>
    <s v="PROVINCIA"/>
    <d v="2025-04-09T00:00:00"/>
    <d v="2025-04-09T00:00:00"/>
    <m/>
    <m/>
    <x v="3"/>
  </r>
  <r>
    <x v="17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17"/>
    <x v="1"/>
    <s v="MESATEL SA"/>
    <s v="FA 00003-00007586"/>
    <m/>
    <n v="1696728.4"/>
    <n v="356312.96"/>
    <m/>
    <n v="2053041.36"/>
    <n v="1696728.4"/>
    <s v="CREDICOOP"/>
    <d v="2025-04-15T00:00:00"/>
    <d v="2025-04-15T00:00:00"/>
    <m/>
    <m/>
    <x v="3"/>
  </r>
  <r>
    <x v="17"/>
    <x v="2"/>
    <s v="MESATEL SA"/>
    <s v="S/C"/>
    <m/>
    <m/>
    <m/>
    <m/>
    <n v="686008.98"/>
    <n v="686008.98"/>
    <s v="CREDICOOP"/>
    <d v="2025-04-14T00:00:00"/>
    <d v="2025-04-14T00:00:00"/>
    <m/>
    <m/>
    <x v="3"/>
  </r>
  <r>
    <x v="17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17"/>
    <x v="3"/>
    <s v="TELEFONICA MOVILES ARGENTINA SOCIEDAD ANONIMA"/>
    <s v="FA 3103-00019180"/>
    <m/>
    <n v="82983.199999999997"/>
    <n v="18685.66"/>
    <n v="2489.5"/>
    <n v="104158.36"/>
    <n v="82983.199999999997"/>
    <s v="PROVINCIA"/>
    <d v="2025-04-25T00:00:00"/>
    <d v="2025-04-24T00:00:00"/>
    <m/>
    <m/>
    <x v="3"/>
  </r>
  <r>
    <x v="18"/>
    <x v="6"/>
    <s v="EDESUR"/>
    <s v="FA 0501-02284788"/>
    <m/>
    <n v="79417.990000000005"/>
    <n v="21443.86"/>
    <n v="7108.76"/>
    <n v="107970.61"/>
    <n v="79417.990000000005"/>
    <s v="PROVINCIA"/>
    <d v="2025-04-09T00:00:00"/>
    <d v="2025-04-09T00:00:00"/>
    <m/>
    <m/>
    <x v="3"/>
  </r>
  <r>
    <x v="18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18"/>
    <x v="1"/>
    <s v="MESATEL SA"/>
    <s v="FA 00003-00007585"/>
    <m/>
    <n v="2333371.2000000002"/>
    <n v="490007.95"/>
    <m/>
    <n v="2823379.15"/>
    <n v="2333371.2000000002"/>
    <s v="CREDICOOP"/>
    <d v="2025-04-15T00:00:00"/>
    <d v="2025-04-15T00:00:00"/>
    <m/>
    <m/>
    <x v="3"/>
  </r>
  <r>
    <x v="18"/>
    <x v="2"/>
    <s v="MESATEL SA"/>
    <s v="S/C"/>
    <m/>
    <m/>
    <m/>
    <m/>
    <n v="343004.49"/>
    <n v="343004.49"/>
    <s v="CREDICOOP"/>
    <d v="2025-04-14T00:00:00"/>
    <d v="2025-04-14T00:00:00"/>
    <m/>
    <m/>
    <x v="3"/>
  </r>
  <r>
    <x v="18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19"/>
    <x v="6"/>
    <s v="EDESUR"/>
    <s v="S/C"/>
    <m/>
    <m/>
    <m/>
    <m/>
    <n v="110074.67"/>
    <n v="110074.67"/>
    <s v="PROVINCIA"/>
    <d v="2025-04-09T00:00:00"/>
    <d v="2025-04-09T00:00:00"/>
    <m/>
    <m/>
    <x v="3"/>
  </r>
  <r>
    <x v="19"/>
    <x v="9"/>
    <s v="MANOLIO MARIANO SERGIO"/>
    <s v="FA 00003-00000965"/>
    <m/>
    <n v="27480"/>
    <n v="5770.8"/>
    <m/>
    <n v="33250.800000000003"/>
    <n v="27480"/>
    <s v="CREDICOOP"/>
    <d v="2025-04-23T00:00:00"/>
    <d v="2025-04-23T00:00:00"/>
    <m/>
    <m/>
    <x v="3"/>
  </r>
  <r>
    <x v="19"/>
    <x v="1"/>
    <s v="MESATEL SA"/>
    <s v="FA 00003-00007587"/>
    <m/>
    <n v="825000"/>
    <n v="173250"/>
    <m/>
    <n v="998250"/>
    <n v="825000"/>
    <s v="CREDICOOP"/>
    <d v="2025-04-15T00:00:00"/>
    <d v="2025-04-15T00:00:00"/>
    <m/>
    <m/>
    <x v="3"/>
  </r>
  <r>
    <x v="19"/>
    <x v="2"/>
    <s v="MESATEL SA"/>
    <s v="S/C"/>
    <m/>
    <m/>
    <s v="$ -"/>
    <m/>
    <n v="343004.49"/>
    <n v="343004.49"/>
    <s v="CREDICOOP"/>
    <d v="2025-04-14T00:00:00"/>
    <d v="2025-04-14T00:00:00"/>
    <m/>
    <m/>
    <x v="3"/>
  </r>
  <r>
    <x v="20"/>
    <x v="1"/>
    <s v="Condominio Marinelli"/>
    <s v="FA 00002-00000145"/>
    <m/>
    <n v="1315414"/>
    <n v="276236.94"/>
    <m/>
    <n v="1591650.94"/>
    <n v="1315414"/>
    <s v="CREDICOOP"/>
    <d v="2025-04-14T00:00:00"/>
    <d v="2025-04-14T00:00:00"/>
    <s v="Se paga 64% a MARINELLI MA ESTER y 36% a MARINELLI INES"/>
    <m/>
    <x v="3"/>
  </r>
  <r>
    <x v="20"/>
    <x v="6"/>
    <s v="EDESUR"/>
    <s v="FA 0501-02262103"/>
    <m/>
    <n v="109153.94"/>
    <n v="29471.56"/>
    <n v="9898.89"/>
    <n v="148524.39000000001"/>
    <n v="109153.94"/>
    <s v="PROVINCIA"/>
    <d v="2025-04-09T00:00:00"/>
    <d v="2025-04-09T00:00:00"/>
    <m/>
    <m/>
    <x v="3"/>
  </r>
  <r>
    <x v="20"/>
    <x v="9"/>
    <s v="MANOLIO MARIANO SERGIO"/>
    <s v="FA 00003-00000965"/>
    <m/>
    <n v="60928"/>
    <n v="12794.88"/>
    <m/>
    <n v="73722.880000000005"/>
    <n v="60928"/>
    <s v="CREDICOOP"/>
    <d v="2025-04-23T00:00:00"/>
    <d v="2025-04-23T00:00:00"/>
    <m/>
    <m/>
    <x v="3"/>
  </r>
  <r>
    <x v="20"/>
    <x v="10"/>
    <s v="SANES JUAN MANUEL"/>
    <s v="FC 00001-00000058"/>
    <m/>
    <m/>
    <m/>
    <m/>
    <n v="40000"/>
    <n v="40000"/>
    <s v="CREDICOOP"/>
    <d v="2025-05-06T00:00:00"/>
    <d v="2025-05-06T00:00:00"/>
    <m/>
    <m/>
    <x v="3"/>
  </r>
  <r>
    <x v="20"/>
    <x v="3"/>
    <s v="TELECOM ARGENTINA SOCIEDAD ANONIMA"/>
    <s v="FA 4264-05145448"/>
    <m/>
    <n v="47520"/>
    <n v="9979.2000000000007"/>
    <n v="3801.6"/>
    <n v="61300.800000000003"/>
    <n v="47520"/>
    <s v="PROVINCIA"/>
    <d v="2025-04-07T00:00:00"/>
    <d v="2025-04-07T00:00:00"/>
    <m/>
    <m/>
    <x v="3"/>
  </r>
  <r>
    <x v="21"/>
    <x v="7"/>
    <s v="AGIP a cta de otra RS"/>
    <s v="S/C"/>
    <m/>
    <m/>
    <m/>
    <m/>
    <n v="339813.53"/>
    <n v="339813.53"/>
    <s v="PROVINCIA"/>
    <d v="2025-04-21T00:00:00"/>
    <d v="2025-04-21T00:00:00"/>
    <s v="Partida 118462"/>
    <m/>
    <x v="3"/>
  </r>
  <r>
    <x v="21"/>
    <x v="10"/>
    <s v="AMX ARGENTINA SOCIEDAD ANONIMA"/>
    <s v="FA 01331-00186969"/>
    <m/>
    <n v="61750"/>
    <n v="15150"/>
    <n v="6854.48"/>
    <n v="83754.48"/>
    <n v="61750"/>
    <s v="CREDICOOP"/>
    <d v="2025-04-14T00:00:00"/>
    <d v="2025-05-02T00:00:00"/>
    <m/>
    <m/>
    <x v="3"/>
  </r>
  <r>
    <x v="21"/>
    <x v="9"/>
    <s v="MANOLIO MARIANO SERGIO"/>
    <s v="FA 00003-00000965"/>
    <m/>
    <n v="77673"/>
    <n v="16311.33"/>
    <m/>
    <n v="93984.33"/>
    <n v="77673"/>
    <s v="CREDICOOP"/>
    <d v="2025-04-23T00:00:00"/>
    <d v="2025-04-23T00:00:00"/>
    <m/>
    <m/>
    <x v="3"/>
  </r>
  <r>
    <x v="21"/>
    <x v="11"/>
    <s v="Metrogas"/>
    <s v="cliente 10442982300"/>
    <m/>
    <m/>
    <m/>
    <m/>
    <n v="22234.28"/>
    <n v="22234.28"/>
    <s v="PROVINCIA"/>
    <d v="2025-04-07T00:00:00"/>
    <d v="2025-04-07T00:00:00"/>
    <m/>
    <m/>
    <x v="3"/>
  </r>
  <r>
    <x v="21"/>
    <x v="3"/>
    <s v="TELECENTRO"/>
    <s v="A nombre de Le Marroq"/>
    <m/>
    <m/>
    <m/>
    <m/>
    <n v="94765.05"/>
    <n v="94765.05"/>
    <s v="MP"/>
    <d v="2025-04-23T00:00:00"/>
    <d v="2025-04-23T00:00:00"/>
    <s v="Cliente 2404938"/>
    <m/>
    <x v="3"/>
  </r>
  <r>
    <x v="21"/>
    <x v="12"/>
    <s v="TELECOM ARGENTINA SOCIEDAD ANONIMA"/>
    <s v="FA 4264-08990059"/>
    <m/>
    <n v="328971.65000000002"/>
    <n v="45310.41"/>
    <n v="17555.91"/>
    <n v="391837.97"/>
    <n v="328971.65000000002"/>
    <s v="PROVINCIA"/>
    <d v="2025-04-11T00:00:00"/>
    <d v="2025-04-11T00:00:00"/>
    <m/>
    <m/>
    <x v="3"/>
  </r>
  <r>
    <x v="21"/>
    <x v="6"/>
    <s v="VISION 101 S.A."/>
    <s v="FA 1815-00000181"/>
    <m/>
    <m/>
    <m/>
    <m/>
    <n v="873456.13"/>
    <n v="873456.13"/>
    <s v="CREDICOOP"/>
    <d v="2025-04-23T00:00:00"/>
    <d v="2025-04-23T00:00:00"/>
    <m/>
    <m/>
    <x v="3"/>
  </r>
  <r>
    <x v="21"/>
    <x v="8"/>
    <s v="VISION 101 S.A."/>
    <s v="FA 1815-00000181"/>
    <m/>
    <m/>
    <m/>
    <m/>
    <n v="186176.76"/>
    <n v="186176.76"/>
    <s v="CREDICOOP"/>
    <d v="2025-04-23T00:00:00"/>
    <d v="2025-04-23T00:00:00"/>
    <m/>
    <m/>
    <x v="3"/>
  </r>
  <r>
    <x v="22"/>
    <x v="9"/>
    <s v="MANOLIO MARIANO SERGIO"/>
    <s v="FA 00003-00000965"/>
    <m/>
    <n v="85047"/>
    <n v="17859.87"/>
    <m/>
    <n v="102906.87"/>
    <n v="85047"/>
    <s v="CREDICOOP"/>
    <d v="2025-04-23T00:00:00"/>
    <d v="2025-04-23T00:00:00"/>
    <m/>
    <m/>
    <x v="3"/>
  </r>
  <r>
    <x v="23"/>
    <x v="13"/>
    <m/>
    <m/>
    <m/>
    <m/>
    <m/>
    <m/>
    <m/>
    <n v="0"/>
    <m/>
    <d v="2025-05-01T00:00:00"/>
    <d v="2025-05-01T00:00:00"/>
    <m/>
    <m/>
    <x v="4"/>
  </r>
  <r>
    <x v="6"/>
    <x v="1"/>
    <s v="CRICNOGAP SOCIEDAD ANONIMA"/>
    <s v="FA 00002-00001298"/>
    <m/>
    <n v="600000"/>
    <n v="126000"/>
    <m/>
    <n v="726000"/>
    <n v="600000"/>
    <s v="CREDICOOP"/>
    <d v="2025-05-12T00:00:00"/>
    <d v="2025-05-12T00:00:00"/>
    <m/>
    <m/>
    <x v="4"/>
  </r>
  <r>
    <x v="6"/>
    <x v="4"/>
    <s v="CRICNOGAP SOCIEDAD ANONIMA"/>
    <m/>
    <m/>
    <m/>
    <m/>
    <m/>
    <m/>
    <n v="0"/>
    <s v="CREDICOOP"/>
    <d v="2025-05-01T00:00:00"/>
    <d v="2025-05-01T00:00:00"/>
    <m/>
    <m/>
    <x v="4"/>
  </r>
  <r>
    <x v="6"/>
    <x v="5"/>
    <s v="CRICNOGAP SOCIEDAD ANONIMA"/>
    <m/>
    <m/>
    <m/>
    <m/>
    <m/>
    <m/>
    <n v="0"/>
    <s v="CREDICOOP"/>
    <d v="2025-05-01T00:00:00"/>
    <d v="2025-05-01T00:00:00"/>
    <m/>
    <m/>
    <x v="4"/>
  </r>
  <r>
    <x v="6"/>
    <x v="3"/>
    <s v="AMX ARGENTINA SOCIEDAD ANONIMA"/>
    <s v="A nombre de Carlotex"/>
    <m/>
    <m/>
    <s v="$ -"/>
    <m/>
    <m/>
    <n v="0"/>
    <s v="CREDICOOP"/>
    <d v="2025-06-02T00:00:00"/>
    <d v="2025-06-02T00:00:00"/>
    <s v="No se pagó en fecha. Se abona en junio"/>
    <m/>
    <x v="4"/>
  </r>
  <r>
    <x v="17"/>
    <x v="10"/>
    <s v="SANES JUAN MANUEL"/>
    <s v="FC"/>
    <m/>
    <m/>
    <s v="$ -"/>
    <m/>
    <m/>
    <n v="0"/>
    <s v="CREDICOOP"/>
    <d v="2025-05-01T00:00:00"/>
    <d v="2025-05-01T00:00:00"/>
    <m/>
    <m/>
    <x v="4"/>
  </r>
  <r>
    <x v="17"/>
    <x v="1"/>
    <s v="MESATEL SA"/>
    <s v="FA 00003-00007698"/>
    <m/>
    <n v="1200553.02"/>
    <n v="252116.13"/>
    <m/>
    <n v="1452669.15"/>
    <n v="1200553.02"/>
    <s v="CREDICOOP"/>
    <d v="2025-05-12T00:00:00"/>
    <d v="2025-05-12T00:00:00"/>
    <m/>
    <m/>
    <x v="4"/>
  </r>
  <r>
    <x v="17"/>
    <x v="6"/>
    <s v="EDESUR"/>
    <s v="FA 0501-02399783"/>
    <d v="2025-04-29T00:00:00"/>
    <n v="177166.59"/>
    <n v="47834.98"/>
    <n v="16623.54"/>
    <n v="241625.11"/>
    <n v="177166.59"/>
    <s v="PROVINCIA"/>
    <d v="2025-05-09T00:00:00"/>
    <d v="2025-05-09T00:00:00"/>
    <s v="emision 29/04/2025"/>
    <m/>
    <x v="4"/>
  </r>
  <r>
    <x v="17"/>
    <x v="2"/>
    <s v="MESATEL SA"/>
    <s v="S/C"/>
    <m/>
    <m/>
    <s v="$ -"/>
    <m/>
    <n v="955501.96"/>
    <n v="955501.96"/>
    <s v="CREDICOOP"/>
    <d v="2025-05-09T00:00:00"/>
    <d v="2025-05-09T00:00:00"/>
    <m/>
    <m/>
    <x v="4"/>
  </r>
  <r>
    <x v="17"/>
    <x v="9"/>
    <s v="MANOLIO MARIANO SERGIO"/>
    <s v="FA 00003-00000974"/>
    <m/>
    <n v="27480"/>
    <n v="5770.8"/>
    <m/>
    <n v="33250.800000000003"/>
    <n v="27480"/>
    <s v="CREDICOOP"/>
    <d v="2025-05-20T00:00:00"/>
    <d v="2025-05-20T00:00:00"/>
    <m/>
    <m/>
    <x v="4"/>
  </r>
  <r>
    <x v="17"/>
    <x v="3"/>
    <s v="TELEFONICA MOVILES ARGENTINA SOCIEDAD ANONIMA"/>
    <s v="FA 3103-00021024"/>
    <m/>
    <n v="84973.6"/>
    <n v="19133.830000000002"/>
    <n v="2549.21"/>
    <n v="106656.64"/>
    <n v="84973.6"/>
    <s v="PROVINCIA"/>
    <d v="2025-05-25T00:00:00"/>
    <d v="2025-05-23T00:00:00"/>
    <m/>
    <m/>
    <x v="4"/>
  </r>
  <r>
    <x v="8"/>
    <x v="7"/>
    <s v="MAGECA S A"/>
    <s v="ND 00002-00000057"/>
    <m/>
    <m/>
    <s v="$ -"/>
    <m/>
    <n v="471713.48"/>
    <n v="471713.48"/>
    <s v="CREDICOOP"/>
    <d v="2025-05-20T00:00:00"/>
    <d v="2025-05-20T00:00:00"/>
    <m/>
    <m/>
    <x v="4"/>
  </r>
  <r>
    <x v="8"/>
    <x v="10"/>
    <s v="SANES JUAN MANUEL"/>
    <s v="FC 00001-00000065"/>
    <m/>
    <n v="361000"/>
    <s v="$ -"/>
    <m/>
    <n v="361000"/>
    <n v="361000"/>
    <s v="CREDICOOP"/>
    <d v="2025-05-23T00:00:00"/>
    <d v="2025-05-23T00:00:00"/>
    <m/>
    <m/>
    <x v="4"/>
  </r>
  <r>
    <x v="8"/>
    <x v="1"/>
    <s v="MAGECA S A"/>
    <s v="FA 00002-00000202"/>
    <m/>
    <n v="2139397.7599999998"/>
    <n v="449273.53"/>
    <m/>
    <n v="2588671.29"/>
    <n v="2139397.7599999998"/>
    <s v="CREDICOOP"/>
    <d v="2025-05-09T00:00:00"/>
    <d v="2025-05-09T00:00:00"/>
    <m/>
    <m/>
    <x v="4"/>
  </r>
  <r>
    <x v="8"/>
    <x v="8"/>
    <s v="MAGECA S A"/>
    <s v="ND 00002-00000057"/>
    <m/>
    <n v="393527.01"/>
    <n v="106252.29"/>
    <n v="24752.85"/>
    <n v="524532.15"/>
    <n v="393527.01"/>
    <s v="CREDICOOP"/>
    <d v="2025-05-20T00:00:00"/>
    <d v="2025-05-20T00:00:00"/>
    <m/>
    <m/>
    <x v="4"/>
  </r>
  <r>
    <x v="8"/>
    <x v="6"/>
    <s v="EDESUR"/>
    <s v="FA 0501-02399786"/>
    <d v="2025-04-29T00:00:00"/>
    <n v="12798.46"/>
    <n v="3455.58"/>
    <n v="1200.8800000000001"/>
    <n v="17454.919999999998"/>
    <n v="12798.46"/>
    <s v="PROVINCIA"/>
    <d v="2025-05-09T00:00:00"/>
    <d v="2025-05-09T00:00:00"/>
    <s v="emision 29/04/2025"/>
    <m/>
    <x v="4"/>
  </r>
  <r>
    <x v="8"/>
    <x v="6"/>
    <s v="EDESUR"/>
    <s v="FA 0501-02400314"/>
    <d v="2025-04-29T00:00:00"/>
    <n v="120642.94"/>
    <n v="32573.59"/>
    <n v="11319.93"/>
    <n v="164536.46"/>
    <n v="120642.94"/>
    <s v="PROVINCIA"/>
    <d v="2025-05-09T00:00:00"/>
    <d v="2025-05-09T00:00:00"/>
    <s v="emision 29/04/2025"/>
    <m/>
    <x v="4"/>
  </r>
  <r>
    <x v="8"/>
    <x v="6"/>
    <s v="EDESUR"/>
    <s v="FA 9904-02414082"/>
    <d v="2025-05-07T00:00:00"/>
    <n v="268917.40999999997"/>
    <n v="72607.7"/>
    <n v="50242.28"/>
    <n v="391767.39"/>
    <n v="268917.40999999997"/>
    <s v="MP"/>
    <d v="2025-05-14T00:00:00"/>
    <d v="2025-05-15T00:00:00"/>
    <s v="Tiene intereses x pago fuera de vto"/>
    <m/>
    <x v="4"/>
  </r>
  <r>
    <x v="8"/>
    <x v="2"/>
    <s v="MAGECA S A"/>
    <s v="ND 00002-00000057"/>
    <m/>
    <m/>
    <s v="$ -"/>
    <m/>
    <n v="515040.5"/>
    <n v="515040.5"/>
    <s v="CREDICOOP"/>
    <d v="2025-05-20T00:00:00"/>
    <d v="2025-05-20T00:00:00"/>
    <m/>
    <m/>
    <x v="4"/>
  </r>
  <r>
    <x v="8"/>
    <x v="9"/>
    <s v="MANOLIO MARIANO SERGIO"/>
    <s v="FA 00003-00000974"/>
    <m/>
    <n v="34220"/>
    <n v="7186.2"/>
    <m/>
    <n v="41406.199999999997"/>
    <n v="34220"/>
    <s v="CREDICOOP"/>
    <d v="2025-05-20T00:00:00"/>
    <d v="2025-05-20T00:00:00"/>
    <m/>
    <m/>
    <x v="4"/>
  </r>
  <r>
    <x v="8"/>
    <x v="3"/>
    <s v="TELECOM ARGENTINA SOCIEDAD ANONIMA"/>
    <s v="FA 4264-05249336"/>
    <d v="2025-04-18T00:00:00"/>
    <n v="130551"/>
    <n v="27415.71"/>
    <n v="10444.08"/>
    <n v="168410.79"/>
    <n v="130551"/>
    <s v="DEB. AUT. CRED."/>
    <d v="2025-05-07T00:00:00"/>
    <d v="2025-05-07T00:00:00"/>
    <s v="emision 18/04/2025"/>
    <m/>
    <x v="4"/>
  </r>
  <r>
    <x v="8"/>
    <x v="14"/>
    <s v="SEGURIDAD DENAPOLI SRL"/>
    <s v="FA 00004-00009645"/>
    <m/>
    <n v="38096"/>
    <n v="8000.16"/>
    <m/>
    <n v="46096.160000000003"/>
    <n v="38096"/>
    <s v="CREDICOOP"/>
    <d v="2025-05-20T00:00:00"/>
    <d v="2025-05-20T00:00:00"/>
    <m/>
    <m/>
    <x v="4"/>
  </r>
  <r>
    <x v="13"/>
    <x v="1"/>
    <s v="GALERIA GRAL GUEMES S A I"/>
    <s v="FA 00003-00018750"/>
    <m/>
    <n v="540862"/>
    <n v="113581.02"/>
    <m/>
    <n v="654443.02"/>
    <n v="540862"/>
    <s v="CREDICOOP"/>
    <d v="2025-05-12T00:00:00"/>
    <d v="2025-05-12T00:00:00"/>
    <m/>
    <m/>
    <x v="4"/>
  </r>
  <r>
    <x v="13"/>
    <x v="2"/>
    <s v="GALERIA GRAL GUEMES S A I"/>
    <s v="FA 00003-00018750"/>
    <m/>
    <m/>
    <s v="$ -"/>
    <n v="274476.14"/>
    <n v="274476.14"/>
    <n v="274476.14"/>
    <s v="CREDICOOP"/>
    <d v="2025-05-12T00:00:00"/>
    <d v="2025-05-12T00:00:00"/>
    <m/>
    <m/>
    <x v="4"/>
  </r>
  <r>
    <x v="13"/>
    <x v="9"/>
    <s v="MANOLIO MARIANO SERGIO"/>
    <s v="FA 00003-00000974"/>
    <m/>
    <n v="27480"/>
    <n v="5770.8"/>
    <m/>
    <n v="33250.800000000003"/>
    <n v="27480"/>
    <s v="CREDICOOP"/>
    <d v="2025-05-20T00:00:00"/>
    <d v="2025-05-20T00:00:00"/>
    <m/>
    <m/>
    <x v="4"/>
  </r>
  <r>
    <x v="13"/>
    <x v="3"/>
    <s v="TELECOM ARGENTINA SOCIEDAD ANONIMA"/>
    <s v="FA 4264-05217439"/>
    <d v="2025-04-18T00:00:00"/>
    <n v="32275"/>
    <n v="6777.75"/>
    <n v="2582"/>
    <n v="41634.75"/>
    <n v="32275"/>
    <s v="MP"/>
    <d v="2025-05-07T00:00:00"/>
    <d v="2025-05-08T00:00:00"/>
    <s v="emision 18/04/2025"/>
    <m/>
    <x v="4"/>
  </r>
  <r>
    <x v="13"/>
    <x v="3"/>
    <s v="TELECOM ARGENTINA SOCIEDAD ANONIMA"/>
    <s v="FA 4264-05351455"/>
    <d v="2025-05-21T00:00:00"/>
    <m/>
    <s v="$ -"/>
    <m/>
    <n v="40441.5"/>
    <n v="40441.5"/>
    <s v="MP"/>
    <d v="2025-05-07T00:00:00"/>
    <d v="2025-05-08T00:00:00"/>
    <s v="emision 21/05/2025"/>
    <s v="verificar saldo a favor x $40441,50"/>
    <x v="4"/>
  </r>
  <r>
    <x v="24"/>
    <x v="1"/>
    <s v="GALERIA GRAL GUEMES S A I"/>
    <s v="FA 00003-00018767"/>
    <m/>
    <n v="250000"/>
    <n v="52500"/>
    <m/>
    <n v="302500"/>
    <n v="250000"/>
    <s v="CREDICOOP"/>
    <d v="2025-05-12T00:00:00"/>
    <d v="2025-05-12T00:00:00"/>
    <m/>
    <m/>
    <x v="4"/>
  </r>
  <r>
    <x v="24"/>
    <x v="2"/>
    <s v="GALERIA GRAL GUEMES S A I"/>
    <s v="FA 00003-00018767"/>
    <m/>
    <m/>
    <s v="$ -"/>
    <n v="15214.86"/>
    <n v="15214.86"/>
    <n v="15214.86"/>
    <s v="CREDICOOP"/>
    <d v="2025-05-12T00:00:00"/>
    <d v="2025-05-12T00:00:00"/>
    <m/>
    <m/>
    <x v="4"/>
  </r>
  <r>
    <x v="12"/>
    <x v="1"/>
    <s v="GALERIA GRAL GUEMES S A I"/>
    <s v="FA 00003-00018751"/>
    <m/>
    <n v="386330"/>
    <n v="81129.3"/>
    <m/>
    <n v="467459.3"/>
    <n v="386330"/>
    <s v="CREDICOOP"/>
    <d v="2025-05-12T00:00:00"/>
    <d v="2025-05-12T00:00:00"/>
    <m/>
    <m/>
    <x v="4"/>
  </r>
  <r>
    <x v="12"/>
    <x v="6"/>
    <s v="GALERIA GRAL GUEMES S A I"/>
    <s v="FA 00003-00018751"/>
    <m/>
    <n v="12278.57"/>
    <n v="2578.5"/>
    <m/>
    <n v="14857.07"/>
    <n v="12278.57"/>
    <s v="CREDICOOP"/>
    <d v="2025-05-12T00:00:00"/>
    <d v="2025-05-12T00:00:00"/>
    <m/>
    <m/>
    <x v="4"/>
  </r>
  <r>
    <x v="12"/>
    <x v="2"/>
    <s v="GALERIA GRAL GUEMES S A I"/>
    <s v="FA 00003-00018751"/>
    <m/>
    <m/>
    <s v="$ -"/>
    <n v="41993.02"/>
    <n v="41993.02"/>
    <n v="41993.02"/>
    <s v="CREDICOOP"/>
    <d v="2025-05-12T00:00:00"/>
    <d v="2025-05-12T00:00:00"/>
    <m/>
    <m/>
    <x v="4"/>
  </r>
  <r>
    <x v="16"/>
    <x v="10"/>
    <s v="SANES JUAN MANUEL"/>
    <s v="FC 00001-00000066"/>
    <m/>
    <n v="143450"/>
    <s v="$ -"/>
    <m/>
    <n v="143450"/>
    <n v="143450"/>
    <s v="CREDICOOP"/>
    <d v="2025-05-23T00:00:00"/>
    <d v="2025-05-23T00:00:00"/>
    <m/>
    <m/>
    <x v="4"/>
  </r>
  <r>
    <x v="16"/>
    <x v="1"/>
    <s v="FORTIN MAURE S.A."/>
    <s v="FA 0030-000090177"/>
    <m/>
    <n v="1201308.3899999999"/>
    <n v="252274.76"/>
    <n v="60065.42"/>
    <n v="1513648.57"/>
    <n v="1201308.3899999999"/>
    <s v="CREDICOOP"/>
    <d v="2025-05-12T00:00:00"/>
    <d v="2025-05-12T00:00:00"/>
    <m/>
    <m/>
    <x v="4"/>
  </r>
  <r>
    <x v="16"/>
    <x v="6"/>
    <s v="EDESUR"/>
    <s v="FA 0501-02389941"/>
    <d v="2025-04-28T00:00:00"/>
    <n v="82731.320000000007"/>
    <n v="22337.46"/>
    <n v="7762.68"/>
    <n v="112831.46"/>
    <n v="82731.320000000007"/>
    <s v="PROVINCIA"/>
    <d v="2025-05-08T00:00:00"/>
    <d v="2025-05-08T00:00:00"/>
    <s v="emision 28/04/2025"/>
    <m/>
    <x v="4"/>
  </r>
  <r>
    <x v="16"/>
    <x v="2"/>
    <s v="FORTIN MAURE S.A."/>
    <s v="FA 0030-00089982"/>
    <m/>
    <n v="1997735.13"/>
    <n v="419524.38"/>
    <n v="99886.76"/>
    <n v="2517146.27"/>
    <n v="1997735.13"/>
    <s v="CREDICOOP"/>
    <d v="2025-05-12T00:00:00"/>
    <d v="2025-05-12T00:00:00"/>
    <m/>
    <m/>
    <x v="4"/>
  </r>
  <r>
    <x v="16"/>
    <x v="9"/>
    <s v="MANOLIO MARIANO SERGIO"/>
    <s v="FA 00003-00000974"/>
    <m/>
    <n v="27480"/>
    <n v="5770.8"/>
    <m/>
    <n v="33250.800000000003"/>
    <n v="27480"/>
    <s v="CREDICOOP"/>
    <d v="2025-05-20T00:00:00"/>
    <d v="2025-05-20T00:00:00"/>
    <m/>
    <m/>
    <x v="4"/>
  </r>
  <r>
    <x v="16"/>
    <x v="3"/>
    <s v="TELECOM ARGENTINA SOCIEDAD ANONIMA"/>
    <s v="FA 4264-05336176"/>
    <d v="2025-04-18T00:00:00"/>
    <n v="51942.15"/>
    <n v="10907.85"/>
    <n v="4155.37"/>
    <n v="67005.37"/>
    <n v="51942.15"/>
    <s v="DEB. AUT. CRED."/>
    <d v="2025-05-08T00:00:00"/>
    <d v="2025-05-08T00:00:00"/>
    <s v="emision 18/04/2025"/>
    <m/>
    <x v="4"/>
  </r>
  <r>
    <x v="16"/>
    <x v="14"/>
    <s v="SEGURIDAD DENAPOLI SRL"/>
    <s v="FA 00004-00009643"/>
    <m/>
    <n v="38096"/>
    <n v="8000.16"/>
    <m/>
    <n v="46096.160000000003"/>
    <n v="38096"/>
    <s v="CREDICOOP"/>
    <d v="2025-05-20T00:00:00"/>
    <d v="2025-05-20T00:00:00"/>
    <m/>
    <m/>
    <x v="4"/>
  </r>
  <r>
    <x v="18"/>
    <x v="10"/>
    <s v="SANES JUAN MANUEL"/>
    <s v="FC"/>
    <m/>
    <m/>
    <s v="$ -"/>
    <m/>
    <m/>
    <n v="0"/>
    <s v="CREDICOOP"/>
    <d v="2025-05-01T00:00:00"/>
    <d v="2025-05-01T00:00:00"/>
    <m/>
    <m/>
    <x v="4"/>
  </r>
  <r>
    <x v="18"/>
    <x v="1"/>
    <s v="MESATEL SA"/>
    <s v="FA 00003-00007697"/>
    <m/>
    <n v="1623633.2"/>
    <n v="340962.97"/>
    <m/>
    <n v="1964596.17"/>
    <n v="1623633.2"/>
    <s v="CREDICOOP"/>
    <d v="2025-05-12T00:00:00"/>
    <d v="2025-05-12T00:00:00"/>
    <m/>
    <m/>
    <x v="4"/>
  </r>
  <r>
    <x v="18"/>
    <x v="6"/>
    <s v="EDESUR"/>
    <s v="FA 0501-02400315"/>
    <d v="2025-04-29T00:00:00"/>
    <n v="81062.570000000007"/>
    <n v="21886.89"/>
    <n v="7606.1"/>
    <n v="110555.56"/>
    <n v="81062.570000000007"/>
    <s v="PROVINCIA"/>
    <d v="2025-05-09T00:00:00"/>
    <d v="2025-05-09T00:00:00"/>
    <s v="emision 29/04/2025"/>
    <m/>
    <x v="4"/>
  </r>
  <r>
    <x v="18"/>
    <x v="2"/>
    <s v="MESATEL SA"/>
    <s v="S/C"/>
    <m/>
    <m/>
    <s v="$ -"/>
    <m/>
    <n v="477750.98"/>
    <n v="477750.98"/>
    <s v="CREDICOOP"/>
    <d v="2025-05-09T00:00:00"/>
    <d v="2025-05-09T00:00:00"/>
    <m/>
    <m/>
    <x v="4"/>
  </r>
  <r>
    <x v="18"/>
    <x v="9"/>
    <s v="MANOLIO MARIANO SERGIO"/>
    <s v="FA 00003-00000974"/>
    <m/>
    <n v="27480"/>
    <n v="5770.8"/>
    <m/>
    <n v="33250.800000000003"/>
    <n v="27480"/>
    <s v="CREDICOOP"/>
    <d v="2025-05-20T00:00:00"/>
    <d v="2025-05-20T00:00:00"/>
    <m/>
    <m/>
    <x v="4"/>
  </r>
  <r>
    <x v="19"/>
    <x v="1"/>
    <s v="MESATEL SA"/>
    <s v="FA 00003-00007699"/>
    <m/>
    <n v="825000"/>
    <n v="173250"/>
    <m/>
    <n v="998250"/>
    <n v="825000"/>
    <s v="CREDICOOP"/>
    <d v="2025-05-12T00:00:00"/>
    <d v="2025-05-12T00:00:00"/>
    <m/>
    <m/>
    <x v="4"/>
  </r>
  <r>
    <x v="19"/>
    <x v="6"/>
    <s v="EDESUR"/>
    <s v="S/C"/>
    <m/>
    <m/>
    <m/>
    <m/>
    <n v="112692.44"/>
    <n v="112692.44"/>
    <s v="PROVINCIA"/>
    <d v="2025-05-09T00:00:00"/>
    <d v="2025-05-09T00:00:00"/>
    <m/>
    <m/>
    <x v="4"/>
  </r>
  <r>
    <x v="19"/>
    <x v="2"/>
    <s v="MESATEL SA"/>
    <s v="S/C"/>
    <m/>
    <m/>
    <s v="$ -"/>
    <m/>
    <n v="477750.98"/>
    <n v="477750.98"/>
    <s v="CREDICOOP"/>
    <d v="2025-05-09T00:00:00"/>
    <d v="2025-05-09T00:00:00"/>
    <m/>
    <m/>
    <x v="4"/>
  </r>
  <r>
    <x v="19"/>
    <x v="9"/>
    <s v="MANOLIO MARIANO SERGIO"/>
    <s v="FA 00003-00000974"/>
    <m/>
    <n v="27480"/>
    <n v="5770.8"/>
    <m/>
    <n v="33250.800000000003"/>
    <n v="27480"/>
    <s v="CREDICOOP"/>
    <d v="2025-05-20T00:00:00"/>
    <d v="2025-05-20T00:00:00"/>
    <m/>
    <m/>
    <x v="4"/>
  </r>
  <r>
    <x v="19"/>
    <x v="14"/>
    <s v="SEGURIDAD DENAPOLI SRL"/>
    <s v="FA 00004-00009644"/>
    <m/>
    <n v="38096"/>
    <n v="8000.16"/>
    <m/>
    <n v="46096.160000000003"/>
    <n v="38096"/>
    <s v="CREDICOOP"/>
    <d v="2025-05-20T00:00:00"/>
    <d v="2025-05-20T00:00:00"/>
    <m/>
    <m/>
    <x v="4"/>
  </r>
  <r>
    <x v="15"/>
    <x v="6"/>
    <s v="EDESUR"/>
    <s v="FA 0501-702412401"/>
    <d v="2025-05-05T00:00:00"/>
    <n v="70102.820000000007"/>
    <n v="18927.759999999998"/>
    <n v="11330.92"/>
    <n v="100361.5"/>
    <n v="70102.820000000007"/>
    <s v="MP"/>
    <d v="2025-05-13T00:00:00"/>
    <d v="2025-05-15T00:00:00"/>
    <s v="cargada en factura y pagos"/>
    <m/>
    <x v="4"/>
  </r>
  <r>
    <x v="15"/>
    <x v="6"/>
    <s v="EDESUR"/>
    <s v="FA 0505-00007707"/>
    <d v="2025-05-07T00:00:00"/>
    <n v="5665.74"/>
    <n v="1529.75"/>
    <n v="4613.3599999999997"/>
    <n v="11808.85"/>
    <n v="5665.74"/>
    <s v="MP"/>
    <d v="2025-05-15T00:00:00"/>
    <d v="2025-05-15T00:00:00"/>
    <s v="cargada en factura y pagos"/>
    <m/>
    <x v="4"/>
  </r>
  <r>
    <x v="15"/>
    <x v="3"/>
    <s v="TELEFONICA MOVILES ARGENTINA SOCIEDAD ANONIMA"/>
    <s v="FA 3103-00021024"/>
    <m/>
    <n v="84973.6"/>
    <n v="19133.830000000002"/>
    <n v="2549.21"/>
    <n v="106656.64"/>
    <n v="84973.6"/>
    <s v="PROVINCIA"/>
    <d v="2025-05-25T00:00:00"/>
    <d v="2025-05-23T00:00:00"/>
    <m/>
    <m/>
    <x v="4"/>
  </r>
  <r>
    <x v="9"/>
    <x v="10"/>
    <s v="SANES JUAN MANUEL"/>
    <s v="FC"/>
    <m/>
    <m/>
    <s v="$ -"/>
    <m/>
    <m/>
    <n v="0"/>
    <s v="CREDICOOP"/>
    <d v="2025-05-01T00:00:00"/>
    <d v="2025-05-01T00:00:00"/>
    <m/>
    <m/>
    <x v="4"/>
  </r>
  <r>
    <x v="9"/>
    <x v="1"/>
    <s v="Fideicomiso Laguna Oscura"/>
    <s v="RA 00001-00000056"/>
    <m/>
    <m/>
    <s v="$ -"/>
    <m/>
    <n v="738584"/>
    <n v="738584"/>
    <s v="CREDICOOP"/>
    <d v="2025-05-12T00:00:00"/>
    <d v="2025-05-12T00:00:00"/>
    <m/>
    <m/>
    <x v="4"/>
  </r>
  <r>
    <x v="9"/>
    <x v="6"/>
    <s v="EDESUR"/>
    <s v="FA 0501-02399784"/>
    <d v="2025-04-29T00:00:00"/>
    <n v="51659.38"/>
    <n v="13948.03"/>
    <n v="4847.2"/>
    <n v="70454.61"/>
    <n v="51659.38"/>
    <s v="PROVINCIA"/>
    <d v="2025-05-09T00:00:00"/>
    <d v="2025-05-09T00:00:00"/>
    <s v="emision 29/04/2025"/>
    <m/>
    <x v="4"/>
  </r>
  <r>
    <x v="9"/>
    <x v="6"/>
    <s v="EDESUR"/>
    <s v="FA 0501-02399785"/>
    <d v="2025-04-29T00:00:00"/>
    <n v="119742.24"/>
    <n v="32330.400000000001"/>
    <n v="11235.42"/>
    <n v="163308.06"/>
    <n v="119742.24"/>
    <s v="PROVINCIA"/>
    <d v="2025-05-09T00:00:00"/>
    <d v="2025-05-09T00:00:00"/>
    <s v="emision 29/04/2025"/>
    <m/>
    <x v="4"/>
  </r>
  <r>
    <x v="9"/>
    <x v="2"/>
    <s v="Solar de french"/>
    <s v="S/C"/>
    <m/>
    <m/>
    <s v="$ -"/>
    <m/>
    <n v="262951.78999999998"/>
    <n v="262951.78999999998"/>
    <s v="EFECTIVO"/>
    <d v="2025-05-09T00:00:00"/>
    <d v="2025-05-09T00:00:00"/>
    <m/>
    <m/>
    <x v="4"/>
  </r>
  <r>
    <x v="9"/>
    <x v="9"/>
    <s v="MANOLIO MARIANO SERGIO"/>
    <s v="FA 00003-00000974"/>
    <m/>
    <n v="45480"/>
    <n v="9550.7999999999993"/>
    <m/>
    <n v="55030.8"/>
    <n v="45480"/>
    <s v="CREDICOOP"/>
    <d v="2025-05-20T00:00:00"/>
    <d v="2025-05-20T00:00:00"/>
    <m/>
    <m/>
    <x v="4"/>
  </r>
  <r>
    <x v="9"/>
    <x v="3"/>
    <s v="TELECOM ARGENTINA SOCIEDAD ANONIMA"/>
    <s v="FA 4264-05236055"/>
    <d v="2025-04-18T00:00:00"/>
    <n v="92450"/>
    <n v="19414.5"/>
    <n v="7396"/>
    <n v="119260.5"/>
    <n v="92450"/>
    <s v="PROVINCIA"/>
    <d v="2025-05-07T00:00:00"/>
    <d v="2025-05-06T00:00:00"/>
    <s v="emision 18/04/2025"/>
    <m/>
    <x v="4"/>
  </r>
  <r>
    <x v="9"/>
    <x v="14"/>
    <s v="SEGURIDAD DENAPOLI SRL"/>
    <s v="FA 00004-00009640"/>
    <m/>
    <n v="38096"/>
    <n v="8000.16"/>
    <m/>
    <n v="46096.160000000003"/>
    <n v="38096"/>
    <s v="CREDICOOP"/>
    <d v="2025-05-20T00:00:00"/>
    <d v="2025-05-20T00:00:00"/>
    <m/>
    <m/>
    <x v="4"/>
  </r>
  <r>
    <x v="20"/>
    <x v="10"/>
    <s v="SANES JUAN MANUEL"/>
    <s v="FC"/>
    <m/>
    <m/>
    <s v="$ -"/>
    <m/>
    <m/>
    <n v="0"/>
    <s v="CREDICOOP"/>
    <d v="2025-05-01T00:00:00"/>
    <d v="2025-05-01T00:00:00"/>
    <m/>
    <m/>
    <x v="4"/>
  </r>
  <r>
    <x v="20"/>
    <x v="1"/>
    <s v="Condominio Marinelli"/>
    <s v="FA 00002-00000146"/>
    <m/>
    <n v="1442456"/>
    <n v="302915.76"/>
    <m/>
    <n v="1745371.76"/>
    <n v="1442456"/>
    <s v="CREDICOOP"/>
    <d v="2025-05-12T00:00:00"/>
    <d v="2025-05-12T00:00:00"/>
    <s v="Se paga 64% a MARINELLI MA ESTER y 36% a MARINELLI INES"/>
    <m/>
    <x v="4"/>
  </r>
  <r>
    <x v="20"/>
    <x v="6"/>
    <s v="EDESUR"/>
    <s v="FA 0501-02381259"/>
    <d v="2025-04-25T00:00:00"/>
    <n v="142066.70000000001"/>
    <n v="38358.01"/>
    <n v="13330.12"/>
    <n v="193754.83"/>
    <n v="142066.70000000001"/>
    <s v="PROVINCIA"/>
    <d v="2025-05-14T00:00:00"/>
    <d v="2025-05-14T00:00:00"/>
    <s v="emision 25/04/2025"/>
    <m/>
    <x v="4"/>
  </r>
  <r>
    <x v="20"/>
    <x v="9"/>
    <s v="MANOLIO MARIANO SERGIO"/>
    <s v="FA 00003-00000974"/>
    <m/>
    <n v="60928"/>
    <n v="12794.88"/>
    <m/>
    <n v="73722.880000000005"/>
    <n v="60928"/>
    <s v="CREDICOOP"/>
    <d v="2025-05-20T00:00:00"/>
    <d v="2025-05-20T00:00:00"/>
    <m/>
    <m/>
    <x v="4"/>
  </r>
  <r>
    <x v="20"/>
    <x v="3"/>
    <s v="TELECOM ARGENTINA SOCIEDAD ANONIMA"/>
    <s v="FA 4264-05286833"/>
    <d v="2025-04-18T00:00:00"/>
    <n v="48940"/>
    <n v="10277.4"/>
    <n v="3915.2"/>
    <n v="63132.6"/>
    <n v="48940"/>
    <s v="PROVINCIA"/>
    <d v="2025-05-07T00:00:00"/>
    <d v="2025-05-06T00:00:00"/>
    <s v="emision 18/04/2025"/>
    <m/>
    <x v="4"/>
  </r>
  <r>
    <x v="21"/>
    <x v="7"/>
    <s v="AGIP a cta de otra RS"/>
    <s v="S/C"/>
    <m/>
    <m/>
    <s v="$ -"/>
    <m/>
    <n v="358047.92"/>
    <n v="358047.92"/>
    <s v="PROVINCIA"/>
    <d v="2025-05-07T00:00:00"/>
    <d v="2025-05-06T00:00:00"/>
    <s v="Partida 118462"/>
    <m/>
    <x v="4"/>
  </r>
  <r>
    <x v="21"/>
    <x v="10"/>
    <s v="AMX ARGENTINA SOCIEDAD ANONIMA"/>
    <s v="FA 1331-00363079"/>
    <m/>
    <n v="63540"/>
    <n v="15790.51"/>
    <n v="7794.74"/>
    <n v="87125.25"/>
    <n v="63540"/>
    <s v="CREDICOOP"/>
    <d v="2025-05-15T00:00:00"/>
    <d v="2025-05-14T00:00:00"/>
    <m/>
    <m/>
    <x v="4"/>
  </r>
  <r>
    <x v="21"/>
    <x v="10"/>
    <s v="AMX ARGENTINA SOCIEDAD ANONIMA"/>
    <s v="FA 1331-00522777"/>
    <m/>
    <m/>
    <m/>
    <m/>
    <n v="83754.48"/>
    <n v="83754.48"/>
    <s v="CREDICOOP"/>
    <d v="2025-05-15T00:00:00"/>
    <d v="2025-05-14T00:00:00"/>
    <s v="Se pagó dos veces abril. Chequear en junio"/>
    <s v="verificar saldo a favor x $83,754,48,-"/>
    <x v="4"/>
  </r>
  <r>
    <x v="21"/>
    <x v="10"/>
    <s v="AMX ARGENTINA SOCIEDAD ANONIMA"/>
    <s v="FA 1331-00522777"/>
    <m/>
    <m/>
    <m/>
    <m/>
    <n v="7964.95"/>
    <n v="7964.95"/>
    <s v="CREDICOOP"/>
    <d v="2025-06-13T00:00:00"/>
    <d v="2025-06-13T00:00:00"/>
    <m/>
    <m/>
    <x v="4"/>
  </r>
  <r>
    <x v="21"/>
    <x v="8"/>
    <s v="VISION 101 S.A."/>
    <s v="FA 01815-00000182"/>
    <m/>
    <m/>
    <s v="$ -"/>
    <m/>
    <n v="186176.75"/>
    <n v="186176.75"/>
    <s v="CREDICOOP"/>
    <d v="2025-05-27T00:00:00"/>
    <d v="2025-05-27T00:00:00"/>
    <m/>
    <m/>
    <x v="4"/>
  </r>
  <r>
    <x v="21"/>
    <x v="6"/>
    <s v="VISION 101 S.A."/>
    <s v="FA 01815-00000182"/>
    <m/>
    <m/>
    <s v="$ -"/>
    <m/>
    <n v="738316.44"/>
    <n v="738316.44"/>
    <s v="CREDICOOP"/>
    <d v="2025-05-27T00:00:00"/>
    <d v="2025-05-27T00:00:00"/>
    <m/>
    <m/>
    <x v="4"/>
  </r>
  <r>
    <x v="21"/>
    <x v="9"/>
    <s v="MANOLIO MARIANO SERGIO"/>
    <s v="FA 00003-00000974"/>
    <m/>
    <n v="77673"/>
    <n v="16311.33"/>
    <m/>
    <n v="93984.33"/>
    <n v="77673"/>
    <s v="CREDICOOP"/>
    <d v="2025-05-20T00:00:00"/>
    <d v="2025-05-20T00:00:00"/>
    <m/>
    <m/>
    <x v="4"/>
  </r>
  <r>
    <x v="21"/>
    <x v="3"/>
    <s v="TELECENTRO"/>
    <s v="A nombre de Le Marroq"/>
    <m/>
    <m/>
    <s v="$ -"/>
    <m/>
    <n v="103380.86"/>
    <n v="103380.86"/>
    <s v="MP"/>
    <d v="2025-05-22T00:00:00"/>
    <d v="2025-05-22T00:00:00"/>
    <s v="Cliente 2404938"/>
    <m/>
    <x v="4"/>
  </r>
  <r>
    <x v="21"/>
    <x v="14"/>
    <s v="SEGURIDAD DENAPOLI SRL"/>
    <s v="FA 00004-00009642"/>
    <m/>
    <n v="81226"/>
    <n v="17057.46"/>
    <m/>
    <n v="98283.46"/>
    <n v="81226"/>
    <s v="CREDICOOP"/>
    <d v="2025-05-20T00:00:00"/>
    <d v="2025-05-20T00:00:00"/>
    <m/>
    <m/>
    <x v="4"/>
  </r>
  <r>
    <x v="21"/>
    <x v="11"/>
    <s v="Metrogas"/>
    <s v="cliente 10442982300"/>
    <m/>
    <m/>
    <s v="$ -"/>
    <m/>
    <n v="22926.92"/>
    <n v="22926.92"/>
    <s v="PROVINCIA"/>
    <d v="2025-05-05T00:00:00"/>
    <d v="2025-05-05T00:00:00"/>
    <m/>
    <m/>
    <x v="4"/>
  </r>
  <r>
    <x v="21"/>
    <x v="12"/>
    <s v="TELECOM ARGENTINA SOCIEDAD ANONIMA"/>
    <s v="FA"/>
    <m/>
    <m/>
    <s v="$ -"/>
    <m/>
    <m/>
    <n v="0"/>
    <s v="PROVINCIA"/>
    <d v="2025-05-01T00:00:00"/>
    <d v="2025-05-01T00:00:00"/>
    <m/>
    <m/>
    <x v="4"/>
  </r>
  <r>
    <x v="14"/>
    <x v="7"/>
    <s v="AGIP a cta de otra RS"/>
    <s v="S/C"/>
    <m/>
    <m/>
    <s v="$ -"/>
    <m/>
    <n v="54845.94"/>
    <n v="54845.94"/>
    <s v="PROVINCIA"/>
    <d v="2025-05-07T00:00:00"/>
    <d v="2025-05-06T00:00:00"/>
    <s v="Partida 1381816"/>
    <m/>
    <x v="4"/>
  </r>
  <r>
    <x v="14"/>
    <x v="10"/>
    <s v="SANES JUAN MANUEL"/>
    <s v="FC 00001-00000066"/>
    <m/>
    <n v="48000"/>
    <s v="$ -"/>
    <m/>
    <n v="48000"/>
    <n v="48000"/>
    <s v="CREDICOOP"/>
    <d v="2025-05-23T00:00:00"/>
    <d v="2025-05-23T00:00:00"/>
    <m/>
    <m/>
    <x v="4"/>
  </r>
  <r>
    <x v="14"/>
    <x v="1"/>
    <s v="HOME CITY S.A."/>
    <s v="FA"/>
    <m/>
    <m/>
    <s v="$ -"/>
    <m/>
    <m/>
    <n v="0"/>
    <s v="CREDICOOP"/>
    <d v="2025-05-01T00:00:00"/>
    <d v="2025-05-01T00:00:00"/>
    <m/>
    <m/>
    <x v="4"/>
  </r>
  <r>
    <x v="14"/>
    <x v="1"/>
    <s v="HOME CITY S.A."/>
    <s v="FA 00002-00000679"/>
    <m/>
    <n v="1251541"/>
    <n v="262823.61"/>
    <m/>
    <n v="1514364.61"/>
    <n v="1251541"/>
    <s v="CREDICOOP"/>
    <d v="2025-05-12T00:00:00"/>
    <d v="2025-05-12T00:00:00"/>
    <m/>
    <m/>
    <x v="4"/>
  </r>
  <r>
    <x v="14"/>
    <x v="8"/>
    <s v="sin comprobante"/>
    <s v="S/C"/>
    <m/>
    <m/>
    <s v="$ -"/>
    <m/>
    <m/>
    <n v="0"/>
    <s v="PROVINCIA"/>
    <d v="2025-05-01T00:00:00"/>
    <d v="2025-05-01T00:00:00"/>
    <m/>
    <m/>
    <x v="4"/>
  </r>
  <r>
    <x v="14"/>
    <x v="8"/>
    <s v="sin comprobante"/>
    <s v="S/C"/>
    <m/>
    <m/>
    <s v="$ -"/>
    <m/>
    <m/>
    <n v="0"/>
    <s v="PROVINCIA"/>
    <d v="2025-05-01T00:00:00"/>
    <d v="2025-05-01T00:00:00"/>
    <m/>
    <m/>
    <x v="4"/>
  </r>
  <r>
    <x v="14"/>
    <x v="6"/>
    <s v="EDESUR"/>
    <s v="FA 0501-02379298"/>
    <d v="2025-04-24T00:00:00"/>
    <n v="85564.01"/>
    <n v="23102.28"/>
    <n v="8028.47"/>
    <n v="116694.76"/>
    <n v="85564.01"/>
    <s v="PROVINCIA"/>
    <d v="2025-05-06T00:00:00"/>
    <d v="2025-05-05T00:00:00"/>
    <s v="emision 24/04/2025"/>
    <m/>
    <x v="4"/>
  </r>
  <r>
    <x v="14"/>
    <x v="9"/>
    <s v="MANOLIO MARIANO SERGIO"/>
    <s v="FA 00003-00000974"/>
    <m/>
    <n v="81557"/>
    <n v="17126.97"/>
    <m/>
    <n v="98683.97"/>
    <n v="81557"/>
    <s v="CREDICOOP"/>
    <d v="2025-05-20T00:00:00"/>
    <d v="2025-05-20T00:00:00"/>
    <m/>
    <m/>
    <x v="4"/>
  </r>
  <r>
    <x v="14"/>
    <x v="3"/>
    <s v="TELECOM ARGENTINA SOCIEDAD ANONIMA"/>
    <s v="FA 4264-05281973"/>
    <d v="2025-04-18T00:00:00"/>
    <n v="29090"/>
    <n v="6108.9"/>
    <n v="2327.1999999999998"/>
    <n v="37526.1"/>
    <n v="29090"/>
    <s v="PROVINCIA"/>
    <d v="2025-05-07T00:00:00"/>
    <d v="2025-05-06T00:00:00"/>
    <s v="emision 18/04/2025"/>
    <m/>
    <x v="4"/>
  </r>
  <r>
    <x v="14"/>
    <x v="14"/>
    <s v="SEGURIDAD DENAPOLI SRL"/>
    <s v="FA 00004-00009641"/>
    <m/>
    <n v="38096"/>
    <n v="8000.16"/>
    <m/>
    <n v="46096.160000000003"/>
    <n v="38096"/>
    <s v="CREDICOOP"/>
    <d v="2025-05-20T00:00:00"/>
    <d v="2025-05-20T00:00:00"/>
    <m/>
    <m/>
    <x v="4"/>
  </r>
  <r>
    <x v="7"/>
    <x v="7"/>
    <s v="MAGECA S A"/>
    <s v="ND 00002-00000056"/>
    <m/>
    <m/>
    <s v="$ -"/>
    <m/>
    <n v="48648.66"/>
    <n v="48648.66"/>
    <s v="CREDICOOP"/>
    <d v="2025-05-20T00:00:00"/>
    <d v="2025-05-20T00:00:00"/>
    <m/>
    <m/>
    <x v="4"/>
  </r>
  <r>
    <x v="7"/>
    <x v="1"/>
    <s v="MAGECA S A"/>
    <s v="FA 00002-00000201"/>
    <m/>
    <n v="941117.31"/>
    <n v="197634.64"/>
    <m/>
    <n v="1138751.95"/>
    <n v="941117.31"/>
    <s v="CREDICOOP"/>
    <d v="2025-05-09T00:00:00"/>
    <d v="2025-05-09T00:00:00"/>
    <m/>
    <m/>
    <x v="4"/>
  </r>
  <r>
    <x v="7"/>
    <x v="8"/>
    <s v="MAGECA S A"/>
    <s v="ND 00002-00000056"/>
    <m/>
    <n v="61622.61"/>
    <n v="16638.099999999999"/>
    <n v="3876.07"/>
    <n v="82136.78"/>
    <n v="61622.61"/>
    <s v="CREDICOOP"/>
    <d v="2025-05-20T00:00:00"/>
    <d v="2025-05-20T00:00:00"/>
    <m/>
    <m/>
    <x v="4"/>
  </r>
  <r>
    <x v="7"/>
    <x v="6"/>
    <s v="MAGECA S A"/>
    <s v="ND 00002-00000056"/>
    <m/>
    <m/>
    <s v="$ -"/>
    <m/>
    <n v="275066.59999999998"/>
    <n v="275066.59999999998"/>
    <s v="CREDICOOP"/>
    <d v="2025-05-20T00:00:00"/>
    <d v="2025-05-20T00:00:00"/>
    <m/>
    <m/>
    <x v="4"/>
  </r>
  <r>
    <x v="7"/>
    <x v="2"/>
    <s v="MAGECA S A"/>
    <s v="ND 00002-00000056"/>
    <m/>
    <m/>
    <m/>
    <m/>
    <n v="285021.89"/>
    <n v="285021.89"/>
    <s v="CREDICOOP"/>
    <d v="2025-05-20T00:00:00"/>
    <d v="2025-05-20T00:00:00"/>
    <m/>
    <m/>
    <x v="4"/>
  </r>
  <r>
    <x v="7"/>
    <x v="9"/>
    <s v="MANOLIO MARIANO SERGIO"/>
    <s v="FA 00003-00000974"/>
    <m/>
    <n v="24380"/>
    <n v="5119.8"/>
    <m/>
    <n v="29499.8"/>
    <n v="24380"/>
    <s v="CREDICOOP"/>
    <d v="2025-05-20T00:00:00"/>
    <d v="2025-05-20T00:00:00"/>
    <m/>
    <m/>
    <x v="4"/>
  </r>
  <r>
    <x v="7"/>
    <x v="3"/>
    <s v="TELECOM ARGENTINA SOCIEDAD ANONIMA"/>
    <s v="FA 4264-05283285"/>
    <d v="2025-04-18T00:00:00"/>
    <n v="66381"/>
    <n v="13940.01"/>
    <n v="5310.48"/>
    <n v="85631.49"/>
    <n v="66381"/>
    <s v="DEB. AUT. CRED."/>
    <d v="2025-05-07T00:00:00"/>
    <d v="2025-05-07T00:00:00"/>
    <s v="emision 18/04/2025"/>
    <m/>
    <x v="4"/>
  </r>
  <r>
    <x v="10"/>
    <x v="1"/>
    <s v="GALERIA GRAL GUEMES S A I"/>
    <s v="FA 00003-00018757"/>
    <m/>
    <n v="500000"/>
    <n v="105000"/>
    <m/>
    <n v="605000"/>
    <n v="500000"/>
    <s v="CREDICOOP"/>
    <d v="2025-05-12T00:00:00"/>
    <d v="2025-05-12T00:00:00"/>
    <m/>
    <m/>
    <x v="4"/>
  </r>
  <r>
    <x v="10"/>
    <x v="2"/>
    <s v="GALERIA GRAL GUEMES S A I"/>
    <s v="FA 00003-00018757"/>
    <m/>
    <m/>
    <s v="$ -"/>
    <n v="262912.84000000003"/>
    <n v="262912.84000000003"/>
    <n v="262912.84000000003"/>
    <s v="CREDICOOP"/>
    <d v="2025-05-12T00:00:00"/>
    <d v="2025-05-12T00:00:00"/>
    <m/>
    <m/>
    <x v="4"/>
  </r>
  <r>
    <x v="11"/>
    <x v="1"/>
    <s v="GALERIA GRAL GUEMES S A I"/>
    <s v="FA 00003-00018749"/>
    <m/>
    <n v="211929.60000000001"/>
    <n v="44505.22"/>
    <m/>
    <n v="256434.82"/>
    <n v="211929.60000000001"/>
    <s v="CREDICOOP"/>
    <d v="2025-05-12T00:00:00"/>
    <d v="2025-05-12T00:00:00"/>
    <m/>
    <m/>
    <x v="4"/>
  </r>
  <r>
    <x v="11"/>
    <x v="2"/>
    <s v="GALERIA GRAL GUEMES S A I"/>
    <s v="FA 00003-00018749"/>
    <m/>
    <m/>
    <s v="$ -"/>
    <n v="467400.61"/>
    <n v="467400.61"/>
    <n v="467400.61"/>
    <s v="CREDICOOP"/>
    <d v="2025-05-12T00:00:00"/>
    <d v="2025-05-12T00:00:00"/>
    <m/>
    <m/>
    <x v="4"/>
  </r>
  <r>
    <x v="22"/>
    <x v="9"/>
    <s v="MANOLIO MARIANO SERGIO"/>
    <s v="FA 00003-00000974"/>
    <m/>
    <n v="110047"/>
    <n v="23109.87"/>
    <m/>
    <n v="133156.87"/>
    <n v="110047"/>
    <s v="CREDICOOP"/>
    <d v="2025-05-20T00:00:00"/>
    <d v="2025-05-20T00:00:00"/>
    <m/>
    <m/>
    <x v="4"/>
  </r>
  <r>
    <x v="24"/>
    <x v="1"/>
    <s v="GALERIA GRAL GUEMES S A I"/>
    <m/>
    <m/>
    <m/>
    <s v="$ -"/>
    <m/>
    <m/>
    <n v="0"/>
    <s v="CREDICOOP C de I"/>
    <d v="2025-05-01T00:00:00"/>
    <d v="2025-05-01T00:00:00"/>
    <m/>
    <m/>
    <x v="4"/>
  </r>
  <r>
    <x v="24"/>
    <x v="2"/>
    <s v="GALERIA GRAL GUEMES S A I"/>
    <m/>
    <m/>
    <m/>
    <s v="$ -"/>
    <m/>
    <m/>
    <n v="0"/>
    <s v="CREDICOOP C de I"/>
    <d v="2025-05-01T00:00:00"/>
    <d v="2025-05-01T00:00:00"/>
    <m/>
    <m/>
    <x v="4"/>
  </r>
  <r>
    <x v="24"/>
    <x v="6"/>
    <s v="GALERIA GRAL GUEMES S A I"/>
    <m/>
    <m/>
    <m/>
    <s v="$ -"/>
    <m/>
    <m/>
    <n v="0"/>
    <s v="CREDICOOP C de I"/>
    <d v="2025-05-01T00:00:00"/>
    <d v="2025-05-01T00:00:00"/>
    <m/>
    <m/>
    <x v="4"/>
  </r>
  <r>
    <x v="25"/>
    <x v="1"/>
    <s v="GALERIA GRAL GUEMES S A I"/>
    <s v="FA 00003-00018769 // NCA 00003-00000915"/>
    <m/>
    <s v="$ -"/>
    <s v="$ -"/>
    <m/>
    <m/>
    <s v="$ -"/>
    <s v="CREDICOOP C de I"/>
    <d v="2025-05-12T00:00:00"/>
    <d v="2025-05-12T00:00:00"/>
    <m/>
    <m/>
    <x v="4"/>
  </r>
  <r>
    <x v="25"/>
    <x v="2"/>
    <s v="GALERIA GRAL GUEMES S A I"/>
    <s v="FA 00003-00018769"/>
    <m/>
    <m/>
    <s v="$ -"/>
    <n v="1126508.49"/>
    <n v="1126508.49"/>
    <n v="1126508.49"/>
    <s v="CREDICOOP C de I"/>
    <d v="2025-05-12T00:00:00"/>
    <d v="2025-05-12T00:00:00"/>
    <m/>
    <m/>
    <x v="4"/>
  </r>
  <r>
    <x v="25"/>
    <x v="6"/>
    <s v="GALERIA GRAL GUEMES S A I"/>
    <m/>
    <m/>
    <m/>
    <s v="$ -"/>
    <m/>
    <m/>
    <n v="0"/>
    <s v="CREDICOOP C de I"/>
    <d v="2025-05-01T00:00:00"/>
    <d v="2025-05-01T00:00:00"/>
    <m/>
    <m/>
    <x v="4"/>
  </r>
  <r>
    <x v="26"/>
    <x v="13"/>
    <m/>
    <m/>
    <m/>
    <m/>
    <s v="$ -"/>
    <m/>
    <m/>
    <n v="0"/>
    <m/>
    <m/>
    <m/>
    <m/>
    <m/>
    <x v="4"/>
  </r>
  <r>
    <x v="27"/>
    <x v="12"/>
    <s v="TELECOM ARGENTINA SOCIEDAD ANONIMA"/>
    <s v="FA 6364-09113929"/>
    <d v="2025-05-24T00:00:00"/>
    <n v="233649.99"/>
    <n v="49179.42"/>
    <n v="19053.11"/>
    <n v="301882.52"/>
    <n v="233649.99"/>
    <s v="PROVINCIA"/>
    <d v="2025-06-11T00:00:00"/>
    <d v="2025-06-11T00:00:00"/>
    <m/>
    <m/>
    <x v="5"/>
  </r>
  <r>
    <x v="6"/>
    <x v="1"/>
    <s v="CRICNOGAP SOCIEDAD ANONIMA"/>
    <s v="FA00002-00001300"/>
    <m/>
    <n v="600000"/>
    <n v="126000"/>
    <m/>
    <n v="726000"/>
    <n v="600000"/>
    <s v="MP"/>
    <d v="2025-06-10T00:00:00"/>
    <d v="2025-06-10T00:00:00"/>
    <m/>
    <m/>
    <x v="5"/>
  </r>
  <r>
    <x v="6"/>
    <x v="4"/>
    <s v="CRICNOGAP SOCIEDAD ANONIMA"/>
    <s v="S/C"/>
    <m/>
    <m/>
    <s v="$ -"/>
    <m/>
    <n v="15341.48"/>
    <n v="15341.48"/>
    <s v="CREDICOOP"/>
    <d v="2025-06-11T00:00:00"/>
    <d v="2025-06-10T00:00:00"/>
    <m/>
    <m/>
    <x v="5"/>
  </r>
  <r>
    <x v="6"/>
    <x v="5"/>
    <s v="CRICNOGAP SOCIEDAD ANONIMA"/>
    <s v="S/C"/>
    <m/>
    <m/>
    <s v="$ -"/>
    <m/>
    <n v="12750"/>
    <n v="12750"/>
    <s v="CREDICOOP"/>
    <d v="2025-06-11T00:00:00"/>
    <d v="2025-06-10T00:00:00"/>
    <m/>
    <m/>
    <x v="5"/>
  </r>
  <r>
    <x v="6"/>
    <x v="3"/>
    <s v="AMX ARGENTINA SOCIEDAD ANONIMA"/>
    <s v="A nombre de Carlotex"/>
    <m/>
    <m/>
    <s v="$ -"/>
    <m/>
    <n v="43228.94"/>
    <n v="43228.94"/>
    <s v="CREDICOOP"/>
    <d v="2025-06-02T00:00:00"/>
    <d v="2025-06-02T00:00:00"/>
    <m/>
    <m/>
    <x v="5"/>
  </r>
  <r>
    <x v="17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17"/>
    <x v="1"/>
    <s v="MESATEL SA"/>
    <s v="FA 00003-00007838"/>
    <d v="2025-06-01T00:00:00"/>
    <n v="1045573.02"/>
    <n v="219570.33"/>
    <m/>
    <n v="1265143.3500000001"/>
    <n v="1045573.02"/>
    <s v="CREDICOOP"/>
    <d v="2025-06-17T00:00:00"/>
    <d v="2025-06-17T00:00:00"/>
    <m/>
    <m/>
    <x v="5"/>
  </r>
  <r>
    <x v="17"/>
    <x v="6"/>
    <s v="EDESUR"/>
    <s v="FA 0501-02510981"/>
    <d v="2025-05-29T00:00:00"/>
    <n v="36803.14"/>
    <n v="9936.85"/>
    <n v="2397.71"/>
    <n v="49137.7"/>
    <n v="36803.14"/>
    <s v="MP"/>
    <d v="2025-06-06T00:00:00"/>
    <d v="2025-06-06T00:00:00"/>
    <m/>
    <m/>
    <x v="5"/>
  </r>
  <r>
    <x v="17"/>
    <x v="2"/>
    <s v="MESATEL SA"/>
    <s v="S/C"/>
    <m/>
    <m/>
    <m/>
    <m/>
    <n v="1059864.3999999999"/>
    <n v="1059864.3999999999"/>
    <s v="PROVINCIA"/>
    <d v="2025-06-10T00:00:00"/>
    <d v="2025-06-10T00:00:00"/>
    <m/>
    <m/>
    <x v="5"/>
  </r>
  <r>
    <x v="17"/>
    <x v="9"/>
    <s v="MANOLIO MARIANO SERGIO"/>
    <s v="FA 00003-00000986"/>
    <d v="2025-06-06T00:00:00"/>
    <n v="27480"/>
    <n v="5770.8"/>
    <m/>
    <n v="33250.800000000003"/>
    <n v="27480"/>
    <s v="CREDICOOP"/>
    <d v="2025-06-19T00:00:00"/>
    <d v="2025-06-19T00:00:00"/>
    <m/>
    <m/>
    <x v="5"/>
  </r>
  <r>
    <x v="17"/>
    <x v="3"/>
    <s v="TELEFONICA MOVILES ARGENTINA SOCIEDAD ANONIMA"/>
    <s v="FA 3103-00021534"/>
    <d v="2025-06-13T00:00:00"/>
    <n v="86841.600000000006"/>
    <n v="19554.43"/>
    <n v="2605.25"/>
    <n v="109001.28"/>
    <n v="86841.600000000006"/>
    <s v="PROVINCIA"/>
    <d v="2025-06-25T00:00:00"/>
    <d v="2025-06-24T00:00:00"/>
    <m/>
    <m/>
    <x v="5"/>
  </r>
  <r>
    <x v="8"/>
    <x v="7"/>
    <s v="MAGECA S A"/>
    <s v="ND 00002-00000058"/>
    <d v="2025-06-12T00:00:00"/>
    <m/>
    <s v="$ -"/>
    <n v="487475.77"/>
    <n v="487475.77"/>
    <n v="487475.77"/>
    <s v="CREDICOOP"/>
    <d v="2025-06-19T00:00:00"/>
    <d v="2025-06-19T00:00:00"/>
    <m/>
    <m/>
    <x v="5"/>
  </r>
  <r>
    <x v="8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8"/>
    <x v="1"/>
    <s v="MAGECA S A"/>
    <s v="FA 00002-00000208"/>
    <d v="2025-06-03T00:00:00"/>
    <n v="2338348.56"/>
    <n v="491053.2"/>
    <s v="$ -"/>
    <n v="2829401.76"/>
    <n v="2338348.56"/>
    <s v="CREDICOOP"/>
    <d v="2025-06-06T00:00:00"/>
    <d v="2025-06-06T00:00:00"/>
    <m/>
    <m/>
    <x v="5"/>
  </r>
  <r>
    <x v="8"/>
    <x v="8"/>
    <s v="MAGECA S A"/>
    <s v="ND 00002-00000058"/>
    <d v="2025-06-12T00:00:00"/>
    <s v="$ -"/>
    <s v="$ -"/>
    <m/>
    <s v="$ -"/>
    <s v="$ -"/>
    <s v="CREDICOOP"/>
    <d v="2025-06-01T00:00:00"/>
    <d v="2025-06-01T00:00:00"/>
    <m/>
    <m/>
    <x v="5"/>
  </r>
  <r>
    <x v="8"/>
    <x v="6"/>
    <s v="EDESUR"/>
    <s v="FA 9904-02434027"/>
    <d v="2025-06-03T00:00:00"/>
    <n v="391330.07"/>
    <n v="105659.12"/>
    <n v="35662.980000000003"/>
    <n v="532652.17000000004"/>
    <n v="391330.07"/>
    <s v="MP"/>
    <d v="2025-06-11T00:00:00"/>
    <d v="2025-06-11T00:00:00"/>
    <m/>
    <m/>
    <x v="5"/>
  </r>
  <r>
    <x v="8"/>
    <x v="6"/>
    <s v="EDESUR"/>
    <s v="FA 0501-02518870"/>
    <d v="2025-05-30T00:00:00"/>
    <n v="11331.47"/>
    <n v="3059.5"/>
    <n v="7.71"/>
    <n v="14398.68"/>
    <n v="11331.47"/>
    <s v="MP"/>
    <d v="2025-06-09T00:00:00"/>
    <d v="2025-06-09T00:00:00"/>
    <m/>
    <m/>
    <x v="5"/>
  </r>
  <r>
    <x v="8"/>
    <x v="6"/>
    <s v="EDESUR"/>
    <s v="FA 0501-02518854"/>
    <d v="2025-05-30T00:00:00"/>
    <n v="107630"/>
    <n v="29060.1"/>
    <n v="9043.4"/>
    <n v="145733.5"/>
    <n v="107630"/>
    <s v="MP"/>
    <d v="2025-06-09T00:00:00"/>
    <d v="2025-06-09T00:00:00"/>
    <m/>
    <m/>
    <x v="5"/>
  </r>
  <r>
    <x v="8"/>
    <x v="2"/>
    <s v="MAGECA S A"/>
    <s v="ND 00002-00000058"/>
    <d v="2025-06-12T00:00:00"/>
    <s v="$ -"/>
    <s v="$ -"/>
    <n v="515040.5"/>
    <n v="515040.5"/>
    <n v="515040.5"/>
    <s v="CREDICOOP"/>
    <d v="2025-06-19T00:00:00"/>
    <d v="2025-06-19T00:00:00"/>
    <m/>
    <m/>
    <x v="5"/>
  </r>
  <r>
    <x v="8"/>
    <x v="9"/>
    <s v="MANOLIO MARIANO SERGIO"/>
    <s v="FA 00003-00000986"/>
    <d v="2025-06-06T00:00:00"/>
    <n v="34220"/>
    <n v="7186.2"/>
    <m/>
    <n v="41406.199999999997"/>
    <n v="34220"/>
    <s v="CREDICOOP"/>
    <d v="2025-06-19T00:00:00"/>
    <d v="2025-06-19T00:00:00"/>
    <m/>
    <m/>
    <x v="5"/>
  </r>
  <r>
    <x v="8"/>
    <x v="3"/>
    <s v="TELECOM ARGENTINA SOCIEDAD ANONIMA"/>
    <s v="FA 4264-05384547"/>
    <d v="2025-05-21T00:00:00"/>
    <n v="136229"/>
    <n v="28608.09"/>
    <n v="10898.32"/>
    <n v="175735.41"/>
    <n v="136229"/>
    <s v="DEB. AUT. CRED."/>
    <d v="2025-06-04T00:00:00"/>
    <d v="2025-06-04T00:00:00"/>
    <m/>
    <m/>
    <x v="5"/>
  </r>
  <r>
    <x v="13"/>
    <x v="1"/>
    <s v="GALERIA GRAL GUEMES S A I"/>
    <s v="FA 00003-00018889"/>
    <m/>
    <n v="540862"/>
    <n v="113581.02"/>
    <m/>
    <n v="654443.02"/>
    <n v="540862"/>
    <s v="BBVA"/>
    <d v="2025-06-10T00:00:00"/>
    <d v="2025-06-10T00:00:00"/>
    <m/>
    <m/>
    <x v="5"/>
  </r>
  <r>
    <x v="13"/>
    <x v="1"/>
    <s v="GALERIA GRAL GUEMES S A I"/>
    <s v="FA 00003-00018918"/>
    <d v="2025-06-19T00:00:00"/>
    <n v="58413.1"/>
    <n v="12266.75"/>
    <m/>
    <n v="70679.850000000006"/>
    <n v="58413.1"/>
    <s v="CREDICOOP"/>
    <d v="2025-06-27T00:00:00"/>
    <d v="2025-06-27T00:00:00"/>
    <m/>
    <m/>
    <x v="5"/>
  </r>
  <r>
    <x v="13"/>
    <x v="2"/>
    <s v="GALERIA GRAL GUEMES S A I"/>
    <s v="FA 00003-00018889"/>
    <m/>
    <m/>
    <s v="$ -"/>
    <n v="282173.06"/>
    <n v="282173.06"/>
    <n v="282173.06"/>
    <s v="BBVA"/>
    <d v="2025-06-10T00:00:00"/>
    <d v="2025-06-10T00:00:00"/>
    <m/>
    <m/>
    <x v="5"/>
  </r>
  <r>
    <x v="13"/>
    <x v="9"/>
    <s v="MANOLIO MARIANO SERGIO"/>
    <s v="FA 00003-00000986"/>
    <d v="2025-06-06T00:00:00"/>
    <n v="27480"/>
    <n v="5770.8"/>
    <m/>
    <n v="33250.800000000003"/>
    <n v="27480"/>
    <s v="CREDICOOP"/>
    <d v="2025-06-19T00:00:00"/>
    <d v="2025-06-19T00:00:00"/>
    <m/>
    <m/>
    <x v="5"/>
  </r>
  <r>
    <x v="13"/>
    <x v="3"/>
    <s v="TELECOM ARGENTINA SOCIEDAD ANONIMA"/>
    <s v="FA 4264-05351455"/>
    <d v="2025-05-21T00:00:00"/>
    <n v="33675"/>
    <n v="7071.75"/>
    <n v="2694"/>
    <n v="2999.25"/>
    <n v="33675"/>
    <s v="MP"/>
    <d v="2025-06-04T00:00:00"/>
    <d v="2025-06-04T00:00:00"/>
    <s v="emision 21/05/2025"/>
    <s v="verificar saldo a favor x $40441,50"/>
    <x v="5"/>
  </r>
  <r>
    <x v="13"/>
    <x v="14"/>
    <s v="SEGURIDAD DENAPOLI SRL"/>
    <s v="FA 00004-00009818"/>
    <d v="2025-06-23T00:00:00"/>
    <n v="38096"/>
    <n v="8000.16"/>
    <m/>
    <n v="46096.160000000003"/>
    <n v="38096"/>
    <s v="CREDICOOP"/>
    <d v="2025-06-27T00:00:00"/>
    <d v="2025-06-27T00:00:00"/>
    <m/>
    <m/>
    <x v="5"/>
  </r>
  <r>
    <x v="13"/>
    <x v="10"/>
    <s v="SANES JUAN MANUEL"/>
    <s v="FC 00001-00000075"/>
    <d v="2025-07-07T00:00:00"/>
    <m/>
    <m/>
    <m/>
    <n v="40000"/>
    <n v="40000"/>
    <s v="CREDICOOP"/>
    <d v="2025-07-22T00:00:00"/>
    <d v="2025-07-22T00:00:00"/>
    <m/>
    <m/>
    <x v="5"/>
  </r>
  <r>
    <x v="24"/>
    <x v="1"/>
    <s v="GALERIA GRAL GUEMES S A I"/>
    <s v="FA 00003-00018906"/>
    <m/>
    <n v="250000"/>
    <n v="52500"/>
    <m/>
    <n v="302500"/>
    <n v="250000"/>
    <s v="BBVA"/>
    <d v="2025-06-10T00:00:00"/>
    <d v="2025-06-10T00:00:00"/>
    <m/>
    <m/>
    <x v="5"/>
  </r>
  <r>
    <x v="24"/>
    <x v="2"/>
    <s v="GALERIA GRAL GUEMES S A I"/>
    <s v="FA 00003-00018906"/>
    <m/>
    <m/>
    <s v="$ -"/>
    <n v="15641.52"/>
    <n v="15641.52"/>
    <n v="15641.52"/>
    <s v="BBVA"/>
    <d v="2025-06-10T00:00:00"/>
    <d v="2025-06-10T00:00:00"/>
    <m/>
    <m/>
    <x v="5"/>
  </r>
  <r>
    <x v="12"/>
    <x v="1"/>
    <s v="GALERIA GRAL GUEMES S A I"/>
    <s v="FA 00003-00018890"/>
    <m/>
    <n v="386330"/>
    <n v="81129.3"/>
    <m/>
    <n v="467459.3"/>
    <n v="386330"/>
    <s v="BBVA"/>
    <d v="2025-06-10T00:00:00"/>
    <d v="2025-06-10T00:00:00"/>
    <m/>
    <m/>
    <x v="5"/>
  </r>
  <r>
    <x v="12"/>
    <x v="6"/>
    <s v="GALERIA GRAL GUEMES S A I"/>
    <s v="FA 00003-00018890"/>
    <m/>
    <n v="1683.48"/>
    <n v="353.53"/>
    <m/>
    <n v="2037.01"/>
    <n v="1683.48"/>
    <s v="BBVA"/>
    <d v="2025-06-10T00:00:00"/>
    <d v="2025-06-10T00:00:00"/>
    <m/>
    <m/>
    <x v="5"/>
  </r>
  <r>
    <x v="12"/>
    <x v="2"/>
    <s v="GALERIA GRAL GUEMES S A I"/>
    <s v="FA 00003-00018890"/>
    <m/>
    <m/>
    <s v="$ -"/>
    <n v="43170.6"/>
    <n v="43170.6"/>
    <n v="43170.6"/>
    <s v="BBVA"/>
    <d v="2025-06-10T00:00:00"/>
    <d v="2025-06-10T00:00:00"/>
    <m/>
    <m/>
    <x v="5"/>
  </r>
  <r>
    <x v="12"/>
    <x v="1"/>
    <s v="GALERIA GRAL GUEMES S A I"/>
    <s v="FA 00003-00018920"/>
    <d v="2025-06-19T00:00:00"/>
    <n v="41723.64"/>
    <n v="8761.9599999999991"/>
    <m/>
    <n v="50485.599999999999"/>
    <n v="41723.64"/>
    <s v="CREDICOOP"/>
    <d v="2025-06-27T00:00:00"/>
    <d v="2025-06-27T00:00:00"/>
    <m/>
    <m/>
    <x v="5"/>
  </r>
  <r>
    <x v="16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16"/>
    <x v="1"/>
    <s v="FORTIN MAURE S.A."/>
    <s v="FA 0030-00090551"/>
    <d v="2025-06-05T00:00:00"/>
    <n v="1201308.3899999999"/>
    <n v="252274.76"/>
    <n v="60065.42"/>
    <n v="1513648.57"/>
    <n v="1201308.3899999999"/>
    <s v="CREDICOOP"/>
    <d v="2025-06-13T00:00:00"/>
    <d v="2025-06-13T00:00:00"/>
    <m/>
    <m/>
    <x v="5"/>
  </r>
  <r>
    <x v="16"/>
    <x v="6"/>
    <s v="EDESUR"/>
    <s v="FA 0501-02500692"/>
    <d v="2025-05-27T00:00:00"/>
    <n v="84071.59"/>
    <n v="22699.33"/>
    <n v="6832.93"/>
    <n v="113603.85"/>
    <n v="84071.59"/>
    <s v="MP"/>
    <d v="2025-06-04T00:00:00"/>
    <d v="2025-06-06T00:00:00"/>
    <m/>
    <m/>
    <x v="5"/>
  </r>
  <r>
    <x v="16"/>
    <x v="2"/>
    <s v="FORTIN MAURE S.A."/>
    <s v="FA 0030-00090384"/>
    <d v="2025-06-05T00:00:00"/>
    <n v="1912694.22"/>
    <n v="401665.79"/>
    <n v="95634.71"/>
    <n v="2409994.7200000002"/>
    <n v="1912694.22"/>
    <s v="BBVA"/>
    <d v="2025-06-10T00:00:00"/>
    <d v="2025-06-10T00:00:00"/>
    <m/>
    <m/>
    <x v="5"/>
  </r>
  <r>
    <x v="16"/>
    <x v="9"/>
    <s v="MANOLIO MARIANO SERGIO"/>
    <s v="FA 00003-00000986"/>
    <d v="2025-06-06T00:00:00"/>
    <n v="27480"/>
    <n v="5770.8"/>
    <m/>
    <n v="33250.800000000003"/>
    <n v="27480"/>
    <s v="CREDICOOP"/>
    <d v="2025-06-19T00:00:00"/>
    <d v="2025-06-19T00:00:00"/>
    <m/>
    <m/>
    <x v="5"/>
  </r>
  <r>
    <x v="16"/>
    <x v="3"/>
    <s v="TELECOM ARGENTINA SOCIEDAD ANONIMA"/>
    <s v="FA 4264-05472122"/>
    <d v="2025-05-21T00:00:00"/>
    <n v="53247.94"/>
    <n v="11182.07"/>
    <n v="4259.84"/>
    <n v="68689.850000000006"/>
    <n v="53247.94"/>
    <s v="DEB. AUT. CRED."/>
    <d v="2025-06-06T00:00:00"/>
    <d v="2025-06-06T00:00:00"/>
    <m/>
    <m/>
    <x v="5"/>
  </r>
  <r>
    <x v="18"/>
    <x v="1"/>
    <s v="MESATEL SA"/>
    <s v="FA 00003-00007837"/>
    <d v="2025-06-01T00:00:00"/>
    <n v="1533834"/>
    <n v="322105.14"/>
    <m/>
    <n v="1855939.14"/>
    <n v="1533834"/>
    <s v="CREDICOOP"/>
    <d v="2025-06-13T00:00:00"/>
    <d v="2025-06-13T00:00:00"/>
    <m/>
    <m/>
    <x v="5"/>
  </r>
  <r>
    <x v="18"/>
    <x v="2"/>
    <s v="MESATEL SA"/>
    <s v="S/C"/>
    <m/>
    <m/>
    <m/>
    <m/>
    <n v="529932.19999999995"/>
    <n v="529932.19999999995"/>
    <s v="BBVA"/>
    <d v="2025-06-10T00:00:00"/>
    <d v="2025-06-10T00:00:00"/>
    <m/>
    <m/>
    <x v="5"/>
  </r>
  <r>
    <x v="19"/>
    <x v="1"/>
    <s v="MESATEL SA"/>
    <s v="FA 00003-00007839"/>
    <d v="2025-06-01T00:00:00"/>
    <n v="887700"/>
    <n v="186417"/>
    <m/>
    <n v="1074117"/>
    <n v="887700"/>
    <s v="CREDICOOP"/>
    <d v="2025-06-17T00:00:00"/>
    <d v="2025-06-17T00:00:00"/>
    <m/>
    <m/>
    <x v="5"/>
  </r>
  <r>
    <x v="19"/>
    <x v="2"/>
    <s v="MESATEL SA"/>
    <s v="S/C"/>
    <m/>
    <m/>
    <s v="$ -"/>
    <m/>
    <n v="529932.19999999995"/>
    <n v="529932.19999999995"/>
    <s v="CREDICOOP"/>
    <d v="2025-06-10T00:00:00"/>
    <d v="2025-06-10T00:00:00"/>
    <m/>
    <m/>
    <x v="5"/>
  </r>
  <r>
    <x v="9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9"/>
    <x v="1"/>
    <s v="Fideicomiso Laguna Oscura"/>
    <s v="RA 00001-00000086"/>
    <d v="2025-06-17T00:00:00"/>
    <n v="667200"/>
    <n v="140112"/>
    <m/>
    <n v="807312"/>
    <n v="667200"/>
    <s v="CREDICOOP"/>
    <d v="2025-06-13T00:00:00"/>
    <d v="2025-06-13T00:00:00"/>
    <m/>
    <m/>
    <x v="5"/>
  </r>
  <r>
    <x v="9"/>
    <x v="6"/>
    <s v="EDESUR"/>
    <s v="FA 0501-02510982"/>
    <d v="2025-05-29T00:00:00"/>
    <n v="17278.71"/>
    <n v="4665.25"/>
    <n v="565.74"/>
    <n v="22509.7"/>
    <n v="17278.71"/>
    <s v="MP"/>
    <d v="2025-06-06T00:00:00"/>
    <d v="2025-06-06T00:00:00"/>
    <m/>
    <m/>
    <x v="5"/>
  </r>
  <r>
    <x v="9"/>
    <x v="6"/>
    <s v="EDESUR"/>
    <s v="FA 0501-02510983"/>
    <d v="2025-05-29T00:00:00"/>
    <n v="90456.29"/>
    <n v="24423.200000000001"/>
    <n v="7431.99"/>
    <n v="122311.48"/>
    <n v="90456.29"/>
    <s v="MP"/>
    <d v="2025-06-06T00:00:00"/>
    <d v="2025-06-06T00:00:00"/>
    <m/>
    <m/>
    <x v="5"/>
  </r>
  <r>
    <x v="9"/>
    <x v="2"/>
    <s v="Solar de french"/>
    <s v="S/C"/>
    <m/>
    <m/>
    <s v="$ -"/>
    <n v="240529.21"/>
    <n v="240529.21"/>
    <n v="240529.21"/>
    <s v="EFECTIVO"/>
    <d v="2025-06-09T00:00:00"/>
    <d v="2025-06-09T00:00:00"/>
    <m/>
    <m/>
    <x v="5"/>
  </r>
  <r>
    <x v="9"/>
    <x v="9"/>
    <s v="MANOLIO MARIANO SERGIO"/>
    <s v="FA 00003-00000986"/>
    <d v="2025-06-06T00:00:00"/>
    <n v="27480"/>
    <n v="5770.8"/>
    <m/>
    <n v="33250.800000000003"/>
    <n v="27480"/>
    <s v="CREDICOOP"/>
    <d v="2025-06-19T00:00:00"/>
    <d v="2025-06-19T00:00:00"/>
    <m/>
    <m/>
    <x v="5"/>
  </r>
  <r>
    <x v="9"/>
    <x v="3"/>
    <s v="TELECOM ARGENTINA SOCIEDAD ANONIMA"/>
    <s v="FA 4264-05370347"/>
    <d v="2025-05-21T00:00:00"/>
    <n v="96500"/>
    <n v="20265"/>
    <n v="7720"/>
    <n v="124485"/>
    <n v="96500"/>
    <s v="PROVINCIA"/>
    <d v="2025-06-04T00:00:00"/>
    <d v="2025-06-04T00:00:00"/>
    <m/>
    <m/>
    <x v="5"/>
  </r>
  <r>
    <x v="18"/>
    <x v="6"/>
    <s v="EDESUR"/>
    <s v="FA 0501-02511329"/>
    <d v="2025-05-29T00:00:00"/>
    <n v="52854.86"/>
    <n v="14270.81"/>
    <n v="3903.86"/>
    <n v="71029.53"/>
    <n v="52854.86"/>
    <s v="MP"/>
    <d v="2025-06-06T00:00:00"/>
    <d v="2025-06-06T00:00:00"/>
    <m/>
    <m/>
    <x v="5"/>
  </r>
  <r>
    <x v="18"/>
    <x v="9"/>
    <s v="MANOLIO MARIANO SERGIO"/>
    <s v="FA 00003-00000986"/>
    <d v="2025-06-06T00:00:00"/>
    <n v="27480"/>
    <n v="5770.8"/>
    <m/>
    <n v="33250.800000000003"/>
    <n v="27480"/>
    <s v="CREDICOOP"/>
    <d v="2025-06-19T00:00:00"/>
    <d v="2025-06-19T00:00:00"/>
    <m/>
    <m/>
    <x v="5"/>
  </r>
  <r>
    <x v="18"/>
    <x v="10"/>
    <s v="SANES JUAN MANUEL"/>
    <s v="FC 00001-00000075"/>
    <d v="2025-07-07T00:00:00"/>
    <m/>
    <m/>
    <m/>
    <n v="40000"/>
    <n v="40000"/>
    <s v="CREDICOOP"/>
    <d v="2025-07-22T00:00:00"/>
    <d v="2025-07-22T00:00:00"/>
    <m/>
    <m/>
    <x v="5"/>
  </r>
  <r>
    <x v="19"/>
    <x v="6"/>
    <s v="EDESUR"/>
    <s v="S/C"/>
    <d v="2025-05-29T00:00:00"/>
    <m/>
    <m/>
    <m/>
    <n v="47453.67"/>
    <n v="47453.67"/>
    <s v="MP"/>
    <d v="2025-06-06T00:00:00"/>
    <d v="2025-06-06T00:00:00"/>
    <m/>
    <m/>
    <x v="5"/>
  </r>
  <r>
    <x v="19"/>
    <x v="9"/>
    <s v="MANOLIO MARIANO SERGIO"/>
    <s v="FA 00003-00000986"/>
    <d v="2025-06-06T00:00:00"/>
    <n v="27480"/>
    <n v="5770.8"/>
    <m/>
    <n v="33250.800000000003"/>
    <n v="27480"/>
    <s v="CREDICOOP"/>
    <d v="2025-06-19T00:00:00"/>
    <d v="2025-06-19T00:00:00"/>
    <m/>
    <m/>
    <x v="5"/>
  </r>
  <r>
    <x v="19"/>
    <x v="14"/>
    <s v="SEGURIDAD DENAPOLI SRL"/>
    <s v="FA 00004-00009774"/>
    <m/>
    <n v="38096"/>
    <n v="8000.16"/>
    <m/>
    <n v="46096.160000000003"/>
    <n v="38096"/>
    <s v="CREDICOOP"/>
    <d v="2025-06-13T00:00:00"/>
    <d v="2025-06-13T00:00:00"/>
    <m/>
    <m/>
    <x v="5"/>
  </r>
  <r>
    <x v="20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20"/>
    <x v="1"/>
    <s v="Condominio Marinelli"/>
    <s v="FA 00002-00000147"/>
    <m/>
    <n v="1442456"/>
    <n v="302915.76"/>
    <m/>
    <n v="1745371.76"/>
    <n v="1442456"/>
    <s v="BBVA"/>
    <d v="2025-06-10T00:00:00"/>
    <d v="2025-06-10T00:00:00"/>
    <s v="Se paga 64% a MARINELLI MA ESTER y 36% a MARINELLI INES"/>
    <m/>
    <x v="5"/>
  </r>
  <r>
    <x v="20"/>
    <x v="6"/>
    <s v="EDESUR"/>
    <s v="FA 0501-02487419"/>
    <d v="2025-05-23T00:00:00"/>
    <n v="149055.1"/>
    <n v="40244.879999999997"/>
    <n v="12930.32"/>
    <n v="202230.3"/>
    <n v="149055.1"/>
    <s v="PROVINCIA"/>
    <d v="2025-06-09T00:00:00"/>
    <d v="2025-06-09T00:00:00"/>
    <m/>
    <m/>
    <x v="5"/>
  </r>
  <r>
    <x v="20"/>
    <x v="9"/>
    <s v="MANOLIO MARIANO SERGIO"/>
    <s v="FA 00003-00000986"/>
    <d v="2025-06-06T00:00:00"/>
    <n v="60928"/>
    <n v="12794.88"/>
    <m/>
    <n v="73722.880000000005"/>
    <n v="60928"/>
    <s v="CREDICOOP"/>
    <d v="2025-06-19T00:00:00"/>
    <d v="2025-06-19T00:00:00"/>
    <m/>
    <m/>
    <x v="5"/>
  </r>
  <r>
    <x v="20"/>
    <x v="3"/>
    <s v="TELECOM ARGENTINA SOCIEDAD ANONIMA"/>
    <s v="FA 4264-05421317"/>
    <d v="2025-05-21T00:00:00"/>
    <n v="51080"/>
    <n v="10726.8"/>
    <n v="4086.4"/>
    <n v="65893.2"/>
    <n v="51080"/>
    <s v="PROVINCIA"/>
    <d v="2025-06-04T00:00:00"/>
    <d v="2025-06-04T00:00:00"/>
    <m/>
    <m/>
    <x v="5"/>
  </r>
  <r>
    <x v="21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21"/>
    <x v="7"/>
    <s v="AGIP a cta de otra RS"/>
    <s v="S/C"/>
    <d v="2025-06-01T00:00:00"/>
    <m/>
    <s v="$ -"/>
    <m/>
    <n v="376530.35"/>
    <n v="376530.35"/>
    <s v="PROVINCIA"/>
    <d v="2025-06-09T00:00:00"/>
    <d v="2025-06-09T00:00:00"/>
    <s v="Partida 118462"/>
    <m/>
    <x v="5"/>
  </r>
  <r>
    <x v="21"/>
    <x v="10"/>
    <s v="AMX ARGENTINA SOCIEDAD ANONIMA"/>
    <s v="FA 1331-00522777"/>
    <m/>
    <m/>
    <s v="$ -"/>
    <m/>
    <m/>
    <n v="0"/>
    <s v="CREDICOOP"/>
    <d v="2025-06-01T00:00:00"/>
    <d v="2025-06-01T00:00:00"/>
    <m/>
    <m/>
    <x v="5"/>
  </r>
  <r>
    <x v="21"/>
    <x v="8"/>
    <s v="VISION 101 S.A."/>
    <s v="FA 01815-00000184"/>
    <d v="2025-06-11T00:00:00"/>
    <m/>
    <s v="$ -"/>
    <m/>
    <n v="151380.64000000001"/>
    <n v="151380.64000000001"/>
    <s v="CREDICOOP"/>
    <d v="2025-06-24T00:00:00"/>
    <d v="2025-06-24T00:00:00"/>
    <m/>
    <m/>
    <x v="5"/>
  </r>
  <r>
    <x v="21"/>
    <x v="6"/>
    <s v="VISION 101 S.A."/>
    <s v="FA 01815-00000184"/>
    <d v="2025-06-11T00:00:00"/>
    <m/>
    <s v="$ -"/>
    <m/>
    <n v="793741.78"/>
    <n v="793741.78"/>
    <s v="CREDICOOP"/>
    <d v="2025-06-24T00:00:00"/>
    <d v="2025-06-24T00:00:00"/>
    <m/>
    <m/>
    <x v="5"/>
  </r>
  <r>
    <x v="21"/>
    <x v="9"/>
    <s v="MANOLIO MARIANO SERGIO"/>
    <s v="FA 00003-00000986"/>
    <d v="2025-06-06T00:00:00"/>
    <n v="77673"/>
    <n v="16311.33"/>
    <m/>
    <n v="93984.33"/>
    <n v="77673"/>
    <s v="CREDICOOP"/>
    <d v="2025-06-19T00:00:00"/>
    <d v="2025-06-19T00:00:00"/>
    <m/>
    <m/>
    <x v="5"/>
  </r>
  <r>
    <x v="21"/>
    <x v="3"/>
    <s v="TELECENTRO"/>
    <s v="A nombre de Le Marroq"/>
    <d v="2025-06-04T00:00:00"/>
    <m/>
    <s v="$ -"/>
    <m/>
    <n v="108444.55"/>
    <n v="108444.55"/>
    <s v="MP"/>
    <d v="2025-06-23T00:00:00"/>
    <d v="2025-06-23T00:00:00"/>
    <s v="Cliente 2404938"/>
    <m/>
    <x v="5"/>
  </r>
  <r>
    <x v="21"/>
    <x v="11"/>
    <s v="Metrogas"/>
    <s v="cliente 10442982300"/>
    <m/>
    <m/>
    <s v="$ -"/>
    <m/>
    <n v="23747.11"/>
    <n v="23747.11"/>
    <s v="PROVINCIA"/>
    <d v="2025-06-02T00:00:00"/>
    <d v="2025-06-02T00:00:00"/>
    <m/>
    <m/>
    <x v="5"/>
  </r>
  <r>
    <x v="14"/>
    <x v="7"/>
    <s v="AGIP a cta de otra RS"/>
    <s v="S/C"/>
    <m/>
    <m/>
    <s v="$ -"/>
    <m/>
    <n v="57677.09"/>
    <n v="57677.09"/>
    <s v="PROVINCIA"/>
    <d v="2025-06-09T00:00:00"/>
    <d v="2025-06-09T00:00:00"/>
    <s v="Partida 1381816"/>
    <m/>
    <x v="5"/>
  </r>
  <r>
    <x v="14"/>
    <x v="1"/>
    <s v="HOME CITY S.A."/>
    <s v="FA 00002-00000685"/>
    <m/>
    <n v="1251541"/>
    <n v="262823.61"/>
    <m/>
    <n v="1514364.61"/>
    <n v="1251541"/>
    <s v="CREDICOOP"/>
    <d v="2025-06-10T00:00:00"/>
    <d v="2025-06-10T00:00:00"/>
    <m/>
    <m/>
    <x v="5"/>
  </r>
  <r>
    <x v="14"/>
    <x v="1"/>
    <s v="HOME CITY S.A."/>
    <s v="FA 00002-00000689"/>
    <d v="2025-06-12T00:00:00"/>
    <n v="102659"/>
    <n v="21558.39"/>
    <m/>
    <n v="124217.39"/>
    <n v="102659"/>
    <s v="CREDICOOP"/>
    <d v="2025-06-19T00:00:00"/>
    <d v="2025-06-19T00:00:00"/>
    <m/>
    <m/>
    <x v="5"/>
  </r>
  <r>
    <x v="14"/>
    <x v="8"/>
    <s v="sin comprobante"/>
    <s v="S/C"/>
    <m/>
    <m/>
    <s v="$ -"/>
    <m/>
    <n v="222067.3"/>
    <n v="222067.3"/>
    <s v="PROVINCIA"/>
    <d v="2025-06-03T00:00:00"/>
    <d v="2025-06-02T00:00:00"/>
    <m/>
    <m/>
    <x v="5"/>
  </r>
  <r>
    <x v="14"/>
    <x v="8"/>
    <s v="sin comprobante"/>
    <s v="S/C"/>
    <m/>
    <m/>
    <s v="$ -"/>
    <m/>
    <m/>
    <n v="0"/>
    <s v="PROVINCIA"/>
    <d v="2025-06-01T00:00:00"/>
    <d v="2025-06-01T00:00:00"/>
    <m/>
    <m/>
    <x v="5"/>
  </r>
  <r>
    <x v="14"/>
    <x v="6"/>
    <s v="EDESUR"/>
    <s v="FA 0501-02485354"/>
    <d v="2025-05-22T00:00:00"/>
    <n v="89705.94"/>
    <n v="24329.599999999999"/>
    <n v="7803.15"/>
    <n v="121838.69"/>
    <n v="89705.94"/>
    <s v="PROVINCIA"/>
    <d v="2025-05-30T00:00:00"/>
    <d v="2025-05-30T00:00:00"/>
    <m/>
    <m/>
    <x v="5"/>
  </r>
  <r>
    <x v="14"/>
    <x v="9"/>
    <s v="MANOLIO MARIANO SERGIO"/>
    <s v="FA 00003-00000986"/>
    <d v="2025-06-06T00:00:00"/>
    <n v="81557"/>
    <n v="17126.97"/>
    <m/>
    <n v="98683.97"/>
    <n v="81557"/>
    <s v="CREDICOOP"/>
    <d v="2025-06-19T00:00:00"/>
    <d v="2025-06-19T00:00:00"/>
    <m/>
    <m/>
    <x v="5"/>
  </r>
  <r>
    <x v="14"/>
    <x v="3"/>
    <s v="TELECOM ARGENTINA SOCIEDAD ANONIMA"/>
    <s v="FA 4264-05415123"/>
    <d v="2025-05-21T00:00:00"/>
    <n v="30370"/>
    <n v="6377.7"/>
    <n v="2429.6"/>
    <n v="39177.300000000003"/>
    <n v="30370"/>
    <s v="PROVINCIA"/>
    <d v="2025-06-04T00:00:00"/>
    <d v="2025-06-04T00:00:00"/>
    <m/>
    <m/>
    <x v="5"/>
  </r>
  <r>
    <x v="14"/>
    <x v="15"/>
    <s v="RETAMAR VICTOR ARMANDO"/>
    <s v="FC 00004-00000021"/>
    <d v="2025-06-27T00:00:00"/>
    <n v="208000"/>
    <m/>
    <m/>
    <n v="208000"/>
    <n v="208000"/>
    <s v="CREDICOOP"/>
    <d v="2025-07-04T00:00:00"/>
    <d v="2025-07-04T00:00:00"/>
    <m/>
    <m/>
    <x v="5"/>
  </r>
  <r>
    <x v="14"/>
    <x v="10"/>
    <s v="SANES JUAN MANUEL"/>
    <s v="FC 00001-00000075"/>
    <d v="2025-07-07T00:00:00"/>
    <m/>
    <s v="$ -"/>
    <m/>
    <n v="40000"/>
    <n v="40000"/>
    <s v="CREDICOOP"/>
    <d v="2025-07-22T00:00:00"/>
    <d v="2025-07-22T00:00:00"/>
    <m/>
    <m/>
    <x v="5"/>
  </r>
  <r>
    <x v="7"/>
    <x v="7"/>
    <s v="MAGECA S A"/>
    <s v="ND 00002-00000059"/>
    <d v="2025-06-12T00:00:00"/>
    <m/>
    <s v="$ -"/>
    <n v="50401.74"/>
    <n v="50401.74"/>
    <n v="50401.74"/>
    <s v="CREDICOOP"/>
    <d v="2025-06-19T00:00:00"/>
    <d v="2025-06-19T00:00:00"/>
    <m/>
    <m/>
    <x v="5"/>
  </r>
  <r>
    <x v="7"/>
    <x v="1"/>
    <s v="MAGECA S A"/>
    <s v="FA 00002-00000207"/>
    <d v="2025-06-03T00:00:00"/>
    <n v="941117.31"/>
    <n v="197634.64"/>
    <m/>
    <n v="1138751.95"/>
    <n v="941117.31"/>
    <s v="CREDICOOP"/>
    <d v="2025-06-06T00:00:00"/>
    <d v="2025-06-06T00:00:00"/>
    <m/>
    <m/>
    <x v="5"/>
  </r>
  <r>
    <x v="7"/>
    <x v="8"/>
    <s v="MAGECA S A"/>
    <s v="ND 00002-00000059"/>
    <d v="2025-06-12T00:00:00"/>
    <n v="62238.84"/>
    <n v="16804.490000000002"/>
    <n v="3914.82"/>
    <n v="82958.149999999994"/>
    <n v="62238.84"/>
    <s v="CREDICOOP"/>
    <d v="2025-06-19T00:00:00"/>
    <d v="2025-06-19T00:00:00"/>
    <m/>
    <m/>
    <x v="5"/>
  </r>
  <r>
    <x v="7"/>
    <x v="6"/>
    <s v="MAGECA S A"/>
    <s v="ND 00002-00000059"/>
    <d v="2025-06-12T00:00:00"/>
    <m/>
    <s v="$ -"/>
    <n v="127480.63"/>
    <n v="127480.63"/>
    <n v="127480.63"/>
    <s v="CREDICOOP"/>
    <d v="2025-06-19T00:00:00"/>
    <d v="2025-06-19T00:00:00"/>
    <m/>
    <m/>
    <x v="5"/>
  </r>
  <r>
    <x v="7"/>
    <x v="2"/>
    <s v="MAGECA S A"/>
    <s v="ND 00002-00000059"/>
    <d v="2025-06-12T00:00:00"/>
    <m/>
    <s v="$ -"/>
    <n v="285021.89"/>
    <n v="285021.89"/>
    <n v="285021.89"/>
    <s v="CREDICOOP"/>
    <d v="2025-06-19T00:00:00"/>
    <d v="2025-06-19T00:00:00"/>
    <m/>
    <m/>
    <x v="5"/>
  </r>
  <r>
    <x v="7"/>
    <x v="9"/>
    <s v="MANOLIO MARIANO SERGIO"/>
    <s v="FA 00003-00000986"/>
    <d v="2025-06-06T00:00:00"/>
    <n v="24380"/>
    <n v="5119.8"/>
    <m/>
    <n v="29499.8"/>
    <n v="24380"/>
    <s v="CREDICOOP"/>
    <d v="2025-06-19T00:00:00"/>
    <d v="2025-06-19T00:00:00"/>
    <m/>
    <m/>
    <x v="5"/>
  </r>
  <r>
    <x v="7"/>
    <x v="3"/>
    <s v="TELECOM ARGENTINA SOCIEDAD ANONIMA"/>
    <s v="FA 4264-05421242"/>
    <d v="2025-05-21T00:00:00"/>
    <n v="84454"/>
    <n v="17735.34"/>
    <n v="6756.32"/>
    <n v="108945.66"/>
    <n v="84454"/>
    <s v="DEB. AUT. CRED."/>
    <d v="2025-06-04T00:00:00"/>
    <d v="2025-06-04T00:00:00"/>
    <m/>
    <m/>
    <x v="5"/>
  </r>
  <r>
    <x v="10"/>
    <x v="1"/>
    <s v="GALERIA GRAL GUEMES S A I"/>
    <s v="FA 00003-00018896"/>
    <m/>
    <n v="500000"/>
    <n v="105000"/>
    <m/>
    <n v="605000"/>
    <n v="500000"/>
    <s v="BBVA"/>
    <d v="2025-06-10T00:00:00"/>
    <d v="2025-06-10T00:00:00"/>
    <m/>
    <m/>
    <x v="5"/>
  </r>
  <r>
    <x v="10"/>
    <x v="1"/>
    <s v="GALERIA GRAL GUEMES S A I"/>
    <s v="FA 00003-00018917"/>
    <d v="2025-06-19T00:00:00"/>
    <n v="54000"/>
    <n v="11340"/>
    <m/>
    <n v="65340"/>
    <n v="54000"/>
    <s v="CREDICOOP"/>
    <d v="2025-06-27T00:00:00"/>
    <d v="2025-06-27T00:00:00"/>
    <m/>
    <m/>
    <x v="5"/>
  </r>
  <r>
    <x v="10"/>
    <x v="6"/>
    <s v="GALERIA GRAL GUEMES S A I"/>
    <s v="FA 00003-00018896"/>
    <m/>
    <n v="4208.6899999999996"/>
    <n v="883.82"/>
    <m/>
    <n v="5092.51"/>
    <n v="4208.6899999999996"/>
    <s v="BBVA"/>
    <d v="2025-06-10T00:00:00"/>
    <d v="2025-06-10T00:00:00"/>
    <m/>
    <m/>
    <x v="5"/>
  </r>
  <r>
    <x v="10"/>
    <x v="2"/>
    <s v="GALERIA GRAL GUEMES S A I"/>
    <s v="FA 00003-00018896"/>
    <m/>
    <m/>
    <s v="$ -"/>
    <n v="270285.5"/>
    <n v="270285.5"/>
    <n v="270285.5"/>
    <s v="BBVA"/>
    <d v="2025-06-10T00:00:00"/>
    <d v="2025-06-10T00:00:00"/>
    <m/>
    <m/>
    <x v="5"/>
  </r>
  <r>
    <x v="11"/>
    <x v="1"/>
    <s v="GALERIA GRAL GUEMES S A I"/>
    <s v="FA 00003-00018888"/>
    <m/>
    <n v="211929.60000000001"/>
    <n v="44505.22"/>
    <m/>
    <n v="256434.82"/>
    <n v="211929.60000000001"/>
    <s v="BBVA"/>
    <d v="2025-06-10T00:00:00"/>
    <d v="2025-06-10T00:00:00"/>
    <m/>
    <m/>
    <x v="5"/>
  </r>
  <r>
    <x v="11"/>
    <x v="1"/>
    <s v="GALERIA GRAL GUEMES S A I"/>
    <s v="FA 00003-00018914"/>
    <d v="2025-06-19T00:00:00"/>
    <n v="22888.400000000001"/>
    <n v="4806.5600000000004"/>
    <m/>
    <n v="27694.959999999999"/>
    <n v="22888.400000000001"/>
    <s v="CREDICOOP"/>
    <d v="2025-06-27T00:00:00"/>
    <d v="2025-06-27T00:00:00"/>
    <m/>
    <m/>
    <x v="5"/>
  </r>
  <r>
    <x v="11"/>
    <x v="6"/>
    <s v="GALERIA GRAL GUEMES S A I"/>
    <s v="FA 00003-00018888"/>
    <m/>
    <n v="5260.87"/>
    <n v="1104.78"/>
    <m/>
    <n v="6365.65"/>
    <n v="5260.87"/>
    <s v="BBVA"/>
    <d v="2025-06-10T00:00:00"/>
    <d v="2025-06-10T00:00:00"/>
    <m/>
    <m/>
    <x v="5"/>
  </r>
  <r>
    <x v="11"/>
    <x v="2"/>
    <s v="GALERIA GRAL GUEMES S A I"/>
    <s v="FA 00003-00018888"/>
    <m/>
    <m/>
    <s v="$ -"/>
    <n v="480507.56"/>
    <n v="480507.56"/>
    <n v="480507.56"/>
    <s v="BBVA"/>
    <d v="2025-06-10T00:00:00"/>
    <d v="2025-06-10T00:00:00"/>
    <m/>
    <m/>
    <x v="5"/>
  </r>
  <r>
    <x v="22"/>
    <x v="9"/>
    <s v="MANOLIO MARIANO SERGIO"/>
    <s v="FA 00003-00000986"/>
    <d v="2025-06-06T00:00:00"/>
    <n v="110047"/>
    <n v="23109.87"/>
    <m/>
    <n v="133156.87"/>
    <n v="110047"/>
    <s v="CREDICOOP"/>
    <d v="2025-06-19T00:00:00"/>
    <d v="2025-06-19T00:00:00"/>
    <m/>
    <m/>
    <x v="5"/>
  </r>
  <r>
    <x v="28"/>
    <x v="13"/>
    <m/>
    <m/>
    <m/>
    <m/>
    <s v="$ -"/>
    <m/>
    <m/>
    <n v="0"/>
    <m/>
    <d v="2025-07-01T00:00:00"/>
    <d v="2025-07-01T00:00:00"/>
    <m/>
    <m/>
    <x v="0"/>
  </r>
  <r>
    <x v="29"/>
    <x v="13"/>
    <s v="(libre)"/>
    <m/>
    <m/>
    <m/>
    <m/>
    <m/>
    <m/>
    <n v="0"/>
    <m/>
    <m/>
    <m/>
    <m/>
    <m/>
    <x v="0"/>
  </r>
  <r>
    <x v="29"/>
    <x v="13"/>
    <s v="(libre)"/>
    <m/>
    <m/>
    <m/>
    <m/>
    <m/>
    <m/>
    <n v="0"/>
    <m/>
    <m/>
    <m/>
    <m/>
    <m/>
    <x v="0"/>
  </r>
  <r>
    <x v="29"/>
    <x v="13"/>
    <s v="(libre)"/>
    <m/>
    <m/>
    <m/>
    <m/>
    <m/>
    <m/>
    <n v="0"/>
    <m/>
    <m/>
    <m/>
    <m/>
    <m/>
    <x v="0"/>
  </r>
  <r>
    <x v="30"/>
    <x v="7"/>
    <s v="MAGECA S A"/>
    <s v="ND 00002-00000060"/>
    <d v="2025-07-10T00:00:00"/>
    <m/>
    <s v="$ -"/>
    <n v="56492.89"/>
    <n v="56492.89"/>
    <n v="56492.89"/>
    <s v="CREDICOOP"/>
    <d v="2025-07-22T00:00:00"/>
    <d v="2025-07-22T00:00:00"/>
    <m/>
    <m/>
    <x v="0"/>
  </r>
  <r>
    <x v="30"/>
    <x v="1"/>
    <s v="MAGECA S A"/>
    <s v="FA 00002-00000214"/>
    <d v="2025-07-08T00:00:00"/>
    <n v="1018313.91"/>
    <n v="213845.92"/>
    <m/>
    <n v="1232159.83"/>
    <n v="1018313.91"/>
    <s v="CREDICOOP"/>
    <d v="2025-07-11T00:00:00"/>
    <d v="2025-07-10T00:00:00"/>
    <m/>
    <m/>
    <x v="0"/>
  </r>
  <r>
    <x v="30"/>
    <x v="8"/>
    <s v="MAGECA S A"/>
    <s v="ND 00002-00000060"/>
    <d v="2025-07-10T00:00:00"/>
    <n v="62840.44"/>
    <n v="16966.919999999998"/>
    <n v="3952.66"/>
    <n v="83760.02"/>
    <n v="62840.44"/>
    <s v="CREDICOOP"/>
    <d v="2025-07-22T00:00:00"/>
    <d v="2025-07-22T00:00:00"/>
    <m/>
    <m/>
    <x v="0"/>
  </r>
  <r>
    <x v="30"/>
    <x v="6"/>
    <s v="MAGECA S A"/>
    <s v="ND 00002-00000060"/>
    <d v="2025-07-10T00:00:00"/>
    <m/>
    <s v="$ -"/>
    <n v="135883.34"/>
    <n v="135883.34"/>
    <n v="135883.34"/>
    <s v="CREDICOOP"/>
    <d v="2025-07-22T00:00:00"/>
    <d v="2025-07-22T00:00:00"/>
    <m/>
    <m/>
    <x v="0"/>
  </r>
  <r>
    <x v="30"/>
    <x v="2"/>
    <s v="MAGECA S A"/>
    <s v="ND"/>
    <m/>
    <m/>
    <s v="$ -"/>
    <m/>
    <m/>
    <n v="0"/>
    <s v="CREDICOOP"/>
    <m/>
    <m/>
    <m/>
    <m/>
    <x v="0"/>
  </r>
  <r>
    <x v="30"/>
    <x v="9"/>
    <s v="MANOLIO MARIANO SERGIO"/>
    <s v="FA 00003-00000996"/>
    <d v="2025-07-09T00:00:00"/>
    <n v="27000"/>
    <n v="5670"/>
    <m/>
    <n v="32670"/>
    <n v="27000"/>
    <s v="CREDICOOP"/>
    <d v="2025-07-22T00:00:00"/>
    <d v="2025-07-22T00:00:00"/>
    <m/>
    <m/>
    <x v="0"/>
  </r>
  <r>
    <x v="30"/>
    <x v="3"/>
    <s v="TELECOM ARGENTINA SOCIEDAD ANONIMA"/>
    <s v="FA 4264-05559207"/>
    <d v="2025-06-18T00:00:00"/>
    <n v="88034"/>
    <n v="18487.14"/>
    <n v="7042.72"/>
    <n v="113563.86"/>
    <n v="88034"/>
    <s v="DEB. AUT. CRED."/>
    <d v="2025-07-03T00:00:00"/>
    <d v="2025-07-03T00:00:00"/>
    <m/>
    <m/>
    <x v="0"/>
  </r>
  <r>
    <x v="30"/>
    <x v="14"/>
    <s v="GUTIERREZ MASIN DIEGO ALEJANDRO"/>
    <s v="FA 00001-00000099"/>
    <d v="2025-07-11T00:00:00"/>
    <n v="230165.29"/>
    <n v="48334.71"/>
    <s v="$ -"/>
    <n v="278500"/>
    <n v="230165.29"/>
    <s v="CREDICOOP"/>
    <d v="2025-07-21T00:00:00"/>
    <d v="2025-07-21T00:00:00"/>
    <s v="SPH"/>
    <m/>
    <x v="0"/>
  </r>
  <r>
    <x v="6"/>
    <x v="5"/>
    <s v="CRICNOGAP SOCIEDAD ANONIMA"/>
    <s v="S/C"/>
    <d v="2025-07-01T00:00:00"/>
    <m/>
    <m/>
    <m/>
    <n v="12750"/>
    <n v="12750"/>
    <s v="CREDICOOP"/>
    <d v="2025-08-15T00:00:00"/>
    <d v="2025-08-15T00:00:00"/>
    <m/>
    <m/>
    <x v="0"/>
  </r>
  <r>
    <x v="6"/>
    <x v="1"/>
    <s v="CRICNOGAP SOCIEDAD ANONIMA"/>
    <s v="FA 00002-00001307"/>
    <d v="2025-07-01T00:00:00"/>
    <n v="600000"/>
    <n v="126000"/>
    <m/>
    <n v="726000"/>
    <n v="600000"/>
    <s v="CREDICOOP"/>
    <d v="2025-07-10T00:00:00"/>
    <d v="2025-07-10T00:00:00"/>
    <m/>
    <m/>
    <x v="0"/>
  </r>
  <r>
    <x v="6"/>
    <x v="4"/>
    <s v="CRICNOGAP SOCIEDAD ANONIMA"/>
    <s v="S/C"/>
    <d v="2025-07-01T00:00:00"/>
    <m/>
    <m/>
    <m/>
    <n v="15341.46"/>
    <n v="15341.46"/>
    <s v="CREDICOOP"/>
    <d v="2025-08-15T00:00:00"/>
    <d v="2025-08-15T00:00:00"/>
    <m/>
    <m/>
    <x v="0"/>
  </r>
  <r>
    <x v="6"/>
    <x v="3"/>
    <s v="AMX ARGENTINA SOCIEDAD ANONIMA"/>
    <s v="A nombre de Carlotex"/>
    <d v="2025-07-01T00:00:00"/>
    <m/>
    <s v="$ -"/>
    <m/>
    <n v="1116.9000000000001"/>
    <n v="1116.9000000000001"/>
    <s v="CREDICOOP"/>
    <d v="2025-07-01T00:00:00"/>
    <d v="2025-07-01T00:00:00"/>
    <m/>
    <m/>
    <x v="0"/>
  </r>
  <r>
    <x v="17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17"/>
    <x v="1"/>
    <s v="MESATEL SA"/>
    <s v="FA 00003-00007940"/>
    <d v="2025-07-01T00:00:00"/>
    <n v="1294257.8700000001"/>
    <n v="271794.15000000002"/>
    <m/>
    <n v="1566052.02"/>
    <n v="1294257.8700000001"/>
    <s v="CREDICOOP"/>
    <d v="2025-07-10T00:00:00"/>
    <d v="2025-07-10T00:00:00"/>
    <m/>
    <m/>
    <x v="0"/>
  </r>
  <r>
    <x v="17"/>
    <x v="6"/>
    <s v="EDESUR"/>
    <s v="FA 0501-02631328"/>
    <d v="2025-06-30T00:00:00"/>
    <n v="38904.29"/>
    <n v="10504.16"/>
    <n v="3650.39"/>
    <n v="53058.84"/>
    <n v="38904.29"/>
    <s v="PROVINCIA"/>
    <d v="2025-07-08T00:00:00"/>
    <d v="2025-07-08T00:00:00"/>
    <m/>
    <m/>
    <x v="0"/>
  </r>
  <r>
    <x v="17"/>
    <x v="2"/>
    <s v="MESATEL SA"/>
    <s v="S/C"/>
    <d v="2025-07-01T00:00:00"/>
    <m/>
    <m/>
    <m/>
    <n v="964404.3"/>
    <n v="964404.3"/>
    <s v="CREDICOOP"/>
    <d v="2025-07-10T00:00:00"/>
    <d v="2025-07-10T00:00:00"/>
    <m/>
    <m/>
    <x v="0"/>
  </r>
  <r>
    <x v="17"/>
    <x v="9"/>
    <s v="MANOLIO MARIANO SERGIO"/>
    <s v="FA 00003-00000996"/>
    <d v="2025-07-09T00:00:00"/>
    <n v="30230"/>
    <n v="6348.3"/>
    <m/>
    <n v="36578.300000000003"/>
    <n v="30230"/>
    <s v="CREDICOOP"/>
    <d v="2025-07-22T00:00:00"/>
    <d v="2025-07-22T00:00:00"/>
    <m/>
    <m/>
    <x v="0"/>
  </r>
  <r>
    <x v="17"/>
    <x v="3"/>
    <s v="TELEFONICA MOVILES ARGENTINA SOCIEDAD ANONIMA"/>
    <s v="FA 3103-00024016"/>
    <d v="2025-07-13T00:00:00"/>
    <n v="91008"/>
    <n v="20492.59"/>
    <n v="2730.24"/>
    <n v="114230.83"/>
    <n v="91008"/>
    <s v="PROVINCIA"/>
    <d v="2025-07-25T00:00:00"/>
    <d v="2025-07-25T00:00:00"/>
    <m/>
    <m/>
    <x v="0"/>
  </r>
  <r>
    <x v="8"/>
    <x v="7"/>
    <s v="MAGECA S A"/>
    <s v="ND 00002-00000061"/>
    <d v="2025-07-10T00:00:00"/>
    <m/>
    <s v="$ -"/>
    <n v="514117.53"/>
    <n v="514117.53"/>
    <n v="514117.53"/>
    <s v="CREDICOOP"/>
    <d v="2025-07-22T00:00:00"/>
    <d v="2025-07-22T00:00:00"/>
    <m/>
    <m/>
    <x v="0"/>
  </r>
  <r>
    <x v="8"/>
    <x v="10"/>
    <s v="SANES JUAN MANUEL"/>
    <s v="FC 00001-00000077"/>
    <d v="2025-07-07T00:00:00"/>
    <m/>
    <s v="$ -"/>
    <m/>
    <n v="55000"/>
    <n v="55000"/>
    <s v="CREDICOOP"/>
    <d v="2025-07-22T00:00:00"/>
    <d v="2025-07-22T00:00:00"/>
    <m/>
    <m/>
    <x v="0"/>
  </r>
  <r>
    <x v="8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8"/>
    <x v="1"/>
    <s v="MAGECA S A"/>
    <s v="FA 00002-00000215"/>
    <d v="2025-07-08T00:00:00"/>
    <n v="6375000"/>
    <n v="1338750"/>
    <m/>
    <n v="7713750"/>
    <n v="6375000"/>
    <s v="CREDICOOP"/>
    <d v="2025-07-11T00:00:00"/>
    <d v="2025-07-10T00:00:00"/>
    <m/>
    <m/>
    <x v="0"/>
  </r>
  <r>
    <x v="8"/>
    <x v="8"/>
    <s v="MAGECA S A"/>
    <s v="ND 00002-00000061"/>
    <d v="2025-07-10T00:00:00"/>
    <n v="401304.17"/>
    <n v="108352.13"/>
    <n v="25242.03"/>
    <n v="534898.32999999996"/>
    <n v="401304.17"/>
    <s v="CREDICOOP"/>
    <d v="2025-07-22T00:00:00"/>
    <d v="2025-07-22T00:00:00"/>
    <m/>
    <m/>
    <x v="0"/>
  </r>
  <r>
    <x v="8"/>
    <x v="6"/>
    <s v="EDESUR"/>
    <s v="FA 0501-02636593"/>
    <d v="2025-07-01T00:00:00"/>
    <n v="12233.15"/>
    <n v="3302.95"/>
    <n v="1147.83"/>
    <n v="16683.93"/>
    <n v="12233.15"/>
    <s v="PROVINCIA"/>
    <d v="2025-07-10T00:00:00"/>
    <d v="2025-07-10T00:00:00"/>
    <m/>
    <m/>
    <x v="0"/>
  </r>
  <r>
    <x v="8"/>
    <x v="6"/>
    <s v="EDESUR"/>
    <s v="FA 0501-02636038"/>
    <d v="2025-07-01T00:00:00"/>
    <n v="109617.29"/>
    <n v="29596.67"/>
    <n v="10285.39"/>
    <n v="149499.35"/>
    <n v="109617.29"/>
    <s v="PROVINCIA"/>
    <d v="2025-07-10T00:00:00"/>
    <d v="2025-07-10T00:00:00"/>
    <m/>
    <m/>
    <x v="0"/>
  </r>
  <r>
    <x v="8"/>
    <x v="6"/>
    <s v="EDESUR"/>
    <s v="FA 9904-0245536217"/>
    <d v="2025-07-04T00:00:00"/>
    <n v="518920.99"/>
    <n v="140108.67000000001"/>
    <n v="48690.36"/>
    <n v="707720.02"/>
    <n v="518920.99"/>
    <s v="PROVINCIA"/>
    <d v="2025-07-15T00:00:00"/>
    <d v="2025-07-16T00:00:00"/>
    <m/>
    <m/>
    <x v="0"/>
  </r>
  <r>
    <x v="8"/>
    <x v="2"/>
    <s v="MAGECA S A"/>
    <s v="ND 00002-00000061"/>
    <d v="2025-07-10T00:00:00"/>
    <m/>
    <s v="$ -"/>
    <n v="515040.5"/>
    <n v="515040.5"/>
    <n v="515040.5"/>
    <s v="CREDICOOP"/>
    <d v="2025-07-22T00:00:00"/>
    <d v="2025-07-22T00:00:00"/>
    <m/>
    <m/>
    <x v="0"/>
  </r>
  <r>
    <x v="8"/>
    <x v="9"/>
    <s v="MANOLIO MARIANO SERGIO"/>
    <s v="FA 00003-00000996"/>
    <d v="2025-07-09T00:00:00"/>
    <n v="37650"/>
    <n v="7906.5"/>
    <m/>
    <n v="45556.5"/>
    <n v="37650"/>
    <s v="CREDICOOP"/>
    <d v="2025-07-22T00:00:00"/>
    <d v="2025-07-22T00:00:00"/>
    <m/>
    <m/>
    <x v="0"/>
  </r>
  <r>
    <x v="8"/>
    <x v="3"/>
    <s v="TELECOM ARGENTINA SOCIEDAD ANONIMA"/>
    <s v="FA 4264-05521129"/>
    <d v="2025-06-18T00:00:00"/>
    <n v="142084"/>
    <n v="29837.64"/>
    <n v="11366.72"/>
    <n v="183288.36"/>
    <n v="142084"/>
    <s v="DEB. AUT. CRED."/>
    <d v="2025-07-03T00:00:00"/>
    <d v="2025-07-03T00:00:00"/>
    <m/>
    <m/>
    <x v="0"/>
  </r>
  <r>
    <x v="8"/>
    <x v="15"/>
    <s v="RETAMAR VICTOR ARMANDO"/>
    <s v="FC 00004-00000022"/>
    <d v="2025-06-30T00:00:00"/>
    <m/>
    <s v="$ -"/>
    <m/>
    <n v="198000"/>
    <n v="198000"/>
    <s v="CREDICOOP C de I"/>
    <d v="2025-07-22T00:00:00"/>
    <d v="2025-07-22T00:00:00"/>
    <m/>
    <m/>
    <x v="0"/>
  </r>
  <r>
    <x v="9"/>
    <x v="10"/>
    <s v="SANES JUAN MANUEL"/>
    <s v="FC 00001-00000077"/>
    <d v="2025-07-07T00:00:00"/>
    <m/>
    <s v="$ -"/>
    <m/>
    <n v="55000"/>
    <n v="55000"/>
    <s v="CREDICOOP"/>
    <d v="2025-07-22T00:00:00"/>
    <d v="2025-07-22T00:00:00"/>
    <m/>
    <m/>
    <x v="0"/>
  </r>
  <r>
    <x v="9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9"/>
    <x v="1"/>
    <s v="Fideicomiso Laguna Oscura"/>
    <s v="RA 00001-00000113"/>
    <d v="2025-07-10T00:00:00"/>
    <n v="667200"/>
    <n v="140112"/>
    <m/>
    <n v="807312"/>
    <n v="667200"/>
    <s v="CREDICOOP"/>
    <d v="2025-07-10T00:00:00"/>
    <d v="2025-07-10T00:00:00"/>
    <m/>
    <m/>
    <x v="0"/>
  </r>
  <r>
    <x v="9"/>
    <x v="6"/>
    <s v="EDESUR"/>
    <s v="FA 0501-02631330"/>
    <d v="2025-06-30T00:00:00"/>
    <n v="95503.32"/>
    <n v="25785.9"/>
    <n v="8961.08"/>
    <n v="130250.3"/>
    <n v="95503.32"/>
    <s v="PROVINCIA"/>
    <d v="2025-07-08T00:00:00"/>
    <d v="2025-07-08T00:00:00"/>
    <m/>
    <m/>
    <x v="0"/>
  </r>
  <r>
    <x v="9"/>
    <x v="6"/>
    <s v="EDESUR"/>
    <s v="FA0501-02631329"/>
    <d v="2025-06-30T00:00:00"/>
    <n v="18468.88"/>
    <n v="4986.6000000000004"/>
    <n v="1732.94"/>
    <n v="25188.42"/>
    <n v="18468.88"/>
    <s v="PROVINCIA"/>
    <d v="2025-07-08T00:00:00"/>
    <d v="2025-07-08T00:00:00"/>
    <m/>
    <m/>
    <x v="0"/>
  </r>
  <r>
    <x v="9"/>
    <x v="2"/>
    <s v="Solar de french"/>
    <s v="S/C"/>
    <d v="2025-07-01T00:00:00"/>
    <m/>
    <s v="$ -"/>
    <m/>
    <n v="217135.92"/>
    <n v="217135.92"/>
    <s v="EFECTIVO"/>
    <d v="2025-07-10T00:00:00"/>
    <d v="2025-07-10T00:00:00"/>
    <m/>
    <m/>
    <x v="0"/>
  </r>
  <r>
    <x v="9"/>
    <x v="9"/>
    <s v="MANOLIO MARIANO SERGIO"/>
    <s v="FA 00003-00000996"/>
    <d v="2025-07-09T00:00:00"/>
    <n v="30230"/>
    <n v="6348.3"/>
    <m/>
    <n v="36578.300000000003"/>
    <n v="30230"/>
    <s v="CREDICOOP"/>
    <d v="2025-07-22T00:00:00"/>
    <d v="2025-07-22T00:00:00"/>
    <m/>
    <m/>
    <x v="0"/>
  </r>
  <r>
    <x v="9"/>
    <x v="3"/>
    <s v="TELECOM ARGENTINA SOCIEDAD ANONIMA"/>
    <s v="FA 4264-05508161"/>
    <d v="2025-06-18T00:00:00"/>
    <n v="100700"/>
    <n v="21147"/>
    <n v="8056"/>
    <n v="129903"/>
    <n v="100700"/>
    <s v="MP"/>
    <d v="2025-07-03T00:00:00"/>
    <d v="2025-07-15T00:00:00"/>
    <m/>
    <m/>
    <x v="0"/>
  </r>
  <r>
    <x v="24"/>
    <x v="1"/>
    <s v="GALERIA GRAL GUEMES S A I"/>
    <s v="FA 00003-00019045"/>
    <d v="2025-07-01T00:00:00"/>
    <n v="250000"/>
    <n v="52500"/>
    <m/>
    <n v="302500"/>
    <n v="250000"/>
    <s v="CREDICOOP"/>
    <d v="2025-07-10T00:00:00"/>
    <d v="2025-07-10T00:00:00"/>
    <m/>
    <m/>
    <x v="0"/>
  </r>
  <r>
    <x v="24"/>
    <x v="2"/>
    <s v="GALERIA GRAL GUEMES S A I"/>
    <s v="FA 00003-00019045"/>
    <d v="2025-07-01T00:00:00"/>
    <m/>
    <s v="$ -"/>
    <n v="17007.53"/>
    <n v="17007.53"/>
    <n v="17007.53"/>
    <s v="CREDICOOP C de I"/>
    <d v="2025-07-10T00:00:00"/>
    <d v="2025-07-10T00:00:00"/>
    <m/>
    <m/>
    <x v="0"/>
  </r>
  <r>
    <x v="12"/>
    <x v="1"/>
    <s v="GALERIA GRAL GUEMES S A I"/>
    <s v="FA 00003-00019054"/>
    <d v="2025-07-04T00:00:00"/>
    <n v="428053.64"/>
    <n v="89891.26"/>
    <m/>
    <n v="517944.9"/>
    <n v="428053.64"/>
    <s v="CREDICOOP"/>
    <d v="2025-07-10T00:00:00"/>
    <d v="2025-07-10T00:00:00"/>
    <m/>
    <m/>
    <x v="0"/>
  </r>
  <r>
    <x v="12"/>
    <x v="6"/>
    <s v="GALERIA GRAL GUEMES S A I"/>
    <s v="FA 00003-00019054"/>
    <d v="2025-07-01T00:00:00"/>
    <n v="8161.75"/>
    <n v="1713.97"/>
    <m/>
    <n v="9875.7199999999993"/>
    <n v="8161.75"/>
    <s v="CREDICOOP"/>
    <d v="2025-07-10T00:00:00"/>
    <d v="2025-07-10T00:00:00"/>
    <m/>
    <m/>
    <x v="0"/>
  </r>
  <r>
    <x v="12"/>
    <x v="2"/>
    <s v="GALERIA GRAL GUEMES S A I"/>
    <s v="FA 00003-00019054"/>
    <d v="2025-07-01T00:00:00"/>
    <m/>
    <s v="$ -"/>
    <n v="46940.79"/>
    <n v="46940.79"/>
    <n v="46940.79"/>
    <s v="CREDICOOP"/>
    <d v="2025-07-10T00:00:00"/>
    <d v="2025-07-10T00:00:00"/>
    <m/>
    <m/>
    <x v="0"/>
  </r>
  <r>
    <x v="31"/>
    <x v="1"/>
    <s v="GALERIA GRAL GUEMES S A I"/>
    <s v="FA 00003-00019035"/>
    <d v="2025-07-01T00:00:00"/>
    <n v="554000"/>
    <n v="116340"/>
    <m/>
    <n v="670340"/>
    <n v="554000"/>
    <s v="CREDICOOP"/>
    <d v="2025-07-10T00:00:00"/>
    <d v="2025-07-10T00:00:00"/>
    <m/>
    <m/>
    <x v="0"/>
  </r>
  <r>
    <x v="31"/>
    <x v="2"/>
    <s v="GALERIA GRAL GUEMES S A I"/>
    <s v="FA 00003-00019035"/>
    <d v="2025-07-01T00:00:00"/>
    <m/>
    <m/>
    <n v="293890.13"/>
    <n v="293890.13"/>
    <n v="293890.13"/>
    <s v="CREDICOOP"/>
    <d v="2025-07-10T00:00:00"/>
    <d v="2025-07-10T00:00:00"/>
    <m/>
    <m/>
    <x v="0"/>
  </r>
  <r>
    <x v="32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32"/>
    <x v="1"/>
    <s v="GALERIA GRAL GUEMES S A I"/>
    <s v="FA 00003-00019029"/>
    <d v="2025-07-01T00:00:00"/>
    <n v="599275.1"/>
    <n v="125847.77"/>
    <m/>
    <n v="725122.87"/>
    <n v="599275.1"/>
    <s v="CREDICOOP"/>
    <d v="2025-07-10T00:00:00"/>
    <d v="2025-07-10T00:00:00"/>
    <m/>
    <m/>
    <x v="0"/>
  </r>
  <r>
    <x v="32"/>
    <x v="2"/>
    <s v="GALERIA GRAL GUEMES S A I"/>
    <s v="FA 00003-00019029"/>
    <d v="2025-07-01T00:00:00"/>
    <m/>
    <s v="$ -"/>
    <n v="306815.86"/>
    <n v="306815.86"/>
    <n v="306815.86"/>
    <s v="CREDICOOP"/>
    <d v="2025-07-10T00:00:00"/>
    <d v="2025-07-10T00:00:00"/>
    <m/>
    <m/>
    <x v="0"/>
  </r>
  <r>
    <x v="32"/>
    <x v="9"/>
    <s v="MANOLIO MARIANO SERGIO"/>
    <s v="FA 00003-00000996"/>
    <d v="2025-07-09T00:00:00"/>
    <n v="30230"/>
    <n v="6348.3"/>
    <m/>
    <n v="36578.300000000003"/>
    <n v="30230"/>
    <s v="CREDICOOP"/>
    <d v="2025-07-22T00:00:00"/>
    <d v="2025-07-22T00:00:00"/>
    <m/>
    <m/>
    <x v="0"/>
  </r>
  <r>
    <x v="13"/>
    <x v="3"/>
    <s v="TELECOM ARGENTINA SOCIEDAD ANONIMA"/>
    <s v="FA 4264-05488775"/>
    <d v="2025-06-18T00:00:00"/>
    <n v="34325"/>
    <n v="7208.25"/>
    <n v="2746"/>
    <n v="44279.25"/>
    <n v="34325"/>
    <s v="MP"/>
    <d v="2025-07-03T00:00:00"/>
    <d v="2025-07-03T00:00:00"/>
    <m/>
    <m/>
    <x v="0"/>
  </r>
  <r>
    <x v="16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16"/>
    <x v="10"/>
    <s v="SANES JUAN MANUEL"/>
    <s v="FC 00001-00000077"/>
    <d v="2025-07-07T00:00:00"/>
    <m/>
    <s v="$ -"/>
    <m/>
    <n v="55000"/>
    <n v="55000"/>
    <s v="CREDICOOP"/>
    <d v="2025-07-22T00:00:00"/>
    <d v="2025-07-22T00:00:00"/>
    <m/>
    <m/>
    <x v="0"/>
  </r>
  <r>
    <x v="16"/>
    <x v="1"/>
    <s v="FORTIN MAURE S.A."/>
    <s v="FA 0030-00090846"/>
    <d v="2025-07-04T00:00:00"/>
    <n v="1299988.6000000001"/>
    <n v="272997.61"/>
    <n v="64999.43"/>
    <n v="1637985.64"/>
    <n v="1299988.6000000001"/>
    <s v="CREDICOOP"/>
    <d v="2025-07-10T00:00:00"/>
    <d v="2025-07-10T00:00:00"/>
    <m/>
    <m/>
    <x v="0"/>
  </r>
  <r>
    <x v="16"/>
    <x v="6"/>
    <s v="EDESUR"/>
    <s v="FA 0501-02614658"/>
    <d v="2025-06-26T00:00:00"/>
    <n v="85254.03"/>
    <n v="23018.59"/>
    <n v="7999.38"/>
    <n v="116272"/>
    <n v="85254.03"/>
    <s v="PROVINCIA"/>
    <d v="2025-07-04T00:00:00"/>
    <d v="2025-07-04T00:00:00"/>
    <m/>
    <m/>
    <x v="0"/>
  </r>
  <r>
    <x v="16"/>
    <x v="2"/>
    <s v="FORTIN MAURE S.A."/>
    <s v="FA 0030-00090767"/>
    <d v="2025-07-04T00:00:00"/>
    <n v="1846064.21"/>
    <n v="387673.48"/>
    <n v="92303.21"/>
    <n v="2326040.9"/>
    <n v="1846064.21"/>
    <s v="CREDICOOP"/>
    <d v="2025-07-10T00:00:00"/>
    <d v="2025-07-10T00:00:00"/>
    <m/>
    <m/>
    <x v="0"/>
  </r>
  <r>
    <x v="16"/>
    <x v="9"/>
    <s v="MANOLIO MARIANO SERGIO"/>
    <s v="FA 00003-00000996"/>
    <d v="2025-07-09T00:00:00"/>
    <n v="30230"/>
    <n v="6348.3"/>
    <m/>
    <n v="36578.300000000003"/>
    <n v="30230"/>
    <s v="CREDICOOP"/>
    <d v="2025-07-22T00:00:00"/>
    <d v="2025-07-22T00:00:00"/>
    <m/>
    <m/>
    <x v="0"/>
  </r>
  <r>
    <x v="16"/>
    <x v="3"/>
    <s v="TELECOM ARGENTINA SOCIEDAD ANONIMA"/>
    <s v="FA 4264-05609033"/>
    <d v="2025-06-18T00:00:00"/>
    <n v="55892.57"/>
    <n v="11737.44"/>
    <n v="4471.41"/>
    <n v="72101.42"/>
    <n v="55892.57"/>
    <s v="DEB. AUT. CRED."/>
    <d v="2025-07-07T00:00:00"/>
    <d v="2025-07-07T00:00:00"/>
    <m/>
    <m/>
    <x v="0"/>
  </r>
  <r>
    <x v="18"/>
    <x v="10"/>
    <s v="SANES JUAN MANUEL"/>
    <s v="FC 00001-00000077"/>
    <d v="2025-07-07T00:00:00"/>
    <m/>
    <s v="$ -"/>
    <m/>
    <n v="55000"/>
    <n v="55000"/>
    <s v="PROVINCIA"/>
    <d v="2025-07-22T00:00:00"/>
    <d v="2025-07-22T00:00:00"/>
    <m/>
    <m/>
    <x v="0"/>
  </r>
  <r>
    <x v="18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18"/>
    <x v="1"/>
    <s v="MESATEL SA"/>
    <s v="FA 00003-00007939"/>
    <d v="2025-07-01T00:00:00"/>
    <n v="1594202.96"/>
    <n v="334782.62"/>
    <m/>
    <n v="1928985.58"/>
    <n v="1594202.96"/>
    <s v="CREDICOOP"/>
    <d v="2025-07-10T00:00:00"/>
    <d v="2025-07-10T00:00:00"/>
    <m/>
    <m/>
    <x v="0"/>
  </r>
  <r>
    <x v="18"/>
    <x v="6"/>
    <s v="EDESUR"/>
    <s v="FA 0501-02626440"/>
    <d v="2025-06-30T00:00:00"/>
    <n v="55809.3"/>
    <n v="15068.51"/>
    <n v="5236.59"/>
    <n v="76114.399999999994"/>
    <n v="55809.3"/>
    <s v="PROVINCIA"/>
    <d v="2025-07-08T00:00:00"/>
    <d v="2025-07-08T00:00:00"/>
    <m/>
    <m/>
    <x v="0"/>
  </r>
  <r>
    <x v="18"/>
    <x v="2"/>
    <s v="MESATEL SA"/>
    <s v="S/C"/>
    <d v="2025-07-01T00:00:00"/>
    <m/>
    <m/>
    <m/>
    <n v="482202.15"/>
    <n v="482202.15"/>
    <s v="CREDICOOP"/>
    <d v="2025-07-10T00:00:00"/>
    <d v="2025-07-10T00:00:00"/>
    <m/>
    <m/>
    <x v="0"/>
  </r>
  <r>
    <x v="18"/>
    <x v="9"/>
    <s v="MANOLIO MARIANO SERGIO"/>
    <s v="FA 00003-00000996"/>
    <d v="2025-07-09T00:00:00"/>
    <n v="30230"/>
    <n v="6348.3"/>
    <m/>
    <n v="36578.300000000003"/>
    <n v="30230"/>
    <s v="CREDICOOP"/>
    <d v="2025-07-22T00:00:00"/>
    <d v="2025-07-22T00:00:00"/>
    <m/>
    <m/>
    <x v="0"/>
  </r>
  <r>
    <x v="19"/>
    <x v="1"/>
    <s v="MESATEL SA"/>
    <s v="FA 00003-00007941"/>
    <d v="2025-07-01T00:00:00"/>
    <n v="903319.4"/>
    <n v="189697.07"/>
    <m/>
    <n v="1093016.47"/>
    <n v="903319.4"/>
    <s v="CREDICOOP"/>
    <d v="2025-07-10T00:00:00"/>
    <d v="2025-07-10T00:00:00"/>
    <m/>
    <m/>
    <x v="0"/>
  </r>
  <r>
    <x v="19"/>
    <x v="6"/>
    <s v="EDESUR"/>
    <s v="S/C"/>
    <d v="2025-07-01T00:00:00"/>
    <m/>
    <m/>
    <m/>
    <n v="51498.47"/>
    <n v="51498.47"/>
    <s v="PROVINCIA"/>
    <d v="2025-07-08T00:00:00"/>
    <d v="2025-07-08T00:00:00"/>
    <m/>
    <m/>
    <x v="0"/>
  </r>
  <r>
    <x v="19"/>
    <x v="2"/>
    <s v="MESATEL SA"/>
    <s v="S/C"/>
    <d v="2025-07-01T00:00:00"/>
    <m/>
    <m/>
    <m/>
    <n v="482202.15"/>
    <n v="482202.15"/>
    <s v="CREDICOOP"/>
    <d v="2025-07-10T00:00:00"/>
    <d v="2025-07-10T00:00:00"/>
    <m/>
    <m/>
    <x v="0"/>
  </r>
  <r>
    <x v="19"/>
    <x v="9"/>
    <s v="MANOLIO MARIANO SERGIO"/>
    <s v="FA 00003-00000996"/>
    <d v="2025-07-09T00:00:00"/>
    <n v="30230"/>
    <n v="6348.3"/>
    <m/>
    <n v="36578.300000000003"/>
    <n v="30230"/>
    <s v="CREDICOOP"/>
    <d v="2025-07-22T00:00:00"/>
    <d v="2025-07-22T00:00:00"/>
    <m/>
    <m/>
    <x v="0"/>
  </r>
  <r>
    <x v="14"/>
    <x v="14"/>
    <s v="SEGURIDAD DENAPOLI SRL"/>
    <s v="FA 00004-00009912"/>
    <d v="2025-07-16T00:00:00"/>
    <n v="101156"/>
    <n v="21242.76"/>
    <m/>
    <n v="122398.76"/>
    <n v="101156"/>
    <s v="CREDICOOP"/>
    <d v="2025-07-22T00:00:00"/>
    <d v="2025-07-22T00:00:00"/>
    <m/>
    <m/>
    <x v="0"/>
  </r>
  <r>
    <x v="20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20"/>
    <x v="1"/>
    <s v="Condominio Marinelli"/>
    <s v="FA 00002-00000148"/>
    <d v="2025-07-01T00:00:00"/>
    <n v="1442456"/>
    <n v="302915.76"/>
    <m/>
    <n v="1745371.76"/>
    <n v="1442456"/>
    <s v="CREDICOOP"/>
    <d v="2025-07-10T00:00:00"/>
    <d v="2025-07-10T00:00:00"/>
    <s v="Se paga 64% a MARINELLI MA ESTER y 36% a MARINELLI INES"/>
    <m/>
    <x v="0"/>
  </r>
  <r>
    <x v="20"/>
    <x v="6"/>
    <s v="EDESUR"/>
    <s v="FA 0501-02599183"/>
    <d v="2025-06-23T00:00:00"/>
    <n v="103842.8"/>
    <n v="28037.56"/>
    <n v="9743.57"/>
    <n v="141623.93"/>
    <n v="103842.8"/>
    <s v="PROVINCIA"/>
    <d v="2025-07-08T00:00:00"/>
    <d v="2025-07-08T00:00:00"/>
    <m/>
    <m/>
    <x v="0"/>
  </r>
  <r>
    <x v="20"/>
    <x v="9"/>
    <s v="MANOLIO MARIANO SERGIO"/>
    <s v="FA 00003-00000996"/>
    <d v="2025-07-09T00:00:00"/>
    <n v="67050"/>
    <n v="14080.5"/>
    <m/>
    <n v="81130.5"/>
    <n v="67050"/>
    <s v="CREDICOOP"/>
    <d v="2025-07-22T00:00:00"/>
    <d v="2025-07-22T00:00:00"/>
    <m/>
    <m/>
    <x v="0"/>
  </r>
  <r>
    <x v="20"/>
    <x v="3"/>
    <s v="TELECOM ARGENTINA SOCIEDAD ANONIMA"/>
    <s v="FA 4264-05559268"/>
    <d v="2025-06-18T00:00:00"/>
    <n v="53320"/>
    <n v="11197.2"/>
    <n v="4265.6000000000004"/>
    <n v="68782.8"/>
    <n v="53320"/>
    <s v="MP"/>
    <d v="2025-07-03T00:00:00"/>
    <d v="2025-07-15T00:00:00"/>
    <m/>
    <m/>
    <x v="0"/>
  </r>
  <r>
    <x v="21"/>
    <x v="7"/>
    <s v="AGIP a cta de otra RS"/>
    <s v="S/C"/>
    <d v="2025-07-01T00:00:00"/>
    <m/>
    <s v="$ -"/>
    <m/>
    <n v="402777.46"/>
    <n v="402777.46"/>
    <s v="PROVINCIA"/>
    <d v="2025-07-07T00:00:00"/>
    <d v="2025-07-07T00:00:00"/>
    <s v="Partida 118462"/>
    <m/>
    <x v="0"/>
  </r>
  <r>
    <x v="21"/>
    <x v="10"/>
    <s v="SANES JUAN MANUEL"/>
    <s v="FC 00001-00000077"/>
    <d v="2025-07-07T00:00:00"/>
    <m/>
    <s v="$ -"/>
    <m/>
    <n v="55000"/>
    <n v="55000"/>
    <s v="CREDICOOP C de I"/>
    <d v="2025-07-22T00:00:00"/>
    <d v="2025-07-22T00:00:00"/>
    <m/>
    <m/>
    <x v="0"/>
  </r>
  <r>
    <x v="21"/>
    <x v="10"/>
    <s v="SANES JUAN MANUEL"/>
    <s v="FC 00001-00000076"/>
    <d v="2025-07-07T00:00:00"/>
    <m/>
    <s v="$ -"/>
    <m/>
    <n v="40000"/>
    <n v="40000"/>
    <s v="CREDICOOP"/>
    <d v="2025-07-22T00:00:00"/>
    <d v="2025-07-22T00:00:00"/>
    <m/>
    <m/>
    <x v="0"/>
  </r>
  <r>
    <x v="21"/>
    <x v="10"/>
    <s v="AMX ARGENTINA SOCIEDAD ANONIMA"/>
    <s v="FA 1331-00692332"/>
    <d v="2025-06-22T00:00:00"/>
    <n v="67900"/>
    <n v="16716"/>
    <n v="7587.27"/>
    <n v="92203.27"/>
    <n v="67900"/>
    <s v="CREDICOOP"/>
    <d v="2025-07-15T00:00:00"/>
    <d v="2025-07-15T00:00:00"/>
    <m/>
    <m/>
    <x v="0"/>
  </r>
  <r>
    <x v="21"/>
    <x v="8"/>
    <s v="VISION 101 S.A."/>
    <s v="FA 01815-00000190"/>
    <d v="2025-07-11T00:00:00"/>
    <m/>
    <s v="$ -"/>
    <m/>
    <n v="910903.15"/>
    <n v="910903.15"/>
    <s v="CREDICOOP"/>
    <d v="2025-07-22T00:00:00"/>
    <d v="2025-07-22T00:00:00"/>
    <m/>
    <m/>
    <x v="0"/>
  </r>
  <r>
    <x v="21"/>
    <x v="6"/>
    <s v="VISION 101 S.A."/>
    <s v="FA 01815-00000190"/>
    <d v="2025-07-11T00:00:00"/>
    <m/>
    <s v="$ -"/>
    <m/>
    <n v="151380.62"/>
    <n v="151380.62"/>
    <s v="CREDICOOP"/>
    <d v="2025-07-22T00:00:00"/>
    <d v="2025-07-22T00:00:00"/>
    <m/>
    <m/>
    <x v="0"/>
  </r>
  <r>
    <x v="21"/>
    <x v="9"/>
    <s v="MANOLIO MARIANO SERGIO"/>
    <s v="FA 00003-00000996"/>
    <d v="2025-07-09T00:00:00"/>
    <n v="85440"/>
    <n v="17942.400000000001"/>
    <m/>
    <n v="103382.39999999999"/>
    <n v="85440"/>
    <s v="CREDICOOP"/>
    <d v="2025-07-22T00:00:00"/>
    <d v="2025-07-22T00:00:00"/>
    <m/>
    <m/>
    <x v="0"/>
  </r>
  <r>
    <x v="21"/>
    <x v="3"/>
    <s v="TELECENTRO"/>
    <s v="A nombre de Le Marroq"/>
    <d v="2025-07-05T00:00:00"/>
    <m/>
    <s v="$ -"/>
    <m/>
    <n v="110704.22"/>
    <n v="110704.22"/>
    <s v="MP"/>
    <d v="2025-07-23T00:00:00"/>
    <d v="2025-07-23T00:00:00"/>
    <s v="Cliente 2404938"/>
    <m/>
    <x v="0"/>
  </r>
  <r>
    <x v="21"/>
    <x v="15"/>
    <s v="CHECK CLIMATIZACION"/>
    <s v="FA 00001-00000183"/>
    <d v="2025-07-04T00:00:00"/>
    <n v="231000"/>
    <n v="48510"/>
    <m/>
    <n v="279510"/>
    <n v="231000"/>
    <s v="CREDICOOP"/>
    <d v="2025-07-11T00:00:00"/>
    <d v="2025-07-11T00:00:00"/>
    <m/>
    <m/>
    <x v="0"/>
  </r>
  <r>
    <x v="21"/>
    <x v="15"/>
    <s v="CHECK CLIMATIZACION"/>
    <s v="FA 00001-00000183"/>
    <d v="2025-07-04T00:00:00"/>
    <n v="231000"/>
    <n v="48510"/>
    <m/>
    <n v="279510"/>
    <n v="231000"/>
    <s v="CREDICOOP"/>
    <d v="2025-07-18T00:00:00"/>
    <d v="2025-07-18T00:00:00"/>
    <m/>
    <m/>
    <x v="0"/>
  </r>
  <r>
    <x v="21"/>
    <x v="14"/>
    <s v="SEGURIDAD DENAPOLI SRL"/>
    <s v="FA 00004-00009959"/>
    <d v="2025-07-29T00:00:00"/>
    <n v="471400"/>
    <n v="98994"/>
    <m/>
    <n v="570394"/>
    <n v="471400"/>
    <s v="CREDICOOP"/>
    <d v="2025-08-05T00:00:00"/>
    <d v="2025-08-04T00:00:00"/>
    <s v="OC 1094"/>
    <m/>
    <x v="0"/>
  </r>
  <r>
    <x v="21"/>
    <x v="11"/>
    <s v="sin comprobante"/>
    <s v="cliente 10442982300"/>
    <d v="2025-07-01T00:00:00"/>
    <m/>
    <s v="$ -"/>
    <m/>
    <n v="24591.09"/>
    <n v="24591.09"/>
    <s v="PROVINCIA"/>
    <d v="2025-07-01T00:00:00"/>
    <d v="2025-07-01T00:00:00"/>
    <m/>
    <m/>
    <x v="0"/>
  </r>
  <r>
    <x v="33"/>
    <x v="9"/>
    <s v="MANOLIO MARIANO SERGIO"/>
    <s v="FA 00003-00000996"/>
    <d v="2025-07-09T00:00:00"/>
    <n v="93552"/>
    <n v="19645.919999999998"/>
    <m/>
    <n v="113197.92"/>
    <n v="93552"/>
    <s v="CREDICOOP"/>
    <d v="2025-07-22T00:00:00"/>
    <d v="2025-07-22T00:00:00"/>
    <m/>
    <m/>
    <x v="0"/>
  </r>
  <r>
    <x v="14"/>
    <x v="7"/>
    <s v="AGIP a cta de otra RS"/>
    <s v="S/C"/>
    <d v="2025-07-01T00:00:00"/>
    <m/>
    <s v="$ -"/>
    <m/>
    <n v="62684.84"/>
    <n v="62684.84"/>
    <s v="PROVINCIA"/>
    <d v="2025-07-07T00:00:00"/>
    <d v="2025-07-07T00:00:00"/>
    <s v="Partida 1381816"/>
    <m/>
    <x v="0"/>
  </r>
  <r>
    <x v="14"/>
    <x v="10"/>
    <s v="SANES JUAN MANUEL"/>
    <s v="FC 00001-00000077"/>
    <d v="2025-07-07T00:00:00"/>
    <m/>
    <s v="$ -"/>
    <m/>
    <n v="55000"/>
    <n v="55000"/>
    <s v="CREDICOOP C de I"/>
    <d v="2025-07-22T00:00:00"/>
    <d v="2025-07-22T00:00:00"/>
    <m/>
    <m/>
    <x v="0"/>
  </r>
  <r>
    <x v="14"/>
    <x v="10"/>
    <s v="SANES JUAN MANUEL"/>
    <s v="FC 00001-00000076"/>
    <d v="2025-07-07T00:00:00"/>
    <m/>
    <s v="$ -"/>
    <m/>
    <n v="40000"/>
    <n v="40000"/>
    <s v="PROVINCIA"/>
    <d v="2025-07-22T00:00:00"/>
    <d v="2025-07-22T00:00:00"/>
    <m/>
    <m/>
    <x v="0"/>
  </r>
  <r>
    <x v="14"/>
    <x v="1"/>
    <s v="HOME CITY S.A."/>
    <s v="FA 00002-00000695"/>
    <d v="2025-07-01T00:00:00"/>
    <n v="1354200"/>
    <n v="284382"/>
    <m/>
    <n v="1638582"/>
    <n v="1354200"/>
    <s v="CREDICOOP"/>
    <d v="2025-07-10T00:00:00"/>
    <d v="2025-07-10T00:00:00"/>
    <m/>
    <m/>
    <x v="0"/>
  </r>
  <r>
    <x v="14"/>
    <x v="8"/>
    <s v="sin comprobante"/>
    <s v="S/C"/>
    <d v="2025-07-01T00:00:00"/>
    <m/>
    <s v="$ -"/>
    <m/>
    <n v="222067.3"/>
    <n v="222067.3"/>
    <s v="PROVINCIA"/>
    <d v="2025-07-01T00:00:00"/>
    <d v="2025-07-01T00:00:00"/>
    <m/>
    <m/>
    <x v="0"/>
  </r>
  <r>
    <x v="14"/>
    <x v="6"/>
    <s v="EDESUR"/>
    <s v="FA 0501-02599188"/>
    <d v="2025-06-23T00:00:00"/>
    <n v="93088.59"/>
    <n v="25171.62"/>
    <n v="8747.61"/>
    <n v="127147.45"/>
    <n v="93088.59"/>
    <s v="PROVINCIA"/>
    <d v="2025-07-01T00:00:00"/>
    <d v="2025-07-01T00:00:00"/>
    <m/>
    <m/>
    <x v="0"/>
  </r>
  <r>
    <x v="14"/>
    <x v="9"/>
    <s v="MANOLIO MARIANO SERGIO"/>
    <s v="FA 00003-00000996"/>
    <d v="2025-07-09T00:00:00"/>
    <n v="89715"/>
    <n v="18840.150000000001"/>
    <m/>
    <n v="108555.15"/>
    <n v="89715"/>
    <s v="CREDICOOP"/>
    <d v="2025-07-22T00:00:00"/>
    <d v="2025-07-22T00:00:00"/>
    <m/>
    <m/>
    <x v="0"/>
  </r>
  <r>
    <x v="14"/>
    <x v="3"/>
    <s v="TELECOM ARGENTINA SOCIEDAD ANONIMA"/>
    <s v="FA 4264-05553324"/>
    <d v="2025-06-18T00:00:00"/>
    <n v="31700"/>
    <n v="6657"/>
    <n v="2536"/>
    <n v="40893"/>
    <n v="31700"/>
    <s v="MP"/>
    <d v="2025-07-03T00:00:00"/>
    <d v="2025-07-15T00:00:00"/>
    <m/>
    <m/>
    <x v="0"/>
  </r>
  <r>
    <x v="34"/>
    <x v="13"/>
    <m/>
    <m/>
    <m/>
    <m/>
    <s v="$ -"/>
    <m/>
    <m/>
    <n v="0"/>
    <m/>
    <d v="2025-08-01T00:00:00"/>
    <d v="2025-08-01T00:00:00"/>
    <m/>
    <m/>
    <x v="2"/>
  </r>
  <r>
    <x v="30"/>
    <x v="7"/>
    <s v="MAGECA S A"/>
    <s v="ND 00002-00000062"/>
    <d v="2025-08-08T00:00:00"/>
    <m/>
    <s v="$ -"/>
    <n v="56492.89"/>
    <n v="56492.89"/>
    <n v="56492.89"/>
    <s v="CREDICOOP"/>
    <d v="2025-08-19T00:00:00"/>
    <d v="2025-08-19T00:00:00"/>
    <m/>
    <m/>
    <x v="2"/>
  </r>
  <r>
    <x v="30"/>
    <x v="1"/>
    <s v="MAGECA S A"/>
    <s v="FA 00002-00000218"/>
    <d v="2025-08-04T00:00:00"/>
    <n v="1018313.91"/>
    <n v="213845.92"/>
    <m/>
    <n v="1232159.83"/>
    <n v="1018313.91"/>
    <s v="CREDICOOP"/>
    <d v="2025-08-11T00:00:00"/>
    <d v="2025-08-11T00:00:00"/>
    <m/>
    <m/>
    <x v="2"/>
  </r>
  <r>
    <x v="30"/>
    <x v="8"/>
    <s v="MAGECA S A"/>
    <s v="ND 00002-00000062"/>
    <d v="2025-08-08T00:00:00"/>
    <n v="63447.839999999997"/>
    <n v="17130.919999999998"/>
    <n v="3990.88"/>
    <n v="84569.64"/>
    <n v="63447.839999999997"/>
    <s v="CREDICOOP"/>
    <d v="2025-08-19T00:00:00"/>
    <d v="2025-08-19T00:00:00"/>
    <m/>
    <m/>
    <x v="2"/>
  </r>
  <r>
    <x v="30"/>
    <x v="6"/>
    <s v="MAGECA S A"/>
    <s v="ND 00002-00000062"/>
    <d v="2025-08-08T00:00:00"/>
    <m/>
    <s v="$ -"/>
    <n v="423646.46"/>
    <n v="423646.46"/>
    <n v="423646.46"/>
    <s v="CREDICOOP"/>
    <d v="2025-08-19T00:00:00"/>
    <d v="2025-08-19T00:00:00"/>
    <m/>
    <m/>
    <x v="2"/>
  </r>
  <r>
    <x v="30"/>
    <x v="2"/>
    <s v="MAGECA S A"/>
    <s v="ND 00002-00000062"/>
    <d v="2025-08-08T00:00:00"/>
    <m/>
    <s v="$ -"/>
    <n v="302670.89"/>
    <n v="302670.89"/>
    <n v="302670.89"/>
    <s v="CREDICOOP"/>
    <d v="2025-08-19T00:00:00"/>
    <d v="2025-08-19T00:00:00"/>
    <m/>
    <m/>
    <x v="2"/>
  </r>
  <r>
    <x v="30"/>
    <x v="9"/>
    <s v="MANOLIO MARIANO SERGIO"/>
    <s v="FA 00003-00001006"/>
    <d v="2025-08-08T00:00:00"/>
    <n v="27000"/>
    <n v="5670"/>
    <m/>
    <n v="32670"/>
    <n v="27000"/>
    <s v="CREDICOOP"/>
    <d v="2025-08-22T00:00:00"/>
    <d v="2025-08-22T00:00:00"/>
    <m/>
    <m/>
    <x v="2"/>
  </r>
  <r>
    <x v="30"/>
    <x v="3"/>
    <s v="TELECOM ARGENTINA SOCIEDAD ANONIMA"/>
    <s v="FA 4264-05695167"/>
    <d v="2025-07-17T00:00:00"/>
    <n v="89872"/>
    <n v="18873.12"/>
    <n v="7189.76"/>
    <n v="115934.88"/>
    <n v="89872"/>
    <s v="DEB. AUT. CRED."/>
    <d v="2025-08-05T00:00:00"/>
    <d v="2025-08-05T00:00:00"/>
    <m/>
    <m/>
    <x v="2"/>
  </r>
  <r>
    <x v="6"/>
    <x v="5"/>
    <s v="CRICNOGAP SOCIEDAD ANONIMA"/>
    <s v="S/C"/>
    <d v="2025-08-01T00:00:00"/>
    <m/>
    <s v="$ -"/>
    <m/>
    <n v="126244.63"/>
    <n v="126244.63"/>
    <s v="CREDICOOP"/>
    <d v="2025-08-11T00:00:00"/>
    <d v="2025-08-11T00:00:00"/>
    <m/>
    <m/>
    <x v="2"/>
  </r>
  <r>
    <x v="6"/>
    <x v="1"/>
    <s v="CRICNOGAP SOCIEDAD ANONIMA"/>
    <s v="FA 00002-00001315"/>
    <d v="2025-08-01T00:00:00"/>
    <n v="690000"/>
    <n v="144900"/>
    <m/>
    <n v="834900"/>
    <n v="690000"/>
    <s v="CREDICOOP"/>
    <d v="2025-08-11T00:00:00"/>
    <d v="2025-08-11T00:00:00"/>
    <m/>
    <m/>
    <x v="2"/>
  </r>
  <r>
    <x v="6"/>
    <x v="4"/>
    <s v="CRICNOGAP SOCIEDAD ANONIMA"/>
    <s v="S/C"/>
    <d v="2025-08-01T00:00:00"/>
    <m/>
    <s v="$ -"/>
    <m/>
    <n v="15341.48"/>
    <n v="15341.48"/>
    <s v="CREDICOOP"/>
    <d v="2025-08-11T00:00:00"/>
    <d v="2025-08-11T00:00:00"/>
    <m/>
    <m/>
    <x v="2"/>
  </r>
  <r>
    <x v="6"/>
    <x v="3"/>
    <s v="AMX ARGENTINA SOCIEDAD ANONIMA"/>
    <s v="A nombre de Carlotex"/>
    <d v="2025-08-01T00:00:00"/>
    <m/>
    <s v="$ -"/>
    <m/>
    <n v="23035.5"/>
    <n v="23035.5"/>
    <s v="CREDICOOP"/>
    <d v="2025-08-01T00:00:00"/>
    <d v="2025-08-06T00:00:00"/>
    <m/>
    <m/>
    <x v="2"/>
  </r>
  <r>
    <x v="6"/>
    <x v="16"/>
    <s v="sin comprobante"/>
    <s v="S/C"/>
    <d v="2025-08-01T00:00:00"/>
    <m/>
    <s v="$ -"/>
    <m/>
    <n v="106357.21"/>
    <n v="106357.21"/>
    <s v="CREDICOOP"/>
    <d v="2025-08-14T00:00:00"/>
    <d v="2025-08-14T00:00:00"/>
    <m/>
    <m/>
    <x v="2"/>
  </r>
  <r>
    <x v="17"/>
    <x v="10"/>
    <s v="SANES JUAN MANUEL"/>
    <s v="FC 00001-00000088"/>
    <d v="2025-09-03T00:00:00"/>
    <m/>
    <s v="$ -"/>
    <m/>
    <n v="20000"/>
    <n v="20000"/>
    <s v="CREDICOOP"/>
    <d v="2025-09-19T00:00:00"/>
    <d v="2025-09-19T00:00:00"/>
    <m/>
    <m/>
    <x v="2"/>
  </r>
  <r>
    <x v="17"/>
    <x v="1"/>
    <s v="MESATEL SA"/>
    <s v="FA"/>
    <m/>
    <m/>
    <s v="$ -"/>
    <m/>
    <m/>
    <n v="0"/>
    <s v="CREDICOOP"/>
    <m/>
    <m/>
    <m/>
    <m/>
    <x v="2"/>
  </r>
  <r>
    <x v="17"/>
    <x v="6"/>
    <s v="EDESUR"/>
    <s v="FA 0501-02737818"/>
    <d v="2025-07-28T00:00:00"/>
    <n v="39282.269999999997"/>
    <n v="10606.21"/>
    <n v="3685.86"/>
    <n v="53574.34"/>
    <n v="39282.269999999997"/>
    <s v="PROVINCIA"/>
    <d v="2025-08-05T00:00:00"/>
    <d v="2025-08-04T00:00:00"/>
    <m/>
    <m/>
    <x v="2"/>
  </r>
  <r>
    <x v="17"/>
    <x v="2"/>
    <s v="sin comprobante"/>
    <m/>
    <d v="2025-08-01T00:00:00"/>
    <m/>
    <m/>
    <m/>
    <n v="1146570.01"/>
    <n v="1146570.01"/>
    <s v="CREDICOOP"/>
    <d v="2025-08-08T00:00:00"/>
    <d v="2025-08-08T00:00:00"/>
    <m/>
    <m/>
    <x v="2"/>
  </r>
  <r>
    <x v="17"/>
    <x v="9"/>
    <s v="MANOLIO MARIANO SERGIO"/>
    <s v="FA 00003-00001006"/>
    <d v="2025-08-08T00:00:00"/>
    <n v="30230"/>
    <n v="6348.3"/>
    <m/>
    <n v="36578.300000000003"/>
    <n v="30230"/>
    <s v="CREDICOOP"/>
    <d v="2025-08-22T00:00:00"/>
    <d v="2025-08-22T00:00:00"/>
    <m/>
    <m/>
    <x v="2"/>
  </r>
  <r>
    <x v="17"/>
    <x v="3"/>
    <s v="TELEFONICA MOVILES ARGENTINA SOCIEDAD ANONIMA"/>
    <s v="FA 3103-00025772"/>
    <d v="2025-08-13T00:00:00"/>
    <n v="92918.399999999994"/>
    <n v="20922.77"/>
    <n v="2787.55"/>
    <n v="116628.72"/>
    <n v="92918.399999999994"/>
    <s v="PROVINCIA"/>
    <d v="2025-08-25T00:00:00"/>
    <d v="2025-08-25T00:00:00"/>
    <m/>
    <m/>
    <x v="2"/>
  </r>
  <r>
    <x v="17"/>
    <x v="15"/>
    <s v="CHECK CLIMATIZACION"/>
    <s v="FA 00001-00000188"/>
    <d v="2025-07-30T00:00:00"/>
    <n v="692846.25"/>
    <n v="145497.71"/>
    <m/>
    <n v="838343.96"/>
    <n v="692846.25"/>
    <s v="CREDICOOP"/>
    <d v="2025-08-15T00:00:00"/>
    <d v="2025-08-15T00:00:00"/>
    <s v="PPTO 4902"/>
    <m/>
    <x v="2"/>
  </r>
  <r>
    <x v="17"/>
    <x v="15"/>
    <s v="RETAMAR VICTOR ARMANDO"/>
    <s v="FC 00004-00000029"/>
    <d v="2025-08-18T00:00:00"/>
    <n v="292000"/>
    <s v="$ -"/>
    <m/>
    <n v="292000"/>
    <n v="292000"/>
    <s v="CREDICOOP"/>
    <d v="2025-08-26T00:00:00"/>
    <d v="2025-08-26T00:00:00"/>
    <m/>
    <m/>
    <x v="2"/>
  </r>
  <r>
    <x v="8"/>
    <x v="7"/>
    <s v="MAGECA S A"/>
    <s v="ND"/>
    <m/>
    <m/>
    <s v="$ -"/>
    <m/>
    <m/>
    <n v="0"/>
    <s v="CREDICOOP"/>
    <m/>
    <m/>
    <m/>
    <m/>
    <x v="2"/>
  </r>
  <r>
    <x v="8"/>
    <x v="10"/>
    <s v="SANES JUAN MANUEL"/>
    <s v="FC"/>
    <m/>
    <m/>
    <s v="$ -"/>
    <m/>
    <m/>
    <n v="0"/>
    <s v="CREDICOOP"/>
    <m/>
    <m/>
    <m/>
    <m/>
    <x v="2"/>
  </r>
  <r>
    <x v="8"/>
    <x v="1"/>
    <m/>
    <m/>
    <m/>
    <m/>
    <s v="$ -"/>
    <m/>
    <m/>
    <n v="0"/>
    <m/>
    <m/>
    <m/>
    <m/>
    <m/>
    <x v="2"/>
  </r>
  <r>
    <x v="8"/>
    <x v="8"/>
    <s v="MAGECA S A"/>
    <s v="ND"/>
    <m/>
    <m/>
    <s v="$ -"/>
    <m/>
    <m/>
    <n v="0"/>
    <s v="CREDICOOP"/>
    <m/>
    <m/>
    <m/>
    <m/>
    <x v="2"/>
  </r>
  <r>
    <x v="8"/>
    <x v="6"/>
    <s v="EDESUR"/>
    <s v="FA 0501-02743414"/>
    <d v="2025-07-29T00:00:00"/>
    <n v="150125.29999999999"/>
    <n v="40533.83"/>
    <n v="14086.26"/>
    <n v="204745.39"/>
    <n v="150125.29999999999"/>
    <s v="PROVINCIA"/>
    <d v="2025-08-06T00:00:00"/>
    <d v="2025-08-04T00:00:00"/>
    <m/>
    <m/>
    <x v="2"/>
  </r>
  <r>
    <x v="8"/>
    <x v="6"/>
    <s v="EDESUR"/>
    <s v="FA 0501-02743784"/>
    <d v="2025-07-29T00:00:00"/>
    <n v="15564.05"/>
    <n v="4202.29"/>
    <n v="1460.37"/>
    <n v="21226.71"/>
    <n v="15564.05"/>
    <s v="PROVINCIA"/>
    <d v="2025-08-06T00:00:00"/>
    <d v="2025-08-04T00:00:00"/>
    <m/>
    <m/>
    <x v="2"/>
  </r>
  <r>
    <x v="8"/>
    <x v="6"/>
    <s v="EDESUR"/>
    <s v="FA 9904-0247509417"/>
    <d v="2025-08-04T00:00:00"/>
    <n v="477296.6"/>
    <n v="128870.08"/>
    <n v="44784.74"/>
    <n v="650951.42000000004"/>
    <n v="477296.6"/>
    <s v="MP"/>
    <d v="2025-08-12T00:00:00"/>
    <d v="2025-08-12T00:00:00"/>
    <m/>
    <m/>
    <x v="2"/>
  </r>
  <r>
    <x v="8"/>
    <x v="2"/>
    <s v="MAGECA S A"/>
    <s v="ND"/>
    <m/>
    <m/>
    <s v="$ -"/>
    <m/>
    <m/>
    <n v="0"/>
    <s v="CREDICOOP"/>
    <m/>
    <m/>
    <m/>
    <m/>
    <x v="2"/>
  </r>
  <r>
    <x v="8"/>
    <x v="9"/>
    <s v="MANOLIO MARIANO SERGIO"/>
    <s v="FA"/>
    <m/>
    <m/>
    <s v="$ -"/>
    <m/>
    <m/>
    <n v="0"/>
    <s v="CREDICOOP"/>
    <m/>
    <m/>
    <m/>
    <m/>
    <x v="2"/>
  </r>
  <r>
    <x v="8"/>
    <x v="3"/>
    <s v="TELECOM ARGENTINA SOCIEDAD ANONIMA"/>
    <s v="FA 4264-05658214"/>
    <d v="2025-07-17T00:00:00"/>
    <n v="144997"/>
    <n v="30449.37"/>
    <n v="11599.76"/>
    <n v="187046.13"/>
    <n v="144997"/>
    <s v="DEB. AUT. CRED."/>
    <d v="2025-08-05T00:00:00"/>
    <d v="2025-08-05T00:00:00"/>
    <m/>
    <m/>
    <x v="2"/>
  </r>
  <r>
    <x v="9"/>
    <x v="14"/>
    <s v="SEGURIDAD DENAPOLI SRL"/>
    <s v="FA 00004-00010036"/>
    <d v="2025-08-12T00:00:00"/>
    <n v="41895"/>
    <n v="8797.9500000000007"/>
    <m/>
    <n v="50692.95"/>
    <n v="41895"/>
    <s v="CREDICOOP"/>
    <d v="2025-08-22T00:00:00"/>
    <d v="2025-08-22T00:00:00"/>
    <m/>
    <m/>
    <x v="2"/>
  </r>
  <r>
    <x v="9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9"/>
    <x v="1"/>
    <s v="Fideicomiso Laguna Oscura"/>
    <s v="RA"/>
    <d v="2025-08-01T00:00:00"/>
    <m/>
    <s v="$ -"/>
    <m/>
    <n v="807312"/>
    <n v="807312"/>
    <s v="CREDICOOP"/>
    <d v="2025-08-11T00:00:00"/>
    <d v="2025-08-11T00:00:00"/>
    <m/>
    <m/>
    <x v="2"/>
  </r>
  <r>
    <x v="9"/>
    <x v="6"/>
    <s v="EDESUR"/>
    <s v="FA 0501-02737820"/>
    <d v="2025-07-28T00:00:00"/>
    <n v="116796.22"/>
    <n v="31534.98"/>
    <n v="10958.99"/>
    <n v="159290.19"/>
    <n v="116796.22"/>
    <s v="PROVINCIA"/>
    <d v="2025-08-05T00:00:00"/>
    <d v="2025-08-04T00:00:00"/>
    <m/>
    <m/>
    <x v="2"/>
  </r>
  <r>
    <x v="9"/>
    <x v="6"/>
    <s v="EDESUR"/>
    <s v="FA 0501-02737819"/>
    <d v="2025-07-28T00:00:00"/>
    <n v="28181.54"/>
    <n v="7609.02"/>
    <n v="2644.28"/>
    <n v="38434.839999999997"/>
    <n v="28181.54"/>
    <s v="PROVINCIA"/>
    <d v="2025-08-05T00:00:00"/>
    <d v="2025-08-04T00:00:00"/>
    <m/>
    <m/>
    <x v="2"/>
  </r>
  <r>
    <x v="9"/>
    <x v="2"/>
    <s v="Solar de french"/>
    <s v="S/C"/>
    <d v="2025-08-01T00:00:00"/>
    <m/>
    <s v="$ -"/>
    <m/>
    <n v="242602.21"/>
    <n v="242602.21"/>
    <s v="EFECTIVO"/>
    <d v="2025-08-12T00:00:00"/>
    <d v="2025-08-12T00:00:00"/>
    <m/>
    <m/>
    <x v="2"/>
  </r>
  <r>
    <x v="9"/>
    <x v="9"/>
    <s v="MANOLIO MARIANO SERGIO"/>
    <s v="FA 00003-00001006"/>
    <d v="2025-08-08T00:00:00"/>
    <n v="30230"/>
    <n v="6348.3"/>
    <m/>
    <n v="36578.300000000003"/>
    <n v="30230"/>
    <s v="CREDICOOP"/>
    <d v="2025-08-22T00:00:00"/>
    <d v="2025-08-22T00:00:00"/>
    <m/>
    <m/>
    <x v="2"/>
  </r>
  <r>
    <x v="9"/>
    <x v="3"/>
    <s v="TELECOM ARGENTINA SOCIEDAD ANONIMA"/>
    <s v="FA 4264-05647876"/>
    <d v="2025-07-17T00:00:00"/>
    <n v="102700"/>
    <n v="21567"/>
    <n v="8216"/>
    <n v="132483"/>
    <n v="102700"/>
    <s v="PROVINCIA"/>
    <d v="2025-08-05T00:00:00"/>
    <d v="2025-08-04T00:00:00"/>
    <m/>
    <m/>
    <x v="2"/>
  </r>
  <r>
    <x v="13"/>
    <x v="3"/>
    <s v="TELECOM ARGENTINA SOCIEDAD ANONIMA"/>
    <s v="FA 4264-05624998"/>
    <d v="2025-07-17T00:00:00"/>
    <n v="35325"/>
    <n v="7418.25"/>
    <n v="2826"/>
    <n v="45569.25"/>
    <n v="35325"/>
    <s v="MP"/>
    <d v="2025-08-05T00:00:00"/>
    <d v="2025-08-08T00:00:00"/>
    <m/>
    <m/>
    <x v="2"/>
  </r>
  <r>
    <x v="24"/>
    <x v="1"/>
    <m/>
    <m/>
    <m/>
    <m/>
    <s v="$ -"/>
    <m/>
    <m/>
    <n v="0"/>
    <m/>
    <m/>
    <m/>
    <m/>
    <m/>
    <x v="2"/>
  </r>
  <r>
    <x v="24"/>
    <x v="6"/>
    <m/>
    <m/>
    <m/>
    <m/>
    <s v="$ -"/>
    <m/>
    <m/>
    <n v="0"/>
    <m/>
    <m/>
    <m/>
    <m/>
    <m/>
    <x v="2"/>
  </r>
  <r>
    <x v="24"/>
    <x v="2"/>
    <m/>
    <m/>
    <m/>
    <m/>
    <s v="$ -"/>
    <m/>
    <m/>
    <n v="0"/>
    <m/>
    <m/>
    <m/>
    <m/>
    <m/>
    <x v="2"/>
  </r>
  <r>
    <x v="24"/>
    <x v="2"/>
    <m/>
    <m/>
    <m/>
    <m/>
    <s v="$ -"/>
    <m/>
    <m/>
    <n v="0"/>
    <m/>
    <m/>
    <m/>
    <m/>
    <m/>
    <x v="2"/>
  </r>
  <r>
    <x v="12"/>
    <x v="1"/>
    <m/>
    <m/>
    <m/>
    <m/>
    <s v="$ -"/>
    <m/>
    <m/>
    <n v="0"/>
    <m/>
    <m/>
    <m/>
    <m/>
    <m/>
    <x v="2"/>
  </r>
  <r>
    <x v="12"/>
    <x v="6"/>
    <m/>
    <m/>
    <m/>
    <m/>
    <s v="$ -"/>
    <m/>
    <m/>
    <n v="0"/>
    <m/>
    <m/>
    <m/>
    <m/>
    <m/>
    <x v="2"/>
  </r>
  <r>
    <x v="12"/>
    <x v="2"/>
    <m/>
    <m/>
    <m/>
    <m/>
    <s v="$ -"/>
    <m/>
    <m/>
    <n v="0"/>
    <m/>
    <m/>
    <m/>
    <m/>
    <m/>
    <x v="2"/>
  </r>
  <r>
    <x v="31"/>
    <x v="1"/>
    <m/>
    <m/>
    <m/>
    <m/>
    <s v="$ -"/>
    <m/>
    <m/>
    <n v="0"/>
    <m/>
    <m/>
    <m/>
    <m/>
    <m/>
    <x v="2"/>
  </r>
  <r>
    <x v="31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32"/>
    <x v="17"/>
    <s v="NUEVA ATENEA SRL"/>
    <s v="FA 0002-00000890"/>
    <d v="2025-08-20T00:00:00"/>
    <n v="59500"/>
    <n v="12495"/>
    <m/>
    <n v="71995"/>
    <n v="59500"/>
    <s v="CREDICOOP"/>
    <d v="2025-08-29T00:00:00"/>
    <d v="2025-08-29T00:00:00"/>
    <s v="OC 1124"/>
    <m/>
    <x v="2"/>
  </r>
  <r>
    <x v="32"/>
    <x v="9"/>
    <s v="MANOLIO MARIANO SERGIO"/>
    <s v="FA 00003-00001006"/>
    <d v="2025-08-08T00:00:00"/>
    <n v="30230"/>
    <n v="6348.3"/>
    <m/>
    <n v="36578.300000000003"/>
    <n v="30230"/>
    <s v="CREDICOOP"/>
    <d v="2025-08-22T00:00:00"/>
    <d v="2025-08-22T00:00:00"/>
    <m/>
    <m/>
    <x v="2"/>
  </r>
  <r>
    <x v="16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16"/>
    <x v="1"/>
    <s v="FORTIN MAURE S.A."/>
    <s v="FA"/>
    <m/>
    <m/>
    <s v="$ -"/>
    <m/>
    <m/>
    <n v="0"/>
    <s v="CREDICOOP"/>
    <m/>
    <m/>
    <m/>
    <m/>
    <x v="2"/>
  </r>
  <r>
    <x v="16"/>
    <x v="6"/>
    <s v="EDESUR"/>
    <s v="FA 0501-02731127"/>
    <d v="2025-07-25T00:00:00"/>
    <n v="87365.62"/>
    <n v="23588.720000000001"/>
    <n v="8197.52"/>
    <n v="119151.86"/>
    <n v="87365.62"/>
    <s v="PROVINCIA"/>
    <d v="2025-08-04T00:00:00"/>
    <d v="2025-08-04T00:00:00"/>
    <m/>
    <m/>
    <x v="2"/>
  </r>
  <r>
    <x v="16"/>
    <x v="2"/>
    <s v="FORTIN MAURE S.A."/>
    <s v="FA 0030-00091179"/>
    <d v="2025-08-05T00:00:00"/>
    <n v="1901854.12"/>
    <n v="399389.37"/>
    <n v="95092.71"/>
    <n v="2396336.2000000002"/>
    <n v="1901854.12"/>
    <s v="CREDICOOP"/>
    <d v="2025-08-08T00:00:00"/>
    <d v="2025-08-08T00:00:00"/>
    <m/>
    <m/>
    <x v="2"/>
  </r>
  <r>
    <x v="16"/>
    <x v="9"/>
    <s v="MANOLIO MARIANO SERGIO"/>
    <s v="FA 00003-00001006"/>
    <d v="2025-08-08T00:00:00"/>
    <n v="30230"/>
    <n v="6348.3"/>
    <m/>
    <n v="36578.300000000003"/>
    <n v="30230"/>
    <s v="CREDICOOP"/>
    <d v="2025-08-22T00:00:00"/>
    <d v="2025-08-22T00:00:00"/>
    <m/>
    <m/>
    <x v="2"/>
  </r>
  <r>
    <x v="16"/>
    <x v="3"/>
    <s v="TELECOM ARGENTINA SOCIEDAD ANONIMA"/>
    <s v="FA 4264-05746386"/>
    <d v="2025-07-17T00:00:00"/>
    <n v="57553.73"/>
    <n v="12086.28"/>
    <n v="4604.3"/>
    <n v="74244.31"/>
    <n v="57553.73"/>
    <s v="DEB. AUT. CRED."/>
    <d v="2025-08-07T00:00:00"/>
    <d v="2025-08-07T00:00:00"/>
    <m/>
    <m/>
    <x v="2"/>
  </r>
  <r>
    <x v="35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18"/>
    <x v="10"/>
    <s v="SANES JUAN MANUEL"/>
    <s v="FC"/>
    <m/>
    <m/>
    <s v="$ -"/>
    <m/>
    <m/>
    <n v="0"/>
    <s v="CREDICOOP"/>
    <m/>
    <m/>
    <m/>
    <m/>
    <x v="2"/>
  </r>
  <r>
    <x v="18"/>
    <x v="1"/>
    <s v="MESATEL SA"/>
    <s v="FA"/>
    <m/>
    <m/>
    <s v="$ -"/>
    <m/>
    <m/>
    <n v="0"/>
    <s v="CREDICOOP"/>
    <m/>
    <m/>
    <m/>
    <m/>
    <x v="2"/>
  </r>
  <r>
    <x v="18"/>
    <x v="6"/>
    <s v="EDESUR"/>
    <s v="FA 0501-02735148"/>
    <d v="2025-07-28T00:00:00"/>
    <n v="74279.91"/>
    <n v="20055.580000000002"/>
    <n v="6969.69"/>
    <n v="101305.18"/>
    <n v="74279.91"/>
    <s v="PROVINCIA"/>
    <d v="2025-08-05T00:00:00"/>
    <d v="2025-08-04T00:00:00"/>
    <m/>
    <m/>
    <x v="2"/>
  </r>
  <r>
    <x v="18"/>
    <x v="2"/>
    <s v="sin comprobante"/>
    <m/>
    <d v="2025-08-01T00:00:00"/>
    <m/>
    <m/>
    <m/>
    <n v="573285.05000000005"/>
    <n v="573285.05000000005"/>
    <s v="CREDICOOP"/>
    <d v="2025-08-08T00:00:00"/>
    <d v="2025-08-08T00:00:00"/>
    <m/>
    <m/>
    <x v="2"/>
  </r>
  <r>
    <x v="18"/>
    <x v="9"/>
    <s v="MANOLIO MARIANO SERGIO"/>
    <s v="FA 00003-00001006"/>
    <d v="2025-08-08T00:00:00"/>
    <n v="30230"/>
    <n v="6348.3"/>
    <m/>
    <n v="36578.300000000003"/>
    <n v="30230"/>
    <s v="CREDICOOP"/>
    <d v="2025-08-22T00:00:00"/>
    <d v="2025-08-22T00:00:00"/>
    <m/>
    <m/>
    <x v="2"/>
  </r>
  <r>
    <x v="19"/>
    <x v="10"/>
    <s v="SANES JUAN MANUEL"/>
    <s v="FC 00001-00000088"/>
    <d v="2025-09-03T00:00:00"/>
    <m/>
    <s v="$ -"/>
    <m/>
    <n v="20000"/>
    <n v="20000"/>
    <s v="CREDICOOP"/>
    <d v="2025-09-19T00:00:00"/>
    <d v="2025-09-19T00:00:00"/>
    <m/>
    <m/>
    <x v="2"/>
  </r>
  <r>
    <x v="19"/>
    <x v="6"/>
    <s v="EDESUR"/>
    <s v="S/C"/>
    <d v="2025-08-01T00:00:00"/>
    <m/>
    <m/>
    <m/>
    <n v="104085.8"/>
    <n v="104085.8"/>
    <s v="PROVINCIA"/>
    <d v="2025-08-06T00:00:00"/>
    <d v="2025-08-06T00:00:00"/>
    <m/>
    <m/>
    <x v="2"/>
  </r>
  <r>
    <x v="19"/>
    <x v="2"/>
    <s v="sin comprobante"/>
    <m/>
    <d v="2025-08-01T00:00:00"/>
    <m/>
    <m/>
    <m/>
    <n v="573285.05000000005"/>
    <n v="573285.05000000005"/>
    <s v="CREDICOOP"/>
    <d v="2025-08-08T00:00:00"/>
    <d v="2025-08-08T00:00:00"/>
    <m/>
    <m/>
    <x v="2"/>
  </r>
  <r>
    <x v="19"/>
    <x v="9"/>
    <s v="MANOLIO MARIANO SERGIO"/>
    <s v="FA 00003-00001006"/>
    <d v="2025-08-08T00:00:00"/>
    <n v="30230"/>
    <n v="6348.3"/>
    <m/>
    <n v="36578.300000000003"/>
    <n v="30230"/>
    <s v="CREDICOOP"/>
    <d v="2025-08-22T00:00:00"/>
    <d v="2025-08-22T00:00:00"/>
    <m/>
    <m/>
    <x v="2"/>
  </r>
  <r>
    <x v="20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20"/>
    <x v="1"/>
    <s v="Condominio Marinelli"/>
    <s v="FA 00002-00000149"/>
    <d v="2025-08-01T00:00:00"/>
    <n v="1498079"/>
    <n v="314596.59000000003"/>
    <m/>
    <n v="1812675.59"/>
    <n v="1498079"/>
    <s v="CREDICOOP"/>
    <d v="2025-08-11T00:00:00"/>
    <d v="2025-08-11T00:00:00"/>
    <s v="Se paga 64% a MARINELLI MA ESTER y 36% a MARINELLI INES ($652563,21)"/>
    <m/>
    <x v="2"/>
  </r>
  <r>
    <x v="20"/>
    <x v="6"/>
    <s v="EDESUR"/>
    <s v="FA 0501-02715794"/>
    <d v="2025-07-22T00:00:00"/>
    <n v="102495.75"/>
    <n v="27673.85"/>
    <n v="9617.17"/>
    <n v="139786.76999999999"/>
    <n v="102495.75"/>
    <s v="PROVINCIA"/>
    <d v="2025-08-06T00:00:00"/>
    <d v="2025-08-04T00:00:00"/>
    <m/>
    <m/>
    <x v="2"/>
  </r>
  <r>
    <x v="20"/>
    <x v="9"/>
    <s v="MANOLIO MARIANO SERGIO"/>
    <s v="FA 00003-00001006"/>
    <d v="2025-08-08T00:00:00"/>
    <n v="67050"/>
    <n v="14080.5"/>
    <m/>
    <n v="81130.5"/>
    <n v="67050"/>
    <s v="CREDICOOP"/>
    <d v="2025-08-22T00:00:00"/>
    <d v="2025-08-22T00:00:00"/>
    <m/>
    <m/>
    <x v="2"/>
  </r>
  <r>
    <x v="20"/>
    <x v="3"/>
    <s v="TELECOM ARGENTINA SOCIEDAD ANONIMA"/>
    <s v="FA 4264-05695976"/>
    <d v="2025-07-17T00:00:00"/>
    <n v="54380"/>
    <n v="11419.8"/>
    <n v="4350.3999999999996"/>
    <n v="70150.2"/>
    <n v="54380"/>
    <s v="PROVINCIA"/>
    <d v="2025-08-05T00:00:00"/>
    <d v="2025-08-04T00:00:00"/>
    <m/>
    <m/>
    <x v="2"/>
  </r>
  <r>
    <x v="21"/>
    <x v="14"/>
    <s v="SEGURIDAD DENAPOLI SRL"/>
    <s v="FA 00004-00010038"/>
    <d v="2025-08-12T00:00:00"/>
    <n v="41895"/>
    <n v="8797.9500000000007"/>
    <m/>
    <n v="50692.95"/>
    <n v="41895"/>
    <s v="CREDICOOP"/>
    <d v="2025-08-22T00:00:00"/>
    <d v="2025-08-22T00:00:00"/>
    <m/>
    <m/>
    <x v="2"/>
  </r>
  <r>
    <x v="21"/>
    <x v="18"/>
    <s v="MARTINEZ VANESA ROSANA"/>
    <s v="FA 00004-00004246"/>
    <d v="2025-08-08T00:00:00"/>
    <n v="144000"/>
    <n v="30240"/>
    <m/>
    <n v="174240"/>
    <n v="144000"/>
    <s v="CREDICOOP"/>
    <d v="2025-08-18T00:00:00"/>
    <d v="2025-08-18T00:00:00"/>
    <m/>
    <m/>
    <x v="2"/>
  </r>
  <r>
    <x v="21"/>
    <x v="7"/>
    <s v="AGIP a cta de otra RS"/>
    <s v="S/C"/>
    <d v="2025-08-01T00:00:00"/>
    <m/>
    <s v="$ -"/>
    <m/>
    <n v="411225.62"/>
    <n v="411225.62"/>
    <s v="PROVINCIA"/>
    <d v="2025-08-05T00:00:00"/>
    <d v="2025-08-05T00:00:00"/>
    <s v="Partida 118462"/>
    <m/>
    <x v="2"/>
  </r>
  <r>
    <x v="21"/>
    <x v="10"/>
    <s v="AMX ARGENTINA SOCIEDAD ANONIMA"/>
    <s v="FA 1331-00872224"/>
    <d v="2025-07-22T00:00:00"/>
    <n v="69190"/>
    <n v="17025.599999999999"/>
    <n v="7724.41"/>
    <n v="93940.01"/>
    <n v="69190"/>
    <s v="CREDICOOP"/>
    <d v="2025-08-14T00:00:00"/>
    <d v="2025-08-14T00:00:00"/>
    <m/>
    <m/>
    <x v="2"/>
  </r>
  <r>
    <x v="21"/>
    <x v="8"/>
    <s v="VISION 101 S.A."/>
    <s v="FA 01815-00000192"/>
    <d v="2025-08-14T00:00:00"/>
    <m/>
    <s v="$ -"/>
    <m/>
    <n v="249201.81"/>
    <n v="249201.81"/>
    <s v="CREDICOOP"/>
    <d v="2025-08-26T00:00:00"/>
    <d v="2025-08-26T00:00:00"/>
    <m/>
    <m/>
    <x v="2"/>
  </r>
  <r>
    <x v="21"/>
    <x v="6"/>
    <s v="VISION 101 S.A."/>
    <s v="FA 01815-00000192"/>
    <d v="2025-08-14T00:00:00"/>
    <m/>
    <s v="$ -"/>
    <m/>
    <n v="1612359.65"/>
    <n v="1612359.65"/>
    <s v="CREDICOOP"/>
    <d v="2025-08-26T00:00:00"/>
    <d v="2025-08-26T00:00:00"/>
    <m/>
    <m/>
    <x v="2"/>
  </r>
  <r>
    <x v="21"/>
    <x v="9"/>
    <s v="MANOLIO MARIANO SERGIO"/>
    <s v="FA 00003-00001006"/>
    <d v="2025-08-08T00:00:00"/>
    <n v="85440"/>
    <n v="17942.400000000001"/>
    <m/>
    <n v="103382.39999999999"/>
    <n v="85440"/>
    <s v="CREDICOOP"/>
    <d v="2025-08-22T00:00:00"/>
    <d v="2025-08-22T00:00:00"/>
    <m/>
    <m/>
    <x v="2"/>
  </r>
  <r>
    <x v="21"/>
    <x v="3"/>
    <s v="TELECENTRO"/>
    <s v="A nombre de Le Marroq"/>
    <d v="2025-08-06T00:00:00"/>
    <m/>
    <s v="$ -"/>
    <m/>
    <n v="116702.45"/>
    <n v="116702.45"/>
    <s v="MP"/>
    <d v="2025-08-22T00:00:00"/>
    <d v="2025-08-22T00:00:00"/>
    <s v="Cliente 2404938"/>
    <m/>
    <x v="2"/>
  </r>
  <r>
    <x v="21"/>
    <x v="14"/>
    <s v="SEGURIDAD DENAPOLI SRL"/>
    <s v="FA 00004-00010001"/>
    <d v="2025-08-07T00:00:00"/>
    <n v="556907"/>
    <n v="116950.47"/>
    <m/>
    <n v="673857.47"/>
    <n v="556907"/>
    <s v="CREDICOOP"/>
    <d v="2025-08-19T00:00:00"/>
    <d v="2025-08-19T00:00:00"/>
    <m/>
    <m/>
    <x v="2"/>
  </r>
  <r>
    <x v="21"/>
    <x v="15"/>
    <s v="RETAMAR VICTOR ARMANDO"/>
    <s v="FC 00004-00000027"/>
    <d v="2025-08-11T00:00:00"/>
    <n v="338000"/>
    <s v="$ -"/>
    <m/>
    <n v="338000"/>
    <n v="338000"/>
    <s v="CREDICOOP"/>
    <d v="2025-08-19T00:00:00"/>
    <d v="2025-08-19T00:00:00"/>
    <m/>
    <m/>
    <x v="2"/>
  </r>
  <r>
    <x v="21"/>
    <x v="11"/>
    <s v="Metrogas"/>
    <s v="cliente 10442982300"/>
    <m/>
    <m/>
    <s v="$ -"/>
    <m/>
    <m/>
    <n v="0"/>
    <s v="PROVINCIA"/>
    <m/>
    <m/>
    <m/>
    <m/>
    <x v="2"/>
  </r>
  <r>
    <x v="21"/>
    <x v="12"/>
    <s v="TELECOM ARGENTINA SOCIEDAD ANONIMA"/>
    <s v="FA 0A6364-09227303"/>
    <d v="2025-07-24T00:00:00"/>
    <n v="232732.99"/>
    <n v="48992.25"/>
    <n v="18979.13"/>
    <n v="300704.37"/>
    <n v="232732.99"/>
    <s v="PROVINCIA"/>
    <d v="2025-08-11T00:00:00"/>
    <d v="2025-08-11T00:00:00"/>
    <m/>
    <m/>
    <x v="2"/>
  </r>
  <r>
    <x v="21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33"/>
    <x v="9"/>
    <s v="MANOLIO MARIANO SERGIO"/>
    <s v="FA 00003-00001006"/>
    <d v="2025-08-08T00:00:00"/>
    <n v="93552"/>
    <n v="19645.919999999998"/>
    <m/>
    <n v="113197.92"/>
    <n v="93552"/>
    <s v="CREDICOOP"/>
    <d v="2025-08-22T00:00:00"/>
    <d v="2025-08-22T00:00:00"/>
    <m/>
    <m/>
    <x v="2"/>
  </r>
  <r>
    <x v="14"/>
    <x v="14"/>
    <s v="SEGURIDAD DENAPOLI SRL"/>
    <s v="FA 00004-00010037"/>
    <d v="2025-08-12T00:00:00"/>
    <n v="41895"/>
    <n v="8797.9500000000007"/>
    <m/>
    <n v="50692.95"/>
    <n v="41895"/>
    <s v="CREDICOOP"/>
    <d v="2025-08-22T00:00:00"/>
    <d v="2025-08-22T00:00:00"/>
    <m/>
    <m/>
    <x v="2"/>
  </r>
  <r>
    <x v="14"/>
    <x v="7"/>
    <s v="AGIP a cta de otra RS"/>
    <s v="S/C"/>
    <d v="2025-08-01T00:00:00"/>
    <m/>
    <s v="$ -"/>
    <m/>
    <n v="65846.710000000006"/>
    <n v="65846.710000000006"/>
    <s v="PROVINCIA"/>
    <d v="2025-08-05T00:00:00"/>
    <d v="2025-08-05T00:00:00"/>
    <s v="Partida 1381816"/>
    <m/>
    <x v="2"/>
  </r>
  <r>
    <x v="14"/>
    <x v="1"/>
    <s v="HOME CITY S.A."/>
    <s v="FA 00002-00000703"/>
    <d v="2025-08-11T00:00:00"/>
    <n v="1354200"/>
    <n v="284382"/>
    <m/>
    <n v="1638582"/>
    <n v="1354200"/>
    <s v="CREDICOOP"/>
    <d v="2025-08-11T00:00:00"/>
    <d v="2025-08-11T00:00:00"/>
    <m/>
    <m/>
    <x v="2"/>
  </r>
  <r>
    <x v="14"/>
    <x v="10"/>
    <s v="SANES JUAN MANUEL"/>
    <s v="FC 00001-00000088"/>
    <d v="2025-09-03T00:00:00"/>
    <m/>
    <s v="$ -"/>
    <m/>
    <n v="40000"/>
    <n v="40000"/>
    <s v="CREDICOOP"/>
    <d v="2025-09-19T00:00:00"/>
    <d v="2025-09-19T00:00:00"/>
    <m/>
    <m/>
    <x v="2"/>
  </r>
  <r>
    <x v="14"/>
    <x v="8"/>
    <s v="sin comprobante"/>
    <s v="S/C"/>
    <m/>
    <m/>
    <s v="$ -"/>
    <m/>
    <s v="$ -"/>
    <s v="$ -"/>
    <s v="PROVINCIA"/>
    <d v="2025-08-01T00:00:00"/>
    <d v="2025-08-01T00:00:00"/>
    <m/>
    <m/>
    <x v="2"/>
  </r>
  <r>
    <x v="14"/>
    <x v="6"/>
    <s v="EDESUR"/>
    <s v="FA 0501-0282445817"/>
    <d v="2025-08-19T00:00:00"/>
    <n v="178921"/>
    <n v="48308.67"/>
    <n v="12530.82"/>
    <n v="239760.49"/>
    <n v="178921"/>
    <s v="PROVINCIA"/>
    <d v="2025-08-27T00:00:00"/>
    <d v="2025-08-27T00:00:00"/>
    <m/>
    <m/>
    <x v="2"/>
  </r>
  <r>
    <x v="14"/>
    <x v="9"/>
    <s v="MANOLIO MARIANO SERGIO"/>
    <s v="FA 00003-00001006"/>
    <d v="2025-08-08T00:00:00"/>
    <n v="89715"/>
    <n v="18840.150000000001"/>
    <m/>
    <n v="108555.15"/>
    <n v="89715"/>
    <s v="CREDICOOP"/>
    <d v="2025-08-22T00:00:00"/>
    <d v="2025-08-22T00:00:00"/>
    <m/>
    <m/>
    <x v="2"/>
  </r>
  <r>
    <x v="14"/>
    <x v="3"/>
    <s v="TELECOM ARGENTINA SOCIEDAD ANONIMA"/>
    <s v="FA 4264-05689959"/>
    <d v="2025-07-17T00:00:00"/>
    <n v="32330"/>
    <n v="6789.3"/>
    <n v="2586.4"/>
    <n v="41705.699999999997"/>
    <n v="32330"/>
    <s v="PROVINCIA"/>
    <d v="2025-08-05T00:00:00"/>
    <d v="2025-08-04T00:00:00"/>
    <m/>
    <m/>
    <x v="2"/>
  </r>
  <r>
    <x v="36"/>
    <x v="13"/>
    <m/>
    <m/>
    <m/>
    <m/>
    <s v="$ -"/>
    <m/>
    <m/>
    <n v="0"/>
    <m/>
    <d v="2025-09-01T00:00:00"/>
    <d v="2025-09-01T00:00:00"/>
    <m/>
    <m/>
    <x v="6"/>
  </r>
  <r>
    <x v="6"/>
    <x v="1"/>
    <s v="CRICNOGAP SOCIEDAD ANONIMA"/>
    <s v="FA 00002-00001323"/>
    <d v="2025-09-01T00:00:00"/>
    <n v="690000"/>
    <n v="144900"/>
    <m/>
    <n v="834900"/>
    <n v="690000"/>
    <s v="CREDICOOP"/>
    <d v="2025-09-11T00:00:00"/>
    <d v="2025-09-11T00:00:00"/>
    <m/>
    <m/>
    <x v="6"/>
  </r>
  <r>
    <x v="6"/>
    <x v="4"/>
    <s v="CRICNOGAP SOCIEDAD ANONIMA"/>
    <s v="S/C"/>
    <m/>
    <m/>
    <s v="$ -"/>
    <m/>
    <m/>
    <n v="0"/>
    <s v="CREDICOOP"/>
    <m/>
    <m/>
    <m/>
    <m/>
    <x v="6"/>
  </r>
  <r>
    <x v="6"/>
    <x v="8"/>
    <s v="CRICNOGAP SOCIEDAD ANONIMA"/>
    <s v="S/C"/>
    <m/>
    <m/>
    <s v="$ -"/>
    <m/>
    <m/>
    <n v="0"/>
    <s v="CREDICOOP"/>
    <m/>
    <m/>
    <m/>
    <m/>
    <x v="6"/>
  </r>
  <r>
    <x v="6"/>
    <x v="19"/>
    <s v="AMX ARGENTINA SOCIEDAD ANONIMA"/>
    <s v="A nombre de Carlotex"/>
    <d v="2025-09-01T00:00:00"/>
    <m/>
    <s v="$ -"/>
    <m/>
    <n v="23597.27"/>
    <n v="23597.27"/>
    <s v="CREDICOOP"/>
    <d v="2025-09-01T00:00:00"/>
    <d v="2025-09-01T00:00:00"/>
    <m/>
    <m/>
    <x v="6"/>
  </r>
  <r>
    <x v="6"/>
    <x v="16"/>
    <s v="sin comprobante"/>
    <s v="S/C"/>
    <d v="2025-09-01T00:00:00"/>
    <m/>
    <s v="$ -"/>
    <m/>
    <n v="95567.4"/>
    <n v="95567.4"/>
    <s v="CREDICOOP"/>
    <d v="2025-09-15T00:00:00"/>
    <d v="2025-09-15T00:00:00"/>
    <m/>
    <m/>
    <x v="6"/>
  </r>
  <r>
    <x v="17"/>
    <x v="6"/>
    <s v="EDESUR"/>
    <s v="FA 0501-0285295817"/>
    <d v="2025-09-27T00:00:00"/>
    <n v="41319.39"/>
    <n v="11156.24"/>
    <n v="-380.34"/>
    <n v="52095.29"/>
    <n v="41319.39"/>
    <s v="PROVINCIA"/>
    <d v="2025-09-04T00:00:00"/>
    <d v="2025-09-04T00:00:00"/>
    <m/>
    <m/>
    <x v="6"/>
  </r>
  <r>
    <x v="17"/>
    <x v="3"/>
    <s v="TELEFONICA MOVILES ARGENTINA SOCIEDAD ANONIMA"/>
    <s v="FA 3103-00027437"/>
    <d v="2025-09-13T00:00:00"/>
    <n v="95612"/>
    <n v="24397.63"/>
    <m/>
    <n v="120009.63"/>
    <n v="95612"/>
    <s v="PROVINCIA"/>
    <d v="2025-09-25T00:00:00"/>
    <d v="2025-09-25T00:00:00"/>
    <m/>
    <m/>
    <x v="6"/>
  </r>
  <r>
    <x v="21"/>
    <x v="14"/>
    <s v="SEGURIDAD DENAPOLI SRL"/>
    <s v="FA 00004-00010158"/>
    <d v="2025-09-10T00:00:00"/>
    <n v="34439"/>
    <n v="7232.19"/>
    <m/>
    <n v="41671.19"/>
    <n v="34439"/>
    <s v="CREDICOOP"/>
    <d v="2025-09-16T00:00:00"/>
    <d v="2025-09-16T00:00:00"/>
    <m/>
    <m/>
    <x v="6"/>
  </r>
  <r>
    <x v="9"/>
    <x v="10"/>
    <s v="SANES JUAN MANUEL"/>
    <s v="FC 00001-00000090"/>
    <d v="2025-09-03T00:00:00"/>
    <m/>
    <s v="$ -"/>
    <m/>
    <n v="40000"/>
    <n v="40000"/>
    <s v="CREDICOOP"/>
    <d v="2025-09-19T00:00:00"/>
    <d v="2025-09-19T00:00:00"/>
    <m/>
    <m/>
    <x v="6"/>
  </r>
  <r>
    <x v="21"/>
    <x v="10"/>
    <s v="SANES JUAN MANUEL"/>
    <s v="FC 00001-00000090"/>
    <d v="2025-09-03T00:00:00"/>
    <m/>
    <s v="$ -"/>
    <m/>
    <n v="40000"/>
    <n v="40000"/>
    <s v="CREDICOOP"/>
    <d v="2025-09-19T00:00:00"/>
    <d v="2025-09-19T00:00:00"/>
    <m/>
    <m/>
    <x v="6"/>
  </r>
  <r>
    <x v="9"/>
    <x v="20"/>
    <s v="MANOLIO MARIANO SERGIO"/>
    <s v="FA 00003-00001016"/>
    <d v="2025-09-05T00:00:00"/>
    <n v="32044"/>
    <n v="6729.24"/>
    <m/>
    <n v="38773.24"/>
    <n v="32044"/>
    <s v="CREDICOOP"/>
    <d v="2025-09-19T00:00:00"/>
    <d v="2025-09-19T00:00:00"/>
    <m/>
    <m/>
    <x v="6"/>
  </r>
  <r>
    <x v="8"/>
    <x v="6"/>
    <s v="EDESUR"/>
    <s v="FA 0501-0286565617"/>
    <d v="2025-08-28T00:00:00"/>
    <n v="16035.9"/>
    <n v="4329.6899999999996"/>
    <n v="-2752.69"/>
    <n v="17612.900000000001"/>
    <n v="16035.9"/>
    <s v="PROVINCIA"/>
    <d v="2025-09-05T00:00:00"/>
    <d v="2025-09-05T00:00:00"/>
    <m/>
    <m/>
    <x v="6"/>
  </r>
  <r>
    <x v="8"/>
    <x v="6"/>
    <s v="EDESUR"/>
    <s v="FA 0501-0286439217"/>
    <d v="2025-08-28T00:00:00"/>
    <n v="152213.63"/>
    <n v="41097.68"/>
    <n v="10024.870000000001"/>
    <n v="203336.18"/>
    <n v="152213.63"/>
    <s v="PROVINCIA"/>
    <d v="2025-09-05T00:00:00"/>
    <d v="2025-09-05T00:00:00"/>
    <m/>
    <m/>
    <x v="6"/>
  </r>
  <r>
    <x v="8"/>
    <x v="6"/>
    <s v="EDESUR"/>
    <s v="FA 9904-0249573917"/>
    <d v="2025-09-07T00:00:00"/>
    <n v="418303.83"/>
    <n v="112942.03"/>
    <n v="34992.1"/>
    <n v="566237.96"/>
    <n v="418303.83"/>
    <s v="PROVINCIA"/>
    <d v="2025-09-11T00:00:00"/>
    <d v="2025-09-11T00:00:00"/>
    <m/>
    <m/>
    <x v="6"/>
  </r>
  <r>
    <x v="8"/>
    <x v="3"/>
    <s v="TELECOM ARGENTINA SOCIEDAD ANONIMA"/>
    <s v="FA 4264-05797339"/>
    <d v="2025-08-19T00:00:00"/>
    <n v="148427"/>
    <n v="31169.67"/>
    <n v="11874.16"/>
    <n v="191470.83"/>
    <n v="148427"/>
    <s v="DEB. AUT. CRED."/>
    <d v="2025-09-03T00:00:00"/>
    <d v="2025-09-03T00:00:00"/>
    <m/>
    <m/>
    <x v="6"/>
  </r>
  <r>
    <x v="9"/>
    <x v="6"/>
    <s v="EDESUR"/>
    <s v="FA 0501-0285295917"/>
    <d v="2025-08-27T00:00:00"/>
    <n v="29590.880000000001"/>
    <n v="7989.54"/>
    <n v="-1480.82"/>
    <n v="36099.599999999999"/>
    <n v="29590.880000000001"/>
    <s v="PROVINCIA"/>
    <d v="2025-09-04T00:00:00"/>
    <d v="2025-09-04T00:00:00"/>
    <m/>
    <m/>
    <x v="6"/>
  </r>
  <r>
    <x v="9"/>
    <x v="6"/>
    <s v="EDESUR"/>
    <s v="FA 0501-0285296017"/>
    <d v="2025-08-27T00:00:00"/>
    <n v="122558.97"/>
    <n v="33090.92"/>
    <n v="7242.37"/>
    <n v="162892.26"/>
    <n v="122558.97"/>
    <s v="PROVINCIA"/>
    <d v="2025-09-04T00:00:00"/>
    <d v="2025-09-04T00:00:00"/>
    <m/>
    <m/>
    <x v="6"/>
  </r>
  <r>
    <x v="9"/>
    <x v="3"/>
    <s v="TELECOM ARGENTINA SOCIEDAD ANONIMA"/>
    <s v="FA 4264-05786439"/>
    <d v="2025-08-19T00:00:00"/>
    <n v="105150"/>
    <n v="22081.5"/>
    <n v="8412"/>
    <n v="135643.5"/>
    <n v="105150"/>
    <s v="PROVINCIA"/>
    <d v="2025-09-03T00:00:00"/>
    <d v="2025-09-03T00:00:00"/>
    <m/>
    <m/>
    <x v="6"/>
  </r>
  <r>
    <x v="13"/>
    <x v="3"/>
    <s v="TELECOM ARGENTINA SOCIEDAD ANONIMA"/>
    <s v="FA 4264-05761516"/>
    <d v="2025-08-19T00:00:00"/>
    <n v="36375"/>
    <n v="7638.75"/>
    <n v="2910"/>
    <n v="46923.75"/>
    <n v="36375"/>
    <s v="MP"/>
    <d v="2025-09-03T00:00:00"/>
    <d v="2025-09-04T00:00:00"/>
    <m/>
    <m/>
    <x v="6"/>
  </r>
  <r>
    <x v="24"/>
    <x v="6"/>
    <s v="GALERIA GRAL GUEMES S A I"/>
    <m/>
    <m/>
    <m/>
    <s v="$ -"/>
    <m/>
    <m/>
    <n v="0"/>
    <s v="CREDICOOP C de I"/>
    <m/>
    <m/>
    <m/>
    <m/>
    <x v="6"/>
  </r>
  <r>
    <x v="16"/>
    <x v="6"/>
    <s v="EDESUR"/>
    <s v="FA 0501-02837979"/>
    <d v="2025-08-22T00:00:00"/>
    <n v="78366"/>
    <n v="21158.82"/>
    <n v="3095.74"/>
    <n v="102620.56"/>
    <n v="78366"/>
    <s v="PROVINCIA"/>
    <d v="2025-09-01T00:00:00"/>
    <d v="2025-09-01T00:00:00"/>
    <m/>
    <m/>
    <x v="6"/>
  </r>
  <r>
    <x v="16"/>
    <x v="3"/>
    <s v="TELECOM ARGENTINA SOCIEDAD ANONIMA"/>
    <s v="FA 4264-05885094"/>
    <d v="2025-08-20T00:00:00"/>
    <n v="59264.47"/>
    <n v="12445.54"/>
    <n v="4741.1499999999996"/>
    <n v="76451.16"/>
    <n v="59264.47"/>
    <s v="DEB. AUT. CRED."/>
    <d v="2025-09-05T00:00:00"/>
    <d v="2025-09-05T00:00:00"/>
    <m/>
    <m/>
    <x v="6"/>
  </r>
  <r>
    <x v="18"/>
    <x v="6"/>
    <s v="EDESUR"/>
    <s v="FA 0501-0285288517"/>
    <d v="2025-08-27T00:00:00"/>
    <n v="78066.63"/>
    <n v="21077.99"/>
    <n v="3067.65"/>
    <n v="102212.27"/>
    <n v="78066.63"/>
    <s v="PROVINCIA"/>
    <d v="2025-09-04T00:00:00"/>
    <d v="2025-09-04T00:00:00"/>
    <m/>
    <m/>
    <x v="6"/>
  </r>
  <r>
    <x v="37"/>
    <x v="13"/>
    <m/>
    <m/>
    <m/>
    <m/>
    <s v="$ -"/>
    <m/>
    <m/>
    <n v="0"/>
    <s v="ECHEQ"/>
    <m/>
    <m/>
    <m/>
    <m/>
    <x v="6"/>
  </r>
  <r>
    <x v="30"/>
    <x v="7"/>
    <s v="MAGECA S A"/>
    <s v="ND 00002-00000064"/>
    <d v="2025-09-08T00:00:00"/>
    <s v="$ -"/>
    <s v="$ -"/>
    <m/>
    <n v="58172.13"/>
    <s v="$ -"/>
    <s v="CREDICOOP"/>
    <d v="2025-09-19T00:00:00"/>
    <d v="2025-09-19T00:00:00"/>
    <m/>
    <m/>
    <x v="6"/>
  </r>
  <r>
    <x v="30"/>
    <x v="1"/>
    <s v="MAGECA S A"/>
    <s v="FA 00002-00000223"/>
    <d v="2025-09-08T00:00:00"/>
    <n v="1018313.91"/>
    <n v="213845.92"/>
    <m/>
    <n v="1232159.83"/>
    <n v="1018313.91"/>
    <s v="CREDICOOP"/>
    <d v="2025-09-11T00:00:00"/>
    <d v="2025-09-11T00:00:00"/>
    <m/>
    <m/>
    <x v="6"/>
  </r>
  <r>
    <x v="30"/>
    <x v="8"/>
    <s v="MAGECA S A"/>
    <s v="ND 00002-00000064"/>
    <d v="2025-09-08T00:00:00"/>
    <n v="64082.32"/>
    <n v="17302.23"/>
    <n v="4030.78"/>
    <n v="85415.33"/>
    <n v="64082.32"/>
    <s v="CREDICOOP"/>
    <d v="2025-09-19T00:00:00"/>
    <d v="2025-09-19T00:00:00"/>
    <m/>
    <m/>
    <x v="6"/>
  </r>
  <r>
    <x v="30"/>
    <x v="6"/>
    <s v="MAGECA S A"/>
    <s v="ND 00002-00000064"/>
    <d v="2025-09-08T00:00:00"/>
    <m/>
    <s v="$ -"/>
    <m/>
    <n v="425870.18"/>
    <n v="425870.18"/>
    <s v="CREDICOOP"/>
    <d v="2025-09-19T00:00:00"/>
    <d v="2025-09-19T00:00:00"/>
    <m/>
    <m/>
    <x v="6"/>
  </r>
  <r>
    <x v="30"/>
    <x v="2"/>
    <s v="MAGECA S A"/>
    <s v="ND 00002-00000064"/>
    <d v="2025-09-08T00:00:00"/>
    <m/>
    <s v="$ -"/>
    <m/>
    <n v="316791.89"/>
    <n v="316791.89"/>
    <s v="CREDICOOP"/>
    <d v="2025-09-19T00:00:00"/>
    <d v="2025-09-19T00:00:00"/>
    <m/>
    <m/>
    <x v="6"/>
  </r>
  <r>
    <x v="30"/>
    <x v="9"/>
    <s v="MANOLIO MARIANO SERGIO"/>
    <s v="FA 00003-00001016"/>
    <d v="2025-09-05T00:00:00"/>
    <n v="28620"/>
    <n v="6010.2"/>
    <m/>
    <n v="34630.199999999997"/>
    <n v="28620"/>
    <s v="CREDICOOP"/>
    <d v="2025-09-19T00:00:00"/>
    <d v="2025-09-19T00:00:00"/>
    <m/>
    <m/>
    <x v="6"/>
  </r>
  <r>
    <x v="30"/>
    <x v="3"/>
    <s v="TELECOM ARGENTINA SOCIEDAD ANONIMA"/>
    <s v="FA 4264-05834294"/>
    <d v="2025-08-19T00:00:00"/>
    <n v="91977"/>
    <n v="19315.169999999998"/>
    <n v="7358.16"/>
    <n v="118650.33"/>
    <n v="91977"/>
    <s v="DEB. AUT. CRED."/>
    <d v="2025-09-03T00:00:00"/>
    <d v="2025-09-03T00:00:00"/>
    <m/>
    <m/>
    <x v="6"/>
  </r>
  <r>
    <x v="20"/>
    <x v="1"/>
    <s v="Condominio Marinelli"/>
    <s v="FA 00002-00000150"/>
    <d v="2025-09-01T00:00:00"/>
    <n v="1498079"/>
    <n v="314596.59000000003"/>
    <m/>
    <n v="1812675.59"/>
    <n v="1498079"/>
    <s v="CREDICOOP"/>
    <d v="2025-09-10T00:00:00"/>
    <d v="2025-09-10T00:00:00"/>
    <s v="Se paga 64% a MARINELLI MA ESTER y 36% a MARINELLI INES"/>
    <m/>
    <x v="6"/>
  </r>
  <r>
    <x v="20"/>
    <x v="6"/>
    <s v="EDESUR"/>
    <s v="FA 0501-0282639017"/>
    <d v="2025-08-20T00:00:00"/>
    <n v="150387.13"/>
    <n v="40604.53"/>
    <n v="9853.48"/>
    <n v="200845.14"/>
    <n v="150387.13"/>
    <s v="PROVINCIA"/>
    <d v="2025-09-04T00:00:00"/>
    <d v="2025-09-04T00:00:00"/>
    <m/>
    <m/>
    <x v="6"/>
  </r>
  <r>
    <x v="20"/>
    <x v="9"/>
    <s v="MANOLIO MARIANO SERGIO"/>
    <s v="FA 00003-00001016"/>
    <d v="2025-09-05T00:00:00"/>
    <n v="71073"/>
    <n v="14925.33"/>
    <m/>
    <n v="85998.33"/>
    <n v="71073"/>
    <s v="CREDICOOP"/>
    <d v="2025-09-19T00:00:00"/>
    <d v="2025-09-19T00:00:00"/>
    <m/>
    <m/>
    <x v="6"/>
  </r>
  <r>
    <x v="20"/>
    <x v="3"/>
    <s v="TELECOM ARGENTINA SOCIEDAD ANONIMA"/>
    <s v="FA 4264-05834245"/>
    <d v="2025-08-19T00:00:00"/>
    <n v="55680"/>
    <n v="11692.8"/>
    <n v="4454.3999999999996"/>
    <n v="71827.199999999997"/>
    <n v="55680"/>
    <s v="PROVINCIA"/>
    <d v="2025-09-03T00:00:00"/>
    <d v="2025-09-03T00:00:00"/>
    <m/>
    <m/>
    <x v="6"/>
  </r>
  <r>
    <x v="21"/>
    <x v="7"/>
    <s v="AGIP a cta de otra RS"/>
    <s v="S/C"/>
    <d v="2025-09-01T00:00:00"/>
    <m/>
    <s v="$ -"/>
    <m/>
    <n v="418567.63"/>
    <n v="418567.63"/>
    <s v="PROVINCIA"/>
    <d v="2025-09-08T00:00:00"/>
    <d v="2025-09-08T00:00:00"/>
    <s v="Partida 118462"/>
    <m/>
    <x v="6"/>
  </r>
  <r>
    <x v="21"/>
    <x v="10"/>
    <s v="AMX ARGENTINA SOCIEDAD ANONIMA"/>
    <s v="FA 1331-01038171"/>
    <d v="2025-08-22T00:00:00"/>
    <n v="70990"/>
    <n v="17037.599999999999"/>
    <n v="7547.36"/>
    <n v="95574.96"/>
    <n v="70990"/>
    <s v="CREDICOOP"/>
    <d v="2025-09-15T00:00:00"/>
    <d v="2025-09-15T00:00:00"/>
    <m/>
    <m/>
    <x v="6"/>
  </r>
  <r>
    <x v="21"/>
    <x v="8"/>
    <s v="VISION 101 S.A."/>
    <s v="FA 01815-00000193"/>
    <d v="2025-09-11T00:00:00"/>
    <m/>
    <s v="$ -"/>
    <m/>
    <n v="249201.8"/>
    <n v="249201.8"/>
    <s v="CREDICOOP"/>
    <d v="2025-09-19T00:00:00"/>
    <d v="2025-09-19T00:00:00"/>
    <m/>
    <m/>
    <x v="6"/>
  </r>
  <r>
    <x v="21"/>
    <x v="6"/>
    <s v="VISION 101 S.A."/>
    <s v="FA 01815-00000193"/>
    <d v="2025-09-11T00:00:00"/>
    <m/>
    <s v="$ -"/>
    <m/>
    <n v="1272471.43"/>
    <n v="1272471.43"/>
    <s v="CREDICOOP"/>
    <d v="2025-09-19T00:00:00"/>
    <d v="2025-09-19T00:00:00"/>
    <m/>
    <m/>
    <x v="6"/>
  </r>
  <r>
    <x v="21"/>
    <x v="9"/>
    <s v="MANOLIO MARIANO SERGIO"/>
    <s v="FA 00003-00001016"/>
    <d v="2025-09-05T00:00:00"/>
    <n v="90566"/>
    <n v="19018.86"/>
    <m/>
    <n v="109584.86"/>
    <n v="90566"/>
    <s v="CREDICOOP"/>
    <d v="2025-09-19T00:00:00"/>
    <d v="2025-09-19T00:00:00"/>
    <m/>
    <m/>
    <x v="6"/>
  </r>
  <r>
    <x v="21"/>
    <x v="3"/>
    <s v="TELECENTRO"/>
    <s v="A nombre de Le Marroq"/>
    <d v="2025-09-01T00:00:00"/>
    <m/>
    <s v="$ -"/>
    <m/>
    <n v="121358.5"/>
    <n v="121358.5"/>
    <s v="MP"/>
    <d v="2025-09-22T00:00:00"/>
    <d v="2025-09-22T00:00:00"/>
    <s v="Cliente 2404938"/>
    <m/>
    <x v="6"/>
  </r>
  <r>
    <x v="21"/>
    <x v="11"/>
    <s v="Metrogas"/>
    <s v="cliente 10442982300"/>
    <d v="2025-09-01T00:00:00"/>
    <m/>
    <s v="$ -"/>
    <m/>
    <n v="63334.42"/>
    <n v="63334.42"/>
    <s v="PROVINCIA"/>
    <d v="2025-09-01T00:00:00"/>
    <d v="2025-09-01T00:00:00"/>
    <m/>
    <m/>
    <x v="6"/>
  </r>
  <r>
    <x v="21"/>
    <x v="12"/>
    <s v="TELECOM ARGENTINA SOCIEDAD ANONIMA"/>
    <s v="FA A6364-09283836"/>
    <d v="2025-08-24T00:00:00"/>
    <n v="235443.99"/>
    <n v="49486.559999999998"/>
    <n v="19129.330000000002"/>
    <n v="304059.88"/>
    <n v="235443.99"/>
    <s v="PROVINCIA"/>
    <d v="2025-09-11T00:00:00"/>
    <d v="2025-09-11T00:00:00"/>
    <m/>
    <m/>
    <x v="6"/>
  </r>
  <r>
    <x v="14"/>
    <x v="7"/>
    <s v="AGIP a cta de otra RS"/>
    <s v="S/C"/>
    <d v="2025-09-01T00:00:00"/>
    <m/>
    <s v="$ -"/>
    <m/>
    <n v="68594.58"/>
    <n v="68594.58"/>
    <s v="PROVINCIA"/>
    <d v="2025-09-08T00:00:00"/>
    <d v="2025-09-08T00:00:00"/>
    <s v="Partida 1381816"/>
    <m/>
    <x v="6"/>
  </r>
  <r>
    <x v="14"/>
    <x v="1"/>
    <s v="HOME CITY S.A."/>
    <s v="FA 00002-00000710"/>
    <d v="2025-09-01T00:00:00"/>
    <n v="1354200"/>
    <n v="284382"/>
    <m/>
    <n v="1638582"/>
    <n v="1354200"/>
    <s v="CREDICOOP"/>
    <d v="2025-09-11T00:00:00"/>
    <d v="2025-09-11T00:00:00"/>
    <m/>
    <m/>
    <x v="6"/>
  </r>
  <r>
    <x v="14"/>
    <x v="1"/>
    <s v="HOME CITY S.A."/>
    <s v="FA 00002-00000714"/>
    <d v="2025-09-11T00:00:00"/>
    <n v="74446"/>
    <n v="15633.66"/>
    <m/>
    <n v="90079.66"/>
    <n v="74446"/>
    <s v="CREDICOOP"/>
    <d v="2025-09-19T00:00:00"/>
    <d v="2025-09-19T00:00:00"/>
    <m/>
    <m/>
    <x v="6"/>
  </r>
  <r>
    <x v="14"/>
    <x v="8"/>
    <s v="sin comprobante"/>
    <s v="S/C"/>
    <m/>
    <m/>
    <s v="$ -"/>
    <m/>
    <s v="$ -"/>
    <s v="$ -"/>
    <s v="PROVINCIA"/>
    <d v="2025-09-02T00:00:00"/>
    <d v="2025-09-02T00:00:00"/>
    <s v="saldo a favor"/>
    <m/>
    <x v="6"/>
  </r>
  <r>
    <x v="14"/>
    <x v="10"/>
    <s v="SANES JUAN MANUEL"/>
    <s v="FC 00001-00000090"/>
    <d v="2025-09-03T00:00:00"/>
    <m/>
    <s v="$ -"/>
    <m/>
    <n v="40000"/>
    <n v="40000"/>
    <s v="CREDICOOP"/>
    <d v="2025-09-19T00:00:00"/>
    <d v="2025-09-19T00:00:00"/>
    <m/>
    <m/>
    <x v="6"/>
  </r>
  <r>
    <x v="14"/>
    <x v="6"/>
    <s v="EDESUR"/>
    <s v="FA 0501-02943102"/>
    <d v="2025-09-18T00:00:00"/>
    <n v="181323.79"/>
    <n v="48957.42"/>
    <n v="17013.61"/>
    <n v="247294.82"/>
    <n v="181323.79"/>
    <s v="PROVINCIA"/>
    <d v="2025-09-26T00:00:00"/>
    <d v="2025-09-26T00:00:00"/>
    <m/>
    <m/>
    <x v="6"/>
  </r>
  <r>
    <x v="14"/>
    <x v="9"/>
    <s v="MANOLIO MARIANO SERGIO"/>
    <s v="FA 00003-00001016"/>
    <d v="2025-09-05T00:00:00"/>
    <n v="95098"/>
    <n v="19970.580000000002"/>
    <m/>
    <n v="115068.58"/>
    <n v="95098"/>
    <s v="CREDICOOP"/>
    <d v="2025-09-19T00:00:00"/>
    <d v="2025-09-19T00:00:00"/>
    <m/>
    <m/>
    <x v="6"/>
  </r>
  <r>
    <x v="14"/>
    <x v="3"/>
    <s v="TELECOM ARGENTINA SOCIEDAD ANONIMA"/>
    <s v="FA 4264-05826627"/>
    <d v="2025-08-19T00:00:00"/>
    <n v="33100"/>
    <n v="6951"/>
    <n v="2648"/>
    <n v="42699"/>
    <n v="33100"/>
    <s v="PROVINCIA"/>
    <d v="2025-09-03T00:00:00"/>
    <d v="2025-09-03T00:00:00"/>
    <m/>
    <m/>
    <x v="6"/>
  </r>
  <r>
    <x v="22"/>
    <x v="9"/>
    <s v="MANOLIO MARIANO SERGIO"/>
    <s v="FA 00003-00001016"/>
    <d v="2025-09-05T00:00:00"/>
    <n v="99165"/>
    <n v="20824.650000000001"/>
    <m/>
    <n v="119989.65"/>
    <n v="99165"/>
    <s v="CREDICOOP"/>
    <d v="2025-09-19T00:00:00"/>
    <d v="2025-09-19T00:00:00"/>
    <m/>
    <m/>
    <x v="6"/>
  </r>
  <r>
    <x v="20"/>
    <x v="10"/>
    <s v="SANES JUAN MANUEL"/>
    <s v="FC 00001-00000090"/>
    <d v="2025-09-03T00:00:00"/>
    <m/>
    <s v="$ -"/>
    <m/>
    <n v="40000"/>
    <n v="40000"/>
    <s v="CREDICOOP"/>
    <d v="2025-09-19T00:00:00"/>
    <d v="2025-09-19T00:00:00"/>
    <m/>
    <m/>
    <x v="6"/>
  </r>
  <r>
    <x v="37"/>
    <x v="13"/>
    <m/>
    <m/>
    <m/>
    <m/>
    <s v="$ -"/>
    <m/>
    <m/>
    <n v="0"/>
    <m/>
    <m/>
    <m/>
    <m/>
    <m/>
    <x v="6"/>
  </r>
  <r>
    <x v="38"/>
    <x v="13"/>
    <m/>
    <m/>
    <m/>
    <m/>
    <s v="$ -"/>
    <m/>
    <m/>
    <n v="0"/>
    <m/>
    <d v="2025-10-01T00:00:00"/>
    <d v="2025-10-01T00:00:00"/>
    <m/>
    <m/>
    <x v="1"/>
  </r>
  <r>
    <x v="6"/>
    <x v="19"/>
    <s v="AMX ARGENTINA SOCIEDAD ANONIMA"/>
    <s v="A nombre de Carlotex"/>
    <m/>
    <m/>
    <s v="$ -"/>
    <m/>
    <n v="24004.5"/>
    <n v="24004.5"/>
    <s v="CREDICOOP"/>
    <d v="2025-10-01T00:00:00"/>
    <m/>
    <m/>
    <m/>
    <x v="1"/>
  </r>
  <r>
    <x v="37"/>
    <x v="20"/>
    <m/>
    <m/>
    <m/>
    <m/>
    <m/>
    <m/>
    <m/>
    <n v="0"/>
    <s v="PROVINCIA"/>
    <m/>
    <m/>
    <m/>
    <m/>
    <x v="1"/>
  </r>
  <r>
    <x v="6"/>
    <x v="1"/>
    <s v="CRICNOGAP SOCIEDAD ANONIMA"/>
    <s v="FA 00002-00001323"/>
    <m/>
    <m/>
    <s v="$ -"/>
    <m/>
    <m/>
    <n v="0"/>
    <s v="CREDICOOP"/>
    <m/>
    <m/>
    <m/>
    <m/>
    <x v="1"/>
  </r>
  <r>
    <x v="6"/>
    <x v="4"/>
    <s v="CRICNOGAP SOCIEDAD ANONIMA"/>
    <s v="S/C"/>
    <m/>
    <m/>
    <s v="$ -"/>
    <m/>
    <m/>
    <n v="0"/>
    <s v="CREDICOOP"/>
    <m/>
    <m/>
    <m/>
    <m/>
    <x v="1"/>
  </r>
  <r>
    <x v="6"/>
    <x v="8"/>
    <s v="CRICNOGAP SOCIEDAD ANONIMA"/>
    <s v="S/C"/>
    <m/>
    <m/>
    <s v="$ -"/>
    <m/>
    <m/>
    <n v="0"/>
    <s v="CREDICOOP"/>
    <m/>
    <m/>
    <m/>
    <m/>
    <x v="1"/>
  </r>
  <r>
    <x v="6"/>
    <x v="19"/>
    <s v="AMX ARGENTINA SOCIEDAD ANONIMA"/>
    <s v="A nombre de Carlotex"/>
    <m/>
    <m/>
    <s v="$ -"/>
    <m/>
    <m/>
    <n v="0"/>
    <s v="CREDICOOP"/>
    <m/>
    <m/>
    <m/>
    <m/>
    <x v="1"/>
  </r>
  <r>
    <x v="6"/>
    <x v="16"/>
    <s v="sin comprobante"/>
    <s v="S/C"/>
    <m/>
    <m/>
    <s v="$ -"/>
    <m/>
    <m/>
    <n v="0"/>
    <s v="CREDICOOP"/>
    <m/>
    <m/>
    <m/>
    <m/>
    <x v="1"/>
  </r>
  <r>
    <x v="17"/>
    <x v="6"/>
    <s v="EDESUR"/>
    <s v="FA 0501-0967727"/>
    <d v="2025-09-25T00:00:00"/>
    <n v="35503.199999999997"/>
    <n v="9585.86"/>
    <n v="-3154.37"/>
    <n v="41934.69"/>
    <n v="35503.199999999997"/>
    <s v="PROVINCIA"/>
    <d v="2025-10-03T00:00:00"/>
    <m/>
    <m/>
    <m/>
    <x v="1"/>
  </r>
  <r>
    <x v="17"/>
    <x v="3"/>
    <s v="TELEFONICA MOVILES ARGENTINA SOCIEDAD ANONIMA"/>
    <s v="FA 3103-00027437"/>
    <m/>
    <m/>
    <m/>
    <m/>
    <m/>
    <n v="0"/>
    <s v="PROVINCIA"/>
    <m/>
    <m/>
    <m/>
    <m/>
    <x v="1"/>
  </r>
  <r>
    <x v="21"/>
    <x v="14"/>
    <s v="SEGURIDAD DENAPOLI SRL"/>
    <s v="FA 00004-00010158"/>
    <m/>
    <m/>
    <s v="$ -"/>
    <m/>
    <m/>
    <n v="0"/>
    <s v="CREDICOOP"/>
    <m/>
    <m/>
    <m/>
    <m/>
    <x v="1"/>
  </r>
  <r>
    <x v="9"/>
    <x v="10"/>
    <s v="SANES JUAN MANUEL"/>
    <s v="FC 00001-00000090"/>
    <m/>
    <m/>
    <s v="$ -"/>
    <m/>
    <m/>
    <n v="0"/>
    <s v="CREDICOOP"/>
    <m/>
    <m/>
    <m/>
    <m/>
    <x v="1"/>
  </r>
  <r>
    <x v="21"/>
    <x v="10"/>
    <s v="SANES JUAN MANUEL"/>
    <s v="FC 00001-00000090"/>
    <m/>
    <m/>
    <s v="$ -"/>
    <m/>
    <m/>
    <n v="0"/>
    <s v="CREDICOOP"/>
    <m/>
    <m/>
    <m/>
    <m/>
    <x v="1"/>
  </r>
  <r>
    <x v="9"/>
    <x v="20"/>
    <s v="MANOLIO MARIANO SERGIO"/>
    <s v="FA 00003-00001016"/>
    <m/>
    <m/>
    <s v="$ -"/>
    <m/>
    <m/>
    <n v="0"/>
    <s v="CREDICOOP"/>
    <m/>
    <m/>
    <m/>
    <m/>
    <x v="1"/>
  </r>
  <r>
    <x v="8"/>
    <x v="6"/>
    <s v="EDESUR"/>
    <s v="FA 0501-0286565617"/>
    <m/>
    <m/>
    <s v="$ -"/>
    <m/>
    <m/>
    <n v="0"/>
    <s v="PROVINCIA"/>
    <m/>
    <m/>
    <m/>
    <m/>
    <x v="1"/>
  </r>
  <r>
    <x v="8"/>
    <x v="6"/>
    <s v="EDESUR"/>
    <s v="FA 0501-0286439217"/>
    <m/>
    <m/>
    <s v="$ -"/>
    <m/>
    <m/>
    <n v="0"/>
    <s v="PROVINCIA"/>
    <m/>
    <m/>
    <m/>
    <m/>
    <x v="1"/>
  </r>
  <r>
    <x v="8"/>
    <x v="6"/>
    <s v="EDESUR"/>
    <s v="FA 9904-0249573917"/>
    <m/>
    <m/>
    <s v="$ -"/>
    <m/>
    <m/>
    <n v="0"/>
    <s v="PROVINCIA"/>
    <m/>
    <m/>
    <m/>
    <m/>
    <x v="1"/>
  </r>
  <r>
    <x v="8"/>
    <x v="3"/>
    <s v="TELECOM ARGENTINA SOCIEDAD ANONIMA"/>
    <s v="FA 4264-05971278"/>
    <d v="2025-09-18T00:00:00"/>
    <n v="43263"/>
    <n v="9085.23"/>
    <n v="3461.04"/>
    <n v="55809.27"/>
    <n v="43263"/>
    <s v="DEB. AUT. CRED."/>
    <d v="2025-10-02T00:00:00"/>
    <m/>
    <m/>
    <m/>
    <x v="1"/>
  </r>
  <r>
    <x v="9"/>
    <x v="6"/>
    <s v="EDESUR"/>
    <s v="FA 0501-02967729"/>
    <d v="2025-09-25T00:00:00"/>
    <n v="80802.37"/>
    <n v="21816.639999999999"/>
    <n v="7269.3"/>
    <n v="109888.31"/>
    <n v="80802.37"/>
    <s v="PROVINCIA"/>
    <d v="2025-10-03T00:00:00"/>
    <m/>
    <m/>
    <m/>
    <x v="1"/>
  </r>
  <r>
    <x v="9"/>
    <x v="6"/>
    <s v="EDESUR"/>
    <s v="FA 0501-02967728"/>
    <d v="2025-09-25T00:00:00"/>
    <n v="13233.64"/>
    <n v="3573.08"/>
    <n v="929.32"/>
    <n v="17736.04"/>
    <n v="13233.64"/>
    <s v="PROVINCIA"/>
    <d v="2025-10-03T00:00:00"/>
    <m/>
    <m/>
    <m/>
    <x v="1"/>
  </r>
  <r>
    <x v="9"/>
    <x v="3"/>
    <s v="TELECOM ARGENTINA SOCIEDAD ANONIMA"/>
    <s v="FA 4264-05926248"/>
    <d v="2025-09-18T00:00:00"/>
    <n v="107250"/>
    <n v="22522.5"/>
    <n v="8580"/>
    <n v="138352.5"/>
    <n v="107250"/>
    <s v="PROVINCIA"/>
    <d v="2025-10-02T00:00:00"/>
    <m/>
    <m/>
    <m/>
    <x v="1"/>
  </r>
  <r>
    <x v="13"/>
    <x v="3"/>
    <s v="TELECOM ARGENTINA SOCIEDAD ANONIMA"/>
    <s v="FA 4264-05761516"/>
    <m/>
    <m/>
    <s v="$ -"/>
    <m/>
    <m/>
    <n v="0"/>
    <s v="MP"/>
    <m/>
    <m/>
    <m/>
    <m/>
    <x v="1"/>
  </r>
  <r>
    <x v="24"/>
    <x v="6"/>
    <s v="GALERIA GRAL GUEMES S A I"/>
    <m/>
    <m/>
    <m/>
    <s v="$ -"/>
    <m/>
    <m/>
    <n v="0"/>
    <s v="CREDICOOP C de I"/>
    <m/>
    <m/>
    <m/>
    <m/>
    <x v="1"/>
  </r>
  <r>
    <x v="16"/>
    <x v="6"/>
    <s v="EDESUR"/>
    <s v="FA 0501-02955940"/>
    <d v="2025-09-23T00:00:00"/>
    <n v="82236.92"/>
    <n v="22203.97"/>
    <n v="7403.9"/>
    <n v="111844.79"/>
    <n v="82236.92"/>
    <s v="PROVINCIA"/>
    <d v="2025-10-01T00:00:00"/>
    <m/>
    <m/>
    <m/>
    <x v="1"/>
  </r>
  <r>
    <x v="16"/>
    <x v="3"/>
    <s v="TELECOM ARGENTINA SOCIEDAD ANONIMA"/>
    <s v="FA 4264-06023609"/>
    <d v="2025-09-18T00:00:00"/>
    <n v="17015.21"/>
    <n v="3573.19"/>
    <n v="1361.22"/>
    <n v="21949.62"/>
    <n v="17015.21"/>
    <s v="DEB. AUT. CRED."/>
    <d v="2025-10-03T00:00:00"/>
    <m/>
    <m/>
    <m/>
    <x v="1"/>
  </r>
  <r>
    <x v="18"/>
    <x v="6"/>
    <s v="EDESUR"/>
    <s v="FA 0501-02966199"/>
    <d v="2025-09-25T00:00:00"/>
    <n v="54955.59"/>
    <n v="14838.01"/>
    <n v="97.53"/>
    <n v="69891.13"/>
    <n v="54955.59"/>
    <s v="PROVINCIA"/>
    <d v="2025-10-03T00:00:00"/>
    <m/>
    <m/>
    <m/>
    <x v="1"/>
  </r>
  <r>
    <x v="21"/>
    <x v="15"/>
    <s v="RETAMAR VICTOR ARMANDO"/>
    <s v="FC 00004-00000032"/>
    <d v="2025-09-26T00:00:00"/>
    <n v="214000"/>
    <s v="$ -"/>
    <m/>
    <n v="214000"/>
    <n v="214000"/>
    <s v="CREDICOOP"/>
    <d v="2025-10-03T00:00:00"/>
    <m/>
    <m/>
    <m/>
    <x v="1"/>
  </r>
  <r>
    <x v="30"/>
    <x v="7"/>
    <s v="MAGECA S A"/>
    <s v="ND 00002-00000064"/>
    <m/>
    <m/>
    <s v="$ -"/>
    <m/>
    <m/>
    <n v="0"/>
    <s v="CREDICOOP"/>
    <m/>
    <m/>
    <m/>
    <m/>
    <x v="1"/>
  </r>
  <r>
    <x v="30"/>
    <x v="1"/>
    <s v="MAGECA S A"/>
    <s v="FA 00002-00000223"/>
    <m/>
    <m/>
    <s v="$ -"/>
    <m/>
    <m/>
    <n v="0"/>
    <s v="CREDICOOP"/>
    <m/>
    <m/>
    <m/>
    <m/>
    <x v="1"/>
  </r>
  <r>
    <x v="30"/>
    <x v="8"/>
    <s v="MAGECA S A"/>
    <s v="ND 00002-00000064"/>
    <m/>
    <m/>
    <s v="$ -"/>
    <m/>
    <m/>
    <n v="0"/>
    <s v="CREDICOOP"/>
    <m/>
    <m/>
    <m/>
    <m/>
    <x v="1"/>
  </r>
  <r>
    <x v="30"/>
    <x v="6"/>
    <s v="MAGECA S A"/>
    <s v="ND 00002-00000064"/>
    <m/>
    <m/>
    <s v="$ -"/>
    <m/>
    <m/>
    <n v="0"/>
    <s v="CREDICOOP"/>
    <m/>
    <m/>
    <m/>
    <m/>
    <x v="1"/>
  </r>
  <r>
    <x v="30"/>
    <x v="2"/>
    <s v="MAGECA S A"/>
    <s v="ND 00002-00000064"/>
    <m/>
    <m/>
    <s v="$ -"/>
    <m/>
    <m/>
    <n v="0"/>
    <s v="CREDICOOP"/>
    <m/>
    <m/>
    <m/>
    <m/>
    <x v="1"/>
  </r>
  <r>
    <x v="30"/>
    <x v="9"/>
    <s v="MANOLIO MARIANO SERGIO"/>
    <s v="FA 00003-00001016"/>
    <m/>
    <m/>
    <s v="$ -"/>
    <m/>
    <m/>
    <n v="0"/>
    <s v="CREDICOOP"/>
    <m/>
    <m/>
    <m/>
    <m/>
    <x v="1"/>
  </r>
  <r>
    <x v="30"/>
    <x v="3"/>
    <s v="TELECOM ARGENTINA SOCIEDAD ANONIMA"/>
    <s v="FA 4264-05937556"/>
    <d v="2025-09-18T00:00:00"/>
    <n v="28390"/>
    <n v="5961.9"/>
    <n v="2271.1999999999998"/>
    <n v="36623.1"/>
    <n v="28390"/>
    <s v="DEB. AUT. CRED."/>
    <d v="2025-10-02T00:00:00"/>
    <m/>
    <m/>
    <m/>
    <x v="1"/>
  </r>
  <r>
    <x v="20"/>
    <x v="1"/>
    <s v="Condominio Marinelli"/>
    <s v="FA 00002-00000150"/>
    <m/>
    <m/>
    <s v="$ -"/>
    <m/>
    <m/>
    <n v="0"/>
    <s v="CREDICOOP"/>
    <m/>
    <m/>
    <s v="Se paga 64% a MARINELLI MA ESTER y 36% a MARINELLI INES"/>
    <m/>
    <x v="1"/>
  </r>
  <r>
    <x v="20"/>
    <x v="6"/>
    <s v="EDESUR"/>
    <s v="FA 0501-02944330"/>
    <d v="2025-09-19T00:00:00"/>
    <n v="157577.04"/>
    <n v="42545.8"/>
    <n v="14785.45"/>
    <n v="214908.29"/>
    <n v="157577.04"/>
    <s v="PROVINCIA"/>
    <d v="2025-10-06T00:00:00"/>
    <m/>
    <m/>
    <m/>
    <x v="1"/>
  </r>
  <r>
    <x v="20"/>
    <x v="9"/>
    <s v="MANOLIO MARIANO SERGIO"/>
    <s v="FA 00003-00001016"/>
    <m/>
    <m/>
    <s v="$ -"/>
    <m/>
    <m/>
    <n v="0"/>
    <s v="CREDICOOP"/>
    <m/>
    <m/>
    <m/>
    <m/>
    <x v="1"/>
  </r>
  <r>
    <x v="20"/>
    <x v="3"/>
    <s v="TELECOM ARGENTINA SOCIEDAD ANONIMA"/>
    <s v="FA 4264-05973757"/>
    <d v="2025-09-18T00:00:00"/>
    <n v="56780"/>
    <n v="11923.8"/>
    <n v="4542.3999999999996"/>
    <n v="73246.2"/>
    <n v="56780"/>
    <s v="PROVINCIA"/>
    <d v="2025-10-02T00:00:00"/>
    <m/>
    <m/>
    <m/>
    <x v="1"/>
  </r>
  <r>
    <x v="21"/>
    <x v="7"/>
    <s v="AGIP a cta de otra RS"/>
    <s v="S/C"/>
    <m/>
    <m/>
    <s v="$ -"/>
    <m/>
    <m/>
    <n v="0"/>
    <s v="PROVINCIA"/>
    <m/>
    <m/>
    <s v="Partida 118462"/>
    <m/>
    <x v="1"/>
  </r>
  <r>
    <x v="21"/>
    <x v="10"/>
    <s v="AMX ARGENTINA SOCIEDAD ANONIMA"/>
    <s v="FA 1331-01038171"/>
    <m/>
    <m/>
    <m/>
    <m/>
    <m/>
    <n v="0"/>
    <s v="CREDICOOP"/>
    <m/>
    <m/>
    <m/>
    <m/>
    <x v="1"/>
  </r>
  <r>
    <x v="0"/>
    <x v="0"/>
    <m/>
    <m/>
    <m/>
    <m/>
    <m/>
    <m/>
    <n v="1500000"/>
    <n v="1500000"/>
    <m/>
    <d v="2025-10-05T00:00:00"/>
    <m/>
    <m/>
    <m/>
    <x v="1"/>
  </r>
  <r>
    <x v="1"/>
    <x v="0"/>
    <m/>
    <m/>
    <m/>
    <m/>
    <m/>
    <m/>
    <n v="2000000"/>
    <n v="2000000"/>
    <m/>
    <d v="2025-10-10T00:00:00"/>
    <m/>
    <m/>
    <m/>
    <x v="1"/>
  </r>
  <r>
    <x v="2"/>
    <x v="1"/>
    <m/>
    <m/>
    <m/>
    <m/>
    <m/>
    <m/>
    <s v="$ -"/>
    <s v="$ -"/>
    <m/>
    <m/>
    <m/>
    <m/>
    <m/>
    <x v="7"/>
  </r>
  <r>
    <x v="3"/>
    <x v="2"/>
    <m/>
    <m/>
    <m/>
    <m/>
    <m/>
    <m/>
    <n v="6000000"/>
    <n v="6000000"/>
    <m/>
    <d v="2025-10-10T00:00:00"/>
    <m/>
    <m/>
    <m/>
    <x v="1"/>
  </r>
  <r>
    <x v="39"/>
    <x v="1"/>
    <m/>
    <m/>
    <m/>
    <m/>
    <m/>
    <m/>
    <n v="10000000"/>
    <n v="10000000"/>
    <m/>
    <d v="2025-10-10T00:00:00"/>
    <m/>
    <m/>
    <m/>
    <x v="1"/>
  </r>
  <r>
    <x v="40"/>
    <x v="1"/>
    <m/>
    <m/>
    <m/>
    <m/>
    <m/>
    <m/>
    <n v="8470000"/>
    <n v="8470000"/>
    <m/>
    <d v="2025-10-08T00:00:00"/>
    <m/>
    <m/>
    <m/>
    <x v="1"/>
  </r>
  <r>
    <x v="41"/>
    <x v="13"/>
    <m/>
    <m/>
    <m/>
    <m/>
    <m/>
    <m/>
    <m/>
    <n v="0"/>
    <m/>
    <m/>
    <m/>
    <m/>
    <m/>
    <x v="7"/>
  </r>
  <r>
    <x v="34"/>
    <x v="13"/>
    <m/>
    <m/>
    <m/>
    <m/>
    <s v="$ -"/>
    <m/>
    <m/>
    <n v="0"/>
    <m/>
    <d v="2025-08-01T00:00:00"/>
    <d v="2025-08-01T00:00:00"/>
    <m/>
    <m/>
    <x v="2"/>
  </r>
  <r>
    <x v="29"/>
    <x v="13"/>
    <s v="(libre)"/>
    <m/>
    <m/>
    <m/>
    <s v="$ -"/>
    <m/>
    <m/>
    <n v="0"/>
    <m/>
    <m/>
    <m/>
    <m/>
    <m/>
    <x v="2"/>
  </r>
  <r>
    <x v="17"/>
    <x v="0"/>
    <s v="SANABRIA GUSTAVO"/>
    <s v="FA 0005-00002375"/>
    <d v="2025-08-04T00:00:00"/>
    <n v="90000"/>
    <n v="18900"/>
    <m/>
    <n v="108900"/>
    <n v="90000"/>
    <s v="ECHEQ"/>
    <d v="2025-08-21T00:00:00"/>
    <d v="2025-08-21T00:00:00"/>
    <s v="CH 30/60 DS"/>
    <m/>
    <x v="2"/>
  </r>
  <r>
    <x v="17"/>
    <x v="15"/>
    <s v="CHECK CLIMATIZACION"/>
    <s v="00001-00000191"/>
    <d v="2025-08-14T00:00:00"/>
    <n v="1638723.03"/>
    <n v="344131.84000000003"/>
    <m/>
    <n v="1982854.87"/>
    <n v="1638723.03"/>
    <s v="BBVA"/>
    <d v="2025-08-19T00:00:00"/>
    <d v="2025-08-19T00:00:00"/>
    <s v="PAGO 1 DE 2 PPTO 4910"/>
    <m/>
    <x v="2"/>
  </r>
  <r>
    <x v="17"/>
    <x v="15"/>
    <m/>
    <m/>
    <m/>
    <m/>
    <s v="$ -"/>
    <m/>
    <m/>
    <n v="0"/>
    <m/>
    <m/>
    <m/>
    <m/>
    <m/>
    <x v="2"/>
  </r>
  <r>
    <x v="17"/>
    <x v="10"/>
    <s v="SANES JUAN MANUEL"/>
    <s v="FC"/>
    <m/>
    <m/>
    <s v="$ -"/>
    <m/>
    <m/>
    <n v="0"/>
    <m/>
    <m/>
    <m/>
    <m/>
    <m/>
    <x v="2"/>
  </r>
  <r>
    <x v="17"/>
    <x v="1"/>
    <s v="MESATEL SA"/>
    <s v="FA 00003-00008096"/>
    <d v="2025-08-01T00:00:00"/>
    <n v="1569764.97"/>
    <n v="329650.64"/>
    <m/>
    <n v="1899415.61"/>
    <n v="1569764.97"/>
    <s v="BBVA"/>
    <d v="2025-08-12T00:00:00"/>
    <d v="2025-08-12T00:00:00"/>
    <m/>
    <m/>
    <x v="2"/>
  </r>
  <r>
    <x v="17"/>
    <x v="9"/>
    <s v="MANOLIO MARIANO SERGIO"/>
    <m/>
    <m/>
    <m/>
    <m/>
    <m/>
    <m/>
    <n v="0"/>
    <m/>
    <m/>
    <m/>
    <m/>
    <m/>
    <x v="2"/>
  </r>
  <r>
    <x v="42"/>
    <x v="7"/>
    <s v="MAGECA S A"/>
    <s v="ND 00002-00000063"/>
    <d v="2025-08-08T00:00:00"/>
    <m/>
    <s v="$ -"/>
    <n v="532322"/>
    <n v="532322"/>
    <n v="532322"/>
    <s v="BBVA"/>
    <d v="2025-08-19T00:00:00"/>
    <d v="2025-08-19T00:00:00"/>
    <m/>
    <m/>
    <x v="2"/>
  </r>
  <r>
    <x v="8"/>
    <x v="10"/>
    <s v="SANES JUAN MANUEL"/>
    <s v="FC 00001-00000089"/>
    <d v="2025-09-03T00:00:00"/>
    <m/>
    <s v="$ -"/>
    <m/>
    <n v="40000"/>
    <n v="40000"/>
    <s v="MP"/>
    <d v="2025-09-19T00:00:00"/>
    <d v="2025-09-19T00:00:00"/>
    <m/>
    <m/>
    <x v="2"/>
  </r>
  <r>
    <x v="42"/>
    <x v="1"/>
    <s v="MAGECA S A"/>
    <s v="FA 00002-00000220"/>
    <d v="2025-08-11T00:00:00"/>
    <n v="6550000"/>
    <n v="1375500"/>
    <m/>
    <n v="7925500"/>
    <n v="6550000"/>
    <s v="BBVA"/>
    <d v="2025-08-11T00:00:00"/>
    <d v="2025-08-11T00:00:00"/>
    <m/>
    <m/>
    <x v="2"/>
  </r>
  <r>
    <x v="42"/>
    <x v="8"/>
    <s v="MAGECA S A"/>
    <s v="ND 00002-00000063"/>
    <d v="2025-08-08T00:00:00"/>
    <n v="405183.12"/>
    <n v="109399.44"/>
    <n v="25486.01"/>
    <n v="540068.56999999995"/>
    <n v="405183.12"/>
    <s v="BBVA"/>
    <d v="2025-08-19T00:00:00"/>
    <d v="2025-08-19T00:00:00"/>
    <m/>
    <m/>
    <x v="2"/>
  </r>
  <r>
    <x v="42"/>
    <x v="14"/>
    <s v="SEGURIDAD DENAPOLI SRL"/>
    <s v="FA 00004-00010043"/>
    <d v="2025-08-12T00:00:00"/>
    <n v="41895"/>
    <n v="8797.9500000000007"/>
    <m/>
    <n v="50692.95"/>
    <n v="41895"/>
    <s v="BBVA"/>
    <d v="2025-08-22T00:00:00"/>
    <d v="2025-08-22T00:00:00"/>
    <m/>
    <m/>
    <x v="2"/>
  </r>
  <r>
    <x v="42"/>
    <x v="2"/>
    <s v="MAGECA S A"/>
    <s v="ND 00002-00000063"/>
    <d v="2025-08-08T00:00:00"/>
    <m/>
    <s v="$ -"/>
    <n v="407740.5"/>
    <n v="407740.5"/>
    <n v="407740.5"/>
    <s v="BBVA"/>
    <d v="2025-08-19T00:00:00"/>
    <d v="2025-08-19T00:00:00"/>
    <m/>
    <m/>
    <x v="2"/>
  </r>
  <r>
    <x v="42"/>
    <x v="9"/>
    <s v="MANOLIO MARIANO SERGIO"/>
    <s v="FA 00003-00001007"/>
    <d v="2025-08-08T00:00:00"/>
    <n v="37650"/>
    <n v="7906.5"/>
    <m/>
    <n v="45556.5"/>
    <n v="37650"/>
    <s v="BBVA"/>
    <d v="2025-08-22T00:00:00"/>
    <d v="2025-08-22T00:00:00"/>
    <m/>
    <m/>
    <x v="2"/>
  </r>
  <r>
    <x v="42"/>
    <x v="3"/>
    <s v="TELECOM ARGENTINA SOCIEDAD ANONIMA"/>
    <m/>
    <m/>
    <m/>
    <m/>
    <m/>
    <m/>
    <n v="0"/>
    <m/>
    <m/>
    <m/>
    <m/>
    <m/>
    <x v="2"/>
  </r>
  <r>
    <x v="9"/>
    <x v="10"/>
    <s v="SANES JUAN MANUEL"/>
    <s v="FC"/>
    <m/>
    <m/>
    <s v="$ -"/>
    <m/>
    <m/>
    <n v="0"/>
    <m/>
    <m/>
    <m/>
    <m/>
    <m/>
    <x v="2"/>
  </r>
  <r>
    <x v="9"/>
    <x v="1"/>
    <s v="Fideicomiso Laguna Oscura"/>
    <s v="RA"/>
    <m/>
    <m/>
    <s v="$ -"/>
    <m/>
    <m/>
    <n v="0"/>
    <m/>
    <m/>
    <m/>
    <m/>
    <m/>
    <x v="2"/>
  </r>
  <r>
    <x v="9"/>
    <x v="6"/>
    <s v="EDESUR"/>
    <m/>
    <m/>
    <m/>
    <m/>
    <m/>
    <m/>
    <n v="0"/>
    <s v="PROVINCIA"/>
    <m/>
    <m/>
    <m/>
    <m/>
    <x v="2"/>
  </r>
  <r>
    <x v="9"/>
    <x v="6"/>
    <s v="EDESUR"/>
    <m/>
    <m/>
    <m/>
    <m/>
    <m/>
    <m/>
    <n v="0"/>
    <s v="PROVINCIA"/>
    <m/>
    <m/>
    <m/>
    <m/>
    <x v="2"/>
  </r>
  <r>
    <x v="9"/>
    <x v="2"/>
    <s v="Solar de french"/>
    <s v="S/C"/>
    <m/>
    <m/>
    <s v="$ -"/>
    <m/>
    <m/>
    <n v="0"/>
    <m/>
    <m/>
    <m/>
    <m/>
    <m/>
    <x v="2"/>
  </r>
  <r>
    <x v="9"/>
    <x v="9"/>
    <s v="MANOLIO MARIANO SERGIO"/>
    <m/>
    <m/>
    <m/>
    <m/>
    <m/>
    <m/>
    <n v="0"/>
    <m/>
    <m/>
    <m/>
    <m/>
    <m/>
    <x v="2"/>
  </r>
  <r>
    <x v="9"/>
    <x v="3"/>
    <s v="TELECOM ARGENTINA SOCIEDAD ANONIMA"/>
    <s v="FA 4264-05647876"/>
    <d v="2025-07-17T00:00:00"/>
    <n v="102700"/>
    <n v="21567"/>
    <n v="8216"/>
    <n v="132483"/>
    <n v="102700"/>
    <s v="PROVINCIA"/>
    <d v="2025-08-05T00:00:00"/>
    <d v="2025-08-04T00:00:00"/>
    <m/>
    <m/>
    <x v="2"/>
  </r>
  <r>
    <x v="24"/>
    <x v="1"/>
    <s v="GALERIA GRAL GUEMES S A I"/>
    <m/>
    <m/>
    <m/>
    <s v="$ -"/>
    <m/>
    <m/>
    <n v="0"/>
    <m/>
    <m/>
    <m/>
    <m/>
    <m/>
    <x v="2"/>
  </r>
  <r>
    <x v="24"/>
    <x v="1"/>
    <s v="GALERIA GRAL GUEMES S A I"/>
    <s v="FA A00003-00019233"/>
    <d v="2025-08-01T00:00:00"/>
    <n v="250000"/>
    <n v="52500"/>
    <m/>
    <n v="302500"/>
    <n v="250000"/>
    <s v="BBVA"/>
    <d v="2025-08-11T00:00:00"/>
    <d v="2025-08-11T00:00:00"/>
    <m/>
    <m/>
    <x v="2"/>
  </r>
  <r>
    <x v="24"/>
    <x v="6"/>
    <s v="GALERIA GRAL GUEMES S A I"/>
    <s v="FA"/>
    <m/>
    <m/>
    <s v="$ -"/>
    <m/>
    <m/>
    <n v="0"/>
    <m/>
    <m/>
    <m/>
    <m/>
    <m/>
    <x v="2"/>
  </r>
  <r>
    <x v="24"/>
    <x v="2"/>
    <s v="GALERIA GRAL GUEMES S A I"/>
    <s v="FA A00003-00019233"/>
    <d v="2025-08-01T00:00:00"/>
    <m/>
    <s v="$ -"/>
    <n v="18181.990000000002"/>
    <n v="18181.990000000002"/>
    <n v="18181.990000000002"/>
    <s v="BBVA"/>
    <d v="2025-08-11T00:00:00"/>
    <d v="2025-08-11T00:00:00"/>
    <m/>
    <m/>
    <x v="2"/>
  </r>
  <r>
    <x v="24"/>
    <x v="2"/>
    <s v="GALERIA GRAL GUEMES S A I"/>
    <m/>
    <m/>
    <m/>
    <s v="$ -"/>
    <m/>
    <m/>
    <n v="0"/>
    <m/>
    <m/>
    <m/>
    <m/>
    <m/>
    <x v="2"/>
  </r>
  <r>
    <x v="12"/>
    <x v="1"/>
    <s v="GALERIA GRAL GUEMES S A I"/>
    <s v="FA A00003-00019217"/>
    <d v="2025-08-01T00:00:00"/>
    <n v="428053.64"/>
    <n v="89891.26"/>
    <m/>
    <n v="517944.9"/>
    <n v="428053.64"/>
    <s v="BBVA"/>
    <d v="2025-08-11T00:00:00"/>
    <d v="2025-08-11T00:00:00"/>
    <m/>
    <m/>
    <x v="2"/>
  </r>
  <r>
    <x v="12"/>
    <x v="6"/>
    <s v="GALERIA GRAL GUEMES S A I"/>
    <s v="FA A00003-00019217"/>
    <m/>
    <n v="7508.22"/>
    <n v="1576.73"/>
    <m/>
    <n v="9084.9500000000007"/>
    <n v="7508.22"/>
    <s v="BBVA"/>
    <d v="2025-08-11T00:00:00"/>
    <d v="2025-08-11T00:00:00"/>
    <m/>
    <m/>
    <x v="2"/>
  </r>
  <r>
    <x v="12"/>
    <x v="2"/>
    <s v="GALERIA GRAL GUEMES S A I"/>
    <s v="FA A00003-00019217"/>
    <d v="2025-08-01T00:00:00"/>
    <m/>
    <s v="$ -"/>
    <n v="50182.29"/>
    <n v="50182.29"/>
    <n v="50182.29"/>
    <s v="BBVA"/>
    <d v="2025-08-11T00:00:00"/>
    <d v="2025-08-11T00:00:00"/>
    <m/>
    <m/>
    <x v="2"/>
  </r>
  <r>
    <x v="31"/>
    <x v="1"/>
    <s v="GALERIA GRAL GUEMES S A I"/>
    <s v="FA A00003-00019223"/>
    <d v="2025-08-01T00:00:00"/>
    <n v="554000"/>
    <n v="116340"/>
    <m/>
    <n v="670340"/>
    <n v="554000"/>
    <s v="BBVA"/>
    <d v="2025-08-11T00:00:00"/>
    <d v="2025-08-11T00:00:00"/>
    <m/>
    <m/>
    <x v="2"/>
  </r>
  <r>
    <x v="31"/>
    <x v="2"/>
    <s v="GALERIA GRAL GUEMES S A I"/>
    <s v="FA A00003-00019223"/>
    <d v="2025-08-01T00:00:00"/>
    <m/>
    <s v="$ -"/>
    <n v="314184.75"/>
    <n v="314184.75"/>
    <n v="314184.75"/>
    <m/>
    <d v="2025-08-11T00:00:00"/>
    <d v="2025-08-11T00:00:00"/>
    <m/>
    <m/>
    <x v="2"/>
  </r>
  <r>
    <x v="13"/>
    <x v="0"/>
    <s v="SANABRIA GUSTAVO"/>
    <s v="FA 0005-00002371"/>
    <d v="2025-07-31T00:00:00"/>
    <n v="190000"/>
    <n v="39900"/>
    <m/>
    <n v="229900"/>
    <n v="190000"/>
    <s v="BBVA"/>
    <d v="2025-08-19T00:00:00"/>
    <d v="2025-08-19T00:00:00"/>
    <m/>
    <m/>
    <x v="2"/>
  </r>
  <r>
    <x v="13"/>
    <x v="1"/>
    <s v="GALERIA GRAL GUEMES S A I"/>
    <s v="FA A00003-00019216"/>
    <d v="2025-08-01T00:00:00"/>
    <n v="599275.1"/>
    <n v="125847.77"/>
    <m/>
    <n v="725122.87"/>
    <n v="599275.1"/>
    <s v="BBVA"/>
    <d v="2025-08-11T00:00:00"/>
    <d v="2025-08-11T00:00:00"/>
    <m/>
    <m/>
    <x v="2"/>
  </r>
  <r>
    <x v="13"/>
    <x v="2"/>
    <s v="GALERIA GRAL GUEMES S A I"/>
    <s v="FA A00003-00019216"/>
    <d v="2025-08-01T00:00:00"/>
    <m/>
    <s v="$ -"/>
    <n v="328003.06"/>
    <n v="328003.06"/>
    <n v="328003.06"/>
    <m/>
    <d v="2025-08-11T00:00:00"/>
    <d v="2025-08-11T00:00:00"/>
    <m/>
    <m/>
    <x v="2"/>
  </r>
  <r>
    <x v="13"/>
    <x v="9"/>
    <s v="MANOLIO MARIANO SERGIO"/>
    <m/>
    <m/>
    <m/>
    <m/>
    <m/>
    <m/>
    <n v="0"/>
    <m/>
    <m/>
    <m/>
    <m/>
    <m/>
    <x v="2"/>
  </r>
  <r>
    <x v="13"/>
    <x v="3"/>
    <s v="TELECOM ARGENTINA SOCIEDAD ANONIMA"/>
    <m/>
    <m/>
    <m/>
    <m/>
    <m/>
    <m/>
    <n v="0"/>
    <m/>
    <m/>
    <m/>
    <m/>
    <m/>
    <x v="2"/>
  </r>
  <r>
    <x v="16"/>
    <x v="0"/>
    <s v="SANABRIA GUSTAVO"/>
    <s v="FA 0005-00002376"/>
    <d v="2025-08-04T00:00:00"/>
    <n v="190000"/>
    <n v="39900"/>
    <m/>
    <n v="229900"/>
    <n v="190000"/>
    <s v="ECHEQ"/>
    <d v="2025-08-21T00:00:00"/>
    <d v="2025-08-21T00:00:00"/>
    <s v="CH 30/60 DS"/>
    <m/>
    <x v="2"/>
  </r>
  <r>
    <x v="16"/>
    <x v="14"/>
    <s v="SEGURIDAD DENAPOLI SRL"/>
    <s v="FA 00004-00010039"/>
    <d v="2025-08-12T00:00:00"/>
    <n v="41895"/>
    <n v="8797.9500000000007"/>
    <m/>
    <n v="50692.95"/>
    <n v="41895"/>
    <s v="BBVA"/>
    <d v="2025-08-22T00:00:00"/>
    <d v="2025-08-22T00:00:00"/>
    <m/>
    <m/>
    <x v="2"/>
  </r>
  <r>
    <x v="16"/>
    <x v="10"/>
    <s v="SANES JUAN MANUEL"/>
    <s v="FC"/>
    <m/>
    <m/>
    <s v="$ -"/>
    <m/>
    <m/>
    <n v="0"/>
    <m/>
    <m/>
    <m/>
    <m/>
    <m/>
    <x v="2"/>
  </r>
  <r>
    <x v="16"/>
    <x v="1"/>
    <s v="FORTIN MAURE S.A."/>
    <s v="FA 0030-00091406"/>
    <d v="2025-08-07T00:00:00"/>
    <n v="1299988.6000000001"/>
    <n v="272997.61"/>
    <n v="38999.660000000003"/>
    <n v="1611985.87"/>
    <n v="1299988.6000000001"/>
    <s v="BBVA"/>
    <d v="2025-08-11T00:00:00"/>
    <d v="2025-08-11T00:00:00"/>
    <m/>
    <m/>
    <x v="2"/>
  </r>
  <r>
    <x v="16"/>
    <x v="6"/>
    <s v="EDESUR"/>
    <m/>
    <m/>
    <m/>
    <m/>
    <m/>
    <m/>
    <n v="0"/>
    <s v="PROVINCIA"/>
    <m/>
    <m/>
    <m/>
    <m/>
    <x v="2"/>
  </r>
  <r>
    <x v="16"/>
    <x v="2"/>
    <s v="FORTIN MAURE S.A."/>
    <s v="FA"/>
    <m/>
    <m/>
    <s v="$ -"/>
    <m/>
    <m/>
    <n v="0"/>
    <m/>
    <m/>
    <m/>
    <m/>
    <m/>
    <x v="2"/>
  </r>
  <r>
    <x v="16"/>
    <x v="9"/>
    <s v="MANOLIO MARIANO SERGIO"/>
    <m/>
    <m/>
    <m/>
    <m/>
    <m/>
    <m/>
    <n v="0"/>
    <m/>
    <m/>
    <m/>
    <m/>
    <m/>
    <x v="2"/>
  </r>
  <r>
    <x v="16"/>
    <x v="3"/>
    <s v="TELECOM ARGENTINA SOCIEDAD ANONIMA"/>
    <m/>
    <m/>
    <m/>
    <m/>
    <m/>
    <m/>
    <n v="0"/>
    <m/>
    <m/>
    <m/>
    <m/>
    <m/>
    <x v="2"/>
  </r>
  <r>
    <x v="16"/>
    <x v="14"/>
    <s v="SEGURIDAD DENAPOLI SRL"/>
    <s v="FA 00004-00010052"/>
    <d v="2025-08-14T00:00:00"/>
    <n v="62539"/>
    <n v="13133.19"/>
    <m/>
    <n v="75672.19"/>
    <n v="62539"/>
    <s v="BBVA"/>
    <d v="2025-08-22T00:00:00"/>
    <d v="2025-08-22T00:00:00"/>
    <m/>
    <m/>
    <x v="2"/>
  </r>
  <r>
    <x v="18"/>
    <x v="0"/>
    <s v="SANABRIA GUSTAVO"/>
    <s v="FA 0005-00002373"/>
    <d v="2025-07-31T00:00:00"/>
    <n v="90000"/>
    <n v="18900"/>
    <m/>
    <n v="108900"/>
    <n v="90000"/>
    <s v="BBVA"/>
    <d v="2025-08-19T00:00:00"/>
    <d v="2025-08-19T00:00:00"/>
    <m/>
    <m/>
    <x v="2"/>
  </r>
  <r>
    <x v="18"/>
    <x v="14"/>
    <s v="SEGURIDAD DENAPOLI SRL"/>
    <s v="FA 00004-00010042"/>
    <d v="2025-08-12T00:00:00"/>
    <n v="41895"/>
    <n v="8797.9500000000007"/>
    <m/>
    <n v="50692.95"/>
    <n v="41895"/>
    <s v="BBVA"/>
    <d v="2025-08-22T00:00:00"/>
    <d v="2025-08-22T00:00:00"/>
    <m/>
    <m/>
    <x v="2"/>
  </r>
  <r>
    <x v="18"/>
    <x v="10"/>
    <s v="SANES JUAN MANUEL"/>
    <s v="FC"/>
    <m/>
    <m/>
    <s v="$ -"/>
    <m/>
    <m/>
    <n v="0"/>
    <m/>
    <m/>
    <m/>
    <m/>
    <m/>
    <x v="2"/>
  </r>
  <r>
    <x v="18"/>
    <x v="1"/>
    <s v="MESATEL SA"/>
    <s v="FA 00003-00008098"/>
    <d v="2025-08-01T00:00:00"/>
    <n v="1741513.44"/>
    <n v="365717.82"/>
    <m/>
    <n v="2107231.2599999998"/>
    <n v="1741513.44"/>
    <s v="BBVA"/>
    <d v="2025-08-12T00:00:00"/>
    <d v="2025-08-12T00:00:00"/>
    <m/>
    <m/>
    <x v="2"/>
  </r>
  <r>
    <x v="18"/>
    <x v="6"/>
    <s v="EDESUR"/>
    <m/>
    <m/>
    <m/>
    <m/>
    <m/>
    <m/>
    <n v="0"/>
    <m/>
    <m/>
    <m/>
    <m/>
    <m/>
    <x v="2"/>
  </r>
  <r>
    <x v="18"/>
    <x v="2"/>
    <s v="sin comprobante"/>
    <m/>
    <m/>
    <m/>
    <m/>
    <m/>
    <m/>
    <n v="0"/>
    <m/>
    <m/>
    <m/>
    <m/>
    <m/>
    <x v="2"/>
  </r>
  <r>
    <x v="18"/>
    <x v="9"/>
    <s v="MANOLIO MARIANO SERGIO"/>
    <m/>
    <m/>
    <m/>
    <m/>
    <m/>
    <m/>
    <n v="0"/>
    <m/>
    <m/>
    <m/>
    <m/>
    <m/>
    <x v="2"/>
  </r>
  <r>
    <x v="19"/>
    <x v="0"/>
    <s v="SANABRIA GUSTAVO"/>
    <s v="FA 0005-00002372"/>
    <d v="2025-07-31T00:00:00"/>
    <n v="290000"/>
    <n v="60900"/>
    <m/>
    <n v="350900"/>
    <n v="290000"/>
    <s v="ECHEQ"/>
    <d v="2025-08-21T00:00:00"/>
    <d v="2025-08-21T00:00:00"/>
    <s v="CH 30/60 DS"/>
    <m/>
    <x v="2"/>
  </r>
  <r>
    <x v="19"/>
    <x v="1"/>
    <s v="MESATEL SA"/>
    <s v="FA 00003-00008097"/>
    <d v="2025-08-01T00:00:00"/>
    <n v="887700"/>
    <n v="186417"/>
    <m/>
    <n v="1074117"/>
    <n v="887700"/>
    <s v="BBVA"/>
    <d v="2025-08-12T00:00:00"/>
    <d v="2025-08-12T00:00:00"/>
    <m/>
    <m/>
    <x v="2"/>
  </r>
  <r>
    <x v="19"/>
    <x v="6"/>
    <s v="EDESUR"/>
    <s v="S/C"/>
    <m/>
    <m/>
    <s v="$ -"/>
    <m/>
    <n v="104085.8"/>
    <n v="104085.8"/>
    <s v="PROVINCIA"/>
    <d v="2025-08-06T00:00:00"/>
    <d v="2025-08-04T00:00:00"/>
    <m/>
    <m/>
    <x v="2"/>
  </r>
  <r>
    <x v="19"/>
    <x v="2"/>
    <s v="sin comprobante"/>
    <m/>
    <m/>
    <m/>
    <m/>
    <m/>
    <m/>
    <n v="0"/>
    <m/>
    <m/>
    <m/>
    <m/>
    <m/>
    <x v="2"/>
  </r>
  <r>
    <x v="19"/>
    <x v="9"/>
    <s v="MANOLIO MARIANO SERGIO"/>
    <m/>
    <m/>
    <m/>
    <m/>
    <m/>
    <m/>
    <n v="0"/>
    <m/>
    <m/>
    <m/>
    <m/>
    <m/>
    <x v="2"/>
  </r>
  <r>
    <x v="36"/>
    <x v="13"/>
    <m/>
    <m/>
    <m/>
    <m/>
    <m/>
    <m/>
    <m/>
    <n v="0"/>
    <m/>
    <m/>
    <m/>
    <m/>
    <m/>
    <x v="6"/>
  </r>
  <r>
    <x v="17"/>
    <x v="20"/>
    <m/>
    <m/>
    <m/>
    <m/>
    <m/>
    <m/>
    <m/>
    <n v="0"/>
    <m/>
    <m/>
    <m/>
    <m/>
    <m/>
    <x v="6"/>
  </r>
  <r>
    <x v="17"/>
    <x v="10"/>
    <s v="SANES JUAN MANUEL"/>
    <s v="FC 00001-00000091"/>
    <d v="2025-09-03T00:00:00"/>
    <m/>
    <s v="$ -"/>
    <m/>
    <n v="20000"/>
    <n v="20000"/>
    <s v="MP"/>
    <d v="2025-09-19T00:00:00"/>
    <d v="2025-09-19T00:00:00"/>
    <m/>
    <m/>
    <x v="6"/>
  </r>
  <r>
    <x v="17"/>
    <x v="1"/>
    <s v="MESATEL SA"/>
    <s v="FA 00003-00008177"/>
    <d v="2025-09-01T00:00:00"/>
    <n v="1091639.7"/>
    <n v="229244.34"/>
    <m/>
    <n v="1320884.04"/>
    <n v="1091639.7"/>
    <s v="BBVA"/>
    <d v="2025-09-10T00:00:00"/>
    <d v="2025-09-10T00:00:00"/>
    <m/>
    <m/>
    <x v="6"/>
  </r>
  <r>
    <x v="17"/>
    <x v="6"/>
    <s v="EDESUR"/>
    <s v="FA"/>
    <m/>
    <m/>
    <s v="$ -"/>
    <m/>
    <m/>
    <n v="0"/>
    <m/>
    <m/>
    <m/>
    <m/>
    <m/>
    <x v="6"/>
  </r>
  <r>
    <x v="17"/>
    <x v="2"/>
    <s v="sin comprobante"/>
    <m/>
    <m/>
    <m/>
    <m/>
    <m/>
    <n v="1062641.6000000001"/>
    <n v="1062641.6000000001"/>
    <s v="BBVA"/>
    <d v="2025-09-10T00:00:00"/>
    <d v="2025-09-10T00:00:00"/>
    <m/>
    <m/>
    <x v="6"/>
  </r>
  <r>
    <x v="17"/>
    <x v="9"/>
    <s v="MANOLIO MARIANO SERGIO"/>
    <s v="FA 00003-00001017"/>
    <d v="2025-09-05T00:00:00"/>
    <n v="32044"/>
    <n v="6729.24"/>
    <m/>
    <n v="38773.24"/>
    <n v="32044"/>
    <s v="BBVA"/>
    <d v="2025-09-19T00:00:00"/>
    <d v="2025-09-19T00:00:00"/>
    <m/>
    <m/>
    <x v="6"/>
  </r>
  <r>
    <x v="17"/>
    <x v="3"/>
    <s v="TELEFONICA MOVILES ARGENTINA SOCIEDAD ANONIMA"/>
    <s v="FA"/>
    <m/>
    <m/>
    <s v="$ -"/>
    <m/>
    <m/>
    <n v="0"/>
    <m/>
    <m/>
    <m/>
    <m/>
    <m/>
    <x v="6"/>
  </r>
  <r>
    <x v="17"/>
    <x v="15"/>
    <s v="CHECK CLIMATIZACION"/>
    <s v="00001-00000194"/>
    <d v="2025-08-28T00:00:00"/>
    <n v="1638723.03"/>
    <n v="344131.84000000003"/>
    <m/>
    <n v="1982854.87"/>
    <n v="1638723.03"/>
    <s v="BBVA"/>
    <d v="2025-09-05T00:00:00"/>
    <d v="2025-09-05T00:00:00"/>
    <s v="PAGO 2 DE 2 PPTO 4910"/>
    <m/>
    <x v="6"/>
  </r>
  <r>
    <x v="17"/>
    <x v="14"/>
    <s v="SEGURIDAD DENAPOLI SRL"/>
    <s v="FA 00004-00010112"/>
    <d v="2025-09-02T00:00:00"/>
    <n v="50705"/>
    <n v="10648.05"/>
    <m/>
    <n v="61353.05"/>
    <n v="50705"/>
    <s v="BBVA"/>
    <d v="2025-09-12T00:00:00"/>
    <d v="2025-09-12T00:00:00"/>
    <m/>
    <m/>
    <x v="6"/>
  </r>
  <r>
    <x v="17"/>
    <x v="0"/>
    <s v="SANABRIA GUSTAVO"/>
    <s v="FA XXX-XXXXXXXX"/>
    <m/>
    <m/>
    <s v="$ -"/>
    <m/>
    <m/>
    <n v="0"/>
    <s v="ECHEQ"/>
    <m/>
    <m/>
    <m/>
    <m/>
    <x v="6"/>
  </r>
  <r>
    <x v="42"/>
    <x v="7"/>
    <s v="MAGECA S A"/>
    <s v="ND 00002-00000065"/>
    <d v="2025-09-08T00:00:00"/>
    <s v="$ -"/>
    <s v="$ -"/>
    <m/>
    <n v="549364.85"/>
    <n v="549364.85"/>
    <s v="BBVA"/>
    <d v="2025-09-19T00:00:00"/>
    <d v="2025-09-19T00:00:00"/>
    <m/>
    <m/>
    <x v="6"/>
  </r>
  <r>
    <x v="42"/>
    <x v="10"/>
    <s v="SANES JUAN MANUEL"/>
    <s v="FC 00001-00000091"/>
    <d v="2025-09-03T00:00:00"/>
    <m/>
    <s v="$ -"/>
    <m/>
    <n v="40000"/>
    <n v="40000"/>
    <s v="MP"/>
    <d v="2025-09-19T00:00:00"/>
    <d v="2025-09-19T00:00:00"/>
    <m/>
    <m/>
    <x v="6"/>
  </r>
  <r>
    <x v="42"/>
    <x v="1"/>
    <s v="MAGECA S A"/>
    <s v="FA 00002-00000224"/>
    <d v="2025-09-08T00:00:00"/>
    <n v="7000000"/>
    <n v="1470000"/>
    <m/>
    <n v="8470000"/>
    <n v="7000000"/>
    <s v="BBVA"/>
    <d v="2025-09-09T00:00:00"/>
    <d v="2025-09-09T00:00:00"/>
    <m/>
    <m/>
    <x v="6"/>
  </r>
  <r>
    <x v="42"/>
    <x v="8"/>
    <s v="MAGECA S A"/>
    <s v="ND 00002-00000065"/>
    <d v="2025-09-08T00:00:00"/>
    <n v="409234.95"/>
    <n v="110493.44"/>
    <n v="25740.87"/>
    <n v="545469.26"/>
    <n v="409234.95"/>
    <s v="BBVA"/>
    <d v="2025-09-19T00:00:00"/>
    <d v="2025-09-19T00:00:00"/>
    <m/>
    <m/>
    <x v="6"/>
  </r>
  <r>
    <x v="42"/>
    <x v="2"/>
    <s v="MAGECA S A"/>
    <s v="ND 00002-00000065"/>
    <d v="2025-09-08T00:00:00"/>
    <s v="$ -"/>
    <s v="$ -"/>
    <m/>
    <n v="300440.5"/>
    <n v="300440.5"/>
    <s v="BBVA"/>
    <d v="2025-09-19T00:00:00"/>
    <d v="2025-09-19T00:00:00"/>
    <m/>
    <m/>
    <x v="6"/>
  </r>
  <r>
    <x v="42"/>
    <x v="9"/>
    <s v="MANOLIO MARIANO SERGIO"/>
    <s v="FA 00003-00001017"/>
    <d v="2025-09-05T00:00:00"/>
    <n v="39909"/>
    <n v="8380.89"/>
    <m/>
    <n v="48289.89"/>
    <n v="39909"/>
    <s v="BBVA"/>
    <d v="2025-09-19T00:00:00"/>
    <d v="2025-09-19T00:00:00"/>
    <m/>
    <m/>
    <x v="6"/>
  </r>
  <r>
    <x v="42"/>
    <x v="14"/>
    <s v="SEGURIDAD DENAPOLI SRL"/>
    <s v="FA XXX-XXXXXXXX"/>
    <m/>
    <m/>
    <s v="$ -"/>
    <m/>
    <m/>
    <n v="0"/>
    <s v="BBVA"/>
    <m/>
    <m/>
    <m/>
    <m/>
    <x v="6"/>
  </r>
  <r>
    <x v="9"/>
    <x v="0"/>
    <s v="SANABRIA GUSTAVO"/>
    <s v="FA 0005-00002415"/>
    <d v="2025-09-05T00:00:00"/>
    <n v="90000"/>
    <n v="18900"/>
    <m/>
    <n v="108900"/>
    <n v="90000"/>
    <s v="ECHEQ"/>
    <d v="2025-09-09T00:00:00"/>
    <d v="2025-10-05T00:00:00"/>
    <s v="PAGO CON CH BBVA"/>
    <m/>
    <x v="6"/>
  </r>
  <r>
    <x v="9"/>
    <x v="1"/>
    <s v="Fideicomiso Laguna Oscura"/>
    <s v="RA"/>
    <m/>
    <n v="703000"/>
    <n v="150442"/>
    <m/>
    <n v="853442"/>
    <n v="703000"/>
    <s v="BBVA"/>
    <d v="2025-09-10T00:00:00"/>
    <d v="2025-09-15T00:00:00"/>
    <s v="A favor para Octubre 2812"/>
    <m/>
    <x v="6"/>
  </r>
  <r>
    <x v="9"/>
    <x v="6"/>
    <s v="EDESUR"/>
    <s v="FA"/>
    <m/>
    <m/>
    <s v="$ -"/>
    <m/>
    <m/>
    <n v="0"/>
    <m/>
    <m/>
    <m/>
    <m/>
    <m/>
    <x v="6"/>
  </r>
  <r>
    <x v="9"/>
    <x v="2"/>
    <s v="Solar de french"/>
    <s v="S/C"/>
    <m/>
    <m/>
    <s v="$ -"/>
    <m/>
    <n v="220840"/>
    <n v="220840"/>
    <s v="EFECTIVO"/>
    <d v="2025-09-10T00:00:00"/>
    <d v="2025-09-10T00:00:00"/>
    <m/>
    <m/>
    <x v="6"/>
  </r>
  <r>
    <x v="9"/>
    <x v="9"/>
    <s v="MANOLIO MARIANO SERGIO"/>
    <m/>
    <m/>
    <m/>
    <s v="$ -"/>
    <m/>
    <m/>
    <n v="0"/>
    <m/>
    <m/>
    <m/>
    <m/>
    <m/>
    <x v="6"/>
  </r>
  <r>
    <x v="9"/>
    <x v="3"/>
    <s v="TELECOM ARGENTINA SOCIEDAD ANONIMA"/>
    <s v="FA XXX-XXXXXXXX"/>
    <m/>
    <m/>
    <s v="$ -"/>
    <m/>
    <m/>
    <n v="0"/>
    <m/>
    <m/>
    <m/>
    <m/>
    <m/>
    <x v="6"/>
  </r>
  <r>
    <x v="13"/>
    <x v="1"/>
    <s v="GALERIA GRAL GUEMES S A I"/>
    <s v="FA 00003-00019359"/>
    <d v="2025-09-01T00:00:00"/>
    <n v="599275.1"/>
    <n v="125847.77"/>
    <m/>
    <n v="725122.87"/>
    <n v="599275.1"/>
    <s v="BBVA"/>
    <d v="2025-09-10T00:00:00"/>
    <d v="2025-09-10T00:00:00"/>
    <m/>
    <m/>
    <x v="6"/>
  </r>
  <r>
    <x v="13"/>
    <x v="2"/>
    <s v="GALERIA GRAL GUEMES S A I"/>
    <s v="FA 00003-00019359"/>
    <d v="2025-09-01T00:00:00"/>
    <m/>
    <s v="$ -"/>
    <n v="338831.14"/>
    <n v="338831.14"/>
    <n v="338831.14"/>
    <s v="BBVA"/>
    <d v="2025-09-10T00:00:00"/>
    <d v="2025-09-10T00:00:00"/>
    <m/>
    <m/>
    <x v="6"/>
  </r>
  <r>
    <x v="13"/>
    <x v="9"/>
    <s v="MANOLIO MARIANO SERGIO"/>
    <s v="FA 00003-00001017"/>
    <d v="2025-09-05T00:00:00"/>
    <n v="32044"/>
    <n v="6729.24"/>
    <m/>
    <n v="38773.24"/>
    <n v="32044"/>
    <s v="BBVA"/>
    <d v="2025-09-19T00:00:00"/>
    <d v="2025-09-19T00:00:00"/>
    <m/>
    <m/>
    <x v="6"/>
  </r>
  <r>
    <x v="13"/>
    <x v="14"/>
    <s v="SEGURIDAD DENAPOLI SRL"/>
    <s v="FA 00004-00010111"/>
    <d v="2025-09-02T00:00:00"/>
    <n v="50705"/>
    <n v="10648.05"/>
    <m/>
    <n v="61353.05"/>
    <n v="50705"/>
    <s v="BBVA"/>
    <d v="2025-09-12T00:00:00"/>
    <d v="2025-09-12T00:00:00"/>
    <m/>
    <m/>
    <x v="6"/>
  </r>
  <r>
    <x v="13"/>
    <x v="0"/>
    <s v="SANABRIA GUSTAVO"/>
    <s v="FA XXX-XXXXXXXX"/>
    <m/>
    <m/>
    <s v="$ -"/>
    <m/>
    <m/>
    <n v="0"/>
    <s v="BBVA"/>
    <m/>
    <m/>
    <m/>
    <m/>
    <x v="6"/>
  </r>
  <r>
    <x v="13"/>
    <x v="10"/>
    <s v="SANES JUAN MANUEL"/>
    <s v="FC 00001-00000091"/>
    <d v="2025-09-03T00:00:00"/>
    <m/>
    <s v="$ -"/>
    <m/>
    <n v="40000"/>
    <n v="40000"/>
    <s v="MP"/>
    <d v="2025-09-19T00:00:00"/>
    <d v="2025-09-19T00:00:00"/>
    <m/>
    <m/>
    <x v="6"/>
  </r>
  <r>
    <x v="24"/>
    <x v="1"/>
    <s v="GALERIA GRAL GUEMES S A I"/>
    <s v="FA 00003-00019376"/>
    <d v="2025-09-01T00:00:00"/>
    <n v="250000"/>
    <n v="52500"/>
    <m/>
    <n v="302500"/>
    <n v="250000"/>
    <s v="BBVA"/>
    <d v="2025-09-10T00:00:00"/>
    <d v="2025-09-10T00:00:00"/>
    <m/>
    <m/>
    <x v="6"/>
  </r>
  <r>
    <x v="24"/>
    <x v="6"/>
    <s v="GALERIA GRAL GUEMES S A I"/>
    <s v="FA 00003-00019376"/>
    <m/>
    <m/>
    <s v="$ -"/>
    <m/>
    <s v="$ -"/>
    <s v="$ -"/>
    <s v="BBVA"/>
    <m/>
    <m/>
    <m/>
    <m/>
    <x v="6"/>
  </r>
  <r>
    <x v="24"/>
    <x v="2"/>
    <s v="GALERIA GRAL GUEMES S A I"/>
    <s v="FA 00003-00019376"/>
    <d v="2025-09-01T00:00:00"/>
    <m/>
    <s v="$ -"/>
    <n v="18782.21"/>
    <n v="18782.21"/>
    <n v="18782.21"/>
    <s v="BBVA"/>
    <d v="2025-09-10T00:00:00"/>
    <d v="2025-09-10T00:00:00"/>
    <m/>
    <m/>
    <x v="6"/>
  </r>
  <r>
    <x v="12"/>
    <x v="1"/>
    <s v="GALERIA GRAL GUEMES S A I"/>
    <s v="FA 00003-00019360"/>
    <d v="2025-09-01T00:00:00"/>
    <n v="428053.64"/>
    <n v="89891.26"/>
    <m/>
    <n v="517944.9"/>
    <n v="428053.64"/>
    <s v="BBVA"/>
    <d v="2025-09-10T00:00:00"/>
    <d v="2025-09-10T00:00:00"/>
    <m/>
    <m/>
    <x v="6"/>
  </r>
  <r>
    <x v="12"/>
    <x v="6"/>
    <s v="GALERIA GRAL GUEMES S A I"/>
    <s v="FA 00003-00019360"/>
    <d v="2025-09-01T00:00:00"/>
    <n v="8768.2099999999991"/>
    <n v="1841.32"/>
    <m/>
    <n v="10609.53"/>
    <n v="8768.2099999999991"/>
    <s v="BBVA"/>
    <d v="2025-09-10T00:00:00"/>
    <d v="2025-09-10T00:00:00"/>
    <m/>
    <m/>
    <x v="6"/>
  </r>
  <r>
    <x v="12"/>
    <x v="2"/>
    <s v="GALERIA GRAL GUEMES S A I"/>
    <s v="FA 00003-00019360"/>
    <d v="2025-09-01T00:00:00"/>
    <m/>
    <s v="$ -"/>
    <m/>
    <n v="51838.91"/>
    <n v="51838.91"/>
    <s v="BBVA"/>
    <d v="2025-09-10T00:00:00"/>
    <d v="2025-09-10T00:00:00"/>
    <m/>
    <m/>
    <x v="6"/>
  </r>
  <r>
    <x v="31"/>
    <x v="1"/>
    <s v="GALERIA GRAL GUEMES S A I"/>
    <s v="FA 00003-00019366"/>
    <d v="2025-09-01T00:00:00"/>
    <n v="554000"/>
    <n v="116340"/>
    <m/>
    <n v="670340"/>
    <n v="554000"/>
    <s v="BBVA"/>
    <d v="2025-09-10T00:00:00"/>
    <d v="2025-09-10T00:00:00"/>
    <m/>
    <m/>
    <x v="6"/>
  </r>
  <r>
    <x v="31"/>
    <x v="2"/>
    <s v="GALERIA GRAL GUEMES S A I"/>
    <s v="FA 00003-00019366"/>
    <d v="2025-09-01T00:00:00"/>
    <m/>
    <s v="$ -"/>
    <n v="324556.65999999997"/>
    <n v="324556.65999999997"/>
    <n v="324556.65999999997"/>
    <s v="BBVA"/>
    <d v="2025-09-10T00:00:00"/>
    <d v="2025-09-10T00:00:00"/>
    <m/>
    <m/>
    <x v="6"/>
  </r>
  <r>
    <x v="31"/>
    <x v="9"/>
    <s v="MANOLIO MARIANO SERGIO"/>
    <s v="FA"/>
    <m/>
    <m/>
    <s v="$ -"/>
    <m/>
    <m/>
    <n v="0"/>
    <m/>
    <m/>
    <m/>
    <m/>
    <m/>
    <x v="6"/>
  </r>
  <r>
    <x v="31"/>
    <x v="3"/>
    <s v="TELECOM ARGENTINA SOCIEDAD ANONIMA"/>
    <s v="FA"/>
    <m/>
    <m/>
    <s v="$ -"/>
    <m/>
    <m/>
    <n v="0"/>
    <s v="MP"/>
    <m/>
    <m/>
    <m/>
    <m/>
    <x v="6"/>
  </r>
  <r>
    <x v="16"/>
    <x v="10"/>
    <s v="SANES JUAN MANUEL"/>
    <s v="FC 00001-00000091"/>
    <d v="2025-09-03T00:00:00"/>
    <m/>
    <s v="$ -"/>
    <m/>
    <n v="40000"/>
    <n v="40000"/>
    <s v="MP"/>
    <d v="2025-09-19T00:00:00"/>
    <d v="2025-09-19T00:00:00"/>
    <m/>
    <m/>
    <x v="6"/>
  </r>
  <r>
    <x v="16"/>
    <x v="1"/>
    <s v="FORTIN MAURE S.A."/>
    <s v="FA 0030-00091683"/>
    <d v="2025-09-05T00:00:00"/>
    <n v="1448355.71"/>
    <n v="304154.7"/>
    <n v="43450.67"/>
    <n v="1795961.08"/>
    <n v="1448355.71"/>
    <s v="BBVA"/>
    <d v="2025-09-10T00:00:00"/>
    <d v="2025-09-10T00:00:00"/>
    <m/>
    <m/>
    <x v="6"/>
  </r>
  <r>
    <x v="16"/>
    <x v="6"/>
    <s v="EDESUR"/>
    <s v="FA"/>
    <m/>
    <m/>
    <s v="$ -"/>
    <m/>
    <m/>
    <n v="0"/>
    <m/>
    <m/>
    <m/>
    <m/>
    <m/>
    <x v="6"/>
  </r>
  <r>
    <x v="16"/>
    <x v="2"/>
    <s v="FORTIN MAURE S.A."/>
    <s v="FA 0030-00091550"/>
    <d v="2025-09-03T00:00:00"/>
    <n v="1948016.5"/>
    <n v="409083.47"/>
    <n v="58440.5"/>
    <n v="2415540.4700000002"/>
    <n v="1948016.5"/>
    <s v="BBVA"/>
    <d v="2025-09-10T00:00:00"/>
    <d v="2025-09-10T00:00:00"/>
    <m/>
    <m/>
    <x v="6"/>
  </r>
  <r>
    <x v="16"/>
    <x v="9"/>
    <s v="MANOLIO MARIANO SERGIO"/>
    <s v="FA 00003-00001017"/>
    <d v="2025-09-05T00:00:00"/>
    <n v="32044"/>
    <n v="6729.24"/>
    <m/>
    <n v="38773.24"/>
    <n v="32044"/>
    <s v="BBVA"/>
    <d v="2025-09-19T00:00:00"/>
    <d v="2025-09-19T00:00:00"/>
    <m/>
    <m/>
    <x v="6"/>
  </r>
  <r>
    <x v="16"/>
    <x v="3"/>
    <s v="TELECOM ARGENTINA SOCIEDAD ANONIMA"/>
    <s v="FA"/>
    <m/>
    <m/>
    <s v="$ -"/>
    <m/>
    <m/>
    <n v="0"/>
    <s v="DEB. AUT. CRED."/>
    <m/>
    <m/>
    <m/>
    <m/>
    <x v="6"/>
  </r>
  <r>
    <x v="16"/>
    <x v="14"/>
    <s v="SEGURIDAD DENAPOLI SRL"/>
    <s v="FA XXX-XXXXXXXX"/>
    <m/>
    <m/>
    <s v="$ -"/>
    <m/>
    <m/>
    <n v="0"/>
    <s v="BBVA"/>
    <m/>
    <m/>
    <m/>
    <m/>
    <x v="6"/>
  </r>
  <r>
    <x v="16"/>
    <x v="0"/>
    <s v="SANABRIA GUSTAVO"/>
    <s v="FA XXX-XXXXXXXX"/>
    <m/>
    <m/>
    <s v="$ -"/>
    <m/>
    <m/>
    <n v="0"/>
    <s v="ECHEQ"/>
    <m/>
    <m/>
    <m/>
    <m/>
    <x v="6"/>
  </r>
  <r>
    <x v="18"/>
    <x v="10"/>
    <s v="SANES JUAN MANUEL"/>
    <s v="FC 00001-00000091"/>
    <d v="2025-09-03T00:00:00"/>
    <m/>
    <s v="$ -"/>
    <m/>
    <n v="40000"/>
    <n v="40000"/>
    <s v="MP"/>
    <d v="2025-09-19T00:00:00"/>
    <d v="2025-09-19T00:00:00"/>
    <m/>
    <m/>
    <x v="6"/>
  </r>
  <r>
    <x v="18"/>
    <x v="1"/>
    <s v="MESATEL SA"/>
    <s v="FA 00003-00008176"/>
    <d v="2025-09-01T00:00:00"/>
    <n v="2250334.64"/>
    <n v="472570.27"/>
    <m/>
    <n v="2722904.91"/>
    <n v="2250334.64"/>
    <s v="BBVA"/>
    <d v="2025-09-10T00:00:00"/>
    <d v="2025-09-10T00:00:00"/>
    <m/>
    <m/>
    <x v="6"/>
  </r>
  <r>
    <x v="18"/>
    <x v="6"/>
    <s v="EDESUR"/>
    <s v="FA"/>
    <m/>
    <m/>
    <s v="$ -"/>
    <m/>
    <m/>
    <n v="0"/>
    <m/>
    <m/>
    <m/>
    <m/>
    <m/>
    <x v="6"/>
  </r>
  <r>
    <x v="18"/>
    <x v="2"/>
    <s v="sin comprobante"/>
    <m/>
    <m/>
    <m/>
    <m/>
    <m/>
    <n v="531320.80000000005"/>
    <n v="531320.80000000005"/>
    <s v="BBVA"/>
    <d v="2025-09-10T00:00:00"/>
    <d v="2025-09-10T00:00:00"/>
    <m/>
    <m/>
    <x v="6"/>
  </r>
  <r>
    <x v="18"/>
    <x v="9"/>
    <s v="MANOLIO MARIANO SERGIO"/>
    <s v="FA 00003-00001017"/>
    <d v="2025-09-05T00:00:00"/>
    <n v="32044"/>
    <n v="6729.24"/>
    <m/>
    <n v="38773.24"/>
    <n v="32044"/>
    <s v="BBVA"/>
    <d v="2025-09-19T00:00:00"/>
    <d v="2025-09-19T00:00:00"/>
    <m/>
    <m/>
    <x v="6"/>
  </r>
  <r>
    <x v="18"/>
    <x v="14"/>
    <s v="SEGURIDAD DENAPOLI SRL"/>
    <s v="FA 00004-00010110"/>
    <d v="2025-09-02T00:00:00"/>
    <n v="50705"/>
    <n v="10648.05"/>
    <m/>
    <n v="61353.05"/>
    <n v="50705"/>
    <s v="BBVA"/>
    <d v="2025-09-12T00:00:00"/>
    <d v="2025-09-12T00:00:00"/>
    <m/>
    <m/>
    <x v="6"/>
  </r>
  <r>
    <x v="18"/>
    <x v="0"/>
    <s v="SANABRIA GUSTAVO"/>
    <s v="FA XXX-XXXXXXXX"/>
    <m/>
    <m/>
    <s v="$ -"/>
    <m/>
    <m/>
    <n v="0"/>
    <s v="BBVA"/>
    <m/>
    <m/>
    <m/>
    <m/>
    <x v="6"/>
  </r>
  <r>
    <x v="19"/>
    <x v="10"/>
    <s v="SANES JUAN MANUEL"/>
    <s v="FC 00001-00000091"/>
    <d v="2025-09-03T00:00:00"/>
    <m/>
    <s v="$ -"/>
    <m/>
    <n v="20000"/>
    <n v="20000"/>
    <s v="MP"/>
    <d v="2025-09-19T00:00:00"/>
    <d v="2025-09-19T00:00:00"/>
    <m/>
    <m/>
    <x v="6"/>
  </r>
  <r>
    <x v="19"/>
    <x v="1"/>
    <s v="MESATEL SA"/>
    <s v="FA 00003-00008178"/>
    <d v="2025-09-01T00:00:00"/>
    <n v="900710.7"/>
    <n v="189149.25"/>
    <m/>
    <n v="1089859.95"/>
    <n v="900710.7"/>
    <s v="BBVA"/>
    <d v="2025-09-10T00:00:00"/>
    <d v="2025-09-10T00:00:00"/>
    <m/>
    <m/>
    <x v="6"/>
  </r>
  <r>
    <x v="19"/>
    <x v="6"/>
    <s v="sin comprobante"/>
    <s v="S/C 0501-0285736117"/>
    <d v="2025-08-27T00:00:00"/>
    <n v="81878.8"/>
    <n v="22107.279999999999"/>
    <n v="968.98"/>
    <n v="104955.06"/>
    <n v="81878.8"/>
    <s v="MP"/>
    <d v="2025-09-04T00:00:00"/>
    <d v="2025-09-04T00:00:00"/>
    <m/>
    <m/>
    <x v="6"/>
  </r>
  <r>
    <x v="19"/>
    <x v="2"/>
    <s v="sin comprobante"/>
    <m/>
    <m/>
    <m/>
    <m/>
    <m/>
    <n v="531320.80000000005"/>
    <n v="531320.80000000005"/>
    <s v="BBVA"/>
    <d v="2025-09-10T00:00:00"/>
    <d v="2025-09-10T00:00:00"/>
    <m/>
    <m/>
    <x v="6"/>
  </r>
  <r>
    <x v="19"/>
    <x v="9"/>
    <s v="MANOLIO MARIANO SERGIO"/>
    <s v="FA 00003-00001017"/>
    <d v="2025-09-05T00:00:00"/>
    <n v="32044"/>
    <n v="6729.24"/>
    <m/>
    <n v="38773.24"/>
    <n v="32044"/>
    <s v="BBVA"/>
    <d v="2025-09-19T00:00:00"/>
    <d v="2025-09-19T00:00:00"/>
    <m/>
    <m/>
    <x v="6"/>
  </r>
  <r>
    <x v="19"/>
    <x v="0"/>
    <s v="SANABRIA GUSTAVO"/>
    <s v="FA XXX-XXXXXXXX"/>
    <m/>
    <m/>
    <s v="$ -"/>
    <m/>
    <m/>
    <n v="0"/>
    <s v="ECHEQ"/>
    <m/>
    <m/>
    <m/>
    <m/>
    <x v="6"/>
  </r>
  <r>
    <x v="43"/>
    <x v="1"/>
    <s v="FORTIN MAURE S.A."/>
    <s v="FA 0030-00091783"/>
    <d v="2025-09-05T00:00:00"/>
    <n v="872000"/>
    <n v="183120"/>
    <n v="26160"/>
    <n v="67580"/>
    <n v="872000"/>
    <s v="BBVA"/>
    <d v="2025-09-10T00:00:00"/>
    <d v="2025-09-10T00:00:00"/>
    <s v="$1.013.700 se abonaron con Echeq"/>
    <m/>
    <x v="6"/>
  </r>
  <r>
    <x v="43"/>
    <x v="0"/>
    <s v="SANABRIA GUSTAVO"/>
    <s v="FA 0005-00002426"/>
    <d v="2025-09-15T00:00:00"/>
    <n v="90000"/>
    <n v="18900"/>
    <m/>
    <n v="108900"/>
    <n v="90000"/>
    <s v="ECHEQ"/>
    <d v="2025-09-19T00:00:00"/>
    <d v="2025-09-19T00:00:00"/>
    <m/>
    <m/>
    <x v="6"/>
  </r>
  <r>
    <x v="43"/>
    <x v="0"/>
    <s v="MARTINEZ VANESA"/>
    <s v="FA 00004-00004332"/>
    <d v="2025-09-12T00:00:00"/>
    <n v="31900"/>
    <n v="6699"/>
    <m/>
    <n v="38599"/>
    <n v="31900"/>
    <s v="MP"/>
    <d v="2025-09-17T00:00:00"/>
    <d v="2025-09-17T00:00:00"/>
    <m/>
    <m/>
    <x v="6"/>
  </r>
  <r>
    <x v="24"/>
    <x v="1"/>
    <s v="GALERIA GRAL GUEMES S A I"/>
    <s v="FA 00003-00019400"/>
    <d v="2025-09-16T00:00:00"/>
    <n v="17700"/>
    <n v="3717"/>
    <m/>
    <n v="21417"/>
    <n v="17700"/>
    <s v="BBVA"/>
    <d v="2025-09-19T00:00:00"/>
    <d v="2025-09-19T00:00:00"/>
    <m/>
    <m/>
    <x v="6"/>
  </r>
  <r>
    <x v="37"/>
    <x v="13"/>
    <m/>
    <m/>
    <m/>
    <m/>
    <s v="$ -"/>
    <m/>
    <m/>
    <n v="0"/>
    <m/>
    <m/>
    <m/>
    <m/>
    <m/>
    <x v="6"/>
  </r>
  <r>
    <x v="38"/>
    <x v="13"/>
    <m/>
    <m/>
    <m/>
    <m/>
    <m/>
    <m/>
    <m/>
    <n v="0"/>
    <m/>
    <m/>
    <m/>
    <m/>
    <m/>
    <x v="6"/>
  </r>
  <r>
    <x v="37"/>
    <x v="13"/>
    <m/>
    <m/>
    <m/>
    <m/>
    <s v="$ -"/>
    <m/>
    <m/>
    <n v="0"/>
    <m/>
    <m/>
    <m/>
    <m/>
    <m/>
    <x v="6"/>
  </r>
  <r>
    <x v="17"/>
    <x v="15"/>
    <s v="RETAMAR VICTOR"/>
    <s v="FC 00004-00000033"/>
    <d v="2025-09-26T00:00:00"/>
    <n v="160000"/>
    <s v="$ -"/>
    <m/>
    <n v="160000"/>
    <n v="160000"/>
    <s v="BBVA"/>
    <d v="2025-10-03T00:00:00"/>
    <m/>
    <m/>
    <m/>
    <x v="6"/>
  </r>
  <r>
    <x v="17"/>
    <x v="10"/>
    <s v="SANES JUAN MANUEL"/>
    <s v="FC"/>
    <m/>
    <m/>
    <s v="$ -"/>
    <m/>
    <m/>
    <n v="0"/>
    <s v="MP"/>
    <m/>
    <m/>
    <m/>
    <m/>
    <x v="6"/>
  </r>
  <r>
    <x v="17"/>
    <x v="1"/>
    <s v="MESATEL SA"/>
    <s v="FA"/>
    <m/>
    <m/>
    <s v="$ -"/>
    <m/>
    <m/>
    <n v="0"/>
    <s v="BBVA"/>
    <m/>
    <m/>
    <m/>
    <m/>
    <x v="6"/>
  </r>
  <r>
    <x v="17"/>
    <x v="6"/>
    <s v="EDESUR"/>
    <s v="FA"/>
    <m/>
    <m/>
    <s v="$ -"/>
    <m/>
    <m/>
    <n v="0"/>
    <m/>
    <m/>
    <m/>
    <m/>
    <m/>
    <x v="6"/>
  </r>
  <r>
    <x v="17"/>
    <x v="2"/>
    <s v="sin comprobante"/>
    <m/>
    <m/>
    <m/>
    <s v="$ -"/>
    <m/>
    <m/>
    <n v="0"/>
    <s v="BBVA"/>
    <m/>
    <m/>
    <m/>
    <m/>
    <x v="6"/>
  </r>
  <r>
    <x v="17"/>
    <x v="9"/>
    <s v="MANOLIO MARIANO SERGIO"/>
    <m/>
    <m/>
    <m/>
    <s v="$ -"/>
    <m/>
    <m/>
    <n v="0"/>
    <s v="BBVA"/>
    <m/>
    <m/>
    <m/>
    <m/>
    <x v="6"/>
  </r>
  <r>
    <x v="17"/>
    <x v="3"/>
    <s v="TELEFONICA MOVILES ARGENTINA SOCIEDAD ANONIMA"/>
    <s v="FA"/>
    <m/>
    <m/>
    <s v="$ -"/>
    <m/>
    <m/>
    <n v="0"/>
    <m/>
    <m/>
    <m/>
    <m/>
    <m/>
    <x v="6"/>
  </r>
  <r>
    <x v="17"/>
    <x v="15"/>
    <s v="CHECK CLIMATIZACION"/>
    <m/>
    <m/>
    <m/>
    <s v="$ -"/>
    <m/>
    <m/>
    <n v="0"/>
    <s v="BBVA"/>
    <m/>
    <m/>
    <s v="PAGO 2 DE 2 PPTO 4910"/>
    <m/>
    <x v="6"/>
  </r>
  <r>
    <x v="17"/>
    <x v="14"/>
    <s v="SEGURIDAD DENAPOLI SRL"/>
    <m/>
    <m/>
    <m/>
    <s v="$ -"/>
    <m/>
    <m/>
    <n v="0"/>
    <s v="BBVA"/>
    <m/>
    <m/>
    <m/>
    <m/>
    <x v="6"/>
  </r>
  <r>
    <x v="17"/>
    <x v="0"/>
    <s v="SANABRIA GUSTAVO"/>
    <s v="FA XXX-XXXXXXXX"/>
    <m/>
    <m/>
    <s v="$ -"/>
    <m/>
    <m/>
    <n v="0"/>
    <s v="ECHEQ"/>
    <m/>
    <m/>
    <m/>
    <m/>
    <x v="6"/>
  </r>
  <r>
    <x v="42"/>
    <x v="7"/>
    <s v="MAGECA S A"/>
    <s v="ND 00002-0000"/>
    <m/>
    <m/>
    <s v="$ -"/>
    <m/>
    <m/>
    <n v="0"/>
    <s v="BBVA"/>
    <m/>
    <m/>
    <m/>
    <m/>
    <x v="6"/>
  </r>
  <r>
    <x v="42"/>
    <x v="10"/>
    <s v="SANES JUAN MANUEL"/>
    <s v="FC 00001-0000"/>
    <m/>
    <m/>
    <s v="$ -"/>
    <m/>
    <m/>
    <n v="0"/>
    <s v="MP"/>
    <m/>
    <m/>
    <m/>
    <m/>
    <x v="6"/>
  </r>
  <r>
    <x v="42"/>
    <x v="1"/>
    <s v="MAGECA S A"/>
    <m/>
    <m/>
    <m/>
    <s v="$ -"/>
    <m/>
    <m/>
    <n v="0"/>
    <s v="BBVA"/>
    <m/>
    <m/>
    <m/>
    <m/>
    <x v="6"/>
  </r>
  <r>
    <x v="42"/>
    <x v="8"/>
    <s v="MAGECA S A"/>
    <s v="ND 00002-0000"/>
    <m/>
    <m/>
    <s v="$ -"/>
    <m/>
    <m/>
    <n v="0"/>
    <s v="BBVA"/>
    <m/>
    <m/>
    <m/>
    <m/>
    <x v="6"/>
  </r>
  <r>
    <x v="42"/>
    <x v="2"/>
    <s v="MAGECA S A"/>
    <m/>
    <m/>
    <m/>
    <s v="$ -"/>
    <m/>
    <m/>
    <n v="0"/>
    <s v="BBVA"/>
    <m/>
    <m/>
    <m/>
    <m/>
    <x v="6"/>
  </r>
  <r>
    <x v="42"/>
    <x v="9"/>
    <s v="MANOLIO MARIANO SERGIO"/>
    <m/>
    <m/>
    <m/>
    <s v="$ -"/>
    <m/>
    <m/>
    <n v="0"/>
    <s v="BBVA"/>
    <m/>
    <m/>
    <m/>
    <m/>
    <x v="6"/>
  </r>
  <r>
    <x v="42"/>
    <x v="14"/>
    <s v="SEGURIDAD DENAPOLI SRL"/>
    <s v="FA XXX-XXXXXXXX"/>
    <m/>
    <m/>
    <s v="$ -"/>
    <m/>
    <m/>
    <n v="0"/>
    <s v="BBVA"/>
    <m/>
    <m/>
    <m/>
    <m/>
    <x v="6"/>
  </r>
  <r>
    <x v="9"/>
    <x v="0"/>
    <s v="SANABRIA GUSTAVO"/>
    <m/>
    <m/>
    <m/>
    <s v="$ -"/>
    <m/>
    <m/>
    <n v="0"/>
    <s v="ECHEQ"/>
    <m/>
    <m/>
    <s v="PAGO CON CH BBVA"/>
    <m/>
    <x v="6"/>
  </r>
  <r>
    <x v="9"/>
    <x v="1"/>
    <s v="Fideicomiso Laguna Oscura"/>
    <s v="RA"/>
    <m/>
    <m/>
    <s v="$ -"/>
    <m/>
    <m/>
    <n v="0"/>
    <s v="BBVA"/>
    <m/>
    <m/>
    <s v="A favor para Octubre 2812"/>
    <m/>
    <x v="6"/>
  </r>
  <r>
    <x v="9"/>
    <x v="6"/>
    <s v="EDESUR"/>
    <s v="FA"/>
    <m/>
    <m/>
    <s v="$ -"/>
    <m/>
    <m/>
    <n v="0"/>
    <m/>
    <m/>
    <m/>
    <m/>
    <m/>
    <x v="6"/>
  </r>
  <r>
    <x v="9"/>
    <x v="2"/>
    <s v="Solar de french"/>
    <s v="S/C"/>
    <m/>
    <m/>
    <s v="$ -"/>
    <m/>
    <m/>
    <n v="0"/>
    <s v="EFECTIVO"/>
    <m/>
    <m/>
    <m/>
    <m/>
    <x v="6"/>
  </r>
  <r>
    <x v="9"/>
    <x v="9"/>
    <s v="MANOLIO MARIANO SERGIO"/>
    <m/>
    <m/>
    <m/>
    <s v="$ -"/>
    <m/>
    <m/>
    <n v="0"/>
    <m/>
    <m/>
    <m/>
    <m/>
    <m/>
    <x v="6"/>
  </r>
  <r>
    <x v="9"/>
    <x v="3"/>
    <s v="TELECOM ARGENTINA SOCIEDAD ANONIMA"/>
    <s v="FA XXX-XXXXXXXX"/>
    <m/>
    <m/>
    <s v="$ -"/>
    <m/>
    <m/>
    <n v="0"/>
    <m/>
    <m/>
    <m/>
    <m/>
    <m/>
    <x v="6"/>
  </r>
  <r>
    <x v="13"/>
    <x v="1"/>
    <s v="GALERIA GRAL GUEMES S A I"/>
    <m/>
    <m/>
    <m/>
    <s v="$ -"/>
    <m/>
    <m/>
    <n v="0"/>
    <s v="BBVA"/>
    <m/>
    <m/>
    <m/>
    <m/>
    <x v="6"/>
  </r>
  <r>
    <x v="13"/>
    <x v="2"/>
    <s v="GALERIA GRAL GUEMES S A I"/>
    <m/>
    <m/>
    <m/>
    <s v="$ -"/>
    <m/>
    <m/>
    <n v="0"/>
    <s v="BBVA"/>
    <m/>
    <m/>
    <m/>
    <m/>
    <x v="6"/>
  </r>
  <r>
    <x v="13"/>
    <x v="9"/>
    <s v="MANOLIO MARIANO SERGIO"/>
    <m/>
    <m/>
    <m/>
    <s v="$ -"/>
    <m/>
    <m/>
    <n v="0"/>
    <s v="BBVA"/>
    <m/>
    <m/>
    <m/>
    <m/>
    <x v="6"/>
  </r>
  <r>
    <x v="13"/>
    <x v="14"/>
    <s v="SEGURIDAD DENAPOLI SRL"/>
    <m/>
    <m/>
    <m/>
    <s v="$ -"/>
    <m/>
    <m/>
    <n v="0"/>
    <s v="BBVA"/>
    <m/>
    <m/>
    <m/>
    <m/>
    <x v="6"/>
  </r>
  <r>
    <x v="13"/>
    <x v="0"/>
    <s v="SANABRIA GUSTAVO"/>
    <m/>
    <m/>
    <m/>
    <s v="$ -"/>
    <m/>
    <m/>
    <n v="0"/>
    <s v="BBVA"/>
    <m/>
    <m/>
    <m/>
    <m/>
    <x v="6"/>
  </r>
  <r>
    <x v="13"/>
    <x v="10"/>
    <s v="SANES JUAN MANUEL"/>
    <m/>
    <m/>
    <m/>
    <s v="$ -"/>
    <m/>
    <m/>
    <n v="0"/>
    <s v="MP"/>
    <m/>
    <m/>
    <m/>
    <m/>
    <x v="6"/>
  </r>
  <r>
    <x v="24"/>
    <x v="1"/>
    <s v="GALERIA GRAL GUEMES S A I"/>
    <m/>
    <m/>
    <m/>
    <s v="$ -"/>
    <m/>
    <m/>
    <n v="0"/>
    <s v="BBVA"/>
    <m/>
    <m/>
    <m/>
    <m/>
    <x v="6"/>
  </r>
  <r>
    <x v="24"/>
    <x v="6"/>
    <s v="GALERIA GRAL GUEMES S A I"/>
    <m/>
    <m/>
    <m/>
    <s v="$ -"/>
    <m/>
    <m/>
    <n v="0"/>
    <s v="BBVA"/>
    <m/>
    <m/>
    <m/>
    <m/>
    <x v="6"/>
  </r>
  <r>
    <x v="24"/>
    <x v="2"/>
    <s v="GALERIA GRAL GUEMES S A I"/>
    <m/>
    <m/>
    <m/>
    <s v="$ -"/>
    <m/>
    <m/>
    <n v="0"/>
    <s v="BBVA"/>
    <m/>
    <m/>
    <m/>
    <m/>
    <x v="6"/>
  </r>
  <r>
    <x v="12"/>
    <x v="1"/>
    <s v="GALERIA GRAL GUEMES S A I"/>
    <m/>
    <m/>
    <m/>
    <s v="$ -"/>
    <m/>
    <m/>
    <n v="0"/>
    <s v="BBVA"/>
    <m/>
    <m/>
    <m/>
    <m/>
    <x v="6"/>
  </r>
  <r>
    <x v="12"/>
    <x v="6"/>
    <s v="GALERIA GRAL GUEMES S A I"/>
    <m/>
    <m/>
    <m/>
    <s v="$ -"/>
    <m/>
    <m/>
    <n v="0"/>
    <s v="BBVA"/>
    <m/>
    <m/>
    <m/>
    <m/>
    <x v="6"/>
  </r>
  <r>
    <x v="12"/>
    <x v="2"/>
    <s v="GALERIA GRAL GUEMES S A I"/>
    <m/>
    <m/>
    <m/>
    <s v="$ -"/>
    <m/>
    <m/>
    <n v="0"/>
    <s v="BBVA"/>
    <m/>
    <m/>
    <m/>
    <m/>
    <x v="6"/>
  </r>
  <r>
    <x v="31"/>
    <x v="1"/>
    <s v="GALERIA GRAL GUEMES S A I"/>
    <m/>
    <m/>
    <m/>
    <s v="$ -"/>
    <m/>
    <m/>
    <n v="0"/>
    <s v="BBVA"/>
    <m/>
    <m/>
    <m/>
    <m/>
    <x v="6"/>
  </r>
  <r>
    <x v="31"/>
    <x v="2"/>
    <s v="GALERIA GRAL GUEMES S A I"/>
    <m/>
    <m/>
    <m/>
    <s v="$ -"/>
    <m/>
    <m/>
    <n v="0"/>
    <s v="BBVA"/>
    <m/>
    <m/>
    <m/>
    <m/>
    <x v="6"/>
  </r>
  <r>
    <x v="31"/>
    <x v="9"/>
    <s v="MANOLIO MARIANO SERGIO"/>
    <s v="FA"/>
    <m/>
    <m/>
    <s v="$ -"/>
    <m/>
    <m/>
    <n v="0"/>
    <m/>
    <m/>
    <m/>
    <m/>
    <m/>
    <x v="6"/>
  </r>
  <r>
    <x v="31"/>
    <x v="3"/>
    <s v="TELECOM ARGENTINA SOCIEDAD ANONIMA"/>
    <s v="FA"/>
    <m/>
    <m/>
    <s v="$ -"/>
    <m/>
    <m/>
    <n v="0"/>
    <s v="MP"/>
    <m/>
    <m/>
    <m/>
    <m/>
    <x v="6"/>
  </r>
  <r>
    <x v="16"/>
    <x v="10"/>
    <s v="SANES JUAN MANUEL"/>
    <m/>
    <m/>
    <m/>
    <s v="$ -"/>
    <m/>
    <m/>
    <n v="0"/>
    <s v="MP"/>
    <m/>
    <m/>
    <m/>
    <m/>
    <x v="6"/>
  </r>
  <r>
    <x v="16"/>
    <x v="1"/>
    <s v="FORTIN MAURE S.A."/>
    <m/>
    <m/>
    <m/>
    <s v="$ -"/>
    <m/>
    <m/>
    <n v="0"/>
    <s v="BBVA"/>
    <m/>
    <m/>
    <m/>
    <m/>
    <x v="6"/>
  </r>
  <r>
    <x v="16"/>
    <x v="6"/>
    <s v="EDESUR"/>
    <s v="FA"/>
    <m/>
    <m/>
    <s v="$ -"/>
    <m/>
    <m/>
    <n v="0"/>
    <m/>
    <m/>
    <m/>
    <m/>
    <m/>
    <x v="6"/>
  </r>
  <r>
    <x v="16"/>
    <x v="2"/>
    <s v="FORTIN MAURE S.A."/>
    <m/>
    <m/>
    <m/>
    <s v="$ -"/>
    <m/>
    <m/>
    <n v="0"/>
    <s v="BBVA"/>
    <m/>
    <m/>
    <m/>
    <m/>
    <x v="6"/>
  </r>
  <r>
    <x v="16"/>
    <x v="9"/>
    <s v="MANOLIO MARIANO SERGIO"/>
    <m/>
    <m/>
    <m/>
    <s v="$ -"/>
    <m/>
    <m/>
    <n v="0"/>
    <s v="BBVA"/>
    <m/>
    <m/>
    <m/>
    <m/>
    <x v="6"/>
  </r>
  <r>
    <x v="16"/>
    <x v="3"/>
    <s v="TELECOM ARGENTINA SOCIEDAD ANONIMA"/>
    <s v="FA"/>
    <m/>
    <m/>
    <s v="$ -"/>
    <m/>
    <m/>
    <n v="0"/>
    <s v="DEB. AUT. CRED."/>
    <m/>
    <m/>
    <m/>
    <m/>
    <x v="6"/>
  </r>
  <r>
    <x v="16"/>
    <x v="14"/>
    <s v="SEGURIDAD DENAPOLI SRL"/>
    <s v="FA XXX-XXXXXXXX"/>
    <m/>
    <m/>
    <s v="$ -"/>
    <m/>
    <m/>
    <n v="0"/>
    <s v="BBVA"/>
    <m/>
    <m/>
    <m/>
    <m/>
    <x v="6"/>
  </r>
  <r>
    <x v="16"/>
    <x v="0"/>
    <s v="SANABRIA GUSTAVO"/>
    <s v="FA XXX-XXXXXXXX"/>
    <m/>
    <m/>
    <s v="$ -"/>
    <m/>
    <m/>
    <n v="0"/>
    <s v="ECHEQ"/>
    <m/>
    <m/>
    <m/>
    <m/>
    <x v="6"/>
  </r>
  <r>
    <x v="18"/>
    <x v="10"/>
    <s v="SANES JUAN MANUEL"/>
    <m/>
    <m/>
    <m/>
    <s v="$ -"/>
    <m/>
    <m/>
    <n v="0"/>
    <s v="MP"/>
    <m/>
    <m/>
    <m/>
    <m/>
    <x v="6"/>
  </r>
  <r>
    <x v="18"/>
    <x v="1"/>
    <s v="MESATEL SA"/>
    <m/>
    <m/>
    <m/>
    <s v="$ -"/>
    <m/>
    <m/>
    <n v="0"/>
    <s v="BBVA"/>
    <m/>
    <m/>
    <m/>
    <m/>
    <x v="6"/>
  </r>
  <r>
    <x v="18"/>
    <x v="6"/>
    <s v="EDESUR"/>
    <s v="FA"/>
    <m/>
    <m/>
    <s v="$ -"/>
    <m/>
    <m/>
    <n v="0"/>
    <m/>
    <m/>
    <m/>
    <m/>
    <m/>
    <x v="6"/>
  </r>
  <r>
    <x v="18"/>
    <x v="2"/>
    <s v="sin comprobante"/>
    <m/>
    <m/>
    <m/>
    <s v="$ -"/>
    <m/>
    <m/>
    <n v="0"/>
    <s v="BBVA"/>
    <m/>
    <m/>
    <m/>
    <m/>
    <x v="6"/>
  </r>
  <r>
    <x v="18"/>
    <x v="9"/>
    <s v="MANOLIO MARIANO SERGIO"/>
    <m/>
    <m/>
    <m/>
    <s v="$ -"/>
    <m/>
    <m/>
    <n v="0"/>
    <s v="BBVA"/>
    <m/>
    <m/>
    <m/>
    <m/>
    <x v="6"/>
  </r>
  <r>
    <x v="18"/>
    <x v="14"/>
    <s v="SEGURIDAD DENAPOLI SRL"/>
    <m/>
    <m/>
    <m/>
    <s v="$ -"/>
    <m/>
    <m/>
    <n v="0"/>
    <s v="BBVA"/>
    <m/>
    <m/>
    <m/>
    <m/>
    <x v="6"/>
  </r>
  <r>
    <x v="18"/>
    <x v="0"/>
    <s v="SANABRIA GUSTAVO"/>
    <s v="FA XXX-XXXXXXXX"/>
    <m/>
    <m/>
    <s v="$ -"/>
    <m/>
    <m/>
    <n v="0"/>
    <s v="BBVA"/>
    <m/>
    <m/>
    <m/>
    <m/>
    <x v="6"/>
  </r>
  <r>
    <x v="19"/>
    <x v="10"/>
    <s v="SANES JUAN MANUEL"/>
    <m/>
    <m/>
    <m/>
    <s v="$ -"/>
    <m/>
    <m/>
    <n v="0"/>
    <s v="MP"/>
    <m/>
    <m/>
    <m/>
    <m/>
    <x v="6"/>
  </r>
  <r>
    <x v="19"/>
    <x v="1"/>
    <s v="MESATEL SA"/>
    <m/>
    <m/>
    <m/>
    <s v="$ -"/>
    <m/>
    <m/>
    <n v="0"/>
    <s v="BBVA"/>
    <m/>
    <m/>
    <m/>
    <m/>
    <x v="6"/>
  </r>
  <r>
    <x v="19"/>
    <x v="6"/>
    <s v="sin comprobante"/>
    <s v="S/C 0501-02967314"/>
    <m/>
    <m/>
    <s v="$ -"/>
    <m/>
    <n v="55206.82"/>
    <n v="55206.82"/>
    <s v="MP"/>
    <d v="2025-10-03T00:00:00"/>
    <m/>
    <m/>
    <m/>
    <x v="6"/>
  </r>
  <r>
    <x v="19"/>
    <x v="2"/>
    <s v="sin comprobante"/>
    <m/>
    <m/>
    <m/>
    <s v="$ -"/>
    <m/>
    <m/>
    <n v="0"/>
    <s v="BBVA"/>
    <m/>
    <m/>
    <m/>
    <m/>
    <x v="6"/>
  </r>
  <r>
    <x v="19"/>
    <x v="9"/>
    <s v="MANOLIO MARIANO SERGIO"/>
    <m/>
    <m/>
    <m/>
    <s v="$ -"/>
    <m/>
    <m/>
    <n v="0"/>
    <s v="BBVA"/>
    <m/>
    <m/>
    <m/>
    <m/>
    <x v="6"/>
  </r>
  <r>
    <x v="19"/>
    <x v="0"/>
    <s v="SANABRIA GUSTAVO"/>
    <s v="FA XXX-XXXXXXXX"/>
    <m/>
    <m/>
    <s v="$ -"/>
    <m/>
    <m/>
    <n v="0"/>
    <s v="ECHEQ"/>
    <m/>
    <m/>
    <m/>
    <m/>
    <x v="6"/>
  </r>
  <r>
    <x v="43"/>
    <x v="1"/>
    <s v="FORTIN MAURE S.A."/>
    <m/>
    <m/>
    <m/>
    <s v="$ -"/>
    <m/>
    <m/>
    <n v="0"/>
    <s v="BBVA"/>
    <m/>
    <m/>
    <s v="$1.013.700 se abonaron con Echeq"/>
    <m/>
    <x v="6"/>
  </r>
  <r>
    <x v="43"/>
    <x v="0"/>
    <s v="SANABRIA GUSTAVO"/>
    <m/>
    <m/>
    <m/>
    <s v="$ -"/>
    <m/>
    <m/>
    <n v="0"/>
    <s v="ECHEQ"/>
    <m/>
    <m/>
    <m/>
    <m/>
    <x v="6"/>
  </r>
  <r>
    <x v="43"/>
    <x v="0"/>
    <s v="MARTINEZ VANESA"/>
    <m/>
    <m/>
    <m/>
    <s v="$ -"/>
    <m/>
    <m/>
    <n v="0"/>
    <s v="MP"/>
    <m/>
    <m/>
    <m/>
    <m/>
    <x v="6"/>
  </r>
  <r>
    <x v="24"/>
    <x v="1"/>
    <s v="GALERIA GRAL GUEMES S A I"/>
    <m/>
    <m/>
    <m/>
    <s v="$ -"/>
    <m/>
    <m/>
    <n v="0"/>
    <s v="BBVA"/>
    <m/>
    <m/>
    <m/>
    <m/>
    <x v="6"/>
  </r>
  <r>
    <x v="37"/>
    <x v="13"/>
    <m/>
    <m/>
    <m/>
    <m/>
    <s v="$ -"/>
    <m/>
    <m/>
    <n v="0"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O13" firstHeaderRow="1" firstDataRow="3" firstDataCol="1"/>
  <pivotFields count="17">
    <pivotField axis="axisRow" showAll="0">
      <items count="45">
        <item h="1" x="29"/>
        <item h="1" x="27"/>
        <item h="1" x="30"/>
        <item h="1" x="34"/>
        <item h="1" x="25"/>
        <item h="1" x="6"/>
        <item h="1" x="15"/>
        <item x="17"/>
        <item x="42"/>
        <item x="8"/>
        <item x="9"/>
        <item x="13"/>
        <item h="1" x="24"/>
        <item h="1" x="12"/>
        <item h="1" x="31"/>
        <item x="32"/>
        <item x="16"/>
        <item x="35"/>
        <item x="18"/>
        <item x="19"/>
        <item h="1" x="43"/>
        <item h="1" x="28"/>
        <item h="1" x="26"/>
        <item h="1" x="23"/>
        <item h="1" x="38"/>
        <item h="1" x="7"/>
        <item h="1" x="10"/>
        <item h="1" x="11"/>
        <item h="1" x="40"/>
        <item h="1" x="4"/>
        <item h="1" x="39"/>
        <item h="1" x="2"/>
        <item h="1" x="5"/>
        <item h="1" x="3"/>
        <item h="1" x="41"/>
        <item h="1" x="0"/>
        <item h="1" x="1"/>
        <item h="1" x="20"/>
        <item h="1" x="21"/>
        <item h="1" x="33"/>
        <item h="1" x="14"/>
        <item h="1" x="22"/>
        <item h="1" x="36"/>
        <item h="1" x="37"/>
        <item t="default"/>
      </items>
    </pivotField>
    <pivotField axis="axisCol" showAll="0">
      <items count="22">
        <item x="20"/>
        <item x="7"/>
        <item x="5"/>
        <item x="10"/>
        <item x="1"/>
        <item x="4"/>
        <item x="8"/>
        <item x="19"/>
        <item x="6"/>
        <item x="2"/>
        <item x="9"/>
        <item x="18"/>
        <item x="3"/>
        <item x="15"/>
        <item x="17"/>
        <item x="14"/>
        <item x="11"/>
        <item x="16"/>
        <item x="0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/>
    <pivotField dataField="1" showAll="0" defaultSubtotal="0"/>
    <pivotField showAll="0"/>
    <pivotField showAll="0"/>
    <pivotField showAll="0"/>
    <pivotField showAll="0"/>
    <pivotField showAll="0"/>
    <pivotField axis="axisCol" showAll="0">
      <items count="9">
        <item h="1" x="3"/>
        <item h="1" x="2"/>
        <item h="1" x="0"/>
        <item h="1" x="5"/>
        <item h="1" x="4"/>
        <item h="1" x="1"/>
        <item x="6"/>
        <item h="1" x="7"/>
        <item t="default"/>
      </items>
    </pivotField>
    <pivotField axis="axisRow" showAll="0" defaultSubtotal="0">
      <items count="43">
        <item h="1" x="28"/>
        <item h="1" x="26"/>
        <item h="1" x="29"/>
        <item h="1" x="33"/>
        <item h="1" x="24"/>
        <item h="1" x="6"/>
        <item h="1" x="14"/>
        <item sd="0" x="16"/>
        <item n="COM FLORIDA" sd="0" x="42"/>
        <item sd="0" x="8"/>
        <item sd="0" x="12"/>
        <item h="1" x="23"/>
        <item h="1" x="11"/>
        <item h="1" x="30"/>
        <item x="31"/>
        <item sd="0" x="15"/>
        <item x="34"/>
        <item sd="0" x="17"/>
        <item sd="0" x="18"/>
        <item h="1" x="41"/>
        <item h="1" x="27"/>
        <item h="1" x="25"/>
        <item h="1" x="22"/>
        <item h="1" x="37"/>
        <item h="1" x="7"/>
        <item h="1" x="9"/>
        <item h="1" x="10"/>
        <item h="1" x="39"/>
        <item h="1" x="4"/>
        <item h="1" x="38"/>
        <item h="1" x="2"/>
        <item h="1" x="5"/>
        <item h="1" x="3"/>
        <item h="1" x="40"/>
        <item h="1" x="0"/>
        <item h="1" x="1"/>
        <item h="1" x="19"/>
        <item h="1" x="20"/>
        <item h="1" x="32"/>
        <item h="1" x="13"/>
        <item h="1" x="21"/>
        <item h="1" x="35"/>
        <item h="1" x="36"/>
      </items>
    </pivotField>
  </pivotFields>
  <rowFields count="2">
    <field x="16"/>
    <field x="0"/>
  </rowFields>
  <rowItems count="8">
    <i>
      <x v="7"/>
    </i>
    <i>
      <x v="8"/>
    </i>
    <i>
      <x v="9"/>
    </i>
    <i>
      <x v="10"/>
    </i>
    <i>
      <x v="15"/>
    </i>
    <i>
      <x v="17"/>
    </i>
    <i>
      <x v="18"/>
    </i>
    <i t="grand">
      <x/>
    </i>
  </rowItems>
  <colFields count="2">
    <field x="15"/>
    <field x="1"/>
  </colFields>
  <colItems count="14">
    <i>
      <x v="6"/>
      <x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5"/>
    </i>
    <i r="1">
      <x v="18"/>
    </i>
    <i t="default">
      <x v="6"/>
    </i>
    <i t="grand">
      <x/>
    </i>
  </colItems>
  <dataFields count="1">
    <dataField name="Suma de TOTAL SIN IVA" fld="9" baseField="0" baseItem="16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26"/>
  <sheetViews>
    <sheetView tabSelected="1" topLeftCell="F8" workbookViewId="0">
      <selection activeCell="A18" sqref="A18:N26"/>
    </sheetView>
  </sheetViews>
  <sheetFormatPr baseColWidth="10" defaultRowHeight="14.5" x14ac:dyDescent="0.35"/>
  <cols>
    <col min="1" max="1" width="23.08984375" customWidth="1"/>
    <col min="2" max="2" width="12.7265625" customWidth="1"/>
    <col min="3" max="3" width="12.6328125" bestFit="1" customWidth="1"/>
    <col min="4" max="4" width="12.6328125" customWidth="1"/>
    <col min="5" max="5" width="15.1796875" customWidth="1"/>
    <col min="6" max="6" width="12.6328125" customWidth="1"/>
    <col min="7" max="7" width="14.1796875" customWidth="1"/>
    <col min="8" max="8" width="16.54296875" customWidth="1"/>
    <col min="9" max="10" width="12.6328125" customWidth="1"/>
    <col min="11" max="11" width="16.54296875" customWidth="1"/>
    <col min="12" max="13" width="14.08984375" bestFit="1" customWidth="1"/>
    <col min="14" max="14" width="18.7265625" customWidth="1"/>
    <col min="15" max="15" width="15.1796875" bestFit="1" customWidth="1"/>
    <col min="16" max="16" width="15.7265625" bestFit="1" customWidth="1"/>
    <col min="17" max="17" width="14.08984375" bestFit="1" customWidth="1"/>
    <col min="18" max="18" width="11.6328125" bestFit="1" customWidth="1"/>
    <col min="19" max="20" width="15.1796875" bestFit="1" customWidth="1"/>
  </cols>
  <sheetData>
    <row r="3" spans="1:15" x14ac:dyDescent="0.35">
      <c r="A3" s="4" t="s">
        <v>477</v>
      </c>
      <c r="B3" s="4" t="s">
        <v>474</v>
      </c>
    </row>
    <row r="4" spans="1:15" x14ac:dyDescent="0.35">
      <c r="B4" t="s">
        <v>5</v>
      </c>
      <c r="N4" t="s">
        <v>479</v>
      </c>
      <c r="O4" t="s">
        <v>473</v>
      </c>
    </row>
    <row r="5" spans="1:15" x14ac:dyDescent="0.35">
      <c r="A5" s="4" t="s">
        <v>472</v>
      </c>
      <c r="B5" t="s">
        <v>30</v>
      </c>
      <c r="C5" t="s">
        <v>56</v>
      </c>
      <c r="D5" t="s">
        <v>27</v>
      </c>
      <c r="E5" t="s">
        <v>1</v>
      </c>
      <c r="F5" t="s">
        <v>9</v>
      </c>
      <c r="G5" t="s">
        <v>16</v>
      </c>
      <c r="H5" t="s">
        <v>60</v>
      </c>
      <c r="I5" t="s">
        <v>61</v>
      </c>
      <c r="J5" t="s">
        <v>19</v>
      </c>
      <c r="K5" t="s">
        <v>101</v>
      </c>
      <c r="L5" t="s">
        <v>23</v>
      </c>
      <c r="M5" t="s">
        <v>122</v>
      </c>
    </row>
    <row r="6" spans="1:15" x14ac:dyDescent="0.35">
      <c r="A6" s="5" t="s">
        <v>15</v>
      </c>
      <c r="B6" s="7">
        <v>0</v>
      </c>
      <c r="C6" s="7"/>
      <c r="D6" s="7">
        <v>20000</v>
      </c>
      <c r="E6" s="7">
        <v>1091639.7</v>
      </c>
      <c r="F6" s="7"/>
      <c r="G6" s="7">
        <v>41319.39</v>
      </c>
      <c r="H6" s="7">
        <v>1062641.6000000001</v>
      </c>
      <c r="I6" s="7">
        <v>32044</v>
      </c>
      <c r="J6" s="7">
        <v>95612</v>
      </c>
      <c r="K6" s="7">
        <v>1798723.03</v>
      </c>
      <c r="L6" s="7">
        <v>50705</v>
      </c>
      <c r="M6" s="7">
        <v>0</v>
      </c>
      <c r="N6" s="7">
        <v>4192684.7199999997</v>
      </c>
      <c r="O6" s="7">
        <v>4192684.7199999997</v>
      </c>
    </row>
    <row r="7" spans="1:15" x14ac:dyDescent="0.35">
      <c r="A7" s="5" t="s">
        <v>478</v>
      </c>
      <c r="B7" s="7"/>
      <c r="C7" s="7">
        <v>549364.85</v>
      </c>
      <c r="D7" s="7">
        <v>40000</v>
      </c>
      <c r="E7" s="7">
        <v>7000000</v>
      </c>
      <c r="F7" s="7">
        <v>409234.95</v>
      </c>
      <c r="G7" s="7">
        <v>586553.36</v>
      </c>
      <c r="H7" s="7">
        <v>300440.5</v>
      </c>
      <c r="I7" s="7">
        <v>39909</v>
      </c>
      <c r="J7" s="7">
        <v>148427</v>
      </c>
      <c r="K7" s="7"/>
      <c r="L7" s="7">
        <v>0</v>
      </c>
      <c r="M7" s="7"/>
      <c r="N7" s="7">
        <v>9073929.6600000001</v>
      </c>
      <c r="O7" s="7">
        <v>9073929.6600000001</v>
      </c>
    </row>
    <row r="8" spans="1:15" x14ac:dyDescent="0.35">
      <c r="A8" s="5" t="s">
        <v>26</v>
      </c>
      <c r="B8" s="7">
        <v>32044</v>
      </c>
      <c r="C8" s="7"/>
      <c r="D8" s="7">
        <v>40000</v>
      </c>
      <c r="E8" s="7">
        <v>703000</v>
      </c>
      <c r="F8" s="7"/>
      <c r="G8" s="7">
        <v>152149.85</v>
      </c>
      <c r="H8" s="7">
        <v>220840</v>
      </c>
      <c r="I8" s="7">
        <v>0</v>
      </c>
      <c r="J8" s="7">
        <v>105150</v>
      </c>
      <c r="K8" s="7"/>
      <c r="L8" s="7"/>
      <c r="M8" s="7">
        <v>90000</v>
      </c>
      <c r="N8" s="7">
        <v>1343183.85</v>
      </c>
      <c r="O8" s="7">
        <v>1343183.85</v>
      </c>
    </row>
    <row r="9" spans="1:15" x14ac:dyDescent="0.35">
      <c r="A9" s="5" t="s">
        <v>43</v>
      </c>
      <c r="B9" s="7"/>
      <c r="C9" s="7"/>
      <c r="D9" s="7">
        <v>40000</v>
      </c>
      <c r="E9" s="7">
        <v>599275.1</v>
      </c>
      <c r="F9" s="7"/>
      <c r="G9" s="7"/>
      <c r="H9" s="7">
        <v>338831.14</v>
      </c>
      <c r="I9" s="7">
        <v>32044</v>
      </c>
      <c r="J9" s="7">
        <v>36375</v>
      </c>
      <c r="K9" s="7"/>
      <c r="L9" s="7">
        <v>50705</v>
      </c>
      <c r="M9" s="7">
        <v>0</v>
      </c>
      <c r="N9" s="7">
        <v>1097230.24</v>
      </c>
      <c r="O9" s="7">
        <v>1097230.24</v>
      </c>
    </row>
    <row r="10" spans="1:15" x14ac:dyDescent="0.35">
      <c r="A10" s="5" t="s">
        <v>49</v>
      </c>
      <c r="B10" s="7"/>
      <c r="C10" s="7"/>
      <c r="D10" s="7">
        <v>40000</v>
      </c>
      <c r="E10" s="7">
        <v>1448355.71</v>
      </c>
      <c r="F10" s="7"/>
      <c r="G10" s="7">
        <v>78366</v>
      </c>
      <c r="H10" s="7">
        <v>1948016.5</v>
      </c>
      <c r="I10" s="7">
        <v>32044</v>
      </c>
      <c r="J10" s="7">
        <v>59264.47</v>
      </c>
      <c r="K10" s="7"/>
      <c r="L10" s="7">
        <v>0</v>
      </c>
      <c r="M10" s="7">
        <v>0</v>
      </c>
      <c r="N10" s="7">
        <v>3606046.68</v>
      </c>
      <c r="O10" s="7">
        <v>3606046.68</v>
      </c>
    </row>
    <row r="11" spans="1:15" x14ac:dyDescent="0.35">
      <c r="A11" s="5" t="s">
        <v>52</v>
      </c>
      <c r="B11" s="7"/>
      <c r="C11" s="7"/>
      <c r="D11" s="7">
        <v>40000</v>
      </c>
      <c r="E11" s="7">
        <v>2250334.64</v>
      </c>
      <c r="F11" s="7"/>
      <c r="G11" s="7">
        <v>78066.63</v>
      </c>
      <c r="H11" s="7">
        <v>531320.80000000005</v>
      </c>
      <c r="I11" s="7">
        <v>32044</v>
      </c>
      <c r="J11" s="7"/>
      <c r="K11" s="7"/>
      <c r="L11" s="7">
        <v>50705</v>
      </c>
      <c r="M11" s="7">
        <v>0</v>
      </c>
      <c r="N11" s="7">
        <v>2982471.0700000003</v>
      </c>
      <c r="O11" s="7">
        <v>2982471.0700000003</v>
      </c>
    </row>
    <row r="12" spans="1:15" x14ac:dyDescent="0.35">
      <c r="A12" s="5" t="s">
        <v>176</v>
      </c>
      <c r="B12" s="7"/>
      <c r="C12" s="7"/>
      <c r="D12" s="7">
        <v>20000</v>
      </c>
      <c r="E12" s="7">
        <v>900710.7</v>
      </c>
      <c r="F12" s="7"/>
      <c r="G12" s="7">
        <v>137085.62</v>
      </c>
      <c r="H12" s="7">
        <v>531320.80000000005</v>
      </c>
      <c r="I12" s="7">
        <v>32044</v>
      </c>
      <c r="J12" s="7"/>
      <c r="K12" s="7"/>
      <c r="L12" s="7"/>
      <c r="M12" s="7">
        <v>0</v>
      </c>
      <c r="N12" s="7">
        <v>1621161.1199999999</v>
      </c>
      <c r="O12" s="7">
        <v>1621161.1199999999</v>
      </c>
    </row>
    <row r="13" spans="1:15" x14ac:dyDescent="0.35">
      <c r="A13" s="5" t="s">
        <v>473</v>
      </c>
      <c r="B13" s="7">
        <v>32044</v>
      </c>
      <c r="C13" s="7">
        <v>549364.85</v>
      </c>
      <c r="D13" s="7">
        <v>240000</v>
      </c>
      <c r="E13" s="7">
        <v>13993315.849999998</v>
      </c>
      <c r="F13" s="7">
        <v>409234.95</v>
      </c>
      <c r="G13" s="7">
        <v>1073540.8500000001</v>
      </c>
      <c r="H13" s="7">
        <v>4933411.34</v>
      </c>
      <c r="I13" s="7">
        <v>200129</v>
      </c>
      <c r="J13" s="7">
        <v>444828.47</v>
      </c>
      <c r="K13" s="7">
        <v>1798723.03</v>
      </c>
      <c r="L13" s="7">
        <v>152115</v>
      </c>
      <c r="M13" s="7">
        <v>90000</v>
      </c>
      <c r="N13" s="7">
        <v>23916707.34</v>
      </c>
      <c r="O13" s="7">
        <v>23916707.34</v>
      </c>
    </row>
    <row r="18" spans="1:18" x14ac:dyDescent="0.35">
      <c r="A18" s="8" t="s">
        <v>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s="2" customFormat="1" ht="43.5" x14ac:dyDescent="0.35">
      <c r="A19" s="12" t="s">
        <v>480</v>
      </c>
      <c r="B19" s="12" t="s">
        <v>56</v>
      </c>
      <c r="C19" s="12" t="s">
        <v>27</v>
      </c>
      <c r="D19" s="12" t="s">
        <v>9</v>
      </c>
      <c r="E19" s="12" t="s">
        <v>16</v>
      </c>
      <c r="F19" s="12" t="s">
        <v>61</v>
      </c>
      <c r="G19" s="12" t="s">
        <v>19</v>
      </c>
      <c r="H19" s="12" t="s">
        <v>101</v>
      </c>
      <c r="I19" s="12" t="s">
        <v>23</v>
      </c>
      <c r="J19" s="12" t="s">
        <v>122</v>
      </c>
      <c r="K19" s="12" t="s">
        <v>481</v>
      </c>
      <c r="L19" s="12" t="s">
        <v>1</v>
      </c>
      <c r="M19" s="12" t="s">
        <v>60</v>
      </c>
      <c r="N19" s="12" t="s">
        <v>482</v>
      </c>
      <c r="P19" s="13"/>
      <c r="Q19" s="13"/>
      <c r="R19" s="13"/>
    </row>
    <row r="20" spans="1:18" x14ac:dyDescent="0.35">
      <c r="A20" s="9" t="s">
        <v>15</v>
      </c>
      <c r="B20" s="10"/>
      <c r="C20" s="10">
        <v>20000</v>
      </c>
      <c r="D20" s="10"/>
      <c r="E20" s="10">
        <v>41319.39</v>
      </c>
      <c r="F20" s="10">
        <v>32044</v>
      </c>
      <c r="G20" s="10">
        <v>95612</v>
      </c>
      <c r="H20" s="10">
        <v>1798723.03</v>
      </c>
      <c r="I20" s="10">
        <v>50705</v>
      </c>
      <c r="J20" s="10">
        <v>0</v>
      </c>
      <c r="K20" s="14">
        <f>SUM(B20:J20)</f>
        <v>2038403.42</v>
      </c>
      <c r="L20" s="10">
        <v>1091639.7</v>
      </c>
      <c r="M20" s="10">
        <v>1062641.6000000001</v>
      </c>
      <c r="N20" s="15">
        <f>L20+M20</f>
        <v>2154281.2999999998</v>
      </c>
    </row>
    <row r="21" spans="1:18" x14ac:dyDescent="0.35">
      <c r="A21" s="9" t="s">
        <v>478</v>
      </c>
      <c r="B21" s="11">
        <v>549364.85</v>
      </c>
      <c r="C21" s="10">
        <v>40000</v>
      </c>
      <c r="D21" s="10">
        <v>409234.95</v>
      </c>
      <c r="E21" s="10">
        <v>586553.36</v>
      </c>
      <c r="F21" s="10">
        <v>39909</v>
      </c>
      <c r="G21" s="10">
        <v>148427</v>
      </c>
      <c r="H21" s="10"/>
      <c r="I21" s="10">
        <v>0</v>
      </c>
      <c r="J21" s="10"/>
      <c r="K21" s="14">
        <f t="shared" ref="K21:K26" si="0">SUM(B21:J21)</f>
        <v>1773489.1600000001</v>
      </c>
      <c r="L21" s="10">
        <v>7000000</v>
      </c>
      <c r="M21" s="10">
        <v>300440.5</v>
      </c>
      <c r="N21" s="15">
        <f t="shared" ref="N21:N26" si="1">L21+M21</f>
        <v>7300440.5</v>
      </c>
    </row>
    <row r="22" spans="1:18" x14ac:dyDescent="0.35">
      <c r="A22" s="9" t="s">
        <v>26</v>
      </c>
      <c r="B22" s="10"/>
      <c r="C22" s="10">
        <v>40000</v>
      </c>
      <c r="D22" s="10"/>
      <c r="E22" s="10">
        <v>152149.85</v>
      </c>
      <c r="F22" s="10">
        <v>32044</v>
      </c>
      <c r="G22" s="10">
        <v>105150</v>
      </c>
      <c r="H22" s="10"/>
      <c r="I22" s="10"/>
      <c r="J22" s="10">
        <v>90000</v>
      </c>
      <c r="K22" s="14">
        <f t="shared" si="0"/>
        <v>419343.85</v>
      </c>
      <c r="L22" s="10">
        <v>703000</v>
      </c>
      <c r="M22" s="10">
        <v>220840</v>
      </c>
      <c r="N22" s="15">
        <f t="shared" si="1"/>
        <v>923840</v>
      </c>
    </row>
    <row r="23" spans="1:18" x14ac:dyDescent="0.35">
      <c r="A23" s="9" t="s">
        <v>43</v>
      </c>
      <c r="B23" s="10"/>
      <c r="C23" s="10">
        <v>40000</v>
      </c>
      <c r="D23" s="10"/>
      <c r="E23" s="10"/>
      <c r="F23" s="10">
        <v>32044</v>
      </c>
      <c r="G23" s="10">
        <v>36375</v>
      </c>
      <c r="H23" s="10"/>
      <c r="I23" s="10">
        <v>50705</v>
      </c>
      <c r="J23" s="10">
        <v>0</v>
      </c>
      <c r="K23" s="14">
        <f t="shared" si="0"/>
        <v>159124</v>
      </c>
      <c r="L23" s="10">
        <v>599275.1</v>
      </c>
      <c r="M23" s="10">
        <v>338831.14</v>
      </c>
      <c r="N23" s="15">
        <f t="shared" si="1"/>
        <v>938106.24</v>
      </c>
    </row>
    <row r="24" spans="1:18" x14ac:dyDescent="0.35">
      <c r="A24" s="9" t="s">
        <v>49</v>
      </c>
      <c r="B24" s="10"/>
      <c r="C24" s="10">
        <v>40000</v>
      </c>
      <c r="D24" s="10"/>
      <c r="E24" s="10">
        <v>78366</v>
      </c>
      <c r="F24" s="10">
        <v>32044</v>
      </c>
      <c r="G24" s="10">
        <v>59264.47</v>
      </c>
      <c r="H24" s="10"/>
      <c r="I24" s="10">
        <v>0</v>
      </c>
      <c r="J24" s="10">
        <v>0</v>
      </c>
      <c r="K24" s="14">
        <f t="shared" si="0"/>
        <v>209674.47</v>
      </c>
      <c r="L24" s="10">
        <v>1448355.71</v>
      </c>
      <c r="M24" s="10">
        <v>1948016.5</v>
      </c>
      <c r="N24" s="15">
        <f t="shared" si="1"/>
        <v>3396372.21</v>
      </c>
    </row>
    <row r="25" spans="1:18" x14ac:dyDescent="0.35">
      <c r="A25" s="9" t="s">
        <v>52</v>
      </c>
      <c r="B25" s="10"/>
      <c r="C25" s="10">
        <v>40000</v>
      </c>
      <c r="D25" s="10"/>
      <c r="E25" s="10">
        <v>78066.63</v>
      </c>
      <c r="F25" s="10">
        <v>32044</v>
      </c>
      <c r="G25" s="10"/>
      <c r="H25" s="10"/>
      <c r="I25" s="10">
        <v>50705</v>
      </c>
      <c r="J25" s="10">
        <v>0</v>
      </c>
      <c r="K25" s="14">
        <f t="shared" si="0"/>
        <v>200815.63</v>
      </c>
      <c r="L25" s="10">
        <v>2250334.64</v>
      </c>
      <c r="M25" s="10">
        <v>531320.80000000005</v>
      </c>
      <c r="N25" s="15">
        <f t="shared" si="1"/>
        <v>2781655.4400000004</v>
      </c>
    </row>
    <row r="26" spans="1:18" x14ac:dyDescent="0.35">
      <c r="A26" s="9" t="s">
        <v>176</v>
      </c>
      <c r="B26" s="10"/>
      <c r="C26" s="10">
        <v>20000</v>
      </c>
      <c r="D26" s="10"/>
      <c r="E26" s="10">
        <v>137085.62</v>
      </c>
      <c r="F26" s="10">
        <v>32044</v>
      </c>
      <c r="G26" s="10"/>
      <c r="H26" s="10"/>
      <c r="I26" s="10"/>
      <c r="J26" s="10">
        <v>0</v>
      </c>
      <c r="K26" s="14">
        <f t="shared" si="0"/>
        <v>189129.62</v>
      </c>
      <c r="L26" s="10">
        <v>900710.7</v>
      </c>
      <c r="M26" s="10">
        <v>531320.80000000005</v>
      </c>
      <c r="N26" s="15">
        <f t="shared" si="1"/>
        <v>1432031.5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9"/>
  <sheetViews>
    <sheetView topLeftCell="A680" workbookViewId="0">
      <selection activeCell="J761" sqref="J761"/>
    </sheetView>
  </sheetViews>
  <sheetFormatPr baseColWidth="10" defaultRowHeight="14.5" x14ac:dyDescent="0.35"/>
  <cols>
    <col min="1" max="1" width="36.81640625" bestFit="1" customWidth="1"/>
    <col min="2" max="2" width="18.08984375" bestFit="1" customWidth="1"/>
    <col min="3" max="3" width="24.1796875" customWidth="1"/>
    <col min="4" max="4" width="17.7265625" customWidth="1"/>
    <col min="5" max="5" width="14.08984375" bestFit="1" customWidth="1"/>
    <col min="6" max="7" width="12.7265625" bestFit="1" customWidth="1"/>
    <col min="8" max="8" width="13.54296875" bestFit="1" customWidth="1"/>
    <col min="9" max="9" width="13.7265625" bestFit="1" customWidth="1"/>
    <col min="10" max="10" width="13.7265625" customWidth="1"/>
    <col min="11" max="11" width="15.7265625" bestFit="1" customWidth="1"/>
    <col min="12" max="12" width="14.08984375" bestFit="1" customWidth="1"/>
    <col min="13" max="13" width="9.453125" bestFit="1" customWidth="1"/>
    <col min="14" max="14" width="63.26953125" bestFit="1" customWidth="1"/>
    <col min="15" max="15" width="30.81640625" bestFit="1" customWidth="1"/>
    <col min="16" max="16" width="7.6328125" bestFit="1" customWidth="1"/>
  </cols>
  <sheetData>
    <row r="1" spans="1:16" ht="29" x14ac:dyDescent="0.3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475</v>
      </c>
      <c r="I1" t="s">
        <v>114</v>
      </c>
      <c r="J1" t="s">
        <v>476</v>
      </c>
      <c r="K1" t="s">
        <v>115</v>
      </c>
      <c r="L1" t="s">
        <v>116</v>
      </c>
      <c r="M1" s="2" t="s">
        <v>117</v>
      </c>
      <c r="N1" t="s">
        <v>118</v>
      </c>
      <c r="O1" t="s">
        <v>119</v>
      </c>
      <c r="P1" t="s">
        <v>120</v>
      </c>
    </row>
    <row r="2" spans="1:16" x14ac:dyDescent="0.35">
      <c r="A2" t="s">
        <v>121</v>
      </c>
      <c r="B2" t="s">
        <v>122</v>
      </c>
      <c r="E2" s="1"/>
      <c r="I2" s="6">
        <v>3200000</v>
      </c>
      <c r="J2" s="6">
        <f>IF(F2&gt;0,F2,I2)</f>
        <v>3200000</v>
      </c>
      <c r="L2" s="1">
        <v>45937</v>
      </c>
      <c r="M2" s="1"/>
      <c r="P2" t="s">
        <v>123</v>
      </c>
    </row>
    <row r="3" spans="1:16" x14ac:dyDescent="0.35">
      <c r="A3" t="s">
        <v>124</v>
      </c>
      <c r="B3" t="s">
        <v>122</v>
      </c>
      <c r="I3" s="6">
        <v>4000000</v>
      </c>
      <c r="J3" s="6">
        <f t="shared" ref="J3:J66" si="0">IF(F3&gt;0,F3,I3)</f>
        <v>4000000</v>
      </c>
      <c r="L3" s="1">
        <v>45940</v>
      </c>
      <c r="P3" t="s">
        <v>92</v>
      </c>
    </row>
    <row r="4" spans="1:16" x14ac:dyDescent="0.35">
      <c r="A4" t="s">
        <v>125</v>
      </c>
      <c r="B4" t="s">
        <v>1</v>
      </c>
      <c r="I4" t="s">
        <v>8</v>
      </c>
      <c r="J4" s="6" t="str">
        <f t="shared" si="0"/>
        <v>$ -</v>
      </c>
      <c r="L4" s="1">
        <v>45880</v>
      </c>
      <c r="M4" s="1">
        <v>45880</v>
      </c>
      <c r="P4" t="s">
        <v>126</v>
      </c>
    </row>
    <row r="5" spans="1:16" x14ac:dyDescent="0.35">
      <c r="A5" t="s">
        <v>127</v>
      </c>
      <c r="B5" t="s">
        <v>60</v>
      </c>
      <c r="E5" s="1"/>
      <c r="I5" t="s">
        <v>8</v>
      </c>
      <c r="J5" s="6" t="str">
        <f t="shared" si="0"/>
        <v>$ -</v>
      </c>
      <c r="L5" s="1">
        <v>45880</v>
      </c>
      <c r="M5" s="1">
        <v>45880</v>
      </c>
      <c r="P5" t="s">
        <v>126</v>
      </c>
    </row>
    <row r="6" spans="1:16" x14ac:dyDescent="0.35">
      <c r="A6" t="s">
        <v>128</v>
      </c>
      <c r="B6" t="s">
        <v>1</v>
      </c>
      <c r="E6" s="1"/>
      <c r="I6" s="6">
        <v>6000000</v>
      </c>
      <c r="J6" s="6">
        <f t="shared" si="0"/>
        <v>6000000</v>
      </c>
      <c r="L6" s="1">
        <v>45940</v>
      </c>
      <c r="M6" s="1"/>
      <c r="P6" t="s">
        <v>92</v>
      </c>
    </row>
    <row r="7" spans="1:16" x14ac:dyDescent="0.35">
      <c r="A7" t="s">
        <v>129</v>
      </c>
      <c r="B7" t="s">
        <v>60</v>
      </c>
      <c r="E7" s="1"/>
      <c r="I7" s="6">
        <v>350000</v>
      </c>
      <c r="J7" s="6">
        <f t="shared" si="0"/>
        <v>350000</v>
      </c>
      <c r="L7" s="1">
        <v>45940</v>
      </c>
      <c r="M7" s="1"/>
      <c r="P7" t="s">
        <v>92</v>
      </c>
    </row>
    <row r="8" spans="1:16" x14ac:dyDescent="0.35">
      <c r="A8" t="s">
        <v>0</v>
      </c>
      <c r="B8" t="s">
        <v>19</v>
      </c>
      <c r="C8" t="s">
        <v>11</v>
      </c>
      <c r="E8" s="1"/>
      <c r="I8" s="6">
        <v>21306.6</v>
      </c>
      <c r="J8" s="6">
        <f t="shared" si="0"/>
        <v>21306.6</v>
      </c>
      <c r="K8" t="s">
        <v>4</v>
      </c>
      <c r="L8" s="1">
        <v>45782</v>
      </c>
      <c r="M8" s="1">
        <v>45784</v>
      </c>
      <c r="P8" t="s">
        <v>130</v>
      </c>
    </row>
    <row r="9" spans="1:16" x14ac:dyDescent="0.35">
      <c r="A9" t="s">
        <v>0</v>
      </c>
      <c r="B9" t="s">
        <v>1</v>
      </c>
      <c r="C9" t="s">
        <v>2</v>
      </c>
      <c r="D9" t="s">
        <v>131</v>
      </c>
      <c r="E9" s="1"/>
      <c r="F9" s="6">
        <v>600000</v>
      </c>
      <c r="G9" s="6">
        <v>126000</v>
      </c>
      <c r="I9" s="6">
        <v>726000</v>
      </c>
      <c r="J9" s="6">
        <f t="shared" si="0"/>
        <v>600000</v>
      </c>
      <c r="K9" t="s">
        <v>4</v>
      </c>
      <c r="L9" s="1">
        <v>45758</v>
      </c>
      <c r="M9" s="1">
        <v>45758</v>
      </c>
      <c r="P9" t="s">
        <v>130</v>
      </c>
    </row>
    <row r="10" spans="1:16" x14ac:dyDescent="0.35">
      <c r="A10" t="s">
        <v>0</v>
      </c>
      <c r="B10" t="s">
        <v>6</v>
      </c>
      <c r="C10" t="s">
        <v>2</v>
      </c>
      <c r="E10" s="1"/>
      <c r="I10" s="6">
        <v>15341.48</v>
      </c>
      <c r="J10" s="6">
        <f t="shared" si="0"/>
        <v>15341.48</v>
      </c>
      <c r="K10" t="s">
        <v>4</v>
      </c>
      <c r="L10" s="1">
        <v>45758</v>
      </c>
      <c r="M10" s="1">
        <v>45758</v>
      </c>
      <c r="P10" t="s">
        <v>130</v>
      </c>
    </row>
    <row r="11" spans="1:16" x14ac:dyDescent="0.35">
      <c r="A11" t="s">
        <v>0</v>
      </c>
      <c r="B11" t="s">
        <v>132</v>
      </c>
      <c r="E11" s="1"/>
      <c r="J11" s="6">
        <f t="shared" si="0"/>
        <v>0</v>
      </c>
      <c r="L11" s="1">
        <v>45748</v>
      </c>
      <c r="M11" s="1">
        <v>45748</v>
      </c>
      <c r="P11" t="s">
        <v>130</v>
      </c>
    </row>
    <row r="12" spans="1:16" x14ac:dyDescent="0.35">
      <c r="A12" t="s">
        <v>133</v>
      </c>
      <c r="B12" t="s">
        <v>1</v>
      </c>
      <c r="C12" t="s">
        <v>57</v>
      </c>
      <c r="D12" t="s">
        <v>134</v>
      </c>
      <c r="E12" s="1"/>
      <c r="F12" s="6">
        <v>941117.31</v>
      </c>
      <c r="G12" s="6">
        <v>197634.64</v>
      </c>
      <c r="I12" s="6">
        <v>1138751.95</v>
      </c>
      <c r="J12" s="6">
        <f t="shared" si="0"/>
        <v>941117.31</v>
      </c>
      <c r="K12" t="s">
        <v>4</v>
      </c>
      <c r="L12" s="1">
        <v>45754</v>
      </c>
      <c r="M12" s="1">
        <v>45754</v>
      </c>
      <c r="P12" t="s">
        <v>130</v>
      </c>
    </row>
    <row r="13" spans="1:16" x14ac:dyDescent="0.35">
      <c r="A13" t="s">
        <v>133</v>
      </c>
      <c r="B13" t="s">
        <v>60</v>
      </c>
      <c r="C13" t="s">
        <v>57</v>
      </c>
      <c r="D13" t="s">
        <v>135</v>
      </c>
      <c r="E13" s="1"/>
      <c r="I13" s="6">
        <v>285021.89</v>
      </c>
      <c r="J13" s="6">
        <f t="shared" si="0"/>
        <v>285021.89</v>
      </c>
      <c r="K13" t="s">
        <v>4</v>
      </c>
      <c r="L13" s="1">
        <v>45770</v>
      </c>
      <c r="M13" s="1">
        <v>45770</v>
      </c>
      <c r="P13" t="s">
        <v>130</v>
      </c>
    </row>
    <row r="14" spans="1:16" x14ac:dyDescent="0.35">
      <c r="A14" t="s">
        <v>133</v>
      </c>
      <c r="B14" t="s">
        <v>16</v>
      </c>
      <c r="C14" t="s">
        <v>57</v>
      </c>
      <c r="D14" t="s">
        <v>135</v>
      </c>
      <c r="E14" s="1"/>
      <c r="I14" s="6">
        <v>261802.71</v>
      </c>
      <c r="J14" s="6">
        <f t="shared" si="0"/>
        <v>261802.71</v>
      </c>
      <c r="K14" t="s">
        <v>4</v>
      </c>
      <c r="L14" s="1">
        <v>45770</v>
      </c>
      <c r="M14" s="1">
        <v>45770</v>
      </c>
      <c r="P14" t="s">
        <v>130</v>
      </c>
    </row>
    <row r="15" spans="1:16" x14ac:dyDescent="0.35">
      <c r="A15" t="s">
        <v>133</v>
      </c>
      <c r="B15" t="s">
        <v>56</v>
      </c>
      <c r="C15" t="s">
        <v>57</v>
      </c>
      <c r="D15" t="s">
        <v>135</v>
      </c>
      <c r="E15" s="1"/>
      <c r="I15" s="6">
        <v>45283.21</v>
      </c>
      <c r="J15" s="6">
        <f t="shared" si="0"/>
        <v>45283.21</v>
      </c>
      <c r="K15" t="s">
        <v>4</v>
      </c>
      <c r="L15" s="1">
        <v>45770</v>
      </c>
      <c r="M15" s="1">
        <v>45770</v>
      </c>
      <c r="P15" t="s">
        <v>130</v>
      </c>
    </row>
    <row r="16" spans="1:16" x14ac:dyDescent="0.35">
      <c r="A16" t="s">
        <v>133</v>
      </c>
      <c r="B16" t="s">
        <v>9</v>
      </c>
      <c r="C16" t="s">
        <v>57</v>
      </c>
      <c r="D16" t="s">
        <v>135</v>
      </c>
      <c r="E16" s="1"/>
      <c r="I16" s="6">
        <v>81350.42</v>
      </c>
      <c r="J16" s="6">
        <f t="shared" si="0"/>
        <v>81350.42</v>
      </c>
      <c r="K16" t="s">
        <v>4</v>
      </c>
      <c r="L16" s="1">
        <v>45770</v>
      </c>
      <c r="M16" s="1">
        <v>45770</v>
      </c>
      <c r="P16" t="s">
        <v>130</v>
      </c>
    </row>
    <row r="17" spans="1:16" x14ac:dyDescent="0.35">
      <c r="A17" t="s">
        <v>133</v>
      </c>
      <c r="B17" t="s">
        <v>61</v>
      </c>
      <c r="C17" t="s">
        <v>31</v>
      </c>
      <c r="D17" t="s">
        <v>136</v>
      </c>
      <c r="E17" s="1"/>
      <c r="F17" s="6">
        <v>34220</v>
      </c>
      <c r="G17" s="6">
        <v>7186.2</v>
      </c>
      <c r="I17" s="6">
        <v>41406.199999999997</v>
      </c>
      <c r="J17" s="6">
        <f t="shared" si="0"/>
        <v>34220</v>
      </c>
      <c r="K17" t="s">
        <v>4</v>
      </c>
      <c r="L17" s="1">
        <v>45770</v>
      </c>
      <c r="M17" s="1">
        <v>45770</v>
      </c>
      <c r="P17" t="s">
        <v>130</v>
      </c>
    </row>
    <row r="18" spans="1:16" x14ac:dyDescent="0.35">
      <c r="A18" t="s">
        <v>133</v>
      </c>
      <c r="B18" t="s">
        <v>19</v>
      </c>
      <c r="C18" t="s">
        <v>37</v>
      </c>
      <c r="D18" t="s">
        <v>137</v>
      </c>
      <c r="E18" s="1"/>
      <c r="F18" s="6">
        <v>64701</v>
      </c>
      <c r="G18" s="6">
        <v>13587.21</v>
      </c>
      <c r="H18" s="6">
        <v>5176.08</v>
      </c>
      <c r="I18" s="6">
        <v>83464.289999999994</v>
      </c>
      <c r="J18" s="6">
        <f t="shared" si="0"/>
        <v>64701</v>
      </c>
      <c r="K18" t="s">
        <v>39</v>
      </c>
      <c r="L18" s="1">
        <v>45754</v>
      </c>
      <c r="M18" s="1">
        <v>45754</v>
      </c>
      <c r="P18" t="s">
        <v>130</v>
      </c>
    </row>
    <row r="19" spans="1:16" x14ac:dyDescent="0.35">
      <c r="A19" t="s">
        <v>33</v>
      </c>
      <c r="B19" t="s">
        <v>16</v>
      </c>
      <c r="C19" t="s">
        <v>16</v>
      </c>
      <c r="D19" t="s">
        <v>138</v>
      </c>
      <c r="E19" s="1"/>
      <c r="F19" s="6">
        <v>118639.49</v>
      </c>
      <c r="G19" s="6">
        <v>32032.66</v>
      </c>
      <c r="H19" s="6">
        <v>10788.91</v>
      </c>
      <c r="I19" s="6">
        <v>161461.06</v>
      </c>
      <c r="J19" s="6">
        <f t="shared" si="0"/>
        <v>118639.49</v>
      </c>
      <c r="K19" t="s">
        <v>18</v>
      </c>
      <c r="L19" s="1">
        <v>45756</v>
      </c>
      <c r="M19" s="1">
        <v>45756</v>
      </c>
      <c r="P19" t="s">
        <v>130</v>
      </c>
    </row>
    <row r="20" spans="1:16" x14ac:dyDescent="0.35">
      <c r="A20" t="s">
        <v>33</v>
      </c>
      <c r="B20" t="s">
        <v>16</v>
      </c>
      <c r="C20" t="s">
        <v>16</v>
      </c>
      <c r="D20" t="s">
        <v>139</v>
      </c>
      <c r="E20" s="1"/>
      <c r="F20" s="6">
        <v>12202.15</v>
      </c>
      <c r="G20" s="6">
        <v>3294.58</v>
      </c>
      <c r="H20" s="6">
        <v>801.89</v>
      </c>
      <c r="I20" s="6">
        <v>16298.62</v>
      </c>
      <c r="J20" s="6">
        <f t="shared" si="0"/>
        <v>12202.15</v>
      </c>
      <c r="K20" t="s">
        <v>18</v>
      </c>
      <c r="L20" s="1">
        <v>45756</v>
      </c>
      <c r="M20" s="1">
        <v>45756</v>
      </c>
      <c r="P20" t="s">
        <v>130</v>
      </c>
    </row>
    <row r="21" spans="1:16" x14ac:dyDescent="0.35">
      <c r="A21" t="s">
        <v>33</v>
      </c>
      <c r="B21" t="s">
        <v>16</v>
      </c>
      <c r="C21" t="s">
        <v>16</v>
      </c>
      <c r="D21" t="s">
        <v>140</v>
      </c>
      <c r="F21" s="6">
        <v>337381.6</v>
      </c>
      <c r="G21" s="6">
        <v>91093.03</v>
      </c>
      <c r="H21" s="6">
        <v>31313.49</v>
      </c>
      <c r="I21" s="6">
        <v>459788.12</v>
      </c>
      <c r="J21" s="6">
        <f t="shared" si="0"/>
        <v>337381.6</v>
      </c>
      <c r="K21" t="s">
        <v>18</v>
      </c>
      <c r="L21" s="1">
        <v>45762</v>
      </c>
      <c r="M21" s="1">
        <v>45762</v>
      </c>
      <c r="P21" t="s">
        <v>130</v>
      </c>
    </row>
    <row r="22" spans="1:16" x14ac:dyDescent="0.35">
      <c r="A22" t="s">
        <v>33</v>
      </c>
      <c r="B22" t="s">
        <v>1</v>
      </c>
      <c r="C22" t="s">
        <v>57</v>
      </c>
      <c r="D22" t="s">
        <v>141</v>
      </c>
      <c r="E22" s="1"/>
      <c r="F22" s="6">
        <v>2924376.08</v>
      </c>
      <c r="G22" s="6">
        <v>614118.98</v>
      </c>
      <c r="I22" s="6">
        <v>3538495.06</v>
      </c>
      <c r="J22" s="6">
        <f t="shared" si="0"/>
        <v>2924376.08</v>
      </c>
      <c r="K22" t="s">
        <v>4</v>
      </c>
      <c r="L22" s="1">
        <v>45754</v>
      </c>
      <c r="M22" s="1">
        <v>45754</v>
      </c>
      <c r="P22" t="s">
        <v>130</v>
      </c>
    </row>
    <row r="23" spans="1:16" x14ac:dyDescent="0.35">
      <c r="A23" t="s">
        <v>33</v>
      </c>
      <c r="B23" t="s">
        <v>60</v>
      </c>
      <c r="C23" t="s">
        <v>57</v>
      </c>
      <c r="D23" t="s">
        <v>142</v>
      </c>
      <c r="E23" s="1"/>
      <c r="I23" s="6">
        <v>407740.5</v>
      </c>
      <c r="J23" s="6">
        <f t="shared" si="0"/>
        <v>407740.5</v>
      </c>
      <c r="K23" t="s">
        <v>4</v>
      </c>
      <c r="L23" s="1">
        <v>45770</v>
      </c>
      <c r="M23" s="1">
        <v>45770</v>
      </c>
      <c r="P23" t="s">
        <v>130</v>
      </c>
    </row>
    <row r="24" spans="1:16" x14ac:dyDescent="0.35">
      <c r="A24" t="s">
        <v>33</v>
      </c>
      <c r="B24" t="s">
        <v>56</v>
      </c>
      <c r="C24" t="s">
        <v>57</v>
      </c>
      <c r="D24" t="s">
        <v>142</v>
      </c>
      <c r="E24" s="1"/>
      <c r="I24" s="6">
        <v>456619.16</v>
      </c>
      <c r="J24" s="6">
        <f t="shared" si="0"/>
        <v>456619.16</v>
      </c>
      <c r="K24" t="s">
        <v>4</v>
      </c>
      <c r="L24" s="1">
        <v>45770</v>
      </c>
      <c r="M24" s="1">
        <v>45770</v>
      </c>
      <c r="P24" t="s">
        <v>130</v>
      </c>
    </row>
    <row r="25" spans="1:16" x14ac:dyDescent="0.35">
      <c r="A25" t="s">
        <v>33</v>
      </c>
      <c r="B25" t="s">
        <v>9</v>
      </c>
      <c r="C25" t="s">
        <v>57</v>
      </c>
      <c r="D25" t="s">
        <v>142</v>
      </c>
      <c r="I25" s="6">
        <v>519510.52</v>
      </c>
      <c r="J25" s="6">
        <f t="shared" si="0"/>
        <v>519510.52</v>
      </c>
      <c r="K25" t="s">
        <v>4</v>
      </c>
      <c r="L25" s="1">
        <v>45770</v>
      </c>
      <c r="M25" s="1">
        <v>45770</v>
      </c>
      <c r="P25" t="s">
        <v>130</v>
      </c>
    </row>
    <row r="26" spans="1:16" x14ac:dyDescent="0.35">
      <c r="A26" t="s">
        <v>33</v>
      </c>
      <c r="B26" t="s">
        <v>61</v>
      </c>
      <c r="C26" t="s">
        <v>31</v>
      </c>
      <c r="D26" t="s">
        <v>136</v>
      </c>
      <c r="E26" s="1"/>
      <c r="F26" s="6">
        <v>24380</v>
      </c>
      <c r="G26" s="6">
        <v>5119.8</v>
      </c>
      <c r="I26" s="6">
        <v>29499.8</v>
      </c>
      <c r="J26" s="6">
        <f t="shared" si="0"/>
        <v>24380</v>
      </c>
      <c r="K26" t="s">
        <v>4</v>
      </c>
      <c r="L26" s="1">
        <v>45770</v>
      </c>
      <c r="M26" s="1">
        <v>45770</v>
      </c>
      <c r="P26" t="s">
        <v>130</v>
      </c>
    </row>
    <row r="27" spans="1:16" x14ac:dyDescent="0.35">
      <c r="A27" t="s">
        <v>33</v>
      </c>
      <c r="B27" t="s">
        <v>27</v>
      </c>
      <c r="C27" t="s">
        <v>28</v>
      </c>
      <c r="D27" t="s">
        <v>143</v>
      </c>
      <c r="E27" s="1"/>
      <c r="I27" s="6">
        <v>40000</v>
      </c>
      <c r="J27" s="6">
        <f t="shared" si="0"/>
        <v>40000</v>
      </c>
      <c r="K27" t="s">
        <v>4</v>
      </c>
      <c r="L27" s="1">
        <v>45783</v>
      </c>
      <c r="M27" s="1">
        <v>45783</v>
      </c>
      <c r="P27" t="s">
        <v>130</v>
      </c>
    </row>
    <row r="28" spans="1:16" x14ac:dyDescent="0.35">
      <c r="A28" t="s">
        <v>33</v>
      </c>
      <c r="B28" t="s">
        <v>19</v>
      </c>
      <c r="C28" t="s">
        <v>37</v>
      </c>
      <c r="D28" t="s">
        <v>144</v>
      </c>
      <c r="E28" s="1"/>
      <c r="F28" s="6">
        <v>127001</v>
      </c>
      <c r="G28" s="6">
        <v>26670.21</v>
      </c>
      <c r="H28" s="6">
        <v>10160.08</v>
      </c>
      <c r="I28" s="6">
        <v>163831.29</v>
      </c>
      <c r="J28" s="6">
        <f t="shared" si="0"/>
        <v>127001</v>
      </c>
      <c r="K28" t="s">
        <v>39</v>
      </c>
      <c r="L28" s="1">
        <v>45754</v>
      </c>
      <c r="M28" s="1">
        <v>45754</v>
      </c>
      <c r="P28" t="s">
        <v>130</v>
      </c>
    </row>
    <row r="29" spans="1:16" x14ac:dyDescent="0.35">
      <c r="A29" t="s">
        <v>26</v>
      </c>
      <c r="B29" t="s">
        <v>16</v>
      </c>
      <c r="C29" t="s">
        <v>16</v>
      </c>
      <c r="D29" t="s">
        <v>145</v>
      </c>
      <c r="E29" s="1"/>
      <c r="F29" s="6">
        <v>117541.92</v>
      </c>
      <c r="G29" s="6">
        <v>31736.32</v>
      </c>
      <c r="H29" s="6">
        <v>10685.93</v>
      </c>
      <c r="I29" s="6">
        <v>159964.17000000001</v>
      </c>
      <c r="J29" s="6">
        <f t="shared" si="0"/>
        <v>117541.92</v>
      </c>
      <c r="K29" t="s">
        <v>18</v>
      </c>
      <c r="L29" s="1">
        <v>45756</v>
      </c>
      <c r="M29" s="1">
        <v>45756</v>
      </c>
      <c r="P29" t="s">
        <v>130</v>
      </c>
    </row>
    <row r="30" spans="1:16" x14ac:dyDescent="0.35">
      <c r="A30" t="s">
        <v>26</v>
      </c>
      <c r="B30" t="s">
        <v>16</v>
      </c>
      <c r="C30" t="s">
        <v>16</v>
      </c>
      <c r="D30" t="s">
        <v>146</v>
      </c>
      <c r="E30" s="1"/>
      <c r="F30" s="6">
        <v>50547.91</v>
      </c>
      <c r="G30" s="6">
        <v>13647.94</v>
      </c>
      <c r="H30" s="6">
        <v>4399.88</v>
      </c>
      <c r="I30" s="6">
        <v>68595.73</v>
      </c>
      <c r="J30" s="6">
        <f t="shared" si="0"/>
        <v>50547.91</v>
      </c>
      <c r="K30" t="s">
        <v>18</v>
      </c>
      <c r="L30" s="1">
        <v>45756</v>
      </c>
      <c r="M30" s="1">
        <v>45756</v>
      </c>
      <c r="P30" t="s">
        <v>130</v>
      </c>
    </row>
    <row r="31" spans="1:16" x14ac:dyDescent="0.35">
      <c r="A31" t="s">
        <v>26</v>
      </c>
      <c r="B31" t="s">
        <v>1</v>
      </c>
      <c r="C31" t="s">
        <v>147</v>
      </c>
      <c r="D31" t="s">
        <v>148</v>
      </c>
      <c r="E31" s="1"/>
      <c r="G31" t="s">
        <v>8</v>
      </c>
      <c r="I31" s="6">
        <v>738584</v>
      </c>
      <c r="J31" s="6">
        <f t="shared" si="0"/>
        <v>738584</v>
      </c>
      <c r="K31" t="s">
        <v>4</v>
      </c>
      <c r="L31" s="1">
        <v>45763</v>
      </c>
      <c r="M31" s="1">
        <v>45763</v>
      </c>
      <c r="P31" t="s">
        <v>130</v>
      </c>
    </row>
    <row r="32" spans="1:16" x14ac:dyDescent="0.35">
      <c r="A32" t="s">
        <v>26</v>
      </c>
      <c r="B32" t="s">
        <v>61</v>
      </c>
      <c r="C32" t="s">
        <v>31</v>
      </c>
      <c r="D32" t="s">
        <v>136</v>
      </c>
      <c r="E32" s="1"/>
      <c r="F32" s="6">
        <v>27480</v>
      </c>
      <c r="G32" s="6">
        <v>5770.8</v>
      </c>
      <c r="I32" s="6">
        <v>33250.800000000003</v>
      </c>
      <c r="J32" s="6">
        <f t="shared" si="0"/>
        <v>27480</v>
      </c>
      <c r="K32" t="s">
        <v>4</v>
      </c>
      <c r="L32" s="1">
        <v>45770</v>
      </c>
      <c r="M32" s="1">
        <v>45770</v>
      </c>
      <c r="P32" t="s">
        <v>130</v>
      </c>
    </row>
    <row r="33" spans="1:16" x14ac:dyDescent="0.35">
      <c r="A33" t="s">
        <v>26</v>
      </c>
      <c r="B33" t="s">
        <v>27</v>
      </c>
      <c r="C33" t="s">
        <v>28</v>
      </c>
      <c r="D33" t="s">
        <v>143</v>
      </c>
      <c r="E33" s="1"/>
      <c r="I33" s="6">
        <v>40000</v>
      </c>
      <c r="J33" s="6">
        <f t="shared" si="0"/>
        <v>40000</v>
      </c>
      <c r="K33" t="s">
        <v>4</v>
      </c>
      <c r="L33" s="1">
        <v>45783</v>
      </c>
      <c r="M33" s="1">
        <v>45783</v>
      </c>
      <c r="P33" t="s">
        <v>130</v>
      </c>
    </row>
    <row r="34" spans="1:16" x14ac:dyDescent="0.35">
      <c r="A34" t="s">
        <v>26</v>
      </c>
      <c r="B34" t="s">
        <v>60</v>
      </c>
      <c r="C34" t="s">
        <v>149</v>
      </c>
      <c r="D34" t="s">
        <v>7</v>
      </c>
      <c r="E34" s="1"/>
      <c r="F34" s="6">
        <v>214646.93</v>
      </c>
      <c r="I34" s="6">
        <v>214646.93</v>
      </c>
      <c r="J34" s="6">
        <f t="shared" si="0"/>
        <v>214646.93</v>
      </c>
      <c r="K34" t="s">
        <v>150</v>
      </c>
      <c r="L34" s="1">
        <v>45757</v>
      </c>
      <c r="M34" s="1">
        <v>45757</v>
      </c>
      <c r="P34" t="s">
        <v>130</v>
      </c>
    </row>
    <row r="35" spans="1:16" x14ac:dyDescent="0.35">
      <c r="A35" t="s">
        <v>26</v>
      </c>
      <c r="B35" t="s">
        <v>19</v>
      </c>
      <c r="C35" t="s">
        <v>37</v>
      </c>
      <c r="D35" t="s">
        <v>151</v>
      </c>
      <c r="E35" s="1"/>
      <c r="F35" s="6">
        <v>89800</v>
      </c>
      <c r="G35" s="6">
        <v>18858</v>
      </c>
      <c r="H35" s="6">
        <v>7184</v>
      </c>
      <c r="I35" s="6">
        <v>115842</v>
      </c>
      <c r="J35" s="6">
        <f t="shared" si="0"/>
        <v>89800</v>
      </c>
      <c r="K35" t="s">
        <v>18</v>
      </c>
      <c r="L35" s="1">
        <v>45754</v>
      </c>
      <c r="M35" s="1">
        <v>45754</v>
      </c>
      <c r="P35" t="s">
        <v>130</v>
      </c>
    </row>
    <row r="36" spans="1:16" x14ac:dyDescent="0.35">
      <c r="A36" t="s">
        <v>152</v>
      </c>
      <c r="B36" t="s">
        <v>1</v>
      </c>
      <c r="C36" t="s">
        <v>47</v>
      </c>
      <c r="D36" t="s">
        <v>153</v>
      </c>
      <c r="E36" s="1"/>
      <c r="F36" s="6">
        <v>500000</v>
      </c>
      <c r="G36" s="6">
        <v>105000</v>
      </c>
      <c r="I36" s="6">
        <v>605000</v>
      </c>
      <c r="J36" s="6">
        <f t="shared" si="0"/>
        <v>500000</v>
      </c>
      <c r="K36" t="s">
        <v>4</v>
      </c>
      <c r="L36" s="1">
        <v>45761</v>
      </c>
      <c r="M36" s="1">
        <v>45761</v>
      </c>
      <c r="P36" t="s">
        <v>130</v>
      </c>
    </row>
    <row r="37" spans="1:16" x14ac:dyDescent="0.35">
      <c r="A37" t="s">
        <v>152</v>
      </c>
      <c r="B37" t="s">
        <v>60</v>
      </c>
      <c r="C37" t="s">
        <v>47</v>
      </c>
      <c r="D37" t="s">
        <v>153</v>
      </c>
      <c r="E37" s="1"/>
      <c r="H37" s="6">
        <v>268402.17</v>
      </c>
      <c r="I37" s="6">
        <v>268402.17</v>
      </c>
      <c r="J37" s="6">
        <f t="shared" si="0"/>
        <v>268402.17</v>
      </c>
      <c r="K37" t="s">
        <v>4</v>
      </c>
      <c r="L37" s="1">
        <v>45761</v>
      </c>
      <c r="M37" s="1">
        <v>45761</v>
      </c>
      <c r="P37" t="s">
        <v>130</v>
      </c>
    </row>
    <row r="38" spans="1:16" x14ac:dyDescent="0.35">
      <c r="A38" t="s">
        <v>154</v>
      </c>
      <c r="B38" t="s">
        <v>1</v>
      </c>
      <c r="C38" t="s">
        <v>47</v>
      </c>
      <c r="D38" t="s">
        <v>155</v>
      </c>
      <c r="E38" s="1"/>
      <c r="F38" s="6">
        <v>211929.60000000001</v>
      </c>
      <c r="G38" s="6">
        <v>44505.22</v>
      </c>
      <c r="I38" s="6">
        <v>256434.82</v>
      </c>
      <c r="J38" s="6">
        <f t="shared" si="0"/>
        <v>211929.60000000001</v>
      </c>
      <c r="K38" t="s">
        <v>4</v>
      </c>
      <c r="L38" s="1">
        <v>45761</v>
      </c>
      <c r="M38" s="1">
        <v>45761</v>
      </c>
      <c r="P38" t="s">
        <v>130</v>
      </c>
    </row>
    <row r="39" spans="1:16" x14ac:dyDescent="0.35">
      <c r="A39" t="s">
        <v>154</v>
      </c>
      <c r="B39" t="s">
        <v>60</v>
      </c>
      <c r="C39" t="s">
        <v>47</v>
      </c>
      <c r="D39" t="s">
        <v>155</v>
      </c>
      <c r="E39" s="1"/>
      <c r="H39" s="6">
        <v>477159.41</v>
      </c>
      <c r="I39" s="6">
        <v>477159.41</v>
      </c>
      <c r="J39" s="6">
        <f t="shared" si="0"/>
        <v>477159.41</v>
      </c>
      <c r="K39" t="s">
        <v>4</v>
      </c>
      <c r="L39" s="1">
        <v>45761</v>
      </c>
      <c r="M39" s="1">
        <v>45761</v>
      </c>
      <c r="P39" t="s">
        <v>130</v>
      </c>
    </row>
    <row r="40" spans="1:16" x14ac:dyDescent="0.35">
      <c r="A40" t="s">
        <v>156</v>
      </c>
      <c r="B40" t="s">
        <v>1</v>
      </c>
      <c r="C40" t="s">
        <v>47</v>
      </c>
      <c r="D40" t="s">
        <v>157</v>
      </c>
      <c r="E40" s="1"/>
      <c r="F40" s="6">
        <v>386330</v>
      </c>
      <c r="G40" s="6">
        <v>81129.3</v>
      </c>
      <c r="I40" s="6">
        <v>467459.3</v>
      </c>
      <c r="J40" s="6">
        <f t="shared" si="0"/>
        <v>386330</v>
      </c>
      <c r="K40" t="s">
        <v>4</v>
      </c>
      <c r="L40" s="1">
        <v>45761</v>
      </c>
      <c r="M40" s="1">
        <v>45761</v>
      </c>
      <c r="P40" t="s">
        <v>130</v>
      </c>
    </row>
    <row r="41" spans="1:16" x14ac:dyDescent="0.35">
      <c r="A41" t="s">
        <v>156</v>
      </c>
      <c r="B41" t="s">
        <v>60</v>
      </c>
      <c r="C41" t="s">
        <v>47</v>
      </c>
      <c r="D41" t="s">
        <v>157</v>
      </c>
      <c r="E41" s="1"/>
      <c r="H41" s="6">
        <v>42869.79</v>
      </c>
      <c r="I41" s="6">
        <v>42869.79</v>
      </c>
      <c r="J41" s="6">
        <f t="shared" si="0"/>
        <v>42869.79</v>
      </c>
      <c r="K41" t="s">
        <v>4</v>
      </c>
      <c r="L41" s="1">
        <v>45761</v>
      </c>
      <c r="M41" s="1">
        <v>45761</v>
      </c>
      <c r="P41" t="s">
        <v>130</v>
      </c>
    </row>
    <row r="42" spans="1:16" x14ac:dyDescent="0.35">
      <c r="A42" t="s">
        <v>156</v>
      </c>
      <c r="B42" t="s">
        <v>16</v>
      </c>
      <c r="C42" t="s">
        <v>47</v>
      </c>
      <c r="D42" t="s">
        <v>157</v>
      </c>
      <c r="E42" s="1"/>
      <c r="F42" s="6">
        <v>5477.78</v>
      </c>
      <c r="G42" s="6">
        <v>1150.33</v>
      </c>
      <c r="I42" s="6">
        <v>6628.11</v>
      </c>
      <c r="J42" s="6">
        <f t="shared" si="0"/>
        <v>5477.78</v>
      </c>
      <c r="K42" t="s">
        <v>4</v>
      </c>
      <c r="L42" s="1">
        <v>45761</v>
      </c>
      <c r="M42" s="1">
        <v>45761</v>
      </c>
      <c r="P42" t="s">
        <v>130</v>
      </c>
    </row>
    <row r="43" spans="1:16" x14ac:dyDescent="0.35">
      <c r="A43" t="s">
        <v>43</v>
      </c>
      <c r="B43" t="s">
        <v>1</v>
      </c>
      <c r="C43" t="s">
        <v>47</v>
      </c>
      <c r="D43" t="s">
        <v>158</v>
      </c>
      <c r="E43" s="1"/>
      <c r="F43" s="6">
        <v>540862</v>
      </c>
      <c r="G43" s="6">
        <v>113581.02</v>
      </c>
      <c r="I43" s="6">
        <v>654443.02</v>
      </c>
      <c r="J43" s="6">
        <f t="shared" si="0"/>
        <v>540862</v>
      </c>
      <c r="K43" t="s">
        <v>4</v>
      </c>
      <c r="L43" s="1">
        <v>45761</v>
      </c>
      <c r="M43" s="1">
        <v>45761</v>
      </c>
      <c r="P43" t="s">
        <v>130</v>
      </c>
    </row>
    <row r="44" spans="1:16" x14ac:dyDescent="0.35">
      <c r="A44" t="s">
        <v>43</v>
      </c>
      <c r="B44" t="s">
        <v>60</v>
      </c>
      <c r="C44" t="s">
        <v>47</v>
      </c>
      <c r="D44" t="s">
        <v>158</v>
      </c>
      <c r="E44" s="1"/>
      <c r="H44" s="6">
        <v>280206.89</v>
      </c>
      <c r="I44" s="6">
        <v>280206.89</v>
      </c>
      <c r="J44" s="6">
        <f t="shared" si="0"/>
        <v>280206.89</v>
      </c>
      <c r="K44" t="s">
        <v>4</v>
      </c>
      <c r="L44" s="1">
        <v>45761</v>
      </c>
      <c r="M44" s="1">
        <v>45761</v>
      </c>
      <c r="P44" t="s">
        <v>130</v>
      </c>
    </row>
    <row r="45" spans="1:16" x14ac:dyDescent="0.35">
      <c r="A45" t="s">
        <v>43</v>
      </c>
      <c r="B45" t="s">
        <v>61</v>
      </c>
      <c r="C45" t="s">
        <v>31</v>
      </c>
      <c r="D45" t="s">
        <v>136</v>
      </c>
      <c r="E45" s="1"/>
      <c r="F45" s="6">
        <v>27480</v>
      </c>
      <c r="G45" s="6">
        <v>5770.8</v>
      </c>
      <c r="I45" s="6">
        <v>33250.800000000003</v>
      </c>
      <c r="J45" s="6">
        <f t="shared" si="0"/>
        <v>27480</v>
      </c>
      <c r="K45" t="s">
        <v>4</v>
      </c>
      <c r="L45" s="1">
        <v>45770</v>
      </c>
      <c r="M45" s="1">
        <v>45770</v>
      </c>
      <c r="P45" t="s">
        <v>130</v>
      </c>
    </row>
    <row r="46" spans="1:16" x14ac:dyDescent="0.35">
      <c r="A46" t="s">
        <v>43</v>
      </c>
      <c r="B46" t="s">
        <v>19</v>
      </c>
      <c r="C46" t="s">
        <v>37</v>
      </c>
      <c r="D46" t="s">
        <v>159</v>
      </c>
      <c r="E46" s="1"/>
      <c r="F46" s="6">
        <v>31350</v>
      </c>
      <c r="G46" s="6">
        <v>6583.5</v>
      </c>
      <c r="H46" s="6">
        <v>2508</v>
      </c>
      <c r="I46" s="6">
        <v>40441.5</v>
      </c>
      <c r="J46" s="6">
        <f t="shared" si="0"/>
        <v>31350</v>
      </c>
      <c r="K46" t="s">
        <v>45</v>
      </c>
      <c r="L46" s="1">
        <v>45761</v>
      </c>
      <c r="M46" s="1">
        <v>45770</v>
      </c>
      <c r="P46" t="s">
        <v>130</v>
      </c>
    </row>
    <row r="47" spans="1:16" x14ac:dyDescent="0.35">
      <c r="A47" t="s">
        <v>82</v>
      </c>
      <c r="B47" t="s">
        <v>16</v>
      </c>
      <c r="C47" t="s">
        <v>16</v>
      </c>
      <c r="D47" t="s">
        <v>160</v>
      </c>
      <c r="E47" s="1"/>
      <c r="F47" s="6">
        <v>87120.87</v>
      </c>
      <c r="G47" s="6">
        <v>23522.63</v>
      </c>
      <c r="H47" s="6">
        <v>7831.53</v>
      </c>
      <c r="I47" s="6">
        <v>118475.03</v>
      </c>
      <c r="J47" s="6">
        <f t="shared" si="0"/>
        <v>87120.87</v>
      </c>
      <c r="K47" t="s">
        <v>18</v>
      </c>
      <c r="L47" s="1">
        <v>45750</v>
      </c>
      <c r="M47" s="1">
        <v>45750</v>
      </c>
      <c r="P47" t="s">
        <v>130</v>
      </c>
    </row>
    <row r="48" spans="1:16" x14ac:dyDescent="0.35">
      <c r="A48" t="s">
        <v>82</v>
      </c>
      <c r="B48" t="s">
        <v>1</v>
      </c>
      <c r="C48" t="s">
        <v>84</v>
      </c>
      <c r="D48" t="s">
        <v>161</v>
      </c>
      <c r="F48" s="6">
        <v>1251541</v>
      </c>
      <c r="G48" s="6">
        <v>262823.61</v>
      </c>
      <c r="I48" s="6">
        <v>1514364.61</v>
      </c>
      <c r="J48" s="6">
        <f t="shared" si="0"/>
        <v>1251541</v>
      </c>
      <c r="K48" t="s">
        <v>4</v>
      </c>
      <c r="L48" s="1">
        <v>45758</v>
      </c>
      <c r="M48" s="1">
        <v>45758</v>
      </c>
      <c r="P48" t="s">
        <v>130</v>
      </c>
    </row>
    <row r="49" spans="1:16" x14ac:dyDescent="0.35">
      <c r="A49" t="s">
        <v>82</v>
      </c>
      <c r="B49" t="s">
        <v>1</v>
      </c>
      <c r="C49" t="s">
        <v>84</v>
      </c>
      <c r="E49" s="1"/>
      <c r="J49" s="6">
        <f t="shared" si="0"/>
        <v>0</v>
      </c>
      <c r="L49" s="1">
        <v>45748</v>
      </c>
      <c r="M49" s="1">
        <v>45748</v>
      </c>
      <c r="P49" t="s">
        <v>130</v>
      </c>
    </row>
    <row r="50" spans="1:16" x14ac:dyDescent="0.35">
      <c r="A50" t="s">
        <v>82</v>
      </c>
      <c r="B50" t="s">
        <v>61</v>
      </c>
      <c r="C50" t="s">
        <v>31</v>
      </c>
      <c r="D50" t="s">
        <v>136</v>
      </c>
      <c r="E50" s="1"/>
      <c r="F50" s="6">
        <v>81557</v>
      </c>
      <c r="G50" s="6">
        <v>17126.97</v>
      </c>
      <c r="I50" s="6">
        <v>98683.97</v>
      </c>
      <c r="J50" s="6">
        <f t="shared" si="0"/>
        <v>81557</v>
      </c>
      <c r="K50" t="s">
        <v>4</v>
      </c>
      <c r="L50" s="1">
        <v>45770</v>
      </c>
      <c r="M50" s="1">
        <v>45770</v>
      </c>
      <c r="P50" t="s">
        <v>130</v>
      </c>
    </row>
    <row r="51" spans="1:16" x14ac:dyDescent="0.35">
      <c r="A51" t="s">
        <v>82</v>
      </c>
      <c r="B51" t="s">
        <v>56</v>
      </c>
      <c r="C51" t="s">
        <v>69</v>
      </c>
      <c r="D51" t="s">
        <v>7</v>
      </c>
      <c r="E51" s="1"/>
      <c r="I51" s="6">
        <v>411367.81</v>
      </c>
      <c r="J51" s="6">
        <f t="shared" si="0"/>
        <v>411367.81</v>
      </c>
      <c r="K51" t="s">
        <v>18</v>
      </c>
      <c r="L51" s="1">
        <v>45770</v>
      </c>
      <c r="M51" s="1">
        <v>45770</v>
      </c>
      <c r="N51" t="s">
        <v>83</v>
      </c>
      <c r="P51" t="s">
        <v>130</v>
      </c>
    </row>
    <row r="52" spans="1:16" x14ac:dyDescent="0.35">
      <c r="A52" t="s">
        <v>82</v>
      </c>
      <c r="B52" t="s">
        <v>9</v>
      </c>
      <c r="C52" t="s">
        <v>14</v>
      </c>
      <c r="D52" t="s">
        <v>7</v>
      </c>
      <c r="E52" s="1"/>
      <c r="I52" s="6">
        <v>63905.18</v>
      </c>
      <c r="J52" s="6">
        <f t="shared" si="0"/>
        <v>63905.18</v>
      </c>
      <c r="K52" t="s">
        <v>18</v>
      </c>
      <c r="L52" s="1">
        <v>45763</v>
      </c>
      <c r="M52" s="1">
        <v>45763</v>
      </c>
      <c r="N52" t="s">
        <v>162</v>
      </c>
      <c r="P52" t="s">
        <v>130</v>
      </c>
    </row>
    <row r="53" spans="1:16" x14ac:dyDescent="0.35">
      <c r="A53" t="s">
        <v>82</v>
      </c>
      <c r="B53" t="s">
        <v>9</v>
      </c>
      <c r="C53" t="s">
        <v>14</v>
      </c>
      <c r="D53" t="s">
        <v>7</v>
      </c>
      <c r="E53" s="1"/>
      <c r="I53" s="6">
        <v>62195.92</v>
      </c>
      <c r="J53" s="6">
        <f t="shared" si="0"/>
        <v>62195.92</v>
      </c>
      <c r="K53" t="s">
        <v>18</v>
      </c>
      <c r="L53" s="1">
        <v>45776</v>
      </c>
      <c r="M53" s="1">
        <v>45776</v>
      </c>
      <c r="P53" t="s">
        <v>130</v>
      </c>
    </row>
    <row r="54" spans="1:16" x14ac:dyDescent="0.35">
      <c r="A54" t="s">
        <v>82</v>
      </c>
      <c r="B54" t="s">
        <v>19</v>
      </c>
      <c r="C54" t="s">
        <v>37</v>
      </c>
      <c r="D54" t="s">
        <v>163</v>
      </c>
      <c r="E54" s="1"/>
      <c r="F54" s="6">
        <v>28250</v>
      </c>
      <c r="G54" s="6">
        <v>5932.5</v>
      </c>
      <c r="H54" s="6">
        <v>2260</v>
      </c>
      <c r="I54" s="6">
        <v>36442.5</v>
      </c>
      <c r="J54" s="6">
        <f t="shared" si="0"/>
        <v>28250</v>
      </c>
      <c r="K54" t="s">
        <v>18</v>
      </c>
      <c r="L54" s="1">
        <v>45754</v>
      </c>
      <c r="M54" s="1">
        <v>45754</v>
      </c>
      <c r="P54" t="s">
        <v>130</v>
      </c>
    </row>
    <row r="55" spans="1:16" x14ac:dyDescent="0.35">
      <c r="A55" t="s">
        <v>164</v>
      </c>
      <c r="B55" t="s">
        <v>61</v>
      </c>
      <c r="C55" t="s">
        <v>31</v>
      </c>
      <c r="D55" t="s">
        <v>136</v>
      </c>
      <c r="F55" s="6">
        <v>27480</v>
      </c>
      <c r="G55" s="6">
        <v>5770.8</v>
      </c>
      <c r="I55" s="6">
        <v>33250.800000000003</v>
      </c>
      <c r="J55" s="6">
        <f t="shared" si="0"/>
        <v>27480</v>
      </c>
      <c r="K55" t="s">
        <v>4</v>
      </c>
      <c r="L55" s="1">
        <v>45770</v>
      </c>
      <c r="M55" s="1">
        <v>45770</v>
      </c>
      <c r="P55" t="s">
        <v>130</v>
      </c>
    </row>
    <row r="56" spans="1:16" x14ac:dyDescent="0.35">
      <c r="A56" t="s">
        <v>164</v>
      </c>
      <c r="B56" t="s">
        <v>27</v>
      </c>
      <c r="C56" t="s">
        <v>28</v>
      </c>
      <c r="D56" t="s">
        <v>143</v>
      </c>
      <c r="I56" s="6">
        <v>40000</v>
      </c>
      <c r="J56" s="6">
        <f t="shared" si="0"/>
        <v>40000</v>
      </c>
      <c r="K56" t="s">
        <v>4</v>
      </c>
      <c r="L56" s="1">
        <v>45783</v>
      </c>
      <c r="M56" s="1">
        <v>45783</v>
      </c>
      <c r="P56" t="s">
        <v>130</v>
      </c>
    </row>
    <row r="57" spans="1:16" x14ac:dyDescent="0.35">
      <c r="A57" t="s">
        <v>164</v>
      </c>
      <c r="B57" t="s">
        <v>19</v>
      </c>
      <c r="C57" t="s">
        <v>20</v>
      </c>
      <c r="D57" t="s">
        <v>165</v>
      </c>
      <c r="F57" s="6">
        <v>82983.199999999997</v>
      </c>
      <c r="G57" s="6">
        <v>18685.66</v>
      </c>
      <c r="H57" s="6">
        <v>2489.5</v>
      </c>
      <c r="I57" s="6">
        <v>104158.36</v>
      </c>
      <c r="J57" s="6">
        <f t="shared" si="0"/>
        <v>82983.199999999997</v>
      </c>
      <c r="K57" t="s">
        <v>18</v>
      </c>
      <c r="L57" s="1">
        <v>45772</v>
      </c>
      <c r="M57" s="1">
        <v>45771</v>
      </c>
      <c r="P57" t="s">
        <v>130</v>
      </c>
    </row>
    <row r="58" spans="1:16" x14ac:dyDescent="0.35">
      <c r="A58" t="s">
        <v>49</v>
      </c>
      <c r="B58" t="s">
        <v>16</v>
      </c>
      <c r="C58" t="s">
        <v>16</v>
      </c>
      <c r="D58" t="s">
        <v>166</v>
      </c>
      <c r="F58" s="6">
        <v>84534.62</v>
      </c>
      <c r="G58" s="6">
        <v>22824.35</v>
      </c>
      <c r="H58" s="6">
        <v>7588.85</v>
      </c>
      <c r="I58" s="6">
        <v>114947.82</v>
      </c>
      <c r="J58" s="6">
        <f t="shared" si="0"/>
        <v>84534.62</v>
      </c>
      <c r="K58" t="s">
        <v>18</v>
      </c>
      <c r="L58" s="1">
        <v>45755</v>
      </c>
      <c r="M58" s="1">
        <v>45755</v>
      </c>
      <c r="P58" t="s">
        <v>130</v>
      </c>
    </row>
    <row r="59" spans="1:16" x14ac:dyDescent="0.35">
      <c r="A59" t="s">
        <v>49</v>
      </c>
      <c r="B59" t="s">
        <v>1</v>
      </c>
      <c r="C59" t="s">
        <v>167</v>
      </c>
      <c r="D59" t="s">
        <v>168</v>
      </c>
      <c r="F59" s="6">
        <v>1776140.28</v>
      </c>
      <c r="G59" s="6">
        <v>372989.46</v>
      </c>
      <c r="H59" s="6">
        <v>88807.01</v>
      </c>
      <c r="I59" s="6">
        <v>2237936.75</v>
      </c>
      <c r="J59" s="6">
        <f t="shared" si="0"/>
        <v>1776140.28</v>
      </c>
      <c r="K59" t="s">
        <v>4</v>
      </c>
      <c r="L59" s="1">
        <v>45758</v>
      </c>
      <c r="M59" s="1">
        <v>45758</v>
      </c>
      <c r="P59" t="s">
        <v>130</v>
      </c>
    </row>
    <row r="60" spans="1:16" x14ac:dyDescent="0.35">
      <c r="A60" t="s">
        <v>49</v>
      </c>
      <c r="B60" t="s">
        <v>60</v>
      </c>
      <c r="C60" t="s">
        <v>167</v>
      </c>
      <c r="D60" t="s">
        <v>169</v>
      </c>
      <c r="F60" s="6">
        <v>1855294.61</v>
      </c>
      <c r="G60" s="6">
        <v>389611.87</v>
      </c>
      <c r="H60" s="6">
        <v>92764.73</v>
      </c>
      <c r="I60" s="6">
        <v>2337671.21</v>
      </c>
      <c r="J60" s="6">
        <f t="shared" si="0"/>
        <v>1855294.61</v>
      </c>
      <c r="K60" t="s">
        <v>4</v>
      </c>
      <c r="L60" s="1">
        <v>45758</v>
      </c>
      <c r="M60" s="1">
        <v>45758</v>
      </c>
      <c r="P60" t="s">
        <v>130</v>
      </c>
    </row>
    <row r="61" spans="1:16" x14ac:dyDescent="0.35">
      <c r="A61" t="s">
        <v>49</v>
      </c>
      <c r="B61" t="s">
        <v>61</v>
      </c>
      <c r="C61" t="s">
        <v>31</v>
      </c>
      <c r="D61" t="s">
        <v>136</v>
      </c>
      <c r="F61" s="6">
        <v>27480</v>
      </c>
      <c r="G61" s="6">
        <v>5770.8</v>
      </c>
      <c r="I61" s="6">
        <v>33250.800000000003</v>
      </c>
      <c r="J61" s="6">
        <f t="shared" si="0"/>
        <v>27480</v>
      </c>
      <c r="K61" t="s">
        <v>4</v>
      </c>
      <c r="L61" s="1">
        <v>45770</v>
      </c>
      <c r="M61" s="1">
        <v>45770</v>
      </c>
      <c r="P61" t="s">
        <v>130</v>
      </c>
    </row>
    <row r="62" spans="1:16" x14ac:dyDescent="0.35">
      <c r="A62" t="s">
        <v>49</v>
      </c>
      <c r="B62" t="s">
        <v>27</v>
      </c>
      <c r="C62" t="s">
        <v>28</v>
      </c>
      <c r="D62" t="s">
        <v>143</v>
      </c>
      <c r="I62" s="6">
        <v>40000</v>
      </c>
      <c r="J62" s="6">
        <f t="shared" si="0"/>
        <v>40000</v>
      </c>
      <c r="K62" t="s">
        <v>4</v>
      </c>
      <c r="L62" s="1">
        <v>45783</v>
      </c>
      <c r="M62" s="1">
        <v>45783</v>
      </c>
      <c r="P62" t="s">
        <v>130</v>
      </c>
    </row>
    <row r="63" spans="1:16" x14ac:dyDescent="0.35">
      <c r="A63" t="s">
        <v>49</v>
      </c>
      <c r="B63" t="s">
        <v>19</v>
      </c>
      <c r="C63" t="s">
        <v>37</v>
      </c>
      <c r="D63" t="s">
        <v>170</v>
      </c>
      <c r="F63" s="6">
        <v>49512.4</v>
      </c>
      <c r="G63" s="6">
        <v>10397.6</v>
      </c>
      <c r="H63" s="6">
        <v>3960.99</v>
      </c>
      <c r="I63" s="6">
        <v>63870.99</v>
      </c>
      <c r="J63" s="6">
        <f t="shared" si="0"/>
        <v>49512.4</v>
      </c>
      <c r="K63" t="s">
        <v>39</v>
      </c>
      <c r="L63" s="1">
        <v>45755</v>
      </c>
      <c r="M63" s="1">
        <v>45755</v>
      </c>
      <c r="P63" t="s">
        <v>130</v>
      </c>
    </row>
    <row r="64" spans="1:16" x14ac:dyDescent="0.35">
      <c r="A64" t="s">
        <v>15</v>
      </c>
      <c r="B64" t="s">
        <v>16</v>
      </c>
      <c r="C64" t="s">
        <v>16</v>
      </c>
      <c r="D64" t="s">
        <v>171</v>
      </c>
      <c r="E64" s="1"/>
      <c r="F64" s="6">
        <v>174196.76</v>
      </c>
      <c r="G64" s="6">
        <v>47033.13</v>
      </c>
      <c r="H64" s="6">
        <v>16001.85</v>
      </c>
      <c r="I64" s="6">
        <v>237231.74</v>
      </c>
      <c r="J64" s="6">
        <f t="shared" si="0"/>
        <v>174196.76</v>
      </c>
      <c r="K64" t="s">
        <v>18</v>
      </c>
      <c r="L64" s="1">
        <v>45756</v>
      </c>
      <c r="M64" s="1">
        <v>45756</v>
      </c>
      <c r="P64" t="s">
        <v>130</v>
      </c>
    </row>
    <row r="65" spans="1:16" x14ac:dyDescent="0.35">
      <c r="A65" t="s">
        <v>15</v>
      </c>
      <c r="B65" t="s">
        <v>61</v>
      </c>
      <c r="C65" t="s">
        <v>31</v>
      </c>
      <c r="D65" t="s">
        <v>136</v>
      </c>
      <c r="F65" s="6">
        <v>27480</v>
      </c>
      <c r="G65" s="6">
        <v>5770.8</v>
      </c>
      <c r="I65" s="6">
        <v>33250.800000000003</v>
      </c>
      <c r="J65" s="6">
        <f t="shared" si="0"/>
        <v>27480</v>
      </c>
      <c r="K65" t="s">
        <v>4</v>
      </c>
      <c r="L65" s="1">
        <v>45770</v>
      </c>
      <c r="M65" s="1">
        <v>45770</v>
      </c>
      <c r="P65" t="s">
        <v>130</v>
      </c>
    </row>
    <row r="66" spans="1:16" x14ac:dyDescent="0.35">
      <c r="A66" t="s">
        <v>15</v>
      </c>
      <c r="B66" t="s">
        <v>1</v>
      </c>
      <c r="C66" t="s">
        <v>172</v>
      </c>
      <c r="D66" t="s">
        <v>173</v>
      </c>
      <c r="F66" s="6">
        <v>1696728.4</v>
      </c>
      <c r="G66" s="6">
        <v>356312.96</v>
      </c>
      <c r="I66" s="6">
        <v>2053041.36</v>
      </c>
      <c r="J66" s="6">
        <f t="shared" si="0"/>
        <v>1696728.4</v>
      </c>
      <c r="K66" t="s">
        <v>4</v>
      </c>
      <c r="L66" s="1">
        <v>45762</v>
      </c>
      <c r="M66" s="1">
        <v>45762</v>
      </c>
      <c r="P66" t="s">
        <v>130</v>
      </c>
    </row>
    <row r="67" spans="1:16" x14ac:dyDescent="0.35">
      <c r="A67" t="s">
        <v>15</v>
      </c>
      <c r="B67" t="s">
        <v>60</v>
      </c>
      <c r="C67" t="s">
        <v>172</v>
      </c>
      <c r="D67" t="s">
        <v>7</v>
      </c>
      <c r="I67" s="6">
        <v>686008.98</v>
      </c>
      <c r="J67" s="6">
        <f t="shared" ref="J67:J130" si="1">IF(F67&gt;0,F67,I67)</f>
        <v>686008.98</v>
      </c>
      <c r="K67" t="s">
        <v>4</v>
      </c>
      <c r="L67" s="1">
        <v>45761</v>
      </c>
      <c r="M67" s="1">
        <v>45761</v>
      </c>
      <c r="P67" t="s">
        <v>130</v>
      </c>
    </row>
    <row r="68" spans="1:16" x14ac:dyDescent="0.35">
      <c r="A68" t="s">
        <v>15</v>
      </c>
      <c r="B68" t="s">
        <v>27</v>
      </c>
      <c r="C68" t="s">
        <v>28</v>
      </c>
      <c r="D68" t="s">
        <v>143</v>
      </c>
      <c r="I68" s="6">
        <v>40000</v>
      </c>
      <c r="J68" s="6">
        <f t="shared" si="1"/>
        <v>40000</v>
      </c>
      <c r="K68" t="s">
        <v>4</v>
      </c>
      <c r="L68" s="1">
        <v>45783</v>
      </c>
      <c r="M68" s="1">
        <v>45783</v>
      </c>
      <c r="P68" t="s">
        <v>130</v>
      </c>
    </row>
    <row r="69" spans="1:16" x14ac:dyDescent="0.35">
      <c r="A69" t="s">
        <v>15</v>
      </c>
      <c r="B69" t="s">
        <v>19</v>
      </c>
      <c r="C69" t="s">
        <v>20</v>
      </c>
      <c r="D69" t="s">
        <v>165</v>
      </c>
      <c r="F69" s="6">
        <v>82983.199999999997</v>
      </c>
      <c r="G69" s="6">
        <v>18685.66</v>
      </c>
      <c r="H69" s="6">
        <v>2489.5</v>
      </c>
      <c r="I69" s="6">
        <v>104158.36</v>
      </c>
      <c r="J69" s="6">
        <f t="shared" si="1"/>
        <v>82983.199999999997</v>
      </c>
      <c r="K69" t="s">
        <v>18</v>
      </c>
      <c r="L69" s="1">
        <v>45772</v>
      </c>
      <c r="M69" s="1">
        <v>45771</v>
      </c>
      <c r="P69" t="s">
        <v>130</v>
      </c>
    </row>
    <row r="70" spans="1:16" x14ac:dyDescent="0.35">
      <c r="A70" t="s">
        <v>52</v>
      </c>
      <c r="B70" t="s">
        <v>16</v>
      </c>
      <c r="C70" t="s">
        <v>16</v>
      </c>
      <c r="D70" t="s">
        <v>174</v>
      </c>
      <c r="F70" s="6">
        <v>79417.990000000005</v>
      </c>
      <c r="G70" s="6">
        <v>21443.86</v>
      </c>
      <c r="H70" s="6">
        <v>7108.76</v>
      </c>
      <c r="I70" s="6">
        <v>107970.61</v>
      </c>
      <c r="J70" s="6">
        <f t="shared" si="1"/>
        <v>79417.990000000005</v>
      </c>
      <c r="K70" t="s">
        <v>18</v>
      </c>
      <c r="L70" s="1">
        <v>45756</v>
      </c>
      <c r="M70" s="1">
        <v>45756</v>
      </c>
      <c r="P70" t="s">
        <v>130</v>
      </c>
    </row>
    <row r="71" spans="1:16" x14ac:dyDescent="0.35">
      <c r="A71" t="s">
        <v>52</v>
      </c>
      <c r="B71" t="s">
        <v>61</v>
      </c>
      <c r="C71" t="s">
        <v>31</v>
      </c>
      <c r="D71" t="s">
        <v>136</v>
      </c>
      <c r="F71" s="6">
        <v>27480</v>
      </c>
      <c r="G71" s="6">
        <v>5770.8</v>
      </c>
      <c r="I71" s="6">
        <v>33250.800000000003</v>
      </c>
      <c r="J71" s="6">
        <f t="shared" si="1"/>
        <v>27480</v>
      </c>
      <c r="K71" t="s">
        <v>4</v>
      </c>
      <c r="L71" s="1">
        <v>45770</v>
      </c>
      <c r="M71" s="1">
        <v>45770</v>
      </c>
      <c r="P71" t="s">
        <v>130</v>
      </c>
    </row>
    <row r="72" spans="1:16" x14ac:dyDescent="0.35">
      <c r="A72" t="s">
        <v>52</v>
      </c>
      <c r="B72" t="s">
        <v>1</v>
      </c>
      <c r="C72" t="s">
        <v>172</v>
      </c>
      <c r="D72" t="s">
        <v>175</v>
      </c>
      <c r="F72" s="6">
        <v>2333371.2000000002</v>
      </c>
      <c r="G72" s="6">
        <v>490007.95</v>
      </c>
      <c r="I72" s="6">
        <v>2823379.15</v>
      </c>
      <c r="J72" s="6">
        <f t="shared" si="1"/>
        <v>2333371.2000000002</v>
      </c>
      <c r="K72" t="s">
        <v>4</v>
      </c>
      <c r="L72" s="1">
        <v>45762</v>
      </c>
      <c r="M72" s="1">
        <v>45762</v>
      </c>
      <c r="P72" t="s">
        <v>130</v>
      </c>
    </row>
    <row r="73" spans="1:16" x14ac:dyDescent="0.35">
      <c r="A73" t="s">
        <v>52</v>
      </c>
      <c r="B73" t="s">
        <v>60</v>
      </c>
      <c r="C73" t="s">
        <v>172</v>
      </c>
      <c r="D73" t="s">
        <v>7</v>
      </c>
      <c r="E73" s="1"/>
      <c r="I73" s="6">
        <v>343004.49</v>
      </c>
      <c r="J73" s="6">
        <f t="shared" si="1"/>
        <v>343004.49</v>
      </c>
      <c r="K73" t="s">
        <v>4</v>
      </c>
      <c r="L73" s="1">
        <v>45761</v>
      </c>
      <c r="M73" s="1">
        <v>45761</v>
      </c>
      <c r="P73" t="s">
        <v>130</v>
      </c>
    </row>
    <row r="74" spans="1:16" x14ac:dyDescent="0.35">
      <c r="A74" t="s">
        <v>52</v>
      </c>
      <c r="B74" t="s">
        <v>27</v>
      </c>
      <c r="C74" t="s">
        <v>28</v>
      </c>
      <c r="D74" t="s">
        <v>143</v>
      </c>
      <c r="E74" s="1"/>
      <c r="I74" s="6">
        <v>40000</v>
      </c>
      <c r="J74" s="6">
        <f t="shared" si="1"/>
        <v>40000</v>
      </c>
      <c r="K74" t="s">
        <v>4</v>
      </c>
      <c r="L74" s="1">
        <v>45783</v>
      </c>
      <c r="M74" s="1">
        <v>45783</v>
      </c>
      <c r="P74" t="s">
        <v>130</v>
      </c>
    </row>
    <row r="75" spans="1:16" x14ac:dyDescent="0.35">
      <c r="A75" t="s">
        <v>176</v>
      </c>
      <c r="B75" t="s">
        <v>16</v>
      </c>
      <c r="C75" t="s">
        <v>16</v>
      </c>
      <c r="D75" t="s">
        <v>7</v>
      </c>
      <c r="E75" s="1"/>
      <c r="I75" s="6">
        <v>110074.67</v>
      </c>
      <c r="J75" s="6">
        <f t="shared" si="1"/>
        <v>110074.67</v>
      </c>
      <c r="K75" t="s">
        <v>18</v>
      </c>
      <c r="L75" s="1">
        <v>45756</v>
      </c>
      <c r="M75" s="1">
        <v>45756</v>
      </c>
      <c r="P75" t="s">
        <v>130</v>
      </c>
    </row>
    <row r="76" spans="1:16" x14ac:dyDescent="0.35">
      <c r="A76" t="s">
        <v>176</v>
      </c>
      <c r="B76" t="s">
        <v>61</v>
      </c>
      <c r="C76" t="s">
        <v>31</v>
      </c>
      <c r="D76" t="s">
        <v>136</v>
      </c>
      <c r="E76" s="1"/>
      <c r="F76" s="6">
        <v>27480</v>
      </c>
      <c r="G76" s="6">
        <v>5770.8</v>
      </c>
      <c r="I76" s="6">
        <v>33250.800000000003</v>
      </c>
      <c r="J76" s="6">
        <f t="shared" si="1"/>
        <v>27480</v>
      </c>
      <c r="K76" t="s">
        <v>4</v>
      </c>
      <c r="L76" s="1">
        <v>45770</v>
      </c>
      <c r="M76" s="1">
        <v>45770</v>
      </c>
      <c r="P76" t="s">
        <v>130</v>
      </c>
    </row>
    <row r="77" spans="1:16" x14ac:dyDescent="0.35">
      <c r="A77" t="s">
        <v>176</v>
      </c>
      <c r="B77" t="s">
        <v>1</v>
      </c>
      <c r="C77" t="s">
        <v>172</v>
      </c>
      <c r="D77" t="s">
        <v>177</v>
      </c>
      <c r="F77" s="6">
        <v>825000</v>
      </c>
      <c r="G77" s="6">
        <v>173250</v>
      </c>
      <c r="I77" s="6">
        <v>998250</v>
      </c>
      <c r="J77" s="6">
        <f t="shared" si="1"/>
        <v>825000</v>
      </c>
      <c r="K77" t="s">
        <v>4</v>
      </c>
      <c r="L77" s="1">
        <v>45762</v>
      </c>
      <c r="M77" s="1">
        <v>45762</v>
      </c>
      <c r="P77" t="s">
        <v>130</v>
      </c>
    </row>
    <row r="78" spans="1:16" x14ac:dyDescent="0.35">
      <c r="A78" t="s">
        <v>176</v>
      </c>
      <c r="B78" t="s">
        <v>60</v>
      </c>
      <c r="C78" t="s">
        <v>172</v>
      </c>
      <c r="D78" t="s">
        <v>7</v>
      </c>
      <c r="G78" t="s">
        <v>8</v>
      </c>
      <c r="I78" s="6">
        <v>343004.49</v>
      </c>
      <c r="J78" s="6">
        <f t="shared" si="1"/>
        <v>343004.49</v>
      </c>
      <c r="K78" t="s">
        <v>4</v>
      </c>
      <c r="L78" s="1">
        <v>45761</v>
      </c>
      <c r="M78" s="1">
        <v>45761</v>
      </c>
      <c r="P78" t="s">
        <v>130</v>
      </c>
    </row>
    <row r="79" spans="1:16" x14ac:dyDescent="0.35">
      <c r="A79" t="s">
        <v>63</v>
      </c>
      <c r="B79" t="s">
        <v>1</v>
      </c>
      <c r="C79" t="s">
        <v>64</v>
      </c>
      <c r="D79" t="s">
        <v>178</v>
      </c>
      <c r="E79" s="1"/>
      <c r="F79" s="6">
        <v>1315414</v>
      </c>
      <c r="G79" s="6">
        <v>276236.94</v>
      </c>
      <c r="I79" s="6">
        <v>1591650.94</v>
      </c>
      <c r="J79" s="6">
        <f t="shared" si="1"/>
        <v>1315414</v>
      </c>
      <c r="K79" t="s">
        <v>4</v>
      </c>
      <c r="L79" s="1">
        <v>45761</v>
      </c>
      <c r="M79" s="1">
        <v>45761</v>
      </c>
      <c r="N79" t="s">
        <v>66</v>
      </c>
      <c r="P79" t="s">
        <v>130</v>
      </c>
    </row>
    <row r="80" spans="1:16" x14ac:dyDescent="0.35">
      <c r="A80" t="s">
        <v>63</v>
      </c>
      <c r="B80" t="s">
        <v>16</v>
      </c>
      <c r="C80" t="s">
        <v>16</v>
      </c>
      <c r="D80" t="s">
        <v>179</v>
      </c>
      <c r="E80" s="1"/>
      <c r="F80" s="6">
        <v>109153.94</v>
      </c>
      <c r="G80" s="6">
        <v>29471.56</v>
      </c>
      <c r="H80" s="6">
        <v>9898.89</v>
      </c>
      <c r="I80" s="6">
        <v>148524.39000000001</v>
      </c>
      <c r="J80" s="6">
        <f t="shared" si="1"/>
        <v>109153.94</v>
      </c>
      <c r="K80" t="s">
        <v>18</v>
      </c>
      <c r="L80" s="1">
        <v>45756</v>
      </c>
      <c r="M80" s="1">
        <v>45756</v>
      </c>
      <c r="P80" t="s">
        <v>130</v>
      </c>
    </row>
    <row r="81" spans="1:16" x14ac:dyDescent="0.35">
      <c r="A81" t="s">
        <v>63</v>
      </c>
      <c r="B81" t="s">
        <v>61</v>
      </c>
      <c r="C81" t="s">
        <v>31</v>
      </c>
      <c r="D81" t="s">
        <v>136</v>
      </c>
      <c r="E81" s="1"/>
      <c r="F81" s="6">
        <v>60928</v>
      </c>
      <c r="G81" s="6">
        <v>12794.88</v>
      </c>
      <c r="I81" s="6">
        <v>73722.880000000005</v>
      </c>
      <c r="J81" s="6">
        <f t="shared" si="1"/>
        <v>60928</v>
      </c>
      <c r="K81" t="s">
        <v>4</v>
      </c>
      <c r="L81" s="1">
        <v>45770</v>
      </c>
      <c r="M81" s="1">
        <v>45770</v>
      </c>
      <c r="P81" t="s">
        <v>130</v>
      </c>
    </row>
    <row r="82" spans="1:16" x14ac:dyDescent="0.35">
      <c r="A82" t="s">
        <v>63</v>
      </c>
      <c r="B82" t="s">
        <v>27</v>
      </c>
      <c r="C82" t="s">
        <v>28</v>
      </c>
      <c r="D82" t="s">
        <v>143</v>
      </c>
      <c r="E82" s="1"/>
      <c r="I82" s="6">
        <v>40000</v>
      </c>
      <c r="J82" s="6">
        <f t="shared" si="1"/>
        <v>40000</v>
      </c>
      <c r="K82" t="s">
        <v>4</v>
      </c>
      <c r="L82" s="1">
        <v>45783</v>
      </c>
      <c r="M82" s="1">
        <v>45783</v>
      </c>
      <c r="P82" t="s">
        <v>130</v>
      </c>
    </row>
    <row r="83" spans="1:16" x14ac:dyDescent="0.35">
      <c r="A83" t="s">
        <v>63</v>
      </c>
      <c r="B83" t="s">
        <v>19</v>
      </c>
      <c r="C83" t="s">
        <v>37</v>
      </c>
      <c r="D83" t="s">
        <v>180</v>
      </c>
      <c r="F83" s="6">
        <v>47520</v>
      </c>
      <c r="G83" s="6">
        <v>9979.2000000000007</v>
      </c>
      <c r="H83" s="6">
        <v>3801.6</v>
      </c>
      <c r="I83" s="6">
        <v>61300.800000000003</v>
      </c>
      <c r="J83" s="6">
        <f t="shared" si="1"/>
        <v>47520</v>
      </c>
      <c r="K83" t="s">
        <v>18</v>
      </c>
      <c r="L83" s="1">
        <v>45754</v>
      </c>
      <c r="M83" s="1">
        <v>45754</v>
      </c>
      <c r="P83" t="s">
        <v>130</v>
      </c>
    </row>
    <row r="84" spans="1:16" x14ac:dyDescent="0.35">
      <c r="A84" t="s">
        <v>22</v>
      </c>
      <c r="B84" t="s">
        <v>56</v>
      </c>
      <c r="C84" t="s">
        <v>69</v>
      </c>
      <c r="D84" t="s">
        <v>7</v>
      </c>
      <c r="I84" s="6">
        <v>339813.53</v>
      </c>
      <c r="J84" s="6">
        <f t="shared" si="1"/>
        <v>339813.53</v>
      </c>
      <c r="K84" t="s">
        <v>18</v>
      </c>
      <c r="L84" s="1">
        <v>45768</v>
      </c>
      <c r="M84" s="1">
        <v>45768</v>
      </c>
      <c r="N84" t="s">
        <v>70</v>
      </c>
      <c r="P84" t="s">
        <v>130</v>
      </c>
    </row>
    <row r="85" spans="1:16" x14ac:dyDescent="0.35">
      <c r="A85" t="s">
        <v>22</v>
      </c>
      <c r="B85" t="s">
        <v>27</v>
      </c>
      <c r="C85" t="s">
        <v>11</v>
      </c>
      <c r="D85" t="s">
        <v>181</v>
      </c>
      <c r="F85" s="6">
        <v>61750</v>
      </c>
      <c r="G85" s="6">
        <v>15150</v>
      </c>
      <c r="H85" s="6">
        <v>6854.48</v>
      </c>
      <c r="I85" s="6">
        <v>83754.48</v>
      </c>
      <c r="J85" s="6">
        <f t="shared" si="1"/>
        <v>61750</v>
      </c>
      <c r="K85" t="s">
        <v>4</v>
      </c>
      <c r="L85" s="1">
        <v>45761</v>
      </c>
      <c r="M85" s="1">
        <v>45779</v>
      </c>
      <c r="P85" t="s">
        <v>130</v>
      </c>
    </row>
    <row r="86" spans="1:16" x14ac:dyDescent="0.35">
      <c r="A86" t="s">
        <v>22</v>
      </c>
      <c r="B86" t="s">
        <v>61</v>
      </c>
      <c r="C86" t="s">
        <v>31</v>
      </c>
      <c r="D86" t="s">
        <v>136</v>
      </c>
      <c r="F86" s="6">
        <v>77673</v>
      </c>
      <c r="G86" s="6">
        <v>16311.33</v>
      </c>
      <c r="I86" s="6">
        <v>93984.33</v>
      </c>
      <c r="J86" s="6">
        <f t="shared" si="1"/>
        <v>77673</v>
      </c>
      <c r="K86" t="s">
        <v>4</v>
      </c>
      <c r="L86" s="1">
        <v>45770</v>
      </c>
      <c r="M86" s="1">
        <v>45770</v>
      </c>
      <c r="P86" t="s">
        <v>130</v>
      </c>
    </row>
    <row r="87" spans="1:16" x14ac:dyDescent="0.35">
      <c r="A87" t="s">
        <v>22</v>
      </c>
      <c r="B87" t="s">
        <v>77</v>
      </c>
      <c r="C87" t="s">
        <v>78</v>
      </c>
      <c r="D87" t="s">
        <v>79</v>
      </c>
      <c r="I87" s="6">
        <v>22234.28</v>
      </c>
      <c r="J87" s="6">
        <f t="shared" si="1"/>
        <v>22234.28</v>
      </c>
      <c r="K87" t="s">
        <v>18</v>
      </c>
      <c r="L87" s="1">
        <v>45754</v>
      </c>
      <c r="M87" s="1">
        <v>45754</v>
      </c>
      <c r="P87" t="s">
        <v>130</v>
      </c>
    </row>
    <row r="88" spans="1:16" x14ac:dyDescent="0.35">
      <c r="A88" t="s">
        <v>22</v>
      </c>
      <c r="B88" t="s">
        <v>19</v>
      </c>
      <c r="C88" t="s">
        <v>74</v>
      </c>
      <c r="D88" t="s">
        <v>75</v>
      </c>
      <c r="I88" s="6">
        <v>94765.05</v>
      </c>
      <c r="J88" s="6">
        <f t="shared" si="1"/>
        <v>94765.05</v>
      </c>
      <c r="K88" t="s">
        <v>45</v>
      </c>
      <c r="L88" s="1">
        <v>45770</v>
      </c>
      <c r="M88" s="1">
        <v>45770</v>
      </c>
      <c r="N88" t="s">
        <v>76</v>
      </c>
      <c r="P88" t="s">
        <v>130</v>
      </c>
    </row>
    <row r="89" spans="1:16" x14ac:dyDescent="0.35">
      <c r="A89" t="s">
        <v>22</v>
      </c>
      <c r="B89" t="s">
        <v>80</v>
      </c>
      <c r="C89" t="s">
        <v>37</v>
      </c>
      <c r="D89" t="s">
        <v>182</v>
      </c>
      <c r="E89" s="1"/>
      <c r="F89" s="6">
        <v>328971.65000000002</v>
      </c>
      <c r="G89" s="6">
        <v>45310.41</v>
      </c>
      <c r="H89" s="6">
        <v>17555.91</v>
      </c>
      <c r="I89" s="6">
        <v>391837.97</v>
      </c>
      <c r="J89" s="6">
        <f t="shared" si="1"/>
        <v>328971.65000000002</v>
      </c>
      <c r="K89" t="s">
        <v>18</v>
      </c>
      <c r="L89" s="1">
        <v>45758</v>
      </c>
      <c r="M89" s="1">
        <v>45758</v>
      </c>
      <c r="P89" t="s">
        <v>130</v>
      </c>
    </row>
    <row r="90" spans="1:16" x14ac:dyDescent="0.35">
      <c r="A90" t="s">
        <v>22</v>
      </c>
      <c r="B90" t="s">
        <v>16</v>
      </c>
      <c r="C90" t="s">
        <v>72</v>
      </c>
      <c r="D90" t="s">
        <v>183</v>
      </c>
      <c r="I90" s="6">
        <v>873456.13</v>
      </c>
      <c r="J90" s="6">
        <f t="shared" si="1"/>
        <v>873456.13</v>
      </c>
      <c r="K90" t="s">
        <v>4</v>
      </c>
      <c r="L90" s="1">
        <v>45770</v>
      </c>
      <c r="M90" s="1">
        <v>45770</v>
      </c>
      <c r="P90" t="s">
        <v>130</v>
      </c>
    </row>
    <row r="91" spans="1:16" x14ac:dyDescent="0.35">
      <c r="A91" t="s">
        <v>22</v>
      </c>
      <c r="B91" t="s">
        <v>9</v>
      </c>
      <c r="C91" t="s">
        <v>72</v>
      </c>
      <c r="D91" t="s">
        <v>183</v>
      </c>
      <c r="E91" s="1"/>
      <c r="I91" s="6">
        <v>186176.76</v>
      </c>
      <c r="J91" s="6">
        <f t="shared" si="1"/>
        <v>186176.76</v>
      </c>
      <c r="K91" t="s">
        <v>4</v>
      </c>
      <c r="L91" s="1">
        <v>45770</v>
      </c>
      <c r="M91" s="1">
        <v>45770</v>
      </c>
      <c r="P91" t="s">
        <v>130</v>
      </c>
    </row>
    <row r="92" spans="1:16" x14ac:dyDescent="0.35">
      <c r="A92" t="s">
        <v>90</v>
      </c>
      <c r="B92" t="s">
        <v>61</v>
      </c>
      <c r="C92" t="s">
        <v>31</v>
      </c>
      <c r="D92" t="s">
        <v>136</v>
      </c>
      <c r="F92" s="6">
        <v>85047</v>
      </c>
      <c r="G92" s="6">
        <v>17859.87</v>
      </c>
      <c r="I92" s="6">
        <v>102906.87</v>
      </c>
      <c r="J92" s="6">
        <f t="shared" si="1"/>
        <v>85047</v>
      </c>
      <c r="K92" t="s">
        <v>4</v>
      </c>
      <c r="L92" s="1">
        <v>45770</v>
      </c>
      <c r="M92" s="1">
        <v>45770</v>
      </c>
      <c r="P92" t="s">
        <v>130</v>
      </c>
    </row>
    <row r="93" spans="1:16" x14ac:dyDescent="0.35">
      <c r="A93" t="s">
        <v>184</v>
      </c>
      <c r="E93" s="1"/>
      <c r="J93" s="6">
        <f t="shared" si="1"/>
        <v>0</v>
      </c>
      <c r="L93" s="1">
        <v>45778</v>
      </c>
      <c r="M93" s="1">
        <v>45778</v>
      </c>
      <c r="P93" t="s">
        <v>185</v>
      </c>
    </row>
    <row r="94" spans="1:16" x14ac:dyDescent="0.35">
      <c r="A94" t="s">
        <v>0</v>
      </c>
      <c r="B94" t="s">
        <v>1</v>
      </c>
      <c r="C94" t="s">
        <v>2</v>
      </c>
      <c r="D94" t="s">
        <v>186</v>
      </c>
      <c r="F94" s="6">
        <v>600000</v>
      </c>
      <c r="G94" s="6">
        <v>126000</v>
      </c>
      <c r="I94" s="6">
        <v>726000</v>
      </c>
      <c r="J94" s="6">
        <f t="shared" si="1"/>
        <v>600000</v>
      </c>
      <c r="K94" t="s">
        <v>4</v>
      </c>
      <c r="L94" s="1">
        <v>45789</v>
      </c>
      <c r="M94" s="1">
        <v>45789</v>
      </c>
      <c r="P94" t="s">
        <v>185</v>
      </c>
    </row>
    <row r="95" spans="1:16" x14ac:dyDescent="0.35">
      <c r="A95" t="s">
        <v>0</v>
      </c>
      <c r="B95" t="s">
        <v>6</v>
      </c>
      <c r="C95" t="s">
        <v>2</v>
      </c>
      <c r="J95" s="6">
        <f t="shared" si="1"/>
        <v>0</v>
      </c>
      <c r="K95" t="s">
        <v>4</v>
      </c>
      <c r="L95" s="1">
        <v>45778</v>
      </c>
      <c r="M95" s="1">
        <v>45778</v>
      </c>
      <c r="P95" t="s">
        <v>185</v>
      </c>
    </row>
    <row r="96" spans="1:16" x14ac:dyDescent="0.35">
      <c r="A96" t="s">
        <v>0</v>
      </c>
      <c r="B96" t="s">
        <v>132</v>
      </c>
      <c r="C96" t="s">
        <v>2</v>
      </c>
      <c r="J96" s="6">
        <f t="shared" si="1"/>
        <v>0</v>
      </c>
      <c r="K96" t="s">
        <v>4</v>
      </c>
      <c r="L96" s="1">
        <v>45778</v>
      </c>
      <c r="M96" s="1">
        <v>45778</v>
      </c>
      <c r="P96" t="s">
        <v>185</v>
      </c>
    </row>
    <row r="97" spans="1:16" x14ac:dyDescent="0.35">
      <c r="A97" t="s">
        <v>0</v>
      </c>
      <c r="B97" t="s">
        <v>19</v>
      </c>
      <c r="C97" t="s">
        <v>11</v>
      </c>
      <c r="D97" t="s">
        <v>12</v>
      </c>
      <c r="G97" t="s">
        <v>8</v>
      </c>
      <c r="J97" s="6">
        <f t="shared" si="1"/>
        <v>0</v>
      </c>
      <c r="K97" t="s">
        <v>4</v>
      </c>
      <c r="L97" s="1">
        <v>45810</v>
      </c>
      <c r="M97" s="1">
        <v>45810</v>
      </c>
      <c r="N97" t="s">
        <v>187</v>
      </c>
      <c r="P97" t="s">
        <v>185</v>
      </c>
    </row>
    <row r="98" spans="1:16" x14ac:dyDescent="0.35">
      <c r="A98" t="s">
        <v>15</v>
      </c>
      <c r="B98" t="s">
        <v>27</v>
      </c>
      <c r="C98" t="s">
        <v>28</v>
      </c>
      <c r="D98" t="s">
        <v>188</v>
      </c>
      <c r="G98" t="s">
        <v>8</v>
      </c>
      <c r="J98" s="6">
        <f t="shared" si="1"/>
        <v>0</v>
      </c>
      <c r="K98" t="s">
        <v>4</v>
      </c>
      <c r="L98" s="1">
        <v>45778</v>
      </c>
      <c r="M98" s="1">
        <v>45778</v>
      </c>
      <c r="P98" t="s">
        <v>185</v>
      </c>
    </row>
    <row r="99" spans="1:16" x14ac:dyDescent="0.35">
      <c r="A99" t="s">
        <v>15</v>
      </c>
      <c r="B99" t="s">
        <v>1</v>
      </c>
      <c r="C99" t="s">
        <v>172</v>
      </c>
      <c r="D99" t="s">
        <v>189</v>
      </c>
      <c r="F99" s="6">
        <v>1200553.02</v>
      </c>
      <c r="G99" s="6">
        <v>252116.13</v>
      </c>
      <c r="I99" s="6">
        <v>1452669.15</v>
      </c>
      <c r="J99" s="6">
        <f t="shared" si="1"/>
        <v>1200553.02</v>
      </c>
      <c r="K99" t="s">
        <v>4</v>
      </c>
      <c r="L99" s="1">
        <v>45789</v>
      </c>
      <c r="M99" s="1">
        <v>45789</v>
      </c>
      <c r="P99" t="s">
        <v>185</v>
      </c>
    </row>
    <row r="100" spans="1:16" x14ac:dyDescent="0.35">
      <c r="A100" t="s">
        <v>15</v>
      </c>
      <c r="B100" t="s">
        <v>16</v>
      </c>
      <c r="C100" t="s">
        <v>16</v>
      </c>
      <c r="D100" t="s">
        <v>190</v>
      </c>
      <c r="E100" s="1">
        <v>45776</v>
      </c>
      <c r="F100" s="6">
        <v>177166.59</v>
      </c>
      <c r="G100" s="6">
        <v>47834.98</v>
      </c>
      <c r="H100" s="6">
        <v>16623.54</v>
      </c>
      <c r="I100" s="6">
        <v>241625.11</v>
      </c>
      <c r="J100" s="6">
        <f t="shared" si="1"/>
        <v>177166.59</v>
      </c>
      <c r="K100" t="s">
        <v>18</v>
      </c>
      <c r="L100" s="1">
        <v>45786</v>
      </c>
      <c r="M100" s="1">
        <v>45786</v>
      </c>
      <c r="N100" t="s">
        <v>191</v>
      </c>
      <c r="P100" t="s">
        <v>185</v>
      </c>
    </row>
    <row r="101" spans="1:16" x14ac:dyDescent="0.35">
      <c r="A101" t="s">
        <v>15</v>
      </c>
      <c r="B101" t="s">
        <v>60</v>
      </c>
      <c r="C101" t="s">
        <v>172</v>
      </c>
      <c r="D101" t="s">
        <v>7</v>
      </c>
      <c r="G101" t="s">
        <v>8</v>
      </c>
      <c r="I101" s="6">
        <v>955501.96</v>
      </c>
      <c r="J101" s="6">
        <f t="shared" si="1"/>
        <v>955501.96</v>
      </c>
      <c r="K101" t="s">
        <v>4</v>
      </c>
      <c r="L101" s="1">
        <v>45786</v>
      </c>
      <c r="M101" s="1">
        <v>45786</v>
      </c>
      <c r="P101" t="s">
        <v>185</v>
      </c>
    </row>
    <row r="102" spans="1:16" x14ac:dyDescent="0.35">
      <c r="A102" t="s">
        <v>15</v>
      </c>
      <c r="B102" t="s">
        <v>61</v>
      </c>
      <c r="C102" t="s">
        <v>31</v>
      </c>
      <c r="D102" t="s">
        <v>192</v>
      </c>
      <c r="F102" s="6">
        <v>27480</v>
      </c>
      <c r="G102" s="6">
        <v>5770.8</v>
      </c>
      <c r="I102" s="6">
        <v>33250.800000000003</v>
      </c>
      <c r="J102" s="6">
        <f t="shared" si="1"/>
        <v>27480</v>
      </c>
      <c r="K102" t="s">
        <v>4</v>
      </c>
      <c r="L102" s="1">
        <v>45797</v>
      </c>
      <c r="M102" s="1">
        <v>45797</v>
      </c>
      <c r="P102" t="s">
        <v>185</v>
      </c>
    </row>
    <row r="103" spans="1:16" x14ac:dyDescent="0.35">
      <c r="A103" t="s">
        <v>15</v>
      </c>
      <c r="B103" t="s">
        <v>19</v>
      </c>
      <c r="C103" t="s">
        <v>20</v>
      </c>
      <c r="D103" t="s">
        <v>193</v>
      </c>
      <c r="F103" s="6">
        <v>84973.6</v>
      </c>
      <c r="G103" s="6">
        <v>19133.830000000002</v>
      </c>
      <c r="H103" s="6">
        <v>2549.21</v>
      </c>
      <c r="I103" s="6">
        <v>106656.64</v>
      </c>
      <c r="J103" s="6">
        <f t="shared" si="1"/>
        <v>84973.6</v>
      </c>
      <c r="K103" t="s">
        <v>18</v>
      </c>
      <c r="L103" s="1">
        <v>45802</v>
      </c>
      <c r="M103" s="1">
        <v>45800</v>
      </c>
      <c r="P103" t="s">
        <v>185</v>
      </c>
    </row>
    <row r="104" spans="1:16" x14ac:dyDescent="0.35">
      <c r="A104" t="s">
        <v>33</v>
      </c>
      <c r="B104" t="s">
        <v>56</v>
      </c>
      <c r="C104" t="s">
        <v>57</v>
      </c>
      <c r="D104" t="s">
        <v>194</v>
      </c>
      <c r="G104" t="s">
        <v>8</v>
      </c>
      <c r="I104" s="6">
        <v>471713.48</v>
      </c>
      <c r="J104" s="6">
        <f t="shared" si="1"/>
        <v>471713.48</v>
      </c>
      <c r="K104" t="s">
        <v>4</v>
      </c>
      <c r="L104" s="1">
        <v>45797</v>
      </c>
      <c r="M104" s="1">
        <v>45797</v>
      </c>
      <c r="P104" t="s">
        <v>185</v>
      </c>
    </row>
    <row r="105" spans="1:16" x14ac:dyDescent="0.35">
      <c r="A105" t="s">
        <v>33</v>
      </c>
      <c r="B105" t="s">
        <v>27</v>
      </c>
      <c r="C105" t="s">
        <v>28</v>
      </c>
      <c r="D105" t="s">
        <v>195</v>
      </c>
      <c r="F105" s="6">
        <v>361000</v>
      </c>
      <c r="G105" t="s">
        <v>8</v>
      </c>
      <c r="I105" s="6">
        <v>361000</v>
      </c>
      <c r="J105" s="6">
        <f t="shared" si="1"/>
        <v>361000</v>
      </c>
      <c r="K105" t="s">
        <v>4</v>
      </c>
      <c r="L105" s="1">
        <v>45800</v>
      </c>
      <c r="M105" s="1">
        <v>45800</v>
      </c>
      <c r="P105" t="s">
        <v>185</v>
      </c>
    </row>
    <row r="106" spans="1:16" x14ac:dyDescent="0.35">
      <c r="A106" t="s">
        <v>33</v>
      </c>
      <c r="B106" t="s">
        <v>1</v>
      </c>
      <c r="C106" t="s">
        <v>57</v>
      </c>
      <c r="D106" t="s">
        <v>196</v>
      </c>
      <c r="F106" s="6">
        <v>2139397.7599999998</v>
      </c>
      <c r="G106" s="6">
        <v>449273.53</v>
      </c>
      <c r="I106" s="6">
        <v>2588671.29</v>
      </c>
      <c r="J106" s="6">
        <f t="shared" si="1"/>
        <v>2139397.7599999998</v>
      </c>
      <c r="K106" t="s">
        <v>4</v>
      </c>
      <c r="L106" s="1">
        <v>45786</v>
      </c>
      <c r="M106" s="1">
        <v>45786</v>
      </c>
      <c r="P106" t="s">
        <v>185</v>
      </c>
    </row>
    <row r="107" spans="1:16" x14ac:dyDescent="0.35">
      <c r="A107" t="s">
        <v>33</v>
      </c>
      <c r="B107" t="s">
        <v>9</v>
      </c>
      <c r="C107" t="s">
        <v>57</v>
      </c>
      <c r="D107" t="s">
        <v>194</v>
      </c>
      <c r="F107" s="6">
        <v>393527.01</v>
      </c>
      <c r="G107" s="6">
        <v>106252.29</v>
      </c>
      <c r="H107" s="6">
        <v>24752.85</v>
      </c>
      <c r="I107" s="6">
        <v>524532.15</v>
      </c>
      <c r="J107" s="6">
        <f t="shared" si="1"/>
        <v>393527.01</v>
      </c>
      <c r="K107" t="s">
        <v>4</v>
      </c>
      <c r="L107" s="1">
        <v>45797</v>
      </c>
      <c r="M107" s="1">
        <v>45797</v>
      </c>
      <c r="P107" t="s">
        <v>185</v>
      </c>
    </row>
    <row r="108" spans="1:16" x14ac:dyDescent="0.35">
      <c r="A108" t="s">
        <v>33</v>
      </c>
      <c r="B108" t="s">
        <v>16</v>
      </c>
      <c r="C108" t="s">
        <v>16</v>
      </c>
      <c r="D108" t="s">
        <v>197</v>
      </c>
      <c r="E108" s="1">
        <v>45776</v>
      </c>
      <c r="F108" s="6">
        <v>12798.46</v>
      </c>
      <c r="G108" s="6">
        <v>3455.58</v>
      </c>
      <c r="H108" s="6">
        <v>1200.8800000000001</v>
      </c>
      <c r="I108" s="6">
        <v>17454.919999999998</v>
      </c>
      <c r="J108" s="6">
        <f t="shared" si="1"/>
        <v>12798.46</v>
      </c>
      <c r="K108" t="s">
        <v>18</v>
      </c>
      <c r="L108" s="1">
        <v>45786</v>
      </c>
      <c r="M108" s="1">
        <v>45786</v>
      </c>
      <c r="N108" t="s">
        <v>191</v>
      </c>
      <c r="P108" t="s">
        <v>185</v>
      </c>
    </row>
    <row r="109" spans="1:16" x14ac:dyDescent="0.35">
      <c r="A109" t="s">
        <v>33</v>
      </c>
      <c r="B109" t="s">
        <v>16</v>
      </c>
      <c r="C109" t="s">
        <v>16</v>
      </c>
      <c r="D109" t="s">
        <v>198</v>
      </c>
      <c r="E109" s="1">
        <v>45776</v>
      </c>
      <c r="F109" s="6">
        <v>120642.94</v>
      </c>
      <c r="G109" s="6">
        <v>32573.59</v>
      </c>
      <c r="H109" s="6">
        <v>11319.93</v>
      </c>
      <c r="I109" s="6">
        <v>164536.46</v>
      </c>
      <c r="J109" s="6">
        <f t="shared" si="1"/>
        <v>120642.94</v>
      </c>
      <c r="K109" t="s">
        <v>18</v>
      </c>
      <c r="L109" s="1">
        <v>45786</v>
      </c>
      <c r="M109" s="1">
        <v>45786</v>
      </c>
      <c r="N109" t="s">
        <v>191</v>
      </c>
      <c r="P109" t="s">
        <v>185</v>
      </c>
    </row>
    <row r="110" spans="1:16" x14ac:dyDescent="0.35">
      <c r="A110" t="s">
        <v>33</v>
      </c>
      <c r="B110" t="s">
        <v>16</v>
      </c>
      <c r="C110" t="s">
        <v>16</v>
      </c>
      <c r="D110" t="s">
        <v>199</v>
      </c>
      <c r="E110" s="1">
        <v>45784</v>
      </c>
      <c r="F110" s="6">
        <v>268917.40999999997</v>
      </c>
      <c r="G110" s="6">
        <v>72607.7</v>
      </c>
      <c r="H110" s="6">
        <v>50242.28</v>
      </c>
      <c r="I110" s="6">
        <v>391767.39</v>
      </c>
      <c r="J110" s="6">
        <f t="shared" si="1"/>
        <v>268917.40999999997</v>
      </c>
      <c r="K110" t="s">
        <v>45</v>
      </c>
      <c r="L110" s="1">
        <v>45791</v>
      </c>
      <c r="M110" s="1">
        <v>45792</v>
      </c>
      <c r="N110" t="s">
        <v>200</v>
      </c>
      <c r="P110" t="s">
        <v>185</v>
      </c>
    </row>
    <row r="111" spans="1:16" x14ac:dyDescent="0.35">
      <c r="A111" t="s">
        <v>33</v>
      </c>
      <c r="B111" t="s">
        <v>60</v>
      </c>
      <c r="C111" t="s">
        <v>57</v>
      </c>
      <c r="D111" t="s">
        <v>194</v>
      </c>
      <c r="G111" t="s">
        <v>8</v>
      </c>
      <c r="I111" s="6">
        <v>515040.5</v>
      </c>
      <c r="J111" s="6">
        <f t="shared" si="1"/>
        <v>515040.5</v>
      </c>
      <c r="K111" t="s">
        <v>4</v>
      </c>
      <c r="L111" s="1">
        <v>45797</v>
      </c>
      <c r="M111" s="1">
        <v>45797</v>
      </c>
      <c r="P111" t="s">
        <v>185</v>
      </c>
    </row>
    <row r="112" spans="1:16" x14ac:dyDescent="0.35">
      <c r="A112" t="s">
        <v>33</v>
      </c>
      <c r="B112" t="s">
        <v>61</v>
      </c>
      <c r="C112" t="s">
        <v>31</v>
      </c>
      <c r="D112" t="s">
        <v>192</v>
      </c>
      <c r="F112" s="6">
        <v>34220</v>
      </c>
      <c r="G112" s="6">
        <v>7186.2</v>
      </c>
      <c r="I112" s="6">
        <v>41406.199999999997</v>
      </c>
      <c r="J112" s="6">
        <f t="shared" si="1"/>
        <v>34220</v>
      </c>
      <c r="K112" t="s">
        <v>4</v>
      </c>
      <c r="L112" s="1">
        <v>45797</v>
      </c>
      <c r="M112" s="1">
        <v>45797</v>
      </c>
      <c r="P112" t="s">
        <v>185</v>
      </c>
    </row>
    <row r="113" spans="1:16" x14ac:dyDescent="0.35">
      <c r="A113" t="s">
        <v>33</v>
      </c>
      <c r="B113" t="s">
        <v>19</v>
      </c>
      <c r="C113" t="s">
        <v>37</v>
      </c>
      <c r="D113" t="s">
        <v>201</v>
      </c>
      <c r="E113" s="1">
        <v>45765</v>
      </c>
      <c r="F113" s="6">
        <v>130551</v>
      </c>
      <c r="G113" s="6">
        <v>27415.71</v>
      </c>
      <c r="H113" s="6">
        <v>10444.08</v>
      </c>
      <c r="I113" s="6">
        <v>168410.79</v>
      </c>
      <c r="J113" s="6">
        <f t="shared" si="1"/>
        <v>130551</v>
      </c>
      <c r="K113" t="s">
        <v>39</v>
      </c>
      <c r="L113" s="1">
        <v>45784</v>
      </c>
      <c r="M113" s="1">
        <v>45784</v>
      </c>
      <c r="N113" t="s">
        <v>202</v>
      </c>
      <c r="P113" t="s">
        <v>185</v>
      </c>
    </row>
    <row r="114" spans="1:16" x14ac:dyDescent="0.35">
      <c r="A114" t="s">
        <v>33</v>
      </c>
      <c r="B114" t="s">
        <v>23</v>
      </c>
      <c r="C114" t="s">
        <v>24</v>
      </c>
      <c r="D114" t="s">
        <v>203</v>
      </c>
      <c r="F114" s="6">
        <v>38096</v>
      </c>
      <c r="G114" s="6">
        <v>8000.16</v>
      </c>
      <c r="I114" s="6">
        <v>46096.160000000003</v>
      </c>
      <c r="J114" s="6">
        <f t="shared" si="1"/>
        <v>38096</v>
      </c>
      <c r="K114" t="s">
        <v>4</v>
      </c>
      <c r="L114" s="1">
        <v>45797</v>
      </c>
      <c r="M114" s="1">
        <v>45797</v>
      </c>
      <c r="P114" t="s">
        <v>185</v>
      </c>
    </row>
    <row r="115" spans="1:16" x14ac:dyDescent="0.35">
      <c r="A115" t="s">
        <v>43</v>
      </c>
      <c r="B115" t="s">
        <v>1</v>
      </c>
      <c r="C115" t="s">
        <v>47</v>
      </c>
      <c r="D115" t="s">
        <v>204</v>
      </c>
      <c r="F115" s="6">
        <v>540862</v>
      </c>
      <c r="G115" s="6">
        <v>113581.02</v>
      </c>
      <c r="I115" s="6">
        <v>654443.02</v>
      </c>
      <c r="J115" s="6">
        <f t="shared" si="1"/>
        <v>540862</v>
      </c>
      <c r="K115" t="s">
        <v>4</v>
      </c>
      <c r="L115" s="1">
        <v>45789</v>
      </c>
      <c r="M115" s="1">
        <v>45789</v>
      </c>
      <c r="P115" t="s">
        <v>185</v>
      </c>
    </row>
    <row r="116" spans="1:16" x14ac:dyDescent="0.35">
      <c r="A116" t="s">
        <v>43</v>
      </c>
      <c r="B116" t="s">
        <v>60</v>
      </c>
      <c r="C116" t="s">
        <v>47</v>
      </c>
      <c r="D116" t="s">
        <v>204</v>
      </c>
      <c r="G116" t="s">
        <v>8</v>
      </c>
      <c r="H116" s="6">
        <v>274476.14</v>
      </c>
      <c r="I116" s="6">
        <v>274476.14</v>
      </c>
      <c r="J116" s="6">
        <f t="shared" si="1"/>
        <v>274476.14</v>
      </c>
      <c r="K116" t="s">
        <v>4</v>
      </c>
      <c r="L116" s="1">
        <v>45789</v>
      </c>
      <c r="M116" s="1">
        <v>45789</v>
      </c>
      <c r="P116" t="s">
        <v>185</v>
      </c>
    </row>
    <row r="117" spans="1:16" x14ac:dyDescent="0.35">
      <c r="A117" t="s">
        <v>43</v>
      </c>
      <c r="B117" t="s">
        <v>61</v>
      </c>
      <c r="C117" t="s">
        <v>31</v>
      </c>
      <c r="D117" t="s">
        <v>192</v>
      </c>
      <c r="F117" s="6">
        <v>27480</v>
      </c>
      <c r="G117" s="6">
        <v>5770.8</v>
      </c>
      <c r="I117" s="6">
        <v>33250.800000000003</v>
      </c>
      <c r="J117" s="6">
        <f t="shared" si="1"/>
        <v>27480</v>
      </c>
      <c r="K117" t="s">
        <v>4</v>
      </c>
      <c r="L117" s="1">
        <v>45797</v>
      </c>
      <c r="M117" s="1">
        <v>45797</v>
      </c>
      <c r="P117" t="s">
        <v>185</v>
      </c>
    </row>
    <row r="118" spans="1:16" x14ac:dyDescent="0.35">
      <c r="A118" t="s">
        <v>43</v>
      </c>
      <c r="B118" t="s">
        <v>19</v>
      </c>
      <c r="C118" t="s">
        <v>37</v>
      </c>
      <c r="D118" t="s">
        <v>205</v>
      </c>
      <c r="E118" s="1">
        <v>45765</v>
      </c>
      <c r="F118" s="6">
        <v>32275</v>
      </c>
      <c r="G118" s="6">
        <v>6777.75</v>
      </c>
      <c r="H118" s="6">
        <v>2582</v>
      </c>
      <c r="I118" s="6">
        <v>41634.75</v>
      </c>
      <c r="J118" s="6">
        <f t="shared" si="1"/>
        <v>32275</v>
      </c>
      <c r="K118" t="s">
        <v>45</v>
      </c>
      <c r="L118" s="1">
        <v>45784</v>
      </c>
      <c r="M118" s="1">
        <v>45785</v>
      </c>
      <c r="N118" t="s">
        <v>202</v>
      </c>
      <c r="P118" t="s">
        <v>185</v>
      </c>
    </row>
    <row r="119" spans="1:16" x14ac:dyDescent="0.35">
      <c r="A119" t="s">
        <v>43</v>
      </c>
      <c r="B119" t="s">
        <v>19</v>
      </c>
      <c r="C119" t="s">
        <v>37</v>
      </c>
      <c r="D119" t="s">
        <v>206</v>
      </c>
      <c r="E119" s="1">
        <v>45798</v>
      </c>
      <c r="G119" t="s">
        <v>8</v>
      </c>
      <c r="I119" s="6">
        <v>40441.5</v>
      </c>
      <c r="J119" s="6">
        <f t="shared" si="1"/>
        <v>40441.5</v>
      </c>
      <c r="K119" t="s">
        <v>45</v>
      </c>
      <c r="L119" s="1">
        <v>45784</v>
      </c>
      <c r="M119" s="1">
        <v>45785</v>
      </c>
      <c r="N119" t="s">
        <v>207</v>
      </c>
      <c r="O119" t="s">
        <v>208</v>
      </c>
      <c r="P119" t="s">
        <v>185</v>
      </c>
    </row>
    <row r="120" spans="1:16" x14ac:dyDescent="0.35">
      <c r="A120" t="s">
        <v>46</v>
      </c>
      <c r="B120" t="s">
        <v>1</v>
      </c>
      <c r="C120" t="s">
        <v>47</v>
      </c>
      <c r="D120" t="s">
        <v>209</v>
      </c>
      <c r="F120" s="6">
        <v>250000</v>
      </c>
      <c r="G120" s="6">
        <v>52500</v>
      </c>
      <c r="I120" s="6">
        <v>302500</v>
      </c>
      <c r="J120" s="6">
        <f t="shared" si="1"/>
        <v>250000</v>
      </c>
      <c r="K120" t="s">
        <v>4</v>
      </c>
      <c r="L120" s="1">
        <v>45789</v>
      </c>
      <c r="M120" s="1">
        <v>45789</v>
      </c>
      <c r="P120" t="s">
        <v>185</v>
      </c>
    </row>
    <row r="121" spans="1:16" x14ac:dyDescent="0.35">
      <c r="A121" t="s">
        <v>46</v>
      </c>
      <c r="B121" t="s">
        <v>60</v>
      </c>
      <c r="C121" t="s">
        <v>47</v>
      </c>
      <c r="D121" t="s">
        <v>209</v>
      </c>
      <c r="G121" t="s">
        <v>8</v>
      </c>
      <c r="H121" s="6">
        <v>15214.86</v>
      </c>
      <c r="I121" s="6">
        <v>15214.86</v>
      </c>
      <c r="J121" s="6">
        <f t="shared" si="1"/>
        <v>15214.86</v>
      </c>
      <c r="K121" t="s">
        <v>4</v>
      </c>
      <c r="L121" s="1">
        <v>45789</v>
      </c>
      <c r="M121" s="1">
        <v>45789</v>
      </c>
      <c r="P121" t="s">
        <v>185</v>
      </c>
    </row>
    <row r="122" spans="1:16" x14ac:dyDescent="0.35">
      <c r="A122" t="s">
        <v>156</v>
      </c>
      <c r="B122" t="s">
        <v>1</v>
      </c>
      <c r="C122" t="s">
        <v>47</v>
      </c>
      <c r="D122" t="s">
        <v>210</v>
      </c>
      <c r="F122" s="6">
        <v>386330</v>
      </c>
      <c r="G122" s="6">
        <v>81129.3</v>
      </c>
      <c r="I122" s="6">
        <v>467459.3</v>
      </c>
      <c r="J122" s="6">
        <f t="shared" si="1"/>
        <v>386330</v>
      </c>
      <c r="K122" t="s">
        <v>4</v>
      </c>
      <c r="L122" s="1">
        <v>45789</v>
      </c>
      <c r="M122" s="1">
        <v>45789</v>
      </c>
      <c r="P122" t="s">
        <v>185</v>
      </c>
    </row>
    <row r="123" spans="1:16" x14ac:dyDescent="0.35">
      <c r="A123" t="s">
        <v>156</v>
      </c>
      <c r="B123" t="s">
        <v>16</v>
      </c>
      <c r="C123" t="s">
        <v>47</v>
      </c>
      <c r="D123" t="s">
        <v>210</v>
      </c>
      <c r="F123" s="6">
        <v>12278.57</v>
      </c>
      <c r="G123" s="6">
        <v>2578.5</v>
      </c>
      <c r="I123" s="6">
        <v>14857.07</v>
      </c>
      <c r="J123" s="6">
        <f t="shared" si="1"/>
        <v>12278.57</v>
      </c>
      <c r="K123" t="s">
        <v>4</v>
      </c>
      <c r="L123" s="1">
        <v>45789</v>
      </c>
      <c r="M123" s="1">
        <v>45789</v>
      </c>
      <c r="P123" t="s">
        <v>185</v>
      </c>
    </row>
    <row r="124" spans="1:16" x14ac:dyDescent="0.35">
      <c r="A124" t="s">
        <v>156</v>
      </c>
      <c r="B124" t="s">
        <v>60</v>
      </c>
      <c r="C124" t="s">
        <v>47</v>
      </c>
      <c r="D124" t="s">
        <v>210</v>
      </c>
      <c r="G124" t="s">
        <v>8</v>
      </c>
      <c r="H124" s="6">
        <v>41993.02</v>
      </c>
      <c r="I124" s="6">
        <v>41993.02</v>
      </c>
      <c r="J124" s="6">
        <f t="shared" si="1"/>
        <v>41993.02</v>
      </c>
      <c r="K124" t="s">
        <v>4</v>
      </c>
      <c r="L124" s="1">
        <v>45789</v>
      </c>
      <c r="M124" s="1">
        <v>45789</v>
      </c>
      <c r="P124" t="s">
        <v>185</v>
      </c>
    </row>
    <row r="125" spans="1:16" x14ac:dyDescent="0.35">
      <c r="A125" t="s">
        <v>49</v>
      </c>
      <c r="B125" t="s">
        <v>27</v>
      </c>
      <c r="C125" t="s">
        <v>28</v>
      </c>
      <c r="D125" t="s">
        <v>211</v>
      </c>
      <c r="F125" s="6">
        <v>143450</v>
      </c>
      <c r="G125" t="s">
        <v>8</v>
      </c>
      <c r="I125" s="6">
        <v>143450</v>
      </c>
      <c r="J125" s="6">
        <f t="shared" si="1"/>
        <v>143450</v>
      </c>
      <c r="K125" t="s">
        <v>4</v>
      </c>
      <c r="L125" s="1">
        <v>45800</v>
      </c>
      <c r="M125" s="1">
        <v>45800</v>
      </c>
      <c r="P125" t="s">
        <v>185</v>
      </c>
    </row>
    <row r="126" spans="1:16" x14ac:dyDescent="0.35">
      <c r="A126" t="s">
        <v>49</v>
      </c>
      <c r="B126" t="s">
        <v>1</v>
      </c>
      <c r="C126" t="s">
        <v>167</v>
      </c>
      <c r="D126" t="s">
        <v>212</v>
      </c>
      <c r="F126" s="6">
        <v>1201308.3899999999</v>
      </c>
      <c r="G126" s="6">
        <v>252274.76</v>
      </c>
      <c r="H126" s="6">
        <v>60065.42</v>
      </c>
      <c r="I126" s="6">
        <v>1513648.57</v>
      </c>
      <c r="J126" s="6">
        <f t="shared" si="1"/>
        <v>1201308.3899999999</v>
      </c>
      <c r="K126" t="s">
        <v>4</v>
      </c>
      <c r="L126" s="1">
        <v>45789</v>
      </c>
      <c r="M126" s="1">
        <v>45789</v>
      </c>
      <c r="P126" t="s">
        <v>185</v>
      </c>
    </row>
    <row r="127" spans="1:16" x14ac:dyDescent="0.35">
      <c r="A127" t="s">
        <v>49</v>
      </c>
      <c r="B127" t="s">
        <v>16</v>
      </c>
      <c r="C127" t="s">
        <v>16</v>
      </c>
      <c r="D127" t="s">
        <v>213</v>
      </c>
      <c r="E127" s="1">
        <v>45775</v>
      </c>
      <c r="F127" s="6">
        <v>82731.320000000007</v>
      </c>
      <c r="G127" s="6">
        <v>22337.46</v>
      </c>
      <c r="H127" s="6">
        <v>7762.68</v>
      </c>
      <c r="I127" s="6">
        <v>112831.46</v>
      </c>
      <c r="J127" s="6">
        <f t="shared" si="1"/>
        <v>82731.320000000007</v>
      </c>
      <c r="K127" t="s">
        <v>18</v>
      </c>
      <c r="L127" s="1">
        <v>45785</v>
      </c>
      <c r="M127" s="1">
        <v>45785</v>
      </c>
      <c r="N127" t="s">
        <v>214</v>
      </c>
      <c r="P127" t="s">
        <v>185</v>
      </c>
    </row>
    <row r="128" spans="1:16" x14ac:dyDescent="0.35">
      <c r="A128" t="s">
        <v>49</v>
      </c>
      <c r="B128" t="s">
        <v>60</v>
      </c>
      <c r="C128" t="s">
        <v>167</v>
      </c>
      <c r="D128" t="s">
        <v>215</v>
      </c>
      <c r="F128" s="6">
        <v>1997735.13</v>
      </c>
      <c r="G128" s="6">
        <v>419524.38</v>
      </c>
      <c r="H128" s="6">
        <v>99886.76</v>
      </c>
      <c r="I128" s="6">
        <v>2517146.27</v>
      </c>
      <c r="J128" s="6">
        <f t="shared" si="1"/>
        <v>1997735.13</v>
      </c>
      <c r="K128" t="s">
        <v>4</v>
      </c>
      <c r="L128" s="1">
        <v>45789</v>
      </c>
      <c r="M128" s="1">
        <v>45789</v>
      </c>
      <c r="P128" t="s">
        <v>185</v>
      </c>
    </row>
    <row r="129" spans="1:16" x14ac:dyDescent="0.35">
      <c r="A129" t="s">
        <v>49</v>
      </c>
      <c r="B129" t="s">
        <v>61</v>
      </c>
      <c r="C129" t="s">
        <v>31</v>
      </c>
      <c r="D129" t="s">
        <v>192</v>
      </c>
      <c r="F129" s="6">
        <v>27480</v>
      </c>
      <c r="G129" s="6">
        <v>5770.8</v>
      </c>
      <c r="I129" s="6">
        <v>33250.800000000003</v>
      </c>
      <c r="J129" s="6">
        <f t="shared" si="1"/>
        <v>27480</v>
      </c>
      <c r="K129" t="s">
        <v>4</v>
      </c>
      <c r="L129" s="1">
        <v>45797</v>
      </c>
      <c r="M129" s="1">
        <v>45797</v>
      </c>
      <c r="P129" t="s">
        <v>185</v>
      </c>
    </row>
    <row r="130" spans="1:16" x14ac:dyDescent="0.35">
      <c r="A130" t="s">
        <v>49</v>
      </c>
      <c r="B130" t="s">
        <v>19</v>
      </c>
      <c r="C130" t="s">
        <v>37</v>
      </c>
      <c r="D130" t="s">
        <v>216</v>
      </c>
      <c r="E130" s="1">
        <v>45765</v>
      </c>
      <c r="F130" s="6">
        <v>51942.15</v>
      </c>
      <c r="G130" s="6">
        <v>10907.85</v>
      </c>
      <c r="H130" s="6">
        <v>4155.37</v>
      </c>
      <c r="I130" s="6">
        <v>67005.37</v>
      </c>
      <c r="J130" s="6">
        <f t="shared" si="1"/>
        <v>51942.15</v>
      </c>
      <c r="K130" t="s">
        <v>39</v>
      </c>
      <c r="L130" s="1">
        <v>45785</v>
      </c>
      <c r="M130" s="1">
        <v>45785</v>
      </c>
      <c r="N130" t="s">
        <v>202</v>
      </c>
      <c r="P130" t="s">
        <v>185</v>
      </c>
    </row>
    <row r="131" spans="1:16" x14ac:dyDescent="0.35">
      <c r="A131" t="s">
        <v>49</v>
      </c>
      <c r="B131" t="s">
        <v>23</v>
      </c>
      <c r="C131" t="s">
        <v>24</v>
      </c>
      <c r="D131" t="s">
        <v>217</v>
      </c>
      <c r="F131" s="6">
        <v>38096</v>
      </c>
      <c r="G131" s="6">
        <v>8000.16</v>
      </c>
      <c r="I131" s="6">
        <v>46096.160000000003</v>
      </c>
      <c r="J131" s="6">
        <f t="shared" ref="J131:J194" si="2">IF(F131&gt;0,F131,I131)</f>
        <v>38096</v>
      </c>
      <c r="K131" t="s">
        <v>4</v>
      </c>
      <c r="L131" s="1">
        <v>45797</v>
      </c>
      <c r="M131" s="1">
        <v>45797</v>
      </c>
      <c r="P131" t="s">
        <v>185</v>
      </c>
    </row>
    <row r="132" spans="1:16" x14ac:dyDescent="0.35">
      <c r="A132" t="s">
        <v>52</v>
      </c>
      <c r="B132" t="s">
        <v>27</v>
      </c>
      <c r="C132" t="s">
        <v>28</v>
      </c>
      <c r="D132" t="s">
        <v>188</v>
      </c>
      <c r="G132" t="s">
        <v>8</v>
      </c>
      <c r="J132" s="6">
        <f t="shared" si="2"/>
        <v>0</v>
      </c>
      <c r="K132" t="s">
        <v>4</v>
      </c>
      <c r="L132" s="1">
        <v>45778</v>
      </c>
      <c r="M132" s="1">
        <v>45778</v>
      </c>
      <c r="P132" t="s">
        <v>185</v>
      </c>
    </row>
    <row r="133" spans="1:16" x14ac:dyDescent="0.35">
      <c r="A133" t="s">
        <v>52</v>
      </c>
      <c r="B133" t="s">
        <v>1</v>
      </c>
      <c r="C133" t="s">
        <v>172</v>
      </c>
      <c r="D133" t="s">
        <v>218</v>
      </c>
      <c r="F133" s="6">
        <v>1623633.2</v>
      </c>
      <c r="G133" s="6">
        <v>340962.97</v>
      </c>
      <c r="I133" s="6">
        <v>1964596.17</v>
      </c>
      <c r="J133" s="6">
        <f t="shared" si="2"/>
        <v>1623633.2</v>
      </c>
      <c r="K133" t="s">
        <v>4</v>
      </c>
      <c r="L133" s="1">
        <v>45789</v>
      </c>
      <c r="M133" s="1">
        <v>45789</v>
      </c>
      <c r="P133" t="s">
        <v>185</v>
      </c>
    </row>
    <row r="134" spans="1:16" x14ac:dyDescent="0.35">
      <c r="A134" t="s">
        <v>52</v>
      </c>
      <c r="B134" t="s">
        <v>16</v>
      </c>
      <c r="C134" t="s">
        <v>16</v>
      </c>
      <c r="D134" t="s">
        <v>219</v>
      </c>
      <c r="E134" s="1">
        <v>45776</v>
      </c>
      <c r="F134" s="6">
        <v>81062.570000000007</v>
      </c>
      <c r="G134" s="6">
        <v>21886.89</v>
      </c>
      <c r="H134" s="6">
        <v>7606.1</v>
      </c>
      <c r="I134" s="6">
        <v>110555.56</v>
      </c>
      <c r="J134" s="6">
        <f t="shared" si="2"/>
        <v>81062.570000000007</v>
      </c>
      <c r="K134" t="s">
        <v>18</v>
      </c>
      <c r="L134" s="1">
        <v>45786</v>
      </c>
      <c r="M134" s="1">
        <v>45786</v>
      </c>
      <c r="N134" t="s">
        <v>191</v>
      </c>
      <c r="P134" t="s">
        <v>185</v>
      </c>
    </row>
    <row r="135" spans="1:16" x14ac:dyDescent="0.35">
      <c r="A135" t="s">
        <v>52</v>
      </c>
      <c r="B135" t="s">
        <v>60</v>
      </c>
      <c r="C135" t="s">
        <v>172</v>
      </c>
      <c r="D135" t="s">
        <v>7</v>
      </c>
      <c r="G135" t="s">
        <v>8</v>
      </c>
      <c r="I135" s="6">
        <v>477750.98</v>
      </c>
      <c r="J135" s="6">
        <f t="shared" si="2"/>
        <v>477750.98</v>
      </c>
      <c r="K135" t="s">
        <v>4</v>
      </c>
      <c r="L135" s="1">
        <v>45786</v>
      </c>
      <c r="M135" s="1">
        <v>45786</v>
      </c>
      <c r="P135" t="s">
        <v>185</v>
      </c>
    </row>
    <row r="136" spans="1:16" x14ac:dyDescent="0.35">
      <c r="A136" t="s">
        <v>52</v>
      </c>
      <c r="B136" t="s">
        <v>61</v>
      </c>
      <c r="C136" t="s">
        <v>31</v>
      </c>
      <c r="D136" t="s">
        <v>192</v>
      </c>
      <c r="F136" s="6">
        <v>27480</v>
      </c>
      <c r="G136" s="6">
        <v>5770.8</v>
      </c>
      <c r="I136" s="6">
        <v>33250.800000000003</v>
      </c>
      <c r="J136" s="6">
        <f t="shared" si="2"/>
        <v>27480</v>
      </c>
      <c r="K136" t="s">
        <v>4</v>
      </c>
      <c r="L136" s="1">
        <v>45797</v>
      </c>
      <c r="M136" s="1">
        <v>45797</v>
      </c>
      <c r="P136" t="s">
        <v>185</v>
      </c>
    </row>
    <row r="137" spans="1:16" x14ac:dyDescent="0.35">
      <c r="A137" t="s">
        <v>176</v>
      </c>
      <c r="B137" t="s">
        <v>1</v>
      </c>
      <c r="C137" t="s">
        <v>172</v>
      </c>
      <c r="D137" t="s">
        <v>220</v>
      </c>
      <c r="F137" s="6">
        <v>825000</v>
      </c>
      <c r="G137" s="6">
        <v>173250</v>
      </c>
      <c r="I137" s="6">
        <v>998250</v>
      </c>
      <c r="J137" s="6">
        <f t="shared" si="2"/>
        <v>825000</v>
      </c>
      <c r="K137" t="s">
        <v>4</v>
      </c>
      <c r="L137" s="1">
        <v>45789</v>
      </c>
      <c r="M137" s="1">
        <v>45789</v>
      </c>
      <c r="P137" t="s">
        <v>185</v>
      </c>
    </row>
    <row r="138" spans="1:16" x14ac:dyDescent="0.35">
      <c r="A138" t="s">
        <v>176</v>
      </c>
      <c r="B138" t="s">
        <v>16</v>
      </c>
      <c r="C138" t="s">
        <v>16</v>
      </c>
      <c r="D138" t="s">
        <v>7</v>
      </c>
      <c r="I138" s="6">
        <v>112692.44</v>
      </c>
      <c r="J138" s="6">
        <f t="shared" si="2"/>
        <v>112692.44</v>
      </c>
      <c r="K138" t="s">
        <v>18</v>
      </c>
      <c r="L138" s="1">
        <v>45786</v>
      </c>
      <c r="M138" s="1">
        <v>45786</v>
      </c>
      <c r="P138" t="s">
        <v>185</v>
      </c>
    </row>
    <row r="139" spans="1:16" x14ac:dyDescent="0.35">
      <c r="A139" t="s">
        <v>176</v>
      </c>
      <c r="B139" t="s">
        <v>60</v>
      </c>
      <c r="C139" t="s">
        <v>172</v>
      </c>
      <c r="D139" t="s">
        <v>7</v>
      </c>
      <c r="G139" t="s">
        <v>8</v>
      </c>
      <c r="I139" s="6">
        <v>477750.98</v>
      </c>
      <c r="J139" s="6">
        <f t="shared" si="2"/>
        <v>477750.98</v>
      </c>
      <c r="K139" t="s">
        <v>4</v>
      </c>
      <c r="L139" s="1">
        <v>45786</v>
      </c>
      <c r="M139" s="1">
        <v>45786</v>
      </c>
      <c r="P139" t="s">
        <v>185</v>
      </c>
    </row>
    <row r="140" spans="1:16" x14ac:dyDescent="0.35">
      <c r="A140" t="s">
        <v>176</v>
      </c>
      <c r="B140" t="s">
        <v>61</v>
      </c>
      <c r="C140" t="s">
        <v>31</v>
      </c>
      <c r="D140" t="s">
        <v>192</v>
      </c>
      <c r="F140" s="6">
        <v>27480</v>
      </c>
      <c r="G140" s="6">
        <v>5770.8</v>
      </c>
      <c r="I140" s="6">
        <v>33250.800000000003</v>
      </c>
      <c r="J140" s="6">
        <f t="shared" si="2"/>
        <v>27480</v>
      </c>
      <c r="K140" t="s">
        <v>4</v>
      </c>
      <c r="L140" s="1">
        <v>45797</v>
      </c>
      <c r="M140" s="1">
        <v>45797</v>
      </c>
      <c r="P140" t="s">
        <v>185</v>
      </c>
    </row>
    <row r="141" spans="1:16" x14ac:dyDescent="0.35">
      <c r="A141" t="s">
        <v>176</v>
      </c>
      <c r="B141" t="s">
        <v>23</v>
      </c>
      <c r="C141" t="s">
        <v>24</v>
      </c>
      <c r="D141" t="s">
        <v>221</v>
      </c>
      <c r="F141" s="6">
        <v>38096</v>
      </c>
      <c r="G141" s="6">
        <v>8000.16</v>
      </c>
      <c r="I141" s="6">
        <v>46096.160000000003</v>
      </c>
      <c r="J141" s="6">
        <f t="shared" si="2"/>
        <v>38096</v>
      </c>
      <c r="K141" t="s">
        <v>4</v>
      </c>
      <c r="L141" s="1">
        <v>45797</v>
      </c>
      <c r="M141" s="1">
        <v>45797</v>
      </c>
      <c r="P141" t="s">
        <v>185</v>
      </c>
    </row>
    <row r="142" spans="1:16" x14ac:dyDescent="0.35">
      <c r="A142" t="s">
        <v>164</v>
      </c>
      <c r="B142" t="s">
        <v>16</v>
      </c>
      <c r="C142" t="s">
        <v>16</v>
      </c>
      <c r="D142" t="s">
        <v>222</v>
      </c>
      <c r="E142" s="1">
        <v>45782</v>
      </c>
      <c r="F142" s="6">
        <v>70102.820000000007</v>
      </c>
      <c r="G142" s="6">
        <v>18927.759999999998</v>
      </c>
      <c r="H142" s="6">
        <v>11330.92</v>
      </c>
      <c r="I142" s="6">
        <v>100361.5</v>
      </c>
      <c r="J142" s="6">
        <f t="shared" si="2"/>
        <v>70102.820000000007</v>
      </c>
      <c r="K142" t="s">
        <v>45</v>
      </c>
      <c r="L142" s="1">
        <v>45790</v>
      </c>
      <c r="M142" s="1">
        <v>45792</v>
      </c>
      <c r="N142" t="s">
        <v>223</v>
      </c>
      <c r="P142" t="s">
        <v>185</v>
      </c>
    </row>
    <row r="143" spans="1:16" x14ac:dyDescent="0.35">
      <c r="A143" t="s">
        <v>164</v>
      </c>
      <c r="B143" t="s">
        <v>16</v>
      </c>
      <c r="C143" t="s">
        <v>16</v>
      </c>
      <c r="D143" t="s">
        <v>224</v>
      </c>
      <c r="E143" s="1">
        <v>45784</v>
      </c>
      <c r="F143" s="6">
        <v>5665.74</v>
      </c>
      <c r="G143" s="6">
        <v>1529.75</v>
      </c>
      <c r="H143" s="6">
        <v>4613.3599999999997</v>
      </c>
      <c r="I143" s="6">
        <v>11808.85</v>
      </c>
      <c r="J143" s="6">
        <f t="shared" si="2"/>
        <v>5665.74</v>
      </c>
      <c r="K143" t="s">
        <v>45</v>
      </c>
      <c r="L143" s="1">
        <v>45792</v>
      </c>
      <c r="M143" s="1">
        <v>45792</v>
      </c>
      <c r="N143" t="s">
        <v>223</v>
      </c>
      <c r="P143" t="s">
        <v>185</v>
      </c>
    </row>
    <row r="144" spans="1:16" x14ac:dyDescent="0.35">
      <c r="A144" t="s">
        <v>164</v>
      </c>
      <c r="B144" t="s">
        <v>19</v>
      </c>
      <c r="C144" t="s">
        <v>20</v>
      </c>
      <c r="D144" t="s">
        <v>193</v>
      </c>
      <c r="F144" s="6">
        <v>84973.6</v>
      </c>
      <c r="G144" s="6">
        <v>19133.830000000002</v>
      </c>
      <c r="H144" s="6">
        <v>2549.21</v>
      </c>
      <c r="I144" s="6">
        <v>106656.64</v>
      </c>
      <c r="J144" s="6">
        <f t="shared" si="2"/>
        <v>84973.6</v>
      </c>
      <c r="K144" t="s">
        <v>18</v>
      </c>
      <c r="L144" s="1">
        <v>45802</v>
      </c>
      <c r="M144" s="1">
        <v>45800</v>
      </c>
      <c r="P144" t="s">
        <v>185</v>
      </c>
    </row>
    <row r="145" spans="1:16" x14ac:dyDescent="0.35">
      <c r="A145" t="s">
        <v>26</v>
      </c>
      <c r="B145" t="s">
        <v>27</v>
      </c>
      <c r="C145" t="s">
        <v>28</v>
      </c>
      <c r="D145" t="s">
        <v>188</v>
      </c>
      <c r="G145" t="s">
        <v>8</v>
      </c>
      <c r="J145" s="6">
        <f t="shared" si="2"/>
        <v>0</v>
      </c>
      <c r="K145" t="s">
        <v>4</v>
      </c>
      <c r="L145" s="1">
        <v>45778</v>
      </c>
      <c r="M145" s="1">
        <v>45778</v>
      </c>
      <c r="P145" t="s">
        <v>185</v>
      </c>
    </row>
    <row r="146" spans="1:16" x14ac:dyDescent="0.35">
      <c r="A146" t="s">
        <v>26</v>
      </c>
      <c r="B146" t="s">
        <v>1</v>
      </c>
      <c r="C146" t="s">
        <v>147</v>
      </c>
      <c r="D146" t="s">
        <v>225</v>
      </c>
      <c r="G146" t="s">
        <v>8</v>
      </c>
      <c r="I146" s="6">
        <v>738584</v>
      </c>
      <c r="J146" s="6">
        <f t="shared" si="2"/>
        <v>738584</v>
      </c>
      <c r="K146" t="s">
        <v>4</v>
      </c>
      <c r="L146" s="1">
        <v>45789</v>
      </c>
      <c r="M146" s="1">
        <v>45789</v>
      </c>
      <c r="P146" t="s">
        <v>185</v>
      </c>
    </row>
    <row r="147" spans="1:16" x14ac:dyDescent="0.35">
      <c r="A147" t="s">
        <v>26</v>
      </c>
      <c r="B147" t="s">
        <v>16</v>
      </c>
      <c r="C147" t="s">
        <v>16</v>
      </c>
      <c r="D147" t="s">
        <v>226</v>
      </c>
      <c r="E147" s="1">
        <v>45776</v>
      </c>
      <c r="F147" s="6">
        <v>51659.38</v>
      </c>
      <c r="G147" s="6">
        <v>13948.03</v>
      </c>
      <c r="H147" s="6">
        <v>4847.2</v>
      </c>
      <c r="I147" s="6">
        <v>70454.61</v>
      </c>
      <c r="J147" s="6">
        <f t="shared" si="2"/>
        <v>51659.38</v>
      </c>
      <c r="K147" t="s">
        <v>18</v>
      </c>
      <c r="L147" s="1">
        <v>45786</v>
      </c>
      <c r="M147" s="1">
        <v>45786</v>
      </c>
      <c r="N147" t="s">
        <v>191</v>
      </c>
      <c r="P147" t="s">
        <v>185</v>
      </c>
    </row>
    <row r="148" spans="1:16" x14ac:dyDescent="0.35">
      <c r="A148" t="s">
        <v>26</v>
      </c>
      <c r="B148" t="s">
        <v>16</v>
      </c>
      <c r="C148" t="s">
        <v>16</v>
      </c>
      <c r="D148" t="s">
        <v>227</v>
      </c>
      <c r="E148" s="1">
        <v>45776</v>
      </c>
      <c r="F148" s="6">
        <v>119742.24</v>
      </c>
      <c r="G148" s="6">
        <v>32330.400000000001</v>
      </c>
      <c r="H148" s="6">
        <v>11235.42</v>
      </c>
      <c r="I148" s="6">
        <v>163308.06</v>
      </c>
      <c r="J148" s="6">
        <f t="shared" si="2"/>
        <v>119742.24</v>
      </c>
      <c r="K148" t="s">
        <v>18</v>
      </c>
      <c r="L148" s="1">
        <v>45786</v>
      </c>
      <c r="M148" s="1">
        <v>45786</v>
      </c>
      <c r="N148" t="s">
        <v>191</v>
      </c>
      <c r="P148" t="s">
        <v>185</v>
      </c>
    </row>
    <row r="149" spans="1:16" x14ac:dyDescent="0.35">
      <c r="A149" t="s">
        <v>26</v>
      </c>
      <c r="B149" t="s">
        <v>60</v>
      </c>
      <c r="C149" t="s">
        <v>149</v>
      </c>
      <c r="D149" t="s">
        <v>7</v>
      </c>
      <c r="G149" t="s">
        <v>8</v>
      </c>
      <c r="I149" s="6">
        <v>262951.78999999998</v>
      </c>
      <c r="J149" s="6">
        <f t="shared" si="2"/>
        <v>262951.78999999998</v>
      </c>
      <c r="K149" t="s">
        <v>150</v>
      </c>
      <c r="L149" s="1">
        <v>45786</v>
      </c>
      <c r="M149" s="1">
        <v>45786</v>
      </c>
      <c r="P149" t="s">
        <v>185</v>
      </c>
    </row>
    <row r="150" spans="1:16" x14ac:dyDescent="0.35">
      <c r="A150" t="s">
        <v>26</v>
      </c>
      <c r="B150" t="s">
        <v>61</v>
      </c>
      <c r="C150" t="s">
        <v>31</v>
      </c>
      <c r="D150" t="s">
        <v>192</v>
      </c>
      <c r="F150" s="6">
        <v>45480</v>
      </c>
      <c r="G150" s="6">
        <v>9550.7999999999993</v>
      </c>
      <c r="I150" s="6">
        <v>55030.8</v>
      </c>
      <c r="J150" s="6">
        <f t="shared" si="2"/>
        <v>45480</v>
      </c>
      <c r="K150" t="s">
        <v>4</v>
      </c>
      <c r="L150" s="1">
        <v>45797</v>
      </c>
      <c r="M150" s="1">
        <v>45797</v>
      </c>
      <c r="P150" t="s">
        <v>185</v>
      </c>
    </row>
    <row r="151" spans="1:16" x14ac:dyDescent="0.35">
      <c r="A151" t="s">
        <v>26</v>
      </c>
      <c r="B151" t="s">
        <v>19</v>
      </c>
      <c r="C151" t="s">
        <v>37</v>
      </c>
      <c r="D151" t="s">
        <v>228</v>
      </c>
      <c r="E151" s="1">
        <v>45765</v>
      </c>
      <c r="F151" s="6">
        <v>92450</v>
      </c>
      <c r="G151" s="6">
        <v>19414.5</v>
      </c>
      <c r="H151" s="6">
        <v>7396</v>
      </c>
      <c r="I151" s="6">
        <v>119260.5</v>
      </c>
      <c r="J151" s="6">
        <f t="shared" si="2"/>
        <v>92450</v>
      </c>
      <c r="K151" t="s">
        <v>18</v>
      </c>
      <c r="L151" s="1">
        <v>45784</v>
      </c>
      <c r="M151" s="1">
        <v>45783</v>
      </c>
      <c r="N151" t="s">
        <v>202</v>
      </c>
      <c r="P151" t="s">
        <v>185</v>
      </c>
    </row>
    <row r="152" spans="1:16" x14ac:dyDescent="0.35">
      <c r="A152" t="s">
        <v>26</v>
      </c>
      <c r="B152" t="s">
        <v>23</v>
      </c>
      <c r="C152" t="s">
        <v>24</v>
      </c>
      <c r="D152" t="s">
        <v>229</v>
      </c>
      <c r="F152" s="6">
        <v>38096</v>
      </c>
      <c r="G152" s="6">
        <v>8000.16</v>
      </c>
      <c r="I152" s="6">
        <v>46096.160000000003</v>
      </c>
      <c r="J152" s="6">
        <f t="shared" si="2"/>
        <v>38096</v>
      </c>
      <c r="K152" t="s">
        <v>4</v>
      </c>
      <c r="L152" s="1">
        <v>45797</v>
      </c>
      <c r="M152" s="1">
        <v>45797</v>
      </c>
      <c r="P152" t="s">
        <v>185</v>
      </c>
    </row>
    <row r="153" spans="1:16" x14ac:dyDescent="0.35">
      <c r="A153" t="s">
        <v>63</v>
      </c>
      <c r="B153" t="s">
        <v>27</v>
      </c>
      <c r="C153" t="s">
        <v>28</v>
      </c>
      <c r="D153" t="s">
        <v>188</v>
      </c>
      <c r="G153" t="s">
        <v>8</v>
      </c>
      <c r="J153" s="6">
        <f t="shared" si="2"/>
        <v>0</v>
      </c>
      <c r="K153" t="s">
        <v>4</v>
      </c>
      <c r="L153" s="1">
        <v>45778</v>
      </c>
      <c r="M153" s="1">
        <v>45778</v>
      </c>
      <c r="P153" t="s">
        <v>185</v>
      </c>
    </row>
    <row r="154" spans="1:16" x14ac:dyDescent="0.35">
      <c r="A154" t="s">
        <v>63</v>
      </c>
      <c r="B154" t="s">
        <v>1</v>
      </c>
      <c r="C154" t="s">
        <v>64</v>
      </c>
      <c r="D154" t="s">
        <v>230</v>
      </c>
      <c r="F154" s="6">
        <v>1442456</v>
      </c>
      <c r="G154" s="6">
        <v>302915.76</v>
      </c>
      <c r="I154" s="6">
        <v>1745371.76</v>
      </c>
      <c r="J154" s="6">
        <f t="shared" si="2"/>
        <v>1442456</v>
      </c>
      <c r="K154" t="s">
        <v>4</v>
      </c>
      <c r="L154" s="1">
        <v>45789</v>
      </c>
      <c r="M154" s="1">
        <v>45789</v>
      </c>
      <c r="N154" t="s">
        <v>66</v>
      </c>
      <c r="P154" t="s">
        <v>185</v>
      </c>
    </row>
    <row r="155" spans="1:16" x14ac:dyDescent="0.35">
      <c r="A155" t="s">
        <v>63</v>
      </c>
      <c r="B155" t="s">
        <v>16</v>
      </c>
      <c r="C155" t="s">
        <v>16</v>
      </c>
      <c r="D155" t="s">
        <v>231</v>
      </c>
      <c r="E155" s="1">
        <v>45772</v>
      </c>
      <c r="F155" s="6">
        <v>142066.70000000001</v>
      </c>
      <c r="G155" s="6">
        <v>38358.01</v>
      </c>
      <c r="H155" s="6">
        <v>13330.12</v>
      </c>
      <c r="I155" s="6">
        <v>193754.83</v>
      </c>
      <c r="J155" s="6">
        <f t="shared" si="2"/>
        <v>142066.70000000001</v>
      </c>
      <c r="K155" t="s">
        <v>18</v>
      </c>
      <c r="L155" s="1">
        <v>45791</v>
      </c>
      <c r="M155" s="1">
        <v>45791</v>
      </c>
      <c r="N155" t="s">
        <v>232</v>
      </c>
      <c r="P155" t="s">
        <v>185</v>
      </c>
    </row>
    <row r="156" spans="1:16" x14ac:dyDescent="0.35">
      <c r="A156" t="s">
        <v>63</v>
      </c>
      <c r="B156" t="s">
        <v>61</v>
      </c>
      <c r="C156" t="s">
        <v>31</v>
      </c>
      <c r="D156" t="s">
        <v>192</v>
      </c>
      <c r="F156" s="6">
        <v>60928</v>
      </c>
      <c r="G156" s="6">
        <v>12794.88</v>
      </c>
      <c r="I156" s="6">
        <v>73722.880000000005</v>
      </c>
      <c r="J156" s="6">
        <f t="shared" si="2"/>
        <v>60928</v>
      </c>
      <c r="K156" t="s">
        <v>4</v>
      </c>
      <c r="L156" s="1">
        <v>45797</v>
      </c>
      <c r="M156" s="1">
        <v>45797</v>
      </c>
      <c r="P156" t="s">
        <v>185</v>
      </c>
    </row>
    <row r="157" spans="1:16" x14ac:dyDescent="0.35">
      <c r="A157" t="s">
        <v>63</v>
      </c>
      <c r="B157" t="s">
        <v>19</v>
      </c>
      <c r="C157" t="s">
        <v>37</v>
      </c>
      <c r="D157" t="s">
        <v>233</v>
      </c>
      <c r="E157" s="1">
        <v>45765</v>
      </c>
      <c r="F157" s="6">
        <v>48940</v>
      </c>
      <c r="G157" s="6">
        <v>10277.4</v>
      </c>
      <c r="H157" s="6">
        <v>3915.2</v>
      </c>
      <c r="I157" s="6">
        <v>63132.6</v>
      </c>
      <c r="J157" s="6">
        <f t="shared" si="2"/>
        <v>48940</v>
      </c>
      <c r="K157" t="s">
        <v>18</v>
      </c>
      <c r="L157" s="1">
        <v>45784</v>
      </c>
      <c r="M157" s="1">
        <v>45783</v>
      </c>
      <c r="N157" t="s">
        <v>202</v>
      </c>
      <c r="P157" t="s">
        <v>185</v>
      </c>
    </row>
    <row r="158" spans="1:16" x14ac:dyDescent="0.35">
      <c r="A158" t="s">
        <v>22</v>
      </c>
      <c r="B158" t="s">
        <v>56</v>
      </c>
      <c r="C158" t="s">
        <v>69</v>
      </c>
      <c r="D158" t="s">
        <v>7</v>
      </c>
      <c r="G158" t="s">
        <v>8</v>
      </c>
      <c r="I158" s="6">
        <v>358047.92</v>
      </c>
      <c r="J158" s="6">
        <f t="shared" si="2"/>
        <v>358047.92</v>
      </c>
      <c r="K158" t="s">
        <v>18</v>
      </c>
      <c r="L158" s="1">
        <v>45784</v>
      </c>
      <c r="M158" s="1">
        <v>45783</v>
      </c>
      <c r="N158" t="s">
        <v>70</v>
      </c>
      <c r="P158" t="s">
        <v>185</v>
      </c>
    </row>
    <row r="159" spans="1:16" x14ac:dyDescent="0.35">
      <c r="A159" t="s">
        <v>22</v>
      </c>
      <c r="B159" t="s">
        <v>27</v>
      </c>
      <c r="C159" t="s">
        <v>11</v>
      </c>
      <c r="D159" t="s">
        <v>234</v>
      </c>
      <c r="F159" s="6">
        <v>63540</v>
      </c>
      <c r="G159" s="6">
        <v>15790.51</v>
      </c>
      <c r="H159" s="6">
        <v>7794.74</v>
      </c>
      <c r="I159" s="6">
        <v>87125.25</v>
      </c>
      <c r="J159" s="6">
        <f t="shared" si="2"/>
        <v>63540</v>
      </c>
      <c r="K159" t="s">
        <v>4</v>
      </c>
      <c r="L159" s="1">
        <v>45792</v>
      </c>
      <c r="M159" s="1">
        <v>45791</v>
      </c>
      <c r="P159" t="s">
        <v>185</v>
      </c>
    </row>
    <row r="160" spans="1:16" x14ac:dyDescent="0.35">
      <c r="A160" t="s">
        <v>22</v>
      </c>
      <c r="B160" t="s">
        <v>27</v>
      </c>
      <c r="C160" t="s">
        <v>11</v>
      </c>
      <c r="D160" t="s">
        <v>235</v>
      </c>
      <c r="I160" s="6">
        <v>83754.48</v>
      </c>
      <c r="J160" s="6">
        <f t="shared" si="2"/>
        <v>83754.48</v>
      </c>
      <c r="K160" t="s">
        <v>4</v>
      </c>
      <c r="L160" s="1">
        <v>45792</v>
      </c>
      <c r="M160" s="1">
        <v>45791</v>
      </c>
      <c r="N160" t="s">
        <v>236</v>
      </c>
      <c r="O160" t="s">
        <v>237</v>
      </c>
      <c r="P160" t="s">
        <v>185</v>
      </c>
    </row>
    <row r="161" spans="1:16" x14ac:dyDescent="0.35">
      <c r="A161" t="s">
        <v>22</v>
      </c>
      <c r="B161" t="s">
        <v>27</v>
      </c>
      <c r="C161" t="s">
        <v>11</v>
      </c>
      <c r="D161" t="s">
        <v>235</v>
      </c>
      <c r="I161" s="6">
        <v>7964.95</v>
      </c>
      <c r="J161" s="6">
        <f t="shared" si="2"/>
        <v>7964.95</v>
      </c>
      <c r="K161" t="s">
        <v>4</v>
      </c>
      <c r="L161" s="1">
        <v>45821</v>
      </c>
      <c r="M161" s="1">
        <v>45821</v>
      </c>
      <c r="P161" t="s">
        <v>185</v>
      </c>
    </row>
    <row r="162" spans="1:16" x14ac:dyDescent="0.35">
      <c r="A162" t="s">
        <v>22</v>
      </c>
      <c r="B162" t="s">
        <v>9</v>
      </c>
      <c r="C162" t="s">
        <v>72</v>
      </c>
      <c r="D162" t="s">
        <v>238</v>
      </c>
      <c r="G162" t="s">
        <v>8</v>
      </c>
      <c r="I162" s="6">
        <v>186176.75</v>
      </c>
      <c r="J162" s="6">
        <f t="shared" si="2"/>
        <v>186176.75</v>
      </c>
      <c r="K162" t="s">
        <v>4</v>
      </c>
      <c r="L162" s="1">
        <v>45804</v>
      </c>
      <c r="M162" s="1">
        <v>45804</v>
      </c>
      <c r="P162" t="s">
        <v>185</v>
      </c>
    </row>
    <row r="163" spans="1:16" x14ac:dyDescent="0.35">
      <c r="A163" t="s">
        <v>22</v>
      </c>
      <c r="B163" t="s">
        <v>16</v>
      </c>
      <c r="C163" t="s">
        <v>72</v>
      </c>
      <c r="D163" t="s">
        <v>238</v>
      </c>
      <c r="G163" t="s">
        <v>8</v>
      </c>
      <c r="I163" s="6">
        <v>738316.44</v>
      </c>
      <c r="J163" s="6">
        <f t="shared" si="2"/>
        <v>738316.44</v>
      </c>
      <c r="K163" t="s">
        <v>4</v>
      </c>
      <c r="L163" s="1">
        <v>45804</v>
      </c>
      <c r="M163" s="1">
        <v>45804</v>
      </c>
      <c r="P163" t="s">
        <v>185</v>
      </c>
    </row>
    <row r="164" spans="1:16" x14ac:dyDescent="0.35">
      <c r="A164" t="s">
        <v>22</v>
      </c>
      <c r="B164" t="s">
        <v>61</v>
      </c>
      <c r="C164" t="s">
        <v>31</v>
      </c>
      <c r="D164" t="s">
        <v>192</v>
      </c>
      <c r="F164" s="6">
        <v>77673</v>
      </c>
      <c r="G164" s="6">
        <v>16311.33</v>
      </c>
      <c r="I164" s="6">
        <v>93984.33</v>
      </c>
      <c r="J164" s="6">
        <f t="shared" si="2"/>
        <v>77673</v>
      </c>
      <c r="K164" t="s">
        <v>4</v>
      </c>
      <c r="L164" s="1">
        <v>45797</v>
      </c>
      <c r="M164" s="1">
        <v>45797</v>
      </c>
      <c r="P164" t="s">
        <v>185</v>
      </c>
    </row>
    <row r="165" spans="1:16" x14ac:dyDescent="0.35">
      <c r="A165" t="s">
        <v>22</v>
      </c>
      <c r="B165" t="s">
        <v>19</v>
      </c>
      <c r="C165" t="s">
        <v>74</v>
      </c>
      <c r="D165" t="s">
        <v>75</v>
      </c>
      <c r="G165" t="s">
        <v>8</v>
      </c>
      <c r="I165" s="6">
        <v>103380.86</v>
      </c>
      <c r="J165" s="6">
        <f t="shared" si="2"/>
        <v>103380.86</v>
      </c>
      <c r="K165" t="s">
        <v>45</v>
      </c>
      <c r="L165" s="1">
        <v>45799</v>
      </c>
      <c r="M165" s="1">
        <v>45799</v>
      </c>
      <c r="N165" t="s">
        <v>76</v>
      </c>
      <c r="P165" t="s">
        <v>185</v>
      </c>
    </row>
    <row r="166" spans="1:16" x14ac:dyDescent="0.35">
      <c r="A166" t="s">
        <v>22</v>
      </c>
      <c r="B166" t="s">
        <v>23</v>
      </c>
      <c r="C166" t="s">
        <v>24</v>
      </c>
      <c r="D166" t="s">
        <v>239</v>
      </c>
      <c r="F166" s="6">
        <v>81226</v>
      </c>
      <c r="G166" s="6">
        <v>17057.46</v>
      </c>
      <c r="I166" s="6">
        <v>98283.46</v>
      </c>
      <c r="J166" s="6">
        <f t="shared" si="2"/>
        <v>81226</v>
      </c>
      <c r="K166" t="s">
        <v>4</v>
      </c>
      <c r="L166" s="1">
        <v>45797</v>
      </c>
      <c r="M166" s="1">
        <v>45797</v>
      </c>
      <c r="P166" t="s">
        <v>185</v>
      </c>
    </row>
    <row r="167" spans="1:16" x14ac:dyDescent="0.35">
      <c r="A167" t="s">
        <v>22</v>
      </c>
      <c r="B167" t="s">
        <v>77</v>
      </c>
      <c r="C167" t="s">
        <v>78</v>
      </c>
      <c r="D167" t="s">
        <v>79</v>
      </c>
      <c r="G167" t="s">
        <v>8</v>
      </c>
      <c r="I167" s="6">
        <v>22926.92</v>
      </c>
      <c r="J167" s="6">
        <f t="shared" si="2"/>
        <v>22926.92</v>
      </c>
      <c r="K167" t="s">
        <v>18</v>
      </c>
      <c r="L167" s="1">
        <v>45782</v>
      </c>
      <c r="M167" s="1">
        <v>45782</v>
      </c>
      <c r="P167" t="s">
        <v>185</v>
      </c>
    </row>
    <row r="168" spans="1:16" x14ac:dyDescent="0.35">
      <c r="A168" t="s">
        <v>22</v>
      </c>
      <c r="B168" t="s">
        <v>80</v>
      </c>
      <c r="C168" t="s">
        <v>37</v>
      </c>
      <c r="D168" t="s">
        <v>240</v>
      </c>
      <c r="G168" t="s">
        <v>8</v>
      </c>
      <c r="J168" s="6">
        <f t="shared" si="2"/>
        <v>0</v>
      </c>
      <c r="K168" t="s">
        <v>18</v>
      </c>
      <c r="L168" s="1">
        <v>45778</v>
      </c>
      <c r="M168" s="1">
        <v>45778</v>
      </c>
      <c r="P168" t="s">
        <v>185</v>
      </c>
    </row>
    <row r="169" spans="1:16" x14ac:dyDescent="0.35">
      <c r="A169" t="s">
        <v>82</v>
      </c>
      <c r="B169" t="s">
        <v>56</v>
      </c>
      <c r="C169" t="s">
        <v>69</v>
      </c>
      <c r="D169" t="s">
        <v>7</v>
      </c>
      <c r="G169" t="s">
        <v>8</v>
      </c>
      <c r="I169" s="6">
        <v>54845.94</v>
      </c>
      <c r="J169" s="6">
        <f t="shared" si="2"/>
        <v>54845.94</v>
      </c>
      <c r="K169" t="s">
        <v>18</v>
      </c>
      <c r="L169" s="1">
        <v>45784</v>
      </c>
      <c r="M169" s="1">
        <v>45783</v>
      </c>
      <c r="N169" t="s">
        <v>83</v>
      </c>
      <c r="P169" t="s">
        <v>185</v>
      </c>
    </row>
    <row r="170" spans="1:16" x14ac:dyDescent="0.35">
      <c r="A170" t="s">
        <v>82</v>
      </c>
      <c r="B170" t="s">
        <v>27</v>
      </c>
      <c r="C170" t="s">
        <v>28</v>
      </c>
      <c r="D170" t="s">
        <v>211</v>
      </c>
      <c r="F170" s="6">
        <v>48000</v>
      </c>
      <c r="G170" t="s">
        <v>8</v>
      </c>
      <c r="I170" s="6">
        <v>48000</v>
      </c>
      <c r="J170" s="6">
        <f t="shared" si="2"/>
        <v>48000</v>
      </c>
      <c r="K170" t="s">
        <v>4</v>
      </c>
      <c r="L170" s="1">
        <v>45800</v>
      </c>
      <c r="M170" s="1">
        <v>45800</v>
      </c>
      <c r="P170" t="s">
        <v>185</v>
      </c>
    </row>
    <row r="171" spans="1:16" x14ac:dyDescent="0.35">
      <c r="A171" t="s">
        <v>82</v>
      </c>
      <c r="B171" t="s">
        <v>1</v>
      </c>
      <c r="C171" t="s">
        <v>84</v>
      </c>
      <c r="D171" t="s">
        <v>240</v>
      </c>
      <c r="G171" t="s">
        <v>8</v>
      </c>
      <c r="J171" s="6">
        <f t="shared" si="2"/>
        <v>0</v>
      </c>
      <c r="K171" t="s">
        <v>4</v>
      </c>
      <c r="L171" s="1">
        <v>45778</v>
      </c>
      <c r="M171" s="1">
        <v>45778</v>
      </c>
      <c r="P171" t="s">
        <v>185</v>
      </c>
    </row>
    <row r="172" spans="1:16" x14ac:dyDescent="0.35">
      <c r="A172" t="s">
        <v>82</v>
      </c>
      <c r="B172" t="s">
        <v>1</v>
      </c>
      <c r="C172" t="s">
        <v>84</v>
      </c>
      <c r="D172" t="s">
        <v>241</v>
      </c>
      <c r="F172" s="6">
        <v>1251541</v>
      </c>
      <c r="G172" s="6">
        <v>262823.61</v>
      </c>
      <c r="I172" s="6">
        <v>1514364.61</v>
      </c>
      <c r="J172" s="6">
        <f t="shared" si="2"/>
        <v>1251541</v>
      </c>
      <c r="K172" t="s">
        <v>4</v>
      </c>
      <c r="L172" s="1">
        <v>45789</v>
      </c>
      <c r="M172" s="1">
        <v>45789</v>
      </c>
      <c r="P172" t="s">
        <v>185</v>
      </c>
    </row>
    <row r="173" spans="1:16" x14ac:dyDescent="0.35">
      <c r="A173" t="s">
        <v>82</v>
      </c>
      <c r="B173" t="s">
        <v>9</v>
      </c>
      <c r="C173" t="s">
        <v>14</v>
      </c>
      <c r="D173" t="s">
        <v>7</v>
      </c>
      <c r="G173" t="s">
        <v>8</v>
      </c>
      <c r="J173" s="6">
        <f t="shared" si="2"/>
        <v>0</v>
      </c>
      <c r="K173" t="s">
        <v>18</v>
      </c>
      <c r="L173" s="1">
        <v>45778</v>
      </c>
      <c r="M173" s="1">
        <v>45778</v>
      </c>
      <c r="P173" t="s">
        <v>185</v>
      </c>
    </row>
    <row r="174" spans="1:16" x14ac:dyDescent="0.35">
      <c r="A174" t="s">
        <v>82</v>
      </c>
      <c r="B174" t="s">
        <v>9</v>
      </c>
      <c r="C174" t="s">
        <v>14</v>
      </c>
      <c r="D174" t="s">
        <v>7</v>
      </c>
      <c r="G174" t="s">
        <v>8</v>
      </c>
      <c r="J174" s="6">
        <f t="shared" si="2"/>
        <v>0</v>
      </c>
      <c r="K174" t="s">
        <v>18</v>
      </c>
      <c r="L174" s="1">
        <v>45778</v>
      </c>
      <c r="M174" s="1">
        <v>45778</v>
      </c>
      <c r="P174" t="s">
        <v>185</v>
      </c>
    </row>
    <row r="175" spans="1:16" x14ac:dyDescent="0.35">
      <c r="A175" t="s">
        <v>82</v>
      </c>
      <c r="B175" t="s">
        <v>16</v>
      </c>
      <c r="C175" t="s">
        <v>16</v>
      </c>
      <c r="D175" t="s">
        <v>242</v>
      </c>
      <c r="E175" s="1">
        <v>45771</v>
      </c>
      <c r="F175" s="6">
        <v>85564.01</v>
      </c>
      <c r="G175" s="6">
        <v>23102.28</v>
      </c>
      <c r="H175" s="6">
        <v>8028.47</v>
      </c>
      <c r="I175" s="6">
        <v>116694.76</v>
      </c>
      <c r="J175" s="6">
        <f t="shared" si="2"/>
        <v>85564.01</v>
      </c>
      <c r="K175" t="s">
        <v>18</v>
      </c>
      <c r="L175" s="1">
        <v>45783</v>
      </c>
      <c r="M175" s="1">
        <v>45782</v>
      </c>
      <c r="N175" t="s">
        <v>243</v>
      </c>
      <c r="P175" t="s">
        <v>185</v>
      </c>
    </row>
    <row r="176" spans="1:16" x14ac:dyDescent="0.35">
      <c r="A176" t="s">
        <v>82</v>
      </c>
      <c r="B176" t="s">
        <v>61</v>
      </c>
      <c r="C176" t="s">
        <v>31</v>
      </c>
      <c r="D176" t="s">
        <v>192</v>
      </c>
      <c r="F176" s="6">
        <v>81557</v>
      </c>
      <c r="G176" s="6">
        <v>17126.97</v>
      </c>
      <c r="I176" s="6">
        <v>98683.97</v>
      </c>
      <c r="J176" s="6">
        <f t="shared" si="2"/>
        <v>81557</v>
      </c>
      <c r="K176" t="s">
        <v>4</v>
      </c>
      <c r="L176" s="1">
        <v>45797</v>
      </c>
      <c r="M176" s="1">
        <v>45797</v>
      </c>
      <c r="P176" t="s">
        <v>185</v>
      </c>
    </row>
    <row r="177" spans="1:16" x14ac:dyDescent="0.35">
      <c r="A177" t="s">
        <v>82</v>
      </c>
      <c r="B177" t="s">
        <v>19</v>
      </c>
      <c r="C177" t="s">
        <v>37</v>
      </c>
      <c r="D177" t="s">
        <v>244</v>
      </c>
      <c r="E177" s="1">
        <v>45765</v>
      </c>
      <c r="F177" s="6">
        <v>29090</v>
      </c>
      <c r="G177" s="6">
        <v>6108.9</v>
      </c>
      <c r="H177" s="6">
        <v>2327.1999999999998</v>
      </c>
      <c r="I177" s="6">
        <v>37526.1</v>
      </c>
      <c r="J177" s="6">
        <f t="shared" si="2"/>
        <v>29090</v>
      </c>
      <c r="K177" t="s">
        <v>18</v>
      </c>
      <c r="L177" s="1">
        <v>45784</v>
      </c>
      <c r="M177" s="1">
        <v>45783</v>
      </c>
      <c r="N177" t="s">
        <v>202</v>
      </c>
      <c r="P177" t="s">
        <v>185</v>
      </c>
    </row>
    <row r="178" spans="1:16" x14ac:dyDescent="0.35">
      <c r="A178" t="s">
        <v>82</v>
      </c>
      <c r="B178" t="s">
        <v>23</v>
      </c>
      <c r="C178" t="s">
        <v>24</v>
      </c>
      <c r="D178" t="s">
        <v>245</v>
      </c>
      <c r="F178" s="6">
        <v>38096</v>
      </c>
      <c r="G178" s="6">
        <v>8000.16</v>
      </c>
      <c r="I178" s="6">
        <v>46096.160000000003</v>
      </c>
      <c r="J178" s="6">
        <f t="shared" si="2"/>
        <v>38096</v>
      </c>
      <c r="K178" t="s">
        <v>4</v>
      </c>
      <c r="L178" s="1">
        <v>45797</v>
      </c>
      <c r="M178" s="1">
        <v>45797</v>
      </c>
      <c r="P178" t="s">
        <v>185</v>
      </c>
    </row>
    <row r="179" spans="1:16" x14ac:dyDescent="0.35">
      <c r="A179" t="s">
        <v>133</v>
      </c>
      <c r="B179" t="s">
        <v>56</v>
      </c>
      <c r="C179" t="s">
        <v>57</v>
      </c>
      <c r="D179" t="s">
        <v>246</v>
      </c>
      <c r="G179" t="s">
        <v>8</v>
      </c>
      <c r="I179" s="6">
        <v>48648.66</v>
      </c>
      <c r="J179" s="6">
        <f t="shared" si="2"/>
        <v>48648.66</v>
      </c>
      <c r="K179" t="s">
        <v>4</v>
      </c>
      <c r="L179" s="1">
        <v>45797</v>
      </c>
      <c r="M179" s="1">
        <v>45797</v>
      </c>
      <c r="P179" t="s">
        <v>185</v>
      </c>
    </row>
    <row r="180" spans="1:16" x14ac:dyDescent="0.35">
      <c r="A180" t="s">
        <v>133</v>
      </c>
      <c r="B180" t="s">
        <v>1</v>
      </c>
      <c r="C180" t="s">
        <v>57</v>
      </c>
      <c r="D180" t="s">
        <v>247</v>
      </c>
      <c r="F180" s="6">
        <v>941117.31</v>
      </c>
      <c r="G180" s="6">
        <v>197634.64</v>
      </c>
      <c r="I180" s="6">
        <v>1138751.95</v>
      </c>
      <c r="J180" s="6">
        <f t="shared" si="2"/>
        <v>941117.31</v>
      </c>
      <c r="K180" t="s">
        <v>4</v>
      </c>
      <c r="L180" s="1">
        <v>45786</v>
      </c>
      <c r="M180" s="1">
        <v>45786</v>
      </c>
      <c r="P180" t="s">
        <v>185</v>
      </c>
    </row>
    <row r="181" spans="1:16" x14ac:dyDescent="0.35">
      <c r="A181" t="s">
        <v>133</v>
      </c>
      <c r="B181" t="s">
        <v>9</v>
      </c>
      <c r="C181" t="s">
        <v>57</v>
      </c>
      <c r="D181" t="s">
        <v>246</v>
      </c>
      <c r="F181" s="6">
        <v>61622.61</v>
      </c>
      <c r="G181" s="6">
        <v>16638.099999999999</v>
      </c>
      <c r="H181" s="6">
        <v>3876.07</v>
      </c>
      <c r="I181" s="6">
        <v>82136.78</v>
      </c>
      <c r="J181" s="6">
        <f t="shared" si="2"/>
        <v>61622.61</v>
      </c>
      <c r="K181" t="s">
        <v>4</v>
      </c>
      <c r="L181" s="1">
        <v>45797</v>
      </c>
      <c r="M181" s="1">
        <v>45797</v>
      </c>
      <c r="P181" t="s">
        <v>185</v>
      </c>
    </row>
    <row r="182" spans="1:16" x14ac:dyDescent="0.35">
      <c r="A182" t="s">
        <v>133</v>
      </c>
      <c r="B182" t="s">
        <v>16</v>
      </c>
      <c r="C182" t="s">
        <v>57</v>
      </c>
      <c r="D182" t="s">
        <v>246</v>
      </c>
      <c r="G182" t="s">
        <v>8</v>
      </c>
      <c r="I182" s="6">
        <v>275066.59999999998</v>
      </c>
      <c r="J182" s="6">
        <f t="shared" si="2"/>
        <v>275066.59999999998</v>
      </c>
      <c r="K182" t="s">
        <v>4</v>
      </c>
      <c r="L182" s="1">
        <v>45797</v>
      </c>
      <c r="M182" s="1">
        <v>45797</v>
      </c>
      <c r="P182" t="s">
        <v>185</v>
      </c>
    </row>
    <row r="183" spans="1:16" x14ac:dyDescent="0.35">
      <c r="A183" t="s">
        <v>133</v>
      </c>
      <c r="B183" t="s">
        <v>60</v>
      </c>
      <c r="C183" t="s">
        <v>57</v>
      </c>
      <c r="D183" t="s">
        <v>246</v>
      </c>
      <c r="I183" s="6">
        <v>285021.89</v>
      </c>
      <c r="J183" s="6">
        <f t="shared" si="2"/>
        <v>285021.89</v>
      </c>
      <c r="K183" t="s">
        <v>4</v>
      </c>
      <c r="L183" s="1">
        <v>45797</v>
      </c>
      <c r="M183" s="1">
        <v>45797</v>
      </c>
      <c r="P183" t="s">
        <v>185</v>
      </c>
    </row>
    <row r="184" spans="1:16" x14ac:dyDescent="0.35">
      <c r="A184" t="s">
        <v>133</v>
      </c>
      <c r="B184" t="s">
        <v>61</v>
      </c>
      <c r="C184" t="s">
        <v>31</v>
      </c>
      <c r="D184" t="s">
        <v>192</v>
      </c>
      <c r="F184" s="6">
        <v>24380</v>
      </c>
      <c r="G184" s="6">
        <v>5119.8</v>
      </c>
      <c r="I184" s="6">
        <v>29499.8</v>
      </c>
      <c r="J184" s="6">
        <f t="shared" si="2"/>
        <v>24380</v>
      </c>
      <c r="K184" t="s">
        <v>4</v>
      </c>
      <c r="L184" s="1">
        <v>45797</v>
      </c>
      <c r="M184" s="1">
        <v>45797</v>
      </c>
      <c r="P184" t="s">
        <v>185</v>
      </c>
    </row>
    <row r="185" spans="1:16" x14ac:dyDescent="0.35">
      <c r="A185" t="s">
        <v>133</v>
      </c>
      <c r="B185" t="s">
        <v>19</v>
      </c>
      <c r="C185" t="s">
        <v>37</v>
      </c>
      <c r="D185" t="s">
        <v>248</v>
      </c>
      <c r="E185" s="1">
        <v>45765</v>
      </c>
      <c r="F185" s="6">
        <v>66381</v>
      </c>
      <c r="G185" s="6">
        <v>13940.01</v>
      </c>
      <c r="H185" s="6">
        <v>5310.48</v>
      </c>
      <c r="I185" s="6">
        <v>85631.49</v>
      </c>
      <c r="J185" s="6">
        <f t="shared" si="2"/>
        <v>66381</v>
      </c>
      <c r="K185" t="s">
        <v>39</v>
      </c>
      <c r="L185" s="1">
        <v>45784</v>
      </c>
      <c r="M185" s="1">
        <v>45784</v>
      </c>
      <c r="N185" t="s">
        <v>202</v>
      </c>
      <c r="P185" t="s">
        <v>185</v>
      </c>
    </row>
    <row r="186" spans="1:16" x14ac:dyDescent="0.35">
      <c r="A186" t="s">
        <v>152</v>
      </c>
      <c r="B186" t="s">
        <v>1</v>
      </c>
      <c r="C186" t="s">
        <v>47</v>
      </c>
      <c r="D186" t="s">
        <v>249</v>
      </c>
      <c r="F186" s="6">
        <v>500000</v>
      </c>
      <c r="G186" s="6">
        <v>105000</v>
      </c>
      <c r="I186" s="6">
        <v>605000</v>
      </c>
      <c r="J186" s="6">
        <f t="shared" si="2"/>
        <v>500000</v>
      </c>
      <c r="K186" t="s">
        <v>4</v>
      </c>
      <c r="L186" s="1">
        <v>45789</v>
      </c>
      <c r="M186" s="1">
        <v>45789</v>
      </c>
      <c r="P186" t="s">
        <v>185</v>
      </c>
    </row>
    <row r="187" spans="1:16" x14ac:dyDescent="0.35">
      <c r="A187" t="s">
        <v>152</v>
      </c>
      <c r="B187" t="s">
        <v>60</v>
      </c>
      <c r="C187" t="s">
        <v>47</v>
      </c>
      <c r="D187" t="s">
        <v>249</v>
      </c>
      <c r="G187" t="s">
        <v>8</v>
      </c>
      <c r="H187" s="6">
        <v>262912.84000000003</v>
      </c>
      <c r="I187" s="6">
        <v>262912.84000000003</v>
      </c>
      <c r="J187" s="6">
        <f t="shared" si="2"/>
        <v>262912.84000000003</v>
      </c>
      <c r="K187" t="s">
        <v>4</v>
      </c>
      <c r="L187" s="1">
        <v>45789</v>
      </c>
      <c r="M187" s="1">
        <v>45789</v>
      </c>
      <c r="P187" t="s">
        <v>185</v>
      </c>
    </row>
    <row r="188" spans="1:16" x14ac:dyDescent="0.35">
      <c r="A188" t="s">
        <v>154</v>
      </c>
      <c r="B188" t="s">
        <v>1</v>
      </c>
      <c r="C188" t="s">
        <v>47</v>
      </c>
      <c r="D188" t="s">
        <v>250</v>
      </c>
      <c r="F188" s="6">
        <v>211929.60000000001</v>
      </c>
      <c r="G188" s="6">
        <v>44505.22</v>
      </c>
      <c r="I188" s="6">
        <v>256434.82</v>
      </c>
      <c r="J188" s="6">
        <f t="shared" si="2"/>
        <v>211929.60000000001</v>
      </c>
      <c r="K188" t="s">
        <v>4</v>
      </c>
      <c r="L188" s="1">
        <v>45789</v>
      </c>
      <c r="M188" s="1">
        <v>45789</v>
      </c>
      <c r="P188" t="s">
        <v>185</v>
      </c>
    </row>
    <row r="189" spans="1:16" x14ac:dyDescent="0.35">
      <c r="A189" t="s">
        <v>154</v>
      </c>
      <c r="B189" t="s">
        <v>60</v>
      </c>
      <c r="C189" t="s">
        <v>47</v>
      </c>
      <c r="D189" t="s">
        <v>250</v>
      </c>
      <c r="G189" t="s">
        <v>8</v>
      </c>
      <c r="H189" s="6">
        <v>467400.61</v>
      </c>
      <c r="I189" s="6">
        <v>467400.61</v>
      </c>
      <c r="J189" s="6">
        <f t="shared" si="2"/>
        <v>467400.61</v>
      </c>
      <c r="K189" t="s">
        <v>4</v>
      </c>
      <c r="L189" s="1">
        <v>45789</v>
      </c>
      <c r="M189" s="1">
        <v>45789</v>
      </c>
      <c r="P189" t="s">
        <v>185</v>
      </c>
    </row>
    <row r="190" spans="1:16" x14ac:dyDescent="0.35">
      <c r="A190" t="s">
        <v>90</v>
      </c>
      <c r="B190" t="s">
        <v>61</v>
      </c>
      <c r="C190" t="s">
        <v>31</v>
      </c>
      <c r="D190" t="s">
        <v>192</v>
      </c>
      <c r="F190" s="6">
        <v>110047</v>
      </c>
      <c r="G190" s="6">
        <v>23109.87</v>
      </c>
      <c r="I190" s="6">
        <v>133156.87</v>
      </c>
      <c r="J190" s="6">
        <f t="shared" si="2"/>
        <v>110047</v>
      </c>
      <c r="K190" t="s">
        <v>4</v>
      </c>
      <c r="L190" s="1">
        <v>45797</v>
      </c>
      <c r="M190" s="1">
        <v>45797</v>
      </c>
      <c r="P190" t="s">
        <v>185</v>
      </c>
    </row>
    <row r="191" spans="1:16" x14ac:dyDescent="0.35">
      <c r="A191" t="s">
        <v>46</v>
      </c>
      <c r="B191" t="s">
        <v>1</v>
      </c>
      <c r="C191" t="s">
        <v>47</v>
      </c>
      <c r="G191" t="s">
        <v>8</v>
      </c>
      <c r="J191" s="6">
        <f t="shared" si="2"/>
        <v>0</v>
      </c>
      <c r="K191" t="s">
        <v>48</v>
      </c>
      <c r="L191" s="1">
        <v>45778</v>
      </c>
      <c r="M191" s="1">
        <v>45778</v>
      </c>
      <c r="P191" t="s">
        <v>185</v>
      </c>
    </row>
    <row r="192" spans="1:16" x14ac:dyDescent="0.35">
      <c r="A192" t="s">
        <v>46</v>
      </c>
      <c r="B192" t="s">
        <v>60</v>
      </c>
      <c r="C192" t="s">
        <v>47</v>
      </c>
      <c r="G192" t="s">
        <v>8</v>
      </c>
      <c r="J192" s="6">
        <f t="shared" si="2"/>
        <v>0</v>
      </c>
      <c r="K192" t="s">
        <v>48</v>
      </c>
      <c r="L192" s="1">
        <v>45778</v>
      </c>
      <c r="M192" s="1">
        <v>45778</v>
      </c>
      <c r="P192" t="s">
        <v>185</v>
      </c>
    </row>
    <row r="193" spans="1:16" x14ac:dyDescent="0.35">
      <c r="A193" t="s">
        <v>46</v>
      </c>
      <c r="B193" t="s">
        <v>16</v>
      </c>
      <c r="C193" t="s">
        <v>47</v>
      </c>
      <c r="G193" t="s">
        <v>8</v>
      </c>
      <c r="J193" s="6">
        <f t="shared" si="2"/>
        <v>0</v>
      </c>
      <c r="K193" t="s">
        <v>48</v>
      </c>
      <c r="L193" s="1">
        <v>45778</v>
      </c>
      <c r="M193" s="1">
        <v>45778</v>
      </c>
      <c r="P193" t="s">
        <v>185</v>
      </c>
    </row>
    <row r="194" spans="1:16" x14ac:dyDescent="0.35">
      <c r="A194" t="s">
        <v>251</v>
      </c>
      <c r="B194" t="s">
        <v>1</v>
      </c>
      <c r="C194" t="s">
        <v>47</v>
      </c>
      <c r="D194" t="s">
        <v>252</v>
      </c>
      <c r="F194" t="s">
        <v>8</v>
      </c>
      <c r="G194" t="s">
        <v>8</v>
      </c>
      <c r="J194" s="6" t="str">
        <f t="shared" si="2"/>
        <v>$ -</v>
      </c>
      <c r="K194" t="s">
        <v>48</v>
      </c>
      <c r="L194" s="1">
        <v>45789</v>
      </c>
      <c r="M194" s="1">
        <v>45789</v>
      </c>
      <c r="P194" t="s">
        <v>185</v>
      </c>
    </row>
    <row r="195" spans="1:16" x14ac:dyDescent="0.35">
      <c r="A195" t="s">
        <v>251</v>
      </c>
      <c r="B195" t="s">
        <v>60</v>
      </c>
      <c r="C195" t="s">
        <v>47</v>
      </c>
      <c r="D195" t="s">
        <v>253</v>
      </c>
      <c r="G195" t="s">
        <v>8</v>
      </c>
      <c r="H195" s="6">
        <v>1126508.49</v>
      </c>
      <c r="I195" s="6">
        <v>1126508.49</v>
      </c>
      <c r="J195" s="6">
        <f t="shared" ref="J195:J258" si="3">IF(F195&gt;0,F195,I195)</f>
        <v>1126508.49</v>
      </c>
      <c r="K195" t="s">
        <v>48</v>
      </c>
      <c r="L195" s="1">
        <v>45789</v>
      </c>
      <c r="M195" s="1">
        <v>45789</v>
      </c>
      <c r="P195" t="s">
        <v>185</v>
      </c>
    </row>
    <row r="196" spans="1:16" x14ac:dyDescent="0.35">
      <c r="A196" t="s">
        <v>251</v>
      </c>
      <c r="B196" t="s">
        <v>16</v>
      </c>
      <c r="C196" t="s">
        <v>47</v>
      </c>
      <c r="G196" t="s">
        <v>8</v>
      </c>
      <c r="J196" s="6">
        <f t="shared" si="3"/>
        <v>0</v>
      </c>
      <c r="K196" t="s">
        <v>48</v>
      </c>
      <c r="L196" s="1">
        <v>45778</v>
      </c>
      <c r="M196" s="1">
        <v>45778</v>
      </c>
      <c r="P196" t="s">
        <v>185</v>
      </c>
    </row>
    <row r="197" spans="1:16" x14ac:dyDescent="0.35">
      <c r="A197" t="s">
        <v>254</v>
      </c>
      <c r="G197" t="s">
        <v>8</v>
      </c>
      <c r="J197" s="6">
        <f t="shared" si="3"/>
        <v>0</v>
      </c>
      <c r="P197" t="s">
        <v>185</v>
      </c>
    </row>
    <row r="198" spans="1:16" x14ac:dyDescent="0.35">
      <c r="A198" t="s">
        <v>255</v>
      </c>
      <c r="B198" t="s">
        <v>80</v>
      </c>
      <c r="C198" t="s">
        <v>37</v>
      </c>
      <c r="D198" t="s">
        <v>256</v>
      </c>
      <c r="E198" s="1">
        <v>45801</v>
      </c>
      <c r="F198" s="6">
        <v>233649.99</v>
      </c>
      <c r="G198" s="6">
        <v>49179.42</v>
      </c>
      <c r="H198" s="6">
        <v>19053.11</v>
      </c>
      <c r="I198" s="6">
        <v>301882.52</v>
      </c>
      <c r="J198" s="6">
        <f t="shared" si="3"/>
        <v>233649.99</v>
      </c>
      <c r="K198" t="s">
        <v>18</v>
      </c>
      <c r="L198" s="1">
        <v>45819</v>
      </c>
      <c r="M198" s="1">
        <v>45819</v>
      </c>
      <c r="P198" t="s">
        <v>257</v>
      </c>
    </row>
    <row r="199" spans="1:16" x14ac:dyDescent="0.35">
      <c r="A199" t="s">
        <v>0</v>
      </c>
      <c r="B199" t="s">
        <v>1</v>
      </c>
      <c r="C199" t="s">
        <v>2</v>
      </c>
      <c r="D199" t="s">
        <v>258</v>
      </c>
      <c r="F199" s="6">
        <v>600000</v>
      </c>
      <c r="G199" s="6">
        <v>126000</v>
      </c>
      <c r="I199" s="6">
        <v>726000</v>
      </c>
      <c r="J199" s="6">
        <f t="shared" si="3"/>
        <v>600000</v>
      </c>
      <c r="K199" t="s">
        <v>45</v>
      </c>
      <c r="L199" s="1">
        <v>45818</v>
      </c>
      <c r="M199" s="1">
        <v>45818</v>
      </c>
      <c r="P199" t="s">
        <v>257</v>
      </c>
    </row>
    <row r="200" spans="1:16" x14ac:dyDescent="0.35">
      <c r="A200" t="s">
        <v>0</v>
      </c>
      <c r="B200" t="s">
        <v>6</v>
      </c>
      <c r="C200" t="s">
        <v>2</v>
      </c>
      <c r="D200" t="s">
        <v>7</v>
      </c>
      <c r="G200" t="s">
        <v>8</v>
      </c>
      <c r="I200" s="6">
        <v>15341.48</v>
      </c>
      <c r="J200" s="6">
        <f t="shared" si="3"/>
        <v>15341.48</v>
      </c>
      <c r="K200" t="s">
        <v>4</v>
      </c>
      <c r="L200" s="1">
        <v>45819</v>
      </c>
      <c r="M200" s="1">
        <v>45818</v>
      </c>
      <c r="P200" t="s">
        <v>257</v>
      </c>
    </row>
    <row r="201" spans="1:16" x14ac:dyDescent="0.35">
      <c r="A201" t="s">
        <v>0</v>
      </c>
      <c r="B201" t="s">
        <v>132</v>
      </c>
      <c r="C201" t="s">
        <v>2</v>
      </c>
      <c r="D201" t="s">
        <v>7</v>
      </c>
      <c r="G201" t="s">
        <v>8</v>
      </c>
      <c r="I201" s="6">
        <v>12750</v>
      </c>
      <c r="J201" s="6">
        <f t="shared" si="3"/>
        <v>12750</v>
      </c>
      <c r="K201" t="s">
        <v>4</v>
      </c>
      <c r="L201" s="1">
        <v>45819</v>
      </c>
      <c r="M201" s="1">
        <v>45818</v>
      </c>
      <c r="P201" t="s">
        <v>257</v>
      </c>
    </row>
    <row r="202" spans="1:16" x14ac:dyDescent="0.35">
      <c r="A202" t="s">
        <v>0</v>
      </c>
      <c r="B202" t="s">
        <v>19</v>
      </c>
      <c r="C202" t="s">
        <v>11</v>
      </c>
      <c r="D202" t="s">
        <v>12</v>
      </c>
      <c r="G202" t="s">
        <v>8</v>
      </c>
      <c r="I202" s="6">
        <v>43228.94</v>
      </c>
      <c r="J202" s="6">
        <f t="shared" si="3"/>
        <v>43228.94</v>
      </c>
      <c r="K202" t="s">
        <v>4</v>
      </c>
      <c r="L202" s="1">
        <v>45810</v>
      </c>
      <c r="M202" s="1">
        <v>45810</v>
      </c>
      <c r="P202" t="s">
        <v>257</v>
      </c>
    </row>
    <row r="203" spans="1:16" x14ac:dyDescent="0.35">
      <c r="A203" t="s">
        <v>15</v>
      </c>
      <c r="B203" t="s">
        <v>27</v>
      </c>
      <c r="C203" t="s">
        <v>28</v>
      </c>
      <c r="D203" t="s">
        <v>259</v>
      </c>
      <c r="E203" s="1">
        <v>45845</v>
      </c>
      <c r="G203" t="s">
        <v>8</v>
      </c>
      <c r="I203" s="6">
        <v>40000</v>
      </c>
      <c r="J203" s="6">
        <f t="shared" si="3"/>
        <v>40000</v>
      </c>
      <c r="K203" t="s">
        <v>4</v>
      </c>
      <c r="L203" s="1">
        <v>45860</v>
      </c>
      <c r="M203" s="1">
        <v>45860</v>
      </c>
      <c r="P203" t="s">
        <v>257</v>
      </c>
    </row>
    <row r="204" spans="1:16" x14ac:dyDescent="0.35">
      <c r="A204" t="s">
        <v>15</v>
      </c>
      <c r="B204" t="s">
        <v>1</v>
      </c>
      <c r="C204" t="s">
        <v>172</v>
      </c>
      <c r="D204" t="s">
        <v>260</v>
      </c>
      <c r="E204" s="1">
        <v>45809</v>
      </c>
      <c r="F204" s="6">
        <v>1045573.02</v>
      </c>
      <c r="G204" s="6">
        <v>219570.33</v>
      </c>
      <c r="I204" s="6">
        <v>1265143.3500000001</v>
      </c>
      <c r="J204" s="6">
        <f t="shared" si="3"/>
        <v>1045573.02</v>
      </c>
      <c r="K204" t="s">
        <v>4</v>
      </c>
      <c r="L204" s="1">
        <v>45825</v>
      </c>
      <c r="M204" s="1">
        <v>45825</v>
      </c>
      <c r="P204" t="s">
        <v>257</v>
      </c>
    </row>
    <row r="205" spans="1:16" x14ac:dyDescent="0.35">
      <c r="A205" t="s">
        <v>15</v>
      </c>
      <c r="B205" t="s">
        <v>16</v>
      </c>
      <c r="C205" t="s">
        <v>16</v>
      </c>
      <c r="D205" t="s">
        <v>261</v>
      </c>
      <c r="E205" s="1">
        <v>45806</v>
      </c>
      <c r="F205" s="6">
        <v>36803.14</v>
      </c>
      <c r="G205" s="6">
        <v>9936.85</v>
      </c>
      <c r="H205" s="6">
        <v>2397.71</v>
      </c>
      <c r="I205" s="6">
        <v>49137.7</v>
      </c>
      <c r="J205" s="6">
        <f t="shared" si="3"/>
        <v>36803.14</v>
      </c>
      <c r="K205" t="s">
        <v>45</v>
      </c>
      <c r="L205" s="1">
        <v>45814</v>
      </c>
      <c r="M205" s="1">
        <v>45814</v>
      </c>
      <c r="P205" t="s">
        <v>257</v>
      </c>
    </row>
    <row r="206" spans="1:16" x14ac:dyDescent="0.35">
      <c r="A206" t="s">
        <v>15</v>
      </c>
      <c r="B206" t="s">
        <v>60</v>
      </c>
      <c r="C206" t="s">
        <v>172</v>
      </c>
      <c r="D206" t="s">
        <v>7</v>
      </c>
      <c r="I206" s="6">
        <v>1059864.3999999999</v>
      </c>
      <c r="J206" s="6">
        <f t="shared" si="3"/>
        <v>1059864.3999999999</v>
      </c>
      <c r="K206" t="s">
        <v>18</v>
      </c>
      <c r="L206" s="1">
        <v>45818</v>
      </c>
      <c r="M206" s="1">
        <v>45818</v>
      </c>
      <c r="P206" t="s">
        <v>257</v>
      </c>
    </row>
    <row r="207" spans="1:16" x14ac:dyDescent="0.35">
      <c r="A207" t="s">
        <v>15</v>
      </c>
      <c r="B207" t="s">
        <v>61</v>
      </c>
      <c r="C207" t="s">
        <v>31</v>
      </c>
      <c r="D207" t="s">
        <v>262</v>
      </c>
      <c r="E207" s="1">
        <v>45814</v>
      </c>
      <c r="F207" s="6">
        <v>27480</v>
      </c>
      <c r="G207" s="6">
        <v>5770.8</v>
      </c>
      <c r="I207" s="6">
        <v>33250.800000000003</v>
      </c>
      <c r="J207" s="6">
        <f t="shared" si="3"/>
        <v>27480</v>
      </c>
      <c r="K207" t="s">
        <v>4</v>
      </c>
      <c r="L207" s="1">
        <v>45827</v>
      </c>
      <c r="M207" s="1">
        <v>45827</v>
      </c>
      <c r="P207" t="s">
        <v>257</v>
      </c>
    </row>
    <row r="208" spans="1:16" x14ac:dyDescent="0.35">
      <c r="A208" t="s">
        <v>15</v>
      </c>
      <c r="B208" t="s">
        <v>19</v>
      </c>
      <c r="C208" t="s">
        <v>20</v>
      </c>
      <c r="D208" t="s">
        <v>263</v>
      </c>
      <c r="E208" s="1">
        <v>45821</v>
      </c>
      <c r="F208" s="6">
        <v>86841.600000000006</v>
      </c>
      <c r="G208" s="6">
        <v>19554.43</v>
      </c>
      <c r="H208" s="6">
        <v>2605.25</v>
      </c>
      <c r="I208" s="6">
        <v>109001.28</v>
      </c>
      <c r="J208" s="6">
        <f t="shared" si="3"/>
        <v>86841.600000000006</v>
      </c>
      <c r="K208" t="s">
        <v>18</v>
      </c>
      <c r="L208" s="1">
        <v>45833</v>
      </c>
      <c r="M208" s="1">
        <v>45832</v>
      </c>
      <c r="P208" t="s">
        <v>257</v>
      </c>
    </row>
    <row r="209" spans="1:16" x14ac:dyDescent="0.35">
      <c r="A209" t="s">
        <v>33</v>
      </c>
      <c r="B209" t="s">
        <v>56</v>
      </c>
      <c r="C209" t="s">
        <v>57</v>
      </c>
      <c r="D209" t="s">
        <v>264</v>
      </c>
      <c r="E209" s="1">
        <v>45820</v>
      </c>
      <c r="G209" t="s">
        <v>8</v>
      </c>
      <c r="H209" s="6">
        <v>487475.77</v>
      </c>
      <c r="I209" s="6">
        <v>487475.77</v>
      </c>
      <c r="J209" s="6">
        <f t="shared" si="3"/>
        <v>487475.77</v>
      </c>
      <c r="K209" t="s">
        <v>4</v>
      </c>
      <c r="L209" s="1">
        <v>45827</v>
      </c>
      <c r="M209" s="1">
        <v>45827</v>
      </c>
      <c r="P209" t="s">
        <v>257</v>
      </c>
    </row>
    <row r="210" spans="1:16" x14ac:dyDescent="0.35">
      <c r="A210" t="s">
        <v>33</v>
      </c>
      <c r="B210" t="s">
        <v>27</v>
      </c>
      <c r="C210" t="s">
        <v>28</v>
      </c>
      <c r="D210" t="s">
        <v>259</v>
      </c>
      <c r="E210" s="1">
        <v>45845</v>
      </c>
      <c r="G210" t="s">
        <v>8</v>
      </c>
      <c r="I210" s="6">
        <v>40000</v>
      </c>
      <c r="J210" s="6">
        <f t="shared" si="3"/>
        <v>40000</v>
      </c>
      <c r="K210" t="s">
        <v>4</v>
      </c>
      <c r="L210" s="1">
        <v>45860</v>
      </c>
      <c r="M210" s="1">
        <v>45860</v>
      </c>
      <c r="P210" t="s">
        <v>257</v>
      </c>
    </row>
    <row r="211" spans="1:16" x14ac:dyDescent="0.35">
      <c r="A211" t="s">
        <v>33</v>
      </c>
      <c r="B211" t="s">
        <v>1</v>
      </c>
      <c r="C211" t="s">
        <v>57</v>
      </c>
      <c r="D211" t="s">
        <v>265</v>
      </c>
      <c r="E211" s="1">
        <v>45811</v>
      </c>
      <c r="F211" s="6">
        <v>2338348.56</v>
      </c>
      <c r="G211" s="6">
        <v>491053.2</v>
      </c>
      <c r="H211" t="s">
        <v>8</v>
      </c>
      <c r="I211" s="6">
        <v>2829401.76</v>
      </c>
      <c r="J211" s="6">
        <f t="shared" si="3"/>
        <v>2338348.56</v>
      </c>
      <c r="K211" t="s">
        <v>4</v>
      </c>
      <c r="L211" s="1">
        <v>45814</v>
      </c>
      <c r="M211" s="1">
        <v>45814</v>
      </c>
      <c r="P211" t="s">
        <v>257</v>
      </c>
    </row>
    <row r="212" spans="1:16" x14ac:dyDescent="0.35">
      <c r="A212" t="s">
        <v>33</v>
      </c>
      <c r="B212" t="s">
        <v>9</v>
      </c>
      <c r="C212" t="s">
        <v>57</v>
      </c>
      <c r="D212" t="s">
        <v>264</v>
      </c>
      <c r="E212" s="1">
        <v>45820</v>
      </c>
      <c r="F212" t="s">
        <v>8</v>
      </c>
      <c r="G212" t="s">
        <v>8</v>
      </c>
      <c r="I212" t="s">
        <v>8</v>
      </c>
      <c r="J212" s="6" t="str">
        <f t="shared" si="3"/>
        <v>$ -</v>
      </c>
      <c r="K212" t="s">
        <v>4</v>
      </c>
      <c r="L212" s="1">
        <v>45809</v>
      </c>
      <c r="M212" s="1">
        <v>45809</v>
      </c>
      <c r="P212" t="s">
        <v>257</v>
      </c>
    </row>
    <row r="213" spans="1:16" x14ac:dyDescent="0.35">
      <c r="A213" t="s">
        <v>33</v>
      </c>
      <c r="B213" t="s">
        <v>16</v>
      </c>
      <c r="C213" t="s">
        <v>16</v>
      </c>
      <c r="D213" t="s">
        <v>266</v>
      </c>
      <c r="E213" s="1">
        <v>45811</v>
      </c>
      <c r="F213" s="6">
        <v>391330.07</v>
      </c>
      <c r="G213" s="6">
        <v>105659.12</v>
      </c>
      <c r="H213" s="6">
        <v>35662.980000000003</v>
      </c>
      <c r="I213" s="6">
        <v>532652.17000000004</v>
      </c>
      <c r="J213" s="6">
        <f t="shared" si="3"/>
        <v>391330.07</v>
      </c>
      <c r="K213" t="s">
        <v>45</v>
      </c>
      <c r="L213" s="1">
        <v>45819</v>
      </c>
      <c r="M213" s="1">
        <v>45819</v>
      </c>
      <c r="P213" t="s">
        <v>257</v>
      </c>
    </row>
    <row r="214" spans="1:16" x14ac:dyDescent="0.35">
      <c r="A214" t="s">
        <v>33</v>
      </c>
      <c r="B214" t="s">
        <v>16</v>
      </c>
      <c r="C214" t="s">
        <v>16</v>
      </c>
      <c r="D214" t="s">
        <v>267</v>
      </c>
      <c r="E214" s="1">
        <v>45807</v>
      </c>
      <c r="F214" s="6">
        <v>11331.47</v>
      </c>
      <c r="G214" s="6">
        <v>3059.5</v>
      </c>
      <c r="H214" s="6">
        <v>7.71</v>
      </c>
      <c r="I214" s="6">
        <v>14398.68</v>
      </c>
      <c r="J214" s="6">
        <f t="shared" si="3"/>
        <v>11331.47</v>
      </c>
      <c r="K214" t="s">
        <v>45</v>
      </c>
      <c r="L214" s="1">
        <v>45817</v>
      </c>
      <c r="M214" s="1">
        <v>45817</v>
      </c>
      <c r="P214" t="s">
        <v>257</v>
      </c>
    </row>
    <row r="215" spans="1:16" x14ac:dyDescent="0.35">
      <c r="A215" t="s">
        <v>33</v>
      </c>
      <c r="B215" t="s">
        <v>16</v>
      </c>
      <c r="C215" t="s">
        <v>16</v>
      </c>
      <c r="D215" t="s">
        <v>268</v>
      </c>
      <c r="E215" s="1">
        <v>45807</v>
      </c>
      <c r="F215" s="6">
        <v>107630</v>
      </c>
      <c r="G215" s="6">
        <v>29060.1</v>
      </c>
      <c r="H215" s="6">
        <v>9043.4</v>
      </c>
      <c r="I215" s="6">
        <v>145733.5</v>
      </c>
      <c r="J215" s="6">
        <f t="shared" si="3"/>
        <v>107630</v>
      </c>
      <c r="K215" t="s">
        <v>45</v>
      </c>
      <c r="L215" s="1">
        <v>45817</v>
      </c>
      <c r="M215" s="1">
        <v>45817</v>
      </c>
      <c r="P215" t="s">
        <v>257</v>
      </c>
    </row>
    <row r="216" spans="1:16" x14ac:dyDescent="0.35">
      <c r="A216" t="s">
        <v>33</v>
      </c>
      <c r="B216" t="s">
        <v>60</v>
      </c>
      <c r="C216" t="s">
        <v>57</v>
      </c>
      <c r="D216" t="s">
        <v>264</v>
      </c>
      <c r="E216" s="1">
        <v>45820</v>
      </c>
      <c r="F216" t="s">
        <v>8</v>
      </c>
      <c r="G216" t="s">
        <v>8</v>
      </c>
      <c r="H216" s="6">
        <v>515040.5</v>
      </c>
      <c r="I216" s="6">
        <v>515040.5</v>
      </c>
      <c r="J216" s="6">
        <v>515040.5</v>
      </c>
      <c r="K216" t="s">
        <v>4</v>
      </c>
      <c r="L216" s="1">
        <v>45827</v>
      </c>
      <c r="M216" s="1">
        <v>45827</v>
      </c>
      <c r="P216" t="s">
        <v>257</v>
      </c>
    </row>
    <row r="217" spans="1:16" x14ac:dyDescent="0.35">
      <c r="A217" t="s">
        <v>33</v>
      </c>
      <c r="B217" t="s">
        <v>61</v>
      </c>
      <c r="C217" t="s">
        <v>31</v>
      </c>
      <c r="D217" t="s">
        <v>262</v>
      </c>
      <c r="E217" s="1">
        <v>45814</v>
      </c>
      <c r="F217" s="6">
        <v>34220</v>
      </c>
      <c r="G217" s="6">
        <v>7186.2</v>
      </c>
      <c r="I217" s="6">
        <v>41406.199999999997</v>
      </c>
      <c r="J217" s="6">
        <f t="shared" si="3"/>
        <v>34220</v>
      </c>
      <c r="K217" t="s">
        <v>4</v>
      </c>
      <c r="L217" s="1">
        <v>45827</v>
      </c>
      <c r="M217" s="1">
        <v>45827</v>
      </c>
      <c r="P217" t="s">
        <v>257</v>
      </c>
    </row>
    <row r="218" spans="1:16" x14ac:dyDescent="0.35">
      <c r="A218" t="s">
        <v>33</v>
      </c>
      <c r="B218" t="s">
        <v>19</v>
      </c>
      <c r="C218" t="s">
        <v>37</v>
      </c>
      <c r="D218" t="s">
        <v>269</v>
      </c>
      <c r="E218" s="1">
        <v>45798</v>
      </c>
      <c r="F218" s="6">
        <v>136229</v>
      </c>
      <c r="G218" s="6">
        <v>28608.09</v>
      </c>
      <c r="H218" s="6">
        <v>10898.32</v>
      </c>
      <c r="I218" s="6">
        <v>175735.41</v>
      </c>
      <c r="J218" s="6">
        <f t="shared" si="3"/>
        <v>136229</v>
      </c>
      <c r="K218" t="s">
        <v>39</v>
      </c>
      <c r="L218" s="1">
        <v>45812</v>
      </c>
      <c r="M218" s="1">
        <v>45812</v>
      </c>
      <c r="P218" t="s">
        <v>257</v>
      </c>
    </row>
    <row r="219" spans="1:16" x14ac:dyDescent="0.35">
      <c r="A219" t="s">
        <v>43</v>
      </c>
      <c r="B219" t="s">
        <v>1</v>
      </c>
      <c r="C219" t="s">
        <v>47</v>
      </c>
      <c r="D219" t="s">
        <v>270</v>
      </c>
      <c r="F219" s="6">
        <v>540862</v>
      </c>
      <c r="G219" s="6">
        <v>113581.02</v>
      </c>
      <c r="I219" s="6">
        <v>654443.02</v>
      </c>
      <c r="J219" s="6">
        <f t="shared" si="3"/>
        <v>540862</v>
      </c>
      <c r="K219" t="s">
        <v>271</v>
      </c>
      <c r="L219" s="1">
        <v>45818</v>
      </c>
      <c r="M219" s="1">
        <v>45818</v>
      </c>
      <c r="P219" t="s">
        <v>257</v>
      </c>
    </row>
    <row r="220" spans="1:16" x14ac:dyDescent="0.35">
      <c r="A220" t="s">
        <v>43</v>
      </c>
      <c r="B220" t="s">
        <v>1</v>
      </c>
      <c r="C220" t="s">
        <v>47</v>
      </c>
      <c r="D220" t="s">
        <v>272</v>
      </c>
      <c r="E220" s="1">
        <v>45827</v>
      </c>
      <c r="F220" s="6">
        <v>58413.1</v>
      </c>
      <c r="G220" s="6">
        <v>12266.75</v>
      </c>
      <c r="I220" s="6">
        <v>70679.850000000006</v>
      </c>
      <c r="J220" s="6">
        <f t="shared" si="3"/>
        <v>58413.1</v>
      </c>
      <c r="K220" t="s">
        <v>4</v>
      </c>
      <c r="L220" s="1">
        <v>45835</v>
      </c>
      <c r="M220" s="1">
        <v>45835</v>
      </c>
      <c r="P220" t="s">
        <v>257</v>
      </c>
    </row>
    <row r="221" spans="1:16" x14ac:dyDescent="0.35">
      <c r="A221" t="s">
        <v>43</v>
      </c>
      <c r="B221" t="s">
        <v>60</v>
      </c>
      <c r="C221" t="s">
        <v>47</v>
      </c>
      <c r="D221" t="s">
        <v>270</v>
      </c>
      <c r="G221" t="s">
        <v>8</v>
      </c>
      <c r="H221" s="6">
        <v>282173.06</v>
      </c>
      <c r="I221" s="6">
        <v>282173.06</v>
      </c>
      <c r="J221" s="6">
        <f t="shared" si="3"/>
        <v>282173.06</v>
      </c>
      <c r="K221" t="s">
        <v>271</v>
      </c>
      <c r="L221" s="1">
        <v>45818</v>
      </c>
      <c r="M221" s="1">
        <v>45818</v>
      </c>
      <c r="P221" t="s">
        <v>257</v>
      </c>
    </row>
    <row r="222" spans="1:16" x14ac:dyDescent="0.35">
      <c r="A222" t="s">
        <v>43</v>
      </c>
      <c r="B222" t="s">
        <v>61</v>
      </c>
      <c r="C222" t="s">
        <v>31</v>
      </c>
      <c r="D222" t="s">
        <v>262</v>
      </c>
      <c r="E222" s="1">
        <v>45814</v>
      </c>
      <c r="F222" s="6">
        <v>27480</v>
      </c>
      <c r="G222" s="6">
        <v>5770.8</v>
      </c>
      <c r="I222" s="6">
        <v>33250.800000000003</v>
      </c>
      <c r="J222" s="6">
        <f t="shared" si="3"/>
        <v>27480</v>
      </c>
      <c r="K222" t="s">
        <v>4</v>
      </c>
      <c r="L222" s="1">
        <v>45827</v>
      </c>
      <c r="M222" s="1">
        <v>45827</v>
      </c>
      <c r="P222" t="s">
        <v>257</v>
      </c>
    </row>
    <row r="223" spans="1:16" x14ac:dyDescent="0.35">
      <c r="A223" t="s">
        <v>43</v>
      </c>
      <c r="B223" t="s">
        <v>19</v>
      </c>
      <c r="C223" t="s">
        <v>37</v>
      </c>
      <c r="D223" t="s">
        <v>206</v>
      </c>
      <c r="E223" s="1">
        <v>45798</v>
      </c>
      <c r="F223" s="6">
        <v>33675</v>
      </c>
      <c r="G223" s="6">
        <v>7071.75</v>
      </c>
      <c r="H223" s="6">
        <v>2694</v>
      </c>
      <c r="I223" s="6">
        <v>2999.25</v>
      </c>
      <c r="J223" s="6">
        <f t="shared" si="3"/>
        <v>33675</v>
      </c>
      <c r="K223" t="s">
        <v>45</v>
      </c>
      <c r="L223" s="1">
        <v>45812</v>
      </c>
      <c r="M223" s="1">
        <v>45812</v>
      </c>
      <c r="N223" t="s">
        <v>207</v>
      </c>
      <c r="O223" t="s">
        <v>208</v>
      </c>
      <c r="P223" t="s">
        <v>257</v>
      </c>
    </row>
    <row r="224" spans="1:16" x14ac:dyDescent="0.35">
      <c r="A224" t="s">
        <v>43</v>
      </c>
      <c r="B224" t="s">
        <v>23</v>
      </c>
      <c r="C224" t="s">
        <v>24</v>
      </c>
      <c r="D224" t="s">
        <v>273</v>
      </c>
      <c r="E224" s="1">
        <v>45831</v>
      </c>
      <c r="F224" s="6">
        <v>38096</v>
      </c>
      <c r="G224" s="6">
        <v>8000.16</v>
      </c>
      <c r="I224" s="6">
        <v>46096.160000000003</v>
      </c>
      <c r="J224" s="6">
        <f t="shared" si="3"/>
        <v>38096</v>
      </c>
      <c r="K224" t="s">
        <v>4</v>
      </c>
      <c r="L224" s="1">
        <v>45835</v>
      </c>
      <c r="M224" s="1">
        <v>45835</v>
      </c>
      <c r="P224" t="s">
        <v>257</v>
      </c>
    </row>
    <row r="225" spans="1:16" x14ac:dyDescent="0.35">
      <c r="A225" t="s">
        <v>43</v>
      </c>
      <c r="B225" t="s">
        <v>27</v>
      </c>
      <c r="C225" t="s">
        <v>28</v>
      </c>
      <c r="D225" t="s">
        <v>259</v>
      </c>
      <c r="E225" s="1">
        <v>45845</v>
      </c>
      <c r="I225" s="6">
        <v>40000</v>
      </c>
      <c r="J225" s="6">
        <f t="shared" si="3"/>
        <v>40000</v>
      </c>
      <c r="K225" t="s">
        <v>4</v>
      </c>
      <c r="L225" s="1">
        <v>45860</v>
      </c>
      <c r="M225" s="1">
        <v>45860</v>
      </c>
      <c r="P225" t="s">
        <v>257</v>
      </c>
    </row>
    <row r="226" spans="1:16" x14ac:dyDescent="0.35">
      <c r="A226" t="s">
        <v>46</v>
      </c>
      <c r="B226" t="s">
        <v>1</v>
      </c>
      <c r="C226" t="s">
        <v>47</v>
      </c>
      <c r="D226" t="s">
        <v>274</v>
      </c>
      <c r="F226" s="6">
        <v>250000</v>
      </c>
      <c r="G226" s="6">
        <v>52500</v>
      </c>
      <c r="I226" s="6">
        <v>302500</v>
      </c>
      <c r="J226" s="6">
        <f t="shared" si="3"/>
        <v>250000</v>
      </c>
      <c r="K226" t="s">
        <v>271</v>
      </c>
      <c r="L226" s="1">
        <v>45818</v>
      </c>
      <c r="M226" s="1">
        <v>45818</v>
      </c>
      <c r="P226" t="s">
        <v>257</v>
      </c>
    </row>
    <row r="227" spans="1:16" x14ac:dyDescent="0.35">
      <c r="A227" t="s">
        <v>46</v>
      </c>
      <c r="B227" t="s">
        <v>60</v>
      </c>
      <c r="C227" t="s">
        <v>47</v>
      </c>
      <c r="D227" t="s">
        <v>274</v>
      </c>
      <c r="G227" t="s">
        <v>8</v>
      </c>
      <c r="H227" s="6">
        <v>15641.52</v>
      </c>
      <c r="I227" s="6">
        <v>15641.52</v>
      </c>
      <c r="J227" s="6">
        <f t="shared" si="3"/>
        <v>15641.52</v>
      </c>
      <c r="K227" t="s">
        <v>271</v>
      </c>
      <c r="L227" s="1">
        <v>45818</v>
      </c>
      <c r="M227" s="1">
        <v>45818</v>
      </c>
      <c r="P227" t="s">
        <v>257</v>
      </c>
    </row>
    <row r="228" spans="1:16" x14ac:dyDescent="0.35">
      <c r="A228" t="s">
        <v>156</v>
      </c>
      <c r="B228" t="s">
        <v>1</v>
      </c>
      <c r="C228" t="s">
        <v>47</v>
      </c>
      <c r="D228" t="s">
        <v>275</v>
      </c>
      <c r="F228" s="6">
        <v>386330</v>
      </c>
      <c r="G228" s="6">
        <v>81129.3</v>
      </c>
      <c r="I228" s="6">
        <v>467459.3</v>
      </c>
      <c r="J228" s="6">
        <f t="shared" si="3"/>
        <v>386330</v>
      </c>
      <c r="K228" t="s">
        <v>271</v>
      </c>
      <c r="L228" s="1">
        <v>45818</v>
      </c>
      <c r="M228" s="1">
        <v>45818</v>
      </c>
      <c r="P228" t="s">
        <v>257</v>
      </c>
    </row>
    <row r="229" spans="1:16" x14ac:dyDescent="0.35">
      <c r="A229" t="s">
        <v>156</v>
      </c>
      <c r="B229" t="s">
        <v>16</v>
      </c>
      <c r="C229" t="s">
        <v>47</v>
      </c>
      <c r="D229" t="s">
        <v>275</v>
      </c>
      <c r="F229" s="6">
        <v>1683.48</v>
      </c>
      <c r="G229" s="6">
        <v>353.53</v>
      </c>
      <c r="I229" s="6">
        <v>2037.01</v>
      </c>
      <c r="J229" s="6">
        <f t="shared" si="3"/>
        <v>1683.48</v>
      </c>
      <c r="K229" t="s">
        <v>271</v>
      </c>
      <c r="L229" s="1">
        <v>45818</v>
      </c>
      <c r="M229" s="1">
        <v>45818</v>
      </c>
      <c r="P229" t="s">
        <v>257</v>
      </c>
    </row>
    <row r="230" spans="1:16" x14ac:dyDescent="0.35">
      <c r="A230" t="s">
        <v>156</v>
      </c>
      <c r="B230" t="s">
        <v>60</v>
      </c>
      <c r="C230" t="s">
        <v>47</v>
      </c>
      <c r="D230" t="s">
        <v>275</v>
      </c>
      <c r="G230" t="s">
        <v>8</v>
      </c>
      <c r="H230" s="6">
        <v>43170.6</v>
      </c>
      <c r="I230" s="6">
        <v>43170.6</v>
      </c>
      <c r="J230" s="6">
        <f t="shared" si="3"/>
        <v>43170.6</v>
      </c>
      <c r="K230" t="s">
        <v>271</v>
      </c>
      <c r="L230" s="1">
        <v>45818</v>
      </c>
      <c r="M230" s="1">
        <v>45818</v>
      </c>
      <c r="P230" t="s">
        <v>257</v>
      </c>
    </row>
    <row r="231" spans="1:16" x14ac:dyDescent="0.35">
      <c r="A231" t="s">
        <v>156</v>
      </c>
      <c r="B231" t="s">
        <v>1</v>
      </c>
      <c r="C231" t="s">
        <v>47</v>
      </c>
      <c r="D231" t="s">
        <v>276</v>
      </c>
      <c r="E231" s="1">
        <v>45827</v>
      </c>
      <c r="F231" s="6">
        <v>41723.64</v>
      </c>
      <c r="G231" s="6">
        <v>8761.9599999999991</v>
      </c>
      <c r="I231" s="6">
        <v>50485.599999999999</v>
      </c>
      <c r="J231" s="6">
        <f t="shared" si="3"/>
        <v>41723.64</v>
      </c>
      <c r="K231" t="s">
        <v>4</v>
      </c>
      <c r="L231" s="1">
        <v>45835</v>
      </c>
      <c r="M231" s="1">
        <v>45835</v>
      </c>
      <c r="P231" t="s">
        <v>257</v>
      </c>
    </row>
    <row r="232" spans="1:16" x14ac:dyDescent="0.35">
      <c r="A232" t="s">
        <v>49</v>
      </c>
      <c r="B232" t="s">
        <v>27</v>
      </c>
      <c r="C232" t="s">
        <v>28</v>
      </c>
      <c r="D232" t="s">
        <v>259</v>
      </c>
      <c r="E232" s="1">
        <v>45845</v>
      </c>
      <c r="G232" t="s">
        <v>8</v>
      </c>
      <c r="I232" s="6">
        <v>40000</v>
      </c>
      <c r="J232" s="6">
        <f t="shared" si="3"/>
        <v>40000</v>
      </c>
      <c r="K232" t="s">
        <v>4</v>
      </c>
      <c r="L232" s="1">
        <v>45860</v>
      </c>
      <c r="M232" s="1">
        <v>45860</v>
      </c>
      <c r="P232" t="s">
        <v>257</v>
      </c>
    </row>
    <row r="233" spans="1:16" x14ac:dyDescent="0.35">
      <c r="A233" t="s">
        <v>49</v>
      </c>
      <c r="B233" t="s">
        <v>1</v>
      </c>
      <c r="C233" t="s">
        <v>167</v>
      </c>
      <c r="D233" t="s">
        <v>277</v>
      </c>
      <c r="E233" s="1">
        <v>45813</v>
      </c>
      <c r="F233" s="6">
        <v>1201308.3899999999</v>
      </c>
      <c r="G233" s="6">
        <v>252274.76</v>
      </c>
      <c r="H233" s="6">
        <v>60065.42</v>
      </c>
      <c r="I233" s="6">
        <v>1513648.57</v>
      </c>
      <c r="J233" s="6">
        <f t="shared" si="3"/>
        <v>1201308.3899999999</v>
      </c>
      <c r="K233" t="s">
        <v>4</v>
      </c>
      <c r="L233" s="1">
        <v>45821</v>
      </c>
      <c r="M233" s="1">
        <v>45821</v>
      </c>
      <c r="P233" t="s">
        <v>257</v>
      </c>
    </row>
    <row r="234" spans="1:16" x14ac:dyDescent="0.35">
      <c r="A234" t="s">
        <v>49</v>
      </c>
      <c r="B234" t="s">
        <v>16</v>
      </c>
      <c r="C234" t="s">
        <v>16</v>
      </c>
      <c r="D234" t="s">
        <v>278</v>
      </c>
      <c r="E234" s="1">
        <v>45804</v>
      </c>
      <c r="F234" s="6">
        <v>84071.59</v>
      </c>
      <c r="G234" s="6">
        <v>22699.33</v>
      </c>
      <c r="H234" s="6">
        <v>6832.93</v>
      </c>
      <c r="I234" s="6">
        <v>113603.85</v>
      </c>
      <c r="J234" s="6">
        <f t="shared" si="3"/>
        <v>84071.59</v>
      </c>
      <c r="K234" t="s">
        <v>45</v>
      </c>
      <c r="L234" s="1">
        <v>45812</v>
      </c>
      <c r="M234" s="1">
        <v>45814</v>
      </c>
      <c r="P234" t="s">
        <v>257</v>
      </c>
    </row>
    <row r="235" spans="1:16" x14ac:dyDescent="0.35">
      <c r="A235" t="s">
        <v>49</v>
      </c>
      <c r="B235" t="s">
        <v>60</v>
      </c>
      <c r="C235" t="s">
        <v>167</v>
      </c>
      <c r="D235" t="s">
        <v>279</v>
      </c>
      <c r="E235" s="1">
        <v>45813</v>
      </c>
      <c r="F235" s="6">
        <v>1912694.22</v>
      </c>
      <c r="G235" s="6">
        <v>401665.79</v>
      </c>
      <c r="H235" s="6">
        <v>95634.71</v>
      </c>
      <c r="I235" s="6">
        <v>2409994.7200000002</v>
      </c>
      <c r="J235" s="6">
        <f t="shared" si="3"/>
        <v>1912694.22</v>
      </c>
      <c r="K235" t="s">
        <v>271</v>
      </c>
      <c r="L235" s="1">
        <v>45818</v>
      </c>
      <c r="M235" s="1">
        <v>45818</v>
      </c>
      <c r="P235" t="s">
        <v>257</v>
      </c>
    </row>
    <row r="236" spans="1:16" x14ac:dyDescent="0.35">
      <c r="A236" t="s">
        <v>49</v>
      </c>
      <c r="B236" t="s">
        <v>61</v>
      </c>
      <c r="C236" t="s">
        <v>31</v>
      </c>
      <c r="D236" t="s">
        <v>262</v>
      </c>
      <c r="E236" s="1">
        <v>45814</v>
      </c>
      <c r="F236" s="6">
        <v>27480</v>
      </c>
      <c r="G236" s="6">
        <v>5770.8</v>
      </c>
      <c r="I236" s="6">
        <v>33250.800000000003</v>
      </c>
      <c r="J236" s="6">
        <f t="shared" si="3"/>
        <v>27480</v>
      </c>
      <c r="K236" t="s">
        <v>4</v>
      </c>
      <c r="L236" s="1">
        <v>45827</v>
      </c>
      <c r="M236" s="1">
        <v>45827</v>
      </c>
      <c r="P236" t="s">
        <v>257</v>
      </c>
    </row>
    <row r="237" spans="1:16" x14ac:dyDescent="0.35">
      <c r="A237" t="s">
        <v>49</v>
      </c>
      <c r="B237" t="s">
        <v>19</v>
      </c>
      <c r="C237" t="s">
        <v>37</v>
      </c>
      <c r="D237" t="s">
        <v>280</v>
      </c>
      <c r="E237" s="1">
        <v>45798</v>
      </c>
      <c r="F237" s="6">
        <v>53247.94</v>
      </c>
      <c r="G237" s="6">
        <v>11182.07</v>
      </c>
      <c r="H237" s="6">
        <v>4259.84</v>
      </c>
      <c r="I237" s="6">
        <v>68689.850000000006</v>
      </c>
      <c r="J237" s="6">
        <f t="shared" si="3"/>
        <v>53247.94</v>
      </c>
      <c r="K237" t="s">
        <v>39</v>
      </c>
      <c r="L237" s="1">
        <v>45814</v>
      </c>
      <c r="M237" s="1">
        <v>45814</v>
      </c>
      <c r="P237" t="s">
        <v>257</v>
      </c>
    </row>
    <row r="238" spans="1:16" x14ac:dyDescent="0.35">
      <c r="A238" t="s">
        <v>52</v>
      </c>
      <c r="B238" t="s">
        <v>1</v>
      </c>
      <c r="C238" t="s">
        <v>172</v>
      </c>
      <c r="D238" t="s">
        <v>281</v>
      </c>
      <c r="E238" s="1">
        <v>45809</v>
      </c>
      <c r="F238" s="6">
        <v>1533834</v>
      </c>
      <c r="G238" s="6">
        <v>322105.14</v>
      </c>
      <c r="I238" s="6">
        <v>1855939.14</v>
      </c>
      <c r="J238" s="6">
        <f t="shared" si="3"/>
        <v>1533834</v>
      </c>
      <c r="K238" t="s">
        <v>4</v>
      </c>
      <c r="L238" s="1">
        <v>45821</v>
      </c>
      <c r="M238" s="1">
        <v>45821</v>
      </c>
      <c r="P238" t="s">
        <v>257</v>
      </c>
    </row>
    <row r="239" spans="1:16" x14ac:dyDescent="0.35">
      <c r="A239" t="s">
        <v>52</v>
      </c>
      <c r="B239" t="s">
        <v>60</v>
      </c>
      <c r="C239" t="s">
        <v>172</v>
      </c>
      <c r="D239" t="s">
        <v>7</v>
      </c>
      <c r="I239" s="6">
        <v>529932.19999999995</v>
      </c>
      <c r="J239" s="6">
        <f t="shared" si="3"/>
        <v>529932.19999999995</v>
      </c>
      <c r="K239" t="s">
        <v>271</v>
      </c>
      <c r="L239" s="1">
        <v>45818</v>
      </c>
      <c r="M239" s="1">
        <v>45818</v>
      </c>
      <c r="P239" t="s">
        <v>257</v>
      </c>
    </row>
    <row r="240" spans="1:16" x14ac:dyDescent="0.35">
      <c r="A240" t="s">
        <v>176</v>
      </c>
      <c r="B240" t="s">
        <v>1</v>
      </c>
      <c r="C240" t="s">
        <v>172</v>
      </c>
      <c r="D240" t="s">
        <v>282</v>
      </c>
      <c r="E240" s="1">
        <v>45809</v>
      </c>
      <c r="F240" s="6">
        <v>887700</v>
      </c>
      <c r="G240" s="6">
        <v>186417</v>
      </c>
      <c r="I240" s="6">
        <v>1074117</v>
      </c>
      <c r="J240" s="6">
        <f t="shared" si="3"/>
        <v>887700</v>
      </c>
      <c r="K240" t="s">
        <v>4</v>
      </c>
      <c r="L240" s="1">
        <v>45825</v>
      </c>
      <c r="M240" s="1">
        <v>45825</v>
      </c>
      <c r="P240" t="s">
        <v>257</v>
      </c>
    </row>
    <row r="241" spans="1:16" x14ac:dyDescent="0.35">
      <c r="A241" t="s">
        <v>176</v>
      </c>
      <c r="B241" t="s">
        <v>60</v>
      </c>
      <c r="C241" t="s">
        <v>172</v>
      </c>
      <c r="D241" t="s">
        <v>7</v>
      </c>
      <c r="G241" t="s">
        <v>8</v>
      </c>
      <c r="I241" s="6">
        <v>529932.19999999995</v>
      </c>
      <c r="J241" s="6">
        <f t="shared" si="3"/>
        <v>529932.19999999995</v>
      </c>
      <c r="K241" t="s">
        <v>4</v>
      </c>
      <c r="L241" s="1">
        <v>45818</v>
      </c>
      <c r="M241" s="1">
        <v>45818</v>
      </c>
      <c r="P241" t="s">
        <v>257</v>
      </c>
    </row>
    <row r="242" spans="1:16" x14ac:dyDescent="0.35">
      <c r="A242" t="s">
        <v>26</v>
      </c>
      <c r="B242" t="s">
        <v>27</v>
      </c>
      <c r="C242" t="s">
        <v>28</v>
      </c>
      <c r="D242" t="s">
        <v>259</v>
      </c>
      <c r="E242" s="1">
        <v>45845</v>
      </c>
      <c r="G242" t="s">
        <v>8</v>
      </c>
      <c r="I242" s="6">
        <v>40000</v>
      </c>
      <c r="J242" s="6">
        <f t="shared" si="3"/>
        <v>40000</v>
      </c>
      <c r="K242" t="s">
        <v>4</v>
      </c>
      <c r="L242" s="1">
        <v>45860</v>
      </c>
      <c r="M242" s="1">
        <v>45860</v>
      </c>
      <c r="P242" t="s">
        <v>257</v>
      </c>
    </row>
    <row r="243" spans="1:16" x14ac:dyDescent="0.35">
      <c r="A243" t="s">
        <v>26</v>
      </c>
      <c r="B243" t="s">
        <v>1</v>
      </c>
      <c r="C243" t="s">
        <v>147</v>
      </c>
      <c r="D243" t="s">
        <v>283</v>
      </c>
      <c r="E243" s="1">
        <v>45825</v>
      </c>
      <c r="F243" s="6">
        <v>667200</v>
      </c>
      <c r="G243" s="6">
        <v>140112</v>
      </c>
      <c r="I243" s="6">
        <v>807312</v>
      </c>
      <c r="J243" s="6">
        <f t="shared" si="3"/>
        <v>667200</v>
      </c>
      <c r="K243" t="s">
        <v>4</v>
      </c>
      <c r="L243" s="1">
        <v>45821</v>
      </c>
      <c r="M243" s="1">
        <v>45821</v>
      </c>
      <c r="P243" t="s">
        <v>257</v>
      </c>
    </row>
    <row r="244" spans="1:16" x14ac:dyDescent="0.35">
      <c r="A244" t="s">
        <v>26</v>
      </c>
      <c r="B244" t="s">
        <v>16</v>
      </c>
      <c r="C244" t="s">
        <v>16</v>
      </c>
      <c r="D244" t="s">
        <v>284</v>
      </c>
      <c r="E244" s="1">
        <v>45806</v>
      </c>
      <c r="F244" s="6">
        <v>17278.71</v>
      </c>
      <c r="G244" s="6">
        <v>4665.25</v>
      </c>
      <c r="H244" s="6">
        <v>565.74</v>
      </c>
      <c r="I244" s="6">
        <v>22509.7</v>
      </c>
      <c r="J244" s="6">
        <f t="shared" si="3"/>
        <v>17278.71</v>
      </c>
      <c r="K244" t="s">
        <v>45</v>
      </c>
      <c r="L244" s="1">
        <v>45814</v>
      </c>
      <c r="M244" s="1">
        <v>45814</v>
      </c>
      <c r="P244" t="s">
        <v>257</v>
      </c>
    </row>
    <row r="245" spans="1:16" x14ac:dyDescent="0.35">
      <c r="A245" t="s">
        <v>26</v>
      </c>
      <c r="B245" t="s">
        <v>16</v>
      </c>
      <c r="C245" t="s">
        <v>16</v>
      </c>
      <c r="D245" t="s">
        <v>285</v>
      </c>
      <c r="E245" s="1">
        <v>45806</v>
      </c>
      <c r="F245" s="6">
        <v>90456.29</v>
      </c>
      <c r="G245" s="6">
        <v>24423.200000000001</v>
      </c>
      <c r="H245" s="6">
        <v>7431.99</v>
      </c>
      <c r="I245" s="6">
        <v>122311.48</v>
      </c>
      <c r="J245" s="6">
        <f t="shared" si="3"/>
        <v>90456.29</v>
      </c>
      <c r="K245" t="s">
        <v>45</v>
      </c>
      <c r="L245" s="1">
        <v>45814</v>
      </c>
      <c r="M245" s="1">
        <v>45814</v>
      </c>
      <c r="P245" t="s">
        <v>257</v>
      </c>
    </row>
    <row r="246" spans="1:16" x14ac:dyDescent="0.35">
      <c r="A246" t="s">
        <v>26</v>
      </c>
      <c r="B246" t="s">
        <v>60</v>
      </c>
      <c r="C246" t="s">
        <v>149</v>
      </c>
      <c r="D246" t="s">
        <v>7</v>
      </c>
      <c r="G246" t="s">
        <v>8</v>
      </c>
      <c r="H246" s="6">
        <v>240529.21</v>
      </c>
      <c r="I246" s="6">
        <v>240529.21</v>
      </c>
      <c r="J246" s="6">
        <f t="shared" si="3"/>
        <v>240529.21</v>
      </c>
      <c r="K246" t="s">
        <v>150</v>
      </c>
      <c r="L246" s="1">
        <v>45817</v>
      </c>
      <c r="M246" s="1">
        <v>45817</v>
      </c>
      <c r="P246" t="s">
        <v>257</v>
      </c>
    </row>
    <row r="247" spans="1:16" x14ac:dyDescent="0.35">
      <c r="A247" t="s">
        <v>26</v>
      </c>
      <c r="B247" t="s">
        <v>61</v>
      </c>
      <c r="C247" t="s">
        <v>31</v>
      </c>
      <c r="D247" t="s">
        <v>262</v>
      </c>
      <c r="E247" s="1">
        <v>45814</v>
      </c>
      <c r="F247" s="6">
        <v>27480</v>
      </c>
      <c r="G247" s="6">
        <v>5770.8</v>
      </c>
      <c r="I247" s="6">
        <v>33250.800000000003</v>
      </c>
      <c r="J247" s="6">
        <f t="shared" si="3"/>
        <v>27480</v>
      </c>
      <c r="K247" t="s">
        <v>4</v>
      </c>
      <c r="L247" s="1">
        <v>45827</v>
      </c>
      <c r="M247" s="1">
        <v>45827</v>
      </c>
      <c r="P247" t="s">
        <v>257</v>
      </c>
    </row>
    <row r="248" spans="1:16" x14ac:dyDescent="0.35">
      <c r="A248" t="s">
        <v>26</v>
      </c>
      <c r="B248" t="s">
        <v>19</v>
      </c>
      <c r="C248" t="s">
        <v>37</v>
      </c>
      <c r="D248" t="s">
        <v>286</v>
      </c>
      <c r="E248" s="1">
        <v>45798</v>
      </c>
      <c r="F248" s="6">
        <v>96500</v>
      </c>
      <c r="G248" s="6">
        <v>20265</v>
      </c>
      <c r="H248" s="6">
        <v>7720</v>
      </c>
      <c r="I248" s="6">
        <v>124485</v>
      </c>
      <c r="J248" s="6">
        <f t="shared" si="3"/>
        <v>96500</v>
      </c>
      <c r="K248" t="s">
        <v>18</v>
      </c>
      <c r="L248" s="1">
        <v>45812</v>
      </c>
      <c r="M248" s="1">
        <v>45812</v>
      </c>
      <c r="P248" t="s">
        <v>257</v>
      </c>
    </row>
    <row r="249" spans="1:16" x14ac:dyDescent="0.35">
      <c r="A249" t="s">
        <v>52</v>
      </c>
      <c r="B249" t="s">
        <v>16</v>
      </c>
      <c r="C249" t="s">
        <v>16</v>
      </c>
      <c r="D249" t="s">
        <v>287</v>
      </c>
      <c r="E249" s="1">
        <v>45806</v>
      </c>
      <c r="F249" s="6">
        <v>52854.86</v>
      </c>
      <c r="G249" s="6">
        <v>14270.81</v>
      </c>
      <c r="H249" s="6">
        <v>3903.86</v>
      </c>
      <c r="I249" s="6">
        <v>71029.53</v>
      </c>
      <c r="J249" s="6">
        <f t="shared" si="3"/>
        <v>52854.86</v>
      </c>
      <c r="K249" t="s">
        <v>45</v>
      </c>
      <c r="L249" s="1">
        <v>45814</v>
      </c>
      <c r="M249" s="1">
        <v>45814</v>
      </c>
      <c r="P249" t="s">
        <v>257</v>
      </c>
    </row>
    <row r="250" spans="1:16" x14ac:dyDescent="0.35">
      <c r="A250" t="s">
        <v>52</v>
      </c>
      <c r="B250" t="s">
        <v>61</v>
      </c>
      <c r="C250" t="s">
        <v>31</v>
      </c>
      <c r="D250" t="s">
        <v>262</v>
      </c>
      <c r="E250" s="1">
        <v>45814</v>
      </c>
      <c r="F250" s="6">
        <v>27480</v>
      </c>
      <c r="G250" s="6">
        <v>5770.8</v>
      </c>
      <c r="I250" s="6">
        <v>33250.800000000003</v>
      </c>
      <c r="J250" s="6">
        <f t="shared" si="3"/>
        <v>27480</v>
      </c>
      <c r="K250" t="s">
        <v>4</v>
      </c>
      <c r="L250" s="1">
        <v>45827</v>
      </c>
      <c r="M250" s="1">
        <v>45827</v>
      </c>
      <c r="P250" t="s">
        <v>257</v>
      </c>
    </row>
    <row r="251" spans="1:16" x14ac:dyDescent="0.35">
      <c r="A251" t="s">
        <v>52</v>
      </c>
      <c r="B251" t="s">
        <v>27</v>
      </c>
      <c r="C251" t="s">
        <v>28</v>
      </c>
      <c r="D251" t="s">
        <v>259</v>
      </c>
      <c r="E251" s="1">
        <v>45845</v>
      </c>
      <c r="I251" s="6">
        <v>40000</v>
      </c>
      <c r="J251" s="6">
        <f t="shared" si="3"/>
        <v>40000</v>
      </c>
      <c r="K251" t="s">
        <v>4</v>
      </c>
      <c r="L251" s="1">
        <v>45860</v>
      </c>
      <c r="M251" s="1">
        <v>45860</v>
      </c>
      <c r="P251" t="s">
        <v>257</v>
      </c>
    </row>
    <row r="252" spans="1:16" x14ac:dyDescent="0.35">
      <c r="A252" t="s">
        <v>176</v>
      </c>
      <c r="B252" t="s">
        <v>16</v>
      </c>
      <c r="C252" t="s">
        <v>16</v>
      </c>
      <c r="D252" t="s">
        <v>7</v>
      </c>
      <c r="E252" s="1">
        <v>45806</v>
      </c>
      <c r="I252" s="6">
        <v>47453.67</v>
      </c>
      <c r="J252" s="6">
        <f t="shared" si="3"/>
        <v>47453.67</v>
      </c>
      <c r="K252" t="s">
        <v>45</v>
      </c>
      <c r="L252" s="1">
        <v>45814</v>
      </c>
      <c r="M252" s="1">
        <v>45814</v>
      </c>
      <c r="P252" t="s">
        <v>257</v>
      </c>
    </row>
    <row r="253" spans="1:16" x14ac:dyDescent="0.35">
      <c r="A253" t="s">
        <v>176</v>
      </c>
      <c r="B253" t="s">
        <v>61</v>
      </c>
      <c r="C253" t="s">
        <v>31</v>
      </c>
      <c r="D253" t="s">
        <v>262</v>
      </c>
      <c r="E253" s="1">
        <v>45814</v>
      </c>
      <c r="F253" s="6">
        <v>27480</v>
      </c>
      <c r="G253" s="6">
        <v>5770.8</v>
      </c>
      <c r="I253" s="6">
        <v>33250.800000000003</v>
      </c>
      <c r="J253" s="6">
        <f t="shared" si="3"/>
        <v>27480</v>
      </c>
      <c r="K253" t="s">
        <v>4</v>
      </c>
      <c r="L253" s="1">
        <v>45827</v>
      </c>
      <c r="M253" s="1">
        <v>45827</v>
      </c>
      <c r="P253" t="s">
        <v>257</v>
      </c>
    </row>
    <row r="254" spans="1:16" x14ac:dyDescent="0.35">
      <c r="A254" t="s">
        <v>176</v>
      </c>
      <c r="B254" t="s">
        <v>23</v>
      </c>
      <c r="C254" t="s">
        <v>24</v>
      </c>
      <c r="D254" t="s">
        <v>288</v>
      </c>
      <c r="F254" s="6">
        <v>38096</v>
      </c>
      <c r="G254" s="6">
        <v>8000.16</v>
      </c>
      <c r="I254" s="6">
        <v>46096.160000000003</v>
      </c>
      <c r="J254" s="6">
        <f t="shared" si="3"/>
        <v>38096</v>
      </c>
      <c r="K254" t="s">
        <v>4</v>
      </c>
      <c r="L254" s="1">
        <v>45821</v>
      </c>
      <c r="M254" s="1">
        <v>45821</v>
      </c>
      <c r="P254" t="s">
        <v>257</v>
      </c>
    </row>
    <row r="255" spans="1:16" x14ac:dyDescent="0.35">
      <c r="A255" t="s">
        <v>63</v>
      </c>
      <c r="B255" t="s">
        <v>27</v>
      </c>
      <c r="C255" t="s">
        <v>28</v>
      </c>
      <c r="D255" t="s">
        <v>259</v>
      </c>
      <c r="E255" s="1">
        <v>45845</v>
      </c>
      <c r="G255" t="s">
        <v>8</v>
      </c>
      <c r="I255" s="6">
        <v>40000</v>
      </c>
      <c r="J255" s="6">
        <f t="shared" si="3"/>
        <v>40000</v>
      </c>
      <c r="K255" t="s">
        <v>4</v>
      </c>
      <c r="L255" s="1">
        <v>45860</v>
      </c>
      <c r="M255" s="1">
        <v>45860</v>
      </c>
      <c r="P255" t="s">
        <v>257</v>
      </c>
    </row>
    <row r="256" spans="1:16" x14ac:dyDescent="0.35">
      <c r="A256" t="s">
        <v>63</v>
      </c>
      <c r="B256" t="s">
        <v>1</v>
      </c>
      <c r="C256" t="s">
        <v>64</v>
      </c>
      <c r="D256" t="s">
        <v>289</v>
      </c>
      <c r="F256" s="6">
        <v>1442456</v>
      </c>
      <c r="G256" s="6">
        <v>302915.76</v>
      </c>
      <c r="I256" s="6">
        <v>1745371.76</v>
      </c>
      <c r="J256" s="6">
        <f t="shared" si="3"/>
        <v>1442456</v>
      </c>
      <c r="K256" t="s">
        <v>271</v>
      </c>
      <c r="L256" s="1">
        <v>45818</v>
      </c>
      <c r="M256" s="1">
        <v>45818</v>
      </c>
      <c r="N256" t="s">
        <v>66</v>
      </c>
      <c r="P256" t="s">
        <v>257</v>
      </c>
    </row>
    <row r="257" spans="1:16" x14ac:dyDescent="0.35">
      <c r="A257" t="s">
        <v>63</v>
      </c>
      <c r="B257" t="s">
        <v>16</v>
      </c>
      <c r="C257" t="s">
        <v>16</v>
      </c>
      <c r="D257" t="s">
        <v>290</v>
      </c>
      <c r="E257" s="1">
        <v>45800</v>
      </c>
      <c r="F257" s="6">
        <v>149055.1</v>
      </c>
      <c r="G257" s="6">
        <v>40244.879999999997</v>
      </c>
      <c r="H257" s="6">
        <v>12930.32</v>
      </c>
      <c r="I257" s="6">
        <v>202230.3</v>
      </c>
      <c r="J257" s="6">
        <f t="shared" si="3"/>
        <v>149055.1</v>
      </c>
      <c r="K257" t="s">
        <v>18</v>
      </c>
      <c r="L257" s="1">
        <v>45817</v>
      </c>
      <c r="M257" s="1">
        <v>45817</v>
      </c>
      <c r="P257" t="s">
        <v>257</v>
      </c>
    </row>
    <row r="258" spans="1:16" x14ac:dyDescent="0.35">
      <c r="A258" t="s">
        <v>63</v>
      </c>
      <c r="B258" t="s">
        <v>61</v>
      </c>
      <c r="C258" t="s">
        <v>31</v>
      </c>
      <c r="D258" t="s">
        <v>262</v>
      </c>
      <c r="E258" s="1">
        <v>45814</v>
      </c>
      <c r="F258" s="6">
        <v>60928</v>
      </c>
      <c r="G258" s="6">
        <v>12794.88</v>
      </c>
      <c r="I258" s="6">
        <v>73722.880000000005</v>
      </c>
      <c r="J258" s="6">
        <f t="shared" si="3"/>
        <v>60928</v>
      </c>
      <c r="K258" t="s">
        <v>4</v>
      </c>
      <c r="L258" s="1">
        <v>45827</v>
      </c>
      <c r="M258" s="1">
        <v>45827</v>
      </c>
      <c r="P258" t="s">
        <v>257</v>
      </c>
    </row>
    <row r="259" spans="1:16" x14ac:dyDescent="0.35">
      <c r="A259" t="s">
        <v>63</v>
      </c>
      <c r="B259" t="s">
        <v>19</v>
      </c>
      <c r="C259" t="s">
        <v>37</v>
      </c>
      <c r="D259" t="s">
        <v>291</v>
      </c>
      <c r="E259" s="1">
        <v>45798</v>
      </c>
      <c r="F259" s="6">
        <v>51080</v>
      </c>
      <c r="G259" s="6">
        <v>10726.8</v>
      </c>
      <c r="H259" s="6">
        <v>4086.4</v>
      </c>
      <c r="I259" s="6">
        <v>65893.2</v>
      </c>
      <c r="J259" s="6">
        <f t="shared" ref="J259:J322" si="4">IF(F259&gt;0,F259,I259)</f>
        <v>51080</v>
      </c>
      <c r="K259" t="s">
        <v>18</v>
      </c>
      <c r="L259" s="1">
        <v>45812</v>
      </c>
      <c r="M259" s="1">
        <v>45812</v>
      </c>
      <c r="P259" t="s">
        <v>257</v>
      </c>
    </row>
    <row r="260" spans="1:16" x14ac:dyDescent="0.35">
      <c r="A260" t="s">
        <v>22</v>
      </c>
      <c r="B260" t="s">
        <v>27</v>
      </c>
      <c r="C260" t="s">
        <v>28</v>
      </c>
      <c r="D260" t="s">
        <v>259</v>
      </c>
      <c r="E260" s="1">
        <v>45845</v>
      </c>
      <c r="G260" t="s">
        <v>8</v>
      </c>
      <c r="I260" s="6">
        <v>40000</v>
      </c>
      <c r="J260" s="6">
        <f t="shared" si="4"/>
        <v>40000</v>
      </c>
      <c r="K260" t="s">
        <v>4</v>
      </c>
      <c r="L260" s="1">
        <v>45860</v>
      </c>
      <c r="M260" s="1">
        <v>45860</v>
      </c>
      <c r="P260" t="s">
        <v>257</v>
      </c>
    </row>
    <row r="261" spans="1:16" x14ac:dyDescent="0.35">
      <c r="A261" t="s">
        <v>22</v>
      </c>
      <c r="B261" t="s">
        <v>56</v>
      </c>
      <c r="C261" t="s">
        <v>69</v>
      </c>
      <c r="D261" t="s">
        <v>7</v>
      </c>
      <c r="E261" s="1">
        <v>45809</v>
      </c>
      <c r="G261" t="s">
        <v>8</v>
      </c>
      <c r="I261" s="6">
        <v>376530.35</v>
      </c>
      <c r="J261" s="6">
        <f t="shared" si="4"/>
        <v>376530.35</v>
      </c>
      <c r="K261" t="s">
        <v>18</v>
      </c>
      <c r="L261" s="1">
        <v>45817</v>
      </c>
      <c r="M261" s="1">
        <v>45817</v>
      </c>
      <c r="N261" t="s">
        <v>70</v>
      </c>
      <c r="P261" t="s">
        <v>257</v>
      </c>
    </row>
    <row r="262" spans="1:16" x14ac:dyDescent="0.35">
      <c r="A262" t="s">
        <v>22</v>
      </c>
      <c r="B262" t="s">
        <v>27</v>
      </c>
      <c r="C262" t="s">
        <v>11</v>
      </c>
      <c r="D262" t="s">
        <v>235</v>
      </c>
      <c r="G262" t="s">
        <v>8</v>
      </c>
      <c r="J262" s="6">
        <f t="shared" si="4"/>
        <v>0</v>
      </c>
      <c r="K262" t="s">
        <v>4</v>
      </c>
      <c r="L262" s="1">
        <v>45809</v>
      </c>
      <c r="M262" s="1">
        <v>45809</v>
      </c>
      <c r="P262" t="s">
        <v>257</v>
      </c>
    </row>
    <row r="263" spans="1:16" x14ac:dyDescent="0.35">
      <c r="A263" t="s">
        <v>22</v>
      </c>
      <c r="B263" t="s">
        <v>9</v>
      </c>
      <c r="C263" t="s">
        <v>72</v>
      </c>
      <c r="D263" t="s">
        <v>292</v>
      </c>
      <c r="E263" s="1">
        <v>45819</v>
      </c>
      <c r="G263" t="s">
        <v>8</v>
      </c>
      <c r="I263" s="6">
        <v>151380.64000000001</v>
      </c>
      <c r="J263" s="6">
        <f t="shared" si="4"/>
        <v>151380.64000000001</v>
      </c>
      <c r="K263" t="s">
        <v>4</v>
      </c>
      <c r="L263" s="1">
        <v>45832</v>
      </c>
      <c r="M263" s="1">
        <v>45832</v>
      </c>
      <c r="P263" t="s">
        <v>257</v>
      </c>
    </row>
    <row r="264" spans="1:16" x14ac:dyDescent="0.35">
      <c r="A264" t="s">
        <v>22</v>
      </c>
      <c r="B264" t="s">
        <v>16</v>
      </c>
      <c r="C264" t="s">
        <v>72</v>
      </c>
      <c r="D264" t="s">
        <v>292</v>
      </c>
      <c r="E264" s="1">
        <v>45819</v>
      </c>
      <c r="G264" t="s">
        <v>8</v>
      </c>
      <c r="I264" s="6">
        <v>793741.78</v>
      </c>
      <c r="J264" s="6">
        <f t="shared" si="4"/>
        <v>793741.78</v>
      </c>
      <c r="K264" t="s">
        <v>4</v>
      </c>
      <c r="L264" s="1">
        <v>45832</v>
      </c>
      <c r="M264" s="1">
        <v>45832</v>
      </c>
      <c r="P264" t="s">
        <v>257</v>
      </c>
    </row>
    <row r="265" spans="1:16" x14ac:dyDescent="0.35">
      <c r="A265" t="s">
        <v>22</v>
      </c>
      <c r="B265" t="s">
        <v>61</v>
      </c>
      <c r="C265" t="s">
        <v>31</v>
      </c>
      <c r="D265" t="s">
        <v>262</v>
      </c>
      <c r="E265" s="1">
        <v>45814</v>
      </c>
      <c r="F265" s="6">
        <v>77673</v>
      </c>
      <c r="G265" s="6">
        <v>16311.33</v>
      </c>
      <c r="I265" s="6">
        <v>93984.33</v>
      </c>
      <c r="J265" s="6">
        <f t="shared" si="4"/>
        <v>77673</v>
      </c>
      <c r="K265" t="s">
        <v>4</v>
      </c>
      <c r="L265" s="1">
        <v>45827</v>
      </c>
      <c r="M265" s="1">
        <v>45827</v>
      </c>
      <c r="P265" t="s">
        <v>257</v>
      </c>
    </row>
    <row r="266" spans="1:16" x14ac:dyDescent="0.35">
      <c r="A266" t="s">
        <v>22</v>
      </c>
      <c r="B266" t="s">
        <v>19</v>
      </c>
      <c r="C266" t="s">
        <v>74</v>
      </c>
      <c r="D266" t="s">
        <v>75</v>
      </c>
      <c r="E266" s="1">
        <v>45812</v>
      </c>
      <c r="G266" t="s">
        <v>8</v>
      </c>
      <c r="I266" s="6">
        <v>108444.55</v>
      </c>
      <c r="J266" s="6">
        <f t="shared" si="4"/>
        <v>108444.55</v>
      </c>
      <c r="K266" t="s">
        <v>45</v>
      </c>
      <c r="L266" s="1">
        <v>45831</v>
      </c>
      <c r="M266" s="1">
        <v>45831</v>
      </c>
      <c r="N266" t="s">
        <v>76</v>
      </c>
      <c r="P266" t="s">
        <v>257</v>
      </c>
    </row>
    <row r="267" spans="1:16" x14ac:dyDescent="0.35">
      <c r="A267" t="s">
        <v>22</v>
      </c>
      <c r="B267" t="s">
        <v>77</v>
      </c>
      <c r="C267" t="s">
        <v>78</v>
      </c>
      <c r="D267" t="s">
        <v>79</v>
      </c>
      <c r="G267" t="s">
        <v>8</v>
      </c>
      <c r="I267" s="6">
        <v>23747.11</v>
      </c>
      <c r="J267" s="6">
        <f t="shared" si="4"/>
        <v>23747.11</v>
      </c>
      <c r="K267" t="s">
        <v>18</v>
      </c>
      <c r="L267" s="1">
        <v>45810</v>
      </c>
      <c r="M267" s="1">
        <v>45810</v>
      </c>
      <c r="P267" t="s">
        <v>257</v>
      </c>
    </row>
    <row r="268" spans="1:16" x14ac:dyDescent="0.35">
      <c r="A268" t="s">
        <v>82</v>
      </c>
      <c r="B268" t="s">
        <v>56</v>
      </c>
      <c r="C268" t="s">
        <v>69</v>
      </c>
      <c r="D268" t="s">
        <v>7</v>
      </c>
      <c r="G268" t="s">
        <v>8</v>
      </c>
      <c r="I268" s="6">
        <v>57677.09</v>
      </c>
      <c r="J268" s="6">
        <f t="shared" si="4"/>
        <v>57677.09</v>
      </c>
      <c r="K268" t="s">
        <v>18</v>
      </c>
      <c r="L268" s="1">
        <v>45817</v>
      </c>
      <c r="M268" s="1">
        <v>45817</v>
      </c>
      <c r="N268" t="s">
        <v>83</v>
      </c>
      <c r="P268" t="s">
        <v>257</v>
      </c>
    </row>
    <row r="269" spans="1:16" x14ac:dyDescent="0.35">
      <c r="A269" t="s">
        <v>82</v>
      </c>
      <c r="B269" t="s">
        <v>1</v>
      </c>
      <c r="C269" t="s">
        <v>84</v>
      </c>
      <c r="D269" t="s">
        <v>293</v>
      </c>
      <c r="F269" s="6">
        <v>1251541</v>
      </c>
      <c r="G269" s="6">
        <v>262823.61</v>
      </c>
      <c r="I269" s="6">
        <v>1514364.61</v>
      </c>
      <c r="J269" s="6">
        <f t="shared" si="4"/>
        <v>1251541</v>
      </c>
      <c r="K269" t="s">
        <v>4</v>
      </c>
      <c r="L269" s="1">
        <v>45818</v>
      </c>
      <c r="M269" s="1">
        <v>45818</v>
      </c>
      <c r="P269" t="s">
        <v>257</v>
      </c>
    </row>
    <row r="270" spans="1:16" x14ac:dyDescent="0.35">
      <c r="A270" t="s">
        <v>82</v>
      </c>
      <c r="B270" t="s">
        <v>1</v>
      </c>
      <c r="C270" t="s">
        <v>84</v>
      </c>
      <c r="D270" t="s">
        <v>294</v>
      </c>
      <c r="E270" s="1">
        <v>45820</v>
      </c>
      <c r="F270" s="6">
        <v>102659</v>
      </c>
      <c r="G270" s="6">
        <v>21558.39</v>
      </c>
      <c r="I270" s="6">
        <v>124217.39</v>
      </c>
      <c r="J270" s="6">
        <f t="shared" si="4"/>
        <v>102659</v>
      </c>
      <c r="K270" t="s">
        <v>4</v>
      </c>
      <c r="L270" s="1">
        <v>45827</v>
      </c>
      <c r="M270" s="1">
        <v>45827</v>
      </c>
      <c r="P270" t="s">
        <v>257</v>
      </c>
    </row>
    <row r="271" spans="1:16" x14ac:dyDescent="0.35">
      <c r="A271" t="s">
        <v>82</v>
      </c>
      <c r="B271" t="s">
        <v>9</v>
      </c>
      <c r="C271" t="s">
        <v>14</v>
      </c>
      <c r="D271" t="s">
        <v>7</v>
      </c>
      <c r="G271" t="s">
        <v>8</v>
      </c>
      <c r="I271" s="6">
        <v>222067.3</v>
      </c>
      <c r="J271" s="6">
        <f t="shared" si="4"/>
        <v>222067.3</v>
      </c>
      <c r="K271" t="s">
        <v>18</v>
      </c>
      <c r="L271" s="1">
        <v>45811</v>
      </c>
      <c r="M271" s="1">
        <v>45810</v>
      </c>
      <c r="P271" t="s">
        <v>257</v>
      </c>
    </row>
    <row r="272" spans="1:16" x14ac:dyDescent="0.35">
      <c r="A272" t="s">
        <v>82</v>
      </c>
      <c r="B272" t="s">
        <v>9</v>
      </c>
      <c r="C272" t="s">
        <v>14</v>
      </c>
      <c r="D272" t="s">
        <v>7</v>
      </c>
      <c r="G272" t="s">
        <v>8</v>
      </c>
      <c r="J272" s="6">
        <f t="shared" si="4"/>
        <v>0</v>
      </c>
      <c r="K272" t="s">
        <v>18</v>
      </c>
      <c r="L272" s="1">
        <v>45809</v>
      </c>
      <c r="M272" s="1">
        <v>45809</v>
      </c>
      <c r="P272" t="s">
        <v>257</v>
      </c>
    </row>
    <row r="273" spans="1:16" x14ac:dyDescent="0.35">
      <c r="A273" t="s">
        <v>82</v>
      </c>
      <c r="B273" t="s">
        <v>16</v>
      </c>
      <c r="C273" t="s">
        <v>16</v>
      </c>
      <c r="D273" t="s">
        <v>295</v>
      </c>
      <c r="E273" s="1">
        <v>45799</v>
      </c>
      <c r="F273" s="6">
        <v>89705.94</v>
      </c>
      <c r="G273" s="6">
        <v>24329.599999999999</v>
      </c>
      <c r="H273" s="6">
        <v>7803.15</v>
      </c>
      <c r="I273" s="6">
        <v>121838.69</v>
      </c>
      <c r="J273" s="6">
        <f t="shared" si="4"/>
        <v>89705.94</v>
      </c>
      <c r="K273" t="s">
        <v>18</v>
      </c>
      <c r="L273" s="1">
        <v>45807</v>
      </c>
      <c r="M273" s="1">
        <v>45807</v>
      </c>
      <c r="P273" t="s">
        <v>257</v>
      </c>
    </row>
    <row r="274" spans="1:16" x14ac:dyDescent="0.35">
      <c r="A274" t="s">
        <v>82</v>
      </c>
      <c r="B274" t="s">
        <v>61</v>
      </c>
      <c r="C274" t="s">
        <v>31</v>
      </c>
      <c r="D274" t="s">
        <v>262</v>
      </c>
      <c r="E274" s="1">
        <v>45814</v>
      </c>
      <c r="F274" s="6">
        <v>81557</v>
      </c>
      <c r="G274" s="6">
        <v>17126.97</v>
      </c>
      <c r="I274" s="6">
        <v>98683.97</v>
      </c>
      <c r="J274" s="6">
        <f t="shared" si="4"/>
        <v>81557</v>
      </c>
      <c r="K274" t="s">
        <v>4</v>
      </c>
      <c r="L274" s="1">
        <v>45827</v>
      </c>
      <c r="M274" s="1">
        <v>45827</v>
      </c>
      <c r="P274" t="s">
        <v>257</v>
      </c>
    </row>
    <row r="275" spans="1:16" x14ac:dyDescent="0.35">
      <c r="A275" t="s">
        <v>82</v>
      </c>
      <c r="B275" t="s">
        <v>19</v>
      </c>
      <c r="C275" t="s">
        <v>37</v>
      </c>
      <c r="D275" t="s">
        <v>296</v>
      </c>
      <c r="E275" s="1">
        <v>45798</v>
      </c>
      <c r="F275" s="6">
        <v>30370</v>
      </c>
      <c r="G275" s="6">
        <v>6377.7</v>
      </c>
      <c r="H275" s="6">
        <v>2429.6</v>
      </c>
      <c r="I275" s="6">
        <v>39177.300000000003</v>
      </c>
      <c r="J275" s="6">
        <f t="shared" si="4"/>
        <v>30370</v>
      </c>
      <c r="K275" t="s">
        <v>18</v>
      </c>
      <c r="L275" s="1">
        <v>45812</v>
      </c>
      <c r="M275" s="1">
        <v>45812</v>
      </c>
      <c r="P275" t="s">
        <v>257</v>
      </c>
    </row>
    <row r="276" spans="1:16" x14ac:dyDescent="0.35">
      <c r="A276" t="s">
        <v>82</v>
      </c>
      <c r="B276" t="s">
        <v>101</v>
      </c>
      <c r="C276" t="s">
        <v>102</v>
      </c>
      <c r="D276" t="s">
        <v>297</v>
      </c>
      <c r="E276" s="1">
        <v>45835</v>
      </c>
      <c r="F276" s="6">
        <v>208000</v>
      </c>
      <c r="I276" s="6">
        <v>208000</v>
      </c>
      <c r="J276" s="6">
        <f t="shared" si="4"/>
        <v>208000</v>
      </c>
      <c r="K276" t="s">
        <v>4</v>
      </c>
      <c r="L276" s="1">
        <v>45842</v>
      </c>
      <c r="M276" s="1">
        <v>45842</v>
      </c>
      <c r="P276" t="s">
        <v>257</v>
      </c>
    </row>
    <row r="277" spans="1:16" x14ac:dyDescent="0.35">
      <c r="A277" t="s">
        <v>82</v>
      </c>
      <c r="B277" t="s">
        <v>27</v>
      </c>
      <c r="C277" t="s">
        <v>28</v>
      </c>
      <c r="D277" t="s">
        <v>259</v>
      </c>
      <c r="E277" s="1">
        <v>45845</v>
      </c>
      <c r="G277" t="s">
        <v>8</v>
      </c>
      <c r="I277" s="6">
        <v>40000</v>
      </c>
      <c r="J277" s="6">
        <f t="shared" si="4"/>
        <v>40000</v>
      </c>
      <c r="K277" t="s">
        <v>4</v>
      </c>
      <c r="L277" s="1">
        <v>45860</v>
      </c>
      <c r="M277" s="1">
        <v>45860</v>
      </c>
      <c r="P277" t="s">
        <v>257</v>
      </c>
    </row>
    <row r="278" spans="1:16" x14ac:dyDescent="0.35">
      <c r="A278" t="s">
        <v>133</v>
      </c>
      <c r="B278" t="s">
        <v>56</v>
      </c>
      <c r="C278" t="s">
        <v>57</v>
      </c>
      <c r="D278" t="s">
        <v>298</v>
      </c>
      <c r="E278" s="1">
        <v>45820</v>
      </c>
      <c r="G278" t="s">
        <v>8</v>
      </c>
      <c r="H278" s="6">
        <v>50401.74</v>
      </c>
      <c r="I278" s="6">
        <v>50401.74</v>
      </c>
      <c r="J278" s="6">
        <f t="shared" si="4"/>
        <v>50401.74</v>
      </c>
      <c r="K278" t="s">
        <v>4</v>
      </c>
      <c r="L278" s="1">
        <v>45827</v>
      </c>
      <c r="M278" s="1">
        <v>45827</v>
      </c>
      <c r="P278" t="s">
        <v>257</v>
      </c>
    </row>
    <row r="279" spans="1:16" x14ac:dyDescent="0.35">
      <c r="A279" t="s">
        <v>133</v>
      </c>
      <c r="B279" t="s">
        <v>1</v>
      </c>
      <c r="C279" t="s">
        <v>57</v>
      </c>
      <c r="D279" t="s">
        <v>299</v>
      </c>
      <c r="E279" s="1">
        <v>45811</v>
      </c>
      <c r="F279" s="6">
        <v>941117.31</v>
      </c>
      <c r="G279" s="6">
        <v>197634.64</v>
      </c>
      <c r="I279" s="6">
        <v>1138751.95</v>
      </c>
      <c r="J279" s="6">
        <f t="shared" si="4"/>
        <v>941117.31</v>
      </c>
      <c r="K279" t="s">
        <v>4</v>
      </c>
      <c r="L279" s="1">
        <v>45814</v>
      </c>
      <c r="M279" s="1">
        <v>45814</v>
      </c>
      <c r="P279" t="s">
        <v>257</v>
      </c>
    </row>
    <row r="280" spans="1:16" x14ac:dyDescent="0.35">
      <c r="A280" t="s">
        <v>133</v>
      </c>
      <c r="B280" t="s">
        <v>9</v>
      </c>
      <c r="C280" t="s">
        <v>57</v>
      </c>
      <c r="D280" t="s">
        <v>298</v>
      </c>
      <c r="E280" s="1">
        <v>45820</v>
      </c>
      <c r="F280" s="6">
        <v>62238.84</v>
      </c>
      <c r="G280" s="6">
        <v>16804.490000000002</v>
      </c>
      <c r="H280" s="6">
        <v>3914.82</v>
      </c>
      <c r="I280" s="6">
        <v>82958.149999999994</v>
      </c>
      <c r="J280" s="6">
        <f t="shared" si="4"/>
        <v>62238.84</v>
      </c>
      <c r="K280" t="s">
        <v>4</v>
      </c>
      <c r="L280" s="1">
        <v>45827</v>
      </c>
      <c r="M280" s="1">
        <v>45827</v>
      </c>
      <c r="P280" t="s">
        <v>257</v>
      </c>
    </row>
    <row r="281" spans="1:16" x14ac:dyDescent="0.35">
      <c r="A281" t="s">
        <v>133</v>
      </c>
      <c r="B281" t="s">
        <v>16</v>
      </c>
      <c r="C281" t="s">
        <v>57</v>
      </c>
      <c r="D281" t="s">
        <v>298</v>
      </c>
      <c r="E281" s="1">
        <v>45820</v>
      </c>
      <c r="G281" t="s">
        <v>8</v>
      </c>
      <c r="H281" s="6">
        <v>127480.63</v>
      </c>
      <c r="I281" s="6">
        <v>127480.63</v>
      </c>
      <c r="J281" s="6">
        <f t="shared" si="4"/>
        <v>127480.63</v>
      </c>
      <c r="K281" t="s">
        <v>4</v>
      </c>
      <c r="L281" s="1">
        <v>45827</v>
      </c>
      <c r="M281" s="1">
        <v>45827</v>
      </c>
      <c r="P281" t="s">
        <v>257</v>
      </c>
    </row>
    <row r="282" spans="1:16" x14ac:dyDescent="0.35">
      <c r="A282" t="s">
        <v>133</v>
      </c>
      <c r="B282" t="s">
        <v>60</v>
      </c>
      <c r="C282" t="s">
        <v>57</v>
      </c>
      <c r="D282" t="s">
        <v>298</v>
      </c>
      <c r="E282" s="1">
        <v>45820</v>
      </c>
      <c r="G282" t="s">
        <v>8</v>
      </c>
      <c r="H282" s="6">
        <v>285021.89</v>
      </c>
      <c r="I282" s="6">
        <v>285021.89</v>
      </c>
      <c r="J282" s="6">
        <f t="shared" si="4"/>
        <v>285021.89</v>
      </c>
      <c r="K282" t="s">
        <v>4</v>
      </c>
      <c r="L282" s="1">
        <v>45827</v>
      </c>
      <c r="M282" s="1">
        <v>45827</v>
      </c>
      <c r="P282" t="s">
        <v>257</v>
      </c>
    </row>
    <row r="283" spans="1:16" x14ac:dyDescent="0.35">
      <c r="A283" t="s">
        <v>133</v>
      </c>
      <c r="B283" t="s">
        <v>61</v>
      </c>
      <c r="C283" t="s">
        <v>31</v>
      </c>
      <c r="D283" t="s">
        <v>262</v>
      </c>
      <c r="E283" s="1">
        <v>45814</v>
      </c>
      <c r="F283" s="6">
        <v>24380</v>
      </c>
      <c r="G283" s="6">
        <v>5119.8</v>
      </c>
      <c r="I283" s="6">
        <v>29499.8</v>
      </c>
      <c r="J283" s="6">
        <f t="shared" si="4"/>
        <v>24380</v>
      </c>
      <c r="K283" t="s">
        <v>4</v>
      </c>
      <c r="L283" s="1">
        <v>45827</v>
      </c>
      <c r="M283" s="1">
        <v>45827</v>
      </c>
      <c r="P283" t="s">
        <v>257</v>
      </c>
    </row>
    <row r="284" spans="1:16" x14ac:dyDescent="0.35">
      <c r="A284" t="s">
        <v>133</v>
      </c>
      <c r="B284" t="s">
        <v>19</v>
      </c>
      <c r="C284" t="s">
        <v>37</v>
      </c>
      <c r="D284" t="s">
        <v>300</v>
      </c>
      <c r="E284" s="1">
        <v>45798</v>
      </c>
      <c r="F284" s="6">
        <v>84454</v>
      </c>
      <c r="G284" s="6">
        <v>17735.34</v>
      </c>
      <c r="H284" s="6">
        <v>6756.32</v>
      </c>
      <c r="I284" s="6">
        <v>108945.66</v>
      </c>
      <c r="J284" s="6">
        <f t="shared" si="4"/>
        <v>84454</v>
      </c>
      <c r="K284" t="s">
        <v>39</v>
      </c>
      <c r="L284" s="1">
        <v>45812</v>
      </c>
      <c r="M284" s="1">
        <v>45812</v>
      </c>
      <c r="P284" t="s">
        <v>257</v>
      </c>
    </row>
    <row r="285" spans="1:16" x14ac:dyDescent="0.35">
      <c r="A285" t="s">
        <v>152</v>
      </c>
      <c r="B285" t="s">
        <v>1</v>
      </c>
      <c r="C285" t="s">
        <v>47</v>
      </c>
      <c r="D285" t="s">
        <v>301</v>
      </c>
      <c r="F285" s="6">
        <v>500000</v>
      </c>
      <c r="G285" s="6">
        <v>105000</v>
      </c>
      <c r="I285" s="6">
        <v>605000</v>
      </c>
      <c r="J285" s="6">
        <f t="shared" si="4"/>
        <v>500000</v>
      </c>
      <c r="K285" t="s">
        <v>271</v>
      </c>
      <c r="L285" s="1">
        <v>45818</v>
      </c>
      <c r="M285" s="1">
        <v>45818</v>
      </c>
      <c r="P285" t="s">
        <v>257</v>
      </c>
    </row>
    <row r="286" spans="1:16" x14ac:dyDescent="0.35">
      <c r="A286" t="s">
        <v>152</v>
      </c>
      <c r="B286" t="s">
        <v>1</v>
      </c>
      <c r="C286" t="s">
        <v>47</v>
      </c>
      <c r="D286" t="s">
        <v>302</v>
      </c>
      <c r="E286" s="1">
        <v>45827</v>
      </c>
      <c r="F286" s="6">
        <v>54000</v>
      </c>
      <c r="G286" s="6">
        <v>11340</v>
      </c>
      <c r="I286" s="6">
        <v>65340</v>
      </c>
      <c r="J286" s="6">
        <f t="shared" si="4"/>
        <v>54000</v>
      </c>
      <c r="K286" t="s">
        <v>4</v>
      </c>
      <c r="L286" s="1">
        <v>45835</v>
      </c>
      <c r="M286" s="1">
        <v>45835</v>
      </c>
      <c r="P286" t="s">
        <v>257</v>
      </c>
    </row>
    <row r="287" spans="1:16" x14ac:dyDescent="0.35">
      <c r="A287" t="s">
        <v>152</v>
      </c>
      <c r="B287" t="s">
        <v>16</v>
      </c>
      <c r="C287" t="s">
        <v>47</v>
      </c>
      <c r="D287" t="s">
        <v>301</v>
      </c>
      <c r="F287" s="6">
        <v>4208.6899999999996</v>
      </c>
      <c r="G287" s="6">
        <v>883.82</v>
      </c>
      <c r="I287" s="6">
        <v>5092.51</v>
      </c>
      <c r="J287" s="6">
        <f t="shared" si="4"/>
        <v>4208.6899999999996</v>
      </c>
      <c r="K287" t="s">
        <v>271</v>
      </c>
      <c r="L287" s="1">
        <v>45818</v>
      </c>
      <c r="M287" s="1">
        <v>45818</v>
      </c>
      <c r="P287" t="s">
        <v>257</v>
      </c>
    </row>
    <row r="288" spans="1:16" x14ac:dyDescent="0.35">
      <c r="A288" t="s">
        <v>152</v>
      </c>
      <c r="B288" t="s">
        <v>60</v>
      </c>
      <c r="C288" t="s">
        <v>47</v>
      </c>
      <c r="D288" t="s">
        <v>301</v>
      </c>
      <c r="G288" t="s">
        <v>8</v>
      </c>
      <c r="H288" s="6">
        <v>270285.5</v>
      </c>
      <c r="I288" s="6">
        <v>270285.5</v>
      </c>
      <c r="J288" s="6">
        <f t="shared" si="4"/>
        <v>270285.5</v>
      </c>
      <c r="K288" t="s">
        <v>271</v>
      </c>
      <c r="L288" s="1">
        <v>45818</v>
      </c>
      <c r="M288" s="1">
        <v>45818</v>
      </c>
      <c r="P288" t="s">
        <v>257</v>
      </c>
    </row>
    <row r="289" spans="1:16" x14ac:dyDescent="0.35">
      <c r="A289" t="s">
        <v>154</v>
      </c>
      <c r="B289" t="s">
        <v>1</v>
      </c>
      <c r="C289" t="s">
        <v>47</v>
      </c>
      <c r="D289" t="s">
        <v>303</v>
      </c>
      <c r="F289" s="6">
        <v>211929.60000000001</v>
      </c>
      <c r="G289" s="6">
        <v>44505.22</v>
      </c>
      <c r="I289" s="6">
        <v>256434.82</v>
      </c>
      <c r="J289" s="6">
        <f t="shared" si="4"/>
        <v>211929.60000000001</v>
      </c>
      <c r="K289" t="s">
        <v>271</v>
      </c>
      <c r="L289" s="1">
        <v>45818</v>
      </c>
      <c r="M289" s="1">
        <v>45818</v>
      </c>
      <c r="P289" t="s">
        <v>257</v>
      </c>
    </row>
    <row r="290" spans="1:16" x14ac:dyDescent="0.35">
      <c r="A290" t="s">
        <v>154</v>
      </c>
      <c r="B290" t="s">
        <v>1</v>
      </c>
      <c r="C290" t="s">
        <v>47</v>
      </c>
      <c r="D290" t="s">
        <v>304</v>
      </c>
      <c r="E290" s="1">
        <v>45827</v>
      </c>
      <c r="F290" s="6">
        <v>22888.400000000001</v>
      </c>
      <c r="G290" s="6">
        <v>4806.5600000000004</v>
      </c>
      <c r="I290" s="6">
        <v>27694.959999999999</v>
      </c>
      <c r="J290" s="6">
        <f t="shared" si="4"/>
        <v>22888.400000000001</v>
      </c>
      <c r="K290" t="s">
        <v>4</v>
      </c>
      <c r="L290" s="1">
        <v>45835</v>
      </c>
      <c r="M290" s="1">
        <v>45835</v>
      </c>
      <c r="P290" t="s">
        <v>257</v>
      </c>
    </row>
    <row r="291" spans="1:16" x14ac:dyDescent="0.35">
      <c r="A291" t="s">
        <v>154</v>
      </c>
      <c r="B291" t="s">
        <v>16</v>
      </c>
      <c r="C291" t="s">
        <v>47</v>
      </c>
      <c r="D291" t="s">
        <v>303</v>
      </c>
      <c r="F291" s="6">
        <v>5260.87</v>
      </c>
      <c r="G291" s="6">
        <v>1104.78</v>
      </c>
      <c r="I291" s="6">
        <v>6365.65</v>
      </c>
      <c r="J291" s="6">
        <f t="shared" si="4"/>
        <v>5260.87</v>
      </c>
      <c r="K291" t="s">
        <v>271</v>
      </c>
      <c r="L291" s="1">
        <v>45818</v>
      </c>
      <c r="M291" s="1">
        <v>45818</v>
      </c>
      <c r="P291" t="s">
        <v>257</v>
      </c>
    </row>
    <row r="292" spans="1:16" x14ac:dyDescent="0.35">
      <c r="A292" t="s">
        <v>154</v>
      </c>
      <c r="B292" t="s">
        <v>60</v>
      </c>
      <c r="C292" t="s">
        <v>47</v>
      </c>
      <c r="D292" t="s">
        <v>303</v>
      </c>
      <c r="G292" t="s">
        <v>8</v>
      </c>
      <c r="H292" s="6">
        <v>480507.56</v>
      </c>
      <c r="I292" s="6">
        <v>480507.56</v>
      </c>
      <c r="J292" s="6">
        <f t="shared" si="4"/>
        <v>480507.56</v>
      </c>
      <c r="K292" t="s">
        <v>271</v>
      </c>
      <c r="L292" s="1">
        <v>45818</v>
      </c>
      <c r="M292" s="1">
        <v>45818</v>
      </c>
      <c r="P292" t="s">
        <v>257</v>
      </c>
    </row>
    <row r="293" spans="1:16" x14ac:dyDescent="0.35">
      <c r="A293" t="s">
        <v>90</v>
      </c>
      <c r="B293" t="s">
        <v>61</v>
      </c>
      <c r="C293" t="s">
        <v>31</v>
      </c>
      <c r="D293" t="s">
        <v>262</v>
      </c>
      <c r="E293" s="1">
        <v>45814</v>
      </c>
      <c r="F293" s="6">
        <v>110047</v>
      </c>
      <c r="G293" s="6">
        <v>23109.87</v>
      </c>
      <c r="I293" s="6">
        <v>133156.87</v>
      </c>
      <c r="J293" s="6">
        <f t="shared" si="4"/>
        <v>110047</v>
      </c>
      <c r="K293" t="s">
        <v>4</v>
      </c>
      <c r="L293" s="1">
        <v>45827</v>
      </c>
      <c r="M293" s="1">
        <v>45827</v>
      </c>
      <c r="P293" t="s">
        <v>257</v>
      </c>
    </row>
    <row r="294" spans="1:16" x14ac:dyDescent="0.35">
      <c r="A294" t="s">
        <v>305</v>
      </c>
      <c r="G294" t="s">
        <v>8</v>
      </c>
      <c r="J294" s="6">
        <f t="shared" si="4"/>
        <v>0</v>
      </c>
      <c r="L294" s="1">
        <v>45839</v>
      </c>
      <c r="M294" s="1">
        <v>45839</v>
      </c>
      <c r="P294" t="s">
        <v>123</v>
      </c>
    </row>
    <row r="295" spans="1:16" x14ac:dyDescent="0.35">
      <c r="A295" t="s">
        <v>30</v>
      </c>
      <c r="C295" t="s">
        <v>30</v>
      </c>
      <c r="J295" s="6">
        <f t="shared" si="4"/>
        <v>0</v>
      </c>
      <c r="P295" t="s">
        <v>123</v>
      </c>
    </row>
    <row r="296" spans="1:16" x14ac:dyDescent="0.35">
      <c r="A296" t="s">
        <v>30</v>
      </c>
      <c r="C296" t="s">
        <v>30</v>
      </c>
      <c r="J296" s="6">
        <f t="shared" si="4"/>
        <v>0</v>
      </c>
      <c r="P296" t="s">
        <v>123</v>
      </c>
    </row>
    <row r="297" spans="1:16" x14ac:dyDescent="0.35">
      <c r="A297" t="s">
        <v>30</v>
      </c>
      <c r="C297" t="s">
        <v>30</v>
      </c>
      <c r="J297" s="6">
        <f t="shared" si="4"/>
        <v>0</v>
      </c>
      <c r="P297" t="s">
        <v>123</v>
      </c>
    </row>
    <row r="298" spans="1:16" x14ac:dyDescent="0.35">
      <c r="A298" t="s">
        <v>55</v>
      </c>
      <c r="B298" t="s">
        <v>56</v>
      </c>
      <c r="C298" t="s">
        <v>57</v>
      </c>
      <c r="D298" t="s">
        <v>306</v>
      </c>
      <c r="E298" s="1">
        <v>45848</v>
      </c>
      <c r="G298" t="s">
        <v>8</v>
      </c>
      <c r="H298" s="6">
        <v>56492.89</v>
      </c>
      <c r="I298" s="6">
        <v>56492.89</v>
      </c>
      <c r="J298" s="6">
        <f t="shared" si="4"/>
        <v>56492.89</v>
      </c>
      <c r="K298" t="s">
        <v>4</v>
      </c>
      <c r="L298" s="1">
        <v>45860</v>
      </c>
      <c r="M298" s="1">
        <v>45860</v>
      </c>
      <c r="P298" t="s">
        <v>123</v>
      </c>
    </row>
    <row r="299" spans="1:16" x14ac:dyDescent="0.35">
      <c r="A299" t="s">
        <v>55</v>
      </c>
      <c r="B299" t="s">
        <v>1</v>
      </c>
      <c r="C299" t="s">
        <v>57</v>
      </c>
      <c r="D299" t="s">
        <v>307</v>
      </c>
      <c r="E299" s="1">
        <v>45846</v>
      </c>
      <c r="F299" s="6">
        <v>1018313.91</v>
      </c>
      <c r="G299" s="6">
        <v>213845.92</v>
      </c>
      <c r="I299" s="6">
        <v>1232159.83</v>
      </c>
      <c r="J299" s="6">
        <f t="shared" si="4"/>
        <v>1018313.91</v>
      </c>
      <c r="K299" t="s">
        <v>4</v>
      </c>
      <c r="L299" s="1">
        <v>45849</v>
      </c>
      <c r="M299" s="1">
        <v>45848</v>
      </c>
      <c r="P299" t="s">
        <v>123</v>
      </c>
    </row>
    <row r="300" spans="1:16" x14ac:dyDescent="0.35">
      <c r="A300" t="s">
        <v>55</v>
      </c>
      <c r="B300" t="s">
        <v>9</v>
      </c>
      <c r="C300" t="s">
        <v>57</v>
      </c>
      <c r="D300" t="s">
        <v>306</v>
      </c>
      <c r="E300" s="1">
        <v>45848</v>
      </c>
      <c r="F300" s="6">
        <v>62840.44</v>
      </c>
      <c r="G300" s="6">
        <v>16966.919999999998</v>
      </c>
      <c r="H300" s="6">
        <v>3952.66</v>
      </c>
      <c r="I300" s="6">
        <v>83760.02</v>
      </c>
      <c r="J300" s="6">
        <f t="shared" si="4"/>
        <v>62840.44</v>
      </c>
      <c r="K300" t="s">
        <v>4</v>
      </c>
      <c r="L300" s="1">
        <v>45860</v>
      </c>
      <c r="M300" s="1">
        <v>45860</v>
      </c>
      <c r="P300" t="s">
        <v>123</v>
      </c>
    </row>
    <row r="301" spans="1:16" x14ac:dyDescent="0.35">
      <c r="A301" t="s">
        <v>55</v>
      </c>
      <c r="B301" t="s">
        <v>16</v>
      </c>
      <c r="C301" t="s">
        <v>57</v>
      </c>
      <c r="D301" t="s">
        <v>306</v>
      </c>
      <c r="E301" s="1">
        <v>45848</v>
      </c>
      <c r="G301" t="s">
        <v>8</v>
      </c>
      <c r="H301" s="6">
        <v>135883.34</v>
      </c>
      <c r="I301" s="6">
        <v>135883.34</v>
      </c>
      <c r="J301" s="6">
        <f t="shared" si="4"/>
        <v>135883.34</v>
      </c>
      <c r="K301" t="s">
        <v>4</v>
      </c>
      <c r="L301" s="1">
        <v>45860</v>
      </c>
      <c r="M301" s="1">
        <v>45860</v>
      </c>
      <c r="P301" t="s">
        <v>123</v>
      </c>
    </row>
    <row r="302" spans="1:16" x14ac:dyDescent="0.35">
      <c r="A302" t="s">
        <v>55</v>
      </c>
      <c r="B302" t="s">
        <v>60</v>
      </c>
      <c r="C302" t="s">
        <v>57</v>
      </c>
      <c r="D302" t="s">
        <v>308</v>
      </c>
      <c r="G302" t="s">
        <v>8</v>
      </c>
      <c r="J302" s="6">
        <f t="shared" si="4"/>
        <v>0</v>
      </c>
      <c r="K302" t="s">
        <v>4</v>
      </c>
      <c r="P302" t="s">
        <v>123</v>
      </c>
    </row>
    <row r="303" spans="1:16" x14ac:dyDescent="0.35">
      <c r="A303" t="s">
        <v>55</v>
      </c>
      <c r="B303" t="s">
        <v>61</v>
      </c>
      <c r="C303" t="s">
        <v>31</v>
      </c>
      <c r="D303" t="s">
        <v>309</v>
      </c>
      <c r="E303" s="1">
        <v>45847</v>
      </c>
      <c r="F303" s="6">
        <v>27000</v>
      </c>
      <c r="G303" s="6">
        <v>5670</v>
      </c>
      <c r="I303" s="6">
        <v>32670</v>
      </c>
      <c r="J303" s="6">
        <f t="shared" si="4"/>
        <v>27000</v>
      </c>
      <c r="K303" t="s">
        <v>4</v>
      </c>
      <c r="L303" s="1">
        <v>45860</v>
      </c>
      <c r="M303" s="1">
        <v>45860</v>
      </c>
      <c r="P303" t="s">
        <v>123</v>
      </c>
    </row>
    <row r="304" spans="1:16" x14ac:dyDescent="0.35">
      <c r="A304" t="s">
        <v>55</v>
      </c>
      <c r="B304" t="s">
        <v>19</v>
      </c>
      <c r="C304" t="s">
        <v>37</v>
      </c>
      <c r="D304" t="s">
        <v>310</v>
      </c>
      <c r="E304" s="1">
        <v>45826</v>
      </c>
      <c r="F304" s="6">
        <v>88034</v>
      </c>
      <c r="G304" s="6">
        <v>18487.14</v>
      </c>
      <c r="H304" s="6">
        <v>7042.72</v>
      </c>
      <c r="I304" s="6">
        <v>113563.86</v>
      </c>
      <c r="J304" s="6">
        <f t="shared" si="4"/>
        <v>88034</v>
      </c>
      <c r="K304" t="s">
        <v>39</v>
      </c>
      <c r="L304" s="1">
        <v>45841</v>
      </c>
      <c r="M304" s="1">
        <v>45841</v>
      </c>
      <c r="P304" t="s">
        <v>123</v>
      </c>
    </row>
    <row r="305" spans="1:16" x14ac:dyDescent="0.35">
      <c r="A305" t="s">
        <v>55</v>
      </c>
      <c r="B305" t="s">
        <v>23</v>
      </c>
      <c r="C305" t="s">
        <v>311</v>
      </c>
      <c r="D305" t="s">
        <v>312</v>
      </c>
      <c r="E305" s="1">
        <v>45849</v>
      </c>
      <c r="F305" s="6">
        <v>230165.29</v>
      </c>
      <c r="G305" s="6">
        <v>48334.71</v>
      </c>
      <c r="H305" t="s">
        <v>8</v>
      </c>
      <c r="I305" s="6">
        <v>278500</v>
      </c>
      <c r="J305" s="6">
        <f t="shared" si="4"/>
        <v>230165.29</v>
      </c>
      <c r="K305" t="s">
        <v>4</v>
      </c>
      <c r="L305" s="1">
        <v>45859</v>
      </c>
      <c r="M305" s="1">
        <v>45859</v>
      </c>
      <c r="N305" t="s">
        <v>313</v>
      </c>
      <c r="P305" t="s">
        <v>123</v>
      </c>
    </row>
    <row r="306" spans="1:16" x14ac:dyDescent="0.35">
      <c r="A306" t="s">
        <v>0</v>
      </c>
      <c r="B306" t="s">
        <v>132</v>
      </c>
      <c r="C306" t="s">
        <v>2</v>
      </c>
      <c r="D306" t="s">
        <v>7</v>
      </c>
      <c r="E306" s="1">
        <v>45839</v>
      </c>
      <c r="I306" s="6">
        <v>12750</v>
      </c>
      <c r="J306" s="6">
        <f t="shared" si="4"/>
        <v>12750</v>
      </c>
      <c r="K306" t="s">
        <v>4</v>
      </c>
      <c r="L306" s="1">
        <v>45884</v>
      </c>
      <c r="M306" s="1">
        <v>45884</v>
      </c>
      <c r="P306" t="s">
        <v>123</v>
      </c>
    </row>
    <row r="307" spans="1:16" x14ac:dyDescent="0.35">
      <c r="A307" t="s">
        <v>0</v>
      </c>
      <c r="B307" t="s">
        <v>1</v>
      </c>
      <c r="C307" t="s">
        <v>2</v>
      </c>
      <c r="D307" t="s">
        <v>314</v>
      </c>
      <c r="E307" s="1">
        <v>45839</v>
      </c>
      <c r="F307" s="6">
        <v>600000</v>
      </c>
      <c r="G307" s="6">
        <v>126000</v>
      </c>
      <c r="I307" s="6">
        <v>726000</v>
      </c>
      <c r="J307" s="6">
        <f t="shared" si="4"/>
        <v>600000</v>
      </c>
      <c r="K307" t="s">
        <v>4</v>
      </c>
      <c r="L307" s="1">
        <v>45848</v>
      </c>
      <c r="M307" s="1">
        <v>45848</v>
      </c>
      <c r="P307" t="s">
        <v>123</v>
      </c>
    </row>
    <row r="308" spans="1:16" x14ac:dyDescent="0.35">
      <c r="A308" t="s">
        <v>0</v>
      </c>
      <c r="B308" t="s">
        <v>6</v>
      </c>
      <c r="C308" t="s">
        <v>2</v>
      </c>
      <c r="D308" t="s">
        <v>7</v>
      </c>
      <c r="E308" s="1">
        <v>45839</v>
      </c>
      <c r="I308" s="6">
        <v>15341.46</v>
      </c>
      <c r="J308" s="6">
        <f t="shared" si="4"/>
        <v>15341.46</v>
      </c>
      <c r="K308" t="s">
        <v>4</v>
      </c>
      <c r="L308" s="1">
        <v>45884</v>
      </c>
      <c r="M308" s="1">
        <v>45884</v>
      </c>
      <c r="P308" t="s">
        <v>123</v>
      </c>
    </row>
    <row r="309" spans="1:16" x14ac:dyDescent="0.35">
      <c r="A309" t="s">
        <v>0</v>
      </c>
      <c r="B309" t="s">
        <v>19</v>
      </c>
      <c r="C309" t="s">
        <v>11</v>
      </c>
      <c r="D309" t="s">
        <v>12</v>
      </c>
      <c r="E309" s="1">
        <v>45839</v>
      </c>
      <c r="G309" t="s">
        <v>8</v>
      </c>
      <c r="I309" s="6">
        <v>1116.9000000000001</v>
      </c>
      <c r="J309" s="6">
        <f t="shared" si="4"/>
        <v>1116.9000000000001</v>
      </c>
      <c r="K309" t="s">
        <v>4</v>
      </c>
      <c r="L309" s="1">
        <v>45839</v>
      </c>
      <c r="M309" s="1">
        <v>45839</v>
      </c>
      <c r="P309" t="s">
        <v>123</v>
      </c>
    </row>
    <row r="310" spans="1:16" x14ac:dyDescent="0.35">
      <c r="A310" t="s">
        <v>15</v>
      </c>
      <c r="B310" t="s">
        <v>27</v>
      </c>
      <c r="C310" t="s">
        <v>28</v>
      </c>
      <c r="D310" t="s">
        <v>315</v>
      </c>
      <c r="E310" s="1">
        <v>45845</v>
      </c>
      <c r="G310" t="s">
        <v>8</v>
      </c>
      <c r="I310" s="6">
        <v>40000</v>
      </c>
      <c r="J310" s="6">
        <f t="shared" si="4"/>
        <v>40000</v>
      </c>
      <c r="K310" t="s">
        <v>4</v>
      </c>
      <c r="L310" s="1">
        <v>45860</v>
      </c>
      <c r="M310" s="1">
        <v>45860</v>
      </c>
      <c r="P310" t="s">
        <v>123</v>
      </c>
    </row>
    <row r="311" spans="1:16" x14ac:dyDescent="0.35">
      <c r="A311" t="s">
        <v>15</v>
      </c>
      <c r="B311" t="s">
        <v>1</v>
      </c>
      <c r="C311" t="s">
        <v>172</v>
      </c>
      <c r="D311" t="s">
        <v>316</v>
      </c>
      <c r="E311" s="1">
        <v>45839</v>
      </c>
      <c r="F311" s="6">
        <v>1294257.8700000001</v>
      </c>
      <c r="G311" s="6">
        <v>271794.15000000002</v>
      </c>
      <c r="I311" s="6">
        <v>1566052.02</v>
      </c>
      <c r="J311" s="6">
        <f t="shared" si="4"/>
        <v>1294257.8700000001</v>
      </c>
      <c r="K311" t="s">
        <v>4</v>
      </c>
      <c r="L311" s="1">
        <v>45848</v>
      </c>
      <c r="M311" s="1">
        <v>45848</v>
      </c>
      <c r="P311" t="s">
        <v>123</v>
      </c>
    </row>
    <row r="312" spans="1:16" x14ac:dyDescent="0.35">
      <c r="A312" t="s">
        <v>15</v>
      </c>
      <c r="B312" t="s">
        <v>16</v>
      </c>
      <c r="C312" t="s">
        <v>16</v>
      </c>
      <c r="D312" t="s">
        <v>317</v>
      </c>
      <c r="E312" s="1">
        <v>45838</v>
      </c>
      <c r="F312" s="6">
        <v>38904.29</v>
      </c>
      <c r="G312" s="6">
        <v>10504.16</v>
      </c>
      <c r="H312" s="6">
        <v>3650.39</v>
      </c>
      <c r="I312" s="6">
        <v>53058.84</v>
      </c>
      <c r="J312" s="6">
        <f t="shared" si="4"/>
        <v>38904.29</v>
      </c>
      <c r="K312" t="s">
        <v>18</v>
      </c>
      <c r="L312" s="1">
        <v>45846</v>
      </c>
      <c r="M312" s="1">
        <v>45846</v>
      </c>
      <c r="P312" t="s">
        <v>123</v>
      </c>
    </row>
    <row r="313" spans="1:16" x14ac:dyDescent="0.35">
      <c r="A313" t="s">
        <v>15</v>
      </c>
      <c r="B313" t="s">
        <v>60</v>
      </c>
      <c r="C313" t="s">
        <v>172</v>
      </c>
      <c r="D313" t="s">
        <v>7</v>
      </c>
      <c r="E313" s="1">
        <v>45839</v>
      </c>
      <c r="I313" s="6">
        <v>964404.3</v>
      </c>
      <c r="J313" s="6">
        <f t="shared" si="4"/>
        <v>964404.3</v>
      </c>
      <c r="K313" t="s">
        <v>4</v>
      </c>
      <c r="L313" s="1">
        <v>45848</v>
      </c>
      <c r="M313" s="1">
        <v>45848</v>
      </c>
      <c r="P313" t="s">
        <v>123</v>
      </c>
    </row>
    <row r="314" spans="1:16" x14ac:dyDescent="0.35">
      <c r="A314" t="s">
        <v>15</v>
      </c>
      <c r="B314" t="s">
        <v>61</v>
      </c>
      <c r="C314" t="s">
        <v>31</v>
      </c>
      <c r="D314" t="s">
        <v>309</v>
      </c>
      <c r="E314" s="1">
        <v>45847</v>
      </c>
      <c r="F314" s="6">
        <v>30230</v>
      </c>
      <c r="G314" s="6">
        <v>6348.3</v>
      </c>
      <c r="I314" s="6">
        <v>36578.300000000003</v>
      </c>
      <c r="J314" s="6">
        <f t="shared" si="4"/>
        <v>30230</v>
      </c>
      <c r="K314" t="s">
        <v>4</v>
      </c>
      <c r="L314" s="1">
        <v>45860</v>
      </c>
      <c r="M314" s="1">
        <v>45860</v>
      </c>
      <c r="P314" t="s">
        <v>123</v>
      </c>
    </row>
    <row r="315" spans="1:16" x14ac:dyDescent="0.35">
      <c r="A315" t="s">
        <v>15</v>
      </c>
      <c r="B315" t="s">
        <v>19</v>
      </c>
      <c r="C315" t="s">
        <v>20</v>
      </c>
      <c r="D315" t="s">
        <v>318</v>
      </c>
      <c r="E315" s="1">
        <v>45851</v>
      </c>
      <c r="F315" s="6">
        <v>91008</v>
      </c>
      <c r="G315" s="6">
        <v>20492.59</v>
      </c>
      <c r="H315" s="6">
        <v>2730.24</v>
      </c>
      <c r="I315" s="6">
        <v>114230.83</v>
      </c>
      <c r="J315" s="6">
        <f t="shared" si="4"/>
        <v>91008</v>
      </c>
      <c r="K315" t="s">
        <v>18</v>
      </c>
      <c r="L315" s="1">
        <v>45863</v>
      </c>
      <c r="M315" s="1">
        <v>45863</v>
      </c>
      <c r="P315" t="s">
        <v>123</v>
      </c>
    </row>
    <row r="316" spans="1:16" x14ac:dyDescent="0.35">
      <c r="A316" t="s">
        <v>33</v>
      </c>
      <c r="B316" t="s">
        <v>56</v>
      </c>
      <c r="C316" t="s">
        <v>57</v>
      </c>
      <c r="D316" t="s">
        <v>319</v>
      </c>
      <c r="E316" s="1">
        <v>45848</v>
      </c>
      <c r="G316" t="s">
        <v>8</v>
      </c>
      <c r="H316" s="6">
        <v>514117.53</v>
      </c>
      <c r="I316" s="6">
        <v>514117.53</v>
      </c>
      <c r="J316" s="6">
        <f t="shared" si="4"/>
        <v>514117.53</v>
      </c>
      <c r="K316" t="s">
        <v>4</v>
      </c>
      <c r="L316" s="1">
        <v>45860</v>
      </c>
      <c r="M316" s="1">
        <v>45860</v>
      </c>
      <c r="P316" t="s">
        <v>123</v>
      </c>
    </row>
    <row r="317" spans="1:16" x14ac:dyDescent="0.35">
      <c r="A317" t="s">
        <v>33</v>
      </c>
      <c r="B317" t="s">
        <v>27</v>
      </c>
      <c r="C317" t="s">
        <v>28</v>
      </c>
      <c r="D317" t="s">
        <v>320</v>
      </c>
      <c r="E317" s="1">
        <v>45845</v>
      </c>
      <c r="G317" t="s">
        <v>8</v>
      </c>
      <c r="I317" s="6">
        <v>55000</v>
      </c>
      <c r="J317" s="6">
        <f t="shared" si="4"/>
        <v>55000</v>
      </c>
      <c r="K317" t="s">
        <v>4</v>
      </c>
      <c r="L317" s="1">
        <v>45860</v>
      </c>
      <c r="M317" s="1">
        <v>45860</v>
      </c>
      <c r="P317" t="s">
        <v>123</v>
      </c>
    </row>
    <row r="318" spans="1:16" x14ac:dyDescent="0.35">
      <c r="A318" t="s">
        <v>33</v>
      </c>
      <c r="B318" t="s">
        <v>27</v>
      </c>
      <c r="C318" t="s">
        <v>28</v>
      </c>
      <c r="D318" t="s">
        <v>315</v>
      </c>
      <c r="E318" s="1">
        <v>45845</v>
      </c>
      <c r="G318" t="s">
        <v>8</v>
      </c>
      <c r="I318" s="6">
        <v>40000</v>
      </c>
      <c r="J318" s="6">
        <f t="shared" si="4"/>
        <v>40000</v>
      </c>
      <c r="K318" t="s">
        <v>4</v>
      </c>
      <c r="L318" s="1">
        <v>45860</v>
      </c>
      <c r="M318" s="1">
        <v>45860</v>
      </c>
      <c r="P318" t="s">
        <v>123</v>
      </c>
    </row>
    <row r="319" spans="1:16" x14ac:dyDescent="0.35">
      <c r="A319" t="s">
        <v>33</v>
      </c>
      <c r="B319" t="s">
        <v>1</v>
      </c>
      <c r="C319" t="s">
        <v>57</v>
      </c>
      <c r="D319" t="s">
        <v>321</v>
      </c>
      <c r="E319" s="1">
        <v>45846</v>
      </c>
      <c r="F319" s="6">
        <v>6375000</v>
      </c>
      <c r="G319" s="6">
        <v>1338750</v>
      </c>
      <c r="I319" s="6">
        <v>7713750</v>
      </c>
      <c r="J319" s="6">
        <f t="shared" si="4"/>
        <v>6375000</v>
      </c>
      <c r="K319" t="s">
        <v>4</v>
      </c>
      <c r="L319" s="1">
        <v>45849</v>
      </c>
      <c r="M319" s="1">
        <v>45848</v>
      </c>
      <c r="P319" t="s">
        <v>123</v>
      </c>
    </row>
    <row r="320" spans="1:16" x14ac:dyDescent="0.35">
      <c r="A320" t="s">
        <v>33</v>
      </c>
      <c r="B320" t="s">
        <v>9</v>
      </c>
      <c r="C320" t="s">
        <v>57</v>
      </c>
      <c r="D320" t="s">
        <v>319</v>
      </c>
      <c r="E320" s="1">
        <v>45848</v>
      </c>
      <c r="F320" s="6">
        <v>401304.17</v>
      </c>
      <c r="G320" s="6">
        <v>108352.13</v>
      </c>
      <c r="H320" s="6">
        <v>25242.03</v>
      </c>
      <c r="I320" s="6">
        <v>534898.32999999996</v>
      </c>
      <c r="J320" s="6">
        <f t="shared" si="4"/>
        <v>401304.17</v>
      </c>
      <c r="K320" t="s">
        <v>4</v>
      </c>
      <c r="L320" s="1">
        <v>45860</v>
      </c>
      <c r="M320" s="1">
        <v>45860</v>
      </c>
      <c r="P320" t="s">
        <v>123</v>
      </c>
    </row>
    <row r="321" spans="1:16" x14ac:dyDescent="0.35">
      <c r="A321" t="s">
        <v>33</v>
      </c>
      <c r="B321" t="s">
        <v>16</v>
      </c>
      <c r="C321" t="s">
        <v>16</v>
      </c>
      <c r="D321" t="s">
        <v>322</v>
      </c>
      <c r="E321" s="1">
        <v>45839</v>
      </c>
      <c r="F321" s="6">
        <v>12233.15</v>
      </c>
      <c r="G321" s="6">
        <v>3302.95</v>
      </c>
      <c r="H321" s="6">
        <v>1147.83</v>
      </c>
      <c r="I321" s="6">
        <v>16683.93</v>
      </c>
      <c r="J321" s="6">
        <f t="shared" si="4"/>
        <v>12233.15</v>
      </c>
      <c r="K321" t="s">
        <v>18</v>
      </c>
      <c r="L321" s="1">
        <v>45848</v>
      </c>
      <c r="M321" s="1">
        <v>45848</v>
      </c>
      <c r="P321" t="s">
        <v>123</v>
      </c>
    </row>
    <row r="322" spans="1:16" x14ac:dyDescent="0.35">
      <c r="A322" t="s">
        <v>33</v>
      </c>
      <c r="B322" t="s">
        <v>16</v>
      </c>
      <c r="C322" t="s">
        <v>16</v>
      </c>
      <c r="D322" t="s">
        <v>323</v>
      </c>
      <c r="E322" s="1">
        <v>45839</v>
      </c>
      <c r="F322" s="6">
        <v>109617.29</v>
      </c>
      <c r="G322" s="6">
        <v>29596.67</v>
      </c>
      <c r="H322" s="6">
        <v>10285.39</v>
      </c>
      <c r="I322" s="6">
        <v>149499.35</v>
      </c>
      <c r="J322" s="6">
        <f t="shared" si="4"/>
        <v>109617.29</v>
      </c>
      <c r="K322" t="s">
        <v>18</v>
      </c>
      <c r="L322" s="1">
        <v>45848</v>
      </c>
      <c r="M322" s="1">
        <v>45848</v>
      </c>
      <c r="P322" t="s">
        <v>123</v>
      </c>
    </row>
    <row r="323" spans="1:16" x14ac:dyDescent="0.35">
      <c r="A323" t="s">
        <v>33</v>
      </c>
      <c r="B323" t="s">
        <v>16</v>
      </c>
      <c r="C323" t="s">
        <v>16</v>
      </c>
      <c r="D323" t="s">
        <v>324</v>
      </c>
      <c r="E323" s="1">
        <v>45842</v>
      </c>
      <c r="F323" s="6">
        <v>518920.99</v>
      </c>
      <c r="G323" s="6">
        <v>140108.67000000001</v>
      </c>
      <c r="H323" s="6">
        <v>48690.36</v>
      </c>
      <c r="I323" s="6">
        <v>707720.02</v>
      </c>
      <c r="J323" s="6">
        <f t="shared" ref="J323:J386" si="5">IF(F323&gt;0,F323,I323)</f>
        <v>518920.99</v>
      </c>
      <c r="K323" t="s">
        <v>18</v>
      </c>
      <c r="L323" s="1">
        <v>45853</v>
      </c>
      <c r="M323" s="1">
        <v>45854</v>
      </c>
      <c r="P323" t="s">
        <v>123</v>
      </c>
    </row>
    <row r="324" spans="1:16" x14ac:dyDescent="0.35">
      <c r="A324" t="s">
        <v>33</v>
      </c>
      <c r="B324" t="s">
        <v>60</v>
      </c>
      <c r="C324" t="s">
        <v>57</v>
      </c>
      <c r="D324" t="s">
        <v>319</v>
      </c>
      <c r="E324" s="1">
        <v>45848</v>
      </c>
      <c r="G324" t="s">
        <v>8</v>
      </c>
      <c r="H324" s="6">
        <v>515040.5</v>
      </c>
      <c r="I324" s="6">
        <v>515040.5</v>
      </c>
      <c r="J324" s="6">
        <f t="shared" si="5"/>
        <v>515040.5</v>
      </c>
      <c r="K324" t="s">
        <v>4</v>
      </c>
      <c r="L324" s="1">
        <v>45860</v>
      </c>
      <c r="M324" s="1">
        <v>45860</v>
      </c>
      <c r="P324" t="s">
        <v>123</v>
      </c>
    </row>
    <row r="325" spans="1:16" x14ac:dyDescent="0.35">
      <c r="A325" t="s">
        <v>33</v>
      </c>
      <c r="B325" t="s">
        <v>61</v>
      </c>
      <c r="C325" t="s">
        <v>31</v>
      </c>
      <c r="D325" t="s">
        <v>309</v>
      </c>
      <c r="E325" s="1">
        <v>45847</v>
      </c>
      <c r="F325" s="6">
        <v>37650</v>
      </c>
      <c r="G325" s="6">
        <v>7906.5</v>
      </c>
      <c r="I325" s="6">
        <v>45556.5</v>
      </c>
      <c r="J325" s="6">
        <f t="shared" si="5"/>
        <v>37650</v>
      </c>
      <c r="K325" t="s">
        <v>4</v>
      </c>
      <c r="L325" s="1">
        <v>45860</v>
      </c>
      <c r="M325" s="1">
        <v>45860</v>
      </c>
      <c r="P325" t="s">
        <v>123</v>
      </c>
    </row>
    <row r="326" spans="1:16" x14ac:dyDescent="0.35">
      <c r="A326" t="s">
        <v>33</v>
      </c>
      <c r="B326" t="s">
        <v>19</v>
      </c>
      <c r="C326" t="s">
        <v>37</v>
      </c>
      <c r="D326" t="s">
        <v>325</v>
      </c>
      <c r="E326" s="1">
        <v>45826</v>
      </c>
      <c r="F326" s="6">
        <v>142084</v>
      </c>
      <c r="G326" s="6">
        <v>29837.64</v>
      </c>
      <c r="H326" s="6">
        <v>11366.72</v>
      </c>
      <c r="I326" s="6">
        <v>183288.36</v>
      </c>
      <c r="J326" s="6">
        <f t="shared" si="5"/>
        <v>142084</v>
      </c>
      <c r="K326" t="s">
        <v>39</v>
      </c>
      <c r="L326" s="1">
        <v>45841</v>
      </c>
      <c r="M326" s="1">
        <v>45841</v>
      </c>
      <c r="P326" t="s">
        <v>123</v>
      </c>
    </row>
    <row r="327" spans="1:16" x14ac:dyDescent="0.35">
      <c r="A327" t="s">
        <v>33</v>
      </c>
      <c r="B327" t="s">
        <v>101</v>
      </c>
      <c r="C327" t="s">
        <v>102</v>
      </c>
      <c r="D327" t="s">
        <v>326</v>
      </c>
      <c r="E327" s="1">
        <v>45838</v>
      </c>
      <c r="G327" t="s">
        <v>8</v>
      </c>
      <c r="I327" s="6">
        <v>198000</v>
      </c>
      <c r="J327" s="6">
        <f t="shared" si="5"/>
        <v>198000</v>
      </c>
      <c r="K327" t="s">
        <v>48</v>
      </c>
      <c r="L327" s="1">
        <v>45860</v>
      </c>
      <c r="M327" s="1">
        <v>45860</v>
      </c>
      <c r="P327" t="s">
        <v>123</v>
      </c>
    </row>
    <row r="328" spans="1:16" x14ac:dyDescent="0.35">
      <c r="A328" t="s">
        <v>26</v>
      </c>
      <c r="B328" t="s">
        <v>27</v>
      </c>
      <c r="C328" t="s">
        <v>28</v>
      </c>
      <c r="D328" t="s">
        <v>320</v>
      </c>
      <c r="E328" s="1">
        <v>45845</v>
      </c>
      <c r="G328" t="s">
        <v>8</v>
      </c>
      <c r="I328" s="6">
        <v>55000</v>
      </c>
      <c r="J328" s="6">
        <f t="shared" si="5"/>
        <v>55000</v>
      </c>
      <c r="K328" t="s">
        <v>4</v>
      </c>
      <c r="L328" s="1">
        <v>45860</v>
      </c>
      <c r="M328" s="1">
        <v>45860</v>
      </c>
      <c r="P328" t="s">
        <v>123</v>
      </c>
    </row>
    <row r="329" spans="1:16" x14ac:dyDescent="0.35">
      <c r="A329" t="s">
        <v>26</v>
      </c>
      <c r="B329" t="s">
        <v>27</v>
      </c>
      <c r="C329" t="s">
        <v>28</v>
      </c>
      <c r="D329" t="s">
        <v>315</v>
      </c>
      <c r="E329" s="1">
        <v>45845</v>
      </c>
      <c r="G329" t="s">
        <v>8</v>
      </c>
      <c r="I329" s="6">
        <v>40000</v>
      </c>
      <c r="J329" s="6">
        <f t="shared" si="5"/>
        <v>40000</v>
      </c>
      <c r="K329" t="s">
        <v>4</v>
      </c>
      <c r="L329" s="1">
        <v>45860</v>
      </c>
      <c r="M329" s="1">
        <v>45860</v>
      </c>
      <c r="P329" t="s">
        <v>123</v>
      </c>
    </row>
    <row r="330" spans="1:16" x14ac:dyDescent="0.35">
      <c r="A330" t="s">
        <v>26</v>
      </c>
      <c r="B330" t="s">
        <v>1</v>
      </c>
      <c r="C330" t="s">
        <v>147</v>
      </c>
      <c r="D330" t="s">
        <v>327</v>
      </c>
      <c r="E330" s="1">
        <v>45848</v>
      </c>
      <c r="F330" s="6">
        <v>667200</v>
      </c>
      <c r="G330" s="6">
        <v>140112</v>
      </c>
      <c r="I330" s="6">
        <v>807312</v>
      </c>
      <c r="J330" s="6">
        <f t="shared" si="5"/>
        <v>667200</v>
      </c>
      <c r="K330" t="s">
        <v>4</v>
      </c>
      <c r="L330" s="1">
        <v>45848</v>
      </c>
      <c r="M330" s="1">
        <v>45848</v>
      </c>
      <c r="P330" t="s">
        <v>123</v>
      </c>
    </row>
    <row r="331" spans="1:16" x14ac:dyDescent="0.35">
      <c r="A331" t="s">
        <v>26</v>
      </c>
      <c r="B331" t="s">
        <v>16</v>
      </c>
      <c r="C331" t="s">
        <v>16</v>
      </c>
      <c r="D331" t="s">
        <v>328</v>
      </c>
      <c r="E331" s="1">
        <v>45838</v>
      </c>
      <c r="F331" s="6">
        <v>95503.32</v>
      </c>
      <c r="G331" s="6">
        <v>25785.9</v>
      </c>
      <c r="H331" s="6">
        <v>8961.08</v>
      </c>
      <c r="I331" s="6">
        <v>130250.3</v>
      </c>
      <c r="J331" s="6">
        <f t="shared" si="5"/>
        <v>95503.32</v>
      </c>
      <c r="K331" t="s">
        <v>18</v>
      </c>
      <c r="L331" s="1">
        <v>45846</v>
      </c>
      <c r="M331" s="1">
        <v>45846</v>
      </c>
      <c r="P331" t="s">
        <v>123</v>
      </c>
    </row>
    <row r="332" spans="1:16" x14ac:dyDescent="0.35">
      <c r="A332" t="s">
        <v>26</v>
      </c>
      <c r="B332" t="s">
        <v>16</v>
      </c>
      <c r="C332" t="s">
        <v>16</v>
      </c>
      <c r="D332" t="s">
        <v>329</v>
      </c>
      <c r="E332" s="1">
        <v>45838</v>
      </c>
      <c r="F332" s="6">
        <v>18468.88</v>
      </c>
      <c r="G332" s="6">
        <v>4986.6000000000004</v>
      </c>
      <c r="H332" s="6">
        <v>1732.94</v>
      </c>
      <c r="I332" s="6">
        <v>25188.42</v>
      </c>
      <c r="J332" s="6">
        <f t="shared" si="5"/>
        <v>18468.88</v>
      </c>
      <c r="K332" t="s">
        <v>18</v>
      </c>
      <c r="L332" s="1">
        <v>45846</v>
      </c>
      <c r="M332" s="1">
        <v>45846</v>
      </c>
      <c r="P332" t="s">
        <v>123</v>
      </c>
    </row>
    <row r="333" spans="1:16" x14ac:dyDescent="0.35">
      <c r="A333" t="s">
        <v>26</v>
      </c>
      <c r="B333" t="s">
        <v>60</v>
      </c>
      <c r="C333" t="s">
        <v>149</v>
      </c>
      <c r="D333" t="s">
        <v>7</v>
      </c>
      <c r="E333" s="1">
        <v>45839</v>
      </c>
      <c r="G333" t="s">
        <v>8</v>
      </c>
      <c r="I333" s="6">
        <v>217135.92</v>
      </c>
      <c r="J333" s="6">
        <f t="shared" si="5"/>
        <v>217135.92</v>
      </c>
      <c r="K333" t="s">
        <v>150</v>
      </c>
      <c r="L333" s="1">
        <v>45848</v>
      </c>
      <c r="M333" s="1">
        <v>45848</v>
      </c>
      <c r="P333" t="s">
        <v>123</v>
      </c>
    </row>
    <row r="334" spans="1:16" x14ac:dyDescent="0.35">
      <c r="A334" t="s">
        <v>26</v>
      </c>
      <c r="B334" t="s">
        <v>61</v>
      </c>
      <c r="C334" t="s">
        <v>31</v>
      </c>
      <c r="D334" t="s">
        <v>309</v>
      </c>
      <c r="E334" s="1">
        <v>45847</v>
      </c>
      <c r="F334" s="6">
        <v>30230</v>
      </c>
      <c r="G334" s="6">
        <v>6348.3</v>
      </c>
      <c r="I334" s="6">
        <v>36578.300000000003</v>
      </c>
      <c r="J334" s="6">
        <f t="shared" si="5"/>
        <v>30230</v>
      </c>
      <c r="K334" t="s">
        <v>4</v>
      </c>
      <c r="L334" s="1">
        <v>45860</v>
      </c>
      <c r="M334" s="1">
        <v>45860</v>
      </c>
      <c r="P334" t="s">
        <v>123</v>
      </c>
    </row>
    <row r="335" spans="1:16" x14ac:dyDescent="0.35">
      <c r="A335" t="s">
        <v>26</v>
      </c>
      <c r="B335" t="s">
        <v>19</v>
      </c>
      <c r="C335" t="s">
        <v>37</v>
      </c>
      <c r="D335" t="s">
        <v>330</v>
      </c>
      <c r="E335" s="1">
        <v>45826</v>
      </c>
      <c r="F335" s="6">
        <v>100700</v>
      </c>
      <c r="G335" s="6">
        <v>21147</v>
      </c>
      <c r="H335" s="6">
        <v>8056</v>
      </c>
      <c r="I335" s="6">
        <v>129903</v>
      </c>
      <c r="J335" s="6">
        <f t="shared" si="5"/>
        <v>100700</v>
      </c>
      <c r="K335" t="s">
        <v>45</v>
      </c>
      <c r="L335" s="1">
        <v>45841</v>
      </c>
      <c r="M335" s="1">
        <v>45853</v>
      </c>
      <c r="P335" t="s">
        <v>123</v>
      </c>
    </row>
    <row r="336" spans="1:16" x14ac:dyDescent="0.35">
      <c r="A336" t="s">
        <v>46</v>
      </c>
      <c r="B336" t="s">
        <v>1</v>
      </c>
      <c r="C336" t="s">
        <v>47</v>
      </c>
      <c r="D336" t="s">
        <v>331</v>
      </c>
      <c r="E336" s="1">
        <v>45839</v>
      </c>
      <c r="F336" s="6">
        <v>250000</v>
      </c>
      <c r="G336" s="6">
        <v>52500</v>
      </c>
      <c r="I336" s="6">
        <v>302500</v>
      </c>
      <c r="J336" s="6">
        <f t="shared" si="5"/>
        <v>250000</v>
      </c>
      <c r="K336" t="s">
        <v>4</v>
      </c>
      <c r="L336" s="1">
        <v>45848</v>
      </c>
      <c r="M336" s="1">
        <v>45848</v>
      </c>
      <c r="P336" t="s">
        <v>123</v>
      </c>
    </row>
    <row r="337" spans="1:16" x14ac:dyDescent="0.35">
      <c r="A337" t="s">
        <v>46</v>
      </c>
      <c r="B337" t="s">
        <v>60</v>
      </c>
      <c r="C337" t="s">
        <v>47</v>
      </c>
      <c r="D337" t="s">
        <v>331</v>
      </c>
      <c r="E337" s="1">
        <v>45839</v>
      </c>
      <c r="G337" t="s">
        <v>8</v>
      </c>
      <c r="H337" s="6">
        <v>17007.53</v>
      </c>
      <c r="I337" s="6">
        <v>17007.53</v>
      </c>
      <c r="J337" s="6">
        <f t="shared" si="5"/>
        <v>17007.53</v>
      </c>
      <c r="K337" t="s">
        <v>48</v>
      </c>
      <c r="L337" s="1">
        <v>45848</v>
      </c>
      <c r="M337" s="1">
        <v>45848</v>
      </c>
      <c r="P337" t="s">
        <v>123</v>
      </c>
    </row>
    <row r="338" spans="1:16" x14ac:dyDescent="0.35">
      <c r="A338" t="s">
        <v>156</v>
      </c>
      <c r="B338" t="s">
        <v>1</v>
      </c>
      <c r="C338" t="s">
        <v>47</v>
      </c>
      <c r="D338" t="s">
        <v>332</v>
      </c>
      <c r="E338" s="1">
        <v>45842</v>
      </c>
      <c r="F338" s="6">
        <v>428053.64</v>
      </c>
      <c r="G338" s="6">
        <v>89891.26</v>
      </c>
      <c r="I338" s="6">
        <v>517944.9</v>
      </c>
      <c r="J338" s="6">
        <f t="shared" si="5"/>
        <v>428053.64</v>
      </c>
      <c r="K338" t="s">
        <v>4</v>
      </c>
      <c r="L338" s="1">
        <v>45848</v>
      </c>
      <c r="M338" s="1">
        <v>45848</v>
      </c>
      <c r="P338" t="s">
        <v>123</v>
      </c>
    </row>
    <row r="339" spans="1:16" x14ac:dyDescent="0.35">
      <c r="A339" t="s">
        <v>156</v>
      </c>
      <c r="B339" t="s">
        <v>16</v>
      </c>
      <c r="C339" t="s">
        <v>47</v>
      </c>
      <c r="D339" t="s">
        <v>332</v>
      </c>
      <c r="E339" s="1">
        <v>45839</v>
      </c>
      <c r="F339" s="6">
        <v>8161.75</v>
      </c>
      <c r="G339" s="6">
        <v>1713.97</v>
      </c>
      <c r="I339" s="6">
        <v>9875.7199999999993</v>
      </c>
      <c r="J339" s="6">
        <f t="shared" si="5"/>
        <v>8161.75</v>
      </c>
      <c r="K339" t="s">
        <v>4</v>
      </c>
      <c r="L339" s="1">
        <v>45848</v>
      </c>
      <c r="M339" s="1">
        <v>45848</v>
      </c>
      <c r="P339" t="s">
        <v>123</v>
      </c>
    </row>
    <row r="340" spans="1:16" x14ac:dyDescent="0.35">
      <c r="A340" t="s">
        <v>156</v>
      </c>
      <c r="B340" t="s">
        <v>60</v>
      </c>
      <c r="C340" t="s">
        <v>47</v>
      </c>
      <c r="D340" t="s">
        <v>332</v>
      </c>
      <c r="E340" s="1">
        <v>45839</v>
      </c>
      <c r="G340" t="s">
        <v>8</v>
      </c>
      <c r="H340" s="6">
        <v>46940.79</v>
      </c>
      <c r="I340" s="6">
        <v>46940.79</v>
      </c>
      <c r="J340" s="6">
        <f t="shared" si="5"/>
        <v>46940.79</v>
      </c>
      <c r="K340" t="s">
        <v>4</v>
      </c>
      <c r="L340" s="1">
        <v>45848</v>
      </c>
      <c r="M340" s="1">
        <v>45848</v>
      </c>
      <c r="P340" t="s">
        <v>123</v>
      </c>
    </row>
    <row r="341" spans="1:16" x14ac:dyDescent="0.35">
      <c r="A341" t="s">
        <v>333</v>
      </c>
      <c r="B341" t="s">
        <v>1</v>
      </c>
      <c r="C341" t="s">
        <v>47</v>
      </c>
      <c r="D341" t="s">
        <v>334</v>
      </c>
      <c r="E341" s="1">
        <v>45839</v>
      </c>
      <c r="F341" s="6">
        <v>554000</v>
      </c>
      <c r="G341" s="6">
        <v>116340</v>
      </c>
      <c r="I341" s="6">
        <v>670340</v>
      </c>
      <c r="J341" s="6">
        <f t="shared" si="5"/>
        <v>554000</v>
      </c>
      <c r="K341" t="s">
        <v>4</v>
      </c>
      <c r="L341" s="1">
        <v>45848</v>
      </c>
      <c r="M341" s="1">
        <v>45848</v>
      </c>
      <c r="P341" t="s">
        <v>123</v>
      </c>
    </row>
    <row r="342" spans="1:16" x14ac:dyDescent="0.35">
      <c r="A342" t="s">
        <v>333</v>
      </c>
      <c r="B342" t="s">
        <v>60</v>
      </c>
      <c r="C342" t="s">
        <v>47</v>
      </c>
      <c r="D342" t="s">
        <v>334</v>
      </c>
      <c r="E342" s="1">
        <v>45839</v>
      </c>
      <c r="H342" s="6">
        <v>293890.13</v>
      </c>
      <c r="I342" s="6">
        <v>293890.13</v>
      </c>
      <c r="J342" s="6">
        <f t="shared" si="5"/>
        <v>293890.13</v>
      </c>
      <c r="K342" t="s">
        <v>4</v>
      </c>
      <c r="L342" s="1">
        <v>45848</v>
      </c>
      <c r="M342" s="1">
        <v>45848</v>
      </c>
      <c r="P342" t="s">
        <v>123</v>
      </c>
    </row>
    <row r="343" spans="1:16" x14ac:dyDescent="0.35">
      <c r="A343" t="s">
        <v>335</v>
      </c>
      <c r="B343" t="s">
        <v>27</v>
      </c>
      <c r="C343" t="s">
        <v>28</v>
      </c>
      <c r="D343" t="s">
        <v>315</v>
      </c>
      <c r="E343" s="1">
        <v>45845</v>
      </c>
      <c r="G343" t="s">
        <v>8</v>
      </c>
      <c r="I343" s="6">
        <v>40000</v>
      </c>
      <c r="J343" s="6">
        <f t="shared" si="5"/>
        <v>40000</v>
      </c>
      <c r="K343" t="s">
        <v>4</v>
      </c>
      <c r="L343" s="1">
        <v>45860</v>
      </c>
      <c r="M343" s="1">
        <v>45860</v>
      </c>
      <c r="P343" t="s">
        <v>123</v>
      </c>
    </row>
    <row r="344" spans="1:16" x14ac:dyDescent="0.35">
      <c r="A344" t="s">
        <v>335</v>
      </c>
      <c r="B344" t="s">
        <v>1</v>
      </c>
      <c r="C344" t="s">
        <v>47</v>
      </c>
      <c r="D344" t="s">
        <v>336</v>
      </c>
      <c r="E344" s="1">
        <v>45839</v>
      </c>
      <c r="F344" s="6">
        <v>599275.1</v>
      </c>
      <c r="G344" s="6">
        <v>125847.77</v>
      </c>
      <c r="I344" s="6">
        <v>725122.87</v>
      </c>
      <c r="J344" s="6">
        <f t="shared" si="5"/>
        <v>599275.1</v>
      </c>
      <c r="K344" t="s">
        <v>4</v>
      </c>
      <c r="L344" s="1">
        <v>45848</v>
      </c>
      <c r="M344" s="1">
        <v>45848</v>
      </c>
      <c r="P344" t="s">
        <v>123</v>
      </c>
    </row>
    <row r="345" spans="1:16" x14ac:dyDescent="0.35">
      <c r="A345" t="s">
        <v>335</v>
      </c>
      <c r="B345" t="s">
        <v>60</v>
      </c>
      <c r="C345" t="s">
        <v>47</v>
      </c>
      <c r="D345" t="s">
        <v>336</v>
      </c>
      <c r="E345" s="1">
        <v>45839</v>
      </c>
      <c r="G345" t="s">
        <v>8</v>
      </c>
      <c r="H345" s="6">
        <v>306815.86</v>
      </c>
      <c r="I345" s="6">
        <v>306815.86</v>
      </c>
      <c r="J345" s="6">
        <f t="shared" si="5"/>
        <v>306815.86</v>
      </c>
      <c r="K345" t="s">
        <v>4</v>
      </c>
      <c r="L345" s="1">
        <v>45848</v>
      </c>
      <c r="M345" s="1">
        <v>45848</v>
      </c>
      <c r="P345" t="s">
        <v>123</v>
      </c>
    </row>
    <row r="346" spans="1:16" x14ac:dyDescent="0.35">
      <c r="A346" t="s">
        <v>335</v>
      </c>
      <c r="B346" t="s">
        <v>61</v>
      </c>
      <c r="C346" t="s">
        <v>31</v>
      </c>
      <c r="D346" t="s">
        <v>309</v>
      </c>
      <c r="E346" s="1">
        <v>45847</v>
      </c>
      <c r="F346" s="6">
        <v>30230</v>
      </c>
      <c r="G346" s="6">
        <v>6348.3</v>
      </c>
      <c r="I346" s="6">
        <v>36578.300000000003</v>
      </c>
      <c r="J346" s="6">
        <f t="shared" si="5"/>
        <v>30230</v>
      </c>
      <c r="K346" t="s">
        <v>4</v>
      </c>
      <c r="L346" s="1">
        <v>45860</v>
      </c>
      <c r="M346" s="1">
        <v>45860</v>
      </c>
      <c r="P346" t="s">
        <v>123</v>
      </c>
    </row>
    <row r="347" spans="1:16" x14ac:dyDescent="0.35">
      <c r="A347" t="s">
        <v>43</v>
      </c>
      <c r="B347" t="s">
        <v>19</v>
      </c>
      <c r="C347" t="s">
        <v>37</v>
      </c>
      <c r="D347" t="s">
        <v>337</v>
      </c>
      <c r="E347" s="1">
        <v>45826</v>
      </c>
      <c r="F347" s="6">
        <v>34325</v>
      </c>
      <c r="G347" s="6">
        <v>7208.25</v>
      </c>
      <c r="H347" s="6">
        <v>2746</v>
      </c>
      <c r="I347" s="6">
        <v>44279.25</v>
      </c>
      <c r="J347" s="6">
        <f t="shared" si="5"/>
        <v>34325</v>
      </c>
      <c r="K347" t="s">
        <v>45</v>
      </c>
      <c r="L347" s="1">
        <v>45841</v>
      </c>
      <c r="M347" s="1">
        <v>45841</v>
      </c>
      <c r="P347" t="s">
        <v>123</v>
      </c>
    </row>
    <row r="348" spans="1:16" x14ac:dyDescent="0.35">
      <c r="A348" t="s">
        <v>49</v>
      </c>
      <c r="B348" t="s">
        <v>27</v>
      </c>
      <c r="C348" t="s">
        <v>28</v>
      </c>
      <c r="D348" t="s">
        <v>315</v>
      </c>
      <c r="E348" s="1">
        <v>45845</v>
      </c>
      <c r="G348" t="s">
        <v>8</v>
      </c>
      <c r="I348" s="6">
        <v>40000</v>
      </c>
      <c r="J348" s="6">
        <f t="shared" si="5"/>
        <v>40000</v>
      </c>
      <c r="K348" t="s">
        <v>4</v>
      </c>
      <c r="L348" s="1">
        <v>45860</v>
      </c>
      <c r="M348" s="1">
        <v>45860</v>
      </c>
      <c r="P348" t="s">
        <v>123</v>
      </c>
    </row>
    <row r="349" spans="1:16" x14ac:dyDescent="0.35">
      <c r="A349" t="s">
        <v>49</v>
      </c>
      <c r="B349" t="s">
        <v>27</v>
      </c>
      <c r="C349" t="s">
        <v>28</v>
      </c>
      <c r="D349" t="s">
        <v>320</v>
      </c>
      <c r="E349" s="1">
        <v>45845</v>
      </c>
      <c r="G349" t="s">
        <v>8</v>
      </c>
      <c r="I349" s="6">
        <v>55000</v>
      </c>
      <c r="J349" s="6">
        <f t="shared" si="5"/>
        <v>55000</v>
      </c>
      <c r="K349" t="s">
        <v>4</v>
      </c>
      <c r="L349" s="1">
        <v>45860</v>
      </c>
      <c r="M349" s="1">
        <v>45860</v>
      </c>
      <c r="P349" t="s">
        <v>123</v>
      </c>
    </row>
    <row r="350" spans="1:16" x14ac:dyDescent="0.35">
      <c r="A350" t="s">
        <v>49</v>
      </c>
      <c r="B350" t="s">
        <v>1</v>
      </c>
      <c r="C350" t="s">
        <v>167</v>
      </c>
      <c r="D350" t="s">
        <v>338</v>
      </c>
      <c r="E350" s="1">
        <v>45842</v>
      </c>
      <c r="F350" s="6">
        <v>1299988.6000000001</v>
      </c>
      <c r="G350" s="6">
        <v>272997.61</v>
      </c>
      <c r="H350" s="6">
        <v>64999.43</v>
      </c>
      <c r="I350" s="6">
        <v>1637985.64</v>
      </c>
      <c r="J350" s="6">
        <f t="shared" si="5"/>
        <v>1299988.6000000001</v>
      </c>
      <c r="K350" t="s">
        <v>4</v>
      </c>
      <c r="L350" s="1">
        <v>45848</v>
      </c>
      <c r="M350" s="1">
        <v>45848</v>
      </c>
      <c r="P350" t="s">
        <v>123</v>
      </c>
    </row>
    <row r="351" spans="1:16" x14ac:dyDescent="0.35">
      <c r="A351" t="s">
        <v>49</v>
      </c>
      <c r="B351" t="s">
        <v>16</v>
      </c>
      <c r="C351" t="s">
        <v>16</v>
      </c>
      <c r="D351" t="s">
        <v>339</v>
      </c>
      <c r="E351" s="1">
        <v>45834</v>
      </c>
      <c r="F351" s="6">
        <v>85254.03</v>
      </c>
      <c r="G351" s="6">
        <v>23018.59</v>
      </c>
      <c r="H351" s="6">
        <v>7999.38</v>
      </c>
      <c r="I351" s="6">
        <v>116272</v>
      </c>
      <c r="J351" s="6">
        <f t="shared" si="5"/>
        <v>85254.03</v>
      </c>
      <c r="K351" t="s">
        <v>18</v>
      </c>
      <c r="L351" s="1">
        <v>45842</v>
      </c>
      <c r="M351" s="1">
        <v>45842</v>
      </c>
      <c r="P351" t="s">
        <v>123</v>
      </c>
    </row>
    <row r="352" spans="1:16" x14ac:dyDescent="0.35">
      <c r="A352" t="s">
        <v>49</v>
      </c>
      <c r="B352" t="s">
        <v>60</v>
      </c>
      <c r="C352" t="s">
        <v>167</v>
      </c>
      <c r="D352" t="s">
        <v>340</v>
      </c>
      <c r="E352" s="1">
        <v>45842</v>
      </c>
      <c r="F352" s="6">
        <v>1846064.21</v>
      </c>
      <c r="G352" s="6">
        <v>387673.48</v>
      </c>
      <c r="H352" s="6">
        <v>92303.21</v>
      </c>
      <c r="I352" s="6">
        <v>2326040.9</v>
      </c>
      <c r="J352" s="6">
        <f t="shared" si="5"/>
        <v>1846064.21</v>
      </c>
      <c r="K352" t="s">
        <v>4</v>
      </c>
      <c r="L352" s="1">
        <v>45848</v>
      </c>
      <c r="M352" s="1">
        <v>45848</v>
      </c>
      <c r="P352" t="s">
        <v>123</v>
      </c>
    </row>
    <row r="353" spans="1:16" x14ac:dyDescent="0.35">
      <c r="A353" t="s">
        <v>49</v>
      </c>
      <c r="B353" t="s">
        <v>61</v>
      </c>
      <c r="C353" t="s">
        <v>31</v>
      </c>
      <c r="D353" t="s">
        <v>309</v>
      </c>
      <c r="E353" s="1">
        <v>45847</v>
      </c>
      <c r="F353" s="6">
        <v>30230</v>
      </c>
      <c r="G353" s="6">
        <v>6348.3</v>
      </c>
      <c r="I353" s="6">
        <v>36578.300000000003</v>
      </c>
      <c r="J353" s="6">
        <f t="shared" si="5"/>
        <v>30230</v>
      </c>
      <c r="K353" t="s">
        <v>4</v>
      </c>
      <c r="L353" s="1">
        <v>45860</v>
      </c>
      <c r="M353" s="1">
        <v>45860</v>
      </c>
      <c r="P353" t="s">
        <v>123</v>
      </c>
    </row>
    <row r="354" spans="1:16" x14ac:dyDescent="0.35">
      <c r="A354" t="s">
        <v>49</v>
      </c>
      <c r="B354" t="s">
        <v>19</v>
      </c>
      <c r="C354" t="s">
        <v>37</v>
      </c>
      <c r="D354" t="s">
        <v>341</v>
      </c>
      <c r="E354" s="1">
        <v>45826</v>
      </c>
      <c r="F354" s="6">
        <v>55892.57</v>
      </c>
      <c r="G354" s="6">
        <v>11737.44</v>
      </c>
      <c r="H354" s="6">
        <v>4471.41</v>
      </c>
      <c r="I354" s="6">
        <v>72101.42</v>
      </c>
      <c r="J354" s="6">
        <f t="shared" si="5"/>
        <v>55892.57</v>
      </c>
      <c r="K354" t="s">
        <v>39</v>
      </c>
      <c r="L354" s="1">
        <v>45845</v>
      </c>
      <c r="M354" s="1">
        <v>45845</v>
      </c>
      <c r="P354" t="s">
        <v>123</v>
      </c>
    </row>
    <row r="355" spans="1:16" x14ac:dyDescent="0.35">
      <c r="A355" t="s">
        <v>52</v>
      </c>
      <c r="B355" t="s">
        <v>27</v>
      </c>
      <c r="C355" t="s">
        <v>28</v>
      </c>
      <c r="D355" t="s">
        <v>320</v>
      </c>
      <c r="E355" s="1">
        <v>45845</v>
      </c>
      <c r="G355" t="s">
        <v>8</v>
      </c>
      <c r="I355" s="6">
        <v>55000</v>
      </c>
      <c r="J355" s="6">
        <f t="shared" si="5"/>
        <v>55000</v>
      </c>
      <c r="K355" t="s">
        <v>18</v>
      </c>
      <c r="L355" s="1">
        <v>45860</v>
      </c>
      <c r="M355" s="1">
        <v>45860</v>
      </c>
      <c r="P355" t="s">
        <v>123</v>
      </c>
    </row>
    <row r="356" spans="1:16" x14ac:dyDescent="0.35">
      <c r="A356" t="s">
        <v>52</v>
      </c>
      <c r="B356" t="s">
        <v>27</v>
      </c>
      <c r="C356" t="s">
        <v>28</v>
      </c>
      <c r="D356" t="s">
        <v>315</v>
      </c>
      <c r="E356" s="1">
        <v>45845</v>
      </c>
      <c r="G356" t="s">
        <v>8</v>
      </c>
      <c r="I356" s="6">
        <v>40000</v>
      </c>
      <c r="J356" s="6">
        <f t="shared" si="5"/>
        <v>40000</v>
      </c>
      <c r="K356" t="s">
        <v>4</v>
      </c>
      <c r="L356" s="1">
        <v>45860</v>
      </c>
      <c r="M356" s="1">
        <v>45860</v>
      </c>
      <c r="P356" t="s">
        <v>123</v>
      </c>
    </row>
    <row r="357" spans="1:16" x14ac:dyDescent="0.35">
      <c r="A357" t="s">
        <v>52</v>
      </c>
      <c r="B357" t="s">
        <v>1</v>
      </c>
      <c r="C357" t="s">
        <v>172</v>
      </c>
      <c r="D357" t="s">
        <v>342</v>
      </c>
      <c r="E357" s="1">
        <v>45839</v>
      </c>
      <c r="F357" s="6">
        <v>1594202.96</v>
      </c>
      <c r="G357" s="6">
        <v>334782.62</v>
      </c>
      <c r="I357" s="6">
        <v>1928985.58</v>
      </c>
      <c r="J357" s="6">
        <f t="shared" si="5"/>
        <v>1594202.96</v>
      </c>
      <c r="K357" t="s">
        <v>4</v>
      </c>
      <c r="L357" s="1">
        <v>45848</v>
      </c>
      <c r="M357" s="1">
        <v>45848</v>
      </c>
      <c r="P357" t="s">
        <v>123</v>
      </c>
    </row>
    <row r="358" spans="1:16" x14ac:dyDescent="0.35">
      <c r="A358" t="s">
        <v>52</v>
      </c>
      <c r="B358" t="s">
        <v>16</v>
      </c>
      <c r="C358" t="s">
        <v>16</v>
      </c>
      <c r="D358" t="s">
        <v>343</v>
      </c>
      <c r="E358" s="1">
        <v>45838</v>
      </c>
      <c r="F358" s="6">
        <v>55809.3</v>
      </c>
      <c r="G358" s="6">
        <v>15068.51</v>
      </c>
      <c r="H358" s="6">
        <v>5236.59</v>
      </c>
      <c r="I358" s="6">
        <v>76114.399999999994</v>
      </c>
      <c r="J358" s="6">
        <f t="shared" si="5"/>
        <v>55809.3</v>
      </c>
      <c r="K358" t="s">
        <v>18</v>
      </c>
      <c r="L358" s="1">
        <v>45846</v>
      </c>
      <c r="M358" s="1">
        <v>45846</v>
      </c>
      <c r="P358" t="s">
        <v>123</v>
      </c>
    </row>
    <row r="359" spans="1:16" x14ac:dyDescent="0.35">
      <c r="A359" t="s">
        <v>52</v>
      </c>
      <c r="B359" t="s">
        <v>60</v>
      </c>
      <c r="C359" t="s">
        <v>172</v>
      </c>
      <c r="D359" t="s">
        <v>7</v>
      </c>
      <c r="E359" s="1">
        <v>45839</v>
      </c>
      <c r="I359" s="6">
        <v>482202.15</v>
      </c>
      <c r="J359" s="6">
        <f t="shared" si="5"/>
        <v>482202.15</v>
      </c>
      <c r="K359" t="s">
        <v>4</v>
      </c>
      <c r="L359" s="1">
        <v>45848</v>
      </c>
      <c r="M359" s="1">
        <v>45848</v>
      </c>
      <c r="P359" t="s">
        <v>123</v>
      </c>
    </row>
    <row r="360" spans="1:16" x14ac:dyDescent="0.35">
      <c r="A360" t="s">
        <v>52</v>
      </c>
      <c r="B360" t="s">
        <v>61</v>
      </c>
      <c r="C360" t="s">
        <v>31</v>
      </c>
      <c r="D360" t="s">
        <v>309</v>
      </c>
      <c r="E360" s="1">
        <v>45847</v>
      </c>
      <c r="F360" s="6">
        <v>30230</v>
      </c>
      <c r="G360" s="6">
        <v>6348.3</v>
      </c>
      <c r="I360" s="6">
        <v>36578.300000000003</v>
      </c>
      <c r="J360" s="6">
        <f t="shared" si="5"/>
        <v>30230</v>
      </c>
      <c r="K360" t="s">
        <v>4</v>
      </c>
      <c r="L360" s="1">
        <v>45860</v>
      </c>
      <c r="M360" s="1">
        <v>45860</v>
      </c>
      <c r="P360" t="s">
        <v>123</v>
      </c>
    </row>
    <row r="361" spans="1:16" x14ac:dyDescent="0.35">
      <c r="A361" t="s">
        <v>176</v>
      </c>
      <c r="B361" t="s">
        <v>1</v>
      </c>
      <c r="C361" t="s">
        <v>172</v>
      </c>
      <c r="D361" t="s">
        <v>344</v>
      </c>
      <c r="E361" s="1">
        <v>45839</v>
      </c>
      <c r="F361" s="6">
        <v>903319.4</v>
      </c>
      <c r="G361" s="6">
        <v>189697.07</v>
      </c>
      <c r="I361" s="6">
        <v>1093016.47</v>
      </c>
      <c r="J361" s="6">
        <f t="shared" si="5"/>
        <v>903319.4</v>
      </c>
      <c r="K361" t="s">
        <v>4</v>
      </c>
      <c r="L361" s="1">
        <v>45848</v>
      </c>
      <c r="M361" s="1">
        <v>45848</v>
      </c>
      <c r="P361" t="s">
        <v>123</v>
      </c>
    </row>
    <row r="362" spans="1:16" x14ac:dyDescent="0.35">
      <c r="A362" t="s">
        <v>176</v>
      </c>
      <c r="B362" t="s">
        <v>16</v>
      </c>
      <c r="C362" t="s">
        <v>16</v>
      </c>
      <c r="D362" t="s">
        <v>7</v>
      </c>
      <c r="E362" s="1">
        <v>45839</v>
      </c>
      <c r="I362" s="6">
        <v>51498.47</v>
      </c>
      <c r="J362" s="6">
        <f t="shared" si="5"/>
        <v>51498.47</v>
      </c>
      <c r="K362" t="s">
        <v>18</v>
      </c>
      <c r="L362" s="1">
        <v>45846</v>
      </c>
      <c r="M362" s="1">
        <v>45846</v>
      </c>
      <c r="P362" t="s">
        <v>123</v>
      </c>
    </row>
    <row r="363" spans="1:16" x14ac:dyDescent="0.35">
      <c r="A363" t="s">
        <v>176</v>
      </c>
      <c r="B363" t="s">
        <v>60</v>
      </c>
      <c r="C363" t="s">
        <v>172</v>
      </c>
      <c r="D363" t="s">
        <v>7</v>
      </c>
      <c r="E363" s="1">
        <v>45839</v>
      </c>
      <c r="I363" s="6">
        <v>482202.15</v>
      </c>
      <c r="J363" s="6">
        <f t="shared" si="5"/>
        <v>482202.15</v>
      </c>
      <c r="K363" t="s">
        <v>4</v>
      </c>
      <c r="L363" s="1">
        <v>45848</v>
      </c>
      <c r="M363" s="1">
        <v>45848</v>
      </c>
      <c r="P363" t="s">
        <v>123</v>
      </c>
    </row>
    <row r="364" spans="1:16" x14ac:dyDescent="0.35">
      <c r="A364" t="s">
        <v>176</v>
      </c>
      <c r="B364" t="s">
        <v>61</v>
      </c>
      <c r="C364" t="s">
        <v>31</v>
      </c>
      <c r="D364" t="s">
        <v>309</v>
      </c>
      <c r="E364" s="1">
        <v>45847</v>
      </c>
      <c r="F364" s="6">
        <v>30230</v>
      </c>
      <c r="G364" s="6">
        <v>6348.3</v>
      </c>
      <c r="I364" s="6">
        <v>36578.300000000003</v>
      </c>
      <c r="J364" s="6">
        <f t="shared" si="5"/>
        <v>30230</v>
      </c>
      <c r="K364" t="s">
        <v>4</v>
      </c>
      <c r="L364" s="1">
        <v>45860</v>
      </c>
      <c r="M364" s="1">
        <v>45860</v>
      </c>
      <c r="P364" t="s">
        <v>123</v>
      </c>
    </row>
    <row r="365" spans="1:16" x14ac:dyDescent="0.35">
      <c r="A365" t="s">
        <v>82</v>
      </c>
      <c r="B365" t="s">
        <v>23</v>
      </c>
      <c r="C365" t="s">
        <v>24</v>
      </c>
      <c r="D365" t="s">
        <v>345</v>
      </c>
      <c r="E365" s="1">
        <v>45854</v>
      </c>
      <c r="F365" s="6">
        <v>101156</v>
      </c>
      <c r="G365" s="6">
        <v>21242.76</v>
      </c>
      <c r="I365" s="6">
        <v>122398.76</v>
      </c>
      <c r="J365" s="6">
        <f t="shared" si="5"/>
        <v>101156</v>
      </c>
      <c r="K365" t="s">
        <v>4</v>
      </c>
      <c r="L365" s="1">
        <v>45860</v>
      </c>
      <c r="M365" s="1">
        <v>45860</v>
      </c>
      <c r="P365" t="s">
        <v>123</v>
      </c>
    </row>
    <row r="366" spans="1:16" x14ac:dyDescent="0.35">
      <c r="A366" t="s">
        <v>63</v>
      </c>
      <c r="B366" t="s">
        <v>27</v>
      </c>
      <c r="C366" t="s">
        <v>28</v>
      </c>
      <c r="D366" t="s">
        <v>315</v>
      </c>
      <c r="E366" s="1">
        <v>45845</v>
      </c>
      <c r="G366" t="s">
        <v>8</v>
      </c>
      <c r="I366" s="6">
        <v>40000</v>
      </c>
      <c r="J366" s="6">
        <f t="shared" si="5"/>
        <v>40000</v>
      </c>
      <c r="K366" t="s">
        <v>4</v>
      </c>
      <c r="L366" s="1">
        <v>45860</v>
      </c>
      <c r="M366" s="1">
        <v>45860</v>
      </c>
      <c r="P366" t="s">
        <v>123</v>
      </c>
    </row>
    <row r="367" spans="1:16" x14ac:dyDescent="0.35">
      <c r="A367" t="s">
        <v>63</v>
      </c>
      <c r="B367" t="s">
        <v>1</v>
      </c>
      <c r="C367" t="s">
        <v>64</v>
      </c>
      <c r="D367" t="s">
        <v>346</v>
      </c>
      <c r="E367" s="1">
        <v>45839</v>
      </c>
      <c r="F367" s="6">
        <v>1442456</v>
      </c>
      <c r="G367" s="6">
        <v>302915.76</v>
      </c>
      <c r="I367" s="6">
        <v>1745371.76</v>
      </c>
      <c r="J367" s="6">
        <f t="shared" si="5"/>
        <v>1442456</v>
      </c>
      <c r="K367" t="s">
        <v>4</v>
      </c>
      <c r="L367" s="1">
        <v>45848</v>
      </c>
      <c r="M367" s="1">
        <v>45848</v>
      </c>
      <c r="N367" t="s">
        <v>66</v>
      </c>
      <c r="P367" t="s">
        <v>123</v>
      </c>
    </row>
    <row r="368" spans="1:16" x14ac:dyDescent="0.35">
      <c r="A368" t="s">
        <v>63</v>
      </c>
      <c r="B368" t="s">
        <v>16</v>
      </c>
      <c r="C368" t="s">
        <v>16</v>
      </c>
      <c r="D368" t="s">
        <v>347</v>
      </c>
      <c r="E368" s="1">
        <v>45831</v>
      </c>
      <c r="F368" s="6">
        <v>103842.8</v>
      </c>
      <c r="G368" s="6">
        <v>28037.56</v>
      </c>
      <c r="H368" s="6">
        <v>9743.57</v>
      </c>
      <c r="I368" s="6">
        <v>141623.93</v>
      </c>
      <c r="J368" s="6">
        <f t="shared" si="5"/>
        <v>103842.8</v>
      </c>
      <c r="K368" t="s">
        <v>18</v>
      </c>
      <c r="L368" s="1">
        <v>45846</v>
      </c>
      <c r="M368" s="1">
        <v>45846</v>
      </c>
      <c r="P368" t="s">
        <v>123</v>
      </c>
    </row>
    <row r="369" spans="1:16" x14ac:dyDescent="0.35">
      <c r="A369" t="s">
        <v>63</v>
      </c>
      <c r="B369" t="s">
        <v>61</v>
      </c>
      <c r="C369" t="s">
        <v>31</v>
      </c>
      <c r="D369" t="s">
        <v>309</v>
      </c>
      <c r="E369" s="1">
        <v>45847</v>
      </c>
      <c r="F369" s="6">
        <v>67050</v>
      </c>
      <c r="G369" s="6">
        <v>14080.5</v>
      </c>
      <c r="I369" s="6">
        <v>81130.5</v>
      </c>
      <c r="J369" s="6">
        <f t="shared" si="5"/>
        <v>67050</v>
      </c>
      <c r="K369" t="s">
        <v>4</v>
      </c>
      <c r="L369" s="1">
        <v>45860</v>
      </c>
      <c r="M369" s="1">
        <v>45860</v>
      </c>
      <c r="P369" t="s">
        <v>123</v>
      </c>
    </row>
    <row r="370" spans="1:16" x14ac:dyDescent="0.35">
      <c r="A370" t="s">
        <v>63</v>
      </c>
      <c r="B370" t="s">
        <v>19</v>
      </c>
      <c r="C370" t="s">
        <v>37</v>
      </c>
      <c r="D370" t="s">
        <v>348</v>
      </c>
      <c r="E370" s="1">
        <v>45826</v>
      </c>
      <c r="F370" s="6">
        <v>53320</v>
      </c>
      <c r="G370" s="6">
        <v>11197.2</v>
      </c>
      <c r="H370" s="6">
        <v>4265.6000000000004</v>
      </c>
      <c r="I370" s="6">
        <v>68782.8</v>
      </c>
      <c r="J370" s="6">
        <f t="shared" si="5"/>
        <v>53320</v>
      </c>
      <c r="K370" t="s">
        <v>45</v>
      </c>
      <c r="L370" s="1">
        <v>45841</v>
      </c>
      <c r="M370" s="1">
        <v>45853</v>
      </c>
      <c r="P370" t="s">
        <v>123</v>
      </c>
    </row>
    <row r="371" spans="1:16" x14ac:dyDescent="0.35">
      <c r="A371" t="s">
        <v>22</v>
      </c>
      <c r="B371" t="s">
        <v>56</v>
      </c>
      <c r="C371" t="s">
        <v>69</v>
      </c>
      <c r="D371" t="s">
        <v>7</v>
      </c>
      <c r="E371" s="1">
        <v>45839</v>
      </c>
      <c r="G371" t="s">
        <v>8</v>
      </c>
      <c r="I371" s="6">
        <v>402777.46</v>
      </c>
      <c r="J371" s="6">
        <f t="shared" si="5"/>
        <v>402777.46</v>
      </c>
      <c r="K371" t="s">
        <v>18</v>
      </c>
      <c r="L371" s="1">
        <v>45845</v>
      </c>
      <c r="M371" s="1">
        <v>45845</v>
      </c>
      <c r="N371" t="s">
        <v>70</v>
      </c>
      <c r="P371" t="s">
        <v>123</v>
      </c>
    </row>
    <row r="372" spans="1:16" x14ac:dyDescent="0.35">
      <c r="A372" t="s">
        <v>22</v>
      </c>
      <c r="B372" t="s">
        <v>27</v>
      </c>
      <c r="C372" t="s">
        <v>28</v>
      </c>
      <c r="D372" t="s">
        <v>320</v>
      </c>
      <c r="E372" s="1">
        <v>45845</v>
      </c>
      <c r="G372" t="s">
        <v>8</v>
      </c>
      <c r="I372" s="6">
        <v>55000</v>
      </c>
      <c r="J372" s="6">
        <f t="shared" si="5"/>
        <v>55000</v>
      </c>
      <c r="K372" t="s">
        <v>48</v>
      </c>
      <c r="L372" s="1">
        <v>45860</v>
      </c>
      <c r="M372" s="1">
        <v>45860</v>
      </c>
      <c r="P372" t="s">
        <v>123</v>
      </c>
    </row>
    <row r="373" spans="1:16" x14ac:dyDescent="0.35">
      <c r="A373" t="s">
        <v>22</v>
      </c>
      <c r="B373" t="s">
        <v>27</v>
      </c>
      <c r="C373" t="s">
        <v>28</v>
      </c>
      <c r="D373" t="s">
        <v>315</v>
      </c>
      <c r="E373" s="1">
        <v>45845</v>
      </c>
      <c r="G373" t="s">
        <v>8</v>
      </c>
      <c r="I373" s="6">
        <v>40000</v>
      </c>
      <c r="J373" s="6">
        <f t="shared" si="5"/>
        <v>40000</v>
      </c>
      <c r="K373" t="s">
        <v>4</v>
      </c>
      <c r="L373" s="1">
        <v>45860</v>
      </c>
      <c r="M373" s="1">
        <v>45860</v>
      </c>
      <c r="P373" t="s">
        <v>123</v>
      </c>
    </row>
    <row r="374" spans="1:16" x14ac:dyDescent="0.35">
      <c r="A374" t="s">
        <v>22</v>
      </c>
      <c r="B374" t="s">
        <v>27</v>
      </c>
      <c r="C374" t="s">
        <v>11</v>
      </c>
      <c r="D374" t="s">
        <v>349</v>
      </c>
      <c r="E374" s="1">
        <v>45830</v>
      </c>
      <c r="F374" s="6">
        <v>67900</v>
      </c>
      <c r="G374" s="6">
        <v>16716</v>
      </c>
      <c r="H374" s="6">
        <v>7587.27</v>
      </c>
      <c r="I374" s="6">
        <v>92203.27</v>
      </c>
      <c r="J374" s="6">
        <f t="shared" si="5"/>
        <v>67900</v>
      </c>
      <c r="K374" t="s">
        <v>4</v>
      </c>
      <c r="L374" s="1">
        <v>45853</v>
      </c>
      <c r="M374" s="1">
        <v>45853</v>
      </c>
      <c r="P374" t="s">
        <v>123</v>
      </c>
    </row>
    <row r="375" spans="1:16" x14ac:dyDescent="0.35">
      <c r="A375" t="s">
        <v>22</v>
      </c>
      <c r="B375" t="s">
        <v>9</v>
      </c>
      <c r="C375" t="s">
        <v>72</v>
      </c>
      <c r="D375" t="s">
        <v>350</v>
      </c>
      <c r="E375" s="1">
        <v>45849</v>
      </c>
      <c r="G375" t="s">
        <v>8</v>
      </c>
      <c r="I375" s="6">
        <v>910903.15</v>
      </c>
      <c r="J375" s="6">
        <f t="shared" si="5"/>
        <v>910903.15</v>
      </c>
      <c r="K375" t="s">
        <v>4</v>
      </c>
      <c r="L375" s="1">
        <v>45860</v>
      </c>
      <c r="M375" s="1">
        <v>45860</v>
      </c>
      <c r="P375" t="s">
        <v>123</v>
      </c>
    </row>
    <row r="376" spans="1:16" x14ac:dyDescent="0.35">
      <c r="A376" t="s">
        <v>22</v>
      </c>
      <c r="B376" t="s">
        <v>16</v>
      </c>
      <c r="C376" t="s">
        <v>72</v>
      </c>
      <c r="D376" t="s">
        <v>350</v>
      </c>
      <c r="E376" s="1">
        <v>45849</v>
      </c>
      <c r="G376" t="s">
        <v>8</v>
      </c>
      <c r="I376" s="6">
        <v>151380.62</v>
      </c>
      <c r="J376" s="6">
        <f t="shared" si="5"/>
        <v>151380.62</v>
      </c>
      <c r="K376" t="s">
        <v>4</v>
      </c>
      <c r="L376" s="1">
        <v>45860</v>
      </c>
      <c r="M376" s="1">
        <v>45860</v>
      </c>
      <c r="P376" t="s">
        <v>123</v>
      </c>
    </row>
    <row r="377" spans="1:16" x14ac:dyDescent="0.35">
      <c r="A377" t="s">
        <v>22</v>
      </c>
      <c r="B377" t="s">
        <v>61</v>
      </c>
      <c r="C377" t="s">
        <v>31</v>
      </c>
      <c r="D377" t="s">
        <v>309</v>
      </c>
      <c r="E377" s="1">
        <v>45847</v>
      </c>
      <c r="F377" s="6">
        <v>85440</v>
      </c>
      <c r="G377" s="6">
        <v>17942.400000000001</v>
      </c>
      <c r="I377" s="6">
        <v>103382.39999999999</v>
      </c>
      <c r="J377" s="6">
        <f t="shared" si="5"/>
        <v>85440</v>
      </c>
      <c r="K377" t="s">
        <v>4</v>
      </c>
      <c r="L377" s="1">
        <v>45860</v>
      </c>
      <c r="M377" s="1">
        <v>45860</v>
      </c>
      <c r="P377" t="s">
        <v>123</v>
      </c>
    </row>
    <row r="378" spans="1:16" x14ac:dyDescent="0.35">
      <c r="A378" t="s">
        <v>22</v>
      </c>
      <c r="B378" t="s">
        <v>19</v>
      </c>
      <c r="C378" t="s">
        <v>74</v>
      </c>
      <c r="D378" t="s">
        <v>75</v>
      </c>
      <c r="E378" s="1">
        <v>45843</v>
      </c>
      <c r="G378" t="s">
        <v>8</v>
      </c>
      <c r="I378" s="6">
        <v>110704.22</v>
      </c>
      <c r="J378" s="6">
        <f t="shared" si="5"/>
        <v>110704.22</v>
      </c>
      <c r="K378" t="s">
        <v>45</v>
      </c>
      <c r="L378" s="1">
        <v>45861</v>
      </c>
      <c r="M378" s="1">
        <v>45861</v>
      </c>
      <c r="N378" t="s">
        <v>76</v>
      </c>
      <c r="P378" t="s">
        <v>123</v>
      </c>
    </row>
    <row r="379" spans="1:16" x14ac:dyDescent="0.35">
      <c r="A379" t="s">
        <v>22</v>
      </c>
      <c r="B379" t="s">
        <v>101</v>
      </c>
      <c r="C379" t="s">
        <v>351</v>
      </c>
      <c r="D379" t="s">
        <v>352</v>
      </c>
      <c r="E379" s="1">
        <v>45842</v>
      </c>
      <c r="F379" s="6">
        <v>231000</v>
      </c>
      <c r="G379" s="6">
        <v>48510</v>
      </c>
      <c r="I379" s="6">
        <v>279510</v>
      </c>
      <c r="J379" s="6">
        <f t="shared" si="5"/>
        <v>231000</v>
      </c>
      <c r="K379" t="s">
        <v>4</v>
      </c>
      <c r="L379" s="1">
        <v>45849</v>
      </c>
      <c r="M379" s="1">
        <v>45849</v>
      </c>
      <c r="P379" t="s">
        <v>123</v>
      </c>
    </row>
    <row r="380" spans="1:16" x14ac:dyDescent="0.35">
      <c r="A380" t="s">
        <v>22</v>
      </c>
      <c r="B380" t="s">
        <v>101</v>
      </c>
      <c r="C380" t="s">
        <v>351</v>
      </c>
      <c r="D380" t="s">
        <v>352</v>
      </c>
      <c r="E380" s="1">
        <v>45842</v>
      </c>
      <c r="F380" s="6">
        <v>231000</v>
      </c>
      <c r="G380" s="6">
        <v>48510</v>
      </c>
      <c r="I380" s="6">
        <v>279510</v>
      </c>
      <c r="J380" s="6">
        <f t="shared" si="5"/>
        <v>231000</v>
      </c>
      <c r="K380" t="s">
        <v>4</v>
      </c>
      <c r="L380" s="1">
        <v>45856</v>
      </c>
      <c r="M380" s="1">
        <v>45856</v>
      </c>
      <c r="P380" t="s">
        <v>123</v>
      </c>
    </row>
    <row r="381" spans="1:16" x14ac:dyDescent="0.35">
      <c r="A381" t="s">
        <v>22</v>
      </c>
      <c r="B381" t="s">
        <v>23</v>
      </c>
      <c r="C381" t="s">
        <v>24</v>
      </c>
      <c r="D381" t="s">
        <v>353</v>
      </c>
      <c r="E381" s="1">
        <v>45867</v>
      </c>
      <c r="F381" s="6">
        <v>471400</v>
      </c>
      <c r="G381" s="6">
        <v>98994</v>
      </c>
      <c r="I381" s="6">
        <v>570394</v>
      </c>
      <c r="J381" s="6">
        <f t="shared" si="5"/>
        <v>471400</v>
      </c>
      <c r="K381" t="s">
        <v>4</v>
      </c>
      <c r="L381" s="1">
        <v>45874</v>
      </c>
      <c r="M381" s="1">
        <v>45873</v>
      </c>
      <c r="N381" t="s">
        <v>354</v>
      </c>
      <c r="P381" t="s">
        <v>123</v>
      </c>
    </row>
    <row r="382" spans="1:16" x14ac:dyDescent="0.35">
      <c r="A382" t="s">
        <v>22</v>
      </c>
      <c r="B382" t="s">
        <v>77</v>
      </c>
      <c r="C382" t="s">
        <v>14</v>
      </c>
      <c r="D382" t="s">
        <v>79</v>
      </c>
      <c r="E382" s="1">
        <v>45839</v>
      </c>
      <c r="G382" t="s">
        <v>8</v>
      </c>
      <c r="I382" s="6">
        <v>24591.09</v>
      </c>
      <c r="J382" s="6">
        <f t="shared" si="5"/>
        <v>24591.09</v>
      </c>
      <c r="K382" t="s">
        <v>18</v>
      </c>
      <c r="L382" s="1">
        <v>45839</v>
      </c>
      <c r="M382" s="1">
        <v>45839</v>
      </c>
      <c r="P382" t="s">
        <v>123</v>
      </c>
    </row>
    <row r="383" spans="1:16" x14ac:dyDescent="0.35">
      <c r="A383" t="s">
        <v>355</v>
      </c>
      <c r="B383" t="s">
        <v>61</v>
      </c>
      <c r="C383" t="s">
        <v>31</v>
      </c>
      <c r="D383" t="s">
        <v>309</v>
      </c>
      <c r="E383" s="1">
        <v>45847</v>
      </c>
      <c r="F383" s="6">
        <v>93552</v>
      </c>
      <c r="G383" s="6">
        <v>19645.919999999998</v>
      </c>
      <c r="I383" s="6">
        <v>113197.92</v>
      </c>
      <c r="J383" s="6">
        <f t="shared" si="5"/>
        <v>93552</v>
      </c>
      <c r="K383" t="s">
        <v>4</v>
      </c>
      <c r="L383" s="1">
        <v>45860</v>
      </c>
      <c r="M383" s="1">
        <v>45860</v>
      </c>
      <c r="P383" t="s">
        <v>123</v>
      </c>
    </row>
    <row r="384" spans="1:16" x14ac:dyDescent="0.35">
      <c r="A384" t="s">
        <v>82</v>
      </c>
      <c r="B384" t="s">
        <v>56</v>
      </c>
      <c r="C384" t="s">
        <v>69</v>
      </c>
      <c r="D384" t="s">
        <v>7</v>
      </c>
      <c r="E384" s="1">
        <v>45839</v>
      </c>
      <c r="G384" t="s">
        <v>8</v>
      </c>
      <c r="I384" s="6">
        <v>62684.84</v>
      </c>
      <c r="J384" s="6">
        <f t="shared" si="5"/>
        <v>62684.84</v>
      </c>
      <c r="K384" t="s">
        <v>18</v>
      </c>
      <c r="L384" s="1">
        <v>45845</v>
      </c>
      <c r="M384" s="1">
        <v>45845</v>
      </c>
      <c r="N384" t="s">
        <v>83</v>
      </c>
      <c r="P384" t="s">
        <v>123</v>
      </c>
    </row>
    <row r="385" spans="1:16" x14ac:dyDescent="0.35">
      <c r="A385" t="s">
        <v>82</v>
      </c>
      <c r="B385" t="s">
        <v>27</v>
      </c>
      <c r="C385" t="s">
        <v>28</v>
      </c>
      <c r="D385" t="s">
        <v>320</v>
      </c>
      <c r="E385" s="1">
        <v>45845</v>
      </c>
      <c r="G385" t="s">
        <v>8</v>
      </c>
      <c r="I385" s="6">
        <v>55000</v>
      </c>
      <c r="J385" s="6">
        <f t="shared" si="5"/>
        <v>55000</v>
      </c>
      <c r="K385" t="s">
        <v>48</v>
      </c>
      <c r="L385" s="1">
        <v>45860</v>
      </c>
      <c r="M385" s="1">
        <v>45860</v>
      </c>
      <c r="P385" t="s">
        <v>123</v>
      </c>
    </row>
    <row r="386" spans="1:16" x14ac:dyDescent="0.35">
      <c r="A386" t="s">
        <v>82</v>
      </c>
      <c r="B386" t="s">
        <v>27</v>
      </c>
      <c r="C386" t="s">
        <v>28</v>
      </c>
      <c r="D386" t="s">
        <v>315</v>
      </c>
      <c r="E386" s="1">
        <v>45845</v>
      </c>
      <c r="G386" t="s">
        <v>8</v>
      </c>
      <c r="I386" s="6">
        <v>40000</v>
      </c>
      <c r="J386" s="6">
        <f t="shared" si="5"/>
        <v>40000</v>
      </c>
      <c r="K386" t="s">
        <v>18</v>
      </c>
      <c r="L386" s="1">
        <v>45860</v>
      </c>
      <c r="M386" s="1">
        <v>45860</v>
      </c>
      <c r="P386" t="s">
        <v>123</v>
      </c>
    </row>
    <row r="387" spans="1:16" x14ac:dyDescent="0.35">
      <c r="A387" t="s">
        <v>82</v>
      </c>
      <c r="B387" t="s">
        <v>1</v>
      </c>
      <c r="C387" t="s">
        <v>84</v>
      </c>
      <c r="D387" t="s">
        <v>356</v>
      </c>
      <c r="E387" s="1">
        <v>45839</v>
      </c>
      <c r="F387" s="6">
        <v>1354200</v>
      </c>
      <c r="G387" s="6">
        <v>284382</v>
      </c>
      <c r="I387" s="6">
        <v>1638582</v>
      </c>
      <c r="J387" s="6">
        <f t="shared" ref="J387:J450" si="6">IF(F387&gt;0,F387,I387)</f>
        <v>1354200</v>
      </c>
      <c r="K387" t="s">
        <v>4</v>
      </c>
      <c r="L387" s="1">
        <v>45848</v>
      </c>
      <c r="M387" s="1">
        <v>45848</v>
      </c>
      <c r="P387" t="s">
        <v>123</v>
      </c>
    </row>
    <row r="388" spans="1:16" x14ac:dyDescent="0.35">
      <c r="A388" t="s">
        <v>82</v>
      </c>
      <c r="B388" t="s">
        <v>9</v>
      </c>
      <c r="C388" t="s">
        <v>14</v>
      </c>
      <c r="D388" t="s">
        <v>7</v>
      </c>
      <c r="E388" s="1">
        <v>45839</v>
      </c>
      <c r="G388" t="s">
        <v>8</v>
      </c>
      <c r="I388" s="6">
        <v>222067.3</v>
      </c>
      <c r="J388" s="6">
        <f t="shared" si="6"/>
        <v>222067.3</v>
      </c>
      <c r="K388" t="s">
        <v>18</v>
      </c>
      <c r="L388" s="1">
        <v>45839</v>
      </c>
      <c r="M388" s="1">
        <v>45839</v>
      </c>
      <c r="P388" t="s">
        <v>123</v>
      </c>
    </row>
    <row r="389" spans="1:16" x14ac:dyDescent="0.35">
      <c r="A389" t="s">
        <v>82</v>
      </c>
      <c r="B389" t="s">
        <v>16</v>
      </c>
      <c r="C389" t="s">
        <v>16</v>
      </c>
      <c r="D389" t="s">
        <v>357</v>
      </c>
      <c r="E389" s="1">
        <v>45831</v>
      </c>
      <c r="F389" s="6">
        <v>93088.59</v>
      </c>
      <c r="G389" s="6">
        <v>25171.62</v>
      </c>
      <c r="H389" s="6">
        <v>8747.61</v>
      </c>
      <c r="I389" s="6">
        <v>127147.45</v>
      </c>
      <c r="J389" s="6">
        <f t="shared" si="6"/>
        <v>93088.59</v>
      </c>
      <c r="K389" t="s">
        <v>18</v>
      </c>
      <c r="L389" s="1">
        <v>45839</v>
      </c>
      <c r="M389" s="1">
        <v>45839</v>
      </c>
      <c r="P389" t="s">
        <v>123</v>
      </c>
    </row>
    <row r="390" spans="1:16" x14ac:dyDescent="0.35">
      <c r="A390" t="s">
        <v>82</v>
      </c>
      <c r="B390" t="s">
        <v>61</v>
      </c>
      <c r="C390" t="s">
        <v>31</v>
      </c>
      <c r="D390" t="s">
        <v>309</v>
      </c>
      <c r="E390" s="1">
        <v>45847</v>
      </c>
      <c r="F390" s="6">
        <v>89715</v>
      </c>
      <c r="G390" s="6">
        <v>18840.150000000001</v>
      </c>
      <c r="I390" s="6">
        <v>108555.15</v>
      </c>
      <c r="J390" s="6">
        <f t="shared" si="6"/>
        <v>89715</v>
      </c>
      <c r="K390" t="s">
        <v>4</v>
      </c>
      <c r="L390" s="1">
        <v>45860</v>
      </c>
      <c r="M390" s="1">
        <v>45860</v>
      </c>
      <c r="P390" t="s">
        <v>123</v>
      </c>
    </row>
    <row r="391" spans="1:16" x14ac:dyDescent="0.35">
      <c r="A391" t="s">
        <v>82</v>
      </c>
      <c r="B391" t="s">
        <v>19</v>
      </c>
      <c r="C391" t="s">
        <v>37</v>
      </c>
      <c r="D391" t="s">
        <v>358</v>
      </c>
      <c r="E391" s="1">
        <v>45826</v>
      </c>
      <c r="F391" s="6">
        <v>31700</v>
      </c>
      <c r="G391" s="6">
        <v>6657</v>
      </c>
      <c r="H391" s="6">
        <v>2536</v>
      </c>
      <c r="I391" s="6">
        <v>40893</v>
      </c>
      <c r="J391" s="6">
        <f t="shared" si="6"/>
        <v>31700</v>
      </c>
      <c r="K391" t="s">
        <v>45</v>
      </c>
      <c r="L391" s="1">
        <v>45841</v>
      </c>
      <c r="M391" s="1">
        <v>45853</v>
      </c>
      <c r="P391" t="s">
        <v>123</v>
      </c>
    </row>
    <row r="392" spans="1:16" x14ac:dyDescent="0.35">
      <c r="A392" t="s">
        <v>359</v>
      </c>
      <c r="G392" t="s">
        <v>8</v>
      </c>
      <c r="J392" s="6">
        <f t="shared" si="6"/>
        <v>0</v>
      </c>
      <c r="L392" s="1">
        <v>45870</v>
      </c>
      <c r="M392" s="1">
        <v>45870</v>
      </c>
      <c r="P392" t="s">
        <v>126</v>
      </c>
    </row>
    <row r="393" spans="1:16" x14ac:dyDescent="0.35">
      <c r="A393" t="s">
        <v>55</v>
      </c>
      <c r="B393" t="s">
        <v>56</v>
      </c>
      <c r="C393" t="s">
        <v>57</v>
      </c>
      <c r="D393" t="s">
        <v>360</v>
      </c>
      <c r="E393" s="1">
        <v>45877</v>
      </c>
      <c r="G393" t="s">
        <v>8</v>
      </c>
      <c r="H393" s="6">
        <v>56492.89</v>
      </c>
      <c r="I393" s="6">
        <v>56492.89</v>
      </c>
      <c r="J393" s="6">
        <f t="shared" si="6"/>
        <v>56492.89</v>
      </c>
      <c r="K393" t="s">
        <v>4</v>
      </c>
      <c r="L393" s="1">
        <v>45888</v>
      </c>
      <c r="M393" s="1">
        <v>45888</v>
      </c>
      <c r="P393" t="s">
        <v>126</v>
      </c>
    </row>
    <row r="394" spans="1:16" x14ac:dyDescent="0.35">
      <c r="A394" t="s">
        <v>55</v>
      </c>
      <c r="B394" t="s">
        <v>1</v>
      </c>
      <c r="C394" t="s">
        <v>57</v>
      </c>
      <c r="D394" t="s">
        <v>361</v>
      </c>
      <c r="E394" s="1">
        <v>45873</v>
      </c>
      <c r="F394" s="6">
        <v>1018313.91</v>
      </c>
      <c r="G394" s="6">
        <v>213845.92</v>
      </c>
      <c r="I394" s="6">
        <v>1232159.83</v>
      </c>
      <c r="J394" s="6">
        <f t="shared" si="6"/>
        <v>1018313.91</v>
      </c>
      <c r="K394" t="s">
        <v>4</v>
      </c>
      <c r="L394" s="1">
        <v>45880</v>
      </c>
      <c r="M394" s="1">
        <v>45880</v>
      </c>
      <c r="P394" t="s">
        <v>126</v>
      </c>
    </row>
    <row r="395" spans="1:16" x14ac:dyDescent="0.35">
      <c r="A395" t="s">
        <v>55</v>
      </c>
      <c r="B395" t="s">
        <v>9</v>
      </c>
      <c r="C395" t="s">
        <v>57</v>
      </c>
      <c r="D395" t="s">
        <v>360</v>
      </c>
      <c r="E395" s="1">
        <v>45877</v>
      </c>
      <c r="F395" s="6">
        <v>63447.839999999997</v>
      </c>
      <c r="G395" s="6">
        <v>17130.919999999998</v>
      </c>
      <c r="H395" s="6">
        <v>3990.88</v>
      </c>
      <c r="I395" s="6">
        <v>84569.64</v>
      </c>
      <c r="J395" s="6">
        <f t="shared" si="6"/>
        <v>63447.839999999997</v>
      </c>
      <c r="K395" t="s">
        <v>4</v>
      </c>
      <c r="L395" s="1">
        <v>45888</v>
      </c>
      <c r="M395" s="1">
        <v>45888</v>
      </c>
      <c r="P395" t="s">
        <v>126</v>
      </c>
    </row>
    <row r="396" spans="1:16" x14ac:dyDescent="0.35">
      <c r="A396" t="s">
        <v>55</v>
      </c>
      <c r="B396" t="s">
        <v>16</v>
      </c>
      <c r="C396" t="s">
        <v>57</v>
      </c>
      <c r="D396" t="s">
        <v>360</v>
      </c>
      <c r="E396" s="1">
        <v>45877</v>
      </c>
      <c r="G396" t="s">
        <v>8</v>
      </c>
      <c r="H396" s="6">
        <v>423646.46</v>
      </c>
      <c r="I396" s="6">
        <v>423646.46</v>
      </c>
      <c r="J396" s="6">
        <f t="shared" si="6"/>
        <v>423646.46</v>
      </c>
      <c r="K396" t="s">
        <v>4</v>
      </c>
      <c r="L396" s="1">
        <v>45888</v>
      </c>
      <c r="M396" s="1">
        <v>45888</v>
      </c>
      <c r="P396" t="s">
        <v>126</v>
      </c>
    </row>
    <row r="397" spans="1:16" x14ac:dyDescent="0.35">
      <c r="A397" t="s">
        <v>55</v>
      </c>
      <c r="B397" t="s">
        <v>60</v>
      </c>
      <c r="C397" t="s">
        <v>57</v>
      </c>
      <c r="D397" t="s">
        <v>360</v>
      </c>
      <c r="E397" s="1">
        <v>45877</v>
      </c>
      <c r="G397" t="s">
        <v>8</v>
      </c>
      <c r="H397" s="6">
        <v>302670.89</v>
      </c>
      <c r="I397" s="6">
        <v>302670.89</v>
      </c>
      <c r="J397" s="6">
        <f t="shared" si="6"/>
        <v>302670.89</v>
      </c>
      <c r="K397" t="s">
        <v>4</v>
      </c>
      <c r="L397" s="1">
        <v>45888</v>
      </c>
      <c r="M397" s="1">
        <v>45888</v>
      </c>
      <c r="P397" t="s">
        <v>126</v>
      </c>
    </row>
    <row r="398" spans="1:16" x14ac:dyDescent="0.35">
      <c r="A398" t="s">
        <v>55</v>
      </c>
      <c r="B398" t="s">
        <v>61</v>
      </c>
      <c r="C398" t="s">
        <v>31</v>
      </c>
      <c r="D398" t="s">
        <v>362</v>
      </c>
      <c r="E398" s="1">
        <v>45877</v>
      </c>
      <c r="F398" s="6">
        <v>27000</v>
      </c>
      <c r="G398" s="6">
        <v>5670</v>
      </c>
      <c r="I398" s="6">
        <v>32670</v>
      </c>
      <c r="J398" s="6">
        <f t="shared" si="6"/>
        <v>27000</v>
      </c>
      <c r="K398" t="s">
        <v>4</v>
      </c>
      <c r="L398" s="1">
        <v>45891</v>
      </c>
      <c r="M398" s="1">
        <v>45891</v>
      </c>
      <c r="P398" t="s">
        <v>126</v>
      </c>
    </row>
    <row r="399" spans="1:16" x14ac:dyDescent="0.35">
      <c r="A399" t="s">
        <v>55</v>
      </c>
      <c r="B399" t="s">
        <v>19</v>
      </c>
      <c r="C399" t="s">
        <v>37</v>
      </c>
      <c r="D399" t="s">
        <v>363</v>
      </c>
      <c r="E399" s="1">
        <v>45855</v>
      </c>
      <c r="F399" s="6">
        <v>89872</v>
      </c>
      <c r="G399" s="6">
        <v>18873.12</v>
      </c>
      <c r="H399" s="6">
        <v>7189.76</v>
      </c>
      <c r="I399" s="6">
        <v>115934.88</v>
      </c>
      <c r="J399" s="6">
        <f t="shared" si="6"/>
        <v>89872</v>
      </c>
      <c r="K399" t="s">
        <v>39</v>
      </c>
      <c r="L399" s="1">
        <v>45874</v>
      </c>
      <c r="M399" s="1">
        <v>45874</v>
      </c>
      <c r="P399" t="s">
        <v>126</v>
      </c>
    </row>
    <row r="400" spans="1:16" x14ac:dyDescent="0.35">
      <c r="A400" t="s">
        <v>0</v>
      </c>
      <c r="B400" t="s">
        <v>132</v>
      </c>
      <c r="C400" t="s">
        <v>2</v>
      </c>
      <c r="D400" t="s">
        <v>7</v>
      </c>
      <c r="E400" s="1">
        <v>45870</v>
      </c>
      <c r="G400" t="s">
        <v>8</v>
      </c>
      <c r="I400" s="6">
        <v>126244.63</v>
      </c>
      <c r="J400" s="6">
        <f t="shared" si="6"/>
        <v>126244.63</v>
      </c>
      <c r="K400" t="s">
        <v>4</v>
      </c>
      <c r="L400" s="1">
        <v>45880</v>
      </c>
      <c r="M400" s="1">
        <v>45880</v>
      </c>
      <c r="P400" t="s">
        <v>126</v>
      </c>
    </row>
    <row r="401" spans="1:16" x14ac:dyDescent="0.35">
      <c r="A401" t="s">
        <v>0</v>
      </c>
      <c r="B401" t="s">
        <v>1</v>
      </c>
      <c r="C401" t="s">
        <v>2</v>
      </c>
      <c r="D401" t="s">
        <v>364</v>
      </c>
      <c r="E401" s="1">
        <v>45870</v>
      </c>
      <c r="F401" s="6">
        <v>690000</v>
      </c>
      <c r="G401" s="6">
        <v>144900</v>
      </c>
      <c r="I401" s="6">
        <v>834900</v>
      </c>
      <c r="J401" s="6">
        <f t="shared" si="6"/>
        <v>690000</v>
      </c>
      <c r="K401" t="s">
        <v>4</v>
      </c>
      <c r="L401" s="1">
        <v>45880</v>
      </c>
      <c r="M401" s="1">
        <v>45880</v>
      </c>
      <c r="P401" t="s">
        <v>126</v>
      </c>
    </row>
    <row r="402" spans="1:16" x14ac:dyDescent="0.35">
      <c r="A402" t="s">
        <v>0</v>
      </c>
      <c r="B402" t="s">
        <v>6</v>
      </c>
      <c r="C402" t="s">
        <v>2</v>
      </c>
      <c r="D402" t="s">
        <v>7</v>
      </c>
      <c r="E402" s="1">
        <v>45870</v>
      </c>
      <c r="G402" t="s">
        <v>8</v>
      </c>
      <c r="I402" s="6">
        <v>15341.48</v>
      </c>
      <c r="J402" s="6">
        <f t="shared" si="6"/>
        <v>15341.48</v>
      </c>
      <c r="K402" t="s">
        <v>4</v>
      </c>
      <c r="L402" s="1">
        <v>45880</v>
      </c>
      <c r="M402" s="1">
        <v>45880</v>
      </c>
      <c r="P402" t="s">
        <v>126</v>
      </c>
    </row>
    <row r="403" spans="1:16" x14ac:dyDescent="0.35">
      <c r="A403" t="s">
        <v>0</v>
      </c>
      <c r="B403" t="s">
        <v>19</v>
      </c>
      <c r="C403" t="s">
        <v>11</v>
      </c>
      <c r="D403" t="s">
        <v>12</v>
      </c>
      <c r="E403" s="1">
        <v>45870</v>
      </c>
      <c r="G403" t="s">
        <v>8</v>
      </c>
      <c r="I403" s="6">
        <v>23035.5</v>
      </c>
      <c r="J403" s="6">
        <f t="shared" si="6"/>
        <v>23035.5</v>
      </c>
      <c r="K403" t="s">
        <v>4</v>
      </c>
      <c r="L403" s="1">
        <v>45870</v>
      </c>
      <c r="M403" s="1">
        <v>45875</v>
      </c>
      <c r="P403" t="s">
        <v>126</v>
      </c>
    </row>
    <row r="404" spans="1:16" x14ac:dyDescent="0.35">
      <c r="A404" t="s">
        <v>0</v>
      </c>
      <c r="B404" t="s">
        <v>13</v>
      </c>
      <c r="C404" t="s">
        <v>14</v>
      </c>
      <c r="D404" t="s">
        <v>7</v>
      </c>
      <c r="E404" s="1">
        <v>45870</v>
      </c>
      <c r="G404" t="s">
        <v>8</v>
      </c>
      <c r="I404" s="6">
        <v>106357.21</v>
      </c>
      <c r="J404" s="6">
        <f t="shared" si="6"/>
        <v>106357.21</v>
      </c>
      <c r="K404" t="s">
        <v>4</v>
      </c>
      <c r="L404" s="1">
        <v>45883</v>
      </c>
      <c r="M404" s="1">
        <v>45883</v>
      </c>
      <c r="P404" t="s">
        <v>126</v>
      </c>
    </row>
    <row r="405" spans="1:16" x14ac:dyDescent="0.35">
      <c r="A405" t="s">
        <v>15</v>
      </c>
      <c r="B405" t="s">
        <v>27</v>
      </c>
      <c r="C405" t="s">
        <v>28</v>
      </c>
      <c r="D405" t="s">
        <v>365</v>
      </c>
      <c r="E405" s="1">
        <v>45903</v>
      </c>
      <c r="G405" t="s">
        <v>8</v>
      </c>
      <c r="I405" s="6">
        <v>20000</v>
      </c>
      <c r="J405" s="6">
        <f t="shared" si="6"/>
        <v>20000</v>
      </c>
      <c r="K405" t="s">
        <v>4</v>
      </c>
      <c r="L405" s="1">
        <v>45919</v>
      </c>
      <c r="M405" s="1">
        <v>45919</v>
      </c>
      <c r="P405" t="s">
        <v>126</v>
      </c>
    </row>
    <row r="406" spans="1:16" x14ac:dyDescent="0.35">
      <c r="A406" t="s">
        <v>15</v>
      </c>
      <c r="B406" t="s">
        <v>1</v>
      </c>
      <c r="C406" t="s">
        <v>172</v>
      </c>
      <c r="D406" t="s">
        <v>240</v>
      </c>
      <c r="G406" t="s">
        <v>8</v>
      </c>
      <c r="J406" s="6">
        <f t="shared" si="6"/>
        <v>0</v>
      </c>
      <c r="K406" t="s">
        <v>4</v>
      </c>
      <c r="P406" t="s">
        <v>126</v>
      </c>
    </row>
    <row r="407" spans="1:16" x14ac:dyDescent="0.35">
      <c r="A407" t="s">
        <v>15</v>
      </c>
      <c r="B407" t="s">
        <v>16</v>
      </c>
      <c r="C407" t="s">
        <v>16</v>
      </c>
      <c r="D407" t="s">
        <v>366</v>
      </c>
      <c r="E407" s="1">
        <v>45866</v>
      </c>
      <c r="F407" s="6">
        <v>39282.269999999997</v>
      </c>
      <c r="G407" s="6">
        <v>10606.21</v>
      </c>
      <c r="H407" s="6">
        <v>3685.86</v>
      </c>
      <c r="I407" s="6">
        <v>53574.34</v>
      </c>
      <c r="J407" s="6">
        <f t="shared" si="6"/>
        <v>39282.269999999997</v>
      </c>
      <c r="K407" t="s">
        <v>18</v>
      </c>
      <c r="L407" s="1">
        <v>45874</v>
      </c>
      <c r="M407" s="1">
        <v>45873</v>
      </c>
      <c r="P407" t="s">
        <v>126</v>
      </c>
    </row>
    <row r="408" spans="1:16" x14ac:dyDescent="0.35">
      <c r="A408" t="s">
        <v>15</v>
      </c>
      <c r="B408" t="s">
        <v>60</v>
      </c>
      <c r="C408" t="s">
        <v>14</v>
      </c>
      <c r="E408" s="1">
        <v>45870</v>
      </c>
      <c r="I408" s="6">
        <v>1146570.01</v>
      </c>
      <c r="J408" s="6">
        <f t="shared" si="6"/>
        <v>1146570.01</v>
      </c>
      <c r="K408" t="s">
        <v>4</v>
      </c>
      <c r="L408" s="1">
        <v>45877</v>
      </c>
      <c r="M408" s="1">
        <v>45877</v>
      </c>
      <c r="P408" t="s">
        <v>126</v>
      </c>
    </row>
    <row r="409" spans="1:16" x14ac:dyDescent="0.35">
      <c r="A409" t="s">
        <v>15</v>
      </c>
      <c r="B409" t="s">
        <v>61</v>
      </c>
      <c r="C409" t="s">
        <v>31</v>
      </c>
      <c r="D409" t="s">
        <v>362</v>
      </c>
      <c r="E409" s="1">
        <v>45877</v>
      </c>
      <c r="F409" s="6">
        <v>30230</v>
      </c>
      <c r="G409" s="6">
        <v>6348.3</v>
      </c>
      <c r="I409" s="6">
        <v>36578.300000000003</v>
      </c>
      <c r="J409" s="6">
        <f t="shared" si="6"/>
        <v>30230</v>
      </c>
      <c r="K409" t="s">
        <v>4</v>
      </c>
      <c r="L409" s="1">
        <v>45891</v>
      </c>
      <c r="M409" s="1">
        <v>45891</v>
      </c>
      <c r="P409" t="s">
        <v>126</v>
      </c>
    </row>
    <row r="410" spans="1:16" x14ac:dyDescent="0.35">
      <c r="A410" t="s">
        <v>15</v>
      </c>
      <c r="B410" t="s">
        <v>19</v>
      </c>
      <c r="C410" t="s">
        <v>20</v>
      </c>
      <c r="D410" t="s">
        <v>367</v>
      </c>
      <c r="E410" s="1">
        <v>45882</v>
      </c>
      <c r="F410" s="6">
        <v>92918.399999999994</v>
      </c>
      <c r="G410" s="6">
        <v>20922.77</v>
      </c>
      <c r="H410" s="6">
        <v>2787.55</v>
      </c>
      <c r="I410" s="6">
        <v>116628.72</v>
      </c>
      <c r="J410" s="6">
        <f t="shared" si="6"/>
        <v>92918.399999999994</v>
      </c>
      <c r="K410" t="s">
        <v>18</v>
      </c>
      <c r="L410" s="1">
        <v>45894</v>
      </c>
      <c r="M410" s="1">
        <v>45894</v>
      </c>
      <c r="P410" t="s">
        <v>126</v>
      </c>
    </row>
    <row r="411" spans="1:16" x14ac:dyDescent="0.35">
      <c r="A411" t="s">
        <v>15</v>
      </c>
      <c r="B411" t="s">
        <v>101</v>
      </c>
      <c r="C411" t="s">
        <v>351</v>
      </c>
      <c r="D411" t="s">
        <v>368</v>
      </c>
      <c r="E411" s="1">
        <v>45868</v>
      </c>
      <c r="F411" s="6">
        <v>692846.25</v>
      </c>
      <c r="G411" s="6">
        <v>145497.71</v>
      </c>
      <c r="I411" s="6">
        <v>838343.96</v>
      </c>
      <c r="J411" s="6">
        <f t="shared" si="6"/>
        <v>692846.25</v>
      </c>
      <c r="K411" t="s">
        <v>4</v>
      </c>
      <c r="L411" s="1">
        <v>45884</v>
      </c>
      <c r="M411" s="1">
        <v>45884</v>
      </c>
      <c r="N411" t="s">
        <v>369</v>
      </c>
      <c r="P411" t="s">
        <v>126</v>
      </c>
    </row>
    <row r="412" spans="1:16" x14ac:dyDescent="0.35">
      <c r="A412" t="s">
        <v>15</v>
      </c>
      <c r="B412" t="s">
        <v>101</v>
      </c>
      <c r="C412" t="s">
        <v>102</v>
      </c>
      <c r="D412" t="s">
        <v>370</v>
      </c>
      <c r="E412" s="1">
        <v>45887</v>
      </c>
      <c r="F412" s="6">
        <v>292000</v>
      </c>
      <c r="G412" t="s">
        <v>8</v>
      </c>
      <c r="I412" s="6">
        <v>292000</v>
      </c>
      <c r="J412" s="6">
        <f t="shared" si="6"/>
        <v>292000</v>
      </c>
      <c r="K412" t="s">
        <v>4</v>
      </c>
      <c r="L412" s="1">
        <v>45895</v>
      </c>
      <c r="M412" s="1">
        <v>45895</v>
      </c>
      <c r="P412" t="s">
        <v>126</v>
      </c>
    </row>
    <row r="413" spans="1:16" x14ac:dyDescent="0.35">
      <c r="A413" t="s">
        <v>33</v>
      </c>
      <c r="B413" t="s">
        <v>56</v>
      </c>
      <c r="C413" t="s">
        <v>57</v>
      </c>
      <c r="D413" t="s">
        <v>308</v>
      </c>
      <c r="G413" t="s">
        <v>8</v>
      </c>
      <c r="J413" s="6">
        <f t="shared" si="6"/>
        <v>0</v>
      </c>
      <c r="K413" t="s">
        <v>4</v>
      </c>
      <c r="P413" t="s">
        <v>126</v>
      </c>
    </row>
    <row r="414" spans="1:16" x14ac:dyDescent="0.35">
      <c r="A414" t="s">
        <v>33</v>
      </c>
      <c r="B414" t="s">
        <v>27</v>
      </c>
      <c r="C414" t="s">
        <v>28</v>
      </c>
      <c r="D414" t="s">
        <v>188</v>
      </c>
      <c r="G414" t="s">
        <v>8</v>
      </c>
      <c r="J414" s="6">
        <f t="shared" si="6"/>
        <v>0</v>
      </c>
      <c r="K414" t="s">
        <v>4</v>
      </c>
      <c r="P414" t="s">
        <v>126</v>
      </c>
    </row>
    <row r="415" spans="1:16" x14ac:dyDescent="0.35">
      <c r="A415" t="s">
        <v>33</v>
      </c>
      <c r="B415" t="s">
        <v>1</v>
      </c>
      <c r="G415" t="s">
        <v>8</v>
      </c>
      <c r="J415" s="6">
        <f t="shared" si="6"/>
        <v>0</v>
      </c>
      <c r="P415" t="s">
        <v>126</v>
      </c>
    </row>
    <row r="416" spans="1:16" x14ac:dyDescent="0.35">
      <c r="A416" t="s">
        <v>33</v>
      </c>
      <c r="B416" t="s">
        <v>9</v>
      </c>
      <c r="C416" t="s">
        <v>57</v>
      </c>
      <c r="D416" t="s">
        <v>308</v>
      </c>
      <c r="G416" t="s">
        <v>8</v>
      </c>
      <c r="J416" s="6">
        <f t="shared" si="6"/>
        <v>0</v>
      </c>
      <c r="K416" t="s">
        <v>4</v>
      </c>
      <c r="P416" t="s">
        <v>126</v>
      </c>
    </row>
    <row r="417" spans="1:16" x14ac:dyDescent="0.35">
      <c r="A417" t="s">
        <v>33</v>
      </c>
      <c r="B417" t="s">
        <v>16</v>
      </c>
      <c r="C417" t="s">
        <v>16</v>
      </c>
      <c r="D417" t="s">
        <v>371</v>
      </c>
      <c r="E417" s="1">
        <v>45867</v>
      </c>
      <c r="F417" s="6">
        <v>150125.29999999999</v>
      </c>
      <c r="G417" s="6">
        <v>40533.83</v>
      </c>
      <c r="H417" s="6">
        <v>14086.26</v>
      </c>
      <c r="I417" s="6">
        <v>204745.39</v>
      </c>
      <c r="J417" s="6">
        <f t="shared" si="6"/>
        <v>150125.29999999999</v>
      </c>
      <c r="K417" t="s">
        <v>18</v>
      </c>
      <c r="L417" s="1">
        <v>45875</v>
      </c>
      <c r="M417" s="1">
        <v>45873</v>
      </c>
      <c r="P417" t="s">
        <v>126</v>
      </c>
    </row>
    <row r="418" spans="1:16" x14ac:dyDescent="0.35">
      <c r="A418" t="s">
        <v>33</v>
      </c>
      <c r="B418" t="s">
        <v>16</v>
      </c>
      <c r="C418" t="s">
        <v>16</v>
      </c>
      <c r="D418" t="s">
        <v>372</v>
      </c>
      <c r="E418" s="1">
        <v>45867</v>
      </c>
      <c r="F418" s="6">
        <v>15564.05</v>
      </c>
      <c r="G418" s="6">
        <v>4202.29</v>
      </c>
      <c r="H418" s="6">
        <v>1460.37</v>
      </c>
      <c r="I418" s="6">
        <v>21226.71</v>
      </c>
      <c r="J418" s="6">
        <f t="shared" si="6"/>
        <v>15564.05</v>
      </c>
      <c r="K418" t="s">
        <v>18</v>
      </c>
      <c r="L418" s="1">
        <v>45875</v>
      </c>
      <c r="M418" s="1">
        <v>45873</v>
      </c>
      <c r="P418" t="s">
        <v>126</v>
      </c>
    </row>
    <row r="419" spans="1:16" x14ac:dyDescent="0.35">
      <c r="A419" t="s">
        <v>33</v>
      </c>
      <c r="B419" t="s">
        <v>16</v>
      </c>
      <c r="C419" t="s">
        <v>16</v>
      </c>
      <c r="D419" t="s">
        <v>373</v>
      </c>
      <c r="E419" s="1">
        <v>45873</v>
      </c>
      <c r="F419" s="6">
        <v>477296.6</v>
      </c>
      <c r="G419" s="6">
        <v>128870.08</v>
      </c>
      <c r="H419" s="6">
        <v>44784.74</v>
      </c>
      <c r="I419" s="6">
        <v>650951.42000000004</v>
      </c>
      <c r="J419" s="6">
        <f t="shared" si="6"/>
        <v>477296.6</v>
      </c>
      <c r="K419" t="s">
        <v>45</v>
      </c>
      <c r="L419" s="1">
        <v>45881</v>
      </c>
      <c r="M419" s="1">
        <v>45881</v>
      </c>
      <c r="P419" t="s">
        <v>126</v>
      </c>
    </row>
    <row r="420" spans="1:16" x14ac:dyDescent="0.35">
      <c r="A420" t="s">
        <v>33</v>
      </c>
      <c r="B420" t="s">
        <v>60</v>
      </c>
      <c r="C420" t="s">
        <v>57</v>
      </c>
      <c r="D420" t="s">
        <v>308</v>
      </c>
      <c r="G420" t="s">
        <v>8</v>
      </c>
      <c r="J420" s="6">
        <f t="shared" si="6"/>
        <v>0</v>
      </c>
      <c r="K420" t="s">
        <v>4</v>
      </c>
      <c r="P420" t="s">
        <v>126</v>
      </c>
    </row>
    <row r="421" spans="1:16" x14ac:dyDescent="0.35">
      <c r="A421" t="s">
        <v>33</v>
      </c>
      <c r="B421" t="s">
        <v>61</v>
      </c>
      <c r="C421" t="s">
        <v>31</v>
      </c>
      <c r="D421" t="s">
        <v>240</v>
      </c>
      <c r="G421" t="s">
        <v>8</v>
      </c>
      <c r="J421" s="6">
        <f t="shared" si="6"/>
        <v>0</v>
      </c>
      <c r="K421" t="s">
        <v>4</v>
      </c>
      <c r="P421" t="s">
        <v>126</v>
      </c>
    </row>
    <row r="422" spans="1:16" x14ac:dyDescent="0.35">
      <c r="A422" t="s">
        <v>33</v>
      </c>
      <c r="B422" t="s">
        <v>19</v>
      </c>
      <c r="C422" t="s">
        <v>37</v>
      </c>
      <c r="D422" t="s">
        <v>374</v>
      </c>
      <c r="E422" s="1">
        <v>45855</v>
      </c>
      <c r="F422" s="6">
        <v>144997</v>
      </c>
      <c r="G422" s="6">
        <v>30449.37</v>
      </c>
      <c r="H422" s="6">
        <v>11599.76</v>
      </c>
      <c r="I422" s="6">
        <v>187046.13</v>
      </c>
      <c r="J422" s="6">
        <f t="shared" si="6"/>
        <v>144997</v>
      </c>
      <c r="K422" t="s">
        <v>39</v>
      </c>
      <c r="L422" s="1">
        <v>45874</v>
      </c>
      <c r="M422" s="1">
        <v>45874</v>
      </c>
      <c r="P422" t="s">
        <v>126</v>
      </c>
    </row>
    <row r="423" spans="1:16" x14ac:dyDescent="0.35">
      <c r="A423" t="s">
        <v>26</v>
      </c>
      <c r="B423" t="s">
        <v>23</v>
      </c>
      <c r="C423" t="s">
        <v>24</v>
      </c>
      <c r="D423" t="s">
        <v>375</v>
      </c>
      <c r="E423" s="1">
        <v>45881</v>
      </c>
      <c r="F423" s="6">
        <v>41895</v>
      </c>
      <c r="G423" s="6">
        <v>8797.9500000000007</v>
      </c>
      <c r="I423" s="6">
        <v>50692.95</v>
      </c>
      <c r="J423" s="6">
        <f t="shared" si="6"/>
        <v>41895</v>
      </c>
      <c r="K423" t="s">
        <v>4</v>
      </c>
      <c r="L423" s="1">
        <v>45891</v>
      </c>
      <c r="M423" s="1">
        <v>45891</v>
      </c>
      <c r="P423" t="s">
        <v>126</v>
      </c>
    </row>
    <row r="424" spans="1:16" x14ac:dyDescent="0.35">
      <c r="A424" t="s">
        <v>26</v>
      </c>
      <c r="B424" t="s">
        <v>27</v>
      </c>
      <c r="C424" t="s">
        <v>28</v>
      </c>
      <c r="D424" t="s">
        <v>365</v>
      </c>
      <c r="E424" s="1">
        <v>45903</v>
      </c>
      <c r="G424" t="s">
        <v>8</v>
      </c>
      <c r="I424" s="6">
        <v>40000</v>
      </c>
      <c r="J424" s="6">
        <f t="shared" si="6"/>
        <v>40000</v>
      </c>
      <c r="K424" t="s">
        <v>4</v>
      </c>
      <c r="L424" s="1">
        <v>45919</v>
      </c>
      <c r="M424" s="1">
        <v>45919</v>
      </c>
      <c r="P424" t="s">
        <v>126</v>
      </c>
    </row>
    <row r="425" spans="1:16" x14ac:dyDescent="0.35">
      <c r="A425" t="s">
        <v>26</v>
      </c>
      <c r="B425" t="s">
        <v>1</v>
      </c>
      <c r="C425" t="s">
        <v>147</v>
      </c>
      <c r="D425" t="s">
        <v>376</v>
      </c>
      <c r="E425" s="1">
        <v>45870</v>
      </c>
      <c r="G425" t="s">
        <v>8</v>
      </c>
      <c r="I425" s="6">
        <v>807312</v>
      </c>
      <c r="J425" s="6">
        <f t="shared" si="6"/>
        <v>807312</v>
      </c>
      <c r="K425" t="s">
        <v>4</v>
      </c>
      <c r="L425" s="1">
        <v>45880</v>
      </c>
      <c r="M425" s="1">
        <v>45880</v>
      </c>
      <c r="P425" t="s">
        <v>126</v>
      </c>
    </row>
    <row r="426" spans="1:16" x14ac:dyDescent="0.35">
      <c r="A426" t="s">
        <v>26</v>
      </c>
      <c r="B426" t="s">
        <v>16</v>
      </c>
      <c r="C426" t="s">
        <v>16</v>
      </c>
      <c r="D426" t="s">
        <v>377</v>
      </c>
      <c r="E426" s="1">
        <v>45866</v>
      </c>
      <c r="F426" s="6">
        <v>116796.22</v>
      </c>
      <c r="G426" s="6">
        <v>31534.98</v>
      </c>
      <c r="H426" s="6">
        <v>10958.99</v>
      </c>
      <c r="I426" s="6">
        <v>159290.19</v>
      </c>
      <c r="J426" s="6">
        <f t="shared" si="6"/>
        <v>116796.22</v>
      </c>
      <c r="K426" t="s">
        <v>18</v>
      </c>
      <c r="L426" s="1">
        <v>45874</v>
      </c>
      <c r="M426" s="1">
        <v>45873</v>
      </c>
      <c r="P426" t="s">
        <v>126</v>
      </c>
    </row>
    <row r="427" spans="1:16" x14ac:dyDescent="0.35">
      <c r="A427" t="s">
        <v>26</v>
      </c>
      <c r="B427" t="s">
        <v>16</v>
      </c>
      <c r="C427" t="s">
        <v>16</v>
      </c>
      <c r="D427" t="s">
        <v>378</v>
      </c>
      <c r="E427" s="1">
        <v>45866</v>
      </c>
      <c r="F427" s="6">
        <v>28181.54</v>
      </c>
      <c r="G427" s="6">
        <v>7609.02</v>
      </c>
      <c r="H427" s="6">
        <v>2644.28</v>
      </c>
      <c r="I427" s="6">
        <v>38434.839999999997</v>
      </c>
      <c r="J427" s="6">
        <f t="shared" si="6"/>
        <v>28181.54</v>
      </c>
      <c r="K427" t="s">
        <v>18</v>
      </c>
      <c r="L427" s="1">
        <v>45874</v>
      </c>
      <c r="M427" s="1">
        <v>45873</v>
      </c>
      <c r="P427" t="s">
        <v>126</v>
      </c>
    </row>
    <row r="428" spans="1:16" x14ac:dyDescent="0.35">
      <c r="A428" t="s">
        <v>26</v>
      </c>
      <c r="B428" t="s">
        <v>60</v>
      </c>
      <c r="C428" t="s">
        <v>149</v>
      </c>
      <c r="D428" t="s">
        <v>7</v>
      </c>
      <c r="E428" s="1">
        <v>45870</v>
      </c>
      <c r="G428" t="s">
        <v>8</v>
      </c>
      <c r="I428" s="6">
        <v>242602.21</v>
      </c>
      <c r="J428" s="6">
        <f t="shared" si="6"/>
        <v>242602.21</v>
      </c>
      <c r="K428" t="s">
        <v>150</v>
      </c>
      <c r="L428" s="1">
        <v>45881</v>
      </c>
      <c r="M428" s="1">
        <v>45881</v>
      </c>
      <c r="P428" t="s">
        <v>126</v>
      </c>
    </row>
    <row r="429" spans="1:16" x14ac:dyDescent="0.35">
      <c r="A429" t="s">
        <v>26</v>
      </c>
      <c r="B429" t="s">
        <v>61</v>
      </c>
      <c r="C429" t="s">
        <v>31</v>
      </c>
      <c r="D429" t="s">
        <v>362</v>
      </c>
      <c r="E429" s="1">
        <v>45877</v>
      </c>
      <c r="F429" s="6">
        <v>30230</v>
      </c>
      <c r="G429" s="6">
        <v>6348.3</v>
      </c>
      <c r="I429" s="6">
        <v>36578.300000000003</v>
      </c>
      <c r="J429" s="6">
        <f t="shared" si="6"/>
        <v>30230</v>
      </c>
      <c r="K429" t="s">
        <v>4</v>
      </c>
      <c r="L429" s="1">
        <v>45891</v>
      </c>
      <c r="M429" s="1">
        <v>45891</v>
      </c>
      <c r="P429" t="s">
        <v>126</v>
      </c>
    </row>
    <row r="430" spans="1:16" x14ac:dyDescent="0.35">
      <c r="A430" t="s">
        <v>26</v>
      </c>
      <c r="B430" t="s">
        <v>19</v>
      </c>
      <c r="C430" t="s">
        <v>37</v>
      </c>
      <c r="D430" t="s">
        <v>379</v>
      </c>
      <c r="E430" s="1">
        <v>45855</v>
      </c>
      <c r="F430" s="6">
        <v>102700</v>
      </c>
      <c r="G430" s="6">
        <v>21567</v>
      </c>
      <c r="H430" s="6">
        <v>8216</v>
      </c>
      <c r="I430" s="6">
        <v>132483</v>
      </c>
      <c r="J430" s="6">
        <f t="shared" si="6"/>
        <v>102700</v>
      </c>
      <c r="K430" t="s">
        <v>18</v>
      </c>
      <c r="L430" s="1">
        <v>45874</v>
      </c>
      <c r="M430" s="1">
        <v>45873</v>
      </c>
      <c r="P430" t="s">
        <v>126</v>
      </c>
    </row>
    <row r="431" spans="1:16" x14ac:dyDescent="0.35">
      <c r="A431" t="s">
        <v>43</v>
      </c>
      <c r="B431" t="s">
        <v>19</v>
      </c>
      <c r="C431" t="s">
        <v>37</v>
      </c>
      <c r="D431" t="s">
        <v>380</v>
      </c>
      <c r="E431" s="1">
        <v>45855</v>
      </c>
      <c r="F431" s="6">
        <v>35325</v>
      </c>
      <c r="G431" s="6">
        <v>7418.25</v>
      </c>
      <c r="H431" s="6">
        <v>2826</v>
      </c>
      <c r="I431" s="6">
        <v>45569.25</v>
      </c>
      <c r="J431" s="6">
        <f t="shared" si="6"/>
        <v>35325</v>
      </c>
      <c r="K431" t="s">
        <v>45</v>
      </c>
      <c r="L431" s="1">
        <v>45874</v>
      </c>
      <c r="M431" s="1">
        <v>45877</v>
      </c>
      <c r="P431" t="s">
        <v>126</v>
      </c>
    </row>
    <row r="432" spans="1:16" x14ac:dyDescent="0.35">
      <c r="A432" t="s">
        <v>46</v>
      </c>
      <c r="B432" t="s">
        <v>1</v>
      </c>
      <c r="G432" t="s">
        <v>8</v>
      </c>
      <c r="J432" s="6">
        <f t="shared" si="6"/>
        <v>0</v>
      </c>
      <c r="P432" t="s">
        <v>126</v>
      </c>
    </row>
    <row r="433" spans="1:16" x14ac:dyDescent="0.35">
      <c r="A433" t="s">
        <v>46</v>
      </c>
      <c r="B433" t="s">
        <v>16</v>
      </c>
      <c r="G433" t="s">
        <v>8</v>
      </c>
      <c r="J433" s="6">
        <f t="shared" si="6"/>
        <v>0</v>
      </c>
      <c r="P433" t="s">
        <v>126</v>
      </c>
    </row>
    <row r="434" spans="1:16" x14ac:dyDescent="0.35">
      <c r="A434" t="s">
        <v>46</v>
      </c>
      <c r="B434" t="s">
        <v>60</v>
      </c>
      <c r="G434" t="s">
        <v>8</v>
      </c>
      <c r="J434" s="6">
        <f t="shared" si="6"/>
        <v>0</v>
      </c>
      <c r="P434" t="s">
        <v>126</v>
      </c>
    </row>
    <row r="435" spans="1:16" x14ac:dyDescent="0.35">
      <c r="A435" t="s">
        <v>46</v>
      </c>
      <c r="B435" t="s">
        <v>60</v>
      </c>
      <c r="G435" t="s">
        <v>8</v>
      </c>
      <c r="J435" s="6">
        <f t="shared" si="6"/>
        <v>0</v>
      </c>
      <c r="P435" t="s">
        <v>126</v>
      </c>
    </row>
    <row r="436" spans="1:16" x14ac:dyDescent="0.35">
      <c r="A436" t="s">
        <v>156</v>
      </c>
      <c r="B436" t="s">
        <v>1</v>
      </c>
      <c r="G436" t="s">
        <v>8</v>
      </c>
      <c r="J436" s="6">
        <f t="shared" si="6"/>
        <v>0</v>
      </c>
      <c r="P436" t="s">
        <v>126</v>
      </c>
    </row>
    <row r="437" spans="1:16" x14ac:dyDescent="0.35">
      <c r="A437" t="s">
        <v>156</v>
      </c>
      <c r="B437" t="s">
        <v>16</v>
      </c>
      <c r="G437" t="s">
        <v>8</v>
      </c>
      <c r="J437" s="6">
        <f t="shared" si="6"/>
        <v>0</v>
      </c>
      <c r="P437" t="s">
        <v>126</v>
      </c>
    </row>
    <row r="438" spans="1:16" x14ac:dyDescent="0.35">
      <c r="A438" t="s">
        <v>156</v>
      </c>
      <c r="B438" t="s">
        <v>60</v>
      </c>
      <c r="G438" t="s">
        <v>8</v>
      </c>
      <c r="J438" s="6">
        <f t="shared" si="6"/>
        <v>0</v>
      </c>
      <c r="P438" t="s">
        <v>126</v>
      </c>
    </row>
    <row r="439" spans="1:16" x14ac:dyDescent="0.35">
      <c r="A439" t="s">
        <v>333</v>
      </c>
      <c r="B439" t="s">
        <v>1</v>
      </c>
      <c r="G439" t="s">
        <v>8</v>
      </c>
      <c r="J439" s="6">
        <f t="shared" si="6"/>
        <v>0</v>
      </c>
      <c r="P439" t="s">
        <v>126</v>
      </c>
    </row>
    <row r="440" spans="1:16" x14ac:dyDescent="0.35">
      <c r="A440" t="s">
        <v>333</v>
      </c>
      <c r="B440" t="s">
        <v>27</v>
      </c>
      <c r="C440" t="s">
        <v>28</v>
      </c>
      <c r="D440" t="s">
        <v>365</v>
      </c>
      <c r="E440" s="1">
        <v>45903</v>
      </c>
      <c r="G440" t="s">
        <v>8</v>
      </c>
      <c r="I440" s="6">
        <v>40000</v>
      </c>
      <c r="J440" s="6">
        <f t="shared" si="6"/>
        <v>40000</v>
      </c>
      <c r="K440" t="s">
        <v>4</v>
      </c>
      <c r="L440" s="1">
        <v>45919</v>
      </c>
      <c r="M440" s="1">
        <v>45919</v>
      </c>
      <c r="P440" t="s">
        <v>126</v>
      </c>
    </row>
    <row r="441" spans="1:16" x14ac:dyDescent="0.35">
      <c r="A441" t="s">
        <v>335</v>
      </c>
      <c r="B441" t="s">
        <v>381</v>
      </c>
      <c r="C441" t="s">
        <v>382</v>
      </c>
      <c r="D441" t="s">
        <v>383</v>
      </c>
      <c r="E441" s="1">
        <v>45889</v>
      </c>
      <c r="F441" s="6">
        <v>59500</v>
      </c>
      <c r="G441" s="6">
        <v>12495</v>
      </c>
      <c r="I441" s="6">
        <v>71995</v>
      </c>
      <c r="J441" s="6">
        <f t="shared" si="6"/>
        <v>59500</v>
      </c>
      <c r="K441" t="s">
        <v>4</v>
      </c>
      <c r="L441" s="1">
        <v>45898</v>
      </c>
      <c r="M441" s="1">
        <v>45898</v>
      </c>
      <c r="N441" t="s">
        <v>384</v>
      </c>
      <c r="P441" t="s">
        <v>126</v>
      </c>
    </row>
    <row r="442" spans="1:16" x14ac:dyDescent="0.35">
      <c r="A442" t="s">
        <v>335</v>
      </c>
      <c r="B442" t="s">
        <v>61</v>
      </c>
      <c r="C442" t="s">
        <v>31</v>
      </c>
      <c r="D442" t="s">
        <v>362</v>
      </c>
      <c r="E442" s="1">
        <v>45877</v>
      </c>
      <c r="F442" s="6">
        <v>30230</v>
      </c>
      <c r="G442" s="6">
        <v>6348.3</v>
      </c>
      <c r="I442" s="6">
        <v>36578.300000000003</v>
      </c>
      <c r="J442" s="6">
        <f t="shared" si="6"/>
        <v>30230</v>
      </c>
      <c r="K442" t="s">
        <v>4</v>
      </c>
      <c r="L442" s="1">
        <v>45891</v>
      </c>
      <c r="M442" s="1">
        <v>45891</v>
      </c>
      <c r="P442" t="s">
        <v>126</v>
      </c>
    </row>
    <row r="443" spans="1:16" x14ac:dyDescent="0.35">
      <c r="A443" t="s">
        <v>49</v>
      </c>
      <c r="B443" t="s">
        <v>27</v>
      </c>
      <c r="C443" t="s">
        <v>28</v>
      </c>
      <c r="D443" t="s">
        <v>365</v>
      </c>
      <c r="E443" s="1">
        <v>45903</v>
      </c>
      <c r="G443" t="s">
        <v>8</v>
      </c>
      <c r="I443" s="6">
        <v>40000</v>
      </c>
      <c r="J443" s="6">
        <f t="shared" si="6"/>
        <v>40000</v>
      </c>
      <c r="K443" t="s">
        <v>4</v>
      </c>
      <c r="L443" s="1">
        <v>45919</v>
      </c>
      <c r="M443" s="1">
        <v>45919</v>
      </c>
      <c r="P443" t="s">
        <v>126</v>
      </c>
    </row>
    <row r="444" spans="1:16" x14ac:dyDescent="0.35">
      <c r="A444" t="s">
        <v>49</v>
      </c>
      <c r="B444" t="s">
        <v>1</v>
      </c>
      <c r="C444" t="s">
        <v>167</v>
      </c>
      <c r="D444" t="s">
        <v>240</v>
      </c>
      <c r="G444" t="s">
        <v>8</v>
      </c>
      <c r="J444" s="6">
        <f t="shared" si="6"/>
        <v>0</v>
      </c>
      <c r="K444" t="s">
        <v>4</v>
      </c>
      <c r="P444" t="s">
        <v>126</v>
      </c>
    </row>
    <row r="445" spans="1:16" x14ac:dyDescent="0.35">
      <c r="A445" t="s">
        <v>49</v>
      </c>
      <c r="B445" t="s">
        <v>16</v>
      </c>
      <c r="C445" t="s">
        <v>16</v>
      </c>
      <c r="D445" t="s">
        <v>385</v>
      </c>
      <c r="E445" s="1">
        <v>45863</v>
      </c>
      <c r="F445" s="6">
        <v>87365.62</v>
      </c>
      <c r="G445" s="6">
        <v>23588.720000000001</v>
      </c>
      <c r="H445" s="6">
        <v>8197.52</v>
      </c>
      <c r="I445" s="6">
        <v>119151.86</v>
      </c>
      <c r="J445" s="6">
        <f t="shared" si="6"/>
        <v>87365.62</v>
      </c>
      <c r="K445" t="s">
        <v>18</v>
      </c>
      <c r="L445" s="1">
        <v>45873</v>
      </c>
      <c r="M445" s="1">
        <v>45873</v>
      </c>
      <c r="P445" t="s">
        <v>126</v>
      </c>
    </row>
    <row r="446" spans="1:16" x14ac:dyDescent="0.35">
      <c r="A446" t="s">
        <v>49</v>
      </c>
      <c r="B446" t="s">
        <v>60</v>
      </c>
      <c r="C446" t="s">
        <v>167</v>
      </c>
      <c r="D446" t="s">
        <v>386</v>
      </c>
      <c r="E446" s="1">
        <v>45874</v>
      </c>
      <c r="F446" s="6">
        <v>1901854.12</v>
      </c>
      <c r="G446" s="6">
        <v>399389.37</v>
      </c>
      <c r="H446" s="6">
        <v>95092.71</v>
      </c>
      <c r="I446" s="6">
        <v>2396336.2000000002</v>
      </c>
      <c r="J446" s="6">
        <f t="shared" si="6"/>
        <v>1901854.12</v>
      </c>
      <c r="K446" t="s">
        <v>4</v>
      </c>
      <c r="L446" s="1">
        <v>45877</v>
      </c>
      <c r="M446" s="1">
        <v>45877</v>
      </c>
      <c r="P446" t="s">
        <v>126</v>
      </c>
    </row>
    <row r="447" spans="1:16" x14ac:dyDescent="0.35">
      <c r="A447" t="s">
        <v>49</v>
      </c>
      <c r="B447" t="s">
        <v>61</v>
      </c>
      <c r="C447" t="s">
        <v>31</v>
      </c>
      <c r="D447" t="s">
        <v>362</v>
      </c>
      <c r="E447" s="1">
        <v>45877</v>
      </c>
      <c r="F447" s="6">
        <v>30230</v>
      </c>
      <c r="G447" s="6">
        <v>6348.3</v>
      </c>
      <c r="I447" s="6">
        <v>36578.300000000003</v>
      </c>
      <c r="J447" s="6">
        <f t="shared" si="6"/>
        <v>30230</v>
      </c>
      <c r="K447" t="s">
        <v>4</v>
      </c>
      <c r="L447" s="1">
        <v>45891</v>
      </c>
      <c r="M447" s="1">
        <v>45891</v>
      </c>
      <c r="P447" t="s">
        <v>126</v>
      </c>
    </row>
    <row r="448" spans="1:16" x14ac:dyDescent="0.35">
      <c r="A448" t="s">
        <v>49</v>
      </c>
      <c r="B448" t="s">
        <v>19</v>
      </c>
      <c r="C448" t="s">
        <v>37</v>
      </c>
      <c r="D448" t="s">
        <v>387</v>
      </c>
      <c r="E448" s="1">
        <v>45855</v>
      </c>
      <c r="F448" s="6">
        <v>57553.73</v>
      </c>
      <c r="G448" s="6">
        <v>12086.28</v>
      </c>
      <c r="H448" s="6">
        <v>4604.3</v>
      </c>
      <c r="I448" s="6">
        <v>74244.31</v>
      </c>
      <c r="J448" s="6">
        <f t="shared" si="6"/>
        <v>57553.73</v>
      </c>
      <c r="K448" t="s">
        <v>39</v>
      </c>
      <c r="L448" s="1">
        <v>45876</v>
      </c>
      <c r="M448" s="1">
        <v>45876</v>
      </c>
      <c r="P448" t="s">
        <v>126</v>
      </c>
    </row>
    <row r="449" spans="1:16" x14ac:dyDescent="0.35">
      <c r="A449" t="s">
        <v>388</v>
      </c>
      <c r="B449" t="s">
        <v>27</v>
      </c>
      <c r="C449" t="s">
        <v>28</v>
      </c>
      <c r="D449" t="s">
        <v>365</v>
      </c>
      <c r="E449" s="1">
        <v>45903</v>
      </c>
      <c r="G449" t="s">
        <v>8</v>
      </c>
      <c r="I449" s="6">
        <v>40000</v>
      </c>
      <c r="J449" s="6">
        <f t="shared" si="6"/>
        <v>40000</v>
      </c>
      <c r="K449" t="s">
        <v>4</v>
      </c>
      <c r="L449" s="1">
        <v>45919</v>
      </c>
      <c r="M449" s="1">
        <v>45919</v>
      </c>
      <c r="P449" t="s">
        <v>126</v>
      </c>
    </row>
    <row r="450" spans="1:16" x14ac:dyDescent="0.35">
      <c r="A450" t="s">
        <v>52</v>
      </c>
      <c r="B450" t="s">
        <v>27</v>
      </c>
      <c r="C450" t="s">
        <v>28</v>
      </c>
      <c r="D450" t="s">
        <v>188</v>
      </c>
      <c r="G450" t="s">
        <v>8</v>
      </c>
      <c r="J450" s="6">
        <f t="shared" si="6"/>
        <v>0</v>
      </c>
      <c r="K450" t="s">
        <v>4</v>
      </c>
      <c r="P450" t="s">
        <v>126</v>
      </c>
    </row>
    <row r="451" spans="1:16" x14ac:dyDescent="0.35">
      <c r="A451" t="s">
        <v>52</v>
      </c>
      <c r="B451" t="s">
        <v>1</v>
      </c>
      <c r="C451" t="s">
        <v>172</v>
      </c>
      <c r="D451" t="s">
        <v>240</v>
      </c>
      <c r="G451" t="s">
        <v>8</v>
      </c>
      <c r="J451" s="6">
        <f t="shared" ref="J451:J514" si="7">IF(F451&gt;0,F451,I451)</f>
        <v>0</v>
      </c>
      <c r="K451" t="s">
        <v>4</v>
      </c>
      <c r="P451" t="s">
        <v>126</v>
      </c>
    </row>
    <row r="452" spans="1:16" x14ac:dyDescent="0.35">
      <c r="A452" t="s">
        <v>52</v>
      </c>
      <c r="B452" t="s">
        <v>16</v>
      </c>
      <c r="C452" t="s">
        <v>16</v>
      </c>
      <c r="D452" t="s">
        <v>389</v>
      </c>
      <c r="E452" s="1">
        <v>45866</v>
      </c>
      <c r="F452" s="6">
        <v>74279.91</v>
      </c>
      <c r="G452" s="6">
        <v>20055.580000000002</v>
      </c>
      <c r="H452" s="6">
        <v>6969.69</v>
      </c>
      <c r="I452" s="6">
        <v>101305.18</v>
      </c>
      <c r="J452" s="6">
        <f t="shared" si="7"/>
        <v>74279.91</v>
      </c>
      <c r="K452" t="s">
        <v>18</v>
      </c>
      <c r="L452" s="1">
        <v>45874</v>
      </c>
      <c r="M452" s="1">
        <v>45873</v>
      </c>
      <c r="P452" t="s">
        <v>126</v>
      </c>
    </row>
    <row r="453" spans="1:16" x14ac:dyDescent="0.35">
      <c r="A453" t="s">
        <v>52</v>
      </c>
      <c r="B453" t="s">
        <v>60</v>
      </c>
      <c r="C453" t="s">
        <v>14</v>
      </c>
      <c r="E453" s="1">
        <v>45870</v>
      </c>
      <c r="I453" s="6">
        <v>573285.05000000005</v>
      </c>
      <c r="J453" s="6">
        <f t="shared" si="7"/>
        <v>573285.05000000005</v>
      </c>
      <c r="K453" t="s">
        <v>4</v>
      </c>
      <c r="L453" s="1">
        <v>45877</v>
      </c>
      <c r="M453" s="1">
        <v>45877</v>
      </c>
      <c r="P453" t="s">
        <v>126</v>
      </c>
    </row>
    <row r="454" spans="1:16" x14ac:dyDescent="0.35">
      <c r="A454" t="s">
        <v>52</v>
      </c>
      <c r="B454" t="s">
        <v>61</v>
      </c>
      <c r="C454" t="s">
        <v>31</v>
      </c>
      <c r="D454" t="s">
        <v>362</v>
      </c>
      <c r="E454" s="1">
        <v>45877</v>
      </c>
      <c r="F454" s="6">
        <v>30230</v>
      </c>
      <c r="G454" s="6">
        <v>6348.3</v>
      </c>
      <c r="I454" s="6">
        <v>36578.300000000003</v>
      </c>
      <c r="J454" s="6">
        <f t="shared" si="7"/>
        <v>30230</v>
      </c>
      <c r="K454" t="s">
        <v>4</v>
      </c>
      <c r="L454" s="1">
        <v>45891</v>
      </c>
      <c r="M454" s="1">
        <v>45891</v>
      </c>
      <c r="P454" t="s">
        <v>126</v>
      </c>
    </row>
    <row r="455" spans="1:16" x14ac:dyDescent="0.35">
      <c r="A455" t="s">
        <v>176</v>
      </c>
      <c r="B455" t="s">
        <v>27</v>
      </c>
      <c r="C455" t="s">
        <v>28</v>
      </c>
      <c r="D455" t="s">
        <v>365</v>
      </c>
      <c r="E455" s="1">
        <v>45903</v>
      </c>
      <c r="G455" t="s">
        <v>8</v>
      </c>
      <c r="I455" s="6">
        <v>20000</v>
      </c>
      <c r="J455" s="6">
        <f t="shared" si="7"/>
        <v>20000</v>
      </c>
      <c r="K455" t="s">
        <v>4</v>
      </c>
      <c r="L455" s="1">
        <v>45919</v>
      </c>
      <c r="M455" s="1">
        <v>45919</v>
      </c>
      <c r="P455" t="s">
        <v>126</v>
      </c>
    </row>
    <row r="456" spans="1:16" x14ac:dyDescent="0.35">
      <c r="A456" t="s">
        <v>176</v>
      </c>
      <c r="B456" t="s">
        <v>16</v>
      </c>
      <c r="C456" t="s">
        <v>16</v>
      </c>
      <c r="D456" t="s">
        <v>7</v>
      </c>
      <c r="E456" s="1">
        <v>45870</v>
      </c>
      <c r="I456" s="6">
        <v>104085.8</v>
      </c>
      <c r="J456" s="6">
        <f t="shared" si="7"/>
        <v>104085.8</v>
      </c>
      <c r="K456" t="s">
        <v>18</v>
      </c>
      <c r="L456" s="1">
        <v>45875</v>
      </c>
      <c r="M456" s="1">
        <v>45875</v>
      </c>
      <c r="P456" t="s">
        <v>126</v>
      </c>
    </row>
    <row r="457" spans="1:16" x14ac:dyDescent="0.35">
      <c r="A457" t="s">
        <v>176</v>
      </c>
      <c r="B457" t="s">
        <v>60</v>
      </c>
      <c r="C457" t="s">
        <v>14</v>
      </c>
      <c r="E457" s="1">
        <v>45870</v>
      </c>
      <c r="I457" s="6">
        <v>573285.05000000005</v>
      </c>
      <c r="J457" s="6">
        <f t="shared" si="7"/>
        <v>573285.05000000005</v>
      </c>
      <c r="K457" t="s">
        <v>4</v>
      </c>
      <c r="L457" s="1">
        <v>45877</v>
      </c>
      <c r="M457" s="1">
        <v>45877</v>
      </c>
      <c r="P457" t="s">
        <v>126</v>
      </c>
    </row>
    <row r="458" spans="1:16" x14ac:dyDescent="0.35">
      <c r="A458" t="s">
        <v>176</v>
      </c>
      <c r="B458" t="s">
        <v>61</v>
      </c>
      <c r="C458" t="s">
        <v>31</v>
      </c>
      <c r="D458" t="s">
        <v>362</v>
      </c>
      <c r="E458" s="1">
        <v>45877</v>
      </c>
      <c r="F458" s="6">
        <v>30230</v>
      </c>
      <c r="G458" s="6">
        <v>6348.3</v>
      </c>
      <c r="I458" s="6">
        <v>36578.300000000003</v>
      </c>
      <c r="J458" s="6">
        <f t="shared" si="7"/>
        <v>30230</v>
      </c>
      <c r="K458" t="s">
        <v>4</v>
      </c>
      <c r="L458" s="1">
        <v>45891</v>
      </c>
      <c r="M458" s="1">
        <v>45891</v>
      </c>
      <c r="P458" t="s">
        <v>126</v>
      </c>
    </row>
    <row r="459" spans="1:16" x14ac:dyDescent="0.35">
      <c r="A459" t="s">
        <v>63</v>
      </c>
      <c r="B459" t="s">
        <v>27</v>
      </c>
      <c r="C459" t="s">
        <v>28</v>
      </c>
      <c r="D459" t="s">
        <v>365</v>
      </c>
      <c r="E459" s="1">
        <v>45903</v>
      </c>
      <c r="G459" t="s">
        <v>8</v>
      </c>
      <c r="I459" s="6">
        <v>40000</v>
      </c>
      <c r="J459" s="6">
        <f t="shared" si="7"/>
        <v>40000</v>
      </c>
      <c r="K459" t="s">
        <v>4</v>
      </c>
      <c r="L459" s="1">
        <v>45919</v>
      </c>
      <c r="M459" s="1">
        <v>45919</v>
      </c>
      <c r="P459" t="s">
        <v>126</v>
      </c>
    </row>
    <row r="460" spans="1:16" x14ac:dyDescent="0.35">
      <c r="A460" t="s">
        <v>63</v>
      </c>
      <c r="B460" t="s">
        <v>1</v>
      </c>
      <c r="C460" t="s">
        <v>64</v>
      </c>
      <c r="D460" t="s">
        <v>390</v>
      </c>
      <c r="E460" s="1">
        <v>45870</v>
      </c>
      <c r="F460" s="6">
        <v>1498079</v>
      </c>
      <c r="G460" s="6">
        <v>314596.59000000003</v>
      </c>
      <c r="I460" s="6">
        <v>1812675.59</v>
      </c>
      <c r="J460" s="6">
        <f t="shared" si="7"/>
        <v>1498079</v>
      </c>
      <c r="K460" t="s">
        <v>4</v>
      </c>
      <c r="L460" s="1">
        <v>45880</v>
      </c>
      <c r="M460" s="1">
        <v>45880</v>
      </c>
      <c r="N460" t="s">
        <v>391</v>
      </c>
      <c r="P460" t="s">
        <v>126</v>
      </c>
    </row>
    <row r="461" spans="1:16" x14ac:dyDescent="0.35">
      <c r="A461" t="s">
        <v>63</v>
      </c>
      <c r="B461" t="s">
        <v>16</v>
      </c>
      <c r="C461" t="s">
        <v>16</v>
      </c>
      <c r="D461" t="s">
        <v>392</v>
      </c>
      <c r="E461" s="1">
        <v>45860</v>
      </c>
      <c r="F461" s="6">
        <v>102495.75</v>
      </c>
      <c r="G461" s="6">
        <v>27673.85</v>
      </c>
      <c r="H461" s="6">
        <v>9617.17</v>
      </c>
      <c r="I461" s="6">
        <v>139786.76999999999</v>
      </c>
      <c r="J461" s="6">
        <f t="shared" si="7"/>
        <v>102495.75</v>
      </c>
      <c r="K461" t="s">
        <v>18</v>
      </c>
      <c r="L461" s="1">
        <v>45875</v>
      </c>
      <c r="M461" s="1">
        <v>45873</v>
      </c>
      <c r="P461" t="s">
        <v>126</v>
      </c>
    </row>
    <row r="462" spans="1:16" x14ac:dyDescent="0.35">
      <c r="A462" t="s">
        <v>63</v>
      </c>
      <c r="B462" t="s">
        <v>61</v>
      </c>
      <c r="C462" t="s">
        <v>31</v>
      </c>
      <c r="D462" t="s">
        <v>362</v>
      </c>
      <c r="E462" s="1">
        <v>45877</v>
      </c>
      <c r="F462" s="6">
        <v>67050</v>
      </c>
      <c r="G462" s="6">
        <v>14080.5</v>
      </c>
      <c r="I462" s="6">
        <v>81130.5</v>
      </c>
      <c r="J462" s="6">
        <f t="shared" si="7"/>
        <v>67050</v>
      </c>
      <c r="K462" t="s">
        <v>4</v>
      </c>
      <c r="L462" s="1">
        <v>45891</v>
      </c>
      <c r="M462" s="1">
        <v>45891</v>
      </c>
      <c r="P462" t="s">
        <v>126</v>
      </c>
    </row>
    <row r="463" spans="1:16" x14ac:dyDescent="0.35">
      <c r="A463" t="s">
        <v>63</v>
      </c>
      <c r="B463" t="s">
        <v>19</v>
      </c>
      <c r="C463" t="s">
        <v>37</v>
      </c>
      <c r="D463" t="s">
        <v>393</v>
      </c>
      <c r="E463" s="1">
        <v>45855</v>
      </c>
      <c r="F463" s="6">
        <v>54380</v>
      </c>
      <c r="G463" s="6">
        <v>11419.8</v>
      </c>
      <c r="H463" s="6">
        <v>4350.3999999999996</v>
      </c>
      <c r="I463" s="6">
        <v>70150.2</v>
      </c>
      <c r="J463" s="6">
        <f t="shared" si="7"/>
        <v>54380</v>
      </c>
      <c r="K463" t="s">
        <v>18</v>
      </c>
      <c r="L463" s="1">
        <v>45874</v>
      </c>
      <c r="M463" s="1">
        <v>45873</v>
      </c>
      <c r="P463" t="s">
        <v>126</v>
      </c>
    </row>
    <row r="464" spans="1:16" x14ac:dyDescent="0.35">
      <c r="A464" t="s">
        <v>22</v>
      </c>
      <c r="B464" t="s">
        <v>23</v>
      </c>
      <c r="C464" t="s">
        <v>24</v>
      </c>
      <c r="D464" t="s">
        <v>394</v>
      </c>
      <c r="E464" s="1">
        <v>45881</v>
      </c>
      <c r="F464" s="6">
        <v>41895</v>
      </c>
      <c r="G464" s="6">
        <v>8797.9500000000007</v>
      </c>
      <c r="I464" s="6">
        <v>50692.95</v>
      </c>
      <c r="J464" s="6">
        <f t="shared" si="7"/>
        <v>41895</v>
      </c>
      <c r="K464" t="s">
        <v>4</v>
      </c>
      <c r="L464" s="1">
        <v>45891</v>
      </c>
      <c r="M464" s="1">
        <v>45891</v>
      </c>
      <c r="P464" t="s">
        <v>126</v>
      </c>
    </row>
    <row r="465" spans="1:16" x14ac:dyDescent="0.35">
      <c r="A465" t="s">
        <v>22</v>
      </c>
      <c r="B465" t="s">
        <v>395</v>
      </c>
      <c r="C465" t="s">
        <v>396</v>
      </c>
      <c r="D465" t="s">
        <v>397</v>
      </c>
      <c r="E465" s="1">
        <v>45877</v>
      </c>
      <c r="F465" s="6">
        <v>144000</v>
      </c>
      <c r="G465" s="6">
        <v>30240</v>
      </c>
      <c r="I465" s="6">
        <v>174240</v>
      </c>
      <c r="J465" s="6">
        <f t="shared" si="7"/>
        <v>144000</v>
      </c>
      <c r="K465" t="s">
        <v>4</v>
      </c>
      <c r="L465" s="1">
        <v>45887</v>
      </c>
      <c r="M465" s="1">
        <v>45887</v>
      </c>
      <c r="P465" t="s">
        <v>126</v>
      </c>
    </row>
    <row r="466" spans="1:16" x14ac:dyDescent="0.35">
      <c r="A466" t="s">
        <v>22</v>
      </c>
      <c r="B466" t="s">
        <v>56</v>
      </c>
      <c r="C466" t="s">
        <v>69</v>
      </c>
      <c r="D466" t="s">
        <v>7</v>
      </c>
      <c r="E466" s="1">
        <v>45870</v>
      </c>
      <c r="G466" t="s">
        <v>8</v>
      </c>
      <c r="I466" s="6">
        <v>411225.62</v>
      </c>
      <c r="J466" s="6">
        <f t="shared" si="7"/>
        <v>411225.62</v>
      </c>
      <c r="K466" t="s">
        <v>18</v>
      </c>
      <c r="L466" s="1">
        <v>45874</v>
      </c>
      <c r="M466" s="1">
        <v>45874</v>
      </c>
      <c r="N466" t="s">
        <v>70</v>
      </c>
      <c r="P466" t="s">
        <v>126</v>
      </c>
    </row>
    <row r="467" spans="1:16" x14ac:dyDescent="0.35">
      <c r="A467" t="s">
        <v>22</v>
      </c>
      <c r="B467" t="s">
        <v>27</v>
      </c>
      <c r="C467" t="s">
        <v>11</v>
      </c>
      <c r="D467" t="s">
        <v>398</v>
      </c>
      <c r="E467" s="1">
        <v>45860</v>
      </c>
      <c r="F467" s="6">
        <v>69190</v>
      </c>
      <c r="G467" s="6">
        <v>17025.599999999999</v>
      </c>
      <c r="H467" s="6">
        <v>7724.41</v>
      </c>
      <c r="I467" s="6">
        <v>93940.01</v>
      </c>
      <c r="J467" s="6">
        <f t="shared" si="7"/>
        <v>69190</v>
      </c>
      <c r="K467" t="s">
        <v>4</v>
      </c>
      <c r="L467" s="1">
        <v>45883</v>
      </c>
      <c r="M467" s="1">
        <v>45883</v>
      </c>
      <c r="P467" t="s">
        <v>126</v>
      </c>
    </row>
    <row r="468" spans="1:16" x14ac:dyDescent="0.35">
      <c r="A468" t="s">
        <v>22</v>
      </c>
      <c r="B468" t="s">
        <v>9</v>
      </c>
      <c r="C468" t="s">
        <v>72</v>
      </c>
      <c r="D468" t="s">
        <v>399</v>
      </c>
      <c r="E468" s="1">
        <v>45883</v>
      </c>
      <c r="G468" t="s">
        <v>8</v>
      </c>
      <c r="I468" s="6">
        <v>249201.81</v>
      </c>
      <c r="J468" s="6">
        <f t="shared" si="7"/>
        <v>249201.81</v>
      </c>
      <c r="K468" t="s">
        <v>4</v>
      </c>
      <c r="L468" s="1">
        <v>45895</v>
      </c>
      <c r="M468" s="1">
        <v>45895</v>
      </c>
      <c r="P468" t="s">
        <v>126</v>
      </c>
    </row>
    <row r="469" spans="1:16" x14ac:dyDescent="0.35">
      <c r="A469" t="s">
        <v>22</v>
      </c>
      <c r="B469" t="s">
        <v>16</v>
      </c>
      <c r="C469" t="s">
        <v>72</v>
      </c>
      <c r="D469" t="s">
        <v>399</v>
      </c>
      <c r="E469" s="1">
        <v>45883</v>
      </c>
      <c r="G469" t="s">
        <v>8</v>
      </c>
      <c r="I469" s="6">
        <v>1612359.65</v>
      </c>
      <c r="J469" s="6">
        <f t="shared" si="7"/>
        <v>1612359.65</v>
      </c>
      <c r="K469" t="s">
        <v>4</v>
      </c>
      <c r="L469" s="1">
        <v>45895</v>
      </c>
      <c r="M469" s="1">
        <v>45895</v>
      </c>
      <c r="P469" t="s">
        <v>126</v>
      </c>
    </row>
    <row r="470" spans="1:16" x14ac:dyDescent="0.35">
      <c r="A470" t="s">
        <v>22</v>
      </c>
      <c r="B470" t="s">
        <v>61</v>
      </c>
      <c r="C470" t="s">
        <v>31</v>
      </c>
      <c r="D470" t="s">
        <v>362</v>
      </c>
      <c r="E470" s="1">
        <v>45877</v>
      </c>
      <c r="F470" s="6">
        <v>85440</v>
      </c>
      <c r="G470" s="6">
        <v>17942.400000000001</v>
      </c>
      <c r="I470" s="6">
        <v>103382.39999999999</v>
      </c>
      <c r="J470" s="6">
        <f t="shared" si="7"/>
        <v>85440</v>
      </c>
      <c r="K470" t="s">
        <v>4</v>
      </c>
      <c r="L470" s="1">
        <v>45891</v>
      </c>
      <c r="M470" s="1">
        <v>45891</v>
      </c>
      <c r="P470" t="s">
        <v>126</v>
      </c>
    </row>
    <row r="471" spans="1:16" x14ac:dyDescent="0.35">
      <c r="A471" t="s">
        <v>22</v>
      </c>
      <c r="B471" t="s">
        <v>19</v>
      </c>
      <c r="C471" t="s">
        <v>74</v>
      </c>
      <c r="D471" t="s">
        <v>75</v>
      </c>
      <c r="E471" s="1">
        <v>45875</v>
      </c>
      <c r="G471" t="s">
        <v>8</v>
      </c>
      <c r="I471" s="6">
        <v>116702.45</v>
      </c>
      <c r="J471" s="6">
        <f t="shared" si="7"/>
        <v>116702.45</v>
      </c>
      <c r="K471" t="s">
        <v>45</v>
      </c>
      <c r="L471" s="1">
        <v>45891</v>
      </c>
      <c r="M471" s="1">
        <v>45891</v>
      </c>
      <c r="N471" t="s">
        <v>76</v>
      </c>
      <c r="P471" t="s">
        <v>126</v>
      </c>
    </row>
    <row r="472" spans="1:16" x14ac:dyDescent="0.35">
      <c r="A472" t="s">
        <v>22</v>
      </c>
      <c r="B472" t="s">
        <v>23</v>
      </c>
      <c r="C472" t="s">
        <v>24</v>
      </c>
      <c r="D472" t="s">
        <v>400</v>
      </c>
      <c r="E472" s="1">
        <v>45876</v>
      </c>
      <c r="F472" s="6">
        <v>556907</v>
      </c>
      <c r="G472" s="6">
        <v>116950.47</v>
      </c>
      <c r="I472" s="6">
        <v>673857.47</v>
      </c>
      <c r="J472" s="6">
        <f t="shared" si="7"/>
        <v>556907</v>
      </c>
      <c r="K472" t="s">
        <v>4</v>
      </c>
      <c r="L472" s="1">
        <v>45888</v>
      </c>
      <c r="M472" s="1">
        <v>45888</v>
      </c>
      <c r="P472" t="s">
        <v>126</v>
      </c>
    </row>
    <row r="473" spans="1:16" x14ac:dyDescent="0.35">
      <c r="A473" t="s">
        <v>22</v>
      </c>
      <c r="B473" t="s">
        <v>101</v>
      </c>
      <c r="C473" t="s">
        <v>102</v>
      </c>
      <c r="D473" t="s">
        <v>401</v>
      </c>
      <c r="E473" s="1">
        <v>45880</v>
      </c>
      <c r="F473" s="6">
        <v>338000</v>
      </c>
      <c r="G473" t="s">
        <v>8</v>
      </c>
      <c r="I473" s="6">
        <v>338000</v>
      </c>
      <c r="J473" s="6">
        <f t="shared" si="7"/>
        <v>338000</v>
      </c>
      <c r="K473" t="s">
        <v>4</v>
      </c>
      <c r="L473" s="1">
        <v>45888</v>
      </c>
      <c r="M473" s="1">
        <v>45888</v>
      </c>
      <c r="P473" t="s">
        <v>126</v>
      </c>
    </row>
    <row r="474" spans="1:16" x14ac:dyDescent="0.35">
      <c r="A474" t="s">
        <v>22</v>
      </c>
      <c r="B474" t="s">
        <v>77</v>
      </c>
      <c r="C474" t="s">
        <v>78</v>
      </c>
      <c r="D474" t="s">
        <v>79</v>
      </c>
      <c r="G474" t="s">
        <v>8</v>
      </c>
      <c r="J474" s="6">
        <f t="shared" si="7"/>
        <v>0</v>
      </c>
      <c r="K474" t="s">
        <v>18</v>
      </c>
      <c r="P474" t="s">
        <v>126</v>
      </c>
    </row>
    <row r="475" spans="1:16" x14ac:dyDescent="0.35">
      <c r="A475" t="s">
        <v>22</v>
      </c>
      <c r="B475" t="s">
        <v>80</v>
      </c>
      <c r="C475" t="s">
        <v>37</v>
      </c>
      <c r="D475" t="s">
        <v>402</v>
      </c>
      <c r="E475" s="1">
        <v>45862</v>
      </c>
      <c r="F475" s="6">
        <v>232732.99</v>
      </c>
      <c r="G475" s="6">
        <v>48992.25</v>
      </c>
      <c r="H475" s="6">
        <v>18979.13</v>
      </c>
      <c r="I475" s="6">
        <v>300704.37</v>
      </c>
      <c r="J475" s="6">
        <f t="shared" si="7"/>
        <v>232732.99</v>
      </c>
      <c r="K475" t="s">
        <v>18</v>
      </c>
      <c r="L475" s="1">
        <v>45880</v>
      </c>
      <c r="M475" s="1">
        <v>45880</v>
      </c>
      <c r="P475" t="s">
        <v>126</v>
      </c>
    </row>
    <row r="476" spans="1:16" x14ac:dyDescent="0.35">
      <c r="A476" t="s">
        <v>22</v>
      </c>
      <c r="B476" t="s">
        <v>27</v>
      </c>
      <c r="C476" t="s">
        <v>28</v>
      </c>
      <c r="D476" t="s">
        <v>365</v>
      </c>
      <c r="E476" s="1">
        <v>45903</v>
      </c>
      <c r="G476" t="s">
        <v>8</v>
      </c>
      <c r="I476" s="6">
        <v>40000</v>
      </c>
      <c r="J476" s="6">
        <f t="shared" si="7"/>
        <v>40000</v>
      </c>
      <c r="K476" t="s">
        <v>4</v>
      </c>
      <c r="L476" s="1">
        <v>45919</v>
      </c>
      <c r="M476" s="1">
        <v>45919</v>
      </c>
      <c r="P476" t="s">
        <v>126</v>
      </c>
    </row>
    <row r="477" spans="1:16" x14ac:dyDescent="0.35">
      <c r="A477" t="s">
        <v>355</v>
      </c>
      <c r="B477" t="s">
        <v>61</v>
      </c>
      <c r="C477" t="s">
        <v>31</v>
      </c>
      <c r="D477" t="s">
        <v>362</v>
      </c>
      <c r="E477" s="1">
        <v>45877</v>
      </c>
      <c r="F477" s="6">
        <v>93552</v>
      </c>
      <c r="G477" s="6">
        <v>19645.919999999998</v>
      </c>
      <c r="I477" s="6">
        <v>113197.92</v>
      </c>
      <c r="J477" s="6">
        <f t="shared" si="7"/>
        <v>93552</v>
      </c>
      <c r="K477" t="s">
        <v>4</v>
      </c>
      <c r="L477" s="1">
        <v>45891</v>
      </c>
      <c r="M477" s="1">
        <v>45891</v>
      </c>
      <c r="P477" t="s">
        <v>126</v>
      </c>
    </row>
    <row r="478" spans="1:16" x14ac:dyDescent="0.35">
      <c r="A478" t="s">
        <v>82</v>
      </c>
      <c r="B478" t="s">
        <v>23</v>
      </c>
      <c r="C478" t="s">
        <v>24</v>
      </c>
      <c r="D478" t="s">
        <v>403</v>
      </c>
      <c r="E478" s="1">
        <v>45881</v>
      </c>
      <c r="F478" s="6">
        <v>41895</v>
      </c>
      <c r="G478" s="6">
        <v>8797.9500000000007</v>
      </c>
      <c r="I478" s="6">
        <v>50692.95</v>
      </c>
      <c r="J478" s="6">
        <f t="shared" si="7"/>
        <v>41895</v>
      </c>
      <c r="K478" t="s">
        <v>4</v>
      </c>
      <c r="L478" s="1">
        <v>45891</v>
      </c>
      <c r="M478" s="1">
        <v>45891</v>
      </c>
      <c r="P478" t="s">
        <v>126</v>
      </c>
    </row>
    <row r="479" spans="1:16" x14ac:dyDescent="0.35">
      <c r="A479" t="s">
        <v>82</v>
      </c>
      <c r="B479" t="s">
        <v>56</v>
      </c>
      <c r="C479" t="s">
        <v>69</v>
      </c>
      <c r="D479" t="s">
        <v>7</v>
      </c>
      <c r="E479" s="1">
        <v>45870</v>
      </c>
      <c r="G479" t="s">
        <v>8</v>
      </c>
      <c r="I479" s="6">
        <v>65846.710000000006</v>
      </c>
      <c r="J479" s="6">
        <f t="shared" si="7"/>
        <v>65846.710000000006</v>
      </c>
      <c r="K479" t="s">
        <v>18</v>
      </c>
      <c r="L479" s="1">
        <v>45874</v>
      </c>
      <c r="M479" s="1">
        <v>45874</v>
      </c>
      <c r="N479" t="s">
        <v>83</v>
      </c>
      <c r="P479" t="s">
        <v>126</v>
      </c>
    </row>
    <row r="480" spans="1:16" x14ac:dyDescent="0.35">
      <c r="A480" t="s">
        <v>82</v>
      </c>
      <c r="B480" t="s">
        <v>1</v>
      </c>
      <c r="C480" t="s">
        <v>84</v>
      </c>
      <c r="D480" t="s">
        <v>404</v>
      </c>
      <c r="E480" s="1">
        <v>45880</v>
      </c>
      <c r="F480" s="6">
        <v>1354200</v>
      </c>
      <c r="G480" s="6">
        <v>284382</v>
      </c>
      <c r="I480" s="6">
        <v>1638582</v>
      </c>
      <c r="J480" s="6">
        <f t="shared" si="7"/>
        <v>1354200</v>
      </c>
      <c r="K480" t="s">
        <v>4</v>
      </c>
      <c r="L480" s="1">
        <v>45880</v>
      </c>
      <c r="M480" s="1">
        <v>45880</v>
      </c>
      <c r="P480" t="s">
        <v>126</v>
      </c>
    </row>
    <row r="481" spans="1:16" x14ac:dyDescent="0.35">
      <c r="A481" t="s">
        <v>82</v>
      </c>
      <c r="B481" t="s">
        <v>27</v>
      </c>
      <c r="C481" t="s">
        <v>28</v>
      </c>
      <c r="D481" t="s">
        <v>365</v>
      </c>
      <c r="E481" s="1">
        <v>45903</v>
      </c>
      <c r="G481" t="s">
        <v>8</v>
      </c>
      <c r="I481" s="6">
        <v>40000</v>
      </c>
      <c r="J481" s="6">
        <f t="shared" si="7"/>
        <v>40000</v>
      </c>
      <c r="K481" t="s">
        <v>4</v>
      </c>
      <c r="L481" s="1">
        <v>45919</v>
      </c>
      <c r="M481" s="1">
        <v>45919</v>
      </c>
      <c r="P481" t="s">
        <v>126</v>
      </c>
    </row>
    <row r="482" spans="1:16" x14ac:dyDescent="0.35">
      <c r="A482" t="s">
        <v>82</v>
      </c>
      <c r="B482" t="s">
        <v>9</v>
      </c>
      <c r="C482" t="s">
        <v>14</v>
      </c>
      <c r="D482" t="s">
        <v>7</v>
      </c>
      <c r="G482" t="s">
        <v>8</v>
      </c>
      <c r="I482" t="s">
        <v>8</v>
      </c>
      <c r="J482" s="6" t="str">
        <f t="shared" si="7"/>
        <v>$ -</v>
      </c>
      <c r="K482" t="s">
        <v>18</v>
      </c>
      <c r="L482" s="1">
        <v>45870</v>
      </c>
      <c r="M482" s="1">
        <v>45870</v>
      </c>
      <c r="P482" t="s">
        <v>126</v>
      </c>
    </row>
    <row r="483" spans="1:16" x14ac:dyDescent="0.35">
      <c r="A483" t="s">
        <v>82</v>
      </c>
      <c r="B483" t="s">
        <v>16</v>
      </c>
      <c r="C483" t="s">
        <v>16</v>
      </c>
      <c r="D483" t="s">
        <v>405</v>
      </c>
      <c r="E483" s="1">
        <v>45888</v>
      </c>
      <c r="F483" s="6">
        <v>178921</v>
      </c>
      <c r="G483" s="6">
        <v>48308.67</v>
      </c>
      <c r="H483" s="6">
        <v>12530.82</v>
      </c>
      <c r="I483" s="6">
        <v>239760.49</v>
      </c>
      <c r="J483" s="6">
        <f t="shared" si="7"/>
        <v>178921</v>
      </c>
      <c r="K483" t="s">
        <v>18</v>
      </c>
      <c r="L483" s="1">
        <v>45896</v>
      </c>
      <c r="M483" s="1">
        <v>45896</v>
      </c>
      <c r="P483" t="s">
        <v>126</v>
      </c>
    </row>
    <row r="484" spans="1:16" x14ac:dyDescent="0.35">
      <c r="A484" t="s">
        <v>82</v>
      </c>
      <c r="B484" t="s">
        <v>61</v>
      </c>
      <c r="C484" t="s">
        <v>31</v>
      </c>
      <c r="D484" t="s">
        <v>362</v>
      </c>
      <c r="E484" s="1">
        <v>45877</v>
      </c>
      <c r="F484" s="6">
        <v>89715</v>
      </c>
      <c r="G484" s="6">
        <v>18840.150000000001</v>
      </c>
      <c r="I484" s="6">
        <v>108555.15</v>
      </c>
      <c r="J484" s="6">
        <f t="shared" si="7"/>
        <v>89715</v>
      </c>
      <c r="K484" t="s">
        <v>4</v>
      </c>
      <c r="L484" s="1">
        <v>45891</v>
      </c>
      <c r="M484" s="1">
        <v>45891</v>
      </c>
      <c r="P484" t="s">
        <v>126</v>
      </c>
    </row>
    <row r="485" spans="1:16" x14ac:dyDescent="0.35">
      <c r="A485" t="s">
        <v>82</v>
      </c>
      <c r="B485" t="s">
        <v>19</v>
      </c>
      <c r="C485" t="s">
        <v>37</v>
      </c>
      <c r="D485" t="s">
        <v>406</v>
      </c>
      <c r="E485" s="1">
        <v>45855</v>
      </c>
      <c r="F485" s="6">
        <v>32330</v>
      </c>
      <c r="G485" s="6">
        <v>6789.3</v>
      </c>
      <c r="H485" s="6">
        <v>2586.4</v>
      </c>
      <c r="I485" s="6">
        <v>41705.699999999997</v>
      </c>
      <c r="J485" s="6">
        <f t="shared" si="7"/>
        <v>32330</v>
      </c>
      <c r="K485" t="s">
        <v>18</v>
      </c>
      <c r="L485" s="1">
        <v>45874</v>
      </c>
      <c r="M485" s="1">
        <v>45873</v>
      </c>
      <c r="P485" t="s">
        <v>126</v>
      </c>
    </row>
    <row r="486" spans="1:16" x14ac:dyDescent="0.35">
      <c r="A486" t="s">
        <v>407</v>
      </c>
      <c r="G486" t="s">
        <v>8</v>
      </c>
      <c r="J486" s="6">
        <f t="shared" si="7"/>
        <v>0</v>
      </c>
      <c r="L486" s="1">
        <v>45901</v>
      </c>
      <c r="M486" s="1">
        <v>45901</v>
      </c>
      <c r="P486" t="s">
        <v>5</v>
      </c>
    </row>
    <row r="487" spans="1:16" x14ac:dyDescent="0.35">
      <c r="A487" t="s">
        <v>0</v>
      </c>
      <c r="B487" t="s">
        <v>1</v>
      </c>
      <c r="C487" t="s">
        <v>2</v>
      </c>
      <c r="D487" t="s">
        <v>3</v>
      </c>
      <c r="E487" s="1">
        <v>45901</v>
      </c>
      <c r="F487" s="6">
        <v>690000</v>
      </c>
      <c r="G487" s="6">
        <v>144900</v>
      </c>
      <c r="I487" s="6">
        <v>834900</v>
      </c>
      <c r="J487" s="6">
        <f t="shared" si="7"/>
        <v>690000</v>
      </c>
      <c r="K487" t="s">
        <v>4</v>
      </c>
      <c r="L487" s="1">
        <v>45911</v>
      </c>
      <c r="M487" s="1">
        <v>45911</v>
      </c>
      <c r="P487" t="s">
        <v>5</v>
      </c>
    </row>
    <row r="488" spans="1:16" x14ac:dyDescent="0.35">
      <c r="A488" t="s">
        <v>0</v>
      </c>
      <c r="B488" t="s">
        <v>6</v>
      </c>
      <c r="C488" t="s">
        <v>2</v>
      </c>
      <c r="D488" t="s">
        <v>7</v>
      </c>
      <c r="G488" t="s">
        <v>8</v>
      </c>
      <c r="J488" s="6">
        <f t="shared" si="7"/>
        <v>0</v>
      </c>
      <c r="K488" t="s">
        <v>4</v>
      </c>
      <c r="P488" t="s">
        <v>5</v>
      </c>
    </row>
    <row r="489" spans="1:16" x14ac:dyDescent="0.35">
      <c r="A489" t="s">
        <v>0</v>
      </c>
      <c r="B489" t="s">
        <v>9</v>
      </c>
      <c r="C489" t="s">
        <v>2</v>
      </c>
      <c r="D489" t="s">
        <v>7</v>
      </c>
      <c r="G489" t="s">
        <v>8</v>
      </c>
      <c r="J489" s="6">
        <f t="shared" si="7"/>
        <v>0</v>
      </c>
      <c r="K489" t="s">
        <v>4</v>
      </c>
      <c r="P489" t="s">
        <v>5</v>
      </c>
    </row>
    <row r="490" spans="1:16" x14ac:dyDescent="0.35">
      <c r="A490" t="s">
        <v>0</v>
      </c>
      <c r="B490" t="s">
        <v>10</v>
      </c>
      <c r="C490" t="s">
        <v>11</v>
      </c>
      <c r="D490" t="s">
        <v>12</v>
      </c>
      <c r="E490" s="1">
        <v>45901</v>
      </c>
      <c r="G490" t="s">
        <v>8</v>
      </c>
      <c r="I490" s="6">
        <v>23597.27</v>
      </c>
      <c r="J490" s="6">
        <f t="shared" si="7"/>
        <v>23597.27</v>
      </c>
      <c r="K490" t="s">
        <v>4</v>
      </c>
      <c r="L490" s="1">
        <v>45901</v>
      </c>
      <c r="M490" s="1">
        <v>45901</v>
      </c>
      <c r="P490" t="s">
        <v>5</v>
      </c>
    </row>
    <row r="491" spans="1:16" x14ac:dyDescent="0.35">
      <c r="A491" t="s">
        <v>0</v>
      </c>
      <c r="B491" t="s">
        <v>13</v>
      </c>
      <c r="C491" t="s">
        <v>14</v>
      </c>
      <c r="D491" t="s">
        <v>7</v>
      </c>
      <c r="E491" s="1">
        <v>45901</v>
      </c>
      <c r="G491" t="s">
        <v>8</v>
      </c>
      <c r="I491" s="6">
        <v>95567.4</v>
      </c>
      <c r="J491" s="6">
        <f t="shared" si="7"/>
        <v>95567.4</v>
      </c>
      <c r="K491" t="s">
        <v>4</v>
      </c>
      <c r="L491" s="1">
        <v>45915</v>
      </c>
      <c r="M491" s="1">
        <v>45915</v>
      </c>
      <c r="P491" t="s">
        <v>5</v>
      </c>
    </row>
    <row r="492" spans="1:16" x14ac:dyDescent="0.35">
      <c r="A492" t="s">
        <v>15</v>
      </c>
      <c r="B492" t="s">
        <v>16</v>
      </c>
      <c r="C492" t="s">
        <v>16</v>
      </c>
      <c r="D492" t="s">
        <v>17</v>
      </c>
      <c r="E492" s="1">
        <v>45927</v>
      </c>
      <c r="F492" s="6">
        <v>41319.39</v>
      </c>
      <c r="G492" s="6">
        <v>11156.24</v>
      </c>
      <c r="H492" s="6">
        <v>-380.34</v>
      </c>
      <c r="I492" s="6">
        <v>52095.29</v>
      </c>
      <c r="J492" s="6">
        <f t="shared" si="7"/>
        <v>41319.39</v>
      </c>
      <c r="K492" t="s">
        <v>18</v>
      </c>
      <c r="L492" s="1">
        <v>45904</v>
      </c>
      <c r="M492" s="1">
        <v>45904</v>
      </c>
      <c r="P492" t="s">
        <v>5</v>
      </c>
    </row>
    <row r="493" spans="1:16" x14ac:dyDescent="0.35">
      <c r="A493" t="s">
        <v>15</v>
      </c>
      <c r="B493" t="s">
        <v>19</v>
      </c>
      <c r="C493" t="s">
        <v>20</v>
      </c>
      <c r="D493" t="s">
        <v>21</v>
      </c>
      <c r="E493" s="1">
        <v>45913</v>
      </c>
      <c r="F493" s="6">
        <v>95612</v>
      </c>
      <c r="G493" s="6">
        <v>24397.63</v>
      </c>
      <c r="I493" s="6">
        <v>120009.63</v>
      </c>
      <c r="J493" s="6">
        <f t="shared" si="7"/>
        <v>95612</v>
      </c>
      <c r="K493" t="s">
        <v>18</v>
      </c>
      <c r="L493" s="1">
        <v>45925</v>
      </c>
      <c r="M493" s="1">
        <v>45925</v>
      </c>
      <c r="P493" t="s">
        <v>5</v>
      </c>
    </row>
    <row r="494" spans="1:16" x14ac:dyDescent="0.35">
      <c r="A494" t="s">
        <v>22</v>
      </c>
      <c r="B494" t="s">
        <v>23</v>
      </c>
      <c r="C494" t="s">
        <v>24</v>
      </c>
      <c r="D494" t="s">
        <v>25</v>
      </c>
      <c r="E494" s="1">
        <v>45910</v>
      </c>
      <c r="F494" s="6">
        <v>34439</v>
      </c>
      <c r="G494" s="6">
        <v>7232.19</v>
      </c>
      <c r="I494" s="6">
        <v>41671.19</v>
      </c>
      <c r="J494" s="6">
        <f t="shared" si="7"/>
        <v>34439</v>
      </c>
      <c r="K494" t="s">
        <v>4</v>
      </c>
      <c r="L494" s="1">
        <v>45916</v>
      </c>
      <c r="M494" s="1">
        <v>45916</v>
      </c>
      <c r="P494" t="s">
        <v>5</v>
      </c>
    </row>
    <row r="495" spans="1:16" x14ac:dyDescent="0.35">
      <c r="A495" t="s">
        <v>26</v>
      </c>
      <c r="B495" t="s">
        <v>27</v>
      </c>
      <c r="C495" t="s">
        <v>28</v>
      </c>
      <c r="D495" t="s">
        <v>29</v>
      </c>
      <c r="E495" s="1">
        <v>45903</v>
      </c>
      <c r="G495" t="s">
        <v>8</v>
      </c>
      <c r="I495" s="6">
        <v>40000</v>
      </c>
      <c r="J495" s="6">
        <f t="shared" si="7"/>
        <v>40000</v>
      </c>
      <c r="K495" t="s">
        <v>4</v>
      </c>
      <c r="L495" s="1">
        <v>45919</v>
      </c>
      <c r="M495" s="1">
        <v>45919</v>
      </c>
      <c r="P495" t="s">
        <v>5</v>
      </c>
    </row>
    <row r="496" spans="1:16" x14ac:dyDescent="0.35">
      <c r="A496" t="s">
        <v>22</v>
      </c>
      <c r="B496" t="s">
        <v>27</v>
      </c>
      <c r="C496" t="s">
        <v>28</v>
      </c>
      <c r="D496" t="s">
        <v>29</v>
      </c>
      <c r="E496" s="1">
        <v>45903</v>
      </c>
      <c r="G496" t="s">
        <v>8</v>
      </c>
      <c r="I496" s="6">
        <v>40000</v>
      </c>
      <c r="J496" s="6">
        <f t="shared" si="7"/>
        <v>40000</v>
      </c>
      <c r="K496" t="s">
        <v>4</v>
      </c>
      <c r="L496" s="1">
        <v>45919</v>
      </c>
      <c r="M496" s="1">
        <v>45919</v>
      </c>
      <c r="P496" t="s">
        <v>5</v>
      </c>
    </row>
    <row r="497" spans="1:16" x14ac:dyDescent="0.35">
      <c r="A497" t="s">
        <v>26</v>
      </c>
      <c r="B497" t="s">
        <v>30</v>
      </c>
      <c r="C497" t="s">
        <v>31</v>
      </c>
      <c r="D497" t="s">
        <v>32</v>
      </c>
      <c r="E497" s="1">
        <v>45905</v>
      </c>
      <c r="F497" s="6">
        <v>32044</v>
      </c>
      <c r="G497" s="6">
        <v>6729.24</v>
      </c>
      <c r="I497" s="6">
        <v>38773.24</v>
      </c>
      <c r="J497" s="6">
        <f t="shared" si="7"/>
        <v>32044</v>
      </c>
      <c r="K497" t="s">
        <v>4</v>
      </c>
      <c r="L497" s="1">
        <v>45919</v>
      </c>
      <c r="M497" s="1">
        <v>45919</v>
      </c>
      <c r="P497" t="s">
        <v>5</v>
      </c>
    </row>
    <row r="498" spans="1:16" x14ac:dyDescent="0.35">
      <c r="A498" t="s">
        <v>33</v>
      </c>
      <c r="B498" t="s">
        <v>16</v>
      </c>
      <c r="C498" t="s">
        <v>16</v>
      </c>
      <c r="D498" t="s">
        <v>34</v>
      </c>
      <c r="E498" s="1">
        <v>45897</v>
      </c>
      <c r="F498" s="6">
        <v>16035.9</v>
      </c>
      <c r="G498" s="6">
        <v>4329.6899999999996</v>
      </c>
      <c r="H498" s="6">
        <v>-2752.69</v>
      </c>
      <c r="I498" s="6">
        <v>17612.900000000001</v>
      </c>
      <c r="J498" s="6">
        <f t="shared" si="7"/>
        <v>16035.9</v>
      </c>
      <c r="K498" t="s">
        <v>18</v>
      </c>
      <c r="L498" s="1">
        <v>45905</v>
      </c>
      <c r="M498" s="1">
        <v>45905</v>
      </c>
      <c r="P498" t="s">
        <v>5</v>
      </c>
    </row>
    <row r="499" spans="1:16" x14ac:dyDescent="0.35">
      <c r="A499" t="s">
        <v>33</v>
      </c>
      <c r="B499" t="s">
        <v>16</v>
      </c>
      <c r="C499" t="s">
        <v>16</v>
      </c>
      <c r="D499" t="s">
        <v>35</v>
      </c>
      <c r="E499" s="1">
        <v>45897</v>
      </c>
      <c r="F499" s="6">
        <v>152213.63</v>
      </c>
      <c r="G499" s="6">
        <v>41097.68</v>
      </c>
      <c r="H499" s="6">
        <v>10024.870000000001</v>
      </c>
      <c r="I499" s="6">
        <v>203336.18</v>
      </c>
      <c r="J499" s="6">
        <f t="shared" si="7"/>
        <v>152213.63</v>
      </c>
      <c r="K499" t="s">
        <v>18</v>
      </c>
      <c r="L499" s="1">
        <v>45905</v>
      </c>
      <c r="M499" s="1">
        <v>45905</v>
      </c>
      <c r="P499" t="s">
        <v>5</v>
      </c>
    </row>
    <row r="500" spans="1:16" x14ac:dyDescent="0.35">
      <c r="A500" t="s">
        <v>33</v>
      </c>
      <c r="B500" t="s">
        <v>16</v>
      </c>
      <c r="C500" t="s">
        <v>16</v>
      </c>
      <c r="D500" t="s">
        <v>36</v>
      </c>
      <c r="E500" s="1">
        <v>45907</v>
      </c>
      <c r="F500" s="6">
        <v>418303.83</v>
      </c>
      <c r="G500" s="6">
        <v>112942.03</v>
      </c>
      <c r="H500" s="6">
        <v>34992.1</v>
      </c>
      <c r="I500" s="6">
        <v>566237.96</v>
      </c>
      <c r="J500" s="6">
        <f t="shared" si="7"/>
        <v>418303.83</v>
      </c>
      <c r="K500" t="s">
        <v>18</v>
      </c>
      <c r="L500" s="1">
        <v>45911</v>
      </c>
      <c r="M500" s="1">
        <v>45911</v>
      </c>
      <c r="P500" t="s">
        <v>5</v>
      </c>
    </row>
    <row r="501" spans="1:16" x14ac:dyDescent="0.35">
      <c r="A501" t="s">
        <v>33</v>
      </c>
      <c r="B501" t="s">
        <v>19</v>
      </c>
      <c r="C501" t="s">
        <v>37</v>
      </c>
      <c r="D501" t="s">
        <v>38</v>
      </c>
      <c r="E501" s="1">
        <v>45888</v>
      </c>
      <c r="F501" s="6">
        <v>148427</v>
      </c>
      <c r="G501" s="6">
        <v>31169.67</v>
      </c>
      <c r="H501" s="6">
        <v>11874.16</v>
      </c>
      <c r="I501" s="6">
        <v>191470.83</v>
      </c>
      <c r="J501" s="6">
        <f t="shared" si="7"/>
        <v>148427</v>
      </c>
      <c r="K501" t="s">
        <v>39</v>
      </c>
      <c r="L501" s="1">
        <v>45903</v>
      </c>
      <c r="M501" s="1">
        <v>45903</v>
      </c>
      <c r="P501" t="s">
        <v>5</v>
      </c>
    </row>
    <row r="502" spans="1:16" x14ac:dyDescent="0.35">
      <c r="A502" t="s">
        <v>26</v>
      </c>
      <c r="B502" t="s">
        <v>16</v>
      </c>
      <c r="C502" t="s">
        <v>16</v>
      </c>
      <c r="D502" t="s">
        <v>40</v>
      </c>
      <c r="E502" s="1">
        <v>45896</v>
      </c>
      <c r="F502" s="6">
        <v>29590.880000000001</v>
      </c>
      <c r="G502" s="6">
        <v>7989.54</v>
      </c>
      <c r="H502" s="6">
        <v>-1480.82</v>
      </c>
      <c r="I502" s="6">
        <v>36099.599999999999</v>
      </c>
      <c r="J502" s="6">
        <f t="shared" si="7"/>
        <v>29590.880000000001</v>
      </c>
      <c r="K502" t="s">
        <v>18</v>
      </c>
      <c r="L502" s="1">
        <v>45904</v>
      </c>
      <c r="M502" s="1">
        <v>45904</v>
      </c>
      <c r="P502" t="s">
        <v>5</v>
      </c>
    </row>
    <row r="503" spans="1:16" x14ac:dyDescent="0.35">
      <c r="A503" t="s">
        <v>26</v>
      </c>
      <c r="B503" t="s">
        <v>16</v>
      </c>
      <c r="C503" t="s">
        <v>16</v>
      </c>
      <c r="D503" t="s">
        <v>41</v>
      </c>
      <c r="E503" s="1">
        <v>45896</v>
      </c>
      <c r="F503">
        <v>122558.97</v>
      </c>
      <c r="G503" s="6">
        <v>33090.92</v>
      </c>
      <c r="H503" s="6">
        <v>7242.37</v>
      </c>
      <c r="I503" s="6">
        <v>162892.26</v>
      </c>
      <c r="J503" s="6">
        <f t="shared" si="7"/>
        <v>122558.97</v>
      </c>
      <c r="K503" t="s">
        <v>18</v>
      </c>
      <c r="L503" s="1">
        <v>45904</v>
      </c>
      <c r="M503" s="1">
        <v>45904</v>
      </c>
      <c r="P503" t="s">
        <v>5</v>
      </c>
    </row>
    <row r="504" spans="1:16" x14ac:dyDescent="0.35">
      <c r="A504" t="s">
        <v>26</v>
      </c>
      <c r="B504" t="s">
        <v>19</v>
      </c>
      <c r="C504" t="s">
        <v>37</v>
      </c>
      <c r="D504" t="s">
        <v>42</v>
      </c>
      <c r="E504" s="1">
        <v>45888</v>
      </c>
      <c r="F504" s="6">
        <v>105150</v>
      </c>
      <c r="G504" s="6">
        <v>22081.5</v>
      </c>
      <c r="H504" s="6">
        <v>8412</v>
      </c>
      <c r="I504" s="6">
        <v>135643.5</v>
      </c>
      <c r="J504" s="6">
        <f t="shared" si="7"/>
        <v>105150</v>
      </c>
      <c r="K504" t="s">
        <v>18</v>
      </c>
      <c r="L504" s="1">
        <v>45903</v>
      </c>
      <c r="M504" s="1">
        <v>45903</v>
      </c>
      <c r="P504" t="s">
        <v>5</v>
      </c>
    </row>
    <row r="505" spans="1:16" x14ac:dyDescent="0.35">
      <c r="A505" t="s">
        <v>43</v>
      </c>
      <c r="B505" t="s">
        <v>19</v>
      </c>
      <c r="C505" t="s">
        <v>37</v>
      </c>
      <c r="D505" t="s">
        <v>44</v>
      </c>
      <c r="E505" s="1">
        <v>45888</v>
      </c>
      <c r="F505" s="6">
        <v>36375</v>
      </c>
      <c r="G505" s="6">
        <v>7638.75</v>
      </c>
      <c r="H505" s="6">
        <v>2910</v>
      </c>
      <c r="I505" s="6">
        <v>46923.75</v>
      </c>
      <c r="J505" s="6">
        <f t="shared" si="7"/>
        <v>36375</v>
      </c>
      <c r="K505" t="s">
        <v>45</v>
      </c>
      <c r="L505" s="1">
        <v>45903</v>
      </c>
      <c r="M505" s="1">
        <v>45904</v>
      </c>
      <c r="P505" t="s">
        <v>5</v>
      </c>
    </row>
    <row r="506" spans="1:16" x14ac:dyDescent="0.35">
      <c r="A506" t="s">
        <v>46</v>
      </c>
      <c r="B506" t="s">
        <v>16</v>
      </c>
      <c r="C506" t="s">
        <v>47</v>
      </c>
      <c r="G506" t="s">
        <v>8</v>
      </c>
      <c r="J506" s="6">
        <f t="shared" si="7"/>
        <v>0</v>
      </c>
      <c r="K506" t="s">
        <v>48</v>
      </c>
      <c r="P506" t="s">
        <v>5</v>
      </c>
    </row>
    <row r="507" spans="1:16" x14ac:dyDescent="0.35">
      <c r="A507" t="s">
        <v>49</v>
      </c>
      <c r="B507" t="s">
        <v>16</v>
      </c>
      <c r="C507" t="s">
        <v>16</v>
      </c>
      <c r="D507" t="s">
        <v>50</v>
      </c>
      <c r="E507" s="1">
        <v>45891</v>
      </c>
      <c r="F507" s="6">
        <v>78366</v>
      </c>
      <c r="G507" s="6">
        <v>21158.82</v>
      </c>
      <c r="H507" s="6">
        <v>3095.74</v>
      </c>
      <c r="I507" s="6">
        <v>102620.56</v>
      </c>
      <c r="J507" s="6">
        <f t="shared" si="7"/>
        <v>78366</v>
      </c>
      <c r="K507" t="s">
        <v>18</v>
      </c>
      <c r="L507" s="1">
        <v>45901</v>
      </c>
      <c r="M507" s="1">
        <v>45901</v>
      </c>
      <c r="P507" t="s">
        <v>5</v>
      </c>
    </row>
    <row r="508" spans="1:16" x14ac:dyDescent="0.35">
      <c r="A508" t="s">
        <v>49</v>
      </c>
      <c r="B508" t="s">
        <v>19</v>
      </c>
      <c r="C508" t="s">
        <v>37</v>
      </c>
      <c r="D508" t="s">
        <v>51</v>
      </c>
      <c r="E508" s="1">
        <v>45889</v>
      </c>
      <c r="F508" s="6">
        <v>59264.47</v>
      </c>
      <c r="G508" s="6">
        <v>12445.54</v>
      </c>
      <c r="H508" s="6">
        <v>4741.1499999999996</v>
      </c>
      <c r="I508" s="6">
        <v>76451.16</v>
      </c>
      <c r="J508" s="6">
        <f t="shared" si="7"/>
        <v>59264.47</v>
      </c>
      <c r="K508" t="s">
        <v>39</v>
      </c>
      <c r="L508" s="1">
        <v>45905</v>
      </c>
      <c r="M508" s="1">
        <v>45905</v>
      </c>
      <c r="P508" t="s">
        <v>5</v>
      </c>
    </row>
    <row r="509" spans="1:16" x14ac:dyDescent="0.35">
      <c r="A509" t="s">
        <v>52</v>
      </c>
      <c r="B509" t="s">
        <v>16</v>
      </c>
      <c r="C509" t="s">
        <v>16</v>
      </c>
      <c r="D509" t="s">
        <v>53</v>
      </c>
      <c r="E509" s="1">
        <v>45896</v>
      </c>
      <c r="F509" s="6">
        <v>78066.63</v>
      </c>
      <c r="G509" s="6">
        <v>21077.99</v>
      </c>
      <c r="H509" s="6">
        <v>3067.65</v>
      </c>
      <c r="I509" s="6">
        <v>102212.27</v>
      </c>
      <c r="J509" s="6">
        <f t="shared" si="7"/>
        <v>78066.63</v>
      </c>
      <c r="K509" t="s">
        <v>18</v>
      </c>
      <c r="L509" s="1">
        <v>45904</v>
      </c>
      <c r="M509" s="1">
        <v>45904</v>
      </c>
      <c r="P509" t="s">
        <v>5</v>
      </c>
    </row>
    <row r="510" spans="1:16" x14ac:dyDescent="0.35">
      <c r="G510" t="s">
        <v>8</v>
      </c>
      <c r="J510" s="6">
        <f t="shared" si="7"/>
        <v>0</v>
      </c>
      <c r="K510" t="s">
        <v>54</v>
      </c>
      <c r="P510" t="s">
        <v>5</v>
      </c>
    </row>
    <row r="511" spans="1:16" x14ac:dyDescent="0.35">
      <c r="A511" t="s">
        <v>55</v>
      </c>
      <c r="B511" t="s">
        <v>56</v>
      </c>
      <c r="C511" t="s">
        <v>57</v>
      </c>
      <c r="D511" t="s">
        <v>58</v>
      </c>
      <c r="E511" s="1">
        <v>45908</v>
      </c>
      <c r="F511" t="s">
        <v>8</v>
      </c>
      <c r="G511" t="s">
        <v>8</v>
      </c>
      <c r="I511" s="6">
        <v>58172.13</v>
      </c>
      <c r="J511" s="6" t="str">
        <f t="shared" si="7"/>
        <v>$ -</v>
      </c>
      <c r="K511" t="s">
        <v>4</v>
      </c>
      <c r="L511" s="1">
        <v>45919</v>
      </c>
      <c r="M511" s="1">
        <v>45919</v>
      </c>
      <c r="P511" t="s">
        <v>5</v>
      </c>
    </row>
    <row r="512" spans="1:16" x14ac:dyDescent="0.35">
      <c r="A512" t="s">
        <v>55</v>
      </c>
      <c r="B512" t="s">
        <v>1</v>
      </c>
      <c r="C512" t="s">
        <v>57</v>
      </c>
      <c r="D512" t="s">
        <v>59</v>
      </c>
      <c r="E512" s="1">
        <v>45908</v>
      </c>
      <c r="F512" s="6">
        <v>1018313.91</v>
      </c>
      <c r="G512" s="6">
        <v>213845.92</v>
      </c>
      <c r="I512" s="6">
        <v>1232159.83</v>
      </c>
      <c r="J512" s="6">
        <f t="shared" si="7"/>
        <v>1018313.91</v>
      </c>
      <c r="K512" t="s">
        <v>4</v>
      </c>
      <c r="L512" s="1">
        <v>45911</v>
      </c>
      <c r="M512" s="1">
        <v>45911</v>
      </c>
      <c r="P512" t="s">
        <v>5</v>
      </c>
    </row>
    <row r="513" spans="1:16" x14ac:dyDescent="0.35">
      <c r="A513" t="s">
        <v>55</v>
      </c>
      <c r="B513" t="s">
        <v>9</v>
      </c>
      <c r="C513" t="s">
        <v>57</v>
      </c>
      <c r="D513" t="s">
        <v>58</v>
      </c>
      <c r="E513" s="1">
        <v>45908</v>
      </c>
      <c r="F513" s="6">
        <v>64082.32</v>
      </c>
      <c r="G513" s="6">
        <v>17302.23</v>
      </c>
      <c r="H513" s="6">
        <v>4030.78</v>
      </c>
      <c r="I513" s="6">
        <v>85415.33</v>
      </c>
      <c r="J513" s="6">
        <f t="shared" si="7"/>
        <v>64082.32</v>
      </c>
      <c r="K513" t="s">
        <v>4</v>
      </c>
      <c r="L513" s="1">
        <v>45919</v>
      </c>
      <c r="M513" s="1">
        <v>45919</v>
      </c>
      <c r="P513" t="s">
        <v>5</v>
      </c>
    </row>
    <row r="514" spans="1:16" x14ac:dyDescent="0.35">
      <c r="A514" t="s">
        <v>55</v>
      </c>
      <c r="B514" t="s">
        <v>16</v>
      </c>
      <c r="C514" t="s">
        <v>57</v>
      </c>
      <c r="D514" t="s">
        <v>58</v>
      </c>
      <c r="E514" s="1">
        <v>45908</v>
      </c>
      <c r="G514" t="s">
        <v>8</v>
      </c>
      <c r="I514" s="6">
        <v>425870.18</v>
      </c>
      <c r="J514" s="6">
        <f t="shared" si="7"/>
        <v>425870.18</v>
      </c>
      <c r="K514" t="s">
        <v>4</v>
      </c>
      <c r="L514" s="1">
        <v>45919</v>
      </c>
      <c r="M514" s="1">
        <v>45919</v>
      </c>
      <c r="P514" t="s">
        <v>5</v>
      </c>
    </row>
    <row r="515" spans="1:16" x14ac:dyDescent="0.35">
      <c r="A515" t="s">
        <v>55</v>
      </c>
      <c r="B515" t="s">
        <v>60</v>
      </c>
      <c r="C515" t="s">
        <v>57</v>
      </c>
      <c r="D515" t="s">
        <v>58</v>
      </c>
      <c r="E515" s="1">
        <v>45908</v>
      </c>
      <c r="G515" t="s">
        <v>8</v>
      </c>
      <c r="I515" s="6">
        <v>316791.89</v>
      </c>
      <c r="J515" s="6">
        <f t="shared" ref="J515:J578" si="8">IF(F515&gt;0,F515,I515)</f>
        <v>316791.89</v>
      </c>
      <c r="K515" t="s">
        <v>4</v>
      </c>
      <c r="L515" s="1">
        <v>45919</v>
      </c>
      <c r="M515" s="1">
        <v>45919</v>
      </c>
      <c r="P515" t="s">
        <v>5</v>
      </c>
    </row>
    <row r="516" spans="1:16" x14ac:dyDescent="0.35">
      <c r="A516" t="s">
        <v>55</v>
      </c>
      <c r="B516" t="s">
        <v>61</v>
      </c>
      <c r="C516" t="s">
        <v>31</v>
      </c>
      <c r="D516" t="s">
        <v>32</v>
      </c>
      <c r="E516" s="1">
        <v>45905</v>
      </c>
      <c r="F516" s="6">
        <v>28620</v>
      </c>
      <c r="G516" s="6">
        <v>6010.2</v>
      </c>
      <c r="I516" s="6">
        <v>34630.199999999997</v>
      </c>
      <c r="J516" s="6">
        <f t="shared" si="8"/>
        <v>28620</v>
      </c>
      <c r="K516" t="s">
        <v>4</v>
      </c>
      <c r="L516" s="1">
        <v>45919</v>
      </c>
      <c r="M516" s="1">
        <v>45919</v>
      </c>
      <c r="P516" t="s">
        <v>5</v>
      </c>
    </row>
    <row r="517" spans="1:16" x14ac:dyDescent="0.35">
      <c r="A517" t="s">
        <v>55</v>
      </c>
      <c r="B517" t="s">
        <v>19</v>
      </c>
      <c r="C517" t="s">
        <v>37</v>
      </c>
      <c r="D517" t="s">
        <v>62</v>
      </c>
      <c r="E517" s="1">
        <v>45888</v>
      </c>
      <c r="F517" s="6">
        <v>91977</v>
      </c>
      <c r="G517" s="6">
        <v>19315.169999999998</v>
      </c>
      <c r="H517" s="6">
        <v>7358.16</v>
      </c>
      <c r="I517" s="6">
        <v>118650.33</v>
      </c>
      <c r="J517" s="6">
        <f t="shared" si="8"/>
        <v>91977</v>
      </c>
      <c r="K517" t="s">
        <v>39</v>
      </c>
      <c r="L517" s="1">
        <v>45903</v>
      </c>
      <c r="M517" s="1">
        <v>45903</v>
      </c>
      <c r="P517" t="s">
        <v>5</v>
      </c>
    </row>
    <row r="518" spans="1:16" x14ac:dyDescent="0.35">
      <c r="A518" t="s">
        <v>63</v>
      </c>
      <c r="B518" t="s">
        <v>1</v>
      </c>
      <c r="C518" t="s">
        <v>64</v>
      </c>
      <c r="D518" t="s">
        <v>65</v>
      </c>
      <c r="E518" s="1">
        <v>45901</v>
      </c>
      <c r="F518" s="6">
        <v>1498079</v>
      </c>
      <c r="G518" s="6">
        <v>314596.59000000003</v>
      </c>
      <c r="I518" s="6">
        <v>1812675.59</v>
      </c>
      <c r="J518" s="6">
        <f t="shared" si="8"/>
        <v>1498079</v>
      </c>
      <c r="K518" t="s">
        <v>4</v>
      </c>
      <c r="L518" s="1">
        <v>45910</v>
      </c>
      <c r="M518" s="1">
        <v>45910</v>
      </c>
      <c r="N518" t="s">
        <v>66</v>
      </c>
      <c r="P518" t="s">
        <v>5</v>
      </c>
    </row>
    <row r="519" spans="1:16" x14ac:dyDescent="0.35">
      <c r="A519" t="s">
        <v>63</v>
      </c>
      <c r="B519" t="s">
        <v>16</v>
      </c>
      <c r="C519" t="s">
        <v>16</v>
      </c>
      <c r="D519" t="s">
        <v>67</v>
      </c>
      <c r="E519" s="1">
        <v>45889</v>
      </c>
      <c r="F519" s="6">
        <v>150387.13</v>
      </c>
      <c r="G519" s="6">
        <v>40604.53</v>
      </c>
      <c r="H519" s="6">
        <v>9853.48</v>
      </c>
      <c r="I519" s="6">
        <v>200845.14</v>
      </c>
      <c r="J519" s="6">
        <f t="shared" si="8"/>
        <v>150387.13</v>
      </c>
      <c r="K519" t="s">
        <v>18</v>
      </c>
      <c r="L519" s="1">
        <v>45904</v>
      </c>
      <c r="M519" s="1">
        <v>45904</v>
      </c>
      <c r="P519" t="s">
        <v>5</v>
      </c>
    </row>
    <row r="520" spans="1:16" x14ac:dyDescent="0.35">
      <c r="A520" t="s">
        <v>63</v>
      </c>
      <c r="B520" t="s">
        <v>61</v>
      </c>
      <c r="C520" t="s">
        <v>31</v>
      </c>
      <c r="D520" t="s">
        <v>32</v>
      </c>
      <c r="E520" s="1">
        <v>45905</v>
      </c>
      <c r="F520" s="6">
        <v>71073</v>
      </c>
      <c r="G520" s="6">
        <v>14925.33</v>
      </c>
      <c r="I520" s="6">
        <v>85998.33</v>
      </c>
      <c r="J520" s="6">
        <f t="shared" si="8"/>
        <v>71073</v>
      </c>
      <c r="K520" t="s">
        <v>4</v>
      </c>
      <c r="L520" s="1">
        <v>45919</v>
      </c>
      <c r="M520" s="1">
        <v>45919</v>
      </c>
      <c r="P520" t="s">
        <v>5</v>
      </c>
    </row>
    <row r="521" spans="1:16" x14ac:dyDescent="0.35">
      <c r="A521" t="s">
        <v>63</v>
      </c>
      <c r="B521" t="s">
        <v>19</v>
      </c>
      <c r="C521" t="s">
        <v>37</v>
      </c>
      <c r="D521" t="s">
        <v>68</v>
      </c>
      <c r="E521" s="1">
        <v>45888</v>
      </c>
      <c r="F521" s="6">
        <v>55680</v>
      </c>
      <c r="G521" s="6">
        <v>11692.8</v>
      </c>
      <c r="H521" s="6">
        <v>4454.3999999999996</v>
      </c>
      <c r="I521" s="6">
        <v>71827.199999999997</v>
      </c>
      <c r="J521" s="6">
        <f t="shared" si="8"/>
        <v>55680</v>
      </c>
      <c r="K521" t="s">
        <v>18</v>
      </c>
      <c r="L521" s="1">
        <v>45903</v>
      </c>
      <c r="M521" s="1">
        <v>45903</v>
      </c>
      <c r="P521" t="s">
        <v>5</v>
      </c>
    </row>
    <row r="522" spans="1:16" x14ac:dyDescent="0.35">
      <c r="A522" t="s">
        <v>22</v>
      </c>
      <c r="B522" t="s">
        <v>56</v>
      </c>
      <c r="C522" t="s">
        <v>69</v>
      </c>
      <c r="D522" t="s">
        <v>7</v>
      </c>
      <c r="E522" s="1">
        <v>45901</v>
      </c>
      <c r="G522" t="s">
        <v>8</v>
      </c>
      <c r="I522" s="6">
        <v>418567.63</v>
      </c>
      <c r="J522" s="6">
        <f t="shared" si="8"/>
        <v>418567.63</v>
      </c>
      <c r="K522" t="s">
        <v>18</v>
      </c>
      <c r="L522" s="1">
        <v>45908</v>
      </c>
      <c r="M522" s="1">
        <v>45908</v>
      </c>
      <c r="N522" t="s">
        <v>70</v>
      </c>
      <c r="P522" t="s">
        <v>5</v>
      </c>
    </row>
    <row r="523" spans="1:16" x14ac:dyDescent="0.35">
      <c r="A523" t="s">
        <v>22</v>
      </c>
      <c r="B523" t="s">
        <v>27</v>
      </c>
      <c r="C523" t="s">
        <v>11</v>
      </c>
      <c r="D523" t="s">
        <v>71</v>
      </c>
      <c r="E523" s="1">
        <v>45891</v>
      </c>
      <c r="F523" s="6">
        <v>70990</v>
      </c>
      <c r="G523" s="6">
        <v>17037.599999999999</v>
      </c>
      <c r="H523" s="6">
        <v>7547.36</v>
      </c>
      <c r="I523" s="6">
        <v>95574.96</v>
      </c>
      <c r="J523" s="6">
        <f t="shared" si="8"/>
        <v>70990</v>
      </c>
      <c r="K523" t="s">
        <v>4</v>
      </c>
      <c r="L523" s="1">
        <v>45915</v>
      </c>
      <c r="M523" s="1">
        <v>45915</v>
      </c>
      <c r="P523" t="s">
        <v>5</v>
      </c>
    </row>
    <row r="524" spans="1:16" x14ac:dyDescent="0.35">
      <c r="A524" t="s">
        <v>22</v>
      </c>
      <c r="B524" t="s">
        <v>9</v>
      </c>
      <c r="C524" t="s">
        <v>72</v>
      </c>
      <c r="D524" t="s">
        <v>73</v>
      </c>
      <c r="E524" s="1">
        <v>45911</v>
      </c>
      <c r="G524" t="s">
        <v>8</v>
      </c>
      <c r="I524" s="6">
        <v>249201.8</v>
      </c>
      <c r="J524" s="6">
        <f t="shared" si="8"/>
        <v>249201.8</v>
      </c>
      <c r="K524" t="s">
        <v>4</v>
      </c>
      <c r="L524" s="1">
        <v>45919</v>
      </c>
      <c r="M524" s="1">
        <v>45919</v>
      </c>
      <c r="P524" t="s">
        <v>5</v>
      </c>
    </row>
    <row r="525" spans="1:16" x14ac:dyDescent="0.35">
      <c r="A525" t="s">
        <v>22</v>
      </c>
      <c r="B525" t="s">
        <v>16</v>
      </c>
      <c r="C525" t="s">
        <v>72</v>
      </c>
      <c r="D525" t="s">
        <v>73</v>
      </c>
      <c r="E525" s="1">
        <v>45911</v>
      </c>
      <c r="G525" t="s">
        <v>8</v>
      </c>
      <c r="I525" s="6">
        <v>1272471.43</v>
      </c>
      <c r="J525" s="6">
        <f t="shared" si="8"/>
        <v>1272471.43</v>
      </c>
      <c r="K525" t="s">
        <v>4</v>
      </c>
      <c r="L525" s="1">
        <v>45919</v>
      </c>
      <c r="M525" s="1">
        <v>45919</v>
      </c>
      <c r="P525" t="s">
        <v>5</v>
      </c>
    </row>
    <row r="526" spans="1:16" x14ac:dyDescent="0.35">
      <c r="A526" t="s">
        <v>22</v>
      </c>
      <c r="B526" t="s">
        <v>61</v>
      </c>
      <c r="C526" t="s">
        <v>31</v>
      </c>
      <c r="D526" t="s">
        <v>32</v>
      </c>
      <c r="E526" s="1">
        <v>45905</v>
      </c>
      <c r="F526" s="6">
        <v>90566</v>
      </c>
      <c r="G526" s="6">
        <v>19018.86</v>
      </c>
      <c r="I526" s="6">
        <v>109584.86</v>
      </c>
      <c r="J526" s="6">
        <f t="shared" si="8"/>
        <v>90566</v>
      </c>
      <c r="K526" t="s">
        <v>4</v>
      </c>
      <c r="L526" s="1">
        <v>45919</v>
      </c>
      <c r="M526" s="1">
        <v>45919</v>
      </c>
      <c r="P526" t="s">
        <v>5</v>
      </c>
    </row>
    <row r="527" spans="1:16" x14ac:dyDescent="0.35">
      <c r="A527" t="s">
        <v>22</v>
      </c>
      <c r="B527" t="s">
        <v>19</v>
      </c>
      <c r="C527" t="s">
        <v>74</v>
      </c>
      <c r="D527" t="s">
        <v>75</v>
      </c>
      <c r="E527" s="1">
        <v>45901</v>
      </c>
      <c r="G527" t="s">
        <v>8</v>
      </c>
      <c r="I527" s="6">
        <v>121358.5</v>
      </c>
      <c r="J527" s="6">
        <f t="shared" si="8"/>
        <v>121358.5</v>
      </c>
      <c r="K527" t="s">
        <v>45</v>
      </c>
      <c r="L527" s="1">
        <v>45922</v>
      </c>
      <c r="M527" s="1">
        <v>45922</v>
      </c>
      <c r="N527" t="s">
        <v>76</v>
      </c>
      <c r="P527" t="s">
        <v>5</v>
      </c>
    </row>
    <row r="528" spans="1:16" x14ac:dyDescent="0.35">
      <c r="A528" t="s">
        <v>22</v>
      </c>
      <c r="B528" t="s">
        <v>77</v>
      </c>
      <c r="C528" t="s">
        <v>78</v>
      </c>
      <c r="D528" t="s">
        <v>79</v>
      </c>
      <c r="E528" s="1">
        <v>45901</v>
      </c>
      <c r="G528" t="s">
        <v>8</v>
      </c>
      <c r="I528" s="6">
        <v>63334.42</v>
      </c>
      <c r="J528" s="6">
        <f t="shared" si="8"/>
        <v>63334.42</v>
      </c>
      <c r="K528" t="s">
        <v>18</v>
      </c>
      <c r="L528" s="1">
        <v>45901</v>
      </c>
      <c r="M528" s="1">
        <v>45901</v>
      </c>
      <c r="P528" t="s">
        <v>5</v>
      </c>
    </row>
    <row r="529" spans="1:16" x14ac:dyDescent="0.35">
      <c r="A529" t="s">
        <v>22</v>
      </c>
      <c r="B529" t="s">
        <v>80</v>
      </c>
      <c r="C529" t="s">
        <v>37</v>
      </c>
      <c r="D529" t="s">
        <v>81</v>
      </c>
      <c r="E529" s="1">
        <v>45893</v>
      </c>
      <c r="F529" s="6">
        <v>235443.99</v>
      </c>
      <c r="G529" s="6">
        <v>49486.559999999998</v>
      </c>
      <c r="H529" s="6">
        <v>19129.330000000002</v>
      </c>
      <c r="I529" s="6">
        <v>304059.88</v>
      </c>
      <c r="J529" s="6">
        <f t="shared" si="8"/>
        <v>235443.99</v>
      </c>
      <c r="K529" t="s">
        <v>18</v>
      </c>
      <c r="L529" s="1">
        <v>45911</v>
      </c>
      <c r="M529" s="1">
        <v>45911</v>
      </c>
      <c r="P529" t="s">
        <v>5</v>
      </c>
    </row>
    <row r="530" spans="1:16" x14ac:dyDescent="0.35">
      <c r="A530" t="s">
        <v>82</v>
      </c>
      <c r="B530" t="s">
        <v>56</v>
      </c>
      <c r="C530" t="s">
        <v>69</v>
      </c>
      <c r="D530" t="s">
        <v>7</v>
      </c>
      <c r="E530" s="1">
        <v>45901</v>
      </c>
      <c r="G530" t="s">
        <v>8</v>
      </c>
      <c r="I530" s="6">
        <v>68594.58</v>
      </c>
      <c r="J530" s="6">
        <f t="shared" si="8"/>
        <v>68594.58</v>
      </c>
      <c r="K530" t="s">
        <v>18</v>
      </c>
      <c r="L530" s="1">
        <v>45908</v>
      </c>
      <c r="M530" s="1">
        <v>45908</v>
      </c>
      <c r="N530" t="s">
        <v>83</v>
      </c>
      <c r="P530" t="s">
        <v>5</v>
      </c>
    </row>
    <row r="531" spans="1:16" x14ac:dyDescent="0.35">
      <c r="A531" t="s">
        <v>82</v>
      </c>
      <c r="B531" t="s">
        <v>1</v>
      </c>
      <c r="C531" t="s">
        <v>84</v>
      </c>
      <c r="D531" t="s">
        <v>85</v>
      </c>
      <c r="E531" s="1">
        <v>45901</v>
      </c>
      <c r="F531" s="6">
        <v>1354200</v>
      </c>
      <c r="G531" s="6">
        <v>284382</v>
      </c>
      <c r="I531" s="6">
        <v>1638582</v>
      </c>
      <c r="J531" s="6">
        <f t="shared" si="8"/>
        <v>1354200</v>
      </c>
      <c r="K531" t="s">
        <v>4</v>
      </c>
      <c r="L531" s="1">
        <v>45911</v>
      </c>
      <c r="M531" s="1">
        <v>45911</v>
      </c>
      <c r="P531" t="s">
        <v>5</v>
      </c>
    </row>
    <row r="532" spans="1:16" x14ac:dyDescent="0.35">
      <c r="A532" t="s">
        <v>82</v>
      </c>
      <c r="B532" t="s">
        <v>1</v>
      </c>
      <c r="C532" t="s">
        <v>84</v>
      </c>
      <c r="D532" t="s">
        <v>86</v>
      </c>
      <c r="E532" s="1">
        <v>45911</v>
      </c>
      <c r="F532" s="6">
        <v>74446</v>
      </c>
      <c r="G532" s="6">
        <v>15633.66</v>
      </c>
      <c r="I532" s="6">
        <v>90079.66</v>
      </c>
      <c r="J532" s="6">
        <f t="shared" si="8"/>
        <v>74446</v>
      </c>
      <c r="K532" t="s">
        <v>4</v>
      </c>
      <c r="L532" s="1">
        <v>45919</v>
      </c>
      <c r="M532" s="1">
        <v>45919</v>
      </c>
      <c r="P532" t="s">
        <v>5</v>
      </c>
    </row>
    <row r="533" spans="1:16" x14ac:dyDescent="0.35">
      <c r="A533" t="s">
        <v>82</v>
      </c>
      <c r="B533" t="s">
        <v>9</v>
      </c>
      <c r="C533" t="s">
        <v>14</v>
      </c>
      <c r="D533" t="s">
        <v>7</v>
      </c>
      <c r="G533" t="s">
        <v>8</v>
      </c>
      <c r="I533" t="s">
        <v>8</v>
      </c>
      <c r="J533" s="6" t="str">
        <f t="shared" si="8"/>
        <v>$ -</v>
      </c>
      <c r="K533" t="s">
        <v>18</v>
      </c>
      <c r="L533" s="1">
        <v>45902</v>
      </c>
      <c r="M533" s="1">
        <v>45902</v>
      </c>
      <c r="N533" t="s">
        <v>87</v>
      </c>
      <c r="P533" t="s">
        <v>5</v>
      </c>
    </row>
    <row r="534" spans="1:16" x14ac:dyDescent="0.35">
      <c r="A534" t="s">
        <v>82</v>
      </c>
      <c r="B534" t="s">
        <v>27</v>
      </c>
      <c r="C534" t="s">
        <v>28</v>
      </c>
      <c r="D534" t="s">
        <v>29</v>
      </c>
      <c r="E534" s="1">
        <v>45903</v>
      </c>
      <c r="G534" t="s">
        <v>8</v>
      </c>
      <c r="I534" s="6">
        <v>40000</v>
      </c>
      <c r="J534" s="6">
        <f t="shared" si="8"/>
        <v>40000</v>
      </c>
      <c r="K534" t="s">
        <v>4</v>
      </c>
      <c r="L534" s="1">
        <v>45919</v>
      </c>
      <c r="M534" s="1">
        <v>45919</v>
      </c>
      <c r="P534" t="s">
        <v>5</v>
      </c>
    </row>
    <row r="535" spans="1:16" x14ac:dyDescent="0.35">
      <c r="A535" t="s">
        <v>82</v>
      </c>
      <c r="B535" t="s">
        <v>16</v>
      </c>
      <c r="C535" t="s">
        <v>16</v>
      </c>
      <c r="D535" t="s">
        <v>88</v>
      </c>
      <c r="E535" s="1">
        <v>45918</v>
      </c>
      <c r="F535" s="6">
        <v>181323.79</v>
      </c>
      <c r="G535" s="6">
        <v>48957.42</v>
      </c>
      <c r="H535" s="6">
        <v>17013.61</v>
      </c>
      <c r="I535" s="6">
        <v>247294.82</v>
      </c>
      <c r="J535" s="6">
        <f t="shared" si="8"/>
        <v>181323.79</v>
      </c>
      <c r="K535" t="s">
        <v>18</v>
      </c>
      <c r="L535" s="1">
        <v>45926</v>
      </c>
      <c r="M535" s="1">
        <v>45926</v>
      </c>
      <c r="P535" t="s">
        <v>5</v>
      </c>
    </row>
    <row r="536" spans="1:16" x14ac:dyDescent="0.35">
      <c r="A536" t="s">
        <v>82</v>
      </c>
      <c r="B536" t="s">
        <v>61</v>
      </c>
      <c r="C536" t="s">
        <v>31</v>
      </c>
      <c r="D536" t="s">
        <v>32</v>
      </c>
      <c r="E536" s="1">
        <v>45905</v>
      </c>
      <c r="F536" s="6">
        <v>95098</v>
      </c>
      <c r="G536" s="6">
        <v>19970.580000000002</v>
      </c>
      <c r="I536" s="6">
        <v>115068.58</v>
      </c>
      <c r="J536" s="6">
        <f t="shared" si="8"/>
        <v>95098</v>
      </c>
      <c r="K536" t="s">
        <v>4</v>
      </c>
      <c r="L536" s="1">
        <v>45919</v>
      </c>
      <c r="M536" s="1">
        <v>45919</v>
      </c>
      <c r="P536" t="s">
        <v>5</v>
      </c>
    </row>
    <row r="537" spans="1:16" x14ac:dyDescent="0.35">
      <c r="A537" t="s">
        <v>82</v>
      </c>
      <c r="B537" t="s">
        <v>19</v>
      </c>
      <c r="C537" t="s">
        <v>37</v>
      </c>
      <c r="D537" t="s">
        <v>89</v>
      </c>
      <c r="E537" s="1">
        <v>45888</v>
      </c>
      <c r="F537" s="6">
        <v>33100</v>
      </c>
      <c r="G537" s="6">
        <v>6951</v>
      </c>
      <c r="H537" s="6">
        <v>2648</v>
      </c>
      <c r="I537" s="6">
        <v>42699</v>
      </c>
      <c r="J537" s="6">
        <f t="shared" si="8"/>
        <v>33100</v>
      </c>
      <c r="K537" t="s">
        <v>18</v>
      </c>
      <c r="L537" s="1">
        <v>45903</v>
      </c>
      <c r="M537" s="1">
        <v>45903</v>
      </c>
      <c r="P537" t="s">
        <v>5</v>
      </c>
    </row>
    <row r="538" spans="1:16" x14ac:dyDescent="0.35">
      <c r="A538" t="s">
        <v>90</v>
      </c>
      <c r="B538" t="s">
        <v>61</v>
      </c>
      <c r="C538" t="s">
        <v>31</v>
      </c>
      <c r="D538" t="s">
        <v>32</v>
      </c>
      <c r="E538" s="1">
        <v>45905</v>
      </c>
      <c r="F538" s="6">
        <v>99165</v>
      </c>
      <c r="G538" s="6">
        <v>20824.650000000001</v>
      </c>
      <c r="I538" s="6">
        <v>119989.65</v>
      </c>
      <c r="J538" s="6">
        <f t="shared" si="8"/>
        <v>99165</v>
      </c>
      <c r="K538" t="s">
        <v>4</v>
      </c>
      <c r="L538" s="1">
        <v>45919</v>
      </c>
      <c r="M538" s="1">
        <v>45919</v>
      </c>
      <c r="P538" t="s">
        <v>5</v>
      </c>
    </row>
    <row r="539" spans="1:16" x14ac:dyDescent="0.35">
      <c r="A539" t="s">
        <v>63</v>
      </c>
      <c r="B539" t="s">
        <v>27</v>
      </c>
      <c r="C539" t="s">
        <v>28</v>
      </c>
      <c r="D539" t="s">
        <v>29</v>
      </c>
      <c r="E539" s="1">
        <v>45903</v>
      </c>
      <c r="G539" t="s">
        <v>8</v>
      </c>
      <c r="I539" s="6">
        <v>40000</v>
      </c>
      <c r="J539" s="6">
        <f t="shared" si="8"/>
        <v>40000</v>
      </c>
      <c r="K539" t="s">
        <v>4</v>
      </c>
      <c r="L539" s="1">
        <v>45919</v>
      </c>
      <c r="M539" s="1">
        <v>45919</v>
      </c>
      <c r="P539" t="s">
        <v>5</v>
      </c>
    </row>
    <row r="540" spans="1:16" x14ac:dyDescent="0.35">
      <c r="G540" t="s">
        <v>8</v>
      </c>
      <c r="J540" s="6">
        <f t="shared" si="8"/>
        <v>0</v>
      </c>
      <c r="P540" t="s">
        <v>5</v>
      </c>
    </row>
    <row r="541" spans="1:16" x14ac:dyDescent="0.35">
      <c r="A541" t="s">
        <v>91</v>
      </c>
      <c r="G541" t="s">
        <v>8</v>
      </c>
      <c r="J541" s="6">
        <f t="shared" si="8"/>
        <v>0</v>
      </c>
      <c r="L541" s="1">
        <v>45931</v>
      </c>
      <c r="M541" s="1">
        <v>45931</v>
      </c>
      <c r="P541" t="s">
        <v>92</v>
      </c>
    </row>
    <row r="542" spans="1:16" x14ac:dyDescent="0.35">
      <c r="A542" t="s">
        <v>0</v>
      </c>
      <c r="B542" t="s">
        <v>10</v>
      </c>
      <c r="C542" t="s">
        <v>11</v>
      </c>
      <c r="D542" t="s">
        <v>12</v>
      </c>
      <c r="G542" t="s">
        <v>8</v>
      </c>
      <c r="I542" s="6">
        <v>24004.5</v>
      </c>
      <c r="J542" s="6">
        <f t="shared" si="8"/>
        <v>24004.5</v>
      </c>
      <c r="K542" t="s">
        <v>4</v>
      </c>
      <c r="L542" s="1">
        <v>45931</v>
      </c>
      <c r="P542" t="s">
        <v>92</v>
      </c>
    </row>
    <row r="543" spans="1:16" x14ac:dyDescent="0.35">
      <c r="B543" t="s">
        <v>30</v>
      </c>
      <c r="J543" s="6">
        <f t="shared" si="8"/>
        <v>0</v>
      </c>
      <c r="K543" t="s">
        <v>18</v>
      </c>
      <c r="P543" t="s">
        <v>92</v>
      </c>
    </row>
    <row r="544" spans="1:16" x14ac:dyDescent="0.35">
      <c r="A544" t="s">
        <v>0</v>
      </c>
      <c r="B544" t="s">
        <v>1</v>
      </c>
      <c r="C544" t="s">
        <v>2</v>
      </c>
      <c r="D544" t="s">
        <v>3</v>
      </c>
      <c r="G544" t="s">
        <v>8</v>
      </c>
      <c r="J544" s="6">
        <f t="shared" si="8"/>
        <v>0</v>
      </c>
      <c r="K544" t="s">
        <v>4</v>
      </c>
      <c r="P544" t="s">
        <v>92</v>
      </c>
    </row>
    <row r="545" spans="1:16" x14ac:dyDescent="0.35">
      <c r="A545" t="s">
        <v>0</v>
      </c>
      <c r="B545" t="s">
        <v>6</v>
      </c>
      <c r="C545" t="s">
        <v>2</v>
      </c>
      <c r="D545" t="s">
        <v>7</v>
      </c>
      <c r="G545" t="s">
        <v>8</v>
      </c>
      <c r="J545" s="6">
        <f t="shared" si="8"/>
        <v>0</v>
      </c>
      <c r="K545" t="s">
        <v>4</v>
      </c>
      <c r="P545" t="s">
        <v>92</v>
      </c>
    </row>
    <row r="546" spans="1:16" x14ac:dyDescent="0.35">
      <c r="A546" t="s">
        <v>0</v>
      </c>
      <c r="B546" t="s">
        <v>9</v>
      </c>
      <c r="C546" t="s">
        <v>2</v>
      </c>
      <c r="D546" t="s">
        <v>7</v>
      </c>
      <c r="G546" t="s">
        <v>8</v>
      </c>
      <c r="J546" s="6">
        <f t="shared" si="8"/>
        <v>0</v>
      </c>
      <c r="K546" t="s">
        <v>4</v>
      </c>
      <c r="P546" t="s">
        <v>92</v>
      </c>
    </row>
    <row r="547" spans="1:16" x14ac:dyDescent="0.35">
      <c r="A547" t="s">
        <v>0</v>
      </c>
      <c r="B547" t="s">
        <v>10</v>
      </c>
      <c r="C547" t="s">
        <v>11</v>
      </c>
      <c r="D547" t="s">
        <v>12</v>
      </c>
      <c r="G547" t="s">
        <v>8</v>
      </c>
      <c r="J547" s="6">
        <f t="shared" si="8"/>
        <v>0</v>
      </c>
      <c r="K547" t="s">
        <v>4</v>
      </c>
      <c r="P547" t="s">
        <v>92</v>
      </c>
    </row>
    <row r="548" spans="1:16" x14ac:dyDescent="0.35">
      <c r="A548" t="s">
        <v>0</v>
      </c>
      <c r="B548" t="s">
        <v>13</v>
      </c>
      <c r="C548" t="s">
        <v>14</v>
      </c>
      <c r="D548" t="s">
        <v>7</v>
      </c>
      <c r="G548" t="s">
        <v>8</v>
      </c>
      <c r="J548" s="6">
        <f t="shared" si="8"/>
        <v>0</v>
      </c>
      <c r="K548" t="s">
        <v>4</v>
      </c>
      <c r="P548" t="s">
        <v>92</v>
      </c>
    </row>
    <row r="549" spans="1:16" x14ac:dyDescent="0.35">
      <c r="A549" t="s">
        <v>15</v>
      </c>
      <c r="B549" t="s">
        <v>16</v>
      </c>
      <c r="C549" t="s">
        <v>16</v>
      </c>
      <c r="D549" t="s">
        <v>93</v>
      </c>
      <c r="E549" s="1">
        <v>45925</v>
      </c>
      <c r="F549" s="6">
        <v>35503.199999999997</v>
      </c>
      <c r="G549" s="6">
        <v>9585.86</v>
      </c>
      <c r="H549" s="6">
        <v>-3154.37</v>
      </c>
      <c r="I549" s="6">
        <v>41934.69</v>
      </c>
      <c r="J549" s="6">
        <f t="shared" si="8"/>
        <v>35503.199999999997</v>
      </c>
      <c r="K549" t="s">
        <v>18</v>
      </c>
      <c r="L549" s="1">
        <v>45933</v>
      </c>
      <c r="P549" t="s">
        <v>92</v>
      </c>
    </row>
    <row r="550" spans="1:16" x14ac:dyDescent="0.35">
      <c r="A550" t="s">
        <v>15</v>
      </c>
      <c r="B550" t="s">
        <v>19</v>
      </c>
      <c r="C550" t="s">
        <v>20</v>
      </c>
      <c r="D550" t="s">
        <v>21</v>
      </c>
      <c r="J550" s="6">
        <f t="shared" si="8"/>
        <v>0</v>
      </c>
      <c r="K550" t="s">
        <v>18</v>
      </c>
      <c r="P550" t="s">
        <v>92</v>
      </c>
    </row>
    <row r="551" spans="1:16" x14ac:dyDescent="0.35">
      <c r="A551" t="s">
        <v>22</v>
      </c>
      <c r="B551" t="s">
        <v>23</v>
      </c>
      <c r="C551" t="s">
        <v>24</v>
      </c>
      <c r="D551" t="s">
        <v>25</v>
      </c>
      <c r="G551" t="s">
        <v>8</v>
      </c>
      <c r="J551" s="6">
        <f t="shared" si="8"/>
        <v>0</v>
      </c>
      <c r="K551" t="s">
        <v>4</v>
      </c>
      <c r="P551" t="s">
        <v>92</v>
      </c>
    </row>
    <row r="552" spans="1:16" x14ac:dyDescent="0.35">
      <c r="A552" t="s">
        <v>26</v>
      </c>
      <c r="B552" t="s">
        <v>27</v>
      </c>
      <c r="C552" t="s">
        <v>28</v>
      </c>
      <c r="D552" t="s">
        <v>29</v>
      </c>
      <c r="G552" t="s">
        <v>8</v>
      </c>
      <c r="J552" s="6">
        <f t="shared" si="8"/>
        <v>0</v>
      </c>
      <c r="K552" t="s">
        <v>4</v>
      </c>
      <c r="P552" t="s">
        <v>92</v>
      </c>
    </row>
    <row r="553" spans="1:16" x14ac:dyDescent="0.35">
      <c r="A553" t="s">
        <v>22</v>
      </c>
      <c r="B553" t="s">
        <v>27</v>
      </c>
      <c r="C553" t="s">
        <v>28</v>
      </c>
      <c r="D553" t="s">
        <v>29</v>
      </c>
      <c r="G553" t="s">
        <v>8</v>
      </c>
      <c r="J553" s="6">
        <f t="shared" si="8"/>
        <v>0</v>
      </c>
      <c r="K553" t="s">
        <v>4</v>
      </c>
      <c r="P553" t="s">
        <v>92</v>
      </c>
    </row>
    <row r="554" spans="1:16" x14ac:dyDescent="0.35">
      <c r="A554" t="s">
        <v>26</v>
      </c>
      <c r="B554" t="s">
        <v>30</v>
      </c>
      <c r="C554" t="s">
        <v>31</v>
      </c>
      <c r="D554" t="s">
        <v>32</v>
      </c>
      <c r="G554" t="s">
        <v>8</v>
      </c>
      <c r="J554" s="6">
        <f t="shared" si="8"/>
        <v>0</v>
      </c>
      <c r="K554" t="s">
        <v>4</v>
      </c>
      <c r="P554" t="s">
        <v>92</v>
      </c>
    </row>
    <row r="555" spans="1:16" x14ac:dyDescent="0.35">
      <c r="A555" t="s">
        <v>33</v>
      </c>
      <c r="B555" t="s">
        <v>16</v>
      </c>
      <c r="C555" t="s">
        <v>16</v>
      </c>
      <c r="D555" t="s">
        <v>34</v>
      </c>
      <c r="G555" t="s">
        <v>8</v>
      </c>
      <c r="J555" s="6">
        <f t="shared" si="8"/>
        <v>0</v>
      </c>
      <c r="K555" t="s">
        <v>18</v>
      </c>
      <c r="P555" t="s">
        <v>92</v>
      </c>
    </row>
    <row r="556" spans="1:16" x14ac:dyDescent="0.35">
      <c r="A556" t="s">
        <v>33</v>
      </c>
      <c r="B556" t="s">
        <v>16</v>
      </c>
      <c r="C556" t="s">
        <v>16</v>
      </c>
      <c r="D556" t="s">
        <v>35</v>
      </c>
      <c r="G556" t="s">
        <v>8</v>
      </c>
      <c r="J556" s="6">
        <f t="shared" si="8"/>
        <v>0</v>
      </c>
      <c r="K556" t="s">
        <v>18</v>
      </c>
      <c r="P556" t="s">
        <v>92</v>
      </c>
    </row>
    <row r="557" spans="1:16" x14ac:dyDescent="0.35">
      <c r="A557" t="s">
        <v>33</v>
      </c>
      <c r="B557" t="s">
        <v>16</v>
      </c>
      <c r="C557" t="s">
        <v>16</v>
      </c>
      <c r="D557" t="s">
        <v>36</v>
      </c>
      <c r="G557" t="s">
        <v>8</v>
      </c>
      <c r="J557" s="6">
        <f t="shared" si="8"/>
        <v>0</v>
      </c>
      <c r="K557" t="s">
        <v>18</v>
      </c>
      <c r="P557" t="s">
        <v>92</v>
      </c>
    </row>
    <row r="558" spans="1:16" x14ac:dyDescent="0.35">
      <c r="A558" t="s">
        <v>33</v>
      </c>
      <c r="B558" t="s">
        <v>19</v>
      </c>
      <c r="C558" t="s">
        <v>37</v>
      </c>
      <c r="D558" t="s">
        <v>94</v>
      </c>
      <c r="E558" s="1">
        <v>45918</v>
      </c>
      <c r="F558" s="6">
        <v>43263</v>
      </c>
      <c r="G558" s="6">
        <v>9085.23</v>
      </c>
      <c r="H558" s="6">
        <v>3461.04</v>
      </c>
      <c r="I558" s="6">
        <v>55809.27</v>
      </c>
      <c r="J558" s="6">
        <f t="shared" si="8"/>
        <v>43263</v>
      </c>
      <c r="K558" t="s">
        <v>39</v>
      </c>
      <c r="L558" s="1">
        <v>45932</v>
      </c>
      <c r="P558" t="s">
        <v>92</v>
      </c>
    </row>
    <row r="559" spans="1:16" x14ac:dyDescent="0.35">
      <c r="A559" t="s">
        <v>26</v>
      </c>
      <c r="B559" t="s">
        <v>16</v>
      </c>
      <c r="C559" t="s">
        <v>16</v>
      </c>
      <c r="D559" t="s">
        <v>95</v>
      </c>
      <c r="E559" s="1">
        <v>45925</v>
      </c>
      <c r="F559" s="6">
        <v>80802.37</v>
      </c>
      <c r="G559" s="6">
        <v>21816.639999999999</v>
      </c>
      <c r="H559" s="6">
        <v>7269.3</v>
      </c>
      <c r="I559" s="6">
        <v>109888.31</v>
      </c>
      <c r="J559" s="6">
        <f t="shared" si="8"/>
        <v>80802.37</v>
      </c>
      <c r="K559" t="s">
        <v>18</v>
      </c>
      <c r="L559" s="1">
        <v>45933</v>
      </c>
      <c r="P559" t="s">
        <v>92</v>
      </c>
    </row>
    <row r="560" spans="1:16" x14ac:dyDescent="0.35">
      <c r="A560" t="s">
        <v>26</v>
      </c>
      <c r="B560" t="s">
        <v>16</v>
      </c>
      <c r="C560" t="s">
        <v>16</v>
      </c>
      <c r="D560" t="s">
        <v>96</v>
      </c>
      <c r="E560" s="1">
        <v>45925</v>
      </c>
      <c r="F560" s="6">
        <v>13233.64</v>
      </c>
      <c r="G560" s="6">
        <v>3573.08</v>
      </c>
      <c r="H560" s="6">
        <v>929.32</v>
      </c>
      <c r="I560" s="6">
        <v>17736.04</v>
      </c>
      <c r="J560" s="6">
        <f t="shared" si="8"/>
        <v>13233.64</v>
      </c>
      <c r="K560" t="s">
        <v>18</v>
      </c>
      <c r="L560" s="1">
        <v>45933</v>
      </c>
      <c r="P560" t="s">
        <v>92</v>
      </c>
    </row>
    <row r="561" spans="1:16" x14ac:dyDescent="0.35">
      <c r="A561" t="s">
        <v>26</v>
      </c>
      <c r="B561" t="s">
        <v>19</v>
      </c>
      <c r="C561" t="s">
        <v>37</v>
      </c>
      <c r="D561" t="s">
        <v>97</v>
      </c>
      <c r="E561" s="1">
        <v>45918</v>
      </c>
      <c r="F561" s="6">
        <v>107250</v>
      </c>
      <c r="G561" s="6">
        <v>22522.5</v>
      </c>
      <c r="H561" s="6">
        <v>8580</v>
      </c>
      <c r="I561" s="6">
        <v>138352.5</v>
      </c>
      <c r="J561" s="6">
        <f t="shared" si="8"/>
        <v>107250</v>
      </c>
      <c r="K561" t="s">
        <v>18</v>
      </c>
      <c r="L561" s="1">
        <v>45932</v>
      </c>
      <c r="P561" t="s">
        <v>92</v>
      </c>
    </row>
    <row r="562" spans="1:16" x14ac:dyDescent="0.35">
      <c r="A562" t="s">
        <v>43</v>
      </c>
      <c r="B562" t="s">
        <v>19</v>
      </c>
      <c r="C562" t="s">
        <v>37</v>
      </c>
      <c r="D562" t="s">
        <v>44</v>
      </c>
      <c r="G562" t="s">
        <v>8</v>
      </c>
      <c r="J562" s="6">
        <f t="shared" si="8"/>
        <v>0</v>
      </c>
      <c r="K562" t="s">
        <v>45</v>
      </c>
      <c r="P562" t="s">
        <v>92</v>
      </c>
    </row>
    <row r="563" spans="1:16" x14ac:dyDescent="0.35">
      <c r="A563" t="s">
        <v>46</v>
      </c>
      <c r="B563" t="s">
        <v>16</v>
      </c>
      <c r="C563" t="s">
        <v>47</v>
      </c>
      <c r="G563" t="s">
        <v>8</v>
      </c>
      <c r="J563" s="6">
        <f t="shared" si="8"/>
        <v>0</v>
      </c>
      <c r="K563" t="s">
        <v>48</v>
      </c>
      <c r="P563" t="s">
        <v>92</v>
      </c>
    </row>
    <row r="564" spans="1:16" x14ac:dyDescent="0.35">
      <c r="A564" t="s">
        <v>49</v>
      </c>
      <c r="B564" t="s">
        <v>16</v>
      </c>
      <c r="C564" t="s">
        <v>16</v>
      </c>
      <c r="D564" t="s">
        <v>98</v>
      </c>
      <c r="E564" s="1">
        <v>45923</v>
      </c>
      <c r="F564" s="6">
        <v>82236.92</v>
      </c>
      <c r="G564" s="6">
        <v>22203.97</v>
      </c>
      <c r="H564" s="6">
        <v>7403.9</v>
      </c>
      <c r="I564" s="6">
        <v>111844.79</v>
      </c>
      <c r="J564" s="6">
        <f t="shared" si="8"/>
        <v>82236.92</v>
      </c>
      <c r="K564" t="s">
        <v>18</v>
      </c>
      <c r="L564" s="1">
        <v>45931</v>
      </c>
      <c r="P564" t="s">
        <v>92</v>
      </c>
    </row>
    <row r="565" spans="1:16" x14ac:dyDescent="0.35">
      <c r="A565" t="s">
        <v>49</v>
      </c>
      <c r="B565" t="s">
        <v>19</v>
      </c>
      <c r="C565" t="s">
        <v>37</v>
      </c>
      <c r="D565" t="s">
        <v>99</v>
      </c>
      <c r="E565" s="1">
        <v>45918</v>
      </c>
      <c r="F565" s="6">
        <v>17015.21</v>
      </c>
      <c r="G565" s="6">
        <v>3573.19</v>
      </c>
      <c r="H565" s="6">
        <v>1361.22</v>
      </c>
      <c r="I565" s="6">
        <v>21949.62</v>
      </c>
      <c r="J565" s="6">
        <f t="shared" si="8"/>
        <v>17015.21</v>
      </c>
      <c r="K565" t="s">
        <v>39</v>
      </c>
      <c r="L565" s="1">
        <v>45933</v>
      </c>
      <c r="P565" t="s">
        <v>92</v>
      </c>
    </row>
    <row r="566" spans="1:16" x14ac:dyDescent="0.35">
      <c r="A566" t="s">
        <v>52</v>
      </c>
      <c r="B566" t="s">
        <v>16</v>
      </c>
      <c r="C566" t="s">
        <v>16</v>
      </c>
      <c r="D566" t="s">
        <v>100</v>
      </c>
      <c r="E566" s="1">
        <v>45925</v>
      </c>
      <c r="F566" s="6">
        <v>54955.59</v>
      </c>
      <c r="G566" s="6">
        <v>14838.01</v>
      </c>
      <c r="H566" s="6">
        <v>97.53</v>
      </c>
      <c r="I566" s="6">
        <v>69891.13</v>
      </c>
      <c r="J566" s="6">
        <f t="shared" si="8"/>
        <v>54955.59</v>
      </c>
      <c r="K566" t="s">
        <v>18</v>
      </c>
      <c r="L566" s="1">
        <v>45933</v>
      </c>
      <c r="P566" t="s">
        <v>92</v>
      </c>
    </row>
    <row r="567" spans="1:16" x14ac:dyDescent="0.35">
      <c r="A567" t="s">
        <v>22</v>
      </c>
      <c r="B567" t="s">
        <v>101</v>
      </c>
      <c r="C567" t="s">
        <v>102</v>
      </c>
      <c r="D567" t="s">
        <v>103</v>
      </c>
      <c r="E567" s="1">
        <v>45926</v>
      </c>
      <c r="F567" s="6">
        <v>214000</v>
      </c>
      <c r="G567" t="s">
        <v>8</v>
      </c>
      <c r="I567" s="6">
        <v>214000</v>
      </c>
      <c r="J567" s="6">
        <f t="shared" si="8"/>
        <v>214000</v>
      </c>
      <c r="K567" t="s">
        <v>4</v>
      </c>
      <c r="L567" s="1">
        <v>45933</v>
      </c>
      <c r="P567" t="s">
        <v>92</v>
      </c>
    </row>
    <row r="568" spans="1:16" x14ac:dyDescent="0.35">
      <c r="A568" t="s">
        <v>55</v>
      </c>
      <c r="B568" t="s">
        <v>56</v>
      </c>
      <c r="C568" t="s">
        <v>57</v>
      </c>
      <c r="D568" t="s">
        <v>58</v>
      </c>
      <c r="G568" t="s">
        <v>8</v>
      </c>
      <c r="J568" s="6">
        <f t="shared" si="8"/>
        <v>0</v>
      </c>
      <c r="K568" t="s">
        <v>4</v>
      </c>
      <c r="P568" t="s">
        <v>92</v>
      </c>
    </row>
    <row r="569" spans="1:16" x14ac:dyDescent="0.35">
      <c r="A569" t="s">
        <v>55</v>
      </c>
      <c r="B569" t="s">
        <v>1</v>
      </c>
      <c r="C569" t="s">
        <v>57</v>
      </c>
      <c r="D569" t="s">
        <v>59</v>
      </c>
      <c r="G569" t="s">
        <v>8</v>
      </c>
      <c r="J569" s="6">
        <f t="shared" si="8"/>
        <v>0</v>
      </c>
      <c r="K569" t="s">
        <v>4</v>
      </c>
      <c r="P569" t="s">
        <v>92</v>
      </c>
    </row>
    <row r="570" spans="1:16" x14ac:dyDescent="0.35">
      <c r="A570" t="s">
        <v>55</v>
      </c>
      <c r="B570" t="s">
        <v>9</v>
      </c>
      <c r="C570" t="s">
        <v>57</v>
      </c>
      <c r="D570" t="s">
        <v>58</v>
      </c>
      <c r="G570" t="s">
        <v>8</v>
      </c>
      <c r="J570" s="6">
        <f t="shared" si="8"/>
        <v>0</v>
      </c>
      <c r="K570" t="s">
        <v>4</v>
      </c>
      <c r="P570" t="s">
        <v>92</v>
      </c>
    </row>
    <row r="571" spans="1:16" x14ac:dyDescent="0.35">
      <c r="A571" t="s">
        <v>55</v>
      </c>
      <c r="B571" t="s">
        <v>16</v>
      </c>
      <c r="C571" t="s">
        <v>57</v>
      </c>
      <c r="D571" t="s">
        <v>58</v>
      </c>
      <c r="G571" t="s">
        <v>8</v>
      </c>
      <c r="J571" s="6">
        <f t="shared" si="8"/>
        <v>0</v>
      </c>
      <c r="K571" t="s">
        <v>4</v>
      </c>
      <c r="P571" t="s">
        <v>92</v>
      </c>
    </row>
    <row r="572" spans="1:16" x14ac:dyDescent="0.35">
      <c r="A572" t="s">
        <v>55</v>
      </c>
      <c r="B572" t="s">
        <v>60</v>
      </c>
      <c r="C572" t="s">
        <v>57</v>
      </c>
      <c r="D572" t="s">
        <v>58</v>
      </c>
      <c r="G572" t="s">
        <v>8</v>
      </c>
      <c r="J572" s="6">
        <f t="shared" si="8"/>
        <v>0</v>
      </c>
      <c r="K572" t="s">
        <v>4</v>
      </c>
      <c r="P572" t="s">
        <v>92</v>
      </c>
    </row>
    <row r="573" spans="1:16" x14ac:dyDescent="0.35">
      <c r="A573" t="s">
        <v>55</v>
      </c>
      <c r="B573" t="s">
        <v>61</v>
      </c>
      <c r="C573" t="s">
        <v>31</v>
      </c>
      <c r="D573" t="s">
        <v>32</v>
      </c>
      <c r="G573" t="s">
        <v>8</v>
      </c>
      <c r="J573" s="6">
        <f t="shared" si="8"/>
        <v>0</v>
      </c>
      <c r="K573" t="s">
        <v>4</v>
      </c>
      <c r="P573" t="s">
        <v>92</v>
      </c>
    </row>
    <row r="574" spans="1:16" x14ac:dyDescent="0.35">
      <c r="A574" t="s">
        <v>55</v>
      </c>
      <c r="B574" t="s">
        <v>19</v>
      </c>
      <c r="C574" t="s">
        <v>37</v>
      </c>
      <c r="D574" t="s">
        <v>104</v>
      </c>
      <c r="E574" s="1">
        <v>45918</v>
      </c>
      <c r="F574" s="6">
        <v>28390</v>
      </c>
      <c r="G574" s="6">
        <v>5961.9</v>
      </c>
      <c r="H574" s="6">
        <v>2271.1999999999998</v>
      </c>
      <c r="I574" s="6">
        <v>36623.1</v>
      </c>
      <c r="J574" s="6">
        <f t="shared" si="8"/>
        <v>28390</v>
      </c>
      <c r="K574" t="s">
        <v>39</v>
      </c>
      <c r="L574" s="1">
        <v>45932</v>
      </c>
      <c r="P574" t="s">
        <v>92</v>
      </c>
    </row>
    <row r="575" spans="1:16" x14ac:dyDescent="0.35">
      <c r="A575" t="s">
        <v>63</v>
      </c>
      <c r="B575" t="s">
        <v>1</v>
      </c>
      <c r="C575" t="s">
        <v>64</v>
      </c>
      <c r="D575" t="s">
        <v>65</v>
      </c>
      <c r="G575" t="s">
        <v>8</v>
      </c>
      <c r="J575" s="6">
        <f t="shared" si="8"/>
        <v>0</v>
      </c>
      <c r="K575" t="s">
        <v>4</v>
      </c>
      <c r="N575" t="s">
        <v>66</v>
      </c>
      <c r="P575" t="s">
        <v>92</v>
      </c>
    </row>
    <row r="576" spans="1:16" x14ac:dyDescent="0.35">
      <c r="A576" t="s">
        <v>63</v>
      </c>
      <c r="B576" t="s">
        <v>16</v>
      </c>
      <c r="C576" t="s">
        <v>16</v>
      </c>
      <c r="D576" t="s">
        <v>105</v>
      </c>
      <c r="E576" s="1">
        <v>45919</v>
      </c>
      <c r="F576" s="6">
        <v>157577.04</v>
      </c>
      <c r="G576" s="6">
        <v>42545.8</v>
      </c>
      <c r="H576" s="6">
        <v>14785.45</v>
      </c>
      <c r="I576" s="6">
        <v>214908.29</v>
      </c>
      <c r="J576" s="6">
        <f t="shared" si="8"/>
        <v>157577.04</v>
      </c>
      <c r="K576" t="s">
        <v>18</v>
      </c>
      <c r="L576" s="1">
        <v>45936</v>
      </c>
      <c r="P576" t="s">
        <v>92</v>
      </c>
    </row>
    <row r="577" spans="1:16" x14ac:dyDescent="0.35">
      <c r="A577" t="s">
        <v>63</v>
      </c>
      <c r="B577" t="s">
        <v>61</v>
      </c>
      <c r="C577" t="s">
        <v>31</v>
      </c>
      <c r="D577" t="s">
        <v>32</v>
      </c>
      <c r="G577" t="s">
        <v>8</v>
      </c>
      <c r="J577" s="6">
        <f t="shared" si="8"/>
        <v>0</v>
      </c>
      <c r="K577" t="s">
        <v>4</v>
      </c>
      <c r="P577" t="s">
        <v>92</v>
      </c>
    </row>
    <row r="578" spans="1:16" x14ac:dyDescent="0.35">
      <c r="A578" t="s">
        <v>63</v>
      </c>
      <c r="B578" t="s">
        <v>19</v>
      </c>
      <c r="C578" t="s">
        <v>37</v>
      </c>
      <c r="D578" t="s">
        <v>106</v>
      </c>
      <c r="E578" s="1">
        <v>45918</v>
      </c>
      <c r="F578" s="6">
        <v>56780</v>
      </c>
      <c r="G578" s="6">
        <v>11923.8</v>
      </c>
      <c r="H578" s="6">
        <v>4542.3999999999996</v>
      </c>
      <c r="I578" s="6">
        <v>73246.2</v>
      </c>
      <c r="J578" s="6">
        <f t="shared" si="8"/>
        <v>56780</v>
      </c>
      <c r="K578" t="s">
        <v>18</v>
      </c>
      <c r="L578" s="1">
        <v>45932</v>
      </c>
      <c r="P578" t="s">
        <v>92</v>
      </c>
    </row>
    <row r="579" spans="1:16" x14ac:dyDescent="0.35">
      <c r="A579" t="s">
        <v>22</v>
      </c>
      <c r="B579" t="s">
        <v>56</v>
      </c>
      <c r="C579" t="s">
        <v>69</v>
      </c>
      <c r="D579" t="s">
        <v>7</v>
      </c>
      <c r="G579" t="s">
        <v>8</v>
      </c>
      <c r="J579" s="6">
        <f t="shared" ref="J579:J642" si="9">IF(F579&gt;0,F579,I579)</f>
        <v>0</v>
      </c>
      <c r="K579" t="s">
        <v>18</v>
      </c>
      <c r="N579" t="s">
        <v>70</v>
      </c>
      <c r="P579" t="s">
        <v>92</v>
      </c>
    </row>
    <row r="580" spans="1:16" x14ac:dyDescent="0.35">
      <c r="A580" t="s">
        <v>22</v>
      </c>
      <c r="B580" t="s">
        <v>27</v>
      </c>
      <c r="C580" t="s">
        <v>11</v>
      </c>
      <c r="D580" t="s">
        <v>71</v>
      </c>
      <c r="J580" s="6">
        <f t="shared" si="9"/>
        <v>0</v>
      </c>
      <c r="K580" t="s">
        <v>4</v>
      </c>
      <c r="P580" t="s">
        <v>92</v>
      </c>
    </row>
    <row r="581" spans="1:16" x14ac:dyDescent="0.35">
      <c r="A581" t="s">
        <v>121</v>
      </c>
      <c r="B581" t="s">
        <v>122</v>
      </c>
      <c r="I581" s="6">
        <v>1500000</v>
      </c>
      <c r="J581" s="6">
        <f t="shared" si="9"/>
        <v>1500000</v>
      </c>
      <c r="L581" s="1">
        <v>45935</v>
      </c>
      <c r="P581" t="s">
        <v>92</v>
      </c>
    </row>
    <row r="582" spans="1:16" x14ac:dyDescent="0.35">
      <c r="A582" t="s">
        <v>124</v>
      </c>
      <c r="B582" t="s">
        <v>122</v>
      </c>
      <c r="I582" s="6">
        <v>2000000</v>
      </c>
      <c r="J582" s="6">
        <f t="shared" si="9"/>
        <v>2000000</v>
      </c>
      <c r="L582" s="1">
        <v>45940</v>
      </c>
      <c r="P582" t="s">
        <v>92</v>
      </c>
    </row>
    <row r="583" spans="1:16" x14ac:dyDescent="0.35">
      <c r="A583" t="s">
        <v>125</v>
      </c>
      <c r="B583" t="s">
        <v>1</v>
      </c>
      <c r="I583" t="s">
        <v>8</v>
      </c>
      <c r="J583" s="6" t="str">
        <f t="shared" si="9"/>
        <v>$ -</v>
      </c>
    </row>
    <row r="584" spans="1:16" x14ac:dyDescent="0.35">
      <c r="A584" t="s">
        <v>127</v>
      </c>
      <c r="B584" t="s">
        <v>60</v>
      </c>
      <c r="I584" s="6">
        <v>6000000</v>
      </c>
      <c r="J584" s="6">
        <f t="shared" si="9"/>
        <v>6000000</v>
      </c>
      <c r="L584" s="1">
        <v>45940</v>
      </c>
      <c r="P584" t="s">
        <v>92</v>
      </c>
    </row>
    <row r="585" spans="1:16" x14ac:dyDescent="0.35">
      <c r="A585" t="s">
        <v>408</v>
      </c>
      <c r="B585" t="s">
        <v>1</v>
      </c>
      <c r="I585" s="6">
        <v>10000000</v>
      </c>
      <c r="J585" s="6">
        <f t="shared" si="9"/>
        <v>10000000</v>
      </c>
      <c r="L585" s="1">
        <v>45940</v>
      </c>
      <c r="P585" t="s">
        <v>92</v>
      </c>
    </row>
    <row r="586" spans="1:16" x14ac:dyDescent="0.35">
      <c r="A586" t="s">
        <v>409</v>
      </c>
      <c r="B586" t="s">
        <v>1</v>
      </c>
      <c r="I586" s="6">
        <v>8470000</v>
      </c>
      <c r="J586" s="6">
        <f t="shared" si="9"/>
        <v>8470000</v>
      </c>
      <c r="L586" s="1">
        <v>45938</v>
      </c>
      <c r="P586" t="s">
        <v>92</v>
      </c>
    </row>
    <row r="587" spans="1:16" x14ac:dyDescent="0.35">
      <c r="A587" t="s">
        <v>410</v>
      </c>
      <c r="J587" s="6">
        <f t="shared" si="9"/>
        <v>0</v>
      </c>
    </row>
    <row r="588" spans="1:16" x14ac:dyDescent="0.35">
      <c r="A588" t="s">
        <v>359</v>
      </c>
      <c r="G588" t="s">
        <v>8</v>
      </c>
      <c r="J588" s="6">
        <f t="shared" si="9"/>
        <v>0</v>
      </c>
      <c r="L588" s="1">
        <v>45870</v>
      </c>
      <c r="M588" s="1">
        <v>45870</v>
      </c>
      <c r="P588" t="s">
        <v>126</v>
      </c>
    </row>
    <row r="589" spans="1:16" x14ac:dyDescent="0.35">
      <c r="A589" t="s">
        <v>30</v>
      </c>
      <c r="C589" t="s">
        <v>30</v>
      </c>
      <c r="G589" t="s">
        <v>8</v>
      </c>
      <c r="J589" s="6">
        <f t="shared" si="9"/>
        <v>0</v>
      </c>
      <c r="P589" t="s">
        <v>126</v>
      </c>
    </row>
    <row r="590" spans="1:16" x14ac:dyDescent="0.35">
      <c r="A590" t="s">
        <v>15</v>
      </c>
      <c r="B590" t="s">
        <v>122</v>
      </c>
      <c r="C590" t="s">
        <v>411</v>
      </c>
      <c r="D590" t="s">
        <v>412</v>
      </c>
      <c r="E590" s="1">
        <v>45873</v>
      </c>
      <c r="F590" s="6">
        <v>90000</v>
      </c>
      <c r="G590" s="6">
        <v>18900</v>
      </c>
      <c r="I590" s="6">
        <v>108900</v>
      </c>
      <c r="J590" s="6">
        <f t="shared" si="9"/>
        <v>90000</v>
      </c>
      <c r="K590" t="s">
        <v>54</v>
      </c>
      <c r="L590" s="1">
        <v>45890</v>
      </c>
      <c r="M590" s="1">
        <v>45890</v>
      </c>
      <c r="N590" t="s">
        <v>413</v>
      </c>
      <c r="P590" t="s">
        <v>126</v>
      </c>
    </row>
    <row r="591" spans="1:16" x14ac:dyDescent="0.35">
      <c r="A591" t="s">
        <v>15</v>
      </c>
      <c r="B591" t="s">
        <v>101</v>
      </c>
      <c r="C591" t="s">
        <v>351</v>
      </c>
      <c r="D591" t="s">
        <v>414</v>
      </c>
      <c r="E591" s="1">
        <v>45883</v>
      </c>
      <c r="F591" s="6">
        <v>1638723.03</v>
      </c>
      <c r="G591" s="6">
        <v>344131.84000000003</v>
      </c>
      <c r="I591" s="6">
        <v>1982854.87</v>
      </c>
      <c r="J591" s="6">
        <f t="shared" si="9"/>
        <v>1638723.03</v>
      </c>
      <c r="K591" t="s">
        <v>271</v>
      </c>
      <c r="L591" s="1">
        <v>45888</v>
      </c>
      <c r="M591" s="1">
        <v>45888</v>
      </c>
      <c r="N591" t="s">
        <v>415</v>
      </c>
      <c r="P591" t="s">
        <v>126</v>
      </c>
    </row>
    <row r="592" spans="1:16" x14ac:dyDescent="0.35">
      <c r="A592" t="s">
        <v>15</v>
      </c>
      <c r="B592" t="s">
        <v>101</v>
      </c>
      <c r="G592" t="s">
        <v>8</v>
      </c>
      <c r="J592" s="6">
        <f t="shared" si="9"/>
        <v>0</v>
      </c>
      <c r="P592" t="s">
        <v>126</v>
      </c>
    </row>
    <row r="593" spans="1:16" x14ac:dyDescent="0.35">
      <c r="A593" t="s">
        <v>15</v>
      </c>
      <c r="B593" t="s">
        <v>27</v>
      </c>
      <c r="C593" t="s">
        <v>28</v>
      </c>
      <c r="D593" t="s">
        <v>188</v>
      </c>
      <c r="G593" t="s">
        <v>8</v>
      </c>
      <c r="J593" s="6">
        <f t="shared" si="9"/>
        <v>0</v>
      </c>
      <c r="P593" t="s">
        <v>126</v>
      </c>
    </row>
    <row r="594" spans="1:16" x14ac:dyDescent="0.35">
      <c r="A594" t="s">
        <v>15</v>
      </c>
      <c r="B594" t="s">
        <v>1</v>
      </c>
      <c r="C594" t="s">
        <v>172</v>
      </c>
      <c r="D594" t="s">
        <v>416</v>
      </c>
      <c r="E594" s="1">
        <v>45870</v>
      </c>
      <c r="F594" s="6">
        <v>1569764.97</v>
      </c>
      <c r="G594" s="6">
        <v>329650.64</v>
      </c>
      <c r="I594" s="6">
        <v>1899415.61</v>
      </c>
      <c r="J594" s="6">
        <f t="shared" si="9"/>
        <v>1569764.97</v>
      </c>
      <c r="K594" t="s">
        <v>271</v>
      </c>
      <c r="L594" s="1">
        <v>45881</v>
      </c>
      <c r="M594" s="1">
        <v>45881</v>
      </c>
      <c r="P594" t="s">
        <v>126</v>
      </c>
    </row>
    <row r="595" spans="1:16" x14ac:dyDescent="0.35">
      <c r="A595" t="s">
        <v>15</v>
      </c>
      <c r="B595" t="s">
        <v>61</v>
      </c>
      <c r="C595" t="s">
        <v>31</v>
      </c>
      <c r="J595" s="6">
        <f t="shared" si="9"/>
        <v>0</v>
      </c>
      <c r="P595" t="s">
        <v>126</v>
      </c>
    </row>
    <row r="596" spans="1:16" x14ac:dyDescent="0.35">
      <c r="A596" t="s">
        <v>417</v>
      </c>
      <c r="B596" t="s">
        <v>56</v>
      </c>
      <c r="C596" t="s">
        <v>57</v>
      </c>
      <c r="D596" t="s">
        <v>418</v>
      </c>
      <c r="E596" s="1">
        <v>45877</v>
      </c>
      <c r="G596" t="s">
        <v>8</v>
      </c>
      <c r="H596" s="6">
        <v>532322</v>
      </c>
      <c r="I596" s="6">
        <v>532322</v>
      </c>
      <c r="J596" s="6">
        <f t="shared" si="9"/>
        <v>532322</v>
      </c>
      <c r="K596" t="s">
        <v>271</v>
      </c>
      <c r="L596" s="1">
        <v>45888</v>
      </c>
      <c r="M596" s="1">
        <v>45888</v>
      </c>
      <c r="P596" t="s">
        <v>126</v>
      </c>
    </row>
    <row r="597" spans="1:16" x14ac:dyDescent="0.35">
      <c r="A597" t="s">
        <v>33</v>
      </c>
      <c r="B597" t="s">
        <v>27</v>
      </c>
      <c r="C597" t="s">
        <v>28</v>
      </c>
      <c r="D597" t="s">
        <v>419</v>
      </c>
      <c r="E597" s="1">
        <v>45903</v>
      </c>
      <c r="G597" t="s">
        <v>8</v>
      </c>
      <c r="I597" s="6">
        <v>40000</v>
      </c>
      <c r="J597" s="6">
        <f t="shared" si="9"/>
        <v>40000</v>
      </c>
      <c r="K597" t="s">
        <v>45</v>
      </c>
      <c r="L597" s="1">
        <v>45919</v>
      </c>
      <c r="M597" s="1">
        <v>45919</v>
      </c>
      <c r="P597" t="s">
        <v>126</v>
      </c>
    </row>
    <row r="598" spans="1:16" x14ac:dyDescent="0.35">
      <c r="A598" t="s">
        <v>417</v>
      </c>
      <c r="B598" t="s">
        <v>1</v>
      </c>
      <c r="C598" t="s">
        <v>57</v>
      </c>
      <c r="D598" t="s">
        <v>420</v>
      </c>
      <c r="E598" s="1">
        <v>45880</v>
      </c>
      <c r="F598" s="6">
        <v>6550000</v>
      </c>
      <c r="G598" s="6">
        <v>1375500</v>
      </c>
      <c r="I598" s="6">
        <v>7925500</v>
      </c>
      <c r="J598" s="6">
        <f t="shared" si="9"/>
        <v>6550000</v>
      </c>
      <c r="K598" t="s">
        <v>271</v>
      </c>
      <c r="L598" s="1">
        <v>45880</v>
      </c>
      <c r="M598" s="1">
        <v>45880</v>
      </c>
      <c r="P598" t="s">
        <v>126</v>
      </c>
    </row>
    <row r="599" spans="1:16" x14ac:dyDescent="0.35">
      <c r="A599" t="s">
        <v>417</v>
      </c>
      <c r="B599" t="s">
        <v>9</v>
      </c>
      <c r="C599" t="s">
        <v>57</v>
      </c>
      <c r="D599" t="s">
        <v>418</v>
      </c>
      <c r="E599" s="1">
        <v>45877</v>
      </c>
      <c r="F599" s="6">
        <v>405183.12</v>
      </c>
      <c r="G599" s="6">
        <v>109399.44</v>
      </c>
      <c r="H599" s="6">
        <v>25486.01</v>
      </c>
      <c r="I599" s="6">
        <v>540068.56999999995</v>
      </c>
      <c r="J599" s="6">
        <f t="shared" si="9"/>
        <v>405183.12</v>
      </c>
      <c r="K599" t="s">
        <v>271</v>
      </c>
      <c r="L599" s="1">
        <v>45888</v>
      </c>
      <c r="M599" s="1">
        <v>45888</v>
      </c>
      <c r="P599" t="s">
        <v>126</v>
      </c>
    </row>
    <row r="600" spans="1:16" x14ac:dyDescent="0.35">
      <c r="A600" t="s">
        <v>417</v>
      </c>
      <c r="B600" t="s">
        <v>23</v>
      </c>
      <c r="C600" t="s">
        <v>24</v>
      </c>
      <c r="D600" t="s">
        <v>421</v>
      </c>
      <c r="E600" s="1">
        <v>45881</v>
      </c>
      <c r="F600" s="6">
        <v>41895</v>
      </c>
      <c r="G600" s="6">
        <v>8797.9500000000007</v>
      </c>
      <c r="I600" s="6">
        <v>50692.95</v>
      </c>
      <c r="J600" s="6">
        <f t="shared" si="9"/>
        <v>41895</v>
      </c>
      <c r="K600" t="s">
        <v>271</v>
      </c>
      <c r="L600" s="1">
        <v>45891</v>
      </c>
      <c r="M600" s="1">
        <v>45891</v>
      </c>
      <c r="P600" t="s">
        <v>126</v>
      </c>
    </row>
    <row r="601" spans="1:16" x14ac:dyDescent="0.35">
      <c r="A601" t="s">
        <v>417</v>
      </c>
      <c r="B601" t="s">
        <v>60</v>
      </c>
      <c r="C601" t="s">
        <v>57</v>
      </c>
      <c r="D601" t="s">
        <v>418</v>
      </c>
      <c r="E601" s="1">
        <v>45877</v>
      </c>
      <c r="G601" t="s">
        <v>8</v>
      </c>
      <c r="H601" s="6">
        <v>407740.5</v>
      </c>
      <c r="I601" s="6">
        <v>407740.5</v>
      </c>
      <c r="J601" s="6">
        <f t="shared" si="9"/>
        <v>407740.5</v>
      </c>
      <c r="K601" t="s">
        <v>271</v>
      </c>
      <c r="L601" s="1">
        <v>45888</v>
      </c>
      <c r="M601" s="1">
        <v>45888</v>
      </c>
      <c r="P601" t="s">
        <v>126</v>
      </c>
    </row>
    <row r="602" spans="1:16" x14ac:dyDescent="0.35">
      <c r="A602" t="s">
        <v>417</v>
      </c>
      <c r="B602" t="s">
        <v>61</v>
      </c>
      <c r="C602" t="s">
        <v>31</v>
      </c>
      <c r="D602" t="s">
        <v>422</v>
      </c>
      <c r="E602" s="1">
        <v>45877</v>
      </c>
      <c r="F602" s="6">
        <v>37650</v>
      </c>
      <c r="G602" s="6">
        <v>7906.5</v>
      </c>
      <c r="I602" s="6">
        <v>45556.5</v>
      </c>
      <c r="J602" s="6">
        <f t="shared" si="9"/>
        <v>37650</v>
      </c>
      <c r="K602" t="s">
        <v>271</v>
      </c>
      <c r="L602" s="1">
        <v>45891</v>
      </c>
      <c r="M602" s="1">
        <v>45891</v>
      </c>
      <c r="P602" t="s">
        <v>126</v>
      </c>
    </row>
    <row r="603" spans="1:16" x14ac:dyDescent="0.35">
      <c r="A603" t="s">
        <v>417</v>
      </c>
      <c r="B603" t="s">
        <v>19</v>
      </c>
      <c r="C603" t="s">
        <v>37</v>
      </c>
      <c r="J603" s="6">
        <f t="shared" si="9"/>
        <v>0</v>
      </c>
      <c r="P603" t="s">
        <v>126</v>
      </c>
    </row>
    <row r="604" spans="1:16" x14ac:dyDescent="0.35">
      <c r="A604" t="s">
        <v>26</v>
      </c>
      <c r="B604" t="s">
        <v>27</v>
      </c>
      <c r="C604" t="s">
        <v>28</v>
      </c>
      <c r="D604" t="s">
        <v>188</v>
      </c>
      <c r="G604" t="s">
        <v>8</v>
      </c>
      <c r="J604" s="6">
        <f t="shared" si="9"/>
        <v>0</v>
      </c>
      <c r="P604" t="s">
        <v>126</v>
      </c>
    </row>
    <row r="605" spans="1:16" x14ac:dyDescent="0.35">
      <c r="A605" t="s">
        <v>26</v>
      </c>
      <c r="B605" t="s">
        <v>1</v>
      </c>
      <c r="C605" t="s">
        <v>147</v>
      </c>
      <c r="D605" t="s">
        <v>376</v>
      </c>
      <c r="G605" t="s">
        <v>8</v>
      </c>
      <c r="J605" s="6">
        <f t="shared" si="9"/>
        <v>0</v>
      </c>
      <c r="P605" t="s">
        <v>126</v>
      </c>
    </row>
    <row r="606" spans="1:16" x14ac:dyDescent="0.35">
      <c r="A606" t="s">
        <v>26</v>
      </c>
      <c r="B606" t="s">
        <v>16</v>
      </c>
      <c r="C606" t="s">
        <v>16</v>
      </c>
      <c r="J606" s="6">
        <f t="shared" si="9"/>
        <v>0</v>
      </c>
      <c r="K606" t="s">
        <v>18</v>
      </c>
      <c r="P606" t="s">
        <v>126</v>
      </c>
    </row>
    <row r="607" spans="1:16" x14ac:dyDescent="0.35">
      <c r="A607" t="s">
        <v>26</v>
      </c>
      <c r="B607" t="s">
        <v>16</v>
      </c>
      <c r="C607" t="s">
        <v>16</v>
      </c>
      <c r="J607" s="6">
        <f t="shared" si="9"/>
        <v>0</v>
      </c>
      <c r="K607" t="s">
        <v>18</v>
      </c>
      <c r="P607" t="s">
        <v>126</v>
      </c>
    </row>
    <row r="608" spans="1:16" x14ac:dyDescent="0.35">
      <c r="A608" t="s">
        <v>26</v>
      </c>
      <c r="B608" t="s">
        <v>60</v>
      </c>
      <c r="C608" t="s">
        <v>149</v>
      </c>
      <c r="D608" t="s">
        <v>7</v>
      </c>
      <c r="G608" t="s">
        <v>8</v>
      </c>
      <c r="J608" s="6">
        <f t="shared" si="9"/>
        <v>0</v>
      </c>
      <c r="P608" t="s">
        <v>126</v>
      </c>
    </row>
    <row r="609" spans="1:16" x14ac:dyDescent="0.35">
      <c r="A609" t="s">
        <v>26</v>
      </c>
      <c r="B609" t="s">
        <v>61</v>
      </c>
      <c r="C609" t="s">
        <v>31</v>
      </c>
      <c r="J609" s="6">
        <f t="shared" si="9"/>
        <v>0</v>
      </c>
      <c r="P609" t="s">
        <v>126</v>
      </c>
    </row>
    <row r="610" spans="1:16" x14ac:dyDescent="0.35">
      <c r="A610" t="s">
        <v>26</v>
      </c>
      <c r="B610" t="s">
        <v>19</v>
      </c>
      <c r="C610" t="s">
        <v>37</v>
      </c>
      <c r="D610" t="s">
        <v>379</v>
      </c>
      <c r="E610" s="1">
        <v>45855</v>
      </c>
      <c r="F610" s="6">
        <v>102700</v>
      </c>
      <c r="G610" s="6">
        <v>21567</v>
      </c>
      <c r="H610" s="6">
        <v>8216</v>
      </c>
      <c r="I610" s="6">
        <v>132483</v>
      </c>
      <c r="J610" s="6">
        <f t="shared" si="9"/>
        <v>102700</v>
      </c>
      <c r="K610" t="s">
        <v>18</v>
      </c>
      <c r="L610" s="1">
        <v>45874</v>
      </c>
      <c r="M610" s="1">
        <v>45873</v>
      </c>
      <c r="P610" t="s">
        <v>126</v>
      </c>
    </row>
    <row r="611" spans="1:16" x14ac:dyDescent="0.35">
      <c r="A611" t="s">
        <v>46</v>
      </c>
      <c r="B611" t="s">
        <v>1</v>
      </c>
      <c r="C611" t="s">
        <v>47</v>
      </c>
      <c r="G611" t="s">
        <v>8</v>
      </c>
      <c r="J611" s="6">
        <f t="shared" si="9"/>
        <v>0</v>
      </c>
      <c r="P611" t="s">
        <v>126</v>
      </c>
    </row>
    <row r="612" spans="1:16" x14ac:dyDescent="0.35">
      <c r="A612" t="s">
        <v>46</v>
      </c>
      <c r="B612" t="s">
        <v>1</v>
      </c>
      <c r="C612" t="s">
        <v>47</v>
      </c>
      <c r="D612" t="s">
        <v>423</v>
      </c>
      <c r="E612" s="1">
        <v>45870</v>
      </c>
      <c r="F612" s="6">
        <v>250000</v>
      </c>
      <c r="G612" s="6">
        <v>52500</v>
      </c>
      <c r="I612" s="6">
        <v>302500</v>
      </c>
      <c r="J612" s="6">
        <f t="shared" si="9"/>
        <v>250000</v>
      </c>
      <c r="K612" t="s">
        <v>271</v>
      </c>
      <c r="L612" s="1">
        <v>45880</v>
      </c>
      <c r="M612" s="1">
        <v>45880</v>
      </c>
      <c r="P612" t="s">
        <v>126</v>
      </c>
    </row>
    <row r="613" spans="1:16" x14ac:dyDescent="0.35">
      <c r="A613" t="s">
        <v>46</v>
      </c>
      <c r="B613" t="s">
        <v>16</v>
      </c>
      <c r="C613" t="s">
        <v>47</v>
      </c>
      <c r="D613" t="s">
        <v>240</v>
      </c>
      <c r="G613" t="s">
        <v>8</v>
      </c>
      <c r="J613" s="6">
        <f t="shared" si="9"/>
        <v>0</v>
      </c>
      <c r="P613" t="s">
        <v>126</v>
      </c>
    </row>
    <row r="614" spans="1:16" x14ac:dyDescent="0.35">
      <c r="A614" t="s">
        <v>46</v>
      </c>
      <c r="B614" t="s">
        <v>60</v>
      </c>
      <c r="C614" t="s">
        <v>47</v>
      </c>
      <c r="D614" t="s">
        <v>423</v>
      </c>
      <c r="E614" s="1">
        <v>45870</v>
      </c>
      <c r="G614" t="s">
        <v>8</v>
      </c>
      <c r="H614" s="6">
        <v>18181.990000000002</v>
      </c>
      <c r="I614" s="6">
        <v>18181.990000000002</v>
      </c>
      <c r="J614" s="6">
        <f t="shared" si="9"/>
        <v>18181.990000000002</v>
      </c>
      <c r="K614" t="s">
        <v>271</v>
      </c>
      <c r="L614" s="1">
        <v>45880</v>
      </c>
      <c r="M614" s="1">
        <v>45880</v>
      </c>
      <c r="P614" t="s">
        <v>126</v>
      </c>
    </row>
    <row r="615" spans="1:16" x14ac:dyDescent="0.35">
      <c r="A615" t="s">
        <v>46</v>
      </c>
      <c r="B615" t="s">
        <v>60</v>
      </c>
      <c r="C615" t="s">
        <v>47</v>
      </c>
      <c r="G615" t="s">
        <v>8</v>
      </c>
      <c r="J615" s="6">
        <f t="shared" si="9"/>
        <v>0</v>
      </c>
      <c r="P615" t="s">
        <v>126</v>
      </c>
    </row>
    <row r="616" spans="1:16" x14ac:dyDescent="0.35">
      <c r="A616" t="s">
        <v>156</v>
      </c>
      <c r="B616" t="s">
        <v>1</v>
      </c>
      <c r="C616" t="s">
        <v>47</v>
      </c>
      <c r="D616" t="s">
        <v>424</v>
      </c>
      <c r="E616" s="1">
        <v>45870</v>
      </c>
      <c r="F616" s="6">
        <v>428053.64</v>
      </c>
      <c r="G616" s="6">
        <v>89891.26</v>
      </c>
      <c r="I616" s="6">
        <v>517944.9</v>
      </c>
      <c r="J616" s="6">
        <f t="shared" si="9"/>
        <v>428053.64</v>
      </c>
      <c r="K616" t="s">
        <v>271</v>
      </c>
      <c r="L616" s="1">
        <v>45880</v>
      </c>
      <c r="M616" s="1">
        <v>45880</v>
      </c>
      <c r="P616" t="s">
        <v>126</v>
      </c>
    </row>
    <row r="617" spans="1:16" x14ac:dyDescent="0.35">
      <c r="A617" t="s">
        <v>156</v>
      </c>
      <c r="B617" t="s">
        <v>16</v>
      </c>
      <c r="C617" t="s">
        <v>47</v>
      </c>
      <c r="D617" t="s">
        <v>424</v>
      </c>
      <c r="F617" s="6">
        <v>7508.22</v>
      </c>
      <c r="G617" s="6">
        <v>1576.73</v>
      </c>
      <c r="I617" s="6">
        <v>9084.9500000000007</v>
      </c>
      <c r="J617" s="6">
        <f t="shared" si="9"/>
        <v>7508.22</v>
      </c>
      <c r="K617" t="s">
        <v>271</v>
      </c>
      <c r="L617" s="1">
        <v>45880</v>
      </c>
      <c r="M617" s="1">
        <v>45880</v>
      </c>
      <c r="P617" t="s">
        <v>126</v>
      </c>
    </row>
    <row r="618" spans="1:16" x14ac:dyDescent="0.35">
      <c r="A618" t="s">
        <v>156</v>
      </c>
      <c r="B618" t="s">
        <v>60</v>
      </c>
      <c r="C618" t="s">
        <v>47</v>
      </c>
      <c r="D618" t="s">
        <v>424</v>
      </c>
      <c r="E618" s="1">
        <v>45870</v>
      </c>
      <c r="G618" t="s">
        <v>8</v>
      </c>
      <c r="H618" s="6">
        <v>50182.29</v>
      </c>
      <c r="I618" s="6">
        <v>50182.29</v>
      </c>
      <c r="J618" s="6">
        <f t="shared" si="9"/>
        <v>50182.29</v>
      </c>
      <c r="K618" t="s">
        <v>271</v>
      </c>
      <c r="L618" s="1">
        <v>45880</v>
      </c>
      <c r="M618" s="1">
        <v>45880</v>
      </c>
      <c r="P618" t="s">
        <v>126</v>
      </c>
    </row>
    <row r="619" spans="1:16" x14ac:dyDescent="0.35">
      <c r="A619" t="s">
        <v>333</v>
      </c>
      <c r="B619" t="s">
        <v>1</v>
      </c>
      <c r="C619" t="s">
        <v>47</v>
      </c>
      <c r="D619" t="s">
        <v>425</v>
      </c>
      <c r="E619" s="1">
        <v>45870</v>
      </c>
      <c r="F619" s="6">
        <v>554000</v>
      </c>
      <c r="G619" s="6">
        <v>116340</v>
      </c>
      <c r="I619" s="6">
        <v>670340</v>
      </c>
      <c r="J619" s="6">
        <f t="shared" si="9"/>
        <v>554000</v>
      </c>
      <c r="K619" t="s">
        <v>271</v>
      </c>
      <c r="L619" s="1">
        <v>45880</v>
      </c>
      <c r="M619" s="1">
        <v>45880</v>
      </c>
      <c r="P619" t="s">
        <v>126</v>
      </c>
    </row>
    <row r="620" spans="1:16" x14ac:dyDescent="0.35">
      <c r="A620" t="s">
        <v>333</v>
      </c>
      <c r="B620" t="s">
        <v>60</v>
      </c>
      <c r="C620" t="s">
        <v>47</v>
      </c>
      <c r="D620" t="s">
        <v>425</v>
      </c>
      <c r="E620" s="1">
        <v>45870</v>
      </c>
      <c r="G620" t="s">
        <v>8</v>
      </c>
      <c r="H620" s="6">
        <v>314184.75</v>
      </c>
      <c r="I620" s="6">
        <v>314184.75</v>
      </c>
      <c r="J620" s="6">
        <f t="shared" si="9"/>
        <v>314184.75</v>
      </c>
      <c r="L620" s="1">
        <v>45880</v>
      </c>
      <c r="M620" s="1">
        <v>45880</v>
      </c>
      <c r="P620" t="s">
        <v>126</v>
      </c>
    </row>
    <row r="621" spans="1:16" x14ac:dyDescent="0.35">
      <c r="A621" t="s">
        <v>43</v>
      </c>
      <c r="B621" t="s">
        <v>122</v>
      </c>
      <c r="C621" t="s">
        <v>411</v>
      </c>
      <c r="D621" t="s">
        <v>426</v>
      </c>
      <c r="E621" s="1">
        <v>45869</v>
      </c>
      <c r="F621" s="6">
        <v>190000</v>
      </c>
      <c r="G621" s="6">
        <v>39900</v>
      </c>
      <c r="I621" s="6">
        <v>229900</v>
      </c>
      <c r="J621" s="6">
        <f t="shared" si="9"/>
        <v>190000</v>
      </c>
      <c r="K621" t="s">
        <v>271</v>
      </c>
      <c r="L621" s="1">
        <v>45888</v>
      </c>
      <c r="M621" s="1">
        <v>45888</v>
      </c>
      <c r="P621" t="s">
        <v>126</v>
      </c>
    </row>
    <row r="622" spans="1:16" x14ac:dyDescent="0.35">
      <c r="A622" t="s">
        <v>43</v>
      </c>
      <c r="B622" t="s">
        <v>1</v>
      </c>
      <c r="C622" t="s">
        <v>47</v>
      </c>
      <c r="D622" t="s">
        <v>427</v>
      </c>
      <c r="E622" s="1">
        <v>45870</v>
      </c>
      <c r="F622" s="6">
        <v>599275.1</v>
      </c>
      <c r="G622" s="6">
        <v>125847.77</v>
      </c>
      <c r="I622" s="6">
        <v>725122.87</v>
      </c>
      <c r="J622" s="6">
        <f t="shared" si="9"/>
        <v>599275.1</v>
      </c>
      <c r="K622" t="s">
        <v>271</v>
      </c>
      <c r="L622" s="1">
        <v>45880</v>
      </c>
      <c r="M622" s="1">
        <v>45880</v>
      </c>
      <c r="P622" t="s">
        <v>126</v>
      </c>
    </row>
    <row r="623" spans="1:16" x14ac:dyDescent="0.35">
      <c r="A623" t="s">
        <v>43</v>
      </c>
      <c r="B623" t="s">
        <v>60</v>
      </c>
      <c r="C623" t="s">
        <v>47</v>
      </c>
      <c r="D623" t="s">
        <v>427</v>
      </c>
      <c r="E623" s="1">
        <v>45870</v>
      </c>
      <c r="G623" t="s">
        <v>8</v>
      </c>
      <c r="H623" s="6">
        <v>328003.06</v>
      </c>
      <c r="I623" s="6">
        <v>328003.06</v>
      </c>
      <c r="J623" s="6">
        <f t="shared" si="9"/>
        <v>328003.06</v>
      </c>
      <c r="L623" s="1">
        <v>45880</v>
      </c>
      <c r="M623" s="1">
        <v>45880</v>
      </c>
      <c r="P623" t="s">
        <v>126</v>
      </c>
    </row>
    <row r="624" spans="1:16" x14ac:dyDescent="0.35">
      <c r="A624" t="s">
        <v>43</v>
      </c>
      <c r="B624" t="s">
        <v>61</v>
      </c>
      <c r="C624" t="s">
        <v>31</v>
      </c>
      <c r="J624" s="6">
        <f t="shared" si="9"/>
        <v>0</v>
      </c>
      <c r="P624" t="s">
        <v>126</v>
      </c>
    </row>
    <row r="625" spans="1:16" x14ac:dyDescent="0.35">
      <c r="A625" t="s">
        <v>43</v>
      </c>
      <c r="B625" t="s">
        <v>19</v>
      </c>
      <c r="C625" t="s">
        <v>37</v>
      </c>
      <c r="J625" s="6">
        <f t="shared" si="9"/>
        <v>0</v>
      </c>
      <c r="P625" t="s">
        <v>126</v>
      </c>
    </row>
    <row r="626" spans="1:16" x14ac:dyDescent="0.35">
      <c r="A626" t="s">
        <v>49</v>
      </c>
      <c r="B626" t="s">
        <v>122</v>
      </c>
      <c r="C626" t="s">
        <v>411</v>
      </c>
      <c r="D626" t="s">
        <v>428</v>
      </c>
      <c r="E626" s="1">
        <v>45873</v>
      </c>
      <c r="F626" s="6">
        <v>190000</v>
      </c>
      <c r="G626" s="6">
        <v>39900</v>
      </c>
      <c r="I626" s="6">
        <v>229900</v>
      </c>
      <c r="J626" s="6">
        <f t="shared" si="9"/>
        <v>190000</v>
      </c>
      <c r="K626" t="s">
        <v>54</v>
      </c>
      <c r="L626" s="1">
        <v>45890</v>
      </c>
      <c r="M626" s="1">
        <v>45890</v>
      </c>
      <c r="N626" t="s">
        <v>413</v>
      </c>
      <c r="P626" t="s">
        <v>126</v>
      </c>
    </row>
    <row r="627" spans="1:16" x14ac:dyDescent="0.35">
      <c r="A627" t="s">
        <v>49</v>
      </c>
      <c r="B627" t="s">
        <v>23</v>
      </c>
      <c r="C627" t="s">
        <v>24</v>
      </c>
      <c r="D627" t="s">
        <v>429</v>
      </c>
      <c r="E627" s="1">
        <v>45881</v>
      </c>
      <c r="F627" s="6">
        <v>41895</v>
      </c>
      <c r="G627" s="6">
        <v>8797.9500000000007</v>
      </c>
      <c r="I627" s="6">
        <v>50692.95</v>
      </c>
      <c r="J627" s="6">
        <f t="shared" si="9"/>
        <v>41895</v>
      </c>
      <c r="K627" t="s">
        <v>271</v>
      </c>
      <c r="L627" s="1">
        <v>45891</v>
      </c>
      <c r="M627" s="1">
        <v>45891</v>
      </c>
      <c r="P627" t="s">
        <v>126</v>
      </c>
    </row>
    <row r="628" spans="1:16" x14ac:dyDescent="0.35">
      <c r="A628" t="s">
        <v>49</v>
      </c>
      <c r="B628" t="s">
        <v>27</v>
      </c>
      <c r="C628" t="s">
        <v>28</v>
      </c>
      <c r="D628" t="s">
        <v>188</v>
      </c>
      <c r="G628" t="s">
        <v>8</v>
      </c>
      <c r="J628" s="6">
        <f t="shared" si="9"/>
        <v>0</v>
      </c>
      <c r="P628" t="s">
        <v>126</v>
      </c>
    </row>
    <row r="629" spans="1:16" x14ac:dyDescent="0.35">
      <c r="A629" t="s">
        <v>49</v>
      </c>
      <c r="B629" t="s">
        <v>1</v>
      </c>
      <c r="C629" t="s">
        <v>167</v>
      </c>
      <c r="D629" t="s">
        <v>430</v>
      </c>
      <c r="E629" s="1">
        <v>45876</v>
      </c>
      <c r="F629" s="6">
        <v>1299988.6000000001</v>
      </c>
      <c r="G629" s="6">
        <v>272997.61</v>
      </c>
      <c r="H629" s="6">
        <v>38999.660000000003</v>
      </c>
      <c r="I629" s="6">
        <v>1611985.87</v>
      </c>
      <c r="J629" s="6">
        <f t="shared" si="9"/>
        <v>1299988.6000000001</v>
      </c>
      <c r="K629" t="s">
        <v>271</v>
      </c>
      <c r="L629" s="1">
        <v>45880</v>
      </c>
      <c r="M629" s="1">
        <v>45880</v>
      </c>
      <c r="P629" t="s">
        <v>126</v>
      </c>
    </row>
    <row r="630" spans="1:16" x14ac:dyDescent="0.35">
      <c r="A630" t="s">
        <v>49</v>
      </c>
      <c r="B630" t="s">
        <v>16</v>
      </c>
      <c r="C630" t="s">
        <v>16</v>
      </c>
      <c r="J630" s="6">
        <f t="shared" si="9"/>
        <v>0</v>
      </c>
      <c r="K630" t="s">
        <v>18</v>
      </c>
      <c r="P630" t="s">
        <v>126</v>
      </c>
    </row>
    <row r="631" spans="1:16" x14ac:dyDescent="0.35">
      <c r="A631" t="s">
        <v>49</v>
      </c>
      <c r="B631" t="s">
        <v>60</v>
      </c>
      <c r="C631" t="s">
        <v>167</v>
      </c>
      <c r="D631" t="s">
        <v>240</v>
      </c>
      <c r="G631" t="s">
        <v>8</v>
      </c>
      <c r="J631" s="6">
        <f t="shared" si="9"/>
        <v>0</v>
      </c>
      <c r="P631" t="s">
        <v>126</v>
      </c>
    </row>
    <row r="632" spans="1:16" x14ac:dyDescent="0.35">
      <c r="A632" t="s">
        <v>49</v>
      </c>
      <c r="B632" t="s">
        <v>61</v>
      </c>
      <c r="C632" t="s">
        <v>31</v>
      </c>
      <c r="J632" s="6">
        <f t="shared" si="9"/>
        <v>0</v>
      </c>
      <c r="P632" t="s">
        <v>126</v>
      </c>
    </row>
    <row r="633" spans="1:16" x14ac:dyDescent="0.35">
      <c r="A633" t="s">
        <v>49</v>
      </c>
      <c r="B633" t="s">
        <v>19</v>
      </c>
      <c r="C633" t="s">
        <v>37</v>
      </c>
      <c r="J633" s="6">
        <f t="shared" si="9"/>
        <v>0</v>
      </c>
      <c r="P633" t="s">
        <v>126</v>
      </c>
    </row>
    <row r="634" spans="1:16" x14ac:dyDescent="0.35">
      <c r="A634" t="s">
        <v>49</v>
      </c>
      <c r="B634" t="s">
        <v>23</v>
      </c>
      <c r="C634" t="s">
        <v>24</v>
      </c>
      <c r="D634" t="s">
        <v>431</v>
      </c>
      <c r="E634" s="1">
        <v>45883</v>
      </c>
      <c r="F634" s="6">
        <v>62539</v>
      </c>
      <c r="G634" s="6">
        <v>13133.19</v>
      </c>
      <c r="I634" s="6">
        <v>75672.19</v>
      </c>
      <c r="J634" s="6">
        <f t="shared" si="9"/>
        <v>62539</v>
      </c>
      <c r="K634" t="s">
        <v>271</v>
      </c>
      <c r="L634" s="1">
        <v>45891</v>
      </c>
      <c r="M634" s="1">
        <v>45891</v>
      </c>
      <c r="P634" t="s">
        <v>126</v>
      </c>
    </row>
    <row r="635" spans="1:16" x14ac:dyDescent="0.35">
      <c r="A635" t="s">
        <v>52</v>
      </c>
      <c r="B635" t="s">
        <v>122</v>
      </c>
      <c r="C635" t="s">
        <v>411</v>
      </c>
      <c r="D635" t="s">
        <v>432</v>
      </c>
      <c r="E635" s="1">
        <v>45869</v>
      </c>
      <c r="F635" s="6">
        <v>90000</v>
      </c>
      <c r="G635" s="6">
        <v>18900</v>
      </c>
      <c r="I635" s="6">
        <v>108900</v>
      </c>
      <c r="J635" s="6">
        <f t="shared" si="9"/>
        <v>90000</v>
      </c>
      <c r="K635" t="s">
        <v>271</v>
      </c>
      <c r="L635" s="1">
        <v>45888</v>
      </c>
      <c r="M635" s="1">
        <v>45888</v>
      </c>
      <c r="P635" t="s">
        <v>126</v>
      </c>
    </row>
    <row r="636" spans="1:16" x14ac:dyDescent="0.35">
      <c r="A636" t="s">
        <v>52</v>
      </c>
      <c r="B636" t="s">
        <v>23</v>
      </c>
      <c r="C636" t="s">
        <v>24</v>
      </c>
      <c r="D636" t="s">
        <v>433</v>
      </c>
      <c r="E636" s="1">
        <v>45881</v>
      </c>
      <c r="F636" s="6">
        <v>41895</v>
      </c>
      <c r="G636" s="6">
        <v>8797.9500000000007</v>
      </c>
      <c r="I636" s="6">
        <v>50692.95</v>
      </c>
      <c r="J636" s="6">
        <f t="shared" si="9"/>
        <v>41895</v>
      </c>
      <c r="K636" t="s">
        <v>271</v>
      </c>
      <c r="L636" s="1">
        <v>45891</v>
      </c>
      <c r="M636" s="1">
        <v>45891</v>
      </c>
      <c r="P636" t="s">
        <v>126</v>
      </c>
    </row>
    <row r="637" spans="1:16" x14ac:dyDescent="0.35">
      <c r="A637" t="s">
        <v>52</v>
      </c>
      <c r="B637" t="s">
        <v>27</v>
      </c>
      <c r="C637" t="s">
        <v>28</v>
      </c>
      <c r="D637" t="s">
        <v>188</v>
      </c>
      <c r="G637" t="s">
        <v>8</v>
      </c>
      <c r="J637" s="6">
        <f t="shared" si="9"/>
        <v>0</v>
      </c>
      <c r="P637" t="s">
        <v>126</v>
      </c>
    </row>
    <row r="638" spans="1:16" x14ac:dyDescent="0.35">
      <c r="A638" t="s">
        <v>52</v>
      </c>
      <c r="B638" t="s">
        <v>1</v>
      </c>
      <c r="C638" t="s">
        <v>172</v>
      </c>
      <c r="D638" t="s">
        <v>434</v>
      </c>
      <c r="E638" s="1">
        <v>45870</v>
      </c>
      <c r="F638" s="6">
        <v>1741513.44</v>
      </c>
      <c r="G638" s="6">
        <v>365717.82</v>
      </c>
      <c r="I638" s="6">
        <v>2107231.2599999998</v>
      </c>
      <c r="J638" s="6">
        <f t="shared" si="9"/>
        <v>1741513.44</v>
      </c>
      <c r="K638" t="s">
        <v>271</v>
      </c>
      <c r="L638" s="1">
        <v>45881</v>
      </c>
      <c r="M638" s="1">
        <v>45881</v>
      </c>
      <c r="P638" t="s">
        <v>126</v>
      </c>
    </row>
    <row r="639" spans="1:16" x14ac:dyDescent="0.35">
      <c r="A639" t="s">
        <v>52</v>
      </c>
      <c r="B639" t="s">
        <v>16</v>
      </c>
      <c r="C639" t="s">
        <v>16</v>
      </c>
      <c r="J639" s="6">
        <f t="shared" si="9"/>
        <v>0</v>
      </c>
      <c r="P639" t="s">
        <v>126</v>
      </c>
    </row>
    <row r="640" spans="1:16" x14ac:dyDescent="0.35">
      <c r="A640" t="s">
        <v>52</v>
      </c>
      <c r="B640" t="s">
        <v>60</v>
      </c>
      <c r="C640" t="s">
        <v>14</v>
      </c>
      <c r="J640" s="6">
        <f t="shared" si="9"/>
        <v>0</v>
      </c>
      <c r="P640" t="s">
        <v>126</v>
      </c>
    </row>
    <row r="641" spans="1:16" x14ac:dyDescent="0.35">
      <c r="A641" t="s">
        <v>52</v>
      </c>
      <c r="B641" t="s">
        <v>61</v>
      </c>
      <c r="C641" t="s">
        <v>31</v>
      </c>
      <c r="J641" s="6">
        <f t="shared" si="9"/>
        <v>0</v>
      </c>
      <c r="P641" t="s">
        <v>126</v>
      </c>
    </row>
    <row r="642" spans="1:16" x14ac:dyDescent="0.35">
      <c r="A642" t="s">
        <v>176</v>
      </c>
      <c r="B642" t="s">
        <v>122</v>
      </c>
      <c r="C642" t="s">
        <v>411</v>
      </c>
      <c r="D642" t="s">
        <v>435</v>
      </c>
      <c r="E642" s="1">
        <v>45869</v>
      </c>
      <c r="F642" s="6">
        <v>290000</v>
      </c>
      <c r="G642" s="6">
        <v>60900</v>
      </c>
      <c r="I642" s="6">
        <v>350900</v>
      </c>
      <c r="J642" s="6">
        <f t="shared" si="9"/>
        <v>290000</v>
      </c>
      <c r="K642" t="s">
        <v>54</v>
      </c>
      <c r="L642" s="1">
        <v>45890</v>
      </c>
      <c r="M642" s="1">
        <v>45890</v>
      </c>
      <c r="N642" t="s">
        <v>413</v>
      </c>
      <c r="P642" t="s">
        <v>126</v>
      </c>
    </row>
    <row r="643" spans="1:16" x14ac:dyDescent="0.35">
      <c r="A643" t="s">
        <v>176</v>
      </c>
      <c r="B643" t="s">
        <v>1</v>
      </c>
      <c r="C643" t="s">
        <v>172</v>
      </c>
      <c r="D643" t="s">
        <v>436</v>
      </c>
      <c r="E643" s="1">
        <v>45870</v>
      </c>
      <c r="F643" s="6">
        <v>887700</v>
      </c>
      <c r="G643" s="6">
        <v>186417</v>
      </c>
      <c r="I643" s="6">
        <v>1074117</v>
      </c>
      <c r="J643" s="6">
        <f t="shared" ref="J643:J706" si="10">IF(F643&gt;0,F643,I643)</f>
        <v>887700</v>
      </c>
      <c r="K643" t="s">
        <v>271</v>
      </c>
      <c r="L643" s="1">
        <v>45881</v>
      </c>
      <c r="M643" s="1">
        <v>45881</v>
      </c>
      <c r="P643" t="s">
        <v>126</v>
      </c>
    </row>
    <row r="644" spans="1:16" x14ac:dyDescent="0.35">
      <c r="A644" t="s">
        <v>176</v>
      </c>
      <c r="B644" t="s">
        <v>16</v>
      </c>
      <c r="C644" t="s">
        <v>16</v>
      </c>
      <c r="D644" t="s">
        <v>7</v>
      </c>
      <c r="G644" t="s">
        <v>8</v>
      </c>
      <c r="I644" s="6">
        <v>104085.8</v>
      </c>
      <c r="J644" s="6">
        <f t="shared" si="10"/>
        <v>104085.8</v>
      </c>
      <c r="K644" t="s">
        <v>18</v>
      </c>
      <c r="L644" s="1">
        <v>45875</v>
      </c>
      <c r="M644" s="1">
        <v>45873</v>
      </c>
      <c r="P644" t="s">
        <v>126</v>
      </c>
    </row>
    <row r="645" spans="1:16" x14ac:dyDescent="0.35">
      <c r="A645" t="s">
        <v>176</v>
      </c>
      <c r="B645" t="s">
        <v>60</v>
      </c>
      <c r="C645" t="s">
        <v>14</v>
      </c>
      <c r="J645" s="6">
        <f t="shared" si="10"/>
        <v>0</v>
      </c>
      <c r="P645" t="s">
        <v>126</v>
      </c>
    </row>
    <row r="646" spans="1:16" x14ac:dyDescent="0.35">
      <c r="A646" t="s">
        <v>176</v>
      </c>
      <c r="B646" t="s">
        <v>61</v>
      </c>
      <c r="C646" t="s">
        <v>31</v>
      </c>
      <c r="J646" s="6">
        <f t="shared" si="10"/>
        <v>0</v>
      </c>
      <c r="P646" t="s">
        <v>126</v>
      </c>
    </row>
    <row r="647" spans="1:16" x14ac:dyDescent="0.35">
      <c r="A647" t="s">
        <v>407</v>
      </c>
      <c r="J647" s="6">
        <f t="shared" si="10"/>
        <v>0</v>
      </c>
      <c r="P647" t="s">
        <v>5</v>
      </c>
    </row>
    <row r="648" spans="1:16" x14ac:dyDescent="0.35">
      <c r="A648" t="s">
        <v>15</v>
      </c>
      <c r="B648" t="s">
        <v>30</v>
      </c>
      <c r="J648" s="6">
        <f t="shared" si="10"/>
        <v>0</v>
      </c>
      <c r="P648" t="s">
        <v>5</v>
      </c>
    </row>
    <row r="649" spans="1:16" x14ac:dyDescent="0.35">
      <c r="A649" t="s">
        <v>15</v>
      </c>
      <c r="B649" t="s">
        <v>27</v>
      </c>
      <c r="C649" t="s">
        <v>28</v>
      </c>
      <c r="D649" t="s">
        <v>437</v>
      </c>
      <c r="E649" s="1">
        <v>45903</v>
      </c>
      <c r="G649" t="s">
        <v>8</v>
      </c>
      <c r="I649" s="6">
        <v>20000</v>
      </c>
      <c r="J649" s="6">
        <f t="shared" si="10"/>
        <v>20000</v>
      </c>
      <c r="K649" t="s">
        <v>45</v>
      </c>
      <c r="L649" s="1">
        <v>45919</v>
      </c>
      <c r="M649" s="1">
        <v>45919</v>
      </c>
      <c r="P649" t="s">
        <v>5</v>
      </c>
    </row>
    <row r="650" spans="1:16" x14ac:dyDescent="0.35">
      <c r="A650" t="s">
        <v>15</v>
      </c>
      <c r="B650" t="s">
        <v>1</v>
      </c>
      <c r="C650" t="s">
        <v>172</v>
      </c>
      <c r="D650" t="s">
        <v>438</v>
      </c>
      <c r="E650" s="1">
        <v>45901</v>
      </c>
      <c r="F650" s="6">
        <v>1091639.7</v>
      </c>
      <c r="G650" s="6">
        <v>229244.34</v>
      </c>
      <c r="I650" s="6">
        <v>1320884.04</v>
      </c>
      <c r="J650" s="6">
        <f t="shared" si="10"/>
        <v>1091639.7</v>
      </c>
      <c r="K650" t="s">
        <v>271</v>
      </c>
      <c r="L650" s="1">
        <v>45910</v>
      </c>
      <c r="M650" s="1">
        <v>45910</v>
      </c>
      <c r="P650" t="s">
        <v>5</v>
      </c>
    </row>
    <row r="651" spans="1:16" x14ac:dyDescent="0.35">
      <c r="A651" t="s">
        <v>15</v>
      </c>
      <c r="B651" t="s">
        <v>16</v>
      </c>
      <c r="C651" t="s">
        <v>16</v>
      </c>
      <c r="D651" t="s">
        <v>240</v>
      </c>
      <c r="G651" t="s">
        <v>8</v>
      </c>
      <c r="J651" s="6">
        <f t="shared" si="10"/>
        <v>0</v>
      </c>
      <c r="P651" t="s">
        <v>5</v>
      </c>
    </row>
    <row r="652" spans="1:16" x14ac:dyDescent="0.35">
      <c r="A652" t="s">
        <v>15</v>
      </c>
      <c r="B652" t="s">
        <v>60</v>
      </c>
      <c r="C652" t="s">
        <v>14</v>
      </c>
      <c r="I652" s="6">
        <v>1062641.6000000001</v>
      </c>
      <c r="J652" s="6">
        <f t="shared" si="10"/>
        <v>1062641.6000000001</v>
      </c>
      <c r="K652" t="s">
        <v>271</v>
      </c>
      <c r="L652" s="1">
        <v>45910</v>
      </c>
      <c r="M652" s="1">
        <v>45910</v>
      </c>
      <c r="P652" t="s">
        <v>5</v>
      </c>
    </row>
    <row r="653" spans="1:16" x14ac:dyDescent="0.35">
      <c r="A653" t="s">
        <v>15</v>
      </c>
      <c r="B653" t="s">
        <v>61</v>
      </c>
      <c r="C653" t="s">
        <v>31</v>
      </c>
      <c r="D653" t="s">
        <v>439</v>
      </c>
      <c r="E653" s="1">
        <v>45905</v>
      </c>
      <c r="F653" s="6">
        <v>32044</v>
      </c>
      <c r="G653" s="6">
        <v>6729.24</v>
      </c>
      <c r="I653" s="6">
        <v>38773.24</v>
      </c>
      <c r="J653" s="6">
        <f t="shared" si="10"/>
        <v>32044</v>
      </c>
      <c r="K653" t="s">
        <v>271</v>
      </c>
      <c r="L653" s="1">
        <v>45919</v>
      </c>
      <c r="M653" s="1">
        <v>45919</v>
      </c>
      <c r="P653" t="s">
        <v>5</v>
      </c>
    </row>
    <row r="654" spans="1:16" x14ac:dyDescent="0.35">
      <c r="A654" t="s">
        <v>15</v>
      </c>
      <c r="B654" t="s">
        <v>19</v>
      </c>
      <c r="C654" t="s">
        <v>20</v>
      </c>
      <c r="D654" t="s">
        <v>240</v>
      </c>
      <c r="G654" t="s">
        <v>8</v>
      </c>
      <c r="J654" s="6">
        <f t="shared" si="10"/>
        <v>0</v>
      </c>
      <c r="P654" t="s">
        <v>5</v>
      </c>
    </row>
    <row r="655" spans="1:16" x14ac:dyDescent="0.35">
      <c r="A655" t="s">
        <v>15</v>
      </c>
      <c r="B655" t="s">
        <v>101</v>
      </c>
      <c r="C655" t="s">
        <v>351</v>
      </c>
      <c r="D655" t="s">
        <v>440</v>
      </c>
      <c r="E655" s="1">
        <v>45897</v>
      </c>
      <c r="F655" s="6">
        <v>1638723.03</v>
      </c>
      <c r="G655" s="6">
        <v>344131.84000000003</v>
      </c>
      <c r="I655" s="6">
        <v>1982854.87</v>
      </c>
      <c r="J655" s="6">
        <f t="shared" si="10"/>
        <v>1638723.03</v>
      </c>
      <c r="K655" t="s">
        <v>271</v>
      </c>
      <c r="L655" s="1">
        <v>45905</v>
      </c>
      <c r="M655" s="1">
        <v>45905</v>
      </c>
      <c r="N655" t="s">
        <v>441</v>
      </c>
      <c r="P655" t="s">
        <v>5</v>
      </c>
    </row>
    <row r="656" spans="1:16" x14ac:dyDescent="0.35">
      <c r="A656" t="s">
        <v>15</v>
      </c>
      <c r="B656" t="s">
        <v>23</v>
      </c>
      <c r="C656" t="s">
        <v>24</v>
      </c>
      <c r="D656" t="s">
        <v>442</v>
      </c>
      <c r="E656" s="3">
        <v>45902</v>
      </c>
      <c r="F656" s="6">
        <v>50705</v>
      </c>
      <c r="G656" s="6">
        <v>10648.05</v>
      </c>
      <c r="I656" s="6">
        <v>61353.05</v>
      </c>
      <c r="J656" s="6">
        <f t="shared" si="10"/>
        <v>50705</v>
      </c>
      <c r="K656" t="s">
        <v>271</v>
      </c>
      <c r="L656" s="1">
        <v>45912</v>
      </c>
      <c r="M656" s="1">
        <v>45912</v>
      </c>
      <c r="P656" t="s">
        <v>5</v>
      </c>
    </row>
    <row r="657" spans="1:16" x14ac:dyDescent="0.35">
      <c r="A657" t="s">
        <v>15</v>
      </c>
      <c r="B657" t="s">
        <v>122</v>
      </c>
      <c r="C657" t="s">
        <v>411</v>
      </c>
      <c r="D657" t="s">
        <v>443</v>
      </c>
      <c r="G657" t="s">
        <v>8</v>
      </c>
      <c r="J657" s="6">
        <f t="shared" si="10"/>
        <v>0</v>
      </c>
      <c r="K657" t="s">
        <v>54</v>
      </c>
      <c r="P657" t="s">
        <v>5</v>
      </c>
    </row>
    <row r="658" spans="1:16" x14ac:dyDescent="0.35">
      <c r="A658" t="s">
        <v>417</v>
      </c>
      <c r="B658" t="s">
        <v>56</v>
      </c>
      <c r="C658" t="s">
        <v>57</v>
      </c>
      <c r="D658" t="s">
        <v>444</v>
      </c>
      <c r="E658" s="1">
        <v>45908</v>
      </c>
      <c r="F658" t="s">
        <v>8</v>
      </c>
      <c r="G658" t="s">
        <v>8</v>
      </c>
      <c r="I658" s="6">
        <v>549364.85</v>
      </c>
      <c r="J658" s="6">
        <v>549364.85</v>
      </c>
      <c r="K658" t="s">
        <v>271</v>
      </c>
      <c r="L658" s="1">
        <v>45919</v>
      </c>
      <c r="M658" s="1">
        <v>45919</v>
      </c>
      <c r="P658" t="s">
        <v>5</v>
      </c>
    </row>
    <row r="659" spans="1:16" x14ac:dyDescent="0.35">
      <c r="A659" t="s">
        <v>417</v>
      </c>
      <c r="B659" t="s">
        <v>27</v>
      </c>
      <c r="C659" t="s">
        <v>28</v>
      </c>
      <c r="D659" t="s">
        <v>437</v>
      </c>
      <c r="E659" s="1">
        <v>45903</v>
      </c>
      <c r="G659" t="s">
        <v>8</v>
      </c>
      <c r="I659" s="6">
        <v>40000</v>
      </c>
      <c r="J659" s="6">
        <f t="shared" si="10"/>
        <v>40000</v>
      </c>
      <c r="K659" t="s">
        <v>45</v>
      </c>
      <c r="L659" s="1">
        <v>45919</v>
      </c>
      <c r="M659" s="1">
        <v>45919</v>
      </c>
      <c r="P659" t="s">
        <v>5</v>
      </c>
    </row>
    <row r="660" spans="1:16" x14ac:dyDescent="0.35">
      <c r="A660" t="s">
        <v>417</v>
      </c>
      <c r="B660" t="s">
        <v>1</v>
      </c>
      <c r="C660" t="s">
        <v>57</v>
      </c>
      <c r="D660" t="s">
        <v>445</v>
      </c>
      <c r="E660" s="1">
        <v>45908</v>
      </c>
      <c r="F660" s="6">
        <v>7000000</v>
      </c>
      <c r="G660" s="6">
        <v>1470000</v>
      </c>
      <c r="I660" s="6">
        <v>8470000</v>
      </c>
      <c r="J660" s="6">
        <f t="shared" si="10"/>
        <v>7000000</v>
      </c>
      <c r="K660" t="s">
        <v>271</v>
      </c>
      <c r="L660" s="1">
        <v>45909</v>
      </c>
      <c r="M660" s="1">
        <v>45909</v>
      </c>
      <c r="P660" t="s">
        <v>5</v>
      </c>
    </row>
    <row r="661" spans="1:16" x14ac:dyDescent="0.35">
      <c r="A661" t="s">
        <v>417</v>
      </c>
      <c r="B661" t="s">
        <v>9</v>
      </c>
      <c r="C661" t="s">
        <v>57</v>
      </c>
      <c r="D661" t="s">
        <v>444</v>
      </c>
      <c r="E661" s="1">
        <v>45908</v>
      </c>
      <c r="F661" s="6">
        <v>409234.95</v>
      </c>
      <c r="G661" s="6">
        <v>110493.44</v>
      </c>
      <c r="H661" s="6">
        <v>25740.87</v>
      </c>
      <c r="I661" s="6">
        <v>545469.26</v>
      </c>
      <c r="J661" s="6">
        <f t="shared" si="10"/>
        <v>409234.95</v>
      </c>
      <c r="K661" t="s">
        <v>271</v>
      </c>
      <c r="L661" s="1">
        <v>45919</v>
      </c>
      <c r="M661" s="1">
        <v>45919</v>
      </c>
      <c r="P661" t="s">
        <v>5</v>
      </c>
    </row>
    <row r="662" spans="1:16" x14ac:dyDescent="0.35">
      <c r="A662" t="s">
        <v>417</v>
      </c>
      <c r="B662" t="s">
        <v>60</v>
      </c>
      <c r="C662" t="s">
        <v>57</v>
      </c>
      <c r="D662" t="s">
        <v>444</v>
      </c>
      <c r="E662" s="1">
        <v>45908</v>
      </c>
      <c r="F662" t="s">
        <v>8</v>
      </c>
      <c r="G662" t="s">
        <v>8</v>
      </c>
      <c r="I662" s="6">
        <v>300440.5</v>
      </c>
      <c r="J662" s="6">
        <v>300440.5</v>
      </c>
      <c r="K662" t="s">
        <v>271</v>
      </c>
      <c r="L662" s="1">
        <v>45919</v>
      </c>
      <c r="M662" s="1">
        <v>45919</v>
      </c>
      <c r="P662" t="s">
        <v>5</v>
      </c>
    </row>
    <row r="663" spans="1:16" x14ac:dyDescent="0.35">
      <c r="A663" t="s">
        <v>417</v>
      </c>
      <c r="B663" t="s">
        <v>61</v>
      </c>
      <c r="C663" t="s">
        <v>31</v>
      </c>
      <c r="D663" t="s">
        <v>439</v>
      </c>
      <c r="E663" s="1">
        <v>45905</v>
      </c>
      <c r="F663" s="6">
        <v>39909</v>
      </c>
      <c r="G663" s="6">
        <v>8380.89</v>
      </c>
      <c r="I663" s="6">
        <v>48289.89</v>
      </c>
      <c r="J663" s="6">
        <f t="shared" si="10"/>
        <v>39909</v>
      </c>
      <c r="K663" t="s">
        <v>271</v>
      </c>
      <c r="L663" s="1">
        <v>45919</v>
      </c>
      <c r="M663" s="1">
        <v>45919</v>
      </c>
      <c r="P663" t="s">
        <v>5</v>
      </c>
    </row>
    <row r="664" spans="1:16" x14ac:dyDescent="0.35">
      <c r="A664" t="s">
        <v>417</v>
      </c>
      <c r="B664" t="s">
        <v>23</v>
      </c>
      <c r="C664" t="s">
        <v>24</v>
      </c>
      <c r="D664" t="s">
        <v>443</v>
      </c>
      <c r="G664" t="s">
        <v>8</v>
      </c>
      <c r="J664" s="6">
        <f t="shared" si="10"/>
        <v>0</v>
      </c>
      <c r="K664" t="s">
        <v>271</v>
      </c>
      <c r="P664" t="s">
        <v>5</v>
      </c>
    </row>
    <row r="665" spans="1:16" x14ac:dyDescent="0.35">
      <c r="A665" t="s">
        <v>26</v>
      </c>
      <c r="B665" t="s">
        <v>122</v>
      </c>
      <c r="C665" t="s">
        <v>411</v>
      </c>
      <c r="D665" t="s">
        <v>446</v>
      </c>
      <c r="E665" s="1">
        <v>45905</v>
      </c>
      <c r="F665" s="6">
        <v>90000</v>
      </c>
      <c r="G665" s="6">
        <v>18900</v>
      </c>
      <c r="I665" s="6">
        <v>108900</v>
      </c>
      <c r="J665" s="6">
        <f t="shared" si="10"/>
        <v>90000</v>
      </c>
      <c r="K665" t="s">
        <v>54</v>
      </c>
      <c r="L665" s="1">
        <v>45909</v>
      </c>
      <c r="M665" s="1">
        <v>45935</v>
      </c>
      <c r="N665" t="s">
        <v>447</v>
      </c>
      <c r="P665" t="s">
        <v>5</v>
      </c>
    </row>
    <row r="666" spans="1:16" x14ac:dyDescent="0.35">
      <c r="A666" t="s">
        <v>26</v>
      </c>
      <c r="B666" t="s">
        <v>1</v>
      </c>
      <c r="C666" t="s">
        <v>147</v>
      </c>
      <c r="D666" t="s">
        <v>376</v>
      </c>
      <c r="F666" s="6">
        <v>703000</v>
      </c>
      <c r="G666" s="6">
        <v>150442</v>
      </c>
      <c r="I666" s="6">
        <v>853442</v>
      </c>
      <c r="J666" s="6">
        <f t="shared" si="10"/>
        <v>703000</v>
      </c>
      <c r="K666" t="s">
        <v>271</v>
      </c>
      <c r="L666" s="1">
        <v>45910</v>
      </c>
      <c r="M666" s="1">
        <v>45915</v>
      </c>
      <c r="N666" t="s">
        <v>448</v>
      </c>
      <c r="P666" t="s">
        <v>5</v>
      </c>
    </row>
    <row r="667" spans="1:16" x14ac:dyDescent="0.35">
      <c r="A667" t="s">
        <v>26</v>
      </c>
      <c r="B667" t="s">
        <v>16</v>
      </c>
      <c r="C667" t="s">
        <v>16</v>
      </c>
      <c r="D667" t="s">
        <v>240</v>
      </c>
      <c r="G667" t="s">
        <v>8</v>
      </c>
      <c r="J667" s="6">
        <f t="shared" si="10"/>
        <v>0</v>
      </c>
      <c r="P667" t="s">
        <v>5</v>
      </c>
    </row>
    <row r="668" spans="1:16" x14ac:dyDescent="0.35">
      <c r="A668" t="s">
        <v>26</v>
      </c>
      <c r="B668" t="s">
        <v>60</v>
      </c>
      <c r="C668" t="s">
        <v>149</v>
      </c>
      <c r="D668" t="s">
        <v>7</v>
      </c>
      <c r="G668" t="s">
        <v>8</v>
      </c>
      <c r="I668" s="6">
        <v>220840</v>
      </c>
      <c r="J668" s="6">
        <f t="shared" si="10"/>
        <v>220840</v>
      </c>
      <c r="K668" t="s">
        <v>150</v>
      </c>
      <c r="L668" s="1">
        <v>45910</v>
      </c>
      <c r="M668" s="1">
        <v>45910</v>
      </c>
      <c r="P668" t="s">
        <v>5</v>
      </c>
    </row>
    <row r="669" spans="1:16" x14ac:dyDescent="0.35">
      <c r="A669" t="s">
        <v>26</v>
      </c>
      <c r="B669" t="s">
        <v>61</v>
      </c>
      <c r="C669" t="s">
        <v>31</v>
      </c>
      <c r="G669" t="s">
        <v>8</v>
      </c>
      <c r="J669" s="6">
        <f t="shared" si="10"/>
        <v>0</v>
      </c>
      <c r="P669" t="s">
        <v>5</v>
      </c>
    </row>
    <row r="670" spans="1:16" x14ac:dyDescent="0.35">
      <c r="A670" t="s">
        <v>26</v>
      </c>
      <c r="B670" t="s">
        <v>19</v>
      </c>
      <c r="C670" t="s">
        <v>37</v>
      </c>
      <c r="D670" t="s">
        <v>443</v>
      </c>
      <c r="G670" t="s">
        <v>8</v>
      </c>
      <c r="J670" s="6">
        <f t="shared" si="10"/>
        <v>0</v>
      </c>
      <c r="P670" t="s">
        <v>5</v>
      </c>
    </row>
    <row r="671" spans="1:16" x14ac:dyDescent="0.35">
      <c r="A671" t="s">
        <v>43</v>
      </c>
      <c r="B671" t="s">
        <v>1</v>
      </c>
      <c r="C671" t="s">
        <v>47</v>
      </c>
      <c r="D671" t="s">
        <v>449</v>
      </c>
      <c r="E671" s="1">
        <v>45901</v>
      </c>
      <c r="F671" s="6">
        <v>599275.1</v>
      </c>
      <c r="G671" s="6">
        <v>125847.77</v>
      </c>
      <c r="I671" s="6">
        <v>725122.87</v>
      </c>
      <c r="J671" s="6">
        <f t="shared" si="10"/>
        <v>599275.1</v>
      </c>
      <c r="K671" t="s">
        <v>271</v>
      </c>
      <c r="L671" s="1">
        <v>45910</v>
      </c>
      <c r="M671" s="1">
        <v>45910</v>
      </c>
      <c r="P671" t="s">
        <v>5</v>
      </c>
    </row>
    <row r="672" spans="1:16" x14ac:dyDescent="0.35">
      <c r="A672" t="s">
        <v>43</v>
      </c>
      <c r="B672" t="s">
        <v>60</v>
      </c>
      <c r="C672" t="s">
        <v>47</v>
      </c>
      <c r="D672" t="s">
        <v>449</v>
      </c>
      <c r="E672" s="1">
        <v>45901</v>
      </c>
      <c r="G672" t="s">
        <v>8</v>
      </c>
      <c r="H672" s="6">
        <v>338831.14</v>
      </c>
      <c r="I672" s="6">
        <v>338831.14</v>
      </c>
      <c r="J672" s="6">
        <f t="shared" si="10"/>
        <v>338831.14</v>
      </c>
      <c r="K672" t="s">
        <v>271</v>
      </c>
      <c r="L672" s="1">
        <v>45910</v>
      </c>
      <c r="M672" s="1">
        <v>45910</v>
      </c>
      <c r="P672" t="s">
        <v>5</v>
      </c>
    </row>
    <row r="673" spans="1:16" x14ac:dyDescent="0.35">
      <c r="A673" t="s">
        <v>43</v>
      </c>
      <c r="B673" t="s">
        <v>61</v>
      </c>
      <c r="C673" t="s">
        <v>31</v>
      </c>
      <c r="D673" t="s">
        <v>439</v>
      </c>
      <c r="E673" s="1">
        <v>45905</v>
      </c>
      <c r="F673" s="6">
        <v>32044</v>
      </c>
      <c r="G673" s="6">
        <v>6729.24</v>
      </c>
      <c r="I673" s="6">
        <v>38773.24</v>
      </c>
      <c r="J673" s="6">
        <f t="shared" si="10"/>
        <v>32044</v>
      </c>
      <c r="K673" t="s">
        <v>271</v>
      </c>
      <c r="L673" s="1">
        <v>45919</v>
      </c>
      <c r="M673" s="1">
        <v>45919</v>
      </c>
      <c r="P673" t="s">
        <v>5</v>
      </c>
    </row>
    <row r="674" spans="1:16" x14ac:dyDescent="0.35">
      <c r="A674" t="s">
        <v>43</v>
      </c>
      <c r="B674" t="s">
        <v>23</v>
      </c>
      <c r="C674" t="s">
        <v>24</v>
      </c>
      <c r="D674" t="s">
        <v>450</v>
      </c>
      <c r="E674" s="1">
        <v>45902</v>
      </c>
      <c r="F674" s="6">
        <v>50705</v>
      </c>
      <c r="G674" s="6">
        <v>10648.05</v>
      </c>
      <c r="I674" s="6">
        <v>61353.05</v>
      </c>
      <c r="J674" s="6">
        <f t="shared" si="10"/>
        <v>50705</v>
      </c>
      <c r="K674" t="s">
        <v>271</v>
      </c>
      <c r="L674" s="1">
        <v>45912</v>
      </c>
      <c r="M674" s="1">
        <v>45912</v>
      </c>
      <c r="P674" t="s">
        <v>5</v>
      </c>
    </row>
    <row r="675" spans="1:16" x14ac:dyDescent="0.35">
      <c r="A675" t="s">
        <v>43</v>
      </c>
      <c r="B675" t="s">
        <v>122</v>
      </c>
      <c r="C675" t="s">
        <v>411</v>
      </c>
      <c r="D675" t="s">
        <v>443</v>
      </c>
      <c r="G675" t="s">
        <v>8</v>
      </c>
      <c r="J675" s="6">
        <f t="shared" si="10"/>
        <v>0</v>
      </c>
      <c r="K675" t="s">
        <v>271</v>
      </c>
      <c r="P675" t="s">
        <v>5</v>
      </c>
    </row>
    <row r="676" spans="1:16" x14ac:dyDescent="0.35">
      <c r="A676" t="s">
        <v>43</v>
      </c>
      <c r="B676" t="s">
        <v>27</v>
      </c>
      <c r="C676" t="s">
        <v>28</v>
      </c>
      <c r="D676" t="s">
        <v>437</v>
      </c>
      <c r="E676" s="1">
        <v>45903</v>
      </c>
      <c r="G676" t="s">
        <v>8</v>
      </c>
      <c r="I676" s="6">
        <v>40000</v>
      </c>
      <c r="J676" s="6">
        <f t="shared" si="10"/>
        <v>40000</v>
      </c>
      <c r="K676" t="s">
        <v>45</v>
      </c>
      <c r="L676" s="1">
        <v>45919</v>
      </c>
      <c r="M676" s="1">
        <v>45919</v>
      </c>
      <c r="P676" t="s">
        <v>5</v>
      </c>
    </row>
    <row r="677" spans="1:16" x14ac:dyDescent="0.35">
      <c r="A677" t="s">
        <v>46</v>
      </c>
      <c r="B677" t="s">
        <v>1</v>
      </c>
      <c r="C677" t="s">
        <v>47</v>
      </c>
      <c r="D677" t="s">
        <v>451</v>
      </c>
      <c r="E677" s="1">
        <v>45901</v>
      </c>
      <c r="F677" s="6">
        <v>250000</v>
      </c>
      <c r="G677" s="6">
        <v>52500</v>
      </c>
      <c r="I677" s="6">
        <v>302500</v>
      </c>
      <c r="J677" s="6">
        <f t="shared" si="10"/>
        <v>250000</v>
      </c>
      <c r="K677" t="s">
        <v>271</v>
      </c>
      <c r="L677" s="1">
        <v>45910</v>
      </c>
      <c r="M677" s="1">
        <v>45910</v>
      </c>
      <c r="P677" t="s">
        <v>5</v>
      </c>
    </row>
    <row r="678" spans="1:16" x14ac:dyDescent="0.35">
      <c r="A678" t="s">
        <v>46</v>
      </c>
      <c r="B678" t="s">
        <v>16</v>
      </c>
      <c r="C678" t="s">
        <v>47</v>
      </c>
      <c r="D678" t="s">
        <v>451</v>
      </c>
      <c r="G678" t="s">
        <v>8</v>
      </c>
      <c r="I678" t="s">
        <v>8</v>
      </c>
      <c r="J678" s="6" t="str">
        <f t="shared" si="10"/>
        <v>$ -</v>
      </c>
      <c r="K678" t="s">
        <v>271</v>
      </c>
      <c r="P678" t="s">
        <v>5</v>
      </c>
    </row>
    <row r="679" spans="1:16" x14ac:dyDescent="0.35">
      <c r="A679" t="s">
        <v>46</v>
      </c>
      <c r="B679" t="s">
        <v>60</v>
      </c>
      <c r="C679" t="s">
        <v>47</v>
      </c>
      <c r="D679" t="s">
        <v>451</v>
      </c>
      <c r="E679" s="1">
        <v>45901</v>
      </c>
      <c r="G679" t="s">
        <v>8</v>
      </c>
      <c r="H679" s="6">
        <v>18782.21</v>
      </c>
      <c r="I679" s="6">
        <v>18782.21</v>
      </c>
      <c r="J679" s="6">
        <f t="shared" si="10"/>
        <v>18782.21</v>
      </c>
      <c r="K679" t="s">
        <v>271</v>
      </c>
      <c r="L679" s="1">
        <v>45910</v>
      </c>
      <c r="M679" s="1">
        <v>45910</v>
      </c>
      <c r="P679" t="s">
        <v>5</v>
      </c>
    </row>
    <row r="680" spans="1:16" x14ac:dyDescent="0.35">
      <c r="A680" t="s">
        <v>156</v>
      </c>
      <c r="B680" t="s">
        <v>1</v>
      </c>
      <c r="C680" t="s">
        <v>47</v>
      </c>
      <c r="D680" t="s">
        <v>452</v>
      </c>
      <c r="E680" s="1">
        <v>45901</v>
      </c>
      <c r="F680" s="6">
        <v>428053.64</v>
      </c>
      <c r="G680" s="6">
        <v>89891.26</v>
      </c>
      <c r="I680" s="6">
        <v>517944.9</v>
      </c>
      <c r="J680" s="6">
        <f t="shared" si="10"/>
        <v>428053.64</v>
      </c>
      <c r="K680" t="s">
        <v>271</v>
      </c>
      <c r="L680" s="1">
        <v>45910</v>
      </c>
      <c r="M680" s="1">
        <v>45910</v>
      </c>
      <c r="P680" t="s">
        <v>5</v>
      </c>
    </row>
    <row r="681" spans="1:16" x14ac:dyDescent="0.35">
      <c r="A681" t="s">
        <v>156</v>
      </c>
      <c r="B681" t="s">
        <v>16</v>
      </c>
      <c r="C681" t="s">
        <v>47</v>
      </c>
      <c r="D681" t="s">
        <v>452</v>
      </c>
      <c r="E681" s="1">
        <v>45901</v>
      </c>
      <c r="F681" s="6">
        <v>8768.2099999999991</v>
      </c>
      <c r="G681" s="6">
        <v>1841.32</v>
      </c>
      <c r="I681" s="6">
        <v>10609.53</v>
      </c>
      <c r="J681" s="6">
        <f t="shared" si="10"/>
        <v>8768.2099999999991</v>
      </c>
      <c r="K681" t="s">
        <v>271</v>
      </c>
      <c r="L681" s="1">
        <v>45910</v>
      </c>
      <c r="M681" s="1">
        <v>45910</v>
      </c>
      <c r="P681" t="s">
        <v>5</v>
      </c>
    </row>
    <row r="682" spans="1:16" x14ac:dyDescent="0.35">
      <c r="A682" t="s">
        <v>156</v>
      </c>
      <c r="B682" t="s">
        <v>60</v>
      </c>
      <c r="C682" t="s">
        <v>47</v>
      </c>
      <c r="D682" t="s">
        <v>452</v>
      </c>
      <c r="E682" s="1">
        <v>45901</v>
      </c>
      <c r="G682" t="s">
        <v>8</v>
      </c>
      <c r="I682" s="6">
        <v>51838.91</v>
      </c>
      <c r="J682" s="6">
        <f t="shared" si="10"/>
        <v>51838.91</v>
      </c>
      <c r="K682" t="s">
        <v>271</v>
      </c>
      <c r="L682" s="1">
        <v>45910</v>
      </c>
      <c r="M682" s="1">
        <v>45910</v>
      </c>
      <c r="P682" t="s">
        <v>5</v>
      </c>
    </row>
    <row r="683" spans="1:16" x14ac:dyDescent="0.35">
      <c r="A683" t="s">
        <v>333</v>
      </c>
      <c r="B683" t="s">
        <v>1</v>
      </c>
      <c r="C683" t="s">
        <v>47</v>
      </c>
      <c r="D683" t="s">
        <v>453</v>
      </c>
      <c r="E683" s="1">
        <v>45901</v>
      </c>
      <c r="F683" s="6">
        <v>554000</v>
      </c>
      <c r="G683" s="6">
        <v>116340</v>
      </c>
      <c r="I683" s="6">
        <v>670340</v>
      </c>
      <c r="J683" s="6">
        <f t="shared" si="10"/>
        <v>554000</v>
      </c>
      <c r="K683" t="s">
        <v>271</v>
      </c>
      <c r="L683" s="1">
        <v>45910</v>
      </c>
      <c r="M683" s="1">
        <v>45910</v>
      </c>
      <c r="P683" t="s">
        <v>5</v>
      </c>
    </row>
    <row r="684" spans="1:16" x14ac:dyDescent="0.35">
      <c r="A684" t="s">
        <v>333</v>
      </c>
      <c r="B684" t="s">
        <v>60</v>
      </c>
      <c r="C684" t="s">
        <v>47</v>
      </c>
      <c r="D684" t="s">
        <v>453</v>
      </c>
      <c r="E684" s="1">
        <v>45901</v>
      </c>
      <c r="G684" t="s">
        <v>8</v>
      </c>
      <c r="H684" s="6">
        <v>324556.65999999997</v>
      </c>
      <c r="I684" s="6">
        <v>324556.65999999997</v>
      </c>
      <c r="J684" s="6">
        <f t="shared" si="10"/>
        <v>324556.65999999997</v>
      </c>
      <c r="K684" t="s">
        <v>271</v>
      </c>
      <c r="L684" s="1">
        <v>45910</v>
      </c>
      <c r="M684" s="1">
        <v>45910</v>
      </c>
      <c r="P684" t="s">
        <v>5</v>
      </c>
    </row>
    <row r="685" spans="1:16" x14ac:dyDescent="0.35">
      <c r="A685" t="s">
        <v>333</v>
      </c>
      <c r="B685" t="s">
        <v>61</v>
      </c>
      <c r="C685" t="s">
        <v>31</v>
      </c>
      <c r="D685" t="s">
        <v>240</v>
      </c>
      <c r="G685" t="s">
        <v>8</v>
      </c>
      <c r="J685" s="6">
        <f t="shared" si="10"/>
        <v>0</v>
      </c>
      <c r="P685" t="s">
        <v>5</v>
      </c>
    </row>
    <row r="686" spans="1:16" x14ac:dyDescent="0.35">
      <c r="A686" t="s">
        <v>333</v>
      </c>
      <c r="B686" t="s">
        <v>19</v>
      </c>
      <c r="C686" t="s">
        <v>37</v>
      </c>
      <c r="D686" t="s">
        <v>240</v>
      </c>
      <c r="G686" t="s">
        <v>8</v>
      </c>
      <c r="J686" s="6">
        <f t="shared" si="10"/>
        <v>0</v>
      </c>
      <c r="K686" t="s">
        <v>45</v>
      </c>
      <c r="P686" t="s">
        <v>5</v>
      </c>
    </row>
    <row r="687" spans="1:16" x14ac:dyDescent="0.35">
      <c r="A687" t="s">
        <v>49</v>
      </c>
      <c r="B687" t="s">
        <v>27</v>
      </c>
      <c r="C687" t="s">
        <v>28</v>
      </c>
      <c r="D687" t="s">
        <v>437</v>
      </c>
      <c r="E687" s="1">
        <v>45903</v>
      </c>
      <c r="G687" t="s">
        <v>8</v>
      </c>
      <c r="I687" s="6">
        <v>40000</v>
      </c>
      <c r="J687" s="6">
        <f t="shared" si="10"/>
        <v>40000</v>
      </c>
      <c r="K687" t="s">
        <v>45</v>
      </c>
      <c r="L687" s="1">
        <v>45919</v>
      </c>
      <c r="M687" s="1">
        <v>45919</v>
      </c>
      <c r="P687" t="s">
        <v>5</v>
      </c>
    </row>
    <row r="688" spans="1:16" x14ac:dyDescent="0.35">
      <c r="A688" t="s">
        <v>49</v>
      </c>
      <c r="B688" t="s">
        <v>1</v>
      </c>
      <c r="C688" t="s">
        <v>167</v>
      </c>
      <c r="D688" t="s">
        <v>454</v>
      </c>
      <c r="E688" s="1">
        <v>45905</v>
      </c>
      <c r="F688" s="6">
        <v>1448355.71</v>
      </c>
      <c r="G688" s="6">
        <v>304154.7</v>
      </c>
      <c r="H688" s="6">
        <v>43450.67</v>
      </c>
      <c r="I688" s="6">
        <v>1795961.08</v>
      </c>
      <c r="J688" s="6">
        <f t="shared" si="10"/>
        <v>1448355.71</v>
      </c>
      <c r="K688" t="s">
        <v>271</v>
      </c>
      <c r="L688" s="1">
        <v>45910</v>
      </c>
      <c r="M688" s="1">
        <v>45910</v>
      </c>
      <c r="P688" t="s">
        <v>5</v>
      </c>
    </row>
    <row r="689" spans="1:16" x14ac:dyDescent="0.35">
      <c r="A689" t="s">
        <v>49</v>
      </c>
      <c r="B689" t="s">
        <v>16</v>
      </c>
      <c r="C689" t="s">
        <v>16</v>
      </c>
      <c r="D689" t="s">
        <v>240</v>
      </c>
      <c r="G689" t="s">
        <v>8</v>
      </c>
      <c r="J689" s="6">
        <f t="shared" si="10"/>
        <v>0</v>
      </c>
      <c r="P689" t="s">
        <v>5</v>
      </c>
    </row>
    <row r="690" spans="1:16" x14ac:dyDescent="0.35">
      <c r="A690" t="s">
        <v>49</v>
      </c>
      <c r="B690" t="s">
        <v>60</v>
      </c>
      <c r="C690" t="s">
        <v>167</v>
      </c>
      <c r="D690" t="s">
        <v>455</v>
      </c>
      <c r="E690" s="1">
        <v>45903</v>
      </c>
      <c r="F690" s="6">
        <v>1948016.5</v>
      </c>
      <c r="G690" s="6">
        <v>409083.47</v>
      </c>
      <c r="H690" s="6">
        <v>58440.5</v>
      </c>
      <c r="I690" s="6">
        <v>2415540.4700000002</v>
      </c>
      <c r="J690" s="6">
        <f t="shared" si="10"/>
        <v>1948016.5</v>
      </c>
      <c r="K690" t="s">
        <v>271</v>
      </c>
      <c r="L690" s="1">
        <v>45910</v>
      </c>
      <c r="M690" s="1">
        <v>45910</v>
      </c>
      <c r="P690" t="s">
        <v>5</v>
      </c>
    </row>
    <row r="691" spans="1:16" x14ac:dyDescent="0.35">
      <c r="A691" t="s">
        <v>49</v>
      </c>
      <c r="B691" t="s">
        <v>61</v>
      </c>
      <c r="C691" t="s">
        <v>31</v>
      </c>
      <c r="D691" t="s">
        <v>439</v>
      </c>
      <c r="E691" s="1">
        <v>45905</v>
      </c>
      <c r="F691" s="6">
        <v>32044</v>
      </c>
      <c r="G691" s="6">
        <v>6729.24</v>
      </c>
      <c r="I691" s="6">
        <v>38773.24</v>
      </c>
      <c r="J691" s="6">
        <f t="shared" si="10"/>
        <v>32044</v>
      </c>
      <c r="K691" t="s">
        <v>271</v>
      </c>
      <c r="L691" s="1">
        <v>45919</v>
      </c>
      <c r="M691" s="1">
        <v>45919</v>
      </c>
      <c r="P691" t="s">
        <v>5</v>
      </c>
    </row>
    <row r="692" spans="1:16" x14ac:dyDescent="0.35">
      <c r="A692" t="s">
        <v>49</v>
      </c>
      <c r="B692" t="s">
        <v>19</v>
      </c>
      <c r="C692" t="s">
        <v>37</v>
      </c>
      <c r="D692" t="s">
        <v>240</v>
      </c>
      <c r="G692" t="s">
        <v>8</v>
      </c>
      <c r="J692" s="6">
        <f t="shared" si="10"/>
        <v>0</v>
      </c>
      <c r="K692" t="s">
        <v>39</v>
      </c>
      <c r="P692" t="s">
        <v>5</v>
      </c>
    </row>
    <row r="693" spans="1:16" x14ac:dyDescent="0.35">
      <c r="A693" t="s">
        <v>49</v>
      </c>
      <c r="B693" t="s">
        <v>23</v>
      </c>
      <c r="C693" t="s">
        <v>24</v>
      </c>
      <c r="D693" t="s">
        <v>443</v>
      </c>
      <c r="G693" t="s">
        <v>8</v>
      </c>
      <c r="J693" s="6">
        <f t="shared" si="10"/>
        <v>0</v>
      </c>
      <c r="K693" t="s">
        <v>271</v>
      </c>
      <c r="P693" t="s">
        <v>5</v>
      </c>
    </row>
    <row r="694" spans="1:16" x14ac:dyDescent="0.35">
      <c r="A694" t="s">
        <v>49</v>
      </c>
      <c r="B694" t="s">
        <v>122</v>
      </c>
      <c r="C694" t="s">
        <v>411</v>
      </c>
      <c r="D694" t="s">
        <v>443</v>
      </c>
      <c r="G694" t="s">
        <v>8</v>
      </c>
      <c r="J694" s="6">
        <f t="shared" si="10"/>
        <v>0</v>
      </c>
      <c r="K694" t="s">
        <v>54</v>
      </c>
      <c r="P694" t="s">
        <v>5</v>
      </c>
    </row>
    <row r="695" spans="1:16" x14ac:dyDescent="0.35">
      <c r="A695" t="s">
        <v>52</v>
      </c>
      <c r="B695" t="s">
        <v>27</v>
      </c>
      <c r="C695" t="s">
        <v>28</v>
      </c>
      <c r="D695" t="s">
        <v>437</v>
      </c>
      <c r="E695" s="1">
        <v>45903</v>
      </c>
      <c r="G695" t="s">
        <v>8</v>
      </c>
      <c r="I695" s="6">
        <v>40000</v>
      </c>
      <c r="J695" s="6">
        <f t="shared" si="10"/>
        <v>40000</v>
      </c>
      <c r="K695" t="s">
        <v>45</v>
      </c>
      <c r="L695" s="1">
        <v>45919</v>
      </c>
      <c r="M695" s="1">
        <v>45919</v>
      </c>
      <c r="P695" t="s">
        <v>5</v>
      </c>
    </row>
    <row r="696" spans="1:16" x14ac:dyDescent="0.35">
      <c r="A696" t="s">
        <v>52</v>
      </c>
      <c r="B696" t="s">
        <v>1</v>
      </c>
      <c r="C696" t="s">
        <v>172</v>
      </c>
      <c r="D696" t="s">
        <v>456</v>
      </c>
      <c r="E696" s="1">
        <v>45901</v>
      </c>
      <c r="F696" s="6">
        <v>2250334.64</v>
      </c>
      <c r="G696" s="6">
        <v>472570.27</v>
      </c>
      <c r="I696" s="6">
        <v>2722904.91</v>
      </c>
      <c r="J696" s="6">
        <f t="shared" si="10"/>
        <v>2250334.64</v>
      </c>
      <c r="K696" t="s">
        <v>271</v>
      </c>
      <c r="L696" s="1">
        <v>45910</v>
      </c>
      <c r="M696" s="1">
        <v>45910</v>
      </c>
      <c r="P696" t="s">
        <v>5</v>
      </c>
    </row>
    <row r="697" spans="1:16" x14ac:dyDescent="0.35">
      <c r="A697" t="s">
        <v>52</v>
      </c>
      <c r="B697" t="s">
        <v>16</v>
      </c>
      <c r="C697" t="s">
        <v>16</v>
      </c>
      <c r="D697" t="s">
        <v>240</v>
      </c>
      <c r="G697" t="s">
        <v>8</v>
      </c>
      <c r="J697" s="6">
        <f t="shared" si="10"/>
        <v>0</v>
      </c>
      <c r="P697" t="s">
        <v>5</v>
      </c>
    </row>
    <row r="698" spans="1:16" x14ac:dyDescent="0.35">
      <c r="A698" t="s">
        <v>52</v>
      </c>
      <c r="B698" t="s">
        <v>60</v>
      </c>
      <c r="C698" t="s">
        <v>14</v>
      </c>
      <c r="I698" s="6">
        <v>531320.80000000005</v>
      </c>
      <c r="J698" s="6">
        <f t="shared" si="10"/>
        <v>531320.80000000005</v>
      </c>
      <c r="K698" t="s">
        <v>271</v>
      </c>
      <c r="L698" s="1">
        <v>45910</v>
      </c>
      <c r="M698" s="1">
        <v>45910</v>
      </c>
      <c r="P698" t="s">
        <v>5</v>
      </c>
    </row>
    <row r="699" spans="1:16" x14ac:dyDescent="0.35">
      <c r="A699" t="s">
        <v>52</v>
      </c>
      <c r="B699" t="s">
        <v>61</v>
      </c>
      <c r="C699" t="s">
        <v>31</v>
      </c>
      <c r="D699" t="s">
        <v>439</v>
      </c>
      <c r="E699" s="1">
        <v>45905</v>
      </c>
      <c r="F699" s="6">
        <v>32044</v>
      </c>
      <c r="G699" s="6">
        <v>6729.24</v>
      </c>
      <c r="I699" s="6">
        <v>38773.24</v>
      </c>
      <c r="J699" s="6">
        <f t="shared" si="10"/>
        <v>32044</v>
      </c>
      <c r="K699" t="s">
        <v>271</v>
      </c>
      <c r="L699" s="1">
        <v>45919</v>
      </c>
      <c r="M699" s="1">
        <v>45919</v>
      </c>
      <c r="P699" t="s">
        <v>5</v>
      </c>
    </row>
    <row r="700" spans="1:16" x14ac:dyDescent="0.35">
      <c r="A700" t="s">
        <v>52</v>
      </c>
      <c r="B700" t="s">
        <v>23</v>
      </c>
      <c r="C700" t="s">
        <v>24</v>
      </c>
      <c r="D700" t="s">
        <v>457</v>
      </c>
      <c r="E700" s="1">
        <v>45902</v>
      </c>
      <c r="F700" s="6">
        <v>50705</v>
      </c>
      <c r="G700" s="6">
        <v>10648.05</v>
      </c>
      <c r="I700" s="6">
        <v>61353.05</v>
      </c>
      <c r="J700" s="6">
        <f t="shared" si="10"/>
        <v>50705</v>
      </c>
      <c r="K700" t="s">
        <v>271</v>
      </c>
      <c r="L700" s="1">
        <v>45912</v>
      </c>
      <c r="M700" s="1">
        <v>45912</v>
      </c>
      <c r="P700" t="s">
        <v>5</v>
      </c>
    </row>
    <row r="701" spans="1:16" x14ac:dyDescent="0.35">
      <c r="A701" t="s">
        <v>52</v>
      </c>
      <c r="B701" t="s">
        <v>122</v>
      </c>
      <c r="C701" t="s">
        <v>411</v>
      </c>
      <c r="D701" t="s">
        <v>443</v>
      </c>
      <c r="G701" t="s">
        <v>8</v>
      </c>
      <c r="J701" s="6">
        <f t="shared" si="10"/>
        <v>0</v>
      </c>
      <c r="K701" t="s">
        <v>271</v>
      </c>
      <c r="P701" t="s">
        <v>5</v>
      </c>
    </row>
    <row r="702" spans="1:16" x14ac:dyDescent="0.35">
      <c r="A702" t="s">
        <v>176</v>
      </c>
      <c r="B702" t="s">
        <v>27</v>
      </c>
      <c r="C702" t="s">
        <v>28</v>
      </c>
      <c r="D702" t="s">
        <v>437</v>
      </c>
      <c r="E702" s="1">
        <v>45903</v>
      </c>
      <c r="G702" t="s">
        <v>8</v>
      </c>
      <c r="I702" s="6">
        <v>20000</v>
      </c>
      <c r="J702" s="6">
        <f t="shared" si="10"/>
        <v>20000</v>
      </c>
      <c r="K702" t="s">
        <v>45</v>
      </c>
      <c r="L702" s="1">
        <v>45919</v>
      </c>
      <c r="M702" s="1">
        <v>45919</v>
      </c>
      <c r="P702" t="s">
        <v>5</v>
      </c>
    </row>
    <row r="703" spans="1:16" x14ac:dyDescent="0.35">
      <c r="A703" t="s">
        <v>176</v>
      </c>
      <c r="B703" t="s">
        <v>1</v>
      </c>
      <c r="C703" t="s">
        <v>172</v>
      </c>
      <c r="D703" t="s">
        <v>458</v>
      </c>
      <c r="E703" s="1">
        <v>45901</v>
      </c>
      <c r="F703" s="6">
        <v>900710.7</v>
      </c>
      <c r="G703" s="6">
        <v>189149.25</v>
      </c>
      <c r="I703" s="6">
        <v>1089859.95</v>
      </c>
      <c r="J703" s="6">
        <f t="shared" si="10"/>
        <v>900710.7</v>
      </c>
      <c r="K703" t="s">
        <v>271</v>
      </c>
      <c r="L703" s="1">
        <v>45910</v>
      </c>
      <c r="M703" s="1">
        <v>45910</v>
      </c>
      <c r="P703" t="s">
        <v>5</v>
      </c>
    </row>
    <row r="704" spans="1:16" x14ac:dyDescent="0.35">
      <c r="A704" t="s">
        <v>176</v>
      </c>
      <c r="B704" t="s">
        <v>16</v>
      </c>
      <c r="C704" t="s">
        <v>14</v>
      </c>
      <c r="D704" t="s">
        <v>459</v>
      </c>
      <c r="E704" s="1">
        <v>45896</v>
      </c>
      <c r="F704" s="6">
        <v>81878.8</v>
      </c>
      <c r="G704" s="6">
        <v>22107.279999999999</v>
      </c>
      <c r="H704" s="6">
        <v>968.98</v>
      </c>
      <c r="I704" s="6">
        <v>104955.06</v>
      </c>
      <c r="J704" s="6">
        <f t="shared" si="10"/>
        <v>81878.8</v>
      </c>
      <c r="K704" t="s">
        <v>45</v>
      </c>
      <c r="L704" s="1">
        <v>45904</v>
      </c>
      <c r="M704" s="1">
        <v>45904</v>
      </c>
      <c r="P704" t="s">
        <v>5</v>
      </c>
    </row>
    <row r="705" spans="1:16" x14ac:dyDescent="0.35">
      <c r="A705" t="s">
        <v>176</v>
      </c>
      <c r="B705" t="s">
        <v>60</v>
      </c>
      <c r="C705" t="s">
        <v>14</v>
      </c>
      <c r="I705" s="6">
        <v>531320.80000000005</v>
      </c>
      <c r="J705" s="6">
        <f t="shared" si="10"/>
        <v>531320.80000000005</v>
      </c>
      <c r="K705" t="s">
        <v>271</v>
      </c>
      <c r="L705" s="1">
        <v>45910</v>
      </c>
      <c r="M705" s="1">
        <v>45910</v>
      </c>
      <c r="P705" t="s">
        <v>5</v>
      </c>
    </row>
    <row r="706" spans="1:16" x14ac:dyDescent="0.35">
      <c r="A706" t="s">
        <v>176</v>
      </c>
      <c r="B706" t="s">
        <v>61</v>
      </c>
      <c r="C706" t="s">
        <v>31</v>
      </c>
      <c r="D706" t="s">
        <v>439</v>
      </c>
      <c r="E706" s="1">
        <v>45905</v>
      </c>
      <c r="F706" s="6">
        <v>32044</v>
      </c>
      <c r="G706" s="6">
        <v>6729.24</v>
      </c>
      <c r="I706" s="6">
        <v>38773.24</v>
      </c>
      <c r="J706" s="6">
        <f t="shared" si="10"/>
        <v>32044</v>
      </c>
      <c r="K706" t="s">
        <v>271</v>
      </c>
      <c r="L706" s="1">
        <v>45919</v>
      </c>
      <c r="M706" s="1">
        <v>45919</v>
      </c>
      <c r="P706" t="s">
        <v>5</v>
      </c>
    </row>
    <row r="707" spans="1:16" x14ac:dyDescent="0.35">
      <c r="A707" t="s">
        <v>176</v>
      </c>
      <c r="B707" t="s">
        <v>122</v>
      </c>
      <c r="C707" t="s">
        <v>411</v>
      </c>
      <c r="D707" t="s">
        <v>443</v>
      </c>
      <c r="G707" t="s">
        <v>8</v>
      </c>
      <c r="J707" s="6">
        <f t="shared" ref="J707:J770" si="11">IF(F707&gt;0,F707,I707)</f>
        <v>0</v>
      </c>
      <c r="K707" t="s">
        <v>54</v>
      </c>
      <c r="P707" t="s">
        <v>5</v>
      </c>
    </row>
    <row r="708" spans="1:16" x14ac:dyDescent="0.35">
      <c r="A708" t="s">
        <v>460</v>
      </c>
      <c r="B708" t="s">
        <v>1</v>
      </c>
      <c r="C708" t="s">
        <v>167</v>
      </c>
      <c r="D708" t="s">
        <v>461</v>
      </c>
      <c r="E708" s="1">
        <v>45905</v>
      </c>
      <c r="F708" s="6">
        <v>872000</v>
      </c>
      <c r="G708" s="6">
        <v>183120</v>
      </c>
      <c r="H708" s="6">
        <v>26160</v>
      </c>
      <c r="I708" s="6">
        <v>67580</v>
      </c>
      <c r="J708" s="6">
        <f t="shared" si="11"/>
        <v>872000</v>
      </c>
      <c r="K708" t="s">
        <v>271</v>
      </c>
      <c r="L708" s="1">
        <v>45910</v>
      </c>
      <c r="M708" s="1">
        <v>45910</v>
      </c>
      <c r="N708" t="s">
        <v>462</v>
      </c>
      <c r="P708" t="s">
        <v>5</v>
      </c>
    </row>
    <row r="709" spans="1:16" x14ac:dyDescent="0.35">
      <c r="A709" t="s">
        <v>460</v>
      </c>
      <c r="B709" t="s">
        <v>122</v>
      </c>
      <c r="C709" t="s">
        <v>411</v>
      </c>
      <c r="D709" t="s">
        <v>463</v>
      </c>
      <c r="E709" s="1">
        <v>45915</v>
      </c>
      <c r="F709" s="6">
        <v>90000</v>
      </c>
      <c r="G709" s="6">
        <v>18900</v>
      </c>
      <c r="I709" s="6">
        <v>108900</v>
      </c>
      <c r="J709" s="6">
        <f t="shared" si="11"/>
        <v>90000</v>
      </c>
      <c r="K709" t="s">
        <v>54</v>
      </c>
      <c r="L709" s="1">
        <v>45919</v>
      </c>
      <c r="M709" s="1">
        <v>45919</v>
      </c>
      <c r="P709" t="s">
        <v>5</v>
      </c>
    </row>
    <row r="710" spans="1:16" x14ac:dyDescent="0.35">
      <c r="A710" t="s">
        <v>460</v>
      </c>
      <c r="B710" t="s">
        <v>122</v>
      </c>
      <c r="C710" t="s">
        <v>464</v>
      </c>
      <c r="D710" t="s">
        <v>465</v>
      </c>
      <c r="E710" s="1">
        <v>45912</v>
      </c>
      <c r="F710" s="6">
        <v>31900</v>
      </c>
      <c r="G710" s="6">
        <v>6699</v>
      </c>
      <c r="I710" s="6">
        <v>38599</v>
      </c>
      <c r="J710" s="6">
        <f t="shared" si="11"/>
        <v>31900</v>
      </c>
      <c r="K710" t="s">
        <v>45</v>
      </c>
      <c r="L710" s="1">
        <v>45917</v>
      </c>
      <c r="M710" s="1">
        <v>45917</v>
      </c>
      <c r="P710" t="s">
        <v>5</v>
      </c>
    </row>
    <row r="711" spans="1:16" x14ac:dyDescent="0.35">
      <c r="A711" t="s">
        <v>46</v>
      </c>
      <c r="B711" t="s">
        <v>1</v>
      </c>
      <c r="C711" t="s">
        <v>47</v>
      </c>
      <c r="D711" t="s">
        <v>466</v>
      </c>
      <c r="E711" s="1">
        <v>45916</v>
      </c>
      <c r="F711" s="6">
        <v>17700</v>
      </c>
      <c r="G711" s="6">
        <v>3717</v>
      </c>
      <c r="I711" s="6">
        <v>21417</v>
      </c>
      <c r="J711" s="6">
        <f t="shared" si="11"/>
        <v>17700</v>
      </c>
      <c r="K711" t="s">
        <v>271</v>
      </c>
      <c r="L711" s="1">
        <v>45919</v>
      </c>
      <c r="M711" s="1">
        <v>45919</v>
      </c>
      <c r="P711" t="s">
        <v>5</v>
      </c>
    </row>
    <row r="712" spans="1:16" x14ac:dyDescent="0.35">
      <c r="G712" t="s">
        <v>8</v>
      </c>
      <c r="J712" s="6">
        <f t="shared" si="11"/>
        <v>0</v>
      </c>
      <c r="P712" t="s">
        <v>5</v>
      </c>
    </row>
    <row r="713" spans="1:16" x14ac:dyDescent="0.35">
      <c r="A713" t="s">
        <v>91</v>
      </c>
      <c r="J713" s="6">
        <f t="shared" si="11"/>
        <v>0</v>
      </c>
      <c r="P713" t="s">
        <v>5</v>
      </c>
    </row>
    <row r="714" spans="1:16" x14ac:dyDescent="0.35">
      <c r="G714" t="s">
        <v>8</v>
      </c>
      <c r="J714" s="6">
        <f t="shared" si="11"/>
        <v>0</v>
      </c>
      <c r="P714" t="s">
        <v>5</v>
      </c>
    </row>
    <row r="715" spans="1:16" x14ac:dyDescent="0.35">
      <c r="A715" t="s">
        <v>15</v>
      </c>
      <c r="B715" t="s">
        <v>101</v>
      </c>
      <c r="C715" t="s">
        <v>467</v>
      </c>
      <c r="D715" t="s">
        <v>468</v>
      </c>
      <c r="E715" s="1">
        <v>45926</v>
      </c>
      <c r="F715" s="6">
        <v>160000</v>
      </c>
      <c r="G715" t="s">
        <v>8</v>
      </c>
      <c r="I715" s="6">
        <v>160000</v>
      </c>
      <c r="J715" s="6">
        <f t="shared" si="11"/>
        <v>160000</v>
      </c>
      <c r="K715" t="s">
        <v>271</v>
      </c>
      <c r="L715" s="1">
        <v>45933</v>
      </c>
      <c r="P715" t="s">
        <v>5</v>
      </c>
    </row>
    <row r="716" spans="1:16" x14ac:dyDescent="0.35">
      <c r="A716" t="s">
        <v>15</v>
      </c>
      <c r="B716" t="s">
        <v>27</v>
      </c>
      <c r="C716" t="s">
        <v>28</v>
      </c>
      <c r="D716" t="s">
        <v>188</v>
      </c>
      <c r="G716" t="s">
        <v>8</v>
      </c>
      <c r="J716" s="6">
        <f t="shared" si="11"/>
        <v>0</v>
      </c>
      <c r="K716" t="s">
        <v>45</v>
      </c>
      <c r="P716" t="s">
        <v>5</v>
      </c>
    </row>
    <row r="717" spans="1:16" x14ac:dyDescent="0.35">
      <c r="A717" t="s">
        <v>15</v>
      </c>
      <c r="B717" t="s">
        <v>1</v>
      </c>
      <c r="C717" t="s">
        <v>172</v>
      </c>
      <c r="D717" t="s">
        <v>240</v>
      </c>
      <c r="G717" t="s">
        <v>8</v>
      </c>
      <c r="J717" s="6">
        <f t="shared" si="11"/>
        <v>0</v>
      </c>
      <c r="K717" t="s">
        <v>271</v>
      </c>
      <c r="P717" t="s">
        <v>5</v>
      </c>
    </row>
    <row r="718" spans="1:16" x14ac:dyDescent="0.35">
      <c r="A718" t="s">
        <v>15</v>
      </c>
      <c r="B718" t="s">
        <v>16</v>
      </c>
      <c r="C718" t="s">
        <v>16</v>
      </c>
      <c r="D718" t="s">
        <v>240</v>
      </c>
      <c r="G718" t="s">
        <v>8</v>
      </c>
      <c r="J718" s="6">
        <f t="shared" si="11"/>
        <v>0</v>
      </c>
      <c r="P718" t="s">
        <v>5</v>
      </c>
    </row>
    <row r="719" spans="1:16" x14ac:dyDescent="0.35">
      <c r="A719" t="s">
        <v>15</v>
      </c>
      <c r="B719" t="s">
        <v>60</v>
      </c>
      <c r="C719" t="s">
        <v>14</v>
      </c>
      <c r="G719" t="s">
        <v>8</v>
      </c>
      <c r="J719" s="6">
        <f t="shared" si="11"/>
        <v>0</v>
      </c>
      <c r="K719" t="s">
        <v>271</v>
      </c>
      <c r="P719" t="s">
        <v>5</v>
      </c>
    </row>
    <row r="720" spans="1:16" x14ac:dyDescent="0.35">
      <c r="A720" t="s">
        <v>15</v>
      </c>
      <c r="B720" t="s">
        <v>61</v>
      </c>
      <c r="C720" t="s">
        <v>31</v>
      </c>
      <c r="G720" t="s">
        <v>8</v>
      </c>
      <c r="J720" s="6">
        <f t="shared" si="11"/>
        <v>0</v>
      </c>
      <c r="K720" t="s">
        <v>271</v>
      </c>
      <c r="P720" t="s">
        <v>5</v>
      </c>
    </row>
    <row r="721" spans="1:16" x14ac:dyDescent="0.35">
      <c r="A721" t="s">
        <v>15</v>
      </c>
      <c r="B721" t="s">
        <v>19</v>
      </c>
      <c r="C721" t="s">
        <v>20</v>
      </c>
      <c r="D721" t="s">
        <v>240</v>
      </c>
      <c r="G721" t="s">
        <v>8</v>
      </c>
      <c r="J721" s="6">
        <f t="shared" si="11"/>
        <v>0</v>
      </c>
      <c r="P721" t="s">
        <v>5</v>
      </c>
    </row>
    <row r="722" spans="1:16" x14ac:dyDescent="0.35">
      <c r="A722" t="s">
        <v>15</v>
      </c>
      <c r="B722" t="s">
        <v>101</v>
      </c>
      <c r="C722" t="s">
        <v>351</v>
      </c>
      <c r="G722" t="s">
        <v>8</v>
      </c>
      <c r="J722" s="6">
        <f t="shared" si="11"/>
        <v>0</v>
      </c>
      <c r="K722" t="s">
        <v>271</v>
      </c>
      <c r="N722" t="s">
        <v>441</v>
      </c>
      <c r="P722" t="s">
        <v>5</v>
      </c>
    </row>
    <row r="723" spans="1:16" x14ac:dyDescent="0.35">
      <c r="A723" t="s">
        <v>15</v>
      </c>
      <c r="B723" t="s">
        <v>23</v>
      </c>
      <c r="C723" t="s">
        <v>24</v>
      </c>
      <c r="G723" t="s">
        <v>8</v>
      </c>
      <c r="J723" s="6">
        <f t="shared" si="11"/>
        <v>0</v>
      </c>
      <c r="K723" t="s">
        <v>271</v>
      </c>
      <c r="P723" t="s">
        <v>5</v>
      </c>
    </row>
    <row r="724" spans="1:16" x14ac:dyDescent="0.35">
      <c r="A724" t="s">
        <v>15</v>
      </c>
      <c r="B724" t="s">
        <v>122</v>
      </c>
      <c r="C724" t="s">
        <v>411</v>
      </c>
      <c r="D724" t="s">
        <v>443</v>
      </c>
      <c r="G724" t="s">
        <v>8</v>
      </c>
      <c r="J724" s="6">
        <f t="shared" si="11"/>
        <v>0</v>
      </c>
      <c r="K724" t="s">
        <v>54</v>
      </c>
      <c r="P724" t="s">
        <v>5</v>
      </c>
    </row>
    <row r="725" spans="1:16" x14ac:dyDescent="0.35">
      <c r="A725" t="s">
        <v>417</v>
      </c>
      <c r="B725" t="s">
        <v>56</v>
      </c>
      <c r="C725" t="s">
        <v>57</v>
      </c>
      <c r="D725" t="s">
        <v>469</v>
      </c>
      <c r="G725" t="s">
        <v>8</v>
      </c>
      <c r="J725" s="6">
        <f t="shared" si="11"/>
        <v>0</v>
      </c>
      <c r="K725" t="s">
        <v>271</v>
      </c>
      <c r="P725" t="s">
        <v>5</v>
      </c>
    </row>
    <row r="726" spans="1:16" x14ac:dyDescent="0.35">
      <c r="A726" t="s">
        <v>417</v>
      </c>
      <c r="B726" t="s">
        <v>27</v>
      </c>
      <c r="C726" t="s">
        <v>28</v>
      </c>
      <c r="D726" t="s">
        <v>470</v>
      </c>
      <c r="G726" t="s">
        <v>8</v>
      </c>
      <c r="J726" s="6">
        <f t="shared" si="11"/>
        <v>0</v>
      </c>
      <c r="K726" t="s">
        <v>45</v>
      </c>
      <c r="P726" t="s">
        <v>5</v>
      </c>
    </row>
    <row r="727" spans="1:16" x14ac:dyDescent="0.35">
      <c r="A727" t="s">
        <v>417</v>
      </c>
      <c r="B727" t="s">
        <v>1</v>
      </c>
      <c r="C727" t="s">
        <v>57</v>
      </c>
      <c r="G727" t="s">
        <v>8</v>
      </c>
      <c r="J727" s="6">
        <f t="shared" si="11"/>
        <v>0</v>
      </c>
      <c r="K727" t="s">
        <v>271</v>
      </c>
      <c r="P727" t="s">
        <v>5</v>
      </c>
    </row>
    <row r="728" spans="1:16" x14ac:dyDescent="0.35">
      <c r="A728" t="s">
        <v>417</v>
      </c>
      <c r="B728" t="s">
        <v>9</v>
      </c>
      <c r="C728" t="s">
        <v>57</v>
      </c>
      <c r="D728" t="s">
        <v>469</v>
      </c>
      <c r="G728" t="s">
        <v>8</v>
      </c>
      <c r="J728" s="6">
        <f t="shared" si="11"/>
        <v>0</v>
      </c>
      <c r="K728" t="s">
        <v>271</v>
      </c>
      <c r="P728" t="s">
        <v>5</v>
      </c>
    </row>
    <row r="729" spans="1:16" x14ac:dyDescent="0.35">
      <c r="A729" t="s">
        <v>417</v>
      </c>
      <c r="B729" t="s">
        <v>60</v>
      </c>
      <c r="C729" t="s">
        <v>57</v>
      </c>
      <c r="G729" t="s">
        <v>8</v>
      </c>
      <c r="J729" s="6">
        <f t="shared" si="11"/>
        <v>0</v>
      </c>
      <c r="K729" t="s">
        <v>271</v>
      </c>
      <c r="P729" t="s">
        <v>5</v>
      </c>
    </row>
    <row r="730" spans="1:16" x14ac:dyDescent="0.35">
      <c r="A730" t="s">
        <v>417</v>
      </c>
      <c r="B730" t="s">
        <v>61</v>
      </c>
      <c r="C730" t="s">
        <v>31</v>
      </c>
      <c r="G730" t="s">
        <v>8</v>
      </c>
      <c r="J730" s="6">
        <f t="shared" si="11"/>
        <v>0</v>
      </c>
      <c r="K730" t="s">
        <v>271</v>
      </c>
      <c r="P730" t="s">
        <v>5</v>
      </c>
    </row>
    <row r="731" spans="1:16" x14ac:dyDescent="0.35">
      <c r="A731" t="s">
        <v>417</v>
      </c>
      <c r="B731" t="s">
        <v>23</v>
      </c>
      <c r="C731" t="s">
        <v>24</v>
      </c>
      <c r="D731" t="s">
        <v>443</v>
      </c>
      <c r="G731" t="s">
        <v>8</v>
      </c>
      <c r="J731" s="6">
        <f t="shared" si="11"/>
        <v>0</v>
      </c>
      <c r="K731" t="s">
        <v>271</v>
      </c>
      <c r="P731" t="s">
        <v>5</v>
      </c>
    </row>
    <row r="732" spans="1:16" x14ac:dyDescent="0.35">
      <c r="A732" t="s">
        <v>26</v>
      </c>
      <c r="B732" t="s">
        <v>122</v>
      </c>
      <c r="C732" t="s">
        <v>411</v>
      </c>
      <c r="G732" t="s">
        <v>8</v>
      </c>
      <c r="J732" s="6">
        <f t="shared" si="11"/>
        <v>0</v>
      </c>
      <c r="K732" t="s">
        <v>54</v>
      </c>
      <c r="N732" t="s">
        <v>447</v>
      </c>
      <c r="P732" t="s">
        <v>5</v>
      </c>
    </row>
    <row r="733" spans="1:16" x14ac:dyDescent="0.35">
      <c r="A733" t="s">
        <v>26</v>
      </c>
      <c r="B733" t="s">
        <v>1</v>
      </c>
      <c r="C733" t="s">
        <v>147</v>
      </c>
      <c r="D733" t="s">
        <v>376</v>
      </c>
      <c r="G733" t="s">
        <v>8</v>
      </c>
      <c r="J733" s="6">
        <f t="shared" si="11"/>
        <v>0</v>
      </c>
      <c r="K733" t="s">
        <v>271</v>
      </c>
      <c r="N733" t="s">
        <v>448</v>
      </c>
      <c r="P733" t="s">
        <v>5</v>
      </c>
    </row>
    <row r="734" spans="1:16" x14ac:dyDescent="0.35">
      <c r="A734" t="s">
        <v>26</v>
      </c>
      <c r="B734" t="s">
        <v>16</v>
      </c>
      <c r="C734" t="s">
        <v>16</v>
      </c>
      <c r="D734" t="s">
        <v>240</v>
      </c>
      <c r="G734" t="s">
        <v>8</v>
      </c>
      <c r="J734" s="6">
        <f t="shared" si="11"/>
        <v>0</v>
      </c>
      <c r="P734" t="s">
        <v>5</v>
      </c>
    </row>
    <row r="735" spans="1:16" x14ac:dyDescent="0.35">
      <c r="A735" t="s">
        <v>26</v>
      </c>
      <c r="B735" t="s">
        <v>60</v>
      </c>
      <c r="C735" t="s">
        <v>149</v>
      </c>
      <c r="D735" t="s">
        <v>7</v>
      </c>
      <c r="G735" t="s">
        <v>8</v>
      </c>
      <c r="J735" s="6">
        <f t="shared" si="11"/>
        <v>0</v>
      </c>
      <c r="K735" t="s">
        <v>150</v>
      </c>
      <c r="P735" t="s">
        <v>5</v>
      </c>
    </row>
    <row r="736" spans="1:16" x14ac:dyDescent="0.35">
      <c r="A736" t="s">
        <v>26</v>
      </c>
      <c r="B736" t="s">
        <v>61</v>
      </c>
      <c r="C736" t="s">
        <v>31</v>
      </c>
      <c r="G736" t="s">
        <v>8</v>
      </c>
      <c r="J736" s="6">
        <f t="shared" si="11"/>
        <v>0</v>
      </c>
      <c r="P736" t="s">
        <v>5</v>
      </c>
    </row>
    <row r="737" spans="1:16" x14ac:dyDescent="0.35">
      <c r="A737" t="s">
        <v>26</v>
      </c>
      <c r="B737" t="s">
        <v>19</v>
      </c>
      <c r="C737" t="s">
        <v>37</v>
      </c>
      <c r="D737" t="s">
        <v>443</v>
      </c>
      <c r="G737" t="s">
        <v>8</v>
      </c>
      <c r="J737" s="6">
        <f t="shared" si="11"/>
        <v>0</v>
      </c>
      <c r="P737" t="s">
        <v>5</v>
      </c>
    </row>
    <row r="738" spans="1:16" x14ac:dyDescent="0.35">
      <c r="A738" t="s">
        <v>43</v>
      </c>
      <c r="B738" t="s">
        <v>1</v>
      </c>
      <c r="C738" t="s">
        <v>47</v>
      </c>
      <c r="G738" t="s">
        <v>8</v>
      </c>
      <c r="J738" s="6">
        <f t="shared" si="11"/>
        <v>0</v>
      </c>
      <c r="K738" t="s">
        <v>271</v>
      </c>
      <c r="P738" t="s">
        <v>5</v>
      </c>
    </row>
    <row r="739" spans="1:16" x14ac:dyDescent="0.35">
      <c r="A739" t="s">
        <v>43</v>
      </c>
      <c r="B739" t="s">
        <v>60</v>
      </c>
      <c r="C739" t="s">
        <v>47</v>
      </c>
      <c r="G739" t="s">
        <v>8</v>
      </c>
      <c r="J739" s="6">
        <f t="shared" si="11"/>
        <v>0</v>
      </c>
      <c r="K739" t="s">
        <v>271</v>
      </c>
      <c r="P739" t="s">
        <v>5</v>
      </c>
    </row>
    <row r="740" spans="1:16" x14ac:dyDescent="0.35">
      <c r="A740" t="s">
        <v>43</v>
      </c>
      <c r="B740" t="s">
        <v>61</v>
      </c>
      <c r="C740" t="s">
        <v>31</v>
      </c>
      <c r="G740" t="s">
        <v>8</v>
      </c>
      <c r="J740" s="6">
        <f t="shared" si="11"/>
        <v>0</v>
      </c>
      <c r="K740" t="s">
        <v>271</v>
      </c>
      <c r="P740" t="s">
        <v>5</v>
      </c>
    </row>
    <row r="741" spans="1:16" x14ac:dyDescent="0.35">
      <c r="A741" t="s">
        <v>43</v>
      </c>
      <c r="B741" t="s">
        <v>23</v>
      </c>
      <c r="C741" t="s">
        <v>24</v>
      </c>
      <c r="G741" t="s">
        <v>8</v>
      </c>
      <c r="J741" s="6">
        <f t="shared" si="11"/>
        <v>0</v>
      </c>
      <c r="K741" t="s">
        <v>271</v>
      </c>
      <c r="P741" t="s">
        <v>5</v>
      </c>
    </row>
    <row r="742" spans="1:16" x14ac:dyDescent="0.35">
      <c r="A742" t="s">
        <v>43</v>
      </c>
      <c r="B742" t="s">
        <v>122</v>
      </c>
      <c r="C742" t="s">
        <v>411</v>
      </c>
      <c r="G742" t="s">
        <v>8</v>
      </c>
      <c r="J742" s="6">
        <f t="shared" si="11"/>
        <v>0</v>
      </c>
      <c r="K742" t="s">
        <v>271</v>
      </c>
      <c r="P742" t="s">
        <v>5</v>
      </c>
    </row>
    <row r="743" spans="1:16" x14ac:dyDescent="0.35">
      <c r="A743" t="s">
        <v>43</v>
      </c>
      <c r="B743" t="s">
        <v>27</v>
      </c>
      <c r="C743" t="s">
        <v>28</v>
      </c>
      <c r="G743" t="s">
        <v>8</v>
      </c>
      <c r="J743" s="6">
        <f t="shared" si="11"/>
        <v>0</v>
      </c>
      <c r="K743" t="s">
        <v>45</v>
      </c>
      <c r="P743" t="s">
        <v>5</v>
      </c>
    </row>
    <row r="744" spans="1:16" x14ac:dyDescent="0.35">
      <c r="A744" t="s">
        <v>46</v>
      </c>
      <c r="B744" t="s">
        <v>1</v>
      </c>
      <c r="C744" t="s">
        <v>47</v>
      </c>
      <c r="G744" t="s">
        <v>8</v>
      </c>
      <c r="J744" s="6">
        <f t="shared" si="11"/>
        <v>0</v>
      </c>
      <c r="K744" t="s">
        <v>271</v>
      </c>
      <c r="P744" t="s">
        <v>5</v>
      </c>
    </row>
    <row r="745" spans="1:16" x14ac:dyDescent="0.35">
      <c r="A745" t="s">
        <v>46</v>
      </c>
      <c r="B745" t="s">
        <v>16</v>
      </c>
      <c r="C745" t="s">
        <v>47</v>
      </c>
      <c r="G745" t="s">
        <v>8</v>
      </c>
      <c r="J745" s="6">
        <f t="shared" si="11"/>
        <v>0</v>
      </c>
      <c r="K745" t="s">
        <v>271</v>
      </c>
      <c r="P745" t="s">
        <v>5</v>
      </c>
    </row>
    <row r="746" spans="1:16" x14ac:dyDescent="0.35">
      <c r="A746" t="s">
        <v>46</v>
      </c>
      <c r="B746" t="s">
        <v>60</v>
      </c>
      <c r="C746" t="s">
        <v>47</v>
      </c>
      <c r="G746" t="s">
        <v>8</v>
      </c>
      <c r="J746" s="6">
        <f t="shared" si="11"/>
        <v>0</v>
      </c>
      <c r="K746" t="s">
        <v>271</v>
      </c>
      <c r="P746" t="s">
        <v>5</v>
      </c>
    </row>
    <row r="747" spans="1:16" x14ac:dyDescent="0.35">
      <c r="A747" t="s">
        <v>156</v>
      </c>
      <c r="B747" t="s">
        <v>1</v>
      </c>
      <c r="C747" t="s">
        <v>47</v>
      </c>
      <c r="G747" t="s">
        <v>8</v>
      </c>
      <c r="J747" s="6">
        <f t="shared" si="11"/>
        <v>0</v>
      </c>
      <c r="K747" t="s">
        <v>271</v>
      </c>
      <c r="P747" t="s">
        <v>5</v>
      </c>
    </row>
    <row r="748" spans="1:16" x14ac:dyDescent="0.35">
      <c r="A748" t="s">
        <v>156</v>
      </c>
      <c r="B748" t="s">
        <v>16</v>
      </c>
      <c r="C748" t="s">
        <v>47</v>
      </c>
      <c r="G748" t="s">
        <v>8</v>
      </c>
      <c r="J748" s="6">
        <f t="shared" si="11"/>
        <v>0</v>
      </c>
      <c r="K748" t="s">
        <v>271</v>
      </c>
      <c r="P748" t="s">
        <v>5</v>
      </c>
    </row>
    <row r="749" spans="1:16" x14ac:dyDescent="0.35">
      <c r="A749" t="s">
        <v>156</v>
      </c>
      <c r="B749" t="s">
        <v>60</v>
      </c>
      <c r="C749" t="s">
        <v>47</v>
      </c>
      <c r="G749" t="s">
        <v>8</v>
      </c>
      <c r="J749" s="6">
        <f t="shared" si="11"/>
        <v>0</v>
      </c>
      <c r="K749" t="s">
        <v>271</v>
      </c>
      <c r="P749" t="s">
        <v>5</v>
      </c>
    </row>
    <row r="750" spans="1:16" x14ac:dyDescent="0.35">
      <c r="A750" t="s">
        <v>333</v>
      </c>
      <c r="B750" t="s">
        <v>1</v>
      </c>
      <c r="C750" t="s">
        <v>47</v>
      </c>
      <c r="G750" t="s">
        <v>8</v>
      </c>
      <c r="J750" s="6">
        <f t="shared" si="11"/>
        <v>0</v>
      </c>
      <c r="K750" t="s">
        <v>271</v>
      </c>
      <c r="P750" t="s">
        <v>5</v>
      </c>
    </row>
    <row r="751" spans="1:16" x14ac:dyDescent="0.35">
      <c r="A751" t="s">
        <v>333</v>
      </c>
      <c r="B751" t="s">
        <v>60</v>
      </c>
      <c r="C751" t="s">
        <v>47</v>
      </c>
      <c r="G751" t="s">
        <v>8</v>
      </c>
      <c r="J751" s="6">
        <f t="shared" si="11"/>
        <v>0</v>
      </c>
      <c r="K751" t="s">
        <v>271</v>
      </c>
      <c r="P751" t="s">
        <v>5</v>
      </c>
    </row>
    <row r="752" spans="1:16" x14ac:dyDescent="0.35">
      <c r="A752" t="s">
        <v>333</v>
      </c>
      <c r="B752" t="s">
        <v>61</v>
      </c>
      <c r="C752" t="s">
        <v>31</v>
      </c>
      <c r="D752" t="s">
        <v>240</v>
      </c>
      <c r="G752" t="s">
        <v>8</v>
      </c>
      <c r="J752" s="6">
        <f t="shared" si="11"/>
        <v>0</v>
      </c>
      <c r="P752" t="s">
        <v>5</v>
      </c>
    </row>
    <row r="753" spans="1:16" x14ac:dyDescent="0.35">
      <c r="A753" t="s">
        <v>333</v>
      </c>
      <c r="B753" t="s">
        <v>19</v>
      </c>
      <c r="C753" t="s">
        <v>37</v>
      </c>
      <c r="D753" t="s">
        <v>240</v>
      </c>
      <c r="G753" t="s">
        <v>8</v>
      </c>
      <c r="J753" s="6">
        <f t="shared" si="11"/>
        <v>0</v>
      </c>
      <c r="K753" t="s">
        <v>45</v>
      </c>
      <c r="P753" t="s">
        <v>5</v>
      </c>
    </row>
    <row r="754" spans="1:16" x14ac:dyDescent="0.35">
      <c r="A754" t="s">
        <v>49</v>
      </c>
      <c r="B754" t="s">
        <v>27</v>
      </c>
      <c r="C754" t="s">
        <v>28</v>
      </c>
      <c r="G754" t="s">
        <v>8</v>
      </c>
      <c r="J754" s="6">
        <f t="shared" si="11"/>
        <v>0</v>
      </c>
      <c r="K754" t="s">
        <v>45</v>
      </c>
      <c r="P754" t="s">
        <v>5</v>
      </c>
    </row>
    <row r="755" spans="1:16" x14ac:dyDescent="0.35">
      <c r="A755" t="s">
        <v>49</v>
      </c>
      <c r="B755" t="s">
        <v>1</v>
      </c>
      <c r="C755" t="s">
        <v>167</v>
      </c>
      <c r="G755" t="s">
        <v>8</v>
      </c>
      <c r="J755" s="6">
        <f t="shared" si="11"/>
        <v>0</v>
      </c>
      <c r="K755" t="s">
        <v>271</v>
      </c>
      <c r="P755" t="s">
        <v>5</v>
      </c>
    </row>
    <row r="756" spans="1:16" x14ac:dyDescent="0.35">
      <c r="A756" t="s">
        <v>49</v>
      </c>
      <c r="B756" t="s">
        <v>16</v>
      </c>
      <c r="C756" t="s">
        <v>16</v>
      </c>
      <c r="D756" t="s">
        <v>240</v>
      </c>
      <c r="G756" t="s">
        <v>8</v>
      </c>
      <c r="J756" s="6">
        <f t="shared" si="11"/>
        <v>0</v>
      </c>
      <c r="P756" t="s">
        <v>5</v>
      </c>
    </row>
    <row r="757" spans="1:16" x14ac:dyDescent="0.35">
      <c r="A757" t="s">
        <v>49</v>
      </c>
      <c r="B757" t="s">
        <v>60</v>
      </c>
      <c r="C757" t="s">
        <v>167</v>
      </c>
      <c r="G757" t="s">
        <v>8</v>
      </c>
      <c r="J757" s="6">
        <f t="shared" si="11"/>
        <v>0</v>
      </c>
      <c r="K757" t="s">
        <v>271</v>
      </c>
      <c r="P757" t="s">
        <v>5</v>
      </c>
    </row>
    <row r="758" spans="1:16" x14ac:dyDescent="0.35">
      <c r="A758" t="s">
        <v>49</v>
      </c>
      <c r="B758" t="s">
        <v>61</v>
      </c>
      <c r="C758" t="s">
        <v>31</v>
      </c>
      <c r="G758" t="s">
        <v>8</v>
      </c>
      <c r="J758" s="6">
        <f t="shared" si="11"/>
        <v>0</v>
      </c>
      <c r="K758" t="s">
        <v>271</v>
      </c>
      <c r="P758" t="s">
        <v>5</v>
      </c>
    </row>
    <row r="759" spans="1:16" x14ac:dyDescent="0.35">
      <c r="A759" t="s">
        <v>49</v>
      </c>
      <c r="B759" t="s">
        <v>19</v>
      </c>
      <c r="C759" t="s">
        <v>37</v>
      </c>
      <c r="D759" t="s">
        <v>240</v>
      </c>
      <c r="G759" t="s">
        <v>8</v>
      </c>
      <c r="J759" s="6">
        <f t="shared" si="11"/>
        <v>0</v>
      </c>
      <c r="K759" t="s">
        <v>39</v>
      </c>
      <c r="P759" t="s">
        <v>5</v>
      </c>
    </row>
    <row r="760" spans="1:16" x14ac:dyDescent="0.35">
      <c r="A760" t="s">
        <v>49</v>
      </c>
      <c r="B760" t="s">
        <v>23</v>
      </c>
      <c r="C760" t="s">
        <v>24</v>
      </c>
      <c r="D760" t="s">
        <v>443</v>
      </c>
      <c r="G760" t="s">
        <v>8</v>
      </c>
      <c r="J760" s="6">
        <f t="shared" si="11"/>
        <v>0</v>
      </c>
      <c r="K760" t="s">
        <v>271</v>
      </c>
      <c r="P760" t="s">
        <v>5</v>
      </c>
    </row>
    <row r="761" spans="1:16" x14ac:dyDescent="0.35">
      <c r="A761" t="s">
        <v>49</v>
      </c>
      <c r="B761" t="s">
        <v>122</v>
      </c>
      <c r="C761" t="s">
        <v>411</v>
      </c>
      <c r="D761" t="s">
        <v>443</v>
      </c>
      <c r="G761" t="s">
        <v>8</v>
      </c>
      <c r="J761" s="6">
        <f t="shared" si="11"/>
        <v>0</v>
      </c>
      <c r="K761" t="s">
        <v>54</v>
      </c>
      <c r="P761" t="s">
        <v>5</v>
      </c>
    </row>
    <row r="762" spans="1:16" x14ac:dyDescent="0.35">
      <c r="A762" t="s">
        <v>52</v>
      </c>
      <c r="B762" t="s">
        <v>27</v>
      </c>
      <c r="C762" t="s">
        <v>28</v>
      </c>
      <c r="G762" t="s">
        <v>8</v>
      </c>
      <c r="J762" s="6">
        <f t="shared" si="11"/>
        <v>0</v>
      </c>
      <c r="K762" t="s">
        <v>45</v>
      </c>
      <c r="P762" t="s">
        <v>5</v>
      </c>
    </row>
    <row r="763" spans="1:16" x14ac:dyDescent="0.35">
      <c r="A763" t="s">
        <v>52</v>
      </c>
      <c r="B763" t="s">
        <v>1</v>
      </c>
      <c r="C763" t="s">
        <v>172</v>
      </c>
      <c r="G763" t="s">
        <v>8</v>
      </c>
      <c r="J763" s="6">
        <f t="shared" si="11"/>
        <v>0</v>
      </c>
      <c r="K763" t="s">
        <v>271</v>
      </c>
      <c r="P763" t="s">
        <v>5</v>
      </c>
    </row>
    <row r="764" spans="1:16" x14ac:dyDescent="0.35">
      <c r="A764" t="s">
        <v>52</v>
      </c>
      <c r="B764" t="s">
        <v>16</v>
      </c>
      <c r="C764" t="s">
        <v>16</v>
      </c>
      <c r="D764" t="s">
        <v>240</v>
      </c>
      <c r="G764" t="s">
        <v>8</v>
      </c>
      <c r="J764" s="6">
        <f t="shared" si="11"/>
        <v>0</v>
      </c>
      <c r="P764" t="s">
        <v>5</v>
      </c>
    </row>
    <row r="765" spans="1:16" x14ac:dyDescent="0.35">
      <c r="A765" t="s">
        <v>52</v>
      </c>
      <c r="B765" t="s">
        <v>60</v>
      </c>
      <c r="C765" t="s">
        <v>14</v>
      </c>
      <c r="G765" t="s">
        <v>8</v>
      </c>
      <c r="J765" s="6">
        <f t="shared" si="11"/>
        <v>0</v>
      </c>
      <c r="K765" t="s">
        <v>271</v>
      </c>
      <c r="P765" t="s">
        <v>5</v>
      </c>
    </row>
    <row r="766" spans="1:16" x14ac:dyDescent="0.35">
      <c r="A766" t="s">
        <v>52</v>
      </c>
      <c r="B766" t="s">
        <v>61</v>
      </c>
      <c r="C766" t="s">
        <v>31</v>
      </c>
      <c r="G766" t="s">
        <v>8</v>
      </c>
      <c r="J766" s="6">
        <f t="shared" si="11"/>
        <v>0</v>
      </c>
      <c r="K766" t="s">
        <v>271</v>
      </c>
      <c r="P766" t="s">
        <v>5</v>
      </c>
    </row>
    <row r="767" spans="1:16" x14ac:dyDescent="0.35">
      <c r="A767" t="s">
        <v>52</v>
      </c>
      <c r="B767" t="s">
        <v>23</v>
      </c>
      <c r="C767" t="s">
        <v>24</v>
      </c>
      <c r="G767" t="s">
        <v>8</v>
      </c>
      <c r="J767" s="6">
        <f t="shared" si="11"/>
        <v>0</v>
      </c>
      <c r="K767" t="s">
        <v>271</v>
      </c>
      <c r="P767" t="s">
        <v>5</v>
      </c>
    </row>
    <row r="768" spans="1:16" x14ac:dyDescent="0.35">
      <c r="A768" t="s">
        <v>52</v>
      </c>
      <c r="B768" t="s">
        <v>122</v>
      </c>
      <c r="C768" t="s">
        <v>411</v>
      </c>
      <c r="D768" t="s">
        <v>443</v>
      </c>
      <c r="G768" t="s">
        <v>8</v>
      </c>
      <c r="J768" s="6">
        <f t="shared" si="11"/>
        <v>0</v>
      </c>
      <c r="K768" t="s">
        <v>271</v>
      </c>
      <c r="P768" t="s">
        <v>5</v>
      </c>
    </row>
    <row r="769" spans="1:16" x14ac:dyDescent="0.35">
      <c r="A769" t="s">
        <v>176</v>
      </c>
      <c r="B769" t="s">
        <v>27</v>
      </c>
      <c r="C769" t="s">
        <v>28</v>
      </c>
      <c r="G769" t="s">
        <v>8</v>
      </c>
      <c r="J769" s="6">
        <f t="shared" si="11"/>
        <v>0</v>
      </c>
      <c r="K769" t="s">
        <v>45</v>
      </c>
      <c r="P769" t="s">
        <v>5</v>
      </c>
    </row>
    <row r="770" spans="1:16" x14ac:dyDescent="0.35">
      <c r="A770" t="s">
        <v>176</v>
      </c>
      <c r="B770" t="s">
        <v>1</v>
      </c>
      <c r="C770" t="s">
        <v>172</v>
      </c>
      <c r="G770" t="s">
        <v>8</v>
      </c>
      <c r="J770" s="6">
        <f t="shared" si="11"/>
        <v>0</v>
      </c>
      <c r="K770" t="s">
        <v>271</v>
      </c>
      <c r="P770" t="s">
        <v>5</v>
      </c>
    </row>
    <row r="771" spans="1:16" x14ac:dyDescent="0.35">
      <c r="A771" t="s">
        <v>176</v>
      </c>
      <c r="B771" t="s">
        <v>16</v>
      </c>
      <c r="C771" t="s">
        <v>14</v>
      </c>
      <c r="D771" t="s">
        <v>471</v>
      </c>
      <c r="G771" t="s">
        <v>8</v>
      </c>
      <c r="I771" s="6">
        <v>55206.82</v>
      </c>
      <c r="J771" s="6">
        <f t="shared" ref="J771:J779" si="12">IF(F771&gt;0,F771,I771)</f>
        <v>55206.82</v>
      </c>
      <c r="K771" t="s">
        <v>45</v>
      </c>
      <c r="L771" s="1">
        <v>45933</v>
      </c>
      <c r="P771" t="s">
        <v>5</v>
      </c>
    </row>
    <row r="772" spans="1:16" x14ac:dyDescent="0.35">
      <c r="A772" t="s">
        <v>176</v>
      </c>
      <c r="B772" t="s">
        <v>60</v>
      </c>
      <c r="C772" t="s">
        <v>14</v>
      </c>
      <c r="G772" t="s">
        <v>8</v>
      </c>
      <c r="J772" s="6">
        <f t="shared" si="12"/>
        <v>0</v>
      </c>
      <c r="K772" t="s">
        <v>271</v>
      </c>
      <c r="P772" t="s">
        <v>5</v>
      </c>
    </row>
    <row r="773" spans="1:16" x14ac:dyDescent="0.35">
      <c r="A773" t="s">
        <v>176</v>
      </c>
      <c r="B773" t="s">
        <v>61</v>
      </c>
      <c r="C773" t="s">
        <v>31</v>
      </c>
      <c r="G773" t="s">
        <v>8</v>
      </c>
      <c r="J773" s="6">
        <f t="shared" si="12"/>
        <v>0</v>
      </c>
      <c r="K773" t="s">
        <v>271</v>
      </c>
      <c r="P773" t="s">
        <v>5</v>
      </c>
    </row>
    <row r="774" spans="1:16" x14ac:dyDescent="0.35">
      <c r="A774" t="s">
        <v>176</v>
      </c>
      <c r="B774" t="s">
        <v>122</v>
      </c>
      <c r="C774" t="s">
        <v>411</v>
      </c>
      <c r="D774" t="s">
        <v>443</v>
      </c>
      <c r="G774" t="s">
        <v>8</v>
      </c>
      <c r="J774" s="6">
        <f t="shared" si="12"/>
        <v>0</v>
      </c>
      <c r="K774" t="s">
        <v>54</v>
      </c>
      <c r="P774" t="s">
        <v>5</v>
      </c>
    </row>
    <row r="775" spans="1:16" x14ac:dyDescent="0.35">
      <c r="A775" t="s">
        <v>460</v>
      </c>
      <c r="B775" t="s">
        <v>1</v>
      </c>
      <c r="C775" t="s">
        <v>167</v>
      </c>
      <c r="G775" t="s">
        <v>8</v>
      </c>
      <c r="J775" s="6">
        <f t="shared" si="12"/>
        <v>0</v>
      </c>
      <c r="K775" t="s">
        <v>271</v>
      </c>
      <c r="N775" t="s">
        <v>462</v>
      </c>
      <c r="P775" t="s">
        <v>5</v>
      </c>
    </row>
    <row r="776" spans="1:16" x14ac:dyDescent="0.35">
      <c r="A776" t="s">
        <v>460</v>
      </c>
      <c r="B776" t="s">
        <v>122</v>
      </c>
      <c r="C776" t="s">
        <v>411</v>
      </c>
      <c r="G776" t="s">
        <v>8</v>
      </c>
      <c r="J776" s="6">
        <f t="shared" si="12"/>
        <v>0</v>
      </c>
      <c r="K776" t="s">
        <v>54</v>
      </c>
      <c r="P776" t="s">
        <v>5</v>
      </c>
    </row>
    <row r="777" spans="1:16" x14ac:dyDescent="0.35">
      <c r="A777" t="s">
        <v>460</v>
      </c>
      <c r="B777" t="s">
        <v>122</v>
      </c>
      <c r="C777" t="s">
        <v>464</v>
      </c>
      <c r="G777" t="s">
        <v>8</v>
      </c>
      <c r="J777" s="6">
        <f t="shared" si="12"/>
        <v>0</v>
      </c>
      <c r="K777" t="s">
        <v>45</v>
      </c>
      <c r="P777" t="s">
        <v>5</v>
      </c>
    </row>
    <row r="778" spans="1:16" x14ac:dyDescent="0.35">
      <c r="A778" t="s">
        <v>46</v>
      </c>
      <c r="B778" t="s">
        <v>1</v>
      </c>
      <c r="C778" t="s">
        <v>47</v>
      </c>
      <c r="G778" t="s">
        <v>8</v>
      </c>
      <c r="J778" s="6">
        <f t="shared" si="12"/>
        <v>0</v>
      </c>
      <c r="K778" t="s">
        <v>271</v>
      </c>
      <c r="P778" t="s">
        <v>5</v>
      </c>
    </row>
    <row r="779" spans="1:16" x14ac:dyDescent="0.35">
      <c r="G779" t="s">
        <v>8</v>
      </c>
      <c r="J779" s="6">
        <f t="shared" si="12"/>
        <v>0</v>
      </c>
      <c r="P779" t="s">
        <v>5</v>
      </c>
    </row>
  </sheetData>
  <autoFilter ref="A1:P77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2025-10-01T17:21:01Z</dcterms:created>
  <dcterms:modified xsi:type="dcterms:W3CDTF">2025-10-01T18:02:00Z</dcterms:modified>
</cp:coreProperties>
</file>